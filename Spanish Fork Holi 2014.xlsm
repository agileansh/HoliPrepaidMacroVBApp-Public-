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E:\Bkup before format\Documents\Holi_Auto_Prepay\"/>
    </mc:Choice>
  </mc:AlternateContent>
  <xr:revisionPtr revIDLastSave="0" documentId="13_ncr:1_{5E9E9F6D-BEE3-43AF-BF61-FE271DD71F73}" xr6:coauthVersionLast="47" xr6:coauthVersionMax="47" xr10:uidLastSave="{00000000-0000-0000-0000-000000000000}"/>
  <bookViews>
    <workbookView xWindow="-120" yWindow="-120" windowWidth="29040" windowHeight="15840" xr2:uid="{00000000-000D-0000-FFFF-FFFF00000000}"/>
  </bookViews>
  <sheets>
    <sheet name="Originals" sheetId="1" r:id="rId1"/>
    <sheet name="Registered" sheetId="2" r:id="rId2"/>
    <sheet name="Failed" sheetId="3" r:id="rId3"/>
    <sheet name="Final List" sheetId="4" r:id="rId4"/>
    <sheet name="Sheet2" sheetId="6" r:id="rId5"/>
  </sheets>
  <definedNames>
    <definedName name="_xlnm._FilterDatabase" localSheetId="3" hidden="1">'Final List'!$A$1:$I$1</definedName>
    <definedName name="_xlnm._FilterDatabase" localSheetId="1" hidden="1">Registered!$A$1:$AX$1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86" i="6" l="1"/>
  <c r="A1186" i="6"/>
  <c r="B1185" i="6"/>
  <c r="A1185" i="6"/>
  <c r="B1184" i="6"/>
  <c r="A1184" i="6"/>
  <c r="B1183" i="6"/>
  <c r="A1183" i="6"/>
  <c r="B1182" i="6"/>
  <c r="A1182" i="6"/>
  <c r="B1181" i="6"/>
  <c r="A1181" i="6"/>
  <c r="B1180" i="6"/>
  <c r="A1180" i="6"/>
  <c r="B1179" i="6"/>
  <c r="A1179" i="6"/>
  <c r="B1178" i="6"/>
  <c r="A1178" i="6"/>
  <c r="B1177" i="6"/>
  <c r="A1177" i="6"/>
  <c r="B1176" i="6"/>
  <c r="A1176" i="6"/>
  <c r="B1175" i="6"/>
  <c r="A1175" i="6"/>
  <c r="B1174" i="6"/>
  <c r="A1174" i="6"/>
  <c r="B1173" i="6"/>
  <c r="A1173" i="6"/>
  <c r="B1172" i="6"/>
  <c r="A1172" i="6"/>
  <c r="B1171" i="6"/>
  <c r="A1171" i="6"/>
  <c r="B1170" i="6"/>
  <c r="A1170" i="6"/>
  <c r="B1169" i="6"/>
  <c r="A1169" i="6"/>
  <c r="B1168" i="6"/>
  <c r="A1168" i="6"/>
  <c r="B1167" i="6"/>
  <c r="A1167" i="6"/>
  <c r="B1166" i="6"/>
  <c r="A1166" i="6"/>
  <c r="B1165" i="6"/>
  <c r="A1165" i="6"/>
  <c r="B1164" i="6"/>
  <c r="A1164" i="6"/>
  <c r="B1163" i="6"/>
  <c r="A1163" i="6"/>
  <c r="B1162" i="6"/>
  <c r="A1162" i="6"/>
  <c r="B1161" i="6"/>
  <c r="A1161" i="6"/>
  <c r="B1160" i="6"/>
  <c r="A1160" i="6"/>
  <c r="B1159" i="6"/>
  <c r="A1159" i="6"/>
  <c r="B1158" i="6"/>
  <c r="A1158" i="6"/>
  <c r="B1157" i="6"/>
  <c r="A1157" i="6"/>
  <c r="B1156" i="6"/>
  <c r="A1156" i="6"/>
  <c r="B1155" i="6"/>
  <c r="A1155" i="6"/>
  <c r="B1154" i="6"/>
  <c r="A1154" i="6"/>
  <c r="B1153" i="6"/>
  <c r="A1153" i="6"/>
  <c r="B1152" i="6"/>
  <c r="A1152" i="6"/>
  <c r="B1151" i="6"/>
  <c r="A1151" i="6"/>
  <c r="B1150" i="6"/>
  <c r="A1150" i="6"/>
  <c r="B1149" i="6"/>
  <c r="A1149" i="6"/>
  <c r="B1148" i="6"/>
  <c r="A1148" i="6"/>
  <c r="B1147" i="6"/>
  <c r="A1147" i="6"/>
  <c r="B1146" i="6"/>
  <c r="A1146" i="6"/>
  <c r="B1145" i="6"/>
  <c r="A1145" i="6"/>
  <c r="B1144" i="6"/>
  <c r="A1144" i="6"/>
  <c r="B1143" i="6"/>
  <c r="A1143" i="6"/>
  <c r="B1142" i="6"/>
  <c r="A1142" i="6"/>
  <c r="B1141" i="6"/>
  <c r="A1141" i="6"/>
  <c r="B1140" i="6"/>
  <c r="A1140" i="6"/>
  <c r="B1139" i="6"/>
  <c r="A1139" i="6"/>
  <c r="B1138" i="6"/>
  <c r="A1138" i="6"/>
  <c r="B1137" i="6"/>
  <c r="A1137" i="6"/>
  <c r="B1136" i="6"/>
  <c r="A1136" i="6"/>
  <c r="B1135" i="6"/>
  <c r="A1135" i="6"/>
  <c r="B1134" i="6"/>
  <c r="A1134" i="6"/>
  <c r="B1133" i="6"/>
  <c r="A1133" i="6"/>
  <c r="B1132" i="6"/>
  <c r="A1132" i="6"/>
  <c r="B1131" i="6"/>
  <c r="A1131" i="6"/>
  <c r="B1130" i="6"/>
  <c r="A1130" i="6"/>
  <c r="B1129" i="6"/>
  <c r="A1129" i="6"/>
  <c r="B1128" i="6"/>
  <c r="A1128" i="6"/>
  <c r="B1127" i="6"/>
  <c r="A1127" i="6"/>
  <c r="B1126" i="6"/>
  <c r="A1126" i="6"/>
  <c r="B1125" i="6"/>
  <c r="A1125" i="6"/>
  <c r="B1124" i="6"/>
  <c r="A1124" i="6"/>
  <c r="B1123" i="6"/>
  <c r="A1123" i="6"/>
  <c r="B1122" i="6"/>
  <c r="A1122" i="6"/>
  <c r="B1121" i="6"/>
  <c r="A1121" i="6"/>
  <c r="B1120" i="6"/>
  <c r="A1120" i="6"/>
  <c r="B1119" i="6"/>
  <c r="A1119" i="6"/>
  <c r="B1118" i="6"/>
  <c r="A1118" i="6"/>
  <c r="B1117" i="6"/>
  <c r="A1117" i="6"/>
  <c r="B1116" i="6"/>
  <c r="A1116" i="6"/>
  <c r="B1115" i="6"/>
  <c r="A1115" i="6"/>
  <c r="B1114" i="6"/>
  <c r="A1114" i="6"/>
  <c r="B1113" i="6"/>
  <c r="A1113" i="6"/>
  <c r="B1112" i="6"/>
  <c r="A1112" i="6"/>
  <c r="B1111" i="6"/>
  <c r="A1111" i="6"/>
  <c r="B1110" i="6"/>
  <c r="A1110" i="6"/>
  <c r="B1109" i="6"/>
  <c r="A1109" i="6"/>
  <c r="B1108" i="6"/>
  <c r="A1108" i="6"/>
  <c r="B1107" i="6"/>
  <c r="A1107" i="6"/>
  <c r="B1106" i="6"/>
  <c r="A1106" i="6"/>
  <c r="B1105" i="6"/>
  <c r="A1105" i="6"/>
  <c r="B1104" i="6"/>
  <c r="A1104" i="6"/>
  <c r="B1103" i="6"/>
  <c r="A1103" i="6"/>
  <c r="B1102" i="6"/>
  <c r="A1102" i="6"/>
  <c r="B1101" i="6"/>
  <c r="A1101" i="6"/>
  <c r="B1100" i="6"/>
  <c r="A1100" i="6"/>
  <c r="B1099" i="6"/>
  <c r="A1099" i="6"/>
  <c r="B1098" i="6"/>
  <c r="A1098" i="6"/>
  <c r="B1097" i="6"/>
  <c r="A1097" i="6"/>
  <c r="B1096" i="6"/>
  <c r="A1096" i="6"/>
  <c r="B1095" i="6"/>
  <c r="A1095" i="6"/>
  <c r="B1094" i="6"/>
  <c r="A1094" i="6"/>
  <c r="B1093" i="6"/>
  <c r="A1093" i="6"/>
  <c r="B1092" i="6"/>
  <c r="A1092" i="6"/>
  <c r="B1091" i="6"/>
  <c r="A1091" i="6"/>
  <c r="B1090" i="6"/>
  <c r="A1090" i="6"/>
  <c r="B1089" i="6"/>
  <c r="A1089" i="6"/>
  <c r="B1088" i="6"/>
  <c r="A1088" i="6"/>
  <c r="B1087" i="6"/>
  <c r="A1087" i="6"/>
  <c r="B1086" i="6"/>
  <c r="A1086" i="6"/>
  <c r="B1085" i="6"/>
  <c r="A1085" i="6"/>
  <c r="B1084" i="6"/>
  <c r="A1084" i="6"/>
  <c r="B1083" i="6"/>
  <c r="A1083" i="6"/>
  <c r="B1082" i="6"/>
  <c r="A1082" i="6"/>
  <c r="B1081" i="6"/>
  <c r="A1081" i="6"/>
  <c r="B1080" i="6"/>
  <c r="A1080" i="6"/>
  <c r="B1079" i="6"/>
  <c r="A1079" i="6"/>
  <c r="B1078" i="6"/>
  <c r="A1078" i="6"/>
  <c r="B1077" i="6"/>
  <c r="A1077" i="6"/>
  <c r="B1076" i="6"/>
  <c r="A1076" i="6"/>
  <c r="B1075" i="6"/>
  <c r="A1075" i="6"/>
  <c r="B1074" i="6"/>
  <c r="A1074" i="6"/>
  <c r="B1073" i="6"/>
  <c r="A1073" i="6"/>
  <c r="B1072" i="6"/>
  <c r="A1072" i="6"/>
  <c r="B1071" i="6"/>
  <c r="A1071" i="6"/>
  <c r="B1070" i="6"/>
  <c r="A1070" i="6"/>
  <c r="B1069" i="6"/>
  <c r="A1069" i="6"/>
  <c r="B1068" i="6"/>
  <c r="A1068" i="6"/>
  <c r="B1067" i="6"/>
  <c r="A1067" i="6"/>
  <c r="B1066" i="6"/>
  <c r="A1066" i="6"/>
  <c r="B1065" i="6"/>
  <c r="A1065" i="6"/>
  <c r="B1064" i="6"/>
  <c r="A1064" i="6"/>
  <c r="B1063" i="6"/>
  <c r="A1063" i="6"/>
  <c r="B1062" i="6"/>
  <c r="A1062" i="6"/>
  <c r="B1061" i="6"/>
  <c r="A1061" i="6"/>
  <c r="B1060" i="6"/>
  <c r="A1060" i="6"/>
  <c r="B1059" i="6"/>
  <c r="A1059" i="6"/>
  <c r="B1058" i="6"/>
  <c r="A1058" i="6"/>
  <c r="B1057" i="6"/>
  <c r="A1057" i="6"/>
  <c r="B1056" i="6"/>
  <c r="A1056" i="6"/>
  <c r="B1055" i="6"/>
  <c r="A1055" i="6"/>
  <c r="B1054" i="6"/>
  <c r="A1054" i="6"/>
  <c r="B1053" i="6"/>
  <c r="A1053" i="6"/>
  <c r="B1052" i="6"/>
  <c r="A1052" i="6"/>
  <c r="B1051" i="6"/>
  <c r="A1051" i="6"/>
  <c r="B1050" i="6"/>
  <c r="A1050" i="6"/>
  <c r="B1049" i="6"/>
  <c r="A1049" i="6"/>
  <c r="B1048" i="6"/>
  <c r="A1048" i="6"/>
  <c r="B1047" i="6"/>
  <c r="A1047" i="6"/>
  <c r="B1046" i="6"/>
  <c r="A1046" i="6"/>
  <c r="B1045" i="6"/>
  <c r="A1045" i="6"/>
  <c r="B1044" i="6"/>
  <c r="A1044" i="6"/>
  <c r="B1043" i="6"/>
  <c r="A1043" i="6"/>
  <c r="B1042" i="6"/>
  <c r="A1042" i="6"/>
  <c r="B1041" i="6"/>
  <c r="A1041" i="6"/>
  <c r="B1040" i="6"/>
  <c r="A1040" i="6"/>
  <c r="B1039" i="6"/>
  <c r="A1039" i="6"/>
  <c r="B1038" i="6"/>
  <c r="A1038" i="6"/>
  <c r="B1037" i="6"/>
  <c r="A1037" i="6"/>
  <c r="B1036" i="6"/>
  <c r="A1036" i="6"/>
  <c r="B1035" i="6"/>
  <c r="A1035" i="6"/>
  <c r="B1034" i="6"/>
  <c r="A1034" i="6"/>
  <c r="B1033" i="6"/>
  <c r="A1033" i="6"/>
  <c r="B1032" i="6"/>
  <c r="A1032" i="6"/>
  <c r="B1031" i="6"/>
  <c r="A1031" i="6"/>
  <c r="B1030" i="6"/>
  <c r="A1030" i="6"/>
  <c r="B1029" i="6"/>
  <c r="A1029" i="6"/>
  <c r="B1028" i="6"/>
  <c r="A1028" i="6"/>
  <c r="B1027" i="6"/>
  <c r="A1027" i="6"/>
  <c r="B1026" i="6"/>
  <c r="A1026" i="6"/>
  <c r="B1025" i="6"/>
  <c r="A1025" i="6"/>
  <c r="B1024" i="6"/>
  <c r="A1024" i="6"/>
  <c r="B1023" i="6"/>
  <c r="A1023" i="6"/>
  <c r="B1022" i="6"/>
  <c r="A1022" i="6"/>
  <c r="B1021" i="6"/>
  <c r="A1021" i="6"/>
  <c r="B1020" i="6"/>
  <c r="A1020" i="6"/>
  <c r="B1019" i="6"/>
  <c r="A1019" i="6"/>
  <c r="B1018" i="6"/>
  <c r="A1018" i="6"/>
  <c r="B1017" i="6"/>
  <c r="A1017" i="6"/>
  <c r="B1016" i="6"/>
  <c r="A1016" i="6"/>
  <c r="B1015" i="6"/>
  <c r="A1015" i="6"/>
  <c r="B1014" i="6"/>
  <c r="A1014" i="6"/>
  <c r="B1013" i="6"/>
  <c r="A1013" i="6"/>
  <c r="B1012" i="6"/>
  <c r="A1012" i="6"/>
  <c r="B1011" i="6"/>
  <c r="A1011" i="6"/>
  <c r="B1010" i="6"/>
  <c r="A1010" i="6"/>
  <c r="B1009" i="6"/>
  <c r="A1009" i="6"/>
  <c r="B1008" i="6"/>
  <c r="A1008" i="6"/>
  <c r="B1007" i="6"/>
  <c r="A1007" i="6"/>
  <c r="B1006" i="6"/>
  <c r="A1006" i="6"/>
  <c r="B1005" i="6"/>
  <c r="A1005" i="6"/>
  <c r="B1004" i="6"/>
  <c r="A1004" i="6"/>
  <c r="B1003" i="6"/>
  <c r="A1003" i="6"/>
  <c r="B1002" i="6"/>
  <c r="A1002" i="6"/>
  <c r="B1001" i="6"/>
  <c r="A1001" i="6"/>
  <c r="B1000" i="6"/>
  <c r="A1000" i="6"/>
  <c r="B999" i="6"/>
  <c r="A999" i="6"/>
  <c r="B998" i="6"/>
  <c r="A998" i="6"/>
  <c r="B997" i="6"/>
  <c r="A997" i="6"/>
  <c r="B996" i="6"/>
  <c r="A996" i="6"/>
  <c r="B995" i="6"/>
  <c r="A995" i="6"/>
  <c r="B994" i="6"/>
  <c r="A994" i="6"/>
  <c r="B993" i="6"/>
  <c r="A993" i="6"/>
  <c r="B992" i="6"/>
  <c r="A992" i="6"/>
  <c r="B991" i="6"/>
  <c r="A991" i="6"/>
  <c r="B990" i="6"/>
  <c r="A990" i="6"/>
  <c r="B989" i="6"/>
  <c r="A989" i="6"/>
  <c r="B988" i="6"/>
  <c r="A988" i="6"/>
  <c r="B987" i="6"/>
  <c r="A987" i="6"/>
  <c r="B986" i="6"/>
  <c r="A986" i="6"/>
  <c r="B985" i="6"/>
  <c r="A985" i="6"/>
  <c r="B984" i="6"/>
  <c r="A984" i="6"/>
  <c r="B983" i="6"/>
  <c r="A983" i="6"/>
  <c r="B982" i="6"/>
  <c r="A982" i="6"/>
  <c r="B981" i="6"/>
  <c r="A981" i="6"/>
  <c r="B980" i="6"/>
  <c r="A980" i="6"/>
  <c r="B979" i="6"/>
  <c r="A979" i="6"/>
  <c r="B978" i="6"/>
  <c r="A978" i="6"/>
  <c r="B977" i="6"/>
  <c r="A977" i="6"/>
  <c r="B976" i="6"/>
  <c r="A976" i="6"/>
  <c r="B975" i="6"/>
  <c r="A975" i="6"/>
  <c r="B974" i="6"/>
  <c r="A974" i="6"/>
  <c r="B973" i="6"/>
  <c r="A973" i="6"/>
  <c r="B972" i="6"/>
  <c r="A972" i="6"/>
  <c r="B971" i="6"/>
  <c r="A971" i="6"/>
  <c r="B970" i="6"/>
  <c r="A970" i="6"/>
  <c r="B969" i="6"/>
  <c r="A969" i="6"/>
  <c r="B968" i="6"/>
  <c r="A968" i="6"/>
  <c r="B967" i="6"/>
  <c r="A967" i="6"/>
  <c r="B966" i="6"/>
  <c r="A966" i="6"/>
  <c r="B965" i="6"/>
  <c r="A965" i="6"/>
  <c r="B964" i="6"/>
  <c r="A964" i="6"/>
  <c r="B963" i="6"/>
  <c r="A963" i="6"/>
  <c r="B962" i="6"/>
  <c r="A962" i="6"/>
  <c r="B961" i="6"/>
  <c r="A961" i="6"/>
  <c r="B960" i="6"/>
  <c r="A960" i="6"/>
  <c r="B959" i="6"/>
  <c r="A959" i="6"/>
  <c r="B958" i="6"/>
  <c r="A958" i="6"/>
  <c r="B957" i="6"/>
  <c r="A957" i="6"/>
  <c r="B956" i="6"/>
  <c r="A956" i="6"/>
  <c r="B955" i="6"/>
  <c r="A955" i="6"/>
  <c r="B954" i="6"/>
  <c r="A954" i="6"/>
  <c r="B953" i="6"/>
  <c r="A953" i="6"/>
  <c r="B952" i="6"/>
  <c r="A952" i="6"/>
  <c r="B951" i="6"/>
  <c r="A951" i="6"/>
  <c r="B950" i="6"/>
  <c r="A950" i="6"/>
  <c r="B949" i="6"/>
  <c r="A949" i="6"/>
  <c r="B948" i="6"/>
  <c r="A948" i="6"/>
  <c r="B947" i="6"/>
  <c r="A947" i="6"/>
  <c r="B946" i="6"/>
  <c r="A946" i="6"/>
  <c r="B945" i="6"/>
  <c r="A945" i="6"/>
  <c r="B944" i="6"/>
  <c r="A944" i="6"/>
  <c r="B943" i="6"/>
  <c r="A943" i="6"/>
  <c r="B942" i="6"/>
  <c r="A942" i="6"/>
  <c r="B941" i="6"/>
  <c r="A941" i="6"/>
  <c r="B940" i="6"/>
  <c r="A940" i="6"/>
  <c r="B939" i="6"/>
  <c r="A939" i="6"/>
  <c r="B938" i="6"/>
  <c r="A938" i="6"/>
  <c r="B937" i="6"/>
  <c r="A937" i="6"/>
  <c r="B936" i="6"/>
  <c r="A936" i="6"/>
  <c r="B935" i="6"/>
  <c r="A935" i="6"/>
  <c r="B934" i="6"/>
  <c r="A934" i="6"/>
  <c r="B933" i="6"/>
  <c r="A933" i="6"/>
  <c r="B932" i="6"/>
  <c r="A932" i="6"/>
  <c r="B931" i="6"/>
  <c r="A931" i="6"/>
  <c r="B930" i="6"/>
  <c r="A930" i="6"/>
  <c r="B929" i="6"/>
  <c r="A929" i="6"/>
  <c r="B928" i="6"/>
  <c r="A928" i="6"/>
  <c r="B927" i="6"/>
  <c r="A927" i="6"/>
  <c r="B926" i="6"/>
  <c r="A926" i="6"/>
  <c r="B925" i="6"/>
  <c r="A925" i="6"/>
  <c r="B924" i="6"/>
  <c r="A924" i="6"/>
  <c r="B923" i="6"/>
  <c r="A923" i="6"/>
  <c r="B922" i="6"/>
  <c r="A922" i="6"/>
  <c r="B921" i="6"/>
  <c r="A921" i="6"/>
  <c r="B920" i="6"/>
  <c r="A920" i="6"/>
  <c r="B919" i="6"/>
  <c r="A919" i="6"/>
  <c r="B918" i="6"/>
  <c r="A918" i="6"/>
  <c r="B917" i="6"/>
  <c r="A917" i="6"/>
  <c r="B916" i="6"/>
  <c r="A916" i="6"/>
  <c r="B915" i="6"/>
  <c r="A915" i="6"/>
  <c r="B914" i="6"/>
  <c r="A914" i="6"/>
  <c r="B913" i="6"/>
  <c r="A913" i="6"/>
  <c r="B912" i="6"/>
  <c r="A912" i="6"/>
  <c r="B911" i="6"/>
  <c r="A911" i="6"/>
  <c r="B910" i="6"/>
  <c r="A910" i="6"/>
  <c r="B909" i="6"/>
  <c r="A909" i="6"/>
  <c r="B908" i="6"/>
  <c r="A908" i="6"/>
  <c r="B907" i="6"/>
  <c r="A907" i="6"/>
  <c r="B906" i="6"/>
  <c r="A906" i="6"/>
  <c r="B905" i="6"/>
  <c r="A905" i="6"/>
  <c r="B904" i="6"/>
  <c r="A904" i="6"/>
  <c r="B903" i="6"/>
  <c r="A903" i="6"/>
  <c r="B902" i="6"/>
  <c r="A902" i="6"/>
  <c r="B901" i="6"/>
  <c r="A901" i="6"/>
  <c r="B900" i="6"/>
  <c r="A900" i="6"/>
  <c r="B899" i="6"/>
  <c r="A899" i="6"/>
  <c r="B898" i="6"/>
  <c r="A898" i="6"/>
  <c r="B897" i="6"/>
  <c r="A897" i="6"/>
  <c r="B896" i="6"/>
  <c r="A896" i="6"/>
  <c r="B895" i="6"/>
  <c r="A895" i="6"/>
  <c r="B894" i="6"/>
  <c r="A894" i="6"/>
  <c r="B893" i="6"/>
  <c r="A893" i="6"/>
  <c r="B892" i="6"/>
  <c r="A892" i="6"/>
  <c r="B891" i="6"/>
  <c r="A891" i="6"/>
  <c r="B890" i="6"/>
  <c r="A890" i="6"/>
  <c r="B889" i="6"/>
  <c r="A889" i="6"/>
  <c r="B888" i="6"/>
  <c r="A888" i="6"/>
  <c r="B887" i="6"/>
  <c r="A887" i="6"/>
  <c r="B886" i="6"/>
  <c r="A886" i="6"/>
  <c r="B885" i="6"/>
  <c r="A885" i="6"/>
  <c r="B884" i="6"/>
  <c r="A884" i="6"/>
  <c r="B883" i="6"/>
  <c r="A883" i="6"/>
  <c r="B882" i="6"/>
  <c r="A882" i="6"/>
  <c r="B881" i="6"/>
  <c r="A881" i="6"/>
  <c r="B880" i="6"/>
  <c r="A880" i="6"/>
  <c r="B879" i="6"/>
  <c r="A879" i="6"/>
  <c r="B878" i="6"/>
  <c r="A878" i="6"/>
  <c r="B877" i="6"/>
  <c r="A877" i="6"/>
  <c r="B876" i="6"/>
  <c r="A876" i="6"/>
  <c r="B875" i="6"/>
  <c r="A875" i="6"/>
  <c r="B874" i="6"/>
  <c r="A874" i="6"/>
  <c r="B873" i="6"/>
  <c r="A873" i="6"/>
  <c r="B872" i="6"/>
  <c r="A872" i="6"/>
  <c r="B871" i="6"/>
  <c r="A871" i="6"/>
  <c r="B870" i="6"/>
  <c r="A870" i="6"/>
  <c r="B869" i="6"/>
  <c r="A869" i="6"/>
  <c r="B868" i="6"/>
  <c r="A868" i="6"/>
  <c r="B867" i="6"/>
  <c r="A867" i="6"/>
  <c r="B866" i="6"/>
  <c r="A866" i="6"/>
  <c r="B865" i="6"/>
  <c r="A865" i="6"/>
  <c r="B864" i="6"/>
  <c r="A864" i="6"/>
  <c r="B863" i="6"/>
  <c r="A863" i="6"/>
  <c r="B862" i="6"/>
  <c r="A862" i="6"/>
  <c r="B861" i="6"/>
  <c r="A861" i="6"/>
  <c r="B860" i="6"/>
  <c r="A860" i="6"/>
  <c r="B859" i="6"/>
  <c r="A859" i="6"/>
  <c r="B858" i="6"/>
  <c r="A858" i="6"/>
  <c r="B857" i="6"/>
  <c r="A857" i="6"/>
  <c r="B856" i="6"/>
  <c r="A856" i="6"/>
  <c r="B855" i="6"/>
  <c r="A855" i="6"/>
  <c r="B854" i="6"/>
  <c r="A854" i="6"/>
  <c r="B853" i="6"/>
  <c r="A853" i="6"/>
  <c r="B852" i="6"/>
  <c r="A852" i="6"/>
  <c r="B851" i="6"/>
  <c r="A851" i="6"/>
  <c r="B850" i="6"/>
  <c r="A850" i="6"/>
  <c r="B849" i="6"/>
  <c r="A849" i="6"/>
  <c r="B848" i="6"/>
  <c r="A848" i="6"/>
  <c r="B847" i="6"/>
  <c r="A847" i="6"/>
  <c r="B846" i="6"/>
  <c r="A846" i="6"/>
  <c r="B845" i="6"/>
  <c r="A845" i="6"/>
  <c r="B844" i="6"/>
  <c r="A844" i="6"/>
  <c r="B843" i="6"/>
  <c r="A843" i="6"/>
  <c r="B842" i="6"/>
  <c r="A842" i="6"/>
  <c r="B841" i="6"/>
  <c r="A841" i="6"/>
  <c r="B840" i="6"/>
  <c r="A840" i="6"/>
  <c r="B839" i="6"/>
  <c r="A839" i="6"/>
  <c r="B838" i="6"/>
  <c r="A838" i="6"/>
  <c r="B837" i="6"/>
  <c r="A837" i="6"/>
  <c r="B836" i="6"/>
  <c r="A836" i="6"/>
  <c r="B835" i="6"/>
  <c r="A835" i="6"/>
  <c r="B834" i="6"/>
  <c r="A834" i="6"/>
  <c r="B833" i="6"/>
  <c r="A833" i="6"/>
  <c r="B832" i="6"/>
  <c r="A832" i="6"/>
  <c r="B831" i="6"/>
  <c r="A831" i="6"/>
  <c r="B830" i="6"/>
  <c r="A830" i="6"/>
  <c r="B829" i="6"/>
  <c r="A829" i="6"/>
  <c r="B828" i="6"/>
  <c r="A828" i="6"/>
  <c r="B827" i="6"/>
  <c r="A827" i="6"/>
  <c r="B826" i="6"/>
  <c r="A826" i="6"/>
  <c r="B825" i="6"/>
  <c r="A825" i="6"/>
  <c r="B824" i="6"/>
  <c r="A824" i="6"/>
  <c r="B823" i="6"/>
  <c r="A823" i="6"/>
  <c r="B822" i="6"/>
  <c r="A822" i="6"/>
  <c r="B821" i="6"/>
  <c r="A821" i="6"/>
  <c r="B820" i="6"/>
  <c r="A820" i="6"/>
  <c r="B819" i="6"/>
  <c r="A819" i="6"/>
  <c r="B818" i="6"/>
  <c r="A818" i="6"/>
  <c r="B817" i="6"/>
  <c r="A817" i="6"/>
  <c r="B816" i="6"/>
  <c r="A816" i="6"/>
  <c r="B815" i="6"/>
  <c r="A815" i="6"/>
  <c r="B814" i="6"/>
  <c r="A814" i="6"/>
  <c r="B813" i="6"/>
  <c r="A813" i="6"/>
  <c r="B812" i="6"/>
  <c r="A812" i="6"/>
  <c r="B811" i="6"/>
  <c r="A811" i="6"/>
  <c r="B810" i="6"/>
  <c r="A810" i="6"/>
  <c r="B809" i="6"/>
  <c r="A809" i="6"/>
  <c r="B808" i="6"/>
  <c r="A808" i="6"/>
  <c r="B807" i="6"/>
  <c r="A807" i="6"/>
  <c r="B806" i="6"/>
  <c r="A806" i="6"/>
  <c r="B805" i="6"/>
  <c r="A805" i="6"/>
  <c r="B804" i="6"/>
  <c r="A804" i="6"/>
  <c r="B803" i="6"/>
  <c r="A803" i="6"/>
  <c r="B802" i="6"/>
  <c r="A802" i="6"/>
  <c r="B801" i="6"/>
  <c r="A801" i="6"/>
  <c r="B800" i="6"/>
  <c r="A800" i="6"/>
  <c r="B799" i="6"/>
  <c r="A799" i="6"/>
  <c r="B798" i="6"/>
  <c r="A798" i="6"/>
  <c r="B797" i="6"/>
  <c r="A797" i="6"/>
  <c r="B796" i="6"/>
  <c r="A796" i="6"/>
  <c r="B795" i="6"/>
  <c r="A795" i="6"/>
  <c r="B794" i="6"/>
  <c r="A794" i="6"/>
  <c r="B793" i="6"/>
  <c r="A793" i="6"/>
  <c r="B792" i="6"/>
  <c r="A792" i="6"/>
  <c r="B791" i="6"/>
  <c r="A791" i="6"/>
  <c r="B790" i="6"/>
  <c r="A790" i="6"/>
  <c r="B789" i="6"/>
  <c r="A789" i="6"/>
  <c r="B788" i="6"/>
  <c r="A788" i="6"/>
  <c r="B787" i="6"/>
  <c r="A787" i="6"/>
  <c r="B786" i="6"/>
  <c r="A786" i="6"/>
  <c r="B785" i="6"/>
  <c r="A785" i="6"/>
  <c r="B784" i="6"/>
  <c r="A784" i="6"/>
  <c r="B783" i="6"/>
  <c r="A783" i="6"/>
  <c r="B782" i="6"/>
  <c r="A782" i="6"/>
  <c r="B781" i="6"/>
  <c r="A781" i="6"/>
  <c r="B780" i="6"/>
  <c r="A780" i="6"/>
  <c r="B779" i="6"/>
  <c r="A779" i="6"/>
  <c r="B778" i="6"/>
  <c r="A778" i="6"/>
  <c r="B777" i="6"/>
  <c r="A777" i="6"/>
  <c r="B776" i="6"/>
  <c r="A776" i="6"/>
  <c r="B775" i="6"/>
  <c r="A775" i="6"/>
  <c r="B774" i="6"/>
  <c r="A774" i="6"/>
  <c r="B773" i="6"/>
  <c r="A773" i="6"/>
  <c r="B772" i="6"/>
  <c r="A772" i="6"/>
  <c r="B771" i="6"/>
  <c r="A771" i="6"/>
  <c r="B770" i="6"/>
  <c r="A770" i="6"/>
  <c r="B769" i="6"/>
  <c r="A769" i="6"/>
  <c r="B768" i="6"/>
  <c r="A768" i="6"/>
  <c r="B767" i="6"/>
  <c r="A767" i="6"/>
  <c r="B766" i="6"/>
  <c r="A766" i="6"/>
  <c r="B765" i="6"/>
  <c r="A765" i="6"/>
  <c r="B764" i="6"/>
  <c r="A764" i="6"/>
  <c r="B763" i="6"/>
  <c r="A763" i="6"/>
  <c r="B762" i="6"/>
  <c r="A762" i="6"/>
  <c r="B761" i="6"/>
  <c r="A761" i="6"/>
  <c r="B760" i="6"/>
  <c r="A760" i="6"/>
  <c r="B759" i="6"/>
  <c r="A759" i="6"/>
  <c r="B758" i="6"/>
  <c r="A758" i="6"/>
  <c r="B757" i="6"/>
  <c r="A757" i="6"/>
  <c r="B756" i="6"/>
  <c r="A756" i="6"/>
  <c r="B755" i="6"/>
  <c r="A755" i="6"/>
  <c r="B754" i="6"/>
  <c r="A754" i="6"/>
  <c r="B753" i="6"/>
  <c r="A753" i="6"/>
  <c r="B752" i="6"/>
  <c r="A752" i="6"/>
  <c r="B751" i="6"/>
  <c r="A751" i="6"/>
  <c r="B750" i="6"/>
  <c r="A750" i="6"/>
  <c r="B749" i="6"/>
  <c r="A749" i="6"/>
  <c r="B748" i="6"/>
  <c r="A748" i="6"/>
  <c r="B747" i="6"/>
  <c r="A747" i="6"/>
  <c r="B746" i="6"/>
  <c r="A746" i="6"/>
  <c r="B745" i="6"/>
  <c r="A745" i="6"/>
  <c r="B744" i="6"/>
  <c r="A744" i="6"/>
  <c r="B743" i="6"/>
  <c r="A743" i="6"/>
  <c r="B742" i="6"/>
  <c r="A742" i="6"/>
  <c r="B741" i="6"/>
  <c r="A741" i="6"/>
  <c r="B740" i="6"/>
  <c r="A740" i="6"/>
  <c r="B739" i="6"/>
  <c r="A739" i="6"/>
  <c r="B738" i="6"/>
  <c r="A738" i="6"/>
  <c r="B737" i="6"/>
  <c r="A737" i="6"/>
  <c r="B736" i="6"/>
  <c r="A736" i="6"/>
  <c r="B735" i="6"/>
  <c r="A735" i="6"/>
  <c r="B734" i="6"/>
  <c r="A734" i="6"/>
  <c r="B733" i="6"/>
  <c r="A733" i="6"/>
  <c r="B732" i="6"/>
  <c r="A732" i="6"/>
  <c r="B731" i="6"/>
  <c r="A731" i="6"/>
  <c r="B730" i="6"/>
  <c r="A730" i="6"/>
  <c r="B729" i="6"/>
  <c r="A729" i="6"/>
  <c r="B728" i="6"/>
  <c r="A728" i="6"/>
  <c r="B727" i="6"/>
  <c r="A727" i="6"/>
  <c r="B726" i="6"/>
  <c r="A726" i="6"/>
  <c r="B725" i="6"/>
  <c r="A725" i="6"/>
  <c r="B724" i="6"/>
  <c r="A724" i="6"/>
  <c r="B723" i="6"/>
  <c r="A723" i="6"/>
  <c r="B722" i="6"/>
  <c r="A722" i="6"/>
  <c r="B721" i="6"/>
  <c r="A721" i="6"/>
  <c r="B720" i="6"/>
  <c r="A720" i="6"/>
  <c r="B719" i="6"/>
  <c r="A719" i="6"/>
  <c r="B718" i="6"/>
  <c r="A718" i="6"/>
  <c r="B717" i="6"/>
  <c r="A717" i="6"/>
  <c r="B716" i="6"/>
  <c r="A716" i="6"/>
  <c r="B715" i="6"/>
  <c r="A715" i="6"/>
  <c r="B714" i="6"/>
  <c r="A714" i="6"/>
  <c r="B713" i="6"/>
  <c r="A713" i="6"/>
  <c r="B712" i="6"/>
  <c r="A712" i="6"/>
  <c r="B711" i="6"/>
  <c r="A711" i="6"/>
  <c r="B710" i="6"/>
  <c r="A710" i="6"/>
  <c r="B709" i="6"/>
  <c r="A709" i="6"/>
  <c r="B708" i="6"/>
  <c r="A708" i="6"/>
  <c r="B707" i="6"/>
  <c r="A707" i="6"/>
  <c r="B706" i="6"/>
  <c r="A706" i="6"/>
  <c r="B705" i="6"/>
  <c r="A705" i="6"/>
  <c r="B704" i="6"/>
  <c r="A704" i="6"/>
  <c r="B703" i="6"/>
  <c r="A703" i="6"/>
  <c r="B702" i="6"/>
  <c r="A702" i="6"/>
  <c r="B701" i="6"/>
  <c r="A701" i="6"/>
  <c r="B700" i="6"/>
  <c r="A700" i="6"/>
  <c r="B699" i="6"/>
  <c r="A699" i="6"/>
  <c r="B698" i="6"/>
  <c r="A698" i="6"/>
  <c r="B697" i="6"/>
  <c r="A697" i="6"/>
  <c r="B696" i="6"/>
  <c r="A696" i="6"/>
  <c r="B695" i="6"/>
  <c r="A695" i="6"/>
  <c r="B694" i="6"/>
  <c r="A694" i="6"/>
  <c r="B693" i="6"/>
  <c r="A693" i="6"/>
  <c r="B692" i="6"/>
  <c r="A692" i="6"/>
  <c r="B691" i="6"/>
  <c r="A691" i="6"/>
  <c r="B690" i="6"/>
  <c r="A690" i="6"/>
  <c r="B689" i="6"/>
  <c r="A689" i="6"/>
  <c r="B688" i="6"/>
  <c r="A688" i="6"/>
  <c r="B687" i="6"/>
  <c r="A687" i="6"/>
  <c r="B686" i="6"/>
  <c r="A686" i="6"/>
  <c r="B685" i="6"/>
  <c r="A685" i="6"/>
  <c r="B684" i="6"/>
  <c r="A684" i="6"/>
  <c r="B683" i="6"/>
  <c r="A683" i="6"/>
  <c r="B682" i="6"/>
  <c r="A682" i="6"/>
  <c r="B681" i="6"/>
  <c r="A681" i="6"/>
  <c r="B680" i="6"/>
  <c r="A680" i="6"/>
  <c r="B679" i="6"/>
  <c r="A679" i="6"/>
  <c r="B678" i="6"/>
  <c r="A678" i="6"/>
  <c r="B677" i="6"/>
  <c r="A677" i="6"/>
  <c r="B676" i="6"/>
  <c r="A676" i="6"/>
  <c r="B675" i="6"/>
  <c r="A675" i="6"/>
  <c r="B674" i="6"/>
  <c r="A674" i="6"/>
  <c r="B673" i="6"/>
  <c r="A673" i="6"/>
  <c r="B672" i="6"/>
  <c r="A672" i="6"/>
  <c r="B671" i="6"/>
  <c r="A671" i="6"/>
  <c r="B670" i="6"/>
  <c r="A670" i="6"/>
  <c r="B669" i="6"/>
  <c r="A669" i="6"/>
  <c r="B668" i="6"/>
  <c r="A668" i="6"/>
  <c r="B667" i="6"/>
  <c r="A667" i="6"/>
  <c r="B666" i="6"/>
  <c r="A666" i="6"/>
  <c r="B665" i="6"/>
  <c r="A665" i="6"/>
  <c r="B664" i="6"/>
  <c r="A664" i="6"/>
  <c r="B663" i="6"/>
  <c r="A663" i="6"/>
  <c r="B662" i="6"/>
  <c r="A662" i="6"/>
  <c r="B661" i="6"/>
  <c r="A661" i="6"/>
  <c r="B660" i="6"/>
  <c r="A660" i="6"/>
  <c r="B659" i="6"/>
  <c r="A659" i="6"/>
  <c r="B658" i="6"/>
  <c r="A658" i="6"/>
  <c r="B657" i="6"/>
  <c r="A657" i="6"/>
  <c r="B656" i="6"/>
  <c r="A656" i="6"/>
  <c r="B655" i="6"/>
  <c r="A655" i="6"/>
  <c r="B654" i="6"/>
  <c r="A654" i="6"/>
  <c r="B653" i="6"/>
  <c r="A653" i="6"/>
  <c r="B652" i="6"/>
  <c r="A652" i="6"/>
  <c r="B651" i="6"/>
  <c r="A651" i="6"/>
  <c r="B650" i="6"/>
  <c r="A650" i="6"/>
  <c r="B649" i="6"/>
  <c r="A649" i="6"/>
  <c r="B648" i="6"/>
  <c r="A648" i="6"/>
  <c r="B647" i="6"/>
  <c r="A647" i="6"/>
  <c r="B646" i="6"/>
  <c r="A646" i="6"/>
  <c r="B645" i="6"/>
  <c r="A645" i="6"/>
  <c r="B644" i="6"/>
  <c r="A644" i="6"/>
  <c r="B643" i="6"/>
  <c r="A643" i="6"/>
  <c r="B642" i="6"/>
  <c r="A642" i="6"/>
  <c r="B641" i="6"/>
  <c r="A641" i="6"/>
  <c r="B640" i="6"/>
  <c r="A640" i="6"/>
  <c r="B639" i="6"/>
  <c r="A639" i="6"/>
  <c r="B638" i="6"/>
  <c r="A638" i="6"/>
  <c r="B637" i="6"/>
  <c r="A637" i="6"/>
  <c r="B636" i="6"/>
  <c r="A636" i="6"/>
  <c r="B635" i="6"/>
  <c r="A635" i="6"/>
  <c r="B634" i="6"/>
  <c r="A634" i="6"/>
  <c r="B633" i="6"/>
  <c r="A633" i="6"/>
  <c r="B632" i="6"/>
  <c r="A632" i="6"/>
  <c r="B631" i="6"/>
  <c r="A631" i="6"/>
  <c r="B630" i="6"/>
  <c r="A630" i="6"/>
  <c r="B629" i="6"/>
  <c r="A629" i="6"/>
  <c r="B628" i="6"/>
  <c r="A628" i="6"/>
  <c r="B627" i="6"/>
  <c r="A627" i="6"/>
  <c r="B626" i="6"/>
  <c r="A626" i="6"/>
  <c r="B625" i="6"/>
  <c r="A625" i="6"/>
  <c r="B624" i="6"/>
  <c r="A624" i="6"/>
  <c r="B623" i="6"/>
  <c r="A623" i="6"/>
  <c r="B622" i="6"/>
  <c r="A622" i="6"/>
  <c r="B621" i="6"/>
  <c r="A621" i="6"/>
  <c r="B620" i="6"/>
  <c r="A620" i="6"/>
  <c r="B619" i="6"/>
  <c r="A619" i="6"/>
  <c r="B618" i="6"/>
  <c r="A618" i="6"/>
  <c r="B617" i="6"/>
  <c r="A617" i="6"/>
  <c r="B616" i="6"/>
  <c r="A616" i="6"/>
  <c r="B615" i="6"/>
  <c r="A615" i="6"/>
  <c r="B614" i="6"/>
  <c r="A614" i="6"/>
  <c r="B613" i="6"/>
  <c r="A613" i="6"/>
  <c r="B612" i="6"/>
  <c r="A612" i="6"/>
  <c r="B611" i="6"/>
  <c r="A611" i="6"/>
  <c r="B610" i="6"/>
  <c r="A610" i="6"/>
  <c r="B609" i="6"/>
  <c r="A609" i="6"/>
  <c r="B608" i="6"/>
  <c r="A608" i="6"/>
  <c r="B607" i="6"/>
  <c r="A607" i="6"/>
  <c r="B606" i="6"/>
  <c r="A606" i="6"/>
  <c r="B605" i="6"/>
  <c r="A605" i="6"/>
  <c r="B604" i="6"/>
  <c r="A604" i="6"/>
  <c r="B603" i="6"/>
  <c r="A603" i="6"/>
  <c r="B602" i="6"/>
  <c r="A602" i="6"/>
  <c r="B601" i="6"/>
  <c r="A601" i="6"/>
  <c r="B600" i="6"/>
  <c r="A600" i="6"/>
  <c r="B599" i="6"/>
  <c r="A599" i="6"/>
  <c r="B598" i="6"/>
  <c r="A598" i="6"/>
  <c r="B597" i="6"/>
  <c r="A597" i="6"/>
  <c r="B596" i="6"/>
  <c r="A596" i="6"/>
  <c r="B595" i="6"/>
  <c r="A595" i="6"/>
  <c r="B594" i="6"/>
  <c r="A594" i="6"/>
  <c r="B593" i="6"/>
  <c r="A593" i="6"/>
  <c r="B592" i="6"/>
  <c r="A592" i="6"/>
  <c r="B591" i="6"/>
  <c r="A591" i="6"/>
  <c r="B590" i="6"/>
  <c r="A590" i="6"/>
  <c r="B589" i="6"/>
  <c r="A589" i="6"/>
  <c r="B588" i="6"/>
  <c r="A588" i="6"/>
  <c r="B587" i="6"/>
  <c r="A587" i="6"/>
  <c r="B586" i="6"/>
  <c r="A586" i="6"/>
  <c r="B585" i="6"/>
  <c r="A585" i="6"/>
  <c r="B584" i="6"/>
  <c r="A584" i="6"/>
  <c r="B583" i="6"/>
  <c r="A583" i="6"/>
  <c r="B582" i="6"/>
  <c r="A582" i="6"/>
  <c r="B581" i="6"/>
  <c r="A581" i="6"/>
  <c r="B580" i="6"/>
  <c r="A580" i="6"/>
  <c r="B579" i="6"/>
  <c r="A579" i="6"/>
  <c r="B578" i="6"/>
  <c r="A578" i="6"/>
  <c r="B577" i="6"/>
  <c r="A577" i="6"/>
  <c r="B576" i="6"/>
  <c r="A576" i="6"/>
  <c r="B575" i="6"/>
  <c r="A575" i="6"/>
  <c r="B574" i="6"/>
  <c r="A574" i="6"/>
  <c r="B573" i="6"/>
  <c r="A573" i="6"/>
  <c r="B572" i="6"/>
  <c r="A572" i="6"/>
  <c r="B571" i="6"/>
  <c r="A571" i="6"/>
  <c r="B570" i="6"/>
  <c r="A570" i="6"/>
  <c r="B569" i="6"/>
  <c r="A569" i="6"/>
  <c r="B568" i="6"/>
  <c r="A568" i="6"/>
  <c r="B567" i="6"/>
  <c r="A567" i="6"/>
  <c r="B566" i="6"/>
  <c r="A566" i="6"/>
  <c r="B565" i="6"/>
  <c r="A565" i="6"/>
  <c r="B564" i="6"/>
  <c r="A564" i="6"/>
  <c r="B563" i="6"/>
  <c r="A563" i="6"/>
  <c r="B562" i="6"/>
  <c r="A562" i="6"/>
  <c r="B561" i="6"/>
  <c r="A561" i="6"/>
  <c r="B560" i="6"/>
  <c r="A560" i="6"/>
  <c r="B559" i="6"/>
  <c r="A559" i="6"/>
  <c r="B558" i="6"/>
  <c r="A558" i="6"/>
  <c r="B557" i="6"/>
  <c r="A557" i="6"/>
  <c r="B556" i="6"/>
  <c r="A556" i="6"/>
  <c r="B555" i="6"/>
  <c r="A555" i="6"/>
  <c r="B554" i="6"/>
  <c r="A554" i="6"/>
  <c r="B553" i="6"/>
  <c r="A553" i="6"/>
  <c r="B552" i="6"/>
  <c r="A552" i="6"/>
  <c r="B551" i="6"/>
  <c r="A551" i="6"/>
  <c r="B550" i="6"/>
  <c r="A550" i="6"/>
  <c r="B549" i="6"/>
  <c r="A549" i="6"/>
  <c r="B548" i="6"/>
  <c r="A548" i="6"/>
  <c r="B547" i="6"/>
  <c r="A547" i="6"/>
  <c r="B546" i="6"/>
  <c r="A546" i="6"/>
  <c r="B545" i="6"/>
  <c r="A545" i="6"/>
  <c r="B544" i="6"/>
  <c r="A544" i="6"/>
  <c r="B543" i="6"/>
  <c r="A543" i="6"/>
  <c r="B542" i="6"/>
  <c r="A542" i="6"/>
  <c r="B541" i="6"/>
  <c r="A541" i="6"/>
  <c r="B540" i="6"/>
  <c r="A540" i="6"/>
  <c r="B539" i="6"/>
  <c r="A539" i="6"/>
  <c r="B538" i="6"/>
  <c r="A538" i="6"/>
  <c r="B537" i="6"/>
  <c r="A537" i="6"/>
  <c r="B536" i="6"/>
  <c r="A536" i="6"/>
  <c r="B535" i="6"/>
  <c r="A535" i="6"/>
  <c r="B534" i="6"/>
  <c r="A534" i="6"/>
  <c r="B533" i="6"/>
  <c r="A533" i="6"/>
  <c r="B532" i="6"/>
  <c r="A532" i="6"/>
  <c r="B531" i="6"/>
  <c r="A531" i="6"/>
  <c r="B530" i="6"/>
  <c r="A530" i="6"/>
  <c r="B529" i="6"/>
  <c r="A529" i="6"/>
  <c r="B528" i="6"/>
  <c r="A528" i="6"/>
  <c r="B527" i="6"/>
  <c r="A527" i="6"/>
  <c r="B526" i="6"/>
  <c r="A526" i="6"/>
  <c r="B525" i="6"/>
  <c r="A525" i="6"/>
  <c r="B524" i="6"/>
  <c r="A524" i="6"/>
  <c r="B523" i="6"/>
  <c r="A523" i="6"/>
  <c r="B522" i="6"/>
  <c r="A522" i="6"/>
  <c r="B521" i="6"/>
  <c r="A521" i="6"/>
  <c r="B520" i="6"/>
  <c r="A520" i="6"/>
  <c r="B519" i="6"/>
  <c r="A519" i="6"/>
  <c r="B518" i="6"/>
  <c r="A518" i="6"/>
  <c r="B517" i="6"/>
  <c r="A517" i="6"/>
  <c r="B516" i="6"/>
  <c r="A516" i="6"/>
  <c r="B515" i="6"/>
  <c r="A515" i="6"/>
  <c r="B514" i="6"/>
  <c r="A514" i="6"/>
  <c r="B513" i="6"/>
  <c r="A513" i="6"/>
  <c r="B512" i="6"/>
  <c r="A512" i="6"/>
  <c r="B511" i="6"/>
  <c r="A511" i="6"/>
  <c r="B510" i="6"/>
  <c r="A510" i="6"/>
  <c r="B509" i="6"/>
  <c r="A509" i="6"/>
  <c r="B508" i="6"/>
  <c r="A508" i="6"/>
  <c r="B507" i="6"/>
  <c r="A507" i="6"/>
  <c r="B506" i="6"/>
  <c r="A506" i="6"/>
  <c r="B505" i="6"/>
  <c r="A505" i="6"/>
  <c r="B504" i="6"/>
  <c r="A504" i="6"/>
  <c r="B503" i="6"/>
  <c r="A503" i="6"/>
  <c r="B502" i="6"/>
  <c r="A502" i="6"/>
  <c r="B501" i="6"/>
  <c r="A501" i="6"/>
  <c r="B500" i="6"/>
  <c r="A500" i="6"/>
  <c r="B499" i="6"/>
  <c r="A499" i="6"/>
  <c r="B498" i="6"/>
  <c r="A498" i="6"/>
  <c r="B497" i="6"/>
  <c r="A497" i="6"/>
  <c r="B496" i="6"/>
  <c r="A496" i="6"/>
  <c r="B495" i="6"/>
  <c r="A495" i="6"/>
  <c r="B494" i="6"/>
  <c r="A494" i="6"/>
  <c r="B493" i="6"/>
  <c r="A493" i="6"/>
  <c r="B492" i="6"/>
  <c r="A492" i="6"/>
  <c r="B491" i="6"/>
  <c r="A491" i="6"/>
  <c r="B490" i="6"/>
  <c r="A490" i="6"/>
  <c r="B489" i="6"/>
  <c r="A489" i="6"/>
  <c r="B488" i="6"/>
  <c r="A488" i="6"/>
  <c r="B487" i="6"/>
  <c r="A487" i="6"/>
  <c r="B486" i="6"/>
  <c r="A486" i="6"/>
  <c r="B485" i="6"/>
  <c r="A485" i="6"/>
  <c r="B484" i="6"/>
  <c r="A484" i="6"/>
  <c r="B483" i="6"/>
  <c r="A483" i="6"/>
  <c r="B482" i="6"/>
  <c r="A482" i="6"/>
  <c r="B481" i="6"/>
  <c r="A481" i="6"/>
  <c r="B480" i="6"/>
  <c r="A480" i="6"/>
  <c r="B479" i="6"/>
  <c r="A479" i="6"/>
  <c r="B478" i="6"/>
  <c r="A478" i="6"/>
  <c r="B477" i="6"/>
  <c r="A477" i="6"/>
  <c r="B476" i="6"/>
  <c r="A476" i="6"/>
  <c r="B475" i="6"/>
  <c r="A475" i="6"/>
  <c r="B474" i="6"/>
  <c r="A474" i="6"/>
  <c r="B473" i="6"/>
  <c r="A473" i="6"/>
  <c r="B472" i="6"/>
  <c r="A472" i="6"/>
  <c r="B471" i="6"/>
  <c r="A471" i="6"/>
  <c r="B470" i="6"/>
  <c r="A470" i="6"/>
  <c r="B469" i="6"/>
  <c r="A469" i="6"/>
  <c r="B468" i="6"/>
  <c r="A468" i="6"/>
  <c r="B467" i="6"/>
  <c r="A467" i="6"/>
  <c r="B466" i="6"/>
  <c r="A466" i="6"/>
  <c r="B465" i="6"/>
  <c r="A465" i="6"/>
  <c r="B464" i="6"/>
  <c r="A464" i="6"/>
  <c r="B463" i="6"/>
  <c r="A463" i="6"/>
  <c r="B462" i="6"/>
  <c r="A462" i="6"/>
  <c r="B461" i="6"/>
  <c r="A461" i="6"/>
  <c r="B460" i="6"/>
  <c r="A460" i="6"/>
  <c r="B459" i="6"/>
  <c r="A459" i="6"/>
  <c r="B458" i="6"/>
  <c r="A458" i="6"/>
  <c r="B457" i="6"/>
  <c r="A457" i="6"/>
  <c r="B456" i="6"/>
  <c r="A456" i="6"/>
  <c r="B455" i="6"/>
  <c r="A455" i="6"/>
  <c r="B454" i="6"/>
  <c r="A454" i="6"/>
  <c r="B453" i="6"/>
  <c r="A453" i="6"/>
  <c r="B452" i="6"/>
  <c r="A452" i="6"/>
  <c r="B451" i="6"/>
  <c r="A451" i="6"/>
  <c r="B450" i="6"/>
  <c r="A450" i="6"/>
  <c r="B449" i="6"/>
  <c r="A449" i="6"/>
  <c r="B448" i="6"/>
  <c r="A448" i="6"/>
  <c r="B447" i="6"/>
  <c r="A447" i="6"/>
  <c r="B446" i="6"/>
  <c r="A446" i="6"/>
  <c r="B445" i="6"/>
  <c r="A445" i="6"/>
  <c r="B444" i="6"/>
  <c r="A444" i="6"/>
  <c r="B443" i="6"/>
  <c r="A443" i="6"/>
  <c r="B442" i="6"/>
  <c r="A442" i="6"/>
  <c r="B441" i="6"/>
  <c r="A441" i="6"/>
  <c r="B440" i="6"/>
  <c r="A440" i="6"/>
  <c r="B439" i="6"/>
  <c r="A439" i="6"/>
  <c r="B438" i="6"/>
  <c r="A438" i="6"/>
  <c r="B437" i="6"/>
  <c r="A437" i="6"/>
  <c r="B436" i="6"/>
  <c r="A436" i="6"/>
  <c r="B435" i="6"/>
  <c r="A435" i="6"/>
  <c r="B434" i="6"/>
  <c r="A434" i="6"/>
  <c r="B433" i="6"/>
  <c r="A433" i="6"/>
  <c r="B432" i="6"/>
  <c r="A432" i="6"/>
  <c r="B431" i="6"/>
  <c r="A431" i="6"/>
  <c r="B430" i="6"/>
  <c r="A430" i="6"/>
  <c r="B429" i="6"/>
  <c r="A429" i="6"/>
  <c r="B428" i="6"/>
  <c r="A428" i="6"/>
  <c r="B427" i="6"/>
  <c r="A427" i="6"/>
  <c r="B426" i="6"/>
  <c r="A426" i="6"/>
  <c r="B425" i="6"/>
  <c r="A425" i="6"/>
  <c r="B424" i="6"/>
  <c r="A424" i="6"/>
  <c r="B423" i="6"/>
  <c r="A423" i="6"/>
  <c r="B422" i="6"/>
  <c r="A422" i="6"/>
  <c r="B421" i="6"/>
  <c r="A421" i="6"/>
  <c r="B420" i="6"/>
  <c r="A420" i="6"/>
  <c r="B419" i="6"/>
  <c r="A419" i="6"/>
  <c r="B418" i="6"/>
  <c r="A418" i="6"/>
  <c r="B417" i="6"/>
  <c r="A417" i="6"/>
  <c r="B416" i="6"/>
  <c r="A416" i="6"/>
  <c r="B415" i="6"/>
  <c r="A415" i="6"/>
  <c r="B414" i="6"/>
  <c r="A414" i="6"/>
  <c r="B413" i="6"/>
  <c r="A413" i="6"/>
  <c r="B412" i="6"/>
  <c r="A412" i="6"/>
  <c r="B411" i="6"/>
  <c r="A411" i="6"/>
  <c r="B410" i="6"/>
  <c r="A410" i="6"/>
  <c r="B409" i="6"/>
  <c r="A409" i="6"/>
  <c r="B408" i="6"/>
  <c r="A408" i="6"/>
  <c r="B407" i="6"/>
  <c r="A407" i="6"/>
  <c r="B406" i="6"/>
  <c r="A406" i="6"/>
  <c r="B405" i="6"/>
  <c r="A405" i="6"/>
  <c r="B404" i="6"/>
  <c r="A404" i="6"/>
  <c r="B403" i="6"/>
  <c r="A403" i="6"/>
  <c r="B402" i="6"/>
  <c r="A402" i="6"/>
  <c r="B401" i="6"/>
  <c r="A401" i="6"/>
  <c r="B400" i="6"/>
  <c r="A400" i="6"/>
  <c r="B399" i="6"/>
  <c r="A399" i="6"/>
  <c r="B398" i="6"/>
  <c r="A398" i="6"/>
  <c r="B397" i="6"/>
  <c r="A397" i="6"/>
  <c r="B396" i="6"/>
  <c r="A396" i="6"/>
  <c r="B395" i="6"/>
  <c r="A395" i="6"/>
  <c r="B394" i="6"/>
  <c r="A394" i="6"/>
  <c r="B393" i="6"/>
  <c r="A393" i="6"/>
  <c r="B392" i="6"/>
  <c r="A392" i="6"/>
  <c r="B391" i="6"/>
  <c r="A391" i="6"/>
  <c r="B390" i="6"/>
  <c r="A390" i="6"/>
  <c r="B389" i="6"/>
  <c r="A389" i="6"/>
  <c r="B388" i="6"/>
  <c r="A388" i="6"/>
  <c r="B387" i="6"/>
  <c r="A387" i="6"/>
  <c r="B386" i="6"/>
  <c r="A386" i="6"/>
  <c r="B385" i="6"/>
  <c r="A385" i="6"/>
  <c r="B384" i="6"/>
  <c r="A384" i="6"/>
  <c r="B383" i="6"/>
  <c r="A383" i="6"/>
  <c r="B382" i="6"/>
  <c r="A382" i="6"/>
  <c r="B381" i="6"/>
  <c r="A381" i="6"/>
  <c r="B380" i="6"/>
  <c r="A380" i="6"/>
  <c r="B379" i="6"/>
  <c r="A379" i="6"/>
  <c r="B378" i="6"/>
  <c r="A378" i="6"/>
  <c r="B377" i="6"/>
  <c r="A377" i="6"/>
  <c r="B376" i="6"/>
  <c r="A376" i="6"/>
  <c r="B375" i="6"/>
  <c r="A375" i="6"/>
  <c r="B374" i="6"/>
  <c r="A374" i="6"/>
  <c r="B373" i="6"/>
  <c r="A373" i="6"/>
  <c r="B372" i="6"/>
  <c r="A372" i="6"/>
  <c r="B371" i="6"/>
  <c r="A371" i="6"/>
  <c r="B370" i="6"/>
  <c r="A370" i="6"/>
  <c r="B369" i="6"/>
  <c r="A369" i="6"/>
  <c r="B368" i="6"/>
  <c r="A368" i="6"/>
  <c r="B367" i="6"/>
  <c r="A367" i="6"/>
  <c r="B366" i="6"/>
  <c r="A366" i="6"/>
  <c r="B365" i="6"/>
  <c r="A365" i="6"/>
  <c r="B364" i="6"/>
  <c r="A364" i="6"/>
  <c r="B363" i="6"/>
  <c r="A363" i="6"/>
  <c r="B362" i="6"/>
  <c r="A362" i="6"/>
  <c r="B361" i="6"/>
  <c r="A361" i="6"/>
  <c r="B360" i="6"/>
  <c r="A360" i="6"/>
  <c r="B359" i="6"/>
  <c r="A359" i="6"/>
  <c r="B358" i="6"/>
  <c r="A358" i="6"/>
  <c r="B357" i="6"/>
  <c r="A357" i="6"/>
  <c r="B356" i="6"/>
  <c r="A356" i="6"/>
  <c r="B355" i="6"/>
  <c r="A355" i="6"/>
  <c r="B354" i="6"/>
  <c r="A354" i="6"/>
  <c r="B353" i="6"/>
  <c r="A353" i="6"/>
  <c r="B352" i="6"/>
  <c r="A352" i="6"/>
  <c r="B351" i="6"/>
  <c r="A351" i="6"/>
  <c r="B350" i="6"/>
  <c r="A350" i="6"/>
  <c r="B349" i="6"/>
  <c r="A349" i="6"/>
  <c r="B348" i="6"/>
  <c r="A348" i="6"/>
  <c r="B347" i="6"/>
  <c r="A347" i="6"/>
  <c r="B346" i="6"/>
  <c r="A346" i="6"/>
  <c r="B345" i="6"/>
  <c r="A345" i="6"/>
  <c r="B344" i="6"/>
  <c r="A344" i="6"/>
  <c r="B343" i="6"/>
  <c r="A343" i="6"/>
  <c r="B342" i="6"/>
  <c r="A342" i="6"/>
  <c r="B341" i="6"/>
  <c r="A341" i="6"/>
  <c r="B340" i="6"/>
  <c r="A340" i="6"/>
  <c r="B339" i="6"/>
  <c r="A339" i="6"/>
  <c r="B338" i="6"/>
  <c r="A338" i="6"/>
  <c r="B337" i="6"/>
  <c r="A337" i="6"/>
  <c r="B336" i="6"/>
  <c r="A336" i="6"/>
  <c r="B335" i="6"/>
  <c r="A335" i="6"/>
  <c r="B334" i="6"/>
  <c r="A334" i="6"/>
  <c r="B333" i="6"/>
  <c r="A333" i="6"/>
  <c r="B332" i="6"/>
  <c r="A332" i="6"/>
  <c r="B331" i="6"/>
  <c r="A331" i="6"/>
  <c r="B330" i="6"/>
  <c r="A330" i="6"/>
  <c r="B329" i="6"/>
  <c r="A329" i="6"/>
  <c r="B328" i="6"/>
  <c r="A328" i="6"/>
  <c r="B327" i="6"/>
  <c r="A327" i="6"/>
  <c r="B326" i="6"/>
  <c r="A326" i="6"/>
  <c r="B325" i="6"/>
  <c r="A325" i="6"/>
  <c r="B324" i="6"/>
  <c r="A324" i="6"/>
  <c r="B323" i="6"/>
  <c r="A323" i="6"/>
  <c r="B322" i="6"/>
  <c r="A322" i="6"/>
  <c r="B321" i="6"/>
  <c r="A321" i="6"/>
  <c r="B320" i="6"/>
  <c r="A320" i="6"/>
  <c r="B319" i="6"/>
  <c r="A319" i="6"/>
  <c r="B318" i="6"/>
  <c r="A318" i="6"/>
  <c r="B317" i="6"/>
  <c r="A317" i="6"/>
  <c r="B316" i="6"/>
  <c r="A316" i="6"/>
  <c r="B315" i="6"/>
  <c r="A315" i="6"/>
  <c r="B314" i="6"/>
  <c r="A314" i="6"/>
  <c r="B313" i="6"/>
  <c r="A313" i="6"/>
  <c r="B312" i="6"/>
  <c r="A312" i="6"/>
  <c r="B311" i="6"/>
  <c r="A311" i="6"/>
  <c r="B310" i="6"/>
  <c r="A310" i="6"/>
  <c r="B309" i="6"/>
  <c r="A309" i="6"/>
  <c r="B308" i="6"/>
  <c r="A308" i="6"/>
  <c r="B307" i="6"/>
  <c r="A307" i="6"/>
  <c r="B306" i="6"/>
  <c r="A306" i="6"/>
  <c r="B305" i="6"/>
  <c r="A305" i="6"/>
  <c r="B304" i="6"/>
  <c r="A304" i="6"/>
  <c r="B303" i="6"/>
  <c r="A303" i="6"/>
  <c r="B302" i="6"/>
  <c r="A302" i="6"/>
  <c r="B301" i="6"/>
  <c r="A301" i="6"/>
  <c r="B300" i="6"/>
  <c r="A300" i="6"/>
  <c r="B299" i="6"/>
  <c r="A299" i="6"/>
  <c r="B298" i="6"/>
  <c r="A298" i="6"/>
  <c r="B297" i="6"/>
  <c r="A297" i="6"/>
  <c r="B296" i="6"/>
  <c r="A296" i="6"/>
  <c r="B295" i="6"/>
  <c r="A295" i="6"/>
  <c r="B294" i="6"/>
  <c r="A294" i="6"/>
  <c r="B293" i="6"/>
  <c r="A293" i="6"/>
  <c r="B292" i="6"/>
  <c r="A292" i="6"/>
  <c r="B291" i="6"/>
  <c r="A291" i="6"/>
  <c r="B290" i="6"/>
  <c r="A290" i="6"/>
  <c r="B289" i="6"/>
  <c r="A289" i="6"/>
  <c r="B288" i="6"/>
  <c r="A288" i="6"/>
  <c r="B287" i="6"/>
  <c r="A287" i="6"/>
  <c r="B286" i="6"/>
  <c r="A286" i="6"/>
  <c r="B285" i="6"/>
  <c r="A285" i="6"/>
  <c r="B284" i="6"/>
  <c r="A284" i="6"/>
  <c r="B283" i="6"/>
  <c r="A283" i="6"/>
  <c r="B282" i="6"/>
  <c r="A282" i="6"/>
  <c r="B281" i="6"/>
  <c r="A281" i="6"/>
  <c r="B280" i="6"/>
  <c r="A280" i="6"/>
  <c r="B279" i="6"/>
  <c r="A279" i="6"/>
  <c r="B278" i="6"/>
  <c r="A278" i="6"/>
  <c r="B277" i="6"/>
  <c r="A277" i="6"/>
  <c r="B276" i="6"/>
  <c r="A276" i="6"/>
  <c r="B275" i="6"/>
  <c r="A275" i="6"/>
  <c r="B274" i="6"/>
  <c r="A274" i="6"/>
  <c r="B273" i="6"/>
  <c r="A273" i="6"/>
  <c r="B272" i="6"/>
  <c r="A272" i="6"/>
  <c r="B271" i="6"/>
  <c r="A271" i="6"/>
  <c r="B270" i="6"/>
  <c r="A270" i="6"/>
  <c r="B269" i="6"/>
  <c r="A269" i="6"/>
  <c r="B268" i="6"/>
  <c r="A268" i="6"/>
  <c r="B267" i="6"/>
  <c r="A267" i="6"/>
  <c r="B266" i="6"/>
  <c r="A266" i="6"/>
  <c r="B265" i="6"/>
  <c r="A265" i="6"/>
  <c r="B264" i="6"/>
  <c r="A264" i="6"/>
  <c r="B263" i="6"/>
  <c r="A263" i="6"/>
  <c r="B262" i="6"/>
  <c r="A262" i="6"/>
  <c r="B261" i="6"/>
  <c r="A261" i="6"/>
  <c r="B260" i="6"/>
  <c r="A260" i="6"/>
  <c r="B259" i="6"/>
  <c r="A259" i="6"/>
  <c r="B258" i="6"/>
  <c r="A258" i="6"/>
  <c r="B257" i="6"/>
  <c r="A257" i="6"/>
  <c r="B256" i="6"/>
  <c r="A256" i="6"/>
  <c r="B255" i="6"/>
  <c r="A255" i="6"/>
  <c r="B254" i="6"/>
  <c r="A254" i="6"/>
  <c r="B253" i="6"/>
  <c r="A253" i="6"/>
  <c r="B252" i="6"/>
  <c r="A252" i="6"/>
  <c r="B251" i="6"/>
  <c r="A251" i="6"/>
  <c r="B250" i="6"/>
  <c r="A250" i="6"/>
  <c r="B249" i="6"/>
  <c r="A249" i="6"/>
  <c r="B248" i="6"/>
  <c r="A248" i="6"/>
  <c r="B247" i="6"/>
  <c r="A247" i="6"/>
  <c r="B246" i="6"/>
  <c r="A246" i="6"/>
  <c r="B245" i="6"/>
  <c r="A245" i="6"/>
  <c r="B244" i="6"/>
  <c r="A244" i="6"/>
  <c r="B243" i="6"/>
  <c r="A243" i="6"/>
  <c r="B242" i="6"/>
  <c r="A242" i="6"/>
  <c r="B241" i="6"/>
  <c r="A241" i="6"/>
  <c r="B240" i="6"/>
  <c r="A240" i="6"/>
  <c r="B239" i="6"/>
  <c r="A239" i="6"/>
  <c r="B238" i="6"/>
  <c r="A238" i="6"/>
  <c r="B237" i="6"/>
  <c r="A237" i="6"/>
  <c r="B236" i="6"/>
  <c r="A236" i="6"/>
  <c r="B235" i="6"/>
  <c r="A235" i="6"/>
  <c r="B234" i="6"/>
  <c r="A234" i="6"/>
  <c r="B233" i="6"/>
  <c r="A233" i="6"/>
  <c r="B232" i="6"/>
  <c r="A232" i="6"/>
  <c r="B231" i="6"/>
  <c r="A231" i="6"/>
  <c r="B230" i="6"/>
  <c r="A230" i="6"/>
  <c r="B229" i="6"/>
  <c r="A229" i="6"/>
  <c r="B228" i="6"/>
  <c r="A228" i="6"/>
  <c r="B227" i="6"/>
  <c r="A227" i="6"/>
  <c r="B226" i="6"/>
  <c r="A226" i="6"/>
  <c r="B225" i="6"/>
  <c r="A225" i="6"/>
  <c r="B224" i="6"/>
  <c r="A224" i="6"/>
  <c r="B223" i="6"/>
  <c r="A223" i="6"/>
  <c r="B222" i="6"/>
  <c r="A222" i="6"/>
  <c r="B221" i="6"/>
  <c r="A221" i="6"/>
  <c r="B220" i="6"/>
  <c r="A220" i="6"/>
  <c r="B219" i="6"/>
  <c r="A219" i="6"/>
  <c r="B218" i="6"/>
  <c r="A218" i="6"/>
  <c r="B217" i="6"/>
  <c r="A217" i="6"/>
  <c r="B216" i="6"/>
  <c r="A216" i="6"/>
  <c r="B215" i="6"/>
  <c r="A215" i="6"/>
  <c r="B214" i="6"/>
  <c r="A214" i="6"/>
  <c r="B213" i="6"/>
  <c r="A213" i="6"/>
  <c r="B212" i="6"/>
  <c r="A212" i="6"/>
  <c r="B211" i="6"/>
  <c r="A211" i="6"/>
  <c r="B210" i="6"/>
  <c r="A210" i="6"/>
  <c r="B209" i="6"/>
  <c r="A209" i="6"/>
  <c r="B208" i="6"/>
  <c r="A208" i="6"/>
  <c r="B207" i="6"/>
  <c r="A207" i="6"/>
  <c r="B206" i="6"/>
  <c r="A206" i="6"/>
  <c r="B205" i="6"/>
  <c r="A205" i="6"/>
  <c r="B204" i="6"/>
  <c r="A204" i="6"/>
  <c r="B203" i="6"/>
  <c r="A203" i="6"/>
  <c r="B202" i="6"/>
  <c r="A202" i="6"/>
  <c r="B201" i="6"/>
  <c r="A201" i="6"/>
  <c r="B200" i="6"/>
  <c r="A200" i="6"/>
  <c r="B199" i="6"/>
  <c r="A199" i="6"/>
  <c r="B198" i="6"/>
  <c r="A198" i="6"/>
  <c r="B197" i="6"/>
  <c r="A197" i="6"/>
  <c r="B196" i="6"/>
  <c r="A196" i="6"/>
  <c r="B195" i="6"/>
  <c r="A195" i="6"/>
  <c r="B194" i="6"/>
  <c r="A194" i="6"/>
  <c r="B193" i="6"/>
  <c r="A193" i="6"/>
  <c r="B192" i="6"/>
  <c r="A192" i="6"/>
  <c r="B191" i="6"/>
  <c r="A191" i="6"/>
  <c r="B190" i="6"/>
  <c r="A190" i="6"/>
  <c r="B189" i="6"/>
  <c r="A189" i="6"/>
  <c r="B188" i="6"/>
  <c r="A188" i="6"/>
  <c r="B187" i="6"/>
  <c r="A187" i="6"/>
  <c r="B186" i="6"/>
  <c r="A186" i="6"/>
  <c r="B185" i="6"/>
  <c r="A185" i="6"/>
  <c r="B184" i="6"/>
  <c r="A184" i="6"/>
  <c r="B183" i="6"/>
  <c r="A183" i="6"/>
  <c r="B182" i="6"/>
  <c r="A182" i="6"/>
  <c r="B181" i="6"/>
  <c r="A181" i="6"/>
  <c r="B180" i="6"/>
  <c r="A180" i="6"/>
  <c r="B179" i="6"/>
  <c r="A179" i="6"/>
  <c r="B178" i="6"/>
  <c r="A178" i="6"/>
  <c r="B177" i="6"/>
  <c r="A177" i="6"/>
  <c r="B176" i="6"/>
  <c r="A176" i="6"/>
  <c r="B175" i="6"/>
  <c r="A175" i="6"/>
  <c r="B174" i="6"/>
  <c r="A174" i="6"/>
  <c r="B173" i="6"/>
  <c r="A173" i="6"/>
  <c r="B172" i="6"/>
  <c r="A172" i="6"/>
  <c r="B171" i="6"/>
  <c r="A171" i="6"/>
  <c r="B170" i="6"/>
  <c r="A170" i="6"/>
  <c r="B169" i="6"/>
  <c r="A169" i="6"/>
  <c r="B168" i="6"/>
  <c r="A168" i="6"/>
  <c r="B167" i="6"/>
  <c r="A167" i="6"/>
  <c r="B166" i="6"/>
  <c r="A166" i="6"/>
  <c r="B165" i="6"/>
  <c r="A165" i="6"/>
  <c r="B164" i="6"/>
  <c r="A164" i="6"/>
  <c r="B163" i="6"/>
  <c r="A163" i="6"/>
  <c r="B162" i="6"/>
  <c r="A162" i="6"/>
  <c r="B161" i="6"/>
  <c r="A161" i="6"/>
  <c r="B160" i="6"/>
  <c r="A160" i="6"/>
  <c r="B159" i="6"/>
  <c r="A159" i="6"/>
  <c r="B158" i="6"/>
  <c r="A158" i="6"/>
  <c r="B157" i="6"/>
  <c r="A157" i="6"/>
  <c r="B156" i="6"/>
  <c r="A156" i="6"/>
  <c r="B155" i="6"/>
  <c r="A155" i="6"/>
  <c r="B154" i="6"/>
  <c r="A154" i="6"/>
  <c r="B153" i="6"/>
  <c r="A153" i="6"/>
  <c r="B152" i="6"/>
  <c r="A152" i="6"/>
  <c r="B151" i="6"/>
  <c r="A151" i="6"/>
  <c r="B150" i="6"/>
  <c r="A150" i="6"/>
  <c r="B149" i="6"/>
  <c r="A149" i="6"/>
  <c r="B148" i="6"/>
  <c r="A148" i="6"/>
  <c r="B147" i="6"/>
  <c r="A147" i="6"/>
  <c r="B146" i="6"/>
  <c r="A146" i="6"/>
  <c r="B145" i="6"/>
  <c r="A145" i="6"/>
  <c r="B144" i="6"/>
  <c r="A144" i="6"/>
  <c r="B143" i="6"/>
  <c r="A143" i="6"/>
  <c r="B142" i="6"/>
  <c r="A142" i="6"/>
  <c r="B141" i="6"/>
  <c r="A141" i="6"/>
  <c r="B140" i="6"/>
  <c r="A140" i="6"/>
  <c r="B139" i="6"/>
  <c r="A139" i="6"/>
  <c r="B138" i="6"/>
  <c r="A138" i="6"/>
  <c r="B137" i="6"/>
  <c r="A137" i="6"/>
  <c r="B136" i="6"/>
  <c r="A136" i="6"/>
  <c r="B135" i="6"/>
  <c r="A135" i="6"/>
  <c r="B134" i="6"/>
  <c r="A134" i="6"/>
  <c r="B133" i="6"/>
  <c r="A133" i="6"/>
  <c r="B132" i="6"/>
  <c r="A132" i="6"/>
  <c r="B131" i="6"/>
  <c r="A131" i="6"/>
  <c r="B130" i="6"/>
  <c r="A130" i="6"/>
  <c r="B129" i="6"/>
  <c r="A129" i="6"/>
  <c r="B128" i="6"/>
  <c r="A128" i="6"/>
  <c r="B127" i="6"/>
  <c r="A127" i="6"/>
  <c r="B126" i="6"/>
  <c r="A126" i="6"/>
  <c r="B125" i="6"/>
  <c r="A125" i="6"/>
  <c r="B124" i="6"/>
  <c r="A124" i="6"/>
  <c r="B123" i="6"/>
  <c r="A123" i="6"/>
  <c r="B122" i="6"/>
  <c r="A122" i="6"/>
  <c r="B121" i="6"/>
  <c r="A121" i="6"/>
  <c r="B120" i="6"/>
  <c r="A120" i="6"/>
  <c r="B119" i="6"/>
  <c r="A119" i="6"/>
  <c r="B118" i="6"/>
  <c r="A118" i="6"/>
  <c r="B117" i="6"/>
  <c r="A117" i="6"/>
  <c r="B116" i="6"/>
  <c r="A116" i="6"/>
  <c r="B115" i="6"/>
  <c r="A115" i="6"/>
  <c r="B114" i="6"/>
  <c r="A114" i="6"/>
  <c r="B113" i="6"/>
  <c r="A113" i="6"/>
  <c r="B112" i="6"/>
  <c r="A112" i="6"/>
  <c r="B111" i="6"/>
  <c r="A111" i="6"/>
  <c r="B110" i="6"/>
  <c r="A110" i="6"/>
  <c r="B109" i="6"/>
  <c r="A109" i="6"/>
  <c r="B108" i="6"/>
  <c r="A108" i="6"/>
  <c r="B107" i="6"/>
  <c r="A107" i="6"/>
  <c r="B106" i="6"/>
  <c r="A106" i="6"/>
  <c r="B105" i="6"/>
  <c r="A105" i="6"/>
  <c r="B104" i="6"/>
  <c r="A104" i="6"/>
  <c r="B103" i="6"/>
  <c r="A103" i="6"/>
  <c r="B102" i="6"/>
  <c r="A102" i="6"/>
  <c r="B101" i="6"/>
  <c r="A101" i="6"/>
  <c r="B100" i="6"/>
  <c r="A100" i="6"/>
  <c r="B99" i="6"/>
  <c r="A99" i="6"/>
  <c r="B98" i="6"/>
  <c r="A98" i="6"/>
  <c r="B97" i="6"/>
  <c r="A97" i="6"/>
  <c r="B96" i="6"/>
  <c r="A96" i="6"/>
  <c r="B95" i="6"/>
  <c r="A95" i="6"/>
  <c r="B94" i="6"/>
  <c r="A94" i="6"/>
  <c r="B93" i="6"/>
  <c r="A93" i="6"/>
  <c r="B92" i="6"/>
  <c r="A92" i="6"/>
  <c r="B91" i="6"/>
  <c r="A91" i="6"/>
  <c r="B90" i="6"/>
  <c r="A90" i="6"/>
  <c r="B89" i="6"/>
  <c r="A89" i="6"/>
  <c r="B88" i="6"/>
  <c r="A88" i="6"/>
  <c r="B87" i="6"/>
  <c r="A87" i="6"/>
  <c r="B86" i="6"/>
  <c r="A86" i="6"/>
  <c r="B85" i="6"/>
  <c r="A85" i="6"/>
  <c r="B84" i="6"/>
  <c r="A84" i="6"/>
  <c r="B83" i="6"/>
  <c r="A83" i="6"/>
  <c r="B82" i="6"/>
  <c r="A82" i="6"/>
  <c r="B81" i="6"/>
  <c r="A81" i="6"/>
  <c r="B80" i="6"/>
  <c r="A80" i="6"/>
  <c r="B79" i="6"/>
  <c r="A79" i="6"/>
  <c r="B78" i="6"/>
  <c r="A78" i="6"/>
  <c r="B77" i="6"/>
  <c r="A77" i="6"/>
  <c r="B76" i="6"/>
  <c r="A76" i="6"/>
  <c r="B75" i="6"/>
  <c r="A75" i="6"/>
  <c r="B74" i="6"/>
  <c r="A74" i="6"/>
  <c r="B73" i="6"/>
  <c r="A73" i="6"/>
  <c r="B72" i="6"/>
  <c r="A72" i="6"/>
  <c r="B71" i="6"/>
  <c r="A71" i="6"/>
  <c r="B70" i="6"/>
  <c r="A70" i="6"/>
  <c r="B69" i="6"/>
  <c r="A69" i="6"/>
  <c r="B68" i="6"/>
  <c r="A68" i="6"/>
  <c r="B67" i="6"/>
  <c r="A67" i="6"/>
  <c r="B66" i="6"/>
  <c r="A66" i="6"/>
  <c r="B65" i="6"/>
  <c r="A65" i="6"/>
  <c r="B64" i="6"/>
  <c r="A64" i="6"/>
  <c r="B63" i="6"/>
  <c r="A63" i="6"/>
  <c r="B62" i="6"/>
  <c r="A62" i="6"/>
  <c r="B61" i="6"/>
  <c r="A61" i="6"/>
  <c r="B60" i="6"/>
  <c r="A60" i="6"/>
  <c r="B59" i="6"/>
  <c r="A59" i="6"/>
  <c r="B58" i="6"/>
  <c r="A58" i="6"/>
  <c r="B57" i="6"/>
  <c r="A57" i="6"/>
  <c r="B56" i="6"/>
  <c r="A56" i="6"/>
  <c r="B55" i="6"/>
  <c r="A55" i="6"/>
  <c r="B54" i="6"/>
  <c r="A54" i="6"/>
  <c r="B53" i="6"/>
  <c r="A53" i="6"/>
  <c r="B52" i="6"/>
  <c r="A52" i="6"/>
  <c r="B51" i="6"/>
  <c r="A51" i="6"/>
  <c r="B50" i="6"/>
  <c r="A50" i="6"/>
  <c r="B49" i="6"/>
  <c r="A49" i="6"/>
  <c r="B48" i="6"/>
  <c r="A48" i="6"/>
  <c r="B47" i="6"/>
  <c r="A47" i="6"/>
  <c r="B46" i="6"/>
  <c r="A46" i="6"/>
  <c r="B45" i="6"/>
  <c r="A45" i="6"/>
  <c r="B44" i="6"/>
  <c r="A44" i="6"/>
  <c r="B43" i="6"/>
  <c r="A43" i="6"/>
  <c r="B42" i="6"/>
  <c r="A42" i="6"/>
  <c r="B41" i="6"/>
  <c r="A41" i="6"/>
  <c r="B40" i="6"/>
  <c r="A40" i="6"/>
  <c r="B39" i="6"/>
  <c r="A39" i="6"/>
  <c r="B38" i="6"/>
  <c r="A38" i="6"/>
  <c r="B37" i="6"/>
  <c r="A37" i="6"/>
  <c r="B36" i="6"/>
  <c r="A36" i="6"/>
  <c r="B35" i="6"/>
  <c r="A35" i="6"/>
  <c r="B34" i="6"/>
  <c r="A34" i="6"/>
  <c r="B33" i="6"/>
  <c r="A33" i="6"/>
  <c r="B32" i="6"/>
  <c r="A32" i="6"/>
  <c r="B31" i="6"/>
  <c r="A31" i="6"/>
  <c r="B30" i="6"/>
  <c r="A30" i="6"/>
  <c r="B29" i="6"/>
  <c r="A29" i="6"/>
  <c r="B28" i="6"/>
  <c r="A28" i="6"/>
  <c r="B27" i="6"/>
  <c r="A27" i="6"/>
  <c r="B26" i="6"/>
  <c r="A26" i="6"/>
  <c r="B25" i="6"/>
  <c r="A25" i="6"/>
  <c r="B24" i="6"/>
  <c r="A24" i="6"/>
  <c r="B23" i="6"/>
  <c r="A23" i="6"/>
  <c r="B22" i="6"/>
  <c r="A22" i="6"/>
  <c r="B21" i="6"/>
  <c r="A21" i="6"/>
  <c r="B20" i="6"/>
  <c r="A20" i="6"/>
  <c r="B19" i="6"/>
  <c r="A19" i="6"/>
  <c r="B18" i="6"/>
  <c r="A18" i="6"/>
  <c r="B17" i="6"/>
  <c r="A17" i="6"/>
  <c r="B16" i="6"/>
  <c r="A16" i="6"/>
  <c r="B15" i="6"/>
  <c r="A15" i="6"/>
  <c r="B14" i="6"/>
  <c r="A14" i="6"/>
  <c r="B13" i="6"/>
  <c r="A13" i="6"/>
  <c r="B12" i="6"/>
  <c r="A12" i="6"/>
  <c r="B11" i="6"/>
  <c r="A11" i="6"/>
  <c r="B10" i="6"/>
  <c r="A10" i="6"/>
  <c r="B9" i="6"/>
  <c r="A9" i="6"/>
  <c r="B8" i="6"/>
  <c r="A8" i="6"/>
  <c r="B7" i="6"/>
  <c r="A7" i="6"/>
  <c r="B6" i="6"/>
  <c r="A6" i="6"/>
  <c r="B5" i="6"/>
  <c r="A5" i="6"/>
  <c r="B4" i="6"/>
  <c r="A4" i="6"/>
  <c r="B3" i="6"/>
  <c r="A3" i="6"/>
  <c r="B2" i="6"/>
  <c r="A2" i="6"/>
  <c r="A2" i="4"/>
  <c r="B2" i="4"/>
  <c r="A3" i="4"/>
  <c r="B3" i="4"/>
  <c r="A4" i="4"/>
  <c r="B4" i="4"/>
  <c r="A5" i="4"/>
  <c r="B5" i="4"/>
  <c r="A7" i="4"/>
  <c r="B7" i="4"/>
  <c r="A8" i="4"/>
  <c r="B8" i="4"/>
  <c r="A6" i="4"/>
  <c r="B6" i="4"/>
  <c r="A9" i="4"/>
  <c r="B9" i="4"/>
  <c r="A10" i="4"/>
  <c r="B10" i="4"/>
  <c r="A11" i="4"/>
  <c r="B11" i="4"/>
  <c r="A12" i="4"/>
  <c r="B12" i="4"/>
  <c r="A13" i="4"/>
  <c r="B13" i="4"/>
  <c r="A15" i="4"/>
  <c r="B15" i="4"/>
  <c r="A16" i="4"/>
  <c r="B16" i="4"/>
  <c r="A17" i="4"/>
  <c r="B17" i="4"/>
  <c r="A19" i="4"/>
  <c r="B19" i="4"/>
  <c r="A18" i="4"/>
  <c r="B18" i="4"/>
  <c r="A20" i="4"/>
  <c r="B20" i="4"/>
  <c r="A21" i="4"/>
  <c r="B21" i="4"/>
  <c r="A22" i="4"/>
  <c r="B22" i="4"/>
  <c r="A27" i="4"/>
  <c r="B27" i="4"/>
  <c r="A23" i="4"/>
  <c r="B23" i="4"/>
  <c r="A26" i="4"/>
  <c r="B26" i="4"/>
  <c r="A24" i="4"/>
  <c r="B24" i="4"/>
  <c r="A28" i="4"/>
  <c r="B28" i="4"/>
  <c r="A29" i="4"/>
  <c r="B29" i="4"/>
  <c r="A30" i="4"/>
  <c r="B30" i="4"/>
  <c r="A25" i="4"/>
  <c r="B25" i="4"/>
  <c r="A31" i="4"/>
  <c r="B31" i="4"/>
  <c r="A32" i="4"/>
  <c r="B32" i="4"/>
  <c r="A33" i="4"/>
  <c r="B33" i="4"/>
  <c r="A34" i="4"/>
  <c r="B34" i="4"/>
  <c r="A35" i="4"/>
  <c r="B35" i="4"/>
  <c r="A36" i="4"/>
  <c r="B36" i="4"/>
  <c r="A37" i="4"/>
  <c r="B37" i="4"/>
  <c r="A38" i="4"/>
  <c r="B38" i="4"/>
  <c r="A39" i="4"/>
  <c r="B39" i="4"/>
  <c r="A40" i="4"/>
  <c r="B40" i="4"/>
  <c r="A41" i="4"/>
  <c r="B41" i="4"/>
  <c r="A42" i="4"/>
  <c r="B42" i="4"/>
  <c r="A43" i="4"/>
  <c r="B43" i="4"/>
  <c r="A44" i="4"/>
  <c r="B44" i="4"/>
  <c r="A47" i="4"/>
  <c r="B47" i="4"/>
  <c r="A46" i="4"/>
  <c r="B46" i="4"/>
  <c r="A48" i="4"/>
  <c r="B48" i="4"/>
  <c r="A49" i="4"/>
  <c r="B49" i="4"/>
  <c r="A50" i="4"/>
  <c r="B50" i="4"/>
  <c r="A51" i="4"/>
  <c r="B51" i="4"/>
  <c r="A52" i="4"/>
  <c r="B52" i="4"/>
  <c r="A53" i="4"/>
  <c r="B53" i="4"/>
  <c r="A55" i="4"/>
  <c r="B55" i="4"/>
  <c r="A56" i="4"/>
  <c r="B56" i="4"/>
  <c r="A54" i="4"/>
  <c r="B54" i="4"/>
  <c r="A57" i="4"/>
  <c r="B57" i="4"/>
  <c r="A59" i="4"/>
  <c r="B59" i="4"/>
  <c r="A58" i="4"/>
  <c r="B58" i="4"/>
  <c r="A60" i="4"/>
  <c r="B60" i="4"/>
  <c r="A61" i="4"/>
  <c r="B61" i="4"/>
  <c r="A62" i="4"/>
  <c r="B62" i="4"/>
  <c r="A63" i="4"/>
  <c r="B63" i="4"/>
  <c r="A64" i="4"/>
  <c r="B64" i="4"/>
  <c r="A65" i="4"/>
  <c r="B65" i="4"/>
  <c r="A66" i="4"/>
  <c r="B66" i="4"/>
  <c r="A67" i="4"/>
  <c r="B67" i="4"/>
  <c r="A45" i="4"/>
  <c r="B45" i="4"/>
  <c r="A68" i="4"/>
  <c r="B68" i="4"/>
  <c r="A69" i="4"/>
  <c r="B69" i="4"/>
  <c r="A70" i="4"/>
  <c r="B70" i="4"/>
  <c r="A71" i="4"/>
  <c r="B71" i="4"/>
  <c r="A72" i="4"/>
  <c r="B72" i="4"/>
  <c r="A73" i="4"/>
  <c r="B73" i="4"/>
  <c r="A74" i="4"/>
  <c r="B74" i="4"/>
  <c r="A75" i="4"/>
  <c r="B75" i="4"/>
  <c r="A76" i="4"/>
  <c r="B76" i="4"/>
  <c r="A77" i="4"/>
  <c r="B77" i="4"/>
  <c r="A78" i="4"/>
  <c r="B78" i="4"/>
  <c r="A79" i="4"/>
  <c r="B79" i="4"/>
  <c r="A80" i="4"/>
  <c r="B80" i="4"/>
  <c r="A81" i="4"/>
  <c r="B81" i="4"/>
  <c r="A82" i="4"/>
  <c r="B82" i="4"/>
  <c r="A83" i="4"/>
  <c r="B83" i="4"/>
  <c r="A84" i="4"/>
  <c r="B84" i="4"/>
  <c r="A85" i="4"/>
  <c r="B85" i="4"/>
  <c r="A86" i="4"/>
  <c r="B86" i="4"/>
  <c r="A87" i="4"/>
  <c r="B87" i="4"/>
  <c r="A88" i="4"/>
  <c r="B88" i="4"/>
  <c r="A89" i="4"/>
  <c r="B89" i="4"/>
  <c r="A90" i="4"/>
  <c r="B90" i="4"/>
  <c r="A91" i="4"/>
  <c r="B91" i="4"/>
  <c r="A92" i="4"/>
  <c r="B92" i="4"/>
  <c r="A93" i="4"/>
  <c r="B93" i="4"/>
  <c r="A94" i="4"/>
  <c r="B94" i="4"/>
  <c r="A95" i="4"/>
  <c r="B95" i="4"/>
  <c r="A96" i="4"/>
  <c r="B96" i="4"/>
  <c r="A97" i="4"/>
  <c r="B97" i="4"/>
  <c r="A98" i="4"/>
  <c r="B98" i="4"/>
  <c r="A99" i="4"/>
  <c r="B99" i="4"/>
  <c r="A100" i="4"/>
  <c r="B100" i="4"/>
  <c r="A101" i="4"/>
  <c r="B101" i="4"/>
  <c r="A102" i="4"/>
  <c r="B102" i="4"/>
  <c r="A103" i="4"/>
  <c r="B103" i="4"/>
  <c r="A104" i="4"/>
  <c r="B104" i="4"/>
  <c r="A105" i="4"/>
  <c r="B105" i="4"/>
  <c r="A106" i="4"/>
  <c r="B106" i="4"/>
  <c r="A107" i="4"/>
  <c r="B107" i="4"/>
  <c r="A108" i="4"/>
  <c r="B108" i="4"/>
  <c r="A109" i="4"/>
  <c r="B109" i="4"/>
  <c r="A110" i="4"/>
  <c r="B110" i="4"/>
  <c r="A111" i="4"/>
  <c r="B111" i="4"/>
  <c r="A112" i="4"/>
  <c r="B112" i="4"/>
  <c r="A113" i="4"/>
  <c r="B113" i="4"/>
  <c r="A116" i="4"/>
  <c r="B116" i="4"/>
  <c r="A114" i="4"/>
  <c r="B114" i="4"/>
  <c r="A115" i="4"/>
  <c r="B115" i="4"/>
  <c r="A117" i="4"/>
  <c r="B117" i="4"/>
  <c r="A119" i="4"/>
  <c r="B119" i="4"/>
  <c r="A118" i="4"/>
  <c r="B118" i="4"/>
  <c r="A120" i="4"/>
  <c r="B120" i="4"/>
  <c r="A121" i="4"/>
  <c r="B121" i="4"/>
  <c r="A122" i="4"/>
  <c r="B122" i="4"/>
  <c r="A123" i="4"/>
  <c r="B123" i="4"/>
  <c r="A124" i="4"/>
  <c r="B124" i="4"/>
  <c r="A125" i="4"/>
  <c r="B125" i="4"/>
  <c r="A126" i="4"/>
  <c r="B126" i="4"/>
  <c r="A127" i="4"/>
  <c r="B127" i="4"/>
  <c r="A128" i="4"/>
  <c r="B128" i="4"/>
  <c r="A129" i="4"/>
  <c r="B129" i="4"/>
  <c r="A133" i="4"/>
  <c r="B133" i="4"/>
  <c r="A134" i="4"/>
  <c r="B134" i="4"/>
  <c r="A135" i="4"/>
  <c r="B135" i="4"/>
  <c r="A131" i="4"/>
  <c r="B131" i="4"/>
  <c r="A130" i="4"/>
  <c r="B130" i="4"/>
  <c r="A132" i="4"/>
  <c r="B132" i="4"/>
  <c r="A136" i="4"/>
  <c r="B136" i="4"/>
  <c r="A137" i="4"/>
  <c r="B137" i="4"/>
  <c r="A138" i="4"/>
  <c r="B138" i="4"/>
  <c r="A139" i="4"/>
  <c r="B139" i="4"/>
  <c r="A140" i="4"/>
  <c r="B140" i="4"/>
  <c r="A141" i="4"/>
  <c r="B141" i="4"/>
  <c r="A142" i="4"/>
  <c r="B142" i="4"/>
  <c r="A143" i="4"/>
  <c r="B143" i="4"/>
  <c r="A144" i="4"/>
  <c r="B144" i="4"/>
  <c r="A145" i="4"/>
  <c r="B145" i="4"/>
  <c r="A146" i="4"/>
  <c r="B146" i="4"/>
  <c r="A147" i="4"/>
  <c r="B147" i="4"/>
  <c r="A148" i="4"/>
  <c r="B148" i="4"/>
  <c r="A149" i="4"/>
  <c r="B149" i="4"/>
  <c r="A150" i="4"/>
  <c r="B150" i="4"/>
  <c r="A151" i="4"/>
  <c r="B151" i="4"/>
  <c r="A152" i="4"/>
  <c r="B152" i="4"/>
  <c r="A153" i="4"/>
  <c r="B153" i="4"/>
  <c r="A155" i="4"/>
  <c r="B155" i="4"/>
  <c r="A154" i="4"/>
  <c r="B154" i="4"/>
  <c r="A156" i="4"/>
  <c r="B156" i="4"/>
  <c r="A157" i="4"/>
  <c r="B157" i="4"/>
  <c r="A158" i="4"/>
  <c r="B158" i="4"/>
  <c r="A159" i="4"/>
  <c r="B159" i="4"/>
  <c r="A160" i="4"/>
  <c r="B160" i="4"/>
  <c r="A161" i="4"/>
  <c r="B161" i="4"/>
  <c r="A162" i="4"/>
  <c r="B162" i="4"/>
  <c r="A163" i="4"/>
  <c r="B163" i="4"/>
  <c r="A164" i="4"/>
  <c r="B164" i="4"/>
  <c r="A165" i="4"/>
  <c r="B165" i="4"/>
  <c r="A166" i="4"/>
  <c r="B166" i="4"/>
  <c r="A167" i="4"/>
  <c r="B167" i="4"/>
  <c r="A168" i="4"/>
  <c r="B168" i="4"/>
  <c r="A169" i="4"/>
  <c r="B169" i="4"/>
  <c r="A171" i="4"/>
  <c r="B171" i="4"/>
  <c r="A170" i="4"/>
  <c r="B170" i="4"/>
  <c r="A172" i="4"/>
  <c r="B172" i="4"/>
  <c r="A173" i="4"/>
  <c r="B173" i="4"/>
  <c r="A174" i="4"/>
  <c r="B174" i="4"/>
  <c r="A175" i="4"/>
  <c r="B175" i="4"/>
  <c r="A176" i="4"/>
  <c r="B176" i="4"/>
  <c r="A177" i="4"/>
  <c r="B177" i="4"/>
  <c r="A178" i="4"/>
  <c r="B178" i="4"/>
  <c r="A179" i="4"/>
  <c r="B179" i="4"/>
  <c r="A180" i="4"/>
  <c r="B180" i="4"/>
  <c r="A181" i="4"/>
  <c r="B181" i="4"/>
  <c r="A182" i="4"/>
  <c r="B182" i="4"/>
  <c r="A183" i="4"/>
  <c r="B183" i="4"/>
  <c r="A184" i="4"/>
  <c r="B184" i="4"/>
  <c r="A185" i="4"/>
  <c r="B185" i="4"/>
  <c r="A186" i="4"/>
  <c r="B186" i="4"/>
  <c r="A187" i="4"/>
  <c r="B187" i="4"/>
  <c r="A190" i="4"/>
  <c r="B190" i="4"/>
  <c r="A189" i="4"/>
  <c r="B189" i="4"/>
  <c r="A188" i="4"/>
  <c r="B188" i="4"/>
  <c r="A191" i="4"/>
  <c r="B191" i="4"/>
  <c r="A192" i="4"/>
  <c r="B192" i="4"/>
  <c r="A193" i="4"/>
  <c r="B193" i="4"/>
  <c r="A194" i="4"/>
  <c r="B194" i="4"/>
  <c r="A195" i="4"/>
  <c r="B195" i="4"/>
  <c r="A196" i="4"/>
  <c r="B196" i="4"/>
  <c r="A197" i="4"/>
  <c r="B197" i="4"/>
  <c r="A198" i="4"/>
  <c r="B198" i="4"/>
  <c r="A199" i="4"/>
  <c r="B199" i="4"/>
  <c r="A200" i="4"/>
  <c r="B200" i="4"/>
  <c r="A201" i="4"/>
  <c r="B201" i="4"/>
  <c r="A202" i="4"/>
  <c r="B202" i="4"/>
  <c r="A203" i="4"/>
  <c r="B203" i="4"/>
  <c r="A205" i="4"/>
  <c r="B205" i="4"/>
  <c r="A206" i="4"/>
  <c r="B206" i="4"/>
  <c r="A204" i="4"/>
  <c r="B204" i="4"/>
  <c r="A207" i="4"/>
  <c r="B207" i="4"/>
  <c r="A208" i="4"/>
  <c r="B208" i="4"/>
  <c r="A210" i="4"/>
  <c r="B210" i="4"/>
  <c r="A209" i="4"/>
  <c r="B209" i="4"/>
  <c r="A211" i="4"/>
  <c r="B211" i="4"/>
  <c r="A212" i="4"/>
  <c r="B212" i="4"/>
  <c r="A213" i="4"/>
  <c r="B213" i="4"/>
  <c r="A214" i="4"/>
  <c r="B214" i="4"/>
  <c r="A215" i="4"/>
  <c r="B215" i="4"/>
  <c r="A217" i="4"/>
  <c r="B217" i="4"/>
  <c r="A216" i="4"/>
  <c r="B216" i="4"/>
  <c r="A218" i="4"/>
  <c r="B218" i="4"/>
  <c r="A219" i="4"/>
  <c r="B219" i="4"/>
  <c r="A220" i="4"/>
  <c r="B220" i="4"/>
  <c r="A222" i="4"/>
  <c r="B222" i="4"/>
  <c r="A221" i="4"/>
  <c r="B221" i="4"/>
  <c r="A226" i="4"/>
  <c r="B226" i="4"/>
  <c r="A223" i="4"/>
  <c r="B223" i="4"/>
  <c r="A224" i="4"/>
  <c r="B224" i="4"/>
  <c r="A227" i="4"/>
  <c r="B227" i="4"/>
  <c r="A225" i="4"/>
  <c r="B225" i="4"/>
  <c r="A228" i="4"/>
  <c r="B228" i="4"/>
  <c r="A229" i="4"/>
  <c r="B229" i="4"/>
  <c r="A230" i="4"/>
  <c r="B230" i="4"/>
  <c r="A231" i="4"/>
  <c r="B231" i="4"/>
  <c r="A232" i="4"/>
  <c r="B232" i="4"/>
  <c r="A233" i="4"/>
  <c r="B233" i="4"/>
  <c r="A234" i="4"/>
  <c r="B234" i="4"/>
  <c r="A235" i="4"/>
  <c r="B235" i="4"/>
  <c r="A236" i="4"/>
  <c r="B236" i="4"/>
  <c r="A237" i="4"/>
  <c r="B237" i="4"/>
  <c r="A238" i="4"/>
  <c r="B238" i="4"/>
  <c r="A239" i="4"/>
  <c r="B239" i="4"/>
  <c r="A240" i="4"/>
  <c r="B240" i="4"/>
  <c r="A241" i="4"/>
  <c r="B241" i="4"/>
  <c r="A242" i="4"/>
  <c r="B242" i="4"/>
  <c r="A243" i="4"/>
  <c r="B243" i="4"/>
  <c r="A244" i="4"/>
  <c r="B244" i="4"/>
  <c r="A245" i="4"/>
  <c r="B245" i="4"/>
  <c r="A246" i="4"/>
  <c r="B246" i="4"/>
  <c r="A247" i="4"/>
  <c r="B247" i="4"/>
  <c r="A248" i="4"/>
  <c r="B248" i="4"/>
  <c r="A249" i="4"/>
  <c r="B249" i="4"/>
  <c r="A250" i="4"/>
  <c r="B250" i="4"/>
  <c r="A251" i="4"/>
  <c r="B251" i="4"/>
  <c r="A252" i="4"/>
  <c r="B252" i="4"/>
  <c r="A253" i="4"/>
  <c r="B253" i="4"/>
  <c r="A254" i="4"/>
  <c r="B254" i="4"/>
  <c r="A256" i="4"/>
  <c r="B256" i="4"/>
  <c r="A255" i="4"/>
  <c r="B255" i="4"/>
  <c r="A257" i="4"/>
  <c r="B257" i="4"/>
  <c r="A258" i="4"/>
  <c r="B258" i="4"/>
  <c r="A259" i="4"/>
  <c r="B259" i="4"/>
  <c r="A260" i="4"/>
  <c r="B260" i="4"/>
  <c r="A261" i="4"/>
  <c r="B261" i="4"/>
  <c r="A262" i="4"/>
  <c r="B262" i="4"/>
  <c r="A263" i="4"/>
  <c r="B263" i="4"/>
  <c r="A264" i="4"/>
  <c r="B264" i="4"/>
  <c r="A265" i="4"/>
  <c r="B265" i="4"/>
  <c r="A266" i="4"/>
  <c r="B266" i="4"/>
  <c r="A267" i="4"/>
  <c r="B267" i="4"/>
  <c r="A268" i="4"/>
  <c r="B268" i="4"/>
  <c r="A269" i="4"/>
  <c r="B269" i="4"/>
  <c r="A270" i="4"/>
  <c r="B270" i="4"/>
  <c r="A271" i="4"/>
  <c r="B271" i="4"/>
  <c r="A272" i="4"/>
  <c r="B272" i="4"/>
  <c r="A273" i="4"/>
  <c r="B273" i="4"/>
  <c r="A274" i="4"/>
  <c r="B274" i="4"/>
  <c r="A275" i="4"/>
  <c r="B275" i="4"/>
  <c r="A276" i="4"/>
  <c r="B276" i="4"/>
  <c r="A277" i="4"/>
  <c r="B277" i="4"/>
  <c r="A278" i="4"/>
  <c r="B278" i="4"/>
  <c r="A279" i="4"/>
  <c r="B279" i="4"/>
  <c r="A280" i="4"/>
  <c r="B280" i="4"/>
  <c r="A281" i="4"/>
  <c r="B281" i="4"/>
  <c r="A282" i="4"/>
  <c r="B282" i="4"/>
  <c r="A283" i="4"/>
  <c r="B283" i="4"/>
  <c r="A284" i="4"/>
  <c r="B284" i="4"/>
  <c r="A285" i="4"/>
  <c r="B285" i="4"/>
  <c r="A286" i="4"/>
  <c r="B286" i="4"/>
  <c r="A287" i="4"/>
  <c r="B287" i="4"/>
  <c r="A288" i="4"/>
  <c r="B288" i="4"/>
  <c r="A289" i="4"/>
  <c r="B289" i="4"/>
  <c r="A290" i="4"/>
  <c r="B290" i="4"/>
  <c r="A291" i="4"/>
  <c r="B291" i="4"/>
  <c r="A292" i="4"/>
  <c r="B292" i="4"/>
  <c r="A293" i="4"/>
  <c r="B293" i="4"/>
  <c r="A294" i="4"/>
  <c r="B294" i="4"/>
  <c r="A295" i="4"/>
  <c r="B295" i="4"/>
  <c r="A296" i="4"/>
  <c r="B296" i="4"/>
  <c r="A297" i="4"/>
  <c r="B297" i="4"/>
  <c r="A298" i="4"/>
  <c r="B298" i="4"/>
  <c r="A299" i="4"/>
  <c r="B299" i="4"/>
  <c r="A300" i="4"/>
  <c r="B300" i="4"/>
  <c r="A301" i="4"/>
  <c r="B301" i="4"/>
  <c r="A302" i="4"/>
  <c r="B302" i="4"/>
  <c r="A303" i="4"/>
  <c r="B303" i="4"/>
  <c r="A304" i="4"/>
  <c r="B304" i="4"/>
  <c r="A305" i="4"/>
  <c r="B305" i="4"/>
  <c r="A306" i="4"/>
  <c r="B306" i="4"/>
  <c r="A307" i="4"/>
  <c r="B307" i="4"/>
  <c r="A308" i="4"/>
  <c r="B308" i="4"/>
  <c r="A309" i="4"/>
  <c r="B309" i="4"/>
  <c r="A310" i="4"/>
  <c r="B310" i="4"/>
  <c r="A312" i="4"/>
  <c r="B312" i="4"/>
  <c r="A313" i="4"/>
  <c r="B313" i="4"/>
  <c r="A311" i="4"/>
  <c r="B311" i="4"/>
  <c r="A314" i="4"/>
  <c r="B314" i="4"/>
  <c r="A315" i="4"/>
  <c r="B315" i="4"/>
  <c r="A316" i="4"/>
  <c r="B316" i="4"/>
  <c r="A317" i="4"/>
  <c r="B317" i="4"/>
  <c r="A318" i="4"/>
  <c r="B318" i="4"/>
  <c r="A319" i="4"/>
  <c r="B319" i="4"/>
  <c r="A320" i="4"/>
  <c r="B320" i="4"/>
  <c r="A321" i="4"/>
  <c r="B321" i="4"/>
  <c r="A322" i="4"/>
  <c r="B322" i="4"/>
  <c r="A323" i="4"/>
  <c r="B323" i="4"/>
  <c r="A324" i="4"/>
  <c r="B324" i="4"/>
  <c r="A325" i="4"/>
  <c r="B325" i="4"/>
  <c r="A326" i="4"/>
  <c r="B326" i="4"/>
  <c r="A327" i="4"/>
  <c r="B327" i="4"/>
  <c r="A328" i="4"/>
  <c r="B328" i="4"/>
  <c r="A329" i="4"/>
  <c r="B329" i="4"/>
  <c r="A330" i="4"/>
  <c r="B330" i="4"/>
  <c r="A331" i="4"/>
  <c r="B331" i="4"/>
  <c r="A332" i="4"/>
  <c r="B332" i="4"/>
  <c r="A333" i="4"/>
  <c r="B333" i="4"/>
  <c r="A334" i="4"/>
  <c r="B334" i="4"/>
  <c r="A335" i="4"/>
  <c r="B335" i="4"/>
  <c r="A336" i="4"/>
  <c r="B336" i="4"/>
  <c r="A337" i="4"/>
  <c r="B337" i="4"/>
  <c r="A338" i="4"/>
  <c r="B338" i="4"/>
  <c r="A339" i="4"/>
  <c r="B339" i="4"/>
  <c r="A343" i="4"/>
  <c r="B343" i="4"/>
  <c r="A340" i="4"/>
  <c r="B340" i="4"/>
  <c r="A341" i="4"/>
  <c r="B341" i="4"/>
  <c r="A342" i="4"/>
  <c r="B342" i="4"/>
  <c r="A344" i="4"/>
  <c r="B344" i="4"/>
  <c r="A346" i="4"/>
  <c r="B346" i="4"/>
  <c r="A347" i="4"/>
  <c r="B347" i="4"/>
  <c r="A345" i="4"/>
  <c r="B345" i="4"/>
  <c r="A348" i="4"/>
  <c r="B348" i="4"/>
  <c r="A349" i="4"/>
  <c r="B349" i="4"/>
  <c r="A350" i="4"/>
  <c r="B350" i="4"/>
  <c r="A351" i="4"/>
  <c r="B351" i="4"/>
  <c r="A352" i="4"/>
  <c r="B352" i="4"/>
  <c r="A353" i="4"/>
  <c r="B353" i="4"/>
  <c r="A354" i="4"/>
  <c r="B354" i="4"/>
  <c r="A355" i="4"/>
  <c r="B355" i="4"/>
  <c r="A356" i="4"/>
  <c r="B356" i="4"/>
  <c r="A357" i="4"/>
  <c r="B357" i="4"/>
  <c r="A358" i="4"/>
  <c r="B358" i="4"/>
  <c r="A359" i="4"/>
  <c r="B359" i="4"/>
  <c r="A360" i="4"/>
  <c r="B360" i="4"/>
  <c r="A361" i="4"/>
  <c r="B361" i="4"/>
  <c r="A362" i="4"/>
  <c r="B362" i="4"/>
  <c r="A363" i="4"/>
  <c r="B363" i="4"/>
  <c r="A364" i="4"/>
  <c r="B364" i="4"/>
  <c r="A365" i="4"/>
  <c r="B365" i="4"/>
  <c r="A366" i="4"/>
  <c r="B366" i="4"/>
  <c r="A367" i="4"/>
  <c r="B367" i="4"/>
  <c r="A368" i="4"/>
  <c r="B368" i="4"/>
  <c r="A370" i="4"/>
  <c r="B370" i="4"/>
  <c r="A371" i="4"/>
  <c r="B371" i="4"/>
  <c r="A373" i="4"/>
  <c r="B373" i="4"/>
  <c r="A372" i="4"/>
  <c r="B372" i="4"/>
  <c r="A374" i="4"/>
  <c r="B374" i="4"/>
  <c r="A375" i="4"/>
  <c r="B375" i="4"/>
  <c r="A376" i="4"/>
  <c r="B376" i="4"/>
  <c r="A377" i="4"/>
  <c r="B377" i="4"/>
  <c r="A380" i="4"/>
  <c r="B380" i="4"/>
  <c r="A378" i="4"/>
  <c r="B378" i="4"/>
  <c r="A379" i="4"/>
  <c r="B379" i="4"/>
  <c r="A381" i="4"/>
  <c r="B381" i="4"/>
  <c r="A382" i="4"/>
  <c r="B382" i="4"/>
  <c r="A383" i="4"/>
  <c r="B383" i="4"/>
  <c r="A384" i="4"/>
  <c r="B384" i="4"/>
  <c r="A385" i="4"/>
  <c r="B385" i="4"/>
  <c r="A386" i="4"/>
  <c r="B386" i="4"/>
  <c r="A387" i="4"/>
  <c r="B387" i="4"/>
  <c r="A388" i="4"/>
  <c r="B388" i="4"/>
  <c r="A389" i="4"/>
  <c r="B389" i="4"/>
  <c r="A390" i="4"/>
  <c r="B390" i="4"/>
  <c r="A391" i="4"/>
  <c r="B391" i="4"/>
  <c r="A392" i="4"/>
  <c r="B392" i="4"/>
  <c r="A393" i="4"/>
  <c r="B393" i="4"/>
  <c r="A394" i="4"/>
  <c r="B394" i="4"/>
  <c r="A395" i="4"/>
  <c r="B395" i="4"/>
  <c r="A396" i="4"/>
  <c r="B396" i="4"/>
  <c r="A397" i="4"/>
  <c r="B397" i="4"/>
  <c r="A398" i="4"/>
  <c r="B398" i="4"/>
  <c r="A399" i="4"/>
  <c r="B399" i="4"/>
  <c r="A400" i="4"/>
  <c r="B400" i="4"/>
  <c r="A401" i="4"/>
  <c r="B401" i="4"/>
  <c r="A402" i="4"/>
  <c r="B402" i="4"/>
  <c r="A403" i="4"/>
  <c r="B403" i="4"/>
  <c r="A404" i="4"/>
  <c r="B404" i="4"/>
  <c r="A405" i="4"/>
  <c r="B405" i="4"/>
  <c r="A406" i="4"/>
  <c r="B406" i="4"/>
  <c r="A407" i="4"/>
  <c r="B407" i="4"/>
  <c r="A408" i="4"/>
  <c r="B408" i="4"/>
  <c r="A409" i="4"/>
  <c r="B409" i="4"/>
  <c r="A410" i="4"/>
  <c r="B410" i="4"/>
  <c r="A411" i="4"/>
  <c r="B411" i="4"/>
  <c r="A412" i="4"/>
  <c r="B412" i="4"/>
  <c r="A413" i="4"/>
  <c r="B413" i="4"/>
  <c r="A414" i="4"/>
  <c r="B414" i="4"/>
  <c r="A415" i="4"/>
  <c r="B415" i="4"/>
  <c r="A416" i="4"/>
  <c r="B416" i="4"/>
  <c r="A417" i="4"/>
  <c r="B417" i="4"/>
  <c r="A418" i="4"/>
  <c r="B418" i="4"/>
  <c r="A419" i="4"/>
  <c r="B419" i="4"/>
  <c r="A421" i="4"/>
  <c r="B421" i="4"/>
  <c r="A420" i="4"/>
  <c r="B420" i="4"/>
  <c r="A422" i="4"/>
  <c r="B422" i="4"/>
  <c r="A423" i="4"/>
  <c r="B423" i="4"/>
  <c r="A424" i="4"/>
  <c r="B424" i="4"/>
  <c r="A425" i="4"/>
  <c r="B425" i="4"/>
  <c r="A426" i="4"/>
  <c r="B426" i="4"/>
  <c r="A427" i="4"/>
  <c r="B427" i="4"/>
  <c r="A428" i="4"/>
  <c r="B428" i="4"/>
  <c r="A429" i="4"/>
  <c r="B429" i="4"/>
  <c r="A430" i="4"/>
  <c r="B430" i="4"/>
  <c r="A431" i="4"/>
  <c r="B431" i="4"/>
  <c r="A432" i="4"/>
  <c r="B432" i="4"/>
  <c r="A433" i="4"/>
  <c r="B433" i="4"/>
  <c r="A434" i="4"/>
  <c r="B434" i="4"/>
  <c r="A435" i="4"/>
  <c r="B435" i="4"/>
  <c r="A436" i="4"/>
  <c r="B436" i="4"/>
  <c r="A437" i="4"/>
  <c r="B437" i="4"/>
  <c r="A439" i="4"/>
  <c r="B439" i="4"/>
  <c r="A440" i="4"/>
  <c r="B440" i="4"/>
  <c r="A438" i="4"/>
  <c r="B438" i="4"/>
  <c r="A441" i="4"/>
  <c r="B441" i="4"/>
  <c r="A443" i="4"/>
  <c r="B443" i="4"/>
  <c r="A442" i="4"/>
  <c r="B442" i="4"/>
  <c r="A444" i="4"/>
  <c r="B444" i="4"/>
  <c r="A445" i="4"/>
  <c r="B445" i="4"/>
  <c r="A446" i="4"/>
  <c r="B446" i="4"/>
  <c r="A447" i="4"/>
  <c r="B447" i="4"/>
  <c r="A448" i="4"/>
  <c r="B448" i="4"/>
  <c r="A449" i="4"/>
  <c r="B449" i="4"/>
  <c r="A450" i="4"/>
  <c r="B450" i="4"/>
  <c r="A451" i="4"/>
  <c r="B451" i="4"/>
  <c r="A452" i="4"/>
  <c r="B452" i="4"/>
  <c r="A453" i="4"/>
  <c r="B453" i="4"/>
  <c r="A454" i="4"/>
  <c r="B454" i="4"/>
  <c r="A455" i="4"/>
  <c r="B455" i="4"/>
  <c r="A456" i="4"/>
  <c r="B456" i="4"/>
  <c r="A457" i="4"/>
  <c r="B457" i="4"/>
  <c r="A458" i="4"/>
  <c r="B458" i="4"/>
  <c r="A459" i="4"/>
  <c r="B459" i="4"/>
  <c r="A460" i="4"/>
  <c r="B460" i="4"/>
  <c r="A461" i="4"/>
  <c r="B461" i="4"/>
  <c r="A462" i="4"/>
  <c r="B462" i="4"/>
  <c r="A463" i="4"/>
  <c r="B463" i="4"/>
  <c r="A464" i="4"/>
  <c r="B464" i="4"/>
  <c r="A466" i="4"/>
  <c r="B466" i="4"/>
  <c r="A465" i="4"/>
  <c r="B465" i="4"/>
  <c r="A467" i="4"/>
  <c r="B467" i="4"/>
  <c r="A468" i="4"/>
  <c r="B468" i="4"/>
  <c r="A469" i="4"/>
  <c r="B469" i="4"/>
  <c r="A470" i="4"/>
  <c r="B470" i="4"/>
  <c r="A471" i="4"/>
  <c r="B471" i="4"/>
  <c r="A472" i="4"/>
  <c r="B472" i="4"/>
  <c r="A473" i="4"/>
  <c r="B473" i="4"/>
  <c r="A474" i="4"/>
  <c r="B474" i="4"/>
  <c r="A475" i="4"/>
  <c r="B475" i="4"/>
  <c r="A476" i="4"/>
  <c r="B476" i="4"/>
  <c r="A477" i="4"/>
  <c r="B477" i="4"/>
  <c r="A478" i="4"/>
  <c r="B478" i="4"/>
  <c r="A479" i="4"/>
  <c r="B479" i="4"/>
  <c r="A481" i="4"/>
  <c r="B481" i="4"/>
  <c r="A480" i="4"/>
  <c r="B480" i="4"/>
  <c r="A483" i="4"/>
  <c r="B483" i="4"/>
  <c r="A482" i="4"/>
  <c r="B482" i="4"/>
  <c r="A484" i="4"/>
  <c r="B484" i="4"/>
  <c r="A485" i="4"/>
  <c r="B485" i="4"/>
  <c r="A486" i="4"/>
  <c r="B486" i="4"/>
  <c r="A487" i="4"/>
  <c r="B487" i="4"/>
  <c r="A488" i="4"/>
  <c r="B488" i="4"/>
  <c r="A489" i="4"/>
  <c r="B489" i="4"/>
  <c r="A490" i="4"/>
  <c r="B490" i="4"/>
  <c r="A491" i="4"/>
  <c r="B491" i="4"/>
  <c r="A492" i="4"/>
  <c r="B492" i="4"/>
  <c r="A494" i="4"/>
  <c r="B494" i="4"/>
  <c r="A493" i="4"/>
  <c r="B493" i="4"/>
  <c r="A495" i="4"/>
  <c r="B495" i="4"/>
  <c r="A496" i="4"/>
  <c r="B496" i="4"/>
  <c r="A497" i="4"/>
  <c r="B497" i="4"/>
  <c r="A498" i="4"/>
  <c r="B498" i="4"/>
  <c r="A499" i="4"/>
  <c r="B499" i="4"/>
  <c r="A500" i="4"/>
  <c r="B500" i="4"/>
  <c r="A501" i="4"/>
  <c r="B501" i="4"/>
  <c r="A502" i="4"/>
  <c r="B502" i="4"/>
  <c r="A503" i="4"/>
  <c r="B503" i="4"/>
  <c r="A504" i="4"/>
  <c r="B504" i="4"/>
  <c r="A505" i="4"/>
  <c r="B505" i="4"/>
  <c r="A506" i="4"/>
  <c r="B506" i="4"/>
  <c r="A507" i="4"/>
  <c r="B507" i="4"/>
  <c r="A508" i="4"/>
  <c r="B508" i="4"/>
  <c r="A509" i="4"/>
  <c r="B509" i="4"/>
  <c r="A511" i="4"/>
  <c r="B511" i="4"/>
  <c r="A510" i="4"/>
  <c r="B510" i="4"/>
  <c r="A512" i="4"/>
  <c r="B512" i="4"/>
  <c r="A513" i="4"/>
  <c r="B513" i="4"/>
  <c r="A514" i="4"/>
  <c r="B514" i="4"/>
  <c r="A515" i="4"/>
  <c r="B515" i="4"/>
  <c r="A516" i="4"/>
  <c r="B516" i="4"/>
  <c r="A517" i="4"/>
  <c r="B517" i="4"/>
  <c r="A519" i="4"/>
  <c r="B519" i="4"/>
  <c r="A518" i="4"/>
  <c r="B518" i="4"/>
  <c r="A521" i="4"/>
  <c r="B521" i="4"/>
  <c r="A522" i="4"/>
  <c r="B522" i="4"/>
  <c r="A523" i="4"/>
  <c r="B523" i="4"/>
  <c r="A524" i="4"/>
  <c r="B524" i="4"/>
  <c r="A525" i="4"/>
  <c r="B525" i="4"/>
  <c r="A526" i="4"/>
  <c r="B526" i="4"/>
  <c r="A520" i="4"/>
  <c r="B520" i="4"/>
  <c r="A527" i="4"/>
  <c r="B527" i="4"/>
  <c r="A528" i="4"/>
  <c r="B528" i="4"/>
  <c r="A531" i="4"/>
  <c r="B531" i="4"/>
  <c r="A530" i="4"/>
  <c r="B530" i="4"/>
  <c r="A529" i="4"/>
  <c r="B529" i="4"/>
  <c r="A532" i="4"/>
  <c r="B532" i="4"/>
  <c r="A533" i="4"/>
  <c r="B533" i="4"/>
  <c r="A534" i="4"/>
  <c r="B534" i="4"/>
  <c r="A535" i="4"/>
  <c r="B535" i="4"/>
  <c r="A536" i="4"/>
  <c r="B536" i="4"/>
  <c r="A537" i="4"/>
  <c r="B537" i="4"/>
  <c r="A538" i="4"/>
  <c r="B538" i="4"/>
  <c r="A539" i="4"/>
  <c r="B539" i="4"/>
  <c r="A541" i="4"/>
  <c r="B541" i="4"/>
  <c r="A540" i="4"/>
  <c r="B540" i="4"/>
  <c r="A542" i="4"/>
  <c r="B542" i="4"/>
  <c r="A544" i="4"/>
  <c r="B544" i="4"/>
  <c r="A543" i="4"/>
  <c r="B543" i="4"/>
  <c r="A545" i="4"/>
  <c r="B545" i="4"/>
  <c r="A546" i="4"/>
  <c r="B546" i="4"/>
  <c r="A547" i="4"/>
  <c r="B547" i="4"/>
  <c r="A548" i="4"/>
  <c r="B548" i="4"/>
  <c r="A549" i="4"/>
  <c r="B549" i="4"/>
  <c r="A550" i="4"/>
  <c r="B550" i="4"/>
  <c r="A551" i="4"/>
  <c r="B551" i="4"/>
  <c r="A552" i="4"/>
  <c r="B552" i="4"/>
  <c r="A553" i="4"/>
  <c r="B553" i="4"/>
  <c r="A554" i="4"/>
  <c r="B554" i="4"/>
  <c r="A555" i="4"/>
  <c r="B555" i="4"/>
  <c r="A556" i="4"/>
  <c r="B556" i="4"/>
  <c r="A557" i="4"/>
  <c r="B557" i="4"/>
  <c r="A559" i="4"/>
  <c r="B559" i="4"/>
  <c r="A558" i="4"/>
  <c r="B558" i="4"/>
  <c r="A560" i="4"/>
  <c r="B560" i="4"/>
  <c r="A561" i="4"/>
  <c r="B561" i="4"/>
  <c r="A562" i="4"/>
  <c r="B562" i="4"/>
  <c r="A563" i="4"/>
  <c r="B563" i="4"/>
  <c r="A564" i="4"/>
  <c r="B564" i="4"/>
  <c r="A565" i="4"/>
  <c r="B565" i="4"/>
  <c r="A566" i="4"/>
  <c r="B566" i="4"/>
  <c r="A567" i="4"/>
  <c r="B567" i="4"/>
  <c r="A568" i="4"/>
  <c r="B568" i="4"/>
  <c r="A569" i="4"/>
  <c r="B569" i="4"/>
  <c r="A570" i="4"/>
  <c r="B570" i="4"/>
  <c r="A572" i="4"/>
  <c r="B572" i="4"/>
  <c r="A573" i="4"/>
  <c r="B573" i="4"/>
  <c r="A574" i="4"/>
  <c r="B574" i="4"/>
  <c r="A575" i="4"/>
  <c r="B575" i="4"/>
  <c r="A576" i="4"/>
  <c r="B576" i="4"/>
  <c r="A577" i="4"/>
  <c r="B577" i="4"/>
  <c r="A578" i="4"/>
  <c r="B578" i="4"/>
  <c r="A579" i="4"/>
  <c r="B579" i="4"/>
  <c r="A580" i="4"/>
  <c r="B580" i="4"/>
  <c r="A581" i="4"/>
  <c r="B581" i="4"/>
  <c r="A582" i="4"/>
  <c r="B582" i="4"/>
  <c r="A583" i="4"/>
  <c r="B583" i="4"/>
  <c r="A584" i="4"/>
  <c r="B584" i="4"/>
  <c r="A585" i="4"/>
  <c r="B585" i="4"/>
  <c r="A586" i="4"/>
  <c r="B586" i="4"/>
  <c r="A588" i="4"/>
  <c r="B588" i="4"/>
  <c r="A587" i="4"/>
  <c r="B587" i="4"/>
  <c r="A589" i="4"/>
  <c r="B589" i="4"/>
  <c r="A590" i="4"/>
  <c r="B590" i="4"/>
  <c r="A591" i="4"/>
  <c r="B591" i="4"/>
  <c r="A592" i="4"/>
  <c r="B592" i="4"/>
  <c r="A595" i="4"/>
  <c r="B595" i="4"/>
  <c r="A593" i="4"/>
  <c r="B593" i="4"/>
  <c r="A594" i="4"/>
  <c r="B594" i="4"/>
  <c r="A597" i="4"/>
  <c r="B597" i="4"/>
  <c r="A596" i="4"/>
  <c r="B596" i="4"/>
  <c r="A598" i="4"/>
  <c r="B598" i="4"/>
  <c r="A599" i="4"/>
  <c r="B599" i="4"/>
  <c r="A600" i="4"/>
  <c r="B600" i="4"/>
  <c r="A601" i="4"/>
  <c r="B601" i="4"/>
  <c r="A602" i="4"/>
  <c r="B602" i="4"/>
  <c r="A603" i="4"/>
  <c r="B603" i="4"/>
  <c r="A604" i="4"/>
  <c r="B604" i="4"/>
  <c r="A605" i="4"/>
  <c r="B605" i="4"/>
  <c r="A606" i="4"/>
  <c r="B606" i="4"/>
  <c r="A607" i="4"/>
  <c r="B607" i="4"/>
  <c r="A608" i="4"/>
  <c r="B608" i="4"/>
  <c r="A609" i="4"/>
  <c r="B609" i="4"/>
  <c r="A610" i="4"/>
  <c r="B610" i="4"/>
  <c r="A611" i="4"/>
  <c r="B611" i="4"/>
  <c r="A612" i="4"/>
  <c r="B612" i="4"/>
  <c r="A613" i="4"/>
  <c r="B613" i="4"/>
  <c r="A614" i="4"/>
  <c r="B614" i="4"/>
  <c r="A615" i="4"/>
  <c r="B615" i="4"/>
  <c r="A616" i="4"/>
  <c r="B616" i="4"/>
  <c r="A617" i="4"/>
  <c r="B617" i="4"/>
  <c r="A618" i="4"/>
  <c r="B618" i="4"/>
  <c r="A620" i="4"/>
  <c r="B620" i="4"/>
  <c r="A619" i="4"/>
  <c r="B619" i="4"/>
  <c r="A621" i="4"/>
  <c r="B621" i="4"/>
  <c r="A622" i="4"/>
  <c r="B622" i="4"/>
  <c r="A624" i="4"/>
  <c r="B624" i="4"/>
  <c r="A623" i="4"/>
  <c r="B623" i="4"/>
  <c r="A627" i="4"/>
  <c r="B627" i="4"/>
  <c r="A628" i="4"/>
  <c r="B628" i="4"/>
  <c r="A625" i="4"/>
  <c r="B625" i="4"/>
  <c r="A626" i="4"/>
  <c r="B626" i="4"/>
  <c r="A629" i="4"/>
  <c r="B629" i="4"/>
  <c r="A630" i="4"/>
  <c r="B630" i="4"/>
  <c r="A631" i="4"/>
  <c r="B631" i="4"/>
  <c r="A632" i="4"/>
  <c r="B632" i="4"/>
  <c r="A633" i="4"/>
  <c r="B633" i="4"/>
  <c r="A635" i="4"/>
  <c r="B635" i="4"/>
  <c r="A634" i="4"/>
  <c r="B634" i="4"/>
  <c r="A636" i="4"/>
  <c r="B636" i="4"/>
  <c r="A637" i="4"/>
  <c r="B637" i="4"/>
  <c r="A638" i="4"/>
  <c r="B638" i="4"/>
  <c r="A639" i="4"/>
  <c r="B639" i="4"/>
  <c r="A640" i="4"/>
  <c r="B640" i="4"/>
  <c r="A641" i="4"/>
  <c r="B641" i="4"/>
  <c r="A642" i="4"/>
  <c r="B642" i="4"/>
  <c r="A643" i="4"/>
  <c r="B643" i="4"/>
  <c r="A644" i="4"/>
  <c r="B644" i="4"/>
  <c r="A645" i="4"/>
  <c r="B645" i="4"/>
  <c r="A646" i="4"/>
  <c r="B646" i="4"/>
  <c r="A647" i="4"/>
  <c r="B647" i="4"/>
  <c r="A648" i="4"/>
  <c r="B648" i="4"/>
  <c r="A649" i="4"/>
  <c r="B649" i="4"/>
  <c r="A650" i="4"/>
  <c r="B650" i="4"/>
  <c r="A651" i="4"/>
  <c r="B651" i="4"/>
  <c r="A652" i="4"/>
  <c r="B652" i="4"/>
  <c r="A653" i="4"/>
  <c r="B653" i="4"/>
  <c r="A654" i="4"/>
  <c r="B654" i="4"/>
  <c r="A655" i="4"/>
  <c r="B655" i="4"/>
  <c r="A656" i="4"/>
  <c r="B656" i="4"/>
  <c r="A657" i="4"/>
  <c r="B657" i="4"/>
  <c r="A658" i="4"/>
  <c r="B658" i="4"/>
  <c r="A659" i="4"/>
  <c r="B659" i="4"/>
  <c r="A661" i="4"/>
  <c r="B661" i="4"/>
  <c r="A660" i="4"/>
  <c r="B660" i="4"/>
  <c r="A662" i="4"/>
  <c r="B662" i="4"/>
  <c r="A663" i="4"/>
  <c r="B663" i="4"/>
  <c r="A664" i="4"/>
  <c r="B664" i="4"/>
  <c r="A665" i="4"/>
  <c r="B665" i="4"/>
  <c r="A667" i="4"/>
  <c r="B667" i="4"/>
  <c r="A668" i="4"/>
  <c r="B668" i="4"/>
  <c r="A666" i="4"/>
  <c r="B666" i="4"/>
  <c r="A669" i="4"/>
  <c r="B669" i="4"/>
  <c r="A670" i="4"/>
  <c r="B670" i="4"/>
  <c r="A671" i="4"/>
  <c r="B671" i="4"/>
  <c r="A672" i="4"/>
  <c r="B672" i="4"/>
  <c r="A673" i="4"/>
  <c r="B673" i="4"/>
  <c r="A674" i="4"/>
  <c r="B674" i="4"/>
  <c r="A675" i="4"/>
  <c r="B675" i="4"/>
  <c r="A676" i="4"/>
  <c r="B676" i="4"/>
  <c r="A677" i="4"/>
  <c r="B677" i="4"/>
  <c r="A678" i="4"/>
  <c r="B678" i="4"/>
  <c r="A680" i="4"/>
  <c r="B680" i="4"/>
  <c r="A679" i="4"/>
  <c r="B679" i="4"/>
  <c r="A681" i="4"/>
  <c r="B681" i="4"/>
  <c r="A682" i="4"/>
  <c r="B682" i="4"/>
  <c r="A683" i="4"/>
  <c r="B683" i="4"/>
  <c r="A684" i="4"/>
  <c r="B684" i="4"/>
  <c r="A685" i="4"/>
  <c r="B685" i="4"/>
  <c r="A686" i="4"/>
  <c r="B686" i="4"/>
  <c r="A687" i="4"/>
  <c r="B687" i="4"/>
  <c r="A688" i="4"/>
  <c r="B688" i="4"/>
  <c r="A689" i="4"/>
  <c r="B689" i="4"/>
  <c r="A690" i="4"/>
  <c r="B690" i="4"/>
  <c r="A691" i="4"/>
  <c r="B691" i="4"/>
  <c r="A692" i="4"/>
  <c r="B692" i="4"/>
  <c r="A693" i="4"/>
  <c r="B693" i="4"/>
  <c r="A694" i="4"/>
  <c r="B694" i="4"/>
  <c r="A695" i="4"/>
  <c r="B695" i="4"/>
  <c r="A696" i="4"/>
  <c r="B696" i="4"/>
  <c r="A698" i="4"/>
  <c r="B698" i="4"/>
  <c r="A699" i="4"/>
  <c r="B699" i="4"/>
  <c r="A700" i="4"/>
  <c r="B700" i="4"/>
  <c r="A701" i="4"/>
  <c r="B701" i="4"/>
  <c r="A702" i="4"/>
  <c r="B702" i="4"/>
  <c r="A703" i="4"/>
  <c r="B703" i="4"/>
  <c r="A704" i="4"/>
  <c r="B704" i="4"/>
  <c r="A705" i="4"/>
  <c r="B705" i="4"/>
  <c r="A706" i="4"/>
  <c r="B706" i="4"/>
  <c r="A707" i="4"/>
  <c r="B707" i="4"/>
  <c r="A708" i="4"/>
  <c r="B708" i="4"/>
  <c r="A709" i="4"/>
  <c r="B709" i="4"/>
  <c r="A710" i="4"/>
  <c r="B710" i="4"/>
  <c r="A711" i="4"/>
  <c r="B711" i="4"/>
  <c r="A712" i="4"/>
  <c r="B712" i="4"/>
  <c r="A713" i="4"/>
  <c r="B713" i="4"/>
  <c r="A714" i="4"/>
  <c r="B714" i="4"/>
  <c r="A717" i="4"/>
  <c r="B717" i="4"/>
  <c r="A715" i="4"/>
  <c r="B715" i="4"/>
  <c r="A716" i="4"/>
  <c r="B716" i="4"/>
  <c r="A718" i="4"/>
  <c r="B718" i="4"/>
  <c r="A719" i="4"/>
  <c r="B719" i="4"/>
  <c r="A720" i="4"/>
  <c r="B720" i="4"/>
  <c r="A721" i="4"/>
  <c r="B721" i="4"/>
  <c r="A722" i="4"/>
  <c r="B722" i="4"/>
  <c r="A723" i="4"/>
  <c r="B723" i="4"/>
  <c r="A724" i="4"/>
  <c r="B724" i="4"/>
  <c r="A725" i="4"/>
  <c r="B725" i="4"/>
  <c r="A726" i="4"/>
  <c r="B726" i="4"/>
  <c r="A727" i="4"/>
  <c r="B727" i="4"/>
  <c r="A728" i="4"/>
  <c r="B728" i="4"/>
  <c r="A729" i="4"/>
  <c r="B729" i="4"/>
  <c r="A731" i="4"/>
  <c r="B731" i="4"/>
  <c r="A730" i="4"/>
  <c r="B730" i="4"/>
  <c r="A732" i="4"/>
  <c r="B732" i="4"/>
  <c r="A733" i="4"/>
  <c r="B733" i="4"/>
  <c r="A734" i="4"/>
  <c r="B734" i="4"/>
  <c r="A735" i="4"/>
  <c r="B735" i="4"/>
  <c r="A736" i="4"/>
  <c r="B736" i="4"/>
  <c r="A737" i="4"/>
  <c r="B737" i="4"/>
  <c r="A738" i="4"/>
  <c r="B738" i="4"/>
  <c r="A739" i="4"/>
  <c r="B739" i="4"/>
  <c r="A740" i="4"/>
  <c r="B740" i="4"/>
  <c r="A741" i="4"/>
  <c r="B741" i="4"/>
  <c r="A742" i="4"/>
  <c r="B742" i="4"/>
  <c r="A743" i="4"/>
  <c r="B743" i="4"/>
  <c r="A744" i="4"/>
  <c r="B744" i="4"/>
  <c r="A745" i="4"/>
  <c r="B745" i="4"/>
  <c r="A746" i="4"/>
  <c r="B746" i="4"/>
  <c r="A747" i="4"/>
  <c r="B747" i="4"/>
  <c r="A748" i="4"/>
  <c r="B748" i="4"/>
  <c r="A749" i="4"/>
  <c r="B749" i="4"/>
  <c r="A750" i="4"/>
  <c r="B750" i="4"/>
  <c r="A751" i="4"/>
  <c r="B751" i="4"/>
  <c r="A752" i="4"/>
  <c r="B752" i="4"/>
  <c r="A753" i="4"/>
  <c r="B753" i="4"/>
  <c r="A754" i="4"/>
  <c r="B754" i="4"/>
  <c r="A756" i="4"/>
  <c r="B756" i="4"/>
  <c r="A760" i="4"/>
  <c r="B760" i="4"/>
  <c r="A759" i="4"/>
  <c r="B759" i="4"/>
  <c r="A761" i="4"/>
  <c r="B761" i="4"/>
  <c r="A757" i="4"/>
  <c r="B757" i="4"/>
  <c r="A755" i="4"/>
  <c r="B755" i="4"/>
  <c r="A758" i="4"/>
  <c r="B758" i="4"/>
  <c r="A762" i="4"/>
  <c r="B762" i="4"/>
  <c r="A763" i="4"/>
  <c r="B763" i="4"/>
  <c r="A764" i="4"/>
  <c r="B764" i="4"/>
  <c r="A765" i="4"/>
  <c r="B765" i="4"/>
  <c r="A766" i="4"/>
  <c r="B766" i="4"/>
  <c r="A767" i="4"/>
  <c r="B767" i="4"/>
  <c r="A768" i="4"/>
  <c r="B768" i="4"/>
  <c r="A771" i="4"/>
  <c r="B771" i="4"/>
  <c r="A769" i="4"/>
  <c r="B769" i="4"/>
  <c r="A770" i="4"/>
  <c r="B770" i="4"/>
  <c r="A772" i="4"/>
  <c r="B772" i="4"/>
  <c r="A773" i="4"/>
  <c r="B773" i="4"/>
  <c r="A774" i="4"/>
  <c r="B774" i="4"/>
  <c r="A775" i="4"/>
  <c r="B775" i="4"/>
  <c r="A776" i="4"/>
  <c r="B776" i="4"/>
  <c r="A777" i="4"/>
  <c r="B777" i="4"/>
  <c r="A778" i="4"/>
  <c r="B778" i="4"/>
  <c r="A779" i="4"/>
  <c r="B779" i="4"/>
  <c r="A788" i="4"/>
  <c r="B788" i="4"/>
  <c r="A789" i="4"/>
  <c r="B789" i="4"/>
  <c r="A781" i="4"/>
  <c r="B781" i="4"/>
  <c r="A782" i="4"/>
  <c r="B782" i="4"/>
  <c r="A783" i="4"/>
  <c r="B783" i="4"/>
  <c r="A784" i="4"/>
  <c r="B784" i="4"/>
  <c r="A785" i="4"/>
  <c r="B785" i="4"/>
  <c r="A786" i="4"/>
  <c r="B786" i="4"/>
  <c r="A787" i="4"/>
  <c r="B787" i="4"/>
  <c r="A790" i="4"/>
  <c r="B790" i="4"/>
  <c r="A791" i="4"/>
  <c r="B791" i="4"/>
  <c r="A792" i="4"/>
  <c r="B792" i="4"/>
  <c r="A793" i="4"/>
  <c r="B793" i="4"/>
  <c r="A794" i="4"/>
  <c r="B794" i="4"/>
  <c r="A795" i="4"/>
  <c r="B795" i="4"/>
  <c r="A796" i="4"/>
  <c r="B796" i="4"/>
  <c r="A797" i="4"/>
  <c r="B797" i="4"/>
  <c r="A798" i="4"/>
  <c r="B798" i="4"/>
  <c r="A799" i="4"/>
  <c r="B799" i="4"/>
  <c r="A800" i="4"/>
  <c r="B800" i="4"/>
  <c r="A801" i="4"/>
  <c r="B801" i="4"/>
  <c r="A802" i="4"/>
  <c r="B802" i="4"/>
  <c r="A803" i="4"/>
  <c r="B803" i="4"/>
  <c r="A804" i="4"/>
  <c r="B804" i="4"/>
  <c r="A805" i="4"/>
  <c r="B805" i="4"/>
  <c r="A806" i="4"/>
  <c r="B806" i="4"/>
  <c r="A807" i="4"/>
  <c r="B807" i="4"/>
  <c r="A808" i="4"/>
  <c r="B808" i="4"/>
  <c r="A809" i="4"/>
  <c r="B809" i="4"/>
  <c r="A810" i="4"/>
  <c r="B810" i="4"/>
  <c r="A811" i="4"/>
  <c r="B811" i="4"/>
  <c r="A812" i="4"/>
  <c r="B812" i="4"/>
  <c r="A813" i="4"/>
  <c r="B813" i="4"/>
  <c r="A814" i="4"/>
  <c r="B814" i="4"/>
  <c r="A815" i="4"/>
  <c r="B815" i="4"/>
  <c r="A816" i="4"/>
  <c r="B816" i="4"/>
  <c r="A817" i="4"/>
  <c r="B817" i="4"/>
  <c r="A819" i="4"/>
  <c r="B819" i="4"/>
  <c r="A818" i="4"/>
  <c r="B818" i="4"/>
  <c r="A820" i="4"/>
  <c r="B820" i="4"/>
  <c r="A821" i="4"/>
  <c r="B821" i="4"/>
  <c r="A822" i="4"/>
  <c r="B822" i="4"/>
  <c r="A823" i="4"/>
  <c r="B823" i="4"/>
  <c r="A824" i="4"/>
  <c r="B824" i="4"/>
  <c r="A825" i="4"/>
  <c r="B825" i="4"/>
  <c r="A826" i="4"/>
  <c r="B826" i="4"/>
  <c r="A827" i="4"/>
  <c r="B827" i="4"/>
  <c r="A830" i="4"/>
  <c r="B830" i="4"/>
  <c r="A828" i="4"/>
  <c r="B828" i="4"/>
  <c r="A831" i="4"/>
  <c r="B831" i="4"/>
  <c r="A829" i="4"/>
  <c r="B829" i="4"/>
  <c r="A832" i="4"/>
  <c r="B832" i="4"/>
  <c r="A833" i="4"/>
  <c r="B833" i="4"/>
  <c r="A834" i="4"/>
  <c r="B834" i="4"/>
  <c r="A835" i="4"/>
  <c r="B835" i="4"/>
  <c r="A836" i="4"/>
  <c r="B836" i="4"/>
  <c r="A837" i="4"/>
  <c r="B837" i="4"/>
  <c r="A838" i="4"/>
  <c r="B838" i="4"/>
  <c r="A839" i="4"/>
  <c r="B839" i="4"/>
  <c r="A840" i="4"/>
  <c r="B840" i="4"/>
  <c r="A841" i="4"/>
  <c r="B841" i="4"/>
  <c r="A842" i="4"/>
  <c r="B842" i="4"/>
  <c r="A843" i="4"/>
  <c r="B843" i="4"/>
  <c r="A844" i="4"/>
  <c r="B844" i="4"/>
  <c r="A845" i="4"/>
  <c r="B845" i="4"/>
  <c r="A846" i="4"/>
  <c r="B846" i="4"/>
  <c r="A847" i="4"/>
  <c r="B847" i="4"/>
  <c r="A848" i="4"/>
  <c r="B848" i="4"/>
  <c r="A850" i="4"/>
  <c r="B850" i="4"/>
  <c r="A851" i="4"/>
  <c r="B851" i="4"/>
  <c r="A852" i="4"/>
  <c r="B852" i="4"/>
  <c r="A849" i="4"/>
  <c r="B849" i="4"/>
  <c r="A853" i="4"/>
  <c r="B853" i="4"/>
  <c r="A857" i="4"/>
  <c r="B857" i="4"/>
  <c r="A854" i="4"/>
  <c r="B854" i="4"/>
  <c r="A856" i="4"/>
  <c r="B856" i="4"/>
  <c r="A855" i="4"/>
  <c r="B855" i="4"/>
  <c r="A858" i="4"/>
  <c r="B858" i="4"/>
  <c r="A859" i="4"/>
  <c r="B859" i="4"/>
  <c r="A860" i="4"/>
  <c r="B860" i="4"/>
  <c r="A861" i="4"/>
  <c r="B861" i="4"/>
  <c r="A862" i="4"/>
  <c r="B862" i="4"/>
  <c r="A863" i="4"/>
  <c r="B863" i="4"/>
  <c r="A865" i="4"/>
  <c r="B865" i="4"/>
  <c r="A866" i="4"/>
  <c r="B866" i="4"/>
  <c r="A867" i="4"/>
  <c r="B867" i="4"/>
  <c r="A868" i="4"/>
  <c r="B868" i="4"/>
  <c r="A869" i="4"/>
  <c r="B869" i="4"/>
  <c r="A870" i="4"/>
  <c r="B870" i="4"/>
  <c r="A871" i="4"/>
  <c r="B871" i="4"/>
  <c r="A872" i="4"/>
  <c r="B872" i="4"/>
  <c r="A874" i="4"/>
  <c r="B874" i="4"/>
  <c r="A873" i="4"/>
  <c r="B873" i="4"/>
  <c r="A875" i="4"/>
  <c r="B875" i="4"/>
  <c r="A876" i="4"/>
  <c r="B876" i="4"/>
  <c r="A877" i="4"/>
  <c r="B877" i="4"/>
  <c r="A878" i="4"/>
  <c r="B878" i="4"/>
  <c r="A879" i="4"/>
  <c r="B879" i="4"/>
  <c r="A880" i="4"/>
  <c r="B880" i="4"/>
  <c r="A881" i="4"/>
  <c r="B881" i="4"/>
  <c r="A882" i="4"/>
  <c r="B882" i="4"/>
  <c r="A883" i="4"/>
  <c r="B883" i="4"/>
  <c r="A884" i="4"/>
  <c r="B884" i="4"/>
  <c r="A885" i="4"/>
  <c r="B885" i="4"/>
  <c r="A886" i="4"/>
  <c r="B886" i="4"/>
  <c r="A887" i="4"/>
  <c r="B887" i="4"/>
  <c r="A888" i="4"/>
  <c r="B888" i="4"/>
  <c r="A893" i="4"/>
  <c r="B893" i="4"/>
  <c r="A889" i="4"/>
  <c r="B889" i="4"/>
  <c r="A891" i="4"/>
  <c r="B891" i="4"/>
  <c r="A894" i="4"/>
  <c r="B894" i="4"/>
  <c r="A890" i="4"/>
  <c r="B890" i="4"/>
  <c r="A892" i="4"/>
  <c r="B892" i="4"/>
  <c r="A895" i="4"/>
  <c r="B895" i="4"/>
  <c r="A896" i="4"/>
  <c r="B896" i="4"/>
  <c r="A898" i="4"/>
  <c r="B898" i="4"/>
  <c r="A897" i="4"/>
  <c r="B897" i="4"/>
  <c r="A899" i="4"/>
  <c r="B899" i="4"/>
  <c r="A900" i="4"/>
  <c r="B900" i="4"/>
  <c r="A901" i="4"/>
  <c r="B901" i="4"/>
  <c r="A902" i="4"/>
  <c r="B902" i="4"/>
  <c r="A903" i="4"/>
  <c r="B903" i="4"/>
  <c r="A904" i="4"/>
  <c r="B904" i="4"/>
  <c r="A905" i="4"/>
  <c r="B905" i="4"/>
  <c r="A906" i="4"/>
  <c r="B906" i="4"/>
  <c r="A907" i="4"/>
  <c r="B907" i="4"/>
  <c r="A908" i="4"/>
  <c r="B908" i="4"/>
  <c r="A909" i="4"/>
  <c r="B909" i="4"/>
  <c r="A910" i="4"/>
  <c r="B910" i="4"/>
  <c r="A911" i="4"/>
  <c r="B911" i="4"/>
  <c r="A912" i="4"/>
  <c r="B912" i="4"/>
  <c r="A913" i="4"/>
  <c r="B913" i="4"/>
  <c r="A914" i="4"/>
  <c r="B914" i="4"/>
  <c r="A915" i="4"/>
  <c r="B915" i="4"/>
  <c r="A916" i="4"/>
  <c r="B916" i="4"/>
  <c r="A917" i="4"/>
  <c r="B917" i="4"/>
  <c r="A918" i="4"/>
  <c r="B918" i="4"/>
  <c r="A919" i="4"/>
  <c r="B919" i="4"/>
  <c r="A920" i="4"/>
  <c r="B920" i="4"/>
  <c r="A921" i="4"/>
  <c r="B921" i="4"/>
  <c r="A922" i="4"/>
  <c r="B922" i="4"/>
  <c r="A923" i="4"/>
  <c r="B923" i="4"/>
  <c r="A924" i="4"/>
  <c r="B924" i="4"/>
  <c r="A925" i="4"/>
  <c r="B925" i="4"/>
  <c r="A926" i="4"/>
  <c r="B926" i="4"/>
  <c r="A927" i="4"/>
  <c r="B927" i="4"/>
  <c r="A928" i="4"/>
  <c r="B928" i="4"/>
  <c r="A929" i="4"/>
  <c r="B929" i="4"/>
  <c r="A930" i="4"/>
  <c r="B930" i="4"/>
  <c r="A931" i="4"/>
  <c r="B931" i="4"/>
  <c r="A932" i="4"/>
  <c r="B932" i="4"/>
  <c r="A933" i="4"/>
  <c r="B933" i="4"/>
  <c r="A934" i="4"/>
  <c r="B934" i="4"/>
  <c r="A935" i="4"/>
  <c r="B935" i="4"/>
  <c r="A936" i="4"/>
  <c r="B936" i="4"/>
  <c r="A937" i="4"/>
  <c r="B937" i="4"/>
  <c r="A938" i="4"/>
  <c r="B938" i="4"/>
  <c r="A939" i="4"/>
  <c r="B939" i="4"/>
  <c r="A940" i="4"/>
  <c r="B940" i="4"/>
  <c r="A941" i="4"/>
  <c r="B941" i="4"/>
  <c r="A942" i="4"/>
  <c r="B942" i="4"/>
  <c r="A943" i="4"/>
  <c r="B943" i="4"/>
  <c r="A944" i="4"/>
  <c r="B944" i="4"/>
  <c r="A945" i="4"/>
  <c r="B945" i="4"/>
  <c r="A946" i="4"/>
  <c r="B946" i="4"/>
  <c r="A947" i="4"/>
  <c r="B947" i="4"/>
  <c r="A948" i="4"/>
  <c r="B948" i="4"/>
  <c r="A949" i="4"/>
  <c r="B949" i="4"/>
  <c r="A951" i="4"/>
  <c r="B951" i="4"/>
  <c r="A950" i="4"/>
  <c r="B950" i="4"/>
  <c r="A952" i="4"/>
  <c r="B952" i="4"/>
  <c r="A953" i="4"/>
  <c r="B953" i="4"/>
  <c r="A954" i="4"/>
  <c r="B954" i="4"/>
  <c r="A955" i="4"/>
  <c r="B955" i="4"/>
  <c r="A956" i="4"/>
  <c r="B956" i="4"/>
  <c r="A957" i="4"/>
  <c r="B957" i="4"/>
  <c r="A958" i="4"/>
  <c r="B958" i="4"/>
  <c r="A959" i="4"/>
  <c r="B959" i="4"/>
  <c r="A960" i="4"/>
  <c r="B960" i="4"/>
  <c r="A961" i="4"/>
  <c r="B961" i="4"/>
  <c r="A962" i="4"/>
  <c r="B962" i="4"/>
  <c r="A963" i="4"/>
  <c r="B963" i="4"/>
  <c r="A965" i="4"/>
  <c r="B965" i="4"/>
  <c r="A966" i="4"/>
  <c r="B966" i="4"/>
  <c r="A967" i="4"/>
  <c r="B967" i="4"/>
  <c r="A968" i="4"/>
  <c r="B968" i="4"/>
  <c r="A969" i="4"/>
  <c r="B969" i="4"/>
  <c r="A970" i="4"/>
  <c r="B970" i="4"/>
  <c r="A971" i="4"/>
  <c r="B971" i="4"/>
  <c r="A972" i="4"/>
  <c r="B972" i="4"/>
  <c r="A973" i="4"/>
  <c r="B973" i="4"/>
  <c r="A974" i="4"/>
  <c r="B974" i="4"/>
  <c r="A975" i="4"/>
  <c r="B975" i="4"/>
  <c r="A978" i="4"/>
  <c r="B978" i="4"/>
  <c r="A976" i="4"/>
  <c r="B976" i="4"/>
  <c r="A979" i="4"/>
  <c r="B979" i="4"/>
  <c r="A980" i="4"/>
  <c r="B980" i="4"/>
  <c r="A981" i="4"/>
  <c r="B981" i="4"/>
  <c r="A977" i="4"/>
  <c r="B977" i="4"/>
  <c r="A982" i="4"/>
  <c r="B982" i="4"/>
  <c r="A983" i="4"/>
  <c r="B983" i="4"/>
  <c r="A985" i="4"/>
  <c r="B985" i="4"/>
  <c r="A984" i="4"/>
  <c r="B984" i="4"/>
  <c r="A987" i="4"/>
  <c r="B987" i="4"/>
  <c r="A986" i="4"/>
  <c r="B986" i="4"/>
  <c r="A988" i="4"/>
  <c r="B988" i="4"/>
  <c r="A989" i="4"/>
  <c r="B989" i="4"/>
  <c r="A991" i="4"/>
  <c r="B991" i="4"/>
  <c r="A990" i="4"/>
  <c r="B990" i="4"/>
  <c r="A992" i="4"/>
  <c r="B992" i="4"/>
  <c r="A993" i="4"/>
  <c r="B993" i="4"/>
  <c r="A994" i="4"/>
  <c r="B994" i="4"/>
  <c r="A995" i="4"/>
  <c r="B995" i="4"/>
  <c r="A996" i="4"/>
  <c r="B996" i="4"/>
  <c r="A997" i="4"/>
  <c r="B997" i="4"/>
  <c r="A998" i="4"/>
  <c r="B998" i="4"/>
  <c r="A999" i="4"/>
  <c r="B999" i="4"/>
  <c r="A1000" i="4"/>
  <c r="B1000" i="4"/>
  <c r="A1001" i="4"/>
  <c r="B1001" i="4"/>
  <c r="A1002" i="4"/>
  <c r="B1002" i="4"/>
  <c r="A1003" i="4"/>
  <c r="B1003" i="4"/>
  <c r="A1004" i="4"/>
  <c r="B1004" i="4"/>
  <c r="A1005" i="4"/>
  <c r="B1005" i="4"/>
  <c r="A1006" i="4"/>
  <c r="B1006" i="4"/>
  <c r="A1007" i="4"/>
  <c r="B1007" i="4"/>
  <c r="A1008" i="4"/>
  <c r="B1008" i="4"/>
  <c r="A1009" i="4"/>
  <c r="B1009" i="4"/>
  <c r="A1010" i="4"/>
  <c r="B1010" i="4"/>
  <c r="A1014" i="4"/>
  <c r="B1014" i="4"/>
  <c r="A1011" i="4"/>
  <c r="B1011" i="4"/>
  <c r="A1013" i="4"/>
  <c r="B1013" i="4"/>
  <c r="A1012" i="4"/>
  <c r="B1012" i="4"/>
  <c r="A1015" i="4"/>
  <c r="B1015" i="4"/>
  <c r="A1016" i="4"/>
  <c r="B1016" i="4"/>
  <c r="A1017" i="4"/>
  <c r="B1017" i="4"/>
  <c r="A1018" i="4"/>
  <c r="B1018" i="4"/>
  <c r="A1019" i="4"/>
  <c r="B1019" i="4"/>
  <c r="A1020" i="4"/>
  <c r="B1020" i="4"/>
  <c r="A1021" i="4"/>
  <c r="B1021" i="4"/>
  <c r="A1022" i="4"/>
  <c r="B1022" i="4"/>
  <c r="A1023" i="4"/>
  <c r="B1023" i="4"/>
  <c r="A1024" i="4"/>
  <c r="B1024" i="4"/>
  <c r="A1025" i="4"/>
  <c r="B1025" i="4"/>
  <c r="A1026" i="4"/>
  <c r="B1026" i="4"/>
  <c r="A1027" i="4"/>
  <c r="B1027" i="4"/>
  <c r="A1028" i="4"/>
  <c r="B1028" i="4"/>
  <c r="A1029" i="4"/>
  <c r="B1029" i="4"/>
  <c r="A1030" i="4"/>
  <c r="B1030" i="4"/>
  <c r="A1031" i="4"/>
  <c r="B1031" i="4"/>
  <c r="A1032" i="4"/>
  <c r="B1032" i="4"/>
  <c r="A1033" i="4"/>
  <c r="B1033" i="4"/>
  <c r="A1034" i="4"/>
  <c r="B1034" i="4"/>
  <c r="A1035" i="4"/>
  <c r="B1035" i="4"/>
  <c r="A1036" i="4"/>
  <c r="B1036" i="4"/>
  <c r="A1037" i="4"/>
  <c r="B1037" i="4"/>
  <c r="A1038" i="4"/>
  <c r="B1038" i="4"/>
  <c r="A1039" i="4"/>
  <c r="B1039" i="4"/>
  <c r="A1040" i="4"/>
  <c r="B1040" i="4"/>
  <c r="A1041" i="4"/>
  <c r="B1041" i="4"/>
  <c r="A1043" i="4"/>
  <c r="B1043" i="4"/>
  <c r="A1042" i="4"/>
  <c r="B1042" i="4"/>
  <c r="A1044" i="4"/>
  <c r="B1044" i="4"/>
  <c r="A1045" i="4"/>
  <c r="B1045" i="4"/>
  <c r="A1046" i="4"/>
  <c r="B1046" i="4"/>
  <c r="A1047" i="4"/>
  <c r="B1047" i="4"/>
  <c r="A1048" i="4"/>
  <c r="B1048" i="4"/>
  <c r="A1049" i="4"/>
  <c r="B1049" i="4"/>
  <c r="A1050" i="4"/>
  <c r="B1050" i="4"/>
  <c r="A1051" i="4"/>
  <c r="B1051" i="4"/>
  <c r="A1052" i="4"/>
  <c r="B1052" i="4"/>
  <c r="A1054" i="4"/>
  <c r="B1054" i="4"/>
  <c r="A1056" i="4"/>
  <c r="B1056" i="4"/>
  <c r="A1057" i="4"/>
  <c r="B1057" i="4"/>
  <c r="A1053" i="4"/>
  <c r="B1053" i="4"/>
  <c r="A1055" i="4"/>
  <c r="B1055" i="4"/>
  <c r="A1058" i="4"/>
  <c r="B1058" i="4"/>
  <c r="A1059" i="4"/>
  <c r="B1059" i="4"/>
  <c r="A1060" i="4"/>
  <c r="B1060" i="4"/>
  <c r="A1061" i="4"/>
  <c r="B1061" i="4"/>
  <c r="A1062" i="4"/>
  <c r="B1062" i="4"/>
  <c r="A1063" i="4"/>
  <c r="B1063" i="4"/>
  <c r="A1064" i="4"/>
  <c r="B1064" i="4"/>
  <c r="A1065" i="4"/>
  <c r="B1065" i="4"/>
  <c r="A1066" i="4"/>
  <c r="B1066" i="4"/>
  <c r="A1067" i="4"/>
  <c r="B1067" i="4"/>
  <c r="A1068" i="4"/>
  <c r="B1068" i="4"/>
  <c r="A1069" i="4"/>
  <c r="B1069" i="4"/>
  <c r="A1070" i="4"/>
  <c r="B1070" i="4"/>
  <c r="A1071" i="4"/>
  <c r="B1071" i="4"/>
  <c r="A1072" i="4"/>
  <c r="B1072" i="4"/>
  <c r="A1073" i="4"/>
  <c r="B1073" i="4"/>
  <c r="A1074" i="4"/>
  <c r="B1074" i="4"/>
  <c r="A1075" i="4"/>
  <c r="B1075" i="4"/>
  <c r="A1076" i="4"/>
  <c r="B1076" i="4"/>
  <c r="A1077" i="4"/>
  <c r="B1077" i="4"/>
  <c r="A1078" i="4"/>
  <c r="B1078" i="4"/>
  <c r="A1079" i="4"/>
  <c r="B1079" i="4"/>
  <c r="A1080" i="4"/>
  <c r="B1080" i="4"/>
  <c r="A1081" i="4"/>
  <c r="B1081" i="4"/>
  <c r="A1082" i="4"/>
  <c r="B1082" i="4"/>
  <c r="A1083" i="4"/>
  <c r="B1083" i="4"/>
  <c r="A1084" i="4"/>
  <c r="B1084" i="4"/>
  <c r="A1086" i="4"/>
  <c r="B1086" i="4"/>
  <c r="A1085" i="4"/>
  <c r="B1085" i="4"/>
  <c r="A1087" i="4"/>
  <c r="B1087" i="4"/>
  <c r="A1088" i="4"/>
  <c r="B1088" i="4"/>
  <c r="A1089" i="4"/>
  <c r="B1089" i="4"/>
  <c r="A1090" i="4"/>
  <c r="B1090" i="4"/>
  <c r="A1091" i="4"/>
  <c r="B1091" i="4"/>
  <c r="A1094" i="4"/>
  <c r="B1094" i="4"/>
  <c r="A1093" i="4"/>
  <c r="B1093" i="4"/>
  <c r="A1095" i="4"/>
  <c r="B1095" i="4"/>
  <c r="A1096" i="4"/>
  <c r="B1096" i="4"/>
  <c r="A1097" i="4"/>
  <c r="B1097" i="4"/>
  <c r="A1098" i="4"/>
  <c r="B1098" i="4"/>
  <c r="A1099" i="4"/>
  <c r="B1099" i="4"/>
  <c r="A1100" i="4"/>
  <c r="B1100" i="4"/>
  <c r="A1101" i="4"/>
  <c r="B1101" i="4"/>
  <c r="A1102" i="4"/>
  <c r="B1102" i="4"/>
  <c r="A1103" i="4"/>
  <c r="B1103" i="4"/>
  <c r="A1104" i="4"/>
  <c r="B1104" i="4"/>
  <c r="A1105" i="4"/>
  <c r="B1105" i="4"/>
  <c r="A1106" i="4"/>
  <c r="B1106" i="4"/>
  <c r="A1107" i="4"/>
  <c r="B1107" i="4"/>
  <c r="A1108" i="4"/>
  <c r="B1108" i="4"/>
  <c r="A1109" i="4"/>
  <c r="B1109" i="4"/>
  <c r="A1110" i="4"/>
  <c r="B1110" i="4"/>
  <c r="A1111" i="4"/>
  <c r="B1111" i="4"/>
  <c r="A1112" i="4"/>
  <c r="B1112" i="4"/>
  <c r="A1113" i="4"/>
  <c r="B1113" i="4"/>
  <c r="A1114" i="4"/>
  <c r="B1114" i="4"/>
  <c r="A1115" i="4"/>
  <c r="B1115" i="4"/>
  <c r="A1116" i="4"/>
  <c r="B1116" i="4"/>
  <c r="A1117" i="4"/>
  <c r="B1117" i="4"/>
  <c r="A1118" i="4"/>
  <c r="B1118" i="4"/>
  <c r="A1119" i="4"/>
  <c r="B1119" i="4"/>
  <c r="A1120" i="4"/>
  <c r="B1120" i="4"/>
  <c r="A1121" i="4"/>
  <c r="B1121" i="4"/>
  <c r="A1122" i="4"/>
  <c r="B1122" i="4"/>
  <c r="A1123" i="4"/>
  <c r="B1123" i="4"/>
  <c r="A1124" i="4"/>
  <c r="B1124" i="4"/>
  <c r="A1125" i="4"/>
  <c r="B1125" i="4"/>
  <c r="A1126" i="4"/>
  <c r="B1126" i="4"/>
  <c r="A1127" i="4"/>
  <c r="B1127" i="4"/>
  <c r="A1130" i="4"/>
  <c r="B1130" i="4"/>
  <c r="A1131" i="4"/>
  <c r="B1131" i="4"/>
  <c r="A1128" i="4"/>
  <c r="B1128" i="4"/>
  <c r="A1129" i="4"/>
  <c r="B1129" i="4"/>
  <c r="A1132" i="4"/>
  <c r="B1132" i="4"/>
  <c r="A1133" i="4"/>
  <c r="B1133" i="4"/>
  <c r="A1134" i="4"/>
  <c r="B1134" i="4"/>
  <c r="A1135" i="4"/>
  <c r="B1135" i="4"/>
  <c r="A1136" i="4"/>
  <c r="B1136" i="4"/>
  <c r="A1137" i="4"/>
  <c r="B1137" i="4"/>
  <c r="A1138" i="4"/>
  <c r="B1138" i="4"/>
  <c r="A1140" i="4"/>
  <c r="B1140" i="4"/>
  <c r="A1139" i="4"/>
  <c r="B1139" i="4"/>
  <c r="A1141" i="4"/>
  <c r="B1141" i="4"/>
  <c r="A1142" i="4"/>
  <c r="B1142" i="4"/>
  <c r="A1143" i="4"/>
  <c r="B1143" i="4"/>
  <c r="A1144" i="4"/>
  <c r="B1144" i="4"/>
  <c r="A1145" i="4"/>
  <c r="B1145" i="4"/>
  <c r="A1146" i="4"/>
  <c r="B1146" i="4"/>
  <c r="A1150" i="4"/>
  <c r="B1150" i="4"/>
  <c r="A1152" i="4"/>
  <c r="B1152" i="4"/>
  <c r="A1153" i="4"/>
  <c r="B1153" i="4"/>
  <c r="A1154" i="4"/>
  <c r="B1154" i="4"/>
  <c r="A1148" i="4"/>
  <c r="B1148" i="4"/>
  <c r="A1147" i="4"/>
  <c r="B1147" i="4"/>
  <c r="A1149" i="4"/>
  <c r="B1149" i="4"/>
  <c r="A1151" i="4"/>
  <c r="B1151" i="4"/>
  <c r="A1155" i="4"/>
  <c r="B1155" i="4"/>
  <c r="A1159" i="4"/>
  <c r="B1159" i="4"/>
  <c r="A1158" i="4"/>
  <c r="B1158" i="4"/>
  <c r="A1156" i="4"/>
  <c r="B1156" i="4"/>
  <c r="A1157" i="4"/>
  <c r="B1157" i="4"/>
  <c r="A1160" i="4"/>
  <c r="B1160" i="4"/>
  <c r="A1161" i="4"/>
  <c r="B1161" i="4"/>
  <c r="A1162" i="4"/>
  <c r="B1162" i="4"/>
  <c r="A1163" i="4"/>
  <c r="B1163" i="4"/>
  <c r="A1164" i="4"/>
  <c r="B1164" i="4"/>
  <c r="A1165" i="4"/>
  <c r="B1165" i="4"/>
  <c r="A1166" i="4"/>
  <c r="B1166" i="4"/>
  <c r="A1167" i="4"/>
  <c r="B1167" i="4"/>
  <c r="A1169" i="4"/>
  <c r="B1169" i="4"/>
  <c r="A1170" i="4"/>
  <c r="B1170" i="4"/>
  <c r="A1168" i="4"/>
  <c r="B1168" i="4"/>
  <c r="A1171" i="4"/>
  <c r="B1171" i="4"/>
  <c r="A1172" i="4"/>
  <c r="B1172" i="4"/>
  <c r="A1173" i="4"/>
  <c r="B1173" i="4"/>
  <c r="A1174" i="4"/>
  <c r="B1174" i="4"/>
  <c r="A1175" i="4"/>
  <c r="B1175" i="4"/>
  <c r="A1177" i="4"/>
  <c r="B1177" i="4"/>
  <c r="A1176" i="4"/>
  <c r="B1176" i="4"/>
  <c r="A1178" i="4"/>
  <c r="B1178" i="4"/>
  <c r="A1179" i="4"/>
  <c r="B1179" i="4"/>
  <c r="A1180" i="4"/>
  <c r="B1180" i="4"/>
  <c r="A1181" i="4"/>
  <c r="B1181" i="4"/>
  <c r="A1182" i="4"/>
  <c r="B1182" i="4"/>
  <c r="A1183" i="4"/>
  <c r="B1183" i="4"/>
  <c r="A1184" i="4"/>
  <c r="B1184" i="4"/>
  <c r="A1185" i="4"/>
  <c r="B1185" i="4"/>
  <c r="A1186" i="4"/>
  <c r="B1186" i="4"/>
  <c r="A369" i="4"/>
  <c r="B369" i="4"/>
  <c r="A14" i="4"/>
  <c r="B14" i="4"/>
  <c r="A864" i="4"/>
  <c r="B864" i="4"/>
  <c r="A964" i="4"/>
  <c r="B964" i="4"/>
  <c r="A1092" i="4"/>
  <c r="B1092" i="4"/>
  <c r="A780" i="4"/>
  <c r="B780" i="4"/>
  <c r="A571" i="4"/>
  <c r="B571" i="4"/>
  <c r="A697" i="4"/>
  <c r="B697" i="4"/>
  <c r="AR2" i="2"/>
  <c r="AS2" i="2"/>
  <c r="AT2" i="2"/>
  <c r="AU2" i="2"/>
  <c r="AV2" i="2"/>
  <c r="AW2" i="2" s="1"/>
  <c r="AX2" i="2"/>
  <c r="AY2" i="2"/>
  <c r="AR3" i="2"/>
  <c r="AS3" i="2"/>
  <c r="AT3" i="2"/>
  <c r="AU3" i="2"/>
  <c r="AV3" i="2"/>
  <c r="AW3" i="2" s="1"/>
  <c r="AX3" i="2"/>
  <c r="AY3" i="2"/>
  <c r="AR4" i="2"/>
  <c r="AS4" i="2"/>
  <c r="AT4" i="2"/>
  <c r="AU4" i="2"/>
  <c r="AV4" i="2"/>
  <c r="AW4" i="2" s="1"/>
  <c r="AX4" i="2"/>
  <c r="AY4" i="2"/>
  <c r="AR5" i="2"/>
  <c r="AS5" i="2"/>
  <c r="AT5" i="2"/>
  <c r="AU5" i="2"/>
  <c r="AV5" i="2"/>
  <c r="AW5" i="2" s="1"/>
  <c r="AX5" i="2"/>
  <c r="AY5" i="2"/>
  <c r="AR6" i="2"/>
  <c r="AS6" i="2"/>
  <c r="AT6" i="2"/>
  <c r="AU6" i="2"/>
  <c r="AV6" i="2"/>
  <c r="AW6" i="2" s="1"/>
  <c r="AX6" i="2"/>
  <c r="AY6" i="2"/>
  <c r="AR7" i="2"/>
  <c r="AS7" i="2"/>
  <c r="AT7" i="2"/>
  <c r="AU7" i="2"/>
  <c r="AV7" i="2"/>
  <c r="AW7" i="2" s="1"/>
  <c r="AX7" i="2"/>
  <c r="AY7" i="2"/>
  <c r="AR8" i="2"/>
  <c r="AS8" i="2"/>
  <c r="AT8" i="2"/>
  <c r="AU8" i="2"/>
  <c r="AV8" i="2"/>
  <c r="AW8" i="2" s="1"/>
  <c r="AX8" i="2"/>
  <c r="AY8" i="2"/>
  <c r="AR9" i="2"/>
  <c r="AS9" i="2"/>
  <c r="AT9" i="2"/>
  <c r="AU9" i="2"/>
  <c r="AV9" i="2"/>
  <c r="AW9" i="2" s="1"/>
  <c r="AX9" i="2"/>
  <c r="AY9" i="2"/>
  <c r="AR10" i="2"/>
  <c r="AS10" i="2"/>
  <c r="AT10" i="2"/>
  <c r="AU10" i="2"/>
  <c r="AV10" i="2"/>
  <c r="AW10" i="2" s="1"/>
  <c r="AX10" i="2"/>
  <c r="AY10" i="2"/>
  <c r="AR11" i="2"/>
  <c r="AS11" i="2"/>
  <c r="AT11" i="2"/>
  <c r="AU11" i="2"/>
  <c r="AV11" i="2"/>
  <c r="AW11" i="2" s="1"/>
  <c r="AX11" i="2"/>
  <c r="AY11" i="2"/>
  <c r="AR12" i="2"/>
  <c r="AS12" i="2"/>
  <c r="AT12" i="2"/>
  <c r="AU12" i="2"/>
  <c r="AV12" i="2"/>
  <c r="AW12" i="2" s="1"/>
  <c r="AX12" i="2"/>
  <c r="AY12" i="2"/>
  <c r="AR13" i="2"/>
  <c r="AS13" i="2"/>
  <c r="AT13" i="2"/>
  <c r="AU13" i="2"/>
  <c r="AV13" i="2"/>
  <c r="AW13" i="2" s="1"/>
  <c r="AX13" i="2"/>
  <c r="AY13" i="2"/>
  <c r="AR14" i="2"/>
  <c r="AS14" i="2"/>
  <c r="AT14" i="2"/>
  <c r="AU14" i="2"/>
  <c r="AV14" i="2"/>
  <c r="AW14" i="2" s="1"/>
  <c r="AX14" i="2"/>
  <c r="AY14" i="2"/>
  <c r="AR15" i="2"/>
  <c r="AS15" i="2"/>
  <c r="AT15" i="2"/>
  <c r="AU15" i="2"/>
  <c r="AV15" i="2"/>
  <c r="AW15" i="2" s="1"/>
  <c r="AX15" i="2"/>
  <c r="AY15" i="2"/>
  <c r="AR16" i="2"/>
  <c r="AS16" i="2"/>
  <c r="AT16" i="2"/>
  <c r="AU16" i="2"/>
  <c r="AV16" i="2"/>
  <c r="AW16" i="2" s="1"/>
  <c r="AX16" i="2"/>
  <c r="AY16" i="2"/>
  <c r="AR17" i="2"/>
  <c r="AS17" i="2"/>
  <c r="AT17" i="2"/>
  <c r="AU17" i="2"/>
  <c r="AV17" i="2"/>
  <c r="AW17" i="2" s="1"/>
  <c r="AX17" i="2"/>
  <c r="AY17" i="2"/>
  <c r="AR18" i="2"/>
  <c r="AS18" i="2"/>
  <c r="AT18" i="2"/>
  <c r="AU18" i="2"/>
  <c r="AV18" i="2"/>
  <c r="AW18" i="2" s="1"/>
  <c r="AX18" i="2"/>
  <c r="AY18" i="2"/>
  <c r="AR19" i="2"/>
  <c r="AS19" i="2"/>
  <c r="AT19" i="2"/>
  <c r="AU19" i="2"/>
  <c r="AV19" i="2"/>
  <c r="AW19" i="2" s="1"/>
  <c r="AX19" i="2"/>
  <c r="AY19" i="2"/>
  <c r="AR20" i="2"/>
  <c r="AS20" i="2"/>
  <c r="AT20" i="2"/>
  <c r="AU20" i="2"/>
  <c r="AV20" i="2"/>
  <c r="AW20" i="2" s="1"/>
  <c r="AX20" i="2"/>
  <c r="AY20" i="2"/>
  <c r="AR21" i="2"/>
  <c r="AS21" i="2"/>
  <c r="AT21" i="2"/>
  <c r="AU21" i="2"/>
  <c r="AV21" i="2"/>
  <c r="AW21" i="2" s="1"/>
  <c r="AX21" i="2"/>
  <c r="AY21" i="2"/>
  <c r="AR22" i="2"/>
  <c r="AS22" i="2"/>
  <c r="AT22" i="2"/>
  <c r="AU22" i="2"/>
  <c r="AV22" i="2"/>
  <c r="AW22" i="2" s="1"/>
  <c r="AX22" i="2"/>
  <c r="AY22" i="2"/>
  <c r="AR23" i="2"/>
  <c r="AS23" i="2"/>
  <c r="AT23" i="2"/>
  <c r="AU23" i="2"/>
  <c r="AV23" i="2"/>
  <c r="AW23" i="2" s="1"/>
  <c r="AX23" i="2"/>
  <c r="AY23" i="2"/>
  <c r="AR24" i="2"/>
  <c r="AS24" i="2"/>
  <c r="AT24" i="2"/>
  <c r="AU24" i="2"/>
  <c r="AV24" i="2"/>
  <c r="AW24" i="2" s="1"/>
  <c r="AX24" i="2"/>
  <c r="AY24" i="2"/>
  <c r="AR25" i="2"/>
  <c r="AS25" i="2"/>
  <c r="AT25" i="2"/>
  <c r="AU25" i="2"/>
  <c r="AV25" i="2"/>
  <c r="AW25" i="2" s="1"/>
  <c r="AX25" i="2"/>
  <c r="AY25" i="2"/>
  <c r="AR26" i="2"/>
  <c r="AS26" i="2"/>
  <c r="AT26" i="2"/>
  <c r="AU26" i="2"/>
  <c r="AV26" i="2"/>
  <c r="AW26" i="2" s="1"/>
  <c r="AX26" i="2"/>
  <c r="AY26" i="2"/>
  <c r="AR27" i="2"/>
  <c r="AS27" i="2"/>
  <c r="AT27" i="2"/>
  <c r="AU27" i="2"/>
  <c r="AV27" i="2"/>
  <c r="AW27" i="2" s="1"/>
  <c r="AX27" i="2"/>
  <c r="AY27" i="2"/>
  <c r="AR28" i="2"/>
  <c r="AS28" i="2"/>
  <c r="AT28" i="2"/>
  <c r="AU28" i="2"/>
  <c r="AV28" i="2"/>
  <c r="AW28" i="2" s="1"/>
  <c r="AX28" i="2"/>
  <c r="AY28" i="2"/>
  <c r="AR29" i="2"/>
  <c r="AS29" i="2"/>
  <c r="AT29" i="2"/>
  <c r="AU29" i="2"/>
  <c r="AV29" i="2"/>
  <c r="AW29" i="2" s="1"/>
  <c r="AX29" i="2"/>
  <c r="AY29" i="2"/>
  <c r="AR30" i="2"/>
  <c r="AS30" i="2"/>
  <c r="AT30" i="2"/>
  <c r="AU30" i="2"/>
  <c r="AV30" i="2"/>
  <c r="AW30" i="2" s="1"/>
  <c r="AX30" i="2"/>
  <c r="AY30" i="2"/>
  <c r="AR31" i="2"/>
  <c r="AS31" i="2"/>
  <c r="AT31" i="2"/>
  <c r="AU31" i="2"/>
  <c r="AV31" i="2"/>
  <c r="AW31" i="2" s="1"/>
  <c r="AX31" i="2"/>
  <c r="AY31" i="2"/>
  <c r="AR32" i="2"/>
  <c r="AS32" i="2"/>
  <c r="AT32" i="2"/>
  <c r="AU32" i="2"/>
  <c r="AV32" i="2"/>
  <c r="AW32" i="2" s="1"/>
  <c r="AX32" i="2"/>
  <c r="AY32" i="2"/>
  <c r="AR33" i="2"/>
  <c r="AS33" i="2"/>
  <c r="AT33" i="2"/>
  <c r="AU33" i="2"/>
  <c r="AV33" i="2"/>
  <c r="AW33" i="2" s="1"/>
  <c r="AX33" i="2"/>
  <c r="AY33" i="2"/>
  <c r="AR34" i="2"/>
  <c r="AS34" i="2"/>
  <c r="AT34" i="2"/>
  <c r="AU34" i="2"/>
  <c r="AV34" i="2"/>
  <c r="AW34" i="2" s="1"/>
  <c r="AX34" i="2"/>
  <c r="AY34" i="2"/>
  <c r="AR35" i="2"/>
  <c r="AS35" i="2"/>
  <c r="AT35" i="2"/>
  <c r="AU35" i="2"/>
  <c r="AV35" i="2"/>
  <c r="AW35" i="2" s="1"/>
  <c r="AX35" i="2"/>
  <c r="AY35" i="2"/>
  <c r="AR36" i="2"/>
  <c r="AS36" i="2"/>
  <c r="AT36" i="2"/>
  <c r="AU36" i="2"/>
  <c r="AV36" i="2"/>
  <c r="AW36" i="2" s="1"/>
  <c r="AX36" i="2"/>
  <c r="AY36" i="2"/>
  <c r="AR37" i="2"/>
  <c r="AS37" i="2"/>
  <c r="AT37" i="2"/>
  <c r="AU37" i="2"/>
  <c r="AV37" i="2"/>
  <c r="AW37" i="2" s="1"/>
  <c r="AX37" i="2"/>
  <c r="AY37" i="2"/>
  <c r="AR38" i="2"/>
  <c r="AS38" i="2"/>
  <c r="AT38" i="2"/>
  <c r="AU38" i="2"/>
  <c r="AV38" i="2"/>
  <c r="AW38" i="2" s="1"/>
  <c r="AX38" i="2"/>
  <c r="AY38" i="2"/>
  <c r="AR39" i="2"/>
  <c r="AS39" i="2"/>
  <c r="AT39" i="2"/>
  <c r="AU39" i="2"/>
  <c r="AV39" i="2"/>
  <c r="AW39" i="2" s="1"/>
  <c r="AX39" i="2"/>
  <c r="AY39" i="2"/>
  <c r="AR40" i="2"/>
  <c r="AS40" i="2"/>
  <c r="AT40" i="2"/>
  <c r="AU40" i="2"/>
  <c r="AV40" i="2"/>
  <c r="AW40" i="2" s="1"/>
  <c r="AX40" i="2"/>
  <c r="AY40" i="2"/>
  <c r="AR41" i="2"/>
  <c r="AS41" i="2"/>
  <c r="AT41" i="2"/>
  <c r="AU41" i="2"/>
  <c r="AV41" i="2"/>
  <c r="AW41" i="2" s="1"/>
  <c r="AX41" i="2"/>
  <c r="AY41" i="2"/>
  <c r="AR42" i="2"/>
  <c r="AS42" i="2"/>
  <c r="AT42" i="2"/>
  <c r="AU42" i="2"/>
  <c r="AV42" i="2"/>
  <c r="AW42" i="2" s="1"/>
  <c r="AX42" i="2"/>
  <c r="AY42" i="2"/>
  <c r="AR43" i="2"/>
  <c r="AS43" i="2"/>
  <c r="AT43" i="2"/>
  <c r="AU43" i="2"/>
  <c r="AV43" i="2"/>
  <c r="AW43" i="2" s="1"/>
  <c r="AX43" i="2"/>
  <c r="AY43" i="2"/>
  <c r="AR44" i="2"/>
  <c r="AS44" i="2"/>
  <c r="AT44" i="2"/>
  <c r="AU44" i="2"/>
  <c r="AV44" i="2"/>
  <c r="AW44" i="2" s="1"/>
  <c r="AX44" i="2"/>
  <c r="AY44" i="2"/>
  <c r="AR45" i="2"/>
  <c r="AS45" i="2"/>
  <c r="AT45" i="2"/>
  <c r="AU45" i="2"/>
  <c r="AV45" i="2"/>
  <c r="AW45" i="2" s="1"/>
  <c r="AX45" i="2"/>
  <c r="AY45" i="2"/>
  <c r="AR46" i="2"/>
  <c r="AS46" i="2"/>
  <c r="AT46" i="2"/>
  <c r="AU46" i="2"/>
  <c r="AV46" i="2"/>
  <c r="AW46" i="2" s="1"/>
  <c r="AX46" i="2"/>
  <c r="AY46" i="2"/>
  <c r="AR47" i="2"/>
  <c r="AS47" i="2"/>
  <c r="AT47" i="2"/>
  <c r="AU47" i="2"/>
  <c r="AV47" i="2"/>
  <c r="AW47" i="2" s="1"/>
  <c r="AX47" i="2"/>
  <c r="AY47" i="2"/>
  <c r="AR48" i="2"/>
  <c r="AS48" i="2"/>
  <c r="AT48" i="2"/>
  <c r="AU48" i="2"/>
  <c r="AV48" i="2"/>
  <c r="AW48" i="2" s="1"/>
  <c r="AX48" i="2"/>
  <c r="AY48" i="2"/>
  <c r="AR49" i="2"/>
  <c r="AS49" i="2"/>
  <c r="AT49" i="2"/>
  <c r="AU49" i="2"/>
  <c r="AV49" i="2"/>
  <c r="AW49" i="2" s="1"/>
  <c r="AX49" i="2"/>
  <c r="AY49" i="2"/>
  <c r="AR50" i="2"/>
  <c r="AS50" i="2"/>
  <c r="AT50" i="2"/>
  <c r="AU50" i="2"/>
  <c r="AV50" i="2"/>
  <c r="AW50" i="2" s="1"/>
  <c r="AX50" i="2"/>
  <c r="AY50" i="2"/>
  <c r="AR51" i="2"/>
  <c r="AS51" i="2"/>
  <c r="AT51" i="2"/>
  <c r="AU51" i="2"/>
  <c r="AV51" i="2"/>
  <c r="AW51" i="2" s="1"/>
  <c r="AX51" i="2"/>
  <c r="AY51" i="2"/>
  <c r="AR52" i="2"/>
  <c r="AS52" i="2"/>
  <c r="AT52" i="2"/>
  <c r="AU52" i="2"/>
  <c r="AV52" i="2"/>
  <c r="AW52" i="2" s="1"/>
  <c r="AX52" i="2"/>
  <c r="AY52" i="2"/>
  <c r="AR53" i="2"/>
  <c r="AS53" i="2"/>
  <c r="AT53" i="2"/>
  <c r="AU53" i="2"/>
  <c r="AV53" i="2"/>
  <c r="AW53" i="2" s="1"/>
  <c r="AX53" i="2"/>
  <c r="AY53" i="2"/>
  <c r="AR54" i="2"/>
  <c r="AS54" i="2"/>
  <c r="AT54" i="2"/>
  <c r="AU54" i="2"/>
  <c r="AV54" i="2"/>
  <c r="AW54" i="2" s="1"/>
  <c r="AX54" i="2"/>
  <c r="AY54" i="2"/>
  <c r="AR55" i="2"/>
  <c r="AS55" i="2"/>
  <c r="AT55" i="2"/>
  <c r="AU55" i="2"/>
  <c r="AV55" i="2"/>
  <c r="AW55" i="2" s="1"/>
  <c r="AX55" i="2"/>
  <c r="AY55" i="2"/>
  <c r="AR56" i="2"/>
  <c r="AS56" i="2"/>
  <c r="AT56" i="2"/>
  <c r="AU56" i="2"/>
  <c r="AV56" i="2"/>
  <c r="AW56" i="2" s="1"/>
  <c r="AX56" i="2"/>
  <c r="AY56" i="2"/>
  <c r="AR57" i="2"/>
  <c r="AS57" i="2"/>
  <c r="AT57" i="2"/>
  <c r="AU57" i="2"/>
  <c r="AV57" i="2"/>
  <c r="AW57" i="2" s="1"/>
  <c r="AX57" i="2"/>
  <c r="AY57" i="2"/>
  <c r="AR58" i="2"/>
  <c r="AS58" i="2"/>
  <c r="AT58" i="2"/>
  <c r="AU58" i="2"/>
  <c r="AV58" i="2"/>
  <c r="AW58" i="2" s="1"/>
  <c r="AX58" i="2"/>
  <c r="AY58" i="2"/>
  <c r="AR59" i="2"/>
  <c r="AS59" i="2"/>
  <c r="AT59" i="2"/>
  <c r="AU59" i="2"/>
  <c r="AV59" i="2"/>
  <c r="AW59" i="2" s="1"/>
  <c r="AX59" i="2"/>
  <c r="AY59" i="2"/>
  <c r="AR60" i="2"/>
  <c r="AS60" i="2"/>
  <c r="AT60" i="2"/>
  <c r="AU60" i="2"/>
  <c r="AV60" i="2"/>
  <c r="AW60" i="2" s="1"/>
  <c r="AX60" i="2"/>
  <c r="AY60" i="2"/>
  <c r="AR61" i="2"/>
  <c r="AS61" i="2"/>
  <c r="AT61" i="2"/>
  <c r="AU61" i="2"/>
  <c r="AV61" i="2"/>
  <c r="AW61" i="2" s="1"/>
  <c r="AX61" i="2"/>
  <c r="AY61" i="2"/>
  <c r="AR62" i="2"/>
  <c r="AS62" i="2"/>
  <c r="AT62" i="2"/>
  <c r="AU62" i="2"/>
  <c r="AV62" i="2"/>
  <c r="AW62" i="2" s="1"/>
  <c r="AX62" i="2"/>
  <c r="AY62" i="2"/>
  <c r="AR63" i="2"/>
  <c r="AS63" i="2"/>
  <c r="AT63" i="2"/>
  <c r="AU63" i="2"/>
  <c r="AV63" i="2"/>
  <c r="AW63" i="2" s="1"/>
  <c r="AX63" i="2"/>
  <c r="AY63" i="2"/>
  <c r="AR64" i="2"/>
  <c r="AS64" i="2"/>
  <c r="AT64" i="2"/>
  <c r="AU64" i="2"/>
  <c r="AV64" i="2"/>
  <c r="AW64" i="2" s="1"/>
  <c r="AX64" i="2"/>
  <c r="AY64" i="2"/>
  <c r="AR65" i="2"/>
  <c r="AS65" i="2"/>
  <c r="AT65" i="2"/>
  <c r="AU65" i="2"/>
  <c r="AV65" i="2"/>
  <c r="AW65" i="2" s="1"/>
  <c r="AX65" i="2"/>
  <c r="AY65" i="2"/>
  <c r="AR66" i="2"/>
  <c r="AS66" i="2"/>
  <c r="AT66" i="2"/>
  <c r="AU66" i="2"/>
  <c r="AV66" i="2"/>
  <c r="AW66" i="2" s="1"/>
  <c r="AX66" i="2"/>
  <c r="AY66" i="2"/>
  <c r="AR67" i="2"/>
  <c r="AS67" i="2"/>
  <c r="AT67" i="2"/>
  <c r="AU67" i="2"/>
  <c r="AV67" i="2"/>
  <c r="AW67" i="2" s="1"/>
  <c r="AX67" i="2"/>
  <c r="AY67" i="2"/>
  <c r="AR68" i="2"/>
  <c r="AS68" i="2"/>
  <c r="AT68" i="2"/>
  <c r="AU68" i="2"/>
  <c r="AV68" i="2"/>
  <c r="AW68" i="2" s="1"/>
  <c r="AX68" i="2"/>
  <c r="AY68" i="2"/>
  <c r="AR69" i="2"/>
  <c r="AS69" i="2"/>
  <c r="AT69" i="2"/>
  <c r="AU69" i="2"/>
  <c r="AV69" i="2"/>
  <c r="AW69" i="2" s="1"/>
  <c r="AX69" i="2"/>
  <c r="AY69" i="2"/>
  <c r="AR70" i="2"/>
  <c r="AS70" i="2"/>
  <c r="AT70" i="2"/>
  <c r="AU70" i="2"/>
  <c r="AV70" i="2"/>
  <c r="AW70" i="2" s="1"/>
  <c r="AX70" i="2"/>
  <c r="AY70" i="2"/>
  <c r="AR71" i="2"/>
  <c r="AS71" i="2"/>
  <c r="AT71" i="2"/>
  <c r="AU71" i="2"/>
  <c r="AV71" i="2"/>
  <c r="AW71" i="2" s="1"/>
  <c r="AX71" i="2"/>
  <c r="AY71" i="2"/>
  <c r="AR72" i="2"/>
  <c r="AS72" i="2"/>
  <c r="AT72" i="2"/>
  <c r="AU72" i="2"/>
  <c r="AV72" i="2"/>
  <c r="AW72" i="2" s="1"/>
  <c r="AX72" i="2"/>
  <c r="AY72" i="2"/>
  <c r="AR73" i="2"/>
  <c r="AS73" i="2"/>
  <c r="AT73" i="2"/>
  <c r="AU73" i="2"/>
  <c r="AV73" i="2"/>
  <c r="AW73" i="2" s="1"/>
  <c r="AX73" i="2"/>
  <c r="AY73" i="2"/>
  <c r="AR74" i="2"/>
  <c r="AS74" i="2"/>
  <c r="AT74" i="2"/>
  <c r="AU74" i="2"/>
  <c r="AV74" i="2"/>
  <c r="AW74" i="2" s="1"/>
  <c r="AX74" i="2"/>
  <c r="AY74" i="2"/>
  <c r="AR75" i="2"/>
  <c r="AS75" i="2"/>
  <c r="AT75" i="2"/>
  <c r="AU75" i="2"/>
  <c r="AV75" i="2"/>
  <c r="AW75" i="2" s="1"/>
  <c r="AX75" i="2"/>
  <c r="AY75" i="2"/>
  <c r="AR76" i="2"/>
  <c r="AS76" i="2"/>
  <c r="AT76" i="2"/>
  <c r="AU76" i="2"/>
  <c r="AV76" i="2"/>
  <c r="AW76" i="2" s="1"/>
  <c r="AX76" i="2"/>
  <c r="AY76" i="2"/>
  <c r="AR77" i="2"/>
  <c r="AS77" i="2"/>
  <c r="AT77" i="2"/>
  <c r="AU77" i="2"/>
  <c r="AV77" i="2"/>
  <c r="AW77" i="2" s="1"/>
  <c r="AX77" i="2"/>
  <c r="AY77" i="2"/>
  <c r="AR78" i="2"/>
  <c r="AS78" i="2"/>
  <c r="AT78" i="2"/>
  <c r="AU78" i="2"/>
  <c r="AV78" i="2"/>
  <c r="AW78" i="2" s="1"/>
  <c r="AX78" i="2"/>
  <c r="AY78" i="2"/>
  <c r="AR79" i="2"/>
  <c r="AS79" i="2"/>
  <c r="AT79" i="2"/>
  <c r="AU79" i="2"/>
  <c r="AV79" i="2"/>
  <c r="AW79" i="2" s="1"/>
  <c r="AX79" i="2"/>
  <c r="AY79" i="2"/>
  <c r="AR80" i="2"/>
  <c r="AS80" i="2"/>
  <c r="AT80" i="2"/>
  <c r="AU80" i="2"/>
  <c r="AV80" i="2"/>
  <c r="AW80" i="2" s="1"/>
  <c r="AX80" i="2"/>
  <c r="AY80" i="2"/>
  <c r="AR81" i="2"/>
  <c r="AS81" i="2"/>
  <c r="AT81" i="2"/>
  <c r="AU81" i="2"/>
  <c r="AV81" i="2"/>
  <c r="AW81" i="2" s="1"/>
  <c r="AX81" i="2"/>
  <c r="AY81" i="2"/>
  <c r="AR82" i="2"/>
  <c r="AS82" i="2"/>
  <c r="AT82" i="2"/>
  <c r="AU82" i="2"/>
  <c r="AV82" i="2"/>
  <c r="AW82" i="2" s="1"/>
  <c r="AX82" i="2"/>
  <c r="AY82" i="2"/>
  <c r="AR83" i="2"/>
  <c r="AS83" i="2"/>
  <c r="AT83" i="2"/>
  <c r="AU83" i="2"/>
  <c r="AV83" i="2"/>
  <c r="AW83" i="2" s="1"/>
  <c r="AX83" i="2"/>
  <c r="AY83" i="2"/>
  <c r="AR84" i="2"/>
  <c r="AS84" i="2"/>
  <c r="AT84" i="2"/>
  <c r="AU84" i="2"/>
  <c r="AV84" i="2"/>
  <c r="AW84" i="2" s="1"/>
  <c r="AX84" i="2"/>
  <c r="AY84" i="2"/>
  <c r="AR85" i="2"/>
  <c r="AS85" i="2"/>
  <c r="AT85" i="2"/>
  <c r="AU85" i="2"/>
  <c r="AV85" i="2"/>
  <c r="AW85" i="2" s="1"/>
  <c r="AX85" i="2"/>
  <c r="AY85" i="2"/>
  <c r="AR86" i="2"/>
  <c r="AS86" i="2"/>
  <c r="AT86" i="2"/>
  <c r="AU86" i="2"/>
  <c r="AV86" i="2"/>
  <c r="AW86" i="2" s="1"/>
  <c r="AX86" i="2"/>
  <c r="AY86" i="2"/>
  <c r="AR87" i="2"/>
  <c r="AS87" i="2"/>
  <c r="AT87" i="2"/>
  <c r="AU87" i="2"/>
  <c r="AV87" i="2"/>
  <c r="AW87" i="2" s="1"/>
  <c r="AX87" i="2"/>
  <c r="AY87" i="2"/>
  <c r="AR88" i="2"/>
  <c r="AS88" i="2"/>
  <c r="AT88" i="2"/>
  <c r="AU88" i="2"/>
  <c r="AV88" i="2"/>
  <c r="AW88" i="2" s="1"/>
  <c r="AX88" i="2"/>
  <c r="AY88" i="2"/>
  <c r="AR89" i="2"/>
  <c r="AS89" i="2"/>
  <c r="AT89" i="2"/>
  <c r="AU89" i="2"/>
  <c r="AV89" i="2"/>
  <c r="AW89" i="2" s="1"/>
  <c r="AX89" i="2"/>
  <c r="AY89" i="2"/>
  <c r="AR90" i="2"/>
  <c r="AS90" i="2"/>
  <c r="AT90" i="2"/>
  <c r="AU90" i="2"/>
  <c r="AV90" i="2"/>
  <c r="AW90" i="2" s="1"/>
  <c r="AX90" i="2"/>
  <c r="AY90" i="2"/>
  <c r="AR91" i="2"/>
  <c r="AS91" i="2"/>
  <c r="AT91" i="2"/>
  <c r="AU91" i="2"/>
  <c r="AV91" i="2"/>
  <c r="AW91" i="2" s="1"/>
  <c r="AX91" i="2"/>
  <c r="AY91" i="2"/>
  <c r="AR92" i="2"/>
  <c r="AS92" i="2"/>
  <c r="AT92" i="2"/>
  <c r="AU92" i="2"/>
  <c r="AV92" i="2"/>
  <c r="AW92" i="2" s="1"/>
  <c r="AX92" i="2"/>
  <c r="AY92" i="2"/>
  <c r="AR93" i="2"/>
  <c r="AS93" i="2"/>
  <c r="AT93" i="2"/>
  <c r="AU93" i="2"/>
  <c r="AV93" i="2"/>
  <c r="AW93" i="2" s="1"/>
  <c r="AX93" i="2"/>
  <c r="AY93" i="2"/>
  <c r="AR94" i="2"/>
  <c r="AS94" i="2"/>
  <c r="AT94" i="2"/>
  <c r="AU94" i="2"/>
  <c r="AV94" i="2"/>
  <c r="AW94" i="2" s="1"/>
  <c r="AX94" i="2"/>
  <c r="AY94" i="2"/>
  <c r="AR95" i="2"/>
  <c r="AS95" i="2"/>
  <c r="AT95" i="2"/>
  <c r="AU95" i="2"/>
  <c r="AV95" i="2"/>
  <c r="AW95" i="2" s="1"/>
  <c r="AX95" i="2"/>
  <c r="AY95" i="2"/>
  <c r="AR96" i="2"/>
  <c r="AS96" i="2"/>
  <c r="AT96" i="2"/>
  <c r="AU96" i="2"/>
  <c r="AV96" i="2"/>
  <c r="AW96" i="2" s="1"/>
  <c r="AX96" i="2"/>
  <c r="AY96" i="2"/>
  <c r="AR97" i="2"/>
  <c r="AS97" i="2"/>
  <c r="AT97" i="2"/>
  <c r="AU97" i="2"/>
  <c r="AV97" i="2"/>
  <c r="AW97" i="2" s="1"/>
  <c r="AX97" i="2"/>
  <c r="AY97" i="2"/>
  <c r="AR98" i="2"/>
  <c r="AS98" i="2"/>
  <c r="AT98" i="2"/>
  <c r="AU98" i="2"/>
  <c r="AV98" i="2"/>
  <c r="AW98" i="2" s="1"/>
  <c r="AX98" i="2"/>
  <c r="AY98" i="2"/>
  <c r="AR99" i="2"/>
  <c r="AS99" i="2"/>
  <c r="AT99" i="2"/>
  <c r="AU99" i="2"/>
  <c r="AV99" i="2"/>
  <c r="AW99" i="2" s="1"/>
  <c r="AX99" i="2"/>
  <c r="AY99" i="2"/>
  <c r="AR100" i="2"/>
  <c r="AS100" i="2"/>
  <c r="AT100" i="2"/>
  <c r="AU100" i="2"/>
  <c r="AV100" i="2"/>
  <c r="AW100" i="2" s="1"/>
  <c r="AX100" i="2"/>
  <c r="AY100" i="2"/>
  <c r="AR101" i="2"/>
  <c r="AS101" i="2"/>
  <c r="AT101" i="2"/>
  <c r="AU101" i="2"/>
  <c r="AV101" i="2"/>
  <c r="AW101" i="2" s="1"/>
  <c r="AX101" i="2"/>
  <c r="AY101" i="2"/>
  <c r="AR102" i="2"/>
  <c r="AS102" i="2"/>
  <c r="AT102" i="2"/>
  <c r="AU102" i="2"/>
  <c r="AV102" i="2"/>
  <c r="AW102" i="2" s="1"/>
  <c r="AX102" i="2"/>
  <c r="AY102" i="2"/>
  <c r="AR103" i="2"/>
  <c r="AS103" i="2"/>
  <c r="AT103" i="2"/>
  <c r="AU103" i="2"/>
  <c r="AV103" i="2"/>
  <c r="AW103" i="2" s="1"/>
  <c r="AX103" i="2"/>
  <c r="AY103" i="2"/>
  <c r="AR104" i="2"/>
  <c r="AS104" i="2"/>
  <c r="AT104" i="2"/>
  <c r="AU104" i="2"/>
  <c r="AV104" i="2"/>
  <c r="AW104" i="2" s="1"/>
  <c r="AX104" i="2"/>
  <c r="AY104" i="2"/>
  <c r="AR105" i="2"/>
  <c r="AS105" i="2"/>
  <c r="AT105" i="2"/>
  <c r="AU105" i="2"/>
  <c r="AV105" i="2"/>
  <c r="AW105" i="2" s="1"/>
  <c r="AX105" i="2"/>
  <c r="AY105" i="2"/>
  <c r="AR106" i="2"/>
  <c r="AS106" i="2"/>
  <c r="AT106" i="2"/>
  <c r="AU106" i="2"/>
  <c r="AV106" i="2"/>
  <c r="AW106" i="2" s="1"/>
  <c r="AX106" i="2"/>
  <c r="AY106" i="2"/>
  <c r="AR107" i="2"/>
  <c r="AS107" i="2"/>
  <c r="AT107" i="2"/>
  <c r="AU107" i="2"/>
  <c r="AV107" i="2"/>
  <c r="AW107" i="2" s="1"/>
  <c r="AX107" i="2"/>
  <c r="AY107" i="2"/>
  <c r="AR108" i="2"/>
  <c r="AS108" i="2"/>
  <c r="AT108" i="2"/>
  <c r="AU108" i="2"/>
  <c r="AV108" i="2"/>
  <c r="AW108" i="2" s="1"/>
  <c r="AX108" i="2"/>
  <c r="AY108" i="2"/>
  <c r="AR109" i="2"/>
  <c r="AS109" i="2"/>
  <c r="AT109" i="2"/>
  <c r="AU109" i="2"/>
  <c r="AV109" i="2"/>
  <c r="AW109" i="2" s="1"/>
  <c r="AX109" i="2"/>
  <c r="AY109" i="2"/>
  <c r="AR110" i="2"/>
  <c r="AS110" i="2"/>
  <c r="AT110" i="2"/>
  <c r="AU110" i="2"/>
  <c r="AV110" i="2"/>
  <c r="AW110" i="2" s="1"/>
  <c r="AX110" i="2"/>
  <c r="AY110" i="2"/>
  <c r="AR111" i="2"/>
  <c r="AS111" i="2"/>
  <c r="AT111" i="2"/>
  <c r="AU111" i="2"/>
  <c r="AV111" i="2"/>
  <c r="AW111" i="2" s="1"/>
  <c r="AX111" i="2"/>
  <c r="AY111" i="2"/>
  <c r="AR112" i="2"/>
  <c r="AS112" i="2"/>
  <c r="AT112" i="2"/>
  <c r="AU112" i="2"/>
  <c r="AV112" i="2"/>
  <c r="AW112" i="2" s="1"/>
  <c r="AX112" i="2"/>
  <c r="AY112" i="2"/>
  <c r="AR113" i="2"/>
  <c r="AS113" i="2"/>
  <c r="AT113" i="2"/>
  <c r="AU113" i="2"/>
  <c r="AV113" i="2"/>
  <c r="AW113" i="2" s="1"/>
  <c r="AX113" i="2"/>
  <c r="AY113" i="2"/>
  <c r="AR114" i="2"/>
  <c r="AS114" i="2"/>
  <c r="AT114" i="2"/>
  <c r="AU114" i="2"/>
  <c r="AV114" i="2"/>
  <c r="AW114" i="2" s="1"/>
  <c r="AX114" i="2"/>
  <c r="AY114" i="2"/>
  <c r="AR115" i="2"/>
  <c r="AS115" i="2"/>
  <c r="AT115" i="2"/>
  <c r="AU115" i="2"/>
  <c r="AV115" i="2"/>
  <c r="AW115" i="2" s="1"/>
  <c r="AX115" i="2"/>
  <c r="AY115" i="2"/>
  <c r="AR116" i="2"/>
  <c r="AS116" i="2"/>
  <c r="AT116" i="2"/>
  <c r="AU116" i="2"/>
  <c r="AV116" i="2"/>
  <c r="AW116" i="2" s="1"/>
  <c r="AX116" i="2"/>
  <c r="AY116" i="2"/>
  <c r="AR117" i="2"/>
  <c r="AS117" i="2"/>
  <c r="AT117" i="2"/>
  <c r="AU117" i="2"/>
  <c r="AV117" i="2"/>
  <c r="AW117" i="2" s="1"/>
  <c r="AX117" i="2"/>
  <c r="AY117" i="2"/>
  <c r="AR118" i="2"/>
  <c r="AS118" i="2"/>
  <c r="AT118" i="2"/>
  <c r="AU118" i="2"/>
  <c r="AV118" i="2"/>
  <c r="AW118" i="2" s="1"/>
  <c r="AX118" i="2"/>
  <c r="AY118" i="2"/>
  <c r="AR119" i="2"/>
  <c r="AS119" i="2"/>
  <c r="AT119" i="2"/>
  <c r="AU119" i="2"/>
  <c r="AV119" i="2"/>
  <c r="AW119" i="2" s="1"/>
  <c r="AX119" i="2"/>
  <c r="AY119" i="2"/>
  <c r="AR120" i="2"/>
  <c r="AS120" i="2"/>
  <c r="AT120" i="2"/>
  <c r="AU120" i="2"/>
  <c r="AV120" i="2"/>
  <c r="AW120" i="2" s="1"/>
  <c r="AX120" i="2"/>
  <c r="AY120" i="2"/>
  <c r="AR121" i="2"/>
  <c r="AS121" i="2"/>
  <c r="AT121" i="2"/>
  <c r="AU121" i="2"/>
  <c r="AV121" i="2"/>
  <c r="AW121" i="2" s="1"/>
  <c r="AX121" i="2"/>
  <c r="AY121" i="2"/>
  <c r="AR122" i="2"/>
  <c r="AS122" i="2"/>
  <c r="AT122" i="2"/>
  <c r="AU122" i="2"/>
  <c r="AV122" i="2"/>
  <c r="AW122" i="2" s="1"/>
  <c r="AX122" i="2"/>
  <c r="AY122" i="2"/>
  <c r="AR123" i="2"/>
  <c r="AS123" i="2"/>
  <c r="AT123" i="2"/>
  <c r="AU123" i="2"/>
  <c r="AV123" i="2"/>
  <c r="AW123" i="2" s="1"/>
  <c r="AX123" i="2"/>
  <c r="AY123" i="2"/>
  <c r="AR124" i="2"/>
  <c r="AS124" i="2"/>
  <c r="AT124" i="2"/>
  <c r="AU124" i="2"/>
  <c r="AV124" i="2"/>
  <c r="AW124" i="2" s="1"/>
  <c r="AX124" i="2"/>
  <c r="AY124" i="2"/>
  <c r="AR125" i="2"/>
  <c r="AS125" i="2"/>
  <c r="AT125" i="2"/>
  <c r="AU125" i="2"/>
  <c r="AV125" i="2"/>
  <c r="AW125" i="2" s="1"/>
  <c r="AX125" i="2"/>
  <c r="AY125" i="2"/>
  <c r="AR126" i="2"/>
  <c r="AS126" i="2"/>
  <c r="AT126" i="2"/>
  <c r="AU126" i="2"/>
  <c r="AV126" i="2"/>
  <c r="AW126" i="2" s="1"/>
  <c r="AX126" i="2"/>
  <c r="AY126" i="2"/>
  <c r="AR127" i="2"/>
  <c r="AS127" i="2"/>
  <c r="AT127" i="2"/>
  <c r="AU127" i="2"/>
  <c r="AV127" i="2"/>
  <c r="AW127" i="2" s="1"/>
  <c r="AX127" i="2"/>
  <c r="AY127" i="2"/>
  <c r="AR128" i="2"/>
  <c r="AS128" i="2"/>
  <c r="AT128" i="2"/>
  <c r="AU128" i="2"/>
  <c r="AV128" i="2"/>
  <c r="AW128" i="2" s="1"/>
  <c r="AX128" i="2"/>
  <c r="AY128" i="2"/>
  <c r="AR129" i="2"/>
  <c r="AS129" i="2"/>
  <c r="AT129" i="2"/>
  <c r="AU129" i="2"/>
  <c r="AV129" i="2"/>
  <c r="AW129" i="2" s="1"/>
  <c r="AX129" i="2"/>
  <c r="AY129" i="2"/>
  <c r="AR130" i="2"/>
  <c r="AS130" i="2"/>
  <c r="AT130" i="2"/>
  <c r="AU130" i="2"/>
  <c r="AV130" i="2"/>
  <c r="AW130" i="2" s="1"/>
  <c r="AX130" i="2"/>
  <c r="AY130" i="2"/>
  <c r="AR131" i="2"/>
  <c r="AS131" i="2"/>
  <c r="AT131" i="2"/>
  <c r="AU131" i="2"/>
  <c r="AV131" i="2"/>
  <c r="AW131" i="2" s="1"/>
  <c r="AX131" i="2"/>
  <c r="AY131" i="2"/>
  <c r="AR132" i="2"/>
  <c r="AS132" i="2"/>
  <c r="AT132" i="2"/>
  <c r="AU132" i="2"/>
  <c r="AV132" i="2"/>
  <c r="AW132" i="2" s="1"/>
  <c r="AX132" i="2"/>
  <c r="AY132" i="2"/>
  <c r="AR133" i="2"/>
  <c r="AS133" i="2"/>
  <c r="AT133" i="2"/>
  <c r="AU133" i="2"/>
  <c r="AV133" i="2"/>
  <c r="AW133" i="2" s="1"/>
  <c r="AX133" i="2"/>
  <c r="AY133" i="2"/>
  <c r="AR134" i="2"/>
  <c r="AS134" i="2"/>
  <c r="AT134" i="2"/>
  <c r="AU134" i="2"/>
  <c r="AV134" i="2"/>
  <c r="AW134" i="2" s="1"/>
  <c r="AX134" i="2"/>
  <c r="AY134" i="2"/>
  <c r="AR135" i="2"/>
  <c r="AS135" i="2"/>
  <c r="AT135" i="2"/>
  <c r="AU135" i="2"/>
  <c r="AV135" i="2"/>
  <c r="AW135" i="2" s="1"/>
  <c r="AX135" i="2"/>
  <c r="AY135" i="2"/>
  <c r="AR136" i="2"/>
  <c r="AS136" i="2"/>
  <c r="AT136" i="2"/>
  <c r="AU136" i="2"/>
  <c r="AV136" i="2"/>
  <c r="AW136" i="2" s="1"/>
  <c r="AX136" i="2"/>
  <c r="AY136" i="2"/>
  <c r="AR137" i="2"/>
  <c r="AS137" i="2"/>
  <c r="AT137" i="2"/>
  <c r="AU137" i="2"/>
  <c r="AV137" i="2"/>
  <c r="AW137" i="2" s="1"/>
  <c r="AX137" i="2"/>
  <c r="AY137" i="2"/>
  <c r="AR138" i="2"/>
  <c r="AS138" i="2"/>
  <c r="AT138" i="2"/>
  <c r="AU138" i="2"/>
  <c r="AV138" i="2"/>
  <c r="AW138" i="2" s="1"/>
  <c r="AX138" i="2"/>
  <c r="AY138" i="2"/>
  <c r="AR139" i="2"/>
  <c r="AS139" i="2"/>
  <c r="AT139" i="2"/>
  <c r="AU139" i="2"/>
  <c r="AV139" i="2"/>
  <c r="AW139" i="2" s="1"/>
  <c r="AX139" i="2"/>
  <c r="AY139" i="2"/>
  <c r="AR140" i="2"/>
  <c r="AS140" i="2"/>
  <c r="AT140" i="2"/>
  <c r="AU140" i="2"/>
  <c r="AV140" i="2"/>
  <c r="AW140" i="2" s="1"/>
  <c r="AX140" i="2"/>
  <c r="AY140" i="2"/>
  <c r="AR141" i="2"/>
  <c r="AS141" i="2"/>
  <c r="AT141" i="2"/>
  <c r="AU141" i="2"/>
  <c r="AV141" i="2"/>
  <c r="AW141" i="2" s="1"/>
  <c r="AX141" i="2"/>
  <c r="AY141" i="2"/>
  <c r="AR142" i="2"/>
  <c r="AS142" i="2"/>
  <c r="AT142" i="2"/>
  <c r="AU142" i="2"/>
  <c r="AV142" i="2"/>
  <c r="AW142" i="2" s="1"/>
  <c r="AX142" i="2"/>
  <c r="AY142" i="2"/>
  <c r="AR143" i="2"/>
  <c r="AS143" i="2"/>
  <c r="AT143" i="2"/>
  <c r="AU143" i="2"/>
  <c r="AV143" i="2"/>
  <c r="AW143" i="2" s="1"/>
  <c r="AX143" i="2"/>
  <c r="AY143" i="2"/>
  <c r="AR144" i="2"/>
  <c r="AS144" i="2"/>
  <c r="AT144" i="2"/>
  <c r="AU144" i="2"/>
  <c r="AV144" i="2"/>
  <c r="AW144" i="2" s="1"/>
  <c r="AX144" i="2"/>
  <c r="AY144" i="2"/>
  <c r="AR145" i="2"/>
  <c r="AS145" i="2"/>
  <c r="AT145" i="2"/>
  <c r="AU145" i="2"/>
  <c r="AV145" i="2"/>
  <c r="AW145" i="2" s="1"/>
  <c r="AX145" i="2"/>
  <c r="AY145" i="2"/>
  <c r="AR146" i="2"/>
  <c r="AS146" i="2"/>
  <c r="AT146" i="2"/>
  <c r="AU146" i="2"/>
  <c r="AV146" i="2"/>
  <c r="AW146" i="2" s="1"/>
  <c r="AX146" i="2"/>
  <c r="AY146" i="2"/>
  <c r="AR147" i="2"/>
  <c r="AS147" i="2"/>
  <c r="AT147" i="2"/>
  <c r="AU147" i="2"/>
  <c r="AV147" i="2"/>
  <c r="AW147" i="2" s="1"/>
  <c r="AX147" i="2"/>
  <c r="AY147" i="2"/>
  <c r="AR148" i="2"/>
  <c r="AS148" i="2"/>
  <c r="AT148" i="2"/>
  <c r="AU148" i="2"/>
  <c r="AV148" i="2"/>
  <c r="AW148" i="2" s="1"/>
  <c r="AX148" i="2"/>
  <c r="AY148" i="2"/>
  <c r="AR149" i="2"/>
  <c r="AS149" i="2"/>
  <c r="AT149" i="2"/>
  <c r="AU149" i="2"/>
  <c r="AV149" i="2"/>
  <c r="AW149" i="2" s="1"/>
  <c r="AX149" i="2"/>
  <c r="AY149" i="2"/>
  <c r="AR150" i="2"/>
  <c r="AS150" i="2"/>
  <c r="AT150" i="2"/>
  <c r="AU150" i="2"/>
  <c r="AV150" i="2"/>
  <c r="AW150" i="2" s="1"/>
  <c r="AX150" i="2"/>
  <c r="AY150" i="2"/>
  <c r="AR151" i="2"/>
  <c r="AS151" i="2"/>
  <c r="AT151" i="2"/>
  <c r="AU151" i="2"/>
  <c r="AV151" i="2"/>
  <c r="AW151" i="2" s="1"/>
  <c r="AX151" i="2"/>
  <c r="AY151" i="2"/>
  <c r="AR152" i="2"/>
  <c r="AS152" i="2"/>
  <c r="AT152" i="2"/>
  <c r="AU152" i="2"/>
  <c r="AV152" i="2"/>
  <c r="AW152" i="2" s="1"/>
  <c r="AX152" i="2"/>
  <c r="AY152" i="2"/>
  <c r="AR153" i="2"/>
  <c r="AS153" i="2"/>
  <c r="AT153" i="2"/>
  <c r="AU153" i="2"/>
  <c r="AV153" i="2"/>
  <c r="AW153" i="2" s="1"/>
  <c r="AX153" i="2"/>
  <c r="AY153" i="2"/>
  <c r="AR154" i="2"/>
  <c r="AS154" i="2"/>
  <c r="AT154" i="2"/>
  <c r="AU154" i="2"/>
  <c r="AV154" i="2"/>
  <c r="AW154" i="2" s="1"/>
  <c r="AX154" i="2"/>
  <c r="AY154" i="2"/>
  <c r="AR155" i="2"/>
  <c r="AS155" i="2"/>
  <c r="AT155" i="2"/>
  <c r="AU155" i="2"/>
  <c r="AV155" i="2"/>
  <c r="AW155" i="2" s="1"/>
  <c r="AX155" i="2"/>
  <c r="AY155" i="2"/>
  <c r="AR156" i="2"/>
  <c r="AS156" i="2"/>
  <c r="AT156" i="2"/>
  <c r="AU156" i="2"/>
  <c r="AV156" i="2"/>
  <c r="AW156" i="2" s="1"/>
  <c r="AX156" i="2"/>
  <c r="AY156" i="2"/>
  <c r="AR157" i="2"/>
  <c r="AS157" i="2"/>
  <c r="AT157" i="2"/>
  <c r="AU157" i="2"/>
  <c r="AV157" i="2"/>
  <c r="AW157" i="2" s="1"/>
  <c r="AX157" i="2"/>
  <c r="AY157" i="2"/>
  <c r="AR158" i="2"/>
  <c r="AS158" i="2"/>
  <c r="AT158" i="2"/>
  <c r="AU158" i="2"/>
  <c r="AV158" i="2"/>
  <c r="AW158" i="2" s="1"/>
  <c r="AX158" i="2"/>
  <c r="AY158" i="2"/>
  <c r="AR159" i="2"/>
  <c r="AS159" i="2"/>
  <c r="AT159" i="2"/>
  <c r="AU159" i="2"/>
  <c r="AV159" i="2"/>
  <c r="AW159" i="2" s="1"/>
  <c r="AX159" i="2"/>
  <c r="AY159" i="2"/>
  <c r="AR160" i="2"/>
  <c r="AS160" i="2"/>
  <c r="AT160" i="2"/>
  <c r="AU160" i="2"/>
  <c r="AV160" i="2"/>
  <c r="AW160" i="2" s="1"/>
  <c r="AX160" i="2"/>
  <c r="AY160" i="2"/>
  <c r="AR161" i="2"/>
  <c r="AS161" i="2"/>
  <c r="AT161" i="2"/>
  <c r="AU161" i="2"/>
  <c r="AV161" i="2"/>
  <c r="AW161" i="2" s="1"/>
  <c r="AX161" i="2"/>
  <c r="AY161" i="2"/>
  <c r="AR162" i="2"/>
  <c r="AS162" i="2"/>
  <c r="AT162" i="2"/>
  <c r="AU162" i="2"/>
  <c r="AV162" i="2"/>
  <c r="AW162" i="2" s="1"/>
  <c r="AX162" i="2"/>
  <c r="AY162" i="2"/>
  <c r="AR163" i="2"/>
  <c r="AS163" i="2"/>
  <c r="AT163" i="2"/>
  <c r="AU163" i="2"/>
  <c r="AV163" i="2"/>
  <c r="AW163" i="2" s="1"/>
  <c r="AX163" i="2"/>
  <c r="AY163" i="2"/>
  <c r="AR164" i="2"/>
  <c r="AS164" i="2"/>
  <c r="AT164" i="2"/>
  <c r="AU164" i="2"/>
  <c r="AV164" i="2"/>
  <c r="AW164" i="2" s="1"/>
  <c r="AX164" i="2"/>
  <c r="AY164" i="2"/>
  <c r="AR165" i="2"/>
  <c r="AS165" i="2"/>
  <c r="AT165" i="2"/>
  <c r="AU165" i="2"/>
  <c r="AV165" i="2"/>
  <c r="AW165" i="2" s="1"/>
  <c r="AX165" i="2"/>
  <c r="AY165" i="2"/>
  <c r="AR166" i="2"/>
  <c r="AS166" i="2"/>
  <c r="AT166" i="2"/>
  <c r="AU166" i="2"/>
  <c r="AV166" i="2"/>
  <c r="AW166" i="2" s="1"/>
  <c r="AX166" i="2"/>
  <c r="AY166" i="2"/>
  <c r="AR167" i="2"/>
  <c r="AS167" i="2"/>
  <c r="AT167" i="2"/>
  <c r="AU167" i="2"/>
  <c r="AV167" i="2"/>
  <c r="AW167" i="2" s="1"/>
  <c r="AX167" i="2"/>
  <c r="AY167" i="2"/>
  <c r="AR168" i="2"/>
  <c r="AS168" i="2"/>
  <c r="AT168" i="2"/>
  <c r="AU168" i="2"/>
  <c r="AV168" i="2"/>
  <c r="AW168" i="2" s="1"/>
  <c r="AX168" i="2"/>
  <c r="AY168" i="2"/>
  <c r="AR169" i="2"/>
  <c r="AS169" i="2"/>
  <c r="AT169" i="2"/>
  <c r="AU169" i="2"/>
  <c r="AV169" i="2"/>
  <c r="AW169" i="2" s="1"/>
  <c r="AX169" i="2"/>
  <c r="AY169" i="2"/>
  <c r="AR170" i="2"/>
  <c r="AS170" i="2"/>
  <c r="AT170" i="2"/>
  <c r="AU170" i="2"/>
  <c r="AV170" i="2"/>
  <c r="AW170" i="2" s="1"/>
  <c r="AX170" i="2"/>
  <c r="AY170" i="2"/>
  <c r="AR171" i="2"/>
  <c r="AS171" i="2"/>
  <c r="AT171" i="2"/>
  <c r="AU171" i="2"/>
  <c r="AV171" i="2"/>
  <c r="AW171" i="2" s="1"/>
  <c r="AX171" i="2"/>
  <c r="AY171" i="2"/>
  <c r="AR172" i="2"/>
  <c r="AS172" i="2"/>
  <c r="AT172" i="2"/>
  <c r="AU172" i="2"/>
  <c r="AV172" i="2"/>
  <c r="AW172" i="2" s="1"/>
  <c r="AX172" i="2"/>
  <c r="AY172" i="2"/>
  <c r="AR173" i="2"/>
  <c r="AS173" i="2"/>
  <c r="AT173" i="2"/>
  <c r="AU173" i="2"/>
  <c r="AV173" i="2"/>
  <c r="AW173" i="2" s="1"/>
  <c r="AX173" i="2"/>
  <c r="AY173" i="2"/>
  <c r="AR174" i="2"/>
  <c r="AS174" i="2"/>
  <c r="AT174" i="2"/>
  <c r="AU174" i="2"/>
  <c r="AV174" i="2"/>
  <c r="AW174" i="2" s="1"/>
  <c r="AX174" i="2"/>
  <c r="AY174" i="2"/>
  <c r="AR175" i="2"/>
  <c r="AS175" i="2"/>
  <c r="AT175" i="2"/>
  <c r="AU175" i="2"/>
  <c r="AV175" i="2"/>
  <c r="AW175" i="2" s="1"/>
  <c r="AX175" i="2"/>
  <c r="AY175" i="2"/>
  <c r="AR176" i="2"/>
  <c r="AS176" i="2"/>
  <c r="AT176" i="2"/>
  <c r="AU176" i="2"/>
  <c r="AV176" i="2"/>
  <c r="AW176" i="2" s="1"/>
  <c r="AX176" i="2"/>
  <c r="AY176" i="2"/>
  <c r="AR177" i="2"/>
  <c r="AS177" i="2"/>
  <c r="AT177" i="2"/>
  <c r="AU177" i="2"/>
  <c r="AV177" i="2"/>
  <c r="AW177" i="2" s="1"/>
  <c r="AX177" i="2"/>
  <c r="AY177" i="2"/>
  <c r="AR178" i="2"/>
  <c r="AS178" i="2"/>
  <c r="AT178" i="2"/>
  <c r="AU178" i="2"/>
  <c r="AV178" i="2"/>
  <c r="AW178" i="2" s="1"/>
  <c r="AX178" i="2"/>
  <c r="AY178" i="2"/>
  <c r="AR179" i="2"/>
  <c r="AS179" i="2"/>
  <c r="AT179" i="2"/>
  <c r="AU179" i="2"/>
  <c r="AV179" i="2"/>
  <c r="AW179" i="2" s="1"/>
  <c r="AX179" i="2"/>
  <c r="AY179" i="2"/>
  <c r="AR180" i="2"/>
  <c r="AS180" i="2"/>
  <c r="AT180" i="2"/>
  <c r="AU180" i="2"/>
  <c r="AV180" i="2"/>
  <c r="AW180" i="2" s="1"/>
  <c r="AX180" i="2"/>
  <c r="AY180" i="2"/>
  <c r="AR181" i="2"/>
  <c r="AS181" i="2"/>
  <c r="AT181" i="2"/>
  <c r="AU181" i="2"/>
  <c r="AV181" i="2"/>
  <c r="AW181" i="2" s="1"/>
  <c r="AX181" i="2"/>
  <c r="AY181" i="2"/>
  <c r="AR182" i="2"/>
  <c r="AS182" i="2"/>
  <c r="AT182" i="2"/>
  <c r="AU182" i="2"/>
  <c r="AV182" i="2"/>
  <c r="AW182" i="2" s="1"/>
  <c r="AX182" i="2"/>
  <c r="AY182" i="2"/>
  <c r="AR183" i="2"/>
  <c r="AS183" i="2"/>
  <c r="AT183" i="2"/>
  <c r="AU183" i="2"/>
  <c r="AV183" i="2"/>
  <c r="AW183" i="2" s="1"/>
  <c r="AX183" i="2"/>
  <c r="AY183" i="2"/>
  <c r="AR184" i="2"/>
  <c r="AS184" i="2"/>
  <c r="AT184" i="2"/>
  <c r="AU184" i="2"/>
  <c r="AV184" i="2"/>
  <c r="AW184" i="2" s="1"/>
  <c r="AX184" i="2"/>
  <c r="AY184" i="2"/>
  <c r="AR185" i="2"/>
  <c r="AS185" i="2"/>
  <c r="AT185" i="2"/>
  <c r="AU185" i="2"/>
  <c r="AV185" i="2"/>
  <c r="AW185" i="2" s="1"/>
  <c r="AX185" i="2"/>
  <c r="AY185" i="2"/>
  <c r="AR186" i="2"/>
  <c r="AS186" i="2"/>
  <c r="AT186" i="2"/>
  <c r="AU186" i="2"/>
  <c r="AV186" i="2"/>
  <c r="AW186" i="2" s="1"/>
  <c r="AX186" i="2"/>
  <c r="AY186" i="2"/>
  <c r="AR187" i="2"/>
  <c r="AS187" i="2"/>
  <c r="AT187" i="2"/>
  <c r="AU187" i="2"/>
  <c r="AV187" i="2"/>
  <c r="AW187" i="2" s="1"/>
  <c r="AX187" i="2"/>
  <c r="AY187" i="2"/>
  <c r="AR188" i="2"/>
  <c r="AS188" i="2"/>
  <c r="AT188" i="2"/>
  <c r="AU188" i="2"/>
  <c r="AV188" i="2"/>
  <c r="AW188" i="2" s="1"/>
  <c r="AX188" i="2"/>
  <c r="AY188" i="2"/>
  <c r="AR189" i="2"/>
  <c r="AS189" i="2"/>
  <c r="AT189" i="2"/>
  <c r="AU189" i="2"/>
  <c r="AV189" i="2"/>
  <c r="AW189" i="2" s="1"/>
  <c r="AX189" i="2"/>
  <c r="AY189" i="2"/>
  <c r="AR190" i="2"/>
  <c r="AS190" i="2"/>
  <c r="AT190" i="2"/>
  <c r="AU190" i="2"/>
  <c r="AV190" i="2"/>
  <c r="AW190" i="2" s="1"/>
  <c r="AX190" i="2"/>
  <c r="AY190" i="2"/>
  <c r="AR191" i="2"/>
  <c r="AS191" i="2"/>
  <c r="AT191" i="2"/>
  <c r="AU191" i="2"/>
  <c r="AV191" i="2"/>
  <c r="AW191" i="2" s="1"/>
  <c r="AX191" i="2"/>
  <c r="AY191" i="2"/>
  <c r="AR192" i="2"/>
  <c r="AS192" i="2"/>
  <c r="AT192" i="2"/>
  <c r="AU192" i="2"/>
  <c r="AV192" i="2"/>
  <c r="AW192" i="2" s="1"/>
  <c r="AX192" i="2"/>
  <c r="AY192" i="2"/>
  <c r="AR193" i="2"/>
  <c r="AS193" i="2"/>
  <c r="AT193" i="2"/>
  <c r="AU193" i="2"/>
  <c r="AV193" i="2"/>
  <c r="AW193" i="2" s="1"/>
  <c r="AX193" i="2"/>
  <c r="AY193" i="2"/>
  <c r="AR194" i="2"/>
  <c r="AS194" i="2"/>
  <c r="AT194" i="2"/>
  <c r="AU194" i="2"/>
  <c r="AV194" i="2"/>
  <c r="AW194" i="2" s="1"/>
  <c r="AX194" i="2"/>
  <c r="AY194" i="2"/>
  <c r="AR195" i="2"/>
  <c r="AS195" i="2"/>
  <c r="AT195" i="2"/>
  <c r="AU195" i="2"/>
  <c r="AV195" i="2"/>
  <c r="AW195" i="2" s="1"/>
  <c r="AX195" i="2"/>
  <c r="AY195" i="2"/>
  <c r="AR196" i="2"/>
  <c r="AS196" i="2"/>
  <c r="AT196" i="2"/>
  <c r="AU196" i="2"/>
  <c r="AV196" i="2"/>
  <c r="AW196" i="2" s="1"/>
  <c r="AX196" i="2"/>
  <c r="AY196" i="2"/>
  <c r="AR197" i="2"/>
  <c r="AS197" i="2"/>
  <c r="AT197" i="2"/>
  <c r="AU197" i="2"/>
  <c r="AV197" i="2"/>
  <c r="AW197" i="2" s="1"/>
  <c r="AX197" i="2"/>
  <c r="AY197" i="2"/>
  <c r="AR198" i="2"/>
  <c r="AS198" i="2"/>
  <c r="AT198" i="2"/>
  <c r="AU198" i="2"/>
  <c r="AV198" i="2"/>
  <c r="AW198" i="2" s="1"/>
  <c r="AX198" i="2"/>
  <c r="AY198" i="2"/>
  <c r="AR199" i="2"/>
  <c r="AS199" i="2"/>
  <c r="AT199" i="2"/>
  <c r="AU199" i="2"/>
  <c r="AV199" i="2"/>
  <c r="AW199" i="2" s="1"/>
  <c r="AX199" i="2"/>
  <c r="AY199" i="2"/>
  <c r="AR200" i="2"/>
  <c r="AS200" i="2"/>
  <c r="AT200" i="2"/>
  <c r="AU200" i="2"/>
  <c r="AV200" i="2"/>
  <c r="AW200" i="2" s="1"/>
  <c r="AX200" i="2"/>
  <c r="AY200" i="2"/>
  <c r="AR201" i="2"/>
  <c r="AS201" i="2"/>
  <c r="AT201" i="2"/>
  <c r="AU201" i="2"/>
  <c r="AV201" i="2"/>
  <c r="AW201" i="2" s="1"/>
  <c r="AX201" i="2"/>
  <c r="AY201" i="2"/>
  <c r="AR202" i="2"/>
  <c r="AS202" i="2"/>
  <c r="AT202" i="2"/>
  <c r="AU202" i="2"/>
  <c r="AV202" i="2"/>
  <c r="AW202" i="2" s="1"/>
  <c r="AX202" i="2"/>
  <c r="AY202" i="2"/>
  <c r="AR203" i="2"/>
  <c r="AS203" i="2"/>
  <c r="AT203" i="2"/>
  <c r="AU203" i="2"/>
  <c r="AV203" i="2"/>
  <c r="AW203" i="2" s="1"/>
  <c r="AX203" i="2"/>
  <c r="AY203" i="2"/>
  <c r="AR204" i="2"/>
  <c r="AS204" i="2"/>
  <c r="AT204" i="2"/>
  <c r="AU204" i="2"/>
  <c r="AV204" i="2"/>
  <c r="AW204" i="2" s="1"/>
  <c r="AX204" i="2"/>
  <c r="AY204" i="2"/>
  <c r="AR205" i="2"/>
  <c r="AS205" i="2"/>
  <c r="AT205" i="2"/>
  <c r="AU205" i="2"/>
  <c r="AV205" i="2"/>
  <c r="AW205" i="2" s="1"/>
  <c r="AX205" i="2"/>
  <c r="AY205" i="2"/>
  <c r="AR206" i="2"/>
  <c r="AS206" i="2"/>
  <c r="AT206" i="2"/>
  <c r="AU206" i="2"/>
  <c r="AV206" i="2"/>
  <c r="AW206" i="2" s="1"/>
  <c r="AX206" i="2"/>
  <c r="AY206" i="2"/>
  <c r="AR207" i="2"/>
  <c r="AS207" i="2"/>
  <c r="AT207" i="2"/>
  <c r="AU207" i="2"/>
  <c r="AV207" i="2"/>
  <c r="AW207" i="2" s="1"/>
  <c r="AX207" i="2"/>
  <c r="AY207" i="2"/>
  <c r="AR208" i="2"/>
  <c r="AS208" i="2"/>
  <c r="AT208" i="2"/>
  <c r="AU208" i="2"/>
  <c r="AV208" i="2"/>
  <c r="AW208" i="2" s="1"/>
  <c r="AX208" i="2"/>
  <c r="AY208" i="2"/>
  <c r="AR209" i="2"/>
  <c r="AS209" i="2"/>
  <c r="AT209" i="2"/>
  <c r="AU209" i="2"/>
  <c r="AV209" i="2"/>
  <c r="AW209" i="2" s="1"/>
  <c r="AX209" i="2"/>
  <c r="AY209" i="2"/>
  <c r="AR210" i="2"/>
  <c r="AS210" i="2"/>
  <c r="AT210" i="2"/>
  <c r="AU210" i="2"/>
  <c r="AV210" i="2"/>
  <c r="AW210" i="2" s="1"/>
  <c r="AX210" i="2"/>
  <c r="AY210" i="2"/>
  <c r="AR211" i="2"/>
  <c r="AS211" i="2"/>
  <c r="AT211" i="2"/>
  <c r="AU211" i="2"/>
  <c r="AV211" i="2"/>
  <c r="AW211" i="2" s="1"/>
  <c r="AX211" i="2"/>
  <c r="AY211" i="2"/>
  <c r="AR212" i="2"/>
  <c r="AS212" i="2"/>
  <c r="AT212" i="2"/>
  <c r="AU212" i="2"/>
  <c r="AV212" i="2"/>
  <c r="AW212" i="2" s="1"/>
  <c r="AX212" i="2"/>
  <c r="AY212" i="2"/>
  <c r="AR213" i="2"/>
  <c r="AS213" i="2"/>
  <c r="AT213" i="2"/>
  <c r="AU213" i="2"/>
  <c r="AV213" i="2"/>
  <c r="AW213" i="2" s="1"/>
  <c r="AX213" i="2"/>
  <c r="AY213" i="2"/>
  <c r="AR214" i="2"/>
  <c r="AS214" i="2"/>
  <c r="AT214" i="2"/>
  <c r="AU214" i="2"/>
  <c r="AV214" i="2"/>
  <c r="AW214" i="2" s="1"/>
  <c r="AX214" i="2"/>
  <c r="AY214" i="2"/>
  <c r="AR215" i="2"/>
  <c r="AS215" i="2"/>
  <c r="AT215" i="2"/>
  <c r="AU215" i="2"/>
  <c r="AV215" i="2"/>
  <c r="AW215" i="2" s="1"/>
  <c r="AX215" i="2"/>
  <c r="AY215" i="2"/>
  <c r="AR216" i="2"/>
  <c r="AS216" i="2"/>
  <c r="AT216" i="2"/>
  <c r="AU216" i="2"/>
  <c r="AV216" i="2"/>
  <c r="AW216" i="2" s="1"/>
  <c r="AX216" i="2"/>
  <c r="AY216" i="2"/>
  <c r="AR217" i="2"/>
  <c r="AS217" i="2"/>
  <c r="AT217" i="2"/>
  <c r="AU217" i="2"/>
  <c r="AV217" i="2"/>
  <c r="AW217" i="2" s="1"/>
  <c r="AX217" i="2"/>
  <c r="AY217" i="2"/>
  <c r="AR218" i="2"/>
  <c r="AS218" i="2"/>
  <c r="AT218" i="2"/>
  <c r="AU218" i="2"/>
  <c r="AV218" i="2"/>
  <c r="AW218" i="2" s="1"/>
  <c r="AX218" i="2"/>
  <c r="AY218" i="2"/>
  <c r="AR219" i="2"/>
  <c r="AS219" i="2"/>
  <c r="AT219" i="2"/>
  <c r="AU219" i="2"/>
  <c r="AV219" i="2"/>
  <c r="AW219" i="2" s="1"/>
  <c r="AX219" i="2"/>
  <c r="AY219" i="2"/>
  <c r="AR220" i="2"/>
  <c r="AS220" i="2"/>
  <c r="AT220" i="2"/>
  <c r="AU220" i="2"/>
  <c r="AV220" i="2"/>
  <c r="AW220" i="2" s="1"/>
  <c r="AX220" i="2"/>
  <c r="AY220" i="2"/>
  <c r="AR221" i="2"/>
  <c r="AS221" i="2"/>
  <c r="AT221" i="2"/>
  <c r="AU221" i="2"/>
  <c r="AV221" i="2"/>
  <c r="AW221" i="2" s="1"/>
  <c r="AX221" i="2"/>
  <c r="AY221" i="2"/>
  <c r="AR222" i="2"/>
  <c r="AS222" i="2"/>
  <c r="AT222" i="2"/>
  <c r="AU222" i="2"/>
  <c r="AV222" i="2"/>
  <c r="AW222" i="2" s="1"/>
  <c r="AX222" i="2"/>
  <c r="AY222" i="2"/>
  <c r="AR223" i="2"/>
  <c r="AS223" i="2"/>
  <c r="AT223" i="2"/>
  <c r="AU223" i="2"/>
  <c r="AV223" i="2"/>
  <c r="AW223" i="2" s="1"/>
  <c r="AX223" i="2"/>
  <c r="AY223" i="2"/>
  <c r="AR224" i="2"/>
  <c r="AS224" i="2"/>
  <c r="AT224" i="2"/>
  <c r="AU224" i="2"/>
  <c r="AV224" i="2"/>
  <c r="AW224" i="2" s="1"/>
  <c r="AX224" i="2"/>
  <c r="AY224" i="2"/>
  <c r="AR225" i="2"/>
  <c r="AS225" i="2"/>
  <c r="AT225" i="2"/>
  <c r="AU225" i="2"/>
  <c r="AV225" i="2"/>
  <c r="AW225" i="2" s="1"/>
  <c r="AX225" i="2"/>
  <c r="AY225" i="2"/>
  <c r="AR226" i="2"/>
  <c r="AS226" i="2"/>
  <c r="AT226" i="2"/>
  <c r="AU226" i="2"/>
  <c r="AV226" i="2"/>
  <c r="AW226" i="2" s="1"/>
  <c r="AX226" i="2"/>
  <c r="AY226" i="2"/>
  <c r="AR227" i="2"/>
  <c r="AS227" i="2"/>
  <c r="AT227" i="2"/>
  <c r="AU227" i="2"/>
  <c r="AV227" i="2"/>
  <c r="AW227" i="2" s="1"/>
  <c r="AX227" i="2"/>
  <c r="AY227" i="2"/>
  <c r="AR228" i="2"/>
  <c r="AS228" i="2"/>
  <c r="AT228" i="2"/>
  <c r="AU228" i="2"/>
  <c r="AV228" i="2"/>
  <c r="AW228" i="2" s="1"/>
  <c r="AX228" i="2"/>
  <c r="AY228" i="2"/>
  <c r="AR229" i="2"/>
  <c r="AS229" i="2"/>
  <c r="AT229" i="2"/>
  <c r="AU229" i="2"/>
  <c r="AV229" i="2"/>
  <c r="AW229" i="2" s="1"/>
  <c r="AX229" i="2"/>
  <c r="AY229" i="2"/>
  <c r="AR230" i="2"/>
  <c r="AS230" i="2"/>
  <c r="AT230" i="2"/>
  <c r="AU230" i="2"/>
  <c r="AV230" i="2"/>
  <c r="AW230" i="2" s="1"/>
  <c r="AX230" i="2"/>
  <c r="AY230" i="2"/>
  <c r="AR231" i="2"/>
  <c r="AS231" i="2"/>
  <c r="AT231" i="2"/>
  <c r="AU231" i="2"/>
  <c r="AV231" i="2"/>
  <c r="AW231" i="2" s="1"/>
  <c r="AX231" i="2"/>
  <c r="AY231" i="2"/>
  <c r="AR232" i="2"/>
  <c r="AS232" i="2"/>
  <c r="AT232" i="2"/>
  <c r="AU232" i="2"/>
  <c r="AV232" i="2"/>
  <c r="AW232" i="2" s="1"/>
  <c r="AX232" i="2"/>
  <c r="AY232" i="2"/>
  <c r="AR233" i="2"/>
  <c r="AS233" i="2"/>
  <c r="AT233" i="2"/>
  <c r="AU233" i="2"/>
  <c r="AV233" i="2"/>
  <c r="AW233" i="2" s="1"/>
  <c r="AX233" i="2"/>
  <c r="AY233" i="2"/>
  <c r="AR234" i="2"/>
  <c r="AS234" i="2"/>
  <c r="AT234" i="2"/>
  <c r="AU234" i="2"/>
  <c r="AV234" i="2"/>
  <c r="AW234" i="2" s="1"/>
  <c r="AX234" i="2"/>
  <c r="AY234" i="2"/>
  <c r="AR235" i="2"/>
  <c r="AS235" i="2"/>
  <c r="AT235" i="2"/>
  <c r="AU235" i="2"/>
  <c r="AV235" i="2"/>
  <c r="AW235" i="2" s="1"/>
  <c r="AX235" i="2"/>
  <c r="AY235" i="2"/>
  <c r="AR236" i="2"/>
  <c r="AS236" i="2"/>
  <c r="AT236" i="2"/>
  <c r="AU236" i="2"/>
  <c r="AV236" i="2"/>
  <c r="AW236" i="2" s="1"/>
  <c r="AX236" i="2"/>
  <c r="AY236" i="2"/>
  <c r="AR237" i="2"/>
  <c r="AS237" i="2"/>
  <c r="AT237" i="2"/>
  <c r="AU237" i="2"/>
  <c r="AV237" i="2"/>
  <c r="AW237" i="2" s="1"/>
  <c r="AX237" i="2"/>
  <c r="AY237" i="2"/>
  <c r="AR238" i="2"/>
  <c r="AS238" i="2"/>
  <c r="AT238" i="2"/>
  <c r="AU238" i="2"/>
  <c r="AV238" i="2"/>
  <c r="AW238" i="2" s="1"/>
  <c r="AX238" i="2"/>
  <c r="AY238" i="2"/>
  <c r="AR239" i="2"/>
  <c r="AS239" i="2"/>
  <c r="AT239" i="2"/>
  <c r="AU239" i="2"/>
  <c r="AV239" i="2"/>
  <c r="AW239" i="2" s="1"/>
  <c r="AX239" i="2"/>
  <c r="AY239" i="2"/>
  <c r="AR240" i="2"/>
  <c r="AS240" i="2"/>
  <c r="AT240" i="2"/>
  <c r="AU240" i="2"/>
  <c r="AV240" i="2"/>
  <c r="AW240" i="2" s="1"/>
  <c r="AX240" i="2"/>
  <c r="AY240" i="2"/>
  <c r="AR241" i="2"/>
  <c r="AS241" i="2"/>
  <c r="AT241" i="2"/>
  <c r="AU241" i="2"/>
  <c r="AV241" i="2"/>
  <c r="AW241" i="2" s="1"/>
  <c r="AX241" i="2"/>
  <c r="AY241" i="2"/>
  <c r="AR242" i="2"/>
  <c r="AS242" i="2"/>
  <c r="AT242" i="2"/>
  <c r="AU242" i="2"/>
  <c r="AV242" i="2"/>
  <c r="AW242" i="2" s="1"/>
  <c r="AX242" i="2"/>
  <c r="AY242" i="2"/>
  <c r="AR243" i="2"/>
  <c r="AS243" i="2"/>
  <c r="AT243" i="2"/>
  <c r="AU243" i="2"/>
  <c r="AV243" i="2"/>
  <c r="AW243" i="2" s="1"/>
  <c r="AX243" i="2"/>
  <c r="AY243" i="2"/>
  <c r="AR244" i="2"/>
  <c r="AS244" i="2"/>
  <c r="AT244" i="2"/>
  <c r="AU244" i="2"/>
  <c r="AV244" i="2"/>
  <c r="AW244" i="2" s="1"/>
  <c r="AX244" i="2"/>
  <c r="AY244" i="2"/>
  <c r="AR245" i="2"/>
  <c r="AS245" i="2"/>
  <c r="AT245" i="2"/>
  <c r="AU245" i="2"/>
  <c r="AV245" i="2"/>
  <c r="AW245" i="2" s="1"/>
  <c r="AX245" i="2"/>
  <c r="AY245" i="2"/>
  <c r="AR246" i="2"/>
  <c r="AS246" i="2"/>
  <c r="AT246" i="2"/>
  <c r="AU246" i="2"/>
  <c r="AV246" i="2"/>
  <c r="AW246" i="2" s="1"/>
  <c r="AX246" i="2"/>
  <c r="AY246" i="2"/>
  <c r="AR247" i="2"/>
  <c r="AS247" i="2"/>
  <c r="AT247" i="2"/>
  <c r="AU247" i="2"/>
  <c r="AV247" i="2"/>
  <c r="AW247" i="2" s="1"/>
  <c r="AX247" i="2"/>
  <c r="AY247" i="2"/>
  <c r="AR248" i="2"/>
  <c r="AS248" i="2"/>
  <c r="AT248" i="2"/>
  <c r="AU248" i="2"/>
  <c r="AV248" i="2"/>
  <c r="AW248" i="2" s="1"/>
  <c r="AX248" i="2"/>
  <c r="AY248" i="2"/>
  <c r="AR249" i="2"/>
  <c r="AS249" i="2"/>
  <c r="AT249" i="2"/>
  <c r="AU249" i="2"/>
  <c r="AV249" i="2"/>
  <c r="AW249" i="2" s="1"/>
  <c r="AX249" i="2"/>
  <c r="AY249" i="2"/>
  <c r="AR250" i="2"/>
  <c r="AS250" i="2"/>
  <c r="AT250" i="2"/>
  <c r="AU250" i="2"/>
  <c r="AV250" i="2"/>
  <c r="AW250" i="2" s="1"/>
  <c r="AX250" i="2"/>
  <c r="AY250" i="2"/>
  <c r="AR251" i="2"/>
  <c r="AS251" i="2"/>
  <c r="AT251" i="2"/>
  <c r="AU251" i="2"/>
  <c r="AV251" i="2"/>
  <c r="AW251" i="2" s="1"/>
  <c r="AX251" i="2"/>
  <c r="AY251" i="2"/>
  <c r="AR252" i="2"/>
  <c r="AS252" i="2"/>
  <c r="AT252" i="2"/>
  <c r="AU252" i="2"/>
  <c r="AV252" i="2"/>
  <c r="AW252" i="2" s="1"/>
  <c r="AX252" i="2"/>
  <c r="AY252" i="2"/>
  <c r="AR253" i="2"/>
  <c r="AS253" i="2"/>
  <c r="AT253" i="2"/>
  <c r="AU253" i="2"/>
  <c r="AV253" i="2"/>
  <c r="AW253" i="2" s="1"/>
  <c r="AX253" i="2"/>
  <c r="AY253" i="2"/>
  <c r="AR254" i="2"/>
  <c r="AS254" i="2"/>
  <c r="AT254" i="2"/>
  <c r="AU254" i="2"/>
  <c r="AV254" i="2"/>
  <c r="AW254" i="2" s="1"/>
  <c r="AX254" i="2"/>
  <c r="AY254" i="2"/>
  <c r="AR255" i="2"/>
  <c r="AS255" i="2"/>
  <c r="AT255" i="2"/>
  <c r="AU255" i="2"/>
  <c r="AV255" i="2"/>
  <c r="AW255" i="2" s="1"/>
  <c r="AX255" i="2"/>
  <c r="AY255" i="2"/>
  <c r="AR256" i="2"/>
  <c r="AS256" i="2"/>
  <c r="AT256" i="2"/>
  <c r="AU256" i="2"/>
  <c r="AV256" i="2"/>
  <c r="AW256" i="2" s="1"/>
  <c r="AX256" i="2"/>
  <c r="AY256" i="2"/>
  <c r="AR257" i="2"/>
  <c r="AS257" i="2"/>
  <c r="AT257" i="2"/>
  <c r="AU257" i="2"/>
  <c r="AV257" i="2"/>
  <c r="AW257" i="2" s="1"/>
  <c r="AX257" i="2"/>
  <c r="AY257" i="2"/>
  <c r="AR258" i="2"/>
  <c r="AS258" i="2"/>
  <c r="AT258" i="2"/>
  <c r="AU258" i="2"/>
  <c r="AV258" i="2"/>
  <c r="AW258" i="2" s="1"/>
  <c r="AX258" i="2"/>
  <c r="AY258" i="2"/>
  <c r="AR259" i="2"/>
  <c r="AS259" i="2"/>
  <c r="AT259" i="2"/>
  <c r="AU259" i="2"/>
  <c r="AV259" i="2"/>
  <c r="AW259" i="2" s="1"/>
  <c r="AX259" i="2"/>
  <c r="AY259" i="2"/>
  <c r="AR260" i="2"/>
  <c r="AS260" i="2"/>
  <c r="AT260" i="2"/>
  <c r="AU260" i="2"/>
  <c r="AV260" i="2"/>
  <c r="AW260" i="2" s="1"/>
  <c r="AX260" i="2"/>
  <c r="AY260" i="2"/>
  <c r="AR261" i="2"/>
  <c r="AS261" i="2"/>
  <c r="AT261" i="2"/>
  <c r="AU261" i="2"/>
  <c r="AV261" i="2"/>
  <c r="AW261" i="2" s="1"/>
  <c r="AX261" i="2"/>
  <c r="AY261" i="2"/>
  <c r="AR262" i="2"/>
  <c r="AS262" i="2"/>
  <c r="AT262" i="2"/>
  <c r="AU262" i="2"/>
  <c r="AV262" i="2"/>
  <c r="AW262" i="2" s="1"/>
  <c r="AX262" i="2"/>
  <c r="AY262" i="2"/>
  <c r="AR263" i="2"/>
  <c r="AS263" i="2"/>
  <c r="AT263" i="2"/>
  <c r="AU263" i="2"/>
  <c r="AV263" i="2"/>
  <c r="AW263" i="2" s="1"/>
  <c r="AX263" i="2"/>
  <c r="AY263" i="2"/>
  <c r="AR264" i="2"/>
  <c r="AS264" i="2"/>
  <c r="AT264" i="2"/>
  <c r="AU264" i="2"/>
  <c r="AV264" i="2"/>
  <c r="AW264" i="2" s="1"/>
  <c r="AX264" i="2"/>
  <c r="AY264" i="2"/>
  <c r="AR265" i="2"/>
  <c r="AS265" i="2"/>
  <c r="AT265" i="2"/>
  <c r="AU265" i="2"/>
  <c r="AV265" i="2"/>
  <c r="AW265" i="2" s="1"/>
  <c r="AX265" i="2"/>
  <c r="AY265" i="2"/>
  <c r="AR266" i="2"/>
  <c r="AS266" i="2"/>
  <c r="AT266" i="2"/>
  <c r="AU266" i="2"/>
  <c r="AV266" i="2"/>
  <c r="AW266" i="2" s="1"/>
  <c r="AX266" i="2"/>
  <c r="AY266" i="2"/>
  <c r="AR267" i="2"/>
  <c r="AS267" i="2"/>
  <c r="AT267" i="2"/>
  <c r="AU267" i="2"/>
  <c r="AV267" i="2"/>
  <c r="AW267" i="2" s="1"/>
  <c r="AX267" i="2"/>
  <c r="AY267" i="2"/>
  <c r="AR268" i="2"/>
  <c r="AS268" i="2"/>
  <c r="AT268" i="2"/>
  <c r="AU268" i="2"/>
  <c r="AV268" i="2"/>
  <c r="AW268" i="2" s="1"/>
  <c r="AX268" i="2"/>
  <c r="AY268" i="2"/>
  <c r="AR269" i="2"/>
  <c r="AS269" i="2"/>
  <c r="AT269" i="2"/>
  <c r="AU269" i="2"/>
  <c r="AV269" i="2"/>
  <c r="AW269" i="2" s="1"/>
  <c r="AX269" i="2"/>
  <c r="AY269" i="2"/>
  <c r="AR270" i="2"/>
  <c r="AS270" i="2"/>
  <c r="AT270" i="2"/>
  <c r="AU270" i="2"/>
  <c r="AV270" i="2"/>
  <c r="AW270" i="2" s="1"/>
  <c r="AX270" i="2"/>
  <c r="AY270" i="2"/>
  <c r="AR271" i="2"/>
  <c r="AS271" i="2"/>
  <c r="AT271" i="2"/>
  <c r="AU271" i="2"/>
  <c r="AV271" i="2"/>
  <c r="AW271" i="2" s="1"/>
  <c r="AX271" i="2"/>
  <c r="AY271" i="2"/>
  <c r="AR272" i="2"/>
  <c r="AS272" i="2"/>
  <c r="AT272" i="2"/>
  <c r="AU272" i="2"/>
  <c r="AV272" i="2"/>
  <c r="AW272" i="2" s="1"/>
  <c r="AX272" i="2"/>
  <c r="AY272" i="2"/>
  <c r="AR273" i="2"/>
  <c r="AS273" i="2"/>
  <c r="AT273" i="2"/>
  <c r="AU273" i="2"/>
  <c r="AV273" i="2"/>
  <c r="AW273" i="2" s="1"/>
  <c r="AX273" i="2"/>
  <c r="AY273" i="2"/>
  <c r="AR274" i="2"/>
  <c r="AS274" i="2"/>
  <c r="AT274" i="2"/>
  <c r="AU274" i="2"/>
  <c r="AV274" i="2"/>
  <c r="AW274" i="2" s="1"/>
  <c r="AX274" i="2"/>
  <c r="AY274" i="2"/>
  <c r="AR275" i="2"/>
  <c r="AS275" i="2"/>
  <c r="AT275" i="2"/>
  <c r="AU275" i="2"/>
  <c r="AV275" i="2"/>
  <c r="AW275" i="2" s="1"/>
  <c r="AX275" i="2"/>
  <c r="AY275" i="2"/>
  <c r="AR276" i="2"/>
  <c r="AS276" i="2"/>
  <c r="AT276" i="2"/>
  <c r="AU276" i="2"/>
  <c r="AV276" i="2"/>
  <c r="AW276" i="2" s="1"/>
  <c r="AX276" i="2"/>
  <c r="AY276" i="2"/>
  <c r="AR277" i="2"/>
  <c r="AS277" i="2"/>
  <c r="AT277" i="2"/>
  <c r="AU277" i="2"/>
  <c r="AV277" i="2"/>
  <c r="AW277" i="2" s="1"/>
  <c r="AX277" i="2"/>
  <c r="AY277" i="2"/>
  <c r="AR278" i="2"/>
  <c r="AS278" i="2"/>
  <c r="AT278" i="2"/>
  <c r="AU278" i="2"/>
  <c r="AV278" i="2"/>
  <c r="AW278" i="2" s="1"/>
  <c r="AX278" i="2"/>
  <c r="AY278" i="2"/>
  <c r="AR279" i="2"/>
  <c r="AS279" i="2"/>
  <c r="AT279" i="2"/>
  <c r="AU279" i="2"/>
  <c r="AV279" i="2"/>
  <c r="AW279" i="2" s="1"/>
  <c r="AX279" i="2"/>
  <c r="AY279" i="2"/>
  <c r="AR280" i="2"/>
  <c r="AS280" i="2"/>
  <c r="AT280" i="2"/>
  <c r="AU280" i="2"/>
  <c r="AV280" i="2"/>
  <c r="AW280" i="2" s="1"/>
  <c r="AX280" i="2"/>
  <c r="AY280" i="2"/>
  <c r="AR281" i="2"/>
  <c r="AS281" i="2"/>
  <c r="AT281" i="2"/>
  <c r="AU281" i="2"/>
  <c r="AV281" i="2"/>
  <c r="AW281" i="2" s="1"/>
  <c r="AX281" i="2"/>
  <c r="AY281" i="2"/>
  <c r="AR282" i="2"/>
  <c r="AS282" i="2"/>
  <c r="AT282" i="2"/>
  <c r="AU282" i="2"/>
  <c r="AV282" i="2"/>
  <c r="AW282" i="2" s="1"/>
  <c r="AX282" i="2"/>
  <c r="AY282" i="2"/>
  <c r="AR283" i="2"/>
  <c r="AS283" i="2"/>
  <c r="AT283" i="2"/>
  <c r="AU283" i="2"/>
  <c r="AV283" i="2"/>
  <c r="AW283" i="2" s="1"/>
  <c r="AX283" i="2"/>
  <c r="AY283" i="2"/>
  <c r="AR284" i="2"/>
  <c r="AS284" i="2"/>
  <c r="AT284" i="2"/>
  <c r="AU284" i="2"/>
  <c r="AV284" i="2"/>
  <c r="AW284" i="2" s="1"/>
  <c r="AX284" i="2"/>
  <c r="AY284" i="2"/>
  <c r="AR285" i="2"/>
  <c r="AS285" i="2"/>
  <c r="AT285" i="2"/>
  <c r="AU285" i="2"/>
  <c r="AV285" i="2"/>
  <c r="AW285" i="2" s="1"/>
  <c r="AX285" i="2"/>
  <c r="AY285" i="2"/>
  <c r="AR286" i="2"/>
  <c r="AS286" i="2"/>
  <c r="AT286" i="2"/>
  <c r="AU286" i="2"/>
  <c r="AV286" i="2"/>
  <c r="AW286" i="2" s="1"/>
  <c r="AX286" i="2"/>
  <c r="AY286" i="2"/>
  <c r="AR287" i="2"/>
  <c r="AS287" i="2"/>
  <c r="AT287" i="2"/>
  <c r="AU287" i="2"/>
  <c r="AV287" i="2"/>
  <c r="AW287" i="2" s="1"/>
  <c r="AX287" i="2"/>
  <c r="AY287" i="2"/>
  <c r="AR288" i="2"/>
  <c r="AS288" i="2"/>
  <c r="AT288" i="2"/>
  <c r="AU288" i="2"/>
  <c r="AV288" i="2"/>
  <c r="AW288" i="2" s="1"/>
  <c r="AX288" i="2"/>
  <c r="AY288" i="2"/>
  <c r="AR289" i="2"/>
  <c r="AS289" i="2"/>
  <c r="AT289" i="2"/>
  <c r="AU289" i="2"/>
  <c r="AV289" i="2"/>
  <c r="AW289" i="2" s="1"/>
  <c r="AX289" i="2"/>
  <c r="AY289" i="2"/>
  <c r="AR290" i="2"/>
  <c r="AS290" i="2"/>
  <c r="AT290" i="2"/>
  <c r="AU290" i="2"/>
  <c r="AV290" i="2"/>
  <c r="AW290" i="2" s="1"/>
  <c r="AX290" i="2"/>
  <c r="AY290" i="2"/>
  <c r="AR291" i="2"/>
  <c r="AS291" i="2"/>
  <c r="AT291" i="2"/>
  <c r="AU291" i="2"/>
  <c r="AV291" i="2"/>
  <c r="AW291" i="2" s="1"/>
  <c r="AX291" i="2"/>
  <c r="AY291" i="2"/>
  <c r="AR292" i="2"/>
  <c r="AS292" i="2"/>
  <c r="AT292" i="2"/>
  <c r="AU292" i="2"/>
  <c r="AV292" i="2"/>
  <c r="AW292" i="2" s="1"/>
  <c r="AX292" i="2"/>
  <c r="AY292" i="2"/>
  <c r="AR293" i="2"/>
  <c r="AS293" i="2"/>
  <c r="AT293" i="2"/>
  <c r="AU293" i="2"/>
  <c r="AV293" i="2"/>
  <c r="AW293" i="2" s="1"/>
  <c r="AX293" i="2"/>
  <c r="AY293" i="2"/>
  <c r="AR294" i="2"/>
  <c r="AS294" i="2"/>
  <c r="AT294" i="2"/>
  <c r="AU294" i="2"/>
  <c r="AV294" i="2"/>
  <c r="AW294" i="2" s="1"/>
  <c r="AX294" i="2"/>
  <c r="AY294" i="2"/>
  <c r="AR295" i="2"/>
  <c r="AS295" i="2"/>
  <c r="AT295" i="2"/>
  <c r="AU295" i="2"/>
  <c r="AV295" i="2"/>
  <c r="AW295" i="2" s="1"/>
  <c r="AX295" i="2"/>
  <c r="AY295" i="2"/>
  <c r="AR296" i="2"/>
  <c r="AS296" i="2"/>
  <c r="AT296" i="2"/>
  <c r="AU296" i="2"/>
  <c r="AV296" i="2"/>
  <c r="AW296" i="2" s="1"/>
  <c r="AX296" i="2"/>
  <c r="AY296" i="2"/>
  <c r="AR297" i="2"/>
  <c r="AS297" i="2"/>
  <c r="AT297" i="2"/>
  <c r="AU297" i="2"/>
  <c r="AV297" i="2"/>
  <c r="AW297" i="2" s="1"/>
  <c r="AX297" i="2"/>
  <c r="AY297" i="2"/>
  <c r="AR298" i="2"/>
  <c r="AS298" i="2"/>
  <c r="AT298" i="2"/>
  <c r="AU298" i="2"/>
  <c r="AV298" i="2"/>
  <c r="AW298" i="2" s="1"/>
  <c r="AX298" i="2"/>
  <c r="AY298" i="2"/>
  <c r="AR299" i="2"/>
  <c r="AS299" i="2"/>
  <c r="AT299" i="2"/>
  <c r="AU299" i="2"/>
  <c r="AV299" i="2"/>
  <c r="AW299" i="2" s="1"/>
  <c r="AX299" i="2"/>
  <c r="AY299" i="2"/>
  <c r="AR300" i="2"/>
  <c r="AS300" i="2"/>
  <c r="AT300" i="2"/>
  <c r="AU300" i="2"/>
  <c r="AV300" i="2"/>
  <c r="AW300" i="2" s="1"/>
  <c r="AX300" i="2"/>
  <c r="AY300" i="2"/>
  <c r="AR301" i="2"/>
  <c r="AS301" i="2"/>
  <c r="AT301" i="2"/>
  <c r="AU301" i="2"/>
  <c r="AV301" i="2"/>
  <c r="AW301" i="2" s="1"/>
  <c r="AX301" i="2"/>
  <c r="AY301" i="2"/>
  <c r="AR302" i="2"/>
  <c r="AS302" i="2"/>
  <c r="AT302" i="2"/>
  <c r="AU302" i="2"/>
  <c r="AV302" i="2"/>
  <c r="AW302" i="2" s="1"/>
  <c r="AX302" i="2"/>
  <c r="AY302" i="2"/>
  <c r="AR303" i="2"/>
  <c r="AS303" i="2"/>
  <c r="AT303" i="2"/>
  <c r="AU303" i="2"/>
  <c r="AV303" i="2"/>
  <c r="AW303" i="2" s="1"/>
  <c r="AX303" i="2"/>
  <c r="AY303" i="2"/>
  <c r="AR304" i="2"/>
  <c r="AS304" i="2"/>
  <c r="AT304" i="2"/>
  <c r="AU304" i="2"/>
  <c r="AV304" i="2"/>
  <c r="AW304" i="2" s="1"/>
  <c r="AX304" i="2"/>
  <c r="AY304" i="2"/>
  <c r="AR305" i="2"/>
  <c r="AS305" i="2"/>
  <c r="AT305" i="2"/>
  <c r="AU305" i="2"/>
  <c r="AV305" i="2"/>
  <c r="AW305" i="2" s="1"/>
  <c r="AX305" i="2"/>
  <c r="AY305" i="2"/>
  <c r="AR306" i="2"/>
  <c r="AS306" i="2"/>
  <c r="AT306" i="2"/>
  <c r="AU306" i="2"/>
  <c r="AV306" i="2"/>
  <c r="AW306" i="2" s="1"/>
  <c r="AX306" i="2"/>
  <c r="AY306" i="2"/>
  <c r="AR307" i="2"/>
  <c r="AS307" i="2"/>
  <c r="AT307" i="2"/>
  <c r="AU307" i="2"/>
  <c r="AV307" i="2"/>
  <c r="AW307" i="2" s="1"/>
  <c r="AX307" i="2"/>
  <c r="AY307" i="2"/>
  <c r="AR308" i="2"/>
  <c r="AS308" i="2"/>
  <c r="AT308" i="2"/>
  <c r="AU308" i="2"/>
  <c r="AV308" i="2"/>
  <c r="AW308" i="2" s="1"/>
  <c r="AX308" i="2"/>
  <c r="AY308" i="2"/>
  <c r="AR309" i="2"/>
  <c r="AS309" i="2"/>
  <c r="AT309" i="2"/>
  <c r="AU309" i="2"/>
  <c r="AV309" i="2"/>
  <c r="AW309" i="2" s="1"/>
  <c r="AX309" i="2"/>
  <c r="AY309" i="2"/>
  <c r="AR310" i="2"/>
  <c r="AS310" i="2"/>
  <c r="AT310" i="2"/>
  <c r="AU310" i="2"/>
  <c r="AV310" i="2"/>
  <c r="AW310" i="2" s="1"/>
  <c r="AX310" i="2"/>
  <c r="AY310" i="2"/>
  <c r="AR311" i="2"/>
  <c r="AS311" i="2"/>
  <c r="AT311" i="2"/>
  <c r="AU311" i="2"/>
  <c r="AV311" i="2"/>
  <c r="AW311" i="2" s="1"/>
  <c r="AX311" i="2"/>
  <c r="AY311" i="2"/>
  <c r="AR312" i="2"/>
  <c r="AS312" i="2"/>
  <c r="AT312" i="2"/>
  <c r="AU312" i="2"/>
  <c r="AV312" i="2"/>
  <c r="AW312" i="2" s="1"/>
  <c r="AX312" i="2"/>
  <c r="AY312" i="2"/>
  <c r="AR313" i="2"/>
  <c r="AS313" i="2"/>
  <c r="AT313" i="2"/>
  <c r="AU313" i="2"/>
  <c r="AV313" i="2"/>
  <c r="AW313" i="2" s="1"/>
  <c r="AX313" i="2"/>
  <c r="AY313" i="2"/>
  <c r="AR314" i="2"/>
  <c r="AS314" i="2"/>
  <c r="AT314" i="2"/>
  <c r="AU314" i="2"/>
  <c r="AV314" i="2"/>
  <c r="AW314" i="2" s="1"/>
  <c r="AX314" i="2"/>
  <c r="AY314" i="2"/>
  <c r="AR315" i="2"/>
  <c r="AS315" i="2"/>
  <c r="AT315" i="2"/>
  <c r="AU315" i="2"/>
  <c r="AV315" i="2"/>
  <c r="AW315" i="2" s="1"/>
  <c r="AX315" i="2"/>
  <c r="AY315" i="2"/>
  <c r="AR316" i="2"/>
  <c r="AS316" i="2"/>
  <c r="AT316" i="2"/>
  <c r="AU316" i="2"/>
  <c r="AV316" i="2"/>
  <c r="AW316" i="2" s="1"/>
  <c r="AX316" i="2"/>
  <c r="AY316" i="2"/>
  <c r="AR317" i="2"/>
  <c r="AS317" i="2"/>
  <c r="AT317" i="2"/>
  <c r="AU317" i="2"/>
  <c r="AV317" i="2"/>
  <c r="AW317" i="2" s="1"/>
  <c r="AX317" i="2"/>
  <c r="AY317" i="2"/>
  <c r="AR318" i="2"/>
  <c r="AS318" i="2"/>
  <c r="AT318" i="2"/>
  <c r="AU318" i="2"/>
  <c r="AV318" i="2"/>
  <c r="AW318" i="2" s="1"/>
  <c r="AX318" i="2"/>
  <c r="AY318" i="2"/>
  <c r="AR319" i="2"/>
  <c r="AS319" i="2"/>
  <c r="AT319" i="2"/>
  <c r="AU319" i="2"/>
  <c r="AV319" i="2"/>
  <c r="AW319" i="2" s="1"/>
  <c r="AX319" i="2"/>
  <c r="AY319" i="2"/>
  <c r="AR320" i="2"/>
  <c r="AS320" i="2"/>
  <c r="AT320" i="2"/>
  <c r="AU320" i="2"/>
  <c r="AV320" i="2"/>
  <c r="AW320" i="2" s="1"/>
  <c r="AX320" i="2"/>
  <c r="AY320" i="2"/>
  <c r="AR321" i="2"/>
  <c r="AS321" i="2"/>
  <c r="AT321" i="2"/>
  <c r="AU321" i="2"/>
  <c r="AV321" i="2"/>
  <c r="AW321" i="2" s="1"/>
  <c r="AX321" i="2"/>
  <c r="AY321" i="2"/>
  <c r="AR322" i="2"/>
  <c r="AS322" i="2"/>
  <c r="AT322" i="2"/>
  <c r="AU322" i="2"/>
  <c r="AV322" i="2"/>
  <c r="AW322" i="2" s="1"/>
  <c r="AX322" i="2"/>
  <c r="AY322" i="2"/>
  <c r="AR323" i="2"/>
  <c r="AS323" i="2"/>
  <c r="AT323" i="2"/>
  <c r="AU323" i="2"/>
  <c r="AV323" i="2"/>
  <c r="AW323" i="2" s="1"/>
  <c r="AX323" i="2"/>
  <c r="AY323" i="2"/>
  <c r="AR324" i="2"/>
  <c r="AS324" i="2"/>
  <c r="AT324" i="2"/>
  <c r="AU324" i="2"/>
  <c r="AV324" i="2"/>
  <c r="AW324" i="2" s="1"/>
  <c r="AX324" i="2"/>
  <c r="AY324" i="2"/>
  <c r="AR325" i="2"/>
  <c r="AS325" i="2"/>
  <c r="AT325" i="2"/>
  <c r="AU325" i="2"/>
  <c r="AV325" i="2"/>
  <c r="AW325" i="2" s="1"/>
  <c r="AX325" i="2"/>
  <c r="AY325" i="2"/>
  <c r="AR326" i="2"/>
  <c r="AS326" i="2"/>
  <c r="AT326" i="2"/>
  <c r="AU326" i="2"/>
  <c r="AV326" i="2"/>
  <c r="AW326" i="2" s="1"/>
  <c r="AX326" i="2"/>
  <c r="AY326" i="2"/>
  <c r="AR327" i="2"/>
  <c r="AS327" i="2"/>
  <c r="AT327" i="2"/>
  <c r="AU327" i="2"/>
  <c r="AV327" i="2"/>
  <c r="AW327" i="2" s="1"/>
  <c r="AX327" i="2"/>
  <c r="AY327" i="2"/>
  <c r="AR328" i="2"/>
  <c r="AS328" i="2"/>
  <c r="AT328" i="2"/>
  <c r="AU328" i="2"/>
  <c r="AV328" i="2"/>
  <c r="AW328" i="2" s="1"/>
  <c r="AX328" i="2"/>
  <c r="AY328" i="2"/>
  <c r="AR329" i="2"/>
  <c r="AS329" i="2"/>
  <c r="AT329" i="2"/>
  <c r="AU329" i="2"/>
  <c r="AV329" i="2"/>
  <c r="AW329" i="2" s="1"/>
  <c r="AX329" i="2"/>
  <c r="AY329" i="2"/>
  <c r="AR330" i="2"/>
  <c r="AS330" i="2"/>
  <c r="AT330" i="2"/>
  <c r="AU330" i="2"/>
  <c r="AV330" i="2"/>
  <c r="AW330" i="2" s="1"/>
  <c r="AX330" i="2"/>
  <c r="AY330" i="2"/>
  <c r="AR331" i="2"/>
  <c r="AS331" i="2"/>
  <c r="AT331" i="2"/>
  <c r="AU331" i="2"/>
  <c r="AV331" i="2"/>
  <c r="AW331" i="2" s="1"/>
  <c r="AX331" i="2"/>
  <c r="AY331" i="2"/>
  <c r="AR332" i="2"/>
  <c r="AS332" i="2"/>
  <c r="AT332" i="2"/>
  <c r="AU332" i="2"/>
  <c r="AV332" i="2"/>
  <c r="AW332" i="2" s="1"/>
  <c r="AX332" i="2"/>
  <c r="AY332" i="2"/>
  <c r="AR333" i="2"/>
  <c r="AS333" i="2"/>
  <c r="AT333" i="2"/>
  <c r="AU333" i="2"/>
  <c r="AV333" i="2"/>
  <c r="AW333" i="2" s="1"/>
  <c r="AX333" i="2"/>
  <c r="AY333" i="2"/>
  <c r="AR334" i="2"/>
  <c r="AS334" i="2"/>
  <c r="AT334" i="2"/>
  <c r="AU334" i="2"/>
  <c r="AV334" i="2"/>
  <c r="AW334" i="2" s="1"/>
  <c r="AX334" i="2"/>
  <c r="AY334" i="2"/>
  <c r="AR335" i="2"/>
  <c r="AS335" i="2"/>
  <c r="AT335" i="2"/>
  <c r="AU335" i="2"/>
  <c r="AV335" i="2"/>
  <c r="AW335" i="2" s="1"/>
  <c r="AX335" i="2"/>
  <c r="AY335" i="2"/>
  <c r="AR336" i="2"/>
  <c r="AS336" i="2"/>
  <c r="AT336" i="2"/>
  <c r="AU336" i="2"/>
  <c r="AV336" i="2"/>
  <c r="AW336" i="2" s="1"/>
  <c r="AX336" i="2"/>
  <c r="AY336" i="2"/>
  <c r="AR337" i="2"/>
  <c r="AS337" i="2"/>
  <c r="AT337" i="2"/>
  <c r="AU337" i="2"/>
  <c r="AV337" i="2"/>
  <c r="AW337" i="2" s="1"/>
  <c r="AX337" i="2"/>
  <c r="AY337" i="2"/>
  <c r="AR338" i="2"/>
  <c r="AS338" i="2"/>
  <c r="AT338" i="2"/>
  <c r="AU338" i="2"/>
  <c r="AV338" i="2"/>
  <c r="AW338" i="2" s="1"/>
  <c r="AX338" i="2"/>
  <c r="AY338" i="2"/>
  <c r="AR339" i="2"/>
  <c r="AS339" i="2"/>
  <c r="AT339" i="2"/>
  <c r="AU339" i="2"/>
  <c r="AV339" i="2"/>
  <c r="AW339" i="2" s="1"/>
  <c r="AX339" i="2"/>
  <c r="AY339" i="2"/>
  <c r="AR340" i="2"/>
  <c r="AS340" i="2"/>
  <c r="AT340" i="2"/>
  <c r="AU340" i="2"/>
  <c r="AV340" i="2"/>
  <c r="AW340" i="2" s="1"/>
  <c r="AX340" i="2"/>
  <c r="AY340" i="2"/>
  <c r="AR341" i="2"/>
  <c r="AS341" i="2"/>
  <c r="AT341" i="2"/>
  <c r="AU341" i="2"/>
  <c r="AV341" i="2"/>
  <c r="AW341" i="2" s="1"/>
  <c r="AX341" i="2"/>
  <c r="AY341" i="2"/>
  <c r="AR342" i="2"/>
  <c r="AS342" i="2"/>
  <c r="AT342" i="2"/>
  <c r="AU342" i="2"/>
  <c r="AV342" i="2"/>
  <c r="AW342" i="2" s="1"/>
  <c r="AX342" i="2"/>
  <c r="AY342" i="2"/>
  <c r="AR343" i="2"/>
  <c r="AS343" i="2"/>
  <c r="AT343" i="2"/>
  <c r="AU343" i="2"/>
  <c r="AV343" i="2"/>
  <c r="AW343" i="2" s="1"/>
  <c r="AX343" i="2"/>
  <c r="AY343" i="2"/>
  <c r="AR344" i="2"/>
  <c r="AS344" i="2"/>
  <c r="AT344" i="2"/>
  <c r="AU344" i="2"/>
  <c r="AV344" i="2"/>
  <c r="AW344" i="2" s="1"/>
  <c r="AX344" i="2"/>
  <c r="AY344" i="2"/>
  <c r="AR345" i="2"/>
  <c r="AS345" i="2"/>
  <c r="AT345" i="2"/>
  <c r="AU345" i="2"/>
  <c r="AV345" i="2"/>
  <c r="AW345" i="2" s="1"/>
  <c r="AX345" i="2"/>
  <c r="AY345" i="2"/>
  <c r="AR346" i="2"/>
  <c r="AS346" i="2"/>
  <c r="AT346" i="2"/>
  <c r="AU346" i="2"/>
  <c r="AV346" i="2"/>
  <c r="AW346" i="2" s="1"/>
  <c r="AX346" i="2"/>
  <c r="AY346" i="2"/>
  <c r="AR347" i="2"/>
  <c r="AS347" i="2"/>
  <c r="AT347" i="2"/>
  <c r="AU347" i="2"/>
  <c r="AV347" i="2"/>
  <c r="AW347" i="2" s="1"/>
  <c r="AX347" i="2"/>
  <c r="AY347" i="2"/>
  <c r="AR348" i="2"/>
  <c r="AS348" i="2"/>
  <c r="AT348" i="2"/>
  <c r="AU348" i="2"/>
  <c r="AV348" i="2"/>
  <c r="AW348" i="2" s="1"/>
  <c r="AX348" i="2"/>
  <c r="AY348" i="2"/>
  <c r="AR349" i="2"/>
  <c r="AS349" i="2"/>
  <c r="AT349" i="2"/>
  <c r="AU349" i="2"/>
  <c r="AV349" i="2"/>
  <c r="AW349" i="2" s="1"/>
  <c r="AX349" i="2"/>
  <c r="AY349" i="2"/>
  <c r="AR350" i="2"/>
  <c r="AS350" i="2"/>
  <c r="AT350" i="2"/>
  <c r="AU350" i="2"/>
  <c r="AV350" i="2"/>
  <c r="AW350" i="2" s="1"/>
  <c r="AX350" i="2"/>
  <c r="AY350" i="2"/>
  <c r="AR351" i="2"/>
  <c r="AS351" i="2"/>
  <c r="AT351" i="2"/>
  <c r="AU351" i="2"/>
  <c r="AV351" i="2"/>
  <c r="AW351" i="2" s="1"/>
  <c r="AX351" i="2"/>
  <c r="AY351" i="2"/>
  <c r="AR352" i="2"/>
  <c r="AS352" i="2"/>
  <c r="AT352" i="2"/>
  <c r="AU352" i="2"/>
  <c r="AV352" i="2"/>
  <c r="AW352" i="2" s="1"/>
  <c r="AX352" i="2"/>
  <c r="AY352" i="2"/>
  <c r="AR353" i="2"/>
  <c r="AS353" i="2"/>
  <c r="AT353" i="2"/>
  <c r="AU353" i="2"/>
  <c r="AV353" i="2"/>
  <c r="AW353" i="2" s="1"/>
  <c r="AX353" i="2"/>
  <c r="AY353" i="2"/>
  <c r="AR354" i="2"/>
  <c r="AS354" i="2"/>
  <c r="AT354" i="2"/>
  <c r="AU354" i="2"/>
  <c r="AV354" i="2"/>
  <c r="AW354" i="2" s="1"/>
  <c r="AX354" i="2"/>
  <c r="AY354" i="2"/>
  <c r="AR355" i="2"/>
  <c r="AS355" i="2"/>
  <c r="AT355" i="2"/>
  <c r="AU355" i="2"/>
  <c r="AV355" i="2"/>
  <c r="AW355" i="2" s="1"/>
  <c r="AX355" i="2"/>
  <c r="AY355" i="2"/>
  <c r="AR356" i="2"/>
  <c r="AS356" i="2"/>
  <c r="AT356" i="2"/>
  <c r="AU356" i="2"/>
  <c r="AV356" i="2"/>
  <c r="AW356" i="2" s="1"/>
  <c r="AX356" i="2"/>
  <c r="AY356" i="2"/>
  <c r="AR357" i="2"/>
  <c r="AS357" i="2"/>
  <c r="AT357" i="2"/>
  <c r="AU357" i="2"/>
  <c r="AV357" i="2"/>
  <c r="AW357" i="2" s="1"/>
  <c r="AX357" i="2"/>
  <c r="AY357" i="2"/>
  <c r="AR358" i="2"/>
  <c r="AS358" i="2"/>
  <c r="AT358" i="2"/>
  <c r="AU358" i="2"/>
  <c r="AV358" i="2"/>
  <c r="AW358" i="2" s="1"/>
  <c r="AX358" i="2"/>
  <c r="AY358" i="2"/>
  <c r="AR359" i="2"/>
  <c r="AS359" i="2"/>
  <c r="AT359" i="2"/>
  <c r="AU359" i="2"/>
  <c r="AV359" i="2"/>
  <c r="AW359" i="2" s="1"/>
  <c r="AX359" i="2"/>
  <c r="AY359" i="2"/>
  <c r="AR360" i="2"/>
  <c r="AS360" i="2"/>
  <c r="AT360" i="2"/>
  <c r="AU360" i="2"/>
  <c r="AV360" i="2"/>
  <c r="AW360" i="2" s="1"/>
  <c r="AX360" i="2"/>
  <c r="AY360" i="2"/>
  <c r="AR361" i="2"/>
  <c r="AS361" i="2"/>
  <c r="AT361" i="2"/>
  <c r="AU361" i="2"/>
  <c r="AV361" i="2"/>
  <c r="AW361" i="2" s="1"/>
  <c r="AX361" i="2"/>
  <c r="AY361" i="2"/>
  <c r="AR362" i="2"/>
  <c r="AS362" i="2"/>
  <c r="AT362" i="2"/>
  <c r="AU362" i="2"/>
  <c r="AV362" i="2"/>
  <c r="AW362" i="2" s="1"/>
  <c r="AX362" i="2"/>
  <c r="AY362" i="2"/>
  <c r="AR363" i="2"/>
  <c r="AS363" i="2"/>
  <c r="AT363" i="2"/>
  <c r="AU363" i="2"/>
  <c r="AV363" i="2"/>
  <c r="AW363" i="2" s="1"/>
  <c r="AX363" i="2"/>
  <c r="AY363" i="2"/>
  <c r="AR364" i="2"/>
  <c r="AS364" i="2"/>
  <c r="AT364" i="2"/>
  <c r="AU364" i="2"/>
  <c r="AV364" i="2"/>
  <c r="AW364" i="2" s="1"/>
  <c r="AX364" i="2"/>
  <c r="AY364" i="2"/>
  <c r="AR365" i="2"/>
  <c r="AS365" i="2"/>
  <c r="AT365" i="2"/>
  <c r="AU365" i="2"/>
  <c r="AV365" i="2"/>
  <c r="AW365" i="2" s="1"/>
  <c r="AX365" i="2"/>
  <c r="AY365" i="2"/>
  <c r="AR366" i="2"/>
  <c r="AS366" i="2"/>
  <c r="AT366" i="2"/>
  <c r="AU366" i="2"/>
  <c r="AV366" i="2"/>
  <c r="AW366" i="2" s="1"/>
  <c r="AX366" i="2"/>
  <c r="AY366" i="2"/>
  <c r="AR367" i="2"/>
  <c r="AS367" i="2"/>
  <c r="AT367" i="2"/>
  <c r="AU367" i="2"/>
  <c r="AV367" i="2"/>
  <c r="AW367" i="2" s="1"/>
  <c r="AX367" i="2"/>
  <c r="AY367" i="2"/>
  <c r="AR368" i="2"/>
  <c r="AS368" i="2"/>
  <c r="AT368" i="2"/>
  <c r="AU368" i="2"/>
  <c r="AV368" i="2"/>
  <c r="AW368" i="2" s="1"/>
  <c r="AX368" i="2"/>
  <c r="AY368" i="2"/>
  <c r="AR369" i="2"/>
  <c r="AS369" i="2"/>
  <c r="AT369" i="2"/>
  <c r="AU369" i="2"/>
  <c r="AV369" i="2"/>
  <c r="AW369" i="2" s="1"/>
  <c r="AX369" i="2"/>
  <c r="AY369" i="2"/>
  <c r="AR370" i="2"/>
  <c r="AS370" i="2"/>
  <c r="AT370" i="2"/>
  <c r="AU370" i="2"/>
  <c r="AV370" i="2"/>
  <c r="AW370" i="2" s="1"/>
  <c r="AX370" i="2"/>
  <c r="AY370" i="2"/>
  <c r="AR371" i="2"/>
  <c r="AS371" i="2"/>
  <c r="AT371" i="2"/>
  <c r="AU371" i="2"/>
  <c r="AV371" i="2"/>
  <c r="AW371" i="2" s="1"/>
  <c r="AX371" i="2"/>
  <c r="AY371" i="2"/>
  <c r="AR372" i="2"/>
  <c r="AS372" i="2"/>
  <c r="AT372" i="2"/>
  <c r="AU372" i="2"/>
  <c r="AV372" i="2"/>
  <c r="AW372" i="2" s="1"/>
  <c r="AX372" i="2"/>
  <c r="AY372" i="2"/>
  <c r="AR373" i="2"/>
  <c r="AS373" i="2"/>
  <c r="AT373" i="2"/>
  <c r="AU373" i="2"/>
  <c r="AV373" i="2"/>
  <c r="AW373" i="2" s="1"/>
  <c r="AX373" i="2"/>
  <c r="AY373" i="2"/>
  <c r="AR374" i="2"/>
  <c r="AS374" i="2"/>
  <c r="AT374" i="2"/>
  <c r="AU374" i="2"/>
  <c r="AV374" i="2"/>
  <c r="AW374" i="2" s="1"/>
  <c r="AX374" i="2"/>
  <c r="AY374" i="2"/>
  <c r="AR375" i="2"/>
  <c r="AS375" i="2"/>
  <c r="AT375" i="2"/>
  <c r="AU375" i="2"/>
  <c r="AV375" i="2"/>
  <c r="AW375" i="2" s="1"/>
  <c r="AX375" i="2"/>
  <c r="AY375" i="2"/>
  <c r="AR376" i="2"/>
  <c r="AS376" i="2"/>
  <c r="AT376" i="2"/>
  <c r="AU376" i="2"/>
  <c r="AV376" i="2"/>
  <c r="AW376" i="2" s="1"/>
  <c r="AX376" i="2"/>
  <c r="AY376" i="2"/>
  <c r="AR377" i="2"/>
  <c r="AS377" i="2"/>
  <c r="AT377" i="2"/>
  <c r="AU377" i="2"/>
  <c r="AV377" i="2"/>
  <c r="AW377" i="2" s="1"/>
  <c r="AX377" i="2"/>
  <c r="AY377" i="2"/>
  <c r="AR378" i="2"/>
  <c r="AS378" i="2"/>
  <c r="AT378" i="2"/>
  <c r="AU378" i="2"/>
  <c r="AV378" i="2"/>
  <c r="AW378" i="2" s="1"/>
  <c r="AX378" i="2"/>
  <c r="AY378" i="2"/>
  <c r="AR379" i="2"/>
  <c r="AS379" i="2"/>
  <c r="AT379" i="2"/>
  <c r="AU379" i="2"/>
  <c r="AV379" i="2"/>
  <c r="AW379" i="2" s="1"/>
  <c r="AX379" i="2"/>
  <c r="AY379" i="2"/>
  <c r="AR380" i="2"/>
  <c r="AS380" i="2"/>
  <c r="AT380" i="2"/>
  <c r="AU380" i="2"/>
  <c r="AV380" i="2"/>
  <c r="AW380" i="2" s="1"/>
  <c r="AX380" i="2"/>
  <c r="AY380" i="2"/>
  <c r="AR381" i="2"/>
  <c r="AS381" i="2"/>
  <c r="AT381" i="2"/>
  <c r="AU381" i="2"/>
  <c r="AV381" i="2"/>
  <c r="AW381" i="2" s="1"/>
  <c r="AX381" i="2"/>
  <c r="AY381" i="2"/>
  <c r="AR382" i="2"/>
  <c r="AS382" i="2"/>
  <c r="AT382" i="2"/>
  <c r="AU382" i="2"/>
  <c r="AV382" i="2"/>
  <c r="AW382" i="2" s="1"/>
  <c r="AX382" i="2"/>
  <c r="AY382" i="2"/>
  <c r="AR383" i="2"/>
  <c r="AS383" i="2"/>
  <c r="AT383" i="2"/>
  <c r="AU383" i="2"/>
  <c r="AV383" i="2"/>
  <c r="AW383" i="2" s="1"/>
  <c r="AX383" i="2"/>
  <c r="AY383" i="2"/>
  <c r="AR384" i="2"/>
  <c r="AS384" i="2"/>
  <c r="AT384" i="2"/>
  <c r="AU384" i="2"/>
  <c r="AV384" i="2"/>
  <c r="AW384" i="2" s="1"/>
  <c r="AX384" i="2"/>
  <c r="AY384" i="2"/>
  <c r="AR385" i="2"/>
  <c r="AS385" i="2"/>
  <c r="AT385" i="2"/>
  <c r="AU385" i="2"/>
  <c r="AV385" i="2"/>
  <c r="AW385" i="2" s="1"/>
  <c r="AX385" i="2"/>
  <c r="AY385" i="2"/>
  <c r="AR386" i="2"/>
  <c r="AS386" i="2"/>
  <c r="AT386" i="2"/>
  <c r="AU386" i="2"/>
  <c r="AV386" i="2"/>
  <c r="AW386" i="2" s="1"/>
  <c r="AX386" i="2"/>
  <c r="AY386" i="2"/>
  <c r="AR387" i="2"/>
  <c r="AS387" i="2"/>
  <c r="AT387" i="2"/>
  <c r="AU387" i="2"/>
  <c r="AV387" i="2"/>
  <c r="AW387" i="2" s="1"/>
  <c r="AX387" i="2"/>
  <c r="AY387" i="2"/>
  <c r="AR388" i="2"/>
  <c r="AS388" i="2"/>
  <c r="AT388" i="2"/>
  <c r="AU388" i="2"/>
  <c r="AV388" i="2"/>
  <c r="AW388" i="2" s="1"/>
  <c r="AX388" i="2"/>
  <c r="AY388" i="2"/>
  <c r="AR389" i="2"/>
  <c r="AS389" i="2"/>
  <c r="AT389" i="2"/>
  <c r="AU389" i="2"/>
  <c r="AV389" i="2"/>
  <c r="AW389" i="2" s="1"/>
  <c r="AX389" i="2"/>
  <c r="AY389" i="2"/>
  <c r="AR390" i="2"/>
  <c r="AS390" i="2"/>
  <c r="AT390" i="2"/>
  <c r="AU390" i="2"/>
  <c r="AV390" i="2"/>
  <c r="AW390" i="2" s="1"/>
  <c r="AX390" i="2"/>
  <c r="AY390" i="2"/>
  <c r="AR391" i="2"/>
  <c r="AS391" i="2"/>
  <c r="AT391" i="2"/>
  <c r="AU391" i="2"/>
  <c r="AV391" i="2"/>
  <c r="AW391" i="2" s="1"/>
  <c r="AX391" i="2"/>
  <c r="AY391" i="2"/>
  <c r="AR392" i="2"/>
  <c r="AS392" i="2"/>
  <c r="AT392" i="2"/>
  <c r="AU392" i="2"/>
  <c r="AV392" i="2"/>
  <c r="AW392" i="2" s="1"/>
  <c r="AX392" i="2"/>
  <c r="AY392" i="2"/>
  <c r="AR393" i="2"/>
  <c r="AS393" i="2"/>
  <c r="AT393" i="2"/>
  <c r="AU393" i="2"/>
  <c r="AV393" i="2"/>
  <c r="AW393" i="2" s="1"/>
  <c r="AX393" i="2"/>
  <c r="AY393" i="2"/>
  <c r="AR394" i="2"/>
  <c r="AS394" i="2"/>
  <c r="AT394" i="2"/>
  <c r="AU394" i="2"/>
  <c r="AV394" i="2"/>
  <c r="AW394" i="2" s="1"/>
  <c r="AX394" i="2"/>
  <c r="AY394" i="2"/>
  <c r="AR395" i="2"/>
  <c r="AS395" i="2"/>
  <c r="AT395" i="2"/>
  <c r="AU395" i="2"/>
  <c r="AV395" i="2"/>
  <c r="AW395" i="2" s="1"/>
  <c r="AX395" i="2"/>
  <c r="AY395" i="2"/>
  <c r="AR396" i="2"/>
  <c r="AS396" i="2"/>
  <c r="AT396" i="2"/>
  <c r="AU396" i="2"/>
  <c r="AV396" i="2"/>
  <c r="AW396" i="2" s="1"/>
  <c r="AX396" i="2"/>
  <c r="AY396" i="2"/>
  <c r="AR397" i="2"/>
  <c r="AS397" i="2"/>
  <c r="AT397" i="2"/>
  <c r="AU397" i="2"/>
  <c r="AV397" i="2"/>
  <c r="AW397" i="2" s="1"/>
  <c r="AX397" i="2"/>
  <c r="AY397" i="2"/>
  <c r="AR398" i="2"/>
  <c r="AS398" i="2"/>
  <c r="AT398" i="2"/>
  <c r="AU398" i="2"/>
  <c r="AV398" i="2"/>
  <c r="AW398" i="2" s="1"/>
  <c r="AX398" i="2"/>
  <c r="AY398" i="2"/>
  <c r="AR399" i="2"/>
  <c r="AS399" i="2"/>
  <c r="AT399" i="2"/>
  <c r="AU399" i="2"/>
  <c r="AV399" i="2"/>
  <c r="AW399" i="2" s="1"/>
  <c r="AX399" i="2"/>
  <c r="AY399" i="2"/>
  <c r="AR400" i="2"/>
  <c r="AS400" i="2"/>
  <c r="AT400" i="2"/>
  <c r="AU400" i="2"/>
  <c r="AV400" i="2"/>
  <c r="AW400" i="2" s="1"/>
  <c r="AX400" i="2"/>
  <c r="AY400" i="2"/>
  <c r="AR401" i="2"/>
  <c r="AS401" i="2"/>
  <c r="AT401" i="2"/>
  <c r="AU401" i="2"/>
  <c r="AV401" i="2"/>
  <c r="AW401" i="2" s="1"/>
  <c r="AX401" i="2"/>
  <c r="AY401" i="2"/>
  <c r="AR402" i="2"/>
  <c r="AS402" i="2"/>
  <c r="AT402" i="2"/>
  <c r="AU402" i="2"/>
  <c r="AV402" i="2"/>
  <c r="AW402" i="2" s="1"/>
  <c r="AX402" i="2"/>
  <c r="AY402" i="2"/>
  <c r="AR403" i="2"/>
  <c r="AS403" i="2"/>
  <c r="AT403" i="2"/>
  <c r="AU403" i="2"/>
  <c r="AV403" i="2"/>
  <c r="AW403" i="2" s="1"/>
  <c r="AX403" i="2"/>
  <c r="AY403" i="2"/>
  <c r="AR404" i="2"/>
  <c r="AS404" i="2"/>
  <c r="AT404" i="2"/>
  <c r="AU404" i="2"/>
  <c r="AV404" i="2"/>
  <c r="AW404" i="2" s="1"/>
  <c r="AX404" i="2"/>
  <c r="AY404" i="2"/>
  <c r="AR405" i="2"/>
  <c r="AS405" i="2"/>
  <c r="AT405" i="2"/>
  <c r="AU405" i="2"/>
  <c r="AV405" i="2"/>
  <c r="AW405" i="2" s="1"/>
  <c r="AX405" i="2"/>
  <c r="AY405" i="2"/>
  <c r="AR406" i="2"/>
  <c r="AS406" i="2"/>
  <c r="AT406" i="2"/>
  <c r="AU406" i="2"/>
  <c r="AV406" i="2"/>
  <c r="AW406" i="2" s="1"/>
  <c r="AX406" i="2"/>
  <c r="AY406" i="2"/>
  <c r="AR407" i="2"/>
  <c r="AS407" i="2"/>
  <c r="AT407" i="2"/>
  <c r="AU407" i="2"/>
  <c r="AV407" i="2"/>
  <c r="AW407" i="2" s="1"/>
  <c r="AX407" i="2"/>
  <c r="AY407" i="2"/>
  <c r="AR408" i="2"/>
  <c r="AS408" i="2"/>
  <c r="AT408" i="2"/>
  <c r="AU408" i="2"/>
  <c r="AV408" i="2"/>
  <c r="AW408" i="2" s="1"/>
  <c r="AX408" i="2"/>
  <c r="AY408" i="2"/>
  <c r="AR409" i="2"/>
  <c r="AS409" i="2"/>
  <c r="AT409" i="2"/>
  <c r="AU409" i="2"/>
  <c r="AV409" i="2"/>
  <c r="AW409" i="2" s="1"/>
  <c r="AX409" i="2"/>
  <c r="AY409" i="2"/>
  <c r="AR410" i="2"/>
  <c r="AS410" i="2"/>
  <c r="AT410" i="2"/>
  <c r="AU410" i="2"/>
  <c r="AV410" i="2"/>
  <c r="AW410" i="2" s="1"/>
  <c r="AX410" i="2"/>
  <c r="AY410" i="2"/>
  <c r="AR411" i="2"/>
  <c r="AS411" i="2"/>
  <c r="AT411" i="2"/>
  <c r="AU411" i="2"/>
  <c r="AV411" i="2"/>
  <c r="AW411" i="2" s="1"/>
  <c r="AX411" i="2"/>
  <c r="AY411" i="2"/>
  <c r="AR412" i="2"/>
  <c r="AS412" i="2"/>
  <c r="AT412" i="2"/>
  <c r="AU412" i="2"/>
  <c r="AV412" i="2"/>
  <c r="AW412" i="2" s="1"/>
  <c r="AX412" i="2"/>
  <c r="AY412" i="2"/>
  <c r="AR413" i="2"/>
  <c r="AS413" i="2"/>
  <c r="AT413" i="2"/>
  <c r="AU413" i="2"/>
  <c r="AV413" i="2"/>
  <c r="AW413" i="2" s="1"/>
  <c r="AX413" i="2"/>
  <c r="AY413" i="2"/>
  <c r="AR414" i="2"/>
  <c r="AS414" i="2"/>
  <c r="AT414" i="2"/>
  <c r="AU414" i="2"/>
  <c r="AV414" i="2"/>
  <c r="AW414" i="2" s="1"/>
  <c r="AX414" i="2"/>
  <c r="AY414" i="2"/>
  <c r="AR415" i="2"/>
  <c r="AS415" i="2"/>
  <c r="AT415" i="2"/>
  <c r="AU415" i="2"/>
  <c r="AV415" i="2"/>
  <c r="AW415" i="2" s="1"/>
  <c r="AX415" i="2"/>
  <c r="AY415" i="2"/>
  <c r="AR416" i="2"/>
  <c r="AS416" i="2"/>
  <c r="AT416" i="2"/>
  <c r="AU416" i="2"/>
  <c r="AV416" i="2"/>
  <c r="AW416" i="2" s="1"/>
  <c r="AX416" i="2"/>
  <c r="AY416" i="2"/>
  <c r="AR417" i="2"/>
  <c r="AS417" i="2"/>
  <c r="AT417" i="2"/>
  <c r="AU417" i="2"/>
  <c r="AV417" i="2"/>
  <c r="AW417" i="2" s="1"/>
  <c r="AX417" i="2"/>
  <c r="AY417" i="2"/>
  <c r="AR418" i="2"/>
  <c r="AS418" i="2"/>
  <c r="AT418" i="2"/>
  <c r="AU418" i="2"/>
  <c r="AV418" i="2"/>
  <c r="AW418" i="2" s="1"/>
  <c r="AX418" i="2"/>
  <c r="AY418" i="2"/>
  <c r="AR419" i="2"/>
  <c r="AS419" i="2"/>
  <c r="AT419" i="2"/>
  <c r="AU419" i="2"/>
  <c r="AV419" i="2"/>
  <c r="AW419" i="2" s="1"/>
  <c r="AX419" i="2"/>
  <c r="AY419" i="2"/>
  <c r="AR420" i="2"/>
  <c r="AS420" i="2"/>
  <c r="AT420" i="2"/>
  <c r="AU420" i="2"/>
  <c r="AV420" i="2"/>
  <c r="AW420" i="2" s="1"/>
  <c r="AX420" i="2"/>
  <c r="AY420" i="2"/>
  <c r="AR421" i="2"/>
  <c r="AS421" i="2"/>
  <c r="AT421" i="2"/>
  <c r="AU421" i="2"/>
  <c r="AV421" i="2"/>
  <c r="AW421" i="2" s="1"/>
  <c r="AX421" i="2"/>
  <c r="AY421" i="2"/>
  <c r="AR422" i="2"/>
  <c r="AS422" i="2"/>
  <c r="AT422" i="2"/>
  <c r="AU422" i="2"/>
  <c r="AV422" i="2"/>
  <c r="AW422" i="2" s="1"/>
  <c r="AX422" i="2"/>
  <c r="AY422" i="2"/>
  <c r="AR423" i="2"/>
  <c r="AS423" i="2"/>
  <c r="AT423" i="2"/>
  <c r="AU423" i="2"/>
  <c r="AV423" i="2"/>
  <c r="AW423" i="2" s="1"/>
  <c r="AX423" i="2"/>
  <c r="AY423" i="2"/>
  <c r="AR424" i="2"/>
  <c r="AS424" i="2"/>
  <c r="AT424" i="2"/>
  <c r="AU424" i="2"/>
  <c r="AV424" i="2"/>
  <c r="AW424" i="2" s="1"/>
  <c r="AX424" i="2"/>
  <c r="AY424" i="2"/>
  <c r="AR425" i="2"/>
  <c r="AS425" i="2"/>
  <c r="AT425" i="2"/>
  <c r="AU425" i="2"/>
  <c r="AV425" i="2"/>
  <c r="AW425" i="2" s="1"/>
  <c r="AX425" i="2"/>
  <c r="AY425" i="2"/>
  <c r="AR426" i="2"/>
  <c r="AS426" i="2"/>
  <c r="AT426" i="2"/>
  <c r="AU426" i="2"/>
  <c r="AV426" i="2"/>
  <c r="AW426" i="2" s="1"/>
  <c r="AX426" i="2"/>
  <c r="AY426" i="2"/>
  <c r="AR427" i="2"/>
  <c r="AS427" i="2"/>
  <c r="AT427" i="2"/>
  <c r="AU427" i="2"/>
  <c r="AV427" i="2"/>
  <c r="AW427" i="2" s="1"/>
  <c r="AX427" i="2"/>
  <c r="AY427" i="2"/>
  <c r="AR428" i="2"/>
  <c r="AS428" i="2"/>
  <c r="AT428" i="2"/>
  <c r="AU428" i="2"/>
  <c r="AV428" i="2"/>
  <c r="AW428" i="2" s="1"/>
  <c r="AX428" i="2"/>
  <c r="AY428" i="2"/>
  <c r="AR429" i="2"/>
  <c r="AS429" i="2"/>
  <c r="AT429" i="2"/>
  <c r="AU429" i="2"/>
  <c r="AV429" i="2"/>
  <c r="AW429" i="2" s="1"/>
  <c r="AX429" i="2"/>
  <c r="AY429" i="2"/>
  <c r="AR430" i="2"/>
  <c r="AS430" i="2"/>
  <c r="AT430" i="2"/>
  <c r="AU430" i="2"/>
  <c r="AV430" i="2"/>
  <c r="AW430" i="2" s="1"/>
  <c r="AX430" i="2"/>
  <c r="AY430" i="2"/>
  <c r="AR431" i="2"/>
  <c r="AS431" i="2"/>
  <c r="AT431" i="2"/>
  <c r="AU431" i="2"/>
  <c r="AV431" i="2"/>
  <c r="AW431" i="2" s="1"/>
  <c r="AX431" i="2"/>
  <c r="AY431" i="2"/>
  <c r="AR432" i="2"/>
  <c r="AS432" i="2"/>
  <c r="AT432" i="2"/>
  <c r="AU432" i="2"/>
  <c r="AV432" i="2"/>
  <c r="AW432" i="2" s="1"/>
  <c r="AX432" i="2"/>
  <c r="AY432" i="2"/>
  <c r="AR433" i="2"/>
  <c r="AS433" i="2"/>
  <c r="AT433" i="2"/>
  <c r="AU433" i="2"/>
  <c r="AV433" i="2"/>
  <c r="AW433" i="2" s="1"/>
  <c r="AX433" i="2"/>
  <c r="AY433" i="2"/>
  <c r="AR434" i="2"/>
  <c r="AS434" i="2"/>
  <c r="AT434" i="2"/>
  <c r="AU434" i="2"/>
  <c r="AV434" i="2"/>
  <c r="AW434" i="2" s="1"/>
  <c r="AX434" i="2"/>
  <c r="AY434" i="2"/>
  <c r="AR435" i="2"/>
  <c r="AS435" i="2"/>
  <c r="AT435" i="2"/>
  <c r="AU435" i="2"/>
  <c r="AV435" i="2"/>
  <c r="AW435" i="2" s="1"/>
  <c r="AX435" i="2"/>
  <c r="AY435" i="2"/>
  <c r="AR436" i="2"/>
  <c r="AS436" i="2"/>
  <c r="AT436" i="2"/>
  <c r="AU436" i="2"/>
  <c r="AV436" i="2"/>
  <c r="AW436" i="2" s="1"/>
  <c r="AX436" i="2"/>
  <c r="AY436" i="2"/>
  <c r="AR437" i="2"/>
  <c r="AS437" i="2"/>
  <c r="AT437" i="2"/>
  <c r="AU437" i="2"/>
  <c r="AV437" i="2"/>
  <c r="AW437" i="2" s="1"/>
  <c r="AX437" i="2"/>
  <c r="AY437" i="2"/>
  <c r="AR438" i="2"/>
  <c r="AS438" i="2"/>
  <c r="AT438" i="2"/>
  <c r="AU438" i="2"/>
  <c r="AV438" i="2"/>
  <c r="AW438" i="2" s="1"/>
  <c r="AX438" i="2"/>
  <c r="AY438" i="2"/>
  <c r="AR439" i="2"/>
  <c r="AS439" i="2"/>
  <c r="AT439" i="2"/>
  <c r="AU439" i="2"/>
  <c r="AV439" i="2"/>
  <c r="AW439" i="2" s="1"/>
  <c r="AX439" i="2"/>
  <c r="AY439" i="2"/>
  <c r="AR440" i="2"/>
  <c r="AS440" i="2"/>
  <c r="AT440" i="2"/>
  <c r="AU440" i="2"/>
  <c r="AV440" i="2"/>
  <c r="AW440" i="2" s="1"/>
  <c r="AX440" i="2"/>
  <c r="AY440" i="2"/>
  <c r="AR441" i="2"/>
  <c r="AS441" i="2"/>
  <c r="AT441" i="2"/>
  <c r="AU441" i="2"/>
  <c r="AV441" i="2"/>
  <c r="AW441" i="2" s="1"/>
  <c r="AX441" i="2"/>
  <c r="AY441" i="2"/>
  <c r="AR442" i="2"/>
  <c r="AS442" i="2"/>
  <c r="AT442" i="2"/>
  <c r="AU442" i="2"/>
  <c r="AV442" i="2"/>
  <c r="AW442" i="2" s="1"/>
  <c r="AX442" i="2"/>
  <c r="AY442" i="2"/>
  <c r="AR443" i="2"/>
  <c r="AS443" i="2"/>
  <c r="AT443" i="2"/>
  <c r="AU443" i="2"/>
  <c r="AV443" i="2"/>
  <c r="AW443" i="2" s="1"/>
  <c r="AX443" i="2"/>
  <c r="AY443" i="2"/>
  <c r="AR444" i="2"/>
  <c r="AS444" i="2"/>
  <c r="AT444" i="2"/>
  <c r="AU444" i="2"/>
  <c r="AV444" i="2"/>
  <c r="AW444" i="2" s="1"/>
  <c r="AX444" i="2"/>
  <c r="AY444" i="2"/>
  <c r="AR445" i="2"/>
  <c r="AS445" i="2"/>
  <c r="AT445" i="2"/>
  <c r="AU445" i="2"/>
  <c r="AV445" i="2"/>
  <c r="AW445" i="2" s="1"/>
  <c r="AX445" i="2"/>
  <c r="AY445" i="2"/>
  <c r="AR446" i="2"/>
  <c r="AS446" i="2"/>
  <c r="AT446" i="2"/>
  <c r="AU446" i="2"/>
  <c r="AV446" i="2"/>
  <c r="AW446" i="2" s="1"/>
  <c r="AX446" i="2"/>
  <c r="AY446" i="2"/>
  <c r="AR447" i="2"/>
  <c r="AS447" i="2"/>
  <c r="AT447" i="2"/>
  <c r="AU447" i="2"/>
  <c r="AV447" i="2"/>
  <c r="AW447" i="2" s="1"/>
  <c r="AX447" i="2"/>
  <c r="AY447" i="2"/>
  <c r="AR448" i="2"/>
  <c r="AS448" i="2"/>
  <c r="AT448" i="2"/>
  <c r="AU448" i="2"/>
  <c r="AV448" i="2"/>
  <c r="AW448" i="2" s="1"/>
  <c r="AX448" i="2"/>
  <c r="AY448" i="2"/>
  <c r="AR449" i="2"/>
  <c r="AS449" i="2"/>
  <c r="AT449" i="2"/>
  <c r="AU449" i="2"/>
  <c r="AV449" i="2"/>
  <c r="AW449" i="2" s="1"/>
  <c r="AX449" i="2"/>
  <c r="AY449" i="2"/>
  <c r="AR450" i="2"/>
  <c r="AS450" i="2"/>
  <c r="AT450" i="2"/>
  <c r="AU450" i="2"/>
  <c r="AV450" i="2"/>
  <c r="AW450" i="2" s="1"/>
  <c r="AX450" i="2"/>
  <c r="AY450" i="2"/>
  <c r="AR451" i="2"/>
  <c r="AS451" i="2"/>
  <c r="AT451" i="2"/>
  <c r="AU451" i="2"/>
  <c r="AV451" i="2"/>
  <c r="AW451" i="2" s="1"/>
  <c r="AX451" i="2"/>
  <c r="AY451" i="2"/>
  <c r="AR452" i="2"/>
  <c r="AS452" i="2"/>
  <c r="AT452" i="2"/>
  <c r="AU452" i="2"/>
  <c r="AV452" i="2"/>
  <c r="AW452" i="2" s="1"/>
  <c r="AX452" i="2"/>
  <c r="AY452" i="2"/>
  <c r="AR453" i="2"/>
  <c r="AS453" i="2"/>
  <c r="AT453" i="2"/>
  <c r="AU453" i="2"/>
  <c r="AV453" i="2"/>
  <c r="AW453" i="2" s="1"/>
  <c r="AX453" i="2"/>
  <c r="AY453" i="2"/>
  <c r="AR454" i="2"/>
  <c r="AS454" i="2"/>
  <c r="AT454" i="2"/>
  <c r="AU454" i="2"/>
  <c r="AV454" i="2"/>
  <c r="AW454" i="2" s="1"/>
  <c r="AX454" i="2"/>
  <c r="AY454" i="2"/>
  <c r="AR455" i="2"/>
  <c r="AS455" i="2"/>
  <c r="AT455" i="2"/>
  <c r="AU455" i="2"/>
  <c r="AV455" i="2"/>
  <c r="AW455" i="2" s="1"/>
  <c r="AX455" i="2"/>
  <c r="AY455" i="2"/>
  <c r="AR456" i="2"/>
  <c r="AS456" i="2"/>
  <c r="AT456" i="2"/>
  <c r="AU456" i="2"/>
  <c r="AV456" i="2"/>
  <c r="AW456" i="2" s="1"/>
  <c r="AX456" i="2"/>
  <c r="AY456" i="2"/>
  <c r="AR457" i="2"/>
  <c r="AS457" i="2"/>
  <c r="AT457" i="2"/>
  <c r="AU457" i="2"/>
  <c r="AV457" i="2"/>
  <c r="AW457" i="2" s="1"/>
  <c r="AX457" i="2"/>
  <c r="AY457" i="2"/>
  <c r="AR458" i="2"/>
  <c r="AS458" i="2"/>
  <c r="AT458" i="2"/>
  <c r="AU458" i="2"/>
  <c r="AV458" i="2"/>
  <c r="AW458" i="2" s="1"/>
  <c r="AX458" i="2"/>
  <c r="AY458" i="2"/>
  <c r="AR459" i="2"/>
  <c r="AS459" i="2"/>
  <c r="AT459" i="2"/>
  <c r="AU459" i="2"/>
  <c r="AV459" i="2"/>
  <c r="AW459" i="2" s="1"/>
  <c r="AX459" i="2"/>
  <c r="AY459" i="2"/>
  <c r="AR460" i="2"/>
  <c r="AS460" i="2"/>
  <c r="AT460" i="2"/>
  <c r="AU460" i="2"/>
  <c r="AV460" i="2"/>
  <c r="AW460" i="2" s="1"/>
  <c r="AX460" i="2"/>
  <c r="AY460" i="2"/>
  <c r="AR461" i="2"/>
  <c r="AS461" i="2"/>
  <c r="AT461" i="2"/>
  <c r="AU461" i="2"/>
  <c r="AV461" i="2"/>
  <c r="AW461" i="2" s="1"/>
  <c r="AX461" i="2"/>
  <c r="AY461" i="2"/>
  <c r="AR462" i="2"/>
  <c r="AS462" i="2"/>
  <c r="AT462" i="2"/>
  <c r="AU462" i="2"/>
  <c r="AV462" i="2"/>
  <c r="AW462" i="2" s="1"/>
  <c r="AX462" i="2"/>
  <c r="AY462" i="2"/>
  <c r="AR463" i="2"/>
  <c r="AS463" i="2"/>
  <c r="AT463" i="2"/>
  <c r="AU463" i="2"/>
  <c r="AV463" i="2"/>
  <c r="AW463" i="2" s="1"/>
  <c r="AX463" i="2"/>
  <c r="AY463" i="2"/>
  <c r="AR464" i="2"/>
  <c r="AS464" i="2"/>
  <c r="AT464" i="2"/>
  <c r="AU464" i="2"/>
  <c r="AV464" i="2"/>
  <c r="AW464" i="2" s="1"/>
  <c r="AX464" i="2"/>
  <c r="AY464" i="2"/>
  <c r="AR465" i="2"/>
  <c r="AS465" i="2"/>
  <c r="AT465" i="2"/>
  <c r="AU465" i="2"/>
  <c r="AV465" i="2"/>
  <c r="AW465" i="2" s="1"/>
  <c r="AX465" i="2"/>
  <c r="AY465" i="2"/>
  <c r="AR466" i="2"/>
  <c r="AS466" i="2"/>
  <c r="AT466" i="2"/>
  <c r="AU466" i="2"/>
  <c r="AV466" i="2"/>
  <c r="AW466" i="2" s="1"/>
  <c r="AX466" i="2"/>
  <c r="AY466" i="2"/>
  <c r="AR467" i="2"/>
  <c r="AS467" i="2"/>
  <c r="AT467" i="2"/>
  <c r="AU467" i="2"/>
  <c r="AV467" i="2"/>
  <c r="AW467" i="2" s="1"/>
  <c r="AX467" i="2"/>
  <c r="AY467" i="2"/>
  <c r="AR468" i="2"/>
  <c r="AS468" i="2"/>
  <c r="AT468" i="2"/>
  <c r="AU468" i="2"/>
  <c r="AV468" i="2"/>
  <c r="AW468" i="2" s="1"/>
  <c r="AX468" i="2"/>
  <c r="AY468" i="2"/>
  <c r="AR469" i="2"/>
  <c r="AS469" i="2"/>
  <c r="AT469" i="2"/>
  <c r="AU469" i="2"/>
  <c r="AV469" i="2"/>
  <c r="AW469" i="2" s="1"/>
  <c r="AX469" i="2"/>
  <c r="AY469" i="2"/>
  <c r="AR470" i="2"/>
  <c r="AS470" i="2"/>
  <c r="AT470" i="2"/>
  <c r="AU470" i="2"/>
  <c r="AV470" i="2"/>
  <c r="AW470" i="2" s="1"/>
  <c r="AX470" i="2"/>
  <c r="AY470" i="2"/>
  <c r="AR471" i="2"/>
  <c r="AS471" i="2"/>
  <c r="AT471" i="2"/>
  <c r="AU471" i="2"/>
  <c r="AV471" i="2"/>
  <c r="AW471" i="2" s="1"/>
  <c r="AX471" i="2"/>
  <c r="AY471" i="2"/>
  <c r="AR472" i="2"/>
  <c r="AS472" i="2"/>
  <c r="AT472" i="2"/>
  <c r="AU472" i="2"/>
  <c r="AV472" i="2"/>
  <c r="AW472" i="2" s="1"/>
  <c r="AX472" i="2"/>
  <c r="AY472" i="2"/>
  <c r="AR473" i="2"/>
  <c r="AS473" i="2"/>
  <c r="AT473" i="2"/>
  <c r="AU473" i="2"/>
  <c r="AV473" i="2"/>
  <c r="AW473" i="2" s="1"/>
  <c r="AX473" i="2"/>
  <c r="AY473" i="2"/>
  <c r="AR474" i="2"/>
  <c r="AS474" i="2"/>
  <c r="AT474" i="2"/>
  <c r="AU474" i="2"/>
  <c r="AV474" i="2"/>
  <c r="AW474" i="2" s="1"/>
  <c r="AX474" i="2"/>
  <c r="AY474" i="2"/>
  <c r="AR475" i="2"/>
  <c r="AS475" i="2"/>
  <c r="AT475" i="2"/>
  <c r="AU475" i="2"/>
  <c r="AV475" i="2"/>
  <c r="AW475" i="2" s="1"/>
  <c r="AX475" i="2"/>
  <c r="AY475" i="2"/>
  <c r="AR476" i="2"/>
  <c r="AS476" i="2"/>
  <c r="AT476" i="2"/>
  <c r="AU476" i="2"/>
  <c r="AV476" i="2"/>
  <c r="AW476" i="2" s="1"/>
  <c r="AX476" i="2"/>
  <c r="AY476" i="2"/>
  <c r="AR477" i="2"/>
  <c r="AS477" i="2"/>
  <c r="AT477" i="2"/>
  <c r="AU477" i="2"/>
  <c r="AV477" i="2"/>
  <c r="AW477" i="2" s="1"/>
  <c r="AX477" i="2"/>
  <c r="AY477" i="2"/>
  <c r="AR478" i="2"/>
  <c r="AS478" i="2"/>
  <c r="AT478" i="2"/>
  <c r="AU478" i="2"/>
  <c r="AV478" i="2"/>
  <c r="AW478" i="2" s="1"/>
  <c r="AX478" i="2"/>
  <c r="AY478" i="2"/>
  <c r="AR479" i="2"/>
  <c r="AS479" i="2"/>
  <c r="AT479" i="2"/>
  <c r="AU479" i="2"/>
  <c r="AV479" i="2"/>
  <c r="AW479" i="2" s="1"/>
  <c r="AX479" i="2"/>
  <c r="AY479" i="2"/>
  <c r="AR480" i="2"/>
  <c r="AS480" i="2"/>
  <c r="AT480" i="2"/>
  <c r="AU480" i="2"/>
  <c r="AV480" i="2"/>
  <c r="AW480" i="2" s="1"/>
  <c r="AX480" i="2"/>
  <c r="AY480" i="2"/>
  <c r="AR481" i="2"/>
  <c r="AS481" i="2"/>
  <c r="AT481" i="2"/>
  <c r="AU481" i="2"/>
  <c r="AV481" i="2"/>
  <c r="AW481" i="2" s="1"/>
  <c r="AX481" i="2"/>
  <c r="AY481" i="2"/>
  <c r="AR482" i="2"/>
  <c r="AS482" i="2"/>
  <c r="AT482" i="2"/>
  <c r="AU482" i="2"/>
  <c r="AV482" i="2"/>
  <c r="AW482" i="2" s="1"/>
  <c r="AX482" i="2"/>
  <c r="AY482" i="2"/>
  <c r="AR483" i="2"/>
  <c r="AS483" i="2"/>
  <c r="AT483" i="2"/>
  <c r="AU483" i="2"/>
  <c r="AV483" i="2"/>
  <c r="AW483" i="2" s="1"/>
  <c r="AX483" i="2"/>
  <c r="AY483" i="2"/>
  <c r="AR484" i="2"/>
  <c r="AS484" i="2"/>
  <c r="AT484" i="2"/>
  <c r="AU484" i="2"/>
  <c r="AV484" i="2"/>
  <c r="AW484" i="2" s="1"/>
  <c r="AX484" i="2"/>
  <c r="AY484" i="2"/>
  <c r="AR485" i="2"/>
  <c r="AS485" i="2"/>
  <c r="AT485" i="2"/>
  <c r="AU485" i="2"/>
  <c r="AV485" i="2"/>
  <c r="AW485" i="2" s="1"/>
  <c r="AX485" i="2"/>
  <c r="AY485" i="2"/>
  <c r="AR486" i="2"/>
  <c r="AS486" i="2"/>
  <c r="AT486" i="2"/>
  <c r="AU486" i="2"/>
  <c r="AV486" i="2"/>
  <c r="AW486" i="2" s="1"/>
  <c r="AX486" i="2"/>
  <c r="AY486" i="2"/>
  <c r="AR487" i="2"/>
  <c r="AS487" i="2"/>
  <c r="AT487" i="2"/>
  <c r="AU487" i="2"/>
  <c r="AV487" i="2"/>
  <c r="AW487" i="2" s="1"/>
  <c r="AX487" i="2"/>
  <c r="AY487" i="2"/>
  <c r="AR488" i="2"/>
  <c r="AS488" i="2"/>
  <c r="AT488" i="2"/>
  <c r="AU488" i="2"/>
  <c r="AV488" i="2"/>
  <c r="AW488" i="2" s="1"/>
  <c r="AX488" i="2"/>
  <c r="AY488" i="2"/>
  <c r="AR489" i="2"/>
  <c r="AS489" i="2"/>
  <c r="AT489" i="2"/>
  <c r="AU489" i="2"/>
  <c r="AV489" i="2"/>
  <c r="AW489" i="2" s="1"/>
  <c r="AX489" i="2"/>
  <c r="AY489" i="2"/>
  <c r="AR490" i="2"/>
  <c r="AS490" i="2"/>
  <c r="AT490" i="2"/>
  <c r="AU490" i="2"/>
  <c r="AV490" i="2"/>
  <c r="AW490" i="2" s="1"/>
  <c r="AX490" i="2"/>
  <c r="AY490" i="2"/>
  <c r="AR491" i="2"/>
  <c r="AS491" i="2"/>
  <c r="AT491" i="2"/>
  <c r="AU491" i="2"/>
  <c r="AV491" i="2"/>
  <c r="AW491" i="2" s="1"/>
  <c r="AX491" i="2"/>
  <c r="AY491" i="2"/>
  <c r="AR492" i="2"/>
  <c r="AS492" i="2"/>
  <c r="AT492" i="2"/>
  <c r="AU492" i="2"/>
  <c r="AV492" i="2"/>
  <c r="AW492" i="2" s="1"/>
  <c r="AX492" i="2"/>
  <c r="AY492" i="2"/>
  <c r="AR493" i="2"/>
  <c r="AS493" i="2"/>
  <c r="AT493" i="2"/>
  <c r="AU493" i="2"/>
  <c r="AV493" i="2"/>
  <c r="AW493" i="2" s="1"/>
  <c r="AX493" i="2"/>
  <c r="AY493" i="2"/>
  <c r="AR494" i="2"/>
  <c r="AS494" i="2"/>
  <c r="AT494" i="2"/>
  <c r="AU494" i="2"/>
  <c r="AV494" i="2"/>
  <c r="AW494" i="2" s="1"/>
  <c r="AX494" i="2"/>
  <c r="AY494" i="2"/>
  <c r="AR495" i="2"/>
  <c r="AS495" i="2"/>
  <c r="AT495" i="2"/>
  <c r="AU495" i="2"/>
  <c r="AV495" i="2"/>
  <c r="AW495" i="2" s="1"/>
  <c r="AX495" i="2"/>
  <c r="AY495" i="2"/>
  <c r="AR496" i="2"/>
  <c r="AS496" i="2"/>
  <c r="AT496" i="2"/>
  <c r="AU496" i="2"/>
  <c r="AV496" i="2"/>
  <c r="AW496" i="2" s="1"/>
  <c r="AX496" i="2"/>
  <c r="AY496" i="2"/>
  <c r="AR497" i="2"/>
  <c r="AS497" i="2"/>
  <c r="AT497" i="2"/>
  <c r="AU497" i="2"/>
  <c r="AV497" i="2"/>
  <c r="AW497" i="2" s="1"/>
  <c r="AX497" i="2"/>
  <c r="AY497" i="2"/>
  <c r="AR498" i="2"/>
  <c r="AS498" i="2"/>
  <c r="AT498" i="2"/>
  <c r="AU498" i="2"/>
  <c r="AV498" i="2"/>
  <c r="AW498" i="2" s="1"/>
  <c r="AX498" i="2"/>
  <c r="AY498" i="2"/>
  <c r="AR499" i="2"/>
  <c r="AS499" i="2"/>
  <c r="AT499" i="2"/>
  <c r="AU499" i="2"/>
  <c r="AV499" i="2"/>
  <c r="AW499" i="2" s="1"/>
  <c r="AX499" i="2"/>
  <c r="AY499" i="2"/>
  <c r="AR500" i="2"/>
  <c r="AS500" i="2"/>
  <c r="AT500" i="2"/>
  <c r="AU500" i="2"/>
  <c r="AV500" i="2"/>
  <c r="AW500" i="2" s="1"/>
  <c r="AX500" i="2"/>
  <c r="AY500" i="2"/>
  <c r="AR501" i="2"/>
  <c r="AS501" i="2"/>
  <c r="AT501" i="2"/>
  <c r="AU501" i="2"/>
  <c r="AV501" i="2"/>
  <c r="AW501" i="2" s="1"/>
  <c r="AX501" i="2"/>
  <c r="AY501" i="2"/>
  <c r="AR502" i="2"/>
  <c r="AS502" i="2"/>
  <c r="AT502" i="2"/>
  <c r="AU502" i="2"/>
  <c r="AV502" i="2"/>
  <c r="AW502" i="2" s="1"/>
  <c r="AX502" i="2"/>
  <c r="AY502" i="2"/>
  <c r="AR503" i="2"/>
  <c r="AS503" i="2"/>
  <c r="AT503" i="2"/>
  <c r="AU503" i="2"/>
  <c r="AV503" i="2"/>
  <c r="AW503" i="2" s="1"/>
  <c r="AX503" i="2"/>
  <c r="AY503" i="2"/>
  <c r="AR504" i="2"/>
  <c r="AS504" i="2"/>
  <c r="AT504" i="2"/>
  <c r="AU504" i="2"/>
  <c r="AV504" i="2"/>
  <c r="AW504" i="2" s="1"/>
  <c r="AX504" i="2"/>
  <c r="AY504" i="2"/>
  <c r="AR505" i="2"/>
  <c r="AS505" i="2"/>
  <c r="AT505" i="2"/>
  <c r="AU505" i="2"/>
  <c r="AV505" i="2"/>
  <c r="AW505" i="2" s="1"/>
  <c r="AX505" i="2"/>
  <c r="AY505" i="2"/>
  <c r="AR506" i="2"/>
  <c r="AS506" i="2"/>
  <c r="AT506" i="2"/>
  <c r="AU506" i="2"/>
  <c r="AV506" i="2"/>
  <c r="AW506" i="2" s="1"/>
  <c r="AX506" i="2"/>
  <c r="AY506" i="2"/>
  <c r="AR507" i="2"/>
  <c r="AS507" i="2"/>
  <c r="AT507" i="2"/>
  <c r="AU507" i="2"/>
  <c r="AV507" i="2"/>
  <c r="AW507" i="2" s="1"/>
  <c r="AX507" i="2"/>
  <c r="AY507" i="2"/>
  <c r="AR508" i="2"/>
  <c r="AS508" i="2"/>
  <c r="AT508" i="2"/>
  <c r="AU508" i="2"/>
  <c r="AV508" i="2"/>
  <c r="AW508" i="2" s="1"/>
  <c r="AX508" i="2"/>
  <c r="AY508" i="2"/>
  <c r="AR509" i="2"/>
  <c r="AS509" i="2"/>
  <c r="AT509" i="2"/>
  <c r="AU509" i="2"/>
  <c r="AV509" i="2"/>
  <c r="AW509" i="2" s="1"/>
  <c r="AX509" i="2"/>
  <c r="AY509" i="2"/>
  <c r="AR510" i="2"/>
  <c r="AS510" i="2"/>
  <c r="AT510" i="2"/>
  <c r="AU510" i="2"/>
  <c r="AV510" i="2"/>
  <c r="AW510" i="2" s="1"/>
  <c r="AX510" i="2"/>
  <c r="AY510" i="2"/>
  <c r="AR511" i="2"/>
  <c r="AS511" i="2"/>
  <c r="AT511" i="2"/>
  <c r="AU511" i="2"/>
  <c r="AV511" i="2"/>
  <c r="AW511" i="2" s="1"/>
  <c r="AX511" i="2"/>
  <c r="AY511" i="2"/>
  <c r="AR512" i="2"/>
  <c r="AS512" i="2"/>
  <c r="AT512" i="2"/>
  <c r="AU512" i="2"/>
  <c r="AV512" i="2"/>
  <c r="AW512" i="2" s="1"/>
  <c r="AX512" i="2"/>
  <c r="AY512" i="2"/>
  <c r="AR513" i="2"/>
  <c r="AS513" i="2"/>
  <c r="AT513" i="2"/>
  <c r="AU513" i="2"/>
  <c r="AV513" i="2"/>
  <c r="AW513" i="2" s="1"/>
  <c r="AX513" i="2"/>
  <c r="AY513" i="2"/>
  <c r="AR514" i="2"/>
  <c r="AS514" i="2"/>
  <c r="AT514" i="2"/>
  <c r="AU514" i="2"/>
  <c r="AV514" i="2"/>
  <c r="AW514" i="2" s="1"/>
  <c r="AX514" i="2"/>
  <c r="AY514" i="2"/>
  <c r="AR515" i="2"/>
  <c r="AS515" i="2"/>
  <c r="AT515" i="2"/>
  <c r="AU515" i="2"/>
  <c r="AV515" i="2"/>
  <c r="AW515" i="2" s="1"/>
  <c r="AX515" i="2"/>
  <c r="AY515" i="2"/>
  <c r="AR516" i="2"/>
  <c r="AS516" i="2"/>
  <c r="AT516" i="2"/>
  <c r="AU516" i="2"/>
  <c r="AV516" i="2"/>
  <c r="AW516" i="2" s="1"/>
  <c r="AX516" i="2"/>
  <c r="AY516" i="2"/>
  <c r="AR517" i="2"/>
  <c r="AS517" i="2"/>
  <c r="AT517" i="2"/>
  <c r="AU517" i="2"/>
  <c r="AV517" i="2"/>
  <c r="AW517" i="2" s="1"/>
  <c r="AX517" i="2"/>
  <c r="AY517" i="2"/>
  <c r="AR518" i="2"/>
  <c r="AS518" i="2"/>
  <c r="AT518" i="2"/>
  <c r="AU518" i="2"/>
  <c r="AV518" i="2"/>
  <c r="AW518" i="2" s="1"/>
  <c r="AX518" i="2"/>
  <c r="AY518" i="2"/>
  <c r="AR519" i="2"/>
  <c r="AS519" i="2"/>
  <c r="AT519" i="2"/>
  <c r="AU519" i="2"/>
  <c r="AV519" i="2"/>
  <c r="AW519" i="2" s="1"/>
  <c r="AX519" i="2"/>
  <c r="AY519" i="2"/>
  <c r="AR520" i="2"/>
  <c r="AS520" i="2"/>
  <c r="AT520" i="2"/>
  <c r="AU520" i="2"/>
  <c r="AV520" i="2"/>
  <c r="AW520" i="2" s="1"/>
  <c r="AX520" i="2"/>
  <c r="AY520" i="2"/>
  <c r="AR521" i="2"/>
  <c r="AS521" i="2"/>
  <c r="AT521" i="2"/>
  <c r="AU521" i="2"/>
  <c r="AV521" i="2"/>
  <c r="AW521" i="2" s="1"/>
  <c r="AX521" i="2"/>
  <c r="AY521" i="2"/>
  <c r="AR522" i="2"/>
  <c r="AS522" i="2"/>
  <c r="AT522" i="2"/>
  <c r="AU522" i="2"/>
  <c r="AV522" i="2"/>
  <c r="AW522" i="2" s="1"/>
  <c r="AX522" i="2"/>
  <c r="AY522" i="2"/>
  <c r="AR523" i="2"/>
  <c r="AS523" i="2"/>
  <c r="AT523" i="2"/>
  <c r="AU523" i="2"/>
  <c r="AV523" i="2"/>
  <c r="AW523" i="2" s="1"/>
  <c r="AX523" i="2"/>
  <c r="AY523" i="2"/>
  <c r="AR524" i="2"/>
  <c r="AS524" i="2"/>
  <c r="AT524" i="2"/>
  <c r="AU524" i="2"/>
  <c r="AV524" i="2"/>
  <c r="AW524" i="2" s="1"/>
  <c r="AX524" i="2"/>
  <c r="AY524" i="2"/>
  <c r="AR525" i="2"/>
  <c r="AS525" i="2"/>
  <c r="AT525" i="2"/>
  <c r="AU525" i="2"/>
  <c r="AV525" i="2"/>
  <c r="AW525" i="2" s="1"/>
  <c r="AX525" i="2"/>
  <c r="AY525" i="2"/>
  <c r="AR526" i="2"/>
  <c r="AS526" i="2"/>
  <c r="AT526" i="2"/>
  <c r="AU526" i="2"/>
  <c r="AV526" i="2"/>
  <c r="AW526" i="2" s="1"/>
  <c r="AX526" i="2"/>
  <c r="AY526" i="2"/>
  <c r="AR527" i="2"/>
  <c r="AS527" i="2"/>
  <c r="AT527" i="2"/>
  <c r="AU527" i="2"/>
  <c r="AV527" i="2"/>
  <c r="AW527" i="2" s="1"/>
  <c r="AX527" i="2"/>
  <c r="AY527" i="2"/>
  <c r="AR528" i="2"/>
  <c r="AS528" i="2"/>
  <c r="AT528" i="2"/>
  <c r="AU528" i="2"/>
  <c r="AV528" i="2"/>
  <c r="AW528" i="2" s="1"/>
  <c r="AX528" i="2"/>
  <c r="AY528" i="2"/>
  <c r="AR529" i="2"/>
  <c r="AS529" i="2"/>
  <c r="AT529" i="2"/>
  <c r="AU529" i="2"/>
  <c r="AV529" i="2"/>
  <c r="AW529" i="2" s="1"/>
  <c r="AX529" i="2"/>
  <c r="AY529" i="2"/>
  <c r="AR530" i="2"/>
  <c r="AS530" i="2"/>
  <c r="AT530" i="2"/>
  <c r="AU530" i="2"/>
  <c r="AV530" i="2"/>
  <c r="AW530" i="2" s="1"/>
  <c r="AX530" i="2"/>
  <c r="AY530" i="2"/>
  <c r="AR531" i="2"/>
  <c r="AS531" i="2"/>
  <c r="AT531" i="2"/>
  <c r="AU531" i="2"/>
  <c r="AV531" i="2"/>
  <c r="AW531" i="2" s="1"/>
  <c r="AX531" i="2"/>
  <c r="AY531" i="2"/>
  <c r="AR532" i="2"/>
  <c r="AS532" i="2"/>
  <c r="AT532" i="2"/>
  <c r="AU532" i="2"/>
  <c r="AV532" i="2"/>
  <c r="AW532" i="2" s="1"/>
  <c r="AX532" i="2"/>
  <c r="AY532" i="2"/>
  <c r="AR533" i="2"/>
  <c r="AS533" i="2"/>
  <c r="AT533" i="2"/>
  <c r="AU533" i="2"/>
  <c r="AV533" i="2"/>
  <c r="AW533" i="2" s="1"/>
  <c r="AX533" i="2"/>
  <c r="AY533" i="2"/>
  <c r="AR534" i="2"/>
  <c r="AS534" i="2"/>
  <c r="AT534" i="2"/>
  <c r="AU534" i="2"/>
  <c r="AV534" i="2"/>
  <c r="AW534" i="2" s="1"/>
  <c r="AX534" i="2"/>
  <c r="AY534" i="2"/>
  <c r="AR535" i="2"/>
  <c r="AS535" i="2"/>
  <c r="AT535" i="2"/>
  <c r="AU535" i="2"/>
  <c r="AV535" i="2"/>
  <c r="AW535" i="2" s="1"/>
  <c r="AX535" i="2"/>
  <c r="AY535" i="2"/>
  <c r="AR536" i="2"/>
  <c r="AS536" i="2"/>
  <c r="AT536" i="2"/>
  <c r="AU536" i="2"/>
  <c r="AV536" i="2"/>
  <c r="AW536" i="2" s="1"/>
  <c r="AX536" i="2"/>
  <c r="AY536" i="2"/>
  <c r="AR537" i="2"/>
  <c r="AS537" i="2"/>
  <c r="AT537" i="2"/>
  <c r="AU537" i="2"/>
  <c r="AV537" i="2"/>
  <c r="AW537" i="2" s="1"/>
  <c r="AX537" i="2"/>
  <c r="AY537" i="2"/>
  <c r="AR538" i="2"/>
  <c r="AS538" i="2"/>
  <c r="AT538" i="2"/>
  <c r="AU538" i="2"/>
  <c r="AV538" i="2"/>
  <c r="AW538" i="2" s="1"/>
  <c r="AX538" i="2"/>
  <c r="AY538" i="2"/>
  <c r="AR539" i="2"/>
  <c r="AS539" i="2"/>
  <c r="AT539" i="2"/>
  <c r="AU539" i="2"/>
  <c r="AV539" i="2"/>
  <c r="AW539" i="2" s="1"/>
  <c r="AX539" i="2"/>
  <c r="AY539" i="2"/>
  <c r="AR540" i="2"/>
  <c r="AS540" i="2"/>
  <c r="AT540" i="2"/>
  <c r="AU540" i="2"/>
  <c r="AV540" i="2"/>
  <c r="AW540" i="2" s="1"/>
  <c r="AX540" i="2"/>
  <c r="AY540" i="2"/>
  <c r="AR541" i="2"/>
  <c r="AS541" i="2"/>
  <c r="AT541" i="2"/>
  <c r="AU541" i="2"/>
  <c r="AV541" i="2"/>
  <c r="AW541" i="2" s="1"/>
  <c r="AX541" i="2"/>
  <c r="AY541" i="2"/>
  <c r="AR542" i="2"/>
  <c r="AS542" i="2"/>
  <c r="AT542" i="2"/>
  <c r="AU542" i="2"/>
  <c r="AV542" i="2"/>
  <c r="AW542" i="2" s="1"/>
  <c r="AX542" i="2"/>
  <c r="AY542" i="2"/>
  <c r="AR543" i="2"/>
  <c r="AS543" i="2"/>
  <c r="AT543" i="2"/>
  <c r="AU543" i="2"/>
  <c r="AV543" i="2"/>
  <c r="AW543" i="2" s="1"/>
  <c r="AX543" i="2"/>
  <c r="AY543" i="2"/>
  <c r="AR544" i="2"/>
  <c r="AS544" i="2"/>
  <c r="AT544" i="2"/>
  <c r="AU544" i="2"/>
  <c r="AV544" i="2"/>
  <c r="AW544" i="2" s="1"/>
  <c r="AX544" i="2"/>
  <c r="AY544" i="2"/>
  <c r="AR545" i="2"/>
  <c r="AS545" i="2"/>
  <c r="AT545" i="2"/>
  <c r="AU545" i="2"/>
  <c r="AV545" i="2"/>
  <c r="AW545" i="2" s="1"/>
  <c r="AX545" i="2"/>
  <c r="AY545" i="2"/>
  <c r="AR546" i="2"/>
  <c r="AS546" i="2"/>
  <c r="AT546" i="2"/>
  <c r="AU546" i="2"/>
  <c r="AV546" i="2"/>
  <c r="AW546" i="2" s="1"/>
  <c r="AX546" i="2"/>
  <c r="AY546" i="2"/>
  <c r="AR547" i="2"/>
  <c r="AS547" i="2"/>
  <c r="AT547" i="2"/>
  <c r="AU547" i="2"/>
  <c r="AV547" i="2"/>
  <c r="AW547" i="2" s="1"/>
  <c r="AX547" i="2"/>
  <c r="AY547" i="2"/>
  <c r="AR548" i="2"/>
  <c r="AS548" i="2"/>
  <c r="AT548" i="2"/>
  <c r="AU548" i="2"/>
  <c r="AV548" i="2"/>
  <c r="AW548" i="2" s="1"/>
  <c r="AX548" i="2"/>
  <c r="AY548" i="2"/>
  <c r="AR549" i="2"/>
  <c r="AS549" i="2"/>
  <c r="AT549" i="2"/>
  <c r="AU549" i="2"/>
  <c r="AV549" i="2"/>
  <c r="AW549" i="2" s="1"/>
  <c r="AX549" i="2"/>
  <c r="AY549" i="2"/>
  <c r="AR550" i="2"/>
  <c r="AS550" i="2"/>
  <c r="AT550" i="2"/>
  <c r="AU550" i="2"/>
  <c r="AV550" i="2"/>
  <c r="AW550" i="2" s="1"/>
  <c r="AX550" i="2"/>
  <c r="AY550" i="2"/>
  <c r="AR551" i="2"/>
  <c r="AS551" i="2"/>
  <c r="AT551" i="2"/>
  <c r="AU551" i="2"/>
  <c r="AV551" i="2"/>
  <c r="AW551" i="2" s="1"/>
  <c r="AX551" i="2"/>
  <c r="AY551" i="2"/>
  <c r="AR552" i="2"/>
  <c r="AS552" i="2"/>
  <c r="AT552" i="2"/>
  <c r="AU552" i="2"/>
  <c r="AV552" i="2"/>
  <c r="AW552" i="2" s="1"/>
  <c r="AX552" i="2"/>
  <c r="AY552" i="2"/>
  <c r="AR553" i="2"/>
  <c r="AS553" i="2"/>
  <c r="AT553" i="2"/>
  <c r="AU553" i="2"/>
  <c r="AV553" i="2"/>
  <c r="AW553" i="2" s="1"/>
  <c r="AX553" i="2"/>
  <c r="AY553" i="2"/>
  <c r="AR554" i="2"/>
  <c r="AS554" i="2"/>
  <c r="AT554" i="2"/>
  <c r="AU554" i="2"/>
  <c r="AV554" i="2"/>
  <c r="AW554" i="2" s="1"/>
  <c r="AX554" i="2"/>
  <c r="AY554" i="2"/>
  <c r="AR555" i="2"/>
  <c r="AS555" i="2"/>
  <c r="AT555" i="2"/>
  <c r="AU555" i="2"/>
  <c r="AV555" i="2"/>
  <c r="AW555" i="2" s="1"/>
  <c r="AX555" i="2"/>
  <c r="AY555" i="2"/>
  <c r="AR556" i="2"/>
  <c r="AS556" i="2"/>
  <c r="AT556" i="2"/>
  <c r="AU556" i="2"/>
  <c r="AV556" i="2"/>
  <c r="AW556" i="2" s="1"/>
  <c r="AX556" i="2"/>
  <c r="AY556" i="2"/>
  <c r="AR557" i="2"/>
  <c r="AS557" i="2"/>
  <c r="AT557" i="2"/>
  <c r="AU557" i="2"/>
  <c r="AV557" i="2"/>
  <c r="AW557" i="2" s="1"/>
  <c r="AX557" i="2"/>
  <c r="AY557" i="2"/>
  <c r="AR558" i="2"/>
  <c r="AS558" i="2"/>
  <c r="AT558" i="2"/>
  <c r="AU558" i="2"/>
  <c r="AV558" i="2"/>
  <c r="AW558" i="2" s="1"/>
  <c r="AX558" i="2"/>
  <c r="AY558" i="2"/>
  <c r="AR559" i="2"/>
  <c r="AS559" i="2"/>
  <c r="AT559" i="2"/>
  <c r="AU559" i="2"/>
  <c r="AV559" i="2"/>
  <c r="AW559" i="2" s="1"/>
  <c r="AX559" i="2"/>
  <c r="AY559" i="2"/>
  <c r="AR560" i="2"/>
  <c r="AS560" i="2"/>
  <c r="AT560" i="2"/>
  <c r="AU560" i="2"/>
  <c r="AV560" i="2"/>
  <c r="AW560" i="2" s="1"/>
  <c r="AX560" i="2"/>
  <c r="AY560" i="2"/>
  <c r="AR561" i="2"/>
  <c r="AS561" i="2"/>
  <c r="AT561" i="2"/>
  <c r="AU561" i="2"/>
  <c r="AV561" i="2"/>
  <c r="AW561" i="2" s="1"/>
  <c r="AX561" i="2"/>
  <c r="AY561" i="2"/>
  <c r="AR562" i="2"/>
  <c r="AS562" i="2"/>
  <c r="AT562" i="2"/>
  <c r="AU562" i="2"/>
  <c r="AV562" i="2"/>
  <c r="AW562" i="2" s="1"/>
  <c r="AX562" i="2"/>
  <c r="AY562" i="2"/>
  <c r="AR563" i="2"/>
  <c r="AS563" i="2"/>
  <c r="AT563" i="2"/>
  <c r="AU563" i="2"/>
  <c r="AV563" i="2"/>
  <c r="AW563" i="2" s="1"/>
  <c r="AX563" i="2"/>
  <c r="AY563" i="2"/>
  <c r="AR564" i="2"/>
  <c r="AS564" i="2"/>
  <c r="AT564" i="2"/>
  <c r="AU564" i="2"/>
  <c r="AV564" i="2"/>
  <c r="AW564" i="2" s="1"/>
  <c r="AX564" i="2"/>
  <c r="AY564" i="2"/>
  <c r="AR565" i="2"/>
  <c r="AS565" i="2"/>
  <c r="AT565" i="2"/>
  <c r="AU565" i="2"/>
  <c r="AV565" i="2"/>
  <c r="AW565" i="2" s="1"/>
  <c r="AX565" i="2"/>
  <c r="AY565" i="2"/>
  <c r="AR566" i="2"/>
  <c r="AS566" i="2"/>
  <c r="AT566" i="2"/>
  <c r="AU566" i="2"/>
  <c r="AV566" i="2"/>
  <c r="AW566" i="2" s="1"/>
  <c r="AX566" i="2"/>
  <c r="AY566" i="2"/>
  <c r="AR567" i="2"/>
  <c r="AS567" i="2"/>
  <c r="AT567" i="2"/>
  <c r="AU567" i="2"/>
  <c r="AV567" i="2"/>
  <c r="AW567" i="2" s="1"/>
  <c r="AX567" i="2"/>
  <c r="AY567" i="2"/>
  <c r="AR568" i="2"/>
  <c r="AS568" i="2"/>
  <c r="AT568" i="2"/>
  <c r="AU568" i="2"/>
  <c r="AV568" i="2"/>
  <c r="AW568" i="2" s="1"/>
  <c r="AX568" i="2"/>
  <c r="AY568" i="2"/>
  <c r="AR569" i="2"/>
  <c r="AS569" i="2"/>
  <c r="AT569" i="2"/>
  <c r="AU569" i="2"/>
  <c r="AV569" i="2"/>
  <c r="AW569" i="2" s="1"/>
  <c r="AX569" i="2"/>
  <c r="AY569" i="2"/>
  <c r="AR570" i="2"/>
  <c r="AS570" i="2"/>
  <c r="AT570" i="2"/>
  <c r="AU570" i="2"/>
  <c r="AV570" i="2"/>
  <c r="AW570" i="2" s="1"/>
  <c r="AX570" i="2"/>
  <c r="AY570" i="2"/>
  <c r="AR571" i="2"/>
  <c r="AS571" i="2"/>
  <c r="AT571" i="2"/>
  <c r="AU571" i="2"/>
  <c r="AV571" i="2"/>
  <c r="AW571" i="2" s="1"/>
  <c r="AX571" i="2"/>
  <c r="AY571" i="2"/>
  <c r="AR572" i="2"/>
  <c r="AS572" i="2"/>
  <c r="AT572" i="2"/>
  <c r="AU572" i="2"/>
  <c r="AV572" i="2"/>
  <c r="AW572" i="2" s="1"/>
  <c r="AX572" i="2"/>
  <c r="AY572" i="2"/>
  <c r="AR573" i="2"/>
  <c r="AS573" i="2"/>
  <c r="AT573" i="2"/>
  <c r="AU573" i="2"/>
  <c r="AV573" i="2"/>
  <c r="AW573" i="2" s="1"/>
  <c r="AX573" i="2"/>
  <c r="AY573" i="2"/>
  <c r="AR574" i="2"/>
  <c r="AS574" i="2"/>
  <c r="AT574" i="2"/>
  <c r="AU574" i="2"/>
  <c r="AV574" i="2"/>
  <c r="AW574" i="2" s="1"/>
  <c r="AX574" i="2"/>
  <c r="AY574" i="2"/>
  <c r="AR575" i="2"/>
  <c r="AS575" i="2"/>
  <c r="AT575" i="2"/>
  <c r="AU575" i="2"/>
  <c r="AV575" i="2"/>
  <c r="AW575" i="2" s="1"/>
  <c r="AX575" i="2"/>
  <c r="AY575" i="2"/>
  <c r="AR576" i="2"/>
  <c r="AS576" i="2"/>
  <c r="AT576" i="2"/>
  <c r="AU576" i="2"/>
  <c r="AV576" i="2"/>
  <c r="AW576" i="2" s="1"/>
  <c r="AX576" i="2"/>
  <c r="AY576" i="2"/>
  <c r="AR577" i="2"/>
  <c r="AS577" i="2"/>
  <c r="AT577" i="2"/>
  <c r="AU577" i="2"/>
  <c r="AV577" i="2"/>
  <c r="AW577" i="2" s="1"/>
  <c r="AX577" i="2"/>
  <c r="AY577" i="2"/>
  <c r="AR578" i="2"/>
  <c r="AS578" i="2"/>
  <c r="AT578" i="2"/>
  <c r="AU578" i="2"/>
  <c r="AV578" i="2"/>
  <c r="AW578" i="2" s="1"/>
  <c r="AX578" i="2"/>
  <c r="AY578" i="2"/>
  <c r="AR579" i="2"/>
  <c r="AS579" i="2"/>
  <c r="AT579" i="2"/>
  <c r="AU579" i="2"/>
  <c r="AV579" i="2"/>
  <c r="AW579" i="2" s="1"/>
  <c r="AX579" i="2"/>
  <c r="AY579" i="2"/>
  <c r="AR580" i="2"/>
  <c r="AS580" i="2"/>
  <c r="AT580" i="2"/>
  <c r="AU580" i="2"/>
  <c r="AV580" i="2"/>
  <c r="AW580" i="2" s="1"/>
  <c r="AX580" i="2"/>
  <c r="AY580" i="2"/>
  <c r="AR581" i="2"/>
  <c r="AS581" i="2"/>
  <c r="AT581" i="2"/>
  <c r="AU581" i="2"/>
  <c r="AV581" i="2"/>
  <c r="AW581" i="2" s="1"/>
  <c r="AX581" i="2"/>
  <c r="AY581" i="2"/>
  <c r="AR582" i="2"/>
  <c r="AS582" i="2"/>
  <c r="AT582" i="2"/>
  <c r="AU582" i="2"/>
  <c r="AV582" i="2"/>
  <c r="AW582" i="2" s="1"/>
  <c r="AX582" i="2"/>
  <c r="AY582" i="2"/>
  <c r="AR583" i="2"/>
  <c r="AS583" i="2"/>
  <c r="AT583" i="2"/>
  <c r="AU583" i="2"/>
  <c r="AV583" i="2"/>
  <c r="AW583" i="2" s="1"/>
  <c r="AX583" i="2"/>
  <c r="AY583" i="2"/>
  <c r="AR584" i="2"/>
  <c r="AS584" i="2"/>
  <c r="AT584" i="2"/>
  <c r="AU584" i="2"/>
  <c r="AV584" i="2"/>
  <c r="AW584" i="2" s="1"/>
  <c r="AX584" i="2"/>
  <c r="AY584" i="2"/>
  <c r="AR585" i="2"/>
  <c r="AS585" i="2"/>
  <c r="AT585" i="2"/>
  <c r="AU585" i="2"/>
  <c r="AV585" i="2"/>
  <c r="AW585" i="2" s="1"/>
  <c r="AX585" i="2"/>
  <c r="AY585" i="2"/>
  <c r="AR586" i="2"/>
  <c r="AS586" i="2"/>
  <c r="AT586" i="2"/>
  <c r="AU586" i="2"/>
  <c r="AV586" i="2"/>
  <c r="AW586" i="2" s="1"/>
  <c r="AX586" i="2"/>
  <c r="AY586" i="2"/>
  <c r="AR587" i="2"/>
  <c r="AS587" i="2"/>
  <c r="AT587" i="2"/>
  <c r="AU587" i="2"/>
  <c r="AV587" i="2"/>
  <c r="AW587" i="2" s="1"/>
  <c r="AX587" i="2"/>
  <c r="AY587" i="2"/>
  <c r="AR588" i="2"/>
  <c r="AS588" i="2"/>
  <c r="AT588" i="2"/>
  <c r="AU588" i="2"/>
  <c r="AV588" i="2"/>
  <c r="AW588" i="2" s="1"/>
  <c r="AX588" i="2"/>
  <c r="AY588" i="2"/>
  <c r="AR589" i="2"/>
  <c r="AS589" i="2"/>
  <c r="AT589" i="2"/>
  <c r="AU589" i="2"/>
  <c r="AV589" i="2"/>
  <c r="AW589" i="2" s="1"/>
  <c r="AX589" i="2"/>
  <c r="AY589" i="2"/>
  <c r="AR590" i="2"/>
  <c r="AS590" i="2"/>
  <c r="AT590" i="2"/>
  <c r="AU590" i="2"/>
  <c r="AV590" i="2"/>
  <c r="AW590" i="2" s="1"/>
  <c r="AX590" i="2"/>
  <c r="AY590" i="2"/>
  <c r="AR591" i="2"/>
  <c r="AS591" i="2"/>
  <c r="AT591" i="2"/>
  <c r="AU591" i="2"/>
  <c r="AV591" i="2"/>
  <c r="AW591" i="2" s="1"/>
  <c r="AX591" i="2"/>
  <c r="AY591" i="2"/>
  <c r="AR592" i="2"/>
  <c r="AS592" i="2"/>
  <c r="AT592" i="2"/>
  <c r="AU592" i="2"/>
  <c r="AV592" i="2"/>
  <c r="AW592" i="2" s="1"/>
  <c r="AX592" i="2"/>
  <c r="AY592" i="2"/>
  <c r="AR593" i="2"/>
  <c r="AS593" i="2"/>
  <c r="AT593" i="2"/>
  <c r="AU593" i="2"/>
  <c r="AV593" i="2"/>
  <c r="AW593" i="2" s="1"/>
  <c r="AX593" i="2"/>
  <c r="AY593" i="2"/>
  <c r="AR594" i="2"/>
  <c r="AS594" i="2"/>
  <c r="AT594" i="2"/>
  <c r="AU594" i="2"/>
  <c r="AV594" i="2"/>
  <c r="AW594" i="2" s="1"/>
  <c r="AX594" i="2"/>
  <c r="AY594" i="2"/>
  <c r="AR595" i="2"/>
  <c r="AS595" i="2"/>
  <c r="AT595" i="2"/>
  <c r="AU595" i="2"/>
  <c r="AV595" i="2"/>
  <c r="AW595" i="2" s="1"/>
  <c r="AX595" i="2"/>
  <c r="AY595" i="2"/>
  <c r="AR596" i="2"/>
  <c r="AS596" i="2"/>
  <c r="AT596" i="2"/>
  <c r="AU596" i="2"/>
  <c r="AV596" i="2"/>
  <c r="AW596" i="2" s="1"/>
  <c r="AX596" i="2"/>
  <c r="AY596" i="2"/>
  <c r="AR597" i="2"/>
  <c r="AS597" i="2"/>
  <c r="AT597" i="2"/>
  <c r="AU597" i="2"/>
  <c r="AV597" i="2"/>
  <c r="AW597" i="2" s="1"/>
  <c r="AX597" i="2"/>
  <c r="AY597" i="2"/>
  <c r="AR598" i="2"/>
  <c r="AS598" i="2"/>
  <c r="AT598" i="2"/>
  <c r="AU598" i="2"/>
  <c r="AV598" i="2"/>
  <c r="AW598" i="2" s="1"/>
  <c r="AX598" i="2"/>
  <c r="AY598" i="2"/>
  <c r="AR599" i="2"/>
  <c r="AS599" i="2"/>
  <c r="AT599" i="2"/>
  <c r="AU599" i="2"/>
  <c r="AV599" i="2"/>
  <c r="AW599" i="2" s="1"/>
  <c r="AX599" i="2"/>
  <c r="AY599" i="2"/>
  <c r="AR600" i="2"/>
  <c r="AS600" i="2"/>
  <c r="AT600" i="2"/>
  <c r="AU600" i="2"/>
  <c r="AV600" i="2"/>
  <c r="AW600" i="2" s="1"/>
  <c r="AX600" i="2"/>
  <c r="AY600" i="2"/>
  <c r="AR601" i="2"/>
  <c r="AS601" i="2"/>
  <c r="AT601" i="2"/>
  <c r="AU601" i="2"/>
  <c r="AV601" i="2"/>
  <c r="AW601" i="2" s="1"/>
  <c r="AX601" i="2"/>
  <c r="AY601" i="2"/>
  <c r="AR602" i="2"/>
  <c r="AS602" i="2"/>
  <c r="AT602" i="2"/>
  <c r="AU602" i="2"/>
  <c r="AV602" i="2"/>
  <c r="AW602" i="2" s="1"/>
  <c r="AX602" i="2"/>
  <c r="AY602" i="2"/>
  <c r="AR603" i="2"/>
  <c r="AS603" i="2"/>
  <c r="AT603" i="2"/>
  <c r="AU603" i="2"/>
  <c r="AV603" i="2"/>
  <c r="AW603" i="2" s="1"/>
  <c r="AX603" i="2"/>
  <c r="AY603" i="2"/>
  <c r="AR604" i="2"/>
  <c r="AS604" i="2"/>
  <c r="AT604" i="2"/>
  <c r="AU604" i="2"/>
  <c r="AV604" i="2"/>
  <c r="AW604" i="2" s="1"/>
  <c r="AX604" i="2"/>
  <c r="AY604" i="2"/>
  <c r="AR605" i="2"/>
  <c r="AS605" i="2"/>
  <c r="AT605" i="2"/>
  <c r="AU605" i="2"/>
  <c r="AV605" i="2"/>
  <c r="AW605" i="2" s="1"/>
  <c r="AX605" i="2"/>
  <c r="AY605" i="2"/>
  <c r="AR606" i="2"/>
  <c r="AS606" i="2"/>
  <c r="AT606" i="2"/>
  <c r="AU606" i="2"/>
  <c r="AV606" i="2"/>
  <c r="AW606" i="2" s="1"/>
  <c r="AX606" i="2"/>
  <c r="AY606" i="2"/>
  <c r="AR607" i="2"/>
  <c r="AS607" i="2"/>
  <c r="AT607" i="2"/>
  <c r="AU607" i="2"/>
  <c r="AV607" i="2"/>
  <c r="AW607" i="2" s="1"/>
  <c r="AX607" i="2"/>
  <c r="AY607" i="2"/>
  <c r="AR608" i="2"/>
  <c r="AS608" i="2"/>
  <c r="AT608" i="2"/>
  <c r="AU608" i="2"/>
  <c r="AV608" i="2"/>
  <c r="AW608" i="2" s="1"/>
  <c r="AX608" i="2"/>
  <c r="AY608" i="2"/>
  <c r="AR609" i="2"/>
  <c r="AS609" i="2"/>
  <c r="AT609" i="2"/>
  <c r="AU609" i="2"/>
  <c r="AV609" i="2"/>
  <c r="AW609" i="2" s="1"/>
  <c r="AX609" i="2"/>
  <c r="AY609" i="2"/>
  <c r="AR610" i="2"/>
  <c r="AS610" i="2"/>
  <c r="AT610" i="2"/>
  <c r="AU610" i="2"/>
  <c r="AV610" i="2"/>
  <c r="AW610" i="2" s="1"/>
  <c r="AX610" i="2"/>
  <c r="AY610" i="2"/>
  <c r="AR611" i="2"/>
  <c r="AS611" i="2"/>
  <c r="AT611" i="2"/>
  <c r="AU611" i="2"/>
  <c r="AV611" i="2"/>
  <c r="AW611" i="2" s="1"/>
  <c r="AX611" i="2"/>
  <c r="AY611" i="2"/>
  <c r="AR612" i="2"/>
  <c r="AS612" i="2"/>
  <c r="AT612" i="2"/>
  <c r="AU612" i="2"/>
  <c r="AV612" i="2"/>
  <c r="AW612" i="2" s="1"/>
  <c r="AX612" i="2"/>
  <c r="AY612" i="2"/>
  <c r="AR613" i="2"/>
  <c r="AS613" i="2"/>
  <c r="AT613" i="2"/>
  <c r="AU613" i="2"/>
  <c r="AV613" i="2"/>
  <c r="AW613" i="2" s="1"/>
  <c r="AX613" i="2"/>
  <c r="AY613" i="2"/>
  <c r="AR614" i="2"/>
  <c r="AS614" i="2"/>
  <c r="AT614" i="2"/>
  <c r="AU614" i="2"/>
  <c r="AV614" i="2"/>
  <c r="AW614" i="2" s="1"/>
  <c r="AX614" i="2"/>
  <c r="AY614" i="2"/>
  <c r="AR615" i="2"/>
  <c r="AS615" i="2"/>
  <c r="AT615" i="2"/>
  <c r="AU615" i="2"/>
  <c r="AV615" i="2"/>
  <c r="AW615" i="2" s="1"/>
  <c r="AX615" i="2"/>
  <c r="AY615" i="2"/>
  <c r="AR616" i="2"/>
  <c r="AS616" i="2"/>
  <c r="AT616" i="2"/>
  <c r="AU616" i="2"/>
  <c r="AV616" i="2"/>
  <c r="AW616" i="2" s="1"/>
  <c r="AX616" i="2"/>
  <c r="AY616" i="2"/>
  <c r="AR617" i="2"/>
  <c r="AS617" i="2"/>
  <c r="AT617" i="2"/>
  <c r="AU617" i="2"/>
  <c r="AV617" i="2"/>
  <c r="AW617" i="2" s="1"/>
  <c r="AX617" i="2"/>
  <c r="AY617" i="2"/>
  <c r="AR618" i="2"/>
  <c r="AS618" i="2"/>
  <c r="AT618" i="2"/>
  <c r="AU618" i="2"/>
  <c r="AV618" i="2"/>
  <c r="AW618" i="2" s="1"/>
  <c r="AX618" i="2"/>
  <c r="AY618" i="2"/>
  <c r="AR619" i="2"/>
  <c r="AS619" i="2"/>
  <c r="AT619" i="2"/>
  <c r="AU619" i="2"/>
  <c r="AV619" i="2"/>
  <c r="AW619" i="2" s="1"/>
  <c r="AX619" i="2"/>
  <c r="AY619" i="2"/>
  <c r="AR620" i="2"/>
  <c r="AS620" i="2"/>
  <c r="AT620" i="2"/>
  <c r="AU620" i="2"/>
  <c r="AV620" i="2"/>
  <c r="AW620" i="2" s="1"/>
  <c r="AX620" i="2"/>
  <c r="AY620" i="2"/>
  <c r="AR621" i="2"/>
  <c r="AS621" i="2"/>
  <c r="AT621" i="2"/>
  <c r="AU621" i="2"/>
  <c r="AV621" i="2"/>
  <c r="AW621" i="2" s="1"/>
  <c r="AX621" i="2"/>
  <c r="AY621" i="2"/>
  <c r="AR622" i="2"/>
  <c r="AS622" i="2"/>
  <c r="AT622" i="2"/>
  <c r="AU622" i="2"/>
  <c r="AV622" i="2"/>
  <c r="AW622" i="2" s="1"/>
  <c r="AX622" i="2"/>
  <c r="AY622" i="2"/>
  <c r="AR623" i="2"/>
  <c r="AS623" i="2"/>
  <c r="AT623" i="2"/>
  <c r="AU623" i="2"/>
  <c r="AV623" i="2"/>
  <c r="AW623" i="2" s="1"/>
  <c r="AX623" i="2"/>
  <c r="AY623" i="2"/>
  <c r="AR624" i="2"/>
  <c r="AS624" i="2"/>
  <c r="AT624" i="2"/>
  <c r="AU624" i="2"/>
  <c r="AV624" i="2"/>
  <c r="AW624" i="2" s="1"/>
  <c r="AX624" i="2"/>
  <c r="AY624" i="2"/>
  <c r="AR625" i="2"/>
  <c r="AS625" i="2"/>
  <c r="AT625" i="2"/>
  <c r="AU625" i="2"/>
  <c r="AV625" i="2"/>
  <c r="AW625" i="2" s="1"/>
  <c r="AX625" i="2"/>
  <c r="AY625" i="2"/>
  <c r="AR626" i="2"/>
  <c r="AS626" i="2"/>
  <c r="AT626" i="2"/>
  <c r="AU626" i="2"/>
  <c r="AV626" i="2"/>
  <c r="AW626" i="2" s="1"/>
  <c r="AX626" i="2"/>
  <c r="AY626" i="2"/>
  <c r="AR627" i="2"/>
  <c r="AS627" i="2"/>
  <c r="AT627" i="2"/>
  <c r="AU627" i="2"/>
  <c r="AV627" i="2"/>
  <c r="AW627" i="2" s="1"/>
  <c r="AX627" i="2"/>
  <c r="AY627" i="2"/>
  <c r="AR628" i="2"/>
  <c r="AS628" i="2"/>
  <c r="AT628" i="2"/>
  <c r="AU628" i="2"/>
  <c r="AV628" i="2"/>
  <c r="AW628" i="2" s="1"/>
  <c r="AX628" i="2"/>
  <c r="AY628" i="2"/>
  <c r="AR629" i="2"/>
  <c r="AS629" i="2"/>
  <c r="AT629" i="2"/>
  <c r="AU629" i="2"/>
  <c r="AV629" i="2"/>
  <c r="AW629" i="2" s="1"/>
  <c r="AX629" i="2"/>
  <c r="AY629" i="2"/>
  <c r="AR630" i="2"/>
  <c r="AS630" i="2"/>
  <c r="AT630" i="2"/>
  <c r="AU630" i="2"/>
  <c r="AV630" i="2"/>
  <c r="AW630" i="2" s="1"/>
  <c r="AX630" i="2"/>
  <c r="AY630" i="2"/>
  <c r="AR631" i="2"/>
  <c r="AS631" i="2"/>
  <c r="AT631" i="2"/>
  <c r="AU631" i="2"/>
  <c r="AV631" i="2"/>
  <c r="AW631" i="2" s="1"/>
  <c r="AX631" i="2"/>
  <c r="AY631" i="2"/>
  <c r="AR632" i="2"/>
  <c r="AS632" i="2"/>
  <c r="AT632" i="2"/>
  <c r="AU632" i="2"/>
  <c r="AV632" i="2"/>
  <c r="AW632" i="2" s="1"/>
  <c r="AX632" i="2"/>
  <c r="AY632" i="2"/>
  <c r="AR633" i="2"/>
  <c r="AS633" i="2"/>
  <c r="AT633" i="2"/>
  <c r="AU633" i="2"/>
  <c r="AV633" i="2"/>
  <c r="AW633" i="2" s="1"/>
  <c r="AX633" i="2"/>
  <c r="AY633" i="2"/>
  <c r="AR634" i="2"/>
  <c r="AS634" i="2"/>
  <c r="AT634" i="2"/>
  <c r="AU634" i="2"/>
  <c r="AV634" i="2"/>
  <c r="AW634" i="2" s="1"/>
  <c r="AX634" i="2"/>
  <c r="AY634" i="2"/>
  <c r="AR635" i="2"/>
  <c r="AS635" i="2"/>
  <c r="AT635" i="2"/>
  <c r="AU635" i="2"/>
  <c r="AV635" i="2"/>
  <c r="AW635" i="2" s="1"/>
  <c r="AX635" i="2"/>
  <c r="AY635" i="2"/>
  <c r="AR636" i="2"/>
  <c r="AS636" i="2"/>
  <c r="AT636" i="2"/>
  <c r="AU636" i="2"/>
  <c r="AV636" i="2"/>
  <c r="AW636" i="2" s="1"/>
  <c r="AX636" i="2"/>
  <c r="AY636" i="2"/>
  <c r="AR637" i="2"/>
  <c r="AS637" i="2"/>
  <c r="AT637" i="2"/>
  <c r="AU637" i="2"/>
  <c r="AV637" i="2"/>
  <c r="AW637" i="2" s="1"/>
  <c r="AX637" i="2"/>
  <c r="AY637" i="2"/>
  <c r="AR638" i="2"/>
  <c r="AS638" i="2"/>
  <c r="AT638" i="2"/>
  <c r="AU638" i="2"/>
  <c r="AV638" i="2"/>
  <c r="AW638" i="2" s="1"/>
  <c r="AX638" i="2"/>
  <c r="AY638" i="2"/>
  <c r="AR639" i="2"/>
  <c r="AS639" i="2"/>
  <c r="AT639" i="2"/>
  <c r="AU639" i="2"/>
  <c r="AV639" i="2"/>
  <c r="AW639" i="2" s="1"/>
  <c r="AX639" i="2"/>
  <c r="AY639" i="2"/>
  <c r="AR640" i="2"/>
  <c r="AS640" i="2"/>
  <c r="AT640" i="2"/>
  <c r="AU640" i="2"/>
  <c r="AV640" i="2"/>
  <c r="AW640" i="2" s="1"/>
  <c r="AX640" i="2"/>
  <c r="AY640" i="2"/>
  <c r="AR641" i="2"/>
  <c r="AS641" i="2"/>
  <c r="AT641" i="2"/>
  <c r="AU641" i="2"/>
  <c r="AV641" i="2"/>
  <c r="AW641" i="2" s="1"/>
  <c r="AX641" i="2"/>
  <c r="AY641" i="2"/>
  <c r="AR642" i="2"/>
  <c r="AS642" i="2"/>
  <c r="AT642" i="2"/>
  <c r="AU642" i="2"/>
  <c r="AV642" i="2"/>
  <c r="AW642" i="2" s="1"/>
  <c r="AX642" i="2"/>
  <c r="AY642" i="2"/>
  <c r="AR643" i="2"/>
  <c r="AS643" i="2"/>
  <c r="AT643" i="2"/>
  <c r="AU643" i="2"/>
  <c r="AV643" i="2"/>
  <c r="AW643" i="2" s="1"/>
  <c r="AX643" i="2"/>
  <c r="AY643" i="2"/>
  <c r="AR644" i="2"/>
  <c r="AS644" i="2"/>
  <c r="AT644" i="2"/>
  <c r="AU644" i="2"/>
  <c r="AV644" i="2"/>
  <c r="AW644" i="2" s="1"/>
  <c r="AX644" i="2"/>
  <c r="AY644" i="2"/>
  <c r="AR645" i="2"/>
  <c r="AS645" i="2"/>
  <c r="AT645" i="2"/>
  <c r="AU645" i="2"/>
  <c r="AV645" i="2"/>
  <c r="AW645" i="2" s="1"/>
  <c r="AX645" i="2"/>
  <c r="AY645" i="2"/>
  <c r="AR646" i="2"/>
  <c r="AS646" i="2"/>
  <c r="AT646" i="2"/>
  <c r="AU646" i="2"/>
  <c r="AV646" i="2"/>
  <c r="AW646" i="2" s="1"/>
  <c r="AX646" i="2"/>
  <c r="AY646" i="2"/>
  <c r="AR647" i="2"/>
  <c r="AS647" i="2"/>
  <c r="AT647" i="2"/>
  <c r="AU647" i="2"/>
  <c r="AV647" i="2"/>
  <c r="AW647" i="2" s="1"/>
  <c r="AX647" i="2"/>
  <c r="AY647" i="2"/>
  <c r="AR648" i="2"/>
  <c r="AS648" i="2"/>
  <c r="AT648" i="2"/>
  <c r="AU648" i="2"/>
  <c r="AV648" i="2"/>
  <c r="AW648" i="2" s="1"/>
  <c r="AX648" i="2"/>
  <c r="AY648" i="2"/>
  <c r="AR649" i="2"/>
  <c r="AS649" i="2"/>
  <c r="AT649" i="2"/>
  <c r="AU649" i="2"/>
  <c r="AV649" i="2"/>
  <c r="AW649" i="2" s="1"/>
  <c r="AX649" i="2"/>
  <c r="AY649" i="2"/>
  <c r="AR650" i="2"/>
  <c r="AS650" i="2"/>
  <c r="AT650" i="2"/>
  <c r="AU650" i="2"/>
  <c r="AV650" i="2"/>
  <c r="AW650" i="2" s="1"/>
  <c r="AX650" i="2"/>
  <c r="AY650" i="2"/>
  <c r="AR651" i="2"/>
  <c r="AS651" i="2"/>
  <c r="AT651" i="2"/>
  <c r="AU651" i="2"/>
  <c r="AV651" i="2"/>
  <c r="AW651" i="2" s="1"/>
  <c r="AX651" i="2"/>
  <c r="AY651" i="2"/>
  <c r="AR652" i="2"/>
  <c r="AS652" i="2"/>
  <c r="AT652" i="2"/>
  <c r="AU652" i="2"/>
  <c r="AV652" i="2"/>
  <c r="AW652" i="2" s="1"/>
  <c r="AX652" i="2"/>
  <c r="AY652" i="2"/>
  <c r="AR653" i="2"/>
  <c r="AS653" i="2"/>
  <c r="AT653" i="2"/>
  <c r="AU653" i="2"/>
  <c r="AV653" i="2"/>
  <c r="AW653" i="2" s="1"/>
  <c r="AX653" i="2"/>
  <c r="AY653" i="2"/>
  <c r="AR654" i="2"/>
  <c r="AS654" i="2"/>
  <c r="AT654" i="2"/>
  <c r="AU654" i="2"/>
  <c r="AV654" i="2"/>
  <c r="AW654" i="2" s="1"/>
  <c r="AX654" i="2"/>
  <c r="AY654" i="2"/>
  <c r="AR655" i="2"/>
  <c r="AS655" i="2"/>
  <c r="AT655" i="2"/>
  <c r="AU655" i="2"/>
  <c r="AV655" i="2"/>
  <c r="AW655" i="2" s="1"/>
  <c r="AX655" i="2"/>
  <c r="AY655" i="2"/>
  <c r="AR656" i="2"/>
  <c r="AS656" i="2"/>
  <c r="AT656" i="2"/>
  <c r="AU656" i="2"/>
  <c r="AV656" i="2"/>
  <c r="AW656" i="2" s="1"/>
  <c r="AX656" i="2"/>
  <c r="AY656" i="2"/>
  <c r="AR657" i="2"/>
  <c r="AS657" i="2"/>
  <c r="AT657" i="2"/>
  <c r="AU657" i="2"/>
  <c r="AV657" i="2"/>
  <c r="AW657" i="2" s="1"/>
  <c r="AX657" i="2"/>
  <c r="AY657" i="2"/>
  <c r="AR658" i="2"/>
  <c r="AS658" i="2"/>
  <c r="AT658" i="2"/>
  <c r="AU658" i="2"/>
  <c r="AV658" i="2"/>
  <c r="AW658" i="2" s="1"/>
  <c r="AX658" i="2"/>
  <c r="AY658" i="2"/>
  <c r="AR659" i="2"/>
  <c r="AS659" i="2"/>
  <c r="AT659" i="2"/>
  <c r="AU659" i="2"/>
  <c r="AV659" i="2"/>
  <c r="AW659" i="2" s="1"/>
  <c r="AX659" i="2"/>
  <c r="AY659" i="2"/>
  <c r="AR660" i="2"/>
  <c r="AS660" i="2"/>
  <c r="AT660" i="2"/>
  <c r="AU660" i="2"/>
  <c r="AV660" i="2"/>
  <c r="AW660" i="2" s="1"/>
  <c r="AX660" i="2"/>
  <c r="AY660" i="2"/>
  <c r="AR661" i="2"/>
  <c r="AS661" i="2"/>
  <c r="AT661" i="2"/>
  <c r="AU661" i="2"/>
  <c r="AV661" i="2"/>
  <c r="AW661" i="2" s="1"/>
  <c r="AX661" i="2"/>
  <c r="AY661" i="2"/>
  <c r="AR662" i="2"/>
  <c r="AS662" i="2"/>
  <c r="AT662" i="2"/>
  <c r="AU662" i="2"/>
  <c r="AV662" i="2"/>
  <c r="AW662" i="2" s="1"/>
  <c r="AX662" i="2"/>
  <c r="AY662" i="2"/>
  <c r="AR663" i="2"/>
  <c r="AS663" i="2"/>
  <c r="AT663" i="2"/>
  <c r="AU663" i="2"/>
  <c r="AV663" i="2"/>
  <c r="AW663" i="2" s="1"/>
  <c r="AX663" i="2"/>
  <c r="AY663" i="2"/>
  <c r="AR664" i="2"/>
  <c r="AS664" i="2"/>
  <c r="AT664" i="2"/>
  <c r="AU664" i="2"/>
  <c r="AV664" i="2"/>
  <c r="AW664" i="2" s="1"/>
  <c r="AX664" i="2"/>
  <c r="AY664" i="2"/>
  <c r="AR665" i="2"/>
  <c r="AS665" i="2"/>
  <c r="AT665" i="2"/>
  <c r="AU665" i="2"/>
  <c r="AV665" i="2"/>
  <c r="AW665" i="2" s="1"/>
  <c r="AX665" i="2"/>
  <c r="AY665" i="2"/>
  <c r="AR666" i="2"/>
  <c r="AS666" i="2"/>
  <c r="AT666" i="2"/>
  <c r="AU666" i="2"/>
  <c r="AV666" i="2"/>
  <c r="AW666" i="2" s="1"/>
  <c r="AX666" i="2"/>
  <c r="AY666" i="2"/>
  <c r="AR667" i="2"/>
  <c r="AS667" i="2"/>
  <c r="AT667" i="2"/>
  <c r="AU667" i="2"/>
  <c r="AV667" i="2"/>
  <c r="AW667" i="2" s="1"/>
  <c r="AX667" i="2"/>
  <c r="AY667" i="2"/>
  <c r="AR668" i="2"/>
  <c r="AS668" i="2"/>
  <c r="AT668" i="2"/>
  <c r="AU668" i="2"/>
  <c r="AV668" i="2"/>
  <c r="AW668" i="2" s="1"/>
  <c r="AX668" i="2"/>
  <c r="AY668" i="2"/>
  <c r="AR669" i="2"/>
  <c r="AS669" i="2"/>
  <c r="AT669" i="2"/>
  <c r="AU669" i="2"/>
  <c r="AV669" i="2"/>
  <c r="AW669" i="2" s="1"/>
  <c r="AX669" i="2"/>
  <c r="AY669" i="2"/>
  <c r="AR670" i="2"/>
  <c r="AS670" i="2"/>
  <c r="AT670" i="2"/>
  <c r="AU670" i="2"/>
  <c r="AV670" i="2"/>
  <c r="AW670" i="2" s="1"/>
  <c r="AX670" i="2"/>
  <c r="AY670" i="2"/>
  <c r="AR671" i="2"/>
  <c r="AS671" i="2"/>
  <c r="AT671" i="2"/>
  <c r="AU671" i="2"/>
  <c r="AV671" i="2"/>
  <c r="AW671" i="2" s="1"/>
  <c r="AX671" i="2"/>
  <c r="AY671" i="2"/>
  <c r="AR672" i="2"/>
  <c r="AS672" i="2"/>
  <c r="AT672" i="2"/>
  <c r="AU672" i="2"/>
  <c r="AV672" i="2"/>
  <c r="AW672" i="2" s="1"/>
  <c r="AX672" i="2"/>
  <c r="AY672" i="2"/>
  <c r="AR673" i="2"/>
  <c r="AS673" i="2"/>
  <c r="AT673" i="2"/>
  <c r="AU673" i="2"/>
  <c r="AV673" i="2"/>
  <c r="AW673" i="2" s="1"/>
  <c r="AX673" i="2"/>
  <c r="AY673" i="2"/>
  <c r="AR674" i="2"/>
  <c r="AS674" i="2"/>
  <c r="AT674" i="2"/>
  <c r="AU674" i="2"/>
  <c r="AV674" i="2"/>
  <c r="AW674" i="2" s="1"/>
  <c r="AX674" i="2"/>
  <c r="AY674" i="2"/>
  <c r="AR675" i="2"/>
  <c r="AS675" i="2"/>
  <c r="AT675" i="2"/>
  <c r="AU675" i="2"/>
  <c r="AV675" i="2"/>
  <c r="AW675" i="2" s="1"/>
  <c r="AX675" i="2"/>
  <c r="AY675" i="2"/>
  <c r="AR676" i="2"/>
  <c r="AS676" i="2"/>
  <c r="AT676" i="2"/>
  <c r="AU676" i="2"/>
  <c r="AV676" i="2"/>
  <c r="AW676" i="2" s="1"/>
  <c r="AX676" i="2"/>
  <c r="AY676" i="2"/>
  <c r="AR677" i="2"/>
  <c r="AS677" i="2"/>
  <c r="AT677" i="2"/>
  <c r="AU677" i="2"/>
  <c r="AV677" i="2"/>
  <c r="AW677" i="2" s="1"/>
  <c r="AX677" i="2"/>
  <c r="AY677" i="2"/>
  <c r="AR678" i="2"/>
  <c r="AS678" i="2"/>
  <c r="AT678" i="2"/>
  <c r="AU678" i="2"/>
  <c r="AV678" i="2"/>
  <c r="AW678" i="2" s="1"/>
  <c r="AX678" i="2"/>
  <c r="AY678" i="2"/>
  <c r="AR679" i="2"/>
  <c r="AS679" i="2"/>
  <c r="AT679" i="2"/>
  <c r="AU679" i="2"/>
  <c r="AV679" i="2"/>
  <c r="AW679" i="2" s="1"/>
  <c r="AX679" i="2"/>
  <c r="AY679" i="2"/>
  <c r="AR680" i="2"/>
  <c r="AS680" i="2"/>
  <c r="AT680" i="2"/>
  <c r="AU680" i="2"/>
  <c r="AV680" i="2"/>
  <c r="AW680" i="2" s="1"/>
  <c r="AX680" i="2"/>
  <c r="AY680" i="2"/>
  <c r="AR681" i="2"/>
  <c r="AS681" i="2"/>
  <c r="AT681" i="2"/>
  <c r="AU681" i="2"/>
  <c r="AV681" i="2"/>
  <c r="AW681" i="2" s="1"/>
  <c r="AX681" i="2"/>
  <c r="AY681" i="2"/>
  <c r="AR682" i="2"/>
  <c r="AS682" i="2"/>
  <c r="AT682" i="2"/>
  <c r="AU682" i="2"/>
  <c r="AV682" i="2"/>
  <c r="AW682" i="2" s="1"/>
  <c r="AX682" i="2"/>
  <c r="AY682" i="2"/>
  <c r="AR683" i="2"/>
  <c r="AS683" i="2"/>
  <c r="AT683" i="2"/>
  <c r="AU683" i="2"/>
  <c r="AV683" i="2"/>
  <c r="AW683" i="2" s="1"/>
  <c r="AX683" i="2"/>
  <c r="AY683" i="2"/>
  <c r="AR684" i="2"/>
  <c r="AS684" i="2"/>
  <c r="AT684" i="2"/>
  <c r="AU684" i="2"/>
  <c r="AV684" i="2"/>
  <c r="AW684" i="2" s="1"/>
  <c r="AX684" i="2"/>
  <c r="AY684" i="2"/>
  <c r="AR685" i="2"/>
  <c r="AS685" i="2"/>
  <c r="AT685" i="2"/>
  <c r="AU685" i="2"/>
  <c r="AV685" i="2"/>
  <c r="AW685" i="2" s="1"/>
  <c r="AX685" i="2"/>
  <c r="AY685" i="2"/>
  <c r="AR686" i="2"/>
  <c r="AS686" i="2"/>
  <c r="AT686" i="2"/>
  <c r="AU686" i="2"/>
  <c r="AV686" i="2"/>
  <c r="AW686" i="2" s="1"/>
  <c r="AX686" i="2"/>
  <c r="AY686" i="2"/>
  <c r="AR687" i="2"/>
  <c r="AS687" i="2"/>
  <c r="AT687" i="2"/>
  <c r="AU687" i="2"/>
  <c r="AV687" i="2"/>
  <c r="AW687" i="2" s="1"/>
  <c r="AX687" i="2"/>
  <c r="AY687" i="2"/>
  <c r="AR688" i="2"/>
  <c r="AS688" i="2"/>
  <c r="AT688" i="2"/>
  <c r="AU688" i="2"/>
  <c r="AV688" i="2"/>
  <c r="AW688" i="2" s="1"/>
  <c r="AX688" i="2"/>
  <c r="AY688" i="2"/>
  <c r="AR689" i="2"/>
  <c r="AS689" i="2"/>
  <c r="AT689" i="2"/>
  <c r="AU689" i="2"/>
  <c r="AV689" i="2"/>
  <c r="AW689" i="2" s="1"/>
  <c r="AX689" i="2"/>
  <c r="AY689" i="2"/>
  <c r="AR690" i="2"/>
  <c r="AS690" i="2"/>
  <c r="AT690" i="2"/>
  <c r="AU690" i="2"/>
  <c r="AV690" i="2"/>
  <c r="AW690" i="2" s="1"/>
  <c r="AX690" i="2"/>
  <c r="AY690" i="2"/>
  <c r="AR691" i="2"/>
  <c r="AS691" i="2"/>
  <c r="AT691" i="2"/>
  <c r="AU691" i="2"/>
  <c r="AV691" i="2"/>
  <c r="AW691" i="2" s="1"/>
  <c r="AX691" i="2"/>
  <c r="AY691" i="2"/>
  <c r="AR692" i="2"/>
  <c r="AS692" i="2"/>
  <c r="AT692" i="2"/>
  <c r="AU692" i="2"/>
  <c r="AV692" i="2"/>
  <c r="AW692" i="2" s="1"/>
  <c r="AX692" i="2"/>
  <c r="AY692" i="2"/>
  <c r="AR693" i="2"/>
  <c r="AS693" i="2"/>
  <c r="AT693" i="2"/>
  <c r="AU693" i="2"/>
  <c r="AV693" i="2"/>
  <c r="AW693" i="2" s="1"/>
  <c r="AX693" i="2"/>
  <c r="AY693" i="2"/>
  <c r="AR694" i="2"/>
  <c r="AS694" i="2"/>
  <c r="AT694" i="2"/>
  <c r="AU694" i="2"/>
  <c r="AV694" i="2"/>
  <c r="AW694" i="2" s="1"/>
  <c r="AX694" i="2"/>
  <c r="AY694" i="2"/>
  <c r="AR695" i="2"/>
  <c r="AS695" i="2"/>
  <c r="AT695" i="2"/>
  <c r="AU695" i="2"/>
  <c r="AV695" i="2"/>
  <c r="AW695" i="2" s="1"/>
  <c r="AX695" i="2"/>
  <c r="AY695" i="2"/>
  <c r="AR696" i="2"/>
  <c r="AS696" i="2"/>
  <c r="AT696" i="2"/>
  <c r="AU696" i="2"/>
  <c r="AV696" i="2"/>
  <c r="AW696" i="2" s="1"/>
  <c r="AX696" i="2"/>
  <c r="AY696" i="2"/>
  <c r="AR697" i="2"/>
  <c r="AS697" i="2"/>
  <c r="AT697" i="2"/>
  <c r="AU697" i="2"/>
  <c r="AV697" i="2"/>
  <c r="AW697" i="2" s="1"/>
  <c r="AX697" i="2"/>
  <c r="AY697" i="2"/>
  <c r="AR698" i="2"/>
  <c r="AS698" i="2"/>
  <c r="AT698" i="2"/>
  <c r="AU698" i="2"/>
  <c r="AV698" i="2"/>
  <c r="AW698" i="2" s="1"/>
  <c r="AX698" i="2"/>
  <c r="AY698" i="2"/>
  <c r="AR699" i="2"/>
  <c r="AS699" i="2"/>
  <c r="AT699" i="2"/>
  <c r="AU699" i="2"/>
  <c r="AV699" i="2"/>
  <c r="AW699" i="2" s="1"/>
  <c r="AX699" i="2"/>
  <c r="AY699" i="2"/>
  <c r="AR700" i="2"/>
  <c r="AS700" i="2"/>
  <c r="AT700" i="2"/>
  <c r="AU700" i="2"/>
  <c r="AV700" i="2"/>
  <c r="AW700" i="2" s="1"/>
  <c r="AX700" i="2"/>
  <c r="AY700" i="2"/>
  <c r="AR701" i="2"/>
  <c r="AS701" i="2"/>
  <c r="AT701" i="2"/>
  <c r="AU701" i="2"/>
  <c r="AV701" i="2"/>
  <c r="AW701" i="2" s="1"/>
  <c r="AX701" i="2"/>
  <c r="AY701" i="2"/>
  <c r="AR702" i="2"/>
  <c r="AS702" i="2"/>
  <c r="AT702" i="2"/>
  <c r="AU702" i="2"/>
  <c r="AV702" i="2"/>
  <c r="AW702" i="2" s="1"/>
  <c r="AX702" i="2"/>
  <c r="AY702" i="2"/>
  <c r="AR703" i="2"/>
  <c r="AS703" i="2"/>
  <c r="AT703" i="2"/>
  <c r="AU703" i="2"/>
  <c r="AV703" i="2"/>
  <c r="AW703" i="2" s="1"/>
  <c r="AX703" i="2"/>
  <c r="AY703" i="2"/>
  <c r="AR704" i="2"/>
  <c r="AS704" i="2"/>
  <c r="AT704" i="2"/>
  <c r="AU704" i="2"/>
  <c r="AV704" i="2"/>
  <c r="AW704" i="2" s="1"/>
  <c r="AX704" i="2"/>
  <c r="AY704" i="2"/>
  <c r="AR705" i="2"/>
  <c r="AS705" i="2"/>
  <c r="AT705" i="2"/>
  <c r="AU705" i="2"/>
  <c r="AV705" i="2"/>
  <c r="AW705" i="2" s="1"/>
  <c r="AX705" i="2"/>
  <c r="AY705" i="2"/>
  <c r="AR706" i="2"/>
  <c r="AS706" i="2"/>
  <c r="AT706" i="2"/>
  <c r="AU706" i="2"/>
  <c r="AV706" i="2"/>
  <c r="AW706" i="2" s="1"/>
  <c r="AX706" i="2"/>
  <c r="AY706" i="2"/>
  <c r="AR707" i="2"/>
  <c r="AS707" i="2"/>
  <c r="AT707" i="2"/>
  <c r="AU707" i="2"/>
  <c r="AV707" i="2"/>
  <c r="AW707" i="2" s="1"/>
  <c r="AX707" i="2"/>
  <c r="AY707" i="2"/>
  <c r="AR708" i="2"/>
  <c r="AS708" i="2"/>
  <c r="AT708" i="2"/>
  <c r="AU708" i="2"/>
  <c r="AV708" i="2"/>
  <c r="AW708" i="2" s="1"/>
  <c r="AX708" i="2"/>
  <c r="AY708" i="2"/>
  <c r="AR709" i="2"/>
  <c r="AS709" i="2"/>
  <c r="AT709" i="2"/>
  <c r="AU709" i="2"/>
  <c r="AV709" i="2"/>
  <c r="AW709" i="2" s="1"/>
  <c r="AX709" i="2"/>
  <c r="AY709" i="2"/>
  <c r="AR710" i="2"/>
  <c r="AS710" i="2"/>
  <c r="AT710" i="2"/>
  <c r="AU710" i="2"/>
  <c r="AV710" i="2"/>
  <c r="AW710" i="2" s="1"/>
  <c r="AX710" i="2"/>
  <c r="AY710" i="2"/>
  <c r="AR711" i="2"/>
  <c r="AS711" i="2"/>
  <c r="AT711" i="2"/>
  <c r="AU711" i="2"/>
  <c r="AV711" i="2"/>
  <c r="AW711" i="2" s="1"/>
  <c r="AX711" i="2"/>
  <c r="AY711" i="2"/>
  <c r="AR712" i="2"/>
  <c r="AS712" i="2"/>
  <c r="AT712" i="2"/>
  <c r="AU712" i="2"/>
  <c r="AV712" i="2"/>
  <c r="AW712" i="2" s="1"/>
  <c r="AX712" i="2"/>
  <c r="AY712" i="2"/>
  <c r="AR713" i="2"/>
  <c r="AS713" i="2"/>
  <c r="AT713" i="2"/>
  <c r="AU713" i="2"/>
  <c r="AV713" i="2"/>
  <c r="AW713" i="2" s="1"/>
  <c r="AX713" i="2"/>
  <c r="AY713" i="2"/>
  <c r="AR714" i="2"/>
  <c r="AS714" i="2"/>
  <c r="AT714" i="2"/>
  <c r="AU714" i="2"/>
  <c r="AV714" i="2"/>
  <c r="AW714" i="2" s="1"/>
  <c r="AX714" i="2"/>
  <c r="AY714" i="2"/>
  <c r="AR715" i="2"/>
  <c r="AS715" i="2"/>
  <c r="AT715" i="2"/>
  <c r="AU715" i="2"/>
  <c r="AV715" i="2"/>
  <c r="AW715" i="2" s="1"/>
  <c r="AX715" i="2"/>
  <c r="AY715" i="2"/>
  <c r="AR716" i="2"/>
  <c r="AS716" i="2"/>
  <c r="AT716" i="2"/>
  <c r="AU716" i="2"/>
  <c r="AV716" i="2"/>
  <c r="AW716" i="2" s="1"/>
  <c r="AX716" i="2"/>
  <c r="AY716" i="2"/>
  <c r="AR717" i="2"/>
  <c r="AS717" i="2"/>
  <c r="AT717" i="2"/>
  <c r="AU717" i="2"/>
  <c r="AV717" i="2"/>
  <c r="AW717" i="2" s="1"/>
  <c r="AX717" i="2"/>
  <c r="AY717" i="2"/>
  <c r="AR718" i="2"/>
  <c r="AS718" i="2"/>
  <c r="AT718" i="2"/>
  <c r="AU718" i="2"/>
  <c r="AV718" i="2"/>
  <c r="AW718" i="2" s="1"/>
  <c r="AX718" i="2"/>
  <c r="AY718" i="2"/>
  <c r="AR719" i="2"/>
  <c r="AS719" i="2"/>
  <c r="AT719" i="2"/>
  <c r="AU719" i="2"/>
  <c r="AV719" i="2"/>
  <c r="AW719" i="2" s="1"/>
  <c r="AX719" i="2"/>
  <c r="AY719" i="2"/>
  <c r="AR720" i="2"/>
  <c r="AS720" i="2"/>
  <c r="AT720" i="2"/>
  <c r="AU720" i="2"/>
  <c r="AV720" i="2"/>
  <c r="AW720" i="2" s="1"/>
  <c r="AX720" i="2"/>
  <c r="AY720" i="2"/>
  <c r="AR721" i="2"/>
  <c r="AS721" i="2"/>
  <c r="AT721" i="2"/>
  <c r="AU721" i="2"/>
  <c r="AV721" i="2"/>
  <c r="AW721" i="2" s="1"/>
  <c r="AX721" i="2"/>
  <c r="AY721" i="2"/>
  <c r="AR722" i="2"/>
  <c r="AS722" i="2"/>
  <c r="AT722" i="2"/>
  <c r="AU722" i="2"/>
  <c r="AV722" i="2"/>
  <c r="AW722" i="2" s="1"/>
  <c r="AX722" i="2"/>
  <c r="AY722" i="2"/>
  <c r="AR723" i="2"/>
  <c r="AS723" i="2"/>
  <c r="AT723" i="2"/>
  <c r="AU723" i="2"/>
  <c r="AV723" i="2"/>
  <c r="AW723" i="2" s="1"/>
  <c r="AX723" i="2"/>
  <c r="AY723" i="2"/>
  <c r="AR724" i="2"/>
  <c r="AS724" i="2"/>
  <c r="AT724" i="2"/>
  <c r="AU724" i="2"/>
  <c r="AV724" i="2"/>
  <c r="AW724" i="2" s="1"/>
  <c r="AX724" i="2"/>
  <c r="AY724" i="2"/>
  <c r="AR725" i="2"/>
  <c r="AS725" i="2"/>
  <c r="AT725" i="2"/>
  <c r="AU725" i="2"/>
  <c r="AV725" i="2"/>
  <c r="AW725" i="2" s="1"/>
  <c r="AX725" i="2"/>
  <c r="AY725" i="2"/>
  <c r="AR726" i="2"/>
  <c r="AS726" i="2"/>
  <c r="AT726" i="2"/>
  <c r="AU726" i="2"/>
  <c r="AV726" i="2"/>
  <c r="AW726" i="2" s="1"/>
  <c r="AX726" i="2"/>
  <c r="AY726" i="2"/>
  <c r="AR727" i="2"/>
  <c r="AS727" i="2"/>
  <c r="AT727" i="2"/>
  <c r="AU727" i="2"/>
  <c r="AV727" i="2"/>
  <c r="AW727" i="2" s="1"/>
  <c r="AX727" i="2"/>
  <c r="AY727" i="2"/>
  <c r="AR728" i="2"/>
  <c r="AS728" i="2"/>
  <c r="AT728" i="2"/>
  <c r="AU728" i="2"/>
  <c r="AV728" i="2"/>
  <c r="AW728" i="2" s="1"/>
  <c r="AX728" i="2"/>
  <c r="AY728" i="2"/>
  <c r="AR729" i="2"/>
  <c r="AS729" i="2"/>
  <c r="AT729" i="2"/>
  <c r="AU729" i="2"/>
  <c r="AV729" i="2"/>
  <c r="AW729" i="2" s="1"/>
  <c r="AX729" i="2"/>
  <c r="AY729" i="2"/>
  <c r="AR730" i="2"/>
  <c r="AS730" i="2"/>
  <c r="AT730" i="2"/>
  <c r="AU730" i="2"/>
  <c r="AV730" i="2"/>
  <c r="AW730" i="2" s="1"/>
  <c r="AX730" i="2"/>
  <c r="AY730" i="2"/>
  <c r="AR731" i="2"/>
  <c r="AS731" i="2"/>
  <c r="AT731" i="2"/>
  <c r="AU731" i="2"/>
  <c r="AV731" i="2"/>
  <c r="AW731" i="2" s="1"/>
  <c r="AX731" i="2"/>
  <c r="AY731" i="2"/>
  <c r="AR732" i="2"/>
  <c r="AS732" i="2"/>
  <c r="AT732" i="2"/>
  <c r="AU732" i="2"/>
  <c r="AV732" i="2"/>
  <c r="AW732" i="2" s="1"/>
  <c r="AX732" i="2"/>
  <c r="AY732" i="2"/>
  <c r="AR733" i="2"/>
  <c r="AS733" i="2"/>
  <c r="AT733" i="2"/>
  <c r="AU733" i="2"/>
  <c r="AV733" i="2"/>
  <c r="AW733" i="2" s="1"/>
  <c r="AX733" i="2"/>
  <c r="AY733" i="2"/>
  <c r="AR734" i="2"/>
  <c r="AS734" i="2"/>
  <c r="AT734" i="2"/>
  <c r="AU734" i="2"/>
  <c r="AV734" i="2"/>
  <c r="AW734" i="2" s="1"/>
  <c r="AX734" i="2"/>
  <c r="AY734" i="2"/>
  <c r="AR735" i="2"/>
  <c r="AS735" i="2"/>
  <c r="AT735" i="2"/>
  <c r="AU735" i="2"/>
  <c r="AV735" i="2"/>
  <c r="AW735" i="2" s="1"/>
  <c r="AX735" i="2"/>
  <c r="AY735" i="2"/>
  <c r="AR736" i="2"/>
  <c r="AS736" i="2"/>
  <c r="AT736" i="2"/>
  <c r="AU736" i="2"/>
  <c r="AV736" i="2"/>
  <c r="AW736" i="2" s="1"/>
  <c r="AX736" i="2"/>
  <c r="AY736" i="2"/>
  <c r="AR737" i="2"/>
  <c r="AS737" i="2"/>
  <c r="AT737" i="2"/>
  <c r="AU737" i="2"/>
  <c r="AV737" i="2"/>
  <c r="AW737" i="2" s="1"/>
  <c r="AX737" i="2"/>
  <c r="AY737" i="2"/>
  <c r="AR738" i="2"/>
  <c r="AS738" i="2"/>
  <c r="AT738" i="2"/>
  <c r="AU738" i="2"/>
  <c r="AV738" i="2"/>
  <c r="AW738" i="2" s="1"/>
  <c r="AX738" i="2"/>
  <c r="AY738" i="2"/>
  <c r="AR739" i="2"/>
  <c r="AS739" i="2"/>
  <c r="AT739" i="2"/>
  <c r="AU739" i="2"/>
  <c r="AV739" i="2"/>
  <c r="AW739" i="2" s="1"/>
  <c r="AX739" i="2"/>
  <c r="AY739" i="2"/>
  <c r="AR740" i="2"/>
  <c r="AS740" i="2"/>
  <c r="AT740" i="2"/>
  <c r="AU740" i="2"/>
  <c r="AV740" i="2"/>
  <c r="AW740" i="2" s="1"/>
  <c r="AX740" i="2"/>
  <c r="AY740" i="2"/>
  <c r="AR741" i="2"/>
  <c r="AS741" i="2"/>
  <c r="AT741" i="2"/>
  <c r="AU741" i="2"/>
  <c r="AV741" i="2"/>
  <c r="AW741" i="2" s="1"/>
  <c r="AX741" i="2"/>
  <c r="AY741" i="2"/>
  <c r="AR742" i="2"/>
  <c r="AS742" i="2"/>
  <c r="AT742" i="2"/>
  <c r="AU742" i="2"/>
  <c r="AV742" i="2"/>
  <c r="AW742" i="2" s="1"/>
  <c r="AX742" i="2"/>
  <c r="AY742" i="2"/>
  <c r="AR743" i="2"/>
  <c r="AS743" i="2"/>
  <c r="AT743" i="2"/>
  <c r="AU743" i="2"/>
  <c r="AV743" i="2"/>
  <c r="AW743" i="2" s="1"/>
  <c r="AX743" i="2"/>
  <c r="AY743" i="2"/>
  <c r="AR744" i="2"/>
  <c r="AS744" i="2"/>
  <c r="AT744" i="2"/>
  <c r="AU744" i="2"/>
  <c r="AV744" i="2"/>
  <c r="AW744" i="2" s="1"/>
  <c r="AX744" i="2"/>
  <c r="AY744" i="2"/>
  <c r="AR745" i="2"/>
  <c r="AS745" i="2"/>
  <c r="AT745" i="2"/>
  <c r="AU745" i="2"/>
  <c r="AV745" i="2"/>
  <c r="AW745" i="2" s="1"/>
  <c r="AX745" i="2"/>
  <c r="AY745" i="2"/>
  <c r="AR746" i="2"/>
  <c r="AS746" i="2"/>
  <c r="AT746" i="2"/>
  <c r="AU746" i="2"/>
  <c r="AV746" i="2"/>
  <c r="AW746" i="2" s="1"/>
  <c r="AX746" i="2"/>
  <c r="AY746" i="2"/>
  <c r="AR747" i="2"/>
  <c r="AS747" i="2"/>
  <c r="AT747" i="2"/>
  <c r="AU747" i="2"/>
  <c r="AV747" i="2"/>
  <c r="AW747" i="2" s="1"/>
  <c r="AX747" i="2"/>
  <c r="AY747" i="2"/>
  <c r="AR748" i="2"/>
  <c r="AS748" i="2"/>
  <c r="AT748" i="2"/>
  <c r="AU748" i="2"/>
  <c r="AV748" i="2"/>
  <c r="AW748" i="2" s="1"/>
  <c r="AX748" i="2"/>
  <c r="AY748" i="2"/>
  <c r="AR749" i="2"/>
  <c r="AS749" i="2"/>
  <c r="AT749" i="2"/>
  <c r="AU749" i="2"/>
  <c r="AV749" i="2"/>
  <c r="AW749" i="2" s="1"/>
  <c r="AX749" i="2"/>
  <c r="AY749" i="2"/>
  <c r="AR750" i="2"/>
  <c r="AS750" i="2"/>
  <c r="AT750" i="2"/>
  <c r="AU750" i="2"/>
  <c r="AV750" i="2"/>
  <c r="AW750" i="2" s="1"/>
  <c r="AX750" i="2"/>
  <c r="AY750" i="2"/>
  <c r="AR751" i="2"/>
  <c r="AS751" i="2"/>
  <c r="AT751" i="2"/>
  <c r="AU751" i="2"/>
  <c r="AV751" i="2"/>
  <c r="AW751" i="2" s="1"/>
  <c r="AX751" i="2"/>
  <c r="AY751" i="2"/>
  <c r="AR752" i="2"/>
  <c r="AS752" i="2"/>
  <c r="AT752" i="2"/>
  <c r="AU752" i="2"/>
  <c r="AV752" i="2"/>
  <c r="AW752" i="2" s="1"/>
  <c r="AX752" i="2"/>
  <c r="AY752" i="2"/>
  <c r="AR753" i="2"/>
  <c r="AS753" i="2"/>
  <c r="AT753" i="2"/>
  <c r="AU753" i="2"/>
  <c r="AV753" i="2"/>
  <c r="AW753" i="2" s="1"/>
  <c r="AX753" i="2"/>
  <c r="AY753" i="2"/>
  <c r="AR754" i="2"/>
  <c r="AS754" i="2"/>
  <c r="AT754" i="2"/>
  <c r="AU754" i="2"/>
  <c r="AV754" i="2"/>
  <c r="AW754" i="2" s="1"/>
  <c r="AX754" i="2"/>
  <c r="AY754" i="2"/>
  <c r="AR755" i="2"/>
  <c r="AS755" i="2"/>
  <c r="AT755" i="2"/>
  <c r="AU755" i="2"/>
  <c r="AV755" i="2"/>
  <c r="AW755" i="2" s="1"/>
  <c r="AX755" i="2"/>
  <c r="AY755" i="2"/>
  <c r="AR756" i="2"/>
  <c r="AS756" i="2"/>
  <c r="AT756" i="2"/>
  <c r="AU756" i="2"/>
  <c r="AV756" i="2"/>
  <c r="AW756" i="2" s="1"/>
  <c r="AX756" i="2"/>
  <c r="AY756" i="2"/>
  <c r="AR757" i="2"/>
  <c r="AS757" i="2"/>
  <c r="AT757" i="2"/>
  <c r="AU757" i="2"/>
  <c r="AV757" i="2"/>
  <c r="AW757" i="2" s="1"/>
  <c r="AX757" i="2"/>
  <c r="AY757" i="2"/>
  <c r="AR758" i="2"/>
  <c r="AS758" i="2"/>
  <c r="AT758" i="2"/>
  <c r="AU758" i="2"/>
  <c r="AV758" i="2"/>
  <c r="AW758" i="2" s="1"/>
  <c r="AX758" i="2"/>
  <c r="AY758" i="2"/>
  <c r="AR759" i="2"/>
  <c r="AS759" i="2"/>
  <c r="AT759" i="2"/>
  <c r="AU759" i="2"/>
  <c r="AV759" i="2"/>
  <c r="AW759" i="2" s="1"/>
  <c r="AX759" i="2"/>
  <c r="AY759" i="2"/>
  <c r="AR760" i="2"/>
  <c r="AS760" i="2"/>
  <c r="AT760" i="2"/>
  <c r="AU760" i="2"/>
  <c r="AV760" i="2"/>
  <c r="AW760" i="2" s="1"/>
  <c r="AX760" i="2"/>
  <c r="AY760" i="2"/>
  <c r="AR761" i="2"/>
  <c r="AS761" i="2"/>
  <c r="AT761" i="2"/>
  <c r="AU761" i="2"/>
  <c r="AV761" i="2"/>
  <c r="AW761" i="2" s="1"/>
  <c r="AX761" i="2"/>
  <c r="AY761" i="2"/>
  <c r="AR762" i="2"/>
  <c r="AS762" i="2"/>
  <c r="AT762" i="2"/>
  <c r="AU762" i="2"/>
  <c r="AV762" i="2"/>
  <c r="AW762" i="2" s="1"/>
  <c r="AX762" i="2"/>
  <c r="AY762" i="2"/>
  <c r="AR763" i="2"/>
  <c r="AS763" i="2"/>
  <c r="AT763" i="2"/>
  <c r="AU763" i="2"/>
  <c r="AV763" i="2"/>
  <c r="AW763" i="2" s="1"/>
  <c r="AX763" i="2"/>
  <c r="AY763" i="2"/>
  <c r="AR764" i="2"/>
  <c r="AS764" i="2"/>
  <c r="AT764" i="2"/>
  <c r="AU764" i="2"/>
  <c r="AV764" i="2"/>
  <c r="AW764" i="2" s="1"/>
  <c r="AX764" i="2"/>
  <c r="AY764" i="2"/>
  <c r="AR765" i="2"/>
  <c r="AS765" i="2"/>
  <c r="AT765" i="2"/>
  <c r="AU765" i="2"/>
  <c r="AV765" i="2"/>
  <c r="AW765" i="2" s="1"/>
  <c r="AX765" i="2"/>
  <c r="AY765" i="2"/>
  <c r="AR766" i="2"/>
  <c r="AS766" i="2"/>
  <c r="AT766" i="2"/>
  <c r="AU766" i="2"/>
  <c r="AV766" i="2"/>
  <c r="AW766" i="2" s="1"/>
  <c r="AX766" i="2"/>
  <c r="AY766" i="2"/>
  <c r="AR767" i="2"/>
  <c r="AS767" i="2"/>
  <c r="AT767" i="2"/>
  <c r="AU767" i="2"/>
  <c r="AV767" i="2"/>
  <c r="AW767" i="2" s="1"/>
  <c r="AX767" i="2"/>
  <c r="AY767" i="2"/>
  <c r="AR768" i="2"/>
  <c r="AS768" i="2"/>
  <c r="AT768" i="2"/>
  <c r="AU768" i="2"/>
  <c r="AV768" i="2"/>
  <c r="AW768" i="2" s="1"/>
  <c r="AX768" i="2"/>
  <c r="AY768" i="2"/>
  <c r="AR769" i="2"/>
  <c r="AS769" i="2"/>
  <c r="AT769" i="2"/>
  <c r="AU769" i="2"/>
  <c r="AV769" i="2"/>
  <c r="AW769" i="2" s="1"/>
  <c r="AX769" i="2"/>
  <c r="AY769" i="2"/>
  <c r="AR770" i="2"/>
  <c r="AS770" i="2"/>
  <c r="AT770" i="2"/>
  <c r="AU770" i="2"/>
  <c r="AV770" i="2"/>
  <c r="AW770" i="2" s="1"/>
  <c r="AX770" i="2"/>
  <c r="AY770" i="2"/>
  <c r="AR771" i="2"/>
  <c r="AS771" i="2"/>
  <c r="AT771" i="2"/>
  <c r="AU771" i="2"/>
  <c r="AV771" i="2"/>
  <c r="AW771" i="2" s="1"/>
  <c r="AX771" i="2"/>
  <c r="AY771" i="2"/>
  <c r="AR772" i="2"/>
  <c r="AS772" i="2"/>
  <c r="AT772" i="2"/>
  <c r="AU772" i="2"/>
  <c r="AV772" i="2"/>
  <c r="AW772" i="2" s="1"/>
  <c r="AX772" i="2"/>
  <c r="AY772" i="2"/>
  <c r="AR773" i="2"/>
  <c r="AS773" i="2"/>
  <c r="AT773" i="2"/>
  <c r="AU773" i="2"/>
  <c r="AV773" i="2"/>
  <c r="AW773" i="2" s="1"/>
  <c r="AX773" i="2"/>
  <c r="AY773" i="2"/>
  <c r="AR774" i="2"/>
  <c r="AS774" i="2"/>
  <c r="AT774" i="2"/>
  <c r="AU774" i="2"/>
  <c r="AV774" i="2"/>
  <c r="AW774" i="2" s="1"/>
  <c r="AX774" i="2"/>
  <c r="AY774" i="2"/>
  <c r="AR775" i="2"/>
  <c r="AS775" i="2"/>
  <c r="AT775" i="2"/>
  <c r="AU775" i="2"/>
  <c r="AV775" i="2"/>
  <c r="AW775" i="2" s="1"/>
  <c r="AX775" i="2"/>
  <c r="AY775" i="2"/>
  <c r="AR776" i="2"/>
  <c r="AS776" i="2"/>
  <c r="AT776" i="2"/>
  <c r="AU776" i="2"/>
  <c r="AV776" i="2"/>
  <c r="AW776" i="2" s="1"/>
  <c r="AX776" i="2"/>
  <c r="AY776" i="2"/>
  <c r="AR777" i="2"/>
  <c r="AS777" i="2"/>
  <c r="AT777" i="2"/>
  <c r="AU777" i="2"/>
  <c r="AV777" i="2"/>
  <c r="AW777" i="2" s="1"/>
  <c r="AX777" i="2"/>
  <c r="AY777" i="2"/>
  <c r="AR778" i="2"/>
  <c r="AS778" i="2"/>
  <c r="AT778" i="2"/>
  <c r="AU778" i="2"/>
  <c r="AV778" i="2"/>
  <c r="AW778" i="2" s="1"/>
  <c r="AX778" i="2"/>
  <c r="AY778" i="2"/>
  <c r="AR779" i="2"/>
  <c r="AS779" i="2"/>
  <c r="AT779" i="2"/>
  <c r="AU779" i="2"/>
  <c r="AV779" i="2"/>
  <c r="AW779" i="2" s="1"/>
  <c r="AX779" i="2"/>
  <c r="AY779" i="2"/>
  <c r="AR780" i="2"/>
  <c r="AS780" i="2"/>
  <c r="AT780" i="2"/>
  <c r="AU780" i="2"/>
  <c r="AV780" i="2"/>
  <c r="AW780" i="2" s="1"/>
  <c r="AX780" i="2"/>
  <c r="AY780" i="2"/>
  <c r="AR781" i="2"/>
  <c r="AS781" i="2"/>
  <c r="AT781" i="2"/>
  <c r="AU781" i="2"/>
  <c r="AV781" i="2"/>
  <c r="AW781" i="2" s="1"/>
  <c r="AX781" i="2"/>
  <c r="AY781" i="2"/>
  <c r="AR782" i="2"/>
  <c r="AS782" i="2"/>
  <c r="AT782" i="2"/>
  <c r="AU782" i="2"/>
  <c r="AV782" i="2"/>
  <c r="AW782" i="2" s="1"/>
  <c r="AX782" i="2"/>
  <c r="AY782" i="2"/>
  <c r="AR783" i="2"/>
  <c r="AS783" i="2"/>
  <c r="AT783" i="2"/>
  <c r="AU783" i="2"/>
  <c r="AV783" i="2"/>
  <c r="AW783" i="2" s="1"/>
  <c r="AX783" i="2"/>
  <c r="AY783" i="2"/>
  <c r="AR784" i="2"/>
  <c r="AS784" i="2"/>
  <c r="AT784" i="2"/>
  <c r="AU784" i="2"/>
  <c r="AV784" i="2"/>
  <c r="AW784" i="2" s="1"/>
  <c r="AX784" i="2"/>
  <c r="AY784" i="2"/>
  <c r="AR785" i="2"/>
  <c r="AS785" i="2"/>
  <c r="AT785" i="2"/>
  <c r="AU785" i="2"/>
  <c r="AV785" i="2"/>
  <c r="AW785" i="2" s="1"/>
  <c r="AX785" i="2"/>
  <c r="AY785" i="2"/>
  <c r="AR786" i="2"/>
  <c r="AS786" i="2"/>
  <c r="AT786" i="2"/>
  <c r="AU786" i="2"/>
  <c r="AV786" i="2"/>
  <c r="AW786" i="2" s="1"/>
  <c r="AX786" i="2"/>
  <c r="AY786" i="2"/>
  <c r="AR787" i="2"/>
  <c r="AS787" i="2"/>
  <c r="AT787" i="2"/>
  <c r="AU787" i="2"/>
  <c r="AV787" i="2"/>
  <c r="AW787" i="2" s="1"/>
  <c r="AX787" i="2"/>
  <c r="AY787" i="2"/>
  <c r="AR788" i="2"/>
  <c r="AS788" i="2"/>
  <c r="AT788" i="2"/>
  <c r="AU788" i="2"/>
  <c r="AV788" i="2"/>
  <c r="AW788" i="2" s="1"/>
  <c r="AX788" i="2"/>
  <c r="AY788" i="2"/>
  <c r="AR789" i="2"/>
  <c r="AS789" i="2"/>
  <c r="AT789" i="2"/>
  <c r="AU789" i="2"/>
  <c r="AV789" i="2"/>
  <c r="AW789" i="2" s="1"/>
  <c r="AX789" i="2"/>
  <c r="AY789" i="2"/>
  <c r="AR790" i="2"/>
  <c r="AS790" i="2"/>
  <c r="AT790" i="2"/>
  <c r="AU790" i="2"/>
  <c r="AV790" i="2"/>
  <c r="AW790" i="2" s="1"/>
  <c r="AX790" i="2"/>
  <c r="AY790" i="2"/>
  <c r="AR791" i="2"/>
  <c r="AS791" i="2"/>
  <c r="AT791" i="2"/>
  <c r="AU791" i="2"/>
  <c r="AV791" i="2"/>
  <c r="AW791" i="2" s="1"/>
  <c r="AX791" i="2"/>
  <c r="AY791" i="2"/>
  <c r="AR792" i="2"/>
  <c r="AS792" i="2"/>
  <c r="AT792" i="2"/>
  <c r="AU792" i="2"/>
  <c r="AV792" i="2"/>
  <c r="AW792" i="2" s="1"/>
  <c r="AX792" i="2"/>
  <c r="AY792" i="2"/>
  <c r="AR793" i="2"/>
  <c r="AS793" i="2"/>
  <c r="AT793" i="2"/>
  <c r="AU793" i="2"/>
  <c r="AV793" i="2"/>
  <c r="AW793" i="2" s="1"/>
  <c r="AX793" i="2"/>
  <c r="AY793" i="2"/>
  <c r="AR794" i="2"/>
  <c r="AS794" i="2"/>
  <c r="AT794" i="2"/>
  <c r="AU794" i="2"/>
  <c r="AV794" i="2"/>
  <c r="AW794" i="2" s="1"/>
  <c r="AX794" i="2"/>
  <c r="AY794" i="2"/>
  <c r="AR795" i="2"/>
  <c r="AS795" i="2"/>
  <c r="AT795" i="2"/>
  <c r="AU795" i="2"/>
  <c r="AV795" i="2"/>
  <c r="AW795" i="2" s="1"/>
  <c r="AX795" i="2"/>
  <c r="AY795" i="2"/>
  <c r="AR796" i="2"/>
  <c r="AS796" i="2"/>
  <c r="AT796" i="2"/>
  <c r="AU796" i="2"/>
  <c r="AV796" i="2"/>
  <c r="AW796" i="2" s="1"/>
  <c r="AX796" i="2"/>
  <c r="AY796" i="2"/>
  <c r="AR797" i="2"/>
  <c r="AS797" i="2"/>
  <c r="AT797" i="2"/>
  <c r="AU797" i="2"/>
  <c r="AV797" i="2"/>
  <c r="AW797" i="2" s="1"/>
  <c r="AX797" i="2"/>
  <c r="AY797" i="2"/>
  <c r="AR798" i="2"/>
  <c r="AS798" i="2"/>
  <c r="AT798" i="2"/>
  <c r="AU798" i="2"/>
  <c r="AV798" i="2"/>
  <c r="AW798" i="2" s="1"/>
  <c r="AX798" i="2"/>
  <c r="AY798" i="2"/>
  <c r="AR799" i="2"/>
  <c r="AS799" i="2"/>
  <c r="AT799" i="2"/>
  <c r="AU799" i="2"/>
  <c r="AV799" i="2"/>
  <c r="AW799" i="2" s="1"/>
  <c r="AX799" i="2"/>
  <c r="AY799" i="2"/>
  <c r="AR800" i="2"/>
  <c r="AS800" i="2"/>
  <c r="AT800" i="2"/>
  <c r="AU800" i="2"/>
  <c r="AV800" i="2"/>
  <c r="AW800" i="2" s="1"/>
  <c r="AX800" i="2"/>
  <c r="AY800" i="2"/>
  <c r="AR801" i="2"/>
  <c r="AS801" i="2"/>
  <c r="AT801" i="2"/>
  <c r="AU801" i="2"/>
  <c r="AV801" i="2"/>
  <c r="AW801" i="2" s="1"/>
  <c r="AX801" i="2"/>
  <c r="AY801" i="2"/>
  <c r="AR802" i="2"/>
  <c r="AS802" i="2"/>
  <c r="AT802" i="2"/>
  <c r="AU802" i="2"/>
  <c r="AV802" i="2"/>
  <c r="AW802" i="2" s="1"/>
  <c r="AX802" i="2"/>
  <c r="AY802" i="2"/>
  <c r="AR803" i="2"/>
  <c r="AS803" i="2"/>
  <c r="AT803" i="2"/>
  <c r="AU803" i="2"/>
  <c r="AV803" i="2"/>
  <c r="AW803" i="2" s="1"/>
  <c r="AX803" i="2"/>
  <c r="AY803" i="2"/>
  <c r="AR804" i="2"/>
  <c r="AS804" i="2"/>
  <c r="AT804" i="2"/>
  <c r="AU804" i="2"/>
  <c r="AV804" i="2"/>
  <c r="AW804" i="2" s="1"/>
  <c r="AX804" i="2"/>
  <c r="AY804" i="2"/>
  <c r="AR805" i="2"/>
  <c r="AS805" i="2"/>
  <c r="AT805" i="2"/>
  <c r="AU805" i="2"/>
  <c r="AV805" i="2"/>
  <c r="AW805" i="2" s="1"/>
  <c r="AX805" i="2"/>
  <c r="AY805" i="2"/>
  <c r="AR806" i="2"/>
  <c r="AS806" i="2"/>
  <c r="AT806" i="2"/>
  <c r="AU806" i="2"/>
  <c r="AV806" i="2"/>
  <c r="AW806" i="2" s="1"/>
  <c r="AX806" i="2"/>
  <c r="AY806" i="2"/>
  <c r="AR807" i="2"/>
  <c r="AS807" i="2"/>
  <c r="AT807" i="2"/>
  <c r="AU807" i="2"/>
  <c r="AV807" i="2"/>
  <c r="AW807" i="2" s="1"/>
  <c r="AX807" i="2"/>
  <c r="AY807" i="2"/>
  <c r="AR808" i="2"/>
  <c r="AS808" i="2"/>
  <c r="AT808" i="2"/>
  <c r="AU808" i="2"/>
  <c r="AV808" i="2"/>
  <c r="AW808" i="2" s="1"/>
  <c r="AX808" i="2"/>
  <c r="AY808" i="2"/>
  <c r="AR809" i="2"/>
  <c r="AS809" i="2"/>
  <c r="AT809" i="2"/>
  <c r="AU809" i="2"/>
  <c r="AV809" i="2"/>
  <c r="AW809" i="2" s="1"/>
  <c r="AX809" i="2"/>
  <c r="AY809" i="2"/>
  <c r="AR810" i="2"/>
  <c r="AS810" i="2"/>
  <c r="AT810" i="2"/>
  <c r="AU810" i="2"/>
  <c r="AV810" i="2"/>
  <c r="AW810" i="2" s="1"/>
  <c r="AX810" i="2"/>
  <c r="AY810" i="2"/>
  <c r="AR811" i="2"/>
  <c r="AS811" i="2"/>
  <c r="AT811" i="2"/>
  <c r="AU811" i="2"/>
  <c r="AV811" i="2"/>
  <c r="AW811" i="2" s="1"/>
  <c r="AX811" i="2"/>
  <c r="AY811" i="2"/>
  <c r="AR812" i="2"/>
  <c r="AS812" i="2"/>
  <c r="AT812" i="2"/>
  <c r="AU812" i="2"/>
  <c r="AV812" i="2"/>
  <c r="AW812" i="2" s="1"/>
  <c r="AX812" i="2"/>
  <c r="AY812" i="2"/>
  <c r="AR813" i="2"/>
  <c r="AS813" i="2"/>
  <c r="AT813" i="2"/>
  <c r="AU813" i="2"/>
  <c r="AV813" i="2"/>
  <c r="AW813" i="2" s="1"/>
  <c r="AX813" i="2"/>
  <c r="AY813" i="2"/>
  <c r="AR814" i="2"/>
  <c r="AS814" i="2"/>
  <c r="AT814" i="2"/>
  <c r="AU814" i="2"/>
  <c r="AV814" i="2"/>
  <c r="AW814" i="2" s="1"/>
  <c r="AX814" i="2"/>
  <c r="AY814" i="2"/>
  <c r="AR815" i="2"/>
  <c r="AS815" i="2"/>
  <c r="AT815" i="2"/>
  <c r="AU815" i="2"/>
  <c r="AV815" i="2"/>
  <c r="AW815" i="2" s="1"/>
  <c r="AX815" i="2"/>
  <c r="AY815" i="2"/>
  <c r="AR816" i="2"/>
  <c r="AS816" i="2"/>
  <c r="AT816" i="2"/>
  <c r="AU816" i="2"/>
  <c r="AV816" i="2"/>
  <c r="AW816" i="2" s="1"/>
  <c r="AX816" i="2"/>
  <c r="AY816" i="2"/>
  <c r="AR817" i="2"/>
  <c r="AS817" i="2"/>
  <c r="AT817" i="2"/>
  <c r="AU817" i="2"/>
  <c r="AV817" i="2"/>
  <c r="AW817" i="2" s="1"/>
  <c r="AX817" i="2"/>
  <c r="AY817" i="2"/>
  <c r="AR818" i="2"/>
  <c r="AS818" i="2"/>
  <c r="AT818" i="2"/>
  <c r="AU818" i="2"/>
  <c r="AV818" i="2"/>
  <c r="AW818" i="2" s="1"/>
  <c r="AX818" i="2"/>
  <c r="AY818" i="2"/>
  <c r="AR819" i="2"/>
  <c r="AS819" i="2"/>
  <c r="AT819" i="2"/>
  <c r="AU819" i="2"/>
  <c r="AV819" i="2"/>
  <c r="AW819" i="2" s="1"/>
  <c r="AX819" i="2"/>
  <c r="AY819" i="2"/>
  <c r="AR820" i="2"/>
  <c r="AS820" i="2"/>
  <c r="AT820" i="2"/>
  <c r="AU820" i="2"/>
  <c r="AV820" i="2"/>
  <c r="AW820" i="2" s="1"/>
  <c r="AX820" i="2"/>
  <c r="AY820" i="2"/>
  <c r="AR821" i="2"/>
  <c r="AS821" i="2"/>
  <c r="AT821" i="2"/>
  <c r="AU821" i="2"/>
  <c r="AV821" i="2"/>
  <c r="AW821" i="2" s="1"/>
  <c r="AX821" i="2"/>
  <c r="AY821" i="2"/>
  <c r="AR822" i="2"/>
  <c r="AS822" i="2"/>
  <c r="AT822" i="2"/>
  <c r="AU822" i="2"/>
  <c r="AV822" i="2"/>
  <c r="AW822" i="2" s="1"/>
  <c r="AX822" i="2"/>
  <c r="AY822" i="2"/>
  <c r="AR823" i="2"/>
  <c r="AS823" i="2"/>
  <c r="AT823" i="2"/>
  <c r="AU823" i="2"/>
  <c r="AV823" i="2"/>
  <c r="AW823" i="2" s="1"/>
  <c r="AX823" i="2"/>
  <c r="AY823" i="2"/>
  <c r="AR824" i="2"/>
  <c r="AS824" i="2"/>
  <c r="AT824" i="2"/>
  <c r="AU824" i="2"/>
  <c r="AV824" i="2"/>
  <c r="AW824" i="2" s="1"/>
  <c r="AX824" i="2"/>
  <c r="AY824" i="2"/>
  <c r="AR825" i="2"/>
  <c r="AS825" i="2"/>
  <c r="AT825" i="2"/>
  <c r="AU825" i="2"/>
  <c r="AV825" i="2"/>
  <c r="AW825" i="2" s="1"/>
  <c r="AX825" i="2"/>
  <c r="AY825" i="2"/>
  <c r="AR826" i="2"/>
  <c r="AS826" i="2"/>
  <c r="AT826" i="2"/>
  <c r="AU826" i="2"/>
  <c r="AV826" i="2"/>
  <c r="AW826" i="2" s="1"/>
  <c r="AX826" i="2"/>
  <c r="AY826" i="2"/>
  <c r="AR827" i="2"/>
  <c r="AS827" i="2"/>
  <c r="AT827" i="2"/>
  <c r="AU827" i="2"/>
  <c r="AV827" i="2"/>
  <c r="AW827" i="2" s="1"/>
  <c r="AX827" i="2"/>
  <c r="AY827" i="2"/>
  <c r="AR828" i="2"/>
  <c r="AS828" i="2"/>
  <c r="AT828" i="2"/>
  <c r="AU828" i="2"/>
  <c r="AV828" i="2"/>
  <c r="AW828" i="2" s="1"/>
  <c r="AX828" i="2"/>
  <c r="AY828" i="2"/>
  <c r="AR829" i="2"/>
  <c r="AS829" i="2"/>
  <c r="AT829" i="2"/>
  <c r="AU829" i="2"/>
  <c r="AV829" i="2"/>
  <c r="AW829" i="2" s="1"/>
  <c r="AX829" i="2"/>
  <c r="AY829" i="2"/>
  <c r="AR830" i="2"/>
  <c r="AS830" i="2"/>
  <c r="AT830" i="2"/>
  <c r="AU830" i="2"/>
  <c r="AV830" i="2"/>
  <c r="AW830" i="2" s="1"/>
  <c r="AX830" i="2"/>
  <c r="AY830" i="2"/>
  <c r="AR831" i="2"/>
  <c r="AS831" i="2"/>
  <c r="AT831" i="2"/>
  <c r="AU831" i="2"/>
  <c r="AV831" i="2"/>
  <c r="AW831" i="2" s="1"/>
  <c r="AX831" i="2"/>
  <c r="AY831" i="2"/>
  <c r="AR832" i="2"/>
  <c r="AS832" i="2"/>
  <c r="AT832" i="2"/>
  <c r="AU832" i="2"/>
  <c r="AV832" i="2"/>
  <c r="AW832" i="2" s="1"/>
  <c r="AX832" i="2"/>
  <c r="AY832" i="2"/>
  <c r="AR833" i="2"/>
  <c r="AS833" i="2"/>
  <c r="AT833" i="2"/>
  <c r="AU833" i="2"/>
  <c r="AV833" i="2"/>
  <c r="AW833" i="2" s="1"/>
  <c r="AX833" i="2"/>
  <c r="AY833" i="2"/>
  <c r="AR834" i="2"/>
  <c r="AS834" i="2"/>
  <c r="AT834" i="2"/>
  <c r="AU834" i="2"/>
  <c r="AV834" i="2"/>
  <c r="AW834" i="2" s="1"/>
  <c r="AX834" i="2"/>
  <c r="AY834" i="2"/>
  <c r="AR835" i="2"/>
  <c r="AS835" i="2"/>
  <c r="AT835" i="2"/>
  <c r="AU835" i="2"/>
  <c r="AV835" i="2"/>
  <c r="AW835" i="2" s="1"/>
  <c r="AX835" i="2"/>
  <c r="AY835" i="2"/>
  <c r="AR836" i="2"/>
  <c r="AS836" i="2"/>
  <c r="AT836" i="2"/>
  <c r="AU836" i="2"/>
  <c r="AV836" i="2"/>
  <c r="AW836" i="2" s="1"/>
  <c r="AX836" i="2"/>
  <c r="AY836" i="2"/>
  <c r="AR837" i="2"/>
  <c r="AS837" i="2"/>
  <c r="AT837" i="2"/>
  <c r="AU837" i="2"/>
  <c r="AV837" i="2"/>
  <c r="AW837" i="2" s="1"/>
  <c r="AX837" i="2"/>
  <c r="AY837" i="2"/>
  <c r="AR838" i="2"/>
  <c r="AS838" i="2"/>
  <c r="AT838" i="2"/>
  <c r="AU838" i="2"/>
  <c r="AV838" i="2"/>
  <c r="AW838" i="2" s="1"/>
  <c r="AX838" i="2"/>
  <c r="AY838" i="2"/>
  <c r="AR839" i="2"/>
  <c r="AS839" i="2"/>
  <c r="AT839" i="2"/>
  <c r="AU839" i="2"/>
  <c r="AV839" i="2"/>
  <c r="AW839" i="2" s="1"/>
  <c r="AX839" i="2"/>
  <c r="AY839" i="2"/>
  <c r="AR840" i="2"/>
  <c r="AS840" i="2"/>
  <c r="AT840" i="2"/>
  <c r="AU840" i="2"/>
  <c r="AV840" i="2"/>
  <c r="AW840" i="2" s="1"/>
  <c r="AX840" i="2"/>
  <c r="AY840" i="2"/>
  <c r="AR841" i="2"/>
  <c r="AS841" i="2"/>
  <c r="AT841" i="2"/>
  <c r="AU841" i="2"/>
  <c r="AV841" i="2"/>
  <c r="AW841" i="2" s="1"/>
  <c r="AX841" i="2"/>
  <c r="AY841" i="2"/>
  <c r="AR842" i="2"/>
  <c r="AS842" i="2"/>
  <c r="AT842" i="2"/>
  <c r="AU842" i="2"/>
  <c r="AV842" i="2"/>
  <c r="AW842" i="2" s="1"/>
  <c r="AX842" i="2"/>
  <c r="AY842" i="2"/>
  <c r="AR843" i="2"/>
  <c r="AS843" i="2"/>
  <c r="AT843" i="2"/>
  <c r="AU843" i="2"/>
  <c r="AV843" i="2"/>
  <c r="AW843" i="2" s="1"/>
  <c r="AX843" i="2"/>
  <c r="AY843" i="2"/>
  <c r="AR844" i="2"/>
  <c r="AS844" i="2"/>
  <c r="AT844" i="2"/>
  <c r="AU844" i="2"/>
  <c r="AV844" i="2"/>
  <c r="AW844" i="2" s="1"/>
  <c r="AX844" i="2"/>
  <c r="AY844" i="2"/>
  <c r="AR845" i="2"/>
  <c r="AS845" i="2"/>
  <c r="AT845" i="2"/>
  <c r="AU845" i="2"/>
  <c r="AV845" i="2"/>
  <c r="AW845" i="2" s="1"/>
  <c r="AX845" i="2"/>
  <c r="AY845" i="2"/>
  <c r="AR846" i="2"/>
  <c r="AS846" i="2"/>
  <c r="AT846" i="2"/>
  <c r="AU846" i="2"/>
  <c r="AV846" i="2"/>
  <c r="AW846" i="2" s="1"/>
  <c r="AX846" i="2"/>
  <c r="AY846" i="2"/>
  <c r="AR847" i="2"/>
  <c r="AS847" i="2"/>
  <c r="AT847" i="2"/>
  <c r="AU847" i="2"/>
  <c r="AV847" i="2"/>
  <c r="AW847" i="2" s="1"/>
  <c r="AX847" i="2"/>
  <c r="AY847" i="2"/>
  <c r="AR848" i="2"/>
  <c r="AS848" i="2"/>
  <c r="AT848" i="2"/>
  <c r="AU848" i="2"/>
  <c r="AV848" i="2"/>
  <c r="AW848" i="2" s="1"/>
  <c r="AX848" i="2"/>
  <c r="AY848" i="2"/>
  <c r="AR849" i="2"/>
  <c r="AS849" i="2"/>
  <c r="AT849" i="2"/>
  <c r="AU849" i="2"/>
  <c r="AV849" i="2"/>
  <c r="AW849" i="2" s="1"/>
  <c r="AX849" i="2"/>
  <c r="AY849" i="2"/>
  <c r="AR850" i="2"/>
  <c r="AS850" i="2"/>
  <c r="AT850" i="2"/>
  <c r="AU850" i="2"/>
  <c r="AV850" i="2"/>
  <c r="AW850" i="2" s="1"/>
  <c r="AX850" i="2"/>
  <c r="AY850" i="2"/>
  <c r="AR851" i="2"/>
  <c r="AS851" i="2"/>
  <c r="AT851" i="2"/>
  <c r="AU851" i="2"/>
  <c r="AV851" i="2"/>
  <c r="AW851" i="2" s="1"/>
  <c r="AX851" i="2"/>
  <c r="AY851" i="2"/>
  <c r="AR852" i="2"/>
  <c r="AS852" i="2"/>
  <c r="AT852" i="2"/>
  <c r="AU852" i="2"/>
  <c r="AV852" i="2"/>
  <c r="AW852" i="2" s="1"/>
  <c r="AX852" i="2"/>
  <c r="AY852" i="2"/>
  <c r="AR853" i="2"/>
  <c r="AS853" i="2"/>
  <c r="AT853" i="2"/>
  <c r="AU853" i="2"/>
  <c r="AV853" i="2"/>
  <c r="AW853" i="2" s="1"/>
  <c r="AX853" i="2"/>
  <c r="AY853" i="2"/>
  <c r="AR854" i="2"/>
  <c r="AS854" i="2"/>
  <c r="AT854" i="2"/>
  <c r="AU854" i="2"/>
  <c r="AV854" i="2"/>
  <c r="AW854" i="2" s="1"/>
  <c r="AX854" i="2"/>
  <c r="AY854" i="2"/>
  <c r="AR855" i="2"/>
  <c r="AS855" i="2"/>
  <c r="AT855" i="2"/>
  <c r="AU855" i="2"/>
  <c r="AV855" i="2"/>
  <c r="AW855" i="2" s="1"/>
  <c r="AX855" i="2"/>
  <c r="AY855" i="2"/>
  <c r="AR856" i="2"/>
  <c r="AS856" i="2"/>
  <c r="AT856" i="2"/>
  <c r="AU856" i="2"/>
  <c r="AV856" i="2"/>
  <c r="AW856" i="2" s="1"/>
  <c r="AX856" i="2"/>
  <c r="AY856" i="2"/>
  <c r="AR857" i="2"/>
  <c r="AS857" i="2"/>
  <c r="AT857" i="2"/>
  <c r="AU857" i="2"/>
  <c r="AV857" i="2"/>
  <c r="AW857" i="2" s="1"/>
  <c r="AX857" i="2"/>
  <c r="AY857" i="2"/>
  <c r="AR858" i="2"/>
  <c r="AS858" i="2"/>
  <c r="AT858" i="2"/>
  <c r="AU858" i="2"/>
  <c r="AV858" i="2"/>
  <c r="AW858" i="2" s="1"/>
  <c r="AX858" i="2"/>
  <c r="AY858" i="2"/>
  <c r="AR859" i="2"/>
  <c r="AS859" i="2"/>
  <c r="AT859" i="2"/>
  <c r="AU859" i="2"/>
  <c r="AV859" i="2"/>
  <c r="AW859" i="2" s="1"/>
  <c r="AX859" i="2"/>
  <c r="AY859" i="2"/>
  <c r="AR860" i="2"/>
  <c r="AS860" i="2"/>
  <c r="AT860" i="2"/>
  <c r="AU860" i="2"/>
  <c r="AV860" i="2"/>
  <c r="AW860" i="2" s="1"/>
  <c r="AX860" i="2"/>
  <c r="AY860" i="2"/>
  <c r="AR861" i="2"/>
  <c r="AS861" i="2"/>
  <c r="AT861" i="2"/>
  <c r="AU861" i="2"/>
  <c r="AV861" i="2"/>
  <c r="AW861" i="2" s="1"/>
  <c r="AX861" i="2"/>
  <c r="AY861" i="2"/>
  <c r="AR862" i="2"/>
  <c r="AS862" i="2"/>
  <c r="AT862" i="2"/>
  <c r="AU862" i="2"/>
  <c r="AV862" i="2"/>
  <c r="AW862" i="2" s="1"/>
  <c r="AX862" i="2"/>
  <c r="AY862" i="2"/>
  <c r="AR863" i="2"/>
  <c r="AS863" i="2"/>
  <c r="AT863" i="2"/>
  <c r="AU863" i="2"/>
  <c r="AV863" i="2"/>
  <c r="AW863" i="2" s="1"/>
  <c r="AX863" i="2"/>
  <c r="AY863" i="2"/>
  <c r="AR864" i="2"/>
  <c r="AS864" i="2"/>
  <c r="AT864" i="2"/>
  <c r="AU864" i="2"/>
  <c r="AV864" i="2"/>
  <c r="AW864" i="2" s="1"/>
  <c r="AX864" i="2"/>
  <c r="AY864" i="2"/>
  <c r="AR865" i="2"/>
  <c r="AS865" i="2"/>
  <c r="AT865" i="2"/>
  <c r="AU865" i="2"/>
  <c r="AV865" i="2"/>
  <c r="AW865" i="2" s="1"/>
  <c r="AX865" i="2"/>
  <c r="AY865" i="2"/>
  <c r="AR866" i="2"/>
  <c r="AS866" i="2"/>
  <c r="AT866" i="2"/>
  <c r="AU866" i="2"/>
  <c r="AV866" i="2"/>
  <c r="AW866" i="2" s="1"/>
  <c r="AX866" i="2"/>
  <c r="AY866" i="2"/>
  <c r="AR867" i="2"/>
  <c r="AS867" i="2"/>
  <c r="AT867" i="2"/>
  <c r="AU867" i="2"/>
  <c r="AV867" i="2"/>
  <c r="AW867" i="2" s="1"/>
  <c r="AX867" i="2"/>
  <c r="AY867" i="2"/>
  <c r="AR868" i="2"/>
  <c r="AS868" i="2"/>
  <c r="AT868" i="2"/>
  <c r="AU868" i="2"/>
  <c r="AV868" i="2"/>
  <c r="AW868" i="2" s="1"/>
  <c r="AX868" i="2"/>
  <c r="AY868" i="2"/>
  <c r="AR869" i="2"/>
  <c r="AS869" i="2"/>
  <c r="AT869" i="2"/>
  <c r="AU869" i="2"/>
  <c r="AV869" i="2"/>
  <c r="AW869" i="2" s="1"/>
  <c r="AX869" i="2"/>
  <c r="AY869" i="2"/>
  <c r="AR870" i="2"/>
  <c r="AS870" i="2"/>
  <c r="AT870" i="2"/>
  <c r="AU870" i="2"/>
  <c r="AV870" i="2"/>
  <c r="AW870" i="2" s="1"/>
  <c r="AX870" i="2"/>
  <c r="AY870" i="2"/>
  <c r="AR871" i="2"/>
  <c r="AS871" i="2"/>
  <c r="AT871" i="2"/>
  <c r="AU871" i="2"/>
  <c r="AV871" i="2"/>
  <c r="AW871" i="2" s="1"/>
  <c r="AX871" i="2"/>
  <c r="AY871" i="2"/>
  <c r="AR872" i="2"/>
  <c r="AS872" i="2"/>
  <c r="AT872" i="2"/>
  <c r="AU872" i="2"/>
  <c r="AV872" i="2"/>
  <c r="AW872" i="2" s="1"/>
  <c r="AX872" i="2"/>
  <c r="AY872" i="2"/>
  <c r="AR873" i="2"/>
  <c r="AS873" i="2"/>
  <c r="AT873" i="2"/>
  <c r="AU873" i="2"/>
  <c r="AV873" i="2"/>
  <c r="AW873" i="2" s="1"/>
  <c r="AX873" i="2"/>
  <c r="AY873" i="2"/>
  <c r="AR874" i="2"/>
  <c r="AS874" i="2"/>
  <c r="AT874" i="2"/>
  <c r="AU874" i="2"/>
  <c r="AV874" i="2"/>
  <c r="AW874" i="2" s="1"/>
  <c r="AX874" i="2"/>
  <c r="AY874" i="2"/>
  <c r="AR875" i="2"/>
  <c r="AS875" i="2"/>
  <c r="AT875" i="2"/>
  <c r="AU875" i="2"/>
  <c r="AV875" i="2"/>
  <c r="AW875" i="2" s="1"/>
  <c r="AX875" i="2"/>
  <c r="AY875" i="2"/>
  <c r="AR876" i="2"/>
  <c r="AS876" i="2"/>
  <c r="AT876" i="2"/>
  <c r="AU876" i="2"/>
  <c r="AV876" i="2"/>
  <c r="AW876" i="2" s="1"/>
  <c r="AX876" i="2"/>
  <c r="AY876" i="2"/>
  <c r="AR877" i="2"/>
  <c r="AS877" i="2"/>
  <c r="AT877" i="2"/>
  <c r="AU877" i="2"/>
  <c r="AV877" i="2"/>
  <c r="AW877" i="2" s="1"/>
  <c r="AX877" i="2"/>
  <c r="AY877" i="2"/>
  <c r="AR878" i="2"/>
  <c r="AS878" i="2"/>
  <c r="AT878" i="2"/>
  <c r="AU878" i="2"/>
  <c r="AV878" i="2"/>
  <c r="AW878" i="2" s="1"/>
  <c r="AX878" i="2"/>
  <c r="AY878" i="2"/>
  <c r="AR879" i="2"/>
  <c r="AS879" i="2"/>
  <c r="AT879" i="2"/>
  <c r="AU879" i="2"/>
  <c r="AV879" i="2"/>
  <c r="AW879" i="2" s="1"/>
  <c r="AX879" i="2"/>
  <c r="AY879" i="2"/>
  <c r="AR880" i="2"/>
  <c r="AS880" i="2"/>
  <c r="AT880" i="2"/>
  <c r="AU880" i="2"/>
  <c r="AV880" i="2"/>
  <c r="AW880" i="2" s="1"/>
  <c r="AX880" i="2"/>
  <c r="AY880" i="2"/>
  <c r="AR881" i="2"/>
  <c r="AS881" i="2"/>
  <c r="AT881" i="2"/>
  <c r="AU881" i="2"/>
  <c r="AV881" i="2"/>
  <c r="AW881" i="2" s="1"/>
  <c r="AX881" i="2"/>
  <c r="AY881" i="2"/>
  <c r="AR882" i="2"/>
  <c r="AS882" i="2"/>
  <c r="AT882" i="2"/>
  <c r="AU882" i="2"/>
  <c r="AV882" i="2"/>
  <c r="AW882" i="2" s="1"/>
  <c r="AX882" i="2"/>
  <c r="AY882" i="2"/>
  <c r="AR883" i="2"/>
  <c r="AS883" i="2"/>
  <c r="AT883" i="2"/>
  <c r="AU883" i="2"/>
  <c r="AV883" i="2"/>
  <c r="AW883" i="2" s="1"/>
  <c r="AX883" i="2"/>
  <c r="AY883" i="2"/>
  <c r="AR884" i="2"/>
  <c r="AS884" i="2"/>
  <c r="AT884" i="2"/>
  <c r="AU884" i="2"/>
  <c r="AV884" i="2"/>
  <c r="AW884" i="2" s="1"/>
  <c r="AX884" i="2"/>
  <c r="AY884" i="2"/>
  <c r="AR885" i="2"/>
  <c r="AS885" i="2"/>
  <c r="AT885" i="2"/>
  <c r="AU885" i="2"/>
  <c r="AV885" i="2"/>
  <c r="AW885" i="2" s="1"/>
  <c r="AX885" i="2"/>
  <c r="AY885" i="2"/>
  <c r="AR886" i="2"/>
  <c r="AS886" i="2"/>
  <c r="AT886" i="2"/>
  <c r="AU886" i="2"/>
  <c r="AV886" i="2"/>
  <c r="AW886" i="2" s="1"/>
  <c r="AX886" i="2"/>
  <c r="AY886" i="2"/>
  <c r="AR887" i="2"/>
  <c r="AS887" i="2"/>
  <c r="AT887" i="2"/>
  <c r="AU887" i="2"/>
  <c r="AV887" i="2"/>
  <c r="AW887" i="2" s="1"/>
  <c r="AX887" i="2"/>
  <c r="AY887" i="2"/>
  <c r="AR888" i="2"/>
  <c r="AS888" i="2"/>
  <c r="AT888" i="2"/>
  <c r="AU888" i="2"/>
  <c r="AV888" i="2"/>
  <c r="AW888" i="2" s="1"/>
  <c r="AX888" i="2"/>
  <c r="AY888" i="2"/>
  <c r="AR889" i="2"/>
  <c r="AS889" i="2"/>
  <c r="AT889" i="2"/>
  <c r="AU889" i="2"/>
  <c r="AV889" i="2"/>
  <c r="AW889" i="2" s="1"/>
  <c r="AX889" i="2"/>
  <c r="AY889" i="2"/>
  <c r="AR890" i="2"/>
  <c r="AS890" i="2"/>
  <c r="AT890" i="2"/>
  <c r="AU890" i="2"/>
  <c r="AV890" i="2"/>
  <c r="AW890" i="2" s="1"/>
  <c r="AX890" i="2"/>
  <c r="AY890" i="2"/>
  <c r="AR891" i="2"/>
  <c r="AS891" i="2"/>
  <c r="AT891" i="2"/>
  <c r="AU891" i="2"/>
  <c r="AV891" i="2"/>
  <c r="AW891" i="2" s="1"/>
  <c r="AX891" i="2"/>
  <c r="AY891" i="2"/>
  <c r="AR892" i="2"/>
  <c r="AS892" i="2"/>
  <c r="AT892" i="2"/>
  <c r="AU892" i="2"/>
  <c r="AV892" i="2"/>
  <c r="AW892" i="2" s="1"/>
  <c r="AX892" i="2"/>
  <c r="AY892" i="2"/>
  <c r="AR893" i="2"/>
  <c r="AS893" i="2"/>
  <c r="AT893" i="2"/>
  <c r="AU893" i="2"/>
  <c r="AV893" i="2"/>
  <c r="AW893" i="2" s="1"/>
  <c r="AX893" i="2"/>
  <c r="AY893" i="2"/>
  <c r="AR894" i="2"/>
  <c r="AS894" i="2"/>
  <c r="AT894" i="2"/>
  <c r="AU894" i="2"/>
  <c r="AV894" i="2"/>
  <c r="AW894" i="2" s="1"/>
  <c r="AX894" i="2"/>
  <c r="AY894" i="2"/>
  <c r="AR895" i="2"/>
  <c r="AS895" i="2"/>
  <c r="AT895" i="2"/>
  <c r="AU895" i="2"/>
  <c r="AV895" i="2"/>
  <c r="AW895" i="2" s="1"/>
  <c r="AX895" i="2"/>
  <c r="AY895" i="2"/>
  <c r="AR896" i="2"/>
  <c r="AS896" i="2"/>
  <c r="AT896" i="2"/>
  <c r="AU896" i="2"/>
  <c r="AV896" i="2"/>
  <c r="AW896" i="2" s="1"/>
  <c r="AX896" i="2"/>
  <c r="AY896" i="2"/>
  <c r="AR897" i="2"/>
  <c r="AS897" i="2"/>
  <c r="AT897" i="2"/>
  <c r="AU897" i="2"/>
  <c r="AV897" i="2"/>
  <c r="AW897" i="2" s="1"/>
  <c r="AX897" i="2"/>
  <c r="AY897" i="2"/>
  <c r="AR898" i="2"/>
  <c r="AS898" i="2"/>
  <c r="AT898" i="2"/>
  <c r="AU898" i="2"/>
  <c r="AV898" i="2"/>
  <c r="AW898" i="2" s="1"/>
  <c r="AX898" i="2"/>
  <c r="AY898" i="2"/>
  <c r="AR899" i="2"/>
  <c r="AS899" i="2"/>
  <c r="AT899" i="2"/>
  <c r="AU899" i="2"/>
  <c r="AV899" i="2"/>
  <c r="AW899" i="2" s="1"/>
  <c r="AX899" i="2"/>
  <c r="AY899" i="2"/>
  <c r="AR900" i="2"/>
  <c r="AS900" i="2"/>
  <c r="AT900" i="2"/>
  <c r="AU900" i="2"/>
  <c r="AV900" i="2"/>
  <c r="AW900" i="2" s="1"/>
  <c r="AX900" i="2"/>
  <c r="AY900" i="2"/>
  <c r="AR901" i="2"/>
  <c r="AS901" i="2"/>
  <c r="AT901" i="2"/>
  <c r="AU901" i="2"/>
  <c r="AV901" i="2"/>
  <c r="AW901" i="2" s="1"/>
  <c r="AX901" i="2"/>
  <c r="AY901" i="2"/>
  <c r="AR902" i="2"/>
  <c r="AS902" i="2"/>
  <c r="AT902" i="2"/>
  <c r="AU902" i="2"/>
  <c r="AV902" i="2"/>
  <c r="AW902" i="2" s="1"/>
  <c r="AX902" i="2"/>
  <c r="AY902" i="2"/>
  <c r="AR903" i="2"/>
  <c r="AS903" i="2"/>
  <c r="AT903" i="2"/>
  <c r="AU903" i="2"/>
  <c r="AV903" i="2"/>
  <c r="AW903" i="2" s="1"/>
  <c r="AX903" i="2"/>
  <c r="AY903" i="2"/>
  <c r="AR904" i="2"/>
  <c r="AS904" i="2"/>
  <c r="AT904" i="2"/>
  <c r="AU904" i="2"/>
  <c r="AV904" i="2"/>
  <c r="AW904" i="2" s="1"/>
  <c r="AX904" i="2"/>
  <c r="AY904" i="2"/>
  <c r="AR905" i="2"/>
  <c r="AS905" i="2"/>
  <c r="AT905" i="2"/>
  <c r="AU905" i="2"/>
  <c r="AV905" i="2"/>
  <c r="AW905" i="2" s="1"/>
  <c r="AX905" i="2"/>
  <c r="AY905" i="2"/>
  <c r="AR906" i="2"/>
  <c r="AS906" i="2"/>
  <c r="AT906" i="2"/>
  <c r="AU906" i="2"/>
  <c r="AV906" i="2"/>
  <c r="AW906" i="2" s="1"/>
  <c r="AX906" i="2"/>
  <c r="AY906" i="2"/>
  <c r="AR907" i="2"/>
  <c r="AS907" i="2"/>
  <c r="AT907" i="2"/>
  <c r="AU907" i="2"/>
  <c r="AV907" i="2"/>
  <c r="AW907" i="2" s="1"/>
  <c r="AX907" i="2"/>
  <c r="AY907" i="2"/>
  <c r="AR908" i="2"/>
  <c r="AS908" i="2"/>
  <c r="AT908" i="2"/>
  <c r="AU908" i="2"/>
  <c r="AV908" i="2"/>
  <c r="AW908" i="2" s="1"/>
  <c r="AX908" i="2"/>
  <c r="AY908" i="2"/>
  <c r="AR909" i="2"/>
  <c r="AS909" i="2"/>
  <c r="AT909" i="2"/>
  <c r="AU909" i="2"/>
  <c r="AV909" i="2"/>
  <c r="AW909" i="2" s="1"/>
  <c r="AX909" i="2"/>
  <c r="AY909" i="2"/>
  <c r="AR910" i="2"/>
  <c r="AS910" i="2"/>
  <c r="AT910" i="2"/>
  <c r="AU910" i="2"/>
  <c r="AV910" i="2"/>
  <c r="AW910" i="2" s="1"/>
  <c r="AX910" i="2"/>
  <c r="AY910" i="2"/>
  <c r="AR911" i="2"/>
  <c r="AS911" i="2"/>
  <c r="AT911" i="2"/>
  <c r="AU911" i="2"/>
  <c r="AV911" i="2"/>
  <c r="AW911" i="2" s="1"/>
  <c r="AX911" i="2"/>
  <c r="AY911" i="2"/>
  <c r="AR912" i="2"/>
  <c r="AS912" i="2"/>
  <c r="AT912" i="2"/>
  <c r="AU912" i="2"/>
  <c r="AV912" i="2"/>
  <c r="AW912" i="2" s="1"/>
  <c r="AX912" i="2"/>
  <c r="AY912" i="2"/>
  <c r="AR913" i="2"/>
  <c r="AS913" i="2"/>
  <c r="AT913" i="2"/>
  <c r="AU913" i="2"/>
  <c r="AV913" i="2"/>
  <c r="AW913" i="2" s="1"/>
  <c r="AX913" i="2"/>
  <c r="AY913" i="2"/>
  <c r="AR914" i="2"/>
  <c r="AS914" i="2"/>
  <c r="AT914" i="2"/>
  <c r="AU914" i="2"/>
  <c r="AV914" i="2"/>
  <c r="AW914" i="2" s="1"/>
  <c r="AX914" i="2"/>
  <c r="AY914" i="2"/>
  <c r="AR915" i="2"/>
  <c r="AS915" i="2"/>
  <c r="AT915" i="2"/>
  <c r="AU915" i="2"/>
  <c r="AV915" i="2"/>
  <c r="AW915" i="2" s="1"/>
  <c r="AX915" i="2"/>
  <c r="AY915" i="2"/>
  <c r="AR916" i="2"/>
  <c r="AS916" i="2"/>
  <c r="AT916" i="2"/>
  <c r="AU916" i="2"/>
  <c r="AV916" i="2"/>
  <c r="AW916" i="2" s="1"/>
  <c r="AX916" i="2"/>
  <c r="AY916" i="2"/>
  <c r="AR917" i="2"/>
  <c r="AS917" i="2"/>
  <c r="AT917" i="2"/>
  <c r="AU917" i="2"/>
  <c r="AV917" i="2"/>
  <c r="AW917" i="2" s="1"/>
  <c r="AX917" i="2"/>
  <c r="AY917" i="2"/>
  <c r="AR918" i="2"/>
  <c r="AS918" i="2"/>
  <c r="AT918" i="2"/>
  <c r="AU918" i="2"/>
  <c r="AV918" i="2"/>
  <c r="AW918" i="2" s="1"/>
  <c r="AX918" i="2"/>
  <c r="AY918" i="2"/>
  <c r="AR919" i="2"/>
  <c r="AS919" i="2"/>
  <c r="AT919" i="2"/>
  <c r="AU919" i="2"/>
  <c r="AV919" i="2"/>
  <c r="AW919" i="2" s="1"/>
  <c r="AX919" i="2"/>
  <c r="AY919" i="2"/>
  <c r="AR920" i="2"/>
  <c r="AS920" i="2"/>
  <c r="AT920" i="2"/>
  <c r="AU920" i="2"/>
  <c r="AV920" i="2"/>
  <c r="AW920" i="2" s="1"/>
  <c r="AX920" i="2"/>
  <c r="AY920" i="2"/>
  <c r="AR921" i="2"/>
  <c r="AS921" i="2"/>
  <c r="AT921" i="2"/>
  <c r="AU921" i="2"/>
  <c r="AV921" i="2"/>
  <c r="AW921" i="2" s="1"/>
  <c r="AX921" i="2"/>
  <c r="AY921" i="2"/>
  <c r="AR922" i="2"/>
  <c r="AS922" i="2"/>
  <c r="AT922" i="2"/>
  <c r="AU922" i="2"/>
  <c r="AV922" i="2"/>
  <c r="AW922" i="2" s="1"/>
  <c r="AX922" i="2"/>
  <c r="AY922" i="2"/>
  <c r="AR923" i="2"/>
  <c r="AS923" i="2"/>
  <c r="AT923" i="2"/>
  <c r="AU923" i="2"/>
  <c r="AV923" i="2"/>
  <c r="AW923" i="2" s="1"/>
  <c r="AX923" i="2"/>
  <c r="AY923" i="2"/>
  <c r="AR924" i="2"/>
  <c r="AS924" i="2"/>
  <c r="AT924" i="2"/>
  <c r="AU924" i="2"/>
  <c r="AV924" i="2"/>
  <c r="AW924" i="2" s="1"/>
  <c r="AX924" i="2"/>
  <c r="AY924" i="2"/>
  <c r="AR925" i="2"/>
  <c r="AS925" i="2"/>
  <c r="AT925" i="2"/>
  <c r="AU925" i="2"/>
  <c r="AV925" i="2"/>
  <c r="AW925" i="2" s="1"/>
  <c r="AX925" i="2"/>
  <c r="AY925" i="2"/>
  <c r="AR926" i="2"/>
  <c r="AS926" i="2"/>
  <c r="AT926" i="2"/>
  <c r="AU926" i="2"/>
  <c r="AV926" i="2"/>
  <c r="AW926" i="2" s="1"/>
  <c r="AX926" i="2"/>
  <c r="AY926" i="2"/>
  <c r="AR927" i="2"/>
  <c r="AS927" i="2"/>
  <c r="AT927" i="2"/>
  <c r="AU927" i="2"/>
  <c r="AV927" i="2"/>
  <c r="AW927" i="2" s="1"/>
  <c r="AX927" i="2"/>
  <c r="AY927" i="2"/>
  <c r="AR928" i="2"/>
  <c r="AS928" i="2"/>
  <c r="AT928" i="2"/>
  <c r="AU928" i="2"/>
  <c r="AV928" i="2"/>
  <c r="AW928" i="2" s="1"/>
  <c r="AX928" i="2"/>
  <c r="AY928" i="2"/>
  <c r="AR929" i="2"/>
  <c r="AS929" i="2"/>
  <c r="AT929" i="2"/>
  <c r="AU929" i="2"/>
  <c r="AV929" i="2"/>
  <c r="AW929" i="2" s="1"/>
  <c r="AX929" i="2"/>
  <c r="AY929" i="2"/>
  <c r="AR930" i="2"/>
  <c r="AS930" i="2"/>
  <c r="AT930" i="2"/>
  <c r="AU930" i="2"/>
  <c r="AV930" i="2"/>
  <c r="AW930" i="2" s="1"/>
  <c r="AX930" i="2"/>
  <c r="AY930" i="2"/>
  <c r="AR931" i="2"/>
  <c r="AS931" i="2"/>
  <c r="AT931" i="2"/>
  <c r="AU931" i="2"/>
  <c r="AV931" i="2"/>
  <c r="AW931" i="2" s="1"/>
  <c r="AX931" i="2"/>
  <c r="AY931" i="2"/>
  <c r="AR932" i="2"/>
  <c r="AS932" i="2"/>
  <c r="AT932" i="2"/>
  <c r="AU932" i="2"/>
  <c r="AV932" i="2"/>
  <c r="AW932" i="2" s="1"/>
  <c r="AX932" i="2"/>
  <c r="AY932" i="2"/>
  <c r="AR933" i="2"/>
  <c r="AS933" i="2"/>
  <c r="AT933" i="2"/>
  <c r="AU933" i="2"/>
  <c r="AV933" i="2"/>
  <c r="AW933" i="2" s="1"/>
  <c r="AX933" i="2"/>
  <c r="AY933" i="2"/>
  <c r="AR934" i="2"/>
  <c r="AS934" i="2"/>
  <c r="AT934" i="2"/>
  <c r="AU934" i="2"/>
  <c r="AV934" i="2"/>
  <c r="AW934" i="2" s="1"/>
  <c r="AX934" i="2"/>
  <c r="AY934" i="2"/>
  <c r="AR935" i="2"/>
  <c r="AS935" i="2"/>
  <c r="AT935" i="2"/>
  <c r="AU935" i="2"/>
  <c r="AV935" i="2"/>
  <c r="AW935" i="2" s="1"/>
  <c r="AX935" i="2"/>
  <c r="AY935" i="2"/>
  <c r="AR936" i="2"/>
  <c r="AS936" i="2"/>
  <c r="AT936" i="2"/>
  <c r="AU936" i="2"/>
  <c r="AV936" i="2"/>
  <c r="AW936" i="2" s="1"/>
  <c r="AX936" i="2"/>
  <c r="AY936" i="2"/>
  <c r="AR937" i="2"/>
  <c r="AS937" i="2"/>
  <c r="AT937" i="2"/>
  <c r="AU937" i="2"/>
  <c r="AV937" i="2"/>
  <c r="AW937" i="2" s="1"/>
  <c r="AX937" i="2"/>
  <c r="AY937" i="2"/>
  <c r="AR938" i="2"/>
  <c r="AS938" i="2"/>
  <c r="AT938" i="2"/>
  <c r="AU938" i="2"/>
  <c r="AV938" i="2"/>
  <c r="AW938" i="2" s="1"/>
  <c r="AX938" i="2"/>
  <c r="AY938" i="2"/>
  <c r="AR939" i="2"/>
  <c r="AS939" i="2"/>
  <c r="AT939" i="2"/>
  <c r="AU939" i="2"/>
  <c r="AV939" i="2"/>
  <c r="AW939" i="2" s="1"/>
  <c r="AX939" i="2"/>
  <c r="AY939" i="2"/>
  <c r="AR940" i="2"/>
  <c r="AS940" i="2"/>
  <c r="AT940" i="2"/>
  <c r="AU940" i="2"/>
  <c r="AV940" i="2"/>
  <c r="AW940" i="2" s="1"/>
  <c r="AX940" i="2"/>
  <c r="AY940" i="2"/>
  <c r="AR941" i="2"/>
  <c r="AS941" i="2"/>
  <c r="AT941" i="2"/>
  <c r="AU941" i="2"/>
  <c r="AV941" i="2"/>
  <c r="AW941" i="2" s="1"/>
  <c r="AX941" i="2"/>
  <c r="AY941" i="2"/>
  <c r="AR942" i="2"/>
  <c r="AS942" i="2"/>
  <c r="AT942" i="2"/>
  <c r="AU942" i="2"/>
  <c r="AV942" i="2"/>
  <c r="AW942" i="2" s="1"/>
  <c r="AX942" i="2"/>
  <c r="AY942" i="2"/>
  <c r="AR943" i="2"/>
  <c r="AS943" i="2"/>
  <c r="AT943" i="2"/>
  <c r="AU943" i="2"/>
  <c r="AV943" i="2"/>
  <c r="AW943" i="2" s="1"/>
  <c r="AX943" i="2"/>
  <c r="AY943" i="2"/>
  <c r="AR944" i="2"/>
  <c r="AS944" i="2"/>
  <c r="AT944" i="2"/>
  <c r="AU944" i="2"/>
  <c r="AV944" i="2"/>
  <c r="AW944" i="2" s="1"/>
  <c r="AX944" i="2"/>
  <c r="AY944" i="2"/>
  <c r="AR945" i="2"/>
  <c r="AS945" i="2"/>
  <c r="AT945" i="2"/>
  <c r="AU945" i="2"/>
  <c r="AV945" i="2"/>
  <c r="AW945" i="2" s="1"/>
  <c r="AX945" i="2"/>
  <c r="AY945" i="2"/>
  <c r="AR946" i="2"/>
  <c r="AS946" i="2"/>
  <c r="AT946" i="2"/>
  <c r="AU946" i="2"/>
  <c r="AV946" i="2"/>
  <c r="AW946" i="2" s="1"/>
  <c r="AX946" i="2"/>
  <c r="AY946" i="2"/>
  <c r="AR947" i="2"/>
  <c r="AS947" i="2"/>
  <c r="AT947" i="2"/>
  <c r="AU947" i="2"/>
  <c r="AV947" i="2"/>
  <c r="AW947" i="2" s="1"/>
  <c r="AX947" i="2"/>
  <c r="AY947" i="2"/>
  <c r="AR948" i="2"/>
  <c r="AS948" i="2"/>
  <c r="AT948" i="2"/>
  <c r="AU948" i="2"/>
  <c r="AV948" i="2"/>
  <c r="AW948" i="2" s="1"/>
  <c r="AX948" i="2"/>
  <c r="AY948" i="2"/>
  <c r="AR949" i="2"/>
  <c r="AS949" i="2"/>
  <c r="AT949" i="2"/>
  <c r="AU949" i="2"/>
  <c r="AV949" i="2"/>
  <c r="AW949" i="2" s="1"/>
  <c r="AX949" i="2"/>
  <c r="AY949" i="2"/>
  <c r="AR950" i="2"/>
  <c r="AS950" i="2"/>
  <c r="AT950" i="2"/>
  <c r="AU950" i="2"/>
  <c r="AV950" i="2"/>
  <c r="AW950" i="2" s="1"/>
  <c r="AX950" i="2"/>
  <c r="AY950" i="2"/>
  <c r="AR951" i="2"/>
  <c r="AS951" i="2"/>
  <c r="AT951" i="2"/>
  <c r="AU951" i="2"/>
  <c r="AV951" i="2"/>
  <c r="AW951" i="2" s="1"/>
  <c r="AX951" i="2"/>
  <c r="AY951" i="2"/>
  <c r="AR952" i="2"/>
  <c r="AS952" i="2"/>
  <c r="AT952" i="2"/>
  <c r="AU952" i="2"/>
  <c r="AV952" i="2"/>
  <c r="AW952" i="2" s="1"/>
  <c r="AX952" i="2"/>
  <c r="AY952" i="2"/>
  <c r="AR953" i="2"/>
  <c r="AS953" i="2"/>
  <c r="AT953" i="2"/>
  <c r="AU953" i="2"/>
  <c r="AV953" i="2"/>
  <c r="AW953" i="2" s="1"/>
  <c r="AX953" i="2"/>
  <c r="AY953" i="2"/>
  <c r="AR954" i="2"/>
  <c r="AS954" i="2"/>
  <c r="AT954" i="2"/>
  <c r="AU954" i="2"/>
  <c r="AV954" i="2"/>
  <c r="AW954" i="2" s="1"/>
  <c r="AX954" i="2"/>
  <c r="AY954" i="2"/>
  <c r="AR955" i="2"/>
  <c r="AS955" i="2"/>
  <c r="AT955" i="2"/>
  <c r="AU955" i="2"/>
  <c r="AV955" i="2"/>
  <c r="AW955" i="2" s="1"/>
  <c r="AX955" i="2"/>
  <c r="AY955" i="2"/>
  <c r="AR956" i="2"/>
  <c r="AS956" i="2"/>
  <c r="AT956" i="2"/>
  <c r="AU956" i="2"/>
  <c r="AV956" i="2"/>
  <c r="AW956" i="2" s="1"/>
  <c r="AX956" i="2"/>
  <c r="AY956" i="2"/>
  <c r="AR957" i="2"/>
  <c r="AS957" i="2"/>
  <c r="AT957" i="2"/>
  <c r="AU957" i="2"/>
  <c r="AV957" i="2"/>
  <c r="AW957" i="2" s="1"/>
  <c r="AX957" i="2"/>
  <c r="AY957" i="2"/>
  <c r="AR958" i="2"/>
  <c r="AS958" i="2"/>
  <c r="AT958" i="2"/>
  <c r="AU958" i="2"/>
  <c r="AV958" i="2"/>
  <c r="AW958" i="2" s="1"/>
  <c r="AX958" i="2"/>
  <c r="AY958" i="2"/>
  <c r="AR959" i="2"/>
  <c r="AS959" i="2"/>
  <c r="AT959" i="2"/>
  <c r="AU959" i="2"/>
  <c r="AV959" i="2"/>
  <c r="AW959" i="2" s="1"/>
  <c r="AX959" i="2"/>
  <c r="AY959" i="2"/>
  <c r="AR960" i="2"/>
  <c r="AS960" i="2"/>
  <c r="AT960" i="2"/>
  <c r="AU960" i="2"/>
  <c r="AV960" i="2"/>
  <c r="AW960" i="2" s="1"/>
  <c r="AX960" i="2"/>
  <c r="AY960" i="2"/>
  <c r="AR961" i="2"/>
  <c r="AS961" i="2"/>
  <c r="AT961" i="2"/>
  <c r="AU961" i="2"/>
  <c r="AV961" i="2"/>
  <c r="AW961" i="2" s="1"/>
  <c r="AX961" i="2"/>
  <c r="AY961" i="2"/>
  <c r="AR962" i="2"/>
  <c r="AS962" i="2"/>
  <c r="AT962" i="2"/>
  <c r="AU962" i="2"/>
  <c r="AV962" i="2"/>
  <c r="AW962" i="2" s="1"/>
  <c r="AX962" i="2"/>
  <c r="AY962" i="2"/>
  <c r="AR963" i="2"/>
  <c r="AS963" i="2"/>
  <c r="AT963" i="2"/>
  <c r="AU963" i="2"/>
  <c r="AV963" i="2"/>
  <c r="AW963" i="2" s="1"/>
  <c r="AX963" i="2"/>
  <c r="AY963" i="2"/>
  <c r="AR964" i="2"/>
  <c r="AS964" i="2"/>
  <c r="AT964" i="2"/>
  <c r="AU964" i="2"/>
  <c r="AV964" i="2"/>
  <c r="AW964" i="2" s="1"/>
  <c r="AX964" i="2"/>
  <c r="AY964" i="2"/>
  <c r="AR965" i="2"/>
  <c r="AS965" i="2"/>
  <c r="AT965" i="2"/>
  <c r="AU965" i="2"/>
  <c r="AV965" i="2"/>
  <c r="AW965" i="2" s="1"/>
  <c r="AX965" i="2"/>
  <c r="AY965" i="2"/>
  <c r="AR966" i="2"/>
  <c r="AS966" i="2"/>
  <c r="AT966" i="2"/>
  <c r="AU966" i="2"/>
  <c r="AV966" i="2"/>
  <c r="AW966" i="2" s="1"/>
  <c r="AX966" i="2"/>
  <c r="AY966" i="2"/>
  <c r="AR967" i="2"/>
  <c r="AS967" i="2"/>
  <c r="AT967" i="2"/>
  <c r="AU967" i="2"/>
  <c r="AV967" i="2"/>
  <c r="AW967" i="2" s="1"/>
  <c r="AX967" i="2"/>
  <c r="AY967" i="2"/>
  <c r="AR968" i="2"/>
  <c r="AS968" i="2"/>
  <c r="AT968" i="2"/>
  <c r="AU968" i="2"/>
  <c r="AV968" i="2"/>
  <c r="AW968" i="2" s="1"/>
  <c r="AX968" i="2"/>
  <c r="AY968" i="2"/>
  <c r="AR969" i="2"/>
  <c r="AS969" i="2"/>
  <c r="AT969" i="2"/>
  <c r="AU969" i="2"/>
  <c r="AV969" i="2"/>
  <c r="AW969" i="2" s="1"/>
  <c r="AX969" i="2"/>
  <c r="AY969" i="2"/>
  <c r="AR970" i="2"/>
  <c r="AS970" i="2"/>
  <c r="AT970" i="2"/>
  <c r="AU970" i="2"/>
  <c r="AV970" i="2"/>
  <c r="AW970" i="2" s="1"/>
  <c r="AX970" i="2"/>
  <c r="AY970" i="2"/>
  <c r="AR971" i="2"/>
  <c r="AS971" i="2"/>
  <c r="AT971" i="2"/>
  <c r="AU971" i="2"/>
  <c r="AV971" i="2"/>
  <c r="AW971" i="2" s="1"/>
  <c r="AX971" i="2"/>
  <c r="AY971" i="2"/>
  <c r="AR972" i="2"/>
  <c r="AS972" i="2"/>
  <c r="AT972" i="2"/>
  <c r="AU972" i="2"/>
  <c r="AV972" i="2"/>
  <c r="AW972" i="2" s="1"/>
  <c r="AX972" i="2"/>
  <c r="AY972" i="2"/>
  <c r="AR973" i="2"/>
  <c r="AS973" i="2"/>
  <c r="AT973" i="2"/>
  <c r="AU973" i="2"/>
  <c r="AV973" i="2"/>
  <c r="AW973" i="2" s="1"/>
  <c r="AX973" i="2"/>
  <c r="AY973" i="2"/>
  <c r="AR974" i="2"/>
  <c r="AS974" i="2"/>
  <c r="AT974" i="2"/>
  <c r="AU974" i="2"/>
  <c r="AV974" i="2"/>
  <c r="AW974" i="2" s="1"/>
  <c r="AX974" i="2"/>
  <c r="AY974" i="2"/>
  <c r="AR975" i="2"/>
  <c r="AS975" i="2"/>
  <c r="AT975" i="2"/>
  <c r="AU975" i="2"/>
  <c r="AV975" i="2"/>
  <c r="AW975" i="2" s="1"/>
  <c r="AX975" i="2"/>
  <c r="AY975" i="2"/>
  <c r="AR976" i="2"/>
  <c r="AS976" i="2"/>
  <c r="AT976" i="2"/>
  <c r="AU976" i="2"/>
  <c r="AV976" i="2"/>
  <c r="AW976" i="2" s="1"/>
  <c r="AX976" i="2"/>
  <c r="AY976" i="2"/>
  <c r="AR977" i="2"/>
  <c r="AS977" i="2"/>
  <c r="AT977" i="2"/>
  <c r="AU977" i="2"/>
  <c r="AV977" i="2"/>
  <c r="AW977" i="2" s="1"/>
  <c r="AX977" i="2"/>
  <c r="AY977" i="2"/>
  <c r="AR978" i="2"/>
  <c r="AS978" i="2"/>
  <c r="AT978" i="2"/>
  <c r="AU978" i="2"/>
  <c r="AV978" i="2"/>
  <c r="AW978" i="2" s="1"/>
  <c r="AX978" i="2"/>
  <c r="AY978" i="2"/>
  <c r="AR979" i="2"/>
  <c r="AS979" i="2"/>
  <c r="AT979" i="2"/>
  <c r="AU979" i="2"/>
  <c r="AV979" i="2"/>
  <c r="AW979" i="2" s="1"/>
  <c r="AX979" i="2"/>
  <c r="AY979" i="2"/>
  <c r="AR980" i="2"/>
  <c r="AS980" i="2"/>
  <c r="AT980" i="2"/>
  <c r="AU980" i="2"/>
  <c r="AV980" i="2"/>
  <c r="AW980" i="2" s="1"/>
  <c r="AX980" i="2"/>
  <c r="AY980" i="2"/>
  <c r="AR981" i="2"/>
  <c r="AS981" i="2"/>
  <c r="AT981" i="2"/>
  <c r="AU981" i="2"/>
  <c r="AV981" i="2"/>
  <c r="AW981" i="2" s="1"/>
  <c r="AX981" i="2"/>
  <c r="AY981" i="2"/>
  <c r="AR982" i="2"/>
  <c r="AS982" i="2"/>
  <c r="AT982" i="2"/>
  <c r="AU982" i="2"/>
  <c r="AV982" i="2"/>
  <c r="AW982" i="2" s="1"/>
  <c r="AX982" i="2"/>
  <c r="AY982" i="2"/>
  <c r="AR983" i="2"/>
  <c r="AS983" i="2"/>
  <c r="AT983" i="2"/>
  <c r="AU983" i="2"/>
  <c r="AV983" i="2"/>
  <c r="AW983" i="2" s="1"/>
  <c r="AX983" i="2"/>
  <c r="AY983" i="2"/>
  <c r="AR984" i="2"/>
  <c r="AS984" i="2"/>
  <c r="AT984" i="2"/>
  <c r="AU984" i="2"/>
  <c r="AV984" i="2"/>
  <c r="AW984" i="2" s="1"/>
  <c r="AX984" i="2"/>
  <c r="AY984" i="2"/>
  <c r="AR985" i="2"/>
  <c r="AS985" i="2"/>
  <c r="AT985" i="2"/>
  <c r="AU985" i="2"/>
  <c r="AV985" i="2"/>
  <c r="AW985" i="2" s="1"/>
  <c r="AX985" i="2"/>
  <c r="AY985" i="2"/>
  <c r="AR986" i="2"/>
  <c r="AS986" i="2"/>
  <c r="AT986" i="2"/>
  <c r="AU986" i="2"/>
  <c r="AV986" i="2"/>
  <c r="AW986" i="2" s="1"/>
  <c r="AX986" i="2"/>
  <c r="AY986" i="2"/>
  <c r="AR987" i="2"/>
  <c r="AS987" i="2"/>
  <c r="AT987" i="2"/>
  <c r="AU987" i="2"/>
  <c r="AV987" i="2"/>
  <c r="AW987" i="2" s="1"/>
  <c r="AX987" i="2"/>
  <c r="AY987" i="2"/>
  <c r="AR988" i="2"/>
  <c r="AS988" i="2"/>
  <c r="AT988" i="2"/>
  <c r="AU988" i="2"/>
  <c r="AV988" i="2"/>
  <c r="AW988" i="2" s="1"/>
  <c r="AX988" i="2"/>
  <c r="AY988" i="2"/>
  <c r="AR989" i="2"/>
  <c r="AS989" i="2"/>
  <c r="AT989" i="2"/>
  <c r="AU989" i="2"/>
  <c r="AV989" i="2"/>
  <c r="AW989" i="2" s="1"/>
  <c r="AX989" i="2"/>
  <c r="AY989" i="2"/>
  <c r="AR990" i="2"/>
  <c r="AS990" i="2"/>
  <c r="AT990" i="2"/>
  <c r="AU990" i="2"/>
  <c r="AV990" i="2"/>
  <c r="AW990" i="2" s="1"/>
  <c r="AX990" i="2"/>
  <c r="AY990" i="2"/>
  <c r="AR991" i="2"/>
  <c r="AS991" i="2"/>
  <c r="AT991" i="2"/>
  <c r="AU991" i="2"/>
  <c r="AV991" i="2"/>
  <c r="AW991" i="2" s="1"/>
  <c r="AX991" i="2"/>
  <c r="AY991" i="2"/>
  <c r="AR992" i="2"/>
  <c r="AS992" i="2"/>
  <c r="AT992" i="2"/>
  <c r="AU992" i="2"/>
  <c r="AV992" i="2"/>
  <c r="AW992" i="2" s="1"/>
  <c r="AX992" i="2"/>
  <c r="AY992" i="2"/>
  <c r="AR993" i="2"/>
  <c r="AS993" i="2"/>
  <c r="AT993" i="2"/>
  <c r="AU993" i="2"/>
  <c r="AV993" i="2"/>
  <c r="AW993" i="2" s="1"/>
  <c r="AX993" i="2"/>
  <c r="AY993" i="2"/>
  <c r="AR994" i="2"/>
  <c r="AS994" i="2"/>
  <c r="AT994" i="2"/>
  <c r="AU994" i="2"/>
  <c r="AV994" i="2"/>
  <c r="AW994" i="2" s="1"/>
  <c r="AX994" i="2"/>
  <c r="AY994" i="2"/>
  <c r="AR995" i="2"/>
  <c r="AS995" i="2"/>
  <c r="AT995" i="2"/>
  <c r="AU995" i="2"/>
  <c r="AV995" i="2"/>
  <c r="AW995" i="2" s="1"/>
  <c r="AX995" i="2"/>
  <c r="AY995" i="2"/>
  <c r="AR996" i="2"/>
  <c r="AS996" i="2"/>
  <c r="AT996" i="2"/>
  <c r="AU996" i="2"/>
  <c r="AV996" i="2"/>
  <c r="AW996" i="2" s="1"/>
  <c r="AX996" i="2"/>
  <c r="AY996" i="2"/>
  <c r="AR997" i="2"/>
  <c r="AS997" i="2"/>
  <c r="AT997" i="2"/>
  <c r="AU997" i="2"/>
  <c r="AV997" i="2"/>
  <c r="AW997" i="2" s="1"/>
  <c r="AX997" i="2"/>
  <c r="AY997" i="2"/>
  <c r="AR998" i="2"/>
  <c r="AS998" i="2"/>
  <c r="AT998" i="2"/>
  <c r="AU998" i="2"/>
  <c r="AV998" i="2"/>
  <c r="AW998" i="2" s="1"/>
  <c r="AX998" i="2"/>
  <c r="AY998" i="2"/>
  <c r="AR999" i="2"/>
  <c r="AS999" i="2"/>
  <c r="AT999" i="2"/>
  <c r="AU999" i="2"/>
  <c r="AV999" i="2"/>
  <c r="AW999" i="2" s="1"/>
  <c r="AX999" i="2"/>
  <c r="AY999" i="2"/>
  <c r="AR1000" i="2"/>
  <c r="AS1000" i="2"/>
  <c r="AT1000" i="2"/>
  <c r="AU1000" i="2"/>
  <c r="AV1000" i="2"/>
  <c r="AW1000" i="2" s="1"/>
  <c r="AX1000" i="2"/>
  <c r="AY1000" i="2"/>
  <c r="AR1001" i="2"/>
  <c r="AS1001" i="2"/>
  <c r="AT1001" i="2"/>
  <c r="AU1001" i="2"/>
  <c r="AV1001" i="2"/>
  <c r="AW1001" i="2" s="1"/>
  <c r="AX1001" i="2"/>
  <c r="AY1001" i="2"/>
  <c r="AR1002" i="2"/>
  <c r="AS1002" i="2"/>
  <c r="AT1002" i="2"/>
  <c r="AU1002" i="2"/>
  <c r="AV1002" i="2"/>
  <c r="AW1002" i="2" s="1"/>
  <c r="AX1002" i="2"/>
  <c r="AY1002" i="2"/>
  <c r="AR1003" i="2"/>
  <c r="AS1003" i="2"/>
  <c r="AT1003" i="2"/>
  <c r="AU1003" i="2"/>
  <c r="AV1003" i="2"/>
  <c r="AW1003" i="2" s="1"/>
  <c r="AX1003" i="2"/>
  <c r="AY1003" i="2"/>
  <c r="AR1004" i="2"/>
  <c r="AS1004" i="2"/>
  <c r="AT1004" i="2"/>
  <c r="AU1004" i="2"/>
  <c r="AV1004" i="2"/>
  <c r="AW1004" i="2" s="1"/>
  <c r="AX1004" i="2"/>
  <c r="AY1004" i="2"/>
  <c r="AR1005" i="2"/>
  <c r="AS1005" i="2"/>
  <c r="AT1005" i="2"/>
  <c r="AU1005" i="2"/>
  <c r="AV1005" i="2"/>
  <c r="AW1005" i="2" s="1"/>
  <c r="AX1005" i="2"/>
  <c r="AY1005" i="2"/>
  <c r="AR1006" i="2"/>
  <c r="AS1006" i="2"/>
  <c r="AT1006" i="2"/>
  <c r="AU1006" i="2"/>
  <c r="AV1006" i="2"/>
  <c r="AW1006" i="2" s="1"/>
  <c r="AX1006" i="2"/>
  <c r="AY1006" i="2"/>
  <c r="AR1007" i="2"/>
  <c r="AS1007" i="2"/>
  <c r="AT1007" i="2"/>
  <c r="AU1007" i="2"/>
  <c r="AV1007" i="2"/>
  <c r="AW1007" i="2" s="1"/>
  <c r="AX1007" i="2"/>
  <c r="AY1007" i="2"/>
  <c r="AR1008" i="2"/>
  <c r="AS1008" i="2"/>
  <c r="AT1008" i="2"/>
  <c r="AU1008" i="2"/>
  <c r="AV1008" i="2"/>
  <c r="AW1008" i="2" s="1"/>
  <c r="AX1008" i="2"/>
  <c r="AY1008" i="2"/>
  <c r="AR1009" i="2"/>
  <c r="AS1009" i="2"/>
  <c r="AT1009" i="2"/>
  <c r="AU1009" i="2"/>
  <c r="AV1009" i="2"/>
  <c r="AW1009" i="2" s="1"/>
  <c r="AX1009" i="2"/>
  <c r="AY1009" i="2"/>
  <c r="AR1010" i="2"/>
  <c r="AS1010" i="2"/>
  <c r="AT1010" i="2"/>
  <c r="AU1010" i="2"/>
  <c r="AV1010" i="2"/>
  <c r="AW1010" i="2" s="1"/>
  <c r="AX1010" i="2"/>
  <c r="AY1010" i="2"/>
  <c r="AR1011" i="2"/>
  <c r="AS1011" i="2"/>
  <c r="AT1011" i="2"/>
  <c r="AU1011" i="2"/>
  <c r="AV1011" i="2"/>
  <c r="AW1011" i="2" s="1"/>
  <c r="AX1011" i="2"/>
  <c r="AY1011" i="2"/>
  <c r="AR1012" i="2"/>
  <c r="AS1012" i="2"/>
  <c r="AT1012" i="2"/>
  <c r="AU1012" i="2"/>
  <c r="AV1012" i="2"/>
  <c r="AW1012" i="2" s="1"/>
  <c r="AX1012" i="2"/>
  <c r="AY1012" i="2"/>
  <c r="AR1013" i="2"/>
  <c r="AS1013" i="2"/>
  <c r="AT1013" i="2"/>
  <c r="AU1013" i="2"/>
  <c r="AV1013" i="2"/>
  <c r="AW1013" i="2" s="1"/>
  <c r="AX1013" i="2"/>
  <c r="AY1013" i="2"/>
  <c r="AR1014" i="2"/>
  <c r="AS1014" i="2"/>
  <c r="AT1014" i="2"/>
  <c r="AU1014" i="2"/>
  <c r="AV1014" i="2"/>
  <c r="AW1014" i="2" s="1"/>
  <c r="AX1014" i="2"/>
  <c r="AY1014" i="2"/>
  <c r="AR1015" i="2"/>
  <c r="AS1015" i="2"/>
  <c r="AT1015" i="2"/>
  <c r="AU1015" i="2"/>
  <c r="AV1015" i="2"/>
  <c r="AW1015" i="2" s="1"/>
  <c r="AX1015" i="2"/>
  <c r="AY1015" i="2"/>
  <c r="AR1016" i="2"/>
  <c r="AS1016" i="2"/>
  <c r="AT1016" i="2"/>
  <c r="AU1016" i="2"/>
  <c r="AV1016" i="2"/>
  <c r="AW1016" i="2" s="1"/>
  <c r="AX1016" i="2"/>
  <c r="AY1016" i="2"/>
  <c r="AR1017" i="2"/>
  <c r="AS1017" i="2"/>
  <c r="AT1017" i="2"/>
  <c r="AU1017" i="2"/>
  <c r="AV1017" i="2"/>
  <c r="AW1017" i="2" s="1"/>
  <c r="AX1017" i="2"/>
  <c r="AY1017" i="2"/>
  <c r="AR1018" i="2"/>
  <c r="AS1018" i="2"/>
  <c r="AT1018" i="2"/>
  <c r="AU1018" i="2"/>
  <c r="AV1018" i="2"/>
  <c r="AW1018" i="2" s="1"/>
  <c r="AX1018" i="2"/>
  <c r="AY1018" i="2"/>
  <c r="AR1019" i="2"/>
  <c r="AS1019" i="2"/>
  <c r="AT1019" i="2"/>
  <c r="AU1019" i="2"/>
  <c r="AV1019" i="2"/>
  <c r="AW1019" i="2" s="1"/>
  <c r="AX1019" i="2"/>
  <c r="AY1019" i="2"/>
  <c r="AR1020" i="2"/>
  <c r="AS1020" i="2"/>
  <c r="AT1020" i="2"/>
  <c r="AU1020" i="2"/>
  <c r="AV1020" i="2"/>
  <c r="AW1020" i="2" s="1"/>
  <c r="AX1020" i="2"/>
  <c r="AY1020" i="2"/>
  <c r="AR1021" i="2"/>
  <c r="AS1021" i="2"/>
  <c r="AT1021" i="2"/>
  <c r="AU1021" i="2"/>
  <c r="AV1021" i="2"/>
  <c r="AW1021" i="2" s="1"/>
  <c r="AX1021" i="2"/>
  <c r="AY1021" i="2"/>
  <c r="AR1022" i="2"/>
  <c r="AS1022" i="2"/>
  <c r="AT1022" i="2"/>
  <c r="AU1022" i="2"/>
  <c r="AV1022" i="2"/>
  <c r="AW1022" i="2" s="1"/>
  <c r="AX1022" i="2"/>
  <c r="AY1022" i="2"/>
  <c r="AR1023" i="2"/>
  <c r="AS1023" i="2"/>
  <c r="AT1023" i="2"/>
  <c r="AU1023" i="2"/>
  <c r="AV1023" i="2"/>
  <c r="AW1023" i="2" s="1"/>
  <c r="AX1023" i="2"/>
  <c r="AY1023" i="2"/>
  <c r="AR1024" i="2"/>
  <c r="AS1024" i="2"/>
  <c r="AT1024" i="2"/>
  <c r="AU1024" i="2"/>
  <c r="AV1024" i="2"/>
  <c r="AW1024" i="2" s="1"/>
  <c r="AX1024" i="2"/>
  <c r="AY1024" i="2"/>
  <c r="AR1025" i="2"/>
  <c r="AS1025" i="2"/>
  <c r="AT1025" i="2"/>
  <c r="AU1025" i="2"/>
  <c r="AV1025" i="2"/>
  <c r="AW1025" i="2" s="1"/>
  <c r="AX1025" i="2"/>
  <c r="AY1025" i="2"/>
  <c r="AR1026" i="2"/>
  <c r="AS1026" i="2"/>
  <c r="AT1026" i="2"/>
  <c r="AU1026" i="2"/>
  <c r="AV1026" i="2"/>
  <c r="AW1026" i="2" s="1"/>
  <c r="AX1026" i="2"/>
  <c r="AY1026" i="2"/>
  <c r="AR1027" i="2"/>
  <c r="AS1027" i="2"/>
  <c r="AT1027" i="2"/>
  <c r="AU1027" i="2"/>
  <c r="AV1027" i="2"/>
  <c r="AW1027" i="2" s="1"/>
  <c r="AX1027" i="2"/>
  <c r="AY1027" i="2"/>
  <c r="AR1028" i="2"/>
  <c r="AS1028" i="2"/>
  <c r="AT1028" i="2"/>
  <c r="AU1028" i="2"/>
  <c r="AV1028" i="2"/>
  <c r="AW1028" i="2" s="1"/>
  <c r="AX1028" i="2"/>
  <c r="AY1028" i="2"/>
  <c r="AR1029" i="2"/>
  <c r="AS1029" i="2"/>
  <c r="AT1029" i="2"/>
  <c r="AU1029" i="2"/>
  <c r="AV1029" i="2"/>
  <c r="AW1029" i="2" s="1"/>
  <c r="AX1029" i="2"/>
  <c r="AY1029" i="2"/>
  <c r="AR1030" i="2"/>
  <c r="AS1030" i="2"/>
  <c r="AT1030" i="2"/>
  <c r="AU1030" i="2"/>
  <c r="AV1030" i="2"/>
  <c r="AW1030" i="2" s="1"/>
  <c r="AX1030" i="2"/>
  <c r="AY1030" i="2"/>
  <c r="AR1031" i="2"/>
  <c r="AS1031" i="2"/>
  <c r="AT1031" i="2"/>
  <c r="AU1031" i="2"/>
  <c r="AV1031" i="2"/>
  <c r="AW1031" i="2" s="1"/>
  <c r="AX1031" i="2"/>
  <c r="AY1031" i="2"/>
  <c r="AR1032" i="2"/>
  <c r="AS1032" i="2"/>
  <c r="AT1032" i="2"/>
  <c r="AU1032" i="2"/>
  <c r="AV1032" i="2"/>
  <c r="AW1032" i="2" s="1"/>
  <c r="AX1032" i="2"/>
  <c r="AY1032" i="2"/>
  <c r="AR1033" i="2"/>
  <c r="AS1033" i="2"/>
  <c r="AT1033" i="2"/>
  <c r="AU1033" i="2"/>
  <c r="AV1033" i="2"/>
  <c r="AW1033" i="2" s="1"/>
  <c r="AX1033" i="2"/>
  <c r="AY1033" i="2"/>
  <c r="AR1034" i="2"/>
  <c r="AS1034" i="2"/>
  <c r="AT1034" i="2"/>
  <c r="AU1034" i="2"/>
  <c r="AV1034" i="2"/>
  <c r="AW1034" i="2" s="1"/>
  <c r="AX1034" i="2"/>
  <c r="AY1034" i="2"/>
  <c r="AR1035" i="2"/>
  <c r="AS1035" i="2"/>
  <c r="AT1035" i="2"/>
  <c r="AU1035" i="2"/>
  <c r="AV1035" i="2"/>
  <c r="AW1035" i="2" s="1"/>
  <c r="AX1035" i="2"/>
  <c r="AY1035" i="2"/>
  <c r="AR1036" i="2"/>
  <c r="AS1036" i="2"/>
  <c r="AT1036" i="2"/>
  <c r="AU1036" i="2"/>
  <c r="AV1036" i="2"/>
  <c r="AW1036" i="2" s="1"/>
  <c r="AX1036" i="2"/>
  <c r="AY1036" i="2"/>
  <c r="AR1037" i="2"/>
  <c r="AS1037" i="2"/>
  <c r="AT1037" i="2"/>
  <c r="AU1037" i="2"/>
  <c r="AV1037" i="2"/>
  <c r="AW1037" i="2" s="1"/>
  <c r="AX1037" i="2"/>
  <c r="AY1037" i="2"/>
  <c r="AR1038" i="2"/>
  <c r="AS1038" i="2"/>
  <c r="AT1038" i="2"/>
  <c r="AU1038" i="2"/>
  <c r="AV1038" i="2"/>
  <c r="AW1038" i="2" s="1"/>
  <c r="AX1038" i="2"/>
  <c r="AY1038" i="2"/>
  <c r="AR1039" i="2"/>
  <c r="AS1039" i="2"/>
  <c r="AT1039" i="2"/>
  <c r="AU1039" i="2"/>
  <c r="AV1039" i="2"/>
  <c r="AW1039" i="2" s="1"/>
  <c r="AX1039" i="2"/>
  <c r="AY1039" i="2"/>
  <c r="AR1040" i="2"/>
  <c r="AS1040" i="2"/>
  <c r="AT1040" i="2"/>
  <c r="AU1040" i="2"/>
  <c r="AV1040" i="2"/>
  <c r="AW1040" i="2" s="1"/>
  <c r="AX1040" i="2"/>
  <c r="AY1040" i="2"/>
  <c r="AR1041" i="2"/>
  <c r="AS1041" i="2"/>
  <c r="AT1041" i="2"/>
  <c r="AU1041" i="2"/>
  <c r="AV1041" i="2"/>
  <c r="AW1041" i="2" s="1"/>
  <c r="AX1041" i="2"/>
  <c r="AY1041" i="2"/>
  <c r="AR1042" i="2"/>
  <c r="AS1042" i="2"/>
  <c r="AT1042" i="2"/>
  <c r="AU1042" i="2"/>
  <c r="AV1042" i="2"/>
  <c r="AW1042" i="2" s="1"/>
  <c r="AX1042" i="2"/>
  <c r="AY1042" i="2"/>
  <c r="AR1043" i="2"/>
  <c r="AS1043" i="2"/>
  <c r="AT1043" i="2"/>
  <c r="AU1043" i="2"/>
  <c r="AV1043" i="2"/>
  <c r="AW1043" i="2" s="1"/>
  <c r="AX1043" i="2"/>
  <c r="AY1043" i="2"/>
  <c r="AR1044" i="2"/>
  <c r="AS1044" i="2"/>
  <c r="AT1044" i="2"/>
  <c r="AU1044" i="2"/>
  <c r="AV1044" i="2"/>
  <c r="AW1044" i="2" s="1"/>
  <c r="AX1044" i="2"/>
  <c r="AY1044" i="2"/>
  <c r="AR1045" i="2"/>
  <c r="AS1045" i="2"/>
  <c r="AT1045" i="2"/>
  <c r="AU1045" i="2"/>
  <c r="AV1045" i="2"/>
  <c r="AW1045" i="2" s="1"/>
  <c r="AX1045" i="2"/>
  <c r="AY1045" i="2"/>
  <c r="AR1046" i="2"/>
  <c r="AS1046" i="2"/>
  <c r="AT1046" i="2"/>
  <c r="AU1046" i="2"/>
  <c r="AV1046" i="2"/>
  <c r="AW1046" i="2" s="1"/>
  <c r="AX1046" i="2"/>
  <c r="AY1046" i="2"/>
  <c r="AR1047" i="2"/>
  <c r="AS1047" i="2"/>
  <c r="AT1047" i="2"/>
  <c r="AU1047" i="2"/>
  <c r="AV1047" i="2"/>
  <c r="AW1047" i="2" s="1"/>
  <c r="AX1047" i="2"/>
  <c r="AY1047" i="2"/>
  <c r="AR1048" i="2"/>
  <c r="AS1048" i="2"/>
  <c r="AT1048" i="2"/>
  <c r="AU1048" i="2"/>
  <c r="AV1048" i="2"/>
  <c r="AW1048" i="2" s="1"/>
  <c r="AX1048" i="2"/>
  <c r="AY1048" i="2"/>
  <c r="AR1049" i="2"/>
  <c r="AS1049" i="2"/>
  <c r="AT1049" i="2"/>
  <c r="AU1049" i="2"/>
  <c r="AV1049" i="2"/>
  <c r="AW1049" i="2" s="1"/>
  <c r="AX1049" i="2"/>
  <c r="AY1049" i="2"/>
  <c r="AR1050" i="2"/>
  <c r="AS1050" i="2"/>
  <c r="AT1050" i="2"/>
  <c r="AU1050" i="2"/>
  <c r="AV1050" i="2"/>
  <c r="AW1050" i="2" s="1"/>
  <c r="AX1050" i="2"/>
  <c r="AY1050" i="2"/>
  <c r="AR1051" i="2"/>
  <c r="AS1051" i="2"/>
  <c r="AT1051" i="2"/>
  <c r="AU1051" i="2"/>
  <c r="AV1051" i="2"/>
  <c r="AW1051" i="2" s="1"/>
  <c r="AX1051" i="2"/>
  <c r="AY1051" i="2"/>
  <c r="AR1052" i="2"/>
  <c r="AS1052" i="2"/>
  <c r="AT1052" i="2"/>
  <c r="AU1052" i="2"/>
  <c r="AV1052" i="2"/>
  <c r="AW1052" i="2" s="1"/>
  <c r="AX1052" i="2"/>
  <c r="AY1052" i="2"/>
  <c r="AR1053" i="2"/>
  <c r="AS1053" i="2"/>
  <c r="AT1053" i="2"/>
  <c r="AU1053" i="2"/>
  <c r="AV1053" i="2"/>
  <c r="AW1053" i="2" s="1"/>
  <c r="AX1053" i="2"/>
  <c r="AY1053" i="2"/>
  <c r="AR1054" i="2"/>
  <c r="AS1054" i="2"/>
  <c r="AT1054" i="2"/>
  <c r="AU1054" i="2"/>
  <c r="AV1054" i="2"/>
  <c r="AW1054" i="2" s="1"/>
  <c r="AX1054" i="2"/>
  <c r="AY1054" i="2"/>
  <c r="AR1055" i="2"/>
  <c r="AS1055" i="2"/>
  <c r="AT1055" i="2"/>
  <c r="AU1055" i="2"/>
  <c r="AV1055" i="2"/>
  <c r="AW1055" i="2" s="1"/>
  <c r="AX1055" i="2"/>
  <c r="AY1055" i="2"/>
  <c r="AR1056" i="2"/>
  <c r="AS1056" i="2"/>
  <c r="AT1056" i="2"/>
  <c r="AU1056" i="2"/>
  <c r="AV1056" i="2"/>
  <c r="AW1056" i="2" s="1"/>
  <c r="AX1056" i="2"/>
  <c r="AY1056" i="2"/>
  <c r="AR1057" i="2"/>
  <c r="AS1057" i="2"/>
  <c r="AT1057" i="2"/>
  <c r="AU1057" i="2"/>
  <c r="AV1057" i="2"/>
  <c r="AW1057" i="2" s="1"/>
  <c r="AX1057" i="2"/>
  <c r="AY1057" i="2"/>
  <c r="AR1058" i="2"/>
  <c r="AS1058" i="2"/>
  <c r="AT1058" i="2"/>
  <c r="AU1058" i="2"/>
  <c r="AV1058" i="2"/>
  <c r="AW1058" i="2" s="1"/>
  <c r="AX1058" i="2"/>
  <c r="AY1058" i="2"/>
  <c r="AR1059" i="2"/>
  <c r="AS1059" i="2"/>
  <c r="AT1059" i="2"/>
  <c r="AU1059" i="2"/>
  <c r="AV1059" i="2"/>
  <c r="AW1059" i="2" s="1"/>
  <c r="AX1059" i="2"/>
  <c r="AY1059" i="2"/>
  <c r="AR1060" i="2"/>
  <c r="AS1060" i="2"/>
  <c r="AT1060" i="2"/>
  <c r="AU1060" i="2"/>
  <c r="AV1060" i="2"/>
  <c r="AW1060" i="2" s="1"/>
  <c r="AX1060" i="2"/>
  <c r="AY1060" i="2"/>
  <c r="AR1061" i="2"/>
  <c r="AS1061" i="2"/>
  <c r="AT1061" i="2"/>
  <c r="AU1061" i="2"/>
  <c r="AV1061" i="2"/>
  <c r="AW1061" i="2" s="1"/>
  <c r="AX1061" i="2"/>
  <c r="AY1061" i="2"/>
  <c r="AR1062" i="2"/>
  <c r="AS1062" i="2"/>
  <c r="AT1062" i="2"/>
  <c r="AU1062" i="2"/>
  <c r="AV1062" i="2"/>
  <c r="AW1062" i="2" s="1"/>
  <c r="AX1062" i="2"/>
  <c r="AY1062" i="2"/>
  <c r="AR1063" i="2"/>
  <c r="AS1063" i="2"/>
  <c r="AT1063" i="2"/>
  <c r="AU1063" i="2"/>
  <c r="AV1063" i="2"/>
  <c r="AW1063" i="2" s="1"/>
  <c r="AX1063" i="2"/>
  <c r="AY1063" i="2"/>
  <c r="AR1064" i="2"/>
  <c r="AS1064" i="2"/>
  <c r="AT1064" i="2"/>
  <c r="AU1064" i="2"/>
  <c r="AV1064" i="2"/>
  <c r="AW1064" i="2" s="1"/>
  <c r="AX1064" i="2"/>
  <c r="AY1064" i="2"/>
  <c r="AR1065" i="2"/>
  <c r="AS1065" i="2"/>
  <c r="AT1065" i="2"/>
  <c r="AU1065" i="2"/>
  <c r="AV1065" i="2"/>
  <c r="AW1065" i="2" s="1"/>
  <c r="AX1065" i="2"/>
  <c r="AY1065" i="2"/>
  <c r="AR1066" i="2"/>
  <c r="AS1066" i="2"/>
  <c r="AT1066" i="2"/>
  <c r="AU1066" i="2"/>
  <c r="AV1066" i="2"/>
  <c r="AW1066" i="2" s="1"/>
  <c r="AX1066" i="2"/>
  <c r="AY1066" i="2"/>
  <c r="AR1067" i="2"/>
  <c r="AS1067" i="2"/>
  <c r="AT1067" i="2"/>
  <c r="AU1067" i="2"/>
  <c r="AV1067" i="2"/>
  <c r="AW1067" i="2" s="1"/>
  <c r="AX1067" i="2"/>
  <c r="AY1067" i="2"/>
  <c r="AR1068" i="2"/>
  <c r="AS1068" i="2"/>
  <c r="AT1068" i="2"/>
  <c r="AU1068" i="2"/>
  <c r="AV1068" i="2"/>
  <c r="AW1068" i="2" s="1"/>
  <c r="AX1068" i="2"/>
  <c r="AY1068" i="2"/>
  <c r="AR1069" i="2"/>
  <c r="AS1069" i="2"/>
  <c r="AT1069" i="2"/>
  <c r="AU1069" i="2"/>
  <c r="AV1069" i="2"/>
  <c r="AW1069" i="2" s="1"/>
  <c r="AX1069" i="2"/>
  <c r="AY1069" i="2"/>
  <c r="AR1070" i="2"/>
  <c r="AS1070" i="2"/>
  <c r="AT1070" i="2"/>
  <c r="AU1070" i="2"/>
  <c r="AV1070" i="2"/>
  <c r="AW1070" i="2" s="1"/>
  <c r="AX1070" i="2"/>
  <c r="AY1070" i="2"/>
  <c r="AR1071" i="2"/>
  <c r="AS1071" i="2"/>
  <c r="AT1071" i="2"/>
  <c r="AU1071" i="2"/>
  <c r="AV1071" i="2"/>
  <c r="AW1071" i="2" s="1"/>
  <c r="AX1071" i="2"/>
  <c r="AY1071" i="2"/>
  <c r="AR1072" i="2"/>
  <c r="AS1072" i="2"/>
  <c r="AT1072" i="2"/>
  <c r="AU1072" i="2"/>
  <c r="AV1072" i="2"/>
  <c r="AW1072" i="2" s="1"/>
  <c r="AX1072" i="2"/>
  <c r="AY1072" i="2"/>
  <c r="AR1073" i="2"/>
  <c r="AS1073" i="2"/>
  <c r="AT1073" i="2"/>
  <c r="AU1073" i="2"/>
  <c r="AV1073" i="2"/>
  <c r="AW1073" i="2" s="1"/>
  <c r="AX1073" i="2"/>
  <c r="AY1073" i="2"/>
  <c r="AR1074" i="2"/>
  <c r="AS1074" i="2"/>
  <c r="AT1074" i="2"/>
  <c r="AU1074" i="2"/>
  <c r="AV1074" i="2"/>
  <c r="AW1074" i="2" s="1"/>
  <c r="AX1074" i="2"/>
  <c r="AY1074" i="2"/>
  <c r="AR1075" i="2"/>
  <c r="AS1075" i="2"/>
  <c r="AT1075" i="2"/>
  <c r="AU1075" i="2"/>
  <c r="AV1075" i="2"/>
  <c r="AW1075" i="2" s="1"/>
  <c r="AX1075" i="2"/>
  <c r="AY1075" i="2"/>
  <c r="AR1076" i="2"/>
  <c r="AS1076" i="2"/>
  <c r="AT1076" i="2"/>
  <c r="AU1076" i="2"/>
  <c r="AV1076" i="2"/>
  <c r="AW1076" i="2" s="1"/>
  <c r="AX1076" i="2"/>
  <c r="AY1076" i="2"/>
  <c r="AR1077" i="2"/>
  <c r="AS1077" i="2"/>
  <c r="AT1077" i="2"/>
  <c r="AU1077" i="2"/>
  <c r="AV1077" i="2"/>
  <c r="AW1077" i="2" s="1"/>
  <c r="AX1077" i="2"/>
  <c r="AY1077" i="2"/>
  <c r="AR1078" i="2"/>
  <c r="AS1078" i="2"/>
  <c r="AT1078" i="2"/>
  <c r="AU1078" i="2"/>
  <c r="AV1078" i="2"/>
  <c r="AW1078" i="2" s="1"/>
  <c r="AX1078" i="2"/>
  <c r="AY1078" i="2"/>
  <c r="AR1079" i="2"/>
  <c r="AS1079" i="2"/>
  <c r="AT1079" i="2"/>
  <c r="AU1079" i="2"/>
  <c r="AV1079" i="2"/>
  <c r="AW1079" i="2" s="1"/>
  <c r="AX1079" i="2"/>
  <c r="AY1079" i="2"/>
  <c r="AR1080" i="2"/>
  <c r="AS1080" i="2"/>
  <c r="AT1080" i="2"/>
  <c r="AU1080" i="2"/>
  <c r="AV1080" i="2"/>
  <c r="AW1080" i="2" s="1"/>
  <c r="AX1080" i="2"/>
  <c r="AY1080" i="2"/>
  <c r="AR1081" i="2"/>
  <c r="AS1081" i="2"/>
  <c r="AT1081" i="2"/>
  <c r="AU1081" i="2"/>
  <c r="AV1081" i="2"/>
  <c r="AW1081" i="2" s="1"/>
  <c r="AX1081" i="2"/>
  <c r="AY1081" i="2"/>
  <c r="AR1082" i="2"/>
  <c r="AS1082" i="2"/>
  <c r="AT1082" i="2"/>
  <c r="AU1082" i="2"/>
  <c r="AV1082" i="2"/>
  <c r="AW1082" i="2" s="1"/>
  <c r="AX1082" i="2"/>
  <c r="AY1082" i="2"/>
  <c r="AR1083" i="2"/>
  <c r="AS1083" i="2"/>
  <c r="AT1083" i="2"/>
  <c r="AU1083" i="2"/>
  <c r="AV1083" i="2"/>
  <c r="AW1083" i="2" s="1"/>
  <c r="AX1083" i="2"/>
  <c r="AY1083" i="2"/>
  <c r="AR1084" i="2"/>
  <c r="AS1084" i="2"/>
  <c r="AT1084" i="2"/>
  <c r="AU1084" i="2"/>
  <c r="AV1084" i="2"/>
  <c r="AW1084" i="2" s="1"/>
  <c r="AX1084" i="2"/>
  <c r="AY1084" i="2"/>
  <c r="AR1085" i="2"/>
  <c r="AS1085" i="2"/>
  <c r="AT1085" i="2"/>
  <c r="AU1085" i="2"/>
  <c r="AV1085" i="2"/>
  <c r="AW1085" i="2" s="1"/>
  <c r="AX1085" i="2"/>
  <c r="AY1085" i="2"/>
  <c r="AR1086" i="2"/>
  <c r="AS1086" i="2"/>
  <c r="AT1086" i="2"/>
  <c r="AU1086" i="2"/>
  <c r="AV1086" i="2"/>
  <c r="AW1086" i="2" s="1"/>
  <c r="AX1086" i="2"/>
  <c r="AY1086" i="2"/>
  <c r="AR1087" i="2"/>
  <c r="AS1087" i="2"/>
  <c r="AT1087" i="2"/>
  <c r="AU1087" i="2"/>
  <c r="AV1087" i="2"/>
  <c r="AW1087" i="2" s="1"/>
  <c r="AX1087" i="2"/>
  <c r="AY1087" i="2"/>
  <c r="AR1088" i="2"/>
  <c r="AS1088" i="2"/>
  <c r="AT1088" i="2"/>
  <c r="AU1088" i="2"/>
  <c r="AV1088" i="2"/>
  <c r="AW1088" i="2" s="1"/>
  <c r="AX1088" i="2"/>
  <c r="AY1088" i="2"/>
  <c r="AR1089" i="2"/>
  <c r="AS1089" i="2"/>
  <c r="AT1089" i="2"/>
  <c r="AU1089" i="2"/>
  <c r="AV1089" i="2"/>
  <c r="AW1089" i="2" s="1"/>
  <c r="AX1089" i="2"/>
  <c r="AY1089" i="2"/>
  <c r="AR1090" i="2"/>
  <c r="AS1090" i="2"/>
  <c r="AT1090" i="2"/>
  <c r="AU1090" i="2"/>
  <c r="AV1090" i="2"/>
  <c r="AW1090" i="2" s="1"/>
  <c r="AX1090" i="2"/>
  <c r="AY1090" i="2"/>
  <c r="AR1091" i="2"/>
  <c r="AS1091" i="2"/>
  <c r="AT1091" i="2"/>
  <c r="AU1091" i="2"/>
  <c r="AV1091" i="2"/>
  <c r="AW1091" i="2" s="1"/>
  <c r="AX1091" i="2"/>
  <c r="AY1091" i="2"/>
  <c r="AR1092" i="2"/>
  <c r="AS1092" i="2"/>
  <c r="AT1092" i="2"/>
  <c r="AU1092" i="2"/>
  <c r="AV1092" i="2"/>
  <c r="AW1092" i="2" s="1"/>
  <c r="AX1092" i="2"/>
  <c r="AY1092" i="2"/>
  <c r="AR1093" i="2"/>
  <c r="AS1093" i="2"/>
  <c r="AT1093" i="2"/>
  <c r="AU1093" i="2"/>
  <c r="AV1093" i="2"/>
  <c r="AW1093" i="2" s="1"/>
  <c r="AX1093" i="2"/>
  <c r="AY1093" i="2"/>
  <c r="AR1094" i="2"/>
  <c r="AS1094" i="2"/>
  <c r="AT1094" i="2"/>
  <c r="AU1094" i="2"/>
  <c r="AV1094" i="2"/>
  <c r="AW1094" i="2" s="1"/>
  <c r="AX1094" i="2"/>
  <c r="AY1094" i="2"/>
  <c r="AR1095" i="2"/>
  <c r="AS1095" i="2"/>
  <c r="AT1095" i="2"/>
  <c r="AU1095" i="2"/>
  <c r="AV1095" i="2"/>
  <c r="AW1095" i="2" s="1"/>
  <c r="AX1095" i="2"/>
  <c r="AY1095" i="2"/>
  <c r="AR1096" i="2"/>
  <c r="AS1096" i="2"/>
  <c r="AT1096" i="2"/>
  <c r="AU1096" i="2"/>
  <c r="AV1096" i="2"/>
  <c r="AW1096" i="2" s="1"/>
  <c r="AX1096" i="2"/>
  <c r="AY1096" i="2"/>
  <c r="AR1097" i="2"/>
  <c r="AS1097" i="2"/>
  <c r="AT1097" i="2"/>
  <c r="AU1097" i="2"/>
  <c r="AV1097" i="2"/>
  <c r="AW1097" i="2" s="1"/>
  <c r="AX1097" i="2"/>
  <c r="AY1097" i="2"/>
  <c r="AR1098" i="2"/>
  <c r="AS1098" i="2"/>
  <c r="AT1098" i="2"/>
  <c r="AU1098" i="2"/>
  <c r="AV1098" i="2"/>
  <c r="AW1098" i="2" s="1"/>
  <c r="AX1098" i="2"/>
  <c r="AY1098" i="2"/>
  <c r="AR1099" i="2"/>
  <c r="AS1099" i="2"/>
  <c r="AT1099" i="2"/>
  <c r="AU1099" i="2"/>
  <c r="AV1099" i="2"/>
  <c r="AW1099" i="2" s="1"/>
  <c r="AX1099" i="2"/>
  <c r="AY1099" i="2"/>
  <c r="AR1100" i="2"/>
  <c r="AS1100" i="2"/>
  <c r="AT1100" i="2"/>
  <c r="AU1100" i="2"/>
  <c r="AV1100" i="2"/>
  <c r="AW1100" i="2" s="1"/>
  <c r="AX1100" i="2"/>
  <c r="AY1100" i="2"/>
  <c r="AR1101" i="2"/>
  <c r="AS1101" i="2"/>
  <c r="AT1101" i="2"/>
  <c r="AU1101" i="2"/>
  <c r="AV1101" i="2"/>
  <c r="AW1101" i="2" s="1"/>
  <c r="AX1101" i="2"/>
  <c r="AY1101" i="2"/>
  <c r="AR1102" i="2"/>
  <c r="AS1102" i="2"/>
  <c r="AT1102" i="2"/>
  <c r="AU1102" i="2"/>
  <c r="AV1102" i="2"/>
  <c r="AW1102" i="2" s="1"/>
  <c r="AX1102" i="2"/>
  <c r="AY1102" i="2"/>
  <c r="AR1103" i="2"/>
  <c r="AS1103" i="2"/>
  <c r="AT1103" i="2"/>
  <c r="AU1103" i="2"/>
  <c r="AV1103" i="2"/>
  <c r="AW1103" i="2" s="1"/>
  <c r="AX1103" i="2"/>
  <c r="AY1103" i="2"/>
  <c r="AR1104" i="2"/>
  <c r="AS1104" i="2"/>
  <c r="AT1104" i="2"/>
  <c r="AU1104" i="2"/>
  <c r="AV1104" i="2"/>
  <c r="AW1104" i="2" s="1"/>
  <c r="AX1104" i="2"/>
  <c r="AY1104" i="2"/>
  <c r="AR1105" i="2"/>
  <c r="AS1105" i="2"/>
  <c r="AT1105" i="2"/>
  <c r="AU1105" i="2"/>
  <c r="AV1105" i="2"/>
  <c r="AW1105" i="2" s="1"/>
  <c r="AX1105" i="2"/>
  <c r="AY1105" i="2"/>
  <c r="AR1106" i="2"/>
  <c r="AS1106" i="2"/>
  <c r="AT1106" i="2"/>
  <c r="AU1106" i="2"/>
  <c r="AV1106" i="2"/>
  <c r="AW1106" i="2" s="1"/>
  <c r="AX1106" i="2"/>
  <c r="AY1106" i="2"/>
  <c r="AR1107" i="2"/>
  <c r="AS1107" i="2"/>
  <c r="AT1107" i="2"/>
  <c r="AU1107" i="2"/>
  <c r="AV1107" i="2"/>
  <c r="AW1107" i="2" s="1"/>
  <c r="AX1107" i="2"/>
  <c r="AY1107" i="2"/>
  <c r="AR1108" i="2"/>
  <c r="AS1108" i="2"/>
  <c r="AT1108" i="2"/>
  <c r="AU1108" i="2"/>
  <c r="AV1108" i="2"/>
  <c r="AW1108" i="2" s="1"/>
  <c r="AX1108" i="2"/>
  <c r="AY1108" i="2"/>
  <c r="AR1109" i="2"/>
  <c r="AS1109" i="2"/>
  <c r="AT1109" i="2"/>
  <c r="AU1109" i="2"/>
  <c r="AV1109" i="2"/>
  <c r="AW1109" i="2" s="1"/>
  <c r="AX1109" i="2"/>
  <c r="AY1109" i="2"/>
  <c r="AR1110" i="2"/>
  <c r="AS1110" i="2"/>
  <c r="AT1110" i="2"/>
  <c r="AU1110" i="2"/>
  <c r="AV1110" i="2"/>
  <c r="AW1110" i="2" s="1"/>
  <c r="AX1110" i="2"/>
  <c r="AY1110" i="2"/>
  <c r="AR1111" i="2"/>
  <c r="AS1111" i="2"/>
  <c r="AT1111" i="2"/>
  <c r="AU1111" i="2"/>
  <c r="AV1111" i="2"/>
  <c r="AW1111" i="2" s="1"/>
  <c r="AX1111" i="2"/>
  <c r="AY1111" i="2"/>
  <c r="AR1112" i="2"/>
  <c r="AS1112" i="2"/>
  <c r="AT1112" i="2"/>
  <c r="AU1112" i="2"/>
  <c r="AV1112" i="2"/>
  <c r="AW1112" i="2" s="1"/>
  <c r="AX1112" i="2"/>
  <c r="AY1112" i="2"/>
  <c r="AR1113" i="2"/>
  <c r="AS1113" i="2"/>
  <c r="AT1113" i="2"/>
  <c r="AU1113" i="2"/>
  <c r="AV1113" i="2"/>
  <c r="AW1113" i="2" s="1"/>
  <c r="AX1113" i="2"/>
  <c r="AY1113" i="2"/>
  <c r="AR1114" i="2"/>
  <c r="AS1114" i="2"/>
  <c r="AT1114" i="2"/>
  <c r="AU1114" i="2"/>
  <c r="AV1114" i="2"/>
  <c r="AW1114" i="2" s="1"/>
  <c r="AX1114" i="2"/>
  <c r="AY1114" i="2"/>
  <c r="AR1115" i="2"/>
  <c r="AS1115" i="2"/>
  <c r="AT1115" i="2"/>
  <c r="AU1115" i="2"/>
  <c r="AV1115" i="2"/>
  <c r="AW1115" i="2" s="1"/>
  <c r="AX1115" i="2"/>
  <c r="AY1115" i="2"/>
  <c r="AR1116" i="2"/>
  <c r="AS1116" i="2"/>
  <c r="AT1116" i="2"/>
  <c r="AU1116" i="2"/>
  <c r="AV1116" i="2"/>
  <c r="AW1116" i="2" s="1"/>
  <c r="AX1116" i="2"/>
  <c r="AY1116" i="2"/>
  <c r="AR1117" i="2"/>
  <c r="AS1117" i="2"/>
  <c r="AT1117" i="2"/>
  <c r="AU1117" i="2"/>
  <c r="AV1117" i="2"/>
  <c r="AW1117" i="2" s="1"/>
  <c r="AX1117" i="2"/>
  <c r="AY1117" i="2"/>
  <c r="AR1118" i="2"/>
  <c r="AS1118" i="2"/>
  <c r="AT1118" i="2"/>
  <c r="AU1118" i="2"/>
  <c r="AV1118" i="2"/>
  <c r="AW1118" i="2" s="1"/>
  <c r="AX1118" i="2"/>
  <c r="AY1118" i="2"/>
  <c r="AR1119" i="2"/>
  <c r="AS1119" i="2"/>
  <c r="AT1119" i="2"/>
  <c r="AU1119" i="2"/>
  <c r="AV1119" i="2"/>
  <c r="AW1119" i="2" s="1"/>
  <c r="AX1119" i="2"/>
  <c r="AY1119" i="2"/>
  <c r="AR1120" i="2"/>
  <c r="AS1120" i="2"/>
  <c r="AT1120" i="2"/>
  <c r="AU1120" i="2"/>
  <c r="AV1120" i="2"/>
  <c r="AW1120" i="2" s="1"/>
  <c r="AX1120" i="2"/>
  <c r="AY1120" i="2"/>
  <c r="AR1121" i="2"/>
  <c r="AS1121" i="2"/>
  <c r="AT1121" i="2"/>
  <c r="AU1121" i="2"/>
  <c r="AV1121" i="2"/>
  <c r="AW1121" i="2" s="1"/>
  <c r="AX1121" i="2"/>
  <c r="AY1121" i="2"/>
  <c r="AR1122" i="2"/>
  <c r="AS1122" i="2"/>
  <c r="AT1122" i="2"/>
  <c r="AU1122" i="2"/>
  <c r="AV1122" i="2"/>
  <c r="AW1122" i="2" s="1"/>
  <c r="AX1122" i="2"/>
  <c r="AY1122" i="2"/>
  <c r="AR1123" i="2"/>
  <c r="AS1123" i="2"/>
  <c r="AT1123" i="2"/>
  <c r="AU1123" i="2"/>
  <c r="AV1123" i="2"/>
  <c r="AW1123" i="2" s="1"/>
  <c r="AX1123" i="2"/>
  <c r="AY1123" i="2"/>
  <c r="AR1124" i="2"/>
  <c r="AS1124" i="2"/>
  <c r="AT1124" i="2"/>
  <c r="AU1124" i="2"/>
  <c r="AV1124" i="2"/>
  <c r="AW1124" i="2" s="1"/>
  <c r="AX1124" i="2"/>
  <c r="AY1124" i="2"/>
  <c r="AR1125" i="2"/>
  <c r="AS1125" i="2"/>
  <c r="AT1125" i="2"/>
  <c r="AU1125" i="2"/>
  <c r="AV1125" i="2"/>
  <c r="AW1125" i="2" s="1"/>
  <c r="AX1125" i="2"/>
  <c r="AY1125" i="2"/>
  <c r="AR1126" i="2"/>
  <c r="AS1126" i="2"/>
  <c r="AT1126" i="2"/>
  <c r="AU1126" i="2"/>
  <c r="AV1126" i="2"/>
  <c r="AW1126" i="2" s="1"/>
  <c r="AX1126" i="2"/>
  <c r="AY1126" i="2"/>
  <c r="AR1127" i="2"/>
  <c r="AS1127" i="2"/>
  <c r="AT1127" i="2"/>
  <c r="AU1127" i="2"/>
  <c r="AV1127" i="2"/>
  <c r="AW1127" i="2" s="1"/>
  <c r="AX1127" i="2"/>
  <c r="AY1127" i="2"/>
  <c r="AR1128" i="2"/>
  <c r="AS1128" i="2"/>
  <c r="AT1128" i="2"/>
  <c r="AU1128" i="2"/>
  <c r="AV1128" i="2"/>
  <c r="AW1128" i="2" s="1"/>
  <c r="AX1128" i="2"/>
  <c r="AY1128" i="2"/>
  <c r="AR1129" i="2"/>
  <c r="AS1129" i="2"/>
  <c r="AT1129" i="2"/>
  <c r="AU1129" i="2"/>
  <c r="AV1129" i="2"/>
  <c r="AW1129" i="2" s="1"/>
  <c r="AX1129" i="2"/>
  <c r="AY1129" i="2"/>
  <c r="AR1130" i="2"/>
  <c r="AS1130" i="2"/>
  <c r="AT1130" i="2"/>
  <c r="AU1130" i="2"/>
  <c r="AV1130" i="2"/>
  <c r="AW1130" i="2" s="1"/>
  <c r="AX1130" i="2"/>
  <c r="AY1130" i="2"/>
  <c r="AR1131" i="2"/>
  <c r="AS1131" i="2"/>
  <c r="AT1131" i="2"/>
  <c r="AU1131" i="2"/>
  <c r="AV1131" i="2"/>
  <c r="AW1131" i="2" s="1"/>
  <c r="AX1131" i="2"/>
  <c r="AY1131" i="2"/>
  <c r="AR1132" i="2"/>
  <c r="AS1132" i="2"/>
  <c r="AT1132" i="2"/>
  <c r="AU1132" i="2"/>
  <c r="AV1132" i="2"/>
  <c r="AW1132" i="2" s="1"/>
  <c r="AX1132" i="2"/>
  <c r="AY1132" i="2"/>
  <c r="AR1133" i="2"/>
  <c r="AS1133" i="2"/>
  <c r="AT1133" i="2"/>
  <c r="AU1133" i="2"/>
  <c r="AV1133" i="2"/>
  <c r="AW1133" i="2" s="1"/>
  <c r="AX1133" i="2"/>
  <c r="AY1133" i="2"/>
  <c r="AR1134" i="2"/>
  <c r="AS1134" i="2"/>
  <c r="AT1134" i="2"/>
  <c r="AU1134" i="2"/>
  <c r="AV1134" i="2"/>
  <c r="AW1134" i="2" s="1"/>
  <c r="AX1134" i="2"/>
  <c r="AY1134" i="2"/>
  <c r="AR1135" i="2"/>
  <c r="AS1135" i="2"/>
  <c r="AT1135" i="2"/>
  <c r="AU1135" i="2"/>
  <c r="AV1135" i="2"/>
  <c r="AW1135" i="2" s="1"/>
  <c r="AX1135" i="2"/>
  <c r="AY1135" i="2"/>
  <c r="AR1136" i="2"/>
  <c r="AS1136" i="2"/>
  <c r="AT1136" i="2"/>
  <c r="AU1136" i="2"/>
  <c r="AV1136" i="2"/>
  <c r="AW1136" i="2" s="1"/>
  <c r="AX1136" i="2"/>
  <c r="AY1136" i="2"/>
  <c r="AR1137" i="2"/>
  <c r="AS1137" i="2"/>
  <c r="AT1137" i="2"/>
  <c r="AU1137" i="2"/>
  <c r="AV1137" i="2"/>
  <c r="AW1137" i="2" s="1"/>
  <c r="AX1137" i="2"/>
  <c r="AY1137" i="2"/>
  <c r="AR1138" i="2"/>
  <c r="AS1138" i="2"/>
  <c r="AT1138" i="2"/>
  <c r="AU1138" i="2"/>
  <c r="AV1138" i="2"/>
  <c r="AW1138" i="2" s="1"/>
  <c r="AX1138" i="2"/>
  <c r="AY1138" i="2"/>
  <c r="AR1139" i="2"/>
  <c r="AS1139" i="2"/>
  <c r="AT1139" i="2"/>
  <c r="AU1139" i="2"/>
  <c r="AV1139" i="2"/>
  <c r="AW1139" i="2" s="1"/>
  <c r="AX1139" i="2"/>
  <c r="AY1139" i="2"/>
  <c r="AR1140" i="2"/>
  <c r="AS1140" i="2"/>
  <c r="AT1140" i="2"/>
  <c r="AU1140" i="2"/>
  <c r="AV1140" i="2"/>
  <c r="AW1140" i="2" s="1"/>
  <c r="AX1140" i="2"/>
  <c r="AY1140" i="2"/>
  <c r="AR1141" i="2"/>
  <c r="AS1141" i="2"/>
  <c r="AT1141" i="2"/>
  <c r="AU1141" i="2"/>
  <c r="AV1141" i="2"/>
  <c r="AW1141" i="2" s="1"/>
  <c r="AX1141" i="2"/>
  <c r="AY1141" i="2"/>
  <c r="AR1142" i="2"/>
  <c r="AS1142" i="2"/>
  <c r="AT1142" i="2"/>
  <c r="AU1142" i="2"/>
  <c r="AV1142" i="2"/>
  <c r="AW1142" i="2" s="1"/>
  <c r="AX1142" i="2"/>
  <c r="AY1142" i="2"/>
  <c r="AR1143" i="2"/>
  <c r="AS1143" i="2"/>
  <c r="AT1143" i="2"/>
  <c r="AU1143" i="2"/>
  <c r="AV1143" i="2"/>
  <c r="AW1143" i="2" s="1"/>
  <c r="AX1143" i="2"/>
  <c r="AY1143" i="2"/>
  <c r="AR1144" i="2"/>
  <c r="AS1144" i="2"/>
  <c r="AT1144" i="2"/>
  <c r="AU1144" i="2"/>
  <c r="AV1144" i="2"/>
  <c r="AW1144" i="2" s="1"/>
  <c r="AX1144" i="2"/>
  <c r="AY1144" i="2"/>
  <c r="AR1145" i="2"/>
  <c r="AS1145" i="2"/>
  <c r="AT1145" i="2"/>
  <c r="AU1145" i="2"/>
  <c r="AV1145" i="2"/>
  <c r="AW1145" i="2" s="1"/>
  <c r="AX1145" i="2"/>
  <c r="AY1145" i="2"/>
  <c r="AR1146" i="2"/>
  <c r="AS1146" i="2"/>
  <c r="AT1146" i="2"/>
  <c r="AU1146" i="2"/>
  <c r="AV1146" i="2"/>
  <c r="AW1146" i="2" s="1"/>
  <c r="AX1146" i="2"/>
  <c r="AY1146" i="2"/>
  <c r="AR1147" i="2"/>
  <c r="AS1147" i="2"/>
  <c r="AT1147" i="2"/>
  <c r="AU1147" i="2"/>
  <c r="AV1147" i="2"/>
  <c r="AW1147" i="2" s="1"/>
  <c r="AX1147" i="2"/>
  <c r="AY1147" i="2"/>
  <c r="AR1148" i="2"/>
  <c r="AS1148" i="2"/>
  <c r="AT1148" i="2"/>
  <c r="AU1148" i="2"/>
  <c r="AV1148" i="2"/>
  <c r="AW1148" i="2" s="1"/>
  <c r="AX1148" i="2"/>
  <c r="AY1148" i="2"/>
  <c r="AR1149" i="2"/>
  <c r="AS1149" i="2"/>
  <c r="AT1149" i="2"/>
  <c r="AU1149" i="2"/>
  <c r="AV1149" i="2"/>
  <c r="AW1149" i="2" s="1"/>
  <c r="AX1149" i="2"/>
  <c r="AY1149" i="2"/>
  <c r="AR1150" i="2"/>
  <c r="AS1150" i="2"/>
  <c r="AT1150" i="2"/>
  <c r="AU1150" i="2"/>
  <c r="AV1150" i="2"/>
  <c r="AW1150" i="2" s="1"/>
  <c r="AX1150" i="2"/>
  <c r="AY1150" i="2"/>
  <c r="AR1151" i="2"/>
  <c r="AS1151" i="2"/>
  <c r="AT1151" i="2"/>
  <c r="AU1151" i="2"/>
  <c r="AV1151" i="2"/>
  <c r="AW1151" i="2" s="1"/>
  <c r="AX1151" i="2"/>
  <c r="AY1151" i="2"/>
  <c r="AR1152" i="2"/>
  <c r="AS1152" i="2"/>
  <c r="AT1152" i="2"/>
  <c r="AU1152" i="2"/>
  <c r="AV1152" i="2"/>
  <c r="AW1152" i="2" s="1"/>
  <c r="AX1152" i="2"/>
  <c r="AY1152" i="2"/>
  <c r="AR1153" i="2"/>
  <c r="AS1153" i="2"/>
  <c r="AT1153" i="2"/>
  <c r="AU1153" i="2"/>
  <c r="AV1153" i="2"/>
  <c r="AW1153" i="2" s="1"/>
  <c r="AX1153" i="2"/>
  <c r="AY1153" i="2"/>
  <c r="AR1154" i="2"/>
  <c r="AS1154" i="2"/>
  <c r="AT1154" i="2"/>
  <c r="AU1154" i="2"/>
  <c r="AV1154" i="2"/>
  <c r="AW1154" i="2" s="1"/>
  <c r="AX1154" i="2"/>
  <c r="AY1154" i="2"/>
  <c r="AR1155" i="2"/>
  <c r="AS1155" i="2"/>
  <c r="AT1155" i="2"/>
  <c r="AU1155" i="2"/>
  <c r="AV1155" i="2"/>
  <c r="AW1155" i="2" s="1"/>
  <c r="AX1155" i="2"/>
  <c r="AY1155" i="2"/>
  <c r="AR1156" i="2"/>
  <c r="AS1156" i="2"/>
  <c r="AT1156" i="2"/>
  <c r="AU1156" i="2"/>
  <c r="AV1156" i="2"/>
  <c r="AW1156" i="2" s="1"/>
  <c r="AX1156" i="2"/>
  <c r="AY1156" i="2"/>
  <c r="AR1157" i="2"/>
  <c r="AS1157" i="2"/>
  <c r="AT1157" i="2"/>
  <c r="AU1157" i="2"/>
  <c r="AV1157" i="2"/>
  <c r="AW1157" i="2" s="1"/>
  <c r="AX1157" i="2"/>
  <c r="AY1157" i="2"/>
  <c r="AR1158" i="2"/>
  <c r="AS1158" i="2"/>
  <c r="AT1158" i="2"/>
  <c r="AU1158" i="2"/>
  <c r="AV1158" i="2"/>
  <c r="AW1158" i="2" s="1"/>
  <c r="AX1158" i="2"/>
  <c r="AY1158" i="2"/>
  <c r="AR1159" i="2"/>
  <c r="AS1159" i="2"/>
  <c r="AT1159" i="2"/>
  <c r="AU1159" i="2"/>
  <c r="AV1159" i="2"/>
  <c r="AW1159" i="2" s="1"/>
  <c r="AX1159" i="2"/>
  <c r="AY1159" i="2"/>
  <c r="AR1160" i="2"/>
  <c r="AS1160" i="2"/>
  <c r="AT1160" i="2"/>
  <c r="AU1160" i="2"/>
  <c r="AV1160" i="2"/>
  <c r="AW1160" i="2" s="1"/>
  <c r="AX1160" i="2"/>
  <c r="AY1160" i="2"/>
  <c r="AR1161" i="2"/>
  <c r="AS1161" i="2"/>
  <c r="AT1161" i="2"/>
  <c r="AU1161" i="2"/>
  <c r="AV1161" i="2"/>
  <c r="AW1161" i="2" s="1"/>
  <c r="AX1161" i="2"/>
  <c r="AY1161" i="2"/>
  <c r="AR1162" i="2"/>
  <c r="AS1162" i="2"/>
  <c r="AT1162" i="2"/>
  <c r="AU1162" i="2"/>
  <c r="AV1162" i="2"/>
  <c r="AW1162" i="2" s="1"/>
  <c r="AX1162" i="2"/>
  <c r="AY1162" i="2"/>
  <c r="AR1163" i="2"/>
  <c r="AS1163" i="2"/>
  <c r="AT1163" i="2"/>
  <c r="AU1163" i="2"/>
  <c r="AV1163" i="2"/>
  <c r="AW1163" i="2" s="1"/>
  <c r="AX1163" i="2"/>
  <c r="AY1163" i="2"/>
  <c r="AR1164" i="2"/>
  <c r="AS1164" i="2"/>
  <c r="AT1164" i="2"/>
  <c r="AU1164" i="2"/>
  <c r="AV1164" i="2"/>
  <c r="AW1164" i="2" s="1"/>
  <c r="AX1164" i="2"/>
  <c r="AY1164" i="2"/>
  <c r="AR1165" i="2"/>
  <c r="AS1165" i="2"/>
  <c r="AT1165" i="2"/>
  <c r="AU1165" i="2"/>
  <c r="AV1165" i="2"/>
  <c r="AW1165" i="2" s="1"/>
  <c r="AX1165" i="2"/>
  <c r="AY1165" i="2"/>
  <c r="AR1166" i="2"/>
  <c r="AS1166" i="2"/>
  <c r="AT1166" i="2"/>
  <c r="AU1166" i="2"/>
  <c r="AV1166" i="2"/>
  <c r="AW1166" i="2" s="1"/>
  <c r="AX1166" i="2"/>
  <c r="AY1166" i="2"/>
  <c r="AR1167" i="2"/>
  <c r="AS1167" i="2"/>
  <c r="AT1167" i="2"/>
  <c r="AU1167" i="2"/>
  <c r="AV1167" i="2"/>
  <c r="AW1167" i="2" s="1"/>
  <c r="AX1167" i="2"/>
  <c r="AY1167" i="2"/>
  <c r="AR1168" i="2"/>
  <c r="AS1168" i="2"/>
  <c r="AT1168" i="2"/>
  <c r="AU1168" i="2"/>
  <c r="AV1168" i="2"/>
  <c r="AW1168" i="2" s="1"/>
  <c r="AX1168" i="2"/>
  <c r="AY1168" i="2"/>
  <c r="AR1169" i="2"/>
  <c r="AS1169" i="2"/>
  <c r="AT1169" i="2"/>
  <c r="AU1169" i="2"/>
  <c r="AV1169" i="2"/>
  <c r="AW1169" i="2" s="1"/>
  <c r="AX1169" i="2"/>
  <c r="AY1169" i="2"/>
  <c r="AR1170" i="2"/>
  <c r="AS1170" i="2"/>
  <c r="AT1170" i="2"/>
  <c r="AU1170" i="2"/>
  <c r="AV1170" i="2"/>
  <c r="AW1170" i="2" s="1"/>
  <c r="AX1170" i="2"/>
  <c r="AY1170" i="2"/>
  <c r="AR1171" i="2"/>
  <c r="AS1171" i="2"/>
  <c r="AT1171" i="2"/>
  <c r="AU1171" i="2"/>
  <c r="AV1171" i="2"/>
  <c r="AW1171" i="2" s="1"/>
  <c r="AX1171" i="2"/>
  <c r="AY1171" i="2"/>
  <c r="AR1172" i="2"/>
  <c r="AS1172" i="2"/>
  <c r="AT1172" i="2"/>
  <c r="AU1172" i="2"/>
  <c r="AV1172" i="2"/>
  <c r="AW1172" i="2" s="1"/>
  <c r="AX1172" i="2"/>
  <c r="AY1172" i="2"/>
  <c r="AR1173" i="2"/>
  <c r="AS1173" i="2"/>
  <c r="AT1173" i="2"/>
  <c r="AU1173" i="2"/>
  <c r="AV1173" i="2"/>
  <c r="AW1173" i="2" s="1"/>
  <c r="AX1173" i="2"/>
  <c r="AY1173" i="2"/>
  <c r="AR1174" i="2"/>
  <c r="AS1174" i="2"/>
  <c r="AT1174" i="2"/>
  <c r="AU1174" i="2"/>
  <c r="AV1174" i="2"/>
  <c r="AW1174" i="2" s="1"/>
  <c r="AX1174" i="2"/>
  <c r="AY1174" i="2"/>
  <c r="AR1175" i="2"/>
  <c r="AS1175" i="2"/>
  <c r="AT1175" i="2"/>
  <c r="AU1175" i="2"/>
  <c r="AV1175" i="2"/>
  <c r="AW1175" i="2" s="1"/>
  <c r="AX1175" i="2"/>
  <c r="AY1175" i="2"/>
  <c r="AR1176" i="2"/>
  <c r="AS1176" i="2"/>
  <c r="AT1176" i="2"/>
  <c r="AU1176" i="2"/>
  <c r="AV1176" i="2"/>
  <c r="AW1176" i="2" s="1"/>
  <c r="AX1176" i="2"/>
  <c r="AY1176" i="2"/>
  <c r="AR1177" i="2"/>
  <c r="AS1177" i="2"/>
  <c r="AT1177" i="2"/>
  <c r="AU1177" i="2"/>
  <c r="AV1177" i="2"/>
  <c r="AW1177" i="2" s="1"/>
  <c r="AX1177" i="2"/>
  <c r="AY1177" i="2"/>
  <c r="AR1178" i="2"/>
  <c r="AS1178" i="2"/>
  <c r="AT1178" i="2"/>
  <c r="AU1178" i="2"/>
  <c r="AV1178" i="2"/>
  <c r="AW1178" i="2" s="1"/>
  <c r="AX1178" i="2"/>
  <c r="AY1178" i="2"/>
  <c r="AR1179" i="2"/>
  <c r="AS1179" i="2"/>
  <c r="AT1179" i="2"/>
  <c r="AU1179" i="2"/>
  <c r="AV1179" i="2"/>
  <c r="AW1179" i="2" s="1"/>
  <c r="AX1179" i="2"/>
  <c r="AY1179" i="2"/>
  <c r="AR1180" i="2"/>
  <c r="AS1180" i="2"/>
  <c r="AT1180" i="2"/>
  <c r="AU1180" i="2"/>
  <c r="AV1180" i="2"/>
  <c r="AW1180" i="2" s="1"/>
  <c r="AX1180" i="2"/>
  <c r="AY1180" i="2"/>
  <c r="AR1181" i="2"/>
  <c r="AS1181" i="2"/>
  <c r="AT1181" i="2"/>
  <c r="AU1181" i="2"/>
  <c r="AV1181" i="2"/>
  <c r="AW1181" i="2" s="1"/>
  <c r="AX1181" i="2"/>
  <c r="AY1181" i="2"/>
  <c r="AR1182" i="2"/>
  <c r="AS1182" i="2"/>
  <c r="AT1182" i="2"/>
  <c r="AU1182" i="2"/>
  <c r="AV1182" i="2"/>
  <c r="AW1182" i="2" s="1"/>
  <c r="AX1182" i="2"/>
  <c r="AY1182" i="2"/>
  <c r="AR1183" i="2"/>
  <c r="AS1183" i="2"/>
  <c r="AT1183" i="2"/>
  <c r="AU1183" i="2"/>
  <c r="AV1183" i="2"/>
  <c r="AW1183" i="2" s="1"/>
  <c r="AX1183" i="2"/>
  <c r="AY1183" i="2"/>
  <c r="AR1184" i="2"/>
  <c r="AS1184" i="2"/>
  <c r="AT1184" i="2"/>
  <c r="AU1184" i="2"/>
  <c r="AV1184" i="2"/>
  <c r="AW1184" i="2" s="1"/>
  <c r="AX1184" i="2"/>
  <c r="AY1184" i="2"/>
  <c r="AR1185" i="2"/>
  <c r="AS1185" i="2"/>
  <c r="AT1185" i="2"/>
  <c r="AU1185" i="2"/>
  <c r="AV1185" i="2"/>
  <c r="AW1185" i="2" s="1"/>
  <c r="AX1185" i="2"/>
  <c r="AY1185" i="2"/>
  <c r="AR1186" i="2"/>
  <c r="AS1186" i="2"/>
  <c r="AT1186" i="2"/>
  <c r="AU1186" i="2"/>
  <c r="AV1186" i="2"/>
  <c r="AW1186" i="2" s="1"/>
  <c r="AX1186" i="2"/>
  <c r="AY1186" i="2"/>
  <c r="AR1187" i="2"/>
  <c r="AS1187" i="2"/>
  <c r="AT1187" i="2"/>
  <c r="AU1187" i="2"/>
  <c r="AV1187" i="2"/>
  <c r="AW1187" i="2" s="1"/>
  <c r="AX1187" i="2"/>
  <c r="AY1187" i="2"/>
  <c r="AR1188" i="2"/>
  <c r="AS1188" i="2"/>
  <c r="AT1188" i="2"/>
  <c r="AU1188" i="2"/>
  <c r="AV1188" i="2"/>
  <c r="AW1188" i="2" s="1"/>
  <c r="AX1188" i="2"/>
  <c r="AY1188" i="2"/>
  <c r="AR1189" i="2"/>
  <c r="AS1189" i="2"/>
  <c r="AT1189" i="2"/>
  <c r="AU1189" i="2"/>
  <c r="AV1189" i="2"/>
  <c r="AW1189" i="2" s="1"/>
  <c r="AX1189" i="2"/>
  <c r="AY1189" i="2"/>
  <c r="AR1190" i="2"/>
  <c r="AS1190" i="2"/>
  <c r="AT1190" i="2"/>
  <c r="AU1190" i="2"/>
  <c r="AV1190" i="2"/>
  <c r="AW1190" i="2" s="1"/>
  <c r="AX1190" i="2"/>
  <c r="AY1190" i="2"/>
  <c r="AR1191" i="2"/>
  <c r="AS1191" i="2"/>
  <c r="AT1191" i="2"/>
  <c r="AU1191" i="2"/>
  <c r="AV1191" i="2"/>
  <c r="AW1191" i="2" s="1"/>
  <c r="AX1191" i="2"/>
  <c r="AY1191" i="2"/>
  <c r="AR1192" i="2"/>
  <c r="AS1192" i="2"/>
  <c r="AT1192" i="2"/>
  <c r="AU1192" i="2"/>
  <c r="AV1192" i="2"/>
  <c r="AW1192" i="2" s="1"/>
  <c r="AX1192" i="2"/>
  <c r="AY1192" i="2"/>
  <c r="AR1193" i="2"/>
  <c r="AS1193" i="2"/>
  <c r="AT1193" i="2"/>
  <c r="AU1193" i="2"/>
  <c r="AV1193" i="2"/>
  <c r="AW1193" i="2" s="1"/>
  <c r="AX1193" i="2"/>
  <c r="AY1193" i="2"/>
  <c r="AR1194" i="2"/>
  <c r="AS1194" i="2"/>
  <c r="AT1194" i="2"/>
  <c r="AU1194" i="2"/>
  <c r="AV1194" i="2"/>
  <c r="AW1194" i="2" s="1"/>
  <c r="AX1194" i="2"/>
  <c r="AY1194" i="2"/>
  <c r="AR1195" i="2"/>
  <c r="AS1195" i="2"/>
  <c r="AT1195" i="2"/>
  <c r="AU1195" i="2"/>
  <c r="AV1195" i="2"/>
  <c r="AW1195" i="2" s="1"/>
  <c r="AX1195" i="2"/>
  <c r="AY1195" i="2"/>
  <c r="AR1196" i="2"/>
  <c r="AS1196" i="2"/>
  <c r="AT1196" i="2"/>
  <c r="AU1196" i="2"/>
  <c r="AV1196" i="2"/>
  <c r="AW1196" i="2" s="1"/>
  <c r="AX1196" i="2"/>
  <c r="AY1196" i="2"/>
  <c r="AR1197" i="2"/>
  <c r="AS1197" i="2"/>
  <c r="AT1197" i="2"/>
  <c r="AU1197" i="2"/>
  <c r="AV1197" i="2"/>
  <c r="AW1197" i="2" s="1"/>
  <c r="AX1197" i="2"/>
  <c r="AY1197" i="2"/>
  <c r="AR1198" i="2"/>
  <c r="AS1198" i="2"/>
  <c r="AT1198" i="2"/>
  <c r="AU1198" i="2"/>
  <c r="AV1198" i="2"/>
  <c r="AW1198" i="2" s="1"/>
  <c r="AX1198" i="2"/>
  <c r="AY1198" i="2"/>
  <c r="AR1199" i="2"/>
  <c r="AS1199" i="2"/>
  <c r="AT1199" i="2"/>
  <c r="AU1199" i="2"/>
  <c r="AV1199" i="2"/>
  <c r="AW1199" i="2" s="1"/>
  <c r="AX1199" i="2"/>
  <c r="AY1199" i="2"/>
  <c r="AR1200" i="2"/>
  <c r="AS1200" i="2"/>
  <c r="AT1200" i="2"/>
  <c r="AU1200" i="2"/>
  <c r="AV1200" i="2"/>
  <c r="AW1200" i="2" s="1"/>
  <c r="AX1200" i="2"/>
  <c r="AY1200" i="2"/>
  <c r="AR1201" i="2"/>
  <c r="AS1201" i="2"/>
  <c r="AT1201" i="2"/>
  <c r="AU1201" i="2"/>
  <c r="AV1201" i="2"/>
  <c r="AW1201" i="2" s="1"/>
  <c r="AX1201" i="2"/>
  <c r="AY1201" i="2"/>
  <c r="AR1202" i="2"/>
  <c r="AS1202" i="2"/>
  <c r="AT1202" i="2"/>
  <c r="AU1202" i="2"/>
  <c r="AV1202" i="2"/>
  <c r="AW1202" i="2" s="1"/>
  <c r="AX1202" i="2"/>
  <c r="AY1202" i="2"/>
  <c r="AR1203" i="2"/>
  <c r="AS1203" i="2"/>
  <c r="AT1203" i="2"/>
  <c r="AU1203" i="2"/>
  <c r="AV1203" i="2"/>
  <c r="AW1203" i="2" s="1"/>
  <c r="AX1203" i="2"/>
  <c r="AY1203" i="2"/>
  <c r="AR1204" i="2"/>
  <c r="AS1204" i="2"/>
  <c r="AT1204" i="2"/>
  <c r="AU1204" i="2"/>
  <c r="AV1204" i="2"/>
  <c r="AW1204" i="2" s="1"/>
  <c r="AX1204" i="2"/>
  <c r="AY1204" i="2"/>
  <c r="AR1205" i="2"/>
  <c r="AS1205" i="2"/>
  <c r="AT1205" i="2"/>
  <c r="AU1205" i="2"/>
  <c r="AV1205" i="2"/>
  <c r="AW1205" i="2" s="1"/>
  <c r="AX1205" i="2"/>
  <c r="AY1205" i="2"/>
  <c r="AR1206" i="2"/>
  <c r="AS1206" i="2"/>
  <c r="AT1206" i="2"/>
  <c r="AU1206" i="2"/>
  <c r="AV1206" i="2"/>
  <c r="AW1206" i="2" s="1"/>
  <c r="AX1206" i="2"/>
  <c r="AY1206" i="2"/>
  <c r="AR1207" i="2"/>
  <c r="AS1207" i="2"/>
  <c r="AT1207" i="2"/>
  <c r="AU1207" i="2"/>
  <c r="AV1207" i="2"/>
  <c r="AW1207" i="2" s="1"/>
  <c r="AX1207" i="2"/>
  <c r="AY1207" i="2"/>
  <c r="AR1208" i="2"/>
  <c r="AS1208" i="2"/>
  <c r="AT1208" i="2"/>
  <c r="AU1208" i="2"/>
  <c r="AV1208" i="2"/>
  <c r="AW1208" i="2" s="1"/>
  <c r="AX1208" i="2"/>
  <c r="AY1208" i="2"/>
  <c r="AR1209" i="2"/>
  <c r="AS1209" i="2"/>
  <c r="AT1209" i="2"/>
  <c r="AU1209" i="2"/>
  <c r="AV1209" i="2"/>
  <c r="AW1209" i="2" s="1"/>
  <c r="AX1209" i="2"/>
  <c r="AY1209" i="2"/>
  <c r="AR1210" i="2"/>
  <c r="AS1210" i="2"/>
  <c r="AT1210" i="2"/>
  <c r="AU1210" i="2"/>
  <c r="AV1210" i="2"/>
  <c r="AW1210" i="2" s="1"/>
  <c r="AX1210" i="2"/>
  <c r="AY1210" i="2"/>
  <c r="AR1211" i="2"/>
  <c r="AS1211" i="2"/>
  <c r="AT1211" i="2"/>
  <c r="AU1211" i="2"/>
  <c r="AV1211" i="2"/>
  <c r="AW1211" i="2" s="1"/>
  <c r="AX1211" i="2"/>
  <c r="AY1211" i="2"/>
  <c r="AR1212" i="2"/>
  <c r="AS1212" i="2"/>
  <c r="AT1212" i="2"/>
  <c r="AU1212" i="2"/>
  <c r="AV1212" i="2"/>
  <c r="AW1212" i="2" s="1"/>
  <c r="AX1212" i="2"/>
  <c r="AY1212" i="2"/>
  <c r="AR1213" i="2"/>
  <c r="AS1213" i="2"/>
  <c r="AT1213" i="2"/>
  <c r="AU1213" i="2"/>
  <c r="AV1213" i="2"/>
  <c r="AW1213" i="2" s="1"/>
  <c r="AX1213" i="2"/>
  <c r="AY1213" i="2"/>
  <c r="AR1214" i="2"/>
  <c r="AS1214" i="2"/>
  <c r="AT1214" i="2"/>
  <c r="AU1214" i="2"/>
  <c r="AV1214" i="2"/>
  <c r="AW1214" i="2" s="1"/>
  <c r="AX1214" i="2"/>
  <c r="AY1214" i="2"/>
  <c r="AR1215" i="2"/>
  <c r="AS1215" i="2"/>
  <c r="AT1215" i="2"/>
  <c r="AU1215" i="2"/>
  <c r="AV1215" i="2"/>
  <c r="AW1215" i="2" s="1"/>
  <c r="AX1215" i="2"/>
  <c r="AY1215" i="2"/>
  <c r="AR1216" i="2"/>
  <c r="AS1216" i="2"/>
  <c r="AT1216" i="2"/>
  <c r="AU1216" i="2"/>
  <c r="AV1216" i="2"/>
  <c r="AW1216" i="2" s="1"/>
  <c r="AX1216" i="2"/>
  <c r="AY1216" i="2"/>
  <c r="AR1217" i="2"/>
  <c r="AS1217" i="2"/>
  <c r="AT1217" i="2"/>
  <c r="AU1217" i="2"/>
  <c r="AV1217" i="2"/>
  <c r="AW1217" i="2" s="1"/>
  <c r="AX1217" i="2"/>
  <c r="AY1217" i="2"/>
  <c r="AR1218" i="2"/>
  <c r="AS1218" i="2"/>
  <c r="AT1218" i="2"/>
  <c r="AU1218" i="2"/>
  <c r="AV1218" i="2"/>
  <c r="AW1218" i="2" s="1"/>
  <c r="AX1218" i="2"/>
  <c r="AY1218" i="2"/>
  <c r="AR1219" i="2"/>
  <c r="AS1219" i="2"/>
  <c r="AT1219" i="2"/>
  <c r="AU1219" i="2"/>
  <c r="AV1219" i="2"/>
  <c r="AW1219" i="2" s="1"/>
  <c r="AX1219" i="2"/>
  <c r="AY1219" i="2"/>
  <c r="AR1220" i="2"/>
  <c r="AS1220" i="2"/>
  <c r="AT1220" i="2"/>
  <c r="AU1220" i="2"/>
  <c r="AV1220" i="2"/>
  <c r="AW1220" i="2" s="1"/>
  <c r="AX1220" i="2"/>
  <c r="AY1220" i="2"/>
  <c r="AR1221" i="2"/>
  <c r="AS1221" i="2"/>
  <c r="AT1221" i="2"/>
  <c r="AU1221" i="2"/>
  <c r="AV1221" i="2"/>
  <c r="AW1221" i="2" s="1"/>
  <c r="AX1221" i="2"/>
  <c r="AY1221" i="2"/>
  <c r="AR1222" i="2"/>
  <c r="AS1222" i="2"/>
  <c r="AT1222" i="2"/>
  <c r="AU1222" i="2"/>
  <c r="AV1222" i="2"/>
  <c r="AW1222" i="2" s="1"/>
  <c r="AX1222" i="2"/>
  <c r="AY1222" i="2"/>
  <c r="AR1223" i="2"/>
  <c r="AS1223" i="2"/>
  <c r="AT1223" i="2"/>
  <c r="AU1223" i="2"/>
  <c r="AV1223" i="2"/>
  <c r="AW1223" i="2" s="1"/>
  <c r="AX1223" i="2"/>
  <c r="AY1223" i="2"/>
  <c r="AR1224" i="2"/>
  <c r="AS1224" i="2"/>
  <c r="AT1224" i="2"/>
  <c r="AU1224" i="2"/>
  <c r="AV1224" i="2"/>
  <c r="AW1224" i="2" s="1"/>
  <c r="AX1224" i="2"/>
  <c r="AY1224" i="2"/>
  <c r="AR1225" i="2"/>
  <c r="AS1225" i="2"/>
  <c r="AT1225" i="2"/>
  <c r="AU1225" i="2"/>
  <c r="AV1225" i="2"/>
  <c r="AW1225" i="2" s="1"/>
  <c r="AX1225" i="2"/>
  <c r="AY1225" i="2"/>
  <c r="AR1226" i="2"/>
  <c r="AS1226" i="2"/>
  <c r="AT1226" i="2"/>
  <c r="AU1226" i="2"/>
  <c r="AV1226" i="2"/>
  <c r="AW1226" i="2" s="1"/>
  <c r="AX1226" i="2"/>
  <c r="AY1226" i="2"/>
  <c r="AR1227" i="2"/>
  <c r="AS1227" i="2"/>
  <c r="AT1227" i="2"/>
  <c r="AU1227" i="2"/>
  <c r="AV1227" i="2"/>
  <c r="AW1227" i="2" s="1"/>
  <c r="AX1227" i="2"/>
  <c r="AY1227" i="2"/>
  <c r="AR1228" i="2"/>
  <c r="AS1228" i="2"/>
  <c r="AT1228" i="2"/>
  <c r="AU1228" i="2"/>
  <c r="AV1228" i="2"/>
  <c r="AW1228" i="2" s="1"/>
  <c r="AX1228" i="2"/>
  <c r="AY1228" i="2"/>
  <c r="AR1229" i="2"/>
  <c r="AS1229" i="2"/>
  <c r="AT1229" i="2"/>
  <c r="AU1229" i="2"/>
  <c r="AV1229" i="2"/>
  <c r="AW1229" i="2" s="1"/>
  <c r="AX1229" i="2"/>
  <c r="AY1229" i="2"/>
  <c r="AR1230" i="2"/>
  <c r="AS1230" i="2"/>
  <c r="AT1230" i="2"/>
  <c r="AU1230" i="2"/>
  <c r="AV1230" i="2"/>
  <c r="AW1230" i="2" s="1"/>
  <c r="AX1230" i="2"/>
  <c r="AY1230" i="2"/>
  <c r="AR1231" i="2"/>
  <c r="AS1231" i="2"/>
  <c r="AT1231" i="2"/>
  <c r="AU1231" i="2"/>
  <c r="AV1231" i="2"/>
  <c r="AW1231" i="2" s="1"/>
  <c r="AX1231" i="2"/>
  <c r="AY1231" i="2"/>
  <c r="AR1232" i="2"/>
  <c r="AS1232" i="2"/>
  <c r="AT1232" i="2"/>
  <c r="AU1232" i="2"/>
  <c r="AV1232" i="2"/>
  <c r="AW1232" i="2" s="1"/>
  <c r="AX1232" i="2"/>
  <c r="AY1232" i="2"/>
  <c r="AR1233" i="2"/>
  <c r="AS1233" i="2"/>
  <c r="AT1233" i="2"/>
  <c r="AU1233" i="2"/>
  <c r="AV1233" i="2"/>
  <c r="AW1233" i="2" s="1"/>
  <c r="AX1233" i="2"/>
  <c r="AY1233" i="2"/>
  <c r="AR1234" i="2"/>
  <c r="AS1234" i="2"/>
  <c r="AT1234" i="2"/>
  <c r="AU1234" i="2"/>
  <c r="AV1234" i="2"/>
  <c r="AW1234" i="2" s="1"/>
  <c r="AX1234" i="2"/>
  <c r="AY1234" i="2"/>
  <c r="AR1235" i="2"/>
  <c r="AS1235" i="2"/>
  <c r="AT1235" i="2"/>
  <c r="AU1235" i="2"/>
  <c r="AV1235" i="2"/>
  <c r="AW1235" i="2" s="1"/>
  <c r="AX1235" i="2"/>
  <c r="AY1235" i="2"/>
  <c r="AR1236" i="2"/>
  <c r="AS1236" i="2"/>
  <c r="AT1236" i="2"/>
  <c r="AU1236" i="2"/>
  <c r="AV1236" i="2"/>
  <c r="AW1236" i="2" s="1"/>
  <c r="AX1236" i="2"/>
  <c r="AY1236" i="2"/>
  <c r="AR1237" i="2"/>
  <c r="AS1237" i="2"/>
  <c r="AT1237" i="2"/>
  <c r="AU1237" i="2"/>
  <c r="AV1237" i="2"/>
  <c r="AW1237" i="2" s="1"/>
  <c r="AX1237" i="2"/>
  <c r="AY1237" i="2"/>
  <c r="AR1238" i="2"/>
  <c r="AS1238" i="2"/>
  <c r="AT1238" i="2"/>
  <c r="AU1238" i="2"/>
  <c r="AV1238" i="2"/>
  <c r="AW1238" i="2" s="1"/>
  <c r="AX1238" i="2"/>
  <c r="AY1238" i="2"/>
  <c r="AR1239" i="2"/>
  <c r="AS1239" i="2"/>
  <c r="AT1239" i="2"/>
  <c r="AU1239" i="2"/>
  <c r="AV1239" i="2"/>
  <c r="AW1239" i="2" s="1"/>
  <c r="AX1239" i="2"/>
  <c r="AY1239" i="2"/>
  <c r="AR1240" i="2"/>
  <c r="AS1240" i="2"/>
  <c r="AT1240" i="2"/>
  <c r="AU1240" i="2"/>
  <c r="AV1240" i="2"/>
  <c r="AW1240" i="2" s="1"/>
  <c r="AX1240" i="2"/>
  <c r="AY1240" i="2"/>
  <c r="AR1241" i="2"/>
  <c r="AS1241" i="2"/>
  <c r="AT1241" i="2"/>
  <c r="AU1241" i="2"/>
  <c r="AV1241" i="2"/>
  <c r="AW1241" i="2" s="1"/>
  <c r="AX1241" i="2"/>
  <c r="AY1241" i="2"/>
  <c r="AR1242" i="2"/>
  <c r="AS1242" i="2"/>
  <c r="AT1242" i="2"/>
  <c r="AU1242" i="2"/>
  <c r="AV1242" i="2"/>
  <c r="AW1242" i="2" s="1"/>
  <c r="AX1242" i="2"/>
  <c r="AY1242" i="2"/>
  <c r="AR1243" i="2"/>
  <c r="AS1243" i="2"/>
  <c r="AT1243" i="2"/>
  <c r="AU1243" i="2"/>
  <c r="AV1243" i="2"/>
  <c r="AW1243" i="2" s="1"/>
  <c r="AX1243" i="2"/>
  <c r="AY1243" i="2"/>
  <c r="AR1244" i="2"/>
  <c r="AS1244" i="2"/>
  <c r="AT1244" i="2"/>
  <c r="AU1244" i="2"/>
  <c r="AV1244" i="2"/>
  <c r="AW1244" i="2" s="1"/>
  <c r="AX1244" i="2"/>
  <c r="AY1244" i="2"/>
  <c r="AR1245" i="2"/>
  <c r="AS1245" i="2"/>
  <c r="AT1245" i="2"/>
  <c r="AU1245" i="2"/>
  <c r="AV1245" i="2"/>
  <c r="AW1245" i="2" s="1"/>
  <c r="AX1245" i="2"/>
  <c r="AY1245" i="2"/>
  <c r="AR1246" i="2"/>
  <c r="AS1246" i="2"/>
  <c r="AT1246" i="2"/>
  <c r="AU1246" i="2"/>
  <c r="AV1246" i="2"/>
  <c r="AW1246" i="2" s="1"/>
  <c r="AX1246" i="2"/>
  <c r="AY1246" i="2"/>
  <c r="AR1247" i="2"/>
  <c r="AS1247" i="2"/>
  <c r="AT1247" i="2"/>
  <c r="AU1247" i="2"/>
  <c r="AV1247" i="2"/>
  <c r="AW1247" i="2" s="1"/>
  <c r="AX1247" i="2"/>
  <c r="AY1247" i="2"/>
  <c r="AR1248" i="2"/>
  <c r="AS1248" i="2"/>
  <c r="AT1248" i="2"/>
  <c r="AU1248" i="2"/>
  <c r="AV1248" i="2"/>
  <c r="AW1248" i="2" s="1"/>
  <c r="AX1248" i="2"/>
  <c r="AY1248" i="2"/>
  <c r="AR1249" i="2"/>
  <c r="AS1249" i="2"/>
  <c r="AT1249" i="2"/>
  <c r="AU1249" i="2"/>
  <c r="AV1249" i="2"/>
  <c r="AW1249" i="2" s="1"/>
  <c r="AX1249" i="2"/>
  <c r="AY1249" i="2"/>
  <c r="AR1250" i="2"/>
  <c r="AS1250" i="2"/>
  <c r="AT1250" i="2"/>
  <c r="AU1250" i="2"/>
  <c r="AV1250" i="2"/>
  <c r="AW1250" i="2" s="1"/>
  <c r="AX1250" i="2"/>
  <c r="AY1250" i="2"/>
  <c r="AR1251" i="2"/>
  <c r="AS1251" i="2"/>
  <c r="AT1251" i="2"/>
  <c r="AU1251" i="2"/>
  <c r="AV1251" i="2"/>
  <c r="AW1251" i="2" s="1"/>
  <c r="AX1251" i="2"/>
  <c r="AY1251" i="2"/>
  <c r="AR1252" i="2"/>
  <c r="AS1252" i="2"/>
  <c r="AT1252" i="2"/>
  <c r="AU1252" i="2"/>
  <c r="AV1252" i="2"/>
  <c r="AW1252" i="2" s="1"/>
  <c r="AX1252" i="2"/>
  <c r="AY1252" i="2"/>
  <c r="AR1253" i="2"/>
  <c r="AS1253" i="2"/>
  <c r="AT1253" i="2"/>
  <c r="AU1253" i="2"/>
  <c r="AV1253" i="2"/>
  <c r="AW1253" i="2" s="1"/>
  <c r="AX1253" i="2"/>
  <c r="AY1253" i="2"/>
  <c r="AR1254" i="2"/>
  <c r="AS1254" i="2"/>
  <c r="AT1254" i="2"/>
  <c r="AU1254" i="2"/>
  <c r="AV1254" i="2"/>
  <c r="AW1254" i="2" s="1"/>
  <c r="AX1254" i="2"/>
  <c r="AY1254" i="2"/>
  <c r="AR1255" i="2"/>
  <c r="AS1255" i="2"/>
  <c r="AT1255" i="2"/>
  <c r="AU1255" i="2"/>
  <c r="AV1255" i="2"/>
  <c r="AW1255" i="2" s="1"/>
  <c r="AX1255" i="2"/>
  <c r="AY1255" i="2"/>
  <c r="AR1256" i="2"/>
  <c r="AS1256" i="2"/>
  <c r="AT1256" i="2"/>
  <c r="AU1256" i="2"/>
  <c r="AV1256" i="2"/>
  <c r="AW1256" i="2" s="1"/>
  <c r="AX1256" i="2"/>
  <c r="AY1256" i="2"/>
  <c r="AR1257" i="2"/>
  <c r="AS1257" i="2"/>
  <c r="AT1257" i="2"/>
  <c r="AU1257" i="2"/>
  <c r="AV1257" i="2"/>
  <c r="AW1257" i="2" s="1"/>
  <c r="AX1257" i="2"/>
  <c r="AY1257" i="2"/>
  <c r="AR1258" i="2"/>
  <c r="AS1258" i="2"/>
  <c r="AT1258" i="2"/>
  <c r="AU1258" i="2"/>
  <c r="AV1258" i="2"/>
  <c r="AW1258" i="2" s="1"/>
  <c r="AX1258" i="2"/>
  <c r="AY1258" i="2"/>
  <c r="AR1259" i="2"/>
  <c r="AS1259" i="2"/>
  <c r="AT1259" i="2"/>
  <c r="AU1259" i="2"/>
  <c r="AV1259" i="2"/>
  <c r="AW1259" i="2" s="1"/>
  <c r="AX1259" i="2"/>
  <c r="AY1259" i="2"/>
  <c r="AR1260" i="2"/>
  <c r="AS1260" i="2"/>
  <c r="AT1260" i="2"/>
  <c r="AU1260" i="2"/>
  <c r="AV1260" i="2"/>
  <c r="AW1260" i="2" s="1"/>
  <c r="AX1260" i="2"/>
  <c r="AY1260" i="2"/>
  <c r="AR1261" i="2"/>
  <c r="AS1261" i="2"/>
  <c r="AT1261" i="2"/>
  <c r="AU1261" i="2"/>
  <c r="AV1261" i="2"/>
  <c r="AW1261" i="2" s="1"/>
  <c r="AX1261" i="2"/>
  <c r="AY1261" i="2"/>
  <c r="AR1262" i="2"/>
  <c r="AS1262" i="2"/>
  <c r="AT1262" i="2"/>
  <c r="AU1262" i="2"/>
  <c r="AV1262" i="2"/>
  <c r="AW1262" i="2" s="1"/>
  <c r="AX1262" i="2"/>
  <c r="AY1262" i="2"/>
  <c r="AR1263" i="2"/>
  <c r="AS1263" i="2"/>
  <c r="AT1263" i="2"/>
  <c r="AU1263" i="2"/>
  <c r="AV1263" i="2"/>
  <c r="AW1263" i="2" s="1"/>
  <c r="AX1263" i="2"/>
  <c r="AY1263" i="2"/>
  <c r="AR1264" i="2"/>
  <c r="AS1264" i="2"/>
  <c r="AT1264" i="2"/>
  <c r="AU1264" i="2"/>
  <c r="AV1264" i="2"/>
  <c r="AW1264" i="2" s="1"/>
  <c r="AX1264" i="2"/>
  <c r="AY1264" i="2"/>
  <c r="AR1265" i="2"/>
  <c r="AS1265" i="2"/>
  <c r="AT1265" i="2"/>
  <c r="AU1265" i="2"/>
  <c r="AV1265" i="2"/>
  <c r="AW1265" i="2" s="1"/>
  <c r="AX1265" i="2"/>
  <c r="AY1265" i="2"/>
  <c r="AR1266" i="2"/>
  <c r="AS1266" i="2"/>
  <c r="AT1266" i="2"/>
  <c r="AU1266" i="2"/>
  <c r="AV1266" i="2"/>
  <c r="AW1266" i="2" s="1"/>
  <c r="AX1266" i="2"/>
  <c r="AY1266" i="2"/>
  <c r="AR1267" i="2"/>
  <c r="AS1267" i="2"/>
  <c r="AT1267" i="2"/>
  <c r="AU1267" i="2"/>
  <c r="AV1267" i="2"/>
  <c r="AW1267" i="2" s="1"/>
  <c r="AX1267" i="2"/>
  <c r="AY1267" i="2"/>
  <c r="AR1268" i="2"/>
  <c r="AS1268" i="2"/>
  <c r="AT1268" i="2"/>
  <c r="AU1268" i="2"/>
  <c r="AV1268" i="2"/>
  <c r="AW1268" i="2" s="1"/>
  <c r="AX1268" i="2"/>
  <c r="AY1268" i="2"/>
  <c r="AR1269" i="2"/>
  <c r="AS1269" i="2"/>
  <c r="AT1269" i="2"/>
  <c r="AU1269" i="2"/>
  <c r="AV1269" i="2"/>
  <c r="AW1269" i="2" s="1"/>
  <c r="AX1269" i="2"/>
  <c r="AY1269" i="2"/>
  <c r="AR1270" i="2"/>
  <c r="AS1270" i="2"/>
  <c r="AT1270" i="2"/>
  <c r="AU1270" i="2"/>
  <c r="AV1270" i="2"/>
  <c r="AW1270" i="2" s="1"/>
  <c r="AX1270" i="2"/>
  <c r="AY1270" i="2"/>
  <c r="AR1271" i="2"/>
  <c r="AS1271" i="2"/>
  <c r="AT1271" i="2"/>
  <c r="AU1271" i="2"/>
  <c r="AV1271" i="2"/>
  <c r="AW1271" i="2" s="1"/>
  <c r="AX1271" i="2"/>
  <c r="AY1271" i="2"/>
  <c r="AR1272" i="2"/>
  <c r="AS1272" i="2"/>
  <c r="AT1272" i="2"/>
  <c r="AU1272" i="2"/>
  <c r="AV1272" i="2"/>
  <c r="AW1272" i="2" s="1"/>
  <c r="AX1272" i="2"/>
  <c r="AY1272" i="2"/>
  <c r="AR1273" i="2"/>
  <c r="AS1273" i="2"/>
  <c r="AT1273" i="2"/>
  <c r="AU1273" i="2"/>
  <c r="AV1273" i="2"/>
  <c r="AW1273" i="2" s="1"/>
  <c r="AX1273" i="2"/>
  <c r="AY1273" i="2"/>
  <c r="AR1274" i="2"/>
  <c r="AS1274" i="2"/>
  <c r="AT1274" i="2"/>
  <c r="AU1274" i="2"/>
  <c r="AV1274" i="2"/>
  <c r="AW1274" i="2" s="1"/>
  <c r="AX1274" i="2"/>
  <c r="AY1274" i="2"/>
  <c r="AR1275" i="2"/>
  <c r="AS1275" i="2"/>
  <c r="AT1275" i="2"/>
  <c r="AU1275" i="2"/>
  <c r="AV1275" i="2"/>
  <c r="AW1275" i="2" s="1"/>
  <c r="AX1275" i="2"/>
  <c r="AY1275" i="2"/>
  <c r="AR1276" i="2"/>
  <c r="AS1276" i="2"/>
  <c r="AT1276" i="2"/>
  <c r="AU1276" i="2"/>
  <c r="AV1276" i="2"/>
  <c r="AW1276" i="2" s="1"/>
  <c r="AX1276" i="2"/>
  <c r="AY1276" i="2"/>
  <c r="AR1277" i="2"/>
  <c r="AS1277" i="2"/>
  <c r="AT1277" i="2"/>
  <c r="AU1277" i="2"/>
  <c r="AV1277" i="2"/>
  <c r="AW1277" i="2" s="1"/>
  <c r="AX1277" i="2"/>
  <c r="AY1277" i="2"/>
  <c r="AR1278" i="2"/>
  <c r="AS1278" i="2"/>
  <c r="AT1278" i="2"/>
  <c r="AU1278" i="2"/>
  <c r="AV1278" i="2"/>
  <c r="AW1278" i="2" s="1"/>
  <c r="AX1278" i="2"/>
  <c r="AY1278" i="2"/>
  <c r="AR1279" i="2"/>
  <c r="AS1279" i="2"/>
  <c r="AT1279" i="2"/>
  <c r="AU1279" i="2"/>
  <c r="AV1279" i="2"/>
  <c r="AW1279" i="2" s="1"/>
  <c r="AX1279" i="2"/>
  <c r="AY1279" i="2"/>
  <c r="AR1280" i="2"/>
  <c r="AS1280" i="2"/>
  <c r="AT1280" i="2"/>
  <c r="AU1280" i="2"/>
  <c r="AV1280" i="2"/>
  <c r="AW1280" i="2" s="1"/>
  <c r="AX1280" i="2"/>
  <c r="AY1280" i="2"/>
  <c r="AR1281" i="2"/>
  <c r="AS1281" i="2"/>
  <c r="AT1281" i="2"/>
  <c r="AU1281" i="2"/>
  <c r="AV1281" i="2"/>
  <c r="AW1281" i="2" s="1"/>
  <c r="AX1281" i="2"/>
  <c r="AY1281" i="2"/>
  <c r="AR1282" i="2"/>
  <c r="AS1282" i="2"/>
  <c r="AT1282" i="2"/>
  <c r="AU1282" i="2"/>
  <c r="AV1282" i="2"/>
  <c r="AW1282" i="2" s="1"/>
  <c r="AX1282" i="2"/>
  <c r="AY1282" i="2"/>
  <c r="AR1283" i="2"/>
  <c r="AS1283" i="2"/>
  <c r="AT1283" i="2"/>
  <c r="AU1283" i="2"/>
  <c r="AV1283" i="2"/>
  <c r="AW1283" i="2" s="1"/>
  <c r="AX1283" i="2"/>
  <c r="AY1283" i="2"/>
  <c r="AR1284" i="2"/>
  <c r="AS1284" i="2"/>
  <c r="AT1284" i="2"/>
  <c r="AU1284" i="2"/>
  <c r="AV1284" i="2"/>
  <c r="AW1284" i="2" s="1"/>
  <c r="AX1284" i="2"/>
  <c r="AY1284" i="2"/>
  <c r="AR1285" i="2"/>
  <c r="AS1285" i="2"/>
  <c r="AT1285" i="2"/>
  <c r="AU1285" i="2"/>
  <c r="AV1285" i="2"/>
  <c r="AW1285" i="2" s="1"/>
  <c r="AX1285" i="2"/>
  <c r="AY1285" i="2"/>
  <c r="AR1286" i="2"/>
  <c r="AS1286" i="2"/>
  <c r="AT1286" i="2"/>
  <c r="AU1286" i="2"/>
  <c r="AV1286" i="2"/>
  <c r="AW1286" i="2" s="1"/>
  <c r="AX1286" i="2"/>
  <c r="AY1286" i="2"/>
  <c r="AR1287" i="2"/>
  <c r="AS1287" i="2"/>
  <c r="AT1287" i="2"/>
  <c r="AU1287" i="2"/>
  <c r="AV1287" i="2"/>
  <c r="AW1287" i="2" s="1"/>
  <c r="AX1287" i="2"/>
  <c r="AY1287" i="2"/>
  <c r="AR1288" i="2"/>
  <c r="AS1288" i="2"/>
  <c r="AT1288" i="2"/>
  <c r="AU1288" i="2"/>
  <c r="AV1288" i="2"/>
  <c r="AW1288" i="2" s="1"/>
  <c r="AX1288" i="2"/>
  <c r="AY1288" i="2"/>
  <c r="AR1289" i="2"/>
  <c r="AS1289" i="2"/>
  <c r="AT1289" i="2"/>
  <c r="AU1289" i="2"/>
  <c r="AV1289" i="2"/>
  <c r="AW1289" i="2" s="1"/>
  <c r="AX1289" i="2"/>
  <c r="AY1289" i="2"/>
  <c r="AR1290" i="2"/>
  <c r="AS1290" i="2"/>
  <c r="AT1290" i="2"/>
  <c r="AU1290" i="2"/>
  <c r="AV1290" i="2"/>
  <c r="AW1290" i="2" s="1"/>
  <c r="AX1290" i="2"/>
  <c r="AY1290" i="2"/>
  <c r="AR1291" i="2"/>
  <c r="AS1291" i="2"/>
  <c r="AT1291" i="2"/>
  <c r="AU1291" i="2"/>
  <c r="AV1291" i="2"/>
  <c r="AW1291" i="2" s="1"/>
  <c r="AX1291" i="2"/>
  <c r="AY1291" i="2"/>
  <c r="AR1292" i="2"/>
  <c r="AS1292" i="2"/>
  <c r="AT1292" i="2"/>
  <c r="AU1292" i="2"/>
  <c r="AV1292" i="2"/>
  <c r="AW1292" i="2" s="1"/>
  <c r="AX1292" i="2"/>
  <c r="AY1292" i="2"/>
  <c r="AR1293" i="2"/>
  <c r="AS1293" i="2"/>
  <c r="AT1293" i="2"/>
  <c r="AU1293" i="2"/>
  <c r="AV1293" i="2"/>
  <c r="AW1293" i="2" s="1"/>
  <c r="AX1293" i="2"/>
  <c r="AY1293" i="2"/>
  <c r="AR1294" i="2"/>
  <c r="AS1294" i="2"/>
  <c r="AT1294" i="2"/>
  <c r="AU1294" i="2"/>
  <c r="AV1294" i="2"/>
  <c r="AW1294" i="2" s="1"/>
  <c r="AX1294" i="2"/>
  <c r="AY1294" i="2"/>
  <c r="AR1295" i="2"/>
  <c r="AS1295" i="2"/>
  <c r="AT1295" i="2"/>
  <c r="AU1295" i="2"/>
  <c r="AV1295" i="2"/>
  <c r="AW1295" i="2" s="1"/>
  <c r="AX1295" i="2"/>
  <c r="AY1295" i="2"/>
  <c r="AR1296" i="2"/>
  <c r="AS1296" i="2"/>
  <c r="AT1296" i="2"/>
  <c r="AU1296" i="2"/>
  <c r="AV1296" i="2"/>
  <c r="AW1296" i="2" s="1"/>
  <c r="AX1296" i="2"/>
  <c r="AY1296" i="2"/>
  <c r="AR1297" i="2"/>
  <c r="AS1297" i="2"/>
  <c r="AT1297" i="2"/>
  <c r="AU1297" i="2"/>
  <c r="AV1297" i="2"/>
  <c r="AW1297" i="2" s="1"/>
  <c r="AX1297" i="2"/>
  <c r="AY1297" i="2"/>
  <c r="AR1298" i="2"/>
  <c r="AS1298" i="2"/>
  <c r="AT1298" i="2"/>
  <c r="AU1298" i="2"/>
  <c r="AV1298" i="2"/>
  <c r="AW1298" i="2" s="1"/>
  <c r="AX1298" i="2"/>
  <c r="AY1298" i="2"/>
  <c r="AR1299" i="2"/>
  <c r="AS1299" i="2"/>
  <c r="AT1299" i="2"/>
  <c r="AU1299" i="2"/>
  <c r="AV1299" i="2"/>
  <c r="AW1299" i="2" s="1"/>
  <c r="AX1299" i="2"/>
  <c r="AY1299" i="2"/>
  <c r="AR1300" i="2"/>
  <c r="AS1300" i="2"/>
  <c r="AT1300" i="2"/>
  <c r="AU1300" i="2"/>
  <c r="AV1300" i="2"/>
  <c r="AW1300" i="2" s="1"/>
  <c r="AX1300" i="2"/>
  <c r="AY1300" i="2"/>
  <c r="AR1301" i="2"/>
  <c r="AS1301" i="2"/>
  <c r="AT1301" i="2"/>
  <c r="AU1301" i="2"/>
  <c r="AV1301" i="2"/>
  <c r="AW1301" i="2" s="1"/>
  <c r="AX1301" i="2"/>
  <c r="AY1301" i="2"/>
  <c r="AR1302" i="2"/>
  <c r="AS1302" i="2"/>
  <c r="AT1302" i="2"/>
  <c r="AU1302" i="2"/>
  <c r="AV1302" i="2"/>
  <c r="AW1302" i="2" s="1"/>
  <c r="AX1302" i="2"/>
  <c r="AY1302" i="2"/>
  <c r="AR1303" i="2"/>
  <c r="AS1303" i="2"/>
  <c r="AT1303" i="2"/>
  <c r="AU1303" i="2"/>
  <c r="AV1303" i="2"/>
  <c r="AW1303" i="2" s="1"/>
  <c r="AX1303" i="2"/>
  <c r="AY1303" i="2"/>
  <c r="AR1304" i="2"/>
  <c r="AS1304" i="2"/>
  <c r="AT1304" i="2"/>
  <c r="AU1304" i="2"/>
  <c r="AV1304" i="2"/>
  <c r="AW1304" i="2" s="1"/>
  <c r="AX1304" i="2"/>
  <c r="AY1304" i="2"/>
  <c r="AR1305" i="2"/>
  <c r="AS1305" i="2"/>
  <c r="AT1305" i="2"/>
  <c r="AU1305" i="2"/>
  <c r="AV1305" i="2"/>
  <c r="AW1305" i="2" s="1"/>
  <c r="AX1305" i="2"/>
  <c r="AY1305" i="2"/>
  <c r="AR1306" i="2"/>
  <c r="AS1306" i="2"/>
  <c r="AT1306" i="2"/>
  <c r="AU1306" i="2"/>
  <c r="AV1306" i="2"/>
  <c r="AW1306" i="2" s="1"/>
  <c r="AX1306" i="2"/>
  <c r="AY1306" i="2"/>
  <c r="AR1307" i="2"/>
  <c r="AS1307" i="2"/>
  <c r="AT1307" i="2"/>
  <c r="AU1307" i="2"/>
  <c r="AV1307" i="2"/>
  <c r="AW1307" i="2" s="1"/>
  <c r="AX1307" i="2"/>
  <c r="AY1307" i="2"/>
  <c r="AR1308" i="2"/>
  <c r="AS1308" i="2"/>
  <c r="AT1308" i="2"/>
  <c r="AU1308" i="2"/>
  <c r="AV1308" i="2"/>
  <c r="AW1308" i="2" s="1"/>
  <c r="AX1308" i="2"/>
  <c r="AY1308" i="2"/>
  <c r="AR1309" i="2"/>
  <c r="AS1309" i="2"/>
  <c r="AT1309" i="2"/>
  <c r="AU1309" i="2"/>
  <c r="AV1309" i="2"/>
  <c r="AW1309" i="2" s="1"/>
  <c r="AX1309" i="2"/>
  <c r="AY1309" i="2"/>
  <c r="AR1310" i="2"/>
  <c r="AS1310" i="2"/>
  <c r="AT1310" i="2"/>
  <c r="AU1310" i="2"/>
  <c r="AV1310" i="2"/>
  <c r="AW1310" i="2" s="1"/>
  <c r="AX1310" i="2"/>
  <c r="AY1310" i="2"/>
  <c r="AR1311" i="2"/>
  <c r="AS1311" i="2"/>
  <c r="AT1311" i="2"/>
  <c r="AU1311" i="2"/>
  <c r="AV1311" i="2"/>
  <c r="AW1311" i="2" s="1"/>
  <c r="AX1311" i="2"/>
  <c r="AY1311" i="2"/>
  <c r="AR1312" i="2"/>
  <c r="AS1312" i="2"/>
  <c r="AT1312" i="2"/>
  <c r="AU1312" i="2"/>
  <c r="AV1312" i="2"/>
  <c r="AW1312" i="2" s="1"/>
  <c r="AX1312" i="2"/>
  <c r="AY1312" i="2"/>
  <c r="AR1313" i="2"/>
  <c r="AS1313" i="2"/>
  <c r="AT1313" i="2"/>
  <c r="AU1313" i="2"/>
  <c r="AV1313" i="2"/>
  <c r="AW1313" i="2" s="1"/>
  <c r="AX1313" i="2"/>
  <c r="AY1313" i="2"/>
  <c r="AR1314" i="2"/>
  <c r="AS1314" i="2"/>
  <c r="AT1314" i="2"/>
  <c r="AU1314" i="2"/>
  <c r="AV1314" i="2"/>
  <c r="AW1314" i="2" s="1"/>
  <c r="AX1314" i="2"/>
  <c r="AY1314" i="2"/>
  <c r="AR1315" i="2"/>
  <c r="AS1315" i="2"/>
  <c r="AT1315" i="2"/>
  <c r="AU1315" i="2"/>
  <c r="AV1315" i="2"/>
  <c r="AW1315" i="2" s="1"/>
  <c r="AX1315" i="2"/>
  <c r="AY1315" i="2"/>
  <c r="AR1316" i="2"/>
  <c r="AS1316" i="2"/>
  <c r="AT1316" i="2"/>
  <c r="AU1316" i="2"/>
  <c r="AV1316" i="2"/>
  <c r="AW1316" i="2" s="1"/>
  <c r="AX1316" i="2"/>
  <c r="AY1316" i="2"/>
  <c r="AR1317" i="2"/>
  <c r="AS1317" i="2"/>
  <c r="AT1317" i="2"/>
  <c r="AU1317" i="2"/>
  <c r="AV1317" i="2"/>
  <c r="AW1317" i="2" s="1"/>
  <c r="AX1317" i="2"/>
  <c r="AY1317" i="2"/>
  <c r="AR1318" i="2"/>
  <c r="AS1318" i="2"/>
  <c r="AT1318" i="2"/>
  <c r="AU1318" i="2"/>
  <c r="AV1318" i="2"/>
  <c r="AW1318" i="2" s="1"/>
  <c r="AX1318" i="2"/>
  <c r="AY1318" i="2"/>
  <c r="AR1319" i="2"/>
  <c r="AS1319" i="2"/>
  <c r="AT1319" i="2"/>
  <c r="AU1319" i="2"/>
  <c r="AV1319" i="2"/>
  <c r="AW1319" i="2" s="1"/>
  <c r="AX1319" i="2"/>
  <c r="AY1319" i="2"/>
  <c r="AR1320" i="2"/>
  <c r="AS1320" i="2"/>
  <c r="AT1320" i="2"/>
  <c r="AU1320" i="2"/>
  <c r="AV1320" i="2"/>
  <c r="AW1320" i="2" s="1"/>
  <c r="AX1320" i="2"/>
  <c r="AY1320" i="2"/>
  <c r="AR1321" i="2"/>
  <c r="AS1321" i="2"/>
  <c r="AT1321" i="2"/>
  <c r="AU1321" i="2"/>
  <c r="AV1321" i="2"/>
  <c r="AW1321" i="2" s="1"/>
  <c r="AX1321" i="2"/>
  <c r="AY1321" i="2"/>
  <c r="AR1322" i="2"/>
  <c r="AS1322" i="2"/>
  <c r="AT1322" i="2"/>
  <c r="AU1322" i="2"/>
  <c r="AV1322" i="2"/>
  <c r="AW1322" i="2" s="1"/>
  <c r="AX1322" i="2"/>
  <c r="AY1322" i="2"/>
  <c r="AR1323" i="2"/>
  <c r="AS1323" i="2"/>
  <c r="AT1323" i="2"/>
  <c r="AU1323" i="2"/>
  <c r="AV1323" i="2"/>
  <c r="AW1323" i="2" s="1"/>
  <c r="AX1323" i="2"/>
  <c r="AY1323" i="2"/>
  <c r="AR1324" i="2"/>
  <c r="AS1324" i="2"/>
  <c r="AT1324" i="2"/>
  <c r="AU1324" i="2"/>
  <c r="AV1324" i="2"/>
  <c r="AW1324" i="2" s="1"/>
  <c r="AX1324" i="2"/>
  <c r="AY1324" i="2"/>
  <c r="AR1325" i="2"/>
  <c r="AS1325" i="2"/>
  <c r="AT1325" i="2"/>
  <c r="AU1325" i="2"/>
  <c r="AV1325" i="2"/>
  <c r="AW1325" i="2" s="1"/>
  <c r="AX1325" i="2"/>
  <c r="AY1325" i="2"/>
  <c r="AR1326" i="2"/>
  <c r="AS1326" i="2"/>
  <c r="AT1326" i="2"/>
  <c r="AU1326" i="2"/>
  <c r="AV1326" i="2"/>
  <c r="AW1326" i="2" s="1"/>
  <c r="AX1326" i="2"/>
  <c r="AY1326" i="2"/>
  <c r="AR1327" i="2"/>
  <c r="AS1327" i="2"/>
  <c r="AT1327" i="2"/>
  <c r="AU1327" i="2"/>
  <c r="AV1327" i="2"/>
  <c r="AW1327" i="2" s="1"/>
  <c r="AX1327" i="2"/>
  <c r="AY1327" i="2"/>
  <c r="AR1328" i="2"/>
  <c r="AS1328" i="2"/>
  <c r="AT1328" i="2"/>
  <c r="AU1328" i="2"/>
  <c r="AV1328" i="2"/>
  <c r="AW1328" i="2" s="1"/>
  <c r="AX1328" i="2"/>
  <c r="AY1328" i="2"/>
  <c r="AR1329" i="2"/>
  <c r="AS1329" i="2"/>
  <c r="AT1329" i="2"/>
  <c r="AU1329" i="2"/>
  <c r="AV1329" i="2"/>
  <c r="AW1329" i="2" s="1"/>
  <c r="AX1329" i="2"/>
  <c r="AY1329" i="2"/>
  <c r="AR1330" i="2"/>
  <c r="AS1330" i="2"/>
  <c r="AT1330" i="2"/>
  <c r="AU1330" i="2"/>
  <c r="AV1330" i="2"/>
  <c r="AW1330" i="2" s="1"/>
  <c r="AX1330" i="2"/>
  <c r="AY1330" i="2"/>
  <c r="AR1331" i="2"/>
  <c r="AS1331" i="2"/>
  <c r="AT1331" i="2"/>
  <c r="AU1331" i="2"/>
  <c r="AV1331" i="2"/>
  <c r="AW1331" i="2" s="1"/>
  <c r="AX1331" i="2"/>
  <c r="AY1331" i="2"/>
  <c r="AR1332" i="2"/>
  <c r="AS1332" i="2"/>
  <c r="AT1332" i="2"/>
  <c r="AU1332" i="2"/>
  <c r="AV1332" i="2"/>
  <c r="AW1332" i="2" s="1"/>
  <c r="AX1332" i="2"/>
  <c r="AY1332" i="2"/>
  <c r="AR1333" i="2"/>
  <c r="AS1333" i="2"/>
  <c r="AT1333" i="2"/>
  <c r="AU1333" i="2"/>
  <c r="AV1333" i="2"/>
  <c r="AW1333" i="2" s="1"/>
  <c r="AX1333" i="2"/>
  <c r="AY1333" i="2"/>
  <c r="AR1334" i="2"/>
  <c r="AS1334" i="2"/>
  <c r="AT1334" i="2"/>
  <c r="AU1334" i="2"/>
  <c r="AV1334" i="2"/>
  <c r="AW1334" i="2" s="1"/>
  <c r="AX1334" i="2"/>
  <c r="AY1334" i="2"/>
  <c r="AR1335" i="2"/>
  <c r="AS1335" i="2"/>
  <c r="AT1335" i="2"/>
  <c r="AU1335" i="2"/>
  <c r="AV1335" i="2"/>
  <c r="AW1335" i="2" s="1"/>
  <c r="AX1335" i="2"/>
  <c r="AY1335" i="2"/>
  <c r="AR1336" i="2"/>
  <c r="AS1336" i="2"/>
  <c r="AT1336" i="2"/>
  <c r="AU1336" i="2"/>
  <c r="AV1336" i="2"/>
  <c r="AW1336" i="2" s="1"/>
  <c r="AX1336" i="2"/>
  <c r="AY1336" i="2"/>
  <c r="AR1337" i="2"/>
  <c r="AS1337" i="2"/>
  <c r="AT1337" i="2"/>
  <c r="AU1337" i="2"/>
  <c r="AV1337" i="2"/>
  <c r="AW1337" i="2" s="1"/>
  <c r="AX1337" i="2"/>
  <c r="AY1337" i="2"/>
  <c r="AR1338" i="2"/>
  <c r="AS1338" i="2"/>
  <c r="AT1338" i="2"/>
  <c r="AU1338" i="2"/>
  <c r="AV1338" i="2"/>
  <c r="AW1338" i="2" s="1"/>
  <c r="AX1338" i="2"/>
  <c r="AY1338" i="2"/>
  <c r="AR1339" i="2"/>
  <c r="AS1339" i="2"/>
  <c r="AT1339" i="2"/>
  <c r="AU1339" i="2"/>
  <c r="AV1339" i="2"/>
  <c r="AW1339" i="2" s="1"/>
  <c r="AX1339" i="2"/>
  <c r="AY1339" i="2"/>
  <c r="AR1340" i="2"/>
  <c r="AS1340" i="2"/>
  <c r="AT1340" i="2"/>
  <c r="AU1340" i="2"/>
  <c r="AV1340" i="2"/>
  <c r="AW1340" i="2" s="1"/>
  <c r="AX1340" i="2"/>
  <c r="AY1340" i="2"/>
  <c r="AR1341" i="2"/>
  <c r="AS1341" i="2"/>
  <c r="AT1341" i="2"/>
  <c r="AU1341" i="2"/>
  <c r="AV1341" i="2"/>
  <c r="AW1341" i="2" s="1"/>
  <c r="AX1341" i="2"/>
  <c r="AY1341" i="2"/>
  <c r="AR1342" i="2"/>
  <c r="AS1342" i="2"/>
  <c r="AT1342" i="2"/>
  <c r="AU1342" i="2"/>
  <c r="AV1342" i="2"/>
  <c r="AW1342" i="2" s="1"/>
  <c r="AX1342" i="2"/>
  <c r="AY1342" i="2"/>
  <c r="AR1343" i="2"/>
  <c r="AS1343" i="2"/>
  <c r="AT1343" i="2"/>
  <c r="AU1343" i="2"/>
  <c r="AV1343" i="2"/>
  <c r="AW1343" i="2" s="1"/>
  <c r="AX1343" i="2"/>
  <c r="AY1343" i="2"/>
  <c r="AR1344" i="2"/>
  <c r="AS1344" i="2"/>
  <c r="AT1344" i="2"/>
  <c r="AU1344" i="2"/>
  <c r="AV1344" i="2"/>
  <c r="AW1344" i="2" s="1"/>
  <c r="AX1344" i="2"/>
  <c r="AY1344" i="2"/>
  <c r="AR1345" i="2"/>
  <c r="AS1345" i="2"/>
  <c r="AT1345" i="2"/>
  <c r="AU1345" i="2"/>
  <c r="AV1345" i="2"/>
  <c r="AW1345" i="2" s="1"/>
  <c r="AX1345" i="2"/>
  <c r="AY1345" i="2"/>
  <c r="AR1346" i="2"/>
  <c r="AS1346" i="2"/>
  <c r="AT1346" i="2"/>
  <c r="AU1346" i="2"/>
  <c r="AV1346" i="2"/>
  <c r="AW1346" i="2" s="1"/>
  <c r="AX1346" i="2"/>
  <c r="AY1346" i="2"/>
  <c r="AR1347" i="2"/>
  <c r="AS1347" i="2"/>
  <c r="AT1347" i="2"/>
  <c r="AU1347" i="2"/>
  <c r="AV1347" i="2"/>
  <c r="AW1347" i="2" s="1"/>
  <c r="AX1347" i="2"/>
  <c r="AY1347" i="2"/>
  <c r="AR1348" i="2"/>
  <c r="AS1348" i="2"/>
  <c r="AT1348" i="2"/>
  <c r="AU1348" i="2"/>
  <c r="AV1348" i="2"/>
  <c r="AW1348" i="2" s="1"/>
  <c r="AX1348" i="2"/>
  <c r="AY1348" i="2"/>
  <c r="AR1349" i="2"/>
  <c r="AS1349" i="2"/>
  <c r="AT1349" i="2"/>
  <c r="AU1349" i="2"/>
  <c r="AV1349" i="2"/>
  <c r="AW1349" i="2" s="1"/>
  <c r="AX1349" i="2"/>
  <c r="AY1349" i="2"/>
  <c r="AR1350" i="2"/>
  <c r="AS1350" i="2"/>
  <c r="AT1350" i="2"/>
  <c r="AU1350" i="2"/>
  <c r="AV1350" i="2"/>
  <c r="AW1350" i="2" s="1"/>
  <c r="AX1350" i="2"/>
  <c r="AY1350" i="2"/>
  <c r="AR1351" i="2"/>
  <c r="AS1351" i="2"/>
  <c r="AT1351" i="2"/>
  <c r="AU1351" i="2"/>
  <c r="AV1351" i="2"/>
  <c r="AW1351" i="2" s="1"/>
  <c r="AX1351" i="2"/>
  <c r="AY1351" i="2"/>
  <c r="AR1352" i="2"/>
  <c r="AS1352" i="2"/>
  <c r="AT1352" i="2"/>
  <c r="AU1352" i="2"/>
  <c r="AV1352" i="2"/>
  <c r="AW1352" i="2" s="1"/>
  <c r="AX1352" i="2"/>
  <c r="AY1352" i="2"/>
  <c r="AR1353" i="2"/>
  <c r="AS1353" i="2"/>
  <c r="AT1353" i="2"/>
  <c r="AU1353" i="2"/>
  <c r="AV1353" i="2"/>
  <c r="AW1353" i="2" s="1"/>
  <c r="AX1353" i="2"/>
  <c r="AY1353" i="2"/>
  <c r="AR1354" i="2"/>
  <c r="AS1354" i="2"/>
  <c r="AT1354" i="2"/>
  <c r="AU1354" i="2"/>
  <c r="AV1354" i="2"/>
  <c r="AW1354" i="2" s="1"/>
  <c r="AX1354" i="2"/>
  <c r="AY1354" i="2"/>
  <c r="AR1355" i="2"/>
  <c r="AS1355" i="2"/>
  <c r="AT1355" i="2"/>
  <c r="AU1355" i="2"/>
  <c r="AV1355" i="2"/>
  <c r="AW1355" i="2" s="1"/>
  <c r="AX1355" i="2"/>
  <c r="AY1355" i="2"/>
  <c r="AR1356" i="2"/>
  <c r="AS1356" i="2"/>
  <c r="AT1356" i="2"/>
  <c r="AU1356" i="2"/>
  <c r="AV1356" i="2"/>
  <c r="AW1356" i="2" s="1"/>
  <c r="AX1356" i="2"/>
  <c r="AY1356" i="2"/>
  <c r="AR1357" i="2"/>
  <c r="AS1357" i="2"/>
  <c r="AT1357" i="2"/>
  <c r="AU1357" i="2"/>
  <c r="AV1357" i="2"/>
  <c r="AW1357" i="2" s="1"/>
  <c r="AX1357" i="2"/>
  <c r="AY1357" i="2"/>
  <c r="AR1358" i="2"/>
  <c r="AS1358" i="2"/>
  <c r="AT1358" i="2"/>
  <c r="AU1358" i="2"/>
  <c r="AV1358" i="2"/>
  <c r="AW1358" i="2" s="1"/>
  <c r="AX1358" i="2"/>
  <c r="AY1358" i="2"/>
  <c r="AR1359" i="2"/>
  <c r="AS1359" i="2"/>
  <c r="AT1359" i="2"/>
  <c r="AU1359" i="2"/>
  <c r="AV1359" i="2"/>
  <c r="AW1359" i="2" s="1"/>
  <c r="AX1359" i="2"/>
  <c r="AY1359" i="2"/>
  <c r="AR1360" i="2"/>
  <c r="AS1360" i="2"/>
  <c r="AT1360" i="2"/>
  <c r="AU1360" i="2"/>
  <c r="AV1360" i="2"/>
  <c r="AW1360" i="2" s="1"/>
  <c r="AX1360" i="2"/>
  <c r="AY1360" i="2"/>
  <c r="AR1361" i="2"/>
  <c r="AS1361" i="2"/>
  <c r="AT1361" i="2"/>
  <c r="AU1361" i="2"/>
  <c r="AV1361" i="2"/>
  <c r="AW1361" i="2" s="1"/>
  <c r="AX1361" i="2"/>
  <c r="AY1361" i="2"/>
  <c r="AR1362" i="2"/>
  <c r="AS1362" i="2"/>
  <c r="AT1362" i="2"/>
  <c r="AU1362" i="2"/>
  <c r="AV1362" i="2"/>
  <c r="AW1362" i="2" s="1"/>
  <c r="AX1362" i="2"/>
  <c r="AY1362" i="2"/>
  <c r="AR1363" i="2"/>
  <c r="AS1363" i="2"/>
  <c r="AT1363" i="2"/>
  <c r="AU1363" i="2"/>
  <c r="AV1363" i="2"/>
  <c r="AW1363" i="2" s="1"/>
  <c r="AX1363" i="2"/>
  <c r="AY1363" i="2"/>
  <c r="AR1364" i="2"/>
  <c r="AS1364" i="2"/>
  <c r="AT1364" i="2"/>
  <c r="AU1364" i="2"/>
  <c r="AV1364" i="2"/>
  <c r="AW1364" i="2" s="1"/>
  <c r="AX1364" i="2"/>
  <c r="AY1364" i="2"/>
  <c r="AR1365" i="2"/>
  <c r="AS1365" i="2"/>
  <c r="AT1365" i="2"/>
  <c r="AU1365" i="2"/>
  <c r="AV1365" i="2"/>
  <c r="AW1365" i="2" s="1"/>
  <c r="AX1365" i="2"/>
  <c r="AY1365" i="2"/>
  <c r="AR1366" i="2"/>
  <c r="AS1366" i="2"/>
  <c r="AT1366" i="2"/>
  <c r="AU1366" i="2"/>
  <c r="AV1366" i="2"/>
  <c r="AW1366" i="2" s="1"/>
  <c r="AX1366" i="2"/>
  <c r="AY1366" i="2"/>
  <c r="AR1367" i="2"/>
  <c r="AS1367" i="2"/>
  <c r="AT1367" i="2"/>
  <c r="AU1367" i="2"/>
  <c r="AV1367" i="2"/>
  <c r="AW1367" i="2" s="1"/>
  <c r="AX1367" i="2"/>
  <c r="AY1367" i="2"/>
  <c r="AR1368" i="2"/>
  <c r="AS1368" i="2"/>
  <c r="AT1368" i="2"/>
  <c r="AU1368" i="2"/>
  <c r="AV1368" i="2"/>
  <c r="AW1368" i="2" s="1"/>
  <c r="AX1368" i="2"/>
  <c r="AY1368" i="2"/>
  <c r="AR1369" i="2"/>
  <c r="AS1369" i="2"/>
  <c r="AT1369" i="2"/>
  <c r="AU1369" i="2"/>
  <c r="AV1369" i="2"/>
  <c r="AW1369" i="2" s="1"/>
  <c r="AX1369" i="2"/>
  <c r="AY1369" i="2"/>
  <c r="AR1370" i="2"/>
  <c r="AS1370" i="2"/>
  <c r="AT1370" i="2"/>
  <c r="AU1370" i="2"/>
  <c r="AV1370" i="2"/>
  <c r="AW1370" i="2" s="1"/>
  <c r="AX1370" i="2"/>
  <c r="AY1370" i="2"/>
  <c r="AR1371" i="2"/>
  <c r="AS1371" i="2"/>
  <c r="AT1371" i="2"/>
  <c r="AU1371" i="2"/>
  <c r="AV1371" i="2"/>
  <c r="AW1371" i="2" s="1"/>
  <c r="AX1371" i="2"/>
  <c r="AY1371" i="2"/>
  <c r="AR1372" i="2"/>
  <c r="AS1372" i="2"/>
  <c r="AT1372" i="2"/>
  <c r="AU1372" i="2"/>
  <c r="AV1372" i="2"/>
  <c r="AW1372" i="2" s="1"/>
  <c r="AX1372" i="2"/>
  <c r="AY1372" i="2"/>
  <c r="AR1373" i="2"/>
  <c r="AS1373" i="2"/>
  <c r="AT1373" i="2"/>
  <c r="AU1373" i="2"/>
  <c r="AV1373" i="2"/>
  <c r="AW1373" i="2" s="1"/>
  <c r="AX1373" i="2"/>
  <c r="AY1373" i="2"/>
  <c r="AR1374" i="2"/>
  <c r="AS1374" i="2"/>
  <c r="AT1374" i="2"/>
  <c r="AU1374" i="2"/>
  <c r="AV1374" i="2"/>
  <c r="AW1374" i="2" s="1"/>
  <c r="AX1374" i="2"/>
  <c r="AY1374" i="2"/>
  <c r="AR1375" i="2"/>
  <c r="AS1375" i="2"/>
  <c r="AT1375" i="2"/>
  <c r="AU1375" i="2"/>
  <c r="AV1375" i="2"/>
  <c r="AW1375" i="2" s="1"/>
  <c r="AX1375" i="2"/>
  <c r="AY1375" i="2"/>
  <c r="AR1376" i="2"/>
  <c r="AS1376" i="2"/>
  <c r="AT1376" i="2"/>
  <c r="AU1376" i="2"/>
  <c r="AV1376" i="2"/>
  <c r="AW1376" i="2" s="1"/>
  <c r="AX1376" i="2"/>
  <c r="AY1376" i="2"/>
  <c r="AR1377" i="2"/>
  <c r="AS1377" i="2"/>
  <c r="AT1377" i="2"/>
  <c r="AU1377" i="2"/>
  <c r="AV1377" i="2"/>
  <c r="AW1377" i="2" s="1"/>
  <c r="AX1377" i="2"/>
  <c r="AY1377" i="2"/>
  <c r="AR1378" i="2"/>
  <c r="AS1378" i="2"/>
  <c r="AT1378" i="2"/>
  <c r="AU1378" i="2"/>
  <c r="AV1378" i="2"/>
  <c r="AW1378" i="2" s="1"/>
  <c r="AX1378" i="2"/>
  <c r="AY1378" i="2"/>
  <c r="AR1379" i="2"/>
  <c r="AS1379" i="2"/>
  <c r="AT1379" i="2"/>
  <c r="AU1379" i="2"/>
  <c r="AV1379" i="2"/>
  <c r="AW1379" i="2" s="1"/>
  <c r="AX1379" i="2"/>
  <c r="AY1379" i="2"/>
  <c r="AR1380" i="2"/>
  <c r="AS1380" i="2"/>
  <c r="AT1380" i="2"/>
  <c r="AU1380" i="2"/>
  <c r="AV1380" i="2"/>
  <c r="AW1380" i="2" s="1"/>
  <c r="AX1380" i="2"/>
  <c r="AY1380" i="2"/>
  <c r="AR1381" i="2"/>
  <c r="AS1381" i="2"/>
  <c r="AT1381" i="2"/>
  <c r="AU1381" i="2"/>
  <c r="AV1381" i="2"/>
  <c r="AW1381" i="2" s="1"/>
  <c r="AX1381" i="2"/>
  <c r="AY1381" i="2"/>
  <c r="AR1382" i="2"/>
  <c r="AS1382" i="2"/>
  <c r="AT1382" i="2"/>
  <c r="AU1382" i="2"/>
  <c r="AV1382" i="2"/>
  <c r="AW1382" i="2" s="1"/>
  <c r="AX1382" i="2"/>
  <c r="AY1382" i="2"/>
  <c r="AR1383" i="2"/>
  <c r="AS1383" i="2"/>
  <c r="AT1383" i="2"/>
  <c r="AU1383" i="2"/>
  <c r="AV1383" i="2"/>
  <c r="AW1383" i="2" s="1"/>
  <c r="AX1383" i="2"/>
  <c r="AY1383" i="2"/>
  <c r="AR1384" i="2"/>
  <c r="AS1384" i="2"/>
  <c r="AT1384" i="2"/>
  <c r="AU1384" i="2"/>
  <c r="AV1384" i="2"/>
  <c r="AW1384" i="2" s="1"/>
  <c r="AX1384" i="2"/>
  <c r="AY1384" i="2"/>
  <c r="AR1385" i="2"/>
  <c r="AS1385" i="2"/>
  <c r="AT1385" i="2"/>
  <c r="AU1385" i="2"/>
  <c r="AV1385" i="2"/>
  <c r="AW1385" i="2" s="1"/>
  <c r="AX1385" i="2"/>
  <c r="AY1385" i="2"/>
  <c r="AR1386" i="2"/>
  <c r="AS1386" i="2"/>
  <c r="AT1386" i="2"/>
  <c r="AU1386" i="2"/>
  <c r="AV1386" i="2"/>
  <c r="AW1386" i="2" s="1"/>
  <c r="AX1386" i="2"/>
  <c r="AY1386" i="2"/>
  <c r="AR1387" i="2"/>
  <c r="AS1387" i="2"/>
  <c r="AT1387" i="2"/>
  <c r="AU1387" i="2"/>
  <c r="AV1387" i="2"/>
  <c r="AW1387" i="2" s="1"/>
  <c r="AX1387" i="2"/>
  <c r="AY1387" i="2"/>
  <c r="AR1388" i="2"/>
  <c r="AS1388" i="2"/>
  <c r="AT1388" i="2"/>
  <c r="AU1388" i="2"/>
  <c r="AV1388" i="2"/>
  <c r="AW1388" i="2" s="1"/>
  <c r="AX1388" i="2"/>
  <c r="AY1388" i="2"/>
  <c r="AR1389" i="2"/>
  <c r="AS1389" i="2"/>
  <c r="AT1389" i="2"/>
  <c r="AU1389" i="2"/>
  <c r="AV1389" i="2"/>
  <c r="AW1389" i="2" s="1"/>
  <c r="AX1389" i="2"/>
  <c r="AY1389" i="2"/>
  <c r="AR1390" i="2"/>
  <c r="AS1390" i="2"/>
  <c r="AT1390" i="2"/>
  <c r="AU1390" i="2"/>
  <c r="AV1390" i="2"/>
  <c r="AW1390" i="2" s="1"/>
  <c r="AX1390" i="2"/>
  <c r="AY1390" i="2"/>
  <c r="AR1391" i="2"/>
  <c r="AS1391" i="2"/>
  <c r="AT1391" i="2"/>
  <c r="AU1391" i="2"/>
  <c r="AV1391" i="2"/>
  <c r="AW1391" i="2" s="1"/>
  <c r="AX1391" i="2"/>
  <c r="AY1391" i="2"/>
  <c r="AR1392" i="2"/>
  <c r="AS1392" i="2"/>
  <c r="AT1392" i="2"/>
  <c r="AU1392" i="2"/>
  <c r="AV1392" i="2"/>
  <c r="AW1392" i="2" s="1"/>
  <c r="AX1392" i="2"/>
  <c r="AY1392" i="2"/>
  <c r="AR1393" i="2"/>
  <c r="AS1393" i="2"/>
  <c r="AT1393" i="2"/>
  <c r="AU1393" i="2"/>
  <c r="AV1393" i="2"/>
  <c r="AW1393" i="2" s="1"/>
  <c r="AX1393" i="2"/>
  <c r="AY1393" i="2"/>
  <c r="AR1394" i="2"/>
  <c r="AS1394" i="2"/>
  <c r="AT1394" i="2"/>
  <c r="AU1394" i="2"/>
  <c r="AV1394" i="2"/>
  <c r="AW1394" i="2" s="1"/>
  <c r="AX1394" i="2"/>
  <c r="AY1394" i="2"/>
  <c r="AR1395" i="2"/>
  <c r="AS1395" i="2"/>
  <c r="AT1395" i="2"/>
  <c r="AU1395" i="2"/>
  <c r="AV1395" i="2"/>
  <c r="AW1395" i="2" s="1"/>
  <c r="AX1395" i="2"/>
  <c r="AY1395" i="2"/>
  <c r="AR1396" i="2"/>
  <c r="AS1396" i="2"/>
  <c r="AT1396" i="2"/>
  <c r="AU1396" i="2"/>
  <c r="AV1396" i="2"/>
  <c r="AW1396" i="2" s="1"/>
  <c r="AX1396" i="2"/>
  <c r="AY1396" i="2"/>
  <c r="AR1397" i="2"/>
  <c r="AS1397" i="2"/>
  <c r="AT1397" i="2"/>
  <c r="AU1397" i="2"/>
  <c r="AV1397" i="2"/>
  <c r="AW1397" i="2" s="1"/>
  <c r="AX1397" i="2"/>
  <c r="AY1397" i="2"/>
  <c r="AR1398" i="2"/>
  <c r="AS1398" i="2"/>
  <c r="AT1398" i="2"/>
  <c r="AU1398" i="2"/>
  <c r="AV1398" i="2"/>
  <c r="AW1398" i="2" s="1"/>
  <c r="AX1398" i="2"/>
  <c r="AY1398" i="2"/>
  <c r="AR1399" i="2"/>
  <c r="AS1399" i="2"/>
  <c r="AT1399" i="2"/>
  <c r="AU1399" i="2"/>
  <c r="AV1399" i="2"/>
  <c r="AW1399" i="2" s="1"/>
  <c r="AX1399" i="2"/>
  <c r="AY1399" i="2"/>
  <c r="AR1400" i="2"/>
  <c r="AS1400" i="2"/>
  <c r="AT1400" i="2"/>
  <c r="AU1400" i="2"/>
  <c r="AV1400" i="2"/>
  <c r="AW1400" i="2" s="1"/>
  <c r="AX1400" i="2"/>
  <c r="AY1400" i="2"/>
  <c r="AR1401" i="2"/>
  <c r="AS1401" i="2"/>
  <c r="AT1401" i="2"/>
  <c r="AU1401" i="2"/>
  <c r="AV1401" i="2"/>
  <c r="AW1401" i="2" s="1"/>
  <c r="AX1401" i="2"/>
  <c r="AY1401" i="2"/>
  <c r="AR1402" i="2"/>
  <c r="AS1402" i="2"/>
  <c r="AT1402" i="2"/>
  <c r="AU1402" i="2"/>
  <c r="AV1402" i="2"/>
  <c r="AW1402" i="2" s="1"/>
  <c r="AX1402" i="2"/>
  <c r="AY1402" i="2"/>
  <c r="AR1403" i="2"/>
  <c r="AS1403" i="2"/>
  <c r="AT1403" i="2"/>
  <c r="AU1403" i="2"/>
  <c r="AV1403" i="2"/>
  <c r="AW1403" i="2" s="1"/>
  <c r="AX1403" i="2"/>
  <c r="AY1403" i="2"/>
  <c r="AR1404" i="2"/>
  <c r="AS1404" i="2"/>
  <c r="AT1404" i="2"/>
  <c r="AU1404" i="2"/>
  <c r="AV1404" i="2"/>
  <c r="AW1404" i="2" s="1"/>
  <c r="AX1404" i="2"/>
  <c r="AY1404" i="2"/>
  <c r="AR1405" i="2"/>
  <c r="AS1405" i="2"/>
  <c r="AT1405" i="2"/>
  <c r="AU1405" i="2"/>
  <c r="AV1405" i="2"/>
  <c r="AW1405" i="2" s="1"/>
  <c r="AX1405" i="2"/>
  <c r="AY1405" i="2"/>
  <c r="AR1406" i="2"/>
  <c r="AS1406" i="2"/>
  <c r="AT1406" i="2"/>
  <c r="AU1406" i="2"/>
  <c r="AV1406" i="2"/>
  <c r="AW1406" i="2" s="1"/>
  <c r="AX1406" i="2"/>
  <c r="AY1406" i="2"/>
  <c r="AR1407" i="2"/>
  <c r="AS1407" i="2"/>
  <c r="AT1407" i="2"/>
  <c r="AU1407" i="2"/>
  <c r="AV1407" i="2"/>
  <c r="AW1407" i="2" s="1"/>
  <c r="AX1407" i="2"/>
  <c r="AY1407" i="2"/>
  <c r="AR1408" i="2"/>
  <c r="AS1408" i="2"/>
  <c r="AT1408" i="2"/>
  <c r="AU1408" i="2"/>
  <c r="AV1408" i="2"/>
  <c r="AW1408" i="2" s="1"/>
  <c r="AX1408" i="2"/>
  <c r="AY1408" i="2"/>
  <c r="AR1409" i="2"/>
  <c r="AS1409" i="2"/>
  <c r="AT1409" i="2"/>
  <c r="AU1409" i="2"/>
  <c r="AV1409" i="2"/>
  <c r="AW1409" i="2" s="1"/>
  <c r="AX1409" i="2"/>
  <c r="AY1409" i="2"/>
  <c r="AR1410" i="2"/>
  <c r="AS1410" i="2"/>
  <c r="AT1410" i="2"/>
  <c r="AU1410" i="2"/>
  <c r="AV1410" i="2"/>
  <c r="AW1410" i="2" s="1"/>
  <c r="AX1410" i="2"/>
  <c r="AY1410" i="2"/>
  <c r="AR1411" i="2"/>
  <c r="AS1411" i="2"/>
  <c r="AT1411" i="2"/>
  <c r="AU1411" i="2"/>
  <c r="AV1411" i="2"/>
  <c r="AW1411" i="2" s="1"/>
  <c r="AX1411" i="2"/>
  <c r="AY1411" i="2"/>
  <c r="AR1412" i="2"/>
  <c r="AS1412" i="2"/>
  <c r="AT1412" i="2"/>
  <c r="AU1412" i="2"/>
  <c r="AV1412" i="2"/>
  <c r="AW1412" i="2" s="1"/>
  <c r="AX1412" i="2"/>
  <c r="AY1412" i="2"/>
  <c r="AR1413" i="2"/>
  <c r="AS1413" i="2"/>
  <c r="AT1413" i="2"/>
  <c r="AU1413" i="2"/>
  <c r="AV1413" i="2"/>
  <c r="AW1413" i="2" s="1"/>
  <c r="AX1413" i="2"/>
  <c r="AY1413" i="2"/>
  <c r="AR1414" i="2"/>
  <c r="AS1414" i="2"/>
  <c r="AT1414" i="2"/>
  <c r="AU1414" i="2"/>
  <c r="AV1414" i="2"/>
  <c r="AW1414" i="2" s="1"/>
  <c r="AX1414" i="2"/>
  <c r="AY1414" i="2"/>
  <c r="AR1415" i="2"/>
  <c r="AS1415" i="2"/>
  <c r="AT1415" i="2"/>
  <c r="AU1415" i="2"/>
  <c r="AV1415" i="2"/>
  <c r="AW1415" i="2" s="1"/>
  <c r="AX1415" i="2"/>
  <c r="AY1415" i="2"/>
  <c r="AR1416" i="2"/>
  <c r="AS1416" i="2"/>
  <c r="AT1416" i="2"/>
  <c r="AU1416" i="2"/>
  <c r="AV1416" i="2"/>
  <c r="AW1416" i="2" s="1"/>
  <c r="AX1416" i="2"/>
  <c r="AY1416" i="2"/>
  <c r="AR1417" i="2"/>
  <c r="AS1417" i="2"/>
  <c r="AT1417" i="2"/>
  <c r="AU1417" i="2"/>
  <c r="AV1417" i="2"/>
  <c r="AW1417" i="2" s="1"/>
  <c r="AX1417" i="2"/>
  <c r="AY1417" i="2"/>
  <c r="AR1418" i="2"/>
  <c r="AS1418" i="2"/>
  <c r="AT1418" i="2"/>
  <c r="AU1418" i="2"/>
  <c r="AV1418" i="2"/>
  <c r="AW1418" i="2" s="1"/>
  <c r="AX1418" i="2"/>
  <c r="AY1418" i="2"/>
  <c r="AR1419" i="2"/>
  <c r="AS1419" i="2"/>
  <c r="AT1419" i="2"/>
  <c r="AU1419" i="2"/>
  <c r="AV1419" i="2"/>
  <c r="AW1419" i="2" s="1"/>
  <c r="AX1419" i="2"/>
  <c r="AY1419" i="2"/>
  <c r="AR1420" i="2"/>
  <c r="AS1420" i="2"/>
  <c r="AT1420" i="2"/>
  <c r="AU1420" i="2"/>
  <c r="AV1420" i="2"/>
  <c r="AW1420" i="2" s="1"/>
  <c r="AX1420" i="2"/>
  <c r="AY1420" i="2"/>
  <c r="AR1421" i="2"/>
  <c r="AS1421" i="2"/>
  <c r="AT1421" i="2"/>
  <c r="AU1421" i="2"/>
  <c r="AV1421" i="2"/>
  <c r="AW1421" i="2" s="1"/>
  <c r="AX1421" i="2"/>
  <c r="AY1421" i="2"/>
  <c r="AR1422" i="2"/>
  <c r="AS1422" i="2"/>
  <c r="AT1422" i="2"/>
  <c r="AU1422" i="2"/>
  <c r="AV1422" i="2"/>
  <c r="AW1422" i="2" s="1"/>
  <c r="AX1422" i="2"/>
  <c r="AY1422" i="2"/>
  <c r="AR1423" i="2"/>
  <c r="AS1423" i="2"/>
  <c r="AT1423" i="2"/>
  <c r="AU1423" i="2"/>
  <c r="AV1423" i="2"/>
  <c r="AW1423" i="2" s="1"/>
  <c r="AX1423" i="2"/>
  <c r="AY1423" i="2"/>
  <c r="AR1424" i="2"/>
  <c r="AS1424" i="2"/>
  <c r="AT1424" i="2"/>
  <c r="AU1424" i="2"/>
  <c r="AV1424" i="2"/>
  <c r="AW1424" i="2" s="1"/>
  <c r="AX1424" i="2"/>
  <c r="AY1424" i="2"/>
  <c r="AR1425" i="2"/>
  <c r="AS1425" i="2"/>
  <c r="AT1425" i="2"/>
  <c r="AU1425" i="2"/>
  <c r="AV1425" i="2"/>
  <c r="AW1425" i="2" s="1"/>
  <c r="AX1425" i="2"/>
  <c r="AY1425" i="2"/>
  <c r="AR1426" i="2"/>
  <c r="AS1426" i="2"/>
  <c r="AT1426" i="2"/>
  <c r="AU1426" i="2"/>
  <c r="AV1426" i="2"/>
  <c r="AW1426" i="2" s="1"/>
  <c r="AX1426" i="2"/>
  <c r="AY1426" i="2"/>
  <c r="AR1427" i="2"/>
  <c r="AS1427" i="2"/>
  <c r="AT1427" i="2"/>
  <c r="AU1427" i="2"/>
  <c r="AV1427" i="2"/>
  <c r="AW1427" i="2" s="1"/>
  <c r="AX1427" i="2"/>
  <c r="AY1427" i="2"/>
  <c r="AR1428" i="2"/>
  <c r="AS1428" i="2"/>
  <c r="AT1428" i="2"/>
  <c r="AU1428" i="2"/>
  <c r="AV1428" i="2"/>
  <c r="AW1428" i="2" s="1"/>
  <c r="AX1428" i="2"/>
  <c r="AY1428" i="2"/>
  <c r="AR1429" i="2"/>
  <c r="AS1429" i="2"/>
  <c r="AT1429" i="2"/>
  <c r="AU1429" i="2"/>
  <c r="AV1429" i="2"/>
  <c r="AW1429" i="2" s="1"/>
  <c r="AX1429" i="2"/>
  <c r="AY1429" i="2"/>
  <c r="AR1430" i="2"/>
  <c r="AS1430" i="2"/>
  <c r="AT1430" i="2"/>
  <c r="AU1430" i="2"/>
  <c r="AV1430" i="2"/>
  <c r="AW1430" i="2" s="1"/>
  <c r="AX1430" i="2"/>
  <c r="AY1430" i="2"/>
  <c r="AR1431" i="2"/>
  <c r="AS1431" i="2"/>
  <c r="AT1431" i="2"/>
  <c r="AU1431" i="2"/>
  <c r="AV1431" i="2"/>
  <c r="AW1431" i="2" s="1"/>
  <c r="AX1431" i="2"/>
  <c r="AY1431" i="2"/>
  <c r="AR1432" i="2"/>
  <c r="AS1432" i="2"/>
  <c r="AT1432" i="2"/>
  <c r="AU1432" i="2"/>
  <c r="AV1432" i="2"/>
  <c r="AW1432" i="2" s="1"/>
  <c r="AX1432" i="2"/>
  <c r="AY1432" i="2"/>
  <c r="AR1433" i="2"/>
  <c r="AS1433" i="2"/>
  <c r="AT1433" i="2"/>
  <c r="AU1433" i="2"/>
  <c r="AV1433" i="2"/>
  <c r="AW1433" i="2" s="1"/>
  <c r="AX1433" i="2"/>
  <c r="AY1433" i="2"/>
  <c r="AR1434" i="2"/>
  <c r="AS1434" i="2"/>
  <c r="AT1434" i="2"/>
  <c r="AU1434" i="2"/>
  <c r="AV1434" i="2"/>
  <c r="AW1434" i="2" s="1"/>
  <c r="AX1434" i="2"/>
  <c r="AY1434" i="2"/>
  <c r="AR1435" i="2"/>
  <c r="AS1435" i="2"/>
  <c r="AT1435" i="2"/>
  <c r="AU1435" i="2"/>
  <c r="AV1435" i="2"/>
  <c r="AW1435" i="2" s="1"/>
  <c r="AX1435" i="2"/>
  <c r="AY1435" i="2"/>
  <c r="AR1436" i="2"/>
  <c r="AS1436" i="2"/>
  <c r="AT1436" i="2"/>
  <c r="AU1436" i="2"/>
  <c r="AV1436" i="2"/>
  <c r="AW1436" i="2" s="1"/>
  <c r="AX1436" i="2"/>
  <c r="AY1436" i="2"/>
  <c r="AR1437" i="2"/>
  <c r="AS1437" i="2"/>
  <c r="AT1437" i="2"/>
  <c r="AU1437" i="2"/>
  <c r="AV1437" i="2"/>
  <c r="AW1437" i="2" s="1"/>
  <c r="AX1437" i="2"/>
  <c r="AY1437" i="2"/>
  <c r="AR1438" i="2"/>
  <c r="AS1438" i="2"/>
  <c r="AT1438" i="2"/>
  <c r="AU1438" i="2"/>
  <c r="AV1438" i="2"/>
  <c r="AW1438" i="2" s="1"/>
  <c r="AX1438" i="2"/>
  <c r="AY1438" i="2"/>
  <c r="AR1439" i="2"/>
  <c r="AS1439" i="2"/>
  <c r="AT1439" i="2"/>
  <c r="AU1439" i="2"/>
  <c r="AV1439" i="2"/>
  <c r="AW1439" i="2" s="1"/>
  <c r="AX1439" i="2"/>
  <c r="AY1439" i="2"/>
  <c r="AR1440" i="2"/>
  <c r="AS1440" i="2"/>
  <c r="AT1440" i="2"/>
  <c r="AU1440" i="2"/>
  <c r="AV1440" i="2"/>
  <c r="AW1440" i="2" s="1"/>
  <c r="AX1440" i="2"/>
  <c r="AY1440" i="2"/>
  <c r="AR1441" i="2"/>
  <c r="AS1441" i="2"/>
  <c r="AT1441" i="2"/>
  <c r="AU1441" i="2"/>
  <c r="AV1441" i="2"/>
  <c r="AW1441" i="2" s="1"/>
  <c r="AX1441" i="2"/>
  <c r="AY1441" i="2"/>
  <c r="AR1442" i="2"/>
  <c r="AS1442" i="2"/>
  <c r="AT1442" i="2"/>
  <c r="AU1442" i="2"/>
  <c r="AV1442" i="2"/>
  <c r="AW1442" i="2" s="1"/>
  <c r="AX1442" i="2"/>
  <c r="AY1442" i="2"/>
  <c r="AR1443" i="2"/>
  <c r="AS1443" i="2"/>
  <c r="AT1443" i="2"/>
  <c r="AU1443" i="2"/>
  <c r="AV1443" i="2"/>
  <c r="AW1443" i="2" s="1"/>
  <c r="AX1443" i="2"/>
  <c r="AY1443" i="2"/>
  <c r="AR1444" i="2"/>
  <c r="AS1444" i="2"/>
  <c r="AT1444" i="2"/>
  <c r="AU1444" i="2"/>
  <c r="AV1444" i="2"/>
  <c r="AW1444" i="2" s="1"/>
  <c r="AX1444" i="2"/>
  <c r="AY1444" i="2"/>
  <c r="AR1445" i="2"/>
  <c r="AS1445" i="2"/>
  <c r="AT1445" i="2"/>
  <c r="AU1445" i="2"/>
  <c r="AV1445" i="2"/>
  <c r="AW1445" i="2" s="1"/>
  <c r="AX1445" i="2"/>
  <c r="AY1445" i="2"/>
  <c r="AR1446" i="2"/>
  <c r="AS1446" i="2"/>
  <c r="AT1446" i="2"/>
  <c r="AU1446" i="2"/>
  <c r="AV1446" i="2"/>
  <c r="AW1446" i="2" s="1"/>
  <c r="AX1446" i="2"/>
  <c r="AY1446" i="2"/>
  <c r="AR1447" i="2"/>
  <c r="AS1447" i="2"/>
  <c r="AT1447" i="2"/>
  <c r="AU1447" i="2"/>
  <c r="AV1447" i="2"/>
  <c r="AW1447" i="2" s="1"/>
  <c r="AX1447" i="2"/>
  <c r="AY1447" i="2"/>
  <c r="AR1448" i="2"/>
  <c r="AS1448" i="2"/>
  <c r="AT1448" i="2"/>
  <c r="AU1448" i="2"/>
  <c r="AV1448" i="2"/>
  <c r="AW1448" i="2" s="1"/>
  <c r="AX1448" i="2"/>
  <c r="AY1448" i="2"/>
  <c r="AR1449" i="2"/>
  <c r="AS1449" i="2"/>
  <c r="AT1449" i="2"/>
  <c r="AU1449" i="2"/>
  <c r="AV1449" i="2"/>
  <c r="AW1449" i="2" s="1"/>
  <c r="AX1449" i="2"/>
  <c r="AY1449" i="2"/>
  <c r="AR1450" i="2"/>
  <c r="AS1450" i="2"/>
  <c r="AT1450" i="2"/>
  <c r="AU1450" i="2"/>
  <c r="AV1450" i="2"/>
  <c r="AW1450" i="2" s="1"/>
  <c r="AX1450" i="2"/>
  <c r="AY1450" i="2"/>
  <c r="AR1451" i="2"/>
  <c r="AS1451" i="2"/>
  <c r="AT1451" i="2"/>
  <c r="AU1451" i="2"/>
  <c r="AV1451" i="2"/>
  <c r="AW1451" i="2" s="1"/>
  <c r="AX1451" i="2"/>
  <c r="AY1451" i="2"/>
  <c r="AR1452" i="2"/>
  <c r="AS1452" i="2"/>
  <c r="AT1452" i="2"/>
  <c r="AU1452" i="2"/>
  <c r="AV1452" i="2"/>
  <c r="AW1452" i="2" s="1"/>
  <c r="AX1452" i="2"/>
  <c r="AY1452" i="2"/>
  <c r="AR1453" i="2"/>
  <c r="AS1453" i="2"/>
  <c r="AT1453" i="2"/>
  <c r="AU1453" i="2"/>
  <c r="AV1453" i="2"/>
  <c r="AW1453" i="2" s="1"/>
  <c r="AX1453" i="2"/>
  <c r="AY1453" i="2"/>
  <c r="AR1454" i="2"/>
  <c r="AS1454" i="2"/>
  <c r="AT1454" i="2"/>
  <c r="AU1454" i="2"/>
  <c r="AV1454" i="2"/>
  <c r="AW1454" i="2" s="1"/>
  <c r="AX1454" i="2"/>
  <c r="AY1454" i="2"/>
  <c r="AR1455" i="2"/>
  <c r="AS1455" i="2"/>
  <c r="AT1455" i="2"/>
  <c r="AU1455" i="2"/>
  <c r="AV1455" i="2"/>
  <c r="AW1455" i="2" s="1"/>
  <c r="AX1455" i="2"/>
  <c r="AY1455" i="2"/>
  <c r="AR1456" i="2"/>
  <c r="AS1456" i="2"/>
  <c r="AT1456" i="2"/>
  <c r="AU1456" i="2"/>
  <c r="AV1456" i="2"/>
  <c r="AW1456" i="2" s="1"/>
  <c r="AX1456" i="2"/>
  <c r="AY1456" i="2"/>
  <c r="AR1457" i="2"/>
  <c r="AS1457" i="2"/>
  <c r="AT1457" i="2"/>
  <c r="AU1457" i="2"/>
  <c r="AV1457" i="2"/>
  <c r="AW1457" i="2" s="1"/>
  <c r="AX1457" i="2"/>
  <c r="AY1457" i="2"/>
  <c r="AR1458" i="2"/>
  <c r="AS1458" i="2"/>
  <c r="AT1458" i="2"/>
  <c r="AU1458" i="2"/>
  <c r="AV1458" i="2"/>
  <c r="AW1458" i="2" s="1"/>
  <c r="AX1458" i="2"/>
  <c r="AY1458" i="2"/>
  <c r="AR1459" i="2"/>
  <c r="AS1459" i="2"/>
  <c r="AT1459" i="2"/>
  <c r="AU1459" i="2"/>
  <c r="AV1459" i="2"/>
  <c r="AW1459" i="2" s="1"/>
  <c r="AX1459" i="2"/>
  <c r="AY1459" i="2"/>
  <c r="AR1460" i="2"/>
  <c r="AS1460" i="2"/>
  <c r="AT1460" i="2"/>
  <c r="AU1460" i="2"/>
  <c r="AV1460" i="2"/>
  <c r="AW1460" i="2" s="1"/>
  <c r="AX1460" i="2"/>
  <c r="AY1460" i="2"/>
  <c r="AR1461" i="2"/>
  <c r="AS1461" i="2"/>
  <c r="AT1461" i="2"/>
  <c r="AU1461" i="2"/>
  <c r="AV1461" i="2"/>
  <c r="AW1461" i="2" s="1"/>
  <c r="AX1461" i="2"/>
  <c r="AY1461" i="2"/>
  <c r="AR1462" i="2"/>
  <c r="AS1462" i="2"/>
  <c r="AT1462" i="2"/>
  <c r="AU1462" i="2"/>
  <c r="AV1462" i="2"/>
  <c r="AW1462" i="2" s="1"/>
  <c r="AX1462" i="2"/>
  <c r="AY1462" i="2"/>
  <c r="AR1463" i="2"/>
  <c r="AS1463" i="2"/>
  <c r="AT1463" i="2"/>
  <c r="AU1463" i="2"/>
  <c r="AV1463" i="2"/>
  <c r="AW1463" i="2" s="1"/>
  <c r="AX1463" i="2"/>
  <c r="AY1463" i="2"/>
  <c r="AR1464" i="2"/>
  <c r="AS1464" i="2"/>
  <c r="AT1464" i="2"/>
  <c r="AU1464" i="2"/>
  <c r="AV1464" i="2"/>
  <c r="AW1464" i="2" s="1"/>
  <c r="AX1464" i="2"/>
  <c r="AY1464" i="2"/>
  <c r="AR1465" i="2"/>
  <c r="AS1465" i="2"/>
  <c r="AT1465" i="2"/>
  <c r="AU1465" i="2"/>
  <c r="AV1465" i="2"/>
  <c r="AW1465" i="2" s="1"/>
  <c r="AX1465" i="2"/>
  <c r="AY1465" i="2"/>
  <c r="AR1466" i="2"/>
  <c r="AS1466" i="2"/>
  <c r="AT1466" i="2"/>
  <c r="AU1466" i="2"/>
  <c r="AV1466" i="2"/>
  <c r="AW1466" i="2" s="1"/>
  <c r="AX1466" i="2"/>
  <c r="AY1466" i="2"/>
  <c r="AR1467" i="2"/>
  <c r="AS1467" i="2"/>
  <c r="AT1467" i="2"/>
  <c r="AU1467" i="2"/>
  <c r="AV1467" i="2"/>
  <c r="AW1467" i="2" s="1"/>
  <c r="AX1467" i="2"/>
  <c r="AY1467" i="2"/>
  <c r="AR1468" i="2"/>
  <c r="AS1468" i="2"/>
  <c r="AT1468" i="2"/>
  <c r="AU1468" i="2"/>
  <c r="AV1468" i="2"/>
  <c r="AW1468" i="2" s="1"/>
  <c r="AX1468" i="2"/>
  <c r="AY1468" i="2"/>
  <c r="AR1469" i="2"/>
  <c r="AS1469" i="2"/>
  <c r="AT1469" i="2"/>
  <c r="AU1469" i="2"/>
  <c r="AV1469" i="2"/>
  <c r="AW1469" i="2" s="1"/>
  <c r="AX1469" i="2"/>
  <c r="AY1469" i="2"/>
  <c r="AR1470" i="2"/>
  <c r="AS1470" i="2"/>
  <c r="AT1470" i="2"/>
  <c r="AU1470" i="2"/>
  <c r="AV1470" i="2"/>
  <c r="AW1470" i="2" s="1"/>
  <c r="AX1470" i="2"/>
  <c r="AY1470" i="2"/>
  <c r="AR1471" i="2"/>
  <c r="AS1471" i="2"/>
  <c r="AT1471" i="2"/>
  <c r="AU1471" i="2"/>
  <c r="AV1471" i="2"/>
  <c r="AW1471" i="2" s="1"/>
  <c r="AX1471" i="2"/>
  <c r="AY1471" i="2"/>
  <c r="AR1472" i="2"/>
  <c r="AS1472" i="2"/>
  <c r="AT1472" i="2"/>
  <c r="AU1472" i="2"/>
  <c r="AV1472" i="2"/>
  <c r="AW1472" i="2" s="1"/>
  <c r="AX1472" i="2"/>
  <c r="AY1472" i="2"/>
  <c r="AR1473" i="2"/>
  <c r="AS1473" i="2"/>
  <c r="AT1473" i="2"/>
  <c r="AU1473" i="2"/>
  <c r="AV1473" i="2"/>
  <c r="AW1473" i="2" s="1"/>
  <c r="AX1473" i="2"/>
  <c r="AY1473" i="2"/>
  <c r="AR1474" i="2"/>
  <c r="AS1474" i="2"/>
  <c r="AT1474" i="2"/>
  <c r="AU1474" i="2"/>
  <c r="AV1474" i="2"/>
  <c r="AW1474" i="2" s="1"/>
  <c r="AX1474" i="2"/>
  <c r="AY1474" i="2"/>
  <c r="AR1475" i="2"/>
  <c r="AS1475" i="2"/>
  <c r="AT1475" i="2"/>
  <c r="AU1475" i="2"/>
  <c r="AV1475" i="2"/>
  <c r="AW1475" i="2" s="1"/>
  <c r="AX1475" i="2"/>
  <c r="AY1475" i="2"/>
  <c r="AR1476" i="2"/>
  <c r="AS1476" i="2"/>
  <c r="AT1476" i="2"/>
  <c r="AU1476" i="2"/>
  <c r="AV1476" i="2"/>
  <c r="AW1476" i="2" s="1"/>
  <c r="AX1476" i="2"/>
  <c r="AY1476" i="2"/>
  <c r="AR1477" i="2"/>
  <c r="AS1477" i="2"/>
  <c r="AT1477" i="2"/>
  <c r="AU1477" i="2"/>
  <c r="AV1477" i="2"/>
  <c r="AW1477" i="2" s="1"/>
  <c r="AX1477" i="2"/>
  <c r="AY1477" i="2"/>
  <c r="AR1478" i="2"/>
  <c r="AS1478" i="2"/>
  <c r="AT1478" i="2"/>
  <c r="AU1478" i="2"/>
  <c r="AV1478" i="2"/>
  <c r="AW1478" i="2" s="1"/>
  <c r="AX1478" i="2"/>
  <c r="AY1478" i="2"/>
  <c r="AR1479" i="2"/>
  <c r="AS1479" i="2"/>
  <c r="AT1479" i="2"/>
  <c r="AU1479" i="2"/>
  <c r="AV1479" i="2"/>
  <c r="AW1479" i="2" s="1"/>
  <c r="AX1479" i="2"/>
  <c r="AY1479" i="2"/>
  <c r="AR1480" i="2"/>
  <c r="AS1480" i="2"/>
  <c r="AT1480" i="2"/>
  <c r="AU1480" i="2"/>
  <c r="AV1480" i="2"/>
  <c r="AW1480" i="2" s="1"/>
  <c r="AX1480" i="2"/>
  <c r="AY1480" i="2"/>
  <c r="AR1481" i="2"/>
  <c r="AS1481" i="2"/>
  <c r="AT1481" i="2"/>
  <c r="AU1481" i="2"/>
  <c r="AV1481" i="2"/>
  <c r="AW1481" i="2" s="1"/>
  <c r="AX1481" i="2"/>
  <c r="AY1481" i="2"/>
  <c r="AR1482" i="2"/>
  <c r="AS1482" i="2"/>
  <c r="AT1482" i="2"/>
  <c r="AU1482" i="2"/>
  <c r="AV1482" i="2"/>
  <c r="AW1482" i="2" s="1"/>
  <c r="AX1482" i="2"/>
  <c r="AY1482" i="2"/>
  <c r="AR1483" i="2"/>
  <c r="AS1483" i="2"/>
  <c r="AT1483" i="2"/>
  <c r="AU1483" i="2"/>
  <c r="AV1483" i="2"/>
  <c r="AW1483" i="2" s="1"/>
  <c r="AX1483" i="2"/>
  <c r="AY1483" i="2"/>
  <c r="AR1484" i="2"/>
  <c r="AS1484" i="2"/>
  <c r="AT1484" i="2"/>
  <c r="AU1484" i="2"/>
  <c r="AV1484" i="2"/>
  <c r="AW1484" i="2" s="1"/>
  <c r="AX1484" i="2"/>
  <c r="AY1484" i="2"/>
  <c r="AR1485" i="2"/>
  <c r="AS1485" i="2"/>
  <c r="AT1485" i="2"/>
  <c r="AU1485" i="2"/>
  <c r="AV1485" i="2"/>
  <c r="AW1485" i="2" s="1"/>
  <c r="AX1485" i="2"/>
  <c r="AY1485" i="2"/>
  <c r="AR1486" i="2"/>
  <c r="AS1486" i="2"/>
  <c r="AT1486" i="2"/>
  <c r="AU1486" i="2"/>
  <c r="AV1486" i="2"/>
  <c r="AW1486" i="2" s="1"/>
  <c r="AX1486" i="2"/>
  <c r="AY1486" i="2"/>
  <c r="AR1487" i="2"/>
  <c r="AS1487" i="2"/>
  <c r="AT1487" i="2"/>
  <c r="AU1487" i="2"/>
  <c r="AV1487" i="2"/>
  <c r="AW1487" i="2" s="1"/>
  <c r="AX1487" i="2"/>
  <c r="AY1487" i="2"/>
  <c r="AR1488" i="2"/>
  <c r="AS1488" i="2"/>
  <c r="AT1488" i="2"/>
  <c r="AU1488" i="2"/>
  <c r="AV1488" i="2"/>
  <c r="AW1488" i="2" s="1"/>
  <c r="AX1488" i="2"/>
  <c r="AY1488" i="2"/>
  <c r="AR1489" i="2"/>
  <c r="AS1489" i="2"/>
  <c r="AT1489" i="2"/>
  <c r="AU1489" i="2"/>
  <c r="AV1489" i="2"/>
  <c r="AW1489" i="2" s="1"/>
  <c r="AX1489" i="2"/>
  <c r="AY1489" i="2"/>
  <c r="AR1490" i="2"/>
  <c r="AS1490" i="2"/>
  <c r="AT1490" i="2"/>
  <c r="AU1490" i="2"/>
  <c r="AV1490" i="2"/>
  <c r="AW1490" i="2" s="1"/>
  <c r="AX1490" i="2"/>
  <c r="AY1490" i="2"/>
  <c r="AR1491" i="2"/>
  <c r="AS1491" i="2"/>
  <c r="AT1491" i="2"/>
  <c r="AU1491" i="2"/>
  <c r="AV1491" i="2"/>
  <c r="AW1491" i="2" s="1"/>
  <c r="AX1491" i="2"/>
  <c r="AY1491" i="2"/>
  <c r="AR1492" i="2"/>
  <c r="AS1492" i="2"/>
  <c r="AT1492" i="2"/>
  <c r="AU1492" i="2"/>
  <c r="AV1492" i="2"/>
  <c r="AW1492" i="2" s="1"/>
  <c r="AX1492" i="2"/>
  <c r="AY1492" i="2"/>
  <c r="AR1493" i="2"/>
  <c r="AS1493" i="2"/>
  <c r="AT1493" i="2"/>
  <c r="AU1493" i="2"/>
  <c r="AV1493" i="2"/>
  <c r="AW1493" i="2" s="1"/>
  <c r="AX1493" i="2"/>
  <c r="AY1493" i="2"/>
  <c r="AR1494" i="2"/>
  <c r="AS1494" i="2"/>
  <c r="AT1494" i="2"/>
  <c r="AU1494" i="2"/>
  <c r="AV1494" i="2"/>
  <c r="AW1494" i="2" s="1"/>
  <c r="AX1494" i="2"/>
  <c r="AY1494" i="2"/>
  <c r="AR1495" i="2"/>
  <c r="AS1495" i="2"/>
  <c r="AT1495" i="2"/>
  <c r="AU1495" i="2"/>
  <c r="AV1495" i="2"/>
  <c r="AW1495" i="2" s="1"/>
  <c r="AX1495" i="2"/>
  <c r="AY1495" i="2"/>
  <c r="AR1496" i="2"/>
  <c r="AS1496" i="2"/>
  <c r="AT1496" i="2"/>
  <c r="AU1496" i="2"/>
  <c r="AV1496" i="2"/>
  <c r="AW1496" i="2" s="1"/>
  <c r="AX1496" i="2"/>
  <c r="AY1496" i="2"/>
  <c r="AR1497" i="2"/>
  <c r="AS1497" i="2"/>
  <c r="AT1497" i="2"/>
  <c r="AU1497" i="2"/>
  <c r="AV1497" i="2"/>
  <c r="AW1497" i="2" s="1"/>
  <c r="AX1497" i="2"/>
  <c r="AY1497" i="2"/>
  <c r="AR1498" i="2"/>
  <c r="AS1498" i="2"/>
  <c r="AT1498" i="2"/>
  <c r="AU1498" i="2"/>
  <c r="AV1498" i="2"/>
  <c r="AW1498" i="2" s="1"/>
  <c r="AX1498" i="2"/>
  <c r="AY1498" i="2"/>
  <c r="AR1499" i="2"/>
  <c r="AS1499" i="2"/>
  <c r="AT1499" i="2"/>
  <c r="AU1499" i="2"/>
  <c r="AV1499" i="2"/>
  <c r="AW1499" i="2" s="1"/>
  <c r="AX1499" i="2"/>
  <c r="AY1499" i="2"/>
  <c r="AR1500" i="2"/>
  <c r="AS1500" i="2"/>
  <c r="AT1500" i="2"/>
  <c r="AU1500" i="2"/>
  <c r="AV1500" i="2"/>
  <c r="AW1500" i="2" s="1"/>
  <c r="AX1500" i="2"/>
  <c r="AY1500" i="2"/>
  <c r="AR1501" i="2"/>
  <c r="AS1501" i="2"/>
  <c r="AT1501" i="2"/>
  <c r="AU1501" i="2"/>
  <c r="AV1501" i="2"/>
  <c r="AW1501" i="2" s="1"/>
  <c r="AX1501" i="2"/>
  <c r="AY1501" i="2"/>
  <c r="AR1502" i="2"/>
  <c r="AS1502" i="2"/>
  <c r="AT1502" i="2"/>
  <c r="AU1502" i="2"/>
  <c r="AV1502" i="2"/>
  <c r="AW1502" i="2" s="1"/>
  <c r="AX1502" i="2"/>
  <c r="AY1502" i="2"/>
  <c r="AR1503" i="2"/>
  <c r="AS1503" i="2"/>
  <c r="AT1503" i="2"/>
  <c r="AU1503" i="2"/>
  <c r="AV1503" i="2"/>
  <c r="AW1503" i="2" s="1"/>
  <c r="AX1503" i="2"/>
  <c r="AY1503" i="2"/>
  <c r="AR1504" i="2"/>
  <c r="AS1504" i="2"/>
  <c r="AT1504" i="2"/>
  <c r="AU1504" i="2"/>
  <c r="AV1504" i="2"/>
  <c r="AW1504" i="2" s="1"/>
  <c r="AX1504" i="2"/>
  <c r="AY1504" i="2"/>
  <c r="AR1505" i="2"/>
  <c r="AS1505" i="2"/>
  <c r="AT1505" i="2"/>
  <c r="AU1505" i="2"/>
  <c r="AV1505" i="2"/>
  <c r="AW1505" i="2" s="1"/>
  <c r="AX1505" i="2"/>
  <c r="AY1505" i="2"/>
  <c r="AR1506" i="2"/>
  <c r="AS1506" i="2"/>
  <c r="AT1506" i="2"/>
  <c r="AU1506" i="2"/>
  <c r="AV1506" i="2"/>
  <c r="AW1506" i="2" s="1"/>
  <c r="AX1506" i="2"/>
  <c r="AY1506" i="2"/>
  <c r="AR1507" i="2"/>
  <c r="AS1507" i="2"/>
  <c r="AT1507" i="2"/>
  <c r="AU1507" i="2"/>
  <c r="AV1507" i="2"/>
  <c r="AW1507" i="2" s="1"/>
  <c r="AX1507" i="2"/>
  <c r="AY1507" i="2"/>
  <c r="AR1508" i="2"/>
  <c r="AS1508" i="2"/>
  <c r="AT1508" i="2"/>
  <c r="AU1508" i="2"/>
  <c r="AV1508" i="2"/>
  <c r="AW1508" i="2" s="1"/>
  <c r="AX1508" i="2"/>
  <c r="AY1508" i="2"/>
  <c r="AR1509" i="2"/>
  <c r="AS1509" i="2"/>
  <c r="AT1509" i="2"/>
  <c r="AU1509" i="2"/>
  <c r="AV1509" i="2"/>
  <c r="AW1509" i="2" s="1"/>
  <c r="AX1509" i="2"/>
  <c r="AY1509" i="2"/>
  <c r="AR1510" i="2"/>
  <c r="AS1510" i="2"/>
  <c r="AT1510" i="2"/>
  <c r="AU1510" i="2"/>
  <c r="AV1510" i="2"/>
  <c r="AW1510" i="2" s="1"/>
  <c r="AX1510" i="2"/>
  <c r="AY1510" i="2"/>
  <c r="AR1511" i="2"/>
  <c r="AS1511" i="2"/>
  <c r="AT1511" i="2"/>
  <c r="AU1511" i="2"/>
  <c r="AV1511" i="2"/>
  <c r="AW1511" i="2" s="1"/>
  <c r="AX1511" i="2"/>
  <c r="AY1511" i="2"/>
  <c r="AR1512" i="2"/>
  <c r="AS1512" i="2"/>
  <c r="AT1512" i="2"/>
  <c r="AU1512" i="2"/>
  <c r="AV1512" i="2"/>
  <c r="AW1512" i="2" s="1"/>
  <c r="AX1512" i="2"/>
  <c r="AY1512" i="2"/>
  <c r="AR1513" i="2"/>
  <c r="AS1513" i="2"/>
  <c r="AT1513" i="2"/>
  <c r="AU1513" i="2"/>
  <c r="AV1513" i="2"/>
  <c r="AW1513" i="2" s="1"/>
  <c r="AX1513" i="2"/>
  <c r="AY1513" i="2"/>
  <c r="AR1514" i="2"/>
  <c r="AS1514" i="2"/>
  <c r="AT1514" i="2"/>
  <c r="AU1514" i="2"/>
  <c r="AV1514" i="2"/>
  <c r="AW1514" i="2" s="1"/>
  <c r="AX1514" i="2"/>
  <c r="AY1514" i="2"/>
  <c r="AR1515" i="2"/>
  <c r="AS1515" i="2"/>
  <c r="AT1515" i="2"/>
  <c r="AU1515" i="2"/>
  <c r="AV1515" i="2"/>
  <c r="AW1515" i="2" s="1"/>
  <c r="AX1515" i="2"/>
  <c r="AY1515" i="2"/>
  <c r="AR1516" i="2"/>
  <c r="AS1516" i="2"/>
  <c r="AT1516" i="2"/>
  <c r="AU1516" i="2"/>
  <c r="AV1516" i="2"/>
  <c r="AW1516" i="2" s="1"/>
  <c r="AX1516" i="2"/>
  <c r="AY1516" i="2"/>
  <c r="AR1517" i="2"/>
  <c r="AS1517" i="2"/>
  <c r="AT1517" i="2"/>
  <c r="AU1517" i="2"/>
  <c r="AV1517" i="2"/>
  <c r="AW1517" i="2" s="1"/>
  <c r="AX1517" i="2"/>
  <c r="AY1517" i="2"/>
  <c r="AR1518" i="2"/>
  <c r="AS1518" i="2"/>
  <c r="AT1518" i="2"/>
  <c r="AU1518" i="2"/>
  <c r="AV1518" i="2"/>
  <c r="AW1518" i="2" s="1"/>
  <c r="AX1518" i="2"/>
  <c r="AY1518" i="2"/>
  <c r="AR1519" i="2"/>
  <c r="AS1519" i="2"/>
  <c r="AT1519" i="2"/>
  <c r="AU1519" i="2"/>
  <c r="AV1519" i="2"/>
  <c r="AW1519" i="2" s="1"/>
  <c r="AX1519" i="2"/>
  <c r="AY1519" i="2"/>
  <c r="AR1520" i="2"/>
  <c r="AS1520" i="2"/>
  <c r="AT1520" i="2"/>
  <c r="AU1520" i="2"/>
  <c r="AV1520" i="2"/>
  <c r="AW1520" i="2" s="1"/>
  <c r="AX1520" i="2"/>
  <c r="AY1520" i="2"/>
  <c r="AR1521" i="2"/>
  <c r="AS1521" i="2"/>
  <c r="AT1521" i="2"/>
  <c r="AU1521" i="2"/>
  <c r="AV1521" i="2"/>
  <c r="AW1521" i="2" s="1"/>
  <c r="AX1521" i="2"/>
  <c r="AY1521" i="2"/>
  <c r="AR1522" i="2"/>
  <c r="AS1522" i="2"/>
  <c r="AT1522" i="2"/>
  <c r="AU1522" i="2"/>
  <c r="AV1522" i="2"/>
  <c r="AW1522" i="2" s="1"/>
  <c r="AX1522" i="2"/>
  <c r="AY1522" i="2"/>
  <c r="AR1523" i="2"/>
  <c r="AS1523" i="2"/>
  <c r="AT1523" i="2"/>
  <c r="AU1523" i="2"/>
  <c r="AV1523" i="2"/>
  <c r="AW1523" i="2" s="1"/>
  <c r="AX1523" i="2"/>
  <c r="AY1523" i="2"/>
  <c r="AR1524" i="2"/>
  <c r="AS1524" i="2"/>
  <c r="AT1524" i="2"/>
  <c r="AU1524" i="2"/>
  <c r="AV1524" i="2"/>
  <c r="AW1524" i="2" s="1"/>
  <c r="AX1524" i="2"/>
  <c r="AY1524" i="2"/>
  <c r="AR1525" i="2"/>
  <c r="AS1525" i="2"/>
  <c r="AT1525" i="2"/>
  <c r="AU1525" i="2"/>
  <c r="AV1525" i="2"/>
  <c r="AW1525" i="2" s="1"/>
  <c r="AX1525" i="2"/>
  <c r="AY1525" i="2"/>
  <c r="AR1526" i="2"/>
  <c r="AS1526" i="2"/>
  <c r="AT1526" i="2"/>
  <c r="AU1526" i="2"/>
  <c r="AV1526" i="2"/>
  <c r="AW1526" i="2" s="1"/>
  <c r="AX1526" i="2"/>
  <c r="AY1526" i="2"/>
  <c r="AR1527" i="2"/>
  <c r="AS1527" i="2"/>
  <c r="AT1527" i="2"/>
  <c r="AU1527" i="2"/>
  <c r="AV1527" i="2"/>
  <c r="AW1527" i="2" s="1"/>
  <c r="AX1527" i="2"/>
  <c r="AY1527" i="2"/>
  <c r="AR1528" i="2"/>
  <c r="AS1528" i="2"/>
  <c r="AT1528" i="2"/>
  <c r="AU1528" i="2"/>
  <c r="AV1528" i="2"/>
  <c r="AW1528" i="2" s="1"/>
  <c r="AX1528" i="2"/>
  <c r="AY1528" i="2"/>
  <c r="AR1529" i="2"/>
  <c r="AS1529" i="2"/>
  <c r="AT1529" i="2"/>
  <c r="AU1529" i="2"/>
  <c r="AV1529" i="2"/>
  <c r="AW1529" i="2" s="1"/>
  <c r="AX1529" i="2"/>
  <c r="AY1529" i="2"/>
  <c r="AR1530" i="2"/>
  <c r="AS1530" i="2"/>
  <c r="AT1530" i="2"/>
  <c r="AU1530" i="2"/>
  <c r="AV1530" i="2"/>
  <c r="AW1530" i="2" s="1"/>
  <c r="AX1530" i="2"/>
  <c r="AY1530" i="2"/>
  <c r="AR1531" i="2"/>
  <c r="AS1531" i="2"/>
  <c r="AT1531" i="2"/>
  <c r="AU1531" i="2"/>
  <c r="AV1531" i="2"/>
  <c r="AW1531" i="2" s="1"/>
  <c r="AX1531" i="2"/>
  <c r="AY1531" i="2"/>
  <c r="AR1532" i="2"/>
  <c r="AS1532" i="2"/>
  <c r="AT1532" i="2"/>
  <c r="AU1532" i="2"/>
  <c r="AV1532" i="2"/>
  <c r="AW1532" i="2" s="1"/>
  <c r="AX1532" i="2"/>
  <c r="AY1532" i="2"/>
  <c r="AR1533" i="2"/>
  <c r="AS1533" i="2"/>
  <c r="AT1533" i="2"/>
  <c r="AU1533" i="2"/>
  <c r="AV1533" i="2"/>
  <c r="AW1533" i="2" s="1"/>
  <c r="AX1533" i="2"/>
  <c r="AY1533" i="2"/>
  <c r="AR1534" i="2"/>
  <c r="AS1534" i="2"/>
  <c r="AT1534" i="2"/>
  <c r="AU1534" i="2"/>
  <c r="AV1534" i="2"/>
  <c r="AW1534" i="2" s="1"/>
  <c r="AX1534" i="2"/>
  <c r="AY1534" i="2"/>
  <c r="AR1535" i="2"/>
  <c r="AS1535" i="2"/>
  <c r="AT1535" i="2"/>
  <c r="AU1535" i="2"/>
  <c r="AV1535" i="2"/>
  <c r="AW1535" i="2" s="1"/>
  <c r="AX1535" i="2"/>
  <c r="AY1535" i="2"/>
  <c r="AR1536" i="2"/>
  <c r="AS1536" i="2"/>
  <c r="AT1536" i="2"/>
  <c r="AU1536" i="2"/>
  <c r="AV1536" i="2"/>
  <c r="AW1536" i="2" s="1"/>
  <c r="AX1536" i="2"/>
  <c r="AY1536" i="2"/>
  <c r="AR1537" i="2"/>
  <c r="AS1537" i="2"/>
  <c r="AT1537" i="2"/>
  <c r="AU1537" i="2"/>
  <c r="AV1537" i="2"/>
  <c r="AW1537" i="2" s="1"/>
  <c r="AX1537" i="2"/>
  <c r="AY1537" i="2"/>
  <c r="AR1538" i="2"/>
  <c r="AS1538" i="2"/>
  <c r="AT1538" i="2"/>
  <c r="AU1538" i="2"/>
  <c r="AV1538" i="2"/>
  <c r="AW1538" i="2" s="1"/>
  <c r="AX1538" i="2"/>
  <c r="AY1538" i="2"/>
  <c r="AR1539" i="2"/>
  <c r="AS1539" i="2"/>
  <c r="AT1539" i="2"/>
  <c r="AU1539" i="2"/>
  <c r="AV1539" i="2"/>
  <c r="AW1539" i="2" s="1"/>
  <c r="AX1539" i="2"/>
  <c r="AY1539" i="2"/>
  <c r="AR1540" i="2"/>
  <c r="AS1540" i="2"/>
  <c r="AT1540" i="2"/>
  <c r="AU1540" i="2"/>
  <c r="AV1540" i="2"/>
  <c r="AW1540" i="2" s="1"/>
  <c r="AX1540" i="2"/>
  <c r="AY1540" i="2"/>
  <c r="AR1541" i="2"/>
  <c r="AS1541" i="2"/>
  <c r="AT1541" i="2"/>
  <c r="AU1541" i="2"/>
  <c r="AV1541" i="2"/>
  <c r="AW1541" i="2" s="1"/>
  <c r="AX1541" i="2"/>
  <c r="AY1541" i="2"/>
  <c r="AR1542" i="2"/>
  <c r="AS1542" i="2"/>
  <c r="AT1542" i="2"/>
  <c r="AU1542" i="2"/>
  <c r="AV1542" i="2"/>
  <c r="AW1542" i="2" s="1"/>
  <c r="AX1542" i="2"/>
  <c r="AY1542" i="2"/>
  <c r="AR1543" i="2"/>
  <c r="AS1543" i="2"/>
  <c r="AT1543" i="2"/>
  <c r="AU1543" i="2"/>
  <c r="AV1543" i="2"/>
  <c r="AW1543" i="2" s="1"/>
  <c r="AX1543" i="2"/>
  <c r="AY1543" i="2"/>
  <c r="AR1544" i="2"/>
  <c r="AS1544" i="2"/>
  <c r="AT1544" i="2"/>
  <c r="AU1544" i="2"/>
  <c r="AV1544" i="2"/>
  <c r="AW1544" i="2" s="1"/>
  <c r="AX1544" i="2"/>
  <c r="AY1544" i="2"/>
  <c r="AR1545" i="2"/>
  <c r="AS1545" i="2"/>
  <c r="AT1545" i="2"/>
  <c r="AU1545" i="2"/>
  <c r="AV1545" i="2"/>
  <c r="AW1545" i="2" s="1"/>
  <c r="AX1545" i="2"/>
  <c r="AY1545" i="2"/>
  <c r="AR1546" i="2"/>
  <c r="AS1546" i="2"/>
  <c r="AT1546" i="2"/>
  <c r="AU1546" i="2"/>
  <c r="AV1546" i="2"/>
  <c r="AW1546" i="2" s="1"/>
  <c r="AX1546" i="2"/>
  <c r="AY1546" i="2"/>
  <c r="AR1547" i="2"/>
  <c r="AS1547" i="2"/>
  <c r="AT1547" i="2"/>
  <c r="AU1547" i="2"/>
  <c r="AV1547" i="2"/>
  <c r="AW1547" i="2" s="1"/>
  <c r="AX1547" i="2"/>
  <c r="AY1547" i="2"/>
  <c r="AR1548" i="2"/>
  <c r="AS1548" i="2"/>
  <c r="AT1548" i="2"/>
  <c r="AU1548" i="2"/>
  <c r="AV1548" i="2"/>
  <c r="AW1548" i="2" s="1"/>
  <c r="AX1548" i="2"/>
  <c r="AY1548" i="2"/>
  <c r="AR1549" i="2"/>
  <c r="AS1549" i="2"/>
  <c r="AT1549" i="2"/>
  <c r="AU1549" i="2"/>
  <c r="AV1549" i="2"/>
  <c r="AW1549" i="2" s="1"/>
  <c r="AX1549" i="2"/>
  <c r="AY1549" i="2"/>
  <c r="AR1550" i="2"/>
  <c r="AS1550" i="2"/>
  <c r="AT1550" i="2"/>
  <c r="AU1550" i="2"/>
  <c r="AV1550" i="2"/>
  <c r="AW1550" i="2" s="1"/>
  <c r="AX1550" i="2"/>
  <c r="AY1550" i="2"/>
  <c r="AR1551" i="2"/>
  <c r="AS1551" i="2"/>
  <c r="AT1551" i="2"/>
  <c r="AU1551" i="2"/>
  <c r="AV1551" i="2"/>
  <c r="AW1551" i="2" s="1"/>
  <c r="AX1551" i="2"/>
  <c r="AY1551" i="2"/>
  <c r="AR1552" i="2"/>
  <c r="AS1552" i="2"/>
  <c r="AT1552" i="2"/>
  <c r="AU1552" i="2"/>
  <c r="AV1552" i="2"/>
  <c r="AW1552" i="2" s="1"/>
  <c r="AX1552" i="2"/>
  <c r="AY1552" i="2"/>
  <c r="AR1553" i="2"/>
  <c r="AS1553" i="2"/>
  <c r="AT1553" i="2"/>
  <c r="AU1553" i="2"/>
  <c r="AV1553" i="2"/>
  <c r="AW1553" i="2" s="1"/>
  <c r="AX1553" i="2"/>
  <c r="AY1553" i="2"/>
  <c r="AR1554" i="2"/>
  <c r="AS1554" i="2"/>
  <c r="AT1554" i="2"/>
  <c r="AU1554" i="2"/>
  <c r="AV1554" i="2"/>
  <c r="AW1554" i="2" s="1"/>
  <c r="AX1554" i="2"/>
  <c r="AY1554" i="2"/>
  <c r="AR1555" i="2"/>
  <c r="AS1555" i="2"/>
  <c r="AT1555" i="2"/>
  <c r="AU1555" i="2"/>
  <c r="AV1555" i="2"/>
  <c r="AW1555" i="2" s="1"/>
  <c r="AX1555" i="2"/>
  <c r="AY1555" i="2"/>
  <c r="AR1556" i="2"/>
  <c r="AS1556" i="2"/>
  <c r="AT1556" i="2"/>
  <c r="AU1556" i="2"/>
  <c r="AV1556" i="2"/>
  <c r="AW1556" i="2" s="1"/>
  <c r="AX1556" i="2"/>
  <c r="AY1556" i="2"/>
  <c r="AR1557" i="2"/>
  <c r="AS1557" i="2"/>
  <c r="AT1557" i="2"/>
  <c r="AU1557" i="2"/>
  <c r="AV1557" i="2"/>
  <c r="AW1557" i="2" s="1"/>
  <c r="AX1557" i="2"/>
  <c r="AY1557" i="2"/>
  <c r="AR1558" i="2"/>
  <c r="AS1558" i="2"/>
  <c r="AT1558" i="2"/>
  <c r="AU1558" i="2"/>
  <c r="AV1558" i="2"/>
  <c r="AW1558" i="2" s="1"/>
  <c r="AX1558" i="2"/>
  <c r="AY1558" i="2"/>
  <c r="AR1559" i="2"/>
  <c r="AS1559" i="2"/>
  <c r="AT1559" i="2"/>
  <c r="AU1559" i="2"/>
  <c r="AV1559" i="2"/>
  <c r="AW1559" i="2" s="1"/>
  <c r="AX1559" i="2"/>
  <c r="AY1559" i="2"/>
  <c r="AR1560" i="2"/>
  <c r="AS1560" i="2"/>
  <c r="AT1560" i="2"/>
  <c r="AU1560" i="2"/>
  <c r="AV1560" i="2"/>
  <c r="AW1560" i="2" s="1"/>
  <c r="AX1560" i="2"/>
  <c r="AY1560" i="2"/>
  <c r="AR1561" i="2"/>
  <c r="AS1561" i="2"/>
  <c r="AT1561" i="2"/>
  <c r="AU1561" i="2"/>
  <c r="AV1561" i="2"/>
  <c r="AW1561" i="2" s="1"/>
  <c r="AX1561" i="2"/>
  <c r="AY1561" i="2"/>
  <c r="AR1562" i="2"/>
  <c r="AS1562" i="2"/>
  <c r="AT1562" i="2"/>
  <c r="AU1562" i="2"/>
  <c r="AV1562" i="2"/>
  <c r="AW1562" i="2" s="1"/>
  <c r="AX1562" i="2"/>
  <c r="AY1562" i="2"/>
  <c r="AR1563" i="2"/>
  <c r="AS1563" i="2"/>
  <c r="AT1563" i="2"/>
  <c r="AU1563" i="2"/>
  <c r="AV1563" i="2"/>
  <c r="AW1563" i="2" s="1"/>
  <c r="AX1563" i="2"/>
  <c r="AY1563" i="2"/>
  <c r="AR1564" i="2"/>
  <c r="AS1564" i="2"/>
  <c r="AT1564" i="2"/>
  <c r="AU1564" i="2"/>
  <c r="AV1564" i="2"/>
  <c r="AW1564" i="2" s="1"/>
  <c r="AX1564" i="2"/>
  <c r="AY1564" i="2"/>
  <c r="AR1565" i="2"/>
  <c r="AS1565" i="2"/>
  <c r="AT1565" i="2"/>
  <c r="AU1565" i="2"/>
  <c r="AV1565" i="2"/>
  <c r="AW1565" i="2" s="1"/>
  <c r="AX1565" i="2"/>
  <c r="AY1565" i="2"/>
  <c r="AR1566" i="2"/>
  <c r="AS1566" i="2"/>
  <c r="AT1566" i="2"/>
  <c r="AU1566" i="2"/>
  <c r="AV1566" i="2"/>
  <c r="AW1566" i="2" s="1"/>
  <c r="AX1566" i="2"/>
  <c r="AY1566" i="2"/>
  <c r="AR1567" i="2"/>
  <c r="AS1567" i="2"/>
  <c r="AT1567" i="2"/>
  <c r="AU1567" i="2"/>
  <c r="AV1567" i="2"/>
  <c r="AW1567" i="2" s="1"/>
  <c r="AX1567" i="2"/>
  <c r="AY1567" i="2"/>
  <c r="AR1568" i="2"/>
  <c r="AS1568" i="2"/>
  <c r="AT1568" i="2"/>
  <c r="AU1568" i="2"/>
  <c r="AV1568" i="2"/>
  <c r="AW1568" i="2" s="1"/>
  <c r="AX1568" i="2"/>
  <c r="AY1568" i="2"/>
  <c r="AR1569" i="2"/>
  <c r="AS1569" i="2"/>
  <c r="AT1569" i="2"/>
  <c r="AU1569" i="2"/>
  <c r="AV1569" i="2"/>
  <c r="AW1569" i="2" s="1"/>
  <c r="AX1569" i="2"/>
  <c r="AY1569" i="2"/>
  <c r="AR1570" i="2"/>
  <c r="AS1570" i="2"/>
  <c r="AT1570" i="2"/>
  <c r="AU1570" i="2"/>
  <c r="AV1570" i="2"/>
  <c r="AW1570" i="2" s="1"/>
  <c r="AX1570" i="2"/>
  <c r="AY1570" i="2"/>
  <c r="AR1571" i="2"/>
  <c r="AS1571" i="2"/>
  <c r="AT1571" i="2"/>
  <c r="AU1571" i="2"/>
  <c r="AV1571" i="2"/>
  <c r="AW1571" i="2" s="1"/>
  <c r="AX1571" i="2"/>
  <c r="AY1571" i="2"/>
  <c r="AR1572" i="2"/>
  <c r="AS1572" i="2"/>
  <c r="AT1572" i="2"/>
  <c r="AU1572" i="2"/>
  <c r="AV1572" i="2"/>
  <c r="AW1572" i="2" s="1"/>
  <c r="AX1572" i="2"/>
  <c r="AY1572" i="2"/>
  <c r="AR1573" i="2"/>
  <c r="AS1573" i="2"/>
  <c r="AT1573" i="2"/>
  <c r="AU1573" i="2"/>
  <c r="AV1573" i="2"/>
  <c r="AW1573" i="2" s="1"/>
  <c r="AX1573" i="2"/>
  <c r="AY1573" i="2"/>
  <c r="AR1574" i="2"/>
  <c r="AS1574" i="2"/>
  <c r="AT1574" i="2"/>
  <c r="AU1574" i="2"/>
  <c r="AV1574" i="2"/>
  <c r="AW1574" i="2" s="1"/>
  <c r="AX1574" i="2"/>
  <c r="AY1574" i="2"/>
  <c r="AR1575" i="2"/>
  <c r="AS1575" i="2"/>
  <c r="AT1575" i="2"/>
  <c r="AU1575" i="2"/>
  <c r="AV1575" i="2"/>
  <c r="AW1575" i="2" s="1"/>
  <c r="AX1575" i="2"/>
  <c r="AY1575" i="2"/>
  <c r="AR1576" i="2"/>
  <c r="AS1576" i="2"/>
  <c r="AT1576" i="2"/>
  <c r="AU1576" i="2"/>
  <c r="AV1576" i="2"/>
  <c r="AW1576" i="2" s="1"/>
  <c r="AX1576" i="2"/>
  <c r="AY1576" i="2"/>
  <c r="AR1577" i="2"/>
  <c r="AS1577" i="2"/>
  <c r="AT1577" i="2"/>
  <c r="AU1577" i="2"/>
  <c r="AV1577" i="2"/>
  <c r="AW1577" i="2" s="1"/>
  <c r="AX1577" i="2"/>
  <c r="AY1577" i="2"/>
  <c r="AR1578" i="2"/>
  <c r="AS1578" i="2"/>
  <c r="AT1578" i="2"/>
  <c r="AU1578" i="2"/>
  <c r="AV1578" i="2"/>
  <c r="AW1578" i="2" s="1"/>
  <c r="AX1578" i="2"/>
  <c r="AY1578" i="2"/>
  <c r="AR1579" i="2"/>
  <c r="AS1579" i="2"/>
  <c r="AT1579" i="2"/>
  <c r="AU1579" i="2"/>
  <c r="AV1579" i="2"/>
  <c r="AW1579" i="2" s="1"/>
  <c r="AX1579" i="2"/>
  <c r="AY1579" i="2"/>
  <c r="AR1580" i="2"/>
  <c r="AS1580" i="2"/>
  <c r="AT1580" i="2"/>
  <c r="AU1580" i="2"/>
  <c r="AV1580" i="2"/>
  <c r="AW1580" i="2" s="1"/>
  <c r="AX1580" i="2"/>
  <c r="AY1580" i="2"/>
  <c r="AR1581" i="2"/>
  <c r="AS1581" i="2"/>
  <c r="AT1581" i="2"/>
  <c r="AU1581" i="2"/>
  <c r="AV1581" i="2"/>
  <c r="AW1581" i="2" s="1"/>
  <c r="AX1581" i="2"/>
  <c r="AY1581" i="2"/>
  <c r="AR1582" i="2"/>
  <c r="AS1582" i="2"/>
  <c r="AT1582" i="2"/>
  <c r="AU1582" i="2"/>
  <c r="AV1582" i="2"/>
  <c r="AW1582" i="2" s="1"/>
  <c r="AX1582" i="2"/>
  <c r="AY1582" i="2"/>
  <c r="AR1583" i="2"/>
  <c r="AS1583" i="2"/>
  <c r="AT1583" i="2"/>
  <c r="AU1583" i="2"/>
  <c r="AV1583" i="2"/>
  <c r="AW1583" i="2" s="1"/>
  <c r="AX1583" i="2"/>
  <c r="AY1583" i="2"/>
  <c r="AR1584" i="2"/>
  <c r="AS1584" i="2"/>
  <c r="AT1584" i="2"/>
  <c r="AU1584" i="2"/>
  <c r="AV1584" i="2"/>
  <c r="AW1584" i="2" s="1"/>
  <c r="AX1584" i="2"/>
  <c r="AY1584" i="2"/>
  <c r="AR1585" i="2"/>
  <c r="AS1585" i="2"/>
  <c r="AT1585" i="2"/>
  <c r="AU1585" i="2"/>
  <c r="AV1585" i="2"/>
  <c r="AW1585" i="2" s="1"/>
  <c r="AX1585" i="2"/>
  <c r="AY1585" i="2"/>
  <c r="AR1586" i="2"/>
  <c r="AS1586" i="2"/>
  <c r="AT1586" i="2"/>
  <c r="AU1586" i="2"/>
  <c r="AV1586" i="2"/>
  <c r="AW1586" i="2" s="1"/>
  <c r="AX1586" i="2"/>
  <c r="AY1586" i="2"/>
  <c r="AR1587" i="2"/>
  <c r="AS1587" i="2"/>
  <c r="AT1587" i="2"/>
  <c r="AU1587" i="2"/>
  <c r="AV1587" i="2"/>
  <c r="AW1587" i="2" s="1"/>
  <c r="AX1587" i="2"/>
  <c r="AY1587" i="2"/>
  <c r="AR1588" i="2"/>
  <c r="AS1588" i="2"/>
  <c r="AT1588" i="2"/>
  <c r="AU1588" i="2"/>
  <c r="AV1588" i="2"/>
  <c r="AW1588" i="2" s="1"/>
  <c r="AX1588" i="2"/>
  <c r="AY1588" i="2"/>
  <c r="AR1589" i="2"/>
  <c r="AS1589" i="2"/>
  <c r="AT1589" i="2"/>
  <c r="AU1589" i="2"/>
  <c r="AV1589" i="2"/>
  <c r="AW1589" i="2" s="1"/>
  <c r="AX1589" i="2"/>
  <c r="AY1589" i="2"/>
  <c r="AR1590" i="2"/>
  <c r="AS1590" i="2"/>
  <c r="AT1590" i="2"/>
  <c r="AU1590" i="2"/>
  <c r="AV1590" i="2"/>
  <c r="AW1590" i="2" s="1"/>
  <c r="AX1590" i="2"/>
  <c r="AY1590" i="2"/>
  <c r="AR1591" i="2"/>
  <c r="AS1591" i="2"/>
  <c r="AT1591" i="2"/>
  <c r="AU1591" i="2"/>
  <c r="AV1591" i="2"/>
  <c r="AW1591" i="2" s="1"/>
  <c r="AX1591" i="2"/>
  <c r="AY1591" i="2"/>
  <c r="AR1592" i="2"/>
  <c r="AS1592" i="2"/>
  <c r="AT1592" i="2"/>
  <c r="AU1592" i="2"/>
  <c r="AV1592" i="2"/>
  <c r="AW1592" i="2" s="1"/>
  <c r="AX1592" i="2"/>
  <c r="AY1592" i="2"/>
  <c r="AR1593" i="2"/>
  <c r="AS1593" i="2"/>
  <c r="AT1593" i="2"/>
  <c r="AU1593" i="2"/>
  <c r="AV1593" i="2"/>
  <c r="AW1593" i="2" s="1"/>
  <c r="AX1593" i="2"/>
  <c r="AY1593" i="2"/>
  <c r="AR1594" i="2"/>
  <c r="AS1594" i="2"/>
  <c r="AT1594" i="2"/>
  <c r="AU1594" i="2"/>
  <c r="AV1594" i="2"/>
  <c r="AW1594" i="2" s="1"/>
  <c r="AX1594" i="2"/>
  <c r="AY1594" i="2"/>
  <c r="AR1595" i="2"/>
  <c r="AS1595" i="2"/>
  <c r="AT1595" i="2"/>
  <c r="AU1595" i="2"/>
  <c r="AV1595" i="2"/>
  <c r="AW1595" i="2" s="1"/>
  <c r="AX1595" i="2"/>
  <c r="AY1595" i="2"/>
  <c r="AR1596" i="2"/>
  <c r="AS1596" i="2"/>
  <c r="AT1596" i="2"/>
  <c r="AU1596" i="2"/>
  <c r="AV1596" i="2"/>
  <c r="AW1596" i="2" s="1"/>
  <c r="AX1596" i="2"/>
  <c r="AY1596" i="2"/>
  <c r="AR1597" i="2"/>
  <c r="AS1597" i="2"/>
  <c r="AT1597" i="2"/>
  <c r="AU1597" i="2"/>
  <c r="AV1597" i="2"/>
  <c r="AW1597" i="2" s="1"/>
  <c r="AX1597" i="2"/>
  <c r="AY1597" i="2"/>
  <c r="AR1598" i="2"/>
  <c r="AS1598" i="2"/>
  <c r="AT1598" i="2"/>
  <c r="AU1598" i="2"/>
  <c r="AV1598" i="2"/>
  <c r="AW1598" i="2" s="1"/>
  <c r="AX1598" i="2"/>
  <c r="AY1598" i="2"/>
  <c r="AR1599" i="2"/>
  <c r="AS1599" i="2"/>
  <c r="AT1599" i="2"/>
  <c r="AU1599" i="2"/>
  <c r="AV1599" i="2"/>
  <c r="AW1599" i="2" s="1"/>
  <c r="AX1599" i="2"/>
  <c r="AY1599" i="2"/>
  <c r="AR1600" i="2"/>
  <c r="AS1600" i="2"/>
  <c r="AT1600" i="2"/>
  <c r="AU1600" i="2"/>
  <c r="AV1600" i="2"/>
  <c r="AW1600" i="2" s="1"/>
  <c r="AX1600" i="2"/>
  <c r="AY1600" i="2"/>
  <c r="AR1601" i="2"/>
  <c r="AS1601" i="2"/>
  <c r="AT1601" i="2"/>
  <c r="AU1601" i="2"/>
  <c r="AV1601" i="2"/>
  <c r="AW1601" i="2" s="1"/>
  <c r="AX1601" i="2"/>
  <c r="AY1601" i="2"/>
  <c r="AR1602" i="2"/>
  <c r="AS1602" i="2"/>
  <c r="AT1602" i="2"/>
  <c r="AU1602" i="2"/>
  <c r="AV1602" i="2"/>
  <c r="AW1602" i="2" s="1"/>
  <c r="AX1602" i="2"/>
  <c r="AY1602" i="2"/>
  <c r="AR1603" i="2"/>
  <c r="AS1603" i="2"/>
  <c r="AT1603" i="2"/>
  <c r="AU1603" i="2"/>
  <c r="AV1603" i="2"/>
  <c r="AW1603" i="2" s="1"/>
  <c r="AX1603" i="2"/>
  <c r="AY1603" i="2"/>
  <c r="AR1604" i="2"/>
  <c r="AS1604" i="2"/>
  <c r="AT1604" i="2"/>
  <c r="AU1604" i="2"/>
  <c r="AV1604" i="2"/>
  <c r="AW1604" i="2" s="1"/>
  <c r="AX1604" i="2"/>
  <c r="AY1604" i="2"/>
  <c r="AR1605" i="2"/>
  <c r="AS1605" i="2"/>
  <c r="AT1605" i="2"/>
  <c r="AU1605" i="2"/>
  <c r="AV1605" i="2"/>
  <c r="AW1605" i="2" s="1"/>
  <c r="AX1605" i="2"/>
  <c r="AY1605" i="2"/>
  <c r="AR1606" i="2"/>
  <c r="AS1606" i="2"/>
  <c r="AT1606" i="2"/>
  <c r="AU1606" i="2"/>
  <c r="AV1606" i="2"/>
  <c r="AW1606" i="2" s="1"/>
  <c r="AX1606" i="2"/>
  <c r="AY1606" i="2"/>
  <c r="AR1607" i="2"/>
  <c r="AS1607" i="2"/>
  <c r="AT1607" i="2"/>
  <c r="AU1607" i="2"/>
  <c r="AV1607" i="2"/>
  <c r="AW1607" i="2" s="1"/>
  <c r="AX1607" i="2"/>
  <c r="AY1607" i="2"/>
  <c r="AR1608" i="2"/>
  <c r="AS1608" i="2"/>
  <c r="AT1608" i="2"/>
  <c r="AU1608" i="2"/>
  <c r="AV1608" i="2"/>
  <c r="AW1608" i="2" s="1"/>
  <c r="AX1608" i="2"/>
  <c r="AY1608" i="2"/>
  <c r="AR1609" i="2"/>
  <c r="AS1609" i="2"/>
  <c r="AT1609" i="2"/>
  <c r="AU1609" i="2"/>
  <c r="AV1609" i="2"/>
  <c r="AW1609" i="2" s="1"/>
  <c r="AX1609" i="2"/>
  <c r="AY1609" i="2"/>
  <c r="AR1610" i="2"/>
  <c r="AS1610" i="2"/>
  <c r="AT1610" i="2"/>
  <c r="AU1610" i="2"/>
  <c r="AV1610" i="2"/>
  <c r="AW1610" i="2" s="1"/>
  <c r="AX1610" i="2"/>
  <c r="AY1610" i="2"/>
  <c r="AR1611" i="2"/>
  <c r="AS1611" i="2"/>
  <c r="AT1611" i="2"/>
  <c r="AU1611" i="2"/>
  <c r="AV1611" i="2"/>
  <c r="AW1611" i="2" s="1"/>
  <c r="AX1611" i="2"/>
  <c r="AY1611" i="2"/>
  <c r="AR1612" i="2"/>
  <c r="AS1612" i="2"/>
  <c r="AT1612" i="2"/>
  <c r="AU1612" i="2"/>
  <c r="AV1612" i="2"/>
  <c r="AW1612" i="2" s="1"/>
  <c r="AX1612" i="2"/>
  <c r="AY1612" i="2"/>
  <c r="AR1613" i="2"/>
  <c r="AS1613" i="2"/>
  <c r="AT1613" i="2"/>
  <c r="AU1613" i="2"/>
  <c r="AV1613" i="2"/>
  <c r="AW1613" i="2" s="1"/>
  <c r="AX1613" i="2"/>
  <c r="AY1613" i="2"/>
  <c r="AR1614" i="2"/>
  <c r="AS1614" i="2"/>
  <c r="AT1614" i="2"/>
  <c r="AU1614" i="2"/>
  <c r="AV1614" i="2"/>
  <c r="AW1614" i="2" s="1"/>
  <c r="AX1614" i="2"/>
  <c r="AY1614" i="2"/>
  <c r="AR1615" i="2"/>
  <c r="AS1615" i="2"/>
  <c r="AT1615" i="2"/>
  <c r="AU1615" i="2"/>
  <c r="AV1615" i="2"/>
  <c r="AW1615" i="2" s="1"/>
  <c r="AX1615" i="2"/>
  <c r="AY1615" i="2"/>
  <c r="AR1616" i="2"/>
  <c r="AS1616" i="2"/>
  <c r="AT1616" i="2"/>
  <c r="AU1616" i="2"/>
  <c r="AV1616" i="2"/>
  <c r="AW1616" i="2" s="1"/>
  <c r="AX1616" i="2"/>
  <c r="AY1616" i="2"/>
  <c r="AR1617" i="2"/>
  <c r="AS1617" i="2"/>
  <c r="AT1617" i="2"/>
  <c r="AU1617" i="2"/>
  <c r="AV1617" i="2"/>
  <c r="AW1617" i="2" s="1"/>
  <c r="AX1617" i="2"/>
  <c r="AY1617" i="2"/>
  <c r="AR1618" i="2"/>
  <c r="AS1618" i="2"/>
  <c r="AT1618" i="2"/>
  <c r="AU1618" i="2"/>
  <c r="AV1618" i="2"/>
  <c r="AW1618" i="2" s="1"/>
  <c r="AX1618" i="2"/>
  <c r="AY1618" i="2"/>
  <c r="AR1619" i="2"/>
  <c r="AS1619" i="2"/>
  <c r="AT1619" i="2"/>
  <c r="AU1619" i="2"/>
  <c r="AV1619" i="2"/>
  <c r="AW1619" i="2" s="1"/>
  <c r="AX1619" i="2"/>
  <c r="AY1619" i="2"/>
  <c r="AR1620" i="2"/>
  <c r="AS1620" i="2"/>
  <c r="AT1620" i="2"/>
  <c r="AU1620" i="2"/>
  <c r="AV1620" i="2"/>
  <c r="AW1620" i="2" s="1"/>
  <c r="AX1620" i="2"/>
  <c r="AY1620" i="2"/>
  <c r="AR1621" i="2"/>
  <c r="AS1621" i="2"/>
  <c r="AT1621" i="2"/>
  <c r="AU1621" i="2"/>
  <c r="AV1621" i="2"/>
  <c r="AW1621" i="2" s="1"/>
  <c r="AX1621" i="2"/>
  <c r="AY1621" i="2"/>
  <c r="AR1622" i="2"/>
  <c r="AS1622" i="2"/>
  <c r="AT1622" i="2"/>
  <c r="AU1622" i="2"/>
  <c r="AV1622" i="2"/>
  <c r="AW1622" i="2" s="1"/>
  <c r="AX1622" i="2"/>
  <c r="AY1622" i="2"/>
  <c r="AR1623" i="2"/>
  <c r="AS1623" i="2"/>
  <c r="AT1623" i="2"/>
  <c r="AU1623" i="2"/>
  <c r="AV1623" i="2"/>
  <c r="AW1623" i="2" s="1"/>
  <c r="AX1623" i="2"/>
  <c r="AY1623" i="2"/>
  <c r="AR1624" i="2"/>
  <c r="AS1624" i="2"/>
  <c r="AT1624" i="2"/>
  <c r="AU1624" i="2"/>
  <c r="AV1624" i="2"/>
  <c r="AW1624" i="2" s="1"/>
  <c r="AX1624" i="2"/>
  <c r="AY1624" i="2"/>
  <c r="AR1625" i="2"/>
  <c r="AS1625" i="2"/>
  <c r="AT1625" i="2"/>
  <c r="AU1625" i="2"/>
  <c r="AV1625" i="2"/>
  <c r="AW1625" i="2" s="1"/>
  <c r="AX1625" i="2"/>
  <c r="AY1625" i="2"/>
  <c r="AR1626" i="2"/>
  <c r="AS1626" i="2"/>
  <c r="AT1626" i="2"/>
  <c r="AU1626" i="2"/>
  <c r="AV1626" i="2"/>
  <c r="AW1626" i="2" s="1"/>
  <c r="AX1626" i="2"/>
  <c r="AY1626" i="2"/>
  <c r="AR1627" i="2"/>
  <c r="AS1627" i="2"/>
  <c r="AT1627" i="2"/>
  <c r="AU1627" i="2"/>
  <c r="AV1627" i="2"/>
  <c r="AW1627" i="2" s="1"/>
  <c r="AX1627" i="2"/>
  <c r="AY1627" i="2"/>
  <c r="AR1628" i="2"/>
  <c r="AS1628" i="2"/>
  <c r="AT1628" i="2"/>
  <c r="AU1628" i="2"/>
  <c r="AV1628" i="2"/>
  <c r="AW1628" i="2"/>
  <c r="AX1628" i="2"/>
  <c r="AY1628" i="2"/>
  <c r="AR1629" i="2"/>
  <c r="AS1629" i="2"/>
  <c r="AT1629" i="2"/>
  <c r="AU1629" i="2"/>
  <c r="AV1629" i="2"/>
  <c r="AW1629" i="2"/>
  <c r="AX1629" i="2"/>
  <c r="AY1629" i="2"/>
  <c r="AR1630" i="2"/>
  <c r="AS1630" i="2"/>
  <c r="AT1630" i="2"/>
  <c r="AU1630" i="2"/>
  <c r="AV1630" i="2"/>
  <c r="AW1630" i="2"/>
  <c r="AX1630" i="2"/>
  <c r="AY1630" i="2"/>
  <c r="AR1631" i="2"/>
  <c r="AS1631" i="2"/>
  <c r="AT1631" i="2"/>
  <c r="AU1631" i="2"/>
  <c r="AV1631" i="2"/>
  <c r="AW1631" i="2"/>
  <c r="AX1631" i="2"/>
  <c r="AY1631" i="2"/>
  <c r="AR1632" i="2"/>
  <c r="AS1632" i="2"/>
  <c r="AT1632" i="2"/>
  <c r="AU1632" i="2"/>
  <c r="AV1632" i="2"/>
  <c r="AW1632" i="2"/>
  <c r="AX1632" i="2"/>
  <c r="AY1632" i="2"/>
  <c r="AR1633" i="2"/>
  <c r="AS1633" i="2"/>
  <c r="AT1633" i="2"/>
  <c r="AU1633" i="2"/>
  <c r="AV1633" i="2"/>
  <c r="AW1633" i="2"/>
  <c r="AX1633" i="2"/>
  <c r="AY1633" i="2"/>
  <c r="AR1634" i="2"/>
  <c r="AS1634" i="2"/>
  <c r="AT1634" i="2"/>
  <c r="AU1634" i="2"/>
  <c r="AV1634" i="2"/>
  <c r="AW1634" i="2"/>
  <c r="AX1634" i="2"/>
  <c r="AY1634" i="2"/>
  <c r="AR1635" i="2"/>
  <c r="AS1635" i="2"/>
  <c r="AT1635" i="2"/>
  <c r="AU1635" i="2"/>
  <c r="AV1635" i="2"/>
  <c r="AW1635" i="2"/>
  <c r="AX1635" i="2"/>
  <c r="AY1635" i="2"/>
  <c r="AR1636" i="2"/>
  <c r="AS1636" i="2"/>
  <c r="AT1636" i="2"/>
  <c r="AU1636" i="2"/>
  <c r="AV1636" i="2"/>
  <c r="AW1636" i="2"/>
  <c r="AX1636" i="2"/>
  <c r="AY1636" i="2"/>
  <c r="AR1637" i="2"/>
  <c r="AS1637" i="2"/>
  <c r="AT1637" i="2"/>
  <c r="AU1637" i="2"/>
  <c r="AV1637" i="2"/>
  <c r="AW1637" i="2"/>
  <c r="AX1637" i="2"/>
  <c r="AY1637" i="2"/>
  <c r="AR1638" i="2"/>
  <c r="AS1638" i="2"/>
  <c r="AT1638" i="2"/>
  <c r="AU1638" i="2"/>
  <c r="AV1638" i="2"/>
  <c r="AW1638" i="2"/>
  <c r="AX1638" i="2"/>
  <c r="AY1638" i="2"/>
  <c r="AR1639" i="2"/>
  <c r="AS1639" i="2"/>
  <c r="AT1639" i="2"/>
  <c r="AU1639" i="2"/>
  <c r="AV1639" i="2"/>
  <c r="AW1639" i="2"/>
  <c r="AX1639" i="2"/>
  <c r="AY1639" i="2"/>
  <c r="AR1640" i="2"/>
  <c r="AS1640" i="2"/>
  <c r="AT1640" i="2"/>
  <c r="AU1640" i="2"/>
  <c r="AV1640" i="2"/>
  <c r="AW1640" i="2"/>
  <c r="AX1640" i="2"/>
  <c r="AY1640" i="2"/>
  <c r="AR1641" i="2"/>
  <c r="AS1641" i="2"/>
  <c r="AT1641" i="2"/>
  <c r="AU1641" i="2"/>
  <c r="AV1641" i="2"/>
  <c r="AW1641" i="2"/>
  <c r="AX1641" i="2"/>
  <c r="AY1641" i="2"/>
  <c r="AR1642" i="2"/>
  <c r="AS1642" i="2"/>
  <c r="AT1642" i="2"/>
  <c r="AU1642" i="2"/>
  <c r="AV1642" i="2"/>
  <c r="AW1642" i="2"/>
  <c r="AX1642" i="2"/>
  <c r="AY1642" i="2"/>
  <c r="AR1643" i="2"/>
  <c r="AS1643" i="2"/>
  <c r="AT1643" i="2"/>
  <c r="AU1643" i="2"/>
  <c r="AV1643" i="2"/>
  <c r="AW1643" i="2"/>
  <c r="AX1643" i="2"/>
  <c r="AY1643" i="2"/>
  <c r="AR1644" i="2"/>
  <c r="AS1644" i="2"/>
  <c r="AT1644" i="2"/>
  <c r="AU1644" i="2"/>
  <c r="AV1644" i="2"/>
  <c r="AW1644" i="2"/>
  <c r="AX1644" i="2"/>
  <c r="AY1644" i="2"/>
  <c r="AR1645" i="2"/>
  <c r="AS1645" i="2"/>
  <c r="AT1645" i="2"/>
  <c r="AU1645" i="2"/>
  <c r="AV1645" i="2"/>
  <c r="AW1645" i="2"/>
  <c r="AX1645" i="2"/>
  <c r="AY1645" i="2"/>
  <c r="AR1646" i="2"/>
  <c r="AS1646" i="2"/>
  <c r="AT1646" i="2"/>
  <c r="AU1646" i="2"/>
  <c r="AV1646" i="2"/>
  <c r="AW1646" i="2"/>
  <c r="AX1646" i="2"/>
  <c r="AY1646" i="2"/>
  <c r="AR1647" i="2"/>
  <c r="AS1647" i="2"/>
  <c r="AT1647" i="2"/>
  <c r="AU1647" i="2"/>
  <c r="AV1647" i="2"/>
  <c r="AW1647" i="2"/>
  <c r="AX1647" i="2"/>
  <c r="AY1647" i="2"/>
  <c r="AR1648" i="2"/>
  <c r="AS1648" i="2"/>
  <c r="AT1648" i="2"/>
  <c r="AU1648" i="2"/>
  <c r="AV1648" i="2"/>
  <c r="AW1648" i="2"/>
  <c r="AX1648" i="2"/>
  <c r="AY1648" i="2"/>
  <c r="AR1649" i="2"/>
  <c r="AS1649" i="2"/>
  <c r="AT1649" i="2"/>
  <c r="AU1649" i="2"/>
  <c r="AV1649" i="2"/>
  <c r="AW1649" i="2"/>
  <c r="AX1649" i="2"/>
  <c r="AY1649" i="2"/>
  <c r="AR1650" i="2"/>
  <c r="AS1650" i="2"/>
  <c r="AT1650" i="2"/>
  <c r="AU1650" i="2"/>
  <c r="AV1650" i="2"/>
  <c r="AW1650" i="2"/>
  <c r="AX1650" i="2"/>
  <c r="AY1650" i="2"/>
  <c r="AR1651" i="2"/>
  <c r="AS1651" i="2"/>
  <c r="AT1651" i="2"/>
  <c r="AU1651" i="2"/>
  <c r="AV1651" i="2"/>
  <c r="AW1651" i="2"/>
  <c r="AX1651" i="2"/>
  <c r="AY1651" i="2"/>
  <c r="AR1652" i="2"/>
  <c r="AS1652" i="2"/>
  <c r="AT1652" i="2"/>
  <c r="AU1652" i="2"/>
  <c r="AV1652" i="2"/>
  <c r="AW1652" i="2"/>
  <c r="AX1652" i="2"/>
  <c r="AY1652" i="2"/>
  <c r="AR1653" i="2"/>
  <c r="AS1653" i="2"/>
  <c r="AT1653" i="2"/>
  <c r="AU1653" i="2"/>
  <c r="AV1653" i="2"/>
  <c r="AW1653" i="2"/>
  <c r="AX1653" i="2"/>
  <c r="AY1653" i="2"/>
  <c r="AR1654" i="2"/>
  <c r="AS1654" i="2"/>
  <c r="AT1654" i="2"/>
  <c r="AU1654" i="2"/>
  <c r="AV1654" i="2"/>
  <c r="AW1654" i="2"/>
  <c r="AX1654" i="2"/>
  <c r="AY1654" i="2"/>
  <c r="AR1655" i="2"/>
  <c r="AS1655" i="2"/>
  <c r="AT1655" i="2"/>
  <c r="AU1655" i="2"/>
  <c r="AV1655" i="2"/>
  <c r="AW1655" i="2"/>
  <c r="AX1655" i="2"/>
  <c r="AY1655" i="2"/>
  <c r="AR1656" i="2"/>
  <c r="AS1656" i="2"/>
  <c r="AT1656" i="2"/>
  <c r="AU1656" i="2"/>
  <c r="AV1656" i="2"/>
  <c r="AW1656" i="2"/>
  <c r="AX1656" i="2"/>
  <c r="AY1656" i="2"/>
  <c r="AR1657" i="2"/>
  <c r="AS1657" i="2"/>
  <c r="AT1657" i="2"/>
  <c r="AU1657" i="2"/>
  <c r="AV1657" i="2"/>
  <c r="AW1657" i="2"/>
  <c r="AX1657" i="2"/>
  <c r="AY1657" i="2"/>
  <c r="AR1658" i="2"/>
  <c r="AS1658" i="2"/>
  <c r="AT1658" i="2"/>
  <c r="AU1658" i="2"/>
  <c r="AV1658" i="2"/>
  <c r="AW1658" i="2"/>
  <c r="AX1658" i="2"/>
  <c r="AY1658" i="2"/>
  <c r="AR1659" i="2"/>
  <c r="AS1659" i="2"/>
  <c r="AT1659" i="2"/>
  <c r="AU1659" i="2"/>
  <c r="AV1659" i="2"/>
  <c r="AW1659" i="2"/>
  <c r="AX1659" i="2"/>
  <c r="AY1659" i="2"/>
  <c r="AR1660" i="2"/>
  <c r="AS1660" i="2"/>
  <c r="AT1660" i="2"/>
  <c r="AU1660" i="2"/>
  <c r="AV1660" i="2"/>
  <c r="AW1660" i="2"/>
  <c r="AX1660" i="2"/>
  <c r="AY1660" i="2"/>
  <c r="AR1661" i="2"/>
  <c r="AS1661" i="2"/>
  <c r="AT1661" i="2"/>
  <c r="AU1661" i="2"/>
  <c r="AV1661" i="2"/>
  <c r="AW1661" i="2"/>
  <c r="AX1661" i="2"/>
  <c r="AY1661" i="2"/>
  <c r="AR1662" i="2"/>
  <c r="AS1662" i="2"/>
  <c r="AT1662" i="2"/>
  <c r="AU1662" i="2"/>
  <c r="AV1662" i="2"/>
  <c r="AW1662" i="2"/>
  <c r="AX1662" i="2"/>
  <c r="AY1662" i="2"/>
  <c r="AR1663" i="2"/>
  <c r="AS1663" i="2"/>
  <c r="AT1663" i="2"/>
  <c r="AU1663" i="2"/>
  <c r="AV1663" i="2"/>
  <c r="AW1663" i="2"/>
  <c r="AX1663" i="2"/>
  <c r="AY1663" i="2"/>
  <c r="AR1664" i="2"/>
  <c r="AS1664" i="2"/>
  <c r="AT1664" i="2"/>
  <c r="AU1664" i="2"/>
  <c r="AV1664" i="2"/>
  <c r="AW1664" i="2"/>
  <c r="AX1664" i="2"/>
  <c r="AY1664" i="2"/>
  <c r="AR1665" i="2"/>
  <c r="AS1665" i="2"/>
  <c r="AT1665" i="2"/>
  <c r="AU1665" i="2"/>
  <c r="AV1665" i="2"/>
  <c r="AW1665" i="2"/>
  <c r="AX1665" i="2"/>
  <c r="AY1665" i="2"/>
  <c r="AR1666" i="2"/>
  <c r="AS1666" i="2"/>
  <c r="AT1666" i="2"/>
  <c r="AU1666" i="2"/>
  <c r="AV1666" i="2"/>
  <c r="AW1666" i="2"/>
  <c r="AX1666" i="2"/>
  <c r="AY1666" i="2"/>
  <c r="AR1667" i="2"/>
  <c r="AS1667" i="2"/>
  <c r="AT1667" i="2"/>
  <c r="AU1667" i="2"/>
  <c r="AV1667" i="2"/>
  <c r="AW1667" i="2"/>
  <c r="AX1667" i="2"/>
  <c r="AY1667" i="2"/>
  <c r="AR1668" i="2"/>
  <c r="AS1668" i="2"/>
  <c r="AT1668" i="2"/>
  <c r="AU1668" i="2"/>
  <c r="AV1668" i="2"/>
  <c r="AW1668" i="2"/>
  <c r="AX1668" i="2"/>
  <c r="AY1668" i="2"/>
  <c r="AR1669" i="2"/>
  <c r="AS1669" i="2"/>
  <c r="AT1669" i="2"/>
  <c r="AU1669" i="2"/>
  <c r="AV1669" i="2"/>
  <c r="AW1669" i="2"/>
  <c r="AX1669" i="2"/>
  <c r="AY1669" i="2"/>
  <c r="AR1670" i="2"/>
  <c r="AS1670" i="2"/>
  <c r="AT1670" i="2"/>
  <c r="AU1670" i="2"/>
  <c r="AV1670" i="2"/>
  <c r="AW1670" i="2"/>
  <c r="AX1670" i="2"/>
  <c r="AY1670" i="2"/>
  <c r="AR1671" i="2"/>
  <c r="AS1671" i="2"/>
  <c r="AT1671" i="2"/>
  <c r="AU1671" i="2"/>
  <c r="AV1671" i="2"/>
  <c r="AW1671" i="2"/>
  <c r="AX1671" i="2"/>
  <c r="AY1671" i="2"/>
  <c r="AR1672" i="2"/>
  <c r="AS1672" i="2"/>
  <c r="AT1672" i="2"/>
  <c r="AU1672" i="2"/>
  <c r="AV1672" i="2"/>
  <c r="AW1672" i="2"/>
  <c r="AX1672" i="2"/>
  <c r="AY1672" i="2"/>
  <c r="AR1673" i="2"/>
  <c r="AS1673" i="2"/>
  <c r="AT1673" i="2"/>
  <c r="AU1673" i="2"/>
  <c r="AV1673" i="2"/>
  <c r="AW1673" i="2"/>
  <c r="AX1673" i="2"/>
  <c r="AY1673" i="2"/>
  <c r="AR1674" i="2"/>
  <c r="AS1674" i="2"/>
  <c r="AT1674" i="2"/>
  <c r="AU1674" i="2"/>
  <c r="AV1674" i="2"/>
  <c r="AW1674" i="2"/>
  <c r="AX1674" i="2"/>
  <c r="AY1674" i="2"/>
  <c r="AR1675" i="2"/>
  <c r="AS1675" i="2"/>
  <c r="AT1675" i="2"/>
  <c r="AU1675" i="2"/>
  <c r="AV1675" i="2"/>
  <c r="AW1675" i="2"/>
  <c r="AX1675" i="2"/>
  <c r="AY1675" i="2"/>
  <c r="AR1676" i="2"/>
  <c r="AS1676" i="2"/>
  <c r="AT1676" i="2"/>
  <c r="AU1676" i="2"/>
  <c r="AV1676" i="2"/>
  <c r="AW1676" i="2"/>
  <c r="AX1676" i="2"/>
  <c r="AY1676" i="2"/>
  <c r="AR1677" i="2"/>
  <c r="AS1677" i="2"/>
  <c r="AT1677" i="2"/>
  <c r="AU1677" i="2"/>
  <c r="AV1677" i="2"/>
  <c r="AW1677" i="2"/>
  <c r="AX1677" i="2"/>
  <c r="AY1677" i="2"/>
  <c r="AR1678" i="2"/>
  <c r="AS1678" i="2"/>
  <c r="AT1678" i="2"/>
  <c r="AU1678" i="2"/>
  <c r="AV1678" i="2"/>
  <c r="AW1678" i="2"/>
  <c r="AX1678" i="2"/>
  <c r="AY1678" i="2"/>
  <c r="AR1679" i="2"/>
  <c r="AS1679" i="2"/>
  <c r="AT1679" i="2"/>
  <c r="AU1679" i="2"/>
  <c r="AV1679" i="2"/>
  <c r="AW1679" i="2"/>
  <c r="AX1679" i="2"/>
  <c r="AY1679" i="2"/>
  <c r="AR1680" i="2"/>
  <c r="AS1680" i="2"/>
  <c r="AT1680" i="2"/>
  <c r="AU1680" i="2"/>
  <c r="AV1680" i="2"/>
  <c r="AW1680" i="2"/>
  <c r="AX1680" i="2"/>
  <c r="AY1680" i="2"/>
  <c r="AR1681" i="2"/>
  <c r="AS1681" i="2"/>
  <c r="AT1681" i="2"/>
  <c r="AU1681" i="2"/>
  <c r="AV1681" i="2"/>
  <c r="AW1681" i="2"/>
  <c r="AX1681" i="2"/>
  <c r="AY1681" i="2"/>
  <c r="AR1682" i="2"/>
  <c r="AS1682" i="2"/>
  <c r="AT1682" i="2"/>
  <c r="AU1682" i="2"/>
  <c r="AV1682" i="2"/>
  <c r="AW1682" i="2"/>
  <c r="AX1682" i="2"/>
  <c r="AY1682" i="2"/>
  <c r="AR1683" i="2"/>
  <c r="AS1683" i="2"/>
  <c r="AT1683" i="2"/>
  <c r="AU1683" i="2"/>
  <c r="AV1683" i="2"/>
  <c r="AW1683" i="2"/>
  <c r="AX1683" i="2"/>
  <c r="AY1683" i="2"/>
  <c r="AR1684" i="2"/>
  <c r="AS1684" i="2"/>
  <c r="AT1684" i="2"/>
  <c r="AU1684" i="2"/>
  <c r="AV1684" i="2"/>
  <c r="AW1684" i="2"/>
  <c r="AX1684" i="2"/>
  <c r="AY1684" i="2"/>
  <c r="AR1685" i="2"/>
  <c r="AS1685" i="2"/>
  <c r="AT1685" i="2"/>
  <c r="AU1685" i="2"/>
  <c r="AV1685" i="2"/>
  <c r="AW1685" i="2"/>
  <c r="AX1685" i="2"/>
  <c r="AY1685" i="2"/>
  <c r="AR1686" i="2"/>
  <c r="AS1686" i="2"/>
  <c r="AT1686" i="2"/>
  <c r="AU1686" i="2"/>
  <c r="AV1686" i="2"/>
  <c r="AW1686" i="2"/>
  <c r="AX1686" i="2"/>
  <c r="AY1686" i="2"/>
  <c r="AR1687" i="2"/>
  <c r="AS1687" i="2"/>
  <c r="AT1687" i="2"/>
  <c r="AU1687" i="2"/>
  <c r="AV1687" i="2"/>
  <c r="AW1687" i="2"/>
  <c r="AX1687" i="2"/>
  <c r="AY1687" i="2"/>
  <c r="AR1688" i="2"/>
  <c r="AS1688" i="2"/>
  <c r="AT1688" i="2"/>
  <c r="AU1688" i="2"/>
  <c r="AV1688" i="2"/>
  <c r="AW1688" i="2"/>
  <c r="AX1688" i="2"/>
  <c r="AY1688" i="2"/>
  <c r="AR1689" i="2"/>
  <c r="AS1689" i="2"/>
  <c r="AT1689" i="2"/>
  <c r="AU1689" i="2"/>
  <c r="AV1689" i="2"/>
  <c r="AW1689" i="2"/>
  <c r="AX1689" i="2"/>
  <c r="AY1689" i="2"/>
  <c r="AR1690" i="2"/>
  <c r="AS1690" i="2"/>
  <c r="AT1690" i="2"/>
  <c r="AU1690" i="2"/>
  <c r="AV1690" i="2"/>
  <c r="AW1690" i="2"/>
  <c r="AX1690" i="2"/>
  <c r="AY1690" i="2"/>
  <c r="AR1691" i="2"/>
  <c r="AS1691" i="2"/>
  <c r="AT1691" i="2"/>
  <c r="AU1691" i="2"/>
  <c r="AV1691" i="2"/>
  <c r="AW1691" i="2"/>
  <c r="AX1691" i="2"/>
  <c r="AY1691" i="2"/>
  <c r="AR1692" i="2"/>
  <c r="AS1692" i="2"/>
  <c r="AT1692" i="2"/>
  <c r="AU1692" i="2"/>
  <c r="AV1692" i="2"/>
  <c r="AW1692" i="2"/>
  <c r="AX1692" i="2"/>
  <c r="AY1692" i="2"/>
  <c r="AR1693" i="2"/>
  <c r="AS1693" i="2"/>
  <c r="AT1693" i="2"/>
  <c r="AU1693" i="2"/>
  <c r="AV1693" i="2"/>
  <c r="AW1693" i="2"/>
  <c r="AX1693" i="2"/>
  <c r="AY1693" i="2"/>
  <c r="AR1694" i="2"/>
  <c r="AS1694" i="2"/>
  <c r="AT1694" i="2"/>
  <c r="AU1694" i="2"/>
  <c r="AV1694" i="2"/>
  <c r="AW1694" i="2"/>
  <c r="AX1694" i="2"/>
  <c r="AY1694" i="2"/>
  <c r="AR1695" i="2"/>
  <c r="AS1695" i="2"/>
  <c r="AT1695" i="2"/>
  <c r="AU1695" i="2"/>
  <c r="AV1695" i="2"/>
  <c r="AW1695" i="2"/>
  <c r="AX1695" i="2"/>
  <c r="AY1695" i="2"/>
  <c r="AR1696" i="2"/>
  <c r="AS1696" i="2"/>
  <c r="AT1696" i="2"/>
  <c r="AU1696" i="2"/>
  <c r="AV1696" i="2"/>
  <c r="AW1696" i="2"/>
  <c r="AX1696" i="2"/>
  <c r="AY1696" i="2"/>
  <c r="AR1697" i="2"/>
  <c r="AS1697" i="2"/>
  <c r="AT1697" i="2"/>
  <c r="AU1697" i="2"/>
  <c r="AV1697" i="2"/>
  <c r="AW1697" i="2"/>
  <c r="AX1697" i="2"/>
  <c r="AY1697" i="2"/>
  <c r="AR1698" i="2"/>
  <c r="AS1698" i="2"/>
  <c r="AT1698" i="2"/>
  <c r="AU1698" i="2"/>
  <c r="AV1698" i="2"/>
  <c r="AW1698" i="2"/>
  <c r="AX1698" i="2"/>
  <c r="AY1698" i="2"/>
  <c r="AR1699" i="2"/>
  <c r="AS1699" i="2"/>
  <c r="AT1699" i="2"/>
  <c r="AU1699" i="2"/>
  <c r="AV1699" i="2"/>
  <c r="AW1699" i="2"/>
  <c r="AX1699" i="2"/>
  <c r="AY1699" i="2"/>
  <c r="AR1700" i="2"/>
  <c r="AS1700" i="2"/>
  <c r="AT1700" i="2"/>
  <c r="AU1700" i="2"/>
  <c r="AV1700" i="2"/>
  <c r="AW1700" i="2"/>
  <c r="AX1700" i="2"/>
  <c r="AY1700" i="2"/>
  <c r="AR1701" i="2"/>
  <c r="AS1701" i="2"/>
  <c r="AT1701" i="2"/>
  <c r="AU1701" i="2"/>
  <c r="AV1701" i="2"/>
  <c r="AW1701" i="2"/>
  <c r="AX1701" i="2"/>
  <c r="AY1701" i="2"/>
  <c r="AR1702" i="2"/>
  <c r="AS1702" i="2"/>
  <c r="AT1702" i="2"/>
  <c r="AU1702" i="2"/>
  <c r="AV1702" i="2"/>
  <c r="AW1702" i="2"/>
  <c r="AX1702" i="2"/>
  <c r="AY1702" i="2"/>
  <c r="AR1703" i="2"/>
  <c r="AS1703" i="2"/>
  <c r="AT1703" i="2"/>
  <c r="AU1703" i="2"/>
  <c r="AV1703" i="2"/>
  <c r="AW1703" i="2"/>
  <c r="AX1703" i="2"/>
  <c r="AY1703" i="2"/>
  <c r="AR1704" i="2"/>
  <c r="AS1704" i="2"/>
  <c r="AT1704" i="2"/>
  <c r="AU1704" i="2"/>
  <c r="AV1704" i="2"/>
  <c r="AW1704" i="2"/>
  <c r="AX1704" i="2"/>
  <c r="AY1704" i="2"/>
  <c r="AR1705" i="2"/>
  <c r="AS1705" i="2"/>
  <c r="AT1705" i="2"/>
  <c r="AU1705" i="2"/>
  <c r="AV1705" i="2"/>
  <c r="AW1705" i="2"/>
  <c r="AX1705" i="2"/>
  <c r="AY1705" i="2"/>
  <c r="AR1706" i="2"/>
  <c r="AS1706" i="2"/>
  <c r="AT1706" i="2"/>
  <c r="AU1706" i="2"/>
  <c r="AV1706" i="2"/>
  <c r="AW1706" i="2"/>
  <c r="AX1706" i="2"/>
  <c r="AY1706" i="2"/>
  <c r="AR1707" i="2"/>
  <c r="AS1707" i="2"/>
  <c r="AT1707" i="2"/>
  <c r="AU1707" i="2"/>
  <c r="AV1707" i="2"/>
  <c r="AW1707" i="2"/>
  <c r="AX1707" i="2"/>
  <c r="AY1707" i="2"/>
  <c r="AR1708" i="2"/>
  <c r="AS1708" i="2"/>
  <c r="AT1708" i="2"/>
  <c r="AU1708" i="2"/>
  <c r="AV1708" i="2"/>
  <c r="AW1708" i="2"/>
  <c r="AX1708" i="2"/>
  <c r="AY1708" i="2"/>
  <c r="AR1709" i="2"/>
  <c r="AS1709" i="2"/>
  <c r="AT1709" i="2"/>
  <c r="AU1709" i="2"/>
  <c r="AV1709" i="2"/>
  <c r="AW1709" i="2"/>
  <c r="AX1709" i="2"/>
  <c r="AY1709" i="2"/>
  <c r="AR1710" i="2"/>
  <c r="AS1710" i="2"/>
  <c r="AT1710" i="2"/>
  <c r="AU1710" i="2"/>
  <c r="AV1710" i="2"/>
  <c r="AW1710" i="2"/>
  <c r="AX1710" i="2"/>
  <c r="AY1710" i="2"/>
  <c r="AR1711" i="2"/>
  <c r="AS1711" i="2"/>
  <c r="AT1711" i="2"/>
  <c r="AU1711" i="2"/>
  <c r="AV1711" i="2"/>
  <c r="AW1711" i="2"/>
  <c r="AX1711" i="2"/>
  <c r="AY1711" i="2"/>
  <c r="AR1712" i="2"/>
  <c r="AS1712" i="2"/>
  <c r="AT1712" i="2"/>
  <c r="AU1712" i="2"/>
  <c r="AV1712" i="2"/>
  <c r="AW1712" i="2"/>
  <c r="AX1712" i="2"/>
  <c r="AY1712" i="2"/>
  <c r="AR1713" i="2"/>
  <c r="AS1713" i="2"/>
  <c r="AT1713" i="2"/>
  <c r="AU1713" i="2"/>
  <c r="AV1713" i="2"/>
  <c r="AW1713" i="2" s="1"/>
  <c r="AX1713" i="2"/>
  <c r="AY1713" i="2"/>
  <c r="AR1714" i="2"/>
  <c r="AS1714" i="2"/>
  <c r="AT1714" i="2"/>
  <c r="AU1714" i="2"/>
  <c r="AV1714" i="2"/>
  <c r="AW1714" i="2" s="1"/>
  <c r="AX1714" i="2"/>
  <c r="AY1714" i="2"/>
  <c r="AR1715" i="2"/>
  <c r="AS1715" i="2"/>
  <c r="AT1715" i="2"/>
  <c r="AU1715" i="2"/>
  <c r="AV1715" i="2"/>
  <c r="AW1715" i="2" s="1"/>
  <c r="AX1715" i="2"/>
  <c r="AY1715" i="2"/>
  <c r="AR1716" i="2"/>
  <c r="AS1716" i="2"/>
  <c r="AT1716" i="2"/>
  <c r="AU1716" i="2"/>
  <c r="AV1716" i="2"/>
  <c r="AW1716" i="2" s="1"/>
  <c r="AX1716" i="2"/>
  <c r="AY1716" i="2"/>
  <c r="AR1717" i="2"/>
  <c r="AS1717" i="2"/>
  <c r="AT1717" i="2"/>
  <c r="AU1717" i="2"/>
  <c r="AV1717" i="2"/>
  <c r="AW1717" i="2" s="1"/>
  <c r="AX1717" i="2"/>
  <c r="AY1717" i="2"/>
  <c r="AR1718" i="2"/>
  <c r="AS1718" i="2"/>
  <c r="AT1718" i="2"/>
  <c r="AU1718" i="2"/>
  <c r="AV1718" i="2"/>
  <c r="AW1718" i="2" s="1"/>
  <c r="AX1718" i="2"/>
  <c r="AY1718" i="2"/>
  <c r="AR1719" i="2"/>
  <c r="AS1719" i="2"/>
  <c r="AT1719" i="2"/>
  <c r="AU1719" i="2"/>
  <c r="AV1719" i="2"/>
  <c r="AW1719" i="2" s="1"/>
  <c r="AX1719" i="2"/>
  <c r="AY1719" i="2"/>
  <c r="AR1720" i="2"/>
  <c r="AS1720" i="2"/>
  <c r="AT1720" i="2"/>
  <c r="AU1720" i="2"/>
  <c r="AV1720" i="2"/>
  <c r="AW1720" i="2" s="1"/>
  <c r="AX1720" i="2"/>
  <c r="AY1720" i="2"/>
  <c r="AR1721" i="2"/>
  <c r="AS1721" i="2"/>
  <c r="AT1721" i="2"/>
  <c r="AU1721" i="2"/>
  <c r="AV1721" i="2"/>
  <c r="AW1721" i="2" s="1"/>
  <c r="AX1721" i="2"/>
  <c r="AY1721" i="2"/>
  <c r="AR1722" i="2"/>
  <c r="AS1722" i="2"/>
  <c r="AT1722" i="2"/>
  <c r="AU1722" i="2"/>
  <c r="AV1722" i="2"/>
  <c r="AW1722" i="2" s="1"/>
  <c r="AX1722" i="2"/>
  <c r="AY1722" i="2"/>
  <c r="AR1723" i="2"/>
  <c r="AS1723" i="2"/>
  <c r="AT1723" i="2"/>
  <c r="AU1723" i="2"/>
  <c r="AV1723" i="2"/>
  <c r="AW1723" i="2" s="1"/>
  <c r="AX1723" i="2"/>
  <c r="AY1723" i="2"/>
  <c r="AR1724" i="2"/>
  <c r="AS1724" i="2"/>
  <c r="AT1724" i="2"/>
  <c r="AU1724" i="2"/>
  <c r="AV1724" i="2"/>
  <c r="AW1724" i="2" s="1"/>
  <c r="AX1724" i="2"/>
  <c r="AY1724" i="2"/>
  <c r="AR1725" i="2"/>
  <c r="AS1725" i="2"/>
  <c r="AT1725" i="2"/>
  <c r="AU1725" i="2"/>
  <c r="AV1725" i="2"/>
  <c r="AW1725" i="2" s="1"/>
  <c r="AX1725" i="2"/>
  <c r="AY1725" i="2"/>
  <c r="AR1726" i="2"/>
  <c r="AS1726" i="2"/>
  <c r="AT1726" i="2"/>
  <c r="AU1726" i="2"/>
  <c r="AV1726" i="2"/>
  <c r="AW1726" i="2" s="1"/>
  <c r="AX1726" i="2"/>
  <c r="AY1726" i="2"/>
  <c r="AR1727" i="2"/>
  <c r="AS1727" i="2"/>
  <c r="AT1727" i="2"/>
  <c r="AU1727" i="2"/>
  <c r="AV1727" i="2"/>
  <c r="AW1727" i="2" s="1"/>
  <c r="AX1727" i="2"/>
  <c r="AY1727" i="2"/>
  <c r="AR1728" i="2"/>
  <c r="AS1728" i="2"/>
  <c r="AT1728" i="2"/>
  <c r="AU1728" i="2"/>
  <c r="AV1728" i="2"/>
  <c r="AW1728" i="2" s="1"/>
  <c r="AX1728" i="2"/>
  <c r="AY1728" i="2"/>
  <c r="AR1729" i="2"/>
  <c r="AS1729" i="2"/>
  <c r="AT1729" i="2"/>
  <c r="AU1729" i="2"/>
  <c r="AV1729" i="2"/>
  <c r="AW1729" i="2" s="1"/>
  <c r="AX1729" i="2"/>
  <c r="AY1729" i="2"/>
  <c r="AR1730" i="2"/>
  <c r="AS1730" i="2"/>
  <c r="AT1730" i="2"/>
  <c r="AU1730" i="2"/>
  <c r="AV1730" i="2"/>
  <c r="AW1730" i="2" s="1"/>
  <c r="AX1730" i="2"/>
  <c r="AY1730" i="2"/>
  <c r="AR1731" i="2"/>
  <c r="AS1731" i="2"/>
  <c r="AT1731" i="2"/>
  <c r="AU1731" i="2"/>
  <c r="AV1731" i="2"/>
  <c r="AW1731" i="2" s="1"/>
  <c r="AX1731" i="2"/>
  <c r="AY1731" i="2"/>
  <c r="AR1732" i="2"/>
  <c r="AS1732" i="2"/>
  <c r="AT1732" i="2"/>
  <c r="AU1732" i="2"/>
  <c r="AV1732" i="2"/>
  <c r="AW1732" i="2" s="1"/>
  <c r="AX1732" i="2"/>
  <c r="AY1732" i="2"/>
  <c r="AR1733" i="2"/>
  <c r="AS1733" i="2"/>
  <c r="AT1733" i="2"/>
  <c r="AU1733" i="2"/>
  <c r="AV1733" i="2"/>
  <c r="AW1733" i="2" s="1"/>
  <c r="AX1733" i="2"/>
  <c r="AY1733" i="2"/>
  <c r="AR1734" i="2"/>
  <c r="AS1734" i="2"/>
  <c r="AT1734" i="2"/>
  <c r="AU1734" i="2"/>
  <c r="AV1734" i="2"/>
  <c r="AW1734" i="2" s="1"/>
  <c r="AX1734" i="2"/>
  <c r="AY1734" i="2"/>
  <c r="AR1735" i="2"/>
  <c r="AS1735" i="2"/>
  <c r="AT1735" i="2"/>
  <c r="AU1735" i="2"/>
  <c r="AV1735" i="2"/>
  <c r="AW1735" i="2" s="1"/>
  <c r="AX1735" i="2"/>
  <c r="AY1735" i="2"/>
  <c r="AR1736" i="2"/>
  <c r="AS1736" i="2"/>
  <c r="AT1736" i="2"/>
  <c r="AU1736" i="2"/>
  <c r="AV1736" i="2"/>
  <c r="AW1736" i="2" s="1"/>
  <c r="AX1736" i="2"/>
  <c r="AY1736" i="2"/>
  <c r="AR1737" i="2"/>
  <c r="AS1737" i="2"/>
  <c r="AT1737" i="2"/>
  <c r="AU1737" i="2"/>
  <c r="AV1737" i="2"/>
  <c r="AW1737" i="2" s="1"/>
  <c r="AX1737" i="2"/>
  <c r="AY1737" i="2"/>
  <c r="AR1738" i="2"/>
  <c r="AS1738" i="2"/>
  <c r="AT1738" i="2"/>
  <c r="AU1738" i="2"/>
  <c r="AV1738" i="2"/>
  <c r="AW1738" i="2" s="1"/>
  <c r="AX1738" i="2"/>
  <c r="AY1738" i="2"/>
  <c r="AR1739" i="2"/>
  <c r="AS1739" i="2"/>
  <c r="AT1739" i="2"/>
  <c r="AU1739" i="2"/>
  <c r="AV1739" i="2"/>
  <c r="AW1739" i="2" s="1"/>
  <c r="AX1739" i="2"/>
  <c r="AY1739" i="2"/>
  <c r="AR1740" i="2"/>
  <c r="AS1740" i="2"/>
  <c r="AT1740" i="2"/>
  <c r="AU1740" i="2"/>
  <c r="AV1740" i="2"/>
  <c r="AW1740" i="2" s="1"/>
  <c r="AX1740" i="2"/>
  <c r="AY1740" i="2"/>
  <c r="AR1741" i="2"/>
  <c r="AS1741" i="2"/>
  <c r="AT1741" i="2"/>
  <c r="AU1741" i="2"/>
  <c r="AV1741" i="2"/>
  <c r="AW1741" i="2" s="1"/>
  <c r="AX1741" i="2"/>
  <c r="AY1741" i="2"/>
  <c r="AR1742" i="2"/>
  <c r="AS1742" i="2"/>
  <c r="AT1742" i="2"/>
  <c r="AU1742" i="2"/>
  <c r="AV1742" i="2"/>
  <c r="AW1742" i="2" s="1"/>
  <c r="AX1742" i="2"/>
  <c r="AY1742" i="2"/>
  <c r="AR1743" i="2"/>
  <c r="AS1743" i="2"/>
  <c r="AT1743" i="2"/>
  <c r="AU1743" i="2"/>
  <c r="AV1743" i="2"/>
  <c r="AW1743" i="2" s="1"/>
  <c r="AX1743" i="2"/>
  <c r="AY1743" i="2"/>
  <c r="AR1744" i="2"/>
  <c r="AS1744" i="2"/>
  <c r="AT1744" i="2"/>
  <c r="AU1744" i="2"/>
  <c r="AV1744" i="2"/>
  <c r="AW1744" i="2" s="1"/>
  <c r="AX1744" i="2"/>
  <c r="AY1744" i="2"/>
  <c r="AR1745" i="2"/>
  <c r="AS1745" i="2"/>
  <c r="AT1745" i="2"/>
  <c r="AU1745" i="2"/>
  <c r="AV1745" i="2"/>
  <c r="AW1745" i="2" s="1"/>
  <c r="AX1745" i="2"/>
  <c r="AY1745" i="2"/>
  <c r="AR1746" i="2"/>
  <c r="AS1746" i="2"/>
  <c r="AT1746" i="2"/>
  <c r="AU1746" i="2"/>
  <c r="AV1746" i="2"/>
  <c r="AW1746" i="2" s="1"/>
  <c r="AX1746" i="2"/>
  <c r="AY1746" i="2"/>
  <c r="AR1747" i="2"/>
  <c r="AS1747" i="2"/>
  <c r="AT1747" i="2"/>
  <c r="AU1747" i="2"/>
  <c r="AV1747" i="2"/>
  <c r="AW1747" i="2" s="1"/>
  <c r="AX1747" i="2"/>
  <c r="AY1747" i="2"/>
  <c r="AR1748" i="2"/>
  <c r="AS1748" i="2"/>
  <c r="AT1748" i="2"/>
  <c r="AU1748" i="2"/>
  <c r="AV1748" i="2"/>
  <c r="AW1748" i="2" s="1"/>
  <c r="AX1748" i="2"/>
  <c r="AY1748" i="2"/>
  <c r="AR1749" i="2"/>
  <c r="AS1749" i="2"/>
  <c r="AT1749" i="2"/>
  <c r="AU1749" i="2"/>
  <c r="AV1749" i="2"/>
  <c r="AW1749" i="2" s="1"/>
  <c r="AX1749" i="2"/>
  <c r="AY1749" i="2"/>
  <c r="AR1750" i="2"/>
  <c r="AS1750" i="2"/>
  <c r="AT1750" i="2"/>
  <c r="AU1750" i="2"/>
  <c r="AV1750" i="2"/>
  <c r="AW1750" i="2" s="1"/>
  <c r="AX1750" i="2"/>
  <c r="AY1750" i="2"/>
  <c r="AR1751" i="2"/>
  <c r="AS1751" i="2"/>
  <c r="AT1751" i="2"/>
  <c r="AU1751" i="2"/>
  <c r="AV1751" i="2"/>
  <c r="AW1751" i="2" s="1"/>
  <c r="AX1751" i="2"/>
  <c r="AY1751" i="2"/>
  <c r="AR1752" i="2"/>
  <c r="AS1752" i="2"/>
  <c r="AT1752" i="2"/>
  <c r="AU1752" i="2"/>
  <c r="AV1752" i="2"/>
  <c r="AW1752" i="2" s="1"/>
  <c r="AX1752" i="2"/>
  <c r="AY1752" i="2"/>
  <c r="AR1753" i="2"/>
  <c r="AS1753" i="2"/>
  <c r="AT1753" i="2"/>
  <c r="AU1753" i="2"/>
  <c r="AV1753" i="2"/>
  <c r="AW1753" i="2" s="1"/>
  <c r="AX1753" i="2"/>
  <c r="AY1753" i="2"/>
  <c r="AR1754" i="2"/>
  <c r="AS1754" i="2"/>
  <c r="AT1754" i="2"/>
  <c r="AU1754" i="2"/>
  <c r="AV1754" i="2"/>
  <c r="AW1754" i="2" s="1"/>
  <c r="AX1754" i="2"/>
  <c r="AY1754" i="2"/>
  <c r="AR1755" i="2"/>
  <c r="AS1755" i="2"/>
  <c r="AT1755" i="2"/>
  <c r="AU1755" i="2"/>
  <c r="AV1755" i="2"/>
  <c r="AW1755" i="2" s="1"/>
  <c r="AX1755" i="2"/>
  <c r="AY1755" i="2"/>
  <c r="AR1756" i="2"/>
  <c r="AS1756" i="2"/>
  <c r="AT1756" i="2"/>
  <c r="AU1756" i="2"/>
  <c r="AV1756" i="2"/>
  <c r="AW1756" i="2" s="1"/>
  <c r="AX1756" i="2"/>
  <c r="AY1756" i="2"/>
  <c r="AR1757" i="2"/>
  <c r="AS1757" i="2"/>
  <c r="AT1757" i="2"/>
  <c r="AU1757" i="2"/>
  <c r="AV1757" i="2"/>
  <c r="AW1757" i="2" s="1"/>
  <c r="AX1757" i="2"/>
  <c r="AY1757" i="2"/>
  <c r="AR1758" i="2"/>
  <c r="AS1758" i="2"/>
  <c r="AT1758" i="2"/>
  <c r="AU1758" i="2"/>
  <c r="AV1758" i="2"/>
  <c r="AW1758" i="2" s="1"/>
  <c r="AX1758" i="2"/>
  <c r="AY1758" i="2"/>
  <c r="AR1759" i="2"/>
  <c r="AS1759" i="2"/>
  <c r="AT1759" i="2"/>
  <c r="AU1759" i="2"/>
  <c r="AV1759" i="2"/>
  <c r="AW1759" i="2" s="1"/>
  <c r="AX1759" i="2"/>
  <c r="AY1759" i="2"/>
  <c r="AR1760" i="2"/>
  <c r="AS1760" i="2"/>
  <c r="AT1760" i="2"/>
  <c r="AU1760" i="2"/>
  <c r="AV1760" i="2"/>
  <c r="AW1760" i="2" s="1"/>
  <c r="AX1760" i="2"/>
  <c r="AY1760" i="2"/>
  <c r="AR1761" i="2"/>
  <c r="AS1761" i="2"/>
  <c r="AT1761" i="2"/>
  <c r="AU1761" i="2"/>
  <c r="AV1761" i="2"/>
  <c r="AW1761" i="2" s="1"/>
  <c r="AX1761" i="2"/>
  <c r="AY1761" i="2"/>
  <c r="AR1762" i="2"/>
  <c r="AS1762" i="2"/>
  <c r="AT1762" i="2"/>
  <c r="AU1762" i="2"/>
  <c r="AV1762" i="2"/>
  <c r="AW1762" i="2" s="1"/>
  <c r="AX1762" i="2"/>
  <c r="AY1762" i="2"/>
  <c r="AR1763" i="2"/>
  <c r="AS1763" i="2"/>
  <c r="AT1763" i="2"/>
  <c r="AU1763" i="2"/>
  <c r="AV1763" i="2"/>
  <c r="AW1763" i="2" s="1"/>
  <c r="AX1763" i="2"/>
  <c r="AY1763" i="2"/>
  <c r="AR1764" i="2"/>
  <c r="AS1764" i="2"/>
  <c r="AT1764" i="2"/>
  <c r="AU1764" i="2"/>
  <c r="AV1764" i="2"/>
  <c r="AW1764" i="2" s="1"/>
  <c r="AX1764" i="2"/>
  <c r="AY1764" i="2"/>
  <c r="AR1765" i="2"/>
  <c r="AS1765" i="2"/>
  <c r="AT1765" i="2"/>
  <c r="AU1765" i="2"/>
  <c r="AV1765" i="2"/>
  <c r="AW1765" i="2" s="1"/>
  <c r="AX1765" i="2"/>
  <c r="AY1765" i="2"/>
  <c r="AR1766" i="2"/>
  <c r="AS1766" i="2"/>
  <c r="AT1766" i="2"/>
  <c r="AU1766" i="2"/>
  <c r="AV1766" i="2"/>
  <c r="AW1766" i="2" s="1"/>
  <c r="AX1766" i="2"/>
  <c r="AY1766" i="2"/>
  <c r="AR1767" i="2"/>
  <c r="AS1767" i="2"/>
  <c r="AT1767" i="2"/>
  <c r="AU1767" i="2"/>
  <c r="AV1767" i="2"/>
  <c r="AW1767" i="2" s="1"/>
  <c r="AX1767" i="2"/>
  <c r="AY1767" i="2"/>
  <c r="AR1768" i="2"/>
  <c r="AS1768" i="2"/>
  <c r="AT1768" i="2"/>
  <c r="AU1768" i="2"/>
  <c r="AV1768" i="2"/>
  <c r="AW1768" i="2" s="1"/>
  <c r="AX1768" i="2"/>
  <c r="AY1768" i="2"/>
  <c r="AR1769" i="2"/>
  <c r="AS1769" i="2"/>
  <c r="AT1769" i="2"/>
  <c r="AU1769" i="2"/>
  <c r="AV1769" i="2"/>
  <c r="AW1769" i="2" s="1"/>
  <c r="AX1769" i="2"/>
  <c r="AY1769" i="2"/>
  <c r="AR1770" i="2"/>
  <c r="AS1770" i="2"/>
  <c r="AT1770" i="2"/>
  <c r="AU1770" i="2"/>
  <c r="AV1770" i="2"/>
  <c r="AW1770" i="2" s="1"/>
  <c r="AX1770" i="2"/>
  <c r="AY1770" i="2"/>
  <c r="AR1771" i="2"/>
  <c r="AS1771" i="2"/>
  <c r="AT1771" i="2"/>
  <c r="AU1771" i="2"/>
  <c r="AV1771" i="2"/>
  <c r="AW1771" i="2" s="1"/>
  <c r="AX1771" i="2"/>
  <c r="AY1771" i="2"/>
  <c r="AR1772" i="2"/>
  <c r="AS1772" i="2"/>
  <c r="AT1772" i="2"/>
  <c r="AU1772" i="2"/>
  <c r="AV1772" i="2"/>
  <c r="AW1772" i="2" s="1"/>
  <c r="AX1772" i="2"/>
  <c r="AY1772" i="2"/>
  <c r="AR1773" i="2"/>
  <c r="AS1773" i="2"/>
  <c r="AT1773" i="2"/>
  <c r="AU1773" i="2"/>
  <c r="AV1773" i="2"/>
  <c r="AW1773" i="2" s="1"/>
  <c r="AX1773" i="2"/>
  <c r="AY1773" i="2"/>
  <c r="AR1774" i="2"/>
  <c r="AS1774" i="2"/>
  <c r="AT1774" i="2"/>
  <c r="AU1774" i="2"/>
  <c r="AV1774" i="2"/>
  <c r="AW1774" i="2" s="1"/>
  <c r="AX1774" i="2"/>
  <c r="AY1774" i="2"/>
  <c r="AR1775" i="2"/>
  <c r="AS1775" i="2"/>
  <c r="AT1775" i="2"/>
  <c r="AU1775" i="2"/>
  <c r="AV1775" i="2"/>
  <c r="AW1775" i="2" s="1"/>
  <c r="AX1775" i="2"/>
  <c r="AY1775" i="2"/>
  <c r="AR1776" i="2"/>
  <c r="AS1776" i="2"/>
  <c r="AT1776" i="2"/>
  <c r="AU1776" i="2"/>
  <c r="AV1776" i="2"/>
  <c r="AW1776" i="2" s="1"/>
  <c r="AX1776" i="2"/>
  <c r="AY1776" i="2"/>
  <c r="AR1777" i="2"/>
  <c r="AS1777" i="2"/>
  <c r="AT1777" i="2"/>
  <c r="AU1777" i="2"/>
  <c r="AV1777" i="2"/>
  <c r="AW1777" i="2" s="1"/>
  <c r="AX1777" i="2"/>
  <c r="AY1777" i="2"/>
  <c r="AR1778" i="2"/>
  <c r="AS1778" i="2"/>
  <c r="AT1778" i="2"/>
  <c r="AU1778" i="2"/>
  <c r="AV1778" i="2"/>
  <c r="AW1778" i="2" s="1"/>
  <c r="AX1778" i="2"/>
  <c r="AY1778" i="2"/>
  <c r="AR1779" i="2"/>
  <c r="AS1779" i="2"/>
  <c r="AT1779" i="2"/>
  <c r="AU1779" i="2"/>
  <c r="AV1779" i="2"/>
  <c r="AW1779" i="2" s="1"/>
  <c r="AX1779" i="2"/>
  <c r="AY1779" i="2"/>
  <c r="AR1780" i="2"/>
  <c r="AS1780" i="2"/>
  <c r="AT1780" i="2"/>
  <c r="AU1780" i="2"/>
  <c r="AV1780" i="2"/>
  <c r="AW1780" i="2" s="1"/>
  <c r="AX1780" i="2"/>
  <c r="AY1780" i="2"/>
  <c r="AR1781" i="2"/>
  <c r="AS1781" i="2"/>
  <c r="AT1781" i="2"/>
  <c r="AU1781" i="2"/>
  <c r="AV1781" i="2"/>
  <c r="AW1781" i="2" s="1"/>
  <c r="AX1781" i="2"/>
  <c r="AY1781" i="2"/>
  <c r="AR1782" i="2"/>
  <c r="AS1782" i="2"/>
  <c r="AT1782" i="2"/>
  <c r="AU1782" i="2"/>
  <c r="AV1782" i="2"/>
  <c r="AW1782" i="2" s="1"/>
  <c r="AX1782" i="2"/>
  <c r="AY1782" i="2"/>
  <c r="AR1783" i="2"/>
  <c r="AS1783" i="2"/>
  <c r="AT1783" i="2"/>
  <c r="AU1783" i="2"/>
  <c r="AV1783" i="2"/>
  <c r="AW1783" i="2" s="1"/>
  <c r="AX1783" i="2"/>
  <c r="AY1783" i="2"/>
  <c r="AR1784" i="2"/>
  <c r="AS1784" i="2"/>
  <c r="AT1784" i="2"/>
  <c r="AU1784" i="2"/>
  <c r="AV1784" i="2"/>
  <c r="AW1784" i="2" s="1"/>
  <c r="AX1784" i="2"/>
  <c r="AY1784" i="2"/>
  <c r="AR1785" i="2"/>
  <c r="AS1785" i="2"/>
  <c r="AT1785" i="2"/>
  <c r="AU1785" i="2"/>
  <c r="AV1785" i="2"/>
  <c r="AW1785" i="2" s="1"/>
  <c r="AX1785" i="2"/>
  <c r="AY1785" i="2"/>
  <c r="AR1786" i="2"/>
  <c r="AS1786" i="2"/>
  <c r="AT1786" i="2"/>
  <c r="AU1786" i="2"/>
  <c r="AV1786" i="2"/>
  <c r="AW1786" i="2" s="1"/>
  <c r="AX1786" i="2"/>
  <c r="AY1786" i="2"/>
  <c r="AR1787" i="2"/>
  <c r="AS1787" i="2"/>
  <c r="AT1787" i="2"/>
  <c r="AU1787" i="2"/>
  <c r="AV1787" i="2"/>
  <c r="AW1787" i="2" s="1"/>
  <c r="AX1787" i="2"/>
  <c r="AY1787" i="2"/>
  <c r="AR1788" i="2"/>
  <c r="AS1788" i="2"/>
  <c r="AT1788" i="2"/>
  <c r="AU1788" i="2"/>
  <c r="AV1788" i="2"/>
  <c r="AW1788" i="2" s="1"/>
  <c r="AX1788" i="2"/>
  <c r="AY1788" i="2"/>
  <c r="AR1789" i="2"/>
  <c r="AS1789" i="2"/>
  <c r="AT1789" i="2"/>
  <c r="AU1789" i="2"/>
  <c r="AV1789" i="2"/>
  <c r="AW1789" i="2" s="1"/>
  <c r="AX1789" i="2"/>
  <c r="AY1789" i="2"/>
  <c r="AR1790" i="2"/>
  <c r="AS1790" i="2"/>
  <c r="AT1790" i="2"/>
  <c r="AU1790" i="2"/>
  <c r="AV1790" i="2"/>
  <c r="AW1790" i="2" s="1"/>
  <c r="AX1790" i="2"/>
  <c r="AY1790" i="2"/>
  <c r="AR1791" i="2"/>
  <c r="AS1791" i="2"/>
  <c r="AT1791" i="2"/>
  <c r="AU1791" i="2"/>
  <c r="AV1791" i="2"/>
  <c r="AW1791" i="2" s="1"/>
  <c r="AX1791" i="2"/>
  <c r="AY1791" i="2"/>
  <c r="AR1792" i="2"/>
  <c r="AS1792" i="2"/>
  <c r="AT1792" i="2"/>
  <c r="AU1792" i="2"/>
  <c r="AV1792" i="2"/>
  <c r="AW1792" i="2" s="1"/>
  <c r="AX1792" i="2"/>
  <c r="AY1792" i="2"/>
  <c r="AR1793" i="2"/>
  <c r="AS1793" i="2"/>
  <c r="AT1793" i="2"/>
  <c r="AU1793" i="2"/>
  <c r="AV1793" i="2"/>
  <c r="AW1793" i="2" s="1"/>
  <c r="AX1793" i="2"/>
  <c r="AY1793" i="2"/>
  <c r="AR1794" i="2"/>
  <c r="AS1794" i="2"/>
  <c r="AT1794" i="2"/>
  <c r="AU1794" i="2"/>
  <c r="AV1794" i="2"/>
  <c r="AW1794" i="2" s="1"/>
  <c r="AX1794" i="2"/>
  <c r="AY1794" i="2"/>
  <c r="AR1795" i="2"/>
  <c r="AS1795" i="2"/>
  <c r="AT1795" i="2"/>
  <c r="AU1795" i="2"/>
  <c r="AV1795" i="2"/>
  <c r="AW1795" i="2" s="1"/>
  <c r="AX1795" i="2"/>
  <c r="AY1795" i="2"/>
  <c r="AR1796" i="2"/>
  <c r="AS1796" i="2"/>
  <c r="AT1796" i="2"/>
  <c r="AU1796" i="2"/>
  <c r="AV1796" i="2"/>
  <c r="AW1796" i="2" s="1"/>
  <c r="AX1796" i="2"/>
  <c r="AY1796" i="2"/>
  <c r="AR1797" i="2"/>
  <c r="AS1797" i="2"/>
  <c r="AT1797" i="2"/>
  <c r="AU1797" i="2"/>
  <c r="AV1797" i="2"/>
  <c r="AW1797" i="2" s="1"/>
  <c r="AX1797" i="2"/>
  <c r="AY1797" i="2"/>
  <c r="AR1798" i="2"/>
  <c r="AS1798" i="2"/>
  <c r="AT1798" i="2"/>
  <c r="AU1798" i="2"/>
  <c r="AV1798" i="2"/>
  <c r="AW1798" i="2" s="1"/>
  <c r="AX1798" i="2"/>
  <c r="AY1798" i="2"/>
  <c r="AR1799" i="2"/>
  <c r="AS1799" i="2"/>
  <c r="AT1799" i="2"/>
  <c r="AU1799" i="2"/>
  <c r="AV1799" i="2"/>
  <c r="AW1799" i="2" s="1"/>
  <c r="AX1799" i="2"/>
  <c r="AY1799" i="2"/>
  <c r="AR1800" i="2"/>
  <c r="AS1800" i="2"/>
  <c r="AT1800" i="2"/>
  <c r="AU1800" i="2"/>
  <c r="AV1800" i="2"/>
  <c r="AW1800" i="2" s="1"/>
  <c r="AX1800" i="2"/>
  <c r="AY1800" i="2"/>
  <c r="AR1801" i="2"/>
  <c r="AS1801" i="2"/>
  <c r="AT1801" i="2"/>
  <c r="AU1801" i="2"/>
  <c r="AV1801" i="2"/>
  <c r="AW1801" i="2" s="1"/>
  <c r="AX1801" i="2"/>
  <c r="AY1801" i="2"/>
  <c r="AR1802" i="2"/>
  <c r="AS1802" i="2"/>
  <c r="AT1802" i="2"/>
  <c r="AU1802" i="2"/>
  <c r="AV1802" i="2"/>
  <c r="AW1802" i="2" s="1"/>
  <c r="AX1802" i="2"/>
  <c r="AY1802" i="2"/>
  <c r="AR1803" i="2"/>
  <c r="AS1803" i="2"/>
  <c r="AT1803" i="2"/>
  <c r="AU1803" i="2"/>
  <c r="AV1803" i="2"/>
  <c r="AW1803" i="2" s="1"/>
  <c r="AX1803" i="2"/>
  <c r="AY1803" i="2"/>
  <c r="AR1804" i="2"/>
  <c r="AS1804" i="2"/>
  <c r="AT1804" i="2"/>
  <c r="AU1804" i="2"/>
  <c r="AV1804" i="2"/>
  <c r="AW1804" i="2" s="1"/>
  <c r="AX1804" i="2"/>
  <c r="AY1804" i="2"/>
  <c r="AR1805" i="2"/>
  <c r="AS1805" i="2"/>
  <c r="AT1805" i="2"/>
  <c r="AU1805" i="2"/>
  <c r="AV1805" i="2"/>
  <c r="AW1805" i="2" s="1"/>
  <c r="AX1805" i="2"/>
  <c r="AY1805" i="2"/>
  <c r="AR1806" i="2"/>
  <c r="AS1806" i="2"/>
  <c r="AT1806" i="2"/>
  <c r="AU1806" i="2"/>
  <c r="AV1806" i="2"/>
  <c r="AW1806" i="2" s="1"/>
  <c r="AX1806" i="2"/>
  <c r="AY1806" i="2"/>
  <c r="AR1807" i="2"/>
  <c r="AS1807" i="2"/>
  <c r="AT1807" i="2"/>
  <c r="AU1807" i="2"/>
  <c r="AV1807" i="2"/>
  <c r="AW1807" i="2" s="1"/>
  <c r="AX1807" i="2"/>
  <c r="AY1807" i="2"/>
  <c r="AR1808" i="2"/>
  <c r="AS1808" i="2"/>
  <c r="AT1808" i="2"/>
  <c r="AU1808" i="2"/>
  <c r="AV1808" i="2"/>
  <c r="AW1808" i="2" s="1"/>
  <c r="AX1808" i="2"/>
  <c r="AY1808" i="2"/>
  <c r="AR1809" i="2"/>
  <c r="AS1809" i="2"/>
  <c r="AT1809" i="2"/>
  <c r="AU1809" i="2"/>
  <c r="AV1809" i="2"/>
  <c r="AW1809" i="2" s="1"/>
  <c r="AX1809" i="2"/>
  <c r="AY1809" i="2"/>
  <c r="AR1810" i="2"/>
  <c r="AS1810" i="2"/>
  <c r="AT1810" i="2"/>
  <c r="AU1810" i="2"/>
  <c r="AV1810" i="2"/>
  <c r="AW1810" i="2" s="1"/>
  <c r="AX1810" i="2"/>
  <c r="AY1810" i="2"/>
  <c r="AR1811" i="2"/>
  <c r="AS1811" i="2"/>
  <c r="AT1811" i="2"/>
  <c r="AU1811" i="2"/>
  <c r="AV1811" i="2"/>
  <c r="AW1811" i="2" s="1"/>
  <c r="AX1811" i="2"/>
  <c r="AY1811" i="2"/>
  <c r="AR1812" i="2"/>
  <c r="AS1812" i="2"/>
  <c r="AT1812" i="2"/>
  <c r="AU1812" i="2"/>
  <c r="AV1812" i="2"/>
  <c r="AW1812" i="2" s="1"/>
  <c r="AX1812" i="2"/>
  <c r="AY1812" i="2"/>
  <c r="AR1813" i="2"/>
  <c r="AS1813" i="2"/>
  <c r="AT1813" i="2"/>
  <c r="AU1813" i="2"/>
  <c r="AV1813" i="2"/>
  <c r="AW1813" i="2" s="1"/>
  <c r="AX1813" i="2"/>
  <c r="AY1813" i="2"/>
  <c r="AR1814" i="2"/>
  <c r="AS1814" i="2"/>
  <c r="AT1814" i="2"/>
  <c r="AU1814" i="2"/>
  <c r="AV1814" i="2"/>
  <c r="AW1814" i="2" s="1"/>
  <c r="AX1814" i="2"/>
  <c r="AY1814" i="2"/>
  <c r="AR1815" i="2"/>
  <c r="AS1815" i="2"/>
  <c r="AT1815" i="2"/>
  <c r="AU1815" i="2"/>
  <c r="AV1815" i="2"/>
  <c r="AW1815" i="2" s="1"/>
  <c r="AX1815" i="2"/>
  <c r="AY1815" i="2"/>
  <c r="AR1816" i="2"/>
  <c r="AS1816" i="2"/>
  <c r="AT1816" i="2"/>
  <c r="AU1816" i="2"/>
  <c r="AV1816" i="2"/>
  <c r="AW1816" i="2" s="1"/>
  <c r="AX1816" i="2"/>
  <c r="AY1816" i="2"/>
  <c r="AR1817" i="2"/>
  <c r="AS1817" i="2"/>
  <c r="AT1817" i="2"/>
  <c r="AU1817" i="2"/>
  <c r="AV1817" i="2"/>
  <c r="AW1817" i="2" s="1"/>
  <c r="AX1817" i="2"/>
  <c r="AY1817" i="2"/>
  <c r="AR1818" i="2"/>
  <c r="AS1818" i="2"/>
  <c r="AT1818" i="2"/>
  <c r="AU1818" i="2"/>
  <c r="AV1818" i="2"/>
  <c r="AW1818" i="2" s="1"/>
  <c r="AX1818" i="2"/>
  <c r="AY1818" i="2"/>
  <c r="AR1819" i="2"/>
  <c r="AS1819" i="2"/>
  <c r="AT1819" i="2"/>
  <c r="AU1819" i="2"/>
  <c r="AV1819" i="2"/>
  <c r="AW1819" i="2" s="1"/>
  <c r="AX1819" i="2"/>
  <c r="AY1819" i="2"/>
  <c r="AR1820" i="2"/>
  <c r="AS1820" i="2"/>
  <c r="AT1820" i="2"/>
  <c r="AU1820" i="2"/>
  <c r="AV1820" i="2"/>
  <c r="AW1820" i="2" s="1"/>
  <c r="AX1820" i="2"/>
  <c r="AY1820" i="2"/>
  <c r="AR1821" i="2"/>
  <c r="AS1821" i="2"/>
  <c r="AT1821" i="2"/>
  <c r="AU1821" i="2"/>
  <c r="AV1821" i="2"/>
  <c r="AW1821" i="2" s="1"/>
  <c r="AX1821" i="2"/>
  <c r="AY1821" i="2"/>
  <c r="AR1822" i="2"/>
  <c r="AS1822" i="2"/>
  <c r="AT1822" i="2"/>
  <c r="AU1822" i="2"/>
  <c r="AV1822" i="2"/>
  <c r="AW1822" i="2" s="1"/>
  <c r="AX1822" i="2"/>
  <c r="AY1822" i="2"/>
  <c r="AR1823" i="2"/>
  <c r="AS1823" i="2"/>
  <c r="AT1823" i="2"/>
  <c r="AU1823" i="2"/>
  <c r="AV1823" i="2"/>
  <c r="AW1823" i="2" s="1"/>
  <c r="AX1823" i="2"/>
  <c r="AY1823" i="2"/>
  <c r="AR1824" i="2"/>
  <c r="AS1824" i="2"/>
  <c r="AT1824" i="2"/>
  <c r="AU1824" i="2"/>
  <c r="AV1824" i="2"/>
  <c r="AW1824" i="2" s="1"/>
  <c r="AX1824" i="2"/>
  <c r="AY1824" i="2"/>
  <c r="AR1825" i="2"/>
  <c r="AS1825" i="2"/>
  <c r="AT1825" i="2"/>
  <c r="AU1825" i="2"/>
  <c r="AV1825" i="2"/>
  <c r="AW1825" i="2" s="1"/>
  <c r="AX1825" i="2"/>
  <c r="AY1825" i="2"/>
  <c r="AR1826" i="2"/>
  <c r="AS1826" i="2"/>
  <c r="AT1826" i="2"/>
  <c r="AU1826" i="2"/>
  <c r="AV1826" i="2"/>
  <c r="AW1826" i="2" s="1"/>
  <c r="AX1826" i="2"/>
  <c r="AY1826" i="2"/>
  <c r="AR1827" i="2"/>
  <c r="AS1827" i="2"/>
  <c r="AT1827" i="2"/>
  <c r="AU1827" i="2"/>
  <c r="AV1827" i="2"/>
  <c r="AW1827" i="2" s="1"/>
  <c r="AX1827" i="2"/>
  <c r="AY1827" i="2"/>
  <c r="AR1828" i="2"/>
  <c r="AS1828" i="2"/>
  <c r="AT1828" i="2"/>
  <c r="AU1828" i="2"/>
  <c r="AV1828" i="2"/>
  <c r="AW1828" i="2" s="1"/>
  <c r="AX1828" i="2"/>
  <c r="AY1828" i="2"/>
  <c r="AR1829" i="2"/>
  <c r="AS1829" i="2"/>
  <c r="AT1829" i="2"/>
  <c r="AU1829" i="2"/>
  <c r="AV1829" i="2"/>
  <c r="AW1829" i="2" s="1"/>
  <c r="AX1829" i="2"/>
  <c r="AY1829" i="2"/>
  <c r="AR1830" i="2"/>
  <c r="AS1830" i="2"/>
  <c r="AT1830" i="2"/>
  <c r="AU1830" i="2"/>
  <c r="AV1830" i="2"/>
  <c r="AW1830" i="2" s="1"/>
  <c r="AX1830" i="2"/>
  <c r="AY1830" i="2"/>
  <c r="AR1831" i="2"/>
  <c r="AS1831" i="2"/>
  <c r="AT1831" i="2"/>
  <c r="AU1831" i="2"/>
  <c r="AV1831" i="2"/>
  <c r="AW1831" i="2" s="1"/>
  <c r="AX1831" i="2"/>
  <c r="AY1831" i="2"/>
  <c r="AR1832" i="2"/>
  <c r="AS1832" i="2"/>
  <c r="AT1832" i="2"/>
  <c r="AU1832" i="2"/>
  <c r="AV1832" i="2"/>
  <c r="AW1832" i="2" s="1"/>
  <c r="AX1832" i="2"/>
  <c r="AY1832" i="2"/>
  <c r="AR1833" i="2"/>
  <c r="AS1833" i="2"/>
  <c r="AT1833" i="2"/>
  <c r="AU1833" i="2"/>
  <c r="AV1833" i="2"/>
  <c r="AW1833" i="2" s="1"/>
  <c r="AX1833" i="2"/>
  <c r="AY1833" i="2"/>
  <c r="AR1834" i="2"/>
  <c r="AS1834" i="2"/>
  <c r="AT1834" i="2"/>
  <c r="AU1834" i="2"/>
  <c r="AV1834" i="2"/>
  <c r="AW1834" i="2" s="1"/>
  <c r="AX1834" i="2"/>
  <c r="AY1834" i="2"/>
  <c r="AR1835" i="2"/>
  <c r="AS1835" i="2"/>
  <c r="AT1835" i="2"/>
  <c r="AU1835" i="2"/>
  <c r="AV1835" i="2"/>
  <c r="AW1835" i="2" s="1"/>
  <c r="AX1835" i="2"/>
  <c r="AY1835" i="2"/>
  <c r="AR1836" i="2"/>
  <c r="AS1836" i="2"/>
  <c r="AT1836" i="2"/>
  <c r="AU1836" i="2"/>
  <c r="AV1836" i="2"/>
  <c r="AW1836" i="2" s="1"/>
  <c r="AX1836" i="2"/>
  <c r="AY1836" i="2"/>
  <c r="AR1837" i="2"/>
  <c r="AS1837" i="2"/>
  <c r="AT1837" i="2"/>
  <c r="AU1837" i="2"/>
  <c r="AV1837" i="2"/>
  <c r="AW1837" i="2" s="1"/>
  <c r="AX1837" i="2"/>
  <c r="AY1837" i="2"/>
  <c r="AR1838" i="2"/>
  <c r="AS1838" i="2"/>
  <c r="AT1838" i="2"/>
  <c r="AU1838" i="2"/>
  <c r="AV1838" i="2"/>
  <c r="AW1838" i="2" s="1"/>
  <c r="AX1838" i="2"/>
  <c r="AY1838" i="2"/>
  <c r="AR1839" i="2"/>
  <c r="AS1839" i="2"/>
  <c r="AT1839" i="2"/>
  <c r="AU1839" i="2"/>
  <c r="AV1839" i="2"/>
  <c r="AW1839" i="2" s="1"/>
  <c r="AX1839" i="2"/>
  <c r="AY1839" i="2"/>
  <c r="AR1840" i="2"/>
  <c r="AS1840" i="2"/>
  <c r="AT1840" i="2"/>
  <c r="AU1840" i="2"/>
  <c r="AV1840" i="2"/>
  <c r="AW1840" i="2" s="1"/>
  <c r="AX1840" i="2"/>
  <c r="AY1840" i="2"/>
  <c r="AR1841" i="2"/>
  <c r="AS1841" i="2"/>
  <c r="AT1841" i="2"/>
  <c r="AU1841" i="2"/>
  <c r="AV1841" i="2"/>
  <c r="AW1841" i="2" s="1"/>
  <c r="AX1841" i="2"/>
  <c r="AY1841" i="2"/>
  <c r="AR1842" i="2"/>
  <c r="AS1842" i="2"/>
  <c r="AT1842" i="2"/>
  <c r="AU1842" i="2"/>
  <c r="AV1842" i="2"/>
  <c r="AW1842" i="2" s="1"/>
  <c r="AX1842" i="2"/>
  <c r="AY1842" i="2"/>
  <c r="AR1843" i="2"/>
  <c r="AS1843" i="2"/>
  <c r="AT1843" i="2"/>
  <c r="AU1843" i="2"/>
  <c r="AV1843" i="2"/>
  <c r="AW1843" i="2" s="1"/>
  <c r="AX1843" i="2"/>
  <c r="AY1843" i="2"/>
  <c r="AR1844" i="2"/>
  <c r="AS1844" i="2"/>
  <c r="AT1844" i="2"/>
  <c r="AU1844" i="2"/>
  <c r="AV1844" i="2"/>
  <c r="AW1844" i="2" s="1"/>
  <c r="AX1844" i="2"/>
  <c r="AY1844" i="2"/>
  <c r="AR1845" i="2"/>
  <c r="AS1845" i="2"/>
  <c r="AT1845" i="2"/>
  <c r="AU1845" i="2"/>
  <c r="AV1845" i="2"/>
  <c r="AW1845" i="2" s="1"/>
  <c r="AX1845" i="2"/>
  <c r="AY1845" i="2"/>
  <c r="AR1846" i="2"/>
  <c r="AS1846" i="2"/>
  <c r="AT1846" i="2"/>
  <c r="AU1846" i="2"/>
  <c r="AV1846" i="2"/>
  <c r="AW1846" i="2" s="1"/>
  <c r="AX1846" i="2"/>
  <c r="AY1846" i="2"/>
  <c r="AR1847" i="2"/>
  <c r="AS1847" i="2"/>
  <c r="AT1847" i="2"/>
  <c r="AU1847" i="2"/>
  <c r="AV1847" i="2"/>
  <c r="AW1847" i="2" s="1"/>
  <c r="AX1847" i="2"/>
  <c r="AY1847" i="2"/>
  <c r="AR1848" i="2"/>
  <c r="AS1848" i="2"/>
  <c r="AT1848" i="2"/>
  <c r="AU1848" i="2"/>
  <c r="AV1848" i="2"/>
  <c r="AW1848" i="2" s="1"/>
  <c r="AX1848" i="2"/>
  <c r="AY1848" i="2"/>
  <c r="AR1849" i="2"/>
  <c r="AS1849" i="2"/>
  <c r="AT1849" i="2"/>
  <c r="AU1849" i="2"/>
  <c r="AV1849" i="2"/>
  <c r="AW1849" i="2" s="1"/>
  <c r="AX1849" i="2"/>
  <c r="AY1849" i="2"/>
  <c r="AR1850" i="2"/>
  <c r="AS1850" i="2"/>
  <c r="AT1850" i="2"/>
  <c r="AU1850" i="2"/>
  <c r="AV1850" i="2"/>
  <c r="AW1850" i="2" s="1"/>
  <c r="AX1850" i="2"/>
  <c r="AY1850" i="2"/>
  <c r="AR1851" i="2"/>
  <c r="AS1851" i="2"/>
  <c r="AT1851" i="2"/>
  <c r="AU1851" i="2"/>
  <c r="AV1851" i="2"/>
  <c r="AW1851" i="2" s="1"/>
  <c r="AX1851" i="2"/>
  <c r="AY1851" i="2"/>
  <c r="AR1852" i="2"/>
  <c r="AS1852" i="2"/>
  <c r="AT1852" i="2"/>
  <c r="AU1852" i="2"/>
  <c r="AV1852" i="2"/>
  <c r="AW1852" i="2" s="1"/>
  <c r="AX1852" i="2"/>
  <c r="AY1852" i="2"/>
  <c r="AR1853" i="2"/>
  <c r="AS1853" i="2"/>
  <c r="AT1853" i="2"/>
  <c r="AU1853" i="2"/>
  <c r="AV1853" i="2"/>
  <c r="AW1853" i="2" s="1"/>
  <c r="AX1853" i="2"/>
  <c r="AY1853" i="2"/>
  <c r="AR1854" i="2"/>
  <c r="AS1854" i="2"/>
  <c r="AT1854" i="2"/>
  <c r="AU1854" i="2"/>
  <c r="AV1854" i="2"/>
  <c r="AW1854" i="2" s="1"/>
  <c r="AX1854" i="2"/>
  <c r="AY1854" i="2"/>
  <c r="AR1855" i="2"/>
  <c r="AS1855" i="2"/>
  <c r="AT1855" i="2"/>
  <c r="AU1855" i="2"/>
  <c r="AV1855" i="2"/>
  <c r="AW1855" i="2" s="1"/>
  <c r="AX1855" i="2"/>
  <c r="AY1855" i="2"/>
  <c r="AR1856" i="2"/>
  <c r="AS1856" i="2"/>
  <c r="AT1856" i="2"/>
  <c r="AU1856" i="2"/>
  <c r="AV1856" i="2"/>
  <c r="AW1856" i="2" s="1"/>
  <c r="AX1856" i="2"/>
  <c r="AY1856" i="2"/>
  <c r="AR1857" i="2"/>
  <c r="AS1857" i="2"/>
  <c r="AT1857" i="2"/>
  <c r="AU1857" i="2"/>
  <c r="AV1857" i="2"/>
  <c r="AW1857" i="2" s="1"/>
  <c r="AX1857" i="2"/>
  <c r="AY1857" i="2"/>
  <c r="AR1858" i="2"/>
  <c r="AS1858" i="2"/>
  <c r="AT1858" i="2"/>
  <c r="AU1858" i="2"/>
  <c r="AV1858" i="2"/>
  <c r="AW1858" i="2" s="1"/>
  <c r="AX1858" i="2"/>
  <c r="AY1858" i="2"/>
  <c r="AR1859" i="2"/>
  <c r="AS1859" i="2"/>
  <c r="AT1859" i="2"/>
  <c r="AU1859" i="2"/>
  <c r="AV1859" i="2"/>
  <c r="AW1859" i="2" s="1"/>
  <c r="AX1859" i="2"/>
  <c r="AY1859" i="2"/>
  <c r="AR1860" i="2"/>
  <c r="AS1860" i="2"/>
  <c r="AT1860" i="2"/>
  <c r="AU1860" i="2"/>
  <c r="AV1860" i="2"/>
  <c r="AW1860" i="2" s="1"/>
  <c r="AX1860" i="2"/>
  <c r="AY1860" i="2"/>
  <c r="AR1861" i="2"/>
  <c r="AS1861" i="2"/>
  <c r="AT1861" i="2"/>
  <c r="AU1861" i="2"/>
  <c r="AV1861" i="2"/>
  <c r="AW1861" i="2" s="1"/>
  <c r="AX1861" i="2"/>
  <c r="AY1861" i="2"/>
  <c r="AR1862" i="2"/>
  <c r="AS1862" i="2"/>
  <c r="AT1862" i="2"/>
  <c r="AU1862" i="2"/>
  <c r="AV1862" i="2"/>
  <c r="AW1862" i="2" s="1"/>
  <c r="AX1862" i="2"/>
  <c r="AY1862" i="2"/>
  <c r="AR1863" i="2"/>
  <c r="AS1863" i="2"/>
  <c r="AT1863" i="2"/>
  <c r="AU1863" i="2"/>
  <c r="AV1863" i="2"/>
  <c r="AW1863" i="2" s="1"/>
  <c r="AX1863" i="2"/>
  <c r="AY1863" i="2"/>
  <c r="AR1864" i="2"/>
  <c r="AS1864" i="2"/>
  <c r="AT1864" i="2"/>
  <c r="AU1864" i="2"/>
  <c r="AV1864" i="2"/>
  <c r="AW1864" i="2" s="1"/>
  <c r="AX1864" i="2"/>
  <c r="AY1864" i="2"/>
  <c r="AR1865" i="2"/>
  <c r="AS1865" i="2"/>
  <c r="AT1865" i="2"/>
  <c r="AU1865" i="2"/>
  <c r="AV1865" i="2"/>
  <c r="AW1865" i="2" s="1"/>
  <c r="AX1865" i="2"/>
  <c r="AY1865" i="2"/>
  <c r="AR1866" i="2"/>
  <c r="AS1866" i="2"/>
  <c r="AT1866" i="2"/>
  <c r="AU1866" i="2"/>
  <c r="AV1866" i="2"/>
  <c r="AW1866" i="2" s="1"/>
  <c r="AX1866" i="2"/>
  <c r="AY1866" i="2"/>
  <c r="AR1867" i="2"/>
  <c r="AS1867" i="2"/>
  <c r="AT1867" i="2"/>
  <c r="AU1867" i="2"/>
  <c r="AV1867" i="2"/>
  <c r="AW1867" i="2" s="1"/>
  <c r="AX1867" i="2"/>
  <c r="AY1867" i="2"/>
  <c r="AR1868" i="2"/>
  <c r="AS1868" i="2"/>
  <c r="AT1868" i="2"/>
  <c r="AU1868" i="2"/>
  <c r="AV1868" i="2"/>
  <c r="AW1868" i="2" s="1"/>
  <c r="AX1868" i="2"/>
  <c r="AY1868" i="2"/>
  <c r="AR1869" i="2"/>
  <c r="AS1869" i="2"/>
  <c r="AT1869" i="2"/>
  <c r="AU1869" i="2"/>
  <c r="AV1869" i="2"/>
  <c r="AW1869" i="2" s="1"/>
  <c r="AX1869" i="2"/>
  <c r="AY1869" i="2"/>
  <c r="AR1870" i="2"/>
  <c r="AS1870" i="2"/>
  <c r="AT1870" i="2"/>
  <c r="AU1870" i="2"/>
  <c r="AV1870" i="2"/>
  <c r="AW1870" i="2" s="1"/>
  <c r="AX1870" i="2"/>
  <c r="AY1870" i="2"/>
  <c r="AR1871" i="2"/>
  <c r="AS1871" i="2"/>
  <c r="AT1871" i="2"/>
  <c r="AU1871" i="2"/>
  <c r="AV1871" i="2"/>
  <c r="AW1871" i="2" s="1"/>
  <c r="AX1871" i="2"/>
  <c r="AY1871" i="2"/>
  <c r="AR1872" i="2"/>
  <c r="AS1872" i="2"/>
  <c r="AT1872" i="2"/>
  <c r="AU1872" i="2"/>
  <c r="AV1872" i="2"/>
  <c r="AW1872" i="2" s="1"/>
  <c r="AX1872" i="2"/>
  <c r="AY1872" i="2"/>
  <c r="AR1873" i="2"/>
  <c r="AS1873" i="2"/>
  <c r="AT1873" i="2"/>
  <c r="AU1873" i="2"/>
  <c r="AV1873" i="2"/>
  <c r="AW1873" i="2" s="1"/>
  <c r="AX1873" i="2"/>
  <c r="AY1873" i="2"/>
  <c r="AR1874" i="2"/>
  <c r="AS1874" i="2"/>
  <c r="AT1874" i="2"/>
  <c r="AU1874" i="2"/>
  <c r="AV1874" i="2"/>
  <c r="AW1874" i="2" s="1"/>
  <c r="AX1874" i="2"/>
  <c r="AY1874" i="2"/>
  <c r="AR1875" i="2"/>
  <c r="AS1875" i="2"/>
  <c r="AT1875" i="2"/>
  <c r="AU1875" i="2"/>
  <c r="AV1875" i="2"/>
  <c r="AW1875" i="2" s="1"/>
  <c r="AX1875" i="2"/>
  <c r="AY1875" i="2"/>
  <c r="AR1876" i="2"/>
  <c r="AS1876" i="2"/>
  <c r="AT1876" i="2"/>
  <c r="AU1876" i="2"/>
  <c r="AV1876" i="2"/>
  <c r="AW1876" i="2" s="1"/>
  <c r="AX1876" i="2"/>
  <c r="AY1876" i="2"/>
  <c r="AR1877" i="2"/>
  <c r="AS1877" i="2"/>
  <c r="AT1877" i="2"/>
  <c r="AU1877" i="2"/>
  <c r="AV1877" i="2"/>
  <c r="AW1877" i="2" s="1"/>
  <c r="AX1877" i="2"/>
  <c r="AY1877" i="2"/>
  <c r="AR1878" i="2"/>
  <c r="AS1878" i="2"/>
  <c r="AT1878" i="2"/>
  <c r="AU1878" i="2"/>
  <c r="AV1878" i="2"/>
  <c r="AW1878" i="2" s="1"/>
  <c r="AX1878" i="2"/>
  <c r="AY1878" i="2"/>
  <c r="AR1879" i="2"/>
  <c r="AS1879" i="2"/>
  <c r="AT1879" i="2"/>
  <c r="AU1879" i="2"/>
  <c r="AV1879" i="2"/>
  <c r="AW1879" i="2" s="1"/>
  <c r="AX1879" i="2"/>
  <c r="AY1879" i="2"/>
  <c r="AR1880" i="2"/>
  <c r="AS1880" i="2"/>
  <c r="AT1880" i="2"/>
  <c r="AU1880" i="2"/>
  <c r="AV1880" i="2"/>
  <c r="AW1880" i="2" s="1"/>
  <c r="AX1880" i="2"/>
  <c r="AY1880" i="2"/>
  <c r="AR1881" i="2"/>
  <c r="AS1881" i="2"/>
  <c r="AT1881" i="2"/>
  <c r="AU1881" i="2"/>
  <c r="AV1881" i="2"/>
  <c r="AW1881" i="2" s="1"/>
  <c r="AX1881" i="2"/>
  <c r="AY1881" i="2"/>
  <c r="AR1882" i="2"/>
  <c r="AS1882" i="2"/>
  <c r="AT1882" i="2"/>
  <c r="AU1882" i="2"/>
  <c r="AV1882" i="2"/>
  <c r="AW1882" i="2" s="1"/>
  <c r="AX1882" i="2"/>
  <c r="AY1882" i="2"/>
  <c r="AR1883" i="2"/>
  <c r="AS1883" i="2"/>
  <c r="AT1883" i="2"/>
  <c r="AU1883" i="2"/>
  <c r="AV1883" i="2"/>
  <c r="AW1883" i="2" s="1"/>
  <c r="AX1883" i="2"/>
  <c r="AY1883" i="2"/>
  <c r="AR1884" i="2"/>
  <c r="AS1884" i="2"/>
  <c r="AT1884" i="2"/>
  <c r="AU1884" i="2"/>
  <c r="AV1884" i="2"/>
  <c r="AW1884" i="2" s="1"/>
  <c r="AX1884" i="2"/>
  <c r="AY1884" i="2"/>
  <c r="AR1885" i="2"/>
  <c r="AS1885" i="2"/>
  <c r="AT1885" i="2"/>
  <c r="AU1885" i="2"/>
  <c r="AV1885" i="2"/>
  <c r="AW1885" i="2" s="1"/>
  <c r="AX1885" i="2"/>
  <c r="AY1885" i="2"/>
  <c r="AR1886" i="2"/>
  <c r="AS1886" i="2"/>
  <c r="AT1886" i="2"/>
  <c r="AU1886" i="2"/>
  <c r="AV1886" i="2"/>
  <c r="AW1886" i="2" s="1"/>
  <c r="AX1886" i="2"/>
  <c r="AY1886" i="2"/>
  <c r="AR1887" i="2"/>
  <c r="AS1887" i="2"/>
  <c r="AT1887" i="2"/>
  <c r="AU1887" i="2"/>
  <c r="AV1887" i="2"/>
  <c r="AW1887" i="2" s="1"/>
  <c r="AX1887" i="2"/>
  <c r="AY1887" i="2"/>
  <c r="AR1888" i="2"/>
  <c r="AS1888" i="2"/>
  <c r="AT1888" i="2"/>
  <c r="AU1888" i="2"/>
  <c r="AV1888" i="2"/>
  <c r="AW1888" i="2" s="1"/>
  <c r="AX1888" i="2"/>
  <c r="AY1888" i="2"/>
  <c r="AR1889" i="2"/>
  <c r="AS1889" i="2"/>
  <c r="AT1889" i="2"/>
  <c r="AU1889" i="2"/>
  <c r="AV1889" i="2"/>
  <c r="AW1889" i="2" s="1"/>
  <c r="AX1889" i="2"/>
  <c r="AY1889" i="2"/>
  <c r="AR1890" i="2"/>
  <c r="AS1890" i="2"/>
  <c r="AT1890" i="2"/>
  <c r="AU1890" i="2"/>
  <c r="AV1890" i="2"/>
  <c r="AW1890" i="2" s="1"/>
  <c r="AX1890" i="2"/>
  <c r="AY1890" i="2"/>
  <c r="AR1891" i="2"/>
  <c r="AS1891" i="2"/>
  <c r="AT1891" i="2"/>
  <c r="AU1891" i="2"/>
  <c r="AV1891" i="2"/>
  <c r="AW1891" i="2" s="1"/>
  <c r="AX1891" i="2"/>
  <c r="AY1891" i="2"/>
  <c r="AR1892" i="2"/>
  <c r="AS1892" i="2"/>
  <c r="AT1892" i="2"/>
  <c r="AU1892" i="2"/>
  <c r="AV1892" i="2"/>
  <c r="AW1892" i="2" s="1"/>
  <c r="AX1892" i="2"/>
  <c r="AY1892" i="2"/>
  <c r="AR1893" i="2"/>
  <c r="AS1893" i="2"/>
  <c r="AT1893" i="2"/>
  <c r="AU1893" i="2"/>
  <c r="AV1893" i="2"/>
  <c r="AW1893" i="2" s="1"/>
  <c r="AX1893" i="2"/>
  <c r="AY1893" i="2"/>
  <c r="AR1894" i="2"/>
  <c r="AS1894" i="2"/>
  <c r="AT1894" i="2"/>
  <c r="AU1894" i="2"/>
  <c r="AV1894" i="2"/>
  <c r="AW1894" i="2" s="1"/>
  <c r="AX1894" i="2"/>
  <c r="AY1894" i="2"/>
  <c r="AR1895" i="2"/>
  <c r="AS1895" i="2"/>
  <c r="AT1895" i="2"/>
  <c r="AU1895" i="2"/>
  <c r="AV1895" i="2"/>
  <c r="AW1895" i="2" s="1"/>
  <c r="AX1895" i="2"/>
  <c r="AY1895" i="2"/>
  <c r="AR1896" i="2"/>
  <c r="AS1896" i="2"/>
  <c r="AT1896" i="2"/>
  <c r="AU1896" i="2"/>
  <c r="AV1896" i="2"/>
  <c r="AW1896" i="2" s="1"/>
  <c r="AX1896" i="2"/>
  <c r="AY1896" i="2"/>
  <c r="AR1897" i="2"/>
  <c r="AS1897" i="2"/>
  <c r="AT1897" i="2"/>
  <c r="AU1897" i="2"/>
  <c r="AV1897" i="2"/>
  <c r="AW1897" i="2" s="1"/>
  <c r="AX1897" i="2"/>
  <c r="AY1897" i="2"/>
  <c r="AR1898" i="2"/>
  <c r="AS1898" i="2"/>
  <c r="AT1898" i="2"/>
  <c r="AU1898" i="2"/>
  <c r="AV1898" i="2"/>
  <c r="AW1898" i="2" s="1"/>
  <c r="AX1898" i="2"/>
  <c r="AY1898" i="2"/>
  <c r="AR1899" i="2"/>
  <c r="AS1899" i="2"/>
  <c r="AT1899" i="2"/>
  <c r="AU1899" i="2"/>
  <c r="AV1899" i="2"/>
  <c r="AW1899" i="2" s="1"/>
  <c r="AX1899" i="2"/>
  <c r="AY1899" i="2"/>
  <c r="AR1900" i="2"/>
  <c r="AS1900" i="2"/>
  <c r="AT1900" i="2"/>
  <c r="AU1900" i="2"/>
  <c r="AV1900" i="2"/>
  <c r="AW1900" i="2" s="1"/>
  <c r="AX1900" i="2"/>
  <c r="AY1900" i="2"/>
  <c r="AR1901" i="2"/>
  <c r="AS1901" i="2"/>
  <c r="AT1901" i="2"/>
  <c r="AU1901" i="2"/>
  <c r="AV1901" i="2"/>
  <c r="AW1901" i="2" s="1"/>
  <c r="AX1901" i="2"/>
  <c r="AY1901" i="2"/>
  <c r="AR1902" i="2"/>
  <c r="AS1902" i="2"/>
  <c r="AT1902" i="2"/>
  <c r="AU1902" i="2"/>
  <c r="AV1902" i="2"/>
  <c r="AW1902" i="2" s="1"/>
  <c r="AX1902" i="2"/>
  <c r="AY1902" i="2"/>
  <c r="AR1903" i="2"/>
  <c r="AS1903" i="2"/>
  <c r="AT1903" i="2"/>
  <c r="AU1903" i="2"/>
  <c r="AV1903" i="2"/>
  <c r="AW1903" i="2" s="1"/>
  <c r="AX1903" i="2"/>
  <c r="AY1903" i="2"/>
  <c r="AR1904" i="2"/>
  <c r="AS1904" i="2"/>
  <c r="AT1904" i="2"/>
  <c r="AU1904" i="2"/>
  <c r="AV1904" i="2"/>
  <c r="AW1904" i="2" s="1"/>
  <c r="AX1904" i="2"/>
  <c r="AY1904" i="2"/>
  <c r="AR1905" i="2"/>
  <c r="AS1905" i="2"/>
  <c r="AT1905" i="2"/>
  <c r="AU1905" i="2"/>
  <c r="AV1905" i="2"/>
  <c r="AW1905" i="2" s="1"/>
  <c r="AX1905" i="2"/>
  <c r="AY1905" i="2"/>
  <c r="AR1906" i="2"/>
  <c r="AS1906" i="2"/>
  <c r="AT1906" i="2"/>
  <c r="AU1906" i="2"/>
  <c r="AV1906" i="2"/>
  <c r="AW1906" i="2" s="1"/>
  <c r="AX1906" i="2"/>
  <c r="AY1906" i="2"/>
  <c r="AR1907" i="2"/>
  <c r="AS1907" i="2"/>
  <c r="AT1907" i="2"/>
  <c r="AU1907" i="2"/>
  <c r="AV1907" i="2"/>
  <c r="AW1907" i="2" s="1"/>
  <c r="AX1907" i="2"/>
  <c r="AY1907" i="2"/>
  <c r="AR1908" i="2"/>
  <c r="AS1908" i="2"/>
  <c r="AT1908" i="2"/>
  <c r="AU1908" i="2"/>
  <c r="AV1908" i="2"/>
  <c r="AW1908" i="2" s="1"/>
  <c r="AX1908" i="2"/>
  <c r="AY1908" i="2"/>
  <c r="AR1909" i="2"/>
  <c r="AS1909" i="2"/>
  <c r="AT1909" i="2"/>
  <c r="AU1909" i="2"/>
  <c r="AV1909" i="2"/>
  <c r="AW1909" i="2" s="1"/>
  <c r="AX1909" i="2"/>
  <c r="AY1909" i="2"/>
  <c r="AR1910" i="2"/>
  <c r="AS1910" i="2"/>
  <c r="AT1910" i="2"/>
  <c r="AU1910" i="2"/>
  <c r="AV1910" i="2"/>
  <c r="AW1910" i="2" s="1"/>
  <c r="AX1910" i="2"/>
  <c r="AY1910" i="2"/>
  <c r="AR1911" i="2"/>
  <c r="AS1911" i="2"/>
  <c r="AT1911" i="2"/>
  <c r="AU1911" i="2"/>
  <c r="AV1911" i="2"/>
  <c r="AW1911" i="2" s="1"/>
  <c r="AX1911" i="2"/>
  <c r="AY1911" i="2"/>
  <c r="AR1912" i="2"/>
  <c r="AS1912" i="2"/>
  <c r="AT1912" i="2"/>
  <c r="AU1912" i="2"/>
  <c r="AV1912" i="2"/>
  <c r="AW1912" i="2" s="1"/>
  <c r="AX1912" i="2"/>
  <c r="AY1912" i="2"/>
  <c r="AR1913" i="2"/>
  <c r="AS1913" i="2"/>
  <c r="AT1913" i="2"/>
  <c r="AU1913" i="2"/>
  <c r="AV1913" i="2"/>
  <c r="AW1913" i="2" s="1"/>
  <c r="AX1913" i="2"/>
  <c r="AY1913" i="2"/>
  <c r="AR1914" i="2"/>
  <c r="AS1914" i="2"/>
  <c r="AT1914" i="2"/>
  <c r="AU1914" i="2"/>
  <c r="AV1914" i="2"/>
  <c r="AW1914" i="2" s="1"/>
  <c r="AX1914" i="2"/>
  <c r="AY1914" i="2"/>
  <c r="AR1915" i="2"/>
  <c r="AS1915" i="2"/>
  <c r="AT1915" i="2"/>
  <c r="AU1915" i="2"/>
  <c r="AV1915" i="2"/>
  <c r="AW1915" i="2" s="1"/>
  <c r="AX1915" i="2"/>
  <c r="AY1915" i="2"/>
  <c r="AR1916" i="2"/>
  <c r="AS1916" i="2"/>
  <c r="AT1916" i="2"/>
  <c r="AU1916" i="2"/>
  <c r="AV1916" i="2"/>
  <c r="AW1916" i="2" s="1"/>
  <c r="AX1916" i="2"/>
  <c r="AY1916" i="2"/>
  <c r="AR1917" i="2"/>
  <c r="AS1917" i="2"/>
  <c r="AT1917" i="2"/>
  <c r="AU1917" i="2"/>
  <c r="AV1917" i="2"/>
  <c r="AW1917" i="2" s="1"/>
  <c r="AX1917" i="2"/>
  <c r="AY1917" i="2"/>
  <c r="AR1918" i="2"/>
  <c r="AS1918" i="2"/>
  <c r="AT1918" i="2"/>
  <c r="AU1918" i="2"/>
  <c r="AV1918" i="2"/>
  <c r="AW1918" i="2" s="1"/>
  <c r="AX1918" i="2"/>
  <c r="AY1918" i="2"/>
  <c r="AR1919" i="2"/>
  <c r="AS1919" i="2"/>
  <c r="AT1919" i="2"/>
  <c r="AU1919" i="2"/>
  <c r="AV1919" i="2"/>
  <c r="AW1919" i="2" s="1"/>
  <c r="AX1919" i="2"/>
  <c r="AY1919" i="2"/>
  <c r="AR1920" i="2"/>
  <c r="AS1920" i="2"/>
  <c r="AT1920" i="2"/>
  <c r="AU1920" i="2"/>
  <c r="AV1920" i="2"/>
  <c r="AW1920" i="2" s="1"/>
  <c r="AX1920" i="2"/>
  <c r="AY1920" i="2"/>
  <c r="AR1921" i="2"/>
  <c r="AS1921" i="2"/>
  <c r="AT1921" i="2"/>
  <c r="AU1921" i="2"/>
  <c r="AV1921" i="2"/>
  <c r="AW1921" i="2" s="1"/>
  <c r="AX1921" i="2"/>
  <c r="AY1921" i="2"/>
  <c r="AR1922" i="2"/>
  <c r="AS1922" i="2"/>
  <c r="AT1922" i="2"/>
  <c r="AU1922" i="2"/>
  <c r="AV1922" i="2"/>
  <c r="AW1922" i="2" s="1"/>
  <c r="AX1922" i="2"/>
  <c r="AY1922" i="2"/>
  <c r="AR1923" i="2"/>
  <c r="AS1923" i="2"/>
  <c r="AT1923" i="2"/>
  <c r="AU1923" i="2"/>
  <c r="AV1923" i="2"/>
  <c r="AW1923" i="2" s="1"/>
  <c r="AX1923" i="2"/>
  <c r="AY1923" i="2"/>
  <c r="AR1924" i="2"/>
  <c r="AS1924" i="2"/>
  <c r="AT1924" i="2"/>
  <c r="AU1924" i="2"/>
  <c r="AV1924" i="2"/>
  <c r="AW1924" i="2" s="1"/>
  <c r="AX1924" i="2"/>
  <c r="AY1924" i="2"/>
  <c r="AR1925" i="2"/>
  <c r="AS1925" i="2"/>
  <c r="AT1925" i="2"/>
  <c r="AU1925" i="2"/>
  <c r="AV1925" i="2"/>
  <c r="AW1925" i="2" s="1"/>
  <c r="AX1925" i="2"/>
  <c r="AY1925" i="2"/>
  <c r="AR1926" i="2"/>
  <c r="AS1926" i="2"/>
  <c r="AT1926" i="2"/>
  <c r="AU1926" i="2"/>
  <c r="AV1926" i="2"/>
  <c r="AW1926" i="2" s="1"/>
  <c r="AX1926" i="2"/>
  <c r="AY1926" i="2"/>
  <c r="AR1927" i="2"/>
  <c r="AS1927" i="2"/>
  <c r="AT1927" i="2"/>
  <c r="AU1927" i="2"/>
  <c r="AV1927" i="2"/>
  <c r="AW1927" i="2" s="1"/>
  <c r="AX1927" i="2"/>
  <c r="AY1927" i="2"/>
  <c r="AR1928" i="2"/>
  <c r="AS1928" i="2"/>
  <c r="AT1928" i="2"/>
  <c r="AU1928" i="2"/>
  <c r="AV1928" i="2"/>
  <c r="AW1928" i="2" s="1"/>
  <c r="AX1928" i="2"/>
  <c r="AY1928" i="2"/>
  <c r="AR1929" i="2"/>
  <c r="AS1929" i="2"/>
  <c r="AT1929" i="2"/>
  <c r="AU1929" i="2"/>
  <c r="AV1929" i="2"/>
  <c r="AW1929" i="2" s="1"/>
  <c r="AX1929" i="2"/>
  <c r="AY1929" i="2"/>
  <c r="AR1930" i="2"/>
  <c r="AS1930" i="2"/>
  <c r="AT1930" i="2"/>
  <c r="AU1930" i="2"/>
  <c r="AV1930" i="2"/>
  <c r="AW1930" i="2" s="1"/>
  <c r="AX1930" i="2"/>
  <c r="AY1930" i="2"/>
  <c r="AR1931" i="2"/>
  <c r="AS1931" i="2"/>
  <c r="AT1931" i="2"/>
  <c r="AU1931" i="2"/>
  <c r="AV1931" i="2"/>
  <c r="AW1931" i="2" s="1"/>
  <c r="AX1931" i="2"/>
  <c r="AY1931" i="2"/>
  <c r="AR1932" i="2"/>
  <c r="AS1932" i="2"/>
  <c r="AT1932" i="2"/>
  <c r="AU1932" i="2"/>
  <c r="AV1932" i="2"/>
  <c r="AW1932" i="2" s="1"/>
  <c r="AX1932" i="2"/>
  <c r="AY1932" i="2"/>
  <c r="AR1933" i="2"/>
  <c r="AS1933" i="2"/>
  <c r="AT1933" i="2"/>
  <c r="AU1933" i="2"/>
  <c r="AV1933" i="2"/>
  <c r="AW1933" i="2" s="1"/>
  <c r="AX1933" i="2"/>
  <c r="AY1933" i="2"/>
  <c r="AR1934" i="2"/>
  <c r="AS1934" i="2"/>
  <c r="AT1934" i="2"/>
  <c r="AU1934" i="2"/>
  <c r="AV1934" i="2"/>
  <c r="AW1934" i="2" s="1"/>
  <c r="AX1934" i="2"/>
  <c r="AY1934" i="2"/>
  <c r="AR1935" i="2"/>
  <c r="AS1935" i="2"/>
  <c r="AT1935" i="2"/>
  <c r="AU1935" i="2"/>
  <c r="AV1935" i="2"/>
  <c r="AW1935" i="2" s="1"/>
  <c r="AX1935" i="2"/>
  <c r="AY1935" i="2"/>
  <c r="AR1936" i="2"/>
  <c r="AS1936" i="2"/>
  <c r="AT1936" i="2"/>
  <c r="AU1936" i="2"/>
  <c r="AV1936" i="2"/>
  <c r="AW1936" i="2" s="1"/>
  <c r="AX1936" i="2"/>
  <c r="AY1936" i="2"/>
  <c r="AR1937" i="2"/>
  <c r="AS1937" i="2"/>
  <c r="AT1937" i="2"/>
  <c r="AU1937" i="2"/>
  <c r="AV1937" i="2"/>
  <c r="AW1937" i="2" s="1"/>
  <c r="AX1937" i="2"/>
  <c r="AY1937" i="2"/>
  <c r="AR1938" i="2"/>
  <c r="AS1938" i="2"/>
  <c r="AT1938" i="2"/>
  <c r="AU1938" i="2"/>
  <c r="AV1938" i="2"/>
  <c r="AW1938" i="2" s="1"/>
  <c r="AX1938" i="2"/>
  <c r="AY1938" i="2"/>
  <c r="AR1939" i="2"/>
  <c r="AS1939" i="2"/>
  <c r="AT1939" i="2"/>
  <c r="AU1939" i="2"/>
  <c r="AV1939" i="2"/>
  <c r="AW1939" i="2" s="1"/>
  <c r="AX1939" i="2"/>
  <c r="AY1939" i="2"/>
  <c r="AR1940" i="2"/>
  <c r="AS1940" i="2"/>
  <c r="AT1940" i="2"/>
  <c r="AU1940" i="2"/>
  <c r="AV1940" i="2"/>
  <c r="AW1940" i="2" s="1"/>
  <c r="AX1940" i="2"/>
  <c r="AY1940" i="2"/>
  <c r="AR1941" i="2"/>
  <c r="AS1941" i="2"/>
  <c r="AT1941" i="2"/>
  <c r="AU1941" i="2"/>
  <c r="AV1941" i="2"/>
  <c r="AW1941" i="2" s="1"/>
  <c r="AX1941" i="2"/>
  <c r="AY1941" i="2"/>
  <c r="AR1942" i="2"/>
  <c r="AS1942" i="2"/>
  <c r="AT1942" i="2"/>
  <c r="AU1942" i="2"/>
  <c r="AV1942" i="2"/>
  <c r="AW1942" i="2" s="1"/>
  <c r="AX1942" i="2"/>
  <c r="AY1942" i="2"/>
  <c r="AR1943" i="2"/>
  <c r="AS1943" i="2"/>
  <c r="AT1943" i="2"/>
  <c r="AU1943" i="2"/>
  <c r="AV1943" i="2"/>
  <c r="AW1943" i="2" s="1"/>
  <c r="AX1943" i="2"/>
  <c r="AY1943" i="2"/>
  <c r="AR1944" i="2"/>
  <c r="AS1944" i="2"/>
  <c r="AT1944" i="2"/>
  <c r="AU1944" i="2"/>
  <c r="AV1944" i="2"/>
  <c r="AW1944" i="2" s="1"/>
  <c r="AX1944" i="2"/>
  <c r="AY1944" i="2"/>
  <c r="AR1945" i="2"/>
  <c r="AS1945" i="2"/>
  <c r="AT1945" i="2"/>
  <c r="AU1945" i="2"/>
  <c r="AV1945" i="2"/>
  <c r="AW1945" i="2" s="1"/>
  <c r="AX1945" i="2"/>
  <c r="AY1945" i="2"/>
  <c r="AR1946" i="2"/>
  <c r="AS1946" i="2"/>
  <c r="AT1946" i="2"/>
  <c r="AU1946" i="2"/>
  <c r="AV1946" i="2"/>
  <c r="AW1946" i="2" s="1"/>
  <c r="AX1946" i="2"/>
  <c r="AY1946" i="2"/>
  <c r="AR1947" i="2"/>
  <c r="AS1947" i="2"/>
  <c r="AT1947" i="2"/>
  <c r="AU1947" i="2"/>
  <c r="AV1947" i="2"/>
  <c r="AW1947" i="2" s="1"/>
  <c r="AX1947" i="2"/>
  <c r="AY1947" i="2"/>
  <c r="AR1948" i="2"/>
  <c r="AS1948" i="2"/>
  <c r="AT1948" i="2"/>
  <c r="AU1948" i="2"/>
  <c r="AV1948" i="2"/>
  <c r="AW1948" i="2" s="1"/>
  <c r="AX1948" i="2"/>
  <c r="AY1948" i="2"/>
  <c r="AR1949" i="2"/>
  <c r="AS1949" i="2"/>
  <c r="AT1949" i="2"/>
  <c r="AU1949" i="2"/>
  <c r="AV1949" i="2"/>
  <c r="AW1949" i="2" s="1"/>
  <c r="AX1949" i="2"/>
  <c r="AY1949" i="2"/>
  <c r="AR1950" i="2"/>
  <c r="AS1950" i="2"/>
  <c r="AT1950" i="2"/>
  <c r="AU1950" i="2"/>
  <c r="AV1950" i="2"/>
  <c r="AW1950" i="2" s="1"/>
  <c r="AX1950" i="2"/>
  <c r="AY1950" i="2"/>
  <c r="AR1951" i="2"/>
  <c r="AS1951" i="2"/>
  <c r="AT1951" i="2"/>
  <c r="AU1951" i="2"/>
  <c r="AV1951" i="2"/>
  <c r="AW1951" i="2" s="1"/>
  <c r="AX1951" i="2"/>
  <c r="AY1951" i="2"/>
  <c r="AR1952" i="2"/>
  <c r="AS1952" i="2"/>
  <c r="AT1952" i="2"/>
  <c r="AU1952" i="2"/>
  <c r="AV1952" i="2"/>
  <c r="AW1952" i="2" s="1"/>
  <c r="AX1952" i="2"/>
  <c r="AY1952" i="2"/>
  <c r="AR1953" i="2"/>
  <c r="AS1953" i="2"/>
  <c r="AT1953" i="2"/>
  <c r="AU1953" i="2"/>
  <c r="AV1953" i="2"/>
  <c r="AW1953" i="2" s="1"/>
  <c r="AX1953" i="2"/>
  <c r="AY1953" i="2"/>
  <c r="AR1954" i="2"/>
  <c r="AS1954" i="2"/>
  <c r="AT1954" i="2"/>
  <c r="AU1954" i="2"/>
  <c r="AV1954" i="2"/>
  <c r="AW1954" i="2" s="1"/>
  <c r="AX1954" i="2"/>
  <c r="AY1954" i="2"/>
  <c r="AR1955" i="2"/>
  <c r="AS1955" i="2"/>
  <c r="AT1955" i="2"/>
  <c r="AU1955" i="2"/>
  <c r="AV1955" i="2"/>
  <c r="AW1955" i="2" s="1"/>
  <c r="AX1955" i="2"/>
  <c r="AY1955" i="2"/>
  <c r="AR1956" i="2"/>
  <c r="AS1956" i="2"/>
  <c r="AT1956" i="2"/>
  <c r="AU1956" i="2"/>
  <c r="AV1956" i="2"/>
  <c r="AW1956" i="2" s="1"/>
  <c r="AX1956" i="2"/>
  <c r="AY1956" i="2"/>
  <c r="AR1957" i="2"/>
  <c r="AS1957" i="2"/>
  <c r="AT1957" i="2"/>
  <c r="AU1957" i="2"/>
  <c r="AV1957" i="2"/>
  <c r="AW1957" i="2" s="1"/>
  <c r="AX1957" i="2"/>
  <c r="AY1957" i="2"/>
  <c r="AR1958" i="2"/>
  <c r="AS1958" i="2"/>
  <c r="AT1958" i="2"/>
  <c r="AU1958" i="2"/>
  <c r="AV1958" i="2"/>
  <c r="AW1958" i="2" s="1"/>
  <c r="AX1958" i="2"/>
  <c r="AY1958" i="2"/>
  <c r="AR1959" i="2"/>
  <c r="AS1959" i="2"/>
  <c r="AT1959" i="2"/>
  <c r="AU1959" i="2"/>
  <c r="AV1959" i="2"/>
  <c r="AW1959" i="2" s="1"/>
  <c r="AX1959" i="2"/>
  <c r="AY1959" i="2"/>
  <c r="AR1960" i="2"/>
  <c r="AS1960" i="2"/>
  <c r="AT1960" i="2"/>
  <c r="AU1960" i="2"/>
  <c r="AV1960" i="2"/>
  <c r="AW1960" i="2" s="1"/>
  <c r="AX1960" i="2"/>
  <c r="AY1960" i="2"/>
  <c r="AR1961" i="2"/>
  <c r="AS1961" i="2"/>
  <c r="AT1961" i="2"/>
  <c r="AU1961" i="2"/>
  <c r="AV1961" i="2"/>
  <c r="AW1961" i="2" s="1"/>
  <c r="AX1961" i="2"/>
  <c r="AY1961" i="2"/>
  <c r="AR1962" i="2"/>
  <c r="AS1962" i="2"/>
  <c r="AT1962" i="2"/>
  <c r="AU1962" i="2"/>
  <c r="AV1962" i="2"/>
  <c r="AW1962" i="2" s="1"/>
  <c r="AX1962" i="2"/>
  <c r="AY1962" i="2"/>
  <c r="AR1963" i="2"/>
  <c r="AS1963" i="2"/>
  <c r="AT1963" i="2"/>
  <c r="AU1963" i="2"/>
  <c r="AV1963" i="2"/>
  <c r="AW1963" i="2" s="1"/>
  <c r="AX1963" i="2"/>
  <c r="AY1963" i="2"/>
  <c r="AR1964" i="2"/>
  <c r="AS1964" i="2"/>
  <c r="AT1964" i="2"/>
  <c r="AU1964" i="2"/>
  <c r="AV1964" i="2"/>
  <c r="AW1964" i="2" s="1"/>
  <c r="AX1964" i="2"/>
  <c r="AY1964" i="2"/>
  <c r="AR1965" i="2"/>
  <c r="AS1965" i="2"/>
  <c r="AT1965" i="2"/>
  <c r="AU1965" i="2"/>
  <c r="AV1965" i="2"/>
  <c r="AW1965" i="2" s="1"/>
  <c r="AX1965" i="2"/>
  <c r="AY1965" i="2"/>
  <c r="AR1966" i="2"/>
  <c r="AS1966" i="2"/>
  <c r="AT1966" i="2"/>
  <c r="AU1966" i="2"/>
  <c r="AV1966" i="2"/>
  <c r="AW1966" i="2" s="1"/>
  <c r="AX1966" i="2"/>
  <c r="AY1966" i="2"/>
  <c r="AR1967" i="2"/>
  <c r="AS1967" i="2"/>
  <c r="AT1967" i="2"/>
  <c r="AU1967" i="2"/>
  <c r="AV1967" i="2"/>
  <c r="AW1967" i="2" s="1"/>
  <c r="AX1967" i="2"/>
  <c r="AY1967" i="2"/>
  <c r="AR1968" i="2"/>
  <c r="AS1968" i="2"/>
  <c r="AT1968" i="2"/>
  <c r="AU1968" i="2"/>
  <c r="AV1968" i="2"/>
  <c r="AW1968" i="2" s="1"/>
  <c r="AX1968" i="2"/>
  <c r="AY1968" i="2"/>
  <c r="AR1969" i="2"/>
  <c r="AS1969" i="2"/>
  <c r="AT1969" i="2"/>
  <c r="AU1969" i="2"/>
  <c r="AV1969" i="2"/>
  <c r="AW1969" i="2" s="1"/>
  <c r="AX1969" i="2"/>
  <c r="AY1969" i="2"/>
  <c r="AR1970" i="2"/>
  <c r="AS1970" i="2"/>
  <c r="AT1970" i="2"/>
  <c r="AU1970" i="2"/>
  <c r="AV1970" i="2"/>
  <c r="AW1970" i="2" s="1"/>
  <c r="AX1970" i="2"/>
  <c r="AY1970" i="2"/>
  <c r="AR1971" i="2"/>
  <c r="AS1971" i="2"/>
  <c r="AT1971" i="2"/>
  <c r="AU1971" i="2"/>
  <c r="AV1971" i="2"/>
  <c r="AW1971" i="2" s="1"/>
  <c r="AX1971" i="2"/>
  <c r="AY1971" i="2"/>
  <c r="AR1972" i="2"/>
  <c r="AS1972" i="2"/>
  <c r="AT1972" i="2"/>
  <c r="AU1972" i="2"/>
  <c r="AV1972" i="2"/>
  <c r="AW1972" i="2" s="1"/>
  <c r="AX1972" i="2"/>
  <c r="AY1972" i="2"/>
  <c r="AR1973" i="2"/>
  <c r="AS1973" i="2"/>
  <c r="AT1973" i="2"/>
  <c r="AU1973" i="2"/>
  <c r="AV1973" i="2"/>
  <c r="AW1973" i="2" s="1"/>
  <c r="AX1973" i="2"/>
  <c r="AY1973" i="2"/>
  <c r="AR1974" i="2"/>
  <c r="AS1974" i="2"/>
  <c r="AT1974" i="2"/>
  <c r="AU1974" i="2"/>
  <c r="AV1974" i="2"/>
  <c r="AW1974" i="2" s="1"/>
  <c r="AX1974" i="2"/>
  <c r="AY1974" i="2"/>
  <c r="AR1975" i="2"/>
  <c r="AS1975" i="2"/>
  <c r="AT1975" i="2"/>
  <c r="AU1975" i="2"/>
  <c r="AV1975" i="2"/>
  <c r="AW1975" i="2" s="1"/>
  <c r="AX1975" i="2"/>
  <c r="AY1975" i="2"/>
  <c r="AR1976" i="2"/>
  <c r="AS1976" i="2"/>
  <c r="AT1976" i="2"/>
  <c r="AU1976" i="2"/>
  <c r="AV1976" i="2"/>
  <c r="AW1976" i="2" s="1"/>
  <c r="AX1976" i="2"/>
  <c r="AY1976" i="2"/>
  <c r="AR1977" i="2"/>
  <c r="AS1977" i="2"/>
  <c r="AT1977" i="2"/>
  <c r="AU1977" i="2"/>
  <c r="AV1977" i="2"/>
  <c r="AW1977" i="2" s="1"/>
  <c r="AX1977" i="2"/>
  <c r="AY1977" i="2"/>
  <c r="AR1978" i="2"/>
  <c r="AS1978" i="2"/>
  <c r="AT1978" i="2"/>
  <c r="AU1978" i="2"/>
  <c r="AV1978" i="2"/>
  <c r="AW1978" i="2" s="1"/>
  <c r="AX1978" i="2"/>
  <c r="AY1978" i="2"/>
  <c r="AR1979" i="2"/>
  <c r="AS1979" i="2"/>
  <c r="AT1979" i="2"/>
  <c r="AU1979" i="2"/>
  <c r="AV1979" i="2"/>
  <c r="AW1979" i="2" s="1"/>
  <c r="AX1979" i="2"/>
  <c r="AY1979" i="2"/>
  <c r="AR1980" i="2"/>
  <c r="AS1980" i="2"/>
  <c r="AT1980" i="2"/>
  <c r="AU1980" i="2"/>
  <c r="AV1980" i="2"/>
  <c r="AW1980" i="2" s="1"/>
  <c r="AX1980" i="2"/>
  <c r="AY1980" i="2"/>
  <c r="AR1981" i="2"/>
  <c r="AS1981" i="2"/>
  <c r="AT1981" i="2"/>
  <c r="AU1981" i="2"/>
  <c r="AV1981" i="2"/>
  <c r="AW1981" i="2" s="1"/>
  <c r="AX1981" i="2"/>
  <c r="AY1981" i="2"/>
  <c r="AR1982" i="2"/>
  <c r="AS1982" i="2"/>
  <c r="AT1982" i="2"/>
  <c r="AU1982" i="2"/>
  <c r="AV1982" i="2"/>
  <c r="AW1982" i="2" s="1"/>
  <c r="AX1982" i="2"/>
  <c r="AY1982" i="2"/>
  <c r="AR1983" i="2"/>
  <c r="AS1983" i="2"/>
  <c r="AT1983" i="2"/>
  <c r="AU1983" i="2"/>
  <c r="AV1983" i="2"/>
  <c r="AW1983" i="2" s="1"/>
  <c r="AX1983" i="2"/>
  <c r="AY1983" i="2"/>
  <c r="AR1984" i="2"/>
  <c r="AS1984" i="2"/>
  <c r="AT1984" i="2"/>
  <c r="AU1984" i="2"/>
  <c r="AV1984" i="2"/>
  <c r="AW1984" i="2" s="1"/>
  <c r="AX1984" i="2"/>
  <c r="AY1984" i="2"/>
  <c r="AR1985" i="2"/>
  <c r="AS1985" i="2"/>
  <c r="AT1985" i="2"/>
  <c r="AU1985" i="2"/>
  <c r="AV1985" i="2"/>
  <c r="AW1985" i="2" s="1"/>
  <c r="AX1985" i="2"/>
  <c r="AY1985" i="2"/>
  <c r="AR1986" i="2"/>
  <c r="AS1986" i="2"/>
  <c r="AT1986" i="2"/>
  <c r="AU1986" i="2"/>
  <c r="AV1986" i="2"/>
  <c r="AW1986" i="2" s="1"/>
  <c r="AX1986" i="2"/>
  <c r="AY1986" i="2"/>
  <c r="AR1987" i="2"/>
  <c r="AS1987" i="2"/>
  <c r="AT1987" i="2"/>
  <c r="AU1987" i="2"/>
  <c r="AV1987" i="2"/>
  <c r="AW1987" i="2" s="1"/>
  <c r="AX1987" i="2"/>
  <c r="AY1987" i="2"/>
  <c r="AR1988" i="2"/>
  <c r="AS1988" i="2"/>
  <c r="AT1988" i="2"/>
  <c r="AU1988" i="2"/>
  <c r="AV1988" i="2"/>
  <c r="AW1988" i="2" s="1"/>
  <c r="AX1988" i="2"/>
  <c r="AY1988" i="2"/>
  <c r="AR1989" i="2"/>
  <c r="AS1989" i="2"/>
  <c r="AT1989" i="2"/>
  <c r="AU1989" i="2"/>
  <c r="AV1989" i="2"/>
  <c r="AW1989" i="2" s="1"/>
  <c r="AX1989" i="2"/>
  <c r="AY1989" i="2"/>
  <c r="AR1990" i="2"/>
  <c r="AS1990" i="2"/>
  <c r="AT1990" i="2"/>
  <c r="AU1990" i="2"/>
  <c r="AV1990" i="2"/>
  <c r="AW1990" i="2" s="1"/>
  <c r="AX1990" i="2"/>
  <c r="AY1990" i="2"/>
  <c r="AR1991" i="2"/>
  <c r="AS1991" i="2"/>
  <c r="AT1991" i="2"/>
  <c r="AU1991" i="2"/>
  <c r="AV1991" i="2"/>
  <c r="AW1991" i="2" s="1"/>
  <c r="AX1991" i="2"/>
  <c r="AY1991" i="2"/>
  <c r="AR1992" i="2"/>
  <c r="AS1992" i="2"/>
  <c r="AT1992" i="2"/>
  <c r="AU1992" i="2"/>
  <c r="AV1992" i="2"/>
  <c r="AW1992" i="2" s="1"/>
  <c r="AX1992" i="2"/>
  <c r="AY1992" i="2"/>
  <c r="AR1993" i="2"/>
  <c r="AS1993" i="2"/>
  <c r="AT1993" i="2"/>
  <c r="AU1993" i="2"/>
  <c r="AV1993" i="2"/>
  <c r="AW1993" i="2" s="1"/>
  <c r="AX1993" i="2"/>
  <c r="AY1993" i="2"/>
  <c r="AR1994" i="2"/>
  <c r="AS1994" i="2"/>
  <c r="AT1994" i="2"/>
  <c r="AU1994" i="2"/>
  <c r="AV1994" i="2"/>
  <c r="AW1994" i="2" s="1"/>
  <c r="AX1994" i="2"/>
  <c r="AY1994" i="2"/>
  <c r="AR1995" i="2"/>
  <c r="AS1995" i="2"/>
  <c r="AT1995" i="2"/>
  <c r="AU1995" i="2"/>
  <c r="AV1995" i="2"/>
  <c r="AW1995" i="2" s="1"/>
  <c r="AX1995" i="2"/>
  <c r="AY1995" i="2"/>
  <c r="AR1996" i="2"/>
  <c r="AS1996" i="2"/>
  <c r="AT1996" i="2"/>
  <c r="AU1996" i="2"/>
  <c r="AV1996" i="2"/>
  <c r="AW1996" i="2" s="1"/>
  <c r="AX1996" i="2"/>
  <c r="AY1996" i="2"/>
  <c r="AR1997" i="2"/>
  <c r="AS1997" i="2"/>
  <c r="AT1997" i="2"/>
  <c r="AU1997" i="2"/>
  <c r="AV1997" i="2"/>
  <c r="AW1997" i="2" s="1"/>
  <c r="AX1997" i="2"/>
  <c r="AY1997" i="2"/>
  <c r="AR1998" i="2"/>
  <c r="AS1998" i="2"/>
  <c r="AT1998" i="2"/>
  <c r="AU1998" i="2"/>
  <c r="AV1998" i="2"/>
  <c r="AW1998" i="2" s="1"/>
  <c r="AX1998" i="2"/>
  <c r="AY1998" i="2"/>
  <c r="AR1999" i="2"/>
  <c r="AS1999" i="2"/>
  <c r="AT1999" i="2"/>
  <c r="AU1999" i="2"/>
  <c r="AV1999" i="2"/>
  <c r="AW1999" i="2" s="1"/>
  <c r="AX1999" i="2"/>
  <c r="AY1999" i="2"/>
  <c r="AR2000" i="2"/>
  <c r="AS2000" i="2"/>
  <c r="AT2000" i="2"/>
  <c r="AU2000" i="2"/>
  <c r="AV2000" i="2"/>
  <c r="AW2000" i="2" s="1"/>
  <c r="AX2000" i="2"/>
  <c r="AY2000" i="2"/>
  <c r="AR2001" i="2"/>
  <c r="AS2001" i="2"/>
  <c r="AT2001" i="2"/>
  <c r="AU2001" i="2"/>
  <c r="AV2001" i="2"/>
  <c r="AW2001" i="2" s="1"/>
  <c r="AX2001" i="2"/>
  <c r="AY2001" i="2"/>
  <c r="AR2002" i="2"/>
  <c r="AS2002" i="2"/>
  <c r="AT2002" i="2"/>
  <c r="AU2002" i="2"/>
  <c r="AV2002" i="2"/>
  <c r="AW2002" i="2" s="1"/>
  <c r="AX2002" i="2"/>
  <c r="AY2002" i="2"/>
  <c r="AR2003" i="2"/>
  <c r="AS2003" i="2"/>
  <c r="AT2003" i="2"/>
  <c r="AU2003" i="2"/>
  <c r="AV2003" i="2"/>
  <c r="AW2003" i="2" s="1"/>
  <c r="AX2003" i="2"/>
  <c r="AY2003" i="2"/>
  <c r="AR2004" i="2"/>
  <c r="AS2004" i="2"/>
  <c r="AT2004" i="2"/>
  <c r="AU2004" i="2"/>
  <c r="AV2004" i="2"/>
  <c r="AW2004" i="2" s="1"/>
  <c r="AX2004" i="2"/>
  <c r="AY2004" i="2"/>
  <c r="AR2005" i="2"/>
  <c r="AS2005" i="2"/>
  <c r="AT2005" i="2"/>
  <c r="AU2005" i="2"/>
  <c r="AV2005" i="2"/>
  <c r="AW2005" i="2" s="1"/>
  <c r="AX2005" i="2"/>
  <c r="AY2005" i="2"/>
  <c r="AR2006" i="2"/>
  <c r="AS2006" i="2"/>
  <c r="AT2006" i="2"/>
  <c r="AU2006" i="2"/>
  <c r="AV2006" i="2"/>
  <c r="AW2006" i="2" s="1"/>
  <c r="AX2006" i="2"/>
  <c r="AY2006" i="2"/>
  <c r="AR2007" i="2"/>
  <c r="AS2007" i="2"/>
  <c r="AT2007" i="2"/>
  <c r="AU2007" i="2"/>
  <c r="AV2007" i="2"/>
  <c r="AW2007" i="2" s="1"/>
  <c r="AX2007" i="2"/>
  <c r="AY2007" i="2"/>
  <c r="AR2008" i="2"/>
  <c r="AS2008" i="2"/>
  <c r="AT2008" i="2"/>
  <c r="AU2008" i="2"/>
  <c r="AV2008" i="2"/>
  <c r="AW2008" i="2" s="1"/>
  <c r="AX2008" i="2"/>
  <c r="AY2008" i="2"/>
  <c r="AR2009" i="2"/>
  <c r="AS2009" i="2"/>
  <c r="AT2009" i="2"/>
  <c r="AU2009" i="2"/>
  <c r="AV2009" i="2"/>
  <c r="AW2009" i="2" s="1"/>
  <c r="AX2009" i="2"/>
  <c r="AY2009" i="2"/>
  <c r="AR2010" i="2"/>
  <c r="AS2010" i="2"/>
  <c r="AT2010" i="2"/>
  <c r="AU2010" i="2"/>
  <c r="AV2010" i="2"/>
  <c r="AW2010" i="2" s="1"/>
  <c r="AX2010" i="2"/>
  <c r="AY2010" i="2"/>
  <c r="AR2011" i="2"/>
  <c r="AS2011" i="2"/>
  <c r="AT2011" i="2"/>
  <c r="AU2011" i="2"/>
  <c r="AV2011" i="2"/>
  <c r="AW2011" i="2" s="1"/>
  <c r="AX2011" i="2"/>
  <c r="AY2011" i="2"/>
  <c r="AR2012" i="2"/>
  <c r="AS2012" i="2"/>
  <c r="AT2012" i="2"/>
  <c r="AU2012" i="2"/>
  <c r="AV2012" i="2"/>
  <c r="AW2012" i="2" s="1"/>
  <c r="AX2012" i="2"/>
  <c r="AY2012" i="2"/>
  <c r="AR2013" i="2"/>
  <c r="AS2013" i="2"/>
  <c r="AT2013" i="2"/>
  <c r="AU2013" i="2"/>
  <c r="AV2013" i="2"/>
  <c r="AW2013" i="2" s="1"/>
  <c r="AX2013" i="2"/>
  <c r="AY2013" i="2"/>
  <c r="AR2014" i="2"/>
  <c r="AS2014" i="2"/>
  <c r="AT2014" i="2"/>
  <c r="AU2014" i="2"/>
  <c r="AV2014" i="2"/>
  <c r="AW2014" i="2" s="1"/>
  <c r="AX2014" i="2"/>
  <c r="AY2014" i="2"/>
  <c r="AR2015" i="2"/>
  <c r="AS2015" i="2"/>
  <c r="AT2015" i="2"/>
  <c r="AU2015" i="2"/>
  <c r="AV2015" i="2"/>
  <c r="AW2015" i="2" s="1"/>
  <c r="AX2015" i="2"/>
  <c r="AY2015" i="2"/>
  <c r="AR2016" i="2"/>
  <c r="AS2016" i="2"/>
  <c r="AT2016" i="2"/>
  <c r="AU2016" i="2"/>
  <c r="AV2016" i="2"/>
  <c r="AW2016" i="2" s="1"/>
  <c r="AX2016" i="2"/>
  <c r="AY2016" i="2"/>
  <c r="AR2017" i="2"/>
  <c r="AS2017" i="2"/>
  <c r="AT2017" i="2"/>
  <c r="AU2017" i="2"/>
  <c r="AV2017" i="2"/>
  <c r="AW2017" i="2" s="1"/>
  <c r="AX2017" i="2"/>
  <c r="AY2017" i="2"/>
  <c r="AR2018" i="2"/>
  <c r="AS2018" i="2"/>
  <c r="AT2018" i="2"/>
  <c r="AU2018" i="2"/>
  <c r="AV2018" i="2"/>
  <c r="AW2018" i="2" s="1"/>
  <c r="AX2018" i="2"/>
  <c r="AY2018" i="2"/>
  <c r="AR2019" i="2"/>
  <c r="AS2019" i="2"/>
  <c r="AT2019" i="2"/>
  <c r="AU2019" i="2"/>
  <c r="AV2019" i="2"/>
  <c r="AW2019" i="2" s="1"/>
  <c r="AX2019" i="2"/>
  <c r="AY2019" i="2"/>
  <c r="AR2020" i="2"/>
  <c r="AS2020" i="2"/>
  <c r="AT2020" i="2"/>
  <c r="AU2020" i="2"/>
  <c r="AV2020" i="2"/>
  <c r="AW2020" i="2" s="1"/>
  <c r="AX2020" i="2"/>
  <c r="AY2020" i="2"/>
  <c r="AR2021" i="2"/>
  <c r="AS2021" i="2"/>
  <c r="AT2021" i="2"/>
  <c r="AU2021" i="2"/>
  <c r="AV2021" i="2"/>
  <c r="AW2021" i="2" s="1"/>
  <c r="AX2021" i="2"/>
  <c r="AY2021" i="2"/>
  <c r="AR2022" i="2"/>
  <c r="AS2022" i="2"/>
  <c r="AT2022" i="2"/>
  <c r="AU2022" i="2"/>
  <c r="AV2022" i="2"/>
  <c r="AW2022" i="2" s="1"/>
  <c r="AX2022" i="2"/>
  <c r="AY2022" i="2"/>
  <c r="AR2023" i="2"/>
  <c r="AS2023" i="2"/>
  <c r="AT2023" i="2"/>
  <c r="AU2023" i="2"/>
  <c r="AV2023" i="2"/>
  <c r="AW2023" i="2" s="1"/>
  <c r="AX2023" i="2"/>
  <c r="AY2023" i="2"/>
  <c r="AR2024" i="2"/>
  <c r="AS2024" i="2"/>
  <c r="AT2024" i="2"/>
  <c r="AU2024" i="2"/>
  <c r="AV2024" i="2"/>
  <c r="AW2024" i="2" s="1"/>
  <c r="AX2024" i="2"/>
  <c r="AY2024" i="2"/>
  <c r="AR2025" i="2"/>
  <c r="AS2025" i="2"/>
  <c r="AT2025" i="2"/>
  <c r="AU2025" i="2"/>
  <c r="AV2025" i="2"/>
  <c r="AW2025" i="2" s="1"/>
  <c r="AX2025" i="2"/>
  <c r="AY2025" i="2"/>
  <c r="AR2026" i="2"/>
  <c r="AS2026" i="2"/>
  <c r="AT2026" i="2"/>
  <c r="AU2026" i="2"/>
  <c r="AV2026" i="2"/>
  <c r="AW2026" i="2" s="1"/>
  <c r="AX2026" i="2"/>
  <c r="AY2026" i="2"/>
  <c r="AR2027" i="2"/>
  <c r="AS2027" i="2"/>
  <c r="AT2027" i="2"/>
  <c r="AU2027" i="2"/>
  <c r="AV2027" i="2"/>
  <c r="AW2027" i="2" s="1"/>
  <c r="AX2027" i="2"/>
  <c r="AY2027" i="2"/>
  <c r="AR2028" i="2"/>
  <c r="AS2028" i="2"/>
  <c r="AT2028" i="2"/>
  <c r="AU2028" i="2"/>
  <c r="AV2028" i="2"/>
  <c r="AW2028" i="2" s="1"/>
  <c r="AX2028" i="2"/>
  <c r="AY2028" i="2"/>
  <c r="AR2029" i="2"/>
  <c r="AS2029" i="2"/>
  <c r="AT2029" i="2"/>
  <c r="AU2029" i="2"/>
  <c r="AV2029" i="2"/>
  <c r="AW2029" i="2" s="1"/>
  <c r="AX2029" i="2"/>
  <c r="AY2029" i="2"/>
  <c r="AR2030" i="2"/>
  <c r="AS2030" i="2"/>
  <c r="AT2030" i="2"/>
  <c r="AU2030" i="2"/>
  <c r="AV2030" i="2"/>
  <c r="AW2030" i="2" s="1"/>
  <c r="AX2030" i="2"/>
  <c r="AY2030" i="2"/>
  <c r="AR2031" i="2"/>
  <c r="AS2031" i="2"/>
  <c r="AT2031" i="2"/>
  <c r="AU2031" i="2"/>
  <c r="AV2031" i="2"/>
  <c r="AW2031" i="2" s="1"/>
  <c r="AX2031" i="2"/>
  <c r="AY2031" i="2"/>
  <c r="AR2032" i="2"/>
  <c r="AS2032" i="2"/>
  <c r="AT2032" i="2"/>
  <c r="AU2032" i="2"/>
  <c r="AV2032" i="2"/>
  <c r="AW2032" i="2" s="1"/>
  <c r="AX2032" i="2"/>
  <c r="AY2032" i="2"/>
  <c r="AR2033" i="2"/>
  <c r="AS2033" i="2"/>
  <c r="AT2033" i="2"/>
  <c r="AU2033" i="2"/>
  <c r="AV2033" i="2"/>
  <c r="AW2033" i="2" s="1"/>
  <c r="AX2033" i="2"/>
  <c r="AY2033" i="2"/>
  <c r="AR2034" i="2"/>
  <c r="AS2034" i="2"/>
  <c r="AT2034" i="2"/>
  <c r="AU2034" i="2"/>
  <c r="AV2034" i="2"/>
  <c r="AW2034" i="2" s="1"/>
  <c r="AX2034" i="2"/>
  <c r="AY2034" i="2"/>
  <c r="AR2035" i="2"/>
  <c r="AS2035" i="2"/>
  <c r="AT2035" i="2"/>
  <c r="AU2035" i="2"/>
  <c r="AV2035" i="2"/>
  <c r="AW2035" i="2" s="1"/>
  <c r="AX2035" i="2"/>
  <c r="AY2035" i="2"/>
  <c r="AR2036" i="2"/>
  <c r="AS2036" i="2"/>
  <c r="AT2036" i="2"/>
  <c r="AU2036" i="2"/>
  <c r="AV2036" i="2"/>
  <c r="AW2036" i="2" s="1"/>
  <c r="AX2036" i="2"/>
  <c r="AY2036" i="2"/>
  <c r="AR2037" i="2"/>
  <c r="AS2037" i="2"/>
  <c r="AT2037" i="2"/>
  <c r="AU2037" i="2"/>
  <c r="AV2037" i="2"/>
  <c r="AW2037" i="2" s="1"/>
  <c r="AX2037" i="2"/>
  <c r="AY2037" i="2"/>
  <c r="AR2038" i="2"/>
  <c r="AS2038" i="2"/>
  <c r="AT2038" i="2"/>
  <c r="AU2038" i="2"/>
  <c r="AV2038" i="2"/>
  <c r="AW2038" i="2" s="1"/>
  <c r="AX2038" i="2"/>
  <c r="AY2038" i="2"/>
  <c r="AR2039" i="2"/>
  <c r="AS2039" i="2"/>
  <c r="AT2039" i="2"/>
  <c r="AU2039" i="2"/>
  <c r="AV2039" i="2"/>
  <c r="AW2039" i="2" s="1"/>
  <c r="AX2039" i="2"/>
  <c r="AY2039" i="2"/>
  <c r="AR2040" i="2"/>
  <c r="AS2040" i="2"/>
  <c r="AT2040" i="2"/>
  <c r="AU2040" i="2"/>
  <c r="AV2040" i="2"/>
  <c r="AW2040" i="2" s="1"/>
  <c r="AX2040" i="2"/>
  <c r="AY2040" i="2"/>
  <c r="AR2041" i="2"/>
  <c r="AS2041" i="2"/>
  <c r="AT2041" i="2"/>
  <c r="AU2041" i="2"/>
  <c r="AV2041" i="2"/>
  <c r="AW2041" i="2" s="1"/>
  <c r="AX2041" i="2"/>
  <c r="AY2041" i="2"/>
  <c r="AR2042" i="2"/>
  <c r="AS2042" i="2"/>
  <c r="AT2042" i="2"/>
  <c r="AU2042" i="2"/>
  <c r="AV2042" i="2"/>
  <c r="AW2042" i="2" s="1"/>
  <c r="AX2042" i="2"/>
  <c r="AY2042" i="2"/>
  <c r="AR2043" i="2"/>
  <c r="AS2043" i="2"/>
  <c r="AT2043" i="2"/>
  <c r="AU2043" i="2"/>
  <c r="AV2043" i="2"/>
  <c r="AW2043" i="2" s="1"/>
  <c r="AX2043" i="2"/>
  <c r="AY2043" i="2"/>
  <c r="AR2044" i="2"/>
  <c r="AS2044" i="2"/>
  <c r="AT2044" i="2"/>
  <c r="AU2044" i="2"/>
  <c r="AV2044" i="2"/>
  <c r="AW2044" i="2" s="1"/>
  <c r="AX2044" i="2"/>
  <c r="AY2044" i="2"/>
  <c r="AR2045" i="2"/>
  <c r="AS2045" i="2"/>
  <c r="AT2045" i="2"/>
  <c r="AU2045" i="2"/>
  <c r="AV2045" i="2"/>
  <c r="AW2045" i="2" s="1"/>
  <c r="AX2045" i="2"/>
  <c r="AY2045" i="2"/>
  <c r="AR2046" i="2"/>
  <c r="AS2046" i="2"/>
  <c r="AT2046" i="2"/>
  <c r="AU2046" i="2"/>
  <c r="AV2046" i="2"/>
  <c r="AW2046" i="2" s="1"/>
  <c r="AX2046" i="2"/>
  <c r="AY2046" i="2"/>
  <c r="AR2047" i="2"/>
  <c r="AS2047" i="2"/>
  <c r="AT2047" i="2"/>
  <c r="AU2047" i="2"/>
  <c r="AV2047" i="2"/>
  <c r="AW2047" i="2" s="1"/>
  <c r="AX2047" i="2"/>
  <c r="AY2047" i="2"/>
  <c r="AR2048" i="2"/>
  <c r="AS2048" i="2"/>
  <c r="AT2048" i="2"/>
  <c r="AU2048" i="2"/>
  <c r="AV2048" i="2"/>
  <c r="AW2048" i="2" s="1"/>
  <c r="AX2048" i="2"/>
  <c r="AY2048" i="2"/>
  <c r="AR2049" i="2"/>
  <c r="AS2049" i="2"/>
  <c r="AT2049" i="2"/>
  <c r="AU2049" i="2"/>
  <c r="AV2049" i="2"/>
  <c r="AW2049" i="2" s="1"/>
  <c r="AX2049" i="2"/>
  <c r="AY2049" i="2"/>
  <c r="AR2050" i="2"/>
  <c r="AS2050" i="2"/>
  <c r="AT2050" i="2"/>
  <c r="AU2050" i="2"/>
  <c r="AV2050" i="2"/>
  <c r="AW2050" i="2" s="1"/>
  <c r="AX2050" i="2"/>
  <c r="AY2050" i="2"/>
  <c r="AR2051" i="2"/>
  <c r="AS2051" i="2"/>
  <c r="AT2051" i="2"/>
  <c r="AU2051" i="2"/>
  <c r="AV2051" i="2"/>
  <c r="AW2051" i="2" s="1"/>
  <c r="AX2051" i="2"/>
  <c r="AY2051" i="2"/>
  <c r="AR2052" i="2"/>
  <c r="AS2052" i="2"/>
  <c r="AT2052" i="2"/>
  <c r="AU2052" i="2"/>
  <c r="AV2052" i="2"/>
  <c r="AW2052" i="2" s="1"/>
  <c r="AX2052" i="2"/>
  <c r="AY2052" i="2"/>
  <c r="AR2053" i="2"/>
  <c r="AS2053" i="2"/>
  <c r="AT2053" i="2"/>
  <c r="AU2053" i="2"/>
  <c r="AV2053" i="2"/>
  <c r="AW2053" i="2" s="1"/>
  <c r="AX2053" i="2"/>
  <c r="AY2053" i="2"/>
  <c r="AR2054" i="2"/>
  <c r="AS2054" i="2"/>
  <c r="AT2054" i="2"/>
  <c r="AU2054" i="2"/>
  <c r="AV2054" i="2"/>
  <c r="AW2054" i="2" s="1"/>
  <c r="AX2054" i="2"/>
  <c r="AY2054" i="2"/>
  <c r="AR2055" i="2"/>
  <c r="AS2055" i="2"/>
  <c r="AT2055" i="2"/>
  <c r="AU2055" i="2"/>
  <c r="AV2055" i="2"/>
  <c r="AW2055" i="2" s="1"/>
  <c r="AX2055" i="2"/>
  <c r="AY2055" i="2"/>
  <c r="AR2056" i="2"/>
  <c r="AS2056" i="2"/>
  <c r="AT2056" i="2"/>
  <c r="AU2056" i="2"/>
  <c r="AV2056" i="2"/>
  <c r="AW2056" i="2" s="1"/>
  <c r="AX2056" i="2"/>
  <c r="AY2056" i="2"/>
  <c r="AR2057" i="2"/>
  <c r="AS2057" i="2"/>
  <c r="AT2057" i="2"/>
  <c r="AU2057" i="2"/>
  <c r="AV2057" i="2"/>
  <c r="AW2057" i="2" s="1"/>
  <c r="AX2057" i="2"/>
  <c r="AY2057" i="2"/>
  <c r="AR2058" i="2"/>
  <c r="AS2058" i="2"/>
  <c r="AT2058" i="2"/>
  <c r="AU2058" i="2"/>
  <c r="AV2058" i="2"/>
  <c r="AW2058" i="2" s="1"/>
  <c r="AX2058" i="2"/>
  <c r="AY2058" i="2"/>
  <c r="AR2059" i="2"/>
  <c r="AS2059" i="2"/>
  <c r="AT2059" i="2"/>
  <c r="AU2059" i="2"/>
  <c r="AV2059" i="2"/>
  <c r="AW2059" i="2" s="1"/>
  <c r="AX2059" i="2"/>
  <c r="AY2059" i="2"/>
  <c r="AR2060" i="2"/>
  <c r="AS2060" i="2"/>
  <c r="AT2060" i="2"/>
  <c r="AU2060" i="2"/>
  <c r="AV2060" i="2"/>
  <c r="AW2060" i="2" s="1"/>
  <c r="AX2060" i="2"/>
  <c r="AY2060" i="2"/>
  <c r="AR2061" i="2"/>
  <c r="AS2061" i="2"/>
  <c r="AT2061" i="2"/>
  <c r="AU2061" i="2"/>
  <c r="AV2061" i="2"/>
  <c r="AW2061" i="2" s="1"/>
  <c r="AX2061" i="2"/>
  <c r="AY2061" i="2"/>
  <c r="AR2062" i="2"/>
  <c r="AS2062" i="2"/>
  <c r="AT2062" i="2"/>
  <c r="AU2062" i="2"/>
  <c r="AV2062" i="2"/>
  <c r="AW2062" i="2" s="1"/>
  <c r="AX2062" i="2"/>
  <c r="AY2062" i="2"/>
  <c r="AR2063" i="2"/>
  <c r="AS2063" i="2"/>
  <c r="AT2063" i="2"/>
  <c r="AU2063" i="2"/>
  <c r="AV2063" i="2"/>
  <c r="AW2063" i="2" s="1"/>
  <c r="AX2063" i="2"/>
  <c r="AY2063" i="2"/>
  <c r="AR2064" i="2"/>
  <c r="AS2064" i="2"/>
  <c r="AT2064" i="2"/>
  <c r="AU2064" i="2"/>
  <c r="AV2064" i="2"/>
  <c r="AW2064" i="2" s="1"/>
  <c r="AX2064" i="2"/>
  <c r="AY2064" i="2"/>
  <c r="AR2065" i="2"/>
  <c r="AS2065" i="2"/>
  <c r="AT2065" i="2"/>
  <c r="AU2065" i="2"/>
  <c r="AV2065" i="2"/>
  <c r="AW2065" i="2" s="1"/>
  <c r="AX2065" i="2"/>
  <c r="AY2065" i="2"/>
  <c r="AR2066" i="2"/>
  <c r="AS2066" i="2"/>
  <c r="AT2066" i="2"/>
  <c r="AU2066" i="2"/>
  <c r="AV2066" i="2"/>
  <c r="AW2066" i="2" s="1"/>
  <c r="AX2066" i="2"/>
  <c r="AY2066" i="2"/>
  <c r="AR2067" i="2"/>
  <c r="AS2067" i="2"/>
  <c r="AT2067" i="2"/>
  <c r="AU2067" i="2"/>
  <c r="AV2067" i="2"/>
  <c r="AW2067" i="2" s="1"/>
  <c r="AX2067" i="2"/>
  <c r="AY2067" i="2"/>
  <c r="AR2068" i="2"/>
  <c r="AS2068" i="2"/>
  <c r="AT2068" i="2"/>
  <c r="AU2068" i="2"/>
  <c r="AV2068" i="2"/>
  <c r="AW2068" i="2" s="1"/>
  <c r="AX2068" i="2"/>
  <c r="AY2068" i="2"/>
  <c r="AR2069" i="2"/>
  <c r="AS2069" i="2"/>
  <c r="AT2069" i="2"/>
  <c r="AU2069" i="2"/>
  <c r="AV2069" i="2"/>
  <c r="AW2069" i="2" s="1"/>
  <c r="AX2069" i="2"/>
  <c r="AY2069" i="2"/>
  <c r="AR2070" i="2"/>
  <c r="AS2070" i="2"/>
  <c r="AT2070" i="2"/>
  <c r="AU2070" i="2"/>
  <c r="AV2070" i="2"/>
  <c r="AW2070" i="2" s="1"/>
  <c r="AX2070" i="2"/>
  <c r="AY2070" i="2"/>
  <c r="AR2071" i="2"/>
  <c r="AS2071" i="2"/>
  <c r="AT2071" i="2"/>
  <c r="AU2071" i="2"/>
  <c r="AV2071" i="2"/>
  <c r="AW2071" i="2" s="1"/>
  <c r="AX2071" i="2"/>
  <c r="AY2071" i="2"/>
  <c r="AR2072" i="2"/>
  <c r="AS2072" i="2"/>
  <c r="AT2072" i="2"/>
  <c r="AU2072" i="2"/>
  <c r="AV2072" i="2"/>
  <c r="AW2072" i="2" s="1"/>
  <c r="AX2072" i="2"/>
  <c r="AY2072" i="2"/>
  <c r="AR2073" i="2"/>
  <c r="AS2073" i="2"/>
  <c r="AT2073" i="2"/>
  <c r="AU2073" i="2"/>
  <c r="AV2073" i="2"/>
  <c r="AW2073" i="2" s="1"/>
  <c r="AX2073" i="2"/>
  <c r="AY2073" i="2"/>
  <c r="AR2074" i="2"/>
  <c r="AS2074" i="2"/>
  <c r="AT2074" i="2"/>
  <c r="AU2074" i="2"/>
  <c r="AV2074" i="2"/>
  <c r="AW2074" i="2" s="1"/>
  <c r="AX2074" i="2"/>
  <c r="AY2074" i="2"/>
  <c r="AR2075" i="2"/>
  <c r="AS2075" i="2"/>
  <c r="AT2075" i="2"/>
  <c r="AU2075" i="2"/>
  <c r="AV2075" i="2"/>
  <c r="AW2075" i="2" s="1"/>
  <c r="AX2075" i="2"/>
  <c r="AY2075" i="2"/>
  <c r="AR2076" i="2"/>
  <c r="AS2076" i="2"/>
  <c r="AT2076" i="2"/>
  <c r="AU2076" i="2"/>
  <c r="AV2076" i="2"/>
  <c r="AW2076" i="2" s="1"/>
  <c r="AX2076" i="2"/>
  <c r="AY2076" i="2"/>
  <c r="AR2077" i="2"/>
  <c r="AS2077" i="2"/>
  <c r="AT2077" i="2"/>
  <c r="AU2077" i="2"/>
  <c r="AV2077" i="2"/>
  <c r="AW2077" i="2" s="1"/>
  <c r="AX2077" i="2"/>
  <c r="AY2077" i="2"/>
  <c r="AR2078" i="2"/>
  <c r="AS2078" i="2"/>
  <c r="AT2078" i="2"/>
  <c r="AU2078" i="2"/>
  <c r="AV2078" i="2"/>
  <c r="AW2078" i="2" s="1"/>
  <c r="AX2078" i="2"/>
  <c r="AY2078" i="2"/>
  <c r="AR2079" i="2"/>
  <c r="AS2079" i="2"/>
  <c r="AT2079" i="2"/>
  <c r="AU2079" i="2"/>
  <c r="AV2079" i="2"/>
  <c r="AW2079" i="2" s="1"/>
  <c r="AX2079" i="2"/>
  <c r="AY2079" i="2"/>
  <c r="AR2080" i="2"/>
  <c r="AS2080" i="2"/>
  <c r="AT2080" i="2"/>
  <c r="AU2080" i="2"/>
  <c r="AV2080" i="2"/>
  <c r="AW2080" i="2" s="1"/>
  <c r="AX2080" i="2"/>
  <c r="AY2080" i="2"/>
  <c r="AR2081" i="2"/>
  <c r="AS2081" i="2"/>
  <c r="AT2081" i="2"/>
  <c r="AU2081" i="2"/>
  <c r="AV2081" i="2"/>
  <c r="AW2081" i="2" s="1"/>
  <c r="AX2081" i="2"/>
  <c r="AY2081" i="2"/>
  <c r="AR2082" i="2"/>
  <c r="AS2082" i="2"/>
  <c r="AT2082" i="2"/>
  <c r="AU2082" i="2"/>
  <c r="AV2082" i="2"/>
  <c r="AW2082" i="2" s="1"/>
  <c r="AX2082" i="2"/>
  <c r="AY2082" i="2"/>
  <c r="AR2083" i="2"/>
  <c r="AS2083" i="2"/>
  <c r="AT2083" i="2"/>
  <c r="AU2083" i="2"/>
  <c r="AV2083" i="2"/>
  <c r="AW2083" i="2" s="1"/>
  <c r="AX2083" i="2"/>
  <c r="AY2083" i="2"/>
  <c r="AR2084" i="2"/>
  <c r="AS2084" i="2"/>
  <c r="AT2084" i="2"/>
  <c r="AU2084" i="2"/>
  <c r="AV2084" i="2"/>
  <c r="AW2084" i="2" s="1"/>
  <c r="AX2084" i="2"/>
  <c r="AY2084" i="2"/>
  <c r="AR2085" i="2"/>
  <c r="AS2085" i="2"/>
  <c r="AT2085" i="2"/>
  <c r="AU2085" i="2"/>
  <c r="AV2085" i="2"/>
  <c r="AW2085" i="2" s="1"/>
  <c r="AX2085" i="2"/>
  <c r="AY2085" i="2"/>
  <c r="AR2086" i="2"/>
  <c r="AS2086" i="2"/>
  <c r="AT2086" i="2"/>
  <c r="AU2086" i="2"/>
  <c r="AV2086" i="2"/>
  <c r="AW2086" i="2" s="1"/>
  <c r="AX2086" i="2"/>
  <c r="AY2086" i="2"/>
  <c r="AR2087" i="2"/>
  <c r="AS2087" i="2"/>
  <c r="AT2087" i="2"/>
  <c r="AU2087" i="2"/>
  <c r="AV2087" i="2"/>
  <c r="AW2087" i="2" s="1"/>
  <c r="AX2087" i="2"/>
  <c r="AY2087" i="2"/>
  <c r="AR2088" i="2"/>
  <c r="AS2088" i="2"/>
  <c r="AT2088" i="2"/>
  <c r="AU2088" i="2"/>
  <c r="AV2088" i="2"/>
  <c r="AW2088" i="2" s="1"/>
  <c r="AX2088" i="2"/>
  <c r="AY2088" i="2"/>
  <c r="AR2089" i="2"/>
  <c r="AS2089" i="2"/>
  <c r="AT2089" i="2"/>
  <c r="AU2089" i="2"/>
  <c r="AV2089" i="2"/>
  <c r="AW2089" i="2" s="1"/>
  <c r="AX2089" i="2"/>
  <c r="AY2089" i="2"/>
  <c r="AR2090" i="2"/>
  <c r="AS2090" i="2"/>
  <c r="AT2090" i="2"/>
  <c r="AU2090" i="2"/>
  <c r="AV2090" i="2"/>
  <c r="AW2090" i="2" s="1"/>
  <c r="AX2090" i="2"/>
  <c r="AY2090" i="2"/>
  <c r="AR2091" i="2"/>
  <c r="AS2091" i="2"/>
  <c r="AT2091" i="2"/>
  <c r="AU2091" i="2"/>
  <c r="AV2091" i="2"/>
  <c r="AW2091" i="2" s="1"/>
  <c r="AX2091" i="2"/>
  <c r="AY2091" i="2"/>
  <c r="AR2092" i="2"/>
  <c r="AS2092" i="2"/>
  <c r="AT2092" i="2"/>
  <c r="AU2092" i="2"/>
  <c r="AV2092" i="2"/>
  <c r="AW2092" i="2" s="1"/>
  <c r="AX2092" i="2"/>
  <c r="AY2092" i="2"/>
  <c r="AR2093" i="2"/>
  <c r="AS2093" i="2"/>
  <c r="AT2093" i="2"/>
  <c r="AU2093" i="2"/>
  <c r="AV2093" i="2"/>
  <c r="AW2093" i="2" s="1"/>
  <c r="AX2093" i="2"/>
  <c r="AY2093" i="2"/>
  <c r="AR2094" i="2"/>
  <c r="AS2094" i="2"/>
  <c r="AT2094" i="2"/>
  <c r="AU2094" i="2"/>
  <c r="AV2094" i="2"/>
  <c r="AW2094" i="2" s="1"/>
  <c r="AX2094" i="2"/>
  <c r="AY2094" i="2"/>
  <c r="AR2095" i="2"/>
  <c r="AS2095" i="2"/>
  <c r="AT2095" i="2"/>
  <c r="AU2095" i="2"/>
  <c r="AV2095" i="2"/>
  <c r="AW2095" i="2" s="1"/>
  <c r="AX2095" i="2"/>
  <c r="AY2095" i="2"/>
  <c r="AR2096" i="2"/>
  <c r="AS2096" i="2"/>
  <c r="AT2096" i="2"/>
  <c r="AU2096" i="2"/>
  <c r="AV2096" i="2"/>
  <c r="AW2096" i="2" s="1"/>
  <c r="AX2096" i="2"/>
  <c r="AY2096" i="2"/>
  <c r="AR2097" i="2"/>
  <c r="AS2097" i="2"/>
  <c r="AT2097" i="2"/>
  <c r="AU2097" i="2"/>
  <c r="AV2097" i="2"/>
  <c r="AW2097" i="2" s="1"/>
  <c r="AX2097" i="2"/>
  <c r="AY2097" i="2"/>
  <c r="AR2098" i="2"/>
  <c r="AS2098" i="2"/>
  <c r="AT2098" i="2"/>
  <c r="AU2098" i="2"/>
  <c r="AV2098" i="2"/>
  <c r="AW2098" i="2" s="1"/>
  <c r="AX2098" i="2"/>
  <c r="AY2098" i="2"/>
  <c r="AR2099" i="2"/>
  <c r="AS2099" i="2"/>
  <c r="AT2099" i="2"/>
  <c r="AU2099" i="2"/>
  <c r="AV2099" i="2"/>
  <c r="AW2099" i="2" s="1"/>
  <c r="AX2099" i="2"/>
  <c r="AY2099" i="2"/>
  <c r="AR2100" i="2"/>
  <c r="AS2100" i="2"/>
  <c r="AT2100" i="2"/>
  <c r="AU2100" i="2"/>
  <c r="AV2100" i="2"/>
  <c r="AW2100" i="2" s="1"/>
  <c r="AX2100" i="2"/>
  <c r="AY2100" i="2"/>
  <c r="AR2101" i="2"/>
  <c r="AS2101" i="2"/>
  <c r="AT2101" i="2"/>
  <c r="AU2101" i="2"/>
  <c r="AV2101" i="2"/>
  <c r="AW2101" i="2" s="1"/>
  <c r="AX2101" i="2"/>
  <c r="AY2101" i="2"/>
  <c r="AR2102" i="2"/>
  <c r="AS2102" i="2"/>
  <c r="AT2102" i="2"/>
  <c r="AU2102" i="2"/>
  <c r="AV2102" i="2"/>
  <c r="AW2102" i="2" s="1"/>
  <c r="AX2102" i="2"/>
  <c r="AY2102" i="2"/>
  <c r="AR2103" i="2"/>
  <c r="AS2103" i="2"/>
  <c r="AT2103" i="2"/>
  <c r="AU2103" i="2"/>
  <c r="AV2103" i="2"/>
  <c r="AW2103" i="2" s="1"/>
  <c r="AX2103" i="2"/>
  <c r="AY2103" i="2"/>
  <c r="AR2104" i="2"/>
  <c r="AS2104" i="2"/>
  <c r="AT2104" i="2"/>
  <c r="AU2104" i="2"/>
  <c r="AV2104" i="2"/>
  <c r="AW2104" i="2" s="1"/>
  <c r="AX2104" i="2"/>
  <c r="AY2104" i="2"/>
  <c r="AR2105" i="2"/>
  <c r="AS2105" i="2"/>
  <c r="AT2105" i="2"/>
  <c r="AU2105" i="2"/>
  <c r="AV2105" i="2"/>
  <c r="AW2105" i="2" s="1"/>
  <c r="AX2105" i="2"/>
  <c r="AY2105" i="2"/>
  <c r="AR2106" i="2"/>
  <c r="AS2106" i="2"/>
  <c r="AT2106" i="2"/>
  <c r="AU2106" i="2"/>
  <c r="AV2106" i="2"/>
  <c r="AW2106" i="2" s="1"/>
  <c r="AX2106" i="2"/>
  <c r="AY2106" i="2"/>
  <c r="AR2107" i="2"/>
  <c r="AS2107" i="2"/>
  <c r="AT2107" i="2"/>
  <c r="AU2107" i="2"/>
  <c r="AV2107" i="2"/>
  <c r="AW2107" i="2" s="1"/>
  <c r="AX2107" i="2"/>
  <c r="AY2107" i="2"/>
  <c r="AR2108" i="2"/>
  <c r="AS2108" i="2"/>
  <c r="AT2108" i="2"/>
  <c r="AU2108" i="2"/>
  <c r="AV2108" i="2"/>
  <c r="AW2108" i="2" s="1"/>
  <c r="AX2108" i="2"/>
  <c r="AY2108" i="2"/>
  <c r="AR2109" i="2"/>
  <c r="AS2109" i="2"/>
  <c r="AT2109" i="2"/>
  <c r="AU2109" i="2"/>
  <c r="AV2109" i="2"/>
  <c r="AW2109" i="2" s="1"/>
  <c r="AX2109" i="2"/>
  <c r="AY2109" i="2"/>
  <c r="AR2110" i="2"/>
  <c r="AS2110" i="2"/>
  <c r="AT2110" i="2"/>
  <c r="AU2110" i="2"/>
  <c r="AV2110" i="2"/>
  <c r="AW2110" i="2" s="1"/>
  <c r="AX2110" i="2"/>
  <c r="AY2110" i="2"/>
  <c r="AR2111" i="2"/>
  <c r="AS2111" i="2"/>
  <c r="AT2111" i="2"/>
  <c r="AU2111" i="2"/>
  <c r="AV2111" i="2"/>
  <c r="AW2111" i="2" s="1"/>
  <c r="AX2111" i="2"/>
  <c r="AY2111" i="2"/>
  <c r="AR2112" i="2"/>
  <c r="AS2112" i="2"/>
  <c r="AT2112" i="2"/>
  <c r="AU2112" i="2"/>
  <c r="AV2112" i="2"/>
  <c r="AW2112" i="2" s="1"/>
  <c r="AX2112" i="2"/>
  <c r="AY2112" i="2"/>
  <c r="AR2113" i="2"/>
  <c r="AS2113" i="2"/>
  <c r="AT2113" i="2"/>
  <c r="AU2113" i="2"/>
  <c r="AV2113" i="2"/>
  <c r="AW2113" i="2" s="1"/>
  <c r="AX2113" i="2"/>
  <c r="AY2113" i="2"/>
  <c r="AR2114" i="2"/>
  <c r="AS2114" i="2"/>
  <c r="AT2114" i="2"/>
  <c r="AU2114" i="2"/>
  <c r="AV2114" i="2"/>
  <c r="AW2114" i="2" s="1"/>
  <c r="AX2114" i="2"/>
  <c r="AY2114" i="2"/>
  <c r="AR2115" i="2"/>
  <c r="AS2115" i="2"/>
  <c r="AT2115" i="2"/>
  <c r="AU2115" i="2"/>
  <c r="AV2115" i="2"/>
  <c r="AW2115" i="2" s="1"/>
  <c r="AX2115" i="2"/>
  <c r="AY2115" i="2"/>
  <c r="AR2116" i="2"/>
  <c r="AS2116" i="2"/>
  <c r="AT2116" i="2"/>
  <c r="AU2116" i="2"/>
  <c r="AV2116" i="2"/>
  <c r="AW2116" i="2" s="1"/>
  <c r="AX2116" i="2"/>
  <c r="AY2116" i="2"/>
  <c r="AR2117" i="2"/>
  <c r="AS2117" i="2"/>
  <c r="AT2117" i="2"/>
  <c r="AU2117" i="2"/>
  <c r="AV2117" i="2"/>
  <c r="AW2117" i="2" s="1"/>
  <c r="AX2117" i="2"/>
  <c r="AY2117" i="2"/>
  <c r="AR2118" i="2"/>
  <c r="AS2118" i="2"/>
  <c r="AT2118" i="2"/>
  <c r="AU2118" i="2"/>
  <c r="AV2118" i="2"/>
  <c r="AW2118" i="2" s="1"/>
  <c r="AX2118" i="2"/>
  <c r="AY2118" i="2"/>
  <c r="AR2119" i="2"/>
  <c r="AS2119" i="2"/>
  <c r="AT2119" i="2"/>
  <c r="AU2119" i="2"/>
  <c r="AV2119" i="2"/>
  <c r="AW2119" i="2" s="1"/>
  <c r="AX2119" i="2"/>
  <c r="AY2119" i="2"/>
  <c r="AR2120" i="2"/>
  <c r="AS2120" i="2"/>
  <c r="AT2120" i="2"/>
  <c r="AU2120" i="2"/>
  <c r="AV2120" i="2"/>
  <c r="AW2120" i="2" s="1"/>
  <c r="AX2120" i="2"/>
  <c r="AY2120" i="2"/>
  <c r="AR2121" i="2"/>
  <c r="AS2121" i="2"/>
  <c r="AT2121" i="2"/>
  <c r="AU2121" i="2"/>
  <c r="AV2121" i="2"/>
  <c r="AW2121" i="2" s="1"/>
  <c r="AX2121" i="2"/>
  <c r="AY2121" i="2"/>
  <c r="AR2122" i="2"/>
  <c r="AS2122" i="2"/>
  <c r="AT2122" i="2"/>
  <c r="AU2122" i="2"/>
  <c r="AV2122" i="2"/>
  <c r="AW2122" i="2" s="1"/>
  <c r="AX2122" i="2"/>
  <c r="AY2122" i="2"/>
  <c r="AR2123" i="2"/>
  <c r="AS2123" i="2"/>
  <c r="AT2123" i="2"/>
  <c r="AU2123" i="2"/>
  <c r="AV2123" i="2"/>
  <c r="AW2123" i="2" s="1"/>
  <c r="AX2123" i="2"/>
  <c r="AY2123" i="2"/>
  <c r="AR2124" i="2"/>
  <c r="AS2124" i="2"/>
  <c r="AT2124" i="2"/>
  <c r="AU2124" i="2"/>
  <c r="AV2124" i="2"/>
  <c r="AW2124" i="2" s="1"/>
  <c r="AX2124" i="2"/>
  <c r="AY2124" i="2"/>
  <c r="AR2125" i="2"/>
  <c r="AS2125" i="2"/>
  <c r="AT2125" i="2"/>
  <c r="AU2125" i="2"/>
  <c r="AV2125" i="2"/>
  <c r="AW2125" i="2" s="1"/>
  <c r="AX2125" i="2"/>
  <c r="AY2125" i="2"/>
  <c r="AR2126" i="2"/>
  <c r="AS2126" i="2"/>
  <c r="AT2126" i="2"/>
  <c r="AU2126" i="2"/>
  <c r="AV2126" i="2"/>
  <c r="AW2126" i="2" s="1"/>
  <c r="AX2126" i="2"/>
  <c r="AY2126" i="2"/>
  <c r="AR2127" i="2"/>
  <c r="AS2127" i="2"/>
  <c r="AT2127" i="2"/>
  <c r="AU2127" i="2"/>
  <c r="AV2127" i="2"/>
  <c r="AW2127" i="2" s="1"/>
  <c r="AX2127" i="2"/>
  <c r="AY2127" i="2"/>
  <c r="AR2128" i="2"/>
  <c r="AS2128" i="2"/>
  <c r="AT2128" i="2"/>
  <c r="AU2128" i="2"/>
  <c r="AV2128" i="2"/>
  <c r="AW2128" i="2" s="1"/>
  <c r="AX2128" i="2"/>
  <c r="AY2128" i="2"/>
  <c r="AR2129" i="2"/>
  <c r="AS2129" i="2"/>
  <c r="AT2129" i="2"/>
  <c r="AU2129" i="2"/>
  <c r="AV2129" i="2"/>
  <c r="AW2129" i="2" s="1"/>
  <c r="AX2129" i="2"/>
  <c r="AY2129" i="2"/>
  <c r="AR2130" i="2"/>
  <c r="AS2130" i="2"/>
  <c r="AT2130" i="2"/>
  <c r="AU2130" i="2"/>
  <c r="AV2130" i="2"/>
  <c r="AW2130" i="2" s="1"/>
  <c r="AX2130" i="2"/>
  <c r="AY2130" i="2"/>
  <c r="AR2131" i="2"/>
  <c r="AS2131" i="2"/>
  <c r="AT2131" i="2"/>
  <c r="AU2131" i="2"/>
  <c r="AV2131" i="2"/>
  <c r="AW2131" i="2" s="1"/>
  <c r="AX2131" i="2"/>
  <c r="AY2131" i="2"/>
  <c r="AR2132" i="2"/>
  <c r="AS2132" i="2"/>
  <c r="AT2132" i="2"/>
  <c r="AU2132" i="2"/>
  <c r="AV2132" i="2"/>
  <c r="AW2132" i="2" s="1"/>
  <c r="AX2132" i="2"/>
  <c r="AY2132" i="2"/>
  <c r="AR2133" i="2"/>
  <c r="AS2133" i="2"/>
  <c r="AT2133" i="2"/>
  <c r="AU2133" i="2"/>
  <c r="AV2133" i="2"/>
  <c r="AW2133" i="2" s="1"/>
  <c r="AX2133" i="2"/>
  <c r="AY2133" i="2"/>
  <c r="AR2134" i="2"/>
  <c r="AS2134" i="2"/>
  <c r="AT2134" i="2"/>
  <c r="AU2134" i="2"/>
  <c r="AV2134" i="2"/>
  <c r="AW2134" i="2" s="1"/>
  <c r="AX2134" i="2"/>
  <c r="AY2134" i="2"/>
  <c r="AR2135" i="2"/>
  <c r="AS2135" i="2"/>
  <c r="AT2135" i="2"/>
  <c r="AU2135" i="2"/>
  <c r="AV2135" i="2"/>
  <c r="AW2135" i="2" s="1"/>
  <c r="AX2135" i="2"/>
  <c r="AY2135" i="2"/>
  <c r="AR2136" i="2"/>
  <c r="AS2136" i="2"/>
  <c r="AT2136" i="2"/>
  <c r="AU2136" i="2"/>
  <c r="AV2136" i="2"/>
  <c r="AW2136" i="2" s="1"/>
  <c r="AX2136" i="2"/>
  <c r="AY2136" i="2"/>
  <c r="AR2137" i="2"/>
  <c r="AS2137" i="2"/>
  <c r="AT2137" i="2"/>
  <c r="AU2137" i="2"/>
  <c r="AV2137" i="2"/>
  <c r="AW2137" i="2" s="1"/>
  <c r="AX2137" i="2"/>
  <c r="AY2137" i="2"/>
  <c r="AR2138" i="2"/>
  <c r="AS2138" i="2"/>
  <c r="AT2138" i="2"/>
  <c r="AU2138" i="2"/>
  <c r="AV2138" i="2"/>
  <c r="AW2138" i="2" s="1"/>
  <c r="AX2138" i="2"/>
  <c r="AY2138" i="2"/>
  <c r="AR2139" i="2"/>
  <c r="AS2139" i="2"/>
  <c r="AT2139" i="2"/>
  <c r="AU2139" i="2"/>
  <c r="AV2139" i="2"/>
  <c r="AW2139" i="2" s="1"/>
  <c r="AX2139" i="2"/>
  <c r="AY2139" i="2"/>
  <c r="AR2140" i="2"/>
  <c r="AS2140" i="2"/>
  <c r="AT2140" i="2"/>
  <c r="AU2140" i="2"/>
  <c r="AV2140" i="2"/>
  <c r="AW2140" i="2" s="1"/>
  <c r="AX2140" i="2"/>
  <c r="AY2140" i="2"/>
  <c r="AR2141" i="2"/>
  <c r="AS2141" i="2"/>
  <c r="AT2141" i="2"/>
  <c r="AU2141" i="2"/>
  <c r="AV2141" i="2"/>
  <c r="AW2141" i="2" s="1"/>
  <c r="AX2141" i="2"/>
  <c r="AY2141" i="2"/>
  <c r="AR2142" i="2"/>
  <c r="AS2142" i="2"/>
  <c r="AT2142" i="2"/>
  <c r="AU2142" i="2"/>
  <c r="AV2142" i="2"/>
  <c r="AW2142" i="2" s="1"/>
  <c r="AX2142" i="2"/>
  <c r="AY2142" i="2"/>
  <c r="AR2143" i="2"/>
  <c r="AS2143" i="2"/>
  <c r="AT2143" i="2"/>
  <c r="AU2143" i="2"/>
  <c r="AV2143" i="2"/>
  <c r="AW2143" i="2" s="1"/>
  <c r="AX2143" i="2"/>
  <c r="AY2143" i="2"/>
  <c r="AR2144" i="2"/>
  <c r="AS2144" i="2"/>
  <c r="AT2144" i="2"/>
  <c r="AU2144" i="2"/>
  <c r="AV2144" i="2"/>
  <c r="AW2144" i="2" s="1"/>
  <c r="AX2144" i="2"/>
  <c r="AY2144" i="2"/>
  <c r="AR2145" i="2"/>
  <c r="AS2145" i="2"/>
  <c r="AT2145" i="2"/>
  <c r="AU2145" i="2"/>
  <c r="AV2145" i="2"/>
  <c r="AW2145" i="2" s="1"/>
  <c r="AX2145" i="2"/>
  <c r="AY2145" i="2"/>
  <c r="AR2146" i="2"/>
  <c r="AS2146" i="2"/>
  <c r="AT2146" i="2"/>
  <c r="AU2146" i="2"/>
  <c r="AV2146" i="2"/>
  <c r="AW2146" i="2" s="1"/>
  <c r="AX2146" i="2"/>
  <c r="AY2146" i="2"/>
  <c r="AR2147" i="2"/>
  <c r="AS2147" i="2"/>
  <c r="AT2147" i="2"/>
  <c r="AU2147" i="2"/>
  <c r="AV2147" i="2"/>
  <c r="AW2147" i="2" s="1"/>
  <c r="AX2147" i="2"/>
  <c r="AY2147" i="2"/>
  <c r="AR2148" i="2"/>
  <c r="AS2148" i="2"/>
  <c r="AT2148" i="2"/>
  <c r="AU2148" i="2"/>
  <c r="AV2148" i="2"/>
  <c r="AW2148" i="2" s="1"/>
  <c r="AX2148" i="2"/>
  <c r="AY2148" i="2"/>
  <c r="AR2149" i="2"/>
  <c r="AS2149" i="2"/>
  <c r="AT2149" i="2"/>
  <c r="AU2149" i="2"/>
  <c r="AV2149" i="2"/>
  <c r="AW2149" i="2" s="1"/>
  <c r="AX2149" i="2"/>
  <c r="AY2149" i="2"/>
  <c r="AR2150" i="2"/>
  <c r="AS2150" i="2"/>
  <c r="AT2150" i="2"/>
  <c r="AU2150" i="2"/>
  <c r="AV2150" i="2"/>
  <c r="AW2150" i="2" s="1"/>
  <c r="AX2150" i="2"/>
  <c r="AY2150" i="2"/>
  <c r="AR2151" i="2"/>
  <c r="AS2151" i="2"/>
  <c r="AT2151" i="2"/>
  <c r="AU2151" i="2"/>
  <c r="AV2151" i="2"/>
  <c r="AW2151" i="2" s="1"/>
  <c r="AX2151" i="2"/>
  <c r="AY2151" i="2"/>
  <c r="AR2152" i="2"/>
  <c r="AS2152" i="2"/>
  <c r="AT2152" i="2"/>
  <c r="AU2152" i="2"/>
  <c r="AV2152" i="2"/>
  <c r="AW2152" i="2" s="1"/>
  <c r="AX2152" i="2"/>
  <c r="AY2152" i="2"/>
  <c r="AR2153" i="2"/>
  <c r="AS2153" i="2"/>
  <c r="AT2153" i="2"/>
  <c r="AU2153" i="2"/>
  <c r="AV2153" i="2"/>
  <c r="AW2153" i="2" s="1"/>
  <c r="AX2153" i="2"/>
  <c r="AY2153" i="2"/>
  <c r="AR2154" i="2"/>
  <c r="AS2154" i="2"/>
  <c r="AT2154" i="2"/>
  <c r="AU2154" i="2"/>
  <c r="AV2154" i="2"/>
  <c r="AW2154" i="2" s="1"/>
  <c r="AX2154" i="2"/>
  <c r="AY2154" i="2"/>
  <c r="AR2155" i="2"/>
  <c r="AS2155" i="2"/>
  <c r="AT2155" i="2"/>
  <c r="AU2155" i="2"/>
  <c r="AV2155" i="2"/>
  <c r="AW2155" i="2" s="1"/>
  <c r="AX2155" i="2"/>
  <c r="AY2155" i="2"/>
  <c r="AR2156" i="2"/>
  <c r="AS2156" i="2"/>
  <c r="AT2156" i="2"/>
  <c r="AU2156" i="2"/>
  <c r="AV2156" i="2"/>
  <c r="AW2156" i="2" s="1"/>
  <c r="AX2156" i="2"/>
  <c r="AY2156" i="2"/>
  <c r="AR2157" i="2"/>
  <c r="AS2157" i="2"/>
  <c r="AT2157" i="2"/>
  <c r="AU2157" i="2"/>
  <c r="AV2157" i="2"/>
  <c r="AW2157" i="2" s="1"/>
  <c r="AX2157" i="2"/>
  <c r="AY2157" i="2"/>
  <c r="AR2158" i="2"/>
  <c r="AS2158" i="2"/>
  <c r="AT2158" i="2"/>
  <c r="AU2158" i="2"/>
  <c r="AV2158" i="2"/>
  <c r="AW2158" i="2" s="1"/>
  <c r="AX2158" i="2"/>
  <c r="AY2158" i="2"/>
  <c r="AR2159" i="2"/>
  <c r="AS2159" i="2"/>
  <c r="AT2159" i="2"/>
  <c r="AU2159" i="2"/>
  <c r="AV2159" i="2"/>
  <c r="AW2159" i="2" s="1"/>
  <c r="AX2159" i="2"/>
  <c r="AY2159" i="2"/>
  <c r="AR2160" i="2"/>
  <c r="AS2160" i="2"/>
  <c r="AT2160" i="2"/>
  <c r="AU2160" i="2"/>
  <c r="AV2160" i="2"/>
  <c r="AW2160" i="2" s="1"/>
  <c r="AX2160" i="2"/>
  <c r="AY2160" i="2"/>
  <c r="AR2161" i="2"/>
  <c r="AS2161" i="2"/>
  <c r="AT2161" i="2"/>
  <c r="AU2161" i="2"/>
  <c r="AV2161" i="2"/>
  <c r="AW2161" i="2" s="1"/>
  <c r="AX2161" i="2"/>
  <c r="AY2161" i="2"/>
  <c r="AR2162" i="2"/>
  <c r="AS2162" i="2"/>
  <c r="AT2162" i="2"/>
  <c r="AU2162" i="2"/>
  <c r="AV2162" i="2"/>
  <c r="AW2162" i="2" s="1"/>
  <c r="AX2162" i="2"/>
  <c r="AY2162" i="2"/>
  <c r="AR2163" i="2"/>
  <c r="AS2163" i="2"/>
  <c r="AT2163" i="2"/>
  <c r="AU2163" i="2"/>
  <c r="AV2163" i="2"/>
  <c r="AW2163" i="2" s="1"/>
  <c r="AX2163" i="2"/>
  <c r="AY2163" i="2"/>
  <c r="AR2164" i="2"/>
  <c r="AS2164" i="2"/>
  <c r="AT2164" i="2"/>
  <c r="AU2164" i="2"/>
  <c r="AV2164" i="2"/>
  <c r="AW2164" i="2" s="1"/>
  <c r="AX2164" i="2"/>
  <c r="AY2164" i="2"/>
  <c r="AR2165" i="2"/>
  <c r="AS2165" i="2"/>
  <c r="AT2165" i="2"/>
  <c r="AU2165" i="2"/>
  <c r="AV2165" i="2"/>
  <c r="AW2165" i="2" s="1"/>
  <c r="AX2165" i="2"/>
  <c r="AY2165" i="2"/>
  <c r="AR2166" i="2"/>
  <c r="AS2166" i="2"/>
  <c r="AT2166" i="2"/>
  <c r="AU2166" i="2"/>
  <c r="AV2166" i="2"/>
  <c r="AW2166" i="2" s="1"/>
  <c r="AX2166" i="2"/>
  <c r="AY2166" i="2"/>
  <c r="AR2167" i="2"/>
  <c r="AS2167" i="2"/>
  <c r="AT2167" i="2"/>
  <c r="AU2167" i="2"/>
  <c r="AV2167" i="2"/>
  <c r="AW2167" i="2" s="1"/>
  <c r="AX2167" i="2"/>
  <c r="AY2167" i="2"/>
  <c r="AR2168" i="2"/>
  <c r="AS2168" i="2"/>
  <c r="AT2168" i="2"/>
  <c r="AU2168" i="2"/>
  <c r="AV2168" i="2"/>
  <c r="AW2168" i="2" s="1"/>
  <c r="AX2168" i="2"/>
  <c r="AY2168" i="2"/>
  <c r="AR2169" i="2"/>
  <c r="AS2169" i="2"/>
  <c r="AT2169" i="2"/>
  <c r="AU2169" i="2"/>
  <c r="AV2169" i="2"/>
  <c r="AW2169" i="2" s="1"/>
  <c r="AX2169" i="2"/>
  <c r="AY2169" i="2"/>
  <c r="AR2170" i="2"/>
  <c r="AS2170" i="2"/>
  <c r="AT2170" i="2"/>
  <c r="AU2170" i="2"/>
  <c r="AV2170" i="2"/>
  <c r="AW2170" i="2" s="1"/>
  <c r="AX2170" i="2"/>
  <c r="AY2170" i="2"/>
  <c r="AR2171" i="2"/>
  <c r="AS2171" i="2"/>
  <c r="AT2171" i="2"/>
  <c r="AU2171" i="2"/>
  <c r="AV2171" i="2"/>
  <c r="AW2171" i="2" s="1"/>
  <c r="AX2171" i="2"/>
  <c r="AY2171" i="2"/>
  <c r="AR2172" i="2"/>
  <c r="AS2172" i="2"/>
  <c r="AT2172" i="2"/>
  <c r="AU2172" i="2"/>
  <c r="AV2172" i="2"/>
  <c r="AW2172" i="2" s="1"/>
  <c r="AX2172" i="2"/>
  <c r="AY2172" i="2"/>
  <c r="AR2173" i="2"/>
  <c r="AS2173" i="2"/>
  <c r="AT2173" i="2"/>
  <c r="AU2173" i="2"/>
  <c r="AV2173" i="2"/>
  <c r="AW2173" i="2" s="1"/>
  <c r="AX2173" i="2"/>
  <c r="AY2173" i="2"/>
  <c r="AR2174" i="2"/>
  <c r="AS2174" i="2"/>
  <c r="AT2174" i="2"/>
  <c r="AU2174" i="2"/>
  <c r="AV2174" i="2"/>
  <c r="AW2174" i="2" s="1"/>
  <c r="AX2174" i="2"/>
  <c r="AY2174" i="2"/>
  <c r="AR2175" i="2"/>
  <c r="AS2175" i="2"/>
  <c r="AT2175" i="2"/>
  <c r="AU2175" i="2"/>
  <c r="AV2175" i="2"/>
  <c r="AW2175" i="2" s="1"/>
  <c r="AX2175" i="2"/>
  <c r="AY2175" i="2"/>
  <c r="AR2176" i="2"/>
  <c r="AS2176" i="2"/>
  <c r="AT2176" i="2"/>
  <c r="AU2176" i="2"/>
  <c r="AV2176" i="2"/>
  <c r="AW2176" i="2" s="1"/>
  <c r="AX2176" i="2"/>
  <c r="AY2176" i="2"/>
  <c r="AR2177" i="2"/>
  <c r="AS2177" i="2"/>
  <c r="AT2177" i="2"/>
  <c r="AU2177" i="2"/>
  <c r="AV2177" i="2"/>
  <c r="AW2177" i="2" s="1"/>
  <c r="AX2177" i="2"/>
  <c r="AY2177" i="2"/>
  <c r="AR2178" i="2"/>
  <c r="AS2178" i="2"/>
  <c r="AT2178" i="2"/>
  <c r="AU2178" i="2"/>
  <c r="AV2178" i="2"/>
  <c r="AW2178" i="2" s="1"/>
  <c r="AX2178" i="2"/>
  <c r="AY2178" i="2"/>
  <c r="AR2179" i="2"/>
  <c r="AS2179" i="2"/>
  <c r="AT2179" i="2"/>
  <c r="AU2179" i="2"/>
  <c r="AV2179" i="2"/>
  <c r="AW2179" i="2" s="1"/>
  <c r="AX2179" i="2"/>
  <c r="AY2179" i="2"/>
  <c r="AR2180" i="2"/>
  <c r="AS2180" i="2"/>
  <c r="AT2180" i="2"/>
  <c r="AU2180" i="2"/>
  <c r="AV2180" i="2"/>
  <c r="AW2180" i="2" s="1"/>
  <c r="AX2180" i="2"/>
  <c r="AY2180" i="2"/>
  <c r="AR2181" i="2"/>
  <c r="AS2181" i="2"/>
  <c r="AT2181" i="2"/>
  <c r="AU2181" i="2"/>
  <c r="AV2181" i="2"/>
  <c r="AW2181" i="2" s="1"/>
  <c r="AX2181" i="2"/>
  <c r="AY2181" i="2"/>
  <c r="AR2182" i="2"/>
  <c r="AS2182" i="2"/>
  <c r="AT2182" i="2"/>
  <c r="AU2182" i="2"/>
  <c r="AV2182" i="2"/>
  <c r="AW2182" i="2" s="1"/>
  <c r="AX2182" i="2"/>
  <c r="AY2182" i="2"/>
  <c r="AR2183" i="2"/>
  <c r="AS2183" i="2"/>
  <c r="AT2183" i="2"/>
  <c r="AU2183" i="2"/>
  <c r="AV2183" i="2"/>
  <c r="AW2183" i="2" s="1"/>
  <c r="AX2183" i="2"/>
  <c r="AY2183" i="2"/>
  <c r="AR2184" i="2"/>
  <c r="AS2184" i="2"/>
  <c r="AT2184" i="2"/>
  <c r="AU2184" i="2"/>
  <c r="AV2184" i="2"/>
  <c r="AW2184" i="2" s="1"/>
  <c r="AX2184" i="2"/>
  <c r="AY2184" i="2"/>
  <c r="AR2185" i="2"/>
  <c r="AS2185" i="2"/>
  <c r="AT2185" i="2"/>
  <c r="AU2185" i="2"/>
  <c r="AV2185" i="2"/>
  <c r="AW2185" i="2" s="1"/>
  <c r="AX2185" i="2"/>
  <c r="AY2185" i="2"/>
  <c r="AR2186" i="2"/>
  <c r="AS2186" i="2"/>
  <c r="AT2186" i="2"/>
  <c r="AU2186" i="2"/>
  <c r="AV2186" i="2"/>
  <c r="AW2186" i="2" s="1"/>
  <c r="AX2186" i="2"/>
  <c r="AY2186" i="2"/>
  <c r="AR2187" i="2"/>
  <c r="AS2187" i="2"/>
  <c r="AT2187" i="2"/>
  <c r="AU2187" i="2"/>
  <c r="AV2187" i="2"/>
  <c r="AW2187" i="2" s="1"/>
  <c r="AX2187" i="2"/>
  <c r="AY2187" i="2"/>
  <c r="AR2188" i="2"/>
  <c r="AS2188" i="2"/>
  <c r="AT2188" i="2"/>
  <c r="AU2188" i="2"/>
  <c r="AV2188" i="2"/>
  <c r="AW2188" i="2" s="1"/>
  <c r="AX2188" i="2"/>
  <c r="AY2188" i="2"/>
  <c r="AR2189" i="2"/>
  <c r="AS2189" i="2"/>
  <c r="AT2189" i="2"/>
  <c r="AU2189" i="2"/>
  <c r="AV2189" i="2"/>
  <c r="AW2189" i="2" s="1"/>
  <c r="AX2189" i="2"/>
  <c r="AY2189" i="2"/>
  <c r="AR2190" i="2"/>
  <c r="AS2190" i="2"/>
  <c r="AT2190" i="2"/>
  <c r="AU2190" i="2"/>
  <c r="AV2190" i="2"/>
  <c r="AW2190" i="2" s="1"/>
  <c r="AX2190" i="2"/>
  <c r="AY2190" i="2"/>
  <c r="AR2191" i="2"/>
  <c r="AS2191" i="2"/>
  <c r="AT2191" i="2"/>
  <c r="AU2191" i="2"/>
  <c r="AV2191" i="2"/>
  <c r="AW2191" i="2" s="1"/>
  <c r="AX2191" i="2"/>
  <c r="AY2191" i="2"/>
  <c r="AR2192" i="2"/>
  <c r="AS2192" i="2"/>
  <c r="AT2192" i="2"/>
  <c r="AU2192" i="2"/>
  <c r="AV2192" i="2"/>
  <c r="AW2192" i="2" s="1"/>
  <c r="AX2192" i="2"/>
  <c r="AY2192" i="2"/>
  <c r="AR2193" i="2"/>
  <c r="AS2193" i="2"/>
  <c r="AT2193" i="2"/>
  <c r="AU2193" i="2"/>
  <c r="AV2193" i="2"/>
  <c r="AW2193" i="2" s="1"/>
  <c r="AX2193" i="2"/>
  <c r="AY2193" i="2"/>
  <c r="AR2194" i="2"/>
  <c r="AS2194" i="2"/>
  <c r="AT2194" i="2"/>
  <c r="AU2194" i="2"/>
  <c r="AV2194" i="2"/>
  <c r="AW2194" i="2" s="1"/>
  <c r="AX2194" i="2"/>
  <c r="AY2194" i="2"/>
  <c r="AR2195" i="2"/>
  <c r="AS2195" i="2"/>
  <c r="AT2195" i="2"/>
  <c r="AU2195" i="2"/>
  <c r="AV2195" i="2"/>
  <c r="AW2195" i="2" s="1"/>
  <c r="AX2195" i="2"/>
  <c r="AY2195" i="2"/>
  <c r="AR2196" i="2"/>
  <c r="AS2196" i="2"/>
  <c r="AT2196" i="2"/>
  <c r="AU2196" i="2"/>
  <c r="AV2196" i="2"/>
  <c r="AW2196" i="2" s="1"/>
  <c r="AX2196" i="2"/>
  <c r="AY2196" i="2"/>
  <c r="AR2197" i="2"/>
  <c r="AS2197" i="2"/>
  <c r="AT2197" i="2"/>
  <c r="AU2197" i="2"/>
  <c r="AV2197" i="2"/>
  <c r="AW2197" i="2" s="1"/>
  <c r="AX2197" i="2"/>
  <c r="AY2197" i="2"/>
  <c r="AR2198" i="2"/>
  <c r="AS2198" i="2"/>
  <c r="AT2198" i="2"/>
  <c r="AU2198" i="2"/>
  <c r="AV2198" i="2"/>
  <c r="AW2198" i="2" s="1"/>
  <c r="AX2198" i="2"/>
  <c r="AY2198" i="2"/>
  <c r="AR2199" i="2"/>
  <c r="AS2199" i="2"/>
  <c r="AT2199" i="2"/>
  <c r="AU2199" i="2"/>
  <c r="AV2199" i="2"/>
  <c r="AW2199" i="2" s="1"/>
  <c r="AX2199" i="2"/>
  <c r="AY2199" i="2"/>
  <c r="AR2200" i="2"/>
  <c r="AS2200" i="2"/>
  <c r="AT2200" i="2"/>
  <c r="AU2200" i="2"/>
  <c r="AV2200" i="2"/>
  <c r="AW2200" i="2" s="1"/>
  <c r="AX2200" i="2"/>
  <c r="AY2200" i="2"/>
  <c r="AR2201" i="2"/>
  <c r="AS2201" i="2"/>
  <c r="AT2201" i="2"/>
  <c r="AU2201" i="2"/>
  <c r="AV2201" i="2"/>
  <c r="AW2201" i="2" s="1"/>
  <c r="AX2201" i="2"/>
  <c r="AY2201" i="2"/>
  <c r="AR2202" i="2"/>
  <c r="AS2202" i="2"/>
  <c r="AT2202" i="2"/>
  <c r="AU2202" i="2"/>
  <c r="AV2202" i="2"/>
  <c r="AW2202" i="2" s="1"/>
  <c r="AX2202" i="2"/>
  <c r="AY2202" i="2"/>
  <c r="AR2203" i="2"/>
  <c r="AS2203" i="2"/>
  <c r="AT2203" i="2"/>
  <c r="AU2203" i="2"/>
  <c r="AV2203" i="2"/>
  <c r="AW2203" i="2" s="1"/>
  <c r="AX2203" i="2"/>
  <c r="AY2203" i="2"/>
  <c r="AR2204" i="2"/>
  <c r="AS2204" i="2"/>
  <c r="AT2204" i="2"/>
  <c r="AU2204" i="2"/>
  <c r="AV2204" i="2"/>
  <c r="AW2204" i="2" s="1"/>
  <c r="AX2204" i="2"/>
  <c r="AY2204" i="2"/>
  <c r="AR2205" i="2"/>
  <c r="AS2205" i="2"/>
  <c r="AT2205" i="2"/>
  <c r="AU2205" i="2"/>
  <c r="AV2205" i="2"/>
  <c r="AW2205" i="2" s="1"/>
  <c r="AX2205" i="2"/>
  <c r="AY2205" i="2"/>
  <c r="AR2206" i="2"/>
  <c r="AS2206" i="2"/>
  <c r="AT2206" i="2"/>
  <c r="AU2206" i="2"/>
  <c r="AV2206" i="2"/>
  <c r="AW2206" i="2" s="1"/>
  <c r="AX2206" i="2"/>
  <c r="AY2206" i="2"/>
  <c r="AR2207" i="2"/>
  <c r="AS2207" i="2"/>
  <c r="AT2207" i="2"/>
  <c r="AU2207" i="2"/>
  <c r="AV2207" i="2"/>
  <c r="AW2207" i="2" s="1"/>
  <c r="AX2207" i="2"/>
  <c r="AY2207" i="2"/>
  <c r="AR2208" i="2"/>
  <c r="AS2208" i="2"/>
  <c r="AT2208" i="2"/>
  <c r="AU2208" i="2"/>
  <c r="AV2208" i="2"/>
  <c r="AW2208" i="2" s="1"/>
  <c r="AX2208" i="2"/>
  <c r="AY2208" i="2"/>
  <c r="AR2209" i="2"/>
  <c r="AS2209" i="2"/>
  <c r="AT2209" i="2"/>
  <c r="AU2209" i="2"/>
  <c r="AV2209" i="2"/>
  <c r="AW2209" i="2" s="1"/>
  <c r="AX2209" i="2"/>
  <c r="AY2209" i="2"/>
  <c r="AR2210" i="2"/>
  <c r="AS2210" i="2"/>
  <c r="AT2210" i="2"/>
  <c r="AU2210" i="2"/>
  <c r="AV2210" i="2"/>
  <c r="AW2210" i="2" s="1"/>
  <c r="AX2210" i="2"/>
  <c r="AY2210" i="2"/>
  <c r="AR2211" i="2"/>
  <c r="AS2211" i="2"/>
  <c r="AT2211" i="2"/>
  <c r="AU2211" i="2"/>
  <c r="AV2211" i="2"/>
  <c r="AW2211" i="2" s="1"/>
  <c r="AX2211" i="2"/>
  <c r="AY2211" i="2"/>
  <c r="AR2212" i="2"/>
  <c r="AS2212" i="2"/>
  <c r="AT2212" i="2"/>
  <c r="AU2212" i="2"/>
  <c r="AV2212" i="2"/>
  <c r="AW2212" i="2" s="1"/>
  <c r="AX2212" i="2"/>
  <c r="AY2212" i="2"/>
  <c r="AR2213" i="2"/>
  <c r="AS2213" i="2"/>
  <c r="AT2213" i="2"/>
  <c r="AU2213" i="2"/>
  <c r="AV2213" i="2"/>
  <c r="AW2213" i="2" s="1"/>
  <c r="AX2213" i="2"/>
  <c r="AY2213" i="2"/>
  <c r="AR2214" i="2"/>
  <c r="AS2214" i="2"/>
  <c r="AT2214" i="2"/>
  <c r="AU2214" i="2"/>
  <c r="AV2214" i="2"/>
  <c r="AW2214" i="2" s="1"/>
  <c r="AX2214" i="2"/>
  <c r="AY2214" i="2"/>
  <c r="AR2215" i="2"/>
  <c r="AS2215" i="2"/>
  <c r="AT2215" i="2"/>
  <c r="AU2215" i="2"/>
  <c r="AV2215" i="2"/>
  <c r="AW2215" i="2" s="1"/>
  <c r="AX2215" i="2"/>
  <c r="AY2215" i="2"/>
  <c r="AR2216" i="2"/>
  <c r="AS2216" i="2"/>
  <c r="AT2216" i="2"/>
  <c r="AU2216" i="2"/>
  <c r="AV2216" i="2"/>
  <c r="AW2216" i="2" s="1"/>
  <c r="AX2216" i="2"/>
  <c r="AY2216" i="2"/>
  <c r="AR2217" i="2"/>
  <c r="AS2217" i="2"/>
  <c r="AT2217" i="2"/>
  <c r="AU2217" i="2"/>
  <c r="AV2217" i="2"/>
  <c r="AW2217" i="2" s="1"/>
  <c r="AX2217" i="2"/>
  <c r="AY2217" i="2"/>
  <c r="AR2218" i="2"/>
  <c r="AS2218" i="2"/>
  <c r="AT2218" i="2"/>
  <c r="AU2218" i="2"/>
  <c r="AV2218" i="2"/>
  <c r="AW2218" i="2" s="1"/>
  <c r="AX2218" i="2"/>
  <c r="AY2218" i="2"/>
  <c r="AR2219" i="2"/>
  <c r="AS2219" i="2"/>
  <c r="AT2219" i="2"/>
  <c r="AU2219" i="2"/>
  <c r="AV2219" i="2"/>
  <c r="AW2219" i="2" s="1"/>
  <c r="AX2219" i="2"/>
  <c r="AY2219" i="2"/>
  <c r="AR2220" i="2"/>
  <c r="AS2220" i="2"/>
  <c r="AT2220" i="2"/>
  <c r="AU2220" i="2"/>
  <c r="AV2220" i="2"/>
  <c r="AW2220" i="2" s="1"/>
  <c r="AX2220" i="2"/>
  <c r="AY2220" i="2"/>
  <c r="AR2221" i="2"/>
  <c r="AS2221" i="2"/>
  <c r="AT2221" i="2"/>
  <c r="AU2221" i="2"/>
  <c r="AV2221" i="2"/>
  <c r="AW2221" i="2" s="1"/>
  <c r="AX2221" i="2"/>
  <c r="AY2221" i="2"/>
  <c r="AR2222" i="2"/>
  <c r="AS2222" i="2"/>
  <c r="AT2222" i="2"/>
  <c r="AU2222" i="2"/>
  <c r="AV2222" i="2"/>
  <c r="AW2222" i="2" s="1"/>
  <c r="AX2222" i="2"/>
  <c r="AY2222" i="2"/>
  <c r="AR2223" i="2"/>
  <c r="AS2223" i="2"/>
  <c r="AT2223" i="2"/>
  <c r="AU2223" i="2"/>
  <c r="AV2223" i="2"/>
  <c r="AW2223" i="2" s="1"/>
  <c r="AX2223" i="2"/>
  <c r="AY2223" i="2"/>
  <c r="AR2224" i="2"/>
  <c r="AS2224" i="2"/>
  <c r="AT2224" i="2"/>
  <c r="AU2224" i="2"/>
  <c r="AV2224" i="2"/>
  <c r="AW2224" i="2" s="1"/>
  <c r="AX2224" i="2"/>
  <c r="AY2224" i="2"/>
  <c r="AR2225" i="2"/>
  <c r="AS2225" i="2"/>
  <c r="AT2225" i="2"/>
  <c r="AU2225" i="2"/>
  <c r="AV2225" i="2"/>
  <c r="AW2225" i="2" s="1"/>
  <c r="AX2225" i="2"/>
  <c r="AY2225" i="2"/>
  <c r="AR2226" i="2"/>
  <c r="AS2226" i="2"/>
  <c r="AT2226" i="2"/>
  <c r="AU2226" i="2"/>
  <c r="AV2226" i="2"/>
  <c r="AW2226" i="2" s="1"/>
  <c r="AX2226" i="2"/>
  <c r="AY2226" i="2"/>
  <c r="AR2227" i="2"/>
  <c r="AS2227" i="2"/>
  <c r="AT2227" i="2"/>
  <c r="AU2227" i="2"/>
  <c r="AV2227" i="2"/>
  <c r="AW2227" i="2" s="1"/>
  <c r="AX2227" i="2"/>
  <c r="AY2227" i="2"/>
  <c r="AR2228" i="2"/>
  <c r="AS2228" i="2"/>
  <c r="AT2228" i="2"/>
  <c r="AU2228" i="2"/>
  <c r="AV2228" i="2"/>
  <c r="AW2228" i="2" s="1"/>
  <c r="AX2228" i="2"/>
  <c r="AY2228" i="2"/>
  <c r="AR2229" i="2"/>
  <c r="AS2229" i="2"/>
  <c r="AT2229" i="2"/>
  <c r="AU2229" i="2"/>
  <c r="AV2229" i="2"/>
  <c r="AW2229" i="2" s="1"/>
  <c r="AX2229" i="2"/>
  <c r="AY2229" i="2"/>
  <c r="AR2230" i="2"/>
  <c r="AS2230" i="2"/>
  <c r="AT2230" i="2"/>
  <c r="AU2230" i="2"/>
  <c r="AV2230" i="2"/>
  <c r="AW2230" i="2" s="1"/>
  <c r="AX2230" i="2"/>
  <c r="AY2230" i="2"/>
  <c r="AR2231" i="2"/>
  <c r="AS2231" i="2"/>
  <c r="AT2231" i="2"/>
  <c r="AU2231" i="2"/>
  <c r="AV2231" i="2"/>
  <c r="AW2231" i="2" s="1"/>
  <c r="AX2231" i="2"/>
  <c r="AY2231" i="2"/>
  <c r="AR2232" i="2"/>
  <c r="AS2232" i="2"/>
  <c r="AT2232" i="2"/>
  <c r="AU2232" i="2"/>
  <c r="AV2232" i="2"/>
  <c r="AW2232" i="2" s="1"/>
  <c r="AX2232" i="2"/>
  <c r="AY2232" i="2"/>
  <c r="AR2233" i="2"/>
  <c r="AS2233" i="2"/>
  <c r="AT2233" i="2"/>
  <c r="AU2233" i="2"/>
  <c r="AV2233" i="2"/>
  <c r="AW2233" i="2" s="1"/>
  <c r="AX2233" i="2"/>
  <c r="AY2233" i="2"/>
  <c r="AR2234" i="2"/>
  <c r="AS2234" i="2"/>
  <c r="AT2234" i="2"/>
  <c r="AU2234" i="2"/>
  <c r="AV2234" i="2"/>
  <c r="AW2234" i="2" s="1"/>
  <c r="AX2234" i="2"/>
  <c r="AY2234" i="2"/>
  <c r="AR2235" i="2"/>
  <c r="AS2235" i="2"/>
  <c r="AT2235" i="2"/>
  <c r="AU2235" i="2"/>
  <c r="AV2235" i="2"/>
  <c r="AW2235" i="2" s="1"/>
  <c r="AX2235" i="2"/>
  <c r="AY2235" i="2"/>
  <c r="AR2236" i="2"/>
  <c r="AS2236" i="2"/>
  <c r="AT2236" i="2"/>
  <c r="AU2236" i="2"/>
  <c r="AV2236" i="2"/>
  <c r="AW2236" i="2" s="1"/>
  <c r="AX2236" i="2"/>
  <c r="AY2236" i="2"/>
  <c r="AR2237" i="2"/>
  <c r="AS2237" i="2"/>
  <c r="AT2237" i="2"/>
  <c r="AU2237" i="2"/>
  <c r="AV2237" i="2"/>
  <c r="AW2237" i="2" s="1"/>
  <c r="AX2237" i="2"/>
  <c r="AY2237" i="2"/>
  <c r="AR2238" i="2"/>
  <c r="AS2238" i="2"/>
  <c r="AT2238" i="2"/>
  <c r="AU2238" i="2"/>
  <c r="AV2238" i="2"/>
  <c r="AW2238" i="2" s="1"/>
  <c r="AX2238" i="2"/>
  <c r="AY2238" i="2"/>
  <c r="AR2239" i="2"/>
  <c r="AS2239" i="2"/>
  <c r="AT2239" i="2"/>
  <c r="AU2239" i="2"/>
  <c r="AV2239" i="2"/>
  <c r="AW2239" i="2" s="1"/>
  <c r="AX2239" i="2"/>
  <c r="AY2239" i="2"/>
  <c r="AR2240" i="2"/>
  <c r="AS2240" i="2"/>
  <c r="AT2240" i="2"/>
  <c r="AU2240" i="2"/>
  <c r="AV2240" i="2"/>
  <c r="AW2240" i="2" s="1"/>
  <c r="AX2240" i="2"/>
  <c r="AY2240" i="2"/>
  <c r="AR2241" i="2"/>
  <c r="AS2241" i="2"/>
  <c r="AT2241" i="2"/>
  <c r="AU2241" i="2"/>
  <c r="AV2241" i="2"/>
  <c r="AW2241" i="2" s="1"/>
  <c r="AX2241" i="2"/>
  <c r="AY2241" i="2"/>
  <c r="AR2242" i="2"/>
  <c r="AS2242" i="2"/>
  <c r="AT2242" i="2"/>
  <c r="AU2242" i="2"/>
  <c r="AV2242" i="2"/>
  <c r="AW2242" i="2" s="1"/>
  <c r="AX2242" i="2"/>
  <c r="AY2242" i="2"/>
  <c r="AR2243" i="2"/>
  <c r="AS2243" i="2"/>
  <c r="AT2243" i="2"/>
  <c r="AU2243" i="2"/>
  <c r="AV2243" i="2"/>
  <c r="AW2243" i="2" s="1"/>
  <c r="AX2243" i="2"/>
  <c r="AY2243" i="2"/>
  <c r="AR2244" i="2"/>
  <c r="AS2244" i="2"/>
  <c r="AT2244" i="2"/>
  <c r="AU2244" i="2"/>
  <c r="AV2244" i="2"/>
  <c r="AW2244" i="2" s="1"/>
  <c r="AX2244" i="2"/>
  <c r="AY2244" i="2"/>
  <c r="AR2245" i="2"/>
  <c r="AS2245" i="2"/>
  <c r="AT2245" i="2"/>
  <c r="AU2245" i="2"/>
  <c r="AV2245" i="2"/>
  <c r="AW2245" i="2" s="1"/>
  <c r="AX2245" i="2"/>
  <c r="AY2245" i="2"/>
  <c r="AR2246" i="2"/>
  <c r="AS2246" i="2"/>
  <c r="AT2246" i="2"/>
  <c r="AU2246" i="2"/>
  <c r="AV2246" i="2"/>
  <c r="AW2246" i="2" s="1"/>
  <c r="AX2246" i="2"/>
  <c r="AY2246" i="2"/>
  <c r="AR2247" i="2"/>
  <c r="AS2247" i="2"/>
  <c r="AT2247" i="2"/>
  <c r="AU2247" i="2"/>
  <c r="AV2247" i="2"/>
  <c r="AW2247" i="2" s="1"/>
  <c r="AX2247" i="2"/>
  <c r="AY2247" i="2"/>
  <c r="AR2248" i="2"/>
  <c r="AS2248" i="2"/>
  <c r="AT2248" i="2"/>
  <c r="AU2248" i="2"/>
  <c r="AV2248" i="2"/>
  <c r="AW2248" i="2" s="1"/>
  <c r="AX2248" i="2"/>
  <c r="AY2248" i="2"/>
  <c r="AR2249" i="2"/>
  <c r="AS2249" i="2"/>
  <c r="AT2249" i="2"/>
  <c r="AU2249" i="2"/>
  <c r="AV2249" i="2"/>
  <c r="AW2249" i="2" s="1"/>
  <c r="AX2249" i="2"/>
  <c r="AY2249" i="2"/>
  <c r="AR2250" i="2"/>
  <c r="AS2250" i="2"/>
  <c r="AT2250" i="2"/>
  <c r="AU2250" i="2"/>
  <c r="AV2250" i="2"/>
  <c r="AW2250" i="2" s="1"/>
  <c r="AX2250" i="2"/>
  <c r="AY2250" i="2"/>
  <c r="AR2251" i="2"/>
  <c r="AS2251" i="2"/>
  <c r="AT2251" i="2"/>
  <c r="AU2251" i="2"/>
  <c r="AV2251" i="2"/>
  <c r="AW2251" i="2" s="1"/>
  <c r="AX2251" i="2"/>
  <c r="AY2251" i="2"/>
  <c r="AR2252" i="2"/>
  <c r="AS2252" i="2"/>
  <c r="AT2252" i="2"/>
  <c r="AU2252" i="2"/>
  <c r="AV2252" i="2"/>
  <c r="AW2252" i="2" s="1"/>
  <c r="AX2252" i="2"/>
  <c r="AY2252" i="2"/>
  <c r="AR2253" i="2"/>
  <c r="AS2253" i="2"/>
  <c r="AT2253" i="2"/>
  <c r="AU2253" i="2"/>
  <c r="AV2253" i="2"/>
  <c r="AW2253" i="2" s="1"/>
  <c r="AX2253" i="2"/>
  <c r="AY2253" i="2"/>
  <c r="AR2254" i="2"/>
  <c r="AS2254" i="2"/>
  <c r="AT2254" i="2"/>
  <c r="AU2254" i="2"/>
  <c r="AV2254" i="2"/>
  <c r="AW2254" i="2" s="1"/>
  <c r="AX2254" i="2"/>
  <c r="AY2254" i="2"/>
  <c r="AR2255" i="2"/>
  <c r="AS2255" i="2"/>
  <c r="AT2255" i="2"/>
  <c r="AU2255" i="2"/>
  <c r="AV2255" i="2"/>
  <c r="AW2255" i="2" s="1"/>
  <c r="AX2255" i="2"/>
  <c r="AY2255" i="2"/>
  <c r="AR2256" i="2"/>
  <c r="AS2256" i="2"/>
  <c r="AT2256" i="2"/>
  <c r="AU2256" i="2"/>
  <c r="AV2256" i="2"/>
  <c r="AW2256" i="2" s="1"/>
  <c r="AX2256" i="2"/>
  <c r="AY2256" i="2"/>
  <c r="AR2257" i="2"/>
  <c r="AS2257" i="2"/>
  <c r="AT2257" i="2"/>
  <c r="AU2257" i="2"/>
  <c r="AV2257" i="2"/>
  <c r="AW2257" i="2" s="1"/>
  <c r="AX2257" i="2"/>
  <c r="AY2257" i="2"/>
  <c r="AR2258" i="2"/>
  <c r="AS2258" i="2"/>
  <c r="AT2258" i="2"/>
  <c r="AU2258" i="2"/>
  <c r="AV2258" i="2"/>
  <c r="AW2258" i="2" s="1"/>
  <c r="AX2258" i="2"/>
  <c r="AY2258" i="2"/>
  <c r="AR2259" i="2"/>
  <c r="AS2259" i="2"/>
  <c r="AT2259" i="2"/>
  <c r="AU2259" i="2"/>
  <c r="AV2259" i="2"/>
  <c r="AW2259" i="2" s="1"/>
  <c r="AX2259" i="2"/>
  <c r="AY2259" i="2"/>
  <c r="AR2260" i="2"/>
  <c r="AS2260" i="2"/>
  <c r="AT2260" i="2"/>
  <c r="AU2260" i="2"/>
  <c r="AV2260" i="2"/>
  <c r="AW2260" i="2" s="1"/>
  <c r="AX2260" i="2"/>
  <c r="AY2260" i="2"/>
  <c r="AR2261" i="2"/>
  <c r="AS2261" i="2"/>
  <c r="AT2261" i="2"/>
  <c r="AU2261" i="2"/>
  <c r="AV2261" i="2"/>
  <c r="AW2261" i="2" s="1"/>
  <c r="AX2261" i="2"/>
  <c r="AY2261" i="2"/>
  <c r="AR2262" i="2"/>
  <c r="AS2262" i="2"/>
  <c r="AT2262" i="2"/>
  <c r="AU2262" i="2"/>
  <c r="AV2262" i="2"/>
  <c r="AW2262" i="2" s="1"/>
  <c r="AX2262" i="2"/>
  <c r="AY2262" i="2"/>
  <c r="AR2263" i="2"/>
  <c r="AS2263" i="2"/>
  <c r="AT2263" i="2"/>
  <c r="AU2263" i="2"/>
  <c r="AV2263" i="2"/>
  <c r="AW2263" i="2" s="1"/>
  <c r="AX2263" i="2"/>
  <c r="AY2263" i="2"/>
  <c r="AR2264" i="2"/>
  <c r="AS2264" i="2"/>
  <c r="AT2264" i="2"/>
  <c r="AU2264" i="2"/>
  <c r="AV2264" i="2"/>
  <c r="AW2264" i="2" s="1"/>
  <c r="AX2264" i="2"/>
  <c r="AY2264" i="2"/>
  <c r="AR2265" i="2"/>
  <c r="AS2265" i="2"/>
  <c r="AT2265" i="2"/>
  <c r="AU2265" i="2"/>
  <c r="AV2265" i="2"/>
  <c r="AW2265" i="2" s="1"/>
  <c r="AX2265" i="2"/>
  <c r="AY2265" i="2"/>
  <c r="AR2266" i="2"/>
  <c r="AS2266" i="2"/>
  <c r="AT2266" i="2"/>
  <c r="AU2266" i="2"/>
  <c r="AV2266" i="2"/>
  <c r="AW2266" i="2" s="1"/>
  <c r="AX2266" i="2"/>
  <c r="AY2266" i="2"/>
  <c r="AR2267" i="2"/>
  <c r="AS2267" i="2"/>
  <c r="AT2267" i="2"/>
  <c r="AU2267" i="2"/>
  <c r="AV2267" i="2"/>
  <c r="AW2267" i="2" s="1"/>
  <c r="AX2267" i="2"/>
  <c r="AY2267" i="2"/>
  <c r="AR2268" i="2"/>
  <c r="AS2268" i="2"/>
  <c r="AT2268" i="2"/>
  <c r="AU2268" i="2"/>
  <c r="AV2268" i="2"/>
  <c r="AW2268" i="2" s="1"/>
  <c r="AX2268" i="2"/>
  <c r="AY2268" i="2"/>
  <c r="AR2269" i="2"/>
  <c r="AS2269" i="2"/>
  <c r="AT2269" i="2"/>
  <c r="AU2269" i="2"/>
  <c r="AV2269" i="2"/>
  <c r="AW2269" i="2" s="1"/>
  <c r="AX2269" i="2"/>
  <c r="AY2269" i="2"/>
  <c r="AR2270" i="2"/>
  <c r="AS2270" i="2"/>
  <c r="AT2270" i="2"/>
  <c r="AU2270" i="2"/>
  <c r="AV2270" i="2"/>
  <c r="AW2270" i="2" s="1"/>
  <c r="AX2270" i="2"/>
  <c r="AY2270" i="2"/>
  <c r="AR2271" i="2"/>
  <c r="AS2271" i="2"/>
  <c r="AT2271" i="2"/>
  <c r="AU2271" i="2"/>
  <c r="AV2271" i="2"/>
  <c r="AW2271" i="2" s="1"/>
  <c r="AX2271" i="2"/>
  <c r="AY2271" i="2"/>
  <c r="AR2272" i="2"/>
  <c r="AS2272" i="2"/>
  <c r="AT2272" i="2"/>
  <c r="AU2272" i="2"/>
  <c r="AV2272" i="2"/>
  <c r="AW2272" i="2" s="1"/>
  <c r="AX2272" i="2"/>
  <c r="AY2272" i="2"/>
  <c r="AR2273" i="2"/>
  <c r="AS2273" i="2"/>
  <c r="AT2273" i="2"/>
  <c r="AU2273" i="2"/>
  <c r="AV2273" i="2"/>
  <c r="AW2273" i="2" s="1"/>
  <c r="AX2273" i="2"/>
  <c r="AY2273" i="2"/>
  <c r="AR2274" i="2"/>
  <c r="AS2274" i="2"/>
  <c r="AT2274" i="2"/>
  <c r="AU2274" i="2"/>
  <c r="AV2274" i="2"/>
  <c r="AW2274" i="2" s="1"/>
  <c r="AX2274" i="2"/>
  <c r="AY2274" i="2"/>
  <c r="AR2275" i="2"/>
  <c r="AS2275" i="2"/>
  <c r="AT2275" i="2"/>
  <c r="AU2275" i="2"/>
  <c r="AV2275" i="2"/>
  <c r="AW2275" i="2" s="1"/>
  <c r="AX2275" i="2"/>
  <c r="AY2275" i="2"/>
  <c r="AR2276" i="2"/>
  <c r="AS2276" i="2"/>
  <c r="AT2276" i="2"/>
  <c r="AU2276" i="2"/>
  <c r="AV2276" i="2"/>
  <c r="AW2276" i="2" s="1"/>
  <c r="AX2276" i="2"/>
  <c r="AY2276" i="2"/>
  <c r="AR2277" i="2"/>
  <c r="AS2277" i="2"/>
  <c r="AT2277" i="2"/>
  <c r="AU2277" i="2"/>
  <c r="AV2277" i="2"/>
  <c r="AW2277" i="2" s="1"/>
  <c r="AX2277" i="2"/>
  <c r="AY2277" i="2"/>
  <c r="AR2278" i="2"/>
  <c r="AS2278" i="2"/>
  <c r="AT2278" i="2"/>
  <c r="AU2278" i="2"/>
  <c r="AV2278" i="2"/>
  <c r="AW2278" i="2" s="1"/>
  <c r="AX2278" i="2"/>
  <c r="AY2278" i="2"/>
  <c r="AR2279" i="2"/>
  <c r="AS2279" i="2"/>
  <c r="AT2279" i="2"/>
  <c r="AU2279" i="2"/>
  <c r="AV2279" i="2"/>
  <c r="AW2279" i="2" s="1"/>
  <c r="AX2279" i="2"/>
  <c r="AY2279" i="2"/>
  <c r="AR2280" i="2"/>
  <c r="AS2280" i="2"/>
  <c r="AT2280" i="2"/>
  <c r="AU2280" i="2"/>
  <c r="AV2280" i="2"/>
  <c r="AW2280" i="2" s="1"/>
  <c r="AX2280" i="2"/>
  <c r="AY2280" i="2"/>
  <c r="AR2281" i="2"/>
  <c r="AS2281" i="2"/>
  <c r="AT2281" i="2"/>
  <c r="AU2281" i="2"/>
  <c r="AV2281" i="2"/>
  <c r="AW2281" i="2" s="1"/>
  <c r="AX2281" i="2"/>
  <c r="AY2281" i="2"/>
  <c r="AR2282" i="2"/>
  <c r="AS2282" i="2"/>
  <c r="AT2282" i="2"/>
  <c r="AU2282" i="2"/>
  <c r="AV2282" i="2"/>
  <c r="AW2282" i="2" s="1"/>
  <c r="AX2282" i="2"/>
  <c r="AY2282" i="2"/>
  <c r="AR2283" i="2"/>
  <c r="AS2283" i="2"/>
  <c r="AT2283" i="2"/>
  <c r="AU2283" i="2"/>
  <c r="AV2283" i="2"/>
  <c r="AW2283" i="2" s="1"/>
  <c r="AX2283" i="2"/>
  <c r="AY2283" i="2"/>
  <c r="AR2284" i="2"/>
  <c r="AS2284" i="2"/>
  <c r="AT2284" i="2"/>
  <c r="AU2284" i="2"/>
  <c r="AV2284" i="2"/>
  <c r="AW2284" i="2" s="1"/>
  <c r="AX2284" i="2"/>
  <c r="AY2284" i="2"/>
  <c r="AR2285" i="2"/>
  <c r="AS2285" i="2"/>
  <c r="AT2285" i="2"/>
  <c r="AU2285" i="2"/>
  <c r="AV2285" i="2"/>
  <c r="AW2285" i="2" s="1"/>
  <c r="AX2285" i="2"/>
  <c r="AY2285" i="2"/>
  <c r="AR2286" i="2"/>
  <c r="AS2286" i="2"/>
  <c r="AT2286" i="2"/>
  <c r="AU2286" i="2"/>
  <c r="AV2286" i="2"/>
  <c r="AW2286" i="2" s="1"/>
  <c r="AX2286" i="2"/>
  <c r="AY2286" i="2"/>
  <c r="AR2287" i="2"/>
  <c r="AS2287" i="2"/>
  <c r="AT2287" i="2"/>
  <c r="AU2287" i="2"/>
  <c r="AV2287" i="2"/>
  <c r="AW2287" i="2" s="1"/>
  <c r="AX2287" i="2"/>
  <c r="AY2287" i="2"/>
  <c r="AR2288" i="2"/>
  <c r="AS2288" i="2"/>
  <c r="AT2288" i="2"/>
  <c r="AU2288" i="2"/>
  <c r="AV2288" i="2"/>
  <c r="AW2288" i="2" s="1"/>
  <c r="AX2288" i="2"/>
  <c r="AY2288" i="2"/>
  <c r="AR2289" i="2"/>
  <c r="AS2289" i="2"/>
  <c r="AT2289" i="2"/>
  <c r="AU2289" i="2"/>
  <c r="AV2289" i="2"/>
  <c r="AW2289" i="2" s="1"/>
  <c r="AX2289" i="2"/>
  <c r="AY2289" i="2"/>
  <c r="AR2290" i="2"/>
  <c r="AS2290" i="2"/>
  <c r="AT2290" i="2"/>
  <c r="AU2290" i="2"/>
  <c r="AV2290" i="2"/>
  <c r="AW2290" i="2" s="1"/>
  <c r="AX2290" i="2"/>
  <c r="AY2290" i="2"/>
  <c r="AR2291" i="2"/>
  <c r="AS2291" i="2"/>
  <c r="AT2291" i="2"/>
  <c r="AU2291" i="2"/>
  <c r="AV2291" i="2"/>
  <c r="AW2291" i="2" s="1"/>
  <c r="AX2291" i="2"/>
  <c r="AY2291" i="2"/>
  <c r="AR2292" i="2"/>
  <c r="AS2292" i="2"/>
  <c r="AT2292" i="2"/>
  <c r="AU2292" i="2"/>
  <c r="AV2292" i="2"/>
  <c r="AW2292" i="2" s="1"/>
  <c r="AX2292" i="2"/>
  <c r="AY2292" i="2"/>
  <c r="AR2293" i="2"/>
  <c r="AS2293" i="2"/>
  <c r="AT2293" i="2"/>
  <c r="AU2293" i="2"/>
  <c r="AV2293" i="2"/>
  <c r="AW2293" i="2" s="1"/>
  <c r="AX2293" i="2"/>
  <c r="AY2293" i="2"/>
  <c r="AR2294" i="2"/>
  <c r="AS2294" i="2"/>
  <c r="AT2294" i="2"/>
  <c r="AU2294" i="2"/>
  <c r="AV2294" i="2"/>
  <c r="AW2294" i="2" s="1"/>
  <c r="AX2294" i="2"/>
  <c r="AY2294" i="2"/>
  <c r="AR2295" i="2"/>
  <c r="AS2295" i="2"/>
  <c r="AT2295" i="2"/>
  <c r="AU2295" i="2"/>
  <c r="AV2295" i="2"/>
  <c r="AW2295" i="2" s="1"/>
  <c r="AX2295" i="2"/>
  <c r="AY2295" i="2"/>
  <c r="AR2296" i="2"/>
  <c r="AS2296" i="2"/>
  <c r="AT2296" i="2"/>
  <c r="AU2296" i="2"/>
  <c r="AV2296" i="2"/>
  <c r="AW2296" i="2" s="1"/>
  <c r="AX2296" i="2"/>
  <c r="AY2296" i="2"/>
  <c r="AR2297" i="2"/>
  <c r="AS2297" i="2"/>
  <c r="AT2297" i="2"/>
  <c r="AU2297" i="2"/>
  <c r="AV2297" i="2"/>
  <c r="AW2297" i="2" s="1"/>
  <c r="AX2297" i="2"/>
  <c r="AY2297" i="2"/>
  <c r="AR2298" i="2"/>
  <c r="AS2298" i="2"/>
  <c r="AT2298" i="2"/>
  <c r="AU2298" i="2"/>
  <c r="AV2298" i="2"/>
  <c r="AW2298" i="2" s="1"/>
  <c r="AX2298" i="2"/>
  <c r="AY2298" i="2"/>
  <c r="AR2299" i="2"/>
  <c r="AS2299" i="2"/>
  <c r="AT2299" i="2"/>
  <c r="AU2299" i="2"/>
  <c r="AV2299" i="2"/>
  <c r="AW2299" i="2" s="1"/>
  <c r="AX2299" i="2"/>
  <c r="AY2299" i="2"/>
  <c r="AR2300" i="2"/>
  <c r="AS2300" i="2"/>
  <c r="AT2300" i="2"/>
  <c r="AU2300" i="2"/>
  <c r="AV2300" i="2"/>
  <c r="AW2300" i="2" s="1"/>
  <c r="AX2300" i="2"/>
  <c r="AY2300" i="2"/>
  <c r="AR2301" i="2"/>
  <c r="AS2301" i="2"/>
  <c r="AT2301" i="2"/>
  <c r="AU2301" i="2"/>
  <c r="AV2301" i="2"/>
  <c r="AW2301" i="2" s="1"/>
  <c r="AX2301" i="2"/>
  <c r="AY2301" i="2"/>
  <c r="AR2302" i="2"/>
  <c r="AS2302" i="2"/>
  <c r="AT2302" i="2"/>
  <c r="AU2302" i="2"/>
  <c r="AV2302" i="2"/>
  <c r="AW2302" i="2" s="1"/>
  <c r="AX2302" i="2"/>
  <c r="AY2302" i="2"/>
  <c r="AR2303" i="2"/>
  <c r="AS2303" i="2"/>
  <c r="AT2303" i="2"/>
  <c r="AU2303" i="2"/>
  <c r="AV2303" i="2"/>
  <c r="AW2303" i="2" s="1"/>
  <c r="AX2303" i="2"/>
  <c r="AY2303" i="2"/>
  <c r="AR2304" i="2"/>
  <c r="AS2304" i="2"/>
  <c r="AT2304" i="2"/>
  <c r="AU2304" i="2"/>
  <c r="AV2304" i="2"/>
  <c r="AW2304" i="2" s="1"/>
  <c r="AX2304" i="2"/>
  <c r="AY2304" i="2"/>
  <c r="AR2305" i="2"/>
  <c r="AS2305" i="2"/>
  <c r="AT2305" i="2"/>
  <c r="AU2305" i="2"/>
  <c r="AV2305" i="2"/>
  <c r="AW2305" i="2" s="1"/>
  <c r="AX2305" i="2"/>
  <c r="AY2305" i="2"/>
  <c r="AR2306" i="2"/>
  <c r="AS2306" i="2"/>
  <c r="AT2306" i="2"/>
  <c r="AU2306" i="2"/>
  <c r="AV2306" i="2"/>
  <c r="AW2306" i="2" s="1"/>
  <c r="AX2306" i="2"/>
  <c r="AY2306" i="2"/>
  <c r="AR2307" i="2"/>
  <c r="AS2307" i="2"/>
  <c r="AT2307" i="2"/>
  <c r="AU2307" i="2"/>
  <c r="AV2307" i="2"/>
  <c r="AW2307" i="2" s="1"/>
  <c r="AX2307" i="2"/>
  <c r="AY2307" i="2"/>
  <c r="AR2308" i="2"/>
  <c r="AS2308" i="2"/>
  <c r="AT2308" i="2"/>
  <c r="AU2308" i="2"/>
  <c r="AV2308" i="2"/>
  <c r="AW2308" i="2" s="1"/>
  <c r="AX2308" i="2"/>
  <c r="AY2308" i="2"/>
  <c r="AR2309" i="2"/>
  <c r="AS2309" i="2"/>
  <c r="AT2309" i="2"/>
  <c r="AU2309" i="2"/>
  <c r="AV2309" i="2"/>
  <c r="AW2309" i="2" s="1"/>
  <c r="AX2309" i="2"/>
  <c r="AY2309" i="2"/>
  <c r="AR2310" i="2"/>
  <c r="AS2310" i="2"/>
  <c r="AT2310" i="2"/>
  <c r="AU2310" i="2"/>
  <c r="AV2310" i="2"/>
  <c r="AW2310" i="2" s="1"/>
  <c r="AX2310" i="2"/>
  <c r="AY2310" i="2"/>
  <c r="AR2311" i="2"/>
  <c r="AS2311" i="2"/>
  <c r="AT2311" i="2"/>
  <c r="AU2311" i="2"/>
  <c r="AV2311" i="2"/>
  <c r="AW2311" i="2" s="1"/>
  <c r="AX2311" i="2"/>
  <c r="AY2311" i="2"/>
  <c r="AR2312" i="2"/>
  <c r="AS2312" i="2"/>
  <c r="AT2312" i="2"/>
  <c r="AU2312" i="2"/>
  <c r="AV2312" i="2"/>
  <c r="AW2312" i="2" s="1"/>
  <c r="AX2312" i="2"/>
  <c r="AY2312" i="2"/>
  <c r="AR2313" i="2"/>
  <c r="AS2313" i="2"/>
  <c r="AT2313" i="2"/>
  <c r="AU2313" i="2"/>
  <c r="AV2313" i="2"/>
  <c r="AW2313" i="2" s="1"/>
  <c r="AX2313" i="2"/>
  <c r="AY2313" i="2"/>
  <c r="AR2314" i="2"/>
  <c r="AS2314" i="2"/>
  <c r="AT2314" i="2"/>
  <c r="AU2314" i="2"/>
  <c r="AV2314" i="2"/>
  <c r="AW2314" i="2" s="1"/>
  <c r="AX2314" i="2"/>
  <c r="AY2314" i="2"/>
  <c r="AR2315" i="2"/>
  <c r="AS2315" i="2"/>
  <c r="AT2315" i="2"/>
  <c r="AU2315" i="2"/>
  <c r="AV2315" i="2"/>
  <c r="AW2315" i="2" s="1"/>
  <c r="AX2315" i="2"/>
  <c r="AY2315" i="2"/>
  <c r="AR2316" i="2"/>
  <c r="AS2316" i="2"/>
  <c r="AT2316" i="2"/>
  <c r="AU2316" i="2"/>
  <c r="AV2316" i="2"/>
  <c r="AW2316" i="2" s="1"/>
  <c r="AX2316" i="2"/>
  <c r="AY2316" i="2"/>
  <c r="AR2317" i="2"/>
  <c r="AS2317" i="2"/>
  <c r="AT2317" i="2"/>
  <c r="AU2317" i="2"/>
  <c r="AV2317" i="2"/>
  <c r="AW2317" i="2" s="1"/>
  <c r="AX2317" i="2"/>
  <c r="AY2317" i="2"/>
  <c r="AR2318" i="2"/>
  <c r="AS2318" i="2"/>
  <c r="AT2318" i="2"/>
  <c r="AU2318" i="2"/>
  <c r="AV2318" i="2"/>
  <c r="AW2318" i="2" s="1"/>
  <c r="AX2318" i="2"/>
  <c r="AY2318" i="2"/>
  <c r="AR2319" i="2"/>
  <c r="AS2319" i="2"/>
  <c r="AT2319" i="2"/>
  <c r="AU2319" i="2"/>
  <c r="AV2319" i="2"/>
  <c r="AW2319" i="2" s="1"/>
  <c r="AX2319" i="2"/>
  <c r="AY2319" i="2"/>
  <c r="AR2320" i="2"/>
  <c r="AS2320" i="2"/>
  <c r="AT2320" i="2"/>
  <c r="AU2320" i="2"/>
  <c r="AV2320" i="2"/>
  <c r="AW2320" i="2" s="1"/>
  <c r="AX2320" i="2"/>
  <c r="AY2320" i="2"/>
  <c r="AR2321" i="2"/>
  <c r="AS2321" i="2"/>
  <c r="AT2321" i="2"/>
  <c r="AU2321" i="2"/>
  <c r="AV2321" i="2"/>
  <c r="AW2321" i="2" s="1"/>
  <c r="AX2321" i="2"/>
  <c r="AY2321" i="2"/>
  <c r="AR2322" i="2"/>
  <c r="AS2322" i="2"/>
  <c r="AT2322" i="2"/>
  <c r="AU2322" i="2"/>
  <c r="AV2322" i="2"/>
  <c r="AW2322" i="2" s="1"/>
  <c r="AX2322" i="2"/>
  <c r="AY2322" i="2"/>
  <c r="AR2323" i="2"/>
  <c r="AS2323" i="2"/>
  <c r="AT2323" i="2"/>
  <c r="AU2323" i="2"/>
  <c r="AV2323" i="2"/>
  <c r="AW2323" i="2" s="1"/>
  <c r="AX2323" i="2"/>
  <c r="AY2323" i="2"/>
  <c r="AR2324" i="2"/>
  <c r="AS2324" i="2"/>
  <c r="AT2324" i="2"/>
  <c r="AU2324" i="2"/>
  <c r="AV2324" i="2"/>
  <c r="AW2324" i="2" s="1"/>
  <c r="AX2324" i="2"/>
  <c r="AY2324" i="2"/>
  <c r="AR2325" i="2"/>
  <c r="AS2325" i="2"/>
  <c r="AT2325" i="2"/>
  <c r="AU2325" i="2"/>
  <c r="AV2325" i="2"/>
  <c r="AW2325" i="2" s="1"/>
  <c r="AX2325" i="2"/>
  <c r="AY2325" i="2"/>
  <c r="AR2326" i="2"/>
  <c r="AS2326" i="2"/>
  <c r="AT2326" i="2"/>
  <c r="AU2326" i="2"/>
  <c r="AV2326" i="2"/>
  <c r="AW2326" i="2" s="1"/>
  <c r="AX2326" i="2"/>
  <c r="AY2326" i="2"/>
  <c r="AR2327" i="2"/>
  <c r="AS2327" i="2"/>
  <c r="AT2327" i="2"/>
  <c r="AU2327" i="2"/>
  <c r="AV2327" i="2"/>
  <c r="AW2327" i="2" s="1"/>
  <c r="AX2327" i="2"/>
  <c r="AY2327" i="2"/>
  <c r="AR2328" i="2"/>
  <c r="AS2328" i="2"/>
  <c r="AT2328" i="2"/>
  <c r="AU2328" i="2"/>
  <c r="AV2328" i="2"/>
  <c r="AW2328" i="2" s="1"/>
  <c r="AX2328" i="2"/>
  <c r="AY2328" i="2"/>
  <c r="AR2329" i="2"/>
  <c r="AS2329" i="2"/>
  <c r="AT2329" i="2"/>
  <c r="AU2329" i="2"/>
  <c r="AV2329" i="2"/>
  <c r="AW2329" i="2" s="1"/>
  <c r="AX2329" i="2"/>
  <c r="AY2329" i="2"/>
  <c r="AR2330" i="2"/>
  <c r="AS2330" i="2"/>
  <c r="AT2330" i="2"/>
  <c r="AU2330" i="2"/>
  <c r="AV2330" i="2"/>
  <c r="AW2330" i="2" s="1"/>
  <c r="AX2330" i="2"/>
  <c r="AY2330" i="2"/>
  <c r="AR2331" i="2"/>
  <c r="AS2331" i="2"/>
  <c r="AT2331" i="2"/>
  <c r="AU2331" i="2"/>
  <c r="AV2331" i="2"/>
  <c r="AW2331" i="2" s="1"/>
  <c r="AX2331" i="2"/>
  <c r="AY2331" i="2"/>
  <c r="AR2332" i="2"/>
  <c r="AS2332" i="2"/>
  <c r="AT2332" i="2"/>
  <c r="AU2332" i="2"/>
  <c r="AV2332" i="2"/>
  <c r="AW2332" i="2" s="1"/>
  <c r="AX2332" i="2"/>
  <c r="AY2332" i="2"/>
  <c r="AR2333" i="2"/>
  <c r="AS2333" i="2"/>
  <c r="AT2333" i="2"/>
  <c r="AU2333" i="2"/>
  <c r="AV2333" i="2"/>
  <c r="AW2333" i="2" s="1"/>
  <c r="AX2333" i="2"/>
  <c r="AY2333" i="2"/>
  <c r="AR2334" i="2"/>
  <c r="AS2334" i="2"/>
  <c r="AT2334" i="2"/>
  <c r="AU2334" i="2"/>
  <c r="AV2334" i="2"/>
  <c r="AW2334" i="2" s="1"/>
  <c r="AX2334" i="2"/>
  <c r="AY2334" i="2"/>
  <c r="AR2335" i="2"/>
  <c r="AS2335" i="2"/>
  <c r="AT2335" i="2"/>
  <c r="AU2335" i="2"/>
  <c r="AV2335" i="2"/>
  <c r="AW2335" i="2" s="1"/>
  <c r="AX2335" i="2"/>
  <c r="AY2335" i="2"/>
  <c r="AR2336" i="2"/>
  <c r="AS2336" i="2"/>
  <c r="AT2336" i="2"/>
  <c r="AU2336" i="2"/>
  <c r="AV2336" i="2"/>
  <c r="AW2336" i="2" s="1"/>
  <c r="AX2336" i="2"/>
  <c r="AY2336" i="2"/>
  <c r="AR2337" i="2"/>
  <c r="AS2337" i="2"/>
  <c r="AT2337" i="2"/>
  <c r="AU2337" i="2"/>
  <c r="AV2337" i="2"/>
  <c r="AW2337" i="2" s="1"/>
  <c r="AX2337" i="2"/>
  <c r="AY2337" i="2"/>
  <c r="AR2338" i="2"/>
  <c r="AS2338" i="2"/>
  <c r="AT2338" i="2"/>
  <c r="AU2338" i="2"/>
  <c r="AV2338" i="2"/>
  <c r="AW2338" i="2" s="1"/>
  <c r="AX2338" i="2"/>
  <c r="AY2338" i="2"/>
  <c r="AR2339" i="2"/>
  <c r="AS2339" i="2"/>
  <c r="AT2339" i="2"/>
  <c r="AU2339" i="2"/>
  <c r="AV2339" i="2"/>
  <c r="AW2339" i="2" s="1"/>
  <c r="AX2339" i="2"/>
  <c r="AY2339" i="2"/>
  <c r="AR2340" i="2"/>
  <c r="AS2340" i="2"/>
  <c r="AT2340" i="2"/>
  <c r="AU2340" i="2"/>
  <c r="AV2340" i="2"/>
  <c r="AW2340" i="2" s="1"/>
  <c r="AX2340" i="2"/>
  <c r="AY2340" i="2"/>
  <c r="AR2341" i="2"/>
  <c r="AS2341" i="2"/>
  <c r="AT2341" i="2"/>
  <c r="AU2341" i="2"/>
  <c r="AV2341" i="2"/>
  <c r="AW2341" i="2" s="1"/>
  <c r="AX2341" i="2"/>
  <c r="AY2341" i="2"/>
  <c r="AR2342" i="2"/>
  <c r="AS2342" i="2"/>
  <c r="AT2342" i="2"/>
  <c r="AU2342" i="2"/>
  <c r="AV2342" i="2"/>
  <c r="AW2342" i="2" s="1"/>
  <c r="AX2342" i="2"/>
  <c r="AY2342" i="2"/>
  <c r="AR2343" i="2"/>
  <c r="AS2343" i="2"/>
  <c r="AT2343" i="2"/>
  <c r="AU2343" i="2"/>
  <c r="AV2343" i="2"/>
  <c r="AW2343" i="2" s="1"/>
  <c r="AX2343" i="2"/>
  <c r="AY2343" i="2"/>
  <c r="AR2344" i="2"/>
  <c r="AS2344" i="2"/>
  <c r="AT2344" i="2"/>
  <c r="AU2344" i="2"/>
  <c r="AV2344" i="2"/>
  <c r="AW2344" i="2" s="1"/>
  <c r="AX2344" i="2"/>
  <c r="AY2344" i="2"/>
  <c r="AR2345" i="2"/>
  <c r="AS2345" i="2"/>
  <c r="AT2345" i="2"/>
  <c r="AU2345" i="2"/>
  <c r="AV2345" i="2"/>
  <c r="AW2345" i="2" s="1"/>
  <c r="AX2345" i="2"/>
  <c r="AY2345" i="2"/>
  <c r="AR2346" i="2"/>
  <c r="AS2346" i="2"/>
  <c r="AT2346" i="2"/>
  <c r="AU2346" i="2"/>
  <c r="AV2346" i="2"/>
  <c r="AW2346" i="2" s="1"/>
  <c r="AX2346" i="2"/>
  <c r="AY2346" i="2"/>
  <c r="AR2347" i="2"/>
  <c r="AS2347" i="2"/>
  <c r="AT2347" i="2"/>
  <c r="AU2347" i="2"/>
  <c r="AV2347" i="2"/>
  <c r="AW2347" i="2" s="1"/>
  <c r="AX2347" i="2"/>
  <c r="AY2347" i="2"/>
  <c r="AR2348" i="2"/>
  <c r="AS2348" i="2"/>
  <c r="AT2348" i="2"/>
  <c r="AU2348" i="2"/>
  <c r="AV2348" i="2"/>
  <c r="AW2348" i="2" s="1"/>
  <c r="AX2348" i="2"/>
  <c r="AY2348" i="2"/>
  <c r="AR2349" i="2"/>
  <c r="AS2349" i="2"/>
  <c r="AT2349" i="2"/>
  <c r="AU2349" i="2"/>
  <c r="AV2349" i="2"/>
  <c r="AW2349" i="2" s="1"/>
  <c r="AX2349" i="2"/>
  <c r="AY2349" i="2"/>
  <c r="AR2350" i="2"/>
  <c r="AS2350" i="2"/>
  <c r="AT2350" i="2"/>
  <c r="AU2350" i="2"/>
  <c r="AV2350" i="2"/>
  <c r="AW2350" i="2" s="1"/>
  <c r="AX2350" i="2"/>
  <c r="AY2350" i="2"/>
  <c r="AR2351" i="2"/>
  <c r="AS2351" i="2"/>
  <c r="AT2351" i="2"/>
  <c r="AU2351" i="2"/>
  <c r="AV2351" i="2"/>
  <c r="AW2351" i="2" s="1"/>
  <c r="AX2351" i="2"/>
  <c r="AY2351" i="2"/>
  <c r="AR2352" i="2"/>
  <c r="AS2352" i="2"/>
  <c r="AT2352" i="2"/>
  <c r="AU2352" i="2"/>
  <c r="AV2352" i="2"/>
  <c r="AW2352" i="2" s="1"/>
  <c r="AX2352" i="2"/>
  <c r="AY2352" i="2"/>
  <c r="AR2353" i="2"/>
  <c r="AS2353" i="2"/>
  <c r="AT2353" i="2"/>
  <c r="AU2353" i="2"/>
  <c r="AV2353" i="2"/>
  <c r="AW2353" i="2" s="1"/>
  <c r="AX2353" i="2"/>
  <c r="AY2353" i="2"/>
  <c r="AR2354" i="2"/>
  <c r="AS2354" i="2"/>
  <c r="AT2354" i="2"/>
  <c r="AU2354" i="2"/>
  <c r="AV2354" i="2"/>
  <c r="AW2354" i="2" s="1"/>
  <c r="AX2354" i="2"/>
  <c r="AY2354" i="2"/>
  <c r="AR2355" i="2"/>
  <c r="AS2355" i="2"/>
  <c r="AT2355" i="2"/>
  <c r="AU2355" i="2"/>
  <c r="AV2355" i="2"/>
  <c r="AW2355" i="2" s="1"/>
  <c r="AX2355" i="2"/>
  <c r="AY2355" i="2"/>
  <c r="AR2356" i="2"/>
  <c r="AS2356" i="2"/>
  <c r="AT2356" i="2"/>
  <c r="AU2356" i="2"/>
  <c r="AV2356" i="2"/>
  <c r="AW2356" i="2" s="1"/>
  <c r="AX2356" i="2"/>
  <c r="AY2356" i="2"/>
  <c r="AR2357" i="2"/>
  <c r="AS2357" i="2"/>
  <c r="AT2357" i="2"/>
  <c r="AU2357" i="2"/>
  <c r="AV2357" i="2"/>
  <c r="AW2357" i="2" s="1"/>
  <c r="AX2357" i="2"/>
  <c r="AY2357" i="2"/>
  <c r="AR2358" i="2"/>
  <c r="AS2358" i="2"/>
  <c r="AT2358" i="2"/>
  <c r="AU2358" i="2"/>
  <c r="AV2358" i="2"/>
  <c r="AW2358" i="2" s="1"/>
  <c r="AX2358" i="2"/>
  <c r="AY2358" i="2"/>
  <c r="AR2359" i="2"/>
  <c r="AS2359" i="2"/>
  <c r="AT2359" i="2"/>
  <c r="AU2359" i="2"/>
  <c r="AV2359" i="2"/>
  <c r="AW2359" i="2" s="1"/>
  <c r="AX2359" i="2"/>
  <c r="AY2359" i="2"/>
  <c r="AR2360" i="2"/>
  <c r="AS2360" i="2"/>
  <c r="AT2360" i="2"/>
  <c r="AU2360" i="2"/>
  <c r="AV2360" i="2"/>
  <c r="AW2360" i="2" s="1"/>
  <c r="AX2360" i="2"/>
  <c r="AY2360" i="2"/>
  <c r="AR2361" i="2"/>
  <c r="AS2361" i="2"/>
  <c r="AT2361" i="2"/>
  <c r="AU2361" i="2"/>
  <c r="AV2361" i="2"/>
  <c r="AW2361" i="2" s="1"/>
  <c r="AX2361" i="2"/>
  <c r="AY2361" i="2"/>
  <c r="AR2362" i="2"/>
  <c r="AS2362" i="2"/>
  <c r="AT2362" i="2"/>
  <c r="AU2362" i="2"/>
  <c r="AV2362" i="2"/>
  <c r="AW2362" i="2" s="1"/>
  <c r="AX2362" i="2"/>
  <c r="AY2362" i="2"/>
  <c r="AR2363" i="2"/>
  <c r="AS2363" i="2"/>
  <c r="AT2363" i="2"/>
  <c r="AU2363" i="2"/>
  <c r="AV2363" i="2"/>
  <c r="AW2363" i="2" s="1"/>
  <c r="AX2363" i="2"/>
  <c r="AY2363" i="2"/>
  <c r="AR2364" i="2"/>
  <c r="AS2364" i="2"/>
  <c r="AT2364" i="2"/>
  <c r="AU2364" i="2"/>
  <c r="AV2364" i="2"/>
  <c r="AW2364" i="2" s="1"/>
  <c r="AX2364" i="2"/>
  <c r="AY2364" i="2"/>
  <c r="AR2365" i="2"/>
  <c r="AS2365" i="2"/>
  <c r="AT2365" i="2"/>
  <c r="AU2365" i="2"/>
  <c r="AV2365" i="2"/>
  <c r="AW2365" i="2" s="1"/>
  <c r="AX2365" i="2"/>
  <c r="AY2365" i="2"/>
  <c r="AR2366" i="2"/>
  <c r="AS2366" i="2"/>
  <c r="AT2366" i="2"/>
  <c r="AU2366" i="2"/>
  <c r="AV2366" i="2"/>
  <c r="AW2366" i="2" s="1"/>
  <c r="AX2366" i="2"/>
  <c r="AY2366" i="2"/>
  <c r="AR2367" i="2"/>
  <c r="AS2367" i="2"/>
  <c r="AT2367" i="2"/>
  <c r="AU2367" i="2"/>
  <c r="AV2367" i="2"/>
  <c r="AW2367" i="2" s="1"/>
  <c r="AX2367" i="2"/>
  <c r="AY2367" i="2"/>
  <c r="AR2368" i="2"/>
  <c r="AS2368" i="2"/>
  <c r="AT2368" i="2"/>
  <c r="AU2368" i="2"/>
  <c r="AV2368" i="2"/>
  <c r="AW2368" i="2" s="1"/>
  <c r="AX2368" i="2"/>
  <c r="AY2368" i="2"/>
  <c r="AR2369" i="2"/>
  <c r="AS2369" i="2"/>
  <c r="AT2369" i="2"/>
  <c r="AU2369" i="2"/>
  <c r="AV2369" i="2"/>
  <c r="AW2369" i="2" s="1"/>
  <c r="AX2369" i="2"/>
  <c r="AY2369" i="2"/>
  <c r="AR2370" i="2"/>
  <c r="AS2370" i="2"/>
  <c r="AT2370" i="2"/>
  <c r="AU2370" i="2"/>
  <c r="AV2370" i="2"/>
  <c r="AW2370" i="2" s="1"/>
  <c r="AX2370" i="2"/>
  <c r="AY2370" i="2"/>
  <c r="AR2371" i="2"/>
  <c r="AS2371" i="2"/>
  <c r="AT2371" i="2"/>
  <c r="AU2371" i="2"/>
  <c r="AV2371" i="2"/>
  <c r="AW2371" i="2" s="1"/>
  <c r="AX2371" i="2"/>
  <c r="AY2371" i="2"/>
  <c r="AR2372" i="2"/>
  <c r="AS2372" i="2"/>
  <c r="AT2372" i="2"/>
  <c r="AU2372" i="2"/>
  <c r="AV2372" i="2"/>
  <c r="AW2372" i="2" s="1"/>
  <c r="AX2372" i="2"/>
  <c r="AY2372" i="2"/>
  <c r="AR2373" i="2"/>
  <c r="AS2373" i="2"/>
  <c r="AT2373" i="2"/>
  <c r="AU2373" i="2"/>
  <c r="AV2373" i="2"/>
  <c r="AW2373" i="2" s="1"/>
  <c r="AX2373" i="2"/>
  <c r="AY2373" i="2"/>
  <c r="AR2374" i="2"/>
  <c r="AS2374" i="2"/>
  <c r="AT2374" i="2"/>
  <c r="AU2374" i="2"/>
  <c r="AV2374" i="2"/>
  <c r="AW2374" i="2" s="1"/>
  <c r="AX2374" i="2"/>
  <c r="AY2374" i="2"/>
  <c r="AR2375" i="2"/>
  <c r="AS2375" i="2"/>
  <c r="AT2375" i="2"/>
  <c r="AU2375" i="2"/>
  <c r="AV2375" i="2"/>
  <c r="AW2375" i="2" s="1"/>
  <c r="AX2375" i="2"/>
  <c r="AY2375" i="2"/>
  <c r="AR2376" i="2"/>
  <c r="AS2376" i="2"/>
  <c r="AT2376" i="2"/>
  <c r="AU2376" i="2"/>
  <c r="AV2376" i="2"/>
  <c r="AW2376" i="2" s="1"/>
  <c r="AX2376" i="2"/>
  <c r="AY2376" i="2"/>
  <c r="AR2377" i="2"/>
  <c r="AS2377" i="2"/>
  <c r="AT2377" i="2"/>
  <c r="AU2377" i="2"/>
  <c r="AV2377" i="2"/>
  <c r="AW2377" i="2" s="1"/>
  <c r="AX2377" i="2"/>
  <c r="AY2377" i="2"/>
  <c r="AR2378" i="2"/>
  <c r="AS2378" i="2"/>
  <c r="AT2378" i="2"/>
  <c r="AU2378" i="2"/>
  <c r="AV2378" i="2"/>
  <c r="AW2378" i="2" s="1"/>
  <c r="AX2378" i="2"/>
  <c r="AY2378" i="2"/>
  <c r="AR2379" i="2"/>
  <c r="AS2379" i="2"/>
  <c r="AT2379" i="2"/>
  <c r="AU2379" i="2"/>
  <c r="AV2379" i="2"/>
  <c r="AW2379" i="2" s="1"/>
  <c r="AX2379" i="2"/>
  <c r="AY2379" i="2"/>
  <c r="AR2380" i="2"/>
  <c r="AS2380" i="2"/>
  <c r="AT2380" i="2"/>
  <c r="AU2380" i="2"/>
  <c r="AV2380" i="2"/>
  <c r="AW2380" i="2" s="1"/>
  <c r="AX2380" i="2"/>
  <c r="AY2380" i="2"/>
  <c r="AR2381" i="2"/>
  <c r="AS2381" i="2"/>
  <c r="AT2381" i="2"/>
  <c r="AU2381" i="2"/>
  <c r="AV2381" i="2"/>
  <c r="AW2381" i="2" s="1"/>
  <c r="AX2381" i="2"/>
  <c r="AY2381" i="2"/>
  <c r="AR2382" i="2"/>
  <c r="AS2382" i="2"/>
  <c r="AT2382" i="2"/>
  <c r="AU2382" i="2"/>
  <c r="AV2382" i="2"/>
  <c r="AW2382" i="2" s="1"/>
  <c r="AX2382" i="2"/>
  <c r="AY2382" i="2"/>
  <c r="AR2383" i="2"/>
  <c r="AS2383" i="2"/>
  <c r="AT2383" i="2"/>
  <c r="AU2383" i="2"/>
  <c r="AV2383" i="2"/>
  <c r="AW2383" i="2" s="1"/>
  <c r="AX2383" i="2"/>
  <c r="AY2383" i="2"/>
  <c r="AR2384" i="2"/>
  <c r="AS2384" i="2"/>
  <c r="AT2384" i="2"/>
  <c r="AU2384" i="2"/>
  <c r="AV2384" i="2"/>
  <c r="AW2384" i="2" s="1"/>
  <c r="AX2384" i="2"/>
  <c r="AY2384" i="2"/>
  <c r="AR2385" i="2"/>
  <c r="AS2385" i="2"/>
  <c r="AT2385" i="2"/>
  <c r="AU2385" i="2"/>
  <c r="AV2385" i="2"/>
  <c r="AW2385" i="2" s="1"/>
  <c r="AX2385" i="2"/>
  <c r="AY2385" i="2"/>
  <c r="AR2386" i="2"/>
  <c r="AS2386" i="2"/>
  <c r="AT2386" i="2"/>
  <c r="AU2386" i="2"/>
  <c r="AV2386" i="2"/>
  <c r="AW2386" i="2" s="1"/>
  <c r="AX2386" i="2"/>
  <c r="AY2386" i="2"/>
  <c r="AR2387" i="2"/>
  <c r="AS2387" i="2"/>
  <c r="AT2387" i="2"/>
  <c r="AU2387" i="2"/>
  <c r="AV2387" i="2"/>
  <c r="AW2387" i="2" s="1"/>
  <c r="AX2387" i="2"/>
  <c r="AY2387" i="2"/>
  <c r="AR2388" i="2"/>
  <c r="AS2388" i="2"/>
  <c r="AT2388" i="2"/>
  <c r="AU2388" i="2"/>
  <c r="AV2388" i="2"/>
  <c r="AW2388" i="2" s="1"/>
  <c r="AX2388" i="2"/>
  <c r="AY2388" i="2"/>
  <c r="AR2389" i="2"/>
  <c r="AS2389" i="2"/>
  <c r="AT2389" i="2"/>
  <c r="AU2389" i="2"/>
  <c r="AV2389" i="2"/>
  <c r="AW2389" i="2" s="1"/>
  <c r="AX2389" i="2"/>
  <c r="AY2389" i="2"/>
  <c r="AR2390" i="2"/>
  <c r="AS2390" i="2"/>
  <c r="AT2390" i="2"/>
  <c r="AU2390" i="2"/>
  <c r="AV2390" i="2"/>
  <c r="AW2390" i="2" s="1"/>
  <c r="AX2390" i="2"/>
  <c r="AY2390" i="2"/>
  <c r="AR2391" i="2"/>
  <c r="AS2391" i="2"/>
  <c r="AT2391" i="2"/>
  <c r="AU2391" i="2"/>
  <c r="AV2391" i="2"/>
  <c r="AW2391" i="2" s="1"/>
  <c r="AX2391" i="2"/>
  <c r="AY2391" i="2"/>
  <c r="AR2392" i="2"/>
  <c r="AS2392" i="2"/>
  <c r="AT2392" i="2"/>
  <c r="AU2392" i="2"/>
  <c r="AV2392" i="2"/>
  <c r="AW2392" i="2" s="1"/>
  <c r="AX2392" i="2"/>
  <c r="AY2392" i="2"/>
  <c r="AR2393" i="2"/>
  <c r="AS2393" i="2"/>
  <c r="AT2393" i="2"/>
  <c r="AU2393" i="2"/>
  <c r="AV2393" i="2"/>
  <c r="AW2393" i="2" s="1"/>
  <c r="AX2393" i="2"/>
  <c r="AY2393" i="2"/>
  <c r="AR2394" i="2"/>
  <c r="AS2394" i="2"/>
  <c r="AT2394" i="2"/>
  <c r="AU2394" i="2"/>
  <c r="AV2394" i="2"/>
  <c r="AW2394" i="2" s="1"/>
  <c r="AX2394" i="2"/>
  <c r="AY2394" i="2"/>
  <c r="AR2395" i="2"/>
  <c r="AS2395" i="2"/>
  <c r="AT2395" i="2"/>
  <c r="AU2395" i="2"/>
  <c r="AV2395" i="2"/>
  <c r="AW2395" i="2" s="1"/>
  <c r="AX2395" i="2"/>
  <c r="AY2395" i="2"/>
  <c r="AR2396" i="2"/>
  <c r="AS2396" i="2"/>
  <c r="AT2396" i="2"/>
  <c r="AU2396" i="2"/>
  <c r="AV2396" i="2"/>
  <c r="AW2396" i="2" s="1"/>
  <c r="AX2396" i="2"/>
  <c r="AY2396" i="2"/>
  <c r="AR2397" i="2"/>
  <c r="AS2397" i="2"/>
  <c r="AT2397" i="2"/>
  <c r="AU2397" i="2"/>
  <c r="AV2397" i="2"/>
  <c r="AW2397" i="2" s="1"/>
  <c r="AX2397" i="2"/>
  <c r="AY2397" i="2"/>
  <c r="AR2398" i="2"/>
  <c r="AS2398" i="2"/>
  <c r="AT2398" i="2"/>
  <c r="AU2398" i="2"/>
  <c r="AV2398" i="2"/>
  <c r="AW2398" i="2" s="1"/>
  <c r="AX2398" i="2"/>
  <c r="AY2398" i="2"/>
  <c r="AR2399" i="2"/>
  <c r="AS2399" i="2"/>
  <c r="AT2399" i="2"/>
  <c r="AU2399" i="2"/>
  <c r="AV2399" i="2"/>
  <c r="AW2399" i="2" s="1"/>
  <c r="AX2399" i="2"/>
  <c r="AY2399" i="2"/>
  <c r="AR2400" i="2"/>
  <c r="AS2400" i="2"/>
  <c r="AT2400" i="2"/>
  <c r="AU2400" i="2"/>
  <c r="AV2400" i="2"/>
  <c r="AW2400" i="2" s="1"/>
  <c r="AX2400" i="2"/>
  <c r="AY2400" i="2"/>
  <c r="AR2401" i="2"/>
  <c r="AS2401" i="2"/>
  <c r="AT2401" i="2"/>
  <c r="AU2401" i="2"/>
  <c r="AV2401" i="2"/>
  <c r="AW2401" i="2" s="1"/>
  <c r="AX2401" i="2"/>
  <c r="AY2401" i="2"/>
  <c r="AR2402" i="2"/>
  <c r="AS2402" i="2"/>
  <c r="AT2402" i="2"/>
  <c r="AU2402" i="2"/>
  <c r="AV2402" i="2"/>
  <c r="AW2402" i="2" s="1"/>
  <c r="AX2402" i="2"/>
  <c r="AY2402" i="2"/>
  <c r="AR2403" i="2"/>
  <c r="AS2403" i="2"/>
  <c r="AT2403" i="2"/>
  <c r="AU2403" i="2"/>
  <c r="AV2403" i="2"/>
  <c r="AW2403" i="2" s="1"/>
  <c r="AX2403" i="2"/>
  <c r="AY2403" i="2"/>
  <c r="AR2404" i="2"/>
  <c r="AS2404" i="2"/>
  <c r="AT2404" i="2"/>
  <c r="AU2404" i="2"/>
  <c r="AV2404" i="2"/>
  <c r="AW2404" i="2" s="1"/>
  <c r="AX2404" i="2"/>
  <c r="AY2404" i="2"/>
  <c r="AR2405" i="2"/>
  <c r="AS2405" i="2"/>
  <c r="AT2405" i="2"/>
  <c r="AU2405" i="2"/>
  <c r="AV2405" i="2"/>
  <c r="AW2405" i="2" s="1"/>
  <c r="AX2405" i="2"/>
  <c r="AY2405" i="2"/>
  <c r="AR2406" i="2"/>
  <c r="AS2406" i="2"/>
  <c r="AT2406" i="2"/>
  <c r="AU2406" i="2"/>
  <c r="AV2406" i="2"/>
  <c r="AW2406" i="2" s="1"/>
  <c r="AX2406" i="2"/>
  <c r="AY2406" i="2"/>
  <c r="AR2407" i="2"/>
  <c r="AS2407" i="2"/>
  <c r="AT2407" i="2"/>
  <c r="AU2407" i="2"/>
  <c r="AV2407" i="2"/>
  <c r="AW2407" i="2" s="1"/>
  <c r="AX2407" i="2"/>
  <c r="AY2407" i="2"/>
  <c r="AR2408" i="2"/>
  <c r="AS2408" i="2"/>
  <c r="AT2408" i="2"/>
  <c r="AU2408" i="2"/>
  <c r="AV2408" i="2"/>
  <c r="AW2408" i="2" s="1"/>
  <c r="AX2408" i="2"/>
  <c r="AY2408" i="2"/>
  <c r="AR2409" i="2"/>
  <c r="AS2409" i="2"/>
  <c r="AT2409" i="2"/>
  <c r="AU2409" i="2"/>
  <c r="AV2409" i="2"/>
  <c r="AW2409" i="2" s="1"/>
  <c r="AX2409" i="2"/>
  <c r="AY2409" i="2"/>
  <c r="AR2410" i="2"/>
  <c r="AS2410" i="2"/>
  <c r="AT2410" i="2"/>
  <c r="AU2410" i="2"/>
  <c r="AV2410" i="2"/>
  <c r="AW2410" i="2" s="1"/>
  <c r="AX2410" i="2"/>
  <c r="AY2410" i="2"/>
  <c r="AR2411" i="2"/>
  <c r="AS2411" i="2"/>
  <c r="AT2411" i="2"/>
  <c r="AU2411" i="2"/>
  <c r="AV2411" i="2"/>
  <c r="AW2411" i="2" s="1"/>
  <c r="AX2411" i="2"/>
  <c r="AY2411" i="2"/>
  <c r="AR2412" i="2"/>
  <c r="AS2412" i="2"/>
  <c r="AT2412" i="2"/>
  <c r="AU2412" i="2"/>
  <c r="AV2412" i="2"/>
  <c r="AW2412" i="2" s="1"/>
  <c r="AX2412" i="2"/>
  <c r="AY2412" i="2"/>
  <c r="AR2413" i="2"/>
  <c r="AS2413" i="2"/>
  <c r="AT2413" i="2"/>
  <c r="AU2413" i="2"/>
  <c r="AV2413" i="2"/>
  <c r="AW2413" i="2" s="1"/>
  <c r="AX2413" i="2"/>
  <c r="AY2413" i="2"/>
  <c r="AR2414" i="2"/>
  <c r="AS2414" i="2"/>
  <c r="AT2414" i="2"/>
  <c r="AU2414" i="2"/>
  <c r="AV2414" i="2"/>
  <c r="AW2414" i="2" s="1"/>
  <c r="AX2414" i="2"/>
  <c r="AY2414" i="2"/>
  <c r="AR2415" i="2"/>
  <c r="AS2415" i="2"/>
  <c r="AT2415" i="2"/>
  <c r="AU2415" i="2"/>
  <c r="AV2415" i="2"/>
  <c r="AW2415" i="2" s="1"/>
  <c r="AX2415" i="2"/>
  <c r="AY2415" i="2"/>
  <c r="AR2416" i="2"/>
  <c r="AS2416" i="2"/>
  <c r="AT2416" i="2"/>
  <c r="AU2416" i="2"/>
  <c r="AV2416" i="2"/>
  <c r="AW2416" i="2" s="1"/>
  <c r="AX2416" i="2"/>
  <c r="AY2416" i="2"/>
  <c r="AR2417" i="2"/>
  <c r="AS2417" i="2"/>
  <c r="AT2417" i="2"/>
  <c r="AU2417" i="2"/>
  <c r="AV2417" i="2"/>
  <c r="AW2417" i="2" s="1"/>
  <c r="AX2417" i="2"/>
  <c r="AY2417" i="2"/>
  <c r="AR2418" i="2"/>
  <c r="AS2418" i="2"/>
  <c r="AT2418" i="2"/>
  <c r="AU2418" i="2"/>
  <c r="AV2418" i="2"/>
  <c r="AW2418" i="2" s="1"/>
  <c r="AX2418" i="2"/>
  <c r="AY2418" i="2"/>
  <c r="AR2419" i="2"/>
  <c r="AS2419" i="2"/>
  <c r="AT2419" i="2"/>
  <c r="AU2419" i="2"/>
  <c r="AV2419" i="2"/>
  <c r="AW2419" i="2" s="1"/>
  <c r="AX2419" i="2"/>
  <c r="AY2419" i="2"/>
  <c r="AR2420" i="2"/>
  <c r="AS2420" i="2"/>
  <c r="AT2420" i="2"/>
  <c r="AU2420" i="2"/>
  <c r="AV2420" i="2"/>
  <c r="AW2420" i="2" s="1"/>
  <c r="AX2420" i="2"/>
  <c r="AY2420" i="2"/>
  <c r="AR2421" i="2"/>
  <c r="AS2421" i="2"/>
  <c r="AT2421" i="2"/>
  <c r="AU2421" i="2"/>
  <c r="AV2421" i="2"/>
  <c r="AW2421" i="2" s="1"/>
  <c r="AX2421" i="2"/>
  <c r="AY2421" i="2"/>
  <c r="AR2422" i="2"/>
  <c r="AS2422" i="2"/>
  <c r="AT2422" i="2"/>
  <c r="AU2422" i="2"/>
  <c r="AV2422" i="2"/>
  <c r="AW2422" i="2" s="1"/>
  <c r="AX2422" i="2"/>
  <c r="AY2422" i="2"/>
  <c r="AR2423" i="2"/>
  <c r="AS2423" i="2"/>
  <c r="AT2423" i="2"/>
  <c r="AU2423" i="2"/>
  <c r="AV2423" i="2"/>
  <c r="AW2423" i="2" s="1"/>
  <c r="AX2423" i="2"/>
  <c r="AY2423" i="2"/>
  <c r="AR2424" i="2"/>
  <c r="AS2424" i="2"/>
  <c r="AT2424" i="2"/>
  <c r="AU2424" i="2"/>
  <c r="AV2424" i="2"/>
  <c r="AW2424" i="2" s="1"/>
  <c r="AX2424" i="2"/>
  <c r="AY2424" i="2"/>
  <c r="AR2425" i="2"/>
  <c r="AS2425" i="2"/>
  <c r="AT2425" i="2"/>
  <c r="AU2425" i="2"/>
  <c r="AV2425" i="2"/>
  <c r="AW2425" i="2" s="1"/>
  <c r="AX2425" i="2"/>
  <c r="AY2425" i="2"/>
  <c r="AR2426" i="2"/>
  <c r="AS2426" i="2"/>
  <c r="AT2426" i="2"/>
  <c r="AU2426" i="2"/>
  <c r="AV2426" i="2"/>
  <c r="AW2426" i="2" s="1"/>
  <c r="AX2426" i="2"/>
  <c r="AY2426" i="2"/>
  <c r="AR2427" i="2"/>
  <c r="AS2427" i="2"/>
  <c r="AT2427" i="2"/>
  <c r="AU2427" i="2"/>
  <c r="AV2427" i="2"/>
  <c r="AW2427" i="2" s="1"/>
  <c r="AX2427" i="2"/>
  <c r="AY2427" i="2"/>
  <c r="AR2428" i="2"/>
  <c r="AS2428" i="2"/>
  <c r="AT2428" i="2"/>
  <c r="AU2428" i="2"/>
  <c r="AV2428" i="2"/>
  <c r="AW2428" i="2" s="1"/>
  <c r="AX2428" i="2"/>
  <c r="AY2428" i="2"/>
  <c r="AR2429" i="2"/>
  <c r="AS2429" i="2"/>
  <c r="AT2429" i="2"/>
  <c r="AU2429" i="2"/>
  <c r="AV2429" i="2"/>
  <c r="AW2429" i="2" s="1"/>
  <c r="AX2429" i="2"/>
  <c r="AY2429" i="2"/>
  <c r="AR2430" i="2"/>
  <c r="AS2430" i="2"/>
  <c r="AT2430" i="2"/>
  <c r="AU2430" i="2"/>
  <c r="AV2430" i="2"/>
  <c r="AW2430" i="2" s="1"/>
  <c r="AX2430" i="2"/>
  <c r="AY2430" i="2"/>
  <c r="AR2431" i="2"/>
  <c r="AS2431" i="2"/>
  <c r="AT2431" i="2"/>
  <c r="AU2431" i="2"/>
  <c r="AV2431" i="2"/>
  <c r="AW2431" i="2" s="1"/>
  <c r="AX2431" i="2"/>
  <c r="AY2431" i="2"/>
  <c r="AR2432" i="2"/>
  <c r="AS2432" i="2"/>
  <c r="AT2432" i="2"/>
  <c r="AU2432" i="2"/>
  <c r="AV2432" i="2"/>
  <c r="AW2432" i="2" s="1"/>
  <c r="AX2432" i="2"/>
  <c r="AY2432" i="2"/>
  <c r="AR2433" i="2"/>
  <c r="AS2433" i="2"/>
  <c r="AT2433" i="2"/>
  <c r="AU2433" i="2"/>
  <c r="AV2433" i="2"/>
  <c r="AW2433" i="2" s="1"/>
  <c r="AX2433" i="2"/>
  <c r="AY2433" i="2"/>
  <c r="AR2434" i="2"/>
  <c r="AS2434" i="2"/>
  <c r="AT2434" i="2"/>
  <c r="AU2434" i="2"/>
  <c r="AV2434" i="2"/>
  <c r="AW2434" i="2" s="1"/>
  <c r="AX2434" i="2"/>
  <c r="AY2434" i="2"/>
  <c r="AR2435" i="2"/>
  <c r="AS2435" i="2"/>
  <c r="AT2435" i="2"/>
  <c r="AU2435" i="2"/>
  <c r="AV2435" i="2"/>
  <c r="AW2435" i="2" s="1"/>
  <c r="AX2435" i="2"/>
  <c r="AY2435" i="2"/>
  <c r="AR2436" i="2"/>
  <c r="AS2436" i="2"/>
  <c r="AT2436" i="2"/>
  <c r="AU2436" i="2"/>
  <c r="AV2436" i="2"/>
  <c r="AW2436" i="2" s="1"/>
  <c r="AX2436" i="2"/>
  <c r="AY2436" i="2"/>
  <c r="AR2437" i="2"/>
  <c r="AS2437" i="2"/>
  <c r="AT2437" i="2"/>
  <c r="AU2437" i="2"/>
  <c r="AV2437" i="2"/>
  <c r="AW2437" i="2" s="1"/>
  <c r="AX2437" i="2"/>
  <c r="AY2437" i="2"/>
  <c r="AR2438" i="2"/>
  <c r="AS2438" i="2"/>
  <c r="AT2438" i="2"/>
  <c r="AU2438" i="2"/>
  <c r="AV2438" i="2"/>
  <c r="AW2438" i="2" s="1"/>
  <c r="AX2438" i="2"/>
  <c r="AY2438" i="2"/>
  <c r="AR2439" i="2"/>
  <c r="AS2439" i="2"/>
  <c r="AT2439" i="2"/>
  <c r="AU2439" i="2"/>
  <c r="AV2439" i="2"/>
  <c r="AW2439" i="2" s="1"/>
  <c r="AX2439" i="2"/>
  <c r="AY2439" i="2"/>
  <c r="AR2440" i="2"/>
  <c r="AS2440" i="2"/>
  <c r="AT2440" i="2"/>
  <c r="AU2440" i="2"/>
  <c r="AV2440" i="2"/>
  <c r="AW2440" i="2" s="1"/>
  <c r="AX2440" i="2"/>
  <c r="AY2440" i="2"/>
  <c r="AR2441" i="2"/>
  <c r="AS2441" i="2"/>
  <c r="AT2441" i="2"/>
  <c r="AU2441" i="2"/>
  <c r="AV2441" i="2"/>
  <c r="AW2441" i="2" s="1"/>
  <c r="AX2441" i="2"/>
  <c r="AY2441" i="2"/>
  <c r="AR2442" i="2"/>
  <c r="AS2442" i="2"/>
  <c r="AT2442" i="2"/>
  <c r="AU2442" i="2"/>
  <c r="AV2442" i="2"/>
  <c r="AW2442" i="2" s="1"/>
  <c r="AX2442" i="2"/>
  <c r="AY2442" i="2"/>
  <c r="AR2443" i="2"/>
  <c r="AS2443" i="2"/>
  <c r="AT2443" i="2"/>
  <c r="AU2443" i="2"/>
  <c r="AV2443" i="2"/>
  <c r="AW2443" i="2" s="1"/>
  <c r="AX2443" i="2"/>
  <c r="AY2443" i="2"/>
  <c r="AR2444" i="2"/>
  <c r="AS2444" i="2"/>
  <c r="AT2444" i="2"/>
  <c r="AU2444" i="2"/>
  <c r="AV2444" i="2"/>
  <c r="AW2444" i="2" s="1"/>
  <c r="AX2444" i="2"/>
  <c r="AY2444" i="2"/>
  <c r="AR2445" i="2"/>
  <c r="AS2445" i="2"/>
  <c r="AT2445" i="2"/>
  <c r="AU2445" i="2"/>
  <c r="AV2445" i="2"/>
  <c r="AW2445" i="2" s="1"/>
  <c r="AX2445" i="2"/>
  <c r="AY2445" i="2"/>
  <c r="AR2446" i="2"/>
  <c r="AS2446" i="2"/>
  <c r="AT2446" i="2"/>
  <c r="AU2446" i="2"/>
  <c r="AV2446" i="2"/>
  <c r="AW2446" i="2" s="1"/>
  <c r="AX2446" i="2"/>
  <c r="AY2446" i="2"/>
  <c r="AR2447" i="2"/>
  <c r="AS2447" i="2"/>
  <c r="AT2447" i="2"/>
  <c r="AU2447" i="2"/>
  <c r="AV2447" i="2"/>
  <c r="AW2447" i="2" s="1"/>
  <c r="AX2447" i="2"/>
  <c r="AY2447" i="2"/>
  <c r="AR2448" i="2"/>
  <c r="AS2448" i="2"/>
  <c r="AT2448" i="2"/>
  <c r="AU2448" i="2"/>
  <c r="AV2448" i="2"/>
  <c r="AW2448" i="2" s="1"/>
  <c r="AX2448" i="2"/>
  <c r="AY2448" i="2"/>
  <c r="AR2449" i="2"/>
  <c r="AS2449" i="2"/>
  <c r="AT2449" i="2"/>
  <c r="AU2449" i="2"/>
  <c r="AV2449" i="2"/>
  <c r="AW2449" i="2" s="1"/>
  <c r="AX2449" i="2"/>
  <c r="AY2449" i="2"/>
  <c r="AR2450" i="2"/>
  <c r="AS2450" i="2"/>
  <c r="AT2450" i="2"/>
  <c r="AU2450" i="2"/>
  <c r="AV2450" i="2"/>
  <c r="AW2450" i="2" s="1"/>
  <c r="AX2450" i="2"/>
  <c r="AY2450" i="2"/>
  <c r="AR2451" i="2"/>
  <c r="AS2451" i="2"/>
  <c r="AT2451" i="2"/>
  <c r="AU2451" i="2"/>
  <c r="AV2451" i="2"/>
  <c r="AW2451" i="2" s="1"/>
  <c r="AX2451" i="2"/>
  <c r="AY2451" i="2"/>
  <c r="AR2452" i="2"/>
  <c r="AS2452" i="2"/>
  <c r="AT2452" i="2"/>
  <c r="AU2452" i="2"/>
  <c r="AV2452" i="2"/>
  <c r="AW2452" i="2" s="1"/>
  <c r="AX2452" i="2"/>
  <c r="AY2452" i="2"/>
  <c r="AR2453" i="2"/>
  <c r="AS2453" i="2"/>
  <c r="AT2453" i="2"/>
  <c r="AU2453" i="2"/>
  <c r="AV2453" i="2"/>
  <c r="AW2453" i="2" s="1"/>
  <c r="AX2453" i="2"/>
  <c r="AY2453" i="2"/>
  <c r="AR2454" i="2"/>
  <c r="AS2454" i="2"/>
  <c r="AT2454" i="2"/>
  <c r="AU2454" i="2"/>
  <c r="AV2454" i="2"/>
  <c r="AW2454" i="2" s="1"/>
  <c r="AX2454" i="2"/>
  <c r="AY2454" i="2"/>
  <c r="AR2455" i="2"/>
  <c r="AS2455" i="2"/>
  <c r="AT2455" i="2"/>
  <c r="AU2455" i="2"/>
  <c r="AV2455" i="2"/>
  <c r="AW2455" i="2" s="1"/>
  <c r="AX2455" i="2"/>
  <c r="AY2455" i="2"/>
  <c r="AR2456" i="2"/>
  <c r="AS2456" i="2"/>
  <c r="AT2456" i="2"/>
  <c r="AU2456" i="2"/>
  <c r="AV2456" i="2"/>
  <c r="AW2456" i="2" s="1"/>
  <c r="AX2456" i="2"/>
  <c r="AY2456" i="2"/>
  <c r="AR2457" i="2"/>
  <c r="AS2457" i="2"/>
  <c r="AT2457" i="2"/>
  <c r="AU2457" i="2"/>
  <c r="AV2457" i="2"/>
  <c r="AW2457" i="2" s="1"/>
  <c r="AX2457" i="2"/>
  <c r="AY2457" i="2"/>
  <c r="AR2458" i="2"/>
  <c r="AS2458" i="2"/>
  <c r="AT2458" i="2"/>
  <c r="AU2458" i="2"/>
  <c r="AV2458" i="2"/>
  <c r="AW2458" i="2" s="1"/>
  <c r="AX2458" i="2"/>
  <c r="AY2458" i="2"/>
  <c r="AR2459" i="2"/>
  <c r="AS2459" i="2"/>
  <c r="AT2459" i="2"/>
  <c r="AU2459" i="2"/>
  <c r="AV2459" i="2"/>
  <c r="AW2459" i="2" s="1"/>
  <c r="AX2459" i="2"/>
  <c r="AY2459" i="2"/>
  <c r="AR2460" i="2"/>
  <c r="AS2460" i="2"/>
  <c r="AT2460" i="2"/>
  <c r="AU2460" i="2"/>
  <c r="AV2460" i="2"/>
  <c r="AW2460" i="2" s="1"/>
  <c r="AX2460" i="2"/>
  <c r="AY2460" i="2"/>
  <c r="AR2461" i="2"/>
  <c r="AS2461" i="2"/>
  <c r="AT2461" i="2"/>
  <c r="AU2461" i="2"/>
  <c r="AV2461" i="2"/>
  <c r="AW2461" i="2" s="1"/>
  <c r="AX2461" i="2"/>
  <c r="AY2461" i="2"/>
  <c r="AR2462" i="2"/>
  <c r="AS2462" i="2"/>
  <c r="AT2462" i="2"/>
  <c r="AU2462" i="2"/>
  <c r="AV2462" i="2"/>
  <c r="AW2462" i="2" s="1"/>
  <c r="AX2462" i="2"/>
  <c r="AY2462" i="2"/>
  <c r="AR2463" i="2"/>
  <c r="AS2463" i="2"/>
  <c r="AT2463" i="2"/>
  <c r="AU2463" i="2"/>
  <c r="AV2463" i="2"/>
  <c r="AW2463" i="2" s="1"/>
  <c r="AX2463" i="2"/>
  <c r="AY2463" i="2"/>
  <c r="AR2464" i="2"/>
  <c r="AS2464" i="2"/>
  <c r="AT2464" i="2"/>
  <c r="AU2464" i="2"/>
  <c r="AV2464" i="2"/>
  <c r="AW2464" i="2" s="1"/>
  <c r="AX2464" i="2"/>
  <c r="AY2464" i="2"/>
  <c r="AR2465" i="2"/>
  <c r="AS2465" i="2"/>
  <c r="AT2465" i="2"/>
  <c r="AU2465" i="2"/>
  <c r="AV2465" i="2"/>
  <c r="AW2465" i="2" s="1"/>
  <c r="AX2465" i="2"/>
  <c r="AY2465" i="2"/>
  <c r="AR2466" i="2"/>
  <c r="AS2466" i="2"/>
  <c r="AT2466" i="2"/>
  <c r="AU2466" i="2"/>
  <c r="AV2466" i="2"/>
  <c r="AW2466" i="2" s="1"/>
  <c r="AX2466" i="2"/>
  <c r="AY2466" i="2"/>
  <c r="AR2467" i="2"/>
  <c r="AS2467" i="2"/>
  <c r="AT2467" i="2"/>
  <c r="AU2467" i="2"/>
  <c r="AV2467" i="2"/>
  <c r="AW2467" i="2" s="1"/>
  <c r="AX2467" i="2"/>
  <c r="AY2467" i="2"/>
  <c r="AR2468" i="2"/>
  <c r="AS2468" i="2"/>
  <c r="AT2468" i="2"/>
  <c r="AU2468" i="2"/>
  <c r="AV2468" i="2"/>
  <c r="AW2468" i="2" s="1"/>
  <c r="AX2468" i="2"/>
  <c r="AY2468" i="2"/>
  <c r="AR2469" i="2"/>
  <c r="AS2469" i="2"/>
  <c r="AT2469" i="2"/>
  <c r="AU2469" i="2"/>
  <c r="AV2469" i="2"/>
  <c r="AW2469" i="2" s="1"/>
  <c r="AX2469" i="2"/>
  <c r="AY2469" i="2"/>
  <c r="AR2470" i="2"/>
  <c r="AS2470" i="2"/>
  <c r="AT2470" i="2"/>
  <c r="AU2470" i="2"/>
  <c r="AV2470" i="2"/>
  <c r="AW2470" i="2" s="1"/>
  <c r="AX2470" i="2"/>
  <c r="AY2470" i="2"/>
  <c r="AR2471" i="2"/>
  <c r="AS2471" i="2"/>
  <c r="AT2471" i="2"/>
  <c r="AU2471" i="2"/>
  <c r="AV2471" i="2"/>
  <c r="AW2471" i="2" s="1"/>
  <c r="AX2471" i="2"/>
  <c r="AY2471" i="2"/>
  <c r="AR2472" i="2"/>
  <c r="AS2472" i="2"/>
  <c r="AT2472" i="2"/>
  <c r="AU2472" i="2"/>
  <c r="AV2472" i="2"/>
  <c r="AW2472" i="2" s="1"/>
  <c r="AX2472" i="2"/>
  <c r="AY2472" i="2"/>
  <c r="AR2473" i="2"/>
  <c r="AS2473" i="2"/>
  <c r="AT2473" i="2"/>
  <c r="AU2473" i="2"/>
  <c r="AV2473" i="2"/>
  <c r="AW2473" i="2" s="1"/>
  <c r="AX2473" i="2"/>
  <c r="AY2473" i="2"/>
  <c r="AR2474" i="2"/>
  <c r="AS2474" i="2"/>
  <c r="AT2474" i="2"/>
  <c r="AU2474" i="2"/>
  <c r="AV2474" i="2"/>
  <c r="AW2474" i="2" s="1"/>
  <c r="AX2474" i="2"/>
  <c r="AY2474" i="2"/>
  <c r="AR2475" i="2"/>
  <c r="AS2475" i="2"/>
  <c r="AT2475" i="2"/>
  <c r="AU2475" i="2"/>
  <c r="AV2475" i="2"/>
  <c r="AW2475" i="2" s="1"/>
  <c r="AX2475" i="2"/>
  <c r="AY2475" i="2"/>
  <c r="AR2476" i="2"/>
  <c r="AS2476" i="2"/>
  <c r="AT2476" i="2"/>
  <c r="AU2476" i="2"/>
  <c r="AV2476" i="2"/>
  <c r="AW2476" i="2" s="1"/>
  <c r="AX2476" i="2"/>
  <c r="AY2476" i="2"/>
  <c r="AR2477" i="2"/>
  <c r="AS2477" i="2"/>
  <c r="AT2477" i="2"/>
  <c r="AU2477" i="2"/>
  <c r="AV2477" i="2"/>
  <c r="AW2477" i="2" s="1"/>
  <c r="AX2477" i="2"/>
  <c r="AY2477" i="2"/>
  <c r="AR2478" i="2"/>
  <c r="AS2478" i="2"/>
  <c r="AT2478" i="2"/>
  <c r="AU2478" i="2"/>
  <c r="AV2478" i="2"/>
  <c r="AW2478" i="2" s="1"/>
  <c r="AX2478" i="2"/>
  <c r="AY2478" i="2"/>
  <c r="AR2479" i="2"/>
  <c r="AS2479" i="2"/>
  <c r="AT2479" i="2"/>
  <c r="AU2479" i="2"/>
  <c r="AV2479" i="2"/>
  <c r="AW2479" i="2" s="1"/>
  <c r="AX2479" i="2"/>
  <c r="AY2479" i="2"/>
  <c r="AR2480" i="2"/>
  <c r="AS2480" i="2"/>
  <c r="AT2480" i="2"/>
  <c r="AU2480" i="2"/>
  <c r="AV2480" i="2"/>
  <c r="AW2480" i="2" s="1"/>
  <c r="AX2480" i="2"/>
  <c r="AY2480" i="2"/>
  <c r="AR2481" i="2"/>
  <c r="AS2481" i="2"/>
  <c r="AT2481" i="2"/>
  <c r="AU2481" i="2"/>
  <c r="AV2481" i="2"/>
  <c r="AW2481" i="2" s="1"/>
  <c r="AX2481" i="2"/>
  <c r="AY2481" i="2"/>
  <c r="AR2482" i="2"/>
  <c r="AS2482" i="2"/>
  <c r="AT2482" i="2"/>
  <c r="AU2482" i="2"/>
  <c r="AV2482" i="2"/>
  <c r="AW2482" i="2" s="1"/>
  <c r="AX2482" i="2"/>
  <c r="AY2482" i="2"/>
  <c r="AR2483" i="2"/>
  <c r="AS2483" i="2"/>
  <c r="AT2483" i="2"/>
  <c r="AU2483" i="2"/>
  <c r="AV2483" i="2"/>
  <c r="AW2483" i="2" s="1"/>
  <c r="AX2483" i="2"/>
  <c r="AY2483" i="2"/>
  <c r="AR2484" i="2"/>
  <c r="AS2484" i="2"/>
  <c r="AT2484" i="2"/>
  <c r="AU2484" i="2"/>
  <c r="AV2484" i="2"/>
  <c r="AW2484" i="2" s="1"/>
  <c r="AX2484" i="2"/>
  <c r="AY2484" i="2"/>
  <c r="AR2485" i="2"/>
  <c r="AS2485" i="2"/>
  <c r="AT2485" i="2"/>
  <c r="AU2485" i="2"/>
  <c r="AV2485" i="2"/>
  <c r="AW2485" i="2" s="1"/>
  <c r="AX2485" i="2"/>
  <c r="AY2485" i="2"/>
  <c r="AR2486" i="2"/>
  <c r="AS2486" i="2"/>
  <c r="AT2486" i="2"/>
  <c r="AU2486" i="2"/>
  <c r="AV2486" i="2"/>
  <c r="AW2486" i="2" s="1"/>
  <c r="AX2486" i="2"/>
  <c r="AY2486" i="2"/>
  <c r="AR2487" i="2"/>
  <c r="AS2487" i="2"/>
  <c r="AT2487" i="2"/>
  <c r="AU2487" i="2"/>
  <c r="AV2487" i="2"/>
  <c r="AW2487" i="2" s="1"/>
  <c r="AX2487" i="2"/>
  <c r="AY2487" i="2"/>
  <c r="AR2488" i="2"/>
  <c r="AS2488" i="2"/>
  <c r="AT2488" i="2"/>
  <c r="AU2488" i="2"/>
  <c r="AV2488" i="2"/>
  <c r="AW2488" i="2" s="1"/>
  <c r="AX2488" i="2"/>
  <c r="AY2488" i="2"/>
  <c r="AR2489" i="2"/>
  <c r="AS2489" i="2"/>
  <c r="AT2489" i="2"/>
  <c r="AU2489" i="2"/>
  <c r="AV2489" i="2"/>
  <c r="AW2489" i="2" s="1"/>
  <c r="AX2489" i="2"/>
  <c r="AY2489" i="2"/>
  <c r="AR2490" i="2"/>
  <c r="AS2490" i="2"/>
  <c r="AT2490" i="2"/>
  <c r="AU2490" i="2"/>
  <c r="AV2490" i="2"/>
  <c r="AW2490" i="2" s="1"/>
  <c r="AX2490" i="2"/>
  <c r="AY2490" i="2"/>
  <c r="AR2491" i="2"/>
  <c r="AS2491" i="2"/>
  <c r="AT2491" i="2"/>
  <c r="AU2491" i="2"/>
  <c r="AV2491" i="2"/>
  <c r="AW2491" i="2" s="1"/>
  <c r="AX2491" i="2"/>
  <c r="AY2491" i="2"/>
  <c r="AR2492" i="2"/>
  <c r="AS2492" i="2"/>
  <c r="AT2492" i="2"/>
  <c r="AU2492" i="2"/>
  <c r="AV2492" i="2"/>
  <c r="AW2492" i="2" s="1"/>
  <c r="AX2492" i="2"/>
  <c r="AY2492" i="2"/>
  <c r="AR2493" i="2"/>
  <c r="AS2493" i="2"/>
  <c r="AT2493" i="2"/>
  <c r="AU2493" i="2"/>
  <c r="AV2493" i="2"/>
  <c r="AW2493" i="2" s="1"/>
  <c r="AX2493" i="2"/>
  <c r="AY2493" i="2"/>
  <c r="AR2494" i="2"/>
  <c r="AS2494" i="2"/>
  <c r="AT2494" i="2"/>
  <c r="AU2494" i="2"/>
  <c r="AV2494" i="2"/>
  <c r="AW2494" i="2" s="1"/>
  <c r="AX2494" i="2"/>
  <c r="AY2494" i="2"/>
  <c r="AR2495" i="2"/>
  <c r="AS2495" i="2"/>
  <c r="AT2495" i="2"/>
  <c r="AU2495" i="2"/>
  <c r="AV2495" i="2"/>
  <c r="AW2495" i="2" s="1"/>
  <c r="AX2495" i="2"/>
  <c r="AY2495" i="2"/>
  <c r="AR2496" i="2"/>
  <c r="AS2496" i="2"/>
  <c r="AT2496" i="2"/>
  <c r="AU2496" i="2"/>
  <c r="AV2496" i="2"/>
  <c r="AW2496" i="2" s="1"/>
  <c r="AX2496" i="2"/>
  <c r="AY2496" i="2"/>
  <c r="AR2497" i="2"/>
  <c r="AS2497" i="2"/>
  <c r="AT2497" i="2"/>
  <c r="AU2497" i="2"/>
  <c r="AV2497" i="2"/>
  <c r="AW2497" i="2" s="1"/>
  <c r="AX2497" i="2"/>
  <c r="AY2497" i="2"/>
  <c r="AR2498" i="2"/>
  <c r="AS2498" i="2"/>
  <c r="AT2498" i="2"/>
  <c r="AU2498" i="2"/>
  <c r="AV2498" i="2"/>
  <c r="AW2498" i="2" s="1"/>
  <c r="AX2498" i="2"/>
  <c r="AY2498" i="2"/>
  <c r="AR2499" i="2"/>
  <c r="AS2499" i="2"/>
  <c r="AT2499" i="2"/>
  <c r="AU2499" i="2"/>
  <c r="AV2499" i="2"/>
  <c r="AW2499" i="2" s="1"/>
  <c r="AX2499" i="2"/>
  <c r="AY2499" i="2"/>
  <c r="AR2500" i="2"/>
  <c r="AS2500" i="2"/>
  <c r="AT2500" i="2"/>
  <c r="AU2500" i="2"/>
  <c r="AV2500" i="2"/>
  <c r="AW2500" i="2" s="1"/>
  <c r="AX2500" i="2"/>
  <c r="AY2500" i="2"/>
  <c r="AR2501" i="2"/>
  <c r="AS2501" i="2"/>
  <c r="AT2501" i="2"/>
  <c r="AU2501" i="2"/>
  <c r="AV2501" i="2"/>
  <c r="AW2501" i="2" s="1"/>
  <c r="AX2501" i="2"/>
  <c r="AY2501" i="2"/>
  <c r="AR2502" i="2"/>
  <c r="AS2502" i="2"/>
  <c r="AT2502" i="2"/>
  <c r="AU2502" i="2"/>
  <c r="AV2502" i="2"/>
  <c r="AW2502" i="2" s="1"/>
  <c r="AX2502" i="2"/>
  <c r="AY2502" i="2"/>
  <c r="AR2503" i="2"/>
  <c r="AS2503" i="2"/>
  <c r="AT2503" i="2"/>
  <c r="AU2503" i="2"/>
  <c r="AV2503" i="2"/>
  <c r="AW2503" i="2" s="1"/>
  <c r="AX2503" i="2"/>
  <c r="AY2503" i="2"/>
  <c r="AR2504" i="2"/>
  <c r="AS2504" i="2"/>
  <c r="AT2504" i="2"/>
  <c r="AU2504" i="2"/>
  <c r="AV2504" i="2"/>
  <c r="AW2504" i="2" s="1"/>
  <c r="AX2504" i="2"/>
  <c r="AY2504" i="2"/>
  <c r="AR2505" i="2"/>
  <c r="AS2505" i="2"/>
  <c r="AT2505" i="2"/>
  <c r="AU2505" i="2"/>
  <c r="AV2505" i="2"/>
  <c r="AW2505" i="2" s="1"/>
  <c r="AX2505" i="2"/>
  <c r="AY2505" i="2"/>
  <c r="AR2506" i="2"/>
  <c r="AS2506" i="2"/>
  <c r="AT2506" i="2"/>
  <c r="AU2506" i="2"/>
  <c r="AV2506" i="2"/>
  <c r="AW2506" i="2" s="1"/>
  <c r="AX2506" i="2"/>
  <c r="AY2506" i="2"/>
  <c r="AR2507" i="2"/>
  <c r="AS2507" i="2"/>
  <c r="AT2507" i="2"/>
  <c r="AU2507" i="2"/>
  <c r="AV2507" i="2"/>
  <c r="AW2507" i="2" s="1"/>
  <c r="AX2507" i="2"/>
  <c r="AY2507" i="2"/>
  <c r="AR2508" i="2"/>
  <c r="AS2508" i="2"/>
  <c r="AT2508" i="2"/>
  <c r="AU2508" i="2"/>
  <c r="AV2508" i="2"/>
  <c r="AW2508" i="2" s="1"/>
  <c r="AX2508" i="2"/>
  <c r="AY2508" i="2"/>
  <c r="AR2509" i="2"/>
  <c r="AS2509" i="2"/>
  <c r="AT2509" i="2"/>
  <c r="AU2509" i="2"/>
  <c r="AV2509" i="2"/>
  <c r="AW2509" i="2" s="1"/>
  <c r="AX2509" i="2"/>
  <c r="AY2509" i="2"/>
  <c r="AR2510" i="2"/>
  <c r="AS2510" i="2"/>
  <c r="AT2510" i="2"/>
  <c r="AU2510" i="2"/>
  <c r="AV2510" i="2"/>
  <c r="AW2510" i="2" s="1"/>
  <c r="AX2510" i="2"/>
  <c r="AY2510" i="2"/>
  <c r="AR2511" i="2"/>
  <c r="AS2511" i="2"/>
  <c r="AT2511" i="2"/>
  <c r="AU2511" i="2"/>
  <c r="AV2511" i="2"/>
  <c r="AW2511" i="2" s="1"/>
  <c r="AX2511" i="2"/>
  <c r="AY2511" i="2"/>
  <c r="AR2512" i="2"/>
  <c r="AS2512" i="2"/>
  <c r="AT2512" i="2"/>
  <c r="AU2512" i="2"/>
  <c r="AV2512" i="2"/>
  <c r="AW2512" i="2" s="1"/>
  <c r="AX2512" i="2"/>
  <c r="AY2512" i="2"/>
  <c r="AR2513" i="2"/>
  <c r="AS2513" i="2"/>
  <c r="AT2513" i="2"/>
  <c r="AU2513" i="2"/>
  <c r="AV2513" i="2"/>
  <c r="AW2513" i="2" s="1"/>
  <c r="AX2513" i="2"/>
  <c r="AY2513" i="2"/>
  <c r="AR2514" i="2"/>
  <c r="AS2514" i="2"/>
  <c r="AT2514" i="2"/>
  <c r="AU2514" i="2"/>
  <c r="AV2514" i="2"/>
  <c r="AW2514" i="2" s="1"/>
  <c r="AX2514" i="2"/>
  <c r="AY2514" i="2"/>
  <c r="AR2515" i="2"/>
  <c r="AS2515" i="2"/>
  <c r="AT2515" i="2"/>
  <c r="AU2515" i="2"/>
  <c r="AV2515" i="2"/>
  <c r="AW2515" i="2" s="1"/>
  <c r="AX2515" i="2"/>
  <c r="AY2515" i="2"/>
  <c r="AR2516" i="2"/>
  <c r="AS2516" i="2"/>
  <c r="AT2516" i="2"/>
  <c r="AU2516" i="2"/>
  <c r="AV2516" i="2"/>
  <c r="AW2516" i="2" s="1"/>
  <c r="AX2516" i="2"/>
  <c r="AY2516" i="2"/>
  <c r="AR2517" i="2"/>
  <c r="AS2517" i="2"/>
  <c r="AT2517" i="2"/>
  <c r="AU2517" i="2"/>
  <c r="AV2517" i="2"/>
  <c r="AW2517" i="2" s="1"/>
  <c r="AX2517" i="2"/>
  <c r="AY2517" i="2"/>
  <c r="AR2518" i="2"/>
  <c r="AS2518" i="2"/>
  <c r="AT2518" i="2"/>
  <c r="AU2518" i="2"/>
  <c r="AV2518" i="2"/>
  <c r="AW2518" i="2" s="1"/>
  <c r="AX2518" i="2"/>
  <c r="AY2518" i="2"/>
  <c r="AR2519" i="2"/>
  <c r="AS2519" i="2"/>
  <c r="AT2519" i="2"/>
  <c r="AU2519" i="2"/>
  <c r="AV2519" i="2"/>
  <c r="AW2519" i="2" s="1"/>
  <c r="AX2519" i="2"/>
  <c r="AY2519" i="2"/>
  <c r="AR2520" i="2"/>
  <c r="AS2520" i="2"/>
  <c r="AT2520" i="2"/>
  <c r="AU2520" i="2"/>
  <c r="AV2520" i="2"/>
  <c r="AW2520" i="2" s="1"/>
  <c r="AX2520" i="2"/>
  <c r="AY2520" i="2"/>
  <c r="AR2521" i="2"/>
  <c r="AS2521" i="2"/>
  <c r="AT2521" i="2"/>
  <c r="AU2521" i="2"/>
  <c r="AV2521" i="2"/>
  <c r="AW2521" i="2" s="1"/>
  <c r="AX2521" i="2"/>
  <c r="AY2521" i="2"/>
  <c r="AR2522" i="2"/>
  <c r="AS2522" i="2"/>
  <c r="AT2522" i="2"/>
  <c r="AU2522" i="2"/>
  <c r="AV2522" i="2"/>
  <c r="AW2522" i="2" s="1"/>
  <c r="AX2522" i="2"/>
  <c r="AY2522" i="2"/>
  <c r="AR2523" i="2"/>
  <c r="AS2523" i="2"/>
  <c r="AT2523" i="2"/>
  <c r="AU2523" i="2"/>
  <c r="AV2523" i="2"/>
  <c r="AW2523" i="2" s="1"/>
  <c r="AX2523" i="2"/>
  <c r="AY2523" i="2"/>
  <c r="AR2524" i="2"/>
  <c r="AS2524" i="2"/>
  <c r="AT2524" i="2"/>
  <c r="AU2524" i="2"/>
  <c r="AV2524" i="2"/>
  <c r="AW2524" i="2" s="1"/>
  <c r="AX2524" i="2"/>
  <c r="AY2524" i="2"/>
  <c r="AR2525" i="2"/>
  <c r="AS2525" i="2"/>
  <c r="AT2525" i="2"/>
  <c r="AU2525" i="2"/>
  <c r="AV2525" i="2"/>
  <c r="AW2525" i="2" s="1"/>
  <c r="AX2525" i="2"/>
  <c r="AY2525" i="2"/>
  <c r="AR2526" i="2"/>
  <c r="AS2526" i="2"/>
  <c r="AT2526" i="2"/>
  <c r="AU2526" i="2"/>
  <c r="AV2526" i="2"/>
  <c r="AW2526" i="2" s="1"/>
  <c r="AX2526" i="2"/>
  <c r="AY2526" i="2"/>
  <c r="AR2527" i="2"/>
  <c r="AS2527" i="2"/>
  <c r="AT2527" i="2"/>
  <c r="AU2527" i="2"/>
  <c r="AV2527" i="2"/>
  <c r="AW2527" i="2" s="1"/>
  <c r="AX2527" i="2"/>
  <c r="AY2527" i="2"/>
  <c r="AR2528" i="2"/>
  <c r="AS2528" i="2"/>
  <c r="AT2528" i="2"/>
  <c r="AU2528" i="2"/>
  <c r="AV2528" i="2"/>
  <c r="AW2528" i="2" s="1"/>
  <c r="AX2528" i="2"/>
  <c r="AY2528" i="2"/>
  <c r="AR2529" i="2"/>
  <c r="AS2529" i="2"/>
  <c r="AT2529" i="2"/>
  <c r="AU2529" i="2"/>
  <c r="AV2529" i="2"/>
  <c r="AW2529" i="2" s="1"/>
  <c r="AX2529" i="2"/>
  <c r="AY2529" i="2"/>
  <c r="AR2530" i="2"/>
  <c r="AS2530" i="2"/>
  <c r="AT2530" i="2"/>
  <c r="AU2530" i="2"/>
  <c r="AV2530" i="2"/>
  <c r="AW2530" i="2" s="1"/>
  <c r="AX2530" i="2"/>
  <c r="AY2530" i="2"/>
  <c r="AR2531" i="2"/>
  <c r="AS2531" i="2"/>
  <c r="AT2531" i="2"/>
  <c r="AU2531" i="2"/>
  <c r="AV2531" i="2"/>
  <c r="AW2531" i="2" s="1"/>
  <c r="AX2531" i="2"/>
  <c r="AY2531" i="2"/>
  <c r="AR2532" i="2"/>
  <c r="AS2532" i="2"/>
  <c r="AT2532" i="2"/>
  <c r="AU2532" i="2"/>
  <c r="AV2532" i="2"/>
  <c r="AW2532" i="2" s="1"/>
  <c r="AX2532" i="2"/>
  <c r="AY2532" i="2"/>
  <c r="AR2533" i="2"/>
  <c r="AS2533" i="2"/>
  <c r="AT2533" i="2"/>
  <c r="AU2533" i="2"/>
  <c r="AV2533" i="2"/>
  <c r="AW2533" i="2" s="1"/>
  <c r="AX2533" i="2"/>
  <c r="AY2533" i="2"/>
  <c r="AR2534" i="2"/>
  <c r="AS2534" i="2"/>
  <c r="AT2534" i="2"/>
  <c r="AU2534" i="2"/>
  <c r="AV2534" i="2"/>
  <c r="AW2534" i="2" s="1"/>
  <c r="AX2534" i="2"/>
  <c r="AY2534" i="2"/>
  <c r="AR2535" i="2"/>
  <c r="AS2535" i="2"/>
  <c r="AT2535" i="2"/>
  <c r="AU2535" i="2"/>
  <c r="AV2535" i="2"/>
  <c r="AW2535" i="2" s="1"/>
  <c r="AX2535" i="2"/>
  <c r="AY2535" i="2"/>
  <c r="AR2536" i="2"/>
  <c r="AS2536" i="2"/>
  <c r="AT2536" i="2"/>
  <c r="AU2536" i="2"/>
  <c r="AV2536" i="2"/>
  <c r="AW2536" i="2" s="1"/>
  <c r="AX2536" i="2"/>
  <c r="AY2536" i="2"/>
  <c r="AR2537" i="2"/>
  <c r="AS2537" i="2"/>
  <c r="AT2537" i="2"/>
  <c r="AU2537" i="2"/>
  <c r="AV2537" i="2"/>
  <c r="AW2537" i="2" s="1"/>
  <c r="AX2537" i="2"/>
  <c r="AY2537" i="2"/>
  <c r="AR2538" i="2"/>
  <c r="AS2538" i="2"/>
  <c r="AT2538" i="2"/>
  <c r="AU2538" i="2"/>
  <c r="AV2538" i="2"/>
  <c r="AW2538" i="2" s="1"/>
  <c r="AX2538" i="2"/>
  <c r="AY2538" i="2"/>
  <c r="AR2539" i="2"/>
  <c r="AS2539" i="2"/>
  <c r="AT2539" i="2"/>
  <c r="AU2539" i="2"/>
  <c r="AV2539" i="2"/>
  <c r="AW2539" i="2" s="1"/>
  <c r="AX2539" i="2"/>
  <c r="AY2539" i="2"/>
  <c r="AR2540" i="2"/>
  <c r="AS2540" i="2"/>
  <c r="AT2540" i="2"/>
  <c r="AU2540" i="2"/>
  <c r="AV2540" i="2"/>
  <c r="AW2540" i="2" s="1"/>
  <c r="AX2540" i="2"/>
  <c r="AY2540" i="2"/>
  <c r="AR2541" i="2"/>
  <c r="AS2541" i="2"/>
  <c r="AT2541" i="2"/>
  <c r="AU2541" i="2"/>
  <c r="AV2541" i="2"/>
  <c r="AW2541" i="2" s="1"/>
  <c r="AX2541" i="2"/>
  <c r="AY2541" i="2"/>
  <c r="AR2542" i="2"/>
  <c r="AS2542" i="2"/>
  <c r="AT2542" i="2"/>
  <c r="AU2542" i="2"/>
  <c r="AV2542" i="2"/>
  <c r="AW2542" i="2" s="1"/>
  <c r="AX2542" i="2"/>
  <c r="AY2542" i="2"/>
  <c r="AR2543" i="2"/>
  <c r="AS2543" i="2"/>
  <c r="AT2543" i="2"/>
  <c r="AU2543" i="2"/>
  <c r="AV2543" i="2"/>
  <c r="AW2543" i="2" s="1"/>
  <c r="AX2543" i="2"/>
  <c r="AY2543" i="2"/>
  <c r="AR2544" i="2"/>
  <c r="AS2544" i="2"/>
  <c r="AT2544" i="2"/>
  <c r="AU2544" i="2"/>
  <c r="AV2544" i="2"/>
  <c r="AW2544" i="2" s="1"/>
  <c r="AX2544" i="2"/>
  <c r="AY2544" i="2"/>
  <c r="AR2545" i="2"/>
  <c r="AS2545" i="2"/>
  <c r="AT2545" i="2"/>
  <c r="AU2545" i="2"/>
  <c r="AV2545" i="2"/>
  <c r="AW2545" i="2" s="1"/>
  <c r="AX2545" i="2"/>
  <c r="AY2545" i="2"/>
  <c r="AR2546" i="2"/>
  <c r="AS2546" i="2"/>
  <c r="AT2546" i="2"/>
  <c r="AU2546" i="2"/>
  <c r="AV2546" i="2"/>
  <c r="AW2546" i="2" s="1"/>
  <c r="AX2546" i="2"/>
  <c r="AY2546" i="2"/>
  <c r="AR2547" i="2"/>
  <c r="AS2547" i="2"/>
  <c r="AT2547" i="2"/>
  <c r="AU2547" i="2"/>
  <c r="AV2547" i="2"/>
  <c r="AW2547" i="2" s="1"/>
  <c r="AX2547" i="2"/>
  <c r="AY2547" i="2"/>
  <c r="AR2548" i="2"/>
  <c r="AS2548" i="2"/>
  <c r="AT2548" i="2"/>
  <c r="AU2548" i="2"/>
  <c r="AV2548" i="2"/>
  <c r="AW2548" i="2" s="1"/>
  <c r="AX2548" i="2"/>
  <c r="AY2548" i="2"/>
  <c r="AR2549" i="2"/>
  <c r="AS2549" i="2"/>
  <c r="AT2549" i="2"/>
  <c r="AU2549" i="2"/>
  <c r="AV2549" i="2"/>
  <c r="AW2549" i="2" s="1"/>
  <c r="AX2549" i="2"/>
  <c r="AY2549" i="2"/>
  <c r="AR2550" i="2"/>
  <c r="AS2550" i="2"/>
  <c r="AT2550" i="2"/>
  <c r="AU2550" i="2"/>
  <c r="AV2550" i="2"/>
  <c r="AW2550" i="2" s="1"/>
  <c r="AX2550" i="2"/>
  <c r="AY2550" i="2"/>
  <c r="AR2551" i="2"/>
  <c r="AS2551" i="2"/>
  <c r="AT2551" i="2"/>
  <c r="AU2551" i="2"/>
  <c r="AV2551" i="2"/>
  <c r="AW2551" i="2" s="1"/>
  <c r="AX2551" i="2"/>
  <c r="AY2551" i="2"/>
  <c r="AR2552" i="2"/>
  <c r="AS2552" i="2"/>
  <c r="AT2552" i="2"/>
  <c r="AU2552" i="2"/>
  <c r="AV2552" i="2"/>
  <c r="AW2552" i="2" s="1"/>
  <c r="AX2552" i="2"/>
  <c r="AY2552" i="2"/>
  <c r="AR2553" i="2"/>
  <c r="AS2553" i="2"/>
  <c r="AT2553" i="2"/>
  <c r="AU2553" i="2"/>
  <c r="AV2553" i="2"/>
  <c r="AW2553" i="2" s="1"/>
  <c r="AX2553" i="2"/>
  <c r="AY2553" i="2"/>
  <c r="AR2554" i="2"/>
  <c r="AS2554" i="2"/>
  <c r="AT2554" i="2"/>
  <c r="AU2554" i="2"/>
  <c r="AV2554" i="2"/>
  <c r="AW2554" i="2" s="1"/>
  <c r="AX2554" i="2"/>
  <c r="AY2554" i="2"/>
  <c r="AR2555" i="2"/>
  <c r="AS2555" i="2"/>
  <c r="AT2555" i="2"/>
  <c r="AU2555" i="2"/>
  <c r="AV2555" i="2"/>
  <c r="AW2555" i="2" s="1"/>
  <c r="AX2555" i="2"/>
  <c r="AY2555" i="2"/>
  <c r="AR2556" i="2"/>
  <c r="AS2556" i="2"/>
  <c r="AT2556" i="2"/>
  <c r="AU2556" i="2"/>
  <c r="AV2556" i="2"/>
  <c r="AW2556" i="2" s="1"/>
  <c r="AX2556" i="2"/>
  <c r="AY2556" i="2"/>
  <c r="AR2557" i="2"/>
  <c r="AS2557" i="2"/>
  <c r="AT2557" i="2"/>
  <c r="AU2557" i="2"/>
  <c r="AV2557" i="2"/>
  <c r="AW2557" i="2" s="1"/>
  <c r="AX2557" i="2"/>
  <c r="AY2557" i="2"/>
  <c r="AR2558" i="2"/>
  <c r="AS2558" i="2"/>
  <c r="AT2558" i="2"/>
  <c r="AU2558" i="2"/>
  <c r="AV2558" i="2"/>
  <c r="AW2558" i="2" s="1"/>
  <c r="AX2558" i="2"/>
  <c r="AY2558" i="2"/>
  <c r="AR2559" i="2"/>
  <c r="AS2559" i="2"/>
  <c r="AT2559" i="2"/>
  <c r="AU2559" i="2"/>
  <c r="AV2559" i="2"/>
  <c r="AW2559" i="2" s="1"/>
  <c r="AX2559" i="2"/>
  <c r="AY2559" i="2"/>
  <c r="AR2560" i="2"/>
  <c r="AS2560" i="2"/>
  <c r="AT2560" i="2"/>
  <c r="AU2560" i="2"/>
  <c r="AV2560" i="2"/>
  <c r="AW2560" i="2" s="1"/>
  <c r="AX2560" i="2"/>
  <c r="AY2560" i="2"/>
  <c r="AR2561" i="2"/>
  <c r="AS2561" i="2"/>
  <c r="AT2561" i="2"/>
  <c r="AU2561" i="2"/>
  <c r="AV2561" i="2"/>
  <c r="AW2561" i="2" s="1"/>
  <c r="AX2561" i="2"/>
  <c r="AY2561" i="2"/>
  <c r="AR2562" i="2"/>
  <c r="AS2562" i="2"/>
  <c r="AT2562" i="2"/>
  <c r="AU2562" i="2"/>
  <c r="AV2562" i="2"/>
  <c r="AW2562" i="2" s="1"/>
  <c r="AX2562" i="2"/>
  <c r="AY2562" i="2"/>
  <c r="AR2563" i="2"/>
  <c r="AS2563" i="2"/>
  <c r="AT2563" i="2"/>
  <c r="AU2563" i="2"/>
  <c r="AV2563" i="2"/>
  <c r="AW2563" i="2" s="1"/>
  <c r="AX2563" i="2"/>
  <c r="AY2563" i="2"/>
  <c r="AR2564" i="2"/>
  <c r="AS2564" i="2"/>
  <c r="AT2564" i="2"/>
  <c r="AU2564" i="2"/>
  <c r="AV2564" i="2"/>
  <c r="AW2564" i="2" s="1"/>
  <c r="AX2564" i="2"/>
  <c r="AY2564" i="2"/>
  <c r="AR2565" i="2"/>
  <c r="AS2565" i="2"/>
  <c r="AT2565" i="2"/>
  <c r="AU2565" i="2"/>
  <c r="AV2565" i="2"/>
  <c r="AW2565" i="2" s="1"/>
  <c r="AX2565" i="2"/>
  <c r="AY2565" i="2"/>
  <c r="AR2566" i="2"/>
  <c r="AS2566" i="2"/>
  <c r="AT2566" i="2"/>
  <c r="AU2566" i="2"/>
  <c r="AV2566" i="2"/>
  <c r="AW2566" i="2" s="1"/>
  <c r="AX2566" i="2"/>
  <c r="AY2566" i="2"/>
  <c r="AR2567" i="2"/>
  <c r="AS2567" i="2"/>
  <c r="AT2567" i="2"/>
  <c r="AU2567" i="2"/>
  <c r="AV2567" i="2"/>
  <c r="AW2567" i="2" s="1"/>
  <c r="AX2567" i="2"/>
  <c r="AY2567" i="2"/>
  <c r="AR2568" i="2"/>
  <c r="AS2568" i="2"/>
  <c r="AT2568" i="2"/>
  <c r="AU2568" i="2"/>
  <c r="AV2568" i="2"/>
  <c r="AW2568" i="2" s="1"/>
  <c r="AX2568" i="2"/>
  <c r="AY2568" i="2"/>
  <c r="AR2569" i="2"/>
  <c r="AS2569" i="2"/>
  <c r="AT2569" i="2"/>
  <c r="AU2569" i="2"/>
  <c r="AV2569" i="2"/>
  <c r="AW2569" i="2" s="1"/>
  <c r="AX2569" i="2"/>
  <c r="AY2569" i="2"/>
  <c r="AR2570" i="2"/>
  <c r="AS2570" i="2"/>
  <c r="AT2570" i="2"/>
  <c r="AU2570" i="2"/>
  <c r="AV2570" i="2"/>
  <c r="AW2570" i="2" s="1"/>
  <c r="AX2570" i="2"/>
  <c r="AY2570" i="2"/>
  <c r="AR2571" i="2"/>
  <c r="AS2571" i="2"/>
  <c r="AT2571" i="2"/>
  <c r="AU2571" i="2"/>
  <c r="AV2571" i="2"/>
  <c r="AW2571" i="2" s="1"/>
  <c r="AX2571" i="2"/>
  <c r="AY2571" i="2"/>
  <c r="AR2572" i="2"/>
  <c r="AS2572" i="2"/>
  <c r="AT2572" i="2"/>
  <c r="AU2572" i="2"/>
  <c r="AV2572" i="2"/>
  <c r="AW2572" i="2" s="1"/>
  <c r="AX2572" i="2"/>
  <c r="AY2572" i="2"/>
  <c r="AR2573" i="2"/>
  <c r="AS2573" i="2"/>
  <c r="AT2573" i="2"/>
  <c r="AU2573" i="2"/>
  <c r="AV2573" i="2"/>
  <c r="AW2573" i="2" s="1"/>
  <c r="AX2573" i="2"/>
  <c r="AY2573" i="2"/>
  <c r="AR2574" i="2"/>
  <c r="AS2574" i="2"/>
  <c r="AT2574" i="2"/>
  <c r="AU2574" i="2"/>
  <c r="AV2574" i="2"/>
  <c r="AW2574" i="2" s="1"/>
  <c r="AX2574" i="2"/>
  <c r="AY2574" i="2"/>
  <c r="AR2575" i="2"/>
  <c r="AS2575" i="2"/>
  <c r="AT2575" i="2"/>
  <c r="AU2575" i="2"/>
  <c r="AV2575" i="2"/>
  <c r="AW2575" i="2" s="1"/>
  <c r="AX2575" i="2"/>
  <c r="AY2575" i="2"/>
  <c r="AR2576" i="2"/>
  <c r="AS2576" i="2"/>
  <c r="AT2576" i="2"/>
  <c r="AU2576" i="2"/>
  <c r="AV2576" i="2"/>
  <c r="AW2576" i="2" s="1"/>
  <c r="AX2576" i="2"/>
  <c r="AY2576" i="2"/>
  <c r="AR2577" i="2"/>
  <c r="AS2577" i="2"/>
  <c r="AT2577" i="2"/>
  <c r="AU2577" i="2"/>
  <c r="AV2577" i="2"/>
  <c r="AW2577" i="2" s="1"/>
  <c r="AX2577" i="2"/>
  <c r="AY2577" i="2"/>
  <c r="AR2578" i="2"/>
  <c r="AS2578" i="2"/>
  <c r="AT2578" i="2"/>
  <c r="AU2578" i="2"/>
  <c r="AV2578" i="2"/>
  <c r="AW2578" i="2" s="1"/>
  <c r="AX2578" i="2"/>
  <c r="AY2578" i="2"/>
  <c r="AR2579" i="2"/>
  <c r="AS2579" i="2"/>
  <c r="AT2579" i="2"/>
  <c r="AU2579" i="2"/>
  <c r="AV2579" i="2"/>
  <c r="AW2579" i="2" s="1"/>
  <c r="AX2579" i="2"/>
  <c r="AY2579" i="2"/>
  <c r="AR2580" i="2"/>
  <c r="AS2580" i="2"/>
  <c r="AT2580" i="2"/>
  <c r="AU2580" i="2"/>
  <c r="AV2580" i="2"/>
  <c r="AW2580" i="2" s="1"/>
  <c r="AX2580" i="2"/>
  <c r="AY2580" i="2"/>
  <c r="AR2581" i="2"/>
  <c r="AS2581" i="2"/>
  <c r="AT2581" i="2"/>
  <c r="AU2581" i="2"/>
  <c r="AV2581" i="2"/>
  <c r="AW2581" i="2" s="1"/>
  <c r="AX2581" i="2"/>
  <c r="AY2581" i="2"/>
  <c r="AR2582" i="2"/>
  <c r="AS2582" i="2"/>
  <c r="AT2582" i="2"/>
  <c r="AU2582" i="2"/>
  <c r="AV2582" i="2"/>
  <c r="AW2582" i="2" s="1"/>
  <c r="AX2582" i="2"/>
  <c r="AY2582" i="2"/>
  <c r="AR2583" i="2"/>
  <c r="AS2583" i="2"/>
  <c r="AT2583" i="2"/>
  <c r="AU2583" i="2"/>
  <c r="AV2583" i="2"/>
  <c r="AW2583" i="2" s="1"/>
  <c r="AX2583" i="2"/>
  <c r="AY2583" i="2"/>
  <c r="AR2584" i="2"/>
  <c r="AS2584" i="2"/>
  <c r="AT2584" i="2"/>
  <c r="AU2584" i="2"/>
  <c r="AV2584" i="2"/>
  <c r="AW2584" i="2" s="1"/>
  <c r="AX2584" i="2"/>
  <c r="AY2584" i="2"/>
  <c r="AR2585" i="2"/>
  <c r="AS2585" i="2"/>
  <c r="AT2585" i="2"/>
  <c r="AU2585" i="2"/>
  <c r="AV2585" i="2"/>
  <c r="AW2585" i="2" s="1"/>
  <c r="AX2585" i="2"/>
  <c r="AY2585" i="2"/>
  <c r="AR2586" i="2"/>
  <c r="AS2586" i="2"/>
  <c r="AT2586" i="2"/>
  <c r="AU2586" i="2"/>
  <c r="AV2586" i="2"/>
  <c r="AW2586" i="2" s="1"/>
  <c r="AX2586" i="2"/>
  <c r="AY2586" i="2"/>
  <c r="AR2587" i="2"/>
  <c r="AS2587" i="2"/>
  <c r="AT2587" i="2"/>
  <c r="AU2587" i="2"/>
  <c r="AV2587" i="2"/>
  <c r="AW2587" i="2" s="1"/>
  <c r="AX2587" i="2"/>
  <c r="AY2587" i="2"/>
  <c r="AR2588" i="2"/>
  <c r="AS2588" i="2"/>
  <c r="AT2588" i="2"/>
  <c r="AU2588" i="2"/>
  <c r="AV2588" i="2"/>
  <c r="AW2588" i="2" s="1"/>
  <c r="AX2588" i="2"/>
  <c r="AY2588" i="2"/>
  <c r="AR2589" i="2"/>
  <c r="AS2589" i="2"/>
  <c r="AT2589" i="2"/>
  <c r="AU2589" i="2"/>
  <c r="AV2589" i="2"/>
  <c r="AW2589" i="2" s="1"/>
  <c r="AX2589" i="2"/>
  <c r="AY2589" i="2"/>
  <c r="AR2590" i="2"/>
  <c r="AS2590" i="2"/>
  <c r="AT2590" i="2"/>
  <c r="AU2590" i="2"/>
  <c r="AV2590" i="2"/>
  <c r="AW2590" i="2" s="1"/>
  <c r="AX2590" i="2"/>
  <c r="AY2590" i="2"/>
  <c r="AR2591" i="2"/>
  <c r="AS2591" i="2"/>
  <c r="AT2591" i="2"/>
  <c r="AU2591" i="2"/>
  <c r="AV2591" i="2"/>
  <c r="AW2591" i="2" s="1"/>
  <c r="AX2591" i="2"/>
  <c r="AY2591" i="2"/>
  <c r="AR2592" i="2"/>
  <c r="AS2592" i="2"/>
  <c r="AT2592" i="2"/>
  <c r="AU2592" i="2"/>
  <c r="AV2592" i="2"/>
  <c r="AW2592" i="2" s="1"/>
  <c r="AX2592" i="2"/>
  <c r="AY2592" i="2"/>
  <c r="AR2593" i="2"/>
  <c r="AS2593" i="2"/>
  <c r="AT2593" i="2"/>
  <c r="AU2593" i="2"/>
  <c r="AV2593" i="2"/>
  <c r="AW2593" i="2" s="1"/>
  <c r="AX2593" i="2"/>
  <c r="AY2593" i="2"/>
  <c r="AR2594" i="2"/>
  <c r="AS2594" i="2"/>
  <c r="AT2594" i="2"/>
  <c r="AU2594" i="2"/>
  <c r="AV2594" i="2"/>
  <c r="AW2594" i="2" s="1"/>
  <c r="AX2594" i="2"/>
  <c r="AY2594" i="2"/>
  <c r="AR2595" i="2"/>
  <c r="AS2595" i="2"/>
  <c r="AT2595" i="2"/>
  <c r="AU2595" i="2"/>
  <c r="AV2595" i="2"/>
  <c r="AW2595" i="2" s="1"/>
  <c r="AX2595" i="2"/>
  <c r="AY2595" i="2"/>
  <c r="AR2596" i="2"/>
  <c r="AS2596" i="2"/>
  <c r="AT2596" i="2"/>
  <c r="AU2596" i="2"/>
  <c r="AV2596" i="2"/>
  <c r="AW2596" i="2" s="1"/>
  <c r="AX2596" i="2"/>
  <c r="AY2596" i="2"/>
  <c r="AR2597" i="2"/>
  <c r="AS2597" i="2"/>
  <c r="AT2597" i="2"/>
  <c r="AU2597" i="2"/>
  <c r="AV2597" i="2"/>
  <c r="AW2597" i="2" s="1"/>
  <c r="AX2597" i="2"/>
  <c r="AY2597" i="2"/>
  <c r="AR2598" i="2"/>
  <c r="AS2598" i="2"/>
  <c r="AT2598" i="2"/>
  <c r="AU2598" i="2"/>
  <c r="AV2598" i="2"/>
  <c r="AW2598" i="2" s="1"/>
  <c r="AX2598" i="2"/>
  <c r="AY2598" i="2"/>
  <c r="AR2599" i="2"/>
  <c r="AS2599" i="2"/>
  <c r="AT2599" i="2"/>
  <c r="AU2599" i="2"/>
  <c r="AV2599" i="2"/>
  <c r="AW2599" i="2" s="1"/>
  <c r="AX2599" i="2"/>
  <c r="AY2599" i="2"/>
  <c r="AR2600" i="2"/>
  <c r="AS2600" i="2"/>
  <c r="AT2600" i="2"/>
  <c r="AU2600" i="2"/>
  <c r="AV2600" i="2"/>
  <c r="AW2600" i="2" s="1"/>
  <c r="AX2600" i="2"/>
  <c r="AY2600" i="2"/>
  <c r="AR2601" i="2"/>
  <c r="AS2601" i="2"/>
  <c r="AT2601" i="2"/>
  <c r="AU2601" i="2"/>
  <c r="AV2601" i="2"/>
  <c r="AW2601" i="2" s="1"/>
  <c r="AX2601" i="2"/>
  <c r="AY2601" i="2"/>
  <c r="AR2602" i="2"/>
  <c r="AS2602" i="2"/>
  <c r="AT2602" i="2"/>
  <c r="AU2602" i="2"/>
  <c r="AV2602" i="2"/>
  <c r="AW2602" i="2" s="1"/>
  <c r="AX2602" i="2"/>
  <c r="AY2602" i="2"/>
  <c r="AR2603" i="2"/>
  <c r="AS2603" i="2"/>
  <c r="AT2603" i="2"/>
  <c r="AU2603" i="2"/>
  <c r="AV2603" i="2"/>
  <c r="AW2603" i="2" s="1"/>
  <c r="AX2603" i="2"/>
  <c r="AY2603" i="2"/>
  <c r="AR2604" i="2"/>
  <c r="AS2604" i="2"/>
  <c r="AT2604" i="2"/>
  <c r="AU2604" i="2"/>
  <c r="AV2604" i="2"/>
  <c r="AW2604" i="2" s="1"/>
  <c r="AX2604" i="2"/>
  <c r="AY2604" i="2"/>
  <c r="AR2605" i="2"/>
  <c r="AS2605" i="2"/>
  <c r="AT2605" i="2"/>
  <c r="AU2605" i="2"/>
  <c r="AV2605" i="2"/>
  <c r="AW2605" i="2" s="1"/>
  <c r="AX2605" i="2"/>
  <c r="AY2605" i="2"/>
  <c r="AR2606" i="2"/>
  <c r="AS2606" i="2"/>
  <c r="AT2606" i="2"/>
  <c r="AU2606" i="2"/>
  <c r="AV2606" i="2"/>
  <c r="AW2606" i="2" s="1"/>
  <c r="AX2606" i="2"/>
  <c r="AY2606" i="2"/>
  <c r="AR2607" i="2"/>
  <c r="AS2607" i="2"/>
  <c r="AT2607" i="2"/>
  <c r="AU2607" i="2"/>
  <c r="AV2607" i="2"/>
  <c r="AW2607" i="2" s="1"/>
  <c r="AX2607" i="2"/>
  <c r="AY2607" i="2"/>
  <c r="AR2608" i="2"/>
  <c r="AS2608" i="2"/>
  <c r="AT2608" i="2"/>
  <c r="AU2608" i="2"/>
  <c r="AV2608" i="2"/>
  <c r="AW2608" i="2" s="1"/>
  <c r="AX2608" i="2"/>
  <c r="AY2608" i="2"/>
  <c r="AR2609" i="2"/>
  <c r="AS2609" i="2"/>
  <c r="AT2609" i="2"/>
  <c r="AU2609" i="2"/>
  <c r="AV2609" i="2"/>
  <c r="AW2609" i="2" s="1"/>
  <c r="AX2609" i="2"/>
  <c r="AY2609" i="2"/>
  <c r="AR2610" i="2"/>
  <c r="AS2610" i="2"/>
  <c r="AT2610" i="2"/>
  <c r="AU2610" i="2"/>
  <c r="AV2610" i="2"/>
  <c r="AW2610" i="2" s="1"/>
  <c r="AX2610" i="2"/>
  <c r="AY2610" i="2"/>
  <c r="AR2611" i="2"/>
  <c r="AS2611" i="2"/>
  <c r="AT2611" i="2"/>
  <c r="AU2611" i="2"/>
  <c r="AV2611" i="2"/>
  <c r="AW2611" i="2" s="1"/>
  <c r="AX2611" i="2"/>
  <c r="AY2611" i="2"/>
  <c r="AR2612" i="2"/>
  <c r="AS2612" i="2"/>
  <c r="AT2612" i="2"/>
  <c r="AU2612" i="2"/>
  <c r="AV2612" i="2"/>
  <c r="AW2612" i="2" s="1"/>
  <c r="AX2612" i="2"/>
  <c r="AY2612" i="2"/>
  <c r="AR2613" i="2"/>
  <c r="AS2613" i="2"/>
  <c r="AT2613" i="2"/>
  <c r="AU2613" i="2"/>
  <c r="AV2613" i="2"/>
  <c r="AW2613" i="2" s="1"/>
  <c r="AX2613" i="2"/>
  <c r="AY2613" i="2"/>
  <c r="AR2614" i="2"/>
  <c r="AS2614" i="2"/>
  <c r="AT2614" i="2"/>
  <c r="AU2614" i="2"/>
  <c r="AV2614" i="2"/>
  <c r="AW2614" i="2" s="1"/>
  <c r="AX2614" i="2"/>
  <c r="AY2614" i="2"/>
  <c r="AR2615" i="2"/>
  <c r="AS2615" i="2"/>
  <c r="AT2615" i="2"/>
  <c r="AU2615" i="2"/>
  <c r="AV2615" i="2"/>
  <c r="AW2615" i="2" s="1"/>
  <c r="AX2615" i="2"/>
  <c r="AY2615" i="2"/>
  <c r="AR2616" i="2"/>
  <c r="AS2616" i="2"/>
  <c r="AT2616" i="2"/>
  <c r="AU2616" i="2"/>
  <c r="AV2616" i="2"/>
  <c r="AW2616" i="2" s="1"/>
  <c r="AX2616" i="2"/>
  <c r="AY2616" i="2"/>
  <c r="AR2617" i="2"/>
  <c r="AS2617" i="2"/>
  <c r="AT2617" i="2"/>
  <c r="AU2617" i="2"/>
  <c r="AV2617" i="2"/>
  <c r="AW2617" i="2" s="1"/>
  <c r="AX2617" i="2"/>
  <c r="AY2617" i="2"/>
  <c r="AR2618" i="2"/>
  <c r="AS2618" i="2"/>
  <c r="AT2618" i="2"/>
  <c r="AU2618" i="2"/>
  <c r="AV2618" i="2"/>
  <c r="AW2618" i="2" s="1"/>
  <c r="AX2618" i="2"/>
  <c r="AY2618" i="2"/>
  <c r="AR2619" i="2"/>
  <c r="AS2619" i="2"/>
  <c r="AT2619" i="2"/>
  <c r="AU2619" i="2"/>
  <c r="AV2619" i="2"/>
  <c r="AW2619" i="2" s="1"/>
  <c r="AX2619" i="2"/>
  <c r="AY2619" i="2"/>
  <c r="AR2620" i="2"/>
  <c r="AS2620" i="2"/>
  <c r="AT2620" i="2"/>
  <c r="AU2620" i="2"/>
  <c r="AV2620" i="2"/>
  <c r="AW2620" i="2" s="1"/>
  <c r="AX2620" i="2"/>
  <c r="AY2620" i="2"/>
  <c r="AR2621" i="2"/>
  <c r="AS2621" i="2"/>
  <c r="AT2621" i="2"/>
  <c r="AU2621" i="2"/>
  <c r="AV2621" i="2"/>
  <c r="AW2621" i="2" s="1"/>
  <c r="AX2621" i="2"/>
  <c r="AY2621" i="2"/>
  <c r="AR2622" i="2"/>
  <c r="AS2622" i="2"/>
  <c r="AT2622" i="2"/>
  <c r="AU2622" i="2"/>
  <c r="AV2622" i="2"/>
  <c r="AW2622" i="2" s="1"/>
  <c r="AX2622" i="2"/>
  <c r="AY2622" i="2"/>
  <c r="AR2623" i="2"/>
  <c r="AS2623" i="2"/>
  <c r="AT2623" i="2"/>
  <c r="AU2623" i="2"/>
  <c r="AV2623" i="2"/>
  <c r="AW2623" i="2" s="1"/>
  <c r="AX2623" i="2"/>
  <c r="AY2623" i="2"/>
  <c r="AR2624" i="2"/>
  <c r="AS2624" i="2"/>
  <c r="AT2624" i="2"/>
  <c r="AU2624" i="2"/>
  <c r="AV2624" i="2"/>
  <c r="AW2624" i="2" s="1"/>
  <c r="AX2624" i="2"/>
  <c r="AY2624" i="2"/>
  <c r="AR2625" i="2"/>
  <c r="AS2625" i="2"/>
  <c r="AT2625" i="2"/>
  <c r="AU2625" i="2"/>
  <c r="AV2625" i="2"/>
  <c r="AW2625" i="2" s="1"/>
  <c r="AX2625" i="2"/>
  <c r="AY2625" i="2"/>
  <c r="AR2626" i="2"/>
  <c r="AS2626" i="2"/>
  <c r="AT2626" i="2"/>
  <c r="AU2626" i="2"/>
  <c r="AV2626" i="2"/>
  <c r="AW2626" i="2" s="1"/>
  <c r="AX2626" i="2"/>
  <c r="AY2626" i="2"/>
  <c r="AR2627" i="2"/>
  <c r="AS2627" i="2"/>
  <c r="AT2627" i="2"/>
  <c r="AU2627" i="2"/>
  <c r="AV2627" i="2"/>
  <c r="AW2627" i="2" s="1"/>
  <c r="AX2627" i="2"/>
  <c r="AY2627" i="2"/>
  <c r="AR2628" i="2"/>
  <c r="AS2628" i="2"/>
  <c r="AT2628" i="2"/>
  <c r="AU2628" i="2"/>
  <c r="AV2628" i="2"/>
  <c r="AW2628" i="2" s="1"/>
  <c r="AX2628" i="2"/>
  <c r="AY2628" i="2"/>
  <c r="AR2629" i="2"/>
  <c r="AS2629" i="2"/>
  <c r="AT2629" i="2"/>
  <c r="AU2629" i="2"/>
  <c r="AV2629" i="2"/>
  <c r="AW2629" i="2" s="1"/>
  <c r="AX2629" i="2"/>
  <c r="AY2629" i="2"/>
  <c r="AR2630" i="2"/>
  <c r="AS2630" i="2"/>
  <c r="AT2630" i="2"/>
  <c r="AU2630" i="2"/>
  <c r="AV2630" i="2"/>
  <c r="AW2630" i="2" s="1"/>
  <c r="AX2630" i="2"/>
  <c r="AY2630" i="2"/>
  <c r="AR2631" i="2"/>
  <c r="AS2631" i="2"/>
  <c r="AT2631" i="2"/>
  <c r="AU2631" i="2"/>
  <c r="AV2631" i="2"/>
  <c r="AW2631" i="2" s="1"/>
  <c r="AX2631" i="2"/>
  <c r="AY2631" i="2"/>
  <c r="AR2632" i="2"/>
  <c r="AS2632" i="2"/>
  <c r="AT2632" i="2"/>
  <c r="AU2632" i="2"/>
  <c r="AV2632" i="2"/>
  <c r="AW2632" i="2" s="1"/>
  <c r="AX2632" i="2"/>
  <c r="AY2632" i="2"/>
  <c r="AR2633" i="2"/>
  <c r="AS2633" i="2"/>
  <c r="AT2633" i="2"/>
  <c r="AU2633" i="2"/>
  <c r="AV2633" i="2"/>
  <c r="AW2633" i="2" s="1"/>
  <c r="AX2633" i="2"/>
  <c r="AY2633" i="2"/>
  <c r="AR2634" i="2"/>
  <c r="AS2634" i="2"/>
  <c r="AT2634" i="2"/>
  <c r="AU2634" i="2"/>
  <c r="AV2634" i="2"/>
  <c r="AW2634" i="2" s="1"/>
  <c r="AX2634" i="2"/>
  <c r="AY2634" i="2"/>
  <c r="AR2635" i="2"/>
  <c r="AS2635" i="2"/>
  <c r="AT2635" i="2"/>
  <c r="AU2635" i="2"/>
  <c r="AV2635" i="2"/>
  <c r="AW2635" i="2" s="1"/>
  <c r="AX2635" i="2"/>
  <c r="AY2635" i="2"/>
  <c r="AR2636" i="2"/>
  <c r="AS2636" i="2"/>
  <c r="AT2636" i="2"/>
  <c r="AU2636" i="2"/>
  <c r="AV2636" i="2"/>
  <c r="AW2636" i="2" s="1"/>
  <c r="AX2636" i="2"/>
  <c r="AY2636" i="2"/>
  <c r="AR2637" i="2"/>
  <c r="AS2637" i="2"/>
  <c r="AT2637" i="2"/>
  <c r="AU2637" i="2"/>
  <c r="AV2637" i="2"/>
  <c r="AW2637" i="2" s="1"/>
  <c r="AX2637" i="2"/>
  <c r="AY2637" i="2"/>
  <c r="AR2638" i="2"/>
  <c r="AS2638" i="2"/>
  <c r="AT2638" i="2"/>
  <c r="AU2638" i="2"/>
  <c r="AV2638" i="2"/>
  <c r="AW2638" i="2" s="1"/>
  <c r="AX2638" i="2"/>
  <c r="AY2638" i="2"/>
  <c r="AR2639" i="2"/>
  <c r="AS2639" i="2"/>
  <c r="AT2639" i="2"/>
  <c r="AU2639" i="2"/>
  <c r="AV2639" i="2"/>
  <c r="AW2639" i="2" s="1"/>
  <c r="AX2639" i="2"/>
  <c r="AY2639" i="2"/>
  <c r="AR2640" i="2"/>
  <c r="AS2640" i="2"/>
  <c r="AT2640" i="2"/>
  <c r="AU2640" i="2"/>
  <c r="AV2640" i="2"/>
  <c r="AW2640" i="2" s="1"/>
  <c r="AX2640" i="2"/>
  <c r="AY2640" i="2"/>
  <c r="AR2641" i="2"/>
  <c r="AS2641" i="2"/>
  <c r="AT2641" i="2"/>
  <c r="AU2641" i="2"/>
  <c r="AV2641" i="2"/>
  <c r="AW2641" i="2" s="1"/>
  <c r="AX2641" i="2"/>
  <c r="AY2641" i="2"/>
  <c r="AR2642" i="2"/>
  <c r="AS2642" i="2"/>
  <c r="AT2642" i="2"/>
  <c r="AU2642" i="2"/>
  <c r="AV2642" i="2"/>
  <c r="AW2642" i="2" s="1"/>
  <c r="AX2642" i="2"/>
  <c r="AY2642" i="2"/>
  <c r="AR2643" i="2"/>
  <c r="AS2643" i="2"/>
  <c r="AT2643" i="2"/>
  <c r="AU2643" i="2"/>
  <c r="AV2643" i="2"/>
  <c r="AW2643" i="2" s="1"/>
  <c r="AX2643" i="2"/>
  <c r="AY2643" i="2"/>
  <c r="AR2644" i="2"/>
  <c r="AS2644" i="2"/>
  <c r="AT2644" i="2"/>
  <c r="AU2644" i="2"/>
  <c r="AV2644" i="2"/>
  <c r="AW2644" i="2" s="1"/>
  <c r="AX2644" i="2"/>
  <c r="AY2644" i="2"/>
  <c r="AR2645" i="2"/>
  <c r="AS2645" i="2"/>
  <c r="AT2645" i="2"/>
  <c r="AU2645" i="2"/>
  <c r="AV2645" i="2"/>
  <c r="AW2645" i="2" s="1"/>
  <c r="AX2645" i="2"/>
  <c r="AY2645" i="2"/>
  <c r="AR2646" i="2"/>
  <c r="AS2646" i="2"/>
  <c r="AT2646" i="2"/>
  <c r="AU2646" i="2"/>
  <c r="AV2646" i="2"/>
  <c r="AW2646" i="2" s="1"/>
  <c r="AX2646" i="2"/>
  <c r="AY2646" i="2"/>
  <c r="AR2647" i="2"/>
  <c r="AS2647" i="2"/>
  <c r="AT2647" i="2"/>
  <c r="AU2647" i="2"/>
  <c r="AV2647" i="2"/>
  <c r="AW2647" i="2" s="1"/>
  <c r="AX2647" i="2"/>
  <c r="AY2647" i="2"/>
  <c r="AR2648" i="2"/>
  <c r="AS2648" i="2"/>
  <c r="AT2648" i="2"/>
  <c r="AU2648" i="2"/>
  <c r="AV2648" i="2"/>
  <c r="AW2648" i="2" s="1"/>
  <c r="AX2648" i="2"/>
  <c r="AY2648" i="2"/>
  <c r="AR2649" i="2"/>
  <c r="AS2649" i="2"/>
  <c r="AT2649" i="2"/>
  <c r="AU2649" i="2"/>
  <c r="AV2649" i="2"/>
  <c r="AW2649" i="2" s="1"/>
  <c r="AX2649" i="2"/>
  <c r="AY2649" i="2"/>
  <c r="AR2650" i="2"/>
  <c r="AS2650" i="2"/>
  <c r="AT2650" i="2"/>
  <c r="AU2650" i="2"/>
  <c r="AV2650" i="2"/>
  <c r="AW2650" i="2" s="1"/>
  <c r="AX2650" i="2"/>
  <c r="AY2650" i="2"/>
  <c r="AR2651" i="2"/>
  <c r="AS2651" i="2"/>
  <c r="AT2651" i="2"/>
  <c r="AU2651" i="2"/>
  <c r="AV2651" i="2"/>
  <c r="AW2651" i="2" s="1"/>
  <c r="AX2651" i="2"/>
  <c r="AY2651" i="2"/>
  <c r="AR2652" i="2"/>
  <c r="AS2652" i="2"/>
  <c r="AT2652" i="2"/>
  <c r="AU2652" i="2"/>
  <c r="AV2652" i="2"/>
  <c r="AW2652" i="2" s="1"/>
  <c r="AX2652" i="2"/>
  <c r="AY2652" i="2"/>
  <c r="AR2653" i="2"/>
  <c r="AS2653" i="2"/>
  <c r="AT2653" i="2"/>
  <c r="AU2653" i="2"/>
  <c r="AV2653" i="2"/>
  <c r="AW2653" i="2" s="1"/>
  <c r="AX2653" i="2"/>
  <c r="AY2653" i="2"/>
  <c r="AR2654" i="2"/>
  <c r="AS2654" i="2"/>
  <c r="AT2654" i="2"/>
  <c r="AU2654" i="2"/>
  <c r="AV2654" i="2"/>
  <c r="AW2654" i="2" s="1"/>
  <c r="AX2654" i="2"/>
  <c r="AY2654" i="2"/>
  <c r="AR2655" i="2"/>
  <c r="AS2655" i="2"/>
  <c r="AT2655" i="2"/>
  <c r="AU2655" i="2"/>
  <c r="AV2655" i="2"/>
  <c r="AW2655" i="2" s="1"/>
  <c r="AX2655" i="2"/>
  <c r="AY2655" i="2"/>
  <c r="AR2656" i="2"/>
  <c r="AS2656" i="2"/>
  <c r="AT2656" i="2"/>
  <c r="AU2656" i="2"/>
  <c r="AV2656" i="2"/>
  <c r="AW2656" i="2" s="1"/>
  <c r="AX2656" i="2"/>
  <c r="AY2656" i="2"/>
  <c r="AR2657" i="2"/>
  <c r="AS2657" i="2"/>
  <c r="AT2657" i="2"/>
  <c r="AU2657" i="2"/>
  <c r="AV2657" i="2"/>
  <c r="AW2657" i="2" s="1"/>
  <c r="AX2657" i="2"/>
  <c r="AY2657" i="2"/>
  <c r="AR2658" i="2"/>
  <c r="AS2658" i="2"/>
  <c r="AT2658" i="2"/>
  <c r="AU2658" i="2"/>
  <c r="AV2658" i="2"/>
  <c r="AW2658" i="2" s="1"/>
  <c r="AX2658" i="2"/>
  <c r="AY2658" i="2"/>
  <c r="AR2659" i="2"/>
  <c r="AS2659" i="2"/>
  <c r="AT2659" i="2"/>
  <c r="AU2659" i="2"/>
  <c r="AV2659" i="2"/>
  <c r="AW2659" i="2" s="1"/>
  <c r="AX2659" i="2"/>
  <c r="AY2659" i="2"/>
  <c r="AR2660" i="2"/>
  <c r="AS2660" i="2"/>
  <c r="AT2660" i="2"/>
  <c r="AU2660" i="2"/>
  <c r="AV2660" i="2"/>
  <c r="AW2660" i="2" s="1"/>
  <c r="AX2660" i="2"/>
  <c r="AY2660" i="2"/>
  <c r="AR2661" i="2"/>
  <c r="AS2661" i="2"/>
  <c r="AT2661" i="2"/>
  <c r="AU2661" i="2"/>
  <c r="AV2661" i="2"/>
  <c r="AW2661" i="2" s="1"/>
  <c r="AX2661" i="2"/>
  <c r="AY2661" i="2"/>
  <c r="AR2662" i="2"/>
  <c r="AS2662" i="2"/>
  <c r="AT2662" i="2"/>
  <c r="AU2662" i="2"/>
  <c r="AV2662" i="2"/>
  <c r="AW2662" i="2" s="1"/>
  <c r="AX2662" i="2"/>
  <c r="AY2662" i="2"/>
  <c r="AR2663" i="2"/>
  <c r="AS2663" i="2"/>
  <c r="AT2663" i="2"/>
  <c r="AU2663" i="2"/>
  <c r="AV2663" i="2"/>
  <c r="AW2663" i="2" s="1"/>
  <c r="AX2663" i="2"/>
  <c r="AY2663" i="2"/>
  <c r="AR2664" i="2"/>
  <c r="AS2664" i="2"/>
  <c r="AT2664" i="2"/>
  <c r="AU2664" i="2"/>
  <c r="AV2664" i="2"/>
  <c r="AW2664" i="2" s="1"/>
  <c r="AX2664" i="2"/>
  <c r="AY2664" i="2"/>
  <c r="AR2665" i="2"/>
  <c r="AS2665" i="2"/>
  <c r="AT2665" i="2"/>
  <c r="AU2665" i="2"/>
  <c r="AV2665" i="2"/>
  <c r="AW2665" i="2" s="1"/>
  <c r="AX2665" i="2"/>
  <c r="AY2665" i="2"/>
  <c r="AR2666" i="2"/>
  <c r="AS2666" i="2"/>
  <c r="AT2666" i="2"/>
  <c r="AU2666" i="2"/>
  <c r="AV2666" i="2"/>
  <c r="AW2666" i="2" s="1"/>
  <c r="AX2666" i="2"/>
  <c r="AY2666" i="2"/>
  <c r="AR2667" i="2"/>
  <c r="AS2667" i="2"/>
  <c r="AT2667" i="2"/>
  <c r="AU2667" i="2"/>
  <c r="AV2667" i="2"/>
  <c r="AW2667" i="2" s="1"/>
  <c r="AX2667" i="2"/>
  <c r="AY2667" i="2"/>
  <c r="AR2668" i="2"/>
  <c r="AS2668" i="2"/>
  <c r="AT2668" i="2"/>
  <c r="AU2668" i="2"/>
  <c r="AV2668" i="2"/>
  <c r="AW2668" i="2" s="1"/>
  <c r="AX2668" i="2"/>
  <c r="AY2668" i="2"/>
  <c r="AR2669" i="2"/>
  <c r="AS2669" i="2"/>
  <c r="AT2669" i="2"/>
  <c r="AU2669" i="2"/>
  <c r="AV2669" i="2"/>
  <c r="AW2669" i="2" s="1"/>
  <c r="AX2669" i="2"/>
  <c r="AY2669" i="2"/>
  <c r="AR2670" i="2"/>
  <c r="AS2670" i="2"/>
  <c r="AT2670" i="2"/>
  <c r="AU2670" i="2"/>
  <c r="AV2670" i="2"/>
  <c r="AW2670" i="2" s="1"/>
  <c r="AX2670" i="2"/>
  <c r="AY2670" i="2"/>
  <c r="AR2671" i="2"/>
  <c r="AS2671" i="2"/>
  <c r="AT2671" i="2"/>
  <c r="AU2671" i="2"/>
  <c r="AV2671" i="2"/>
  <c r="AW2671" i="2" s="1"/>
  <c r="AX2671" i="2"/>
  <c r="AY2671" i="2"/>
  <c r="AR2672" i="2"/>
  <c r="AS2672" i="2"/>
  <c r="AT2672" i="2"/>
  <c r="AU2672" i="2"/>
  <c r="AV2672" i="2"/>
  <c r="AW2672" i="2" s="1"/>
  <c r="AX2672" i="2"/>
  <c r="AY2672" i="2"/>
  <c r="AR2673" i="2"/>
  <c r="AS2673" i="2"/>
  <c r="AT2673" i="2"/>
  <c r="AU2673" i="2"/>
  <c r="AV2673" i="2"/>
  <c r="AW2673" i="2" s="1"/>
  <c r="AX2673" i="2"/>
  <c r="AY2673" i="2"/>
  <c r="AR2674" i="2"/>
  <c r="AS2674" i="2"/>
  <c r="AT2674" i="2"/>
  <c r="AU2674" i="2"/>
  <c r="AV2674" i="2"/>
  <c r="AW2674" i="2" s="1"/>
  <c r="AX2674" i="2"/>
  <c r="AY2674" i="2"/>
  <c r="AR2675" i="2"/>
  <c r="AS2675" i="2"/>
  <c r="AT2675" i="2"/>
  <c r="AU2675" i="2"/>
  <c r="AV2675" i="2"/>
  <c r="AW2675" i="2" s="1"/>
  <c r="AX2675" i="2"/>
  <c r="AY2675" i="2"/>
  <c r="AR2676" i="2"/>
  <c r="AS2676" i="2"/>
  <c r="AT2676" i="2"/>
  <c r="AU2676" i="2"/>
  <c r="AV2676" i="2"/>
  <c r="AW2676" i="2" s="1"/>
  <c r="AX2676" i="2"/>
  <c r="AY2676" i="2"/>
  <c r="AR2677" i="2"/>
  <c r="AS2677" i="2"/>
  <c r="AT2677" i="2"/>
  <c r="AU2677" i="2"/>
  <c r="AV2677" i="2"/>
  <c r="AW2677" i="2" s="1"/>
  <c r="AX2677" i="2"/>
  <c r="AY2677" i="2"/>
  <c r="AR2678" i="2"/>
  <c r="AS2678" i="2"/>
  <c r="AT2678" i="2"/>
  <c r="AU2678" i="2"/>
  <c r="AV2678" i="2"/>
  <c r="AW2678" i="2" s="1"/>
  <c r="AX2678" i="2"/>
  <c r="AY2678" i="2"/>
  <c r="AR2679" i="2"/>
  <c r="AS2679" i="2"/>
  <c r="AT2679" i="2"/>
  <c r="AU2679" i="2"/>
  <c r="AV2679" i="2"/>
  <c r="AW2679" i="2" s="1"/>
  <c r="AX2679" i="2"/>
  <c r="AY2679" i="2"/>
  <c r="AR2680" i="2"/>
  <c r="AS2680" i="2"/>
  <c r="AT2680" i="2"/>
  <c r="AU2680" i="2"/>
  <c r="AV2680" i="2"/>
  <c r="AW2680" i="2" s="1"/>
  <c r="AX2680" i="2"/>
  <c r="AY2680" i="2"/>
  <c r="AR2681" i="2"/>
  <c r="AS2681" i="2"/>
  <c r="AT2681" i="2"/>
  <c r="AU2681" i="2"/>
  <c r="AV2681" i="2"/>
  <c r="AW2681" i="2" s="1"/>
  <c r="AX2681" i="2"/>
  <c r="AY2681" i="2"/>
  <c r="AR2682" i="2"/>
  <c r="AS2682" i="2"/>
  <c r="AT2682" i="2"/>
  <c r="AU2682" i="2"/>
  <c r="AV2682" i="2"/>
  <c r="AW2682" i="2" s="1"/>
  <c r="AX2682" i="2"/>
  <c r="AY2682" i="2"/>
  <c r="AR2683" i="2"/>
  <c r="AS2683" i="2"/>
  <c r="AT2683" i="2"/>
  <c r="AU2683" i="2"/>
  <c r="AV2683" i="2"/>
  <c r="AW2683" i="2" s="1"/>
  <c r="AX2683" i="2"/>
  <c r="AY2683" i="2"/>
  <c r="AR2684" i="2"/>
  <c r="AS2684" i="2"/>
  <c r="AT2684" i="2"/>
  <c r="AU2684" i="2"/>
  <c r="AV2684" i="2"/>
  <c r="AW2684" i="2" s="1"/>
  <c r="AX2684" i="2"/>
  <c r="AY2684" i="2"/>
  <c r="AR2685" i="2"/>
  <c r="AS2685" i="2"/>
  <c r="AT2685" i="2"/>
  <c r="AU2685" i="2"/>
  <c r="AV2685" i="2"/>
  <c r="AW2685" i="2" s="1"/>
  <c r="AX2685" i="2"/>
  <c r="AY2685" i="2"/>
  <c r="AR2686" i="2"/>
  <c r="AS2686" i="2"/>
  <c r="AT2686" i="2"/>
  <c r="AU2686" i="2"/>
  <c r="AV2686" i="2"/>
  <c r="AW2686" i="2" s="1"/>
  <c r="AX2686" i="2"/>
  <c r="AY2686" i="2"/>
  <c r="AR2687" i="2"/>
  <c r="AS2687" i="2"/>
  <c r="AT2687" i="2"/>
  <c r="AU2687" i="2"/>
  <c r="AV2687" i="2"/>
  <c r="AW2687" i="2" s="1"/>
  <c r="AX2687" i="2"/>
  <c r="AY2687" i="2"/>
  <c r="AR2688" i="2"/>
  <c r="AS2688" i="2"/>
  <c r="AT2688" i="2"/>
  <c r="AU2688" i="2"/>
  <c r="AV2688" i="2"/>
  <c r="AW2688" i="2" s="1"/>
  <c r="AX2688" i="2"/>
  <c r="AY2688" i="2"/>
  <c r="AR2689" i="2"/>
  <c r="AS2689" i="2"/>
  <c r="AT2689" i="2"/>
  <c r="AU2689" i="2"/>
  <c r="AV2689" i="2"/>
  <c r="AW2689" i="2" s="1"/>
  <c r="AX2689" i="2"/>
  <c r="AY2689" i="2"/>
  <c r="AR2690" i="2"/>
  <c r="AS2690" i="2"/>
  <c r="AT2690" i="2"/>
  <c r="AU2690" i="2"/>
  <c r="AV2690" i="2"/>
  <c r="AW2690" i="2" s="1"/>
  <c r="AX2690" i="2"/>
  <c r="AY2690" i="2"/>
  <c r="AR2691" i="2"/>
  <c r="AS2691" i="2"/>
  <c r="AT2691" i="2"/>
  <c r="AU2691" i="2"/>
  <c r="AV2691" i="2"/>
  <c r="AW2691" i="2" s="1"/>
  <c r="AX2691" i="2"/>
  <c r="AY2691" i="2"/>
  <c r="AR2692" i="2"/>
  <c r="AS2692" i="2"/>
  <c r="AT2692" i="2"/>
  <c r="AU2692" i="2"/>
  <c r="AV2692" i="2"/>
  <c r="AW2692" i="2" s="1"/>
  <c r="AX2692" i="2"/>
  <c r="AY2692" i="2"/>
  <c r="AR2693" i="2"/>
  <c r="AS2693" i="2"/>
  <c r="AT2693" i="2"/>
  <c r="AU2693" i="2"/>
  <c r="AV2693" i="2"/>
  <c r="AW2693" i="2" s="1"/>
  <c r="AX2693" i="2"/>
  <c r="AY2693" i="2"/>
  <c r="AR2694" i="2"/>
  <c r="AS2694" i="2"/>
  <c r="AT2694" i="2"/>
  <c r="AU2694" i="2"/>
  <c r="AV2694" i="2"/>
  <c r="AW2694" i="2" s="1"/>
  <c r="AX2694" i="2"/>
  <c r="AY2694" i="2"/>
  <c r="AR2695" i="2"/>
  <c r="AS2695" i="2"/>
  <c r="AT2695" i="2"/>
  <c r="AU2695" i="2"/>
  <c r="AV2695" i="2"/>
  <c r="AW2695" i="2" s="1"/>
  <c r="AX2695" i="2"/>
  <c r="AY2695" i="2"/>
  <c r="AR2696" i="2"/>
  <c r="AS2696" i="2"/>
  <c r="AT2696" i="2"/>
  <c r="AU2696" i="2"/>
  <c r="AV2696" i="2"/>
  <c r="AW2696" i="2" s="1"/>
  <c r="AX2696" i="2"/>
  <c r="AY2696" i="2"/>
  <c r="AR2697" i="2"/>
  <c r="AS2697" i="2"/>
  <c r="AT2697" i="2"/>
  <c r="AU2697" i="2"/>
  <c r="AV2697" i="2"/>
  <c r="AW2697" i="2" s="1"/>
  <c r="AX2697" i="2"/>
  <c r="AY2697" i="2"/>
  <c r="AR2698" i="2"/>
  <c r="AS2698" i="2"/>
  <c r="AT2698" i="2"/>
  <c r="AU2698" i="2"/>
  <c r="AV2698" i="2"/>
  <c r="AW2698" i="2" s="1"/>
  <c r="AX2698" i="2"/>
  <c r="AY2698" i="2"/>
  <c r="AR2699" i="2"/>
  <c r="AS2699" i="2"/>
  <c r="AT2699" i="2"/>
  <c r="AU2699" i="2"/>
  <c r="AV2699" i="2"/>
  <c r="AW2699" i="2" s="1"/>
  <c r="AX2699" i="2"/>
  <c r="AY2699" i="2"/>
  <c r="AR2700" i="2"/>
  <c r="AS2700" i="2"/>
  <c r="AT2700" i="2"/>
  <c r="AU2700" i="2"/>
  <c r="AV2700" i="2"/>
  <c r="AW2700" i="2" s="1"/>
  <c r="AX2700" i="2"/>
  <c r="AY2700" i="2"/>
  <c r="AR2701" i="2"/>
  <c r="AS2701" i="2"/>
  <c r="AT2701" i="2"/>
  <c r="AU2701" i="2"/>
  <c r="AV2701" i="2"/>
  <c r="AW2701" i="2" s="1"/>
  <c r="AX2701" i="2"/>
  <c r="AY2701" i="2"/>
  <c r="AR2702" i="2"/>
  <c r="AS2702" i="2"/>
  <c r="AT2702" i="2"/>
  <c r="AU2702" i="2"/>
  <c r="AV2702" i="2"/>
  <c r="AW2702" i="2" s="1"/>
  <c r="AX2702" i="2"/>
  <c r="AY2702" i="2"/>
  <c r="AR2703" i="2"/>
  <c r="AS2703" i="2"/>
  <c r="AT2703" i="2"/>
  <c r="AU2703" i="2"/>
  <c r="AV2703" i="2"/>
  <c r="AW2703" i="2" s="1"/>
  <c r="AX2703" i="2"/>
  <c r="AY2703" i="2"/>
  <c r="AR2704" i="2"/>
  <c r="AS2704" i="2"/>
  <c r="AT2704" i="2"/>
  <c r="AU2704" i="2"/>
  <c r="AV2704" i="2"/>
  <c r="AW2704" i="2" s="1"/>
  <c r="AX2704" i="2"/>
  <c r="AY2704" i="2"/>
  <c r="AR2705" i="2"/>
  <c r="AS2705" i="2"/>
  <c r="AT2705" i="2"/>
  <c r="AU2705" i="2"/>
  <c r="AV2705" i="2"/>
  <c r="AW2705" i="2" s="1"/>
  <c r="AX2705" i="2"/>
  <c r="AY2705" i="2"/>
  <c r="AR2706" i="2"/>
  <c r="AS2706" i="2"/>
  <c r="AT2706" i="2"/>
  <c r="AU2706" i="2"/>
  <c r="AV2706" i="2"/>
  <c r="AW2706" i="2" s="1"/>
  <c r="AX2706" i="2"/>
  <c r="AY2706" i="2"/>
  <c r="AR2707" i="2"/>
  <c r="AS2707" i="2"/>
  <c r="AT2707" i="2"/>
  <c r="AU2707" i="2"/>
  <c r="AV2707" i="2"/>
  <c r="AW2707" i="2" s="1"/>
  <c r="AX2707" i="2"/>
  <c r="AY2707" i="2"/>
  <c r="AR2708" i="2"/>
  <c r="AS2708" i="2"/>
  <c r="AT2708" i="2"/>
  <c r="AU2708" i="2"/>
  <c r="AV2708" i="2"/>
  <c r="AW2708" i="2" s="1"/>
  <c r="AX2708" i="2"/>
  <c r="AY2708" i="2"/>
  <c r="AR2709" i="2"/>
  <c r="AS2709" i="2"/>
  <c r="AT2709" i="2"/>
  <c r="AU2709" i="2"/>
  <c r="AV2709" i="2"/>
  <c r="AW2709" i="2" s="1"/>
  <c r="AX2709" i="2"/>
  <c r="AY2709" i="2"/>
  <c r="AR2710" i="2"/>
  <c r="AS2710" i="2"/>
  <c r="AT2710" i="2"/>
  <c r="AU2710" i="2"/>
  <c r="AV2710" i="2"/>
  <c r="AW2710" i="2" s="1"/>
  <c r="AX2710" i="2"/>
  <c r="AY2710" i="2"/>
  <c r="AR2711" i="2"/>
  <c r="AS2711" i="2"/>
  <c r="AT2711" i="2"/>
  <c r="AU2711" i="2"/>
  <c r="AV2711" i="2"/>
  <c r="AW2711" i="2" s="1"/>
  <c r="AX2711" i="2"/>
  <c r="AY2711" i="2"/>
  <c r="AR2712" i="2"/>
  <c r="AS2712" i="2"/>
  <c r="AT2712" i="2"/>
  <c r="AU2712" i="2"/>
  <c r="AV2712" i="2"/>
  <c r="AW2712" i="2" s="1"/>
  <c r="AX2712" i="2"/>
  <c r="AY2712" i="2"/>
  <c r="AR2713" i="2"/>
  <c r="AS2713" i="2"/>
  <c r="AT2713" i="2"/>
  <c r="AU2713" i="2"/>
  <c r="AV2713" i="2"/>
  <c r="AW2713" i="2" s="1"/>
  <c r="AX2713" i="2"/>
  <c r="AY2713" i="2"/>
  <c r="AR2714" i="2"/>
  <c r="AS2714" i="2"/>
  <c r="AT2714" i="2"/>
  <c r="AU2714" i="2"/>
  <c r="AV2714" i="2"/>
  <c r="AW2714" i="2" s="1"/>
  <c r="AX2714" i="2"/>
  <c r="AY2714" i="2"/>
  <c r="AR2715" i="2"/>
  <c r="AS2715" i="2"/>
  <c r="AT2715" i="2"/>
  <c r="AU2715" i="2"/>
  <c r="AV2715" i="2"/>
  <c r="AW2715" i="2" s="1"/>
  <c r="AX2715" i="2"/>
  <c r="AY2715" i="2"/>
  <c r="AR2716" i="2"/>
  <c r="AS2716" i="2"/>
  <c r="AT2716" i="2"/>
  <c r="AU2716" i="2"/>
  <c r="AV2716" i="2"/>
  <c r="AW2716" i="2" s="1"/>
  <c r="AX2716" i="2"/>
  <c r="AY2716" i="2"/>
  <c r="AR2717" i="2"/>
  <c r="AS2717" i="2"/>
  <c r="AT2717" i="2"/>
  <c r="AU2717" i="2"/>
  <c r="AV2717" i="2"/>
  <c r="AW2717" i="2" s="1"/>
  <c r="AX2717" i="2"/>
  <c r="AY2717" i="2"/>
  <c r="AR2718" i="2"/>
  <c r="AS2718" i="2"/>
  <c r="AT2718" i="2"/>
  <c r="AU2718" i="2"/>
  <c r="AV2718" i="2"/>
  <c r="AW2718" i="2" s="1"/>
  <c r="AX2718" i="2"/>
  <c r="AY2718" i="2"/>
  <c r="AR2719" i="2"/>
  <c r="AS2719" i="2"/>
  <c r="AT2719" i="2"/>
  <c r="AU2719" i="2"/>
  <c r="AV2719" i="2"/>
  <c r="AW2719" i="2" s="1"/>
  <c r="AX2719" i="2"/>
  <c r="AY2719" i="2"/>
  <c r="AR2720" i="2"/>
  <c r="AS2720" i="2"/>
  <c r="AT2720" i="2"/>
  <c r="AU2720" i="2"/>
  <c r="AV2720" i="2"/>
  <c r="AW2720" i="2" s="1"/>
  <c r="AX2720" i="2"/>
  <c r="AY2720" i="2"/>
  <c r="AR2721" i="2"/>
  <c r="AS2721" i="2"/>
  <c r="AT2721" i="2"/>
  <c r="AU2721" i="2"/>
  <c r="AV2721" i="2"/>
  <c r="AW2721" i="2" s="1"/>
  <c r="AX2721" i="2"/>
  <c r="AY2721" i="2"/>
  <c r="AR2722" i="2"/>
  <c r="AS2722" i="2"/>
  <c r="AT2722" i="2"/>
  <c r="AU2722" i="2"/>
  <c r="AV2722" i="2"/>
  <c r="AW2722" i="2" s="1"/>
  <c r="AX2722" i="2"/>
  <c r="AY2722" i="2"/>
  <c r="AR2723" i="2"/>
  <c r="AS2723" i="2"/>
  <c r="AT2723" i="2"/>
  <c r="AU2723" i="2"/>
  <c r="AV2723" i="2"/>
  <c r="AW2723" i="2" s="1"/>
  <c r="AX2723" i="2"/>
  <c r="AY2723" i="2"/>
  <c r="AR2724" i="2"/>
  <c r="AS2724" i="2"/>
  <c r="AT2724" i="2"/>
  <c r="AU2724" i="2"/>
  <c r="AV2724" i="2"/>
  <c r="AW2724" i="2" s="1"/>
  <c r="AX2724" i="2"/>
  <c r="AY2724" i="2"/>
  <c r="AR2725" i="2"/>
  <c r="AS2725" i="2"/>
  <c r="AT2725" i="2"/>
  <c r="AU2725" i="2"/>
  <c r="AV2725" i="2"/>
  <c r="AW2725" i="2" s="1"/>
  <c r="AX2725" i="2"/>
  <c r="AY2725" i="2"/>
  <c r="AR2726" i="2"/>
  <c r="AS2726" i="2"/>
  <c r="AT2726" i="2"/>
  <c r="AU2726" i="2"/>
  <c r="AV2726" i="2"/>
  <c r="AW2726" i="2" s="1"/>
  <c r="AX2726" i="2"/>
  <c r="AY2726" i="2"/>
  <c r="AR2727" i="2"/>
  <c r="AS2727" i="2"/>
  <c r="AT2727" i="2"/>
  <c r="AU2727" i="2"/>
  <c r="AV2727" i="2"/>
  <c r="AW2727" i="2" s="1"/>
  <c r="AX2727" i="2"/>
  <c r="AY2727" i="2"/>
  <c r="AR2728" i="2"/>
  <c r="AS2728" i="2"/>
  <c r="AT2728" i="2"/>
  <c r="AU2728" i="2"/>
  <c r="AV2728" i="2"/>
  <c r="AW2728" i="2" s="1"/>
  <c r="AX2728" i="2"/>
  <c r="AY2728" i="2"/>
  <c r="AR2729" i="2"/>
  <c r="AS2729" i="2"/>
  <c r="AT2729" i="2"/>
  <c r="AU2729" i="2"/>
  <c r="AV2729" i="2"/>
  <c r="AW2729" i="2" s="1"/>
  <c r="AX2729" i="2"/>
  <c r="AY2729" i="2"/>
  <c r="AR2730" i="2"/>
  <c r="AS2730" i="2"/>
  <c r="AT2730" i="2"/>
  <c r="AU2730" i="2"/>
  <c r="AV2730" i="2"/>
  <c r="AW2730" i="2" s="1"/>
  <c r="AX2730" i="2"/>
  <c r="AY2730" i="2"/>
  <c r="AR2731" i="2"/>
  <c r="AS2731" i="2"/>
  <c r="AT2731" i="2"/>
  <c r="AU2731" i="2"/>
  <c r="AV2731" i="2"/>
  <c r="AW2731" i="2" s="1"/>
  <c r="AX2731" i="2"/>
  <c r="AY2731" i="2"/>
  <c r="AR2732" i="2"/>
  <c r="AS2732" i="2"/>
  <c r="AT2732" i="2"/>
  <c r="AU2732" i="2"/>
  <c r="AV2732" i="2"/>
  <c r="AW2732" i="2" s="1"/>
  <c r="AX2732" i="2"/>
  <c r="AY2732" i="2"/>
  <c r="AR2733" i="2"/>
  <c r="AS2733" i="2"/>
  <c r="AT2733" i="2"/>
  <c r="AU2733" i="2"/>
  <c r="AV2733" i="2"/>
  <c r="AW2733" i="2" s="1"/>
  <c r="AX2733" i="2"/>
  <c r="AY2733" i="2"/>
  <c r="AR2734" i="2"/>
  <c r="AS2734" i="2"/>
  <c r="AT2734" i="2"/>
  <c r="AU2734" i="2"/>
  <c r="AV2734" i="2"/>
  <c r="AW2734" i="2" s="1"/>
  <c r="AX2734" i="2"/>
  <c r="AY2734" i="2"/>
  <c r="AR2735" i="2"/>
  <c r="AS2735" i="2"/>
  <c r="AT2735" i="2"/>
  <c r="AU2735" i="2"/>
  <c r="AV2735" i="2"/>
  <c r="AW2735" i="2" s="1"/>
  <c r="AX2735" i="2"/>
  <c r="AY2735" i="2"/>
  <c r="AR2736" i="2"/>
  <c r="AS2736" i="2"/>
  <c r="AT2736" i="2"/>
  <c r="AU2736" i="2"/>
  <c r="AV2736" i="2"/>
  <c r="AW2736" i="2" s="1"/>
  <c r="AX2736" i="2"/>
  <c r="AY2736" i="2"/>
  <c r="AR2737" i="2"/>
  <c r="AS2737" i="2"/>
  <c r="AT2737" i="2"/>
  <c r="AU2737" i="2"/>
  <c r="AV2737" i="2"/>
  <c r="AW2737" i="2"/>
  <c r="AX2737" i="2"/>
  <c r="AY2737" i="2"/>
  <c r="AR2738" i="2"/>
  <c r="AS2738" i="2"/>
  <c r="AT2738" i="2"/>
  <c r="AU2738" i="2"/>
  <c r="AV2738" i="2"/>
  <c r="AW2738" i="2"/>
  <c r="AX2738" i="2"/>
  <c r="AY2738" i="2"/>
  <c r="AR2739" i="2"/>
  <c r="AS2739" i="2"/>
  <c r="AT2739" i="2"/>
  <c r="AU2739" i="2"/>
  <c r="AV2739" i="2"/>
  <c r="AW2739" i="2"/>
  <c r="AX2739" i="2"/>
  <c r="AY2739" i="2"/>
  <c r="AR2740" i="2"/>
  <c r="AS2740" i="2"/>
  <c r="AT2740" i="2"/>
  <c r="AU2740" i="2"/>
  <c r="AV2740" i="2"/>
  <c r="AW2740" i="2"/>
  <c r="AX2740" i="2"/>
  <c r="AY2740" i="2"/>
  <c r="AR2741" i="2"/>
  <c r="AS2741" i="2"/>
  <c r="AT2741" i="2"/>
  <c r="AU2741" i="2"/>
  <c r="AV2741" i="2"/>
  <c r="AW2741" i="2"/>
  <c r="AX2741" i="2"/>
  <c r="AY2741" i="2"/>
  <c r="AR2742" i="2"/>
  <c r="AS2742" i="2"/>
  <c r="AT2742" i="2"/>
  <c r="AU2742" i="2"/>
  <c r="AV2742" i="2"/>
  <c r="AW2742" i="2"/>
  <c r="AX2742" i="2"/>
  <c r="AY2742" i="2"/>
  <c r="AR2743" i="2"/>
  <c r="AS2743" i="2"/>
  <c r="AT2743" i="2"/>
  <c r="AU2743" i="2"/>
  <c r="AV2743" i="2"/>
  <c r="AW2743" i="2"/>
  <c r="AX2743" i="2"/>
  <c r="AY2743" i="2"/>
  <c r="AR2744" i="2"/>
  <c r="AS2744" i="2"/>
  <c r="AT2744" i="2"/>
  <c r="AU2744" i="2"/>
  <c r="AV2744" i="2"/>
  <c r="AW2744" i="2"/>
  <c r="AX2744" i="2"/>
  <c r="AY2744" i="2"/>
  <c r="AR2745" i="2"/>
  <c r="AS2745" i="2"/>
  <c r="AT2745" i="2"/>
  <c r="AU2745" i="2"/>
  <c r="AV2745" i="2"/>
  <c r="AW2745" i="2"/>
  <c r="AX2745" i="2"/>
  <c r="AY2745" i="2"/>
  <c r="AR2746" i="2"/>
  <c r="AS2746" i="2"/>
  <c r="AT2746" i="2"/>
  <c r="AU2746" i="2"/>
  <c r="AV2746" i="2"/>
  <c r="AW2746" i="2"/>
  <c r="AX2746" i="2"/>
  <c r="AY2746" i="2"/>
  <c r="AR2747" i="2"/>
  <c r="AS2747" i="2"/>
  <c r="AT2747" i="2"/>
  <c r="AU2747" i="2"/>
  <c r="AV2747" i="2"/>
  <c r="AW2747" i="2"/>
  <c r="AX2747" i="2"/>
  <c r="AY2747" i="2"/>
  <c r="AR2748" i="2"/>
  <c r="AS2748" i="2"/>
  <c r="AT2748" i="2"/>
  <c r="AU2748" i="2"/>
  <c r="AV2748" i="2"/>
  <c r="AW2748" i="2"/>
  <c r="AX2748" i="2"/>
  <c r="AY2748" i="2"/>
  <c r="AR2749" i="2"/>
  <c r="AS2749" i="2"/>
  <c r="AT2749" i="2"/>
  <c r="AU2749" i="2"/>
  <c r="AV2749" i="2"/>
  <c r="AW2749" i="2"/>
  <c r="AX2749" i="2"/>
  <c r="AY2749" i="2"/>
  <c r="AR2750" i="2"/>
  <c r="AS2750" i="2"/>
  <c r="AT2750" i="2"/>
  <c r="AU2750" i="2"/>
  <c r="AV2750" i="2"/>
  <c r="AW2750" i="2"/>
  <c r="AX2750" i="2"/>
  <c r="AY2750" i="2"/>
  <c r="AR2751" i="2"/>
  <c r="AS2751" i="2"/>
  <c r="AT2751" i="2"/>
  <c r="AU2751" i="2"/>
  <c r="AV2751" i="2"/>
  <c r="AW2751" i="2"/>
  <c r="AX2751" i="2"/>
  <c r="AY2751" i="2"/>
  <c r="AR2752" i="2"/>
  <c r="AS2752" i="2"/>
  <c r="AT2752" i="2"/>
  <c r="AU2752" i="2"/>
  <c r="AV2752" i="2"/>
  <c r="AW2752" i="2"/>
  <c r="AX2752" i="2"/>
  <c r="AY2752" i="2"/>
  <c r="AR2753" i="2"/>
  <c r="AS2753" i="2"/>
  <c r="AT2753" i="2"/>
  <c r="AU2753" i="2"/>
  <c r="AV2753" i="2"/>
  <c r="AW2753" i="2"/>
  <c r="AX2753" i="2"/>
  <c r="AY2753" i="2"/>
  <c r="AR2754" i="2"/>
  <c r="AS2754" i="2"/>
  <c r="AT2754" i="2"/>
  <c r="AU2754" i="2"/>
  <c r="AV2754" i="2"/>
  <c r="AW2754" i="2"/>
  <c r="AX2754" i="2"/>
  <c r="AY2754" i="2"/>
  <c r="AR2755" i="2"/>
  <c r="AS2755" i="2"/>
  <c r="AT2755" i="2"/>
  <c r="AU2755" i="2"/>
  <c r="AV2755" i="2"/>
  <c r="AW2755" i="2"/>
  <c r="AX2755" i="2"/>
  <c r="AY2755" i="2"/>
  <c r="AR2756" i="2"/>
  <c r="AS2756" i="2"/>
  <c r="AT2756" i="2"/>
  <c r="AU2756" i="2"/>
  <c r="AV2756" i="2"/>
  <c r="AW2756" i="2"/>
  <c r="AX2756" i="2"/>
  <c r="AY2756" i="2"/>
  <c r="AR2757" i="2"/>
  <c r="AS2757" i="2"/>
  <c r="AT2757" i="2"/>
  <c r="AU2757" i="2"/>
  <c r="AV2757" i="2"/>
  <c r="AW2757" i="2"/>
  <c r="AX2757" i="2"/>
  <c r="AY2757" i="2"/>
  <c r="AR2758" i="2"/>
  <c r="AS2758" i="2"/>
  <c r="AT2758" i="2"/>
  <c r="AU2758" i="2"/>
  <c r="AV2758" i="2"/>
  <c r="AW2758" i="2"/>
  <c r="AX2758" i="2"/>
  <c r="AY2758" i="2"/>
  <c r="AR2759" i="2"/>
  <c r="AS2759" i="2"/>
  <c r="AT2759" i="2"/>
  <c r="AU2759" i="2"/>
  <c r="AV2759" i="2"/>
  <c r="AW2759" i="2"/>
  <c r="AX2759" i="2"/>
  <c r="AY2759" i="2"/>
  <c r="AR2760" i="2"/>
  <c r="AS2760" i="2"/>
  <c r="AT2760" i="2"/>
  <c r="AU2760" i="2"/>
  <c r="AV2760" i="2"/>
  <c r="AW2760" i="2"/>
  <c r="AX2760" i="2"/>
  <c r="AY2760" i="2"/>
  <c r="AR2761" i="2"/>
  <c r="AS2761" i="2"/>
  <c r="AT2761" i="2"/>
  <c r="AU2761" i="2"/>
  <c r="AV2761" i="2"/>
  <c r="AW2761" i="2"/>
  <c r="AX2761" i="2"/>
  <c r="AY2761" i="2"/>
  <c r="AR2762" i="2"/>
  <c r="AS2762" i="2"/>
  <c r="AT2762" i="2"/>
  <c r="AU2762" i="2"/>
  <c r="AV2762" i="2"/>
  <c r="AW2762" i="2"/>
  <c r="AX2762" i="2"/>
  <c r="AY2762" i="2"/>
  <c r="AR2763" i="2"/>
  <c r="AS2763" i="2"/>
  <c r="AT2763" i="2"/>
  <c r="AU2763" i="2"/>
  <c r="AV2763" i="2"/>
  <c r="AW2763" i="2"/>
  <c r="AX2763" i="2"/>
  <c r="AY2763" i="2"/>
  <c r="AR2764" i="2"/>
  <c r="AS2764" i="2"/>
  <c r="AT2764" i="2"/>
  <c r="AU2764" i="2"/>
  <c r="AV2764" i="2"/>
  <c r="AW2764" i="2"/>
  <c r="AX2764" i="2"/>
  <c r="AY2764" i="2"/>
  <c r="AR2765" i="2"/>
  <c r="AS2765" i="2"/>
  <c r="AT2765" i="2"/>
  <c r="AU2765" i="2"/>
  <c r="AV2765" i="2"/>
  <c r="AW2765" i="2"/>
  <c r="AX2765" i="2"/>
  <c r="AY2765" i="2"/>
  <c r="AR2766" i="2"/>
  <c r="AS2766" i="2"/>
  <c r="AT2766" i="2"/>
  <c r="AU2766" i="2"/>
  <c r="AV2766" i="2"/>
  <c r="AW2766" i="2"/>
  <c r="AX2766" i="2"/>
  <c r="AY2766" i="2"/>
  <c r="AR2767" i="2"/>
  <c r="AS2767" i="2"/>
  <c r="AT2767" i="2"/>
  <c r="AU2767" i="2"/>
  <c r="AV2767" i="2"/>
  <c r="AW2767" i="2"/>
  <c r="AX2767" i="2"/>
  <c r="AY2767" i="2"/>
  <c r="AR2768" i="2"/>
  <c r="AS2768" i="2"/>
  <c r="AT2768" i="2"/>
  <c r="AU2768" i="2"/>
  <c r="AV2768" i="2"/>
  <c r="AW2768" i="2"/>
  <c r="AX2768" i="2"/>
  <c r="AY2768" i="2"/>
  <c r="AR2769" i="2"/>
  <c r="AS2769" i="2"/>
  <c r="AT2769" i="2"/>
  <c r="AU2769" i="2"/>
  <c r="AV2769" i="2"/>
  <c r="AW2769" i="2"/>
  <c r="AX2769" i="2"/>
  <c r="AY2769" i="2"/>
  <c r="AR2770" i="2"/>
  <c r="AS2770" i="2"/>
  <c r="AT2770" i="2"/>
  <c r="AU2770" i="2"/>
  <c r="AV2770" i="2"/>
  <c r="AW2770" i="2"/>
  <c r="AX2770" i="2"/>
  <c r="AY2770" i="2"/>
  <c r="AR2771" i="2"/>
  <c r="AS2771" i="2"/>
  <c r="AT2771" i="2"/>
  <c r="AU2771" i="2"/>
  <c r="AV2771" i="2"/>
  <c r="AW2771" i="2"/>
  <c r="AX2771" i="2"/>
  <c r="AY2771" i="2"/>
  <c r="AR2772" i="2"/>
  <c r="AS2772" i="2"/>
  <c r="AT2772" i="2"/>
  <c r="AU2772" i="2"/>
  <c r="AV2772" i="2"/>
  <c r="AW2772" i="2"/>
  <c r="AX2772" i="2"/>
  <c r="AY2772" i="2"/>
  <c r="AR2773" i="2"/>
  <c r="AS2773" i="2"/>
  <c r="AT2773" i="2"/>
  <c r="AU2773" i="2"/>
  <c r="AV2773" i="2"/>
  <c r="AW2773" i="2"/>
  <c r="AX2773" i="2"/>
  <c r="AY2773" i="2"/>
  <c r="AR2774" i="2"/>
  <c r="AS2774" i="2"/>
  <c r="AT2774" i="2"/>
  <c r="AU2774" i="2"/>
  <c r="AV2774" i="2"/>
  <c r="AW2774" i="2"/>
  <c r="AX2774" i="2"/>
  <c r="AY2774" i="2"/>
  <c r="AR2775" i="2"/>
  <c r="AS2775" i="2"/>
  <c r="AT2775" i="2"/>
  <c r="AU2775" i="2"/>
  <c r="AV2775" i="2"/>
  <c r="AW2775" i="2"/>
  <c r="AX2775" i="2"/>
  <c r="AY2775" i="2"/>
  <c r="AR2776" i="2"/>
  <c r="AS2776" i="2"/>
  <c r="AT2776" i="2"/>
  <c r="AU2776" i="2"/>
  <c r="AV2776" i="2"/>
  <c r="AW2776" i="2"/>
  <c r="AX2776" i="2"/>
  <c r="AY2776" i="2"/>
  <c r="AR2777" i="2"/>
  <c r="AS2777" i="2"/>
  <c r="AT2777" i="2"/>
  <c r="AU2777" i="2"/>
  <c r="AV2777" i="2"/>
  <c r="AW2777" i="2"/>
  <c r="AX2777" i="2"/>
  <c r="AY2777" i="2"/>
  <c r="AR2778" i="2"/>
  <c r="AS2778" i="2"/>
  <c r="AT2778" i="2"/>
  <c r="AU2778" i="2"/>
  <c r="AV2778" i="2"/>
  <c r="AW2778" i="2"/>
  <c r="AX2778" i="2"/>
  <c r="AY2778" i="2"/>
  <c r="AR2779" i="2"/>
  <c r="AS2779" i="2"/>
  <c r="AT2779" i="2"/>
  <c r="AU2779" i="2"/>
  <c r="AV2779" i="2"/>
  <c r="AW2779" i="2"/>
  <c r="AX2779" i="2"/>
  <c r="AY2779" i="2"/>
  <c r="AR2780" i="2"/>
  <c r="AS2780" i="2"/>
  <c r="AT2780" i="2"/>
  <c r="AU2780" i="2"/>
  <c r="AV2780" i="2"/>
  <c r="AW2780" i="2"/>
  <c r="AX2780" i="2"/>
  <c r="AY2780" i="2"/>
  <c r="AR2781" i="2"/>
  <c r="AS2781" i="2"/>
  <c r="AT2781" i="2"/>
  <c r="AU2781" i="2"/>
  <c r="AV2781" i="2"/>
  <c r="AW2781" i="2"/>
  <c r="AX2781" i="2"/>
  <c r="AY2781" i="2"/>
  <c r="AR2782" i="2"/>
  <c r="AS2782" i="2"/>
  <c r="AT2782" i="2"/>
  <c r="AU2782" i="2"/>
  <c r="AV2782" i="2"/>
  <c r="AW2782" i="2"/>
  <c r="AX2782" i="2"/>
  <c r="AY2782" i="2"/>
  <c r="AR2783" i="2"/>
  <c r="AS2783" i="2"/>
  <c r="AT2783" i="2"/>
  <c r="AU2783" i="2"/>
  <c r="AV2783" i="2"/>
  <c r="AW2783" i="2"/>
  <c r="AX2783" i="2"/>
  <c r="AY2783" i="2"/>
  <c r="AR2784" i="2"/>
  <c r="AS2784" i="2"/>
  <c r="AT2784" i="2"/>
  <c r="AU2784" i="2"/>
  <c r="AV2784" i="2"/>
  <c r="AW2784" i="2"/>
  <c r="AX2784" i="2"/>
  <c r="AY2784" i="2"/>
  <c r="AR2785" i="2"/>
  <c r="AS2785" i="2"/>
  <c r="AT2785" i="2"/>
  <c r="AU2785" i="2"/>
  <c r="AV2785" i="2"/>
  <c r="AW2785" i="2"/>
  <c r="AX2785" i="2"/>
  <c r="AY2785" i="2"/>
  <c r="AR2786" i="2"/>
  <c r="AS2786" i="2"/>
  <c r="AT2786" i="2"/>
  <c r="AU2786" i="2"/>
  <c r="AV2786" i="2"/>
  <c r="AW2786" i="2"/>
  <c r="AX2786" i="2"/>
  <c r="AY2786" i="2"/>
  <c r="AR2787" i="2"/>
  <c r="AS2787" i="2"/>
  <c r="AT2787" i="2"/>
  <c r="AU2787" i="2"/>
  <c r="AV2787" i="2"/>
  <c r="AW2787" i="2"/>
  <c r="AX2787" i="2"/>
  <c r="AY2787" i="2"/>
  <c r="AR2788" i="2"/>
  <c r="AS2788" i="2"/>
  <c r="AT2788" i="2"/>
  <c r="AU2788" i="2"/>
  <c r="AV2788" i="2"/>
  <c r="AW2788" i="2"/>
  <c r="AX2788" i="2"/>
  <c r="AY2788" i="2"/>
  <c r="AR2789" i="2"/>
  <c r="AS2789" i="2"/>
  <c r="AT2789" i="2"/>
  <c r="AU2789" i="2"/>
  <c r="AV2789" i="2"/>
  <c r="AW2789" i="2"/>
  <c r="AX2789" i="2"/>
  <c r="AY2789" i="2"/>
  <c r="AR2790" i="2"/>
  <c r="AS2790" i="2"/>
  <c r="AT2790" i="2"/>
  <c r="AU2790" i="2"/>
  <c r="AV2790" i="2"/>
  <c r="AW2790" i="2"/>
  <c r="AX2790" i="2"/>
  <c r="AY2790" i="2"/>
  <c r="AR2791" i="2"/>
  <c r="AS2791" i="2"/>
  <c r="AT2791" i="2"/>
  <c r="AU2791" i="2"/>
  <c r="AV2791" i="2"/>
  <c r="AW2791" i="2"/>
  <c r="AX2791" i="2"/>
  <c r="AY2791" i="2"/>
  <c r="AR2792" i="2"/>
  <c r="AS2792" i="2"/>
  <c r="AT2792" i="2"/>
  <c r="AU2792" i="2"/>
  <c r="AV2792" i="2"/>
  <c r="AW2792" i="2"/>
  <c r="AX2792" i="2"/>
  <c r="AY2792" i="2"/>
  <c r="AR2793" i="2"/>
  <c r="AS2793" i="2"/>
  <c r="AT2793" i="2"/>
  <c r="AU2793" i="2"/>
  <c r="AV2793" i="2"/>
  <c r="AW2793" i="2"/>
  <c r="AX2793" i="2"/>
  <c r="AY2793" i="2"/>
  <c r="AR2794" i="2"/>
  <c r="AS2794" i="2"/>
  <c r="AT2794" i="2"/>
  <c r="AU2794" i="2"/>
  <c r="AV2794" i="2"/>
  <c r="AW2794" i="2"/>
  <c r="AX2794" i="2"/>
  <c r="AY2794" i="2"/>
  <c r="AR2795" i="2"/>
  <c r="AS2795" i="2"/>
  <c r="AT2795" i="2"/>
  <c r="AU2795" i="2"/>
  <c r="AV2795" i="2"/>
  <c r="AW2795" i="2"/>
  <c r="AX2795" i="2"/>
  <c r="AY2795" i="2"/>
  <c r="AR2796" i="2"/>
  <c r="AS2796" i="2"/>
  <c r="AT2796" i="2"/>
  <c r="AU2796" i="2"/>
  <c r="AV2796" i="2"/>
  <c r="AW2796" i="2"/>
  <c r="AX2796" i="2"/>
  <c r="AY2796" i="2"/>
  <c r="AR2797" i="2"/>
  <c r="AS2797" i="2"/>
  <c r="AT2797" i="2"/>
  <c r="AU2797" i="2"/>
  <c r="AV2797" i="2"/>
  <c r="AW2797" i="2"/>
  <c r="AX2797" i="2"/>
  <c r="AY2797" i="2"/>
  <c r="AR2798" i="2"/>
  <c r="AS2798" i="2"/>
  <c r="AT2798" i="2"/>
  <c r="AU2798" i="2"/>
  <c r="AV2798" i="2"/>
  <c r="AW2798" i="2"/>
  <c r="AX2798" i="2"/>
  <c r="AY2798" i="2"/>
  <c r="AR2799" i="2"/>
  <c r="AS2799" i="2"/>
  <c r="AT2799" i="2"/>
  <c r="AU2799" i="2"/>
  <c r="AV2799" i="2"/>
  <c r="AW2799" i="2"/>
  <c r="AX2799" i="2"/>
  <c r="AY2799" i="2"/>
  <c r="AR2800" i="2"/>
  <c r="AS2800" i="2"/>
  <c r="AT2800" i="2"/>
  <c r="AU2800" i="2"/>
  <c r="AV2800" i="2"/>
  <c r="AW2800" i="2"/>
  <c r="AX2800" i="2"/>
  <c r="AY2800" i="2"/>
  <c r="AR2801" i="2"/>
  <c r="AS2801" i="2"/>
  <c r="AT2801" i="2"/>
  <c r="AU2801" i="2"/>
  <c r="AV2801" i="2"/>
  <c r="AW2801" i="2"/>
  <c r="AX2801" i="2"/>
  <c r="AY2801" i="2"/>
  <c r="AR2802" i="2"/>
  <c r="AS2802" i="2"/>
  <c r="AT2802" i="2"/>
  <c r="AU2802" i="2"/>
  <c r="AV2802" i="2"/>
  <c r="AW2802" i="2"/>
  <c r="AX2802" i="2"/>
  <c r="AY2802" i="2"/>
  <c r="AR2803" i="2"/>
  <c r="AS2803" i="2"/>
  <c r="AT2803" i="2"/>
  <c r="AU2803" i="2"/>
  <c r="AV2803" i="2"/>
  <c r="AW2803" i="2"/>
  <c r="AX2803" i="2"/>
  <c r="AY2803" i="2"/>
  <c r="AR2804" i="2"/>
  <c r="AS2804" i="2"/>
  <c r="AT2804" i="2"/>
  <c r="AU2804" i="2"/>
  <c r="AV2804" i="2"/>
  <c r="AW2804" i="2"/>
  <c r="AX2804" i="2"/>
  <c r="AY2804" i="2"/>
  <c r="AR2805" i="2"/>
  <c r="AS2805" i="2"/>
  <c r="AT2805" i="2"/>
  <c r="AU2805" i="2"/>
  <c r="AV2805" i="2"/>
  <c r="AW2805" i="2" s="1"/>
  <c r="AX2805" i="2"/>
  <c r="AY2805" i="2"/>
  <c r="AR2806" i="2"/>
  <c r="AS2806" i="2"/>
  <c r="AT2806" i="2"/>
  <c r="AU2806" i="2"/>
  <c r="AV2806" i="2"/>
  <c r="AW2806" i="2" s="1"/>
  <c r="AX2806" i="2"/>
  <c r="AY2806" i="2"/>
  <c r="AR2807" i="2"/>
  <c r="AS2807" i="2"/>
  <c r="AT2807" i="2"/>
  <c r="AU2807" i="2"/>
  <c r="AV2807" i="2"/>
  <c r="AW2807" i="2" s="1"/>
  <c r="AX2807" i="2"/>
  <c r="AY2807" i="2"/>
  <c r="AR2808" i="2"/>
  <c r="AS2808" i="2"/>
  <c r="AT2808" i="2"/>
  <c r="AU2808" i="2"/>
  <c r="AV2808" i="2"/>
  <c r="AW2808" i="2" s="1"/>
  <c r="AX2808" i="2"/>
  <c r="AY2808" i="2"/>
  <c r="AR2809" i="2"/>
  <c r="AS2809" i="2"/>
  <c r="AT2809" i="2"/>
  <c r="AU2809" i="2"/>
  <c r="AV2809" i="2"/>
  <c r="AW2809" i="2" s="1"/>
  <c r="AX2809" i="2"/>
  <c r="AY2809" i="2"/>
  <c r="AR2810" i="2"/>
  <c r="AS2810" i="2"/>
  <c r="AT2810" i="2"/>
  <c r="AU2810" i="2"/>
  <c r="AV2810" i="2"/>
  <c r="AW2810" i="2" s="1"/>
  <c r="AX2810" i="2"/>
  <c r="AY2810" i="2"/>
  <c r="AR2811" i="2"/>
  <c r="AS2811" i="2"/>
  <c r="AT2811" i="2"/>
  <c r="AU2811" i="2"/>
  <c r="AV2811" i="2"/>
  <c r="AW2811" i="2" s="1"/>
  <c r="AX2811" i="2"/>
  <c r="AY2811" i="2"/>
  <c r="AR2812" i="2"/>
  <c r="AS2812" i="2"/>
  <c r="AT2812" i="2"/>
  <c r="AU2812" i="2"/>
  <c r="AV2812" i="2"/>
  <c r="AW2812" i="2" s="1"/>
  <c r="AX2812" i="2"/>
  <c r="AY2812" i="2"/>
  <c r="AR2813" i="2"/>
  <c r="AS2813" i="2"/>
  <c r="AT2813" i="2"/>
  <c r="AU2813" i="2"/>
  <c r="AV2813" i="2"/>
  <c r="AW2813" i="2" s="1"/>
  <c r="AX2813" i="2"/>
  <c r="AY2813" i="2"/>
  <c r="AR2814" i="2"/>
  <c r="AS2814" i="2"/>
  <c r="AT2814" i="2"/>
  <c r="AU2814" i="2"/>
  <c r="AV2814" i="2"/>
  <c r="AW2814" i="2" s="1"/>
  <c r="AX2814" i="2"/>
  <c r="AY2814" i="2"/>
  <c r="AR2815" i="2"/>
  <c r="AS2815" i="2"/>
  <c r="AT2815" i="2"/>
  <c r="AU2815" i="2"/>
  <c r="AV2815" i="2"/>
  <c r="AW2815" i="2" s="1"/>
  <c r="AX2815" i="2"/>
  <c r="AY2815" i="2"/>
  <c r="AR2816" i="2"/>
  <c r="AS2816" i="2"/>
  <c r="AT2816" i="2"/>
  <c r="AU2816" i="2"/>
  <c r="AV2816" i="2"/>
  <c r="AW2816" i="2" s="1"/>
  <c r="AX2816" i="2"/>
  <c r="AY2816" i="2"/>
  <c r="AR2817" i="2"/>
  <c r="AS2817" i="2"/>
  <c r="AT2817" i="2"/>
  <c r="AU2817" i="2"/>
  <c r="AV2817" i="2"/>
  <c r="AW2817" i="2" s="1"/>
  <c r="AX2817" i="2"/>
  <c r="AY2817" i="2"/>
  <c r="AR2818" i="2"/>
  <c r="AS2818" i="2"/>
  <c r="AT2818" i="2"/>
  <c r="AU2818" i="2"/>
  <c r="AV2818" i="2"/>
  <c r="AW2818" i="2" s="1"/>
  <c r="AX2818" i="2"/>
  <c r="AY2818" i="2"/>
  <c r="AR2819" i="2"/>
  <c r="AS2819" i="2"/>
  <c r="AT2819" i="2"/>
  <c r="AU2819" i="2"/>
  <c r="AV2819" i="2"/>
  <c r="AW2819" i="2" s="1"/>
  <c r="AX2819" i="2"/>
  <c r="AY2819" i="2"/>
  <c r="AR2820" i="2"/>
  <c r="AS2820" i="2"/>
  <c r="AT2820" i="2"/>
  <c r="AU2820" i="2"/>
  <c r="AV2820" i="2"/>
  <c r="AW2820" i="2" s="1"/>
  <c r="AX2820" i="2"/>
  <c r="AY2820" i="2"/>
  <c r="AR2821" i="2"/>
  <c r="AS2821" i="2"/>
  <c r="AT2821" i="2"/>
  <c r="AU2821" i="2"/>
  <c r="AV2821" i="2"/>
  <c r="AW2821" i="2" s="1"/>
  <c r="AX2821" i="2"/>
  <c r="AY2821" i="2"/>
  <c r="AR2822" i="2"/>
  <c r="AS2822" i="2"/>
  <c r="AT2822" i="2"/>
  <c r="AU2822" i="2"/>
  <c r="AV2822" i="2"/>
  <c r="AW2822" i="2" s="1"/>
  <c r="AX2822" i="2"/>
  <c r="AY2822" i="2"/>
  <c r="AR2823" i="2"/>
  <c r="AS2823" i="2"/>
  <c r="AT2823" i="2"/>
  <c r="AU2823" i="2"/>
  <c r="AV2823" i="2"/>
  <c r="AW2823" i="2" s="1"/>
  <c r="AX2823" i="2"/>
  <c r="AY2823" i="2"/>
  <c r="AR2824" i="2"/>
  <c r="AS2824" i="2"/>
  <c r="AT2824" i="2"/>
  <c r="AU2824" i="2"/>
  <c r="AV2824" i="2"/>
  <c r="AW2824" i="2" s="1"/>
  <c r="AX2824" i="2"/>
  <c r="AY2824" i="2"/>
  <c r="AR2825" i="2"/>
  <c r="AS2825" i="2"/>
  <c r="AT2825" i="2"/>
  <c r="AU2825" i="2"/>
  <c r="AV2825" i="2"/>
  <c r="AW2825" i="2" s="1"/>
  <c r="AX2825" i="2"/>
  <c r="AY2825" i="2"/>
  <c r="AR2826" i="2"/>
  <c r="AS2826" i="2"/>
  <c r="AT2826" i="2"/>
  <c r="AU2826" i="2"/>
  <c r="AV2826" i="2"/>
  <c r="AW2826" i="2" s="1"/>
  <c r="AX2826" i="2"/>
  <c r="AY2826" i="2"/>
  <c r="AR2827" i="2"/>
  <c r="AS2827" i="2"/>
  <c r="AT2827" i="2"/>
  <c r="AU2827" i="2"/>
  <c r="AV2827" i="2"/>
  <c r="AW2827" i="2" s="1"/>
  <c r="AX2827" i="2"/>
  <c r="AY2827" i="2"/>
  <c r="AR2828" i="2"/>
  <c r="AS2828" i="2"/>
  <c r="AT2828" i="2"/>
  <c r="AU2828" i="2"/>
  <c r="AV2828" i="2"/>
  <c r="AW2828" i="2" s="1"/>
  <c r="AX2828" i="2"/>
  <c r="AY2828" i="2"/>
  <c r="AR2829" i="2"/>
  <c r="AS2829" i="2"/>
  <c r="AT2829" i="2"/>
  <c r="AU2829" i="2"/>
  <c r="AV2829" i="2"/>
  <c r="AW2829" i="2" s="1"/>
  <c r="AX2829" i="2"/>
  <c r="AY2829" i="2"/>
  <c r="AR2830" i="2"/>
  <c r="AS2830" i="2"/>
  <c r="AT2830" i="2"/>
  <c r="AU2830" i="2"/>
  <c r="AV2830" i="2"/>
  <c r="AW2830" i="2" s="1"/>
  <c r="AX2830" i="2"/>
  <c r="AY2830" i="2"/>
  <c r="AR2831" i="2"/>
  <c r="AS2831" i="2"/>
  <c r="AT2831" i="2"/>
  <c r="AU2831" i="2"/>
  <c r="AV2831" i="2"/>
  <c r="AW2831" i="2" s="1"/>
  <c r="AX2831" i="2"/>
  <c r="AY2831" i="2"/>
  <c r="AR2832" i="2"/>
  <c r="AS2832" i="2"/>
  <c r="AT2832" i="2"/>
  <c r="AU2832" i="2"/>
  <c r="AV2832" i="2"/>
  <c r="AW2832" i="2" s="1"/>
  <c r="AX2832" i="2"/>
  <c r="AY2832" i="2"/>
  <c r="AR2833" i="2"/>
  <c r="AS2833" i="2"/>
  <c r="AT2833" i="2"/>
  <c r="AU2833" i="2"/>
  <c r="AV2833" i="2"/>
  <c r="AW2833" i="2" s="1"/>
  <c r="AX2833" i="2"/>
  <c r="AY2833" i="2"/>
  <c r="AR2834" i="2"/>
  <c r="AS2834" i="2"/>
  <c r="AT2834" i="2"/>
  <c r="AU2834" i="2"/>
  <c r="AV2834" i="2"/>
  <c r="AW2834" i="2" s="1"/>
  <c r="AX2834" i="2"/>
  <c r="AY2834" i="2"/>
  <c r="AR2835" i="2"/>
  <c r="AS2835" i="2"/>
  <c r="AT2835" i="2"/>
  <c r="AU2835" i="2"/>
  <c r="AV2835" i="2"/>
  <c r="AW2835" i="2" s="1"/>
  <c r="AX2835" i="2"/>
  <c r="AY2835" i="2"/>
  <c r="AR2836" i="2"/>
  <c r="AS2836" i="2"/>
  <c r="AT2836" i="2"/>
  <c r="AU2836" i="2"/>
  <c r="AV2836" i="2"/>
  <c r="AW2836" i="2" s="1"/>
  <c r="AX2836" i="2"/>
  <c r="AY2836" i="2"/>
  <c r="AR2837" i="2"/>
  <c r="AS2837" i="2"/>
  <c r="AT2837" i="2"/>
  <c r="AU2837" i="2"/>
  <c r="AV2837" i="2"/>
  <c r="AW2837" i="2" s="1"/>
  <c r="AX2837" i="2"/>
  <c r="AY2837" i="2"/>
  <c r="AR2838" i="2"/>
  <c r="AS2838" i="2"/>
  <c r="AT2838" i="2"/>
  <c r="AU2838" i="2"/>
  <c r="AV2838" i="2"/>
  <c r="AW2838" i="2" s="1"/>
  <c r="AX2838" i="2"/>
  <c r="AY2838" i="2"/>
  <c r="AR2839" i="2"/>
  <c r="AS2839" i="2"/>
  <c r="AT2839" i="2"/>
  <c r="AU2839" i="2"/>
  <c r="AV2839" i="2"/>
  <c r="AW2839" i="2" s="1"/>
  <c r="AX2839" i="2"/>
  <c r="AY2839" i="2"/>
  <c r="AR2840" i="2"/>
  <c r="AS2840" i="2"/>
  <c r="AT2840" i="2"/>
  <c r="AU2840" i="2"/>
  <c r="AV2840" i="2"/>
  <c r="AW2840" i="2" s="1"/>
  <c r="AX2840" i="2"/>
  <c r="AY2840" i="2"/>
  <c r="AR2841" i="2"/>
  <c r="AS2841" i="2"/>
  <c r="AT2841" i="2"/>
  <c r="AU2841" i="2"/>
  <c r="AV2841" i="2"/>
  <c r="AW2841" i="2" s="1"/>
  <c r="AX2841" i="2"/>
  <c r="AY2841" i="2"/>
  <c r="AR2842" i="2"/>
  <c r="AS2842" i="2"/>
  <c r="AT2842" i="2"/>
  <c r="AU2842" i="2"/>
  <c r="AV2842" i="2"/>
  <c r="AW2842" i="2" s="1"/>
  <c r="AX2842" i="2"/>
  <c r="AY2842" i="2"/>
  <c r="AR2843" i="2"/>
  <c r="AS2843" i="2"/>
  <c r="AT2843" i="2"/>
  <c r="AU2843" i="2"/>
  <c r="AV2843" i="2"/>
  <c r="AW2843" i="2" s="1"/>
  <c r="AX2843" i="2"/>
  <c r="AY2843" i="2"/>
  <c r="AR2844" i="2"/>
  <c r="AS2844" i="2"/>
  <c r="AT2844" i="2"/>
  <c r="AU2844" i="2"/>
  <c r="AV2844" i="2"/>
  <c r="AW2844" i="2" s="1"/>
  <c r="AX2844" i="2"/>
  <c r="AY2844" i="2"/>
  <c r="AR2845" i="2"/>
  <c r="AS2845" i="2"/>
  <c r="AT2845" i="2"/>
  <c r="AU2845" i="2"/>
  <c r="AV2845" i="2"/>
  <c r="AW2845" i="2" s="1"/>
  <c r="AX2845" i="2"/>
  <c r="AY2845" i="2"/>
  <c r="AR2846" i="2"/>
  <c r="AS2846" i="2"/>
  <c r="AT2846" i="2"/>
  <c r="AU2846" i="2"/>
  <c r="AV2846" i="2"/>
  <c r="AW2846" i="2" s="1"/>
  <c r="AX2846" i="2"/>
  <c r="AY2846" i="2"/>
  <c r="AR2847" i="2"/>
  <c r="AS2847" i="2"/>
  <c r="AT2847" i="2"/>
  <c r="AU2847" i="2"/>
  <c r="AV2847" i="2"/>
  <c r="AW2847" i="2" s="1"/>
  <c r="AX2847" i="2"/>
  <c r="AY2847" i="2"/>
  <c r="AR2848" i="2"/>
  <c r="AS2848" i="2"/>
  <c r="AT2848" i="2"/>
  <c r="AU2848" i="2"/>
  <c r="AV2848" i="2"/>
  <c r="AW2848" i="2" s="1"/>
  <c r="AX2848" i="2"/>
  <c r="AY2848" i="2"/>
  <c r="AR2849" i="2"/>
  <c r="AS2849" i="2"/>
  <c r="AT2849" i="2"/>
  <c r="AU2849" i="2"/>
  <c r="AV2849" i="2"/>
  <c r="AW2849" i="2" s="1"/>
  <c r="AX2849" i="2"/>
  <c r="AY2849" i="2"/>
  <c r="AR2850" i="2"/>
  <c r="AS2850" i="2"/>
  <c r="AT2850" i="2"/>
  <c r="AU2850" i="2"/>
  <c r="AV2850" i="2"/>
  <c r="AW2850" i="2" s="1"/>
  <c r="AX2850" i="2"/>
  <c r="AY2850" i="2"/>
  <c r="AR2851" i="2"/>
  <c r="AS2851" i="2"/>
  <c r="AT2851" i="2"/>
  <c r="AU2851" i="2"/>
  <c r="AV2851" i="2"/>
  <c r="AW2851" i="2" s="1"/>
  <c r="AX2851" i="2"/>
  <c r="AY2851" i="2"/>
  <c r="AR2852" i="2"/>
  <c r="AS2852" i="2"/>
  <c r="AT2852" i="2"/>
  <c r="AU2852" i="2"/>
  <c r="AV2852" i="2"/>
  <c r="AW2852" i="2" s="1"/>
  <c r="AX2852" i="2"/>
  <c r="AY2852" i="2"/>
  <c r="AR2853" i="2"/>
  <c r="AS2853" i="2"/>
  <c r="AT2853" i="2"/>
  <c r="AU2853" i="2"/>
  <c r="AV2853" i="2"/>
  <c r="AW2853" i="2" s="1"/>
  <c r="AX2853" i="2"/>
  <c r="AY2853" i="2"/>
  <c r="AR2854" i="2"/>
  <c r="AS2854" i="2"/>
  <c r="AT2854" i="2"/>
  <c r="AU2854" i="2"/>
  <c r="AV2854" i="2"/>
  <c r="AW2854" i="2" s="1"/>
  <c r="AX2854" i="2"/>
  <c r="AY2854" i="2"/>
  <c r="AR2855" i="2"/>
  <c r="AS2855" i="2"/>
  <c r="AT2855" i="2"/>
  <c r="AU2855" i="2"/>
  <c r="AV2855" i="2"/>
  <c r="AW2855" i="2" s="1"/>
  <c r="AX2855" i="2"/>
  <c r="AY2855" i="2"/>
  <c r="AR2856" i="2"/>
  <c r="AS2856" i="2"/>
  <c r="AT2856" i="2"/>
  <c r="AU2856" i="2"/>
  <c r="AV2856" i="2"/>
  <c r="AW2856" i="2" s="1"/>
  <c r="AX2856" i="2"/>
  <c r="AY2856" i="2"/>
  <c r="AR2857" i="2"/>
  <c r="AS2857" i="2"/>
  <c r="AT2857" i="2"/>
  <c r="AU2857" i="2"/>
  <c r="AV2857" i="2"/>
  <c r="AW2857" i="2" s="1"/>
  <c r="AX2857" i="2"/>
  <c r="AY2857" i="2"/>
  <c r="AR2858" i="2"/>
  <c r="AS2858" i="2"/>
  <c r="AT2858" i="2"/>
  <c r="AU2858" i="2"/>
  <c r="AV2858" i="2"/>
  <c r="AW2858" i="2" s="1"/>
  <c r="AX2858" i="2"/>
  <c r="AY2858" i="2"/>
  <c r="AR2859" i="2"/>
  <c r="AS2859" i="2"/>
  <c r="AT2859" i="2"/>
  <c r="AU2859" i="2"/>
  <c r="AV2859" i="2"/>
  <c r="AW2859" i="2" s="1"/>
  <c r="AX2859" i="2"/>
  <c r="AY2859" i="2"/>
  <c r="AR2860" i="2"/>
  <c r="AS2860" i="2"/>
  <c r="AT2860" i="2"/>
  <c r="AU2860" i="2"/>
  <c r="AV2860" i="2"/>
  <c r="AW2860" i="2" s="1"/>
  <c r="AX2860" i="2"/>
  <c r="AY2860" i="2"/>
  <c r="AR2861" i="2"/>
  <c r="AS2861" i="2"/>
  <c r="AT2861" i="2"/>
  <c r="AU2861" i="2"/>
  <c r="AV2861" i="2"/>
  <c r="AW2861" i="2" s="1"/>
  <c r="AX2861" i="2"/>
  <c r="AY2861" i="2"/>
  <c r="AR2862" i="2"/>
  <c r="AS2862" i="2"/>
  <c r="AT2862" i="2"/>
  <c r="AU2862" i="2"/>
  <c r="AV2862" i="2"/>
  <c r="AW2862" i="2" s="1"/>
  <c r="AX2862" i="2"/>
  <c r="AY2862" i="2"/>
  <c r="AR2863" i="2"/>
  <c r="AS2863" i="2"/>
  <c r="AT2863" i="2"/>
  <c r="AU2863" i="2"/>
  <c r="AV2863" i="2"/>
  <c r="AW2863" i="2" s="1"/>
  <c r="AX2863" i="2"/>
  <c r="AY2863" i="2"/>
  <c r="AR2864" i="2"/>
  <c r="AS2864" i="2"/>
  <c r="AT2864" i="2"/>
  <c r="AU2864" i="2"/>
  <c r="AV2864" i="2"/>
  <c r="AW2864" i="2" s="1"/>
  <c r="AX2864" i="2"/>
  <c r="AY2864" i="2"/>
  <c r="AR2865" i="2"/>
  <c r="AS2865" i="2"/>
  <c r="AT2865" i="2"/>
  <c r="AU2865" i="2"/>
  <c r="AV2865" i="2"/>
  <c r="AW2865" i="2" s="1"/>
  <c r="AX2865" i="2"/>
  <c r="AY2865" i="2"/>
  <c r="AR2866" i="2"/>
  <c r="AS2866" i="2"/>
  <c r="AT2866" i="2"/>
  <c r="AU2866" i="2"/>
  <c r="AV2866" i="2"/>
  <c r="AW2866" i="2" s="1"/>
  <c r="AX2866" i="2"/>
  <c r="AY2866" i="2"/>
  <c r="AR2867" i="2"/>
  <c r="AS2867" i="2"/>
  <c r="AT2867" i="2"/>
  <c r="AU2867" i="2"/>
  <c r="AV2867" i="2"/>
  <c r="AW2867" i="2" s="1"/>
  <c r="AX2867" i="2"/>
  <c r="AY2867" i="2"/>
  <c r="AR2868" i="2"/>
  <c r="AS2868" i="2"/>
  <c r="AT2868" i="2"/>
  <c r="AU2868" i="2"/>
  <c r="AV2868" i="2"/>
  <c r="AW2868" i="2" s="1"/>
  <c r="AX2868" i="2"/>
  <c r="AY2868" i="2"/>
  <c r="AR2869" i="2"/>
  <c r="AS2869" i="2"/>
  <c r="AT2869" i="2"/>
  <c r="AU2869" i="2"/>
  <c r="AV2869" i="2"/>
  <c r="AW2869" i="2" s="1"/>
  <c r="AX2869" i="2"/>
  <c r="AY2869" i="2"/>
  <c r="AR2870" i="2"/>
  <c r="AS2870" i="2"/>
  <c r="AT2870" i="2"/>
  <c r="AU2870" i="2"/>
  <c r="AV2870" i="2"/>
  <c r="AW2870" i="2" s="1"/>
  <c r="AX2870" i="2"/>
  <c r="AY2870" i="2"/>
  <c r="AR2871" i="2"/>
  <c r="AS2871" i="2"/>
  <c r="AT2871" i="2"/>
  <c r="AU2871" i="2"/>
  <c r="AV2871" i="2"/>
  <c r="AW2871" i="2" s="1"/>
  <c r="AX2871" i="2"/>
  <c r="AY2871" i="2"/>
  <c r="AR2872" i="2"/>
  <c r="AS2872" i="2"/>
  <c r="AT2872" i="2"/>
  <c r="AU2872" i="2"/>
  <c r="AV2872" i="2"/>
  <c r="AW2872" i="2" s="1"/>
  <c r="AX2872" i="2"/>
  <c r="AY2872" i="2"/>
  <c r="AR2873" i="2"/>
  <c r="AS2873" i="2"/>
  <c r="AT2873" i="2"/>
  <c r="AU2873" i="2"/>
  <c r="AV2873" i="2"/>
  <c r="AW2873" i="2" s="1"/>
  <c r="AX2873" i="2"/>
  <c r="AY2873" i="2"/>
  <c r="AR2874" i="2"/>
  <c r="AS2874" i="2"/>
  <c r="AT2874" i="2"/>
  <c r="AU2874" i="2"/>
  <c r="AV2874" i="2"/>
  <c r="AW2874" i="2" s="1"/>
  <c r="AX2874" i="2"/>
  <c r="AY2874" i="2"/>
  <c r="AR2875" i="2"/>
  <c r="AS2875" i="2"/>
  <c r="AT2875" i="2"/>
  <c r="AU2875" i="2"/>
  <c r="AV2875" i="2"/>
  <c r="AW2875" i="2" s="1"/>
  <c r="AX2875" i="2"/>
  <c r="AY2875" i="2"/>
  <c r="AR2876" i="2"/>
  <c r="AS2876" i="2"/>
  <c r="AT2876" i="2"/>
  <c r="AU2876" i="2"/>
  <c r="AV2876" i="2"/>
  <c r="AW2876" i="2" s="1"/>
  <c r="AX2876" i="2"/>
  <c r="AY2876" i="2"/>
  <c r="AR2877" i="2"/>
  <c r="AS2877" i="2"/>
  <c r="AT2877" i="2"/>
  <c r="AU2877" i="2"/>
  <c r="AV2877" i="2"/>
  <c r="AW2877" i="2" s="1"/>
  <c r="AX2877" i="2"/>
  <c r="AY2877" i="2"/>
  <c r="AR2878" i="2"/>
  <c r="AS2878" i="2"/>
  <c r="AT2878" i="2"/>
  <c r="AU2878" i="2"/>
  <c r="AV2878" i="2"/>
  <c r="AW2878" i="2" s="1"/>
  <c r="AX2878" i="2"/>
  <c r="AY2878" i="2"/>
  <c r="AR2879" i="2"/>
  <c r="AS2879" i="2"/>
  <c r="AT2879" i="2"/>
  <c r="AU2879" i="2"/>
  <c r="AV2879" i="2"/>
  <c r="AW2879" i="2" s="1"/>
  <c r="AX2879" i="2"/>
  <c r="AY2879" i="2"/>
  <c r="AR2880" i="2"/>
  <c r="AS2880" i="2"/>
  <c r="AT2880" i="2"/>
  <c r="AU2880" i="2"/>
  <c r="AV2880" i="2"/>
  <c r="AW2880" i="2" s="1"/>
  <c r="AX2880" i="2"/>
  <c r="AY2880" i="2"/>
  <c r="AR2881" i="2"/>
  <c r="AS2881" i="2"/>
  <c r="AT2881" i="2"/>
  <c r="AU2881" i="2"/>
  <c r="AV2881" i="2"/>
  <c r="AW2881" i="2" s="1"/>
  <c r="AX2881" i="2"/>
  <c r="AY2881" i="2"/>
  <c r="AR2882" i="2"/>
  <c r="AS2882" i="2"/>
  <c r="AT2882" i="2"/>
  <c r="AU2882" i="2"/>
  <c r="AV2882" i="2"/>
  <c r="AW2882" i="2" s="1"/>
  <c r="AX2882" i="2"/>
  <c r="AY2882" i="2"/>
  <c r="AR2883" i="2"/>
  <c r="AS2883" i="2"/>
  <c r="AT2883" i="2"/>
  <c r="AU2883" i="2"/>
  <c r="AV2883" i="2"/>
  <c r="AW2883" i="2" s="1"/>
  <c r="AX2883" i="2"/>
  <c r="AY2883" i="2"/>
  <c r="AR2884" i="2"/>
  <c r="AS2884" i="2"/>
  <c r="AT2884" i="2"/>
  <c r="AU2884" i="2"/>
  <c r="AV2884" i="2"/>
  <c r="AW2884" i="2" s="1"/>
  <c r="AX2884" i="2"/>
  <c r="AY2884" i="2"/>
  <c r="AR2885" i="2"/>
  <c r="AS2885" i="2"/>
  <c r="AT2885" i="2"/>
  <c r="AU2885" i="2"/>
  <c r="AV2885" i="2"/>
  <c r="AW2885" i="2" s="1"/>
  <c r="AX2885" i="2"/>
  <c r="AY2885" i="2"/>
  <c r="AR2886" i="2"/>
  <c r="AS2886" i="2"/>
  <c r="AT2886" i="2"/>
  <c r="AU2886" i="2"/>
  <c r="AV2886" i="2"/>
  <c r="AW2886" i="2" s="1"/>
  <c r="AX2886" i="2"/>
  <c r="AY2886" i="2"/>
  <c r="AR2887" i="2"/>
  <c r="AS2887" i="2"/>
  <c r="AT2887" i="2"/>
  <c r="AU2887" i="2"/>
  <c r="AV2887" i="2"/>
  <c r="AW2887" i="2" s="1"/>
  <c r="AX2887" i="2"/>
  <c r="AY2887" i="2"/>
  <c r="AR2888" i="2"/>
  <c r="AS2888" i="2"/>
  <c r="AT2888" i="2"/>
  <c r="AU2888" i="2"/>
  <c r="AV2888" i="2"/>
  <c r="AW2888" i="2" s="1"/>
  <c r="AX2888" i="2"/>
  <c r="AY2888" i="2"/>
  <c r="AR2889" i="2"/>
  <c r="AS2889" i="2"/>
  <c r="AT2889" i="2"/>
  <c r="AU2889" i="2"/>
  <c r="AV2889" i="2"/>
  <c r="AW2889" i="2" s="1"/>
  <c r="AX2889" i="2"/>
  <c r="AY2889" i="2"/>
  <c r="AR2890" i="2"/>
  <c r="AS2890" i="2"/>
  <c r="AT2890" i="2"/>
  <c r="AU2890" i="2"/>
  <c r="AV2890" i="2"/>
  <c r="AW2890" i="2" s="1"/>
  <c r="AX2890" i="2"/>
  <c r="AY2890" i="2"/>
  <c r="AR2891" i="2"/>
  <c r="AS2891" i="2"/>
  <c r="AT2891" i="2"/>
  <c r="AU2891" i="2"/>
  <c r="AV2891" i="2"/>
  <c r="AW2891" i="2" s="1"/>
  <c r="AX2891" i="2"/>
  <c r="AY2891" i="2"/>
  <c r="AR2892" i="2"/>
  <c r="AS2892" i="2"/>
  <c r="AT2892" i="2"/>
  <c r="AU2892" i="2"/>
  <c r="AV2892" i="2"/>
  <c r="AW2892" i="2" s="1"/>
  <c r="AX2892" i="2"/>
  <c r="AY2892" i="2"/>
  <c r="AR2893" i="2"/>
  <c r="AS2893" i="2"/>
  <c r="AT2893" i="2"/>
  <c r="AU2893" i="2"/>
  <c r="AV2893" i="2"/>
  <c r="AW2893" i="2" s="1"/>
  <c r="AX2893" i="2"/>
  <c r="AY2893" i="2"/>
  <c r="AR2894" i="2"/>
  <c r="AS2894" i="2"/>
  <c r="AT2894" i="2"/>
  <c r="AU2894" i="2"/>
  <c r="AV2894" i="2"/>
  <c r="AW2894" i="2" s="1"/>
  <c r="AX2894" i="2"/>
  <c r="AY2894" i="2"/>
  <c r="AR2895" i="2"/>
  <c r="AS2895" i="2"/>
  <c r="AT2895" i="2"/>
  <c r="AU2895" i="2"/>
  <c r="AV2895" i="2"/>
  <c r="AW2895" i="2" s="1"/>
  <c r="AX2895" i="2"/>
  <c r="AY2895" i="2"/>
  <c r="AR2896" i="2"/>
  <c r="AS2896" i="2"/>
  <c r="AT2896" i="2"/>
  <c r="AU2896" i="2"/>
  <c r="AV2896" i="2"/>
  <c r="AW2896" i="2" s="1"/>
  <c r="AX2896" i="2"/>
  <c r="AY2896" i="2"/>
  <c r="AR2897" i="2"/>
  <c r="AS2897" i="2"/>
  <c r="AT2897" i="2"/>
  <c r="AU2897" i="2"/>
  <c r="AV2897" i="2"/>
  <c r="AW2897" i="2" s="1"/>
  <c r="AX2897" i="2"/>
  <c r="AY2897" i="2"/>
  <c r="AR2898" i="2"/>
  <c r="AS2898" i="2"/>
  <c r="AT2898" i="2"/>
  <c r="AU2898" i="2"/>
  <c r="AV2898" i="2"/>
  <c r="AW2898" i="2" s="1"/>
  <c r="AX2898" i="2"/>
  <c r="AY2898" i="2"/>
  <c r="AR2899" i="2"/>
  <c r="AS2899" i="2"/>
  <c r="AT2899" i="2"/>
  <c r="AU2899" i="2"/>
  <c r="AV2899" i="2"/>
  <c r="AW2899" i="2" s="1"/>
  <c r="AX2899" i="2"/>
  <c r="AY2899" i="2"/>
  <c r="AR2900" i="2"/>
  <c r="AS2900" i="2"/>
  <c r="AT2900" i="2"/>
  <c r="AU2900" i="2"/>
  <c r="AV2900" i="2"/>
  <c r="AW2900" i="2" s="1"/>
  <c r="AX2900" i="2"/>
  <c r="AY2900" i="2"/>
  <c r="AR2901" i="2"/>
  <c r="AS2901" i="2"/>
  <c r="AT2901" i="2"/>
  <c r="AU2901" i="2"/>
  <c r="AV2901" i="2"/>
  <c r="AW2901" i="2" s="1"/>
  <c r="AX2901" i="2"/>
  <c r="AY2901" i="2"/>
  <c r="AR2902" i="2"/>
  <c r="AS2902" i="2"/>
  <c r="AT2902" i="2"/>
  <c r="AU2902" i="2"/>
  <c r="AV2902" i="2"/>
  <c r="AW2902" i="2" s="1"/>
  <c r="AX2902" i="2"/>
  <c r="AY2902" i="2"/>
  <c r="AR2903" i="2"/>
  <c r="AS2903" i="2"/>
  <c r="AT2903" i="2"/>
  <c r="AU2903" i="2"/>
  <c r="AV2903" i="2"/>
  <c r="AW2903" i="2" s="1"/>
  <c r="AX2903" i="2"/>
  <c r="AY2903" i="2"/>
  <c r="AR2904" i="2"/>
  <c r="AS2904" i="2"/>
  <c r="AT2904" i="2"/>
  <c r="AU2904" i="2"/>
  <c r="AV2904" i="2"/>
  <c r="AW2904" i="2" s="1"/>
  <c r="AX2904" i="2"/>
  <c r="AY2904" i="2"/>
  <c r="AR2905" i="2"/>
  <c r="AS2905" i="2"/>
  <c r="AT2905" i="2"/>
  <c r="AU2905" i="2"/>
  <c r="AV2905" i="2"/>
  <c r="AW2905" i="2" s="1"/>
  <c r="AX2905" i="2"/>
  <c r="AY2905" i="2"/>
  <c r="AR2906" i="2"/>
  <c r="AS2906" i="2"/>
  <c r="AT2906" i="2"/>
  <c r="AU2906" i="2"/>
  <c r="AV2906" i="2"/>
  <c r="AW2906" i="2" s="1"/>
  <c r="AX2906" i="2"/>
  <c r="AY2906" i="2"/>
  <c r="AR2907" i="2"/>
  <c r="AS2907" i="2"/>
  <c r="AT2907" i="2"/>
  <c r="AU2907" i="2"/>
  <c r="AV2907" i="2"/>
  <c r="AW2907" i="2" s="1"/>
  <c r="AX2907" i="2"/>
  <c r="AY2907" i="2"/>
  <c r="AR2908" i="2"/>
  <c r="AS2908" i="2"/>
  <c r="AT2908" i="2"/>
  <c r="AU2908" i="2"/>
  <c r="AV2908" i="2"/>
  <c r="AW2908" i="2" s="1"/>
  <c r="AX2908" i="2"/>
  <c r="AY2908" i="2"/>
  <c r="AR2909" i="2"/>
  <c r="AS2909" i="2"/>
  <c r="AT2909" i="2"/>
  <c r="AU2909" i="2"/>
  <c r="AV2909" i="2"/>
  <c r="AW2909" i="2" s="1"/>
  <c r="AX2909" i="2"/>
  <c r="AY2909" i="2"/>
  <c r="AR2910" i="2"/>
  <c r="AS2910" i="2"/>
  <c r="AT2910" i="2"/>
  <c r="AU2910" i="2"/>
  <c r="AV2910" i="2"/>
  <c r="AW2910" i="2" s="1"/>
  <c r="AX2910" i="2"/>
  <c r="AY2910" i="2"/>
  <c r="AR2911" i="2"/>
  <c r="AS2911" i="2"/>
  <c r="AT2911" i="2"/>
  <c r="AU2911" i="2"/>
  <c r="AV2911" i="2"/>
  <c r="AW2911" i="2" s="1"/>
  <c r="AX2911" i="2"/>
  <c r="AY2911" i="2"/>
  <c r="AR2912" i="2"/>
  <c r="AS2912" i="2"/>
  <c r="AT2912" i="2"/>
  <c r="AU2912" i="2"/>
  <c r="AV2912" i="2"/>
  <c r="AW2912" i="2" s="1"/>
  <c r="AX2912" i="2"/>
  <c r="AY2912" i="2"/>
  <c r="AR2913" i="2"/>
  <c r="AS2913" i="2"/>
  <c r="AT2913" i="2"/>
  <c r="AU2913" i="2"/>
  <c r="AV2913" i="2"/>
  <c r="AW2913" i="2" s="1"/>
  <c r="AX2913" i="2"/>
  <c r="AY2913" i="2"/>
  <c r="AR2914" i="2"/>
  <c r="AS2914" i="2"/>
  <c r="AT2914" i="2"/>
  <c r="AU2914" i="2"/>
  <c r="AV2914" i="2"/>
  <c r="AW2914" i="2" s="1"/>
  <c r="AX2914" i="2"/>
  <c r="AY2914" i="2"/>
  <c r="AR2915" i="2"/>
  <c r="AS2915" i="2"/>
  <c r="AT2915" i="2"/>
  <c r="AU2915" i="2"/>
  <c r="AV2915" i="2"/>
  <c r="AW2915" i="2" s="1"/>
  <c r="AX2915" i="2"/>
  <c r="AY2915" i="2"/>
  <c r="AR2916" i="2"/>
  <c r="AS2916" i="2"/>
  <c r="AT2916" i="2"/>
  <c r="AU2916" i="2"/>
  <c r="AV2916" i="2"/>
  <c r="AW2916" i="2" s="1"/>
  <c r="AX2916" i="2"/>
  <c r="AY2916" i="2"/>
  <c r="AR2917" i="2"/>
  <c r="AS2917" i="2"/>
  <c r="AT2917" i="2"/>
  <c r="AU2917" i="2"/>
  <c r="AV2917" i="2"/>
  <c r="AW2917" i="2" s="1"/>
  <c r="AX2917" i="2"/>
  <c r="AY2917" i="2"/>
  <c r="AR2918" i="2"/>
  <c r="AS2918" i="2"/>
  <c r="AT2918" i="2"/>
  <c r="AU2918" i="2"/>
  <c r="AV2918" i="2"/>
  <c r="AW2918" i="2" s="1"/>
  <c r="AX2918" i="2"/>
  <c r="AY2918" i="2"/>
  <c r="AR2919" i="2"/>
  <c r="AS2919" i="2"/>
  <c r="AT2919" i="2"/>
  <c r="AU2919" i="2"/>
  <c r="AV2919" i="2"/>
  <c r="AW2919" i="2" s="1"/>
  <c r="AX2919" i="2"/>
  <c r="AY2919" i="2"/>
  <c r="AR2920" i="2"/>
  <c r="AS2920" i="2"/>
  <c r="AT2920" i="2"/>
  <c r="AU2920" i="2"/>
  <c r="AV2920" i="2"/>
  <c r="AW2920" i="2" s="1"/>
  <c r="AX2920" i="2"/>
  <c r="AY2920" i="2"/>
  <c r="AR2921" i="2"/>
  <c r="AS2921" i="2"/>
  <c r="AT2921" i="2"/>
  <c r="AU2921" i="2"/>
  <c r="AV2921" i="2"/>
  <c r="AW2921" i="2" s="1"/>
  <c r="AX2921" i="2"/>
  <c r="AY2921" i="2"/>
  <c r="AR2922" i="2"/>
  <c r="AS2922" i="2"/>
  <c r="AT2922" i="2"/>
  <c r="AU2922" i="2"/>
  <c r="AV2922" i="2"/>
  <c r="AW2922" i="2" s="1"/>
  <c r="AX2922" i="2"/>
  <c r="AY2922" i="2"/>
  <c r="AR2923" i="2"/>
  <c r="AS2923" i="2"/>
  <c r="AT2923" i="2"/>
  <c r="AU2923" i="2"/>
  <c r="AV2923" i="2"/>
  <c r="AW2923" i="2" s="1"/>
  <c r="AX2923" i="2"/>
  <c r="AY2923" i="2"/>
  <c r="AR2924" i="2"/>
  <c r="AS2924" i="2"/>
  <c r="AT2924" i="2"/>
  <c r="AU2924" i="2"/>
  <c r="AV2924" i="2"/>
  <c r="AW2924" i="2" s="1"/>
  <c r="AX2924" i="2"/>
  <c r="AY2924" i="2"/>
  <c r="AR2925" i="2"/>
  <c r="AS2925" i="2"/>
  <c r="AT2925" i="2"/>
  <c r="AU2925" i="2"/>
  <c r="AV2925" i="2"/>
  <c r="AW2925" i="2" s="1"/>
  <c r="AX2925" i="2"/>
  <c r="AY2925" i="2"/>
  <c r="AR2926" i="2"/>
  <c r="AS2926" i="2"/>
  <c r="AT2926" i="2"/>
  <c r="AU2926" i="2"/>
  <c r="AV2926" i="2"/>
  <c r="AW2926" i="2" s="1"/>
  <c r="AX2926" i="2"/>
  <c r="AY2926" i="2"/>
  <c r="AR2927" i="2"/>
  <c r="AS2927" i="2"/>
  <c r="AT2927" i="2"/>
  <c r="AU2927" i="2"/>
  <c r="AV2927" i="2"/>
  <c r="AW2927" i="2" s="1"/>
  <c r="AX2927" i="2"/>
  <c r="AY2927" i="2"/>
  <c r="AR2928" i="2"/>
  <c r="AS2928" i="2"/>
  <c r="AT2928" i="2"/>
  <c r="AU2928" i="2"/>
  <c r="AV2928" i="2"/>
  <c r="AW2928" i="2" s="1"/>
  <c r="AX2928" i="2"/>
  <c r="AY2928" i="2"/>
  <c r="AR2929" i="2"/>
  <c r="AS2929" i="2"/>
  <c r="AT2929" i="2"/>
  <c r="AU2929" i="2"/>
  <c r="AV2929" i="2"/>
  <c r="AW2929" i="2" s="1"/>
  <c r="AX2929" i="2"/>
  <c r="AY2929" i="2"/>
  <c r="AR2930" i="2"/>
  <c r="AS2930" i="2"/>
  <c r="AT2930" i="2"/>
  <c r="AU2930" i="2"/>
  <c r="AV2930" i="2"/>
  <c r="AW2930" i="2" s="1"/>
  <c r="AX2930" i="2"/>
  <c r="AY2930" i="2"/>
  <c r="AR2931" i="2"/>
  <c r="AS2931" i="2"/>
  <c r="AT2931" i="2"/>
  <c r="AU2931" i="2"/>
  <c r="AV2931" i="2"/>
  <c r="AW2931" i="2" s="1"/>
  <c r="AX2931" i="2"/>
  <c r="AY2931" i="2"/>
  <c r="AR2932" i="2"/>
  <c r="AS2932" i="2"/>
  <c r="AT2932" i="2"/>
  <c r="AU2932" i="2"/>
  <c r="AV2932" i="2"/>
  <c r="AW2932" i="2" s="1"/>
  <c r="AX2932" i="2"/>
  <c r="AY2932" i="2"/>
  <c r="AR2933" i="2"/>
  <c r="AS2933" i="2"/>
  <c r="AT2933" i="2"/>
  <c r="AU2933" i="2"/>
  <c r="AV2933" i="2"/>
  <c r="AW2933" i="2" s="1"/>
  <c r="AX2933" i="2"/>
  <c r="AY2933" i="2"/>
  <c r="AR2934" i="2"/>
  <c r="AS2934" i="2"/>
  <c r="AT2934" i="2"/>
  <c r="AU2934" i="2"/>
  <c r="AV2934" i="2"/>
  <c r="AW2934" i="2" s="1"/>
  <c r="AX2934" i="2"/>
  <c r="AY2934" i="2"/>
  <c r="AR2935" i="2"/>
  <c r="AS2935" i="2"/>
  <c r="AT2935" i="2"/>
  <c r="AU2935" i="2"/>
  <c r="AV2935" i="2"/>
  <c r="AW2935" i="2" s="1"/>
  <c r="AX2935" i="2"/>
  <c r="AY2935" i="2"/>
  <c r="AR2936" i="2"/>
  <c r="AS2936" i="2"/>
  <c r="AT2936" i="2"/>
  <c r="AU2936" i="2"/>
  <c r="AV2936" i="2"/>
  <c r="AW2936" i="2" s="1"/>
  <c r="AX2936" i="2"/>
  <c r="AY2936" i="2"/>
  <c r="AR2937" i="2"/>
  <c r="AS2937" i="2"/>
  <c r="AT2937" i="2"/>
  <c r="AU2937" i="2"/>
  <c r="AV2937" i="2"/>
  <c r="AW2937" i="2" s="1"/>
  <c r="AX2937" i="2"/>
  <c r="AY2937" i="2"/>
  <c r="AR2938" i="2"/>
  <c r="AS2938" i="2"/>
  <c r="AT2938" i="2"/>
  <c r="AU2938" i="2"/>
  <c r="AV2938" i="2"/>
  <c r="AW2938" i="2" s="1"/>
  <c r="AX2938" i="2"/>
  <c r="AY2938" i="2"/>
  <c r="AR2939" i="2"/>
  <c r="AS2939" i="2"/>
  <c r="AT2939" i="2"/>
  <c r="AU2939" i="2"/>
  <c r="AV2939" i="2"/>
  <c r="AW2939" i="2" s="1"/>
  <c r="AX2939" i="2"/>
  <c r="AY2939" i="2"/>
  <c r="AR2940" i="2"/>
  <c r="AS2940" i="2"/>
  <c r="AT2940" i="2"/>
  <c r="AU2940" i="2"/>
  <c r="AV2940" i="2"/>
  <c r="AW2940" i="2" s="1"/>
  <c r="AX2940" i="2"/>
  <c r="AY2940" i="2"/>
  <c r="AR2941" i="2"/>
  <c r="AS2941" i="2"/>
  <c r="AT2941" i="2"/>
  <c r="AU2941" i="2"/>
  <c r="AV2941" i="2"/>
  <c r="AW2941" i="2" s="1"/>
  <c r="AX2941" i="2"/>
  <c r="AY2941" i="2"/>
  <c r="AR2942" i="2"/>
  <c r="AS2942" i="2"/>
  <c r="AT2942" i="2"/>
  <c r="AU2942" i="2"/>
  <c r="AV2942" i="2"/>
  <c r="AW2942" i="2" s="1"/>
  <c r="AX2942" i="2"/>
  <c r="AY2942" i="2"/>
  <c r="AR2943" i="2"/>
  <c r="AS2943" i="2"/>
  <c r="AT2943" i="2"/>
  <c r="AU2943" i="2"/>
  <c r="AV2943" i="2"/>
  <c r="AW2943" i="2" s="1"/>
  <c r="AX2943" i="2"/>
  <c r="AY2943" i="2"/>
  <c r="AR2944" i="2"/>
  <c r="AS2944" i="2"/>
  <c r="AT2944" i="2"/>
  <c r="AU2944" i="2"/>
  <c r="AV2944" i="2"/>
  <c r="AW2944" i="2" s="1"/>
  <c r="AX2944" i="2"/>
  <c r="AY2944" i="2"/>
  <c r="AR2945" i="2"/>
  <c r="AS2945" i="2"/>
  <c r="AT2945" i="2"/>
  <c r="AU2945" i="2"/>
  <c r="AV2945" i="2"/>
  <c r="AW2945" i="2" s="1"/>
  <c r="AX2945" i="2"/>
  <c r="AY2945" i="2"/>
  <c r="AR2946" i="2"/>
  <c r="AS2946" i="2"/>
  <c r="AT2946" i="2"/>
  <c r="AU2946" i="2"/>
  <c r="AV2946" i="2"/>
  <c r="AW2946" i="2" s="1"/>
  <c r="AX2946" i="2"/>
  <c r="AY2946" i="2"/>
  <c r="AR2947" i="2"/>
  <c r="AS2947" i="2"/>
  <c r="AT2947" i="2"/>
  <c r="AU2947" i="2"/>
  <c r="AV2947" i="2"/>
  <c r="AW2947" i="2" s="1"/>
  <c r="AX2947" i="2"/>
  <c r="AY2947" i="2"/>
  <c r="AR2948" i="2"/>
  <c r="AS2948" i="2"/>
  <c r="AT2948" i="2"/>
  <c r="AU2948" i="2"/>
  <c r="AV2948" i="2"/>
  <c r="AW2948" i="2" s="1"/>
  <c r="AX2948" i="2"/>
  <c r="AY2948" i="2"/>
  <c r="AR2949" i="2"/>
  <c r="AS2949" i="2"/>
  <c r="AT2949" i="2"/>
  <c r="AU2949" i="2"/>
  <c r="AV2949" i="2"/>
  <c r="AW2949" i="2" s="1"/>
  <c r="AX2949" i="2"/>
  <c r="AY2949" i="2"/>
  <c r="AR2950" i="2"/>
  <c r="AS2950" i="2"/>
  <c r="AT2950" i="2"/>
  <c r="AU2950" i="2"/>
  <c r="AV2950" i="2"/>
  <c r="AW2950" i="2" s="1"/>
  <c r="AX2950" i="2"/>
  <c r="AY2950" i="2"/>
  <c r="AR2951" i="2"/>
  <c r="AS2951" i="2"/>
  <c r="AT2951" i="2"/>
  <c r="AU2951" i="2"/>
  <c r="AV2951" i="2"/>
  <c r="AW2951" i="2" s="1"/>
  <c r="AX2951" i="2"/>
  <c r="AY2951" i="2"/>
  <c r="AR2952" i="2"/>
  <c r="AS2952" i="2"/>
  <c r="AT2952" i="2"/>
  <c r="AU2952" i="2"/>
  <c r="AV2952" i="2"/>
  <c r="AW2952" i="2" s="1"/>
  <c r="AX2952" i="2"/>
  <c r="AY2952" i="2"/>
  <c r="AR2953" i="2"/>
  <c r="AS2953" i="2"/>
  <c r="AT2953" i="2"/>
  <c r="AU2953" i="2"/>
  <c r="AV2953" i="2"/>
  <c r="AW2953" i="2" s="1"/>
  <c r="AX2953" i="2"/>
  <c r="AY2953" i="2"/>
  <c r="AR2954" i="2"/>
  <c r="AS2954" i="2"/>
  <c r="AT2954" i="2"/>
  <c r="AU2954" i="2"/>
  <c r="AV2954" i="2"/>
  <c r="AW2954" i="2" s="1"/>
  <c r="AX2954" i="2"/>
  <c r="AY2954" i="2"/>
  <c r="AR2955" i="2"/>
  <c r="AS2955" i="2"/>
  <c r="AT2955" i="2"/>
  <c r="AU2955" i="2"/>
  <c r="AV2955" i="2"/>
  <c r="AW2955" i="2" s="1"/>
  <c r="AX2955" i="2"/>
  <c r="AY2955" i="2"/>
  <c r="AR2956" i="2"/>
  <c r="AS2956" i="2"/>
  <c r="AT2956" i="2"/>
  <c r="AU2956" i="2"/>
  <c r="AV2956" i="2"/>
  <c r="AW2956" i="2" s="1"/>
  <c r="AX2956" i="2"/>
  <c r="AY2956" i="2"/>
  <c r="AR2957" i="2"/>
  <c r="AS2957" i="2"/>
  <c r="AT2957" i="2"/>
  <c r="AU2957" i="2"/>
  <c r="AV2957" i="2"/>
  <c r="AW2957" i="2" s="1"/>
  <c r="AX2957" i="2"/>
  <c r="AY2957" i="2"/>
  <c r="AR2958" i="2"/>
  <c r="AS2958" i="2"/>
  <c r="AT2958" i="2"/>
  <c r="AU2958" i="2"/>
  <c r="AV2958" i="2"/>
  <c r="AW2958" i="2" s="1"/>
  <c r="AX2958" i="2"/>
  <c r="AY2958" i="2"/>
  <c r="AR2959" i="2"/>
  <c r="AS2959" i="2"/>
  <c r="AT2959" i="2"/>
  <c r="AU2959" i="2"/>
  <c r="AV2959" i="2"/>
  <c r="AW2959" i="2" s="1"/>
  <c r="AX2959" i="2"/>
  <c r="AY2959" i="2"/>
  <c r="AR2960" i="2"/>
  <c r="AS2960" i="2"/>
  <c r="AT2960" i="2"/>
  <c r="AU2960" i="2"/>
  <c r="AV2960" i="2"/>
  <c r="AW2960" i="2" s="1"/>
  <c r="AX2960" i="2"/>
  <c r="AY2960" i="2"/>
  <c r="AR2961" i="2"/>
  <c r="AS2961" i="2"/>
  <c r="AT2961" i="2"/>
  <c r="AU2961" i="2"/>
  <c r="AV2961" i="2"/>
  <c r="AW2961" i="2" s="1"/>
  <c r="AX2961" i="2"/>
  <c r="AY2961" i="2"/>
  <c r="AR2962" i="2"/>
  <c r="AS2962" i="2"/>
  <c r="AT2962" i="2"/>
  <c r="AU2962" i="2"/>
  <c r="AV2962" i="2"/>
  <c r="AW2962" i="2" s="1"/>
  <c r="AX2962" i="2"/>
  <c r="AY2962" i="2"/>
  <c r="AR2963" i="2"/>
  <c r="AS2963" i="2"/>
  <c r="AT2963" i="2"/>
  <c r="AU2963" i="2"/>
  <c r="AV2963" i="2"/>
  <c r="AW2963" i="2" s="1"/>
  <c r="AX2963" i="2"/>
  <c r="AY2963" i="2"/>
  <c r="AR2964" i="2"/>
  <c r="AS2964" i="2"/>
  <c r="AT2964" i="2"/>
  <c r="AU2964" i="2"/>
  <c r="AV2964" i="2"/>
  <c r="AW2964" i="2" s="1"/>
  <c r="AX2964" i="2"/>
  <c r="AY2964" i="2"/>
  <c r="AR2965" i="2"/>
  <c r="AS2965" i="2"/>
  <c r="AT2965" i="2"/>
  <c r="AU2965" i="2"/>
  <c r="AV2965" i="2"/>
  <c r="AW2965" i="2" s="1"/>
  <c r="AX2965" i="2"/>
  <c r="AY2965" i="2"/>
  <c r="AR2966" i="2"/>
  <c r="AS2966" i="2"/>
  <c r="AT2966" i="2"/>
  <c r="AU2966" i="2"/>
  <c r="AV2966" i="2"/>
  <c r="AW2966" i="2" s="1"/>
  <c r="AX2966" i="2"/>
  <c r="AY2966" i="2"/>
  <c r="AR2967" i="2"/>
  <c r="AS2967" i="2"/>
  <c r="AT2967" i="2"/>
  <c r="AU2967" i="2"/>
  <c r="AV2967" i="2"/>
  <c r="AW2967" i="2" s="1"/>
  <c r="AX2967" i="2"/>
  <c r="AY2967" i="2"/>
  <c r="AR2968" i="2"/>
  <c r="AS2968" i="2"/>
  <c r="AT2968" i="2"/>
  <c r="AU2968" i="2"/>
  <c r="AV2968" i="2"/>
  <c r="AW2968" i="2" s="1"/>
  <c r="AX2968" i="2"/>
  <c r="AY2968" i="2"/>
  <c r="AR2969" i="2"/>
  <c r="AS2969" i="2"/>
  <c r="AT2969" i="2"/>
  <c r="AU2969" i="2"/>
  <c r="AV2969" i="2"/>
  <c r="AW2969" i="2" s="1"/>
  <c r="AX2969" i="2"/>
  <c r="AY2969" i="2"/>
  <c r="AR2970" i="2"/>
  <c r="AS2970" i="2"/>
  <c r="AT2970" i="2"/>
  <c r="AU2970" i="2"/>
  <c r="AV2970" i="2"/>
  <c r="AW2970" i="2" s="1"/>
  <c r="AX2970" i="2"/>
  <c r="AY2970" i="2"/>
  <c r="AR2971" i="2"/>
  <c r="AS2971" i="2"/>
  <c r="AT2971" i="2"/>
  <c r="AU2971" i="2"/>
  <c r="AV2971" i="2"/>
  <c r="AW2971" i="2" s="1"/>
  <c r="AX2971" i="2"/>
  <c r="AY2971" i="2"/>
  <c r="AR2972" i="2"/>
  <c r="AS2972" i="2"/>
  <c r="AT2972" i="2"/>
  <c r="AU2972" i="2"/>
  <c r="AV2972" i="2"/>
  <c r="AW2972" i="2" s="1"/>
  <c r="AX2972" i="2"/>
  <c r="AY2972" i="2"/>
  <c r="AR2973" i="2"/>
  <c r="AS2973" i="2"/>
  <c r="AT2973" i="2"/>
  <c r="AU2973" i="2"/>
  <c r="AV2973" i="2"/>
  <c r="AW2973" i="2" s="1"/>
  <c r="AX2973" i="2"/>
  <c r="AY2973" i="2"/>
  <c r="AR2974" i="2"/>
  <c r="AS2974" i="2"/>
  <c r="AT2974" i="2"/>
  <c r="AU2974" i="2"/>
  <c r="AV2974" i="2"/>
  <c r="AW2974" i="2" s="1"/>
  <c r="AX2974" i="2"/>
  <c r="AY2974" i="2"/>
  <c r="AR2975" i="2"/>
  <c r="AS2975" i="2"/>
  <c r="AT2975" i="2"/>
  <c r="AU2975" i="2"/>
  <c r="AV2975" i="2"/>
  <c r="AW2975" i="2" s="1"/>
  <c r="AX2975" i="2"/>
  <c r="AY2975" i="2"/>
  <c r="AR2976" i="2"/>
  <c r="AS2976" i="2"/>
  <c r="AT2976" i="2"/>
  <c r="AU2976" i="2"/>
  <c r="AV2976" i="2"/>
  <c r="AW2976" i="2" s="1"/>
  <c r="AX2976" i="2"/>
  <c r="AY2976" i="2"/>
  <c r="AR2977" i="2"/>
  <c r="AS2977" i="2"/>
  <c r="AT2977" i="2"/>
  <c r="AU2977" i="2"/>
  <c r="AV2977" i="2"/>
  <c r="AW2977" i="2" s="1"/>
  <c r="AX2977" i="2"/>
  <c r="AY2977" i="2"/>
  <c r="AR2978" i="2"/>
  <c r="AS2978" i="2"/>
  <c r="AT2978" i="2"/>
  <c r="AU2978" i="2"/>
  <c r="AV2978" i="2"/>
  <c r="AW2978" i="2" s="1"/>
  <c r="AX2978" i="2"/>
  <c r="AY2978" i="2"/>
  <c r="AR2979" i="2"/>
  <c r="AS2979" i="2"/>
  <c r="AT2979" i="2"/>
  <c r="AU2979" i="2"/>
  <c r="AV2979" i="2"/>
  <c r="AW2979" i="2" s="1"/>
  <c r="AX2979" i="2"/>
  <c r="AY2979" i="2"/>
  <c r="AR2980" i="2"/>
  <c r="AS2980" i="2"/>
  <c r="AT2980" i="2"/>
  <c r="AU2980" i="2"/>
  <c r="AV2980" i="2"/>
  <c r="AW2980" i="2" s="1"/>
  <c r="AX2980" i="2"/>
  <c r="AY2980" i="2"/>
  <c r="AR2981" i="2"/>
  <c r="AS2981" i="2"/>
  <c r="AT2981" i="2"/>
  <c r="AU2981" i="2"/>
  <c r="AV2981" i="2"/>
  <c r="AW2981" i="2" s="1"/>
  <c r="AX2981" i="2"/>
  <c r="AY2981" i="2"/>
  <c r="AR2982" i="2"/>
  <c r="AS2982" i="2"/>
  <c r="AT2982" i="2"/>
  <c r="AU2982" i="2"/>
  <c r="AV2982" i="2"/>
  <c r="AW2982" i="2" s="1"/>
  <c r="AX2982" i="2"/>
  <c r="AY2982" i="2"/>
  <c r="AR2983" i="2"/>
  <c r="AS2983" i="2"/>
  <c r="AT2983" i="2"/>
  <c r="AU2983" i="2"/>
  <c r="AV2983" i="2"/>
  <c r="AW2983" i="2" s="1"/>
  <c r="AX2983" i="2"/>
  <c r="AY2983" i="2"/>
  <c r="AR2984" i="2"/>
  <c r="AS2984" i="2"/>
  <c r="AT2984" i="2"/>
  <c r="AU2984" i="2"/>
  <c r="AV2984" i="2"/>
  <c r="AW2984" i="2" s="1"/>
  <c r="AX2984" i="2"/>
  <c r="AY2984" i="2"/>
  <c r="AR2985" i="2"/>
  <c r="AS2985" i="2"/>
  <c r="AT2985" i="2"/>
  <c r="AU2985" i="2"/>
  <c r="AV2985" i="2"/>
  <c r="AW2985" i="2" s="1"/>
  <c r="AX2985" i="2"/>
  <c r="AY2985" i="2"/>
  <c r="AR2986" i="2"/>
  <c r="AS2986" i="2"/>
  <c r="AT2986" i="2"/>
  <c r="AU2986" i="2"/>
  <c r="AV2986" i="2"/>
  <c r="AW2986" i="2" s="1"/>
  <c r="AX2986" i="2"/>
  <c r="AY2986" i="2"/>
  <c r="AR2987" i="2"/>
  <c r="AS2987" i="2"/>
  <c r="AT2987" i="2"/>
  <c r="AU2987" i="2"/>
  <c r="AV2987" i="2"/>
  <c r="AW2987" i="2" s="1"/>
  <c r="AX2987" i="2"/>
  <c r="AY2987" i="2"/>
  <c r="AR2988" i="2"/>
  <c r="AS2988" i="2"/>
  <c r="AT2988" i="2"/>
  <c r="AU2988" i="2"/>
  <c r="AV2988" i="2"/>
  <c r="AW2988" i="2" s="1"/>
  <c r="AX2988" i="2"/>
  <c r="AY2988" i="2"/>
  <c r="AR2989" i="2"/>
  <c r="AS2989" i="2"/>
  <c r="AT2989" i="2"/>
  <c r="AU2989" i="2"/>
  <c r="AV2989" i="2"/>
  <c r="AW2989" i="2" s="1"/>
  <c r="AX2989" i="2"/>
  <c r="AY2989" i="2"/>
  <c r="AR2990" i="2"/>
  <c r="AS2990" i="2"/>
  <c r="AT2990" i="2"/>
  <c r="AU2990" i="2"/>
  <c r="AV2990" i="2"/>
  <c r="AW2990" i="2" s="1"/>
  <c r="AX2990" i="2"/>
  <c r="AY2990" i="2"/>
  <c r="AR2991" i="2"/>
  <c r="AS2991" i="2"/>
  <c r="AT2991" i="2"/>
  <c r="AU2991" i="2"/>
  <c r="AV2991" i="2"/>
  <c r="AW2991" i="2" s="1"/>
  <c r="AX2991" i="2"/>
  <c r="AY2991" i="2"/>
  <c r="AR2992" i="2"/>
  <c r="AS2992" i="2"/>
  <c r="AT2992" i="2"/>
  <c r="AU2992" i="2"/>
  <c r="AV2992" i="2"/>
  <c r="AW2992" i="2" s="1"/>
  <c r="AX2992" i="2"/>
  <c r="AY2992" i="2"/>
  <c r="AR2993" i="2"/>
  <c r="AS2993" i="2"/>
  <c r="AT2993" i="2"/>
  <c r="AU2993" i="2"/>
  <c r="AV2993" i="2"/>
  <c r="AW2993" i="2" s="1"/>
  <c r="AX2993" i="2"/>
  <c r="AY2993" i="2"/>
  <c r="AR2994" i="2"/>
  <c r="AS2994" i="2"/>
  <c r="AT2994" i="2"/>
  <c r="AU2994" i="2"/>
  <c r="AV2994" i="2"/>
  <c r="AW2994" i="2" s="1"/>
  <c r="AX2994" i="2"/>
  <c r="AY2994" i="2"/>
  <c r="AR2995" i="2"/>
  <c r="AS2995" i="2"/>
  <c r="AT2995" i="2"/>
  <c r="AU2995" i="2"/>
  <c r="AV2995" i="2"/>
  <c r="AW2995" i="2" s="1"/>
  <c r="AX2995" i="2"/>
  <c r="AY2995" i="2"/>
  <c r="AR2996" i="2"/>
  <c r="AS2996" i="2"/>
  <c r="AT2996" i="2"/>
  <c r="AU2996" i="2"/>
  <c r="AV2996" i="2"/>
  <c r="AW2996" i="2" s="1"/>
  <c r="AX2996" i="2"/>
  <c r="AY2996" i="2"/>
  <c r="AR2997" i="2"/>
  <c r="AS2997" i="2"/>
  <c r="AT2997" i="2"/>
  <c r="AU2997" i="2"/>
  <c r="AV2997" i="2"/>
  <c r="AW2997" i="2" s="1"/>
  <c r="AX2997" i="2"/>
  <c r="AY2997" i="2"/>
  <c r="AR2998" i="2"/>
  <c r="AS2998" i="2"/>
  <c r="AT2998" i="2"/>
  <c r="AU2998" i="2"/>
  <c r="AV2998" i="2"/>
  <c r="AW2998" i="2" s="1"/>
  <c r="AX2998" i="2"/>
  <c r="AY2998" i="2"/>
  <c r="AR2999" i="2"/>
  <c r="AS2999" i="2"/>
  <c r="AT2999" i="2"/>
  <c r="AU2999" i="2"/>
  <c r="AV2999" i="2"/>
  <c r="AW2999" i="2" s="1"/>
  <c r="AX2999" i="2"/>
  <c r="AY2999" i="2"/>
  <c r="AR3000" i="2"/>
  <c r="AS3000" i="2"/>
  <c r="AT3000" i="2"/>
  <c r="AU3000" i="2"/>
  <c r="AV3000" i="2"/>
  <c r="AW3000" i="2" s="1"/>
  <c r="AX3000" i="2"/>
  <c r="AY3000" i="2"/>
  <c r="AY1" i="2"/>
  <c r="I1" i="4" s="1"/>
  <c r="AX1" i="2"/>
  <c r="H1" i="4" s="1"/>
  <c r="AV1" i="2"/>
  <c r="AW1" i="2" s="1"/>
  <c r="G1" i="4" s="1"/>
  <c r="AT1" i="2"/>
  <c r="AS1" i="2"/>
  <c r="AR1" i="2"/>
  <c r="H1015" i="6" l="1"/>
  <c r="H1015" i="4"/>
  <c r="H571" i="6"/>
  <c r="H571" i="4"/>
  <c r="H14" i="6"/>
  <c r="H14" i="4"/>
  <c r="G1185" i="6"/>
  <c r="G1185" i="4"/>
  <c r="D1184" i="6"/>
  <c r="D1184" i="4"/>
  <c r="I1183" i="6"/>
  <c r="I1183" i="4"/>
  <c r="H1173" i="6"/>
  <c r="H1173" i="4"/>
  <c r="D1171" i="6"/>
  <c r="D1171" i="4"/>
  <c r="H1166" i="6"/>
  <c r="H1166" i="4"/>
  <c r="F1165" i="6"/>
  <c r="F1165" i="4"/>
  <c r="H1162" i="6"/>
  <c r="H1162" i="4"/>
  <c r="F1160" i="6"/>
  <c r="F1160" i="4"/>
  <c r="C1156" i="6"/>
  <c r="C1156" i="4"/>
  <c r="F1155" i="6"/>
  <c r="F1155" i="4"/>
  <c r="C1149" i="6"/>
  <c r="C1149" i="4"/>
  <c r="D1152" i="6"/>
  <c r="D1152" i="4"/>
  <c r="H1144" i="6"/>
  <c r="H1144" i="4"/>
  <c r="G1141" i="6"/>
  <c r="G1141" i="4"/>
  <c r="H1140" i="6"/>
  <c r="H1140" i="4"/>
  <c r="H1133" i="6"/>
  <c r="H1133" i="4"/>
  <c r="C1129" i="6"/>
  <c r="C1129" i="4"/>
  <c r="H1130" i="6"/>
  <c r="H1130" i="4"/>
  <c r="F1126" i="6"/>
  <c r="F1126" i="4"/>
  <c r="D1120" i="6"/>
  <c r="D1120" i="4"/>
  <c r="H1115" i="6"/>
  <c r="H1115" i="4"/>
  <c r="F1108" i="6"/>
  <c r="F1108" i="4"/>
  <c r="H1105" i="6"/>
  <c r="H1105" i="4"/>
  <c r="E1102" i="6"/>
  <c r="E1102" i="4"/>
  <c r="C1101" i="6"/>
  <c r="C1101" i="4"/>
  <c r="H1099" i="6"/>
  <c r="H1099" i="4"/>
  <c r="I1096" i="6"/>
  <c r="I1096" i="4"/>
  <c r="H1089" i="6"/>
  <c r="H1089" i="4"/>
  <c r="D1082" i="6"/>
  <c r="D1082" i="4"/>
  <c r="D1077" i="6"/>
  <c r="D1077" i="4"/>
  <c r="H1074" i="6"/>
  <c r="H1074" i="4"/>
  <c r="F1067" i="6"/>
  <c r="F1067" i="4"/>
  <c r="D1060" i="6"/>
  <c r="D1060" i="4"/>
  <c r="C1055" i="6"/>
  <c r="C1055" i="4"/>
  <c r="F1056" i="6"/>
  <c r="F1056" i="4"/>
  <c r="D1054" i="6"/>
  <c r="D1054" i="4"/>
  <c r="E1047" i="6"/>
  <c r="E1047" i="4"/>
  <c r="C1044" i="6"/>
  <c r="C1044" i="4"/>
  <c r="F1042" i="6"/>
  <c r="F1042" i="4"/>
  <c r="H1038" i="6"/>
  <c r="H1038" i="4"/>
  <c r="F1037" i="6"/>
  <c r="F1037" i="4"/>
  <c r="C1035" i="6"/>
  <c r="C1035" i="4"/>
  <c r="G1032" i="6"/>
  <c r="G1032" i="4"/>
  <c r="E1031" i="6"/>
  <c r="E1031" i="4"/>
  <c r="C1029" i="6"/>
  <c r="C1029" i="4"/>
  <c r="H1026" i="6"/>
  <c r="H1026" i="4"/>
  <c r="D1024" i="6"/>
  <c r="D1024" i="4"/>
  <c r="H1022" i="6"/>
  <c r="H1022" i="4"/>
  <c r="F1020" i="6"/>
  <c r="F1020" i="4"/>
  <c r="E1019" i="6"/>
  <c r="E1019" i="4"/>
  <c r="D1018" i="6"/>
  <c r="D1018" i="4"/>
  <c r="I1016" i="6"/>
  <c r="I1016" i="4"/>
  <c r="H697" i="6"/>
  <c r="H697" i="4"/>
  <c r="E780" i="6"/>
  <c r="E780" i="4"/>
  <c r="C369" i="6"/>
  <c r="C369" i="4"/>
  <c r="D1182" i="6"/>
  <c r="D1182" i="4"/>
  <c r="G1180" i="6"/>
  <c r="G1180" i="4"/>
  <c r="G1178" i="6"/>
  <c r="G1178" i="4"/>
  <c r="I1168" i="6"/>
  <c r="I1168" i="4"/>
  <c r="E1169" i="6"/>
  <c r="E1169" i="4"/>
  <c r="C1163" i="6"/>
  <c r="C1163" i="4"/>
  <c r="G1161" i="6"/>
  <c r="G1161" i="4"/>
  <c r="D1157" i="6"/>
  <c r="D1157" i="4"/>
  <c r="I1148" i="6"/>
  <c r="I1148" i="4"/>
  <c r="E1153" i="6"/>
  <c r="E1153" i="4"/>
  <c r="I1145" i="6"/>
  <c r="I1145" i="4"/>
  <c r="I1142" i="6"/>
  <c r="I1142" i="4"/>
  <c r="F1138" i="6"/>
  <c r="F1138" i="4"/>
  <c r="D1137" i="6"/>
  <c r="D1137" i="4"/>
  <c r="C1135" i="6"/>
  <c r="C1135" i="4"/>
  <c r="D1132" i="6"/>
  <c r="D1132" i="4"/>
  <c r="G1127" i="6"/>
  <c r="G1127" i="4"/>
  <c r="D1124" i="6"/>
  <c r="D1124" i="4"/>
  <c r="C1119" i="6"/>
  <c r="C1119" i="4"/>
  <c r="D1117" i="6"/>
  <c r="D1117" i="4"/>
  <c r="G1114" i="6"/>
  <c r="G1114" i="4"/>
  <c r="G1109" i="6"/>
  <c r="G1109" i="4"/>
  <c r="G1104" i="6"/>
  <c r="G1104" i="4"/>
  <c r="E1095" i="6"/>
  <c r="E1095" i="4"/>
  <c r="E1091" i="6"/>
  <c r="E1091" i="4"/>
  <c r="E1088" i="6"/>
  <c r="E1088" i="4"/>
  <c r="I1086" i="6"/>
  <c r="I1086" i="4"/>
  <c r="E1083" i="6"/>
  <c r="E1083" i="4"/>
  <c r="G1079" i="6"/>
  <c r="G1079" i="4"/>
  <c r="C1076" i="6"/>
  <c r="C1076" i="4"/>
  <c r="G1072" i="6"/>
  <c r="G1072" i="4"/>
  <c r="D1071" i="6"/>
  <c r="D1071" i="4"/>
  <c r="G1068" i="6"/>
  <c r="G1068" i="4"/>
  <c r="G1065" i="6"/>
  <c r="G1065" i="4"/>
  <c r="D1063" i="6"/>
  <c r="D1063" i="4"/>
  <c r="I1059" i="6"/>
  <c r="I1059" i="4"/>
  <c r="F1058" i="6"/>
  <c r="F1058" i="4"/>
  <c r="I1050" i="6"/>
  <c r="I1050" i="4"/>
  <c r="D1049" i="6"/>
  <c r="D1049" i="4"/>
  <c r="C1046" i="6"/>
  <c r="C1046" i="4"/>
  <c r="E1043" i="6"/>
  <c r="E1043" i="4"/>
  <c r="I1041" i="6"/>
  <c r="I1041" i="4"/>
  <c r="E1040" i="6"/>
  <c r="E1040" i="4"/>
  <c r="D1030" i="6"/>
  <c r="D1030" i="4"/>
  <c r="I1027" i="6"/>
  <c r="I1027" i="4"/>
  <c r="F1025" i="6"/>
  <c r="F1025" i="4"/>
  <c r="G1021" i="6"/>
  <c r="G1021" i="4"/>
  <c r="F1092" i="6"/>
  <c r="F1092" i="4"/>
  <c r="D964" i="6"/>
  <c r="D964" i="4"/>
  <c r="F1179" i="6"/>
  <c r="F1179" i="4"/>
  <c r="D1176" i="6"/>
  <c r="D1176" i="4"/>
  <c r="H1177" i="6"/>
  <c r="H1177" i="4"/>
  <c r="F1175" i="6"/>
  <c r="F1175" i="4"/>
  <c r="I1174" i="6"/>
  <c r="I1174" i="4"/>
  <c r="E1172" i="6"/>
  <c r="E1172" i="4"/>
  <c r="G1170" i="6"/>
  <c r="G1170" i="4"/>
  <c r="E1164" i="6"/>
  <c r="E1164" i="4"/>
  <c r="I1159" i="6"/>
  <c r="I1159" i="4"/>
  <c r="D1151" i="6"/>
  <c r="D1151" i="4"/>
  <c r="G1154" i="6"/>
  <c r="G1154" i="4"/>
  <c r="C1150" i="6"/>
  <c r="C1150" i="4"/>
  <c r="D1143" i="6"/>
  <c r="D1143" i="4"/>
  <c r="I1134" i="6"/>
  <c r="I1134" i="4"/>
  <c r="I1131" i="6"/>
  <c r="I1131" i="4"/>
  <c r="E1125" i="6"/>
  <c r="E1125" i="4"/>
  <c r="H1122" i="6"/>
  <c r="H1122" i="4"/>
  <c r="E1121" i="6"/>
  <c r="E1121" i="4"/>
  <c r="F1118" i="6"/>
  <c r="F1118" i="4"/>
  <c r="C1113" i="6"/>
  <c r="C1113" i="4"/>
  <c r="H1111" i="6"/>
  <c r="H1111" i="4"/>
  <c r="F1110" i="6"/>
  <c r="F1110" i="4"/>
  <c r="I1106" i="6"/>
  <c r="I1106" i="4"/>
  <c r="F1103" i="6"/>
  <c r="F1103" i="4"/>
  <c r="I1100" i="6"/>
  <c r="I1100" i="4"/>
  <c r="F1098" i="6"/>
  <c r="F1098" i="4"/>
  <c r="C1097" i="6"/>
  <c r="C1097" i="4"/>
  <c r="C1093" i="6"/>
  <c r="C1093" i="4"/>
  <c r="C1090" i="6"/>
  <c r="C1090" i="4"/>
  <c r="D1087" i="6"/>
  <c r="D1087" i="4"/>
  <c r="G1084" i="6"/>
  <c r="G1084" i="4"/>
  <c r="C1081" i="6"/>
  <c r="C1081" i="4"/>
  <c r="H1080" i="6"/>
  <c r="H1080" i="4"/>
  <c r="E1078" i="6"/>
  <c r="E1078" i="4"/>
  <c r="I1075" i="6"/>
  <c r="I1075" i="4"/>
  <c r="C1073" i="6"/>
  <c r="C1073" i="4"/>
  <c r="C1070" i="6"/>
  <c r="C1070" i="4"/>
  <c r="F1064" i="6"/>
  <c r="F1064" i="4"/>
  <c r="I1061" i="6"/>
  <c r="I1061" i="4"/>
  <c r="I1057" i="6"/>
  <c r="I1057" i="4"/>
  <c r="C1052" i="6"/>
  <c r="C1052" i="4"/>
  <c r="E1045" i="6"/>
  <c r="E1045" i="4"/>
  <c r="E1036" i="6"/>
  <c r="E1036" i="4"/>
  <c r="H1033" i="6"/>
  <c r="H1033" i="4"/>
  <c r="E697" i="6"/>
  <c r="E697" i="4"/>
  <c r="H964" i="6"/>
  <c r="H964" i="4"/>
  <c r="F864" i="6"/>
  <c r="F864" i="4"/>
  <c r="D14" i="6"/>
  <c r="D14" i="4"/>
  <c r="E1183" i="6"/>
  <c r="E1183" i="4"/>
  <c r="C1180" i="6"/>
  <c r="C1180" i="4"/>
  <c r="H1176" i="6"/>
  <c r="H1176" i="4"/>
  <c r="D1173" i="6"/>
  <c r="D1173" i="4"/>
  <c r="H1171" i="6"/>
  <c r="H1171" i="4"/>
  <c r="I1169" i="6"/>
  <c r="I1169" i="4"/>
  <c r="I1164" i="6"/>
  <c r="I1164" i="4"/>
  <c r="D1162" i="6"/>
  <c r="D1162" i="4"/>
  <c r="H1157" i="6"/>
  <c r="H1157" i="4"/>
  <c r="E1159" i="6"/>
  <c r="E1159" i="4"/>
  <c r="G1149" i="6"/>
  <c r="G1149" i="4"/>
  <c r="I1153" i="6"/>
  <c r="I1153" i="4"/>
  <c r="F1146" i="6"/>
  <c r="F1146" i="4"/>
  <c r="D1140" i="6"/>
  <c r="D1140" i="4"/>
  <c r="H1137" i="6"/>
  <c r="H1137" i="4"/>
  <c r="D1133" i="6"/>
  <c r="D1133" i="4"/>
  <c r="H1132" i="6"/>
  <c r="H1132" i="4"/>
  <c r="E1131" i="6"/>
  <c r="E1131" i="4"/>
  <c r="I1125" i="6"/>
  <c r="I1125" i="4"/>
  <c r="I1121" i="6"/>
  <c r="I1121" i="4"/>
  <c r="G1119" i="6"/>
  <c r="G1119" i="4"/>
  <c r="H1117" i="6"/>
  <c r="H1117" i="4"/>
  <c r="D1115" i="6"/>
  <c r="D1115" i="4"/>
  <c r="D1111" i="6"/>
  <c r="D1111" i="4"/>
  <c r="C1109" i="6"/>
  <c r="C1109" i="4"/>
  <c r="F1107" i="6"/>
  <c r="F1107" i="4"/>
  <c r="C1104" i="6"/>
  <c r="C1104" i="4"/>
  <c r="D1099" i="6"/>
  <c r="D1099" i="4"/>
  <c r="G1097" i="6"/>
  <c r="G1097" i="4"/>
  <c r="G1093" i="6"/>
  <c r="G1093" i="4"/>
  <c r="D1089" i="6"/>
  <c r="D1089" i="4"/>
  <c r="I1088" i="6"/>
  <c r="I1088" i="4"/>
  <c r="H1087" i="6"/>
  <c r="H1087" i="4"/>
  <c r="F1085" i="6"/>
  <c r="F1085" i="4"/>
  <c r="E1086" i="6"/>
  <c r="E1086" i="4"/>
  <c r="C1084" i="6"/>
  <c r="C1084" i="4"/>
  <c r="I1083" i="6"/>
  <c r="I1083" i="4"/>
  <c r="H1082" i="6"/>
  <c r="H1082" i="4"/>
  <c r="G1081" i="6"/>
  <c r="G1081" i="4"/>
  <c r="D1080" i="6"/>
  <c r="D1080" i="4"/>
  <c r="C1079" i="6"/>
  <c r="C1079" i="4"/>
  <c r="I1078" i="6"/>
  <c r="I1078" i="4"/>
  <c r="H1077" i="6"/>
  <c r="H1077" i="4"/>
  <c r="G1076" i="6"/>
  <c r="G1076" i="4"/>
  <c r="E1075" i="6"/>
  <c r="E1075" i="4"/>
  <c r="D1074" i="6"/>
  <c r="D1074" i="4"/>
  <c r="G1073" i="6"/>
  <c r="G1073" i="4"/>
  <c r="H1071" i="6"/>
  <c r="H1071" i="4"/>
  <c r="G1070" i="6"/>
  <c r="G1070" i="4"/>
  <c r="F1069" i="6"/>
  <c r="F1069" i="4"/>
  <c r="F1186" i="6"/>
  <c r="F1186" i="4"/>
  <c r="C1185" i="6"/>
  <c r="C1185" i="4"/>
  <c r="I1172" i="6"/>
  <c r="I1172" i="4"/>
  <c r="E1168" i="6"/>
  <c r="E1168" i="4"/>
  <c r="G1163" i="6"/>
  <c r="G1163" i="4"/>
  <c r="F1158" i="6"/>
  <c r="F1158" i="4"/>
  <c r="E1148" i="6"/>
  <c r="E1148" i="4"/>
  <c r="G1150" i="6"/>
  <c r="G1150" i="4"/>
  <c r="E1142" i="6"/>
  <c r="E1142" i="4"/>
  <c r="F1139" i="6"/>
  <c r="F1139" i="4"/>
  <c r="F1136" i="6"/>
  <c r="F1136" i="4"/>
  <c r="E1134" i="6"/>
  <c r="E1134" i="4"/>
  <c r="F1128" i="6"/>
  <c r="F1128" i="4"/>
  <c r="C1127" i="6"/>
  <c r="C1127" i="4"/>
  <c r="D1122" i="6"/>
  <c r="D1122" i="4"/>
  <c r="F1116" i="6"/>
  <c r="F1116" i="4"/>
  <c r="G1113" i="6"/>
  <c r="G1113" i="4"/>
  <c r="D1105" i="6"/>
  <c r="D1105" i="4"/>
  <c r="I1102" i="6"/>
  <c r="I1102" i="4"/>
  <c r="E1100" i="6"/>
  <c r="E1100" i="4"/>
  <c r="E1096" i="6"/>
  <c r="E1096" i="4"/>
  <c r="I1095" i="6"/>
  <c r="I1095" i="4"/>
  <c r="F1094" i="6"/>
  <c r="F1094" i="4"/>
  <c r="G1090" i="6"/>
  <c r="G1090" i="4"/>
  <c r="E571" i="6"/>
  <c r="E571" i="4"/>
  <c r="I780" i="6"/>
  <c r="I780" i="4"/>
  <c r="G369" i="6"/>
  <c r="G369" i="4"/>
  <c r="H1184" i="6"/>
  <c r="H1184" i="4"/>
  <c r="H1182" i="6"/>
  <c r="H1182" i="4"/>
  <c r="F1181" i="6"/>
  <c r="F1181" i="4"/>
  <c r="C1178" i="6"/>
  <c r="C1178" i="4"/>
  <c r="D1177" i="6"/>
  <c r="D1177" i="4"/>
  <c r="E1174" i="6"/>
  <c r="E1174" i="4"/>
  <c r="C1170" i="6"/>
  <c r="C1170" i="4"/>
  <c r="F1167" i="6"/>
  <c r="F1167" i="4"/>
  <c r="D1166" i="6"/>
  <c r="D1166" i="4"/>
  <c r="C1161" i="6"/>
  <c r="C1161" i="4"/>
  <c r="G1156" i="6"/>
  <c r="G1156" i="4"/>
  <c r="H1151" i="6"/>
  <c r="H1151" i="4"/>
  <c r="F1147" i="6"/>
  <c r="F1147" i="4"/>
  <c r="C1154" i="6"/>
  <c r="C1154" i="4"/>
  <c r="H1152" i="6"/>
  <c r="H1152" i="4"/>
  <c r="E1145" i="6"/>
  <c r="E1145" i="4"/>
  <c r="D1144" i="6"/>
  <c r="D1144" i="4"/>
  <c r="H1143" i="6"/>
  <c r="H1143" i="4"/>
  <c r="C1141" i="6"/>
  <c r="C1141" i="4"/>
  <c r="G1135" i="6"/>
  <c r="G1135" i="4"/>
  <c r="G1129" i="6"/>
  <c r="G1129" i="4"/>
  <c r="D1130" i="6"/>
  <c r="D1130" i="4"/>
  <c r="H1124" i="6"/>
  <c r="H1124" i="4"/>
  <c r="F1123" i="6"/>
  <c r="F1123" i="4"/>
  <c r="H1120" i="6"/>
  <c r="H1120" i="4"/>
  <c r="C1114" i="6"/>
  <c r="C1114" i="4"/>
  <c r="F1112" i="6"/>
  <c r="F1112" i="4"/>
  <c r="E1106" i="6"/>
  <c r="E1106" i="4"/>
  <c r="G1101" i="6"/>
  <c r="G1101" i="4"/>
  <c r="I1091" i="6"/>
  <c r="I1091" i="4"/>
  <c r="C1072" i="6"/>
  <c r="C1072" i="4"/>
  <c r="G697" i="6"/>
  <c r="G697" i="4"/>
  <c r="G571" i="6"/>
  <c r="G571" i="4"/>
  <c r="D780" i="6"/>
  <c r="D780" i="4"/>
  <c r="E1092" i="6"/>
  <c r="E1092" i="4"/>
  <c r="C964" i="6"/>
  <c r="C964" i="4"/>
  <c r="I864" i="6"/>
  <c r="I864" i="4"/>
  <c r="G14" i="6"/>
  <c r="G14" i="4"/>
  <c r="I1186" i="6"/>
  <c r="I1186" i="4"/>
  <c r="F1185" i="6"/>
  <c r="F1185" i="4"/>
  <c r="C1184" i="6"/>
  <c r="C1184" i="4"/>
  <c r="H1183" i="6"/>
  <c r="H1183" i="4"/>
  <c r="C1182" i="6"/>
  <c r="C1182" i="4"/>
  <c r="I1181" i="6"/>
  <c r="I1181" i="4"/>
  <c r="F1180" i="6"/>
  <c r="F1180" i="4"/>
  <c r="E1179" i="6"/>
  <c r="E1179" i="4"/>
  <c r="F1178" i="6"/>
  <c r="F1178" i="4"/>
  <c r="C1176" i="6"/>
  <c r="C1176" i="4"/>
  <c r="G1177" i="6"/>
  <c r="G1177" i="4"/>
  <c r="E1175" i="6"/>
  <c r="E1175" i="4"/>
  <c r="H1174" i="6"/>
  <c r="H1174" i="4"/>
  <c r="G1173" i="6"/>
  <c r="G1173" i="4"/>
  <c r="D1172" i="6"/>
  <c r="D1172" i="4"/>
  <c r="C1171" i="6"/>
  <c r="C1171" i="4"/>
  <c r="H1168" i="6"/>
  <c r="H1168" i="4"/>
  <c r="F1170" i="6"/>
  <c r="F1170" i="4"/>
  <c r="D1169" i="6"/>
  <c r="D1169" i="4"/>
  <c r="I1167" i="6"/>
  <c r="I1167" i="4"/>
  <c r="G1166" i="6"/>
  <c r="G1166" i="4"/>
  <c r="E1165" i="6"/>
  <c r="E1165" i="4"/>
  <c r="D1164" i="6"/>
  <c r="D1164" i="4"/>
  <c r="G1162" i="6"/>
  <c r="G1162" i="4"/>
  <c r="F1161" i="6"/>
  <c r="F1161" i="4"/>
  <c r="E1160" i="6"/>
  <c r="E1160" i="4"/>
  <c r="C1157" i="6"/>
  <c r="C1157" i="4"/>
  <c r="I1158" i="6"/>
  <c r="I1158" i="4"/>
  <c r="H1159" i="6"/>
  <c r="H1159" i="4"/>
  <c r="E1155" i="6"/>
  <c r="E1155" i="4"/>
  <c r="C1151" i="6"/>
  <c r="C1151" i="4"/>
  <c r="I1147" i="6"/>
  <c r="I1147" i="4"/>
  <c r="H1148" i="6"/>
  <c r="H1148" i="4"/>
  <c r="F1154" i="6"/>
  <c r="F1154" i="4"/>
  <c r="D1153" i="6"/>
  <c r="D1153" i="4"/>
  <c r="C1152" i="6"/>
  <c r="C1152" i="4"/>
  <c r="I1146" i="6"/>
  <c r="I1146" i="4"/>
  <c r="C1013" i="6"/>
  <c r="C1013" i="4"/>
  <c r="I1009" i="6"/>
  <c r="I1009" i="4"/>
  <c r="F1007" i="6"/>
  <c r="F1007" i="4"/>
  <c r="F1001" i="6"/>
  <c r="F1001" i="4"/>
  <c r="H999" i="6"/>
  <c r="H999" i="4"/>
  <c r="I997" i="6"/>
  <c r="I997" i="4"/>
  <c r="H993" i="6"/>
  <c r="H993" i="4"/>
  <c r="C991" i="6"/>
  <c r="C991" i="4"/>
  <c r="D984" i="6"/>
  <c r="D984" i="4"/>
  <c r="H983" i="6"/>
  <c r="H983" i="4"/>
  <c r="G979" i="6"/>
  <c r="G979" i="4"/>
  <c r="D975" i="6"/>
  <c r="D975" i="4"/>
  <c r="C972" i="6"/>
  <c r="C972" i="4"/>
  <c r="F968" i="6"/>
  <c r="F968" i="4"/>
  <c r="C965" i="6"/>
  <c r="C965" i="4"/>
  <c r="H962" i="6"/>
  <c r="H962" i="4"/>
  <c r="C960" i="6"/>
  <c r="C960" i="4"/>
  <c r="H958" i="6"/>
  <c r="H958" i="4"/>
  <c r="F956" i="6"/>
  <c r="F956" i="4"/>
  <c r="I951" i="6"/>
  <c r="I951" i="4"/>
  <c r="I697" i="6"/>
  <c r="I697" i="4"/>
  <c r="I571" i="6"/>
  <c r="I571" i="4"/>
  <c r="F780" i="6"/>
  <c r="F780" i="4"/>
  <c r="G1092" i="6"/>
  <c r="G1092" i="4"/>
  <c r="E964" i="6"/>
  <c r="E964" i="4"/>
  <c r="C864" i="6"/>
  <c r="C864" i="4"/>
  <c r="I14" i="6"/>
  <c r="I14" i="4"/>
  <c r="D369" i="6"/>
  <c r="D369" i="4"/>
  <c r="C1186" i="6"/>
  <c r="C1186" i="4"/>
  <c r="H1185" i="6"/>
  <c r="H1185" i="4"/>
  <c r="E1184" i="6"/>
  <c r="E1184" i="4"/>
  <c r="E1182" i="6"/>
  <c r="E1182" i="4"/>
  <c r="C1181" i="6"/>
  <c r="C1181" i="4"/>
  <c r="H1180" i="6"/>
  <c r="H1180" i="4"/>
  <c r="G1179" i="6"/>
  <c r="G1179" i="4"/>
  <c r="H1178" i="6"/>
  <c r="H1178" i="4"/>
  <c r="E1176" i="6"/>
  <c r="E1176" i="4"/>
  <c r="I1177" i="6"/>
  <c r="I1177" i="4"/>
  <c r="G1175" i="6"/>
  <c r="G1175" i="4"/>
  <c r="I1173" i="6"/>
  <c r="I1173" i="4"/>
  <c r="F1172" i="6"/>
  <c r="F1172" i="4"/>
  <c r="E1171" i="6"/>
  <c r="E1171" i="4"/>
  <c r="H1170" i="6"/>
  <c r="H1170" i="4"/>
  <c r="F1169" i="6"/>
  <c r="F1169" i="4"/>
  <c r="C1167" i="6"/>
  <c r="C1167" i="4"/>
  <c r="I1166" i="6"/>
  <c r="I1166" i="4"/>
  <c r="G1165" i="6"/>
  <c r="G1165" i="4"/>
  <c r="F1164" i="6"/>
  <c r="F1164" i="4"/>
  <c r="D1163" i="6"/>
  <c r="D1163" i="4"/>
  <c r="I1162" i="6"/>
  <c r="I1162" i="4"/>
  <c r="H1161" i="6"/>
  <c r="H1161" i="4"/>
  <c r="G1160" i="6"/>
  <c r="G1160" i="4"/>
  <c r="E1157" i="6"/>
  <c r="E1157" i="4"/>
  <c r="D1156" i="6"/>
  <c r="D1156" i="4"/>
  <c r="C1158" i="6"/>
  <c r="C1158" i="4"/>
  <c r="G1155" i="6"/>
  <c r="G1155" i="4"/>
  <c r="E1151" i="6"/>
  <c r="E1151" i="4"/>
  <c r="D1149" i="6"/>
  <c r="D1149" i="4"/>
  <c r="C1147" i="6"/>
  <c r="C1147" i="4"/>
  <c r="H1154" i="6"/>
  <c r="H1154" i="4"/>
  <c r="F1153" i="6"/>
  <c r="F1153" i="4"/>
  <c r="E1152" i="6"/>
  <c r="E1152" i="4"/>
  <c r="D1150" i="6"/>
  <c r="D1150" i="4"/>
  <c r="C1146" i="6"/>
  <c r="C1146" i="4"/>
  <c r="I1144" i="6"/>
  <c r="I1144" i="4"/>
  <c r="E1143" i="6"/>
  <c r="E1143" i="4"/>
  <c r="H1141" i="6"/>
  <c r="H1141" i="4"/>
  <c r="C1139" i="6"/>
  <c r="C1139" i="4"/>
  <c r="I1140" i="6"/>
  <c r="I1140" i="4"/>
  <c r="G1138" i="6"/>
  <c r="G1138" i="4"/>
  <c r="E1137" i="6"/>
  <c r="E1137" i="4"/>
  <c r="C1136" i="6"/>
  <c r="C1136" i="4"/>
  <c r="D1135" i="6"/>
  <c r="D1135" i="4"/>
  <c r="I1133" i="6"/>
  <c r="I1133" i="4"/>
  <c r="E1132" i="6"/>
  <c r="E1132" i="4"/>
  <c r="D1129" i="6"/>
  <c r="D1129" i="4"/>
  <c r="C1128" i="6"/>
  <c r="C1128" i="4"/>
  <c r="I1130" i="6"/>
  <c r="I1130" i="4"/>
  <c r="H1127" i="6"/>
  <c r="H1127" i="4"/>
  <c r="G1126" i="6"/>
  <c r="G1126" i="4"/>
  <c r="F1125" i="6"/>
  <c r="F1125" i="4"/>
  <c r="E1124" i="6"/>
  <c r="E1124" i="4"/>
  <c r="C1123" i="6"/>
  <c r="C1123" i="4"/>
  <c r="I1122" i="6"/>
  <c r="I1122" i="4"/>
  <c r="F1121" i="6"/>
  <c r="F1121" i="4"/>
  <c r="E1120" i="6"/>
  <c r="E1120" i="4"/>
  <c r="D1119" i="6"/>
  <c r="D1119" i="4"/>
  <c r="G1118" i="6"/>
  <c r="G1118" i="4"/>
  <c r="E1117" i="6"/>
  <c r="E1117" i="4"/>
  <c r="C1116" i="6"/>
  <c r="C1116" i="4"/>
  <c r="I1115" i="6"/>
  <c r="I1115" i="4"/>
  <c r="H1114" i="6"/>
  <c r="H1114" i="4"/>
  <c r="D1113" i="6"/>
  <c r="D1113" i="4"/>
  <c r="C1112" i="6"/>
  <c r="C1112" i="4"/>
  <c r="I1111" i="6"/>
  <c r="I1111" i="4"/>
  <c r="G1110" i="6"/>
  <c r="G1110" i="4"/>
  <c r="H1109" i="6"/>
  <c r="H1109" i="4"/>
  <c r="G1108" i="6"/>
  <c r="G1108" i="4"/>
  <c r="C1107" i="6"/>
  <c r="C1107" i="4"/>
  <c r="I1105" i="6"/>
  <c r="I1105" i="4"/>
  <c r="H1104" i="6"/>
  <c r="H1104" i="4"/>
  <c r="G1103" i="6"/>
  <c r="G1103" i="4"/>
  <c r="F1102" i="6"/>
  <c r="F1102" i="4"/>
  <c r="D1101" i="6"/>
  <c r="D1101" i="4"/>
  <c r="I1099" i="6"/>
  <c r="I1099" i="4"/>
  <c r="G1098" i="6"/>
  <c r="G1098" i="4"/>
  <c r="D1097" i="6"/>
  <c r="D1097" i="4"/>
  <c r="F1095" i="6"/>
  <c r="F1095" i="4"/>
  <c r="D1093" i="6"/>
  <c r="D1093" i="4"/>
  <c r="C1094" i="6"/>
  <c r="C1094" i="4"/>
  <c r="F1091" i="6"/>
  <c r="F1091" i="4"/>
  <c r="D1090" i="6"/>
  <c r="D1090" i="4"/>
  <c r="I1089" i="6"/>
  <c r="I1089" i="4"/>
  <c r="F1088" i="6"/>
  <c r="F1088" i="4"/>
  <c r="E1087" i="6"/>
  <c r="E1087" i="4"/>
  <c r="C1085" i="6"/>
  <c r="C1085" i="4"/>
  <c r="H1084" i="6"/>
  <c r="H1084" i="4"/>
  <c r="F1083" i="6"/>
  <c r="F1083" i="4"/>
  <c r="E1082" i="6"/>
  <c r="E1082" i="4"/>
  <c r="D1081" i="6"/>
  <c r="D1081" i="4"/>
  <c r="I1080" i="6"/>
  <c r="I1080" i="4"/>
  <c r="H1079" i="6"/>
  <c r="H1079" i="4"/>
  <c r="F1078" i="6"/>
  <c r="F1078" i="4"/>
  <c r="E1077" i="6"/>
  <c r="E1077" i="4"/>
  <c r="D1076" i="6"/>
  <c r="D1076" i="4"/>
  <c r="I1074" i="6"/>
  <c r="I1074" i="4"/>
  <c r="D1073" i="6"/>
  <c r="D1073" i="4"/>
  <c r="H1072" i="6"/>
  <c r="H1072" i="4"/>
  <c r="E1071" i="6"/>
  <c r="E1071" i="4"/>
  <c r="D1070" i="6"/>
  <c r="D1070" i="4"/>
  <c r="C1069" i="6"/>
  <c r="C1069" i="4"/>
  <c r="H1068" i="6"/>
  <c r="H1068" i="4"/>
  <c r="G1067" i="6"/>
  <c r="G1067" i="4"/>
  <c r="D1012" i="6"/>
  <c r="D1012" i="4"/>
  <c r="I1011" i="6"/>
  <c r="I1011" i="4"/>
  <c r="G1010" i="6"/>
  <c r="G1010" i="4"/>
  <c r="D1005" i="6"/>
  <c r="D1005" i="4"/>
  <c r="D1003" i="6"/>
  <c r="D1003" i="4"/>
  <c r="G1002" i="6"/>
  <c r="G1002" i="4"/>
  <c r="G996" i="6"/>
  <c r="G996" i="4"/>
  <c r="D995" i="6"/>
  <c r="D995" i="4"/>
  <c r="F992" i="6"/>
  <c r="F992" i="4"/>
  <c r="I988" i="6"/>
  <c r="I988" i="4"/>
  <c r="F986" i="6"/>
  <c r="F986" i="4"/>
  <c r="C985" i="6"/>
  <c r="C985" i="4"/>
  <c r="G982" i="6"/>
  <c r="G982" i="4"/>
  <c r="H980" i="6"/>
  <c r="H980" i="4"/>
  <c r="C978" i="6"/>
  <c r="C978" i="4"/>
  <c r="I971" i="6"/>
  <c r="I971" i="4"/>
  <c r="E970" i="6"/>
  <c r="E970" i="4"/>
  <c r="D967" i="6"/>
  <c r="D967" i="4"/>
  <c r="H966" i="6"/>
  <c r="H966" i="4"/>
  <c r="G957" i="6"/>
  <c r="G957" i="4"/>
  <c r="C954" i="6"/>
  <c r="C954" i="4"/>
  <c r="H953" i="6"/>
  <c r="H953" i="4"/>
  <c r="C697" i="6"/>
  <c r="C697" i="4"/>
  <c r="C571" i="6"/>
  <c r="C571" i="4"/>
  <c r="G780" i="6"/>
  <c r="G780" i="4"/>
  <c r="H1092" i="6"/>
  <c r="H1092" i="4"/>
  <c r="F964" i="6"/>
  <c r="F964" i="4"/>
  <c r="D864" i="6"/>
  <c r="D864" i="4"/>
  <c r="E369" i="6"/>
  <c r="E369" i="4"/>
  <c r="D1186" i="6"/>
  <c r="D1186" i="4"/>
  <c r="I1185" i="6"/>
  <c r="I1185" i="4"/>
  <c r="F1184" i="6"/>
  <c r="F1184" i="4"/>
  <c r="C1183" i="6"/>
  <c r="C1183" i="4"/>
  <c r="F1182" i="6"/>
  <c r="F1182" i="4"/>
  <c r="D1181" i="6"/>
  <c r="D1181" i="4"/>
  <c r="I1180" i="6"/>
  <c r="I1180" i="4"/>
  <c r="H1179" i="6"/>
  <c r="H1179" i="4"/>
  <c r="I1178" i="6"/>
  <c r="I1178" i="4"/>
  <c r="F1176" i="6"/>
  <c r="F1176" i="4"/>
  <c r="H1175" i="6"/>
  <c r="H1175" i="4"/>
  <c r="C1174" i="6"/>
  <c r="C1174" i="4"/>
  <c r="G1172" i="6"/>
  <c r="G1172" i="4"/>
  <c r="F1171" i="6"/>
  <c r="F1171" i="4"/>
  <c r="C1168" i="6"/>
  <c r="C1168" i="4"/>
  <c r="I1170" i="6"/>
  <c r="I1170" i="4"/>
  <c r="G1169" i="6"/>
  <c r="G1169" i="4"/>
  <c r="D1167" i="6"/>
  <c r="D1167" i="4"/>
  <c r="H1165" i="6"/>
  <c r="H1165" i="4"/>
  <c r="G1164" i="6"/>
  <c r="G1164" i="4"/>
  <c r="E1163" i="6"/>
  <c r="E1163" i="4"/>
  <c r="I1161" i="6"/>
  <c r="I1161" i="4"/>
  <c r="H1160" i="6"/>
  <c r="H1160" i="4"/>
  <c r="F1157" i="6"/>
  <c r="F1157" i="4"/>
  <c r="E1156" i="6"/>
  <c r="E1156" i="4"/>
  <c r="D1158" i="6"/>
  <c r="D1158" i="4"/>
  <c r="C1159" i="6"/>
  <c r="C1159" i="4"/>
  <c r="H1155" i="6"/>
  <c r="H1155" i="4"/>
  <c r="F1151" i="6"/>
  <c r="F1151" i="4"/>
  <c r="E1149" i="6"/>
  <c r="E1149" i="4"/>
  <c r="D1147" i="6"/>
  <c r="D1147" i="4"/>
  <c r="C1148" i="6"/>
  <c r="C1148" i="4"/>
  <c r="I1154" i="6"/>
  <c r="I1154" i="4"/>
  <c r="G1153" i="6"/>
  <c r="G1153" i="4"/>
  <c r="F1152" i="6"/>
  <c r="F1152" i="4"/>
  <c r="E1150" i="6"/>
  <c r="E1150" i="4"/>
  <c r="D1146" i="6"/>
  <c r="D1146" i="4"/>
  <c r="C1145" i="6"/>
  <c r="C1145" i="4"/>
  <c r="F1143" i="6"/>
  <c r="F1143" i="4"/>
  <c r="C1142" i="6"/>
  <c r="C1142" i="4"/>
  <c r="I1141" i="6"/>
  <c r="I1141" i="4"/>
  <c r="D1139" i="6"/>
  <c r="D1139" i="4"/>
  <c r="H1138" i="6"/>
  <c r="H1138" i="4"/>
  <c r="F1137" i="6"/>
  <c r="F1137" i="4"/>
  <c r="D1136" i="6"/>
  <c r="D1136" i="4"/>
  <c r="E1135" i="6"/>
  <c r="E1135" i="4"/>
  <c r="C1134" i="6"/>
  <c r="C1134" i="4"/>
  <c r="F1132" i="6"/>
  <c r="F1132" i="4"/>
  <c r="E1129" i="6"/>
  <c r="E1129" i="4"/>
  <c r="D1128" i="6"/>
  <c r="D1128" i="4"/>
  <c r="C1131" i="6"/>
  <c r="C1131" i="4"/>
  <c r="I1127" i="6"/>
  <c r="I1127" i="4"/>
  <c r="H1126" i="6"/>
  <c r="H1126" i="4"/>
  <c r="G1125" i="6"/>
  <c r="G1125" i="4"/>
  <c r="F1124" i="6"/>
  <c r="F1124" i="4"/>
  <c r="D1123" i="6"/>
  <c r="D1123" i="4"/>
  <c r="G1121" i="6"/>
  <c r="G1121" i="4"/>
  <c r="F1120" i="6"/>
  <c r="F1120" i="4"/>
  <c r="E1119" i="6"/>
  <c r="E1119" i="4"/>
  <c r="H1118" i="6"/>
  <c r="H1118" i="4"/>
  <c r="F1117" i="6"/>
  <c r="F1117" i="4"/>
  <c r="D1116" i="6"/>
  <c r="D1116" i="4"/>
  <c r="I1114" i="6"/>
  <c r="I1114" i="4"/>
  <c r="E1113" i="6"/>
  <c r="E1113" i="4"/>
  <c r="D1112" i="6"/>
  <c r="D1112" i="4"/>
  <c r="H1110" i="6"/>
  <c r="H1110" i="4"/>
  <c r="I1109" i="6"/>
  <c r="I1109" i="4"/>
  <c r="H1108" i="6"/>
  <c r="H1108" i="4"/>
  <c r="D1107" i="6"/>
  <c r="D1107" i="4"/>
  <c r="C1106" i="6"/>
  <c r="C1106" i="4"/>
  <c r="I1104" i="6"/>
  <c r="I1104" i="4"/>
  <c r="H1103" i="6"/>
  <c r="H1103" i="4"/>
  <c r="G1102" i="6"/>
  <c r="G1102" i="4"/>
  <c r="E1101" i="6"/>
  <c r="E1101" i="4"/>
  <c r="C1100" i="6"/>
  <c r="C1100" i="4"/>
  <c r="H1098" i="6"/>
  <c r="H1098" i="4"/>
  <c r="E1097" i="6"/>
  <c r="E1097" i="4"/>
  <c r="C1096" i="6"/>
  <c r="C1096" i="4"/>
  <c r="G1095" i="6"/>
  <c r="G1095" i="4"/>
  <c r="E1093" i="6"/>
  <c r="E1093" i="4"/>
  <c r="D1094" i="6"/>
  <c r="D1094" i="4"/>
  <c r="G1091" i="6"/>
  <c r="G1091" i="4"/>
  <c r="E1090" i="6"/>
  <c r="E1090" i="4"/>
  <c r="G1088" i="6"/>
  <c r="G1088" i="4"/>
  <c r="F1087" i="6"/>
  <c r="F1087" i="4"/>
  <c r="D1085" i="6"/>
  <c r="D1085" i="4"/>
  <c r="C1086" i="6"/>
  <c r="C1086" i="4"/>
  <c r="I1084" i="6"/>
  <c r="I1084" i="4"/>
  <c r="G1083" i="6"/>
  <c r="G1083" i="4"/>
  <c r="F1082" i="6"/>
  <c r="F1082" i="4"/>
  <c r="E1081" i="6"/>
  <c r="E1081" i="4"/>
  <c r="I1079" i="6"/>
  <c r="I1079" i="4"/>
  <c r="G1078" i="6"/>
  <c r="G1078" i="4"/>
  <c r="F1077" i="6"/>
  <c r="F1077" i="4"/>
  <c r="E1076" i="6"/>
  <c r="E1076" i="4"/>
  <c r="C1075" i="6"/>
  <c r="C1075" i="4"/>
  <c r="E1073" i="6"/>
  <c r="E1073" i="4"/>
  <c r="I1072" i="6"/>
  <c r="I1072" i="4"/>
  <c r="F1071" i="6"/>
  <c r="F1071" i="4"/>
  <c r="E1070" i="6"/>
  <c r="E1070" i="4"/>
  <c r="D1069" i="6"/>
  <c r="D1069" i="4"/>
  <c r="I1068" i="6"/>
  <c r="I1068" i="4"/>
  <c r="H1067" i="6"/>
  <c r="H1067" i="4"/>
  <c r="D1066" i="6"/>
  <c r="D1066" i="4"/>
  <c r="I1065" i="6"/>
  <c r="I1065" i="4"/>
  <c r="H1064" i="6"/>
  <c r="H1064" i="4"/>
  <c r="F1063" i="6"/>
  <c r="F1063" i="4"/>
  <c r="D1062" i="6"/>
  <c r="D1062" i="4"/>
  <c r="C1061" i="6"/>
  <c r="C1061" i="4"/>
  <c r="F1060" i="6"/>
  <c r="F1060" i="4"/>
  <c r="C1059" i="6"/>
  <c r="C1059" i="4"/>
  <c r="H1058" i="6"/>
  <c r="H1058" i="4"/>
  <c r="E1055" i="6"/>
  <c r="E1055" i="4"/>
  <c r="D1053" i="6"/>
  <c r="D1053" i="4"/>
  <c r="C1057" i="6"/>
  <c r="C1057" i="4"/>
  <c r="H1056" i="6"/>
  <c r="H1056" i="4"/>
  <c r="F1054" i="6"/>
  <c r="F1054" i="4"/>
  <c r="E1052" i="6"/>
  <c r="E1052" i="4"/>
  <c r="D1051" i="6"/>
  <c r="D1051" i="4"/>
  <c r="C1050" i="6"/>
  <c r="C1050" i="4"/>
  <c r="F1049" i="6"/>
  <c r="F1049" i="4"/>
  <c r="D1048" i="6"/>
  <c r="D1048" i="4"/>
  <c r="G1047" i="6"/>
  <c r="G1047" i="4"/>
  <c r="E1046" i="6"/>
  <c r="E1046" i="4"/>
  <c r="G1045" i="6"/>
  <c r="G1045" i="4"/>
  <c r="E1044" i="6"/>
  <c r="E1044" i="4"/>
  <c r="H1042" i="6"/>
  <c r="H1042" i="4"/>
  <c r="G1043" i="6"/>
  <c r="G1043" i="4"/>
  <c r="C1041" i="6"/>
  <c r="C1041" i="4"/>
  <c r="G1040" i="6"/>
  <c r="G1040" i="4"/>
  <c r="H1014" i="6"/>
  <c r="H1014" i="4"/>
  <c r="H1008" i="6"/>
  <c r="H1008" i="4"/>
  <c r="E1006" i="6"/>
  <c r="E1006" i="4"/>
  <c r="I1004" i="6"/>
  <c r="I1004" i="4"/>
  <c r="D998" i="6"/>
  <c r="D998" i="4"/>
  <c r="D990" i="6"/>
  <c r="D990" i="4"/>
  <c r="E987" i="6"/>
  <c r="E987" i="4"/>
  <c r="E977" i="6"/>
  <c r="E977" i="4"/>
  <c r="I981" i="6"/>
  <c r="I981" i="4"/>
  <c r="E976" i="6"/>
  <c r="E976" i="4"/>
  <c r="G974" i="6"/>
  <c r="G974" i="4"/>
  <c r="D973" i="6"/>
  <c r="D973" i="4"/>
  <c r="I963" i="6"/>
  <c r="I963" i="4"/>
  <c r="E961" i="6"/>
  <c r="E961" i="4"/>
  <c r="I959" i="6"/>
  <c r="I959" i="4"/>
  <c r="E955" i="6"/>
  <c r="E955" i="4"/>
  <c r="F952" i="6"/>
  <c r="F952" i="4"/>
  <c r="D697" i="6"/>
  <c r="D697" i="4"/>
  <c r="D571" i="6"/>
  <c r="D571" i="4"/>
  <c r="H780" i="6"/>
  <c r="H780" i="4"/>
  <c r="I1092" i="6"/>
  <c r="I1092" i="4"/>
  <c r="G964" i="6"/>
  <c r="G964" i="4"/>
  <c r="E864" i="6"/>
  <c r="E864" i="4"/>
  <c r="C14" i="6"/>
  <c r="C14" i="4"/>
  <c r="F369" i="6"/>
  <c r="F369" i="4"/>
  <c r="E1186" i="6"/>
  <c r="E1186" i="4"/>
  <c r="G1184" i="6"/>
  <c r="G1184" i="4"/>
  <c r="D1183" i="6"/>
  <c r="D1183" i="4"/>
  <c r="G1182" i="6"/>
  <c r="G1182" i="4"/>
  <c r="E1181" i="6"/>
  <c r="E1181" i="4"/>
  <c r="I1179" i="6"/>
  <c r="I1179" i="4"/>
  <c r="G1176" i="6"/>
  <c r="G1176" i="4"/>
  <c r="C1177" i="6"/>
  <c r="C1177" i="4"/>
  <c r="I1175" i="6"/>
  <c r="I1175" i="4"/>
  <c r="D1174" i="6"/>
  <c r="D1174" i="4"/>
  <c r="C1173" i="6"/>
  <c r="C1173" i="4"/>
  <c r="H1172" i="6"/>
  <c r="H1172" i="4"/>
  <c r="G1171" i="6"/>
  <c r="G1171" i="4"/>
  <c r="D1168" i="6"/>
  <c r="D1168" i="4"/>
  <c r="H1169" i="6"/>
  <c r="H1169" i="4"/>
  <c r="E1167" i="6"/>
  <c r="E1167" i="4"/>
  <c r="C1166" i="6"/>
  <c r="C1166" i="4"/>
  <c r="I1165" i="6"/>
  <c r="I1165" i="4"/>
  <c r="H1164" i="6"/>
  <c r="H1164" i="4"/>
  <c r="F1163" i="6"/>
  <c r="F1163" i="4"/>
  <c r="C1162" i="6"/>
  <c r="C1162" i="4"/>
  <c r="I1160" i="6"/>
  <c r="I1160" i="4"/>
  <c r="G1157" i="6"/>
  <c r="G1157" i="4"/>
  <c r="F1156" i="6"/>
  <c r="F1156" i="4"/>
  <c r="E1158" i="6"/>
  <c r="E1158" i="4"/>
  <c r="D1159" i="6"/>
  <c r="D1159" i="4"/>
  <c r="I1155" i="6"/>
  <c r="I1155" i="4"/>
  <c r="G1151" i="6"/>
  <c r="G1151" i="4"/>
  <c r="F1149" i="6"/>
  <c r="F1149" i="4"/>
  <c r="E1147" i="6"/>
  <c r="E1147" i="4"/>
  <c r="D1148" i="6"/>
  <c r="D1148" i="4"/>
  <c r="H1153" i="6"/>
  <c r="H1153" i="4"/>
  <c r="G1152" i="6"/>
  <c r="G1152" i="4"/>
  <c r="F1150" i="6"/>
  <c r="F1150" i="4"/>
  <c r="E1146" i="6"/>
  <c r="E1146" i="4"/>
  <c r="D1145" i="6"/>
  <c r="D1145" i="4"/>
  <c r="C1144" i="6"/>
  <c r="C1144" i="4"/>
  <c r="G1143" i="6"/>
  <c r="G1143" i="4"/>
  <c r="D1142" i="6"/>
  <c r="D1142" i="4"/>
  <c r="E1139" i="6"/>
  <c r="E1139" i="4"/>
  <c r="C1140" i="6"/>
  <c r="C1140" i="4"/>
  <c r="I1138" i="6"/>
  <c r="I1138" i="4"/>
  <c r="G1137" i="6"/>
  <c r="G1137" i="4"/>
  <c r="E1136" i="6"/>
  <c r="E1136" i="4"/>
  <c r="F1135" i="6"/>
  <c r="F1135" i="4"/>
  <c r="D1134" i="6"/>
  <c r="D1134" i="4"/>
  <c r="C1133" i="6"/>
  <c r="C1133" i="4"/>
  <c r="G1132" i="6"/>
  <c r="G1132" i="4"/>
  <c r="F1129" i="6"/>
  <c r="F1129" i="4"/>
  <c r="E1128" i="6"/>
  <c r="E1128" i="4"/>
  <c r="D1131" i="6"/>
  <c r="D1131" i="4"/>
  <c r="C1130" i="6"/>
  <c r="C1130" i="4"/>
  <c r="I1126" i="6"/>
  <c r="I1126" i="4"/>
  <c r="H1125" i="6"/>
  <c r="H1125" i="4"/>
  <c r="G1124" i="6"/>
  <c r="G1124" i="4"/>
  <c r="E1123" i="6"/>
  <c r="E1123" i="4"/>
  <c r="C1122" i="6"/>
  <c r="C1122" i="4"/>
  <c r="H1121" i="6"/>
  <c r="H1121" i="4"/>
  <c r="G1120" i="6"/>
  <c r="G1120" i="4"/>
  <c r="F1119" i="6"/>
  <c r="F1119" i="4"/>
  <c r="I1118" i="6"/>
  <c r="I1118" i="4"/>
  <c r="G1117" i="6"/>
  <c r="G1117" i="4"/>
  <c r="E1116" i="6"/>
  <c r="E1116" i="4"/>
  <c r="C1115" i="6"/>
  <c r="C1115" i="4"/>
  <c r="F1113" i="6"/>
  <c r="F1113" i="4"/>
  <c r="E1112" i="6"/>
  <c r="E1112" i="4"/>
  <c r="C1111" i="6"/>
  <c r="C1111" i="4"/>
  <c r="I1110" i="6"/>
  <c r="I1110" i="4"/>
  <c r="I1108" i="6"/>
  <c r="I1108" i="4"/>
  <c r="E1107" i="6"/>
  <c r="E1107" i="4"/>
  <c r="D1106" i="6"/>
  <c r="D1106" i="4"/>
  <c r="C1105" i="6"/>
  <c r="C1105" i="4"/>
  <c r="I1103" i="6"/>
  <c r="I1103" i="4"/>
  <c r="H1102" i="6"/>
  <c r="H1102" i="4"/>
  <c r="F1101" i="6"/>
  <c r="F1101" i="4"/>
  <c r="D1100" i="6"/>
  <c r="D1100" i="4"/>
  <c r="C1099" i="6"/>
  <c r="C1099" i="4"/>
  <c r="I1098" i="6"/>
  <c r="I1098" i="4"/>
  <c r="F1097" i="6"/>
  <c r="F1097" i="4"/>
  <c r="D1096" i="6"/>
  <c r="D1096" i="4"/>
  <c r="H1095" i="6"/>
  <c r="H1095" i="4"/>
  <c r="F1093" i="6"/>
  <c r="F1093" i="4"/>
  <c r="E1094" i="6"/>
  <c r="E1094" i="4"/>
  <c r="H1091" i="6"/>
  <c r="H1091" i="4"/>
  <c r="F1090" i="6"/>
  <c r="F1090" i="4"/>
  <c r="C1089" i="6"/>
  <c r="C1089" i="4"/>
  <c r="H1088" i="6"/>
  <c r="H1088" i="4"/>
  <c r="G1087" i="6"/>
  <c r="G1087" i="4"/>
  <c r="E1085" i="6"/>
  <c r="E1085" i="4"/>
  <c r="D1086" i="6"/>
  <c r="D1086" i="4"/>
  <c r="H1083" i="6"/>
  <c r="H1083" i="4"/>
  <c r="G1082" i="6"/>
  <c r="G1082" i="4"/>
  <c r="F1081" i="6"/>
  <c r="F1081" i="4"/>
  <c r="C1080" i="6"/>
  <c r="C1080" i="4"/>
  <c r="H1078" i="6"/>
  <c r="H1078" i="4"/>
  <c r="G1077" i="6"/>
  <c r="G1077" i="4"/>
  <c r="F1076" i="6"/>
  <c r="F1076" i="4"/>
  <c r="D1075" i="6"/>
  <c r="D1075" i="4"/>
  <c r="C1074" i="6"/>
  <c r="C1074" i="4"/>
  <c r="F1073" i="6"/>
  <c r="F1073" i="4"/>
  <c r="G1071" i="6"/>
  <c r="G1071" i="4"/>
  <c r="F1070" i="6"/>
  <c r="F1070" i="4"/>
  <c r="E1069" i="6"/>
  <c r="E1069" i="4"/>
  <c r="I1067" i="6"/>
  <c r="I1067" i="4"/>
  <c r="C1068" i="6"/>
  <c r="C1068" i="4"/>
  <c r="F1066" i="6"/>
  <c r="F1066" i="4"/>
  <c r="C1065" i="6"/>
  <c r="C1065" i="4"/>
  <c r="H1063" i="6"/>
  <c r="H1063" i="4"/>
  <c r="F1062" i="6"/>
  <c r="F1062" i="4"/>
  <c r="E1061" i="6"/>
  <c r="E1061" i="4"/>
  <c r="H1060" i="6"/>
  <c r="H1060" i="4"/>
  <c r="E1059" i="6"/>
  <c r="E1059" i="4"/>
  <c r="G1055" i="6"/>
  <c r="G1055" i="4"/>
  <c r="F1053" i="6"/>
  <c r="F1053" i="4"/>
  <c r="E1057" i="6"/>
  <c r="E1057" i="4"/>
  <c r="H1054" i="6"/>
  <c r="H1054" i="4"/>
  <c r="G1052" i="6"/>
  <c r="G1052" i="4"/>
  <c r="F1051" i="6"/>
  <c r="F1051" i="4"/>
  <c r="E1050" i="6"/>
  <c r="E1050" i="4"/>
  <c r="H1049" i="6"/>
  <c r="H1049" i="4"/>
  <c r="F1048" i="6"/>
  <c r="F1048" i="4"/>
  <c r="I1047" i="6"/>
  <c r="I1047" i="4"/>
  <c r="G1046" i="6"/>
  <c r="G1046" i="4"/>
  <c r="I1045" i="6"/>
  <c r="I1045" i="4"/>
  <c r="G1044" i="6"/>
  <c r="G1044" i="4"/>
  <c r="I1043" i="6"/>
  <c r="I1043" i="4"/>
  <c r="E1041" i="6"/>
  <c r="E1041" i="4"/>
  <c r="I1040" i="6"/>
  <c r="I1040" i="4"/>
  <c r="F1039" i="6"/>
  <c r="F1039" i="4"/>
  <c r="D1038" i="6"/>
  <c r="D1038" i="4"/>
  <c r="I1036" i="6"/>
  <c r="I1036" i="4"/>
  <c r="G1035" i="6"/>
  <c r="G1035" i="4"/>
  <c r="F1034" i="6"/>
  <c r="F1034" i="4"/>
  <c r="D1033" i="6"/>
  <c r="D1033" i="4"/>
  <c r="C1032" i="6"/>
  <c r="C1032" i="4"/>
  <c r="I1031" i="6"/>
  <c r="I1031" i="4"/>
  <c r="H1030" i="6"/>
  <c r="H1030" i="4"/>
  <c r="G1029" i="6"/>
  <c r="G1029" i="4"/>
  <c r="F1028" i="6"/>
  <c r="F1028" i="4"/>
  <c r="E1027" i="6"/>
  <c r="E1027" i="4"/>
  <c r="D1026" i="6"/>
  <c r="D1026" i="4"/>
  <c r="H1024" i="6"/>
  <c r="H1024" i="4"/>
  <c r="F1023" i="6"/>
  <c r="F1023" i="4"/>
  <c r="D1022" i="6"/>
  <c r="D1022" i="4"/>
  <c r="C1021" i="6"/>
  <c r="C1021" i="4"/>
  <c r="I1019" i="6"/>
  <c r="I1019" i="4"/>
  <c r="H1018" i="6"/>
  <c r="H1018" i="4"/>
  <c r="F1017" i="6"/>
  <c r="F1017" i="4"/>
  <c r="E1016" i="6"/>
  <c r="E1016" i="4"/>
  <c r="D1015" i="6"/>
  <c r="D1015" i="4"/>
  <c r="H1012" i="6"/>
  <c r="H1012" i="4"/>
  <c r="G1013" i="6"/>
  <c r="G1013" i="4"/>
  <c r="E1011" i="6"/>
  <c r="E1011" i="4"/>
  <c r="D1014" i="6"/>
  <c r="D1014" i="4"/>
  <c r="C1010" i="6"/>
  <c r="C1010" i="4"/>
  <c r="E1009" i="6"/>
  <c r="E1009" i="4"/>
  <c r="D1008" i="6"/>
  <c r="D1008" i="4"/>
  <c r="I1006" i="6"/>
  <c r="I1006" i="4"/>
  <c r="H1005" i="6"/>
  <c r="H1005" i="4"/>
  <c r="E1004" i="6"/>
  <c r="E1004" i="4"/>
  <c r="H1003" i="6"/>
  <c r="H1003" i="4"/>
  <c r="C1002" i="6"/>
  <c r="C1002" i="4"/>
  <c r="F1000" i="6"/>
  <c r="F1000" i="4"/>
  <c r="D999" i="6"/>
  <c r="D999" i="4"/>
  <c r="H998" i="6"/>
  <c r="H998" i="4"/>
  <c r="E997" i="6"/>
  <c r="E997" i="4"/>
  <c r="C996" i="6"/>
  <c r="C996" i="4"/>
  <c r="H995" i="6"/>
  <c r="H995" i="4"/>
  <c r="F994" i="6"/>
  <c r="F994" i="4"/>
  <c r="D993" i="6"/>
  <c r="D993" i="4"/>
  <c r="H990" i="6"/>
  <c r="H990" i="4"/>
  <c r="G991" i="6"/>
  <c r="G991" i="4"/>
  <c r="F989" i="6"/>
  <c r="F989" i="4"/>
  <c r="E988" i="6"/>
  <c r="E988" i="4"/>
  <c r="I987" i="6"/>
  <c r="I987" i="4"/>
  <c r="H984" i="6"/>
  <c r="H984" i="4"/>
  <c r="G985" i="6"/>
  <c r="G985" i="4"/>
  <c r="D983" i="6"/>
  <c r="D983" i="4"/>
  <c r="C982" i="6"/>
  <c r="C982" i="4"/>
  <c r="I977" i="6"/>
  <c r="I977" i="4"/>
  <c r="E981" i="6"/>
  <c r="E981" i="4"/>
  <c r="D980" i="6"/>
  <c r="D980" i="4"/>
  <c r="C979" i="6"/>
  <c r="C979" i="4"/>
  <c r="I976" i="6"/>
  <c r="I976" i="4"/>
  <c r="G978" i="6"/>
  <c r="G978" i="4"/>
  <c r="H975" i="6"/>
  <c r="H975" i="4"/>
  <c r="C974" i="6"/>
  <c r="C974" i="4"/>
  <c r="H973" i="6"/>
  <c r="H973" i="4"/>
  <c r="G972" i="6"/>
  <c r="G972" i="4"/>
  <c r="E971" i="6"/>
  <c r="E971" i="4"/>
  <c r="I970" i="6"/>
  <c r="I970" i="4"/>
  <c r="F969" i="6"/>
  <c r="F969" i="4"/>
  <c r="H967" i="6"/>
  <c r="H967" i="4"/>
  <c r="D966" i="6"/>
  <c r="D966" i="4"/>
  <c r="G965" i="6"/>
  <c r="G965" i="4"/>
  <c r="E963" i="6"/>
  <c r="E963" i="4"/>
  <c r="D962" i="6"/>
  <c r="D962" i="4"/>
  <c r="I961" i="6"/>
  <c r="I961" i="4"/>
  <c r="G960" i="6"/>
  <c r="G960" i="4"/>
  <c r="E959" i="6"/>
  <c r="E959" i="4"/>
  <c r="D958" i="6"/>
  <c r="D958" i="4"/>
  <c r="C957" i="6"/>
  <c r="C957" i="4"/>
  <c r="I955" i="6"/>
  <c r="I955" i="4"/>
  <c r="G954" i="6"/>
  <c r="G954" i="4"/>
  <c r="D953" i="6"/>
  <c r="D953" i="4"/>
  <c r="F950" i="6"/>
  <c r="F950" i="4"/>
  <c r="E951" i="6"/>
  <c r="E951" i="4"/>
  <c r="C949" i="6"/>
  <c r="C949" i="4"/>
  <c r="I948" i="6"/>
  <c r="I948" i="4"/>
  <c r="H947" i="6"/>
  <c r="H947" i="4"/>
  <c r="D946" i="6"/>
  <c r="D946" i="4"/>
  <c r="C945" i="6"/>
  <c r="C945" i="4"/>
  <c r="H944" i="6"/>
  <c r="H944" i="4"/>
  <c r="G943" i="6"/>
  <c r="G943" i="4"/>
  <c r="F942" i="6"/>
  <c r="F942" i="4"/>
  <c r="E941" i="6"/>
  <c r="E941" i="4"/>
  <c r="H940" i="6"/>
  <c r="H940" i="4"/>
  <c r="F939" i="6"/>
  <c r="F939" i="4"/>
  <c r="E938" i="6"/>
  <c r="E938" i="4"/>
  <c r="D937" i="6"/>
  <c r="D937" i="4"/>
  <c r="I935" i="6"/>
  <c r="I935" i="4"/>
  <c r="G934" i="6"/>
  <c r="G934" i="4"/>
  <c r="C933" i="6"/>
  <c r="C933" i="4"/>
  <c r="I932" i="6"/>
  <c r="I932" i="4"/>
  <c r="H931" i="6"/>
  <c r="H931" i="4"/>
  <c r="E930" i="6"/>
  <c r="E930" i="4"/>
  <c r="D929" i="6"/>
  <c r="D929" i="4"/>
  <c r="C928" i="6"/>
  <c r="C928" i="4"/>
  <c r="F927" i="6"/>
  <c r="F927" i="4"/>
  <c r="I926" i="6"/>
  <c r="I926" i="4"/>
  <c r="H925" i="6"/>
  <c r="H925" i="4"/>
  <c r="G924" i="6"/>
  <c r="G924" i="4"/>
  <c r="E923" i="6"/>
  <c r="E923" i="4"/>
  <c r="D921" i="6"/>
  <c r="D921" i="4"/>
  <c r="G920" i="6"/>
  <c r="G920" i="4"/>
  <c r="F919" i="6"/>
  <c r="F919" i="4"/>
  <c r="D918" i="6"/>
  <c r="D918" i="4"/>
  <c r="C917" i="6"/>
  <c r="C917" i="4"/>
  <c r="F916" i="6"/>
  <c r="F916" i="4"/>
  <c r="C915" i="6"/>
  <c r="C915" i="4"/>
  <c r="F914" i="6"/>
  <c r="F914" i="4"/>
  <c r="E913" i="6"/>
  <c r="E913" i="4"/>
  <c r="H911" i="6"/>
  <c r="H911" i="4"/>
  <c r="G910" i="6"/>
  <c r="G910" i="4"/>
  <c r="D909" i="6"/>
  <c r="D909" i="4"/>
  <c r="I908" i="6"/>
  <c r="I908" i="4"/>
  <c r="G907" i="6"/>
  <c r="G907" i="4"/>
  <c r="C906" i="6"/>
  <c r="C906" i="4"/>
  <c r="E905" i="6"/>
  <c r="E905" i="4"/>
  <c r="D904" i="6"/>
  <c r="D904" i="4"/>
  <c r="C903" i="6"/>
  <c r="C903" i="4"/>
  <c r="H902" i="6"/>
  <c r="H902" i="4"/>
  <c r="G901" i="6"/>
  <c r="G901" i="4"/>
  <c r="D900" i="6"/>
  <c r="D900" i="4"/>
  <c r="G899" i="6"/>
  <c r="G899" i="4"/>
  <c r="F897" i="6"/>
  <c r="F897" i="4"/>
  <c r="E898" i="6"/>
  <c r="E898" i="4"/>
  <c r="I895" i="6"/>
  <c r="I895" i="4"/>
  <c r="H892" i="6"/>
  <c r="H892" i="4"/>
  <c r="E890" i="6"/>
  <c r="E890" i="4"/>
  <c r="I894" i="6"/>
  <c r="I894" i="4"/>
  <c r="H891" i="6"/>
  <c r="H891" i="4"/>
  <c r="G889" i="6"/>
  <c r="G889" i="4"/>
  <c r="F893" i="6"/>
  <c r="F893" i="4"/>
  <c r="C888" i="6"/>
  <c r="C888" i="4"/>
  <c r="I887" i="6"/>
  <c r="I887" i="4"/>
  <c r="F886" i="6"/>
  <c r="F886" i="4"/>
  <c r="E885" i="6"/>
  <c r="E885" i="4"/>
  <c r="G883" i="6"/>
  <c r="G883" i="4"/>
  <c r="E882" i="6"/>
  <c r="E882" i="4"/>
  <c r="C881" i="6"/>
  <c r="C881" i="4"/>
  <c r="G879" i="6"/>
  <c r="G879" i="4"/>
  <c r="F878" i="6"/>
  <c r="F878" i="4"/>
  <c r="D877" i="6"/>
  <c r="D877" i="4"/>
  <c r="C876" i="6"/>
  <c r="C876" i="4"/>
  <c r="G875" i="6"/>
  <c r="G875" i="4"/>
  <c r="E873" i="6"/>
  <c r="E873" i="4"/>
  <c r="D874" i="6"/>
  <c r="D874" i="4"/>
  <c r="C872" i="6"/>
  <c r="C872" i="4"/>
  <c r="G871" i="6"/>
  <c r="G871" i="4"/>
  <c r="C870" i="6"/>
  <c r="C870" i="4"/>
  <c r="H869" i="6"/>
  <c r="H869" i="4"/>
  <c r="F868" i="6"/>
  <c r="F868" i="4"/>
  <c r="E867" i="6"/>
  <c r="E867" i="4"/>
  <c r="I865" i="6"/>
  <c r="I865" i="4"/>
  <c r="H863" i="6"/>
  <c r="H863" i="4"/>
  <c r="F862" i="6"/>
  <c r="F862" i="4"/>
  <c r="E861" i="6"/>
  <c r="E861" i="4"/>
  <c r="D860" i="6"/>
  <c r="D860" i="4"/>
  <c r="I859" i="6"/>
  <c r="I859" i="4"/>
  <c r="H858" i="6"/>
  <c r="H858" i="4"/>
  <c r="F855" i="6"/>
  <c r="F855" i="4"/>
  <c r="E856" i="6"/>
  <c r="E856" i="4"/>
  <c r="D854" i="6"/>
  <c r="D854" i="4"/>
  <c r="C857" i="6"/>
  <c r="C857" i="4"/>
  <c r="I853" i="6"/>
  <c r="I853" i="4"/>
  <c r="G849" i="6"/>
  <c r="G849" i="4"/>
  <c r="C852" i="6"/>
  <c r="C852" i="4"/>
  <c r="I851" i="6"/>
  <c r="I851" i="4"/>
  <c r="E850" i="6"/>
  <c r="E850" i="4"/>
  <c r="C848" i="6"/>
  <c r="C848" i="4"/>
  <c r="F846" i="6"/>
  <c r="F846" i="4"/>
  <c r="D845" i="6"/>
  <c r="D845" i="4"/>
  <c r="C844" i="6"/>
  <c r="C844" i="4"/>
  <c r="I842" i="6"/>
  <c r="I842" i="4"/>
  <c r="G841" i="6"/>
  <c r="G841" i="4"/>
  <c r="C840" i="6"/>
  <c r="C840" i="4"/>
  <c r="G839" i="6"/>
  <c r="G839" i="4"/>
  <c r="D838" i="6"/>
  <c r="D838" i="4"/>
  <c r="H837" i="6"/>
  <c r="H837" i="4"/>
  <c r="F836" i="6"/>
  <c r="F836" i="4"/>
  <c r="D835" i="6"/>
  <c r="D835" i="4"/>
  <c r="C834" i="6"/>
  <c r="C834" i="4"/>
  <c r="G833" i="6"/>
  <c r="G833" i="4"/>
  <c r="D832" i="6"/>
  <c r="D832" i="4"/>
  <c r="C829" i="6"/>
  <c r="C829" i="4"/>
  <c r="H831" i="6"/>
  <c r="H831" i="4"/>
  <c r="E828" i="6"/>
  <c r="E828" i="4"/>
  <c r="D830" i="6"/>
  <c r="D830" i="4"/>
  <c r="I826" i="6"/>
  <c r="I826" i="4"/>
  <c r="H825" i="6"/>
  <c r="H825" i="4"/>
  <c r="G824" i="6"/>
  <c r="G824" i="4"/>
  <c r="E823" i="6"/>
  <c r="E823" i="4"/>
  <c r="H821" i="6"/>
  <c r="H821" i="4"/>
  <c r="G820" i="6"/>
  <c r="G820" i="4"/>
  <c r="F818" i="6"/>
  <c r="F818" i="4"/>
  <c r="E819" i="6"/>
  <c r="E819" i="4"/>
  <c r="E817" i="6"/>
  <c r="E817" i="4"/>
  <c r="I815" i="6"/>
  <c r="I815" i="4"/>
  <c r="G814" i="6"/>
  <c r="G814" i="4"/>
  <c r="F813" i="6"/>
  <c r="F813" i="4"/>
  <c r="C812" i="6"/>
  <c r="C812" i="4"/>
  <c r="H810" i="6"/>
  <c r="H810" i="4"/>
  <c r="G809" i="6"/>
  <c r="G809" i="4"/>
  <c r="E808" i="6"/>
  <c r="E808" i="4"/>
  <c r="D807" i="6"/>
  <c r="D807" i="4"/>
  <c r="C806" i="6"/>
  <c r="C806" i="4"/>
  <c r="E805" i="6"/>
  <c r="E805" i="4"/>
  <c r="C804" i="6"/>
  <c r="C804" i="4"/>
  <c r="G803" i="6"/>
  <c r="G803" i="4"/>
  <c r="F802" i="6"/>
  <c r="F802" i="4"/>
  <c r="I801" i="6"/>
  <c r="I801" i="4"/>
  <c r="E800" i="6"/>
  <c r="E800" i="4"/>
  <c r="D799" i="6"/>
  <c r="D799" i="4"/>
  <c r="C798" i="6"/>
  <c r="C798" i="4"/>
  <c r="I797" i="6"/>
  <c r="I797" i="4"/>
  <c r="D796" i="6"/>
  <c r="D796" i="4"/>
  <c r="C795" i="6"/>
  <c r="C795" i="4"/>
  <c r="I793" i="6"/>
  <c r="I793" i="4"/>
  <c r="H792" i="6"/>
  <c r="H792" i="4"/>
  <c r="G791" i="6"/>
  <c r="G791" i="4"/>
  <c r="G787" i="6"/>
  <c r="G787" i="4"/>
  <c r="E786" i="6"/>
  <c r="E786" i="4"/>
  <c r="D785" i="6"/>
  <c r="D785" i="4"/>
  <c r="H784" i="6"/>
  <c r="H784" i="4"/>
  <c r="F697" i="6"/>
  <c r="F697" i="4"/>
  <c r="F571" i="6"/>
  <c r="F571" i="4"/>
  <c r="C1092" i="6"/>
  <c r="C1092" i="4"/>
  <c r="I964" i="6"/>
  <c r="I964" i="4"/>
  <c r="G864" i="6"/>
  <c r="G864" i="4"/>
  <c r="E14" i="6"/>
  <c r="E14" i="4"/>
  <c r="H369" i="6"/>
  <c r="H369" i="4"/>
  <c r="G1186" i="6"/>
  <c r="G1186" i="4"/>
  <c r="D1185" i="6"/>
  <c r="D1185" i="4"/>
  <c r="I1184" i="6"/>
  <c r="I1184" i="4"/>
  <c r="F1183" i="6"/>
  <c r="F1183" i="4"/>
  <c r="I1182" i="6"/>
  <c r="I1182" i="4"/>
  <c r="G1181" i="6"/>
  <c r="G1181" i="4"/>
  <c r="D1180" i="6"/>
  <c r="D1180" i="4"/>
  <c r="C1179" i="6"/>
  <c r="C1179" i="4"/>
  <c r="D1178" i="6"/>
  <c r="D1178" i="4"/>
  <c r="I1176" i="6"/>
  <c r="I1176" i="4"/>
  <c r="E1177" i="6"/>
  <c r="E1177" i="4"/>
  <c r="C1175" i="6"/>
  <c r="C1175" i="4"/>
  <c r="F1174" i="6"/>
  <c r="F1174" i="4"/>
  <c r="E1173" i="6"/>
  <c r="E1173" i="4"/>
  <c r="I1171" i="6"/>
  <c r="I1171" i="4"/>
  <c r="F1168" i="6"/>
  <c r="F1168" i="4"/>
  <c r="D1170" i="6"/>
  <c r="D1170" i="4"/>
  <c r="G1167" i="6"/>
  <c r="G1167" i="4"/>
  <c r="E1166" i="6"/>
  <c r="E1166" i="4"/>
  <c r="C1165" i="6"/>
  <c r="C1165" i="4"/>
  <c r="H1163" i="6"/>
  <c r="H1163" i="4"/>
  <c r="E1162" i="6"/>
  <c r="E1162" i="4"/>
  <c r="D1161" i="6"/>
  <c r="D1161" i="4"/>
  <c r="C1160" i="6"/>
  <c r="C1160" i="4"/>
  <c r="I1157" i="6"/>
  <c r="I1157" i="4"/>
  <c r="H1156" i="6"/>
  <c r="H1156" i="4"/>
  <c r="G1158" i="6"/>
  <c r="G1158" i="4"/>
  <c r="F1159" i="6"/>
  <c r="F1159" i="4"/>
  <c r="C1155" i="6"/>
  <c r="C1155" i="4"/>
  <c r="I1151" i="6"/>
  <c r="I1151" i="4"/>
  <c r="H1149" i="6"/>
  <c r="H1149" i="4"/>
  <c r="G1147" i="6"/>
  <c r="G1147" i="4"/>
  <c r="F1148" i="6"/>
  <c r="F1148" i="4"/>
  <c r="D1154" i="6"/>
  <c r="D1154" i="4"/>
  <c r="I1152" i="6"/>
  <c r="I1152" i="4"/>
  <c r="H1150" i="6"/>
  <c r="H1150" i="4"/>
  <c r="G1146" i="6"/>
  <c r="G1146" i="4"/>
  <c r="F1145" i="6"/>
  <c r="F1145" i="4"/>
  <c r="E1144" i="6"/>
  <c r="E1144" i="4"/>
  <c r="I1143" i="6"/>
  <c r="I1143" i="4"/>
  <c r="F1142" i="6"/>
  <c r="F1142" i="4"/>
  <c r="D1141" i="6"/>
  <c r="D1141" i="4"/>
  <c r="G1139" i="6"/>
  <c r="G1139" i="4"/>
  <c r="E1140" i="6"/>
  <c r="E1140" i="4"/>
  <c r="C1138" i="6"/>
  <c r="C1138" i="4"/>
  <c r="I1137" i="6"/>
  <c r="I1137" i="4"/>
  <c r="G1136" i="6"/>
  <c r="G1136" i="4"/>
  <c r="H1135" i="6"/>
  <c r="H1135" i="4"/>
  <c r="F1134" i="6"/>
  <c r="F1134" i="4"/>
  <c r="E1133" i="6"/>
  <c r="E1133" i="4"/>
  <c r="I1132" i="6"/>
  <c r="I1132" i="4"/>
  <c r="H1129" i="6"/>
  <c r="H1129" i="4"/>
  <c r="G1128" i="6"/>
  <c r="G1128" i="4"/>
  <c r="F1131" i="6"/>
  <c r="F1131" i="4"/>
  <c r="E1130" i="6"/>
  <c r="E1130" i="4"/>
  <c r="D1127" i="6"/>
  <c r="D1127" i="4"/>
  <c r="C1126" i="6"/>
  <c r="C1126" i="4"/>
  <c r="I1124" i="6"/>
  <c r="I1124" i="4"/>
  <c r="G1123" i="6"/>
  <c r="G1123" i="4"/>
  <c r="E1122" i="6"/>
  <c r="E1122" i="4"/>
  <c r="I1120" i="6"/>
  <c r="I1120" i="4"/>
  <c r="H1119" i="6"/>
  <c r="H1119" i="4"/>
  <c r="C1118" i="6"/>
  <c r="C1118" i="4"/>
  <c r="I1117" i="6"/>
  <c r="I1117" i="4"/>
  <c r="G1116" i="6"/>
  <c r="G1116" i="4"/>
  <c r="E1115" i="6"/>
  <c r="E1115" i="4"/>
  <c r="D1114" i="6"/>
  <c r="D1114" i="4"/>
  <c r="H1113" i="6"/>
  <c r="H1113" i="4"/>
  <c r="G1112" i="6"/>
  <c r="G1112" i="4"/>
  <c r="E1111" i="6"/>
  <c r="E1111" i="4"/>
  <c r="C1110" i="6"/>
  <c r="C1110" i="4"/>
  <c r="D1109" i="6"/>
  <c r="D1109" i="4"/>
  <c r="C1108" i="6"/>
  <c r="C1108" i="4"/>
  <c r="G1107" i="6"/>
  <c r="G1107" i="4"/>
  <c r="F1106" i="6"/>
  <c r="F1106" i="4"/>
  <c r="E1105" i="6"/>
  <c r="E1105" i="4"/>
  <c r="D1104" i="6"/>
  <c r="D1104" i="4"/>
  <c r="C1103" i="6"/>
  <c r="C1103" i="4"/>
  <c r="H1101" i="6"/>
  <c r="H1101" i="4"/>
  <c r="F1100" i="6"/>
  <c r="F1100" i="4"/>
  <c r="E1099" i="6"/>
  <c r="E1099" i="4"/>
  <c r="C1098" i="6"/>
  <c r="C1098" i="4"/>
  <c r="H1097" i="6"/>
  <c r="H1097" i="4"/>
  <c r="F1096" i="6"/>
  <c r="F1096" i="4"/>
  <c r="H1093" i="6"/>
  <c r="H1093" i="4"/>
  <c r="G1094" i="6"/>
  <c r="G1094" i="4"/>
  <c r="H1090" i="6"/>
  <c r="H1090" i="4"/>
  <c r="E1089" i="6"/>
  <c r="E1089" i="4"/>
  <c r="I1087" i="6"/>
  <c r="I1087" i="4"/>
  <c r="G1085" i="6"/>
  <c r="G1085" i="4"/>
  <c r="F1086" i="6"/>
  <c r="F1086" i="4"/>
  <c r="D1084" i="6"/>
  <c r="D1084" i="4"/>
  <c r="I1082" i="6"/>
  <c r="I1082" i="4"/>
  <c r="H1081" i="6"/>
  <c r="H1081" i="4"/>
  <c r="E1080" i="6"/>
  <c r="E1080" i="4"/>
  <c r="D1079" i="6"/>
  <c r="D1079" i="4"/>
  <c r="I1077" i="6"/>
  <c r="I1077" i="4"/>
  <c r="H1076" i="6"/>
  <c r="H1076" i="4"/>
  <c r="F1075" i="6"/>
  <c r="F1075" i="4"/>
  <c r="E1074" i="6"/>
  <c r="E1074" i="4"/>
  <c r="H1073" i="6"/>
  <c r="H1073" i="4"/>
  <c r="D1072" i="6"/>
  <c r="D1072" i="4"/>
  <c r="I1071" i="6"/>
  <c r="I1071" i="4"/>
  <c r="H1070" i="6"/>
  <c r="H1070" i="4"/>
  <c r="G1069" i="6"/>
  <c r="G1069" i="4"/>
  <c r="D1068" i="6"/>
  <c r="D1068" i="4"/>
  <c r="C1067" i="6"/>
  <c r="C1067" i="4"/>
  <c r="G1066" i="6"/>
  <c r="G1066" i="4"/>
  <c r="D1065" i="6"/>
  <c r="D1065" i="4"/>
  <c r="C1064" i="6"/>
  <c r="C1064" i="4"/>
  <c r="I1063" i="6"/>
  <c r="I1063" i="4"/>
  <c r="G1062" i="6"/>
  <c r="G1062" i="4"/>
  <c r="F1061" i="6"/>
  <c r="F1061" i="4"/>
  <c r="I1060" i="6"/>
  <c r="I1060" i="4"/>
  <c r="F1059" i="6"/>
  <c r="F1059" i="4"/>
  <c r="C1058" i="6"/>
  <c r="C1058" i="4"/>
  <c r="H1055" i="6"/>
  <c r="H1055" i="4"/>
  <c r="G1053" i="6"/>
  <c r="G1053" i="4"/>
  <c r="F1057" i="6"/>
  <c r="F1057" i="4"/>
  <c r="C1056" i="6"/>
  <c r="C1056" i="4"/>
  <c r="I1054" i="6"/>
  <c r="I1054" i="4"/>
  <c r="H1052" i="6"/>
  <c r="H1052" i="4"/>
  <c r="G1051" i="6"/>
  <c r="G1051" i="4"/>
  <c r="F1050" i="6"/>
  <c r="F1050" i="4"/>
  <c r="I1049" i="6"/>
  <c r="I1049" i="4"/>
  <c r="G1048" i="6"/>
  <c r="G1048" i="4"/>
  <c r="H1046" i="6"/>
  <c r="H1046" i="4"/>
  <c r="H1044" i="6"/>
  <c r="H1044" i="4"/>
  <c r="C1042" i="6"/>
  <c r="C1042" i="4"/>
  <c r="F1041" i="6"/>
  <c r="F1041" i="4"/>
  <c r="G1039" i="6"/>
  <c r="G1039" i="4"/>
  <c r="E1038" i="6"/>
  <c r="E1038" i="4"/>
  <c r="C1037" i="6"/>
  <c r="C1037" i="4"/>
  <c r="H1035" i="6"/>
  <c r="H1035" i="4"/>
  <c r="G1034" i="6"/>
  <c r="G1034" i="4"/>
  <c r="E1033" i="6"/>
  <c r="E1033" i="4"/>
  <c r="D1032" i="6"/>
  <c r="D1032" i="4"/>
  <c r="I1030" i="6"/>
  <c r="I1030" i="4"/>
  <c r="H1029" i="6"/>
  <c r="H1029" i="4"/>
  <c r="G1028" i="6"/>
  <c r="G1028" i="4"/>
  <c r="F1027" i="6"/>
  <c r="F1027" i="4"/>
  <c r="E1026" i="6"/>
  <c r="E1026" i="4"/>
  <c r="C1025" i="6"/>
  <c r="C1025" i="4"/>
  <c r="I1024" i="6"/>
  <c r="I1024" i="4"/>
  <c r="G1023" i="6"/>
  <c r="G1023" i="4"/>
  <c r="E1022" i="6"/>
  <c r="E1022" i="4"/>
  <c r="D1021" i="6"/>
  <c r="D1021" i="4"/>
  <c r="C1020" i="6"/>
  <c r="C1020" i="4"/>
  <c r="I1018" i="6"/>
  <c r="I1018" i="4"/>
  <c r="G1017" i="6"/>
  <c r="G1017" i="4"/>
  <c r="F1016" i="6"/>
  <c r="F1016" i="4"/>
  <c r="E1015" i="6"/>
  <c r="E1015" i="4"/>
  <c r="I1012" i="6"/>
  <c r="I1012" i="4"/>
  <c r="H1013" i="6"/>
  <c r="H1013" i="4"/>
  <c r="F1011" i="6"/>
  <c r="F1011" i="4"/>
  <c r="E1014" i="6"/>
  <c r="E1014" i="4"/>
  <c r="D1010" i="6"/>
  <c r="D1010" i="4"/>
  <c r="F1009" i="6"/>
  <c r="F1009" i="4"/>
  <c r="E1008" i="6"/>
  <c r="E1008" i="4"/>
  <c r="C1007" i="6"/>
  <c r="C1007" i="4"/>
  <c r="I1005" i="6"/>
  <c r="I1005" i="4"/>
  <c r="F1004" i="6"/>
  <c r="F1004" i="4"/>
  <c r="I1003" i="6"/>
  <c r="I1003" i="4"/>
  <c r="C780" i="6"/>
  <c r="C780" i="4"/>
  <c r="D1092" i="6"/>
  <c r="D1092" i="4"/>
  <c r="H864" i="6"/>
  <c r="H864" i="4"/>
  <c r="F14" i="6"/>
  <c r="F14" i="4"/>
  <c r="I369" i="6"/>
  <c r="I369" i="4"/>
  <c r="H1186" i="6"/>
  <c r="H1186" i="4"/>
  <c r="E1185" i="6"/>
  <c r="E1185" i="4"/>
  <c r="G1183" i="6"/>
  <c r="G1183" i="4"/>
  <c r="H1181" i="6"/>
  <c r="H1181" i="4"/>
  <c r="E1180" i="6"/>
  <c r="E1180" i="4"/>
  <c r="D1179" i="6"/>
  <c r="D1179" i="4"/>
  <c r="E1178" i="6"/>
  <c r="E1178" i="4"/>
  <c r="F1177" i="6"/>
  <c r="F1177" i="4"/>
  <c r="D1175" i="6"/>
  <c r="D1175" i="4"/>
  <c r="G1174" i="6"/>
  <c r="G1174" i="4"/>
  <c r="F1173" i="6"/>
  <c r="F1173" i="4"/>
  <c r="C1172" i="6"/>
  <c r="C1172" i="4"/>
  <c r="G1168" i="6"/>
  <c r="G1168" i="4"/>
  <c r="E1170" i="6"/>
  <c r="E1170" i="4"/>
  <c r="C1169" i="6"/>
  <c r="C1169" i="4"/>
  <c r="H1167" i="6"/>
  <c r="H1167" i="4"/>
  <c r="F1166" i="6"/>
  <c r="F1166" i="4"/>
  <c r="D1165" i="6"/>
  <c r="D1165" i="4"/>
  <c r="C1164" i="6"/>
  <c r="C1164" i="4"/>
  <c r="I1163" i="6"/>
  <c r="I1163" i="4"/>
  <c r="F1162" i="6"/>
  <c r="F1162" i="4"/>
  <c r="E1161" i="6"/>
  <c r="E1161" i="4"/>
  <c r="D1160" i="6"/>
  <c r="D1160" i="4"/>
  <c r="I1156" i="6"/>
  <c r="I1156" i="4"/>
  <c r="H1158" i="6"/>
  <c r="H1158" i="4"/>
  <c r="G1159" i="6"/>
  <c r="G1159" i="4"/>
  <c r="D1155" i="6"/>
  <c r="D1155" i="4"/>
  <c r="I1149" i="6"/>
  <c r="I1149" i="4"/>
  <c r="H1147" i="6"/>
  <c r="H1147" i="4"/>
  <c r="G1148" i="6"/>
  <c r="G1148" i="4"/>
  <c r="E1154" i="6"/>
  <c r="E1154" i="4"/>
  <c r="C1153" i="6"/>
  <c r="C1153" i="4"/>
  <c r="I1150" i="6"/>
  <c r="I1150" i="4"/>
  <c r="H1146" i="6"/>
  <c r="H1146" i="4"/>
  <c r="G1145" i="6"/>
  <c r="G1145" i="4"/>
  <c r="F1144" i="6"/>
  <c r="F1144" i="4"/>
  <c r="G1142" i="6"/>
  <c r="G1142" i="4"/>
  <c r="E1141" i="6"/>
  <c r="E1141" i="4"/>
  <c r="H1139" i="6"/>
  <c r="H1139" i="4"/>
  <c r="F1140" i="6"/>
  <c r="F1140" i="4"/>
  <c r="D1138" i="6"/>
  <c r="D1138" i="4"/>
  <c r="H1136" i="6"/>
  <c r="H1136" i="4"/>
  <c r="I1135" i="6"/>
  <c r="I1135" i="4"/>
  <c r="G1134" i="6"/>
  <c r="G1134" i="4"/>
  <c r="F1133" i="6"/>
  <c r="F1133" i="4"/>
  <c r="I1129" i="6"/>
  <c r="I1129" i="4"/>
  <c r="H1128" i="6"/>
  <c r="H1128" i="4"/>
  <c r="G1131" i="6"/>
  <c r="G1131" i="4"/>
  <c r="F1130" i="6"/>
  <c r="F1130" i="4"/>
  <c r="E1127" i="6"/>
  <c r="E1127" i="4"/>
  <c r="D1126" i="6"/>
  <c r="D1126" i="4"/>
  <c r="C1125" i="6"/>
  <c r="C1125" i="4"/>
  <c r="H1123" i="6"/>
  <c r="H1123" i="4"/>
  <c r="F1122" i="6"/>
  <c r="F1122" i="4"/>
  <c r="C1121" i="6"/>
  <c r="C1121" i="4"/>
  <c r="I1119" i="6"/>
  <c r="I1119" i="4"/>
  <c r="D1118" i="6"/>
  <c r="D1118" i="4"/>
  <c r="H1116" i="6"/>
  <c r="H1116" i="4"/>
  <c r="F1115" i="6"/>
  <c r="F1115" i="4"/>
  <c r="E1114" i="6"/>
  <c r="E1114" i="4"/>
  <c r="I1113" i="6"/>
  <c r="I1113" i="4"/>
  <c r="H1112" i="6"/>
  <c r="H1112" i="4"/>
  <c r="F1111" i="6"/>
  <c r="F1111" i="4"/>
  <c r="D1110" i="6"/>
  <c r="D1110" i="4"/>
  <c r="E1109" i="6"/>
  <c r="E1109" i="4"/>
  <c r="D1108" i="6"/>
  <c r="D1108" i="4"/>
  <c r="H1107" i="6"/>
  <c r="H1107" i="4"/>
  <c r="G1106" i="6"/>
  <c r="G1106" i="4"/>
  <c r="F1105" i="6"/>
  <c r="F1105" i="4"/>
  <c r="E1104" i="6"/>
  <c r="E1104" i="4"/>
  <c r="D1103" i="6"/>
  <c r="D1103" i="4"/>
  <c r="C1102" i="6"/>
  <c r="C1102" i="4"/>
  <c r="I1101" i="6"/>
  <c r="I1101" i="4"/>
  <c r="G1100" i="6"/>
  <c r="G1100" i="4"/>
  <c r="F1099" i="6"/>
  <c r="F1099" i="4"/>
  <c r="D1098" i="6"/>
  <c r="D1098" i="4"/>
  <c r="I1097" i="6"/>
  <c r="I1097" i="4"/>
  <c r="G1096" i="6"/>
  <c r="G1096" i="4"/>
  <c r="C1095" i="6"/>
  <c r="C1095" i="4"/>
  <c r="I1093" i="6"/>
  <c r="I1093" i="4"/>
  <c r="H1094" i="6"/>
  <c r="H1094" i="4"/>
  <c r="C1091" i="6"/>
  <c r="C1091" i="4"/>
  <c r="I1090" i="6"/>
  <c r="I1090" i="4"/>
  <c r="F1089" i="6"/>
  <c r="F1089" i="4"/>
  <c r="C1088" i="6"/>
  <c r="C1088" i="4"/>
  <c r="H1085" i="6"/>
  <c r="H1085" i="4"/>
  <c r="G1086" i="6"/>
  <c r="G1086" i="4"/>
  <c r="E1084" i="6"/>
  <c r="E1084" i="4"/>
  <c r="C1083" i="6"/>
  <c r="C1083" i="4"/>
  <c r="I1081" i="6"/>
  <c r="I1081" i="4"/>
  <c r="F1080" i="6"/>
  <c r="F1080" i="4"/>
  <c r="E1079" i="6"/>
  <c r="E1079" i="4"/>
  <c r="C1078" i="6"/>
  <c r="C1078" i="4"/>
  <c r="I1076" i="6"/>
  <c r="I1076" i="4"/>
  <c r="G1075" i="6"/>
  <c r="G1075" i="4"/>
  <c r="F1074" i="6"/>
  <c r="F1074" i="4"/>
  <c r="I1073" i="6"/>
  <c r="I1073" i="4"/>
  <c r="E1072" i="6"/>
  <c r="E1072" i="4"/>
  <c r="I1070" i="6"/>
  <c r="I1070" i="4"/>
  <c r="H1069" i="6"/>
  <c r="H1069" i="4"/>
  <c r="E1068" i="6"/>
  <c r="E1068" i="4"/>
  <c r="D1067" i="6"/>
  <c r="D1067" i="4"/>
  <c r="H1066" i="6"/>
  <c r="H1066" i="4"/>
  <c r="E1065" i="6"/>
  <c r="E1065" i="4"/>
  <c r="D1064" i="6"/>
  <c r="D1064" i="4"/>
  <c r="H1062" i="6"/>
  <c r="H1062" i="4"/>
  <c r="G1061" i="6"/>
  <c r="G1061" i="4"/>
  <c r="G1059" i="6"/>
  <c r="G1059" i="4"/>
  <c r="D1058" i="6"/>
  <c r="D1058" i="4"/>
  <c r="I1055" i="6"/>
  <c r="I1055" i="4"/>
  <c r="H1053" i="6"/>
  <c r="H1053" i="4"/>
  <c r="G1057" i="6"/>
  <c r="G1057" i="4"/>
  <c r="D1056" i="6"/>
  <c r="D1056" i="4"/>
  <c r="I1052" i="6"/>
  <c r="I1052" i="4"/>
  <c r="H1051" i="6"/>
  <c r="H1051" i="4"/>
  <c r="G1050" i="6"/>
  <c r="G1050" i="4"/>
  <c r="H1048" i="6"/>
  <c r="H1048" i="4"/>
  <c r="C1047" i="6"/>
  <c r="C1047" i="4"/>
  <c r="I1046" i="6"/>
  <c r="I1046" i="4"/>
  <c r="C1045" i="6"/>
  <c r="C1045" i="4"/>
  <c r="I1044" i="6"/>
  <c r="I1044" i="4"/>
  <c r="D1042" i="6"/>
  <c r="D1042" i="4"/>
  <c r="C1043" i="6"/>
  <c r="C1043" i="4"/>
  <c r="H1145" i="6"/>
  <c r="H1145" i="4"/>
  <c r="G1144" i="6"/>
  <c r="G1144" i="4"/>
  <c r="C1143" i="6"/>
  <c r="C1143" i="4"/>
  <c r="H1142" i="6"/>
  <c r="H1142" i="4"/>
  <c r="F1141" i="6"/>
  <c r="F1141" i="4"/>
  <c r="I1139" i="6"/>
  <c r="I1139" i="4"/>
  <c r="G1140" i="6"/>
  <c r="G1140" i="4"/>
  <c r="E1138" i="6"/>
  <c r="E1138" i="4"/>
  <c r="C1137" i="6"/>
  <c r="C1137" i="4"/>
  <c r="I1136" i="6"/>
  <c r="I1136" i="4"/>
  <c r="H1134" i="6"/>
  <c r="H1134" i="4"/>
  <c r="G1133" i="6"/>
  <c r="G1133" i="4"/>
  <c r="C1132" i="6"/>
  <c r="C1132" i="4"/>
  <c r="I1128" i="6"/>
  <c r="I1128" i="4"/>
  <c r="H1131" i="6"/>
  <c r="H1131" i="4"/>
  <c r="G1130" i="6"/>
  <c r="G1130" i="4"/>
  <c r="F1127" i="6"/>
  <c r="F1127" i="4"/>
  <c r="E1126" i="6"/>
  <c r="E1126" i="4"/>
  <c r="D1125" i="6"/>
  <c r="D1125" i="4"/>
  <c r="C1124" i="6"/>
  <c r="C1124" i="4"/>
  <c r="I1123" i="6"/>
  <c r="I1123" i="4"/>
  <c r="G1122" i="6"/>
  <c r="G1122" i="4"/>
  <c r="D1121" i="6"/>
  <c r="D1121" i="4"/>
  <c r="C1120" i="6"/>
  <c r="C1120" i="4"/>
  <c r="E1118" i="6"/>
  <c r="E1118" i="4"/>
  <c r="C1117" i="6"/>
  <c r="C1117" i="4"/>
  <c r="I1116" i="6"/>
  <c r="I1116" i="4"/>
  <c r="G1115" i="6"/>
  <c r="G1115" i="4"/>
  <c r="F1114" i="6"/>
  <c r="F1114" i="4"/>
  <c r="I1112" i="6"/>
  <c r="I1112" i="4"/>
  <c r="G1111" i="6"/>
  <c r="G1111" i="4"/>
  <c r="E1110" i="6"/>
  <c r="E1110" i="4"/>
  <c r="F1109" i="6"/>
  <c r="F1109" i="4"/>
  <c r="E1108" i="6"/>
  <c r="E1108" i="4"/>
  <c r="I1107" i="6"/>
  <c r="I1107" i="4"/>
  <c r="H1106" i="6"/>
  <c r="H1106" i="4"/>
  <c r="G1105" i="6"/>
  <c r="G1105" i="4"/>
  <c r="F1104" i="6"/>
  <c r="F1104" i="4"/>
  <c r="E1103" i="6"/>
  <c r="E1103" i="4"/>
  <c r="D1102" i="6"/>
  <c r="D1102" i="4"/>
  <c r="H1100" i="6"/>
  <c r="H1100" i="4"/>
  <c r="G1099" i="6"/>
  <c r="G1099" i="4"/>
  <c r="E1098" i="6"/>
  <c r="E1098" i="4"/>
  <c r="H1096" i="6"/>
  <c r="H1096" i="4"/>
  <c r="D1095" i="6"/>
  <c r="D1095" i="4"/>
  <c r="I1094" i="6"/>
  <c r="I1094" i="4"/>
  <c r="D1091" i="6"/>
  <c r="D1091" i="4"/>
  <c r="G1089" i="6"/>
  <c r="G1089" i="4"/>
  <c r="D1088" i="6"/>
  <c r="D1088" i="4"/>
  <c r="C1087" i="6"/>
  <c r="C1087" i="4"/>
  <c r="I1085" i="6"/>
  <c r="I1085" i="4"/>
  <c r="H1086" i="6"/>
  <c r="H1086" i="4"/>
  <c r="F1084" i="6"/>
  <c r="F1084" i="4"/>
  <c r="D1083" i="6"/>
  <c r="D1083" i="4"/>
  <c r="C1082" i="6"/>
  <c r="C1082" i="4"/>
  <c r="G1080" i="6"/>
  <c r="G1080" i="4"/>
  <c r="F1079" i="6"/>
  <c r="F1079" i="4"/>
  <c r="D1078" i="6"/>
  <c r="D1078" i="4"/>
  <c r="C1077" i="6"/>
  <c r="C1077" i="4"/>
  <c r="H1075" i="6"/>
  <c r="H1075" i="4"/>
  <c r="G1074" i="6"/>
  <c r="G1074" i="4"/>
  <c r="F1072" i="6"/>
  <c r="F1072" i="4"/>
  <c r="C1071" i="6"/>
  <c r="C1071" i="4"/>
  <c r="I1069" i="6"/>
  <c r="I1069" i="4"/>
  <c r="F1068" i="6"/>
  <c r="F1068" i="4"/>
  <c r="E1067" i="6"/>
  <c r="E1067" i="4"/>
  <c r="I1066" i="6"/>
  <c r="I1066" i="4"/>
  <c r="F1065" i="6"/>
  <c r="F1065" i="4"/>
  <c r="E1064" i="6"/>
  <c r="E1064" i="4"/>
  <c r="C1063" i="6"/>
  <c r="C1063" i="4"/>
  <c r="I1062" i="6"/>
  <c r="I1062" i="4"/>
  <c r="H1061" i="6"/>
  <c r="H1061" i="4"/>
  <c r="C1060" i="6"/>
  <c r="C1060" i="4"/>
  <c r="H1059" i="6"/>
  <c r="H1059" i="4"/>
  <c r="E1058" i="6"/>
  <c r="E1058" i="4"/>
  <c r="I1053" i="6"/>
  <c r="I1053" i="4"/>
  <c r="H1057" i="6"/>
  <c r="H1057" i="4"/>
  <c r="E1056" i="6"/>
  <c r="E1056" i="4"/>
  <c r="C1054" i="6"/>
  <c r="C1054" i="4"/>
  <c r="I1051" i="6"/>
  <c r="I1051" i="4"/>
  <c r="H1050" i="6"/>
  <c r="H1050" i="4"/>
  <c r="C1049" i="6"/>
  <c r="C1049" i="4"/>
  <c r="I1048" i="6"/>
  <c r="I1048" i="4"/>
  <c r="D1047" i="6"/>
  <c r="D1047" i="4"/>
  <c r="D1045" i="6"/>
  <c r="D1045" i="4"/>
  <c r="E1042" i="6"/>
  <c r="E1042" i="4"/>
  <c r="D1043" i="6"/>
  <c r="D1043" i="4"/>
  <c r="H1041" i="6"/>
  <c r="H1041" i="4"/>
  <c r="D1040" i="6"/>
  <c r="D1040" i="4"/>
  <c r="I1039" i="6"/>
  <c r="I1039" i="4"/>
  <c r="G1038" i="6"/>
  <c r="G1038" i="4"/>
  <c r="E1037" i="6"/>
  <c r="E1037" i="4"/>
  <c r="D1036" i="6"/>
  <c r="D1036" i="4"/>
  <c r="I1034" i="6"/>
  <c r="I1034" i="4"/>
  <c r="G1033" i="6"/>
  <c r="G1033" i="4"/>
  <c r="F1032" i="6"/>
  <c r="F1032" i="4"/>
  <c r="D1031" i="6"/>
  <c r="D1031" i="4"/>
  <c r="C1030" i="6"/>
  <c r="C1030" i="4"/>
  <c r="I1028" i="6"/>
  <c r="I1028" i="4"/>
  <c r="H1027" i="6"/>
  <c r="H1027" i="4"/>
  <c r="G1026" i="6"/>
  <c r="G1026" i="4"/>
  <c r="E1025" i="6"/>
  <c r="E1025" i="4"/>
  <c r="C1024" i="6"/>
  <c r="C1024" i="4"/>
  <c r="I1023" i="6"/>
  <c r="I1023" i="4"/>
  <c r="G1022" i="6"/>
  <c r="G1022" i="4"/>
  <c r="F1021" i="6"/>
  <c r="F1021" i="4"/>
  <c r="E1020" i="6"/>
  <c r="E1020" i="4"/>
  <c r="D1019" i="6"/>
  <c r="D1019" i="4"/>
  <c r="C1018" i="6"/>
  <c r="C1018" i="4"/>
  <c r="I1017" i="6"/>
  <c r="I1017" i="4"/>
  <c r="H1016" i="6"/>
  <c r="H1016" i="4"/>
  <c r="G1015" i="6"/>
  <c r="G1015" i="4"/>
  <c r="C1012" i="6"/>
  <c r="C1012" i="4"/>
  <c r="H1011" i="6"/>
  <c r="H1011" i="4"/>
  <c r="G1014" i="6"/>
  <c r="G1014" i="4"/>
  <c r="F1010" i="6"/>
  <c r="F1010" i="4"/>
  <c r="H1009" i="6"/>
  <c r="H1009" i="4"/>
  <c r="G1008" i="6"/>
  <c r="G1008" i="4"/>
  <c r="E1007" i="6"/>
  <c r="E1007" i="4"/>
  <c r="D1006" i="6"/>
  <c r="D1006" i="4"/>
  <c r="C1005" i="6"/>
  <c r="C1005" i="4"/>
  <c r="H1004" i="6"/>
  <c r="H1004" i="4"/>
  <c r="C1003" i="6"/>
  <c r="C1003" i="4"/>
  <c r="F1002" i="6"/>
  <c r="F1002" i="4"/>
  <c r="E1001" i="6"/>
  <c r="E1001" i="4"/>
  <c r="I1000" i="6"/>
  <c r="I1000" i="4"/>
  <c r="G999" i="6"/>
  <c r="G999" i="4"/>
  <c r="C998" i="6"/>
  <c r="C998" i="4"/>
  <c r="H997" i="6"/>
  <c r="H997" i="4"/>
  <c r="F996" i="6"/>
  <c r="F996" i="4"/>
  <c r="C995" i="6"/>
  <c r="C995" i="4"/>
  <c r="I994" i="6"/>
  <c r="I994" i="4"/>
  <c r="G993" i="6"/>
  <c r="G993" i="4"/>
  <c r="E992" i="6"/>
  <c r="E992" i="4"/>
  <c r="C990" i="6"/>
  <c r="C990" i="4"/>
  <c r="I989" i="6"/>
  <c r="I989" i="4"/>
  <c r="H988" i="6"/>
  <c r="H988" i="4"/>
  <c r="E986" i="6"/>
  <c r="E986" i="4"/>
  <c r="D987" i="6"/>
  <c r="D987" i="4"/>
  <c r="C984" i="6"/>
  <c r="C984" i="4"/>
  <c r="G983" i="6"/>
  <c r="G983" i="4"/>
  <c r="F982" i="6"/>
  <c r="F982" i="4"/>
  <c r="D977" i="6"/>
  <c r="D977" i="4"/>
  <c r="H981" i="6"/>
  <c r="H981" i="4"/>
  <c r="G980" i="6"/>
  <c r="G980" i="4"/>
  <c r="F979" i="6"/>
  <c r="F979" i="4"/>
  <c r="D976" i="6"/>
  <c r="D976" i="4"/>
  <c r="C975" i="6"/>
  <c r="C975" i="4"/>
  <c r="F974" i="6"/>
  <c r="F974" i="4"/>
  <c r="C973" i="6"/>
  <c r="C973" i="4"/>
  <c r="H971" i="6"/>
  <c r="H971" i="4"/>
  <c r="D970" i="6"/>
  <c r="D970" i="4"/>
  <c r="I969" i="6"/>
  <c r="I969" i="4"/>
  <c r="E968" i="6"/>
  <c r="E968" i="4"/>
  <c r="C967" i="6"/>
  <c r="C967" i="4"/>
  <c r="G966" i="6"/>
  <c r="G966" i="4"/>
  <c r="H963" i="6"/>
  <c r="H963" i="4"/>
  <c r="G962" i="6"/>
  <c r="G962" i="4"/>
  <c r="D961" i="6"/>
  <c r="D961" i="4"/>
  <c r="H959" i="6"/>
  <c r="H959" i="4"/>
  <c r="G958" i="6"/>
  <c r="G958" i="4"/>
  <c r="F957" i="6"/>
  <c r="F957" i="4"/>
  <c r="E956" i="6"/>
  <c r="E956" i="4"/>
  <c r="D955" i="6"/>
  <c r="D955" i="4"/>
  <c r="G953" i="6"/>
  <c r="G953" i="4"/>
  <c r="E952" i="6"/>
  <c r="E952" i="4"/>
  <c r="I950" i="6"/>
  <c r="I950" i="4"/>
  <c r="H951" i="6"/>
  <c r="H951" i="4"/>
  <c r="F949" i="6"/>
  <c r="F949" i="4"/>
  <c r="D948" i="6"/>
  <c r="D948" i="4"/>
  <c r="C947" i="6"/>
  <c r="C947" i="4"/>
  <c r="G946" i="6"/>
  <c r="G946" i="4"/>
  <c r="F945" i="6"/>
  <c r="F945" i="4"/>
  <c r="C944" i="6"/>
  <c r="C944" i="4"/>
  <c r="I942" i="6"/>
  <c r="I942" i="4"/>
  <c r="H941" i="6"/>
  <c r="H941" i="4"/>
  <c r="C940" i="6"/>
  <c r="C940" i="4"/>
  <c r="I939" i="6"/>
  <c r="I939" i="4"/>
  <c r="H938" i="6"/>
  <c r="H938" i="4"/>
  <c r="G937" i="6"/>
  <c r="G937" i="4"/>
  <c r="E936" i="6"/>
  <c r="E936" i="4"/>
  <c r="D935" i="6"/>
  <c r="D935" i="4"/>
  <c r="F933" i="6"/>
  <c r="F933" i="4"/>
  <c r="D932" i="6"/>
  <c r="D932" i="4"/>
  <c r="C931" i="6"/>
  <c r="C931" i="4"/>
  <c r="H930" i="6"/>
  <c r="H930" i="4"/>
  <c r="G929" i="6"/>
  <c r="G929" i="4"/>
  <c r="F928" i="6"/>
  <c r="F928" i="4"/>
  <c r="I927" i="6"/>
  <c r="I927" i="4"/>
  <c r="D926" i="6"/>
  <c r="D926" i="4"/>
  <c r="C925" i="6"/>
  <c r="C925" i="4"/>
  <c r="H923" i="6"/>
  <c r="H923" i="4"/>
  <c r="E922" i="6"/>
  <c r="E922" i="4"/>
  <c r="G921" i="6"/>
  <c r="G921" i="4"/>
  <c r="I919" i="6"/>
  <c r="I919" i="4"/>
  <c r="G918" i="6"/>
  <c r="G918" i="4"/>
  <c r="F917" i="6"/>
  <c r="F917" i="4"/>
  <c r="I916" i="6"/>
  <c r="I916" i="4"/>
  <c r="F915" i="6"/>
  <c r="F915" i="4"/>
  <c r="I914" i="6"/>
  <c r="I914" i="4"/>
  <c r="H913" i="6"/>
  <c r="H913" i="4"/>
  <c r="E912" i="6"/>
  <c r="E912" i="4"/>
  <c r="C911" i="6"/>
  <c r="C911" i="4"/>
  <c r="G909" i="6"/>
  <c r="G909" i="4"/>
  <c r="D908" i="6"/>
  <c r="D908" i="4"/>
  <c r="F906" i="6"/>
  <c r="F906" i="4"/>
  <c r="H905" i="6"/>
  <c r="H905" i="4"/>
  <c r="G904" i="6"/>
  <c r="G904" i="4"/>
  <c r="F903" i="6"/>
  <c r="F903" i="4"/>
  <c r="C902" i="6"/>
  <c r="C902" i="4"/>
  <c r="G900" i="6"/>
  <c r="G900" i="4"/>
  <c r="I897" i="6"/>
  <c r="I897" i="4"/>
  <c r="H898" i="6"/>
  <c r="H898" i="4"/>
  <c r="E896" i="6"/>
  <c r="E896" i="4"/>
  <c r="D895" i="6"/>
  <c r="D895" i="4"/>
  <c r="C892" i="6"/>
  <c r="C892" i="4"/>
  <c r="H890" i="6"/>
  <c r="H890" i="4"/>
  <c r="D894" i="6"/>
  <c r="D894" i="4"/>
  <c r="C891" i="6"/>
  <c r="C891" i="4"/>
  <c r="I893" i="6"/>
  <c r="I893" i="4"/>
  <c r="F888" i="6"/>
  <c r="F888" i="4"/>
  <c r="D887" i="6"/>
  <c r="D887" i="4"/>
  <c r="I886" i="6"/>
  <c r="I886" i="4"/>
  <c r="H885" i="6"/>
  <c r="H885" i="4"/>
  <c r="E884" i="6"/>
  <c r="E884" i="4"/>
  <c r="H882" i="6"/>
  <c r="H882" i="4"/>
  <c r="F881" i="6"/>
  <c r="F881" i="4"/>
  <c r="E880" i="6"/>
  <c r="E880" i="4"/>
  <c r="I878" i="6"/>
  <c r="I878" i="4"/>
  <c r="G877" i="6"/>
  <c r="G877" i="4"/>
  <c r="F876" i="6"/>
  <c r="F876" i="4"/>
  <c r="H873" i="6"/>
  <c r="H873" i="4"/>
  <c r="G874" i="6"/>
  <c r="G874" i="4"/>
  <c r="F872" i="6"/>
  <c r="F872" i="4"/>
  <c r="F870" i="6"/>
  <c r="F870" i="4"/>
  <c r="C869" i="6"/>
  <c r="C869" i="4"/>
  <c r="I868" i="6"/>
  <c r="I868" i="4"/>
  <c r="H867" i="6"/>
  <c r="H867" i="4"/>
  <c r="E866" i="6"/>
  <c r="E866" i="4"/>
  <c r="D865" i="6"/>
  <c r="D865" i="4"/>
  <c r="C863" i="6"/>
  <c r="C863" i="4"/>
  <c r="I862" i="6"/>
  <c r="I862" i="4"/>
  <c r="H861" i="6"/>
  <c r="H861" i="4"/>
  <c r="G860" i="6"/>
  <c r="G860" i="4"/>
  <c r="D859" i="6"/>
  <c r="D859" i="4"/>
  <c r="C858" i="6"/>
  <c r="C858" i="4"/>
  <c r="I855" i="6"/>
  <c r="I855" i="4"/>
  <c r="H856" i="6"/>
  <c r="H856" i="4"/>
  <c r="G854" i="6"/>
  <c r="G854" i="4"/>
  <c r="F857" i="6"/>
  <c r="F857" i="4"/>
  <c r="D853" i="6"/>
  <c r="D853" i="4"/>
  <c r="F852" i="6"/>
  <c r="F852" i="4"/>
  <c r="D851" i="6"/>
  <c r="D851" i="4"/>
  <c r="H850" i="6"/>
  <c r="H850" i="4"/>
  <c r="F848" i="6"/>
  <c r="F848" i="4"/>
  <c r="E847" i="6"/>
  <c r="E847" i="4"/>
  <c r="G949" i="6"/>
  <c r="G949" i="4"/>
  <c r="E948" i="6"/>
  <c r="E948" i="4"/>
  <c r="D947" i="6"/>
  <c r="D947" i="4"/>
  <c r="H946" i="6"/>
  <c r="H946" i="4"/>
  <c r="G945" i="6"/>
  <c r="G945" i="4"/>
  <c r="D944" i="6"/>
  <c r="D944" i="4"/>
  <c r="C943" i="6"/>
  <c r="C943" i="4"/>
  <c r="I941" i="6"/>
  <c r="I941" i="4"/>
  <c r="D940" i="6"/>
  <c r="D940" i="4"/>
  <c r="I938" i="6"/>
  <c r="I938" i="4"/>
  <c r="H937" i="6"/>
  <c r="H937" i="4"/>
  <c r="F936" i="6"/>
  <c r="F936" i="4"/>
  <c r="E935" i="6"/>
  <c r="E935" i="4"/>
  <c r="C934" i="6"/>
  <c r="C934" i="4"/>
  <c r="G933" i="6"/>
  <c r="G933" i="4"/>
  <c r="E932" i="6"/>
  <c r="E932" i="4"/>
  <c r="D931" i="6"/>
  <c r="D931" i="4"/>
  <c r="I930" i="6"/>
  <c r="I930" i="4"/>
  <c r="H929" i="6"/>
  <c r="H929" i="4"/>
  <c r="G928" i="6"/>
  <c r="G928" i="4"/>
  <c r="E926" i="6"/>
  <c r="E926" i="4"/>
  <c r="D925" i="6"/>
  <c r="D925" i="4"/>
  <c r="C924" i="6"/>
  <c r="C924" i="4"/>
  <c r="I923" i="6"/>
  <c r="I923" i="4"/>
  <c r="F922" i="6"/>
  <c r="F922" i="4"/>
  <c r="H921" i="6"/>
  <c r="H921" i="4"/>
  <c r="C920" i="6"/>
  <c r="C920" i="4"/>
  <c r="H918" i="6"/>
  <c r="H918" i="4"/>
  <c r="G917" i="6"/>
  <c r="G917" i="4"/>
  <c r="G915" i="6"/>
  <c r="G915" i="4"/>
  <c r="I913" i="6"/>
  <c r="I913" i="4"/>
  <c r="F912" i="6"/>
  <c r="F912" i="4"/>
  <c r="D911" i="6"/>
  <c r="D911" i="4"/>
  <c r="C910" i="6"/>
  <c r="C910" i="4"/>
  <c r="H909" i="6"/>
  <c r="H909" i="4"/>
  <c r="E908" i="6"/>
  <c r="E908" i="4"/>
  <c r="C907" i="6"/>
  <c r="C907" i="4"/>
  <c r="G906" i="6"/>
  <c r="G906" i="4"/>
  <c r="I905" i="6"/>
  <c r="I905" i="4"/>
  <c r="H904" i="6"/>
  <c r="H904" i="4"/>
  <c r="G903" i="6"/>
  <c r="G903" i="4"/>
  <c r="D902" i="6"/>
  <c r="D902" i="4"/>
  <c r="C901" i="6"/>
  <c r="C901" i="4"/>
  <c r="H900" i="6"/>
  <c r="H900" i="4"/>
  <c r="C899" i="6"/>
  <c r="C899" i="4"/>
  <c r="I898" i="6"/>
  <c r="I898" i="4"/>
  <c r="F896" i="6"/>
  <c r="F896" i="4"/>
  <c r="E895" i="6"/>
  <c r="E895" i="4"/>
  <c r="D892" i="6"/>
  <c r="D892" i="4"/>
  <c r="I890" i="6"/>
  <c r="I890" i="4"/>
  <c r="E894" i="6"/>
  <c r="E894" i="4"/>
  <c r="D891" i="6"/>
  <c r="D891" i="4"/>
  <c r="C889" i="6"/>
  <c r="C889" i="4"/>
  <c r="G888" i="6"/>
  <c r="G888" i="4"/>
  <c r="E887" i="6"/>
  <c r="E887" i="4"/>
  <c r="I885" i="6"/>
  <c r="I885" i="4"/>
  <c r="F884" i="6"/>
  <c r="F884" i="4"/>
  <c r="C883" i="6"/>
  <c r="C883" i="4"/>
  <c r="I882" i="6"/>
  <c r="I882" i="4"/>
  <c r="G881" i="6"/>
  <c r="G881" i="4"/>
  <c r="F880" i="6"/>
  <c r="F880" i="4"/>
  <c r="C879" i="6"/>
  <c r="C879" i="4"/>
  <c r="H877" i="6"/>
  <c r="H877" i="4"/>
  <c r="G876" i="6"/>
  <c r="G876" i="4"/>
  <c r="C875" i="6"/>
  <c r="C875" i="4"/>
  <c r="I873" i="6"/>
  <c r="I873" i="4"/>
  <c r="H874" i="6"/>
  <c r="H874" i="4"/>
  <c r="G872" i="6"/>
  <c r="G872" i="4"/>
  <c r="C871" i="6"/>
  <c r="C871" i="4"/>
  <c r="G870" i="6"/>
  <c r="G870" i="4"/>
  <c r="D869" i="6"/>
  <c r="D869" i="4"/>
  <c r="I867" i="6"/>
  <c r="I867" i="4"/>
  <c r="F866" i="6"/>
  <c r="F866" i="4"/>
  <c r="E865" i="6"/>
  <c r="E865" i="4"/>
  <c r="D863" i="6"/>
  <c r="D863" i="4"/>
  <c r="I861" i="6"/>
  <c r="I861" i="4"/>
  <c r="H860" i="6"/>
  <c r="H860" i="4"/>
  <c r="E859" i="6"/>
  <c r="E859" i="4"/>
  <c r="D858" i="6"/>
  <c r="D858" i="4"/>
  <c r="I856" i="6"/>
  <c r="I856" i="4"/>
  <c r="H854" i="6"/>
  <c r="H854" i="4"/>
  <c r="G857" i="6"/>
  <c r="G857" i="4"/>
  <c r="E853" i="6"/>
  <c r="E853" i="4"/>
  <c r="C849" i="6"/>
  <c r="C849" i="4"/>
  <c r="G852" i="6"/>
  <c r="G852" i="4"/>
  <c r="E851" i="6"/>
  <c r="E851" i="4"/>
  <c r="I850" i="6"/>
  <c r="I850" i="4"/>
  <c r="G848" i="6"/>
  <c r="G848" i="4"/>
  <c r="F847" i="6"/>
  <c r="F847" i="4"/>
  <c r="H845" i="6"/>
  <c r="H845" i="4"/>
  <c r="G844" i="6"/>
  <c r="G844" i="4"/>
  <c r="F843" i="6"/>
  <c r="F843" i="4"/>
  <c r="E842" i="6"/>
  <c r="E842" i="4"/>
  <c r="C841" i="6"/>
  <c r="C841" i="4"/>
  <c r="G840" i="6"/>
  <c r="G840" i="4"/>
  <c r="C839" i="6"/>
  <c r="C839" i="4"/>
  <c r="H838" i="6"/>
  <c r="H838" i="4"/>
  <c r="D837" i="6"/>
  <c r="D837" i="4"/>
  <c r="H835" i="6"/>
  <c r="H835" i="4"/>
  <c r="G834" i="6"/>
  <c r="G834" i="4"/>
  <c r="C833" i="6"/>
  <c r="C833" i="4"/>
  <c r="H832" i="6"/>
  <c r="H832" i="4"/>
  <c r="G829" i="6"/>
  <c r="G829" i="4"/>
  <c r="D831" i="6"/>
  <c r="D831" i="4"/>
  <c r="I828" i="6"/>
  <c r="I828" i="4"/>
  <c r="H830" i="6"/>
  <c r="H830" i="4"/>
  <c r="F827" i="6"/>
  <c r="F827" i="4"/>
  <c r="E826" i="6"/>
  <c r="E826" i="4"/>
  <c r="D825" i="6"/>
  <c r="D825" i="4"/>
  <c r="C824" i="6"/>
  <c r="C824" i="4"/>
  <c r="I823" i="6"/>
  <c r="I823" i="4"/>
  <c r="F822" i="6"/>
  <c r="F822" i="4"/>
  <c r="D821" i="6"/>
  <c r="D821" i="4"/>
  <c r="C820" i="6"/>
  <c r="C820" i="4"/>
  <c r="I819" i="6"/>
  <c r="I819" i="4"/>
  <c r="I817" i="6"/>
  <c r="I817" i="4"/>
  <c r="F816" i="6"/>
  <c r="F816" i="4"/>
  <c r="E815" i="6"/>
  <c r="E815" i="4"/>
  <c r="C814" i="6"/>
  <c r="C814" i="4"/>
  <c r="G812" i="6"/>
  <c r="G812" i="4"/>
  <c r="F811" i="6"/>
  <c r="F811" i="4"/>
  <c r="D810" i="6"/>
  <c r="D810" i="4"/>
  <c r="C809" i="6"/>
  <c r="C809" i="4"/>
  <c r="I808" i="6"/>
  <c r="I808" i="4"/>
  <c r="H807" i="6"/>
  <c r="H807" i="4"/>
  <c r="G806" i="6"/>
  <c r="G806" i="4"/>
  <c r="I805" i="6"/>
  <c r="I805" i="4"/>
  <c r="G804" i="6"/>
  <c r="G804" i="4"/>
  <c r="C803" i="6"/>
  <c r="C803" i="4"/>
  <c r="E801" i="6"/>
  <c r="E801" i="4"/>
  <c r="I800" i="6"/>
  <c r="I800" i="4"/>
  <c r="H799" i="6"/>
  <c r="H799" i="4"/>
  <c r="G798" i="6"/>
  <c r="G798" i="4"/>
  <c r="E797" i="6"/>
  <c r="E797" i="4"/>
  <c r="H796" i="6"/>
  <c r="H796" i="4"/>
  <c r="G795" i="6"/>
  <c r="G795" i="4"/>
  <c r="F794" i="6"/>
  <c r="F794" i="4"/>
  <c r="E793" i="6"/>
  <c r="E793" i="4"/>
  <c r="D792" i="6"/>
  <c r="D792" i="4"/>
  <c r="C791" i="6"/>
  <c r="C791" i="4"/>
  <c r="F790" i="6"/>
  <c r="F790" i="4"/>
  <c r="C787" i="6"/>
  <c r="C787" i="4"/>
  <c r="I786" i="6"/>
  <c r="I786" i="4"/>
  <c r="H785" i="6"/>
  <c r="H785" i="4"/>
  <c r="D784" i="6"/>
  <c r="D784" i="4"/>
  <c r="I783" i="6"/>
  <c r="I783" i="4"/>
  <c r="H782" i="6"/>
  <c r="H782" i="4"/>
  <c r="F781" i="6"/>
  <c r="F781" i="4"/>
  <c r="E789" i="6"/>
  <c r="E789" i="4"/>
  <c r="D788" i="6"/>
  <c r="D788" i="4"/>
  <c r="H779" i="6"/>
  <c r="H779" i="4"/>
  <c r="G778" i="6"/>
  <c r="G778" i="4"/>
  <c r="E777" i="6"/>
  <c r="E777" i="4"/>
  <c r="D776" i="6"/>
  <c r="D776" i="4"/>
  <c r="C775" i="6"/>
  <c r="C775" i="4"/>
  <c r="H774" i="6"/>
  <c r="H774" i="4"/>
  <c r="F773" i="6"/>
  <c r="F773" i="4"/>
  <c r="D772" i="6"/>
  <c r="D772" i="4"/>
  <c r="C770" i="6"/>
  <c r="C770" i="4"/>
  <c r="F769" i="6"/>
  <c r="F769" i="4"/>
  <c r="E771" i="6"/>
  <c r="E771" i="4"/>
  <c r="G768" i="6"/>
  <c r="G768" i="4"/>
  <c r="F767" i="6"/>
  <c r="F767" i="4"/>
  <c r="D766" i="6"/>
  <c r="D766" i="4"/>
  <c r="I764" i="6"/>
  <c r="I764" i="4"/>
  <c r="E763" i="6"/>
  <c r="E763" i="4"/>
  <c r="D762" i="6"/>
  <c r="D762" i="4"/>
  <c r="I755" i="6"/>
  <c r="I755" i="4"/>
  <c r="G757" i="6"/>
  <c r="G757" i="4"/>
  <c r="D761" i="6"/>
  <c r="D761" i="4"/>
  <c r="C759" i="6"/>
  <c r="C759" i="4"/>
  <c r="I760" i="6"/>
  <c r="I760" i="4"/>
  <c r="H756" i="6"/>
  <c r="H756" i="4"/>
  <c r="E754" i="6"/>
  <c r="E754" i="4"/>
  <c r="D753" i="6"/>
  <c r="D753" i="4"/>
  <c r="C752" i="6"/>
  <c r="C752" i="4"/>
  <c r="E751" i="6"/>
  <c r="E751" i="4"/>
  <c r="C750" i="6"/>
  <c r="C750" i="4"/>
  <c r="I749" i="6"/>
  <c r="I749" i="4"/>
  <c r="G748" i="6"/>
  <c r="G748" i="4"/>
  <c r="F747" i="6"/>
  <c r="F747" i="4"/>
  <c r="E746" i="6"/>
  <c r="E746" i="4"/>
  <c r="D745" i="6"/>
  <c r="D745" i="4"/>
  <c r="F743" i="6"/>
  <c r="F743" i="4"/>
  <c r="D742" i="6"/>
  <c r="D742" i="4"/>
  <c r="C741" i="6"/>
  <c r="C741" i="4"/>
  <c r="I740" i="6"/>
  <c r="I740" i="4"/>
  <c r="H739" i="6"/>
  <c r="H739" i="4"/>
  <c r="G738" i="6"/>
  <c r="G738" i="4"/>
  <c r="F737" i="6"/>
  <c r="F737" i="4"/>
  <c r="C736" i="6"/>
  <c r="C736" i="4"/>
  <c r="F735" i="6"/>
  <c r="F735" i="4"/>
  <c r="D734" i="6"/>
  <c r="D734" i="4"/>
  <c r="H733" i="6"/>
  <c r="H733" i="4"/>
  <c r="H732" i="6"/>
  <c r="H732" i="4"/>
  <c r="H730" i="6"/>
  <c r="H730" i="4"/>
  <c r="H731" i="6"/>
  <c r="H731" i="4"/>
  <c r="H729" i="6"/>
  <c r="H729" i="4"/>
  <c r="H728" i="6"/>
  <c r="H728" i="4"/>
  <c r="H727" i="6"/>
  <c r="H727" i="4"/>
  <c r="H726" i="6"/>
  <c r="H726" i="4"/>
  <c r="H725" i="6"/>
  <c r="H725" i="4"/>
  <c r="H724" i="6"/>
  <c r="H724" i="4"/>
  <c r="H723" i="6"/>
  <c r="H723" i="4"/>
  <c r="H722" i="6"/>
  <c r="H722" i="4"/>
  <c r="H721" i="6"/>
  <c r="H721" i="4"/>
  <c r="H720" i="6"/>
  <c r="H720" i="4"/>
  <c r="H719" i="6"/>
  <c r="H719" i="4"/>
  <c r="H718" i="6"/>
  <c r="H718" i="4"/>
  <c r="H716" i="6"/>
  <c r="H716" i="4"/>
  <c r="H715" i="6"/>
  <c r="H715" i="4"/>
  <c r="H717" i="6"/>
  <c r="H717" i="4"/>
  <c r="H714" i="6"/>
  <c r="H714" i="4"/>
  <c r="H713" i="6"/>
  <c r="H713" i="4"/>
  <c r="H712" i="6"/>
  <c r="H712" i="4"/>
  <c r="H711" i="6"/>
  <c r="H711" i="4"/>
  <c r="H710" i="6"/>
  <c r="H710" i="4"/>
  <c r="H709" i="6"/>
  <c r="H709" i="4"/>
  <c r="H708" i="6"/>
  <c r="H708" i="4"/>
  <c r="H707" i="6"/>
  <c r="H707" i="4"/>
  <c r="H706" i="6"/>
  <c r="H706" i="4"/>
  <c r="H705" i="6"/>
  <c r="H705" i="4"/>
  <c r="H704" i="6"/>
  <c r="H704" i="4"/>
  <c r="H703" i="6"/>
  <c r="H703" i="4"/>
  <c r="H702" i="6"/>
  <c r="H702" i="4"/>
  <c r="H701" i="6"/>
  <c r="H701" i="4"/>
  <c r="H700" i="6"/>
  <c r="H700" i="4"/>
  <c r="H699" i="6"/>
  <c r="H699" i="4"/>
  <c r="H698" i="6"/>
  <c r="H698" i="4"/>
  <c r="H696" i="6"/>
  <c r="H696" i="4"/>
  <c r="H695" i="6"/>
  <c r="H695" i="4"/>
  <c r="H694" i="6"/>
  <c r="H694" i="4"/>
  <c r="H693" i="6"/>
  <c r="H693" i="4"/>
  <c r="H692" i="6"/>
  <c r="H692" i="4"/>
  <c r="H691" i="6"/>
  <c r="H691" i="4"/>
  <c r="H690" i="6"/>
  <c r="H690" i="4"/>
  <c r="H689" i="6"/>
  <c r="H689" i="4"/>
  <c r="F688" i="6"/>
  <c r="F688" i="4"/>
  <c r="E687" i="6"/>
  <c r="E687" i="4"/>
  <c r="C686" i="6"/>
  <c r="C686" i="4"/>
  <c r="I685" i="6"/>
  <c r="I685" i="4"/>
  <c r="H684" i="6"/>
  <c r="H684" i="4"/>
  <c r="F683" i="6"/>
  <c r="F683" i="4"/>
  <c r="I682" i="6"/>
  <c r="I682" i="4"/>
  <c r="H681" i="6"/>
  <c r="H681" i="4"/>
  <c r="I679" i="6"/>
  <c r="I679" i="4"/>
  <c r="H680" i="6"/>
  <c r="H680" i="4"/>
  <c r="E678" i="6"/>
  <c r="E678" i="4"/>
  <c r="C677" i="6"/>
  <c r="C677" i="4"/>
  <c r="E675" i="6"/>
  <c r="E675" i="4"/>
  <c r="F673" i="6"/>
  <c r="F673" i="4"/>
  <c r="E672" i="6"/>
  <c r="E672" i="4"/>
  <c r="C671" i="6"/>
  <c r="C671" i="4"/>
  <c r="I670" i="6"/>
  <c r="I670" i="4"/>
  <c r="G669" i="6"/>
  <c r="G669" i="4"/>
  <c r="F666" i="6"/>
  <c r="F666" i="4"/>
  <c r="C1066" i="6"/>
  <c r="C1066" i="4"/>
  <c r="H1065" i="6"/>
  <c r="H1065" i="4"/>
  <c r="G1064" i="6"/>
  <c r="G1064" i="4"/>
  <c r="E1063" i="6"/>
  <c r="E1063" i="4"/>
  <c r="C1062" i="6"/>
  <c r="C1062" i="4"/>
  <c r="E1060" i="6"/>
  <c r="E1060" i="4"/>
  <c r="G1058" i="6"/>
  <c r="G1058" i="4"/>
  <c r="D1055" i="6"/>
  <c r="D1055" i="4"/>
  <c r="C1053" i="6"/>
  <c r="C1053" i="4"/>
  <c r="G1056" i="6"/>
  <c r="G1056" i="4"/>
  <c r="E1054" i="6"/>
  <c r="E1054" i="4"/>
  <c r="D1052" i="6"/>
  <c r="D1052" i="4"/>
  <c r="C1051" i="6"/>
  <c r="C1051" i="4"/>
  <c r="E1049" i="6"/>
  <c r="E1049" i="4"/>
  <c r="C1048" i="6"/>
  <c r="C1048" i="4"/>
  <c r="F1047" i="6"/>
  <c r="F1047" i="4"/>
  <c r="D1046" i="6"/>
  <c r="D1046" i="4"/>
  <c r="F1045" i="6"/>
  <c r="F1045" i="4"/>
  <c r="D1044" i="6"/>
  <c r="D1044" i="4"/>
  <c r="G1042" i="6"/>
  <c r="G1042" i="4"/>
  <c r="F1043" i="6"/>
  <c r="F1043" i="4"/>
  <c r="F1040" i="6"/>
  <c r="F1040" i="4"/>
  <c r="C1039" i="6"/>
  <c r="C1039" i="4"/>
  <c r="I1038" i="6"/>
  <c r="I1038" i="4"/>
  <c r="G1037" i="6"/>
  <c r="G1037" i="4"/>
  <c r="F1036" i="6"/>
  <c r="F1036" i="4"/>
  <c r="D1035" i="6"/>
  <c r="D1035" i="4"/>
  <c r="C1034" i="6"/>
  <c r="C1034" i="4"/>
  <c r="I1033" i="6"/>
  <c r="I1033" i="4"/>
  <c r="H1032" i="6"/>
  <c r="H1032" i="4"/>
  <c r="F1031" i="6"/>
  <c r="F1031" i="4"/>
  <c r="E1030" i="6"/>
  <c r="E1030" i="4"/>
  <c r="D1029" i="6"/>
  <c r="D1029" i="4"/>
  <c r="C1028" i="6"/>
  <c r="C1028" i="4"/>
  <c r="I1026" i="6"/>
  <c r="I1026" i="4"/>
  <c r="G1025" i="6"/>
  <c r="G1025" i="4"/>
  <c r="E1024" i="6"/>
  <c r="E1024" i="4"/>
  <c r="C1023" i="6"/>
  <c r="C1023" i="4"/>
  <c r="I1022" i="6"/>
  <c r="I1022" i="4"/>
  <c r="H1021" i="6"/>
  <c r="H1021" i="4"/>
  <c r="G1020" i="6"/>
  <c r="G1020" i="4"/>
  <c r="F1019" i="6"/>
  <c r="F1019" i="4"/>
  <c r="E1018" i="6"/>
  <c r="E1018" i="4"/>
  <c r="C1017" i="6"/>
  <c r="C1017" i="4"/>
  <c r="I1015" i="6"/>
  <c r="I1015" i="4"/>
  <c r="E1012" i="6"/>
  <c r="E1012" i="4"/>
  <c r="D1013" i="6"/>
  <c r="D1013" i="4"/>
  <c r="I1014" i="6"/>
  <c r="I1014" i="4"/>
  <c r="H1010" i="6"/>
  <c r="H1010" i="4"/>
  <c r="I1008" i="6"/>
  <c r="I1008" i="4"/>
  <c r="G1007" i="6"/>
  <c r="G1007" i="4"/>
  <c r="F1006" i="6"/>
  <c r="F1006" i="4"/>
  <c r="E1005" i="6"/>
  <c r="E1005" i="4"/>
  <c r="E1003" i="6"/>
  <c r="E1003" i="4"/>
  <c r="H1002" i="6"/>
  <c r="H1002" i="4"/>
  <c r="G1001" i="6"/>
  <c r="G1001" i="4"/>
  <c r="C1000" i="6"/>
  <c r="C1000" i="4"/>
  <c r="I999" i="6"/>
  <c r="I999" i="4"/>
  <c r="E998" i="6"/>
  <c r="E998" i="4"/>
  <c r="H996" i="6"/>
  <c r="H996" i="4"/>
  <c r="E995" i="6"/>
  <c r="E995" i="4"/>
  <c r="C994" i="6"/>
  <c r="C994" i="4"/>
  <c r="I993" i="6"/>
  <c r="I993" i="4"/>
  <c r="G992" i="6"/>
  <c r="G992" i="4"/>
  <c r="E990" i="6"/>
  <c r="E990" i="4"/>
  <c r="D991" i="6"/>
  <c r="D991" i="4"/>
  <c r="C989" i="6"/>
  <c r="C989" i="4"/>
  <c r="G986" i="6"/>
  <c r="G986" i="4"/>
  <c r="F987" i="6"/>
  <c r="F987" i="4"/>
  <c r="E984" i="6"/>
  <c r="E984" i="4"/>
  <c r="D985" i="6"/>
  <c r="D985" i="4"/>
  <c r="I983" i="6"/>
  <c r="I983" i="4"/>
  <c r="H982" i="6"/>
  <c r="H982" i="4"/>
  <c r="F977" i="6"/>
  <c r="F977" i="4"/>
  <c r="I980" i="6"/>
  <c r="I980" i="4"/>
  <c r="H979" i="6"/>
  <c r="H979" i="4"/>
  <c r="F976" i="6"/>
  <c r="F976" i="4"/>
  <c r="D978" i="6"/>
  <c r="D978" i="4"/>
  <c r="E975" i="6"/>
  <c r="E975" i="4"/>
  <c r="H974" i="6"/>
  <c r="H974" i="4"/>
  <c r="E973" i="6"/>
  <c r="E973" i="4"/>
  <c r="D972" i="6"/>
  <c r="D972" i="4"/>
  <c r="F970" i="6"/>
  <c r="F970" i="4"/>
  <c r="C969" i="6"/>
  <c r="C969" i="4"/>
  <c r="G968" i="6"/>
  <c r="G968" i="4"/>
  <c r="E967" i="6"/>
  <c r="E967" i="4"/>
  <c r="I966" i="6"/>
  <c r="I966" i="4"/>
  <c r="D965" i="6"/>
  <c r="D965" i="4"/>
  <c r="I962" i="6"/>
  <c r="I962" i="4"/>
  <c r="F961" i="6"/>
  <c r="F961" i="4"/>
  <c r="D960" i="6"/>
  <c r="D960" i="4"/>
  <c r="I958" i="6"/>
  <c r="I958" i="4"/>
  <c r="H957" i="6"/>
  <c r="H957" i="4"/>
  <c r="G956" i="6"/>
  <c r="G956" i="4"/>
  <c r="F955" i="6"/>
  <c r="F955" i="4"/>
  <c r="D954" i="6"/>
  <c r="D954" i="4"/>
  <c r="I953" i="6"/>
  <c r="I953" i="4"/>
  <c r="G952" i="6"/>
  <c r="G952" i="4"/>
  <c r="C950" i="6"/>
  <c r="C950" i="4"/>
  <c r="H949" i="6"/>
  <c r="H949" i="4"/>
  <c r="F948" i="6"/>
  <c r="F948" i="4"/>
  <c r="E947" i="6"/>
  <c r="E947" i="4"/>
  <c r="I946" i="6"/>
  <c r="I946" i="4"/>
  <c r="H945" i="6"/>
  <c r="H945" i="4"/>
  <c r="E944" i="6"/>
  <c r="E944" i="4"/>
  <c r="D943" i="6"/>
  <c r="D943" i="4"/>
  <c r="C942" i="6"/>
  <c r="C942" i="4"/>
  <c r="E940" i="6"/>
  <c r="E940" i="4"/>
  <c r="C939" i="6"/>
  <c r="C939" i="4"/>
  <c r="I937" i="6"/>
  <c r="I937" i="4"/>
  <c r="G936" i="6"/>
  <c r="G936" i="4"/>
  <c r="F935" i="6"/>
  <c r="F935" i="4"/>
  <c r="D934" i="6"/>
  <c r="D934" i="4"/>
  <c r="H933" i="6"/>
  <c r="H933" i="4"/>
  <c r="F932" i="6"/>
  <c r="F932" i="4"/>
  <c r="E931" i="6"/>
  <c r="E931" i="4"/>
  <c r="I929" i="6"/>
  <c r="I929" i="4"/>
  <c r="H928" i="6"/>
  <c r="H928" i="4"/>
  <c r="C927" i="6"/>
  <c r="C927" i="4"/>
  <c r="F926" i="6"/>
  <c r="F926" i="4"/>
  <c r="E925" i="6"/>
  <c r="E925" i="4"/>
  <c r="D924" i="6"/>
  <c r="D924" i="4"/>
  <c r="G922" i="6"/>
  <c r="G922" i="4"/>
  <c r="I921" i="6"/>
  <c r="I921" i="4"/>
  <c r="D920" i="6"/>
  <c r="D920" i="4"/>
  <c r="C919" i="6"/>
  <c r="C919" i="4"/>
  <c r="I918" i="6"/>
  <c r="I918" i="4"/>
  <c r="H917" i="6"/>
  <c r="H917" i="4"/>
  <c r="C916" i="6"/>
  <c r="C916" i="4"/>
  <c r="H915" i="6"/>
  <c r="H915" i="4"/>
  <c r="C914" i="6"/>
  <c r="C914" i="4"/>
  <c r="G912" i="6"/>
  <c r="G912" i="4"/>
  <c r="E911" i="6"/>
  <c r="E911" i="4"/>
  <c r="D910" i="6"/>
  <c r="D910" i="4"/>
  <c r="I909" i="6"/>
  <c r="I909" i="4"/>
  <c r="F908" i="6"/>
  <c r="F908" i="4"/>
  <c r="D907" i="6"/>
  <c r="D907" i="4"/>
  <c r="H906" i="6"/>
  <c r="H906" i="4"/>
  <c r="I904" i="6"/>
  <c r="I904" i="4"/>
  <c r="H903" i="6"/>
  <c r="H903" i="4"/>
  <c r="E902" i="6"/>
  <c r="E902" i="4"/>
  <c r="D901" i="6"/>
  <c r="D901" i="4"/>
  <c r="I900" i="6"/>
  <c r="I900" i="4"/>
  <c r="D899" i="6"/>
  <c r="D899" i="4"/>
  <c r="C897" i="6"/>
  <c r="C897" i="4"/>
  <c r="G896" i="6"/>
  <c r="G896" i="4"/>
  <c r="F895" i="6"/>
  <c r="F895" i="4"/>
  <c r="E892" i="6"/>
  <c r="E892" i="4"/>
  <c r="F894" i="6"/>
  <c r="F894" i="4"/>
  <c r="E891" i="6"/>
  <c r="E891" i="4"/>
  <c r="D889" i="6"/>
  <c r="D889" i="4"/>
  <c r="C893" i="6"/>
  <c r="C893" i="4"/>
  <c r="H888" i="6"/>
  <c r="H888" i="4"/>
  <c r="F887" i="6"/>
  <c r="F887" i="4"/>
  <c r="C886" i="6"/>
  <c r="C886" i="4"/>
  <c r="G884" i="6"/>
  <c r="G884" i="4"/>
  <c r="D883" i="6"/>
  <c r="D883" i="4"/>
  <c r="H881" i="6"/>
  <c r="H881" i="4"/>
  <c r="G880" i="6"/>
  <c r="G880" i="4"/>
  <c r="D879" i="6"/>
  <c r="D879" i="4"/>
  <c r="C878" i="6"/>
  <c r="C878" i="4"/>
  <c r="I877" i="6"/>
  <c r="I877" i="4"/>
  <c r="H876" i="6"/>
  <c r="H876" i="4"/>
  <c r="D875" i="6"/>
  <c r="D875" i="4"/>
  <c r="I874" i="6"/>
  <c r="I874" i="4"/>
  <c r="H872" i="6"/>
  <c r="H872" i="4"/>
  <c r="D871" i="6"/>
  <c r="D871" i="4"/>
  <c r="H870" i="6"/>
  <c r="H870" i="4"/>
  <c r="E869" i="6"/>
  <c r="E869" i="4"/>
  <c r="C868" i="6"/>
  <c r="C868" i="4"/>
  <c r="G866" i="6"/>
  <c r="G866" i="4"/>
  <c r="F865" i="6"/>
  <c r="F865" i="4"/>
  <c r="E863" i="6"/>
  <c r="E863" i="4"/>
  <c r="C862" i="6"/>
  <c r="C862" i="4"/>
  <c r="I860" i="6"/>
  <c r="I860" i="4"/>
  <c r="F859" i="6"/>
  <c r="F859" i="4"/>
  <c r="E858" i="6"/>
  <c r="E858" i="4"/>
  <c r="C855" i="6"/>
  <c r="C855" i="4"/>
  <c r="I854" i="6"/>
  <c r="I854" i="4"/>
  <c r="H857" i="6"/>
  <c r="H857" i="4"/>
  <c r="F853" i="6"/>
  <c r="F853" i="4"/>
  <c r="D849" i="6"/>
  <c r="D849" i="4"/>
  <c r="H852" i="6"/>
  <c r="H852" i="4"/>
  <c r="F851" i="6"/>
  <c r="F851" i="4"/>
  <c r="H848" i="6"/>
  <c r="H848" i="4"/>
  <c r="G847" i="6"/>
  <c r="G847" i="4"/>
  <c r="C846" i="6"/>
  <c r="C846" i="4"/>
  <c r="I845" i="6"/>
  <c r="I845" i="4"/>
  <c r="H844" i="6"/>
  <c r="H844" i="4"/>
  <c r="G843" i="6"/>
  <c r="G843" i="4"/>
  <c r="F842" i="6"/>
  <c r="F842" i="4"/>
  <c r="D841" i="6"/>
  <c r="D841" i="4"/>
  <c r="H840" i="6"/>
  <c r="H840" i="4"/>
  <c r="D839" i="6"/>
  <c r="D839" i="4"/>
  <c r="I838" i="6"/>
  <c r="I838" i="4"/>
  <c r="E837" i="6"/>
  <c r="E837" i="4"/>
  <c r="C836" i="6"/>
  <c r="C836" i="4"/>
  <c r="I835" i="6"/>
  <c r="I835" i="4"/>
  <c r="H834" i="6"/>
  <c r="H834" i="4"/>
  <c r="D833" i="6"/>
  <c r="D833" i="4"/>
  <c r="I832" i="6"/>
  <c r="I832" i="4"/>
  <c r="H829" i="6"/>
  <c r="H829" i="4"/>
  <c r="E831" i="6"/>
  <c r="E831" i="4"/>
  <c r="I830" i="6"/>
  <c r="I830" i="4"/>
  <c r="G827" i="6"/>
  <c r="G827" i="4"/>
  <c r="F826" i="6"/>
  <c r="F826" i="4"/>
  <c r="E825" i="6"/>
  <c r="E825" i="4"/>
  <c r="D824" i="6"/>
  <c r="D824" i="4"/>
  <c r="G822" i="6"/>
  <c r="G822" i="4"/>
  <c r="E821" i="6"/>
  <c r="E821" i="4"/>
  <c r="D820" i="6"/>
  <c r="D820" i="4"/>
  <c r="C818" i="6"/>
  <c r="C818" i="4"/>
  <c r="G816" i="6"/>
  <c r="G816" i="4"/>
  <c r="F815" i="6"/>
  <c r="F815" i="4"/>
  <c r="D814" i="6"/>
  <c r="D814" i="4"/>
  <c r="C813" i="6"/>
  <c r="C813" i="4"/>
  <c r="H812" i="6"/>
  <c r="H812" i="4"/>
  <c r="G811" i="6"/>
  <c r="G811" i="4"/>
  <c r="E810" i="6"/>
  <c r="E810" i="4"/>
  <c r="D809" i="6"/>
  <c r="D809" i="4"/>
  <c r="I807" i="6"/>
  <c r="I807" i="4"/>
  <c r="H806" i="6"/>
  <c r="H806" i="4"/>
  <c r="H804" i="6"/>
  <c r="H804" i="4"/>
  <c r="D803" i="6"/>
  <c r="D803" i="4"/>
  <c r="C802" i="6"/>
  <c r="C802" i="4"/>
  <c r="F801" i="6"/>
  <c r="F801" i="4"/>
  <c r="I799" i="6"/>
  <c r="I799" i="4"/>
  <c r="H798" i="6"/>
  <c r="H798" i="4"/>
  <c r="F797" i="6"/>
  <c r="F797" i="4"/>
  <c r="I796" i="6"/>
  <c r="I796" i="4"/>
  <c r="H795" i="6"/>
  <c r="H795" i="4"/>
  <c r="G794" i="6"/>
  <c r="G794" i="4"/>
  <c r="F793" i="6"/>
  <c r="F793" i="4"/>
  <c r="E792" i="6"/>
  <c r="E792" i="4"/>
  <c r="D791" i="6"/>
  <c r="D791" i="4"/>
  <c r="G790" i="6"/>
  <c r="G790" i="4"/>
  <c r="D787" i="6"/>
  <c r="D787" i="4"/>
  <c r="I785" i="6"/>
  <c r="I785" i="4"/>
  <c r="E784" i="6"/>
  <c r="E784" i="4"/>
  <c r="I782" i="6"/>
  <c r="I782" i="4"/>
  <c r="G781" i="6"/>
  <c r="G781" i="4"/>
  <c r="F789" i="6"/>
  <c r="F789" i="4"/>
  <c r="E788" i="6"/>
  <c r="E788" i="4"/>
  <c r="I779" i="6"/>
  <c r="I779" i="4"/>
  <c r="H778" i="6"/>
  <c r="H778" i="4"/>
  <c r="F777" i="6"/>
  <c r="F777" i="4"/>
  <c r="E776" i="6"/>
  <c r="E776" i="4"/>
  <c r="D775" i="6"/>
  <c r="D775" i="4"/>
  <c r="I774" i="6"/>
  <c r="I774" i="4"/>
  <c r="G773" i="6"/>
  <c r="G773" i="4"/>
  <c r="E772" i="6"/>
  <c r="E772" i="4"/>
  <c r="D770" i="6"/>
  <c r="D770" i="4"/>
  <c r="G769" i="6"/>
  <c r="G769" i="4"/>
  <c r="F771" i="6"/>
  <c r="F771" i="4"/>
  <c r="H768" i="6"/>
  <c r="H768" i="4"/>
  <c r="G767" i="6"/>
  <c r="G767" i="4"/>
  <c r="D1039" i="6"/>
  <c r="D1039" i="4"/>
  <c r="H1037" i="6"/>
  <c r="H1037" i="4"/>
  <c r="G1036" i="6"/>
  <c r="G1036" i="4"/>
  <c r="E1035" i="6"/>
  <c r="E1035" i="4"/>
  <c r="D1034" i="6"/>
  <c r="D1034" i="4"/>
  <c r="I1032" i="6"/>
  <c r="I1032" i="4"/>
  <c r="G1031" i="6"/>
  <c r="G1031" i="4"/>
  <c r="F1030" i="6"/>
  <c r="F1030" i="4"/>
  <c r="E1029" i="6"/>
  <c r="E1029" i="4"/>
  <c r="D1028" i="6"/>
  <c r="D1028" i="4"/>
  <c r="C1027" i="6"/>
  <c r="C1027" i="4"/>
  <c r="H1025" i="6"/>
  <c r="H1025" i="4"/>
  <c r="F1024" i="6"/>
  <c r="F1024" i="4"/>
  <c r="D1023" i="6"/>
  <c r="D1023" i="4"/>
  <c r="I1021" i="6"/>
  <c r="I1021" i="4"/>
  <c r="H1020" i="6"/>
  <c r="H1020" i="4"/>
  <c r="G1019" i="6"/>
  <c r="G1019" i="4"/>
  <c r="F1018" i="6"/>
  <c r="F1018" i="4"/>
  <c r="D1017" i="6"/>
  <c r="D1017" i="4"/>
  <c r="C1016" i="6"/>
  <c r="C1016" i="4"/>
  <c r="F1012" i="6"/>
  <c r="F1012" i="4"/>
  <c r="E1013" i="6"/>
  <c r="E1013" i="4"/>
  <c r="C1011" i="6"/>
  <c r="C1011" i="4"/>
  <c r="I1010" i="6"/>
  <c r="I1010" i="4"/>
  <c r="C1009" i="6"/>
  <c r="C1009" i="4"/>
  <c r="H1007" i="6"/>
  <c r="H1007" i="4"/>
  <c r="G1006" i="6"/>
  <c r="G1006" i="4"/>
  <c r="F1005" i="6"/>
  <c r="F1005" i="4"/>
  <c r="C1004" i="6"/>
  <c r="C1004" i="4"/>
  <c r="F1003" i="6"/>
  <c r="F1003" i="4"/>
  <c r="I1002" i="6"/>
  <c r="I1002" i="4"/>
  <c r="H1001" i="6"/>
  <c r="H1001" i="4"/>
  <c r="D1000" i="6"/>
  <c r="D1000" i="4"/>
  <c r="F998" i="6"/>
  <c r="F998" i="4"/>
  <c r="C997" i="6"/>
  <c r="C997" i="4"/>
  <c r="I996" i="6"/>
  <c r="I996" i="4"/>
  <c r="F995" i="6"/>
  <c r="F995" i="4"/>
  <c r="D994" i="6"/>
  <c r="D994" i="4"/>
  <c r="H992" i="6"/>
  <c r="H992" i="4"/>
  <c r="F990" i="6"/>
  <c r="F990" i="4"/>
  <c r="E991" i="6"/>
  <c r="E991" i="4"/>
  <c r="D989" i="6"/>
  <c r="D989" i="4"/>
  <c r="C988" i="6"/>
  <c r="C988" i="4"/>
  <c r="H986" i="6"/>
  <c r="H986" i="4"/>
  <c r="G987" i="6"/>
  <c r="G987" i="4"/>
  <c r="F984" i="6"/>
  <c r="F984" i="4"/>
  <c r="E985" i="6"/>
  <c r="E985" i="4"/>
  <c r="I982" i="6"/>
  <c r="I982" i="4"/>
  <c r="G977" i="6"/>
  <c r="G977" i="4"/>
  <c r="C981" i="6"/>
  <c r="C981" i="4"/>
  <c r="I979" i="6"/>
  <c r="I979" i="4"/>
  <c r="G976" i="6"/>
  <c r="G976" i="4"/>
  <c r="E978" i="6"/>
  <c r="E978" i="4"/>
  <c r="F975" i="6"/>
  <c r="F975" i="4"/>
  <c r="I974" i="6"/>
  <c r="I974" i="4"/>
  <c r="F973" i="6"/>
  <c r="F973" i="4"/>
  <c r="E972" i="6"/>
  <c r="E972" i="4"/>
  <c r="C971" i="6"/>
  <c r="C971" i="4"/>
  <c r="G970" i="6"/>
  <c r="G970" i="4"/>
  <c r="D969" i="6"/>
  <c r="D969" i="4"/>
  <c r="H968" i="6"/>
  <c r="H968" i="4"/>
  <c r="F967" i="6"/>
  <c r="F967" i="4"/>
  <c r="E965" i="6"/>
  <c r="E965" i="4"/>
  <c r="C963" i="6"/>
  <c r="C963" i="4"/>
  <c r="G961" i="6"/>
  <c r="G961" i="4"/>
  <c r="E960" i="6"/>
  <c r="E960" i="4"/>
  <c r="C959" i="6"/>
  <c r="C959" i="4"/>
  <c r="I957" i="6"/>
  <c r="I957" i="4"/>
  <c r="H956" i="6"/>
  <c r="H956" i="4"/>
  <c r="G955" i="6"/>
  <c r="G955" i="4"/>
  <c r="E954" i="6"/>
  <c r="E954" i="4"/>
  <c r="H952" i="6"/>
  <c r="H952" i="4"/>
  <c r="D950" i="6"/>
  <c r="D950" i="4"/>
  <c r="C951" i="6"/>
  <c r="C951" i="4"/>
  <c r="I949" i="6"/>
  <c r="I949" i="4"/>
  <c r="G948" i="6"/>
  <c r="G948" i="4"/>
  <c r="F947" i="6"/>
  <c r="F947" i="4"/>
  <c r="I945" i="6"/>
  <c r="I945" i="4"/>
  <c r="F944" i="6"/>
  <c r="F944" i="4"/>
  <c r="E943" i="6"/>
  <c r="E943" i="4"/>
  <c r="D942" i="6"/>
  <c r="D942" i="4"/>
  <c r="C941" i="6"/>
  <c r="C941" i="4"/>
  <c r="F940" i="6"/>
  <c r="F940" i="4"/>
  <c r="D939" i="6"/>
  <c r="D939" i="4"/>
  <c r="C938" i="6"/>
  <c r="C938" i="4"/>
  <c r="H936" i="6"/>
  <c r="H936" i="4"/>
  <c r="G935" i="6"/>
  <c r="G935" i="4"/>
  <c r="E934" i="6"/>
  <c r="E934" i="4"/>
  <c r="I933" i="6"/>
  <c r="I933" i="4"/>
  <c r="G932" i="6"/>
  <c r="G932" i="4"/>
  <c r="F931" i="6"/>
  <c r="F931" i="4"/>
  <c r="C930" i="6"/>
  <c r="C930" i="4"/>
  <c r="I928" i="6"/>
  <c r="I928" i="4"/>
  <c r="D927" i="6"/>
  <c r="D927" i="4"/>
  <c r="G926" i="6"/>
  <c r="G926" i="4"/>
  <c r="F925" i="6"/>
  <c r="F925" i="4"/>
  <c r="E924" i="6"/>
  <c r="E924" i="4"/>
  <c r="C923" i="6"/>
  <c r="C923" i="4"/>
  <c r="H922" i="6"/>
  <c r="H922" i="4"/>
  <c r="E920" i="6"/>
  <c r="E920" i="4"/>
  <c r="D919" i="6"/>
  <c r="D919" i="4"/>
  <c r="I917" i="6"/>
  <c r="I917" i="4"/>
  <c r="D916" i="6"/>
  <c r="D916" i="4"/>
  <c r="I915" i="6"/>
  <c r="I915" i="4"/>
  <c r="D914" i="6"/>
  <c r="D914" i="4"/>
  <c r="C913" i="6"/>
  <c r="C913" i="4"/>
  <c r="H912" i="6"/>
  <c r="H912" i="4"/>
  <c r="F911" i="6"/>
  <c r="F911" i="4"/>
  <c r="E910" i="6"/>
  <c r="E910" i="4"/>
  <c r="G908" i="6"/>
  <c r="G908" i="4"/>
  <c r="E907" i="6"/>
  <c r="E907" i="4"/>
  <c r="I906" i="6"/>
  <c r="I906" i="4"/>
  <c r="C905" i="6"/>
  <c r="C905" i="4"/>
  <c r="I903" i="6"/>
  <c r="I903" i="4"/>
  <c r="F902" i="6"/>
  <c r="F902" i="4"/>
  <c r="E901" i="6"/>
  <c r="E901" i="4"/>
  <c r="E899" i="6"/>
  <c r="E899" i="4"/>
  <c r="D897" i="6"/>
  <c r="D897" i="4"/>
  <c r="C898" i="6"/>
  <c r="C898" i="4"/>
  <c r="H896" i="6"/>
  <c r="H896" i="4"/>
  <c r="G895" i="6"/>
  <c r="G895" i="4"/>
  <c r="F892" i="6"/>
  <c r="F892" i="4"/>
  <c r="C890" i="6"/>
  <c r="C890" i="4"/>
  <c r="G894" i="6"/>
  <c r="G894" i="4"/>
  <c r="F891" i="6"/>
  <c r="F891" i="4"/>
  <c r="E889" i="6"/>
  <c r="E889" i="4"/>
  <c r="D893" i="6"/>
  <c r="D893" i="4"/>
  <c r="I888" i="6"/>
  <c r="I888" i="4"/>
  <c r="G887" i="6"/>
  <c r="G887" i="4"/>
  <c r="D886" i="6"/>
  <c r="D886" i="4"/>
  <c r="C885" i="6"/>
  <c r="C885" i="4"/>
  <c r="H884" i="6"/>
  <c r="H884" i="4"/>
  <c r="E883" i="6"/>
  <c r="E883" i="4"/>
  <c r="C882" i="6"/>
  <c r="C882" i="4"/>
  <c r="I881" i="6"/>
  <c r="I881" i="4"/>
  <c r="H880" i="6"/>
  <c r="H880" i="4"/>
  <c r="E879" i="6"/>
  <c r="E879" i="4"/>
  <c r="D878" i="6"/>
  <c r="D878" i="4"/>
  <c r="I876" i="6"/>
  <c r="I876" i="4"/>
  <c r="E875" i="6"/>
  <c r="E875" i="4"/>
  <c r="C873" i="6"/>
  <c r="C873" i="4"/>
  <c r="I872" i="6"/>
  <c r="I872" i="4"/>
  <c r="E871" i="6"/>
  <c r="E871" i="4"/>
  <c r="I870" i="6"/>
  <c r="I870" i="4"/>
  <c r="F869" i="6"/>
  <c r="F869" i="4"/>
  <c r="D868" i="6"/>
  <c r="D868" i="4"/>
  <c r="C867" i="6"/>
  <c r="C867" i="4"/>
  <c r="H866" i="6"/>
  <c r="H866" i="4"/>
  <c r="G865" i="6"/>
  <c r="G865" i="4"/>
  <c r="F863" i="6"/>
  <c r="F863" i="4"/>
  <c r="D862" i="6"/>
  <c r="D862" i="4"/>
  <c r="C861" i="6"/>
  <c r="C861" i="4"/>
  <c r="G859" i="6"/>
  <c r="G859" i="4"/>
  <c r="F858" i="6"/>
  <c r="F858" i="4"/>
  <c r="D855" i="6"/>
  <c r="D855" i="4"/>
  <c r="C856" i="6"/>
  <c r="C856" i="4"/>
  <c r="I857" i="6"/>
  <c r="I857" i="4"/>
  <c r="G853" i="6"/>
  <c r="G853" i="4"/>
  <c r="E849" i="6"/>
  <c r="E849" i="4"/>
  <c r="I852" i="6"/>
  <c r="I852" i="4"/>
  <c r="G851" i="6"/>
  <c r="G851" i="4"/>
  <c r="C850" i="6"/>
  <c r="C850" i="4"/>
  <c r="I848" i="6"/>
  <c r="I848" i="4"/>
  <c r="H847" i="6"/>
  <c r="H847" i="4"/>
  <c r="D846" i="6"/>
  <c r="D846" i="4"/>
  <c r="I844" i="6"/>
  <c r="I844" i="4"/>
  <c r="H843" i="6"/>
  <c r="H843" i="4"/>
  <c r="G842" i="6"/>
  <c r="G842" i="4"/>
  <c r="E841" i="6"/>
  <c r="E841" i="4"/>
  <c r="I840" i="6"/>
  <c r="I840" i="4"/>
  <c r="E839" i="6"/>
  <c r="E839" i="4"/>
  <c r="F837" i="6"/>
  <c r="F837" i="4"/>
  <c r="D836" i="6"/>
  <c r="D836" i="4"/>
  <c r="I834" i="6"/>
  <c r="I834" i="4"/>
  <c r="E833" i="6"/>
  <c r="E833" i="4"/>
  <c r="I829" i="6"/>
  <c r="I829" i="4"/>
  <c r="F831" i="6"/>
  <c r="F831" i="4"/>
  <c r="C828" i="6"/>
  <c r="C828" i="4"/>
  <c r="H827" i="6"/>
  <c r="H827" i="4"/>
  <c r="G826" i="6"/>
  <c r="G826" i="4"/>
  <c r="F825" i="6"/>
  <c r="F825" i="4"/>
  <c r="E824" i="6"/>
  <c r="E824" i="4"/>
  <c r="C823" i="6"/>
  <c r="C823" i="4"/>
  <c r="H822" i="6"/>
  <c r="H822" i="4"/>
  <c r="F821" i="6"/>
  <c r="F821" i="4"/>
  <c r="E820" i="6"/>
  <c r="E820" i="4"/>
  <c r="D818" i="6"/>
  <c r="D818" i="4"/>
  <c r="C819" i="6"/>
  <c r="C819" i="4"/>
  <c r="C817" i="6"/>
  <c r="C817" i="4"/>
  <c r="H816" i="6"/>
  <c r="H816" i="4"/>
  <c r="G815" i="6"/>
  <c r="G815" i="4"/>
  <c r="E814" i="6"/>
  <c r="E814" i="4"/>
  <c r="D813" i="6"/>
  <c r="D813" i="4"/>
  <c r="I812" i="6"/>
  <c r="I812" i="4"/>
  <c r="H811" i="6"/>
  <c r="H811" i="4"/>
  <c r="F810" i="6"/>
  <c r="F810" i="4"/>
  <c r="E809" i="6"/>
  <c r="E809" i="4"/>
  <c r="C808" i="6"/>
  <c r="C808" i="4"/>
  <c r="I806" i="6"/>
  <c r="I806" i="4"/>
  <c r="C805" i="6"/>
  <c r="C805" i="4"/>
  <c r="I804" i="6"/>
  <c r="I804" i="4"/>
  <c r="E803" i="6"/>
  <c r="E803" i="4"/>
  <c r="D802" i="6"/>
  <c r="D802" i="4"/>
  <c r="G801" i="6"/>
  <c r="G801" i="4"/>
  <c r="C800" i="6"/>
  <c r="C800" i="4"/>
  <c r="I798" i="6"/>
  <c r="I798" i="4"/>
  <c r="G797" i="6"/>
  <c r="G797" i="4"/>
  <c r="I795" i="6"/>
  <c r="I795" i="4"/>
  <c r="H794" i="6"/>
  <c r="H794" i="4"/>
  <c r="G793" i="6"/>
  <c r="G793" i="4"/>
  <c r="F792" i="6"/>
  <c r="F792" i="4"/>
  <c r="E791" i="6"/>
  <c r="E791" i="4"/>
  <c r="H790" i="6"/>
  <c r="H790" i="4"/>
  <c r="E787" i="6"/>
  <c r="E787" i="4"/>
  <c r="C786" i="6"/>
  <c r="C786" i="4"/>
  <c r="F784" i="6"/>
  <c r="F784" i="4"/>
  <c r="C783" i="6"/>
  <c r="C783" i="4"/>
  <c r="H781" i="6"/>
  <c r="H781" i="4"/>
  <c r="G789" i="6"/>
  <c r="G789" i="4"/>
  <c r="F788" i="6"/>
  <c r="F788" i="4"/>
  <c r="I778" i="6"/>
  <c r="I778" i="4"/>
  <c r="G777" i="6"/>
  <c r="G777" i="4"/>
  <c r="F776" i="6"/>
  <c r="F776" i="4"/>
  <c r="E775" i="6"/>
  <c r="E775" i="4"/>
  <c r="H773" i="6"/>
  <c r="H773" i="4"/>
  <c r="F772" i="6"/>
  <c r="F772" i="4"/>
  <c r="E770" i="6"/>
  <c r="E770" i="4"/>
  <c r="H769" i="6"/>
  <c r="H769" i="4"/>
  <c r="G771" i="6"/>
  <c r="G771" i="4"/>
  <c r="I768" i="6"/>
  <c r="I768" i="4"/>
  <c r="H767" i="6"/>
  <c r="H767" i="4"/>
  <c r="F766" i="6"/>
  <c r="F766" i="4"/>
  <c r="D765" i="6"/>
  <c r="D765" i="4"/>
  <c r="C764" i="6"/>
  <c r="C764" i="4"/>
  <c r="G763" i="6"/>
  <c r="G763" i="4"/>
  <c r="F762" i="6"/>
  <c r="F762" i="4"/>
  <c r="D758" i="6"/>
  <c r="D758" i="4"/>
  <c r="C755" i="6"/>
  <c r="C755" i="4"/>
  <c r="I757" i="6"/>
  <c r="I757" i="4"/>
  <c r="F761" i="6"/>
  <c r="F761" i="4"/>
  <c r="E759" i="6"/>
  <c r="E759" i="4"/>
  <c r="C760" i="6"/>
  <c r="C760" i="4"/>
  <c r="G754" i="6"/>
  <c r="G754" i="4"/>
  <c r="F753" i="6"/>
  <c r="F753" i="4"/>
  <c r="E752" i="6"/>
  <c r="E752" i="4"/>
  <c r="G751" i="6"/>
  <c r="G751" i="4"/>
  <c r="E750" i="6"/>
  <c r="E750" i="4"/>
  <c r="C749" i="6"/>
  <c r="C749" i="4"/>
  <c r="E1066" i="6"/>
  <c r="E1066" i="4"/>
  <c r="I1064" i="6"/>
  <c r="I1064" i="4"/>
  <c r="G1063" i="6"/>
  <c r="G1063" i="4"/>
  <c r="E1062" i="6"/>
  <c r="E1062" i="4"/>
  <c r="D1061" i="6"/>
  <c r="D1061" i="4"/>
  <c r="G1060" i="6"/>
  <c r="G1060" i="4"/>
  <c r="D1059" i="6"/>
  <c r="D1059" i="4"/>
  <c r="I1058" i="6"/>
  <c r="I1058" i="4"/>
  <c r="F1055" i="6"/>
  <c r="F1055" i="4"/>
  <c r="E1053" i="6"/>
  <c r="E1053" i="4"/>
  <c r="D1057" i="6"/>
  <c r="D1057" i="4"/>
  <c r="I1056" i="6"/>
  <c r="I1056" i="4"/>
  <c r="G1054" i="6"/>
  <c r="G1054" i="4"/>
  <c r="F1052" i="6"/>
  <c r="F1052" i="4"/>
  <c r="E1051" i="6"/>
  <c r="E1051" i="4"/>
  <c r="D1050" i="6"/>
  <c r="D1050" i="4"/>
  <c r="G1049" i="6"/>
  <c r="G1049" i="4"/>
  <c r="E1048" i="6"/>
  <c r="E1048" i="4"/>
  <c r="H1047" i="6"/>
  <c r="H1047" i="4"/>
  <c r="F1046" i="6"/>
  <c r="F1046" i="4"/>
  <c r="H1045" i="6"/>
  <c r="H1045" i="4"/>
  <c r="F1044" i="6"/>
  <c r="F1044" i="4"/>
  <c r="I1042" i="6"/>
  <c r="I1042" i="4"/>
  <c r="H1043" i="6"/>
  <c r="H1043" i="4"/>
  <c r="D1041" i="6"/>
  <c r="D1041" i="4"/>
  <c r="H1040" i="6"/>
  <c r="H1040" i="4"/>
  <c r="E1039" i="6"/>
  <c r="E1039" i="4"/>
  <c r="C1038" i="6"/>
  <c r="C1038" i="4"/>
  <c r="I1037" i="6"/>
  <c r="I1037" i="4"/>
  <c r="H1036" i="6"/>
  <c r="H1036" i="4"/>
  <c r="F1035" i="6"/>
  <c r="F1035" i="4"/>
  <c r="E1034" i="6"/>
  <c r="E1034" i="4"/>
  <c r="C1033" i="6"/>
  <c r="C1033" i="4"/>
  <c r="H1031" i="6"/>
  <c r="H1031" i="4"/>
  <c r="G1030" i="6"/>
  <c r="G1030" i="4"/>
  <c r="F1029" i="6"/>
  <c r="F1029" i="4"/>
  <c r="E1028" i="6"/>
  <c r="E1028" i="4"/>
  <c r="D1027" i="6"/>
  <c r="D1027" i="4"/>
  <c r="C1026" i="6"/>
  <c r="C1026" i="4"/>
  <c r="I1025" i="6"/>
  <c r="I1025" i="4"/>
  <c r="G1024" i="6"/>
  <c r="G1024" i="4"/>
  <c r="E1023" i="6"/>
  <c r="E1023" i="4"/>
  <c r="C1022" i="6"/>
  <c r="C1022" i="4"/>
  <c r="I1020" i="6"/>
  <c r="I1020" i="4"/>
  <c r="H1019" i="6"/>
  <c r="H1019" i="4"/>
  <c r="G1018" i="6"/>
  <c r="G1018" i="4"/>
  <c r="E1017" i="6"/>
  <c r="E1017" i="4"/>
  <c r="D1016" i="6"/>
  <c r="D1016" i="4"/>
  <c r="C1015" i="6"/>
  <c r="C1015" i="4"/>
  <c r="G1012" i="6"/>
  <c r="G1012" i="4"/>
  <c r="F1013" i="6"/>
  <c r="F1013" i="4"/>
  <c r="D1011" i="6"/>
  <c r="D1011" i="4"/>
  <c r="C1014" i="6"/>
  <c r="C1014" i="4"/>
  <c r="D1009" i="6"/>
  <c r="D1009" i="4"/>
  <c r="C1008" i="6"/>
  <c r="C1008" i="4"/>
  <c r="I1007" i="6"/>
  <c r="I1007" i="4"/>
  <c r="H1006" i="6"/>
  <c r="H1006" i="4"/>
  <c r="G1005" i="6"/>
  <c r="G1005" i="4"/>
  <c r="D1004" i="6"/>
  <c r="D1004" i="4"/>
  <c r="G1003" i="6"/>
  <c r="G1003" i="4"/>
  <c r="I1001" i="6"/>
  <c r="I1001" i="4"/>
  <c r="E1000" i="6"/>
  <c r="E1000" i="4"/>
  <c r="C999" i="6"/>
  <c r="C999" i="4"/>
  <c r="G998" i="6"/>
  <c r="G998" i="4"/>
  <c r="D997" i="6"/>
  <c r="D997" i="4"/>
  <c r="G995" i="6"/>
  <c r="G995" i="4"/>
  <c r="E994" i="6"/>
  <c r="E994" i="4"/>
  <c r="C993" i="6"/>
  <c r="C993" i="4"/>
  <c r="I992" i="6"/>
  <c r="I992" i="4"/>
  <c r="G990" i="6"/>
  <c r="G990" i="4"/>
  <c r="F991" i="6"/>
  <c r="F991" i="4"/>
  <c r="E989" i="6"/>
  <c r="E989" i="4"/>
  <c r="D988" i="6"/>
  <c r="D988" i="4"/>
  <c r="I986" i="6"/>
  <c r="I986" i="4"/>
  <c r="H987" i="6"/>
  <c r="H987" i="4"/>
  <c r="G984" i="6"/>
  <c r="G984" i="4"/>
  <c r="F985" i="6"/>
  <c r="F985" i="4"/>
  <c r="C983" i="6"/>
  <c r="C983" i="4"/>
  <c r="H977" i="6"/>
  <c r="H977" i="4"/>
  <c r="D981" i="6"/>
  <c r="D981" i="4"/>
  <c r="C980" i="6"/>
  <c r="C980" i="4"/>
  <c r="H976" i="6"/>
  <c r="H976" i="4"/>
  <c r="F978" i="6"/>
  <c r="F978" i="4"/>
  <c r="G975" i="6"/>
  <c r="G975" i="4"/>
  <c r="G973" i="6"/>
  <c r="G973" i="4"/>
  <c r="F972" i="6"/>
  <c r="F972" i="4"/>
  <c r="D971" i="6"/>
  <c r="D971" i="4"/>
  <c r="H970" i="6"/>
  <c r="H970" i="4"/>
  <c r="E969" i="6"/>
  <c r="E969" i="4"/>
  <c r="I968" i="6"/>
  <c r="I968" i="4"/>
  <c r="G967" i="6"/>
  <c r="G967" i="4"/>
  <c r="C966" i="6"/>
  <c r="C966" i="4"/>
  <c r="F965" i="6"/>
  <c r="F965" i="4"/>
  <c r="D963" i="6"/>
  <c r="D963" i="4"/>
  <c r="C962" i="6"/>
  <c r="C962" i="4"/>
  <c r="H961" i="6"/>
  <c r="H961" i="4"/>
  <c r="F960" i="6"/>
  <c r="F960" i="4"/>
  <c r="D959" i="6"/>
  <c r="D959" i="4"/>
  <c r="C958" i="6"/>
  <c r="C958" i="4"/>
  <c r="I956" i="6"/>
  <c r="I956" i="4"/>
  <c r="H955" i="6"/>
  <c r="H955" i="4"/>
  <c r="F954" i="6"/>
  <c r="F954" i="4"/>
  <c r="C953" i="6"/>
  <c r="C953" i="4"/>
  <c r="I952" i="6"/>
  <c r="I952" i="4"/>
  <c r="E950" i="6"/>
  <c r="E950" i="4"/>
  <c r="D951" i="6"/>
  <c r="D951" i="4"/>
  <c r="H948" i="6"/>
  <c r="H948" i="4"/>
  <c r="G947" i="6"/>
  <c r="G947" i="4"/>
  <c r="C946" i="6"/>
  <c r="C946" i="4"/>
  <c r="G944" i="6"/>
  <c r="G944" i="4"/>
  <c r="F943" i="6"/>
  <c r="F943" i="4"/>
  <c r="E942" i="6"/>
  <c r="E942" i="4"/>
  <c r="D941" i="6"/>
  <c r="D941" i="4"/>
  <c r="G940" i="6"/>
  <c r="G940" i="4"/>
  <c r="E939" i="6"/>
  <c r="E939" i="4"/>
  <c r="D938" i="6"/>
  <c r="D938" i="4"/>
  <c r="C937" i="6"/>
  <c r="C937" i="4"/>
  <c r="I936" i="6"/>
  <c r="I936" i="4"/>
  <c r="H935" i="6"/>
  <c r="H935" i="4"/>
  <c r="F934" i="6"/>
  <c r="F934" i="4"/>
  <c r="H932" i="6"/>
  <c r="H932" i="4"/>
  <c r="G931" i="6"/>
  <c r="G931" i="4"/>
  <c r="D930" i="6"/>
  <c r="D930" i="4"/>
  <c r="C929" i="6"/>
  <c r="C929" i="4"/>
  <c r="E927" i="6"/>
  <c r="E927" i="4"/>
  <c r="H926" i="6"/>
  <c r="H926" i="4"/>
  <c r="G925" i="6"/>
  <c r="G925" i="4"/>
  <c r="F924" i="6"/>
  <c r="F924" i="4"/>
  <c r="D923" i="6"/>
  <c r="D923" i="4"/>
  <c r="I922" i="6"/>
  <c r="I922" i="4"/>
  <c r="C921" i="6"/>
  <c r="C921" i="4"/>
  <c r="F920" i="6"/>
  <c r="F920" i="4"/>
  <c r="E919" i="6"/>
  <c r="E919" i="4"/>
  <c r="C918" i="6"/>
  <c r="C918" i="4"/>
  <c r="E916" i="6"/>
  <c r="E916" i="4"/>
  <c r="E914" i="6"/>
  <c r="E914" i="4"/>
  <c r="D913" i="6"/>
  <c r="D913" i="4"/>
  <c r="I912" i="6"/>
  <c r="I912" i="4"/>
  <c r="G911" i="6"/>
  <c r="G911" i="4"/>
  <c r="F910" i="6"/>
  <c r="F910" i="4"/>
  <c r="C909" i="6"/>
  <c r="C909" i="4"/>
  <c r="H908" i="6"/>
  <c r="H908" i="4"/>
  <c r="F907" i="6"/>
  <c r="F907" i="4"/>
  <c r="D905" i="6"/>
  <c r="D905" i="4"/>
  <c r="C904" i="6"/>
  <c r="C904" i="4"/>
  <c r="G902" i="6"/>
  <c r="G902" i="4"/>
  <c r="F901" i="6"/>
  <c r="F901" i="4"/>
  <c r="C900" i="6"/>
  <c r="C900" i="4"/>
  <c r="F899" i="6"/>
  <c r="F899" i="4"/>
  <c r="E897" i="6"/>
  <c r="E897" i="4"/>
  <c r="D898" i="6"/>
  <c r="D898" i="4"/>
  <c r="I896" i="6"/>
  <c r="I896" i="4"/>
  <c r="H895" i="6"/>
  <c r="H895" i="4"/>
  <c r="G892" i="6"/>
  <c r="G892" i="4"/>
  <c r="D890" i="6"/>
  <c r="D890" i="4"/>
  <c r="H894" i="6"/>
  <c r="H894" i="4"/>
  <c r="G891" i="6"/>
  <c r="G891" i="4"/>
  <c r="F889" i="6"/>
  <c r="F889" i="4"/>
  <c r="E893" i="6"/>
  <c r="E893" i="4"/>
  <c r="H887" i="6"/>
  <c r="H887" i="4"/>
  <c r="E886" i="6"/>
  <c r="E886" i="4"/>
  <c r="D885" i="6"/>
  <c r="D885" i="4"/>
  <c r="I884" i="6"/>
  <c r="I884" i="4"/>
  <c r="F883" i="6"/>
  <c r="F883" i="4"/>
  <c r="D882" i="6"/>
  <c r="D882" i="4"/>
  <c r="I880" i="6"/>
  <c r="I880" i="4"/>
  <c r="F879" i="6"/>
  <c r="F879" i="4"/>
  <c r="E878" i="6"/>
  <c r="E878" i="4"/>
  <c r="C877" i="6"/>
  <c r="C877" i="4"/>
  <c r="F875" i="6"/>
  <c r="F875" i="4"/>
  <c r="D873" i="6"/>
  <c r="D873" i="4"/>
  <c r="C874" i="6"/>
  <c r="C874" i="4"/>
  <c r="F871" i="6"/>
  <c r="F871" i="4"/>
  <c r="G869" i="6"/>
  <c r="G869" i="4"/>
  <c r="E868" i="6"/>
  <c r="E868" i="4"/>
  <c r="D867" i="6"/>
  <c r="D867" i="4"/>
  <c r="I866" i="6"/>
  <c r="I866" i="4"/>
  <c r="H865" i="6"/>
  <c r="H865" i="4"/>
  <c r="G863" i="6"/>
  <c r="G863" i="4"/>
  <c r="E862" i="6"/>
  <c r="E862" i="4"/>
  <c r="D861" i="6"/>
  <c r="D861" i="4"/>
  <c r="C860" i="6"/>
  <c r="C860" i="4"/>
  <c r="H859" i="6"/>
  <c r="H859" i="4"/>
  <c r="G858" i="6"/>
  <c r="G858" i="4"/>
  <c r="E855" i="6"/>
  <c r="E855" i="4"/>
  <c r="D856" i="6"/>
  <c r="D856" i="4"/>
  <c r="C854" i="6"/>
  <c r="C854" i="4"/>
  <c r="H853" i="6"/>
  <c r="H853" i="4"/>
  <c r="F849" i="6"/>
  <c r="F849" i="4"/>
  <c r="H851" i="6"/>
  <c r="H851" i="4"/>
  <c r="D850" i="6"/>
  <c r="D850" i="4"/>
  <c r="I847" i="6"/>
  <c r="I847" i="4"/>
  <c r="E846" i="6"/>
  <c r="E846" i="4"/>
  <c r="C845" i="6"/>
  <c r="C845" i="4"/>
  <c r="I843" i="6"/>
  <c r="I843" i="4"/>
  <c r="H842" i="6"/>
  <c r="H842" i="4"/>
  <c r="F841" i="6"/>
  <c r="F841" i="4"/>
  <c r="F839" i="6"/>
  <c r="F839" i="4"/>
  <c r="C838" i="6"/>
  <c r="C838" i="4"/>
  <c r="G837" i="6"/>
  <c r="G837" i="4"/>
  <c r="E836" i="6"/>
  <c r="E836" i="4"/>
  <c r="C835" i="6"/>
  <c r="C835" i="4"/>
  <c r="F833" i="6"/>
  <c r="F833" i="4"/>
  <c r="C832" i="6"/>
  <c r="C832" i="4"/>
  <c r="G831" i="6"/>
  <c r="G831" i="4"/>
  <c r="D828" i="6"/>
  <c r="D828" i="4"/>
  <c r="C830" i="6"/>
  <c r="C830" i="4"/>
  <c r="I827" i="6"/>
  <c r="I827" i="4"/>
  <c r="H826" i="6"/>
  <c r="H826" i="4"/>
  <c r="G825" i="6"/>
  <c r="G825" i="4"/>
  <c r="F824" i="6"/>
  <c r="F824" i="4"/>
  <c r="D823" i="6"/>
  <c r="D823" i="4"/>
  <c r="I822" i="6"/>
  <c r="I822" i="4"/>
  <c r="G821" i="6"/>
  <c r="G821" i="4"/>
  <c r="F820" i="6"/>
  <c r="F820" i="4"/>
  <c r="E818" i="6"/>
  <c r="E818" i="4"/>
  <c r="D819" i="6"/>
  <c r="D819" i="4"/>
  <c r="D817" i="6"/>
  <c r="D817" i="4"/>
  <c r="I816" i="6"/>
  <c r="I816" i="4"/>
  <c r="H815" i="6"/>
  <c r="H815" i="4"/>
  <c r="F814" i="6"/>
  <c r="F814" i="4"/>
  <c r="E813" i="6"/>
  <c r="E813" i="4"/>
  <c r="I811" i="6"/>
  <c r="I811" i="4"/>
  <c r="G810" i="6"/>
  <c r="G810" i="4"/>
  <c r="F809" i="6"/>
  <c r="F809" i="4"/>
  <c r="D808" i="6"/>
  <c r="D808" i="4"/>
  <c r="C807" i="6"/>
  <c r="C807" i="4"/>
  <c r="D805" i="6"/>
  <c r="D805" i="4"/>
  <c r="F803" i="6"/>
  <c r="F803" i="4"/>
  <c r="E802" i="6"/>
  <c r="E802" i="4"/>
  <c r="H801" i="6"/>
  <c r="H801" i="4"/>
  <c r="D800" i="6"/>
  <c r="D800" i="4"/>
  <c r="C799" i="6"/>
  <c r="C799" i="4"/>
  <c r="H797" i="6"/>
  <c r="H797" i="4"/>
  <c r="C796" i="6"/>
  <c r="C796" i="4"/>
  <c r="I794" i="6"/>
  <c r="I794" i="4"/>
  <c r="H793" i="6"/>
  <c r="H793" i="4"/>
  <c r="G792" i="6"/>
  <c r="G792" i="4"/>
  <c r="F791" i="6"/>
  <c r="F791" i="4"/>
  <c r="I790" i="6"/>
  <c r="I790" i="4"/>
  <c r="F787" i="6"/>
  <c r="F787" i="4"/>
  <c r="D786" i="6"/>
  <c r="D786" i="4"/>
  <c r="C785" i="6"/>
  <c r="C785" i="4"/>
  <c r="E783" i="6"/>
  <c r="E783" i="4"/>
  <c r="D782" i="6"/>
  <c r="D782" i="4"/>
  <c r="I789" i="6"/>
  <c r="I789" i="4"/>
  <c r="H788" i="6"/>
  <c r="H788" i="4"/>
  <c r="D779" i="6"/>
  <c r="D779" i="4"/>
  <c r="C778" i="6"/>
  <c r="C778" i="4"/>
  <c r="I777" i="6"/>
  <c r="I777" i="4"/>
  <c r="H776" i="6"/>
  <c r="H776" i="4"/>
  <c r="G775" i="6"/>
  <c r="G775" i="4"/>
  <c r="D774" i="6"/>
  <c r="D774" i="4"/>
  <c r="H772" i="6"/>
  <c r="H772" i="4"/>
  <c r="G770" i="6"/>
  <c r="G770" i="4"/>
  <c r="I771" i="6"/>
  <c r="I771" i="4"/>
  <c r="C768" i="6"/>
  <c r="C768" i="4"/>
  <c r="H766" i="6"/>
  <c r="H766" i="4"/>
  <c r="F765" i="6"/>
  <c r="F765" i="4"/>
  <c r="E764" i="6"/>
  <c r="E764" i="4"/>
  <c r="I763" i="6"/>
  <c r="I763" i="4"/>
  <c r="H762" i="6"/>
  <c r="H762" i="4"/>
  <c r="F758" i="6"/>
  <c r="F758" i="4"/>
  <c r="E755" i="6"/>
  <c r="E755" i="4"/>
  <c r="C757" i="6"/>
  <c r="C757" i="4"/>
  <c r="H761" i="6"/>
  <c r="H761" i="4"/>
  <c r="G759" i="6"/>
  <c r="G759" i="4"/>
  <c r="E760" i="6"/>
  <c r="E760" i="4"/>
  <c r="D756" i="6"/>
  <c r="D756" i="4"/>
  <c r="I754" i="6"/>
  <c r="I754" i="4"/>
  <c r="H753" i="6"/>
  <c r="H753" i="4"/>
  <c r="G752" i="6"/>
  <c r="G752" i="4"/>
  <c r="I751" i="6"/>
  <c r="I751" i="4"/>
  <c r="G750" i="6"/>
  <c r="G750" i="4"/>
  <c r="E749" i="6"/>
  <c r="E749" i="4"/>
  <c r="C748" i="6"/>
  <c r="C748" i="4"/>
  <c r="I746" i="6"/>
  <c r="I746" i="4"/>
  <c r="H745" i="6"/>
  <c r="H745" i="4"/>
  <c r="F744" i="6"/>
  <c r="F744" i="4"/>
  <c r="H742" i="6"/>
  <c r="H742" i="4"/>
  <c r="G741" i="6"/>
  <c r="G741" i="4"/>
  <c r="E740" i="6"/>
  <c r="E740" i="4"/>
  <c r="D739" i="6"/>
  <c r="D739" i="4"/>
  <c r="C738" i="6"/>
  <c r="C738" i="4"/>
  <c r="D1002" i="6"/>
  <c r="D1002" i="4"/>
  <c r="C1001" i="6"/>
  <c r="C1001" i="4"/>
  <c r="G1000" i="6"/>
  <c r="G1000" i="4"/>
  <c r="E999" i="6"/>
  <c r="E999" i="4"/>
  <c r="I998" i="6"/>
  <c r="I998" i="4"/>
  <c r="F997" i="6"/>
  <c r="F997" i="4"/>
  <c r="D996" i="6"/>
  <c r="D996" i="4"/>
  <c r="I995" i="6"/>
  <c r="I995" i="4"/>
  <c r="G994" i="6"/>
  <c r="G994" i="4"/>
  <c r="E993" i="6"/>
  <c r="E993" i="4"/>
  <c r="C992" i="6"/>
  <c r="C992" i="4"/>
  <c r="I990" i="6"/>
  <c r="I990" i="4"/>
  <c r="H991" i="6"/>
  <c r="H991" i="4"/>
  <c r="G989" i="6"/>
  <c r="G989" i="4"/>
  <c r="F988" i="6"/>
  <c r="F988" i="4"/>
  <c r="C986" i="6"/>
  <c r="C986" i="4"/>
  <c r="I984" i="6"/>
  <c r="I984" i="4"/>
  <c r="H985" i="6"/>
  <c r="H985" i="4"/>
  <c r="E983" i="6"/>
  <c r="E983" i="4"/>
  <c r="D982" i="6"/>
  <c r="D982" i="4"/>
  <c r="F981" i="6"/>
  <c r="F981" i="4"/>
  <c r="E980" i="6"/>
  <c r="E980" i="4"/>
  <c r="D979" i="6"/>
  <c r="D979" i="4"/>
  <c r="H978" i="6"/>
  <c r="H978" i="4"/>
  <c r="I975" i="6"/>
  <c r="I975" i="4"/>
  <c r="D974" i="6"/>
  <c r="D974" i="4"/>
  <c r="I973" i="6"/>
  <c r="I973" i="4"/>
  <c r="H972" i="6"/>
  <c r="H972" i="4"/>
  <c r="F971" i="6"/>
  <c r="F971" i="4"/>
  <c r="G969" i="6"/>
  <c r="G969" i="4"/>
  <c r="C968" i="6"/>
  <c r="C968" i="4"/>
  <c r="I967" i="6"/>
  <c r="I967" i="4"/>
  <c r="E966" i="6"/>
  <c r="E966" i="4"/>
  <c r="H965" i="6"/>
  <c r="H965" i="4"/>
  <c r="F963" i="6"/>
  <c r="F963" i="4"/>
  <c r="E962" i="6"/>
  <c r="E962" i="4"/>
  <c r="H960" i="6"/>
  <c r="H960" i="4"/>
  <c r="F959" i="6"/>
  <c r="F959" i="4"/>
  <c r="E958" i="6"/>
  <c r="E958" i="4"/>
  <c r="D957" i="6"/>
  <c r="D957" i="4"/>
  <c r="C956" i="6"/>
  <c r="C956" i="4"/>
  <c r="H954" i="6"/>
  <c r="H954" i="4"/>
  <c r="E953" i="6"/>
  <c r="E953" i="4"/>
  <c r="C952" i="6"/>
  <c r="C952" i="4"/>
  <c r="G950" i="6"/>
  <c r="G950" i="4"/>
  <c r="F951" i="6"/>
  <c r="F951" i="4"/>
  <c r="D949" i="6"/>
  <c r="D949" i="4"/>
  <c r="I947" i="6"/>
  <c r="I947" i="4"/>
  <c r="E946" i="6"/>
  <c r="E946" i="4"/>
  <c r="D945" i="6"/>
  <c r="D945" i="4"/>
  <c r="I944" i="6"/>
  <c r="I944" i="4"/>
  <c r="H943" i="6"/>
  <c r="H943" i="4"/>
  <c r="G942" i="6"/>
  <c r="G942" i="4"/>
  <c r="F941" i="6"/>
  <c r="F941" i="4"/>
  <c r="I940" i="6"/>
  <c r="I940" i="4"/>
  <c r="G939" i="6"/>
  <c r="G939" i="4"/>
  <c r="F938" i="6"/>
  <c r="F938" i="4"/>
  <c r="E937" i="6"/>
  <c r="E937" i="4"/>
  <c r="C936" i="6"/>
  <c r="C936" i="4"/>
  <c r="H934" i="6"/>
  <c r="H934" i="4"/>
  <c r="D933" i="6"/>
  <c r="D933" i="4"/>
  <c r="I931" i="6"/>
  <c r="I931" i="4"/>
  <c r="F930" i="6"/>
  <c r="F930" i="4"/>
  <c r="E929" i="6"/>
  <c r="E929" i="4"/>
  <c r="D928" i="6"/>
  <c r="D928" i="4"/>
  <c r="G927" i="6"/>
  <c r="G927" i="4"/>
  <c r="I925" i="6"/>
  <c r="I925" i="4"/>
  <c r="H924" i="6"/>
  <c r="H924" i="4"/>
  <c r="F923" i="6"/>
  <c r="F923" i="4"/>
  <c r="C922" i="6"/>
  <c r="C922" i="4"/>
  <c r="E921" i="6"/>
  <c r="E921" i="4"/>
  <c r="H920" i="6"/>
  <c r="H920" i="4"/>
  <c r="G919" i="6"/>
  <c r="G919" i="4"/>
  <c r="E918" i="6"/>
  <c r="E918" i="4"/>
  <c r="D917" i="6"/>
  <c r="D917" i="4"/>
  <c r="G916" i="6"/>
  <c r="G916" i="4"/>
  <c r="D915" i="6"/>
  <c r="D915" i="4"/>
  <c r="G914" i="6"/>
  <c r="G914" i="4"/>
  <c r="F913" i="6"/>
  <c r="F913" i="4"/>
  <c r="C912" i="6"/>
  <c r="C912" i="4"/>
  <c r="I911" i="6"/>
  <c r="I911" i="4"/>
  <c r="H910" i="6"/>
  <c r="H910" i="4"/>
  <c r="E909" i="6"/>
  <c r="E909" i="4"/>
  <c r="H907" i="6"/>
  <c r="H907" i="4"/>
  <c r="D906" i="6"/>
  <c r="D906" i="4"/>
  <c r="F905" i="6"/>
  <c r="F905" i="4"/>
  <c r="E904" i="6"/>
  <c r="E904" i="4"/>
  <c r="D903" i="6"/>
  <c r="D903" i="4"/>
  <c r="I902" i="6"/>
  <c r="I902" i="4"/>
  <c r="H901" i="6"/>
  <c r="H901" i="4"/>
  <c r="E900" i="6"/>
  <c r="E900" i="4"/>
  <c r="H899" i="6"/>
  <c r="H899" i="4"/>
  <c r="G897" i="6"/>
  <c r="G897" i="4"/>
  <c r="F898" i="6"/>
  <c r="F898" i="4"/>
  <c r="C896" i="6"/>
  <c r="C896" i="4"/>
  <c r="I892" i="6"/>
  <c r="I892" i="4"/>
  <c r="F890" i="6"/>
  <c r="F890" i="4"/>
  <c r="I891" i="6"/>
  <c r="I891" i="4"/>
  <c r="H889" i="6"/>
  <c r="H889" i="4"/>
  <c r="G893" i="6"/>
  <c r="G893" i="4"/>
  <c r="D888" i="6"/>
  <c r="D888" i="4"/>
  <c r="G886" i="6"/>
  <c r="G886" i="4"/>
  <c r="F885" i="6"/>
  <c r="F885" i="4"/>
  <c r="C884" i="6"/>
  <c r="C884" i="4"/>
  <c r="H883" i="6"/>
  <c r="H883" i="4"/>
  <c r="F882" i="6"/>
  <c r="F882" i="4"/>
  <c r="D881" i="6"/>
  <c r="D881" i="4"/>
  <c r="C880" i="6"/>
  <c r="C880" i="4"/>
  <c r="H879" i="6"/>
  <c r="H879" i="4"/>
  <c r="G878" i="6"/>
  <c r="G878" i="4"/>
  <c r="E877" i="6"/>
  <c r="E877" i="4"/>
  <c r="D876" i="6"/>
  <c r="D876" i="4"/>
  <c r="H875" i="6"/>
  <c r="H875" i="4"/>
  <c r="F873" i="6"/>
  <c r="F873" i="4"/>
  <c r="E874" i="6"/>
  <c r="E874" i="4"/>
  <c r="D872" i="6"/>
  <c r="D872" i="4"/>
  <c r="H871" i="6"/>
  <c r="H871" i="4"/>
  <c r="D870" i="6"/>
  <c r="D870" i="4"/>
  <c r="I869" i="6"/>
  <c r="I869" i="4"/>
  <c r="G868" i="6"/>
  <c r="G868" i="4"/>
  <c r="F867" i="6"/>
  <c r="F867" i="4"/>
  <c r="C866" i="6"/>
  <c r="C866" i="4"/>
  <c r="I863" i="6"/>
  <c r="I863" i="4"/>
  <c r="G862" i="6"/>
  <c r="G862" i="4"/>
  <c r="F861" i="6"/>
  <c r="F861" i="4"/>
  <c r="E860" i="6"/>
  <c r="E860" i="4"/>
  <c r="I858" i="6"/>
  <c r="I858" i="4"/>
  <c r="G855" i="6"/>
  <c r="G855" i="4"/>
  <c r="F856" i="6"/>
  <c r="F856" i="4"/>
  <c r="E854" i="6"/>
  <c r="E854" i="4"/>
  <c r="D857" i="6"/>
  <c r="D857" i="4"/>
  <c r="H849" i="6"/>
  <c r="H849" i="4"/>
  <c r="D852" i="6"/>
  <c r="D852" i="4"/>
  <c r="F850" i="6"/>
  <c r="F850" i="4"/>
  <c r="D848" i="6"/>
  <c r="D848" i="4"/>
  <c r="C847" i="6"/>
  <c r="C847" i="4"/>
  <c r="G846" i="6"/>
  <c r="G846" i="4"/>
  <c r="E845" i="6"/>
  <c r="E845" i="4"/>
  <c r="D844" i="6"/>
  <c r="D844" i="4"/>
  <c r="C843" i="6"/>
  <c r="C843" i="4"/>
  <c r="H841" i="6"/>
  <c r="H841" i="4"/>
  <c r="D840" i="6"/>
  <c r="D840" i="4"/>
  <c r="H839" i="6"/>
  <c r="H839" i="4"/>
  <c r="E838" i="6"/>
  <c r="E838" i="4"/>
  <c r="I837" i="6"/>
  <c r="I837" i="4"/>
  <c r="G836" i="6"/>
  <c r="G836" i="4"/>
  <c r="E835" i="6"/>
  <c r="E835" i="4"/>
  <c r="D834" i="6"/>
  <c r="D834" i="4"/>
  <c r="H833" i="6"/>
  <c r="H833" i="4"/>
  <c r="E832" i="6"/>
  <c r="E832" i="4"/>
  <c r="D829" i="6"/>
  <c r="D829" i="4"/>
  <c r="I831" i="6"/>
  <c r="I831" i="4"/>
  <c r="F828" i="6"/>
  <c r="F828" i="4"/>
  <c r="E830" i="6"/>
  <c r="E830" i="4"/>
  <c r="C827" i="6"/>
  <c r="C827" i="4"/>
  <c r="I825" i="6"/>
  <c r="I825" i="4"/>
  <c r="H824" i="6"/>
  <c r="H824" i="4"/>
  <c r="F823" i="6"/>
  <c r="F823" i="4"/>
  <c r="C822" i="6"/>
  <c r="C822" i="4"/>
  <c r="I821" i="6"/>
  <c r="I821" i="4"/>
  <c r="H820" i="6"/>
  <c r="H820" i="4"/>
  <c r="G818" i="6"/>
  <c r="G818" i="4"/>
  <c r="F819" i="6"/>
  <c r="F819" i="4"/>
  <c r="F817" i="6"/>
  <c r="F817" i="4"/>
  <c r="C816" i="6"/>
  <c r="C816" i="4"/>
  <c r="H814" i="6"/>
  <c r="H814" i="4"/>
  <c r="G813" i="6"/>
  <c r="G813" i="4"/>
  <c r="D812" i="6"/>
  <c r="D812" i="4"/>
  <c r="C811" i="6"/>
  <c r="C811" i="4"/>
  <c r="I810" i="6"/>
  <c r="I810" i="4"/>
  <c r="H809" i="6"/>
  <c r="H809" i="4"/>
  <c r="F808" i="6"/>
  <c r="F808" i="4"/>
  <c r="E807" i="6"/>
  <c r="E807" i="4"/>
  <c r="D806" i="6"/>
  <c r="D806" i="4"/>
  <c r="F805" i="6"/>
  <c r="F805" i="4"/>
  <c r="D804" i="6"/>
  <c r="D804" i="4"/>
  <c r="H803" i="6"/>
  <c r="H803" i="4"/>
  <c r="G802" i="6"/>
  <c r="G802" i="4"/>
  <c r="F800" i="6"/>
  <c r="F800" i="4"/>
  <c r="E799" i="6"/>
  <c r="E799" i="4"/>
  <c r="D798" i="6"/>
  <c r="D798" i="4"/>
  <c r="E796" i="6"/>
  <c r="E796" i="4"/>
  <c r="D795" i="6"/>
  <c r="D795" i="4"/>
  <c r="C794" i="6"/>
  <c r="C794" i="4"/>
  <c r="I792" i="6"/>
  <c r="I792" i="4"/>
  <c r="H791" i="6"/>
  <c r="H791" i="4"/>
  <c r="C790" i="6"/>
  <c r="C790" i="4"/>
  <c r="H787" i="6"/>
  <c r="H787" i="4"/>
  <c r="F786" i="6"/>
  <c r="F786" i="4"/>
  <c r="E785" i="6"/>
  <c r="E785" i="4"/>
  <c r="I784" i="6"/>
  <c r="I784" i="4"/>
  <c r="F783" i="6"/>
  <c r="F783" i="4"/>
  <c r="E782" i="6"/>
  <c r="E782" i="4"/>
  <c r="C781" i="6"/>
  <c r="C781" i="4"/>
  <c r="I788" i="6"/>
  <c r="I788" i="4"/>
  <c r="E779" i="6"/>
  <c r="E779" i="4"/>
  <c r="D778" i="6"/>
  <c r="D778" i="4"/>
  <c r="I776" i="6"/>
  <c r="I776" i="4"/>
  <c r="H775" i="6"/>
  <c r="H775" i="4"/>
  <c r="E774" i="6"/>
  <c r="E774" i="4"/>
  <c r="C773" i="6"/>
  <c r="C773" i="4"/>
  <c r="I772" i="6"/>
  <c r="I772" i="4"/>
  <c r="H770" i="6"/>
  <c r="H770" i="4"/>
  <c r="C769" i="6"/>
  <c r="C769" i="4"/>
  <c r="D768" i="6"/>
  <c r="D768" i="4"/>
  <c r="C767" i="6"/>
  <c r="C767" i="4"/>
  <c r="I766" i="6"/>
  <c r="I766" i="4"/>
  <c r="G1041" i="6"/>
  <c r="G1041" i="4"/>
  <c r="C1040" i="6"/>
  <c r="C1040" i="4"/>
  <c r="H1039" i="6"/>
  <c r="H1039" i="4"/>
  <c r="F1038" i="6"/>
  <c r="F1038" i="4"/>
  <c r="D1037" i="6"/>
  <c r="D1037" i="4"/>
  <c r="C1036" i="6"/>
  <c r="C1036" i="4"/>
  <c r="I1035" i="6"/>
  <c r="I1035" i="4"/>
  <c r="H1034" i="6"/>
  <c r="H1034" i="4"/>
  <c r="F1033" i="6"/>
  <c r="F1033" i="4"/>
  <c r="E1032" i="6"/>
  <c r="E1032" i="4"/>
  <c r="C1031" i="6"/>
  <c r="C1031" i="4"/>
  <c r="I1029" i="6"/>
  <c r="I1029" i="4"/>
  <c r="H1028" i="6"/>
  <c r="H1028" i="4"/>
  <c r="G1027" i="6"/>
  <c r="G1027" i="4"/>
  <c r="F1026" i="6"/>
  <c r="F1026" i="4"/>
  <c r="D1025" i="6"/>
  <c r="D1025" i="4"/>
  <c r="H1023" i="6"/>
  <c r="H1023" i="4"/>
  <c r="F1022" i="6"/>
  <c r="F1022" i="4"/>
  <c r="E1021" i="6"/>
  <c r="E1021" i="4"/>
  <c r="D1020" i="6"/>
  <c r="D1020" i="4"/>
  <c r="C1019" i="6"/>
  <c r="C1019" i="4"/>
  <c r="H1017" i="6"/>
  <c r="H1017" i="4"/>
  <c r="G1016" i="6"/>
  <c r="G1016" i="4"/>
  <c r="F1015" i="6"/>
  <c r="F1015" i="4"/>
  <c r="I1013" i="6"/>
  <c r="I1013" i="4"/>
  <c r="G1011" i="6"/>
  <c r="G1011" i="4"/>
  <c r="F1014" i="6"/>
  <c r="F1014" i="4"/>
  <c r="E1010" i="6"/>
  <c r="E1010" i="4"/>
  <c r="G1009" i="6"/>
  <c r="G1009" i="4"/>
  <c r="F1008" i="6"/>
  <c r="F1008" i="4"/>
  <c r="D1007" i="6"/>
  <c r="D1007" i="4"/>
  <c r="C1006" i="6"/>
  <c r="C1006" i="4"/>
  <c r="G1004" i="6"/>
  <c r="G1004" i="4"/>
  <c r="E1002" i="6"/>
  <c r="E1002" i="4"/>
  <c r="D1001" i="6"/>
  <c r="D1001" i="4"/>
  <c r="H1000" i="6"/>
  <c r="H1000" i="4"/>
  <c r="F999" i="6"/>
  <c r="F999" i="4"/>
  <c r="G997" i="6"/>
  <c r="G997" i="4"/>
  <c r="E996" i="6"/>
  <c r="E996" i="4"/>
  <c r="H994" i="6"/>
  <c r="H994" i="4"/>
  <c r="F993" i="6"/>
  <c r="F993" i="4"/>
  <c r="D992" i="6"/>
  <c r="D992" i="4"/>
  <c r="I991" i="6"/>
  <c r="I991" i="4"/>
  <c r="H989" i="6"/>
  <c r="H989" i="4"/>
  <c r="G988" i="6"/>
  <c r="G988" i="4"/>
  <c r="D986" i="6"/>
  <c r="D986" i="4"/>
  <c r="C987" i="6"/>
  <c r="C987" i="4"/>
  <c r="I985" i="6"/>
  <c r="I985" i="4"/>
  <c r="F983" i="6"/>
  <c r="F983" i="4"/>
  <c r="E982" i="6"/>
  <c r="E982" i="4"/>
  <c r="C977" i="6"/>
  <c r="C977" i="4"/>
  <c r="G981" i="6"/>
  <c r="G981" i="4"/>
  <c r="F980" i="6"/>
  <c r="F980" i="4"/>
  <c r="E979" i="6"/>
  <c r="E979" i="4"/>
  <c r="C976" i="6"/>
  <c r="C976" i="4"/>
  <c r="I978" i="6"/>
  <c r="I978" i="4"/>
  <c r="E974" i="6"/>
  <c r="E974" i="4"/>
  <c r="I972" i="6"/>
  <c r="I972" i="4"/>
  <c r="G971" i="6"/>
  <c r="G971" i="4"/>
  <c r="C970" i="6"/>
  <c r="C970" i="4"/>
  <c r="H969" i="6"/>
  <c r="H969" i="4"/>
  <c r="D968" i="6"/>
  <c r="D968" i="4"/>
  <c r="F966" i="6"/>
  <c r="F966" i="4"/>
  <c r="I965" i="6"/>
  <c r="I965" i="4"/>
  <c r="G963" i="6"/>
  <c r="G963" i="4"/>
  <c r="F962" i="6"/>
  <c r="F962" i="4"/>
  <c r="C961" i="6"/>
  <c r="C961" i="4"/>
  <c r="I960" i="6"/>
  <c r="I960" i="4"/>
  <c r="G959" i="6"/>
  <c r="G959" i="4"/>
  <c r="F958" i="6"/>
  <c r="F958" i="4"/>
  <c r="E957" i="6"/>
  <c r="E957" i="4"/>
  <c r="D956" i="6"/>
  <c r="D956" i="4"/>
  <c r="C955" i="6"/>
  <c r="C955" i="4"/>
  <c r="I954" i="6"/>
  <c r="I954" i="4"/>
  <c r="F953" i="6"/>
  <c r="F953" i="4"/>
  <c r="D952" i="6"/>
  <c r="D952" i="4"/>
  <c r="H950" i="6"/>
  <c r="H950" i="4"/>
  <c r="G951" i="6"/>
  <c r="G951" i="4"/>
  <c r="E949" i="6"/>
  <c r="E949" i="4"/>
  <c r="C948" i="6"/>
  <c r="C948" i="4"/>
  <c r="F946" i="6"/>
  <c r="F946" i="4"/>
  <c r="E945" i="6"/>
  <c r="E945" i="4"/>
  <c r="I943" i="6"/>
  <c r="I943" i="4"/>
  <c r="H942" i="6"/>
  <c r="H942" i="4"/>
  <c r="G941" i="6"/>
  <c r="G941" i="4"/>
  <c r="H939" i="6"/>
  <c r="H939" i="4"/>
  <c r="G938" i="6"/>
  <c r="G938" i="4"/>
  <c r="F937" i="6"/>
  <c r="F937" i="4"/>
  <c r="D936" i="6"/>
  <c r="D936" i="4"/>
  <c r="C935" i="6"/>
  <c r="C935" i="4"/>
  <c r="I934" i="6"/>
  <c r="I934" i="4"/>
  <c r="E933" i="6"/>
  <c r="E933" i="4"/>
  <c r="C932" i="6"/>
  <c r="C932" i="4"/>
  <c r="G930" i="6"/>
  <c r="G930" i="4"/>
  <c r="F929" i="6"/>
  <c r="F929" i="4"/>
  <c r="E928" i="6"/>
  <c r="E928" i="4"/>
  <c r="H927" i="6"/>
  <c r="H927" i="4"/>
  <c r="C926" i="6"/>
  <c r="C926" i="4"/>
  <c r="I924" i="6"/>
  <c r="I924" i="4"/>
  <c r="G923" i="6"/>
  <c r="G923" i="4"/>
  <c r="D922" i="6"/>
  <c r="D922" i="4"/>
  <c r="F921" i="6"/>
  <c r="F921" i="4"/>
  <c r="I920" i="6"/>
  <c r="I920" i="4"/>
  <c r="H919" i="6"/>
  <c r="H919" i="4"/>
  <c r="F918" i="6"/>
  <c r="F918" i="4"/>
  <c r="E917" i="6"/>
  <c r="E917" i="4"/>
  <c r="H916" i="6"/>
  <c r="H916" i="4"/>
  <c r="E915" i="6"/>
  <c r="E915" i="4"/>
  <c r="H914" i="6"/>
  <c r="H914" i="4"/>
  <c r="G913" i="6"/>
  <c r="G913" i="4"/>
  <c r="D912" i="6"/>
  <c r="D912" i="4"/>
  <c r="I910" i="6"/>
  <c r="I910" i="4"/>
  <c r="F909" i="6"/>
  <c r="F909" i="4"/>
  <c r="C908" i="6"/>
  <c r="C908" i="4"/>
  <c r="I907" i="6"/>
  <c r="I907" i="4"/>
  <c r="E906" i="6"/>
  <c r="E906" i="4"/>
  <c r="G905" i="6"/>
  <c r="G905" i="4"/>
  <c r="F904" i="6"/>
  <c r="F904" i="4"/>
  <c r="E903" i="6"/>
  <c r="E903" i="4"/>
  <c r="I901" i="6"/>
  <c r="I901" i="4"/>
  <c r="F900" i="6"/>
  <c r="F900" i="4"/>
  <c r="I899" i="6"/>
  <c r="I899" i="4"/>
  <c r="H897" i="6"/>
  <c r="H897" i="4"/>
  <c r="G898" i="6"/>
  <c r="G898" i="4"/>
  <c r="D896" i="6"/>
  <c r="D896" i="4"/>
  <c r="C895" i="6"/>
  <c r="C895" i="4"/>
  <c r="G890" i="6"/>
  <c r="G890" i="4"/>
  <c r="C894" i="6"/>
  <c r="C894" i="4"/>
  <c r="I889" i="6"/>
  <c r="I889" i="4"/>
  <c r="H893" i="6"/>
  <c r="H893" i="4"/>
  <c r="E888" i="6"/>
  <c r="E888" i="4"/>
  <c r="C887" i="6"/>
  <c r="C887" i="4"/>
  <c r="H886" i="6"/>
  <c r="H886" i="4"/>
  <c r="G885" i="6"/>
  <c r="G885" i="4"/>
  <c r="D884" i="6"/>
  <c r="D884" i="4"/>
  <c r="I883" i="6"/>
  <c r="I883" i="4"/>
  <c r="G882" i="6"/>
  <c r="G882" i="4"/>
  <c r="E881" i="6"/>
  <c r="E881" i="4"/>
  <c r="D880" i="6"/>
  <c r="D880" i="4"/>
  <c r="I879" i="6"/>
  <c r="I879" i="4"/>
  <c r="H878" i="6"/>
  <c r="H878" i="4"/>
  <c r="F877" i="6"/>
  <c r="F877" i="4"/>
  <c r="E876" i="6"/>
  <c r="E876" i="4"/>
  <c r="I875" i="6"/>
  <c r="I875" i="4"/>
  <c r="G873" i="6"/>
  <c r="G873" i="4"/>
  <c r="F874" i="6"/>
  <c r="F874" i="4"/>
  <c r="E872" i="6"/>
  <c r="E872" i="4"/>
  <c r="I871" i="6"/>
  <c r="I871" i="4"/>
  <c r="E870" i="6"/>
  <c r="E870" i="4"/>
  <c r="H868" i="6"/>
  <c r="H868" i="4"/>
  <c r="G867" i="6"/>
  <c r="G867" i="4"/>
  <c r="D866" i="6"/>
  <c r="D866" i="4"/>
  <c r="C865" i="6"/>
  <c r="C865" i="4"/>
  <c r="H862" i="6"/>
  <c r="H862" i="4"/>
  <c r="G861" i="6"/>
  <c r="G861" i="4"/>
  <c r="F860" i="6"/>
  <c r="F860" i="4"/>
  <c r="C859" i="6"/>
  <c r="C859" i="4"/>
  <c r="H855" i="6"/>
  <c r="H855" i="4"/>
  <c r="G856" i="6"/>
  <c r="G856" i="4"/>
  <c r="F854" i="6"/>
  <c r="F854" i="4"/>
  <c r="E857" i="6"/>
  <c r="E857" i="4"/>
  <c r="C853" i="6"/>
  <c r="C853" i="4"/>
  <c r="I849" i="6"/>
  <c r="I849" i="4"/>
  <c r="E852" i="6"/>
  <c r="E852" i="4"/>
  <c r="C851" i="6"/>
  <c r="C851" i="4"/>
  <c r="G850" i="6"/>
  <c r="G850" i="4"/>
  <c r="E848" i="6"/>
  <c r="E848" i="4"/>
  <c r="D847" i="6"/>
  <c r="D847" i="4"/>
  <c r="H846" i="6"/>
  <c r="H846" i="4"/>
  <c r="F845" i="6"/>
  <c r="F845" i="4"/>
  <c r="E844" i="6"/>
  <c r="E844" i="4"/>
  <c r="D843" i="6"/>
  <c r="D843" i="4"/>
  <c r="C842" i="6"/>
  <c r="C842" i="4"/>
  <c r="I841" i="6"/>
  <c r="I841" i="4"/>
  <c r="E840" i="6"/>
  <c r="E840" i="4"/>
  <c r="I839" i="6"/>
  <c r="I839" i="4"/>
  <c r="F838" i="6"/>
  <c r="F838" i="4"/>
  <c r="H836" i="6"/>
  <c r="H836" i="4"/>
  <c r="F835" i="6"/>
  <c r="F835" i="4"/>
  <c r="E834" i="6"/>
  <c r="E834" i="4"/>
  <c r="I833" i="6"/>
  <c r="I833" i="4"/>
  <c r="F832" i="6"/>
  <c r="F832" i="4"/>
  <c r="E829" i="6"/>
  <c r="E829" i="4"/>
  <c r="G828" i="6"/>
  <c r="G828" i="4"/>
  <c r="F830" i="6"/>
  <c r="F830" i="4"/>
  <c r="D827" i="6"/>
  <c r="D827" i="4"/>
  <c r="C826" i="6"/>
  <c r="C826" i="4"/>
  <c r="I824" i="6"/>
  <c r="I824" i="4"/>
  <c r="G823" i="6"/>
  <c r="G823" i="4"/>
  <c r="D822" i="6"/>
  <c r="D822" i="4"/>
  <c r="I820" i="6"/>
  <c r="I820" i="4"/>
  <c r="H818" i="6"/>
  <c r="H818" i="4"/>
  <c r="G819" i="6"/>
  <c r="G819" i="4"/>
  <c r="G817" i="6"/>
  <c r="G817" i="4"/>
  <c r="D816" i="6"/>
  <c r="D816" i="4"/>
  <c r="C815" i="6"/>
  <c r="C815" i="4"/>
  <c r="I814" i="6"/>
  <c r="I814" i="4"/>
  <c r="H813" i="6"/>
  <c r="H813" i="4"/>
  <c r="E812" i="6"/>
  <c r="E812" i="4"/>
  <c r="D811" i="6"/>
  <c r="D811" i="4"/>
  <c r="I809" i="6"/>
  <c r="I809" i="4"/>
  <c r="G808" i="6"/>
  <c r="G808" i="4"/>
  <c r="F807" i="6"/>
  <c r="F807" i="4"/>
  <c r="E806" i="6"/>
  <c r="E806" i="4"/>
  <c r="G805" i="6"/>
  <c r="G805" i="4"/>
  <c r="E804" i="6"/>
  <c r="E804" i="4"/>
  <c r="I803" i="6"/>
  <c r="I803" i="4"/>
  <c r="H802" i="6"/>
  <c r="H802" i="4"/>
  <c r="C801" i="6"/>
  <c r="C801" i="4"/>
  <c r="G800" i="6"/>
  <c r="G800" i="4"/>
  <c r="F799" i="6"/>
  <c r="F799" i="4"/>
  <c r="E798" i="6"/>
  <c r="E798" i="4"/>
  <c r="C797" i="6"/>
  <c r="C797" i="4"/>
  <c r="F796" i="6"/>
  <c r="F796" i="4"/>
  <c r="E795" i="6"/>
  <c r="E795" i="4"/>
  <c r="D794" i="6"/>
  <c r="D794" i="4"/>
  <c r="C793" i="6"/>
  <c r="C793" i="4"/>
  <c r="I791" i="6"/>
  <c r="I791" i="4"/>
  <c r="D790" i="6"/>
  <c r="D790" i="4"/>
  <c r="I787" i="6"/>
  <c r="I787" i="4"/>
  <c r="G786" i="6"/>
  <c r="G786" i="4"/>
  <c r="I846" i="6"/>
  <c r="I846" i="4"/>
  <c r="G845" i="6"/>
  <c r="G845" i="4"/>
  <c r="F844" i="6"/>
  <c r="F844" i="4"/>
  <c r="E843" i="6"/>
  <c r="E843" i="4"/>
  <c r="D842" i="6"/>
  <c r="D842" i="4"/>
  <c r="F840" i="6"/>
  <c r="F840" i="4"/>
  <c r="G838" i="6"/>
  <c r="G838" i="4"/>
  <c r="C837" i="6"/>
  <c r="C837" i="4"/>
  <c r="I836" i="6"/>
  <c r="I836" i="4"/>
  <c r="G835" i="6"/>
  <c r="G835" i="4"/>
  <c r="F834" i="6"/>
  <c r="F834" i="4"/>
  <c r="G832" i="6"/>
  <c r="G832" i="4"/>
  <c r="F829" i="6"/>
  <c r="F829" i="4"/>
  <c r="C831" i="6"/>
  <c r="C831" i="4"/>
  <c r="H828" i="6"/>
  <c r="H828" i="4"/>
  <c r="G830" i="6"/>
  <c r="G830" i="4"/>
  <c r="E827" i="6"/>
  <c r="E827" i="4"/>
  <c r="D826" i="6"/>
  <c r="D826" i="4"/>
  <c r="C825" i="6"/>
  <c r="C825" i="4"/>
  <c r="H823" i="6"/>
  <c r="H823" i="4"/>
  <c r="E822" i="6"/>
  <c r="E822" i="4"/>
  <c r="C821" i="6"/>
  <c r="C821" i="4"/>
  <c r="I818" i="6"/>
  <c r="I818" i="4"/>
  <c r="H819" i="6"/>
  <c r="H819" i="4"/>
  <c r="H817" i="6"/>
  <c r="H817" i="4"/>
  <c r="E816" i="6"/>
  <c r="E816" i="4"/>
  <c r="D815" i="6"/>
  <c r="D815" i="4"/>
  <c r="I813" i="6"/>
  <c r="I813" i="4"/>
  <c r="F812" i="6"/>
  <c r="F812" i="4"/>
  <c r="E811" i="6"/>
  <c r="E811" i="4"/>
  <c r="C810" i="6"/>
  <c r="C810" i="4"/>
  <c r="H808" i="6"/>
  <c r="H808" i="4"/>
  <c r="G807" i="6"/>
  <c r="G807" i="4"/>
  <c r="F806" i="6"/>
  <c r="F806" i="4"/>
  <c r="H805" i="6"/>
  <c r="H805" i="4"/>
  <c r="F804" i="6"/>
  <c r="F804" i="4"/>
  <c r="I802" i="6"/>
  <c r="I802" i="4"/>
  <c r="D801" i="6"/>
  <c r="D801" i="4"/>
  <c r="H800" i="6"/>
  <c r="H800" i="4"/>
  <c r="G799" i="6"/>
  <c r="G799" i="4"/>
  <c r="F798" i="6"/>
  <c r="F798" i="4"/>
  <c r="D797" i="6"/>
  <c r="D797" i="4"/>
  <c r="G796" i="6"/>
  <c r="G796" i="4"/>
  <c r="F795" i="6"/>
  <c r="F795" i="4"/>
  <c r="E794" i="6"/>
  <c r="E794" i="4"/>
  <c r="D793" i="6"/>
  <c r="D793" i="4"/>
  <c r="C792" i="6"/>
  <c r="C792" i="4"/>
  <c r="E790" i="6"/>
  <c r="E790" i="4"/>
  <c r="H786" i="6"/>
  <c r="H786" i="4"/>
  <c r="G785" i="6"/>
  <c r="G785" i="4"/>
  <c r="C784" i="6"/>
  <c r="C784" i="4"/>
  <c r="H783" i="6"/>
  <c r="H783" i="4"/>
  <c r="G782" i="6"/>
  <c r="G782" i="4"/>
  <c r="E781" i="6"/>
  <c r="E781" i="4"/>
  <c r="D789" i="6"/>
  <c r="D789" i="4"/>
  <c r="C788" i="6"/>
  <c r="C788" i="4"/>
  <c r="G779" i="6"/>
  <c r="G779" i="4"/>
  <c r="F778" i="6"/>
  <c r="F778" i="4"/>
  <c r="D777" i="6"/>
  <c r="D777" i="4"/>
  <c r="C776" i="6"/>
  <c r="C776" i="4"/>
  <c r="G774" i="6"/>
  <c r="G774" i="4"/>
  <c r="E773" i="6"/>
  <c r="E773" i="4"/>
  <c r="C772" i="6"/>
  <c r="C772" i="4"/>
  <c r="E769" i="6"/>
  <c r="E769" i="4"/>
  <c r="D771" i="6"/>
  <c r="D771" i="4"/>
  <c r="F768" i="6"/>
  <c r="F768" i="4"/>
  <c r="E767" i="6"/>
  <c r="E767" i="4"/>
  <c r="C766" i="6"/>
  <c r="C766" i="4"/>
  <c r="I765" i="6"/>
  <c r="I765" i="4"/>
  <c r="H764" i="6"/>
  <c r="H764" i="4"/>
  <c r="D763" i="6"/>
  <c r="D763" i="4"/>
  <c r="C762" i="6"/>
  <c r="C762" i="4"/>
  <c r="I758" i="6"/>
  <c r="I758" i="4"/>
  <c r="H755" i="6"/>
  <c r="H755" i="4"/>
  <c r="F757" i="6"/>
  <c r="F757" i="4"/>
  <c r="C761" i="6"/>
  <c r="C761" i="4"/>
  <c r="H760" i="6"/>
  <c r="H760" i="4"/>
  <c r="G756" i="6"/>
  <c r="G756" i="4"/>
  <c r="D754" i="6"/>
  <c r="D754" i="4"/>
  <c r="C753" i="6"/>
  <c r="C753" i="4"/>
  <c r="D751" i="6"/>
  <c r="D751" i="4"/>
  <c r="H749" i="6"/>
  <c r="H749" i="4"/>
  <c r="F748" i="6"/>
  <c r="F748" i="4"/>
  <c r="E747" i="6"/>
  <c r="E747" i="4"/>
  <c r="D746" i="6"/>
  <c r="D746" i="4"/>
  <c r="C745" i="6"/>
  <c r="C745" i="4"/>
  <c r="I744" i="6"/>
  <c r="I744" i="4"/>
  <c r="E743" i="6"/>
  <c r="E743" i="4"/>
  <c r="C742" i="6"/>
  <c r="C742" i="4"/>
  <c r="H740" i="6"/>
  <c r="H740" i="4"/>
  <c r="G739" i="6"/>
  <c r="G739" i="4"/>
  <c r="F738" i="6"/>
  <c r="F738" i="4"/>
  <c r="E737" i="6"/>
  <c r="E737" i="4"/>
  <c r="E735" i="6"/>
  <c r="E735" i="4"/>
  <c r="C734" i="6"/>
  <c r="C734" i="4"/>
  <c r="G733" i="6"/>
  <c r="G733" i="4"/>
  <c r="G732" i="6"/>
  <c r="G732" i="4"/>
  <c r="G730" i="6"/>
  <c r="G730" i="4"/>
  <c r="G731" i="6"/>
  <c r="G731" i="4"/>
  <c r="G729" i="6"/>
  <c r="G729" i="4"/>
  <c r="G728" i="6"/>
  <c r="G728" i="4"/>
  <c r="G727" i="6"/>
  <c r="G727" i="4"/>
  <c r="G726" i="6"/>
  <c r="G726" i="4"/>
  <c r="G725" i="6"/>
  <c r="G725" i="4"/>
  <c r="G724" i="6"/>
  <c r="G724" i="4"/>
  <c r="G723" i="6"/>
  <c r="G723" i="4"/>
  <c r="G722" i="6"/>
  <c r="G722" i="4"/>
  <c r="E668" i="6"/>
  <c r="E668" i="4"/>
  <c r="C667" i="6"/>
  <c r="C667" i="4"/>
  <c r="I664" i="6"/>
  <c r="I664" i="4"/>
  <c r="H663" i="6"/>
  <c r="H663" i="4"/>
  <c r="G662" i="6"/>
  <c r="G662" i="4"/>
  <c r="F660" i="6"/>
  <c r="F660" i="4"/>
  <c r="D661" i="6"/>
  <c r="D661" i="4"/>
  <c r="I659" i="6"/>
  <c r="I659" i="4"/>
  <c r="H658" i="6"/>
  <c r="H658" i="4"/>
  <c r="F657" i="6"/>
  <c r="F657" i="4"/>
  <c r="C656" i="6"/>
  <c r="C656" i="4"/>
  <c r="I655" i="6"/>
  <c r="I655" i="4"/>
  <c r="H654" i="6"/>
  <c r="H654" i="4"/>
  <c r="D653" i="6"/>
  <c r="D653" i="4"/>
  <c r="C652" i="6"/>
  <c r="C652" i="4"/>
  <c r="H650" i="6"/>
  <c r="H650" i="4"/>
  <c r="E649" i="6"/>
  <c r="E649" i="4"/>
  <c r="D648" i="6"/>
  <c r="D648" i="4"/>
  <c r="C647" i="6"/>
  <c r="C647" i="4"/>
  <c r="H646" i="6"/>
  <c r="H646" i="4"/>
  <c r="F645" i="6"/>
  <c r="F645" i="4"/>
  <c r="D644" i="6"/>
  <c r="D644" i="4"/>
  <c r="C643" i="6"/>
  <c r="C643" i="4"/>
  <c r="C642" i="6"/>
  <c r="C642" i="4"/>
  <c r="G641" i="6"/>
  <c r="G641" i="4"/>
  <c r="F640" i="6"/>
  <c r="F640" i="4"/>
  <c r="E639" i="6"/>
  <c r="E639" i="4"/>
  <c r="C638" i="6"/>
  <c r="C638" i="4"/>
  <c r="I637" i="6"/>
  <c r="I637" i="4"/>
  <c r="G636" i="6"/>
  <c r="G636" i="4"/>
  <c r="E634" i="6"/>
  <c r="E634" i="4"/>
  <c r="D635" i="6"/>
  <c r="D635" i="4"/>
  <c r="H632" i="6"/>
  <c r="H632" i="4"/>
  <c r="G631" i="6"/>
  <c r="G631" i="4"/>
  <c r="F630" i="6"/>
  <c r="F630" i="4"/>
  <c r="D629" i="6"/>
  <c r="D629" i="4"/>
  <c r="C626" i="6"/>
  <c r="C626" i="4"/>
  <c r="H628" i="6"/>
  <c r="H628" i="4"/>
  <c r="G627" i="6"/>
  <c r="G627" i="4"/>
  <c r="E623" i="6"/>
  <c r="E623" i="4"/>
  <c r="D624" i="6"/>
  <c r="D624" i="4"/>
  <c r="E621" i="6"/>
  <c r="E621" i="4"/>
  <c r="I620" i="6"/>
  <c r="I620" i="4"/>
  <c r="G618" i="6"/>
  <c r="G618" i="4"/>
  <c r="D617" i="6"/>
  <c r="D617" i="4"/>
  <c r="C616" i="6"/>
  <c r="C616" i="4"/>
  <c r="D614" i="6"/>
  <c r="D614" i="4"/>
  <c r="C612" i="6"/>
  <c r="C612" i="4"/>
  <c r="I610" i="6"/>
  <c r="I610" i="4"/>
  <c r="E609" i="6"/>
  <c r="E609" i="4"/>
  <c r="D608" i="6"/>
  <c r="D608" i="4"/>
  <c r="H607" i="6"/>
  <c r="H607" i="4"/>
  <c r="F606" i="6"/>
  <c r="F606" i="4"/>
  <c r="G604" i="6"/>
  <c r="G604" i="4"/>
  <c r="F603" i="6"/>
  <c r="F603" i="4"/>
  <c r="C602" i="6"/>
  <c r="C602" i="4"/>
  <c r="I601" i="6"/>
  <c r="I601" i="4"/>
  <c r="G600" i="6"/>
  <c r="G600" i="4"/>
  <c r="F599" i="6"/>
  <c r="F599" i="4"/>
  <c r="D598" i="6"/>
  <c r="D598" i="4"/>
  <c r="I596" i="6"/>
  <c r="I596" i="4"/>
  <c r="H597" i="6"/>
  <c r="H597" i="4"/>
  <c r="F594" i="6"/>
  <c r="F594" i="4"/>
  <c r="G593" i="6"/>
  <c r="G593" i="4"/>
  <c r="C595" i="6"/>
  <c r="C595" i="4"/>
  <c r="H591" i="6"/>
  <c r="H591" i="4"/>
  <c r="G590" i="6"/>
  <c r="G590" i="4"/>
  <c r="F589" i="6"/>
  <c r="F589" i="4"/>
  <c r="E587" i="6"/>
  <c r="E587" i="4"/>
  <c r="D588" i="6"/>
  <c r="D588" i="4"/>
  <c r="C586" i="6"/>
  <c r="C586" i="4"/>
  <c r="G585" i="6"/>
  <c r="G585" i="4"/>
  <c r="F584" i="6"/>
  <c r="F584" i="4"/>
  <c r="C583" i="6"/>
  <c r="C583" i="4"/>
  <c r="I581" i="6"/>
  <c r="I581" i="4"/>
  <c r="E580" i="6"/>
  <c r="E580" i="4"/>
  <c r="D579" i="6"/>
  <c r="D579" i="4"/>
  <c r="C578" i="6"/>
  <c r="C578" i="4"/>
  <c r="H576" i="6"/>
  <c r="H576" i="4"/>
  <c r="F575" i="6"/>
  <c r="F575" i="4"/>
  <c r="I574" i="6"/>
  <c r="I574" i="4"/>
  <c r="H573" i="6"/>
  <c r="H573" i="4"/>
  <c r="F572" i="6"/>
  <c r="F572" i="4"/>
  <c r="D570" i="6"/>
  <c r="D570" i="4"/>
  <c r="C569" i="6"/>
  <c r="C569" i="4"/>
  <c r="G567" i="6"/>
  <c r="G567" i="4"/>
  <c r="G566" i="6"/>
  <c r="G566" i="4"/>
  <c r="E565" i="6"/>
  <c r="E565" i="4"/>
  <c r="D564" i="6"/>
  <c r="D564" i="4"/>
  <c r="C563" i="6"/>
  <c r="C563" i="4"/>
  <c r="I561" i="6"/>
  <c r="I561" i="4"/>
  <c r="E560" i="6"/>
  <c r="E560" i="4"/>
  <c r="H558" i="6"/>
  <c r="H558" i="4"/>
  <c r="I557" i="6"/>
  <c r="I557" i="4"/>
  <c r="H556" i="6"/>
  <c r="H556" i="4"/>
  <c r="F555" i="6"/>
  <c r="F555" i="4"/>
  <c r="C554" i="6"/>
  <c r="C554" i="4"/>
  <c r="I553" i="6"/>
  <c r="I553" i="4"/>
  <c r="H552" i="6"/>
  <c r="H552" i="4"/>
  <c r="G551" i="6"/>
  <c r="G551" i="4"/>
  <c r="E550" i="6"/>
  <c r="E550" i="4"/>
  <c r="H549" i="6"/>
  <c r="H549" i="4"/>
  <c r="G548" i="6"/>
  <c r="G548" i="4"/>
  <c r="D547" i="6"/>
  <c r="D547" i="4"/>
  <c r="I545" i="6"/>
  <c r="I545" i="4"/>
  <c r="H543" i="6"/>
  <c r="H543" i="4"/>
  <c r="G544" i="6"/>
  <c r="G544" i="4"/>
  <c r="C542" i="6"/>
  <c r="C542" i="4"/>
  <c r="I540" i="6"/>
  <c r="I540" i="4"/>
  <c r="H541" i="6"/>
  <c r="H541" i="4"/>
  <c r="F539" i="6"/>
  <c r="F539" i="4"/>
  <c r="E538" i="6"/>
  <c r="E538" i="4"/>
  <c r="H537" i="6"/>
  <c r="H537" i="4"/>
  <c r="F536" i="6"/>
  <c r="F536" i="4"/>
  <c r="E535" i="6"/>
  <c r="E535" i="4"/>
  <c r="C534" i="6"/>
  <c r="C534" i="4"/>
  <c r="I533" i="6"/>
  <c r="I533" i="4"/>
  <c r="D532" i="6"/>
  <c r="D532" i="4"/>
  <c r="H530" i="6"/>
  <c r="H530" i="4"/>
  <c r="H528" i="6"/>
  <c r="H528" i="4"/>
  <c r="E527" i="6"/>
  <c r="E527" i="4"/>
  <c r="C520" i="6"/>
  <c r="C520" i="4"/>
  <c r="G525" i="6"/>
  <c r="G525" i="4"/>
  <c r="F524" i="6"/>
  <c r="F524" i="4"/>
  <c r="I523" i="6"/>
  <c r="I523" i="4"/>
  <c r="G522" i="6"/>
  <c r="G522" i="4"/>
  <c r="F521" i="6"/>
  <c r="F521" i="4"/>
  <c r="H518" i="6"/>
  <c r="H518" i="4"/>
  <c r="F519" i="6"/>
  <c r="F519" i="4"/>
  <c r="D517" i="6"/>
  <c r="D517" i="4"/>
  <c r="D516" i="6"/>
  <c r="D516" i="4"/>
  <c r="C515" i="6"/>
  <c r="C515" i="4"/>
  <c r="G514" i="6"/>
  <c r="G514" i="4"/>
  <c r="D513" i="6"/>
  <c r="D513" i="4"/>
  <c r="C512" i="6"/>
  <c r="C512" i="4"/>
  <c r="G510" i="6"/>
  <c r="G510" i="4"/>
  <c r="E511" i="6"/>
  <c r="E511" i="4"/>
  <c r="D509" i="6"/>
  <c r="D509" i="4"/>
  <c r="I508" i="6"/>
  <c r="I508" i="4"/>
  <c r="G507" i="6"/>
  <c r="G507" i="4"/>
  <c r="G502" i="6"/>
  <c r="G502" i="4"/>
  <c r="C500" i="6"/>
  <c r="C500" i="4"/>
  <c r="G498" i="6"/>
  <c r="G498" i="4"/>
  <c r="C497" i="6"/>
  <c r="C497" i="4"/>
  <c r="G496" i="6"/>
  <c r="G496" i="4"/>
  <c r="F495" i="6"/>
  <c r="F495" i="4"/>
  <c r="C493" i="6"/>
  <c r="C493" i="4"/>
  <c r="G492" i="6"/>
  <c r="G492" i="4"/>
  <c r="G490" i="6"/>
  <c r="G490" i="4"/>
  <c r="F489" i="6"/>
  <c r="F489" i="4"/>
  <c r="D488" i="6"/>
  <c r="D488" i="4"/>
  <c r="H487" i="6"/>
  <c r="H487" i="4"/>
  <c r="F486" i="6"/>
  <c r="F486" i="4"/>
  <c r="E485" i="6"/>
  <c r="E485" i="4"/>
  <c r="E482" i="6"/>
  <c r="E482" i="4"/>
  <c r="D483" i="6"/>
  <c r="D483" i="4"/>
  <c r="H480" i="6"/>
  <c r="H480" i="4"/>
  <c r="E481" i="6"/>
  <c r="E481" i="4"/>
  <c r="F478" i="6"/>
  <c r="F478" i="4"/>
  <c r="E477" i="6"/>
  <c r="E477" i="4"/>
  <c r="C476" i="6"/>
  <c r="C476" i="4"/>
  <c r="H474" i="6"/>
  <c r="H474" i="4"/>
  <c r="E473" i="6"/>
  <c r="E473" i="4"/>
  <c r="I471" i="6"/>
  <c r="I471" i="4"/>
  <c r="G470" i="6"/>
  <c r="G470" i="4"/>
  <c r="C469" i="6"/>
  <c r="C469" i="4"/>
  <c r="G467" i="6"/>
  <c r="G467" i="4"/>
  <c r="D465" i="6"/>
  <c r="D465" i="4"/>
  <c r="C466" i="6"/>
  <c r="C466" i="4"/>
  <c r="I464" i="6"/>
  <c r="I464" i="4"/>
  <c r="G463" i="6"/>
  <c r="G463" i="4"/>
  <c r="F462" i="6"/>
  <c r="F462" i="4"/>
  <c r="E461" i="6"/>
  <c r="E461" i="4"/>
  <c r="C460" i="6"/>
  <c r="C460" i="4"/>
  <c r="H459" i="6"/>
  <c r="H459" i="4"/>
  <c r="G458" i="6"/>
  <c r="G458" i="4"/>
  <c r="F457" i="6"/>
  <c r="F457" i="4"/>
  <c r="C456" i="6"/>
  <c r="C456" i="4"/>
  <c r="F454" i="6"/>
  <c r="F454" i="4"/>
  <c r="D453" i="6"/>
  <c r="D453" i="4"/>
  <c r="G451" i="6"/>
  <c r="G451" i="4"/>
  <c r="E450" i="6"/>
  <c r="E450" i="4"/>
  <c r="C449" i="6"/>
  <c r="C449" i="4"/>
  <c r="I447" i="6"/>
  <c r="I447" i="4"/>
  <c r="H446" i="6"/>
  <c r="H446" i="4"/>
  <c r="E445" i="6"/>
  <c r="E445" i="4"/>
  <c r="C444" i="6"/>
  <c r="C444" i="4"/>
  <c r="H442" i="6"/>
  <c r="H442" i="4"/>
  <c r="F443" i="6"/>
  <c r="F443" i="4"/>
  <c r="D441" i="6"/>
  <c r="D441" i="4"/>
  <c r="C438" i="6"/>
  <c r="C438" i="4"/>
  <c r="I439" i="6"/>
  <c r="I439" i="4"/>
  <c r="F437" i="6"/>
  <c r="F437" i="4"/>
  <c r="D436" i="6"/>
  <c r="D436" i="4"/>
  <c r="C435" i="6"/>
  <c r="C435" i="4"/>
  <c r="I433" i="6"/>
  <c r="I433" i="4"/>
  <c r="H432" i="6"/>
  <c r="H432" i="4"/>
  <c r="G431" i="6"/>
  <c r="G431" i="4"/>
  <c r="F430" i="6"/>
  <c r="F430" i="4"/>
  <c r="H429" i="6"/>
  <c r="H429" i="4"/>
  <c r="G428" i="6"/>
  <c r="G428" i="4"/>
  <c r="E427" i="6"/>
  <c r="E427" i="4"/>
  <c r="E766" i="6"/>
  <c r="E766" i="4"/>
  <c r="C765" i="6"/>
  <c r="C765" i="4"/>
  <c r="F763" i="6"/>
  <c r="F763" i="4"/>
  <c r="E762" i="6"/>
  <c r="E762" i="4"/>
  <c r="C758" i="6"/>
  <c r="C758" i="4"/>
  <c r="H757" i="6"/>
  <c r="H757" i="4"/>
  <c r="E761" i="6"/>
  <c r="E761" i="4"/>
  <c r="D759" i="6"/>
  <c r="D759" i="4"/>
  <c r="I756" i="6"/>
  <c r="I756" i="4"/>
  <c r="F754" i="6"/>
  <c r="F754" i="4"/>
  <c r="E753" i="6"/>
  <c r="E753" i="4"/>
  <c r="D752" i="6"/>
  <c r="D752" i="4"/>
  <c r="F751" i="6"/>
  <c r="F751" i="4"/>
  <c r="D750" i="6"/>
  <c r="D750" i="4"/>
  <c r="H748" i="6"/>
  <c r="H748" i="4"/>
  <c r="G747" i="6"/>
  <c r="G747" i="4"/>
  <c r="F746" i="6"/>
  <c r="F746" i="4"/>
  <c r="E745" i="6"/>
  <c r="E745" i="4"/>
  <c r="C744" i="6"/>
  <c r="C744" i="4"/>
  <c r="G743" i="6"/>
  <c r="G743" i="4"/>
  <c r="E742" i="6"/>
  <c r="E742" i="4"/>
  <c r="D741" i="6"/>
  <c r="D741" i="4"/>
  <c r="I739" i="6"/>
  <c r="I739" i="4"/>
  <c r="H738" i="6"/>
  <c r="H738" i="4"/>
  <c r="G737" i="6"/>
  <c r="G737" i="4"/>
  <c r="D736" i="6"/>
  <c r="D736" i="4"/>
  <c r="G735" i="6"/>
  <c r="G735" i="4"/>
  <c r="E734" i="6"/>
  <c r="E734" i="4"/>
  <c r="I733" i="6"/>
  <c r="I733" i="4"/>
  <c r="I732" i="6"/>
  <c r="I732" i="4"/>
  <c r="I730" i="6"/>
  <c r="I730" i="4"/>
  <c r="I731" i="6"/>
  <c r="I731" i="4"/>
  <c r="I729" i="6"/>
  <c r="I729" i="4"/>
  <c r="I728" i="6"/>
  <c r="I728" i="4"/>
  <c r="I727" i="6"/>
  <c r="I727" i="4"/>
  <c r="I726" i="6"/>
  <c r="I726" i="4"/>
  <c r="I725" i="6"/>
  <c r="I725" i="4"/>
  <c r="I724" i="6"/>
  <c r="I724" i="4"/>
  <c r="I723" i="6"/>
  <c r="I723" i="4"/>
  <c r="I722" i="6"/>
  <c r="I722" i="4"/>
  <c r="I721" i="6"/>
  <c r="I721" i="4"/>
  <c r="I720" i="6"/>
  <c r="I720" i="4"/>
  <c r="I719" i="6"/>
  <c r="I719" i="4"/>
  <c r="I718" i="6"/>
  <c r="I718" i="4"/>
  <c r="I716" i="6"/>
  <c r="I716" i="4"/>
  <c r="I715" i="6"/>
  <c r="I715" i="4"/>
  <c r="I717" i="6"/>
  <c r="I717" i="4"/>
  <c r="I714" i="6"/>
  <c r="I714" i="4"/>
  <c r="I713" i="6"/>
  <c r="I713" i="4"/>
  <c r="I712" i="6"/>
  <c r="I712" i="4"/>
  <c r="I711" i="6"/>
  <c r="I711" i="4"/>
  <c r="I710" i="6"/>
  <c r="I710" i="4"/>
  <c r="I709" i="6"/>
  <c r="I709" i="4"/>
  <c r="I708" i="6"/>
  <c r="I708" i="4"/>
  <c r="I707" i="6"/>
  <c r="I707" i="4"/>
  <c r="I706" i="6"/>
  <c r="I706" i="4"/>
  <c r="I705" i="6"/>
  <c r="I705" i="4"/>
  <c r="I704" i="6"/>
  <c r="I704" i="4"/>
  <c r="I703" i="6"/>
  <c r="I703" i="4"/>
  <c r="I702" i="6"/>
  <c r="I702" i="4"/>
  <c r="I701" i="6"/>
  <c r="I701" i="4"/>
  <c r="I700" i="6"/>
  <c r="I700" i="4"/>
  <c r="I699" i="6"/>
  <c r="I699" i="4"/>
  <c r="I698" i="6"/>
  <c r="I698" i="4"/>
  <c r="I696" i="6"/>
  <c r="I696" i="4"/>
  <c r="I695" i="6"/>
  <c r="I695" i="4"/>
  <c r="I694" i="6"/>
  <c r="I694" i="4"/>
  <c r="I693" i="6"/>
  <c r="I693" i="4"/>
  <c r="I692" i="6"/>
  <c r="I692" i="4"/>
  <c r="I691" i="6"/>
  <c r="I691" i="4"/>
  <c r="I690" i="6"/>
  <c r="I690" i="4"/>
  <c r="I689" i="6"/>
  <c r="I689" i="4"/>
  <c r="G688" i="6"/>
  <c r="G688" i="4"/>
  <c r="F687" i="6"/>
  <c r="F687" i="4"/>
  <c r="D686" i="6"/>
  <c r="D686" i="4"/>
  <c r="I684" i="6"/>
  <c r="I684" i="4"/>
  <c r="G683" i="6"/>
  <c r="G683" i="4"/>
  <c r="I681" i="6"/>
  <c r="I681" i="4"/>
  <c r="I680" i="6"/>
  <c r="I680" i="4"/>
  <c r="F678" i="6"/>
  <c r="F678" i="4"/>
  <c r="D677" i="6"/>
  <c r="D677" i="4"/>
  <c r="C676" i="6"/>
  <c r="C676" i="4"/>
  <c r="F675" i="6"/>
  <c r="F675" i="4"/>
  <c r="C674" i="6"/>
  <c r="C674" i="4"/>
  <c r="G673" i="6"/>
  <c r="G673" i="4"/>
  <c r="F672" i="6"/>
  <c r="F672" i="4"/>
  <c r="D671" i="6"/>
  <c r="D671" i="4"/>
  <c r="H669" i="6"/>
  <c r="H669" i="4"/>
  <c r="G666" i="6"/>
  <c r="G666" i="4"/>
  <c r="F668" i="6"/>
  <c r="F668" i="4"/>
  <c r="D667" i="6"/>
  <c r="D667" i="4"/>
  <c r="C665" i="6"/>
  <c r="C665" i="4"/>
  <c r="I663" i="6"/>
  <c r="I663" i="4"/>
  <c r="H662" i="6"/>
  <c r="H662" i="4"/>
  <c r="G660" i="6"/>
  <c r="G660" i="4"/>
  <c r="E661" i="6"/>
  <c r="E661" i="4"/>
  <c r="I658" i="6"/>
  <c r="I658" i="4"/>
  <c r="G657" i="6"/>
  <c r="G657" i="4"/>
  <c r="D656" i="6"/>
  <c r="D656" i="4"/>
  <c r="I654" i="6"/>
  <c r="I654" i="4"/>
  <c r="E653" i="6"/>
  <c r="E653" i="4"/>
  <c r="D652" i="6"/>
  <c r="D652" i="4"/>
  <c r="C651" i="6"/>
  <c r="C651" i="4"/>
  <c r="I650" i="6"/>
  <c r="I650" i="4"/>
  <c r="F649" i="6"/>
  <c r="F649" i="4"/>
  <c r="E648" i="6"/>
  <c r="E648" i="4"/>
  <c r="D647" i="6"/>
  <c r="D647" i="4"/>
  <c r="I646" i="6"/>
  <c r="I646" i="4"/>
  <c r="G645" i="6"/>
  <c r="G645" i="4"/>
  <c r="E644" i="6"/>
  <c r="E644" i="4"/>
  <c r="D643" i="6"/>
  <c r="D643" i="4"/>
  <c r="D642" i="6"/>
  <c r="D642" i="4"/>
  <c r="H641" i="6"/>
  <c r="H641" i="4"/>
  <c r="G640" i="6"/>
  <c r="G640" i="4"/>
  <c r="F639" i="6"/>
  <c r="F639" i="4"/>
  <c r="D638" i="6"/>
  <c r="D638" i="4"/>
  <c r="H636" i="6"/>
  <c r="H636" i="4"/>
  <c r="F634" i="6"/>
  <c r="F634" i="4"/>
  <c r="E635" i="6"/>
  <c r="E635" i="4"/>
  <c r="C633" i="6"/>
  <c r="C633" i="4"/>
  <c r="I632" i="6"/>
  <c r="I632" i="4"/>
  <c r="H631" i="6"/>
  <c r="H631" i="4"/>
  <c r="G630" i="6"/>
  <c r="G630" i="4"/>
  <c r="E629" i="6"/>
  <c r="E629" i="4"/>
  <c r="D626" i="6"/>
  <c r="D626" i="4"/>
  <c r="C625" i="6"/>
  <c r="C625" i="4"/>
  <c r="I628" i="6"/>
  <c r="I628" i="4"/>
  <c r="H627" i="6"/>
  <c r="H627" i="4"/>
  <c r="F623" i="6"/>
  <c r="F623" i="4"/>
  <c r="E624" i="6"/>
  <c r="E624" i="4"/>
  <c r="C622" i="6"/>
  <c r="C622" i="4"/>
  <c r="F621" i="6"/>
  <c r="F621" i="4"/>
  <c r="C619" i="6"/>
  <c r="C619" i="4"/>
  <c r="H618" i="6"/>
  <c r="H618" i="4"/>
  <c r="E617" i="6"/>
  <c r="E617" i="4"/>
  <c r="D616" i="6"/>
  <c r="D616" i="4"/>
  <c r="C615" i="6"/>
  <c r="C615" i="4"/>
  <c r="E614" i="6"/>
  <c r="E614" i="4"/>
  <c r="C613" i="6"/>
  <c r="C613" i="4"/>
  <c r="D612" i="6"/>
  <c r="D612" i="4"/>
  <c r="C611" i="6"/>
  <c r="C611" i="4"/>
  <c r="F609" i="6"/>
  <c r="F609" i="4"/>
  <c r="E608" i="6"/>
  <c r="E608" i="4"/>
  <c r="I607" i="6"/>
  <c r="I607" i="4"/>
  <c r="G606" i="6"/>
  <c r="G606" i="4"/>
  <c r="C605" i="6"/>
  <c r="C605" i="4"/>
  <c r="H604" i="6"/>
  <c r="H604" i="4"/>
  <c r="G603" i="6"/>
  <c r="G603" i="4"/>
  <c r="D602" i="6"/>
  <c r="D602" i="4"/>
  <c r="H600" i="6"/>
  <c r="H600" i="4"/>
  <c r="G599" i="6"/>
  <c r="G599" i="4"/>
  <c r="E598" i="6"/>
  <c r="E598" i="4"/>
  <c r="I597" i="6"/>
  <c r="I597" i="4"/>
  <c r="G594" i="6"/>
  <c r="G594" i="4"/>
  <c r="H593" i="6"/>
  <c r="H593" i="4"/>
  <c r="D595" i="6"/>
  <c r="D595" i="4"/>
  <c r="C592" i="6"/>
  <c r="C592" i="4"/>
  <c r="I591" i="6"/>
  <c r="I591" i="4"/>
  <c r="H590" i="6"/>
  <c r="H590" i="4"/>
  <c r="G589" i="6"/>
  <c r="G589" i="4"/>
  <c r="F587" i="6"/>
  <c r="F587" i="4"/>
  <c r="E588" i="6"/>
  <c r="E588" i="4"/>
  <c r="D586" i="6"/>
  <c r="D586" i="4"/>
  <c r="H585" i="6"/>
  <c r="H585" i="4"/>
  <c r="G584" i="6"/>
  <c r="G584" i="4"/>
  <c r="D583" i="6"/>
  <c r="D583" i="4"/>
  <c r="C582" i="6"/>
  <c r="C582" i="4"/>
  <c r="F580" i="6"/>
  <c r="F580" i="4"/>
  <c r="E579" i="6"/>
  <c r="E579" i="4"/>
  <c r="D578" i="6"/>
  <c r="D578" i="4"/>
  <c r="C577" i="6"/>
  <c r="C577" i="4"/>
  <c r="I576" i="6"/>
  <c r="I576" i="4"/>
  <c r="G575" i="6"/>
  <c r="G575" i="4"/>
  <c r="I573" i="6"/>
  <c r="I573" i="4"/>
  <c r="G572" i="6"/>
  <c r="G572" i="4"/>
  <c r="E570" i="6"/>
  <c r="E570" i="4"/>
  <c r="D569" i="6"/>
  <c r="D569" i="4"/>
  <c r="C568" i="6"/>
  <c r="C568" i="4"/>
  <c r="H567" i="6"/>
  <c r="H567" i="4"/>
  <c r="H566" i="6"/>
  <c r="H566" i="4"/>
  <c r="F565" i="6"/>
  <c r="F565" i="4"/>
  <c r="E564" i="6"/>
  <c r="E564" i="4"/>
  <c r="D563" i="6"/>
  <c r="D563" i="4"/>
  <c r="C562" i="6"/>
  <c r="C562" i="4"/>
  <c r="F560" i="6"/>
  <c r="F560" i="4"/>
  <c r="I558" i="6"/>
  <c r="I558" i="4"/>
  <c r="C559" i="6"/>
  <c r="C559" i="4"/>
  <c r="I556" i="6"/>
  <c r="I556" i="4"/>
  <c r="G555" i="6"/>
  <c r="G555" i="4"/>
  <c r="D554" i="6"/>
  <c r="D554" i="4"/>
  <c r="I552" i="6"/>
  <c r="I552" i="4"/>
  <c r="H551" i="6"/>
  <c r="H551" i="4"/>
  <c r="F550" i="6"/>
  <c r="F550" i="4"/>
  <c r="I549" i="6"/>
  <c r="I549" i="4"/>
  <c r="H548" i="6"/>
  <c r="H548" i="4"/>
  <c r="E547" i="6"/>
  <c r="E547" i="4"/>
  <c r="C546" i="6"/>
  <c r="C546" i="4"/>
  <c r="I543" i="6"/>
  <c r="I543" i="4"/>
  <c r="H544" i="6"/>
  <c r="H544" i="4"/>
  <c r="D542" i="6"/>
  <c r="D542" i="4"/>
  <c r="I541" i="6"/>
  <c r="I541" i="4"/>
  <c r="G539" i="6"/>
  <c r="G539" i="4"/>
  <c r="F538" i="6"/>
  <c r="F538" i="4"/>
  <c r="I537" i="6"/>
  <c r="I537" i="4"/>
  <c r="G536" i="6"/>
  <c r="G536" i="4"/>
  <c r="F535" i="6"/>
  <c r="F535" i="4"/>
  <c r="D534" i="6"/>
  <c r="D534" i="4"/>
  <c r="E532" i="6"/>
  <c r="E532" i="4"/>
  <c r="C529" i="6"/>
  <c r="C529" i="4"/>
  <c r="I530" i="6"/>
  <c r="I530" i="4"/>
  <c r="C531" i="6"/>
  <c r="C531" i="4"/>
  <c r="I528" i="6"/>
  <c r="I528" i="4"/>
  <c r="F527" i="6"/>
  <c r="F527" i="4"/>
  <c r="D520" i="6"/>
  <c r="D520" i="4"/>
  <c r="C526" i="6"/>
  <c r="C526" i="4"/>
  <c r="H525" i="6"/>
  <c r="H525" i="4"/>
  <c r="G524" i="6"/>
  <c r="G524" i="4"/>
  <c r="H522" i="6"/>
  <c r="H522" i="4"/>
  <c r="G521" i="6"/>
  <c r="G521" i="4"/>
  <c r="I518" i="6"/>
  <c r="I518" i="4"/>
  <c r="G519" i="6"/>
  <c r="G519" i="4"/>
  <c r="E517" i="6"/>
  <c r="E517" i="4"/>
  <c r="E516" i="6"/>
  <c r="E516" i="4"/>
  <c r="D515" i="6"/>
  <c r="D515" i="4"/>
  <c r="H514" i="6"/>
  <c r="H514" i="4"/>
  <c r="E513" i="6"/>
  <c r="E513" i="4"/>
  <c r="D512" i="6"/>
  <c r="D512" i="4"/>
  <c r="H510" i="6"/>
  <c r="H510" i="4"/>
  <c r="F511" i="6"/>
  <c r="F511" i="4"/>
  <c r="E509" i="6"/>
  <c r="E509" i="4"/>
  <c r="G506" i="6"/>
  <c r="G506" i="4"/>
  <c r="E505" i="6"/>
  <c r="E505" i="4"/>
  <c r="C504" i="6"/>
  <c r="C504" i="4"/>
  <c r="I503" i="6"/>
  <c r="I503" i="4"/>
  <c r="E501" i="6"/>
  <c r="E501" i="4"/>
  <c r="C499" i="6"/>
  <c r="C499" i="4"/>
  <c r="I748" i="6"/>
  <c r="I748" i="4"/>
  <c r="H747" i="6"/>
  <c r="H747" i="4"/>
  <c r="G746" i="6"/>
  <c r="G746" i="4"/>
  <c r="F745" i="6"/>
  <c r="F745" i="4"/>
  <c r="D744" i="6"/>
  <c r="D744" i="4"/>
  <c r="H743" i="6"/>
  <c r="H743" i="4"/>
  <c r="F742" i="6"/>
  <c r="F742" i="4"/>
  <c r="E741" i="6"/>
  <c r="E741" i="4"/>
  <c r="C740" i="6"/>
  <c r="C740" i="4"/>
  <c r="I738" i="6"/>
  <c r="I738" i="4"/>
  <c r="H737" i="6"/>
  <c r="H737" i="4"/>
  <c r="E736" i="6"/>
  <c r="E736" i="4"/>
  <c r="H735" i="6"/>
  <c r="H735" i="4"/>
  <c r="F734" i="6"/>
  <c r="F734" i="4"/>
  <c r="C733" i="6"/>
  <c r="C733" i="4"/>
  <c r="C732" i="6"/>
  <c r="C732" i="4"/>
  <c r="C730" i="6"/>
  <c r="C730" i="4"/>
  <c r="C731" i="6"/>
  <c r="C731" i="4"/>
  <c r="C729" i="6"/>
  <c r="C729" i="4"/>
  <c r="C728" i="6"/>
  <c r="C728" i="4"/>
  <c r="C727" i="6"/>
  <c r="C727" i="4"/>
  <c r="C726" i="6"/>
  <c r="C726" i="4"/>
  <c r="C725" i="6"/>
  <c r="C725" i="4"/>
  <c r="C724" i="6"/>
  <c r="C724" i="4"/>
  <c r="C723" i="6"/>
  <c r="C723" i="4"/>
  <c r="C722" i="6"/>
  <c r="C722" i="4"/>
  <c r="C721" i="6"/>
  <c r="C721" i="4"/>
  <c r="C720" i="6"/>
  <c r="C720" i="4"/>
  <c r="C719" i="6"/>
  <c r="C719" i="4"/>
  <c r="C718" i="6"/>
  <c r="C718" i="4"/>
  <c r="C716" i="6"/>
  <c r="C716" i="4"/>
  <c r="C715" i="6"/>
  <c r="C715" i="4"/>
  <c r="C717" i="6"/>
  <c r="C717" i="4"/>
  <c r="C714" i="6"/>
  <c r="C714" i="4"/>
  <c r="C713" i="6"/>
  <c r="C713" i="4"/>
  <c r="C712" i="6"/>
  <c r="C712" i="4"/>
  <c r="C711" i="6"/>
  <c r="C711" i="4"/>
  <c r="C710" i="6"/>
  <c r="C710" i="4"/>
  <c r="C709" i="6"/>
  <c r="C709" i="4"/>
  <c r="C708" i="6"/>
  <c r="C708" i="4"/>
  <c r="C707" i="6"/>
  <c r="C707" i="4"/>
  <c r="C706" i="6"/>
  <c r="C706" i="4"/>
  <c r="C705" i="6"/>
  <c r="C705" i="4"/>
  <c r="C704" i="6"/>
  <c r="C704" i="4"/>
  <c r="C703" i="6"/>
  <c r="C703" i="4"/>
  <c r="C702" i="6"/>
  <c r="C702" i="4"/>
  <c r="C701" i="6"/>
  <c r="C701" i="4"/>
  <c r="C700" i="6"/>
  <c r="C700" i="4"/>
  <c r="C699" i="6"/>
  <c r="C699" i="4"/>
  <c r="C698" i="6"/>
  <c r="C698" i="4"/>
  <c r="C696" i="6"/>
  <c r="C696" i="4"/>
  <c r="C695" i="6"/>
  <c r="C695" i="4"/>
  <c r="C694" i="6"/>
  <c r="C694" i="4"/>
  <c r="C693" i="6"/>
  <c r="C693" i="4"/>
  <c r="C692" i="6"/>
  <c r="C692" i="4"/>
  <c r="C691" i="6"/>
  <c r="C691" i="4"/>
  <c r="C690" i="6"/>
  <c r="C690" i="4"/>
  <c r="C689" i="6"/>
  <c r="C689" i="4"/>
  <c r="H688" i="6"/>
  <c r="H688" i="4"/>
  <c r="G687" i="6"/>
  <c r="G687" i="4"/>
  <c r="E686" i="6"/>
  <c r="E686" i="4"/>
  <c r="C685" i="6"/>
  <c r="C685" i="4"/>
  <c r="H683" i="6"/>
  <c r="H683" i="4"/>
  <c r="C682" i="6"/>
  <c r="C682" i="4"/>
  <c r="C679" i="6"/>
  <c r="C679" i="4"/>
  <c r="G678" i="6"/>
  <c r="G678" i="4"/>
  <c r="E677" i="6"/>
  <c r="E677" i="4"/>
  <c r="D676" i="6"/>
  <c r="D676" i="4"/>
  <c r="G675" i="6"/>
  <c r="G675" i="4"/>
  <c r="D674" i="6"/>
  <c r="D674" i="4"/>
  <c r="H673" i="6"/>
  <c r="H673" i="4"/>
  <c r="G672" i="6"/>
  <c r="G672" i="4"/>
  <c r="E671" i="6"/>
  <c r="E671" i="4"/>
  <c r="C670" i="6"/>
  <c r="C670" i="4"/>
  <c r="I669" i="6"/>
  <c r="I669" i="4"/>
  <c r="H666" i="6"/>
  <c r="H666" i="4"/>
  <c r="G668" i="6"/>
  <c r="G668" i="4"/>
  <c r="E667" i="6"/>
  <c r="E667" i="4"/>
  <c r="D665" i="6"/>
  <c r="D665" i="4"/>
  <c r="C664" i="6"/>
  <c r="C664" i="4"/>
  <c r="I662" i="6"/>
  <c r="I662" i="4"/>
  <c r="H660" i="6"/>
  <c r="H660" i="4"/>
  <c r="F661" i="6"/>
  <c r="F661" i="4"/>
  <c r="C659" i="6"/>
  <c r="C659" i="4"/>
  <c r="H657" i="6"/>
  <c r="H657" i="4"/>
  <c r="E656" i="6"/>
  <c r="E656" i="4"/>
  <c r="C655" i="6"/>
  <c r="C655" i="4"/>
  <c r="F653" i="6"/>
  <c r="F653" i="4"/>
  <c r="E652" i="6"/>
  <c r="E652" i="4"/>
  <c r="D651" i="6"/>
  <c r="D651" i="4"/>
  <c r="G649" i="6"/>
  <c r="G649" i="4"/>
  <c r="F648" i="6"/>
  <c r="F648" i="4"/>
  <c r="E647" i="6"/>
  <c r="E647" i="4"/>
  <c r="H645" i="6"/>
  <c r="H645" i="4"/>
  <c r="F644" i="6"/>
  <c r="F644" i="4"/>
  <c r="E643" i="6"/>
  <c r="E643" i="4"/>
  <c r="E642" i="6"/>
  <c r="E642" i="4"/>
  <c r="I641" i="6"/>
  <c r="I641" i="4"/>
  <c r="H640" i="6"/>
  <c r="H640" i="4"/>
  <c r="G639" i="6"/>
  <c r="G639" i="4"/>
  <c r="E638" i="6"/>
  <c r="E638" i="4"/>
  <c r="C637" i="6"/>
  <c r="C637" i="4"/>
  <c r="I636" i="6"/>
  <c r="I636" i="4"/>
  <c r="G634" i="6"/>
  <c r="G634" i="4"/>
  <c r="F635" i="6"/>
  <c r="F635" i="4"/>
  <c r="D633" i="6"/>
  <c r="D633" i="4"/>
  <c r="I631" i="6"/>
  <c r="I631" i="4"/>
  <c r="H630" i="6"/>
  <c r="H630" i="4"/>
  <c r="F629" i="6"/>
  <c r="F629" i="4"/>
  <c r="E626" i="6"/>
  <c r="E626" i="4"/>
  <c r="D625" i="6"/>
  <c r="D625" i="4"/>
  <c r="I627" i="6"/>
  <c r="I627" i="4"/>
  <c r="G623" i="6"/>
  <c r="G623" i="4"/>
  <c r="F624" i="6"/>
  <c r="F624" i="4"/>
  <c r="D622" i="6"/>
  <c r="D622" i="4"/>
  <c r="G621" i="6"/>
  <c r="G621" i="4"/>
  <c r="D619" i="6"/>
  <c r="D619" i="4"/>
  <c r="C620" i="6"/>
  <c r="C620" i="4"/>
  <c r="I618" i="6"/>
  <c r="I618" i="4"/>
  <c r="F617" i="6"/>
  <c r="F617" i="4"/>
  <c r="E616" i="6"/>
  <c r="E616" i="4"/>
  <c r="D615" i="6"/>
  <c r="D615" i="4"/>
  <c r="F614" i="6"/>
  <c r="F614" i="4"/>
  <c r="D613" i="6"/>
  <c r="D613" i="4"/>
  <c r="E612" i="6"/>
  <c r="E612" i="4"/>
  <c r="D611" i="6"/>
  <c r="D611" i="4"/>
  <c r="C610" i="6"/>
  <c r="C610" i="4"/>
  <c r="G609" i="6"/>
  <c r="G609" i="4"/>
  <c r="F608" i="6"/>
  <c r="F608" i="4"/>
  <c r="H606" i="6"/>
  <c r="H606" i="4"/>
  <c r="D605" i="6"/>
  <c r="D605" i="4"/>
  <c r="I604" i="6"/>
  <c r="I604" i="4"/>
  <c r="H603" i="6"/>
  <c r="H603" i="4"/>
  <c r="E602" i="6"/>
  <c r="E602" i="4"/>
  <c r="C601" i="6"/>
  <c r="C601" i="4"/>
  <c r="I600" i="6"/>
  <c r="I600" i="4"/>
  <c r="H599" i="6"/>
  <c r="H599" i="4"/>
  <c r="F598" i="6"/>
  <c r="F598" i="4"/>
  <c r="C596" i="6"/>
  <c r="C596" i="4"/>
  <c r="H594" i="6"/>
  <c r="H594" i="4"/>
  <c r="I593" i="6"/>
  <c r="I593" i="4"/>
  <c r="E595" i="6"/>
  <c r="E595" i="4"/>
  <c r="D592" i="6"/>
  <c r="D592" i="4"/>
  <c r="I590" i="6"/>
  <c r="I590" i="4"/>
  <c r="H589" i="6"/>
  <c r="H589" i="4"/>
  <c r="G587" i="6"/>
  <c r="G587" i="4"/>
  <c r="F588" i="6"/>
  <c r="F588" i="4"/>
  <c r="E586" i="6"/>
  <c r="E586" i="4"/>
  <c r="I585" i="6"/>
  <c r="I585" i="4"/>
  <c r="H584" i="6"/>
  <c r="H584" i="4"/>
  <c r="E583" i="6"/>
  <c r="E583" i="4"/>
  <c r="D582" i="6"/>
  <c r="D582" i="4"/>
  <c r="C581" i="6"/>
  <c r="C581" i="4"/>
  <c r="G580" i="6"/>
  <c r="G580" i="4"/>
  <c r="F579" i="6"/>
  <c r="F579" i="4"/>
  <c r="E578" i="6"/>
  <c r="E578" i="4"/>
  <c r="D577" i="6"/>
  <c r="D577" i="4"/>
  <c r="H575" i="6"/>
  <c r="H575" i="4"/>
  <c r="C574" i="6"/>
  <c r="C574" i="4"/>
  <c r="H572" i="6"/>
  <c r="H572" i="4"/>
  <c r="F570" i="6"/>
  <c r="F570" i="4"/>
  <c r="E569" i="6"/>
  <c r="E569" i="4"/>
  <c r="D568" i="6"/>
  <c r="D568" i="4"/>
  <c r="I567" i="6"/>
  <c r="I567" i="4"/>
  <c r="I566" i="6"/>
  <c r="I566" i="4"/>
  <c r="G565" i="6"/>
  <c r="G565" i="4"/>
  <c r="F564" i="6"/>
  <c r="F564" i="4"/>
  <c r="E563" i="6"/>
  <c r="E563" i="4"/>
  <c r="D562" i="6"/>
  <c r="D562" i="4"/>
  <c r="C561" i="6"/>
  <c r="C561" i="4"/>
  <c r="G560" i="6"/>
  <c r="G560" i="4"/>
  <c r="D559" i="6"/>
  <c r="D559" i="4"/>
  <c r="C557" i="6"/>
  <c r="C557" i="4"/>
  <c r="H555" i="6"/>
  <c r="H555" i="4"/>
  <c r="E554" i="6"/>
  <c r="E554" i="4"/>
  <c r="C553" i="6"/>
  <c r="C553" i="4"/>
  <c r="I551" i="6"/>
  <c r="I551" i="4"/>
  <c r="G550" i="6"/>
  <c r="G550" i="4"/>
  <c r="I548" i="6"/>
  <c r="I548" i="4"/>
  <c r="F547" i="6"/>
  <c r="F547" i="4"/>
  <c r="D546" i="6"/>
  <c r="D546" i="4"/>
  <c r="C545" i="6"/>
  <c r="C545" i="4"/>
  <c r="I544" i="6"/>
  <c r="I544" i="4"/>
  <c r="E542" i="6"/>
  <c r="E542" i="4"/>
  <c r="C540" i="6"/>
  <c r="C540" i="4"/>
  <c r="H539" i="6"/>
  <c r="H539" i="4"/>
  <c r="G538" i="6"/>
  <c r="G538" i="4"/>
  <c r="H536" i="6"/>
  <c r="H536" i="4"/>
  <c r="G535" i="6"/>
  <c r="G535" i="4"/>
  <c r="E534" i="6"/>
  <c r="E534" i="4"/>
  <c r="C533" i="6"/>
  <c r="C533" i="4"/>
  <c r="F532" i="6"/>
  <c r="F532" i="4"/>
  <c r="D529" i="6"/>
  <c r="D529" i="4"/>
  <c r="D531" i="6"/>
  <c r="D531" i="4"/>
  <c r="G527" i="6"/>
  <c r="G527" i="4"/>
  <c r="E520" i="6"/>
  <c r="E520" i="4"/>
  <c r="D526" i="6"/>
  <c r="D526" i="4"/>
  <c r="I525" i="6"/>
  <c r="I525" i="4"/>
  <c r="H524" i="6"/>
  <c r="H524" i="4"/>
  <c r="C523" i="6"/>
  <c r="C523" i="4"/>
  <c r="I522" i="6"/>
  <c r="I522" i="4"/>
  <c r="H521" i="6"/>
  <c r="H521" i="4"/>
  <c r="H519" i="6"/>
  <c r="H519" i="4"/>
  <c r="F517" i="6"/>
  <c r="F517" i="4"/>
  <c r="F516" i="6"/>
  <c r="F516" i="4"/>
  <c r="E515" i="6"/>
  <c r="E515" i="4"/>
  <c r="I514" i="6"/>
  <c r="I514" i="4"/>
  <c r="F513" i="6"/>
  <c r="F513" i="4"/>
  <c r="E512" i="6"/>
  <c r="E512" i="4"/>
  <c r="I510" i="6"/>
  <c r="I510" i="4"/>
  <c r="G511" i="6"/>
  <c r="G511" i="4"/>
  <c r="F509" i="6"/>
  <c r="F509" i="4"/>
  <c r="C508" i="6"/>
  <c r="C508" i="4"/>
  <c r="I507" i="6"/>
  <c r="I507" i="4"/>
  <c r="I502" i="6"/>
  <c r="I502" i="4"/>
  <c r="E500" i="6"/>
  <c r="E500" i="4"/>
  <c r="I498" i="6"/>
  <c r="I498" i="4"/>
  <c r="E497" i="6"/>
  <c r="E497" i="4"/>
  <c r="I496" i="6"/>
  <c r="I496" i="4"/>
  <c r="H495" i="6"/>
  <c r="H495" i="4"/>
  <c r="E493" i="6"/>
  <c r="E493" i="4"/>
  <c r="D494" i="6"/>
  <c r="D494" i="4"/>
  <c r="I492" i="6"/>
  <c r="I492" i="4"/>
  <c r="D491" i="6"/>
  <c r="D491" i="4"/>
  <c r="I490" i="6"/>
  <c r="I490" i="4"/>
  <c r="H489" i="6"/>
  <c r="H489" i="4"/>
  <c r="F488" i="6"/>
  <c r="F488" i="4"/>
  <c r="H486" i="6"/>
  <c r="H486" i="4"/>
  <c r="G784" i="6"/>
  <c r="G784" i="4"/>
  <c r="D783" i="6"/>
  <c r="D783" i="4"/>
  <c r="C782" i="6"/>
  <c r="C782" i="4"/>
  <c r="I781" i="6"/>
  <c r="I781" i="4"/>
  <c r="H789" i="6"/>
  <c r="H789" i="4"/>
  <c r="G788" i="6"/>
  <c r="G788" i="4"/>
  <c r="C779" i="6"/>
  <c r="C779" i="4"/>
  <c r="H777" i="6"/>
  <c r="H777" i="4"/>
  <c r="G776" i="6"/>
  <c r="G776" i="4"/>
  <c r="F775" i="6"/>
  <c r="F775" i="4"/>
  <c r="C774" i="6"/>
  <c r="C774" i="4"/>
  <c r="I773" i="6"/>
  <c r="I773" i="4"/>
  <c r="G772" i="6"/>
  <c r="G772" i="4"/>
  <c r="F770" i="6"/>
  <c r="F770" i="4"/>
  <c r="I769" i="6"/>
  <c r="I769" i="4"/>
  <c r="H771" i="6"/>
  <c r="H771" i="4"/>
  <c r="I767" i="6"/>
  <c r="I767" i="4"/>
  <c r="G766" i="6"/>
  <c r="G766" i="4"/>
  <c r="E765" i="6"/>
  <c r="E765" i="4"/>
  <c r="D764" i="6"/>
  <c r="D764" i="4"/>
  <c r="H763" i="6"/>
  <c r="H763" i="4"/>
  <c r="G762" i="6"/>
  <c r="G762" i="4"/>
  <c r="E758" i="6"/>
  <c r="E758" i="4"/>
  <c r="D755" i="6"/>
  <c r="D755" i="4"/>
  <c r="G761" i="6"/>
  <c r="G761" i="4"/>
  <c r="F759" i="6"/>
  <c r="F759" i="4"/>
  <c r="D760" i="6"/>
  <c r="D760" i="4"/>
  <c r="C756" i="6"/>
  <c r="C756" i="4"/>
  <c r="H754" i="6"/>
  <c r="H754" i="4"/>
  <c r="G753" i="6"/>
  <c r="G753" i="4"/>
  <c r="F752" i="6"/>
  <c r="F752" i="4"/>
  <c r="H751" i="6"/>
  <c r="H751" i="4"/>
  <c r="F750" i="6"/>
  <c r="F750" i="4"/>
  <c r="D749" i="6"/>
  <c r="D749" i="4"/>
  <c r="I747" i="6"/>
  <c r="I747" i="4"/>
  <c r="H746" i="6"/>
  <c r="H746" i="4"/>
  <c r="G745" i="6"/>
  <c r="G745" i="4"/>
  <c r="E744" i="6"/>
  <c r="E744" i="4"/>
  <c r="I743" i="6"/>
  <c r="I743" i="4"/>
  <c r="G742" i="6"/>
  <c r="G742" i="4"/>
  <c r="F741" i="6"/>
  <c r="F741" i="4"/>
  <c r="D740" i="6"/>
  <c r="D740" i="4"/>
  <c r="C739" i="6"/>
  <c r="C739" i="4"/>
  <c r="I737" i="6"/>
  <c r="I737" i="4"/>
  <c r="F736" i="6"/>
  <c r="F736" i="4"/>
  <c r="I735" i="6"/>
  <c r="I735" i="4"/>
  <c r="G734" i="6"/>
  <c r="G734" i="4"/>
  <c r="D733" i="6"/>
  <c r="D733" i="4"/>
  <c r="D732" i="6"/>
  <c r="D732" i="4"/>
  <c r="D730" i="6"/>
  <c r="D730" i="4"/>
  <c r="D731" i="6"/>
  <c r="D731" i="4"/>
  <c r="D729" i="6"/>
  <c r="D729" i="4"/>
  <c r="D728" i="6"/>
  <c r="D728" i="4"/>
  <c r="D727" i="6"/>
  <c r="D727" i="4"/>
  <c r="D726" i="6"/>
  <c r="D726" i="4"/>
  <c r="D725" i="6"/>
  <c r="D725" i="4"/>
  <c r="D724" i="6"/>
  <c r="D724" i="4"/>
  <c r="D723" i="6"/>
  <c r="D723" i="4"/>
  <c r="D722" i="6"/>
  <c r="D722" i="4"/>
  <c r="D721" i="6"/>
  <c r="D721" i="4"/>
  <c r="D720" i="6"/>
  <c r="D720" i="4"/>
  <c r="D719" i="6"/>
  <c r="D719" i="4"/>
  <c r="D718" i="6"/>
  <c r="D718" i="4"/>
  <c r="D716" i="6"/>
  <c r="D716" i="4"/>
  <c r="D715" i="6"/>
  <c r="D715" i="4"/>
  <c r="D717" i="6"/>
  <c r="D717" i="4"/>
  <c r="D714" i="6"/>
  <c r="D714" i="4"/>
  <c r="D713" i="6"/>
  <c r="D713" i="4"/>
  <c r="D712" i="6"/>
  <c r="D712" i="4"/>
  <c r="D711" i="6"/>
  <c r="D711" i="4"/>
  <c r="D710" i="6"/>
  <c r="D710" i="4"/>
  <c r="D709" i="6"/>
  <c r="D709" i="4"/>
  <c r="D708" i="6"/>
  <c r="D708" i="4"/>
  <c r="D707" i="6"/>
  <c r="D707" i="4"/>
  <c r="D706" i="6"/>
  <c r="D706" i="4"/>
  <c r="D705" i="6"/>
  <c r="D705" i="4"/>
  <c r="D704" i="6"/>
  <c r="D704" i="4"/>
  <c r="D703" i="6"/>
  <c r="D703" i="4"/>
  <c r="D702" i="6"/>
  <c r="D702" i="4"/>
  <c r="D701" i="6"/>
  <c r="D701" i="4"/>
  <c r="D700" i="6"/>
  <c r="D700" i="4"/>
  <c r="D699" i="6"/>
  <c r="D699" i="4"/>
  <c r="D698" i="6"/>
  <c r="D698" i="4"/>
  <c r="D696" i="6"/>
  <c r="D696" i="4"/>
  <c r="D695" i="6"/>
  <c r="D695" i="4"/>
  <c r="D694" i="6"/>
  <c r="D694" i="4"/>
  <c r="D693" i="6"/>
  <c r="D693" i="4"/>
  <c r="D692" i="6"/>
  <c r="D692" i="4"/>
  <c r="D691" i="6"/>
  <c r="D691" i="4"/>
  <c r="D690" i="6"/>
  <c r="D690" i="4"/>
  <c r="D689" i="6"/>
  <c r="D689" i="4"/>
  <c r="I688" i="6"/>
  <c r="I688" i="4"/>
  <c r="H687" i="6"/>
  <c r="H687" i="4"/>
  <c r="F686" i="6"/>
  <c r="F686" i="4"/>
  <c r="D685" i="6"/>
  <c r="D685" i="4"/>
  <c r="C684" i="6"/>
  <c r="C684" i="4"/>
  <c r="I683" i="6"/>
  <c r="I683" i="4"/>
  <c r="D682" i="6"/>
  <c r="D682" i="4"/>
  <c r="C681" i="6"/>
  <c r="C681" i="4"/>
  <c r="D679" i="6"/>
  <c r="D679" i="4"/>
  <c r="C680" i="6"/>
  <c r="C680" i="4"/>
  <c r="H678" i="6"/>
  <c r="H678" i="4"/>
  <c r="F677" i="6"/>
  <c r="F677" i="4"/>
  <c r="E676" i="6"/>
  <c r="E676" i="4"/>
  <c r="H675" i="6"/>
  <c r="H675" i="4"/>
  <c r="E674" i="6"/>
  <c r="E674" i="4"/>
  <c r="I673" i="6"/>
  <c r="I673" i="4"/>
  <c r="H672" i="6"/>
  <c r="H672" i="4"/>
  <c r="F671" i="6"/>
  <c r="F671" i="4"/>
  <c r="D670" i="6"/>
  <c r="D670" i="4"/>
  <c r="I666" i="6"/>
  <c r="I666" i="4"/>
  <c r="H668" i="6"/>
  <c r="H668" i="4"/>
  <c r="F667" i="6"/>
  <c r="F667" i="4"/>
  <c r="E665" i="6"/>
  <c r="E665" i="4"/>
  <c r="D664" i="6"/>
  <c r="D664" i="4"/>
  <c r="C663" i="6"/>
  <c r="C663" i="4"/>
  <c r="I660" i="6"/>
  <c r="I660" i="4"/>
  <c r="G661" i="6"/>
  <c r="G661" i="4"/>
  <c r="D659" i="6"/>
  <c r="D659" i="4"/>
  <c r="C658" i="6"/>
  <c r="C658" i="4"/>
  <c r="I657" i="6"/>
  <c r="I657" i="4"/>
  <c r="F656" i="6"/>
  <c r="F656" i="4"/>
  <c r="D655" i="6"/>
  <c r="D655" i="4"/>
  <c r="C654" i="6"/>
  <c r="C654" i="4"/>
  <c r="G653" i="6"/>
  <c r="G653" i="4"/>
  <c r="F652" i="6"/>
  <c r="F652" i="4"/>
  <c r="E651" i="6"/>
  <c r="E651" i="4"/>
  <c r="C650" i="6"/>
  <c r="C650" i="4"/>
  <c r="H649" i="6"/>
  <c r="H649" i="4"/>
  <c r="G648" i="6"/>
  <c r="G648" i="4"/>
  <c r="F647" i="6"/>
  <c r="F647" i="4"/>
  <c r="C646" i="6"/>
  <c r="C646" i="4"/>
  <c r="I645" i="6"/>
  <c r="I645" i="4"/>
  <c r="G644" i="6"/>
  <c r="G644" i="4"/>
  <c r="F643" i="6"/>
  <c r="F643" i="4"/>
  <c r="F642" i="6"/>
  <c r="F642" i="4"/>
  <c r="I640" i="6"/>
  <c r="I640" i="4"/>
  <c r="H639" i="6"/>
  <c r="H639" i="4"/>
  <c r="F638" i="6"/>
  <c r="F638" i="4"/>
  <c r="D637" i="6"/>
  <c r="D637" i="4"/>
  <c r="H634" i="6"/>
  <c r="H634" i="4"/>
  <c r="G635" i="6"/>
  <c r="G635" i="4"/>
  <c r="E633" i="6"/>
  <c r="E633" i="4"/>
  <c r="C632" i="6"/>
  <c r="C632" i="4"/>
  <c r="I630" i="6"/>
  <c r="I630" i="4"/>
  <c r="G629" i="6"/>
  <c r="G629" i="4"/>
  <c r="F626" i="6"/>
  <c r="F626" i="4"/>
  <c r="E625" i="6"/>
  <c r="E625" i="4"/>
  <c r="C628" i="6"/>
  <c r="C628" i="4"/>
  <c r="H623" i="6"/>
  <c r="H623" i="4"/>
  <c r="G624" i="6"/>
  <c r="G624" i="4"/>
  <c r="E622" i="6"/>
  <c r="E622" i="4"/>
  <c r="H621" i="6"/>
  <c r="H621" i="4"/>
  <c r="E619" i="6"/>
  <c r="E619" i="4"/>
  <c r="D620" i="6"/>
  <c r="D620" i="4"/>
  <c r="G617" i="6"/>
  <c r="G617" i="4"/>
  <c r="F616" i="6"/>
  <c r="F616" i="4"/>
  <c r="E615" i="6"/>
  <c r="E615" i="4"/>
  <c r="G614" i="6"/>
  <c r="G614" i="4"/>
  <c r="E613" i="6"/>
  <c r="E613" i="4"/>
  <c r="F612" i="6"/>
  <c r="F612" i="4"/>
  <c r="E611" i="6"/>
  <c r="E611" i="4"/>
  <c r="D610" i="6"/>
  <c r="D610" i="4"/>
  <c r="H609" i="6"/>
  <c r="H609" i="4"/>
  <c r="G608" i="6"/>
  <c r="G608" i="4"/>
  <c r="C607" i="6"/>
  <c r="C607" i="4"/>
  <c r="I606" i="6"/>
  <c r="I606" i="4"/>
  <c r="E605" i="6"/>
  <c r="E605" i="4"/>
  <c r="I603" i="6"/>
  <c r="I603" i="4"/>
  <c r="F602" i="6"/>
  <c r="F602" i="4"/>
  <c r="D601" i="6"/>
  <c r="D601" i="4"/>
  <c r="I599" i="6"/>
  <c r="I599" i="4"/>
  <c r="G598" i="6"/>
  <c r="G598" i="4"/>
  <c r="D596" i="6"/>
  <c r="D596" i="4"/>
  <c r="C597" i="6"/>
  <c r="C597" i="4"/>
  <c r="I594" i="6"/>
  <c r="I594" i="4"/>
  <c r="F595" i="6"/>
  <c r="F595" i="4"/>
  <c r="E592" i="6"/>
  <c r="E592" i="4"/>
  <c r="C591" i="6"/>
  <c r="C591" i="4"/>
  <c r="I589" i="6"/>
  <c r="I589" i="4"/>
  <c r="H587" i="6"/>
  <c r="H587" i="4"/>
  <c r="G588" i="6"/>
  <c r="G588" i="4"/>
  <c r="F586" i="6"/>
  <c r="F586" i="4"/>
  <c r="I584" i="6"/>
  <c r="I584" i="4"/>
  <c r="F583" i="6"/>
  <c r="F583" i="4"/>
  <c r="E582" i="6"/>
  <c r="E582" i="4"/>
  <c r="D581" i="6"/>
  <c r="D581" i="4"/>
  <c r="H580" i="6"/>
  <c r="H580" i="4"/>
  <c r="G579" i="6"/>
  <c r="G579" i="4"/>
  <c r="F578" i="6"/>
  <c r="F578" i="4"/>
  <c r="E577" i="6"/>
  <c r="E577" i="4"/>
  <c r="C576" i="6"/>
  <c r="C576" i="4"/>
  <c r="I575" i="6"/>
  <c r="I575" i="4"/>
  <c r="D574" i="6"/>
  <c r="D574" i="4"/>
  <c r="C573" i="6"/>
  <c r="C573" i="4"/>
  <c r="I572" i="6"/>
  <c r="I572" i="4"/>
  <c r="G570" i="6"/>
  <c r="G570" i="4"/>
  <c r="F569" i="6"/>
  <c r="F569" i="4"/>
  <c r="E568" i="6"/>
  <c r="E568" i="4"/>
  <c r="H565" i="6"/>
  <c r="H565" i="4"/>
  <c r="G564" i="6"/>
  <c r="G564" i="4"/>
  <c r="F563" i="6"/>
  <c r="F563" i="4"/>
  <c r="E562" i="6"/>
  <c r="E562" i="4"/>
  <c r="D561" i="6"/>
  <c r="D561" i="4"/>
  <c r="H560" i="6"/>
  <c r="H560" i="4"/>
  <c r="C558" i="6"/>
  <c r="C558" i="4"/>
  <c r="E559" i="6"/>
  <c r="E559" i="4"/>
  <c r="D557" i="6"/>
  <c r="D557" i="4"/>
  <c r="C556" i="6"/>
  <c r="C556" i="4"/>
  <c r="I555" i="6"/>
  <c r="I555" i="4"/>
  <c r="F554" i="6"/>
  <c r="F554" i="4"/>
  <c r="D553" i="6"/>
  <c r="D553" i="4"/>
  <c r="C552" i="6"/>
  <c r="C552" i="4"/>
  <c r="H550" i="6"/>
  <c r="H550" i="4"/>
  <c r="C549" i="6"/>
  <c r="C549" i="4"/>
  <c r="G547" i="6"/>
  <c r="G547" i="4"/>
  <c r="E546" i="6"/>
  <c r="E546" i="4"/>
  <c r="D545" i="6"/>
  <c r="D545" i="4"/>
  <c r="C543" i="6"/>
  <c r="C543" i="4"/>
  <c r="F542" i="6"/>
  <c r="F542" i="4"/>
  <c r="D540" i="6"/>
  <c r="D540" i="4"/>
  <c r="C541" i="6"/>
  <c r="C541" i="4"/>
  <c r="I539" i="6"/>
  <c r="I539" i="4"/>
  <c r="H538" i="6"/>
  <c r="H538" i="4"/>
  <c r="C537" i="6"/>
  <c r="C537" i="4"/>
  <c r="I536" i="6"/>
  <c r="I536" i="4"/>
  <c r="H535" i="6"/>
  <c r="H535" i="4"/>
  <c r="F534" i="6"/>
  <c r="F534" i="4"/>
  <c r="D533" i="6"/>
  <c r="D533" i="4"/>
  <c r="G532" i="6"/>
  <c r="G532" i="4"/>
  <c r="E529" i="6"/>
  <c r="E529" i="4"/>
  <c r="C530" i="6"/>
  <c r="C530" i="4"/>
  <c r="E531" i="6"/>
  <c r="E531" i="4"/>
  <c r="C528" i="6"/>
  <c r="C528" i="4"/>
  <c r="H527" i="6"/>
  <c r="H527" i="4"/>
  <c r="F520" i="6"/>
  <c r="F520" i="4"/>
  <c r="E526" i="6"/>
  <c r="E526" i="4"/>
  <c r="I524" i="6"/>
  <c r="I524" i="4"/>
  <c r="D523" i="6"/>
  <c r="D523" i="4"/>
  <c r="I521" i="6"/>
  <c r="I521" i="4"/>
  <c r="C518" i="6"/>
  <c r="C518" i="4"/>
  <c r="I519" i="6"/>
  <c r="I519" i="4"/>
  <c r="G517" i="6"/>
  <c r="G517" i="4"/>
  <c r="G516" i="6"/>
  <c r="G516" i="4"/>
  <c r="F515" i="6"/>
  <c r="F515" i="4"/>
  <c r="G513" i="6"/>
  <c r="G513" i="4"/>
  <c r="F512" i="6"/>
  <c r="F512" i="4"/>
  <c r="H511" i="6"/>
  <c r="H511" i="4"/>
  <c r="G509" i="6"/>
  <c r="G509" i="4"/>
  <c r="D508" i="6"/>
  <c r="D508" i="4"/>
  <c r="I506" i="6"/>
  <c r="I506" i="4"/>
  <c r="G505" i="6"/>
  <c r="G505" i="4"/>
  <c r="E504" i="6"/>
  <c r="E504" i="4"/>
  <c r="C503" i="6"/>
  <c r="C503" i="4"/>
  <c r="G501" i="6"/>
  <c r="G501" i="4"/>
  <c r="E499" i="6"/>
  <c r="E499" i="4"/>
  <c r="G736" i="6"/>
  <c r="G736" i="4"/>
  <c r="H734" i="6"/>
  <c r="H734" i="4"/>
  <c r="E733" i="6"/>
  <c r="E733" i="4"/>
  <c r="E732" i="6"/>
  <c r="E732" i="4"/>
  <c r="E730" i="6"/>
  <c r="E730" i="4"/>
  <c r="E731" i="6"/>
  <c r="E731" i="4"/>
  <c r="E729" i="6"/>
  <c r="E729" i="4"/>
  <c r="E728" i="6"/>
  <c r="E728" i="4"/>
  <c r="E727" i="6"/>
  <c r="E727" i="4"/>
  <c r="E726" i="6"/>
  <c r="E726" i="4"/>
  <c r="E725" i="6"/>
  <c r="E725" i="4"/>
  <c r="E724" i="6"/>
  <c r="E724" i="4"/>
  <c r="E723" i="6"/>
  <c r="E723" i="4"/>
  <c r="E722" i="6"/>
  <c r="E722" i="4"/>
  <c r="E721" i="6"/>
  <c r="E721" i="4"/>
  <c r="E720" i="6"/>
  <c r="E720" i="4"/>
  <c r="E719" i="6"/>
  <c r="E719" i="4"/>
  <c r="E718" i="6"/>
  <c r="E718" i="4"/>
  <c r="E716" i="6"/>
  <c r="E716" i="4"/>
  <c r="E715" i="6"/>
  <c r="E715" i="4"/>
  <c r="E717" i="6"/>
  <c r="E717" i="4"/>
  <c r="E714" i="6"/>
  <c r="E714" i="4"/>
  <c r="E713" i="6"/>
  <c r="E713" i="4"/>
  <c r="E712" i="6"/>
  <c r="E712" i="4"/>
  <c r="E711" i="6"/>
  <c r="E711" i="4"/>
  <c r="E710" i="6"/>
  <c r="E710" i="4"/>
  <c r="E709" i="6"/>
  <c r="E709" i="4"/>
  <c r="E708" i="6"/>
  <c r="E708" i="4"/>
  <c r="E707" i="6"/>
  <c r="E707" i="4"/>
  <c r="E706" i="6"/>
  <c r="E706" i="4"/>
  <c r="E705" i="6"/>
  <c r="E705" i="4"/>
  <c r="E704" i="6"/>
  <c r="E704" i="4"/>
  <c r="E703" i="6"/>
  <c r="E703" i="4"/>
  <c r="E702" i="6"/>
  <c r="E702" i="4"/>
  <c r="E701" i="6"/>
  <c r="E701" i="4"/>
  <c r="E700" i="6"/>
  <c r="E700" i="4"/>
  <c r="E699" i="6"/>
  <c r="E699" i="4"/>
  <c r="E698" i="6"/>
  <c r="E698" i="4"/>
  <c r="E696" i="6"/>
  <c r="E696" i="4"/>
  <c r="E695" i="6"/>
  <c r="E695" i="4"/>
  <c r="E694" i="6"/>
  <c r="E694" i="4"/>
  <c r="E693" i="6"/>
  <c r="E693" i="4"/>
  <c r="E692" i="6"/>
  <c r="E692" i="4"/>
  <c r="E691" i="6"/>
  <c r="E691" i="4"/>
  <c r="E690" i="6"/>
  <c r="E690" i="4"/>
  <c r="E689" i="6"/>
  <c r="E689" i="4"/>
  <c r="I687" i="6"/>
  <c r="I687" i="4"/>
  <c r="G686" i="6"/>
  <c r="G686" i="4"/>
  <c r="E685" i="6"/>
  <c r="E685" i="4"/>
  <c r="D684" i="6"/>
  <c r="D684" i="4"/>
  <c r="E682" i="6"/>
  <c r="E682" i="4"/>
  <c r="D681" i="6"/>
  <c r="D681" i="4"/>
  <c r="E679" i="6"/>
  <c r="E679" i="4"/>
  <c r="D680" i="6"/>
  <c r="D680" i="4"/>
  <c r="I678" i="6"/>
  <c r="I678" i="4"/>
  <c r="G677" i="6"/>
  <c r="G677" i="4"/>
  <c r="F676" i="6"/>
  <c r="F676" i="4"/>
  <c r="I675" i="6"/>
  <c r="I675" i="4"/>
  <c r="F674" i="6"/>
  <c r="F674" i="4"/>
  <c r="I672" i="6"/>
  <c r="I672" i="4"/>
  <c r="G671" i="6"/>
  <c r="G671" i="4"/>
  <c r="E670" i="6"/>
  <c r="E670" i="4"/>
  <c r="C669" i="6"/>
  <c r="C669" i="4"/>
  <c r="I668" i="6"/>
  <c r="I668" i="4"/>
  <c r="G667" i="6"/>
  <c r="G667" i="4"/>
  <c r="F665" i="6"/>
  <c r="F665" i="4"/>
  <c r="E664" i="6"/>
  <c r="E664" i="4"/>
  <c r="D663" i="6"/>
  <c r="D663" i="4"/>
  <c r="C662" i="6"/>
  <c r="C662" i="4"/>
  <c r="H661" i="6"/>
  <c r="H661" i="4"/>
  <c r="E659" i="6"/>
  <c r="E659" i="4"/>
  <c r="D658" i="6"/>
  <c r="D658" i="4"/>
  <c r="G656" i="6"/>
  <c r="G656" i="4"/>
  <c r="E655" i="6"/>
  <c r="E655" i="4"/>
  <c r="D654" i="6"/>
  <c r="D654" i="4"/>
  <c r="H653" i="6"/>
  <c r="H653" i="4"/>
  <c r="G652" i="6"/>
  <c r="G652" i="4"/>
  <c r="F651" i="6"/>
  <c r="F651" i="4"/>
  <c r="D650" i="6"/>
  <c r="D650" i="4"/>
  <c r="I649" i="6"/>
  <c r="I649" i="4"/>
  <c r="H648" i="6"/>
  <c r="H648" i="4"/>
  <c r="G647" i="6"/>
  <c r="G647" i="4"/>
  <c r="D646" i="6"/>
  <c r="D646" i="4"/>
  <c r="H644" i="6"/>
  <c r="H644" i="4"/>
  <c r="G643" i="6"/>
  <c r="G643" i="4"/>
  <c r="G642" i="6"/>
  <c r="G642" i="4"/>
  <c r="C641" i="6"/>
  <c r="C641" i="4"/>
  <c r="I639" i="6"/>
  <c r="I639" i="4"/>
  <c r="G638" i="6"/>
  <c r="G638" i="4"/>
  <c r="E637" i="6"/>
  <c r="E637" i="4"/>
  <c r="C636" i="6"/>
  <c r="C636" i="4"/>
  <c r="I634" i="6"/>
  <c r="I634" i="4"/>
  <c r="H635" i="6"/>
  <c r="H635" i="4"/>
  <c r="F633" i="6"/>
  <c r="F633" i="4"/>
  <c r="D632" i="6"/>
  <c r="D632" i="4"/>
  <c r="C631" i="6"/>
  <c r="C631" i="4"/>
  <c r="H629" i="6"/>
  <c r="H629" i="4"/>
  <c r="G626" i="6"/>
  <c r="G626" i="4"/>
  <c r="F625" i="6"/>
  <c r="F625" i="4"/>
  <c r="D628" i="6"/>
  <c r="D628" i="4"/>
  <c r="C627" i="6"/>
  <c r="C627" i="4"/>
  <c r="I623" i="6"/>
  <c r="I623" i="4"/>
  <c r="H624" i="6"/>
  <c r="H624" i="4"/>
  <c r="F622" i="6"/>
  <c r="F622" i="4"/>
  <c r="I621" i="6"/>
  <c r="I621" i="4"/>
  <c r="F619" i="6"/>
  <c r="F619" i="4"/>
  <c r="E620" i="6"/>
  <c r="E620" i="4"/>
  <c r="C618" i="6"/>
  <c r="C618" i="4"/>
  <c r="H617" i="6"/>
  <c r="H617" i="4"/>
  <c r="G616" i="6"/>
  <c r="G616" i="4"/>
  <c r="F615" i="6"/>
  <c r="F615" i="4"/>
  <c r="H614" i="6"/>
  <c r="H614" i="4"/>
  <c r="F613" i="6"/>
  <c r="F613" i="4"/>
  <c r="G612" i="6"/>
  <c r="G612" i="4"/>
  <c r="F611" i="6"/>
  <c r="F611" i="4"/>
  <c r="E610" i="6"/>
  <c r="E610" i="4"/>
  <c r="I609" i="6"/>
  <c r="I609" i="4"/>
  <c r="H608" i="6"/>
  <c r="H608" i="4"/>
  <c r="D607" i="6"/>
  <c r="D607" i="4"/>
  <c r="F605" i="6"/>
  <c r="F605" i="4"/>
  <c r="C604" i="6"/>
  <c r="C604" i="4"/>
  <c r="G602" i="6"/>
  <c r="G602" i="4"/>
  <c r="E601" i="6"/>
  <c r="E601" i="4"/>
  <c r="C600" i="6"/>
  <c r="C600" i="4"/>
  <c r="H598" i="6"/>
  <c r="H598" i="4"/>
  <c r="E596" i="6"/>
  <c r="E596" i="4"/>
  <c r="D597" i="6"/>
  <c r="D597" i="4"/>
  <c r="C593" i="6"/>
  <c r="C593" i="4"/>
  <c r="G595" i="6"/>
  <c r="G595" i="4"/>
  <c r="F592" i="6"/>
  <c r="F592" i="4"/>
  <c r="D591" i="6"/>
  <c r="D591" i="4"/>
  <c r="C590" i="6"/>
  <c r="C590" i="4"/>
  <c r="I587" i="6"/>
  <c r="I587" i="4"/>
  <c r="H588" i="6"/>
  <c r="H588" i="4"/>
  <c r="G586" i="6"/>
  <c r="G586" i="4"/>
  <c r="C585" i="6"/>
  <c r="C585" i="4"/>
  <c r="G583" i="6"/>
  <c r="G583" i="4"/>
  <c r="F582" i="6"/>
  <c r="F582" i="4"/>
  <c r="E581" i="6"/>
  <c r="E581" i="4"/>
  <c r="I580" i="6"/>
  <c r="I580" i="4"/>
  <c r="H579" i="6"/>
  <c r="H579" i="4"/>
  <c r="G578" i="6"/>
  <c r="G578" i="4"/>
  <c r="F577" i="6"/>
  <c r="F577" i="4"/>
  <c r="D576" i="6"/>
  <c r="D576" i="4"/>
  <c r="E574" i="6"/>
  <c r="E574" i="4"/>
  <c r="D573" i="6"/>
  <c r="D573" i="4"/>
  <c r="H570" i="6"/>
  <c r="H570" i="4"/>
  <c r="G569" i="6"/>
  <c r="G569" i="4"/>
  <c r="F568" i="6"/>
  <c r="F568" i="4"/>
  <c r="C567" i="6"/>
  <c r="C567" i="4"/>
  <c r="C566" i="6"/>
  <c r="C566" i="4"/>
  <c r="I565" i="6"/>
  <c r="I565" i="4"/>
  <c r="H564" i="6"/>
  <c r="H564" i="4"/>
  <c r="G563" i="6"/>
  <c r="G563" i="4"/>
  <c r="F562" i="6"/>
  <c r="F562" i="4"/>
  <c r="E561" i="6"/>
  <c r="E561" i="4"/>
  <c r="I560" i="6"/>
  <c r="I560" i="4"/>
  <c r="D558" i="6"/>
  <c r="D558" i="4"/>
  <c r="F559" i="6"/>
  <c r="F559" i="4"/>
  <c r="E557" i="6"/>
  <c r="E557" i="4"/>
  <c r="D556" i="6"/>
  <c r="D556" i="4"/>
  <c r="G554" i="6"/>
  <c r="G554" i="4"/>
  <c r="E553" i="6"/>
  <c r="E553" i="4"/>
  <c r="D552" i="6"/>
  <c r="D552" i="4"/>
  <c r="C551" i="6"/>
  <c r="C551" i="4"/>
  <c r="I550" i="6"/>
  <c r="I550" i="4"/>
  <c r="D549" i="6"/>
  <c r="D549" i="4"/>
  <c r="C548" i="6"/>
  <c r="C548" i="4"/>
  <c r="H547" i="6"/>
  <c r="H547" i="4"/>
  <c r="F546" i="6"/>
  <c r="F546" i="4"/>
  <c r="E545" i="6"/>
  <c r="E545" i="4"/>
  <c r="D543" i="6"/>
  <c r="D543" i="4"/>
  <c r="C544" i="6"/>
  <c r="C544" i="4"/>
  <c r="G542" i="6"/>
  <c r="G542" i="4"/>
  <c r="E540" i="6"/>
  <c r="E540" i="4"/>
  <c r="D541" i="6"/>
  <c r="D541" i="4"/>
  <c r="I538" i="6"/>
  <c r="I538" i="4"/>
  <c r="D537" i="6"/>
  <c r="D537" i="4"/>
  <c r="I535" i="6"/>
  <c r="I535" i="4"/>
  <c r="G534" i="6"/>
  <c r="G534" i="4"/>
  <c r="E533" i="6"/>
  <c r="E533" i="4"/>
  <c r="H532" i="6"/>
  <c r="H532" i="4"/>
  <c r="F529" i="6"/>
  <c r="F529" i="4"/>
  <c r="D530" i="6"/>
  <c r="D530" i="4"/>
  <c r="F531" i="6"/>
  <c r="F531" i="4"/>
  <c r="D528" i="6"/>
  <c r="D528" i="4"/>
  <c r="I527" i="6"/>
  <c r="I527" i="4"/>
  <c r="G520" i="6"/>
  <c r="G520" i="4"/>
  <c r="F526" i="6"/>
  <c r="F526" i="4"/>
  <c r="C525" i="6"/>
  <c r="C525" i="4"/>
  <c r="E523" i="6"/>
  <c r="E523" i="4"/>
  <c r="C522" i="6"/>
  <c r="C522" i="4"/>
  <c r="D518" i="6"/>
  <c r="D518" i="4"/>
  <c r="H517" i="6"/>
  <c r="H517" i="4"/>
  <c r="H516" i="6"/>
  <c r="H516" i="4"/>
  <c r="G515" i="6"/>
  <c r="G515" i="4"/>
  <c r="C514" i="6"/>
  <c r="C514" i="4"/>
  <c r="H513" i="6"/>
  <c r="H513" i="4"/>
  <c r="G512" i="6"/>
  <c r="G512" i="4"/>
  <c r="C510" i="6"/>
  <c r="C510" i="4"/>
  <c r="I511" i="6"/>
  <c r="I511" i="4"/>
  <c r="H509" i="6"/>
  <c r="H509" i="4"/>
  <c r="E508" i="6"/>
  <c r="E508" i="4"/>
  <c r="C507" i="6"/>
  <c r="C507" i="4"/>
  <c r="C502" i="6"/>
  <c r="C502" i="4"/>
  <c r="G500" i="6"/>
  <c r="G500" i="4"/>
  <c r="C498" i="6"/>
  <c r="C498" i="4"/>
  <c r="G497" i="6"/>
  <c r="G497" i="4"/>
  <c r="C496" i="6"/>
  <c r="C496" i="4"/>
  <c r="G493" i="6"/>
  <c r="G493" i="4"/>
  <c r="F494" i="6"/>
  <c r="F494" i="4"/>
  <c r="C492" i="6"/>
  <c r="C492" i="4"/>
  <c r="F491" i="6"/>
  <c r="F491" i="4"/>
  <c r="C490" i="6"/>
  <c r="C490" i="4"/>
  <c r="G765" i="6"/>
  <c r="G765" i="4"/>
  <c r="F764" i="6"/>
  <c r="F764" i="4"/>
  <c r="I762" i="6"/>
  <c r="I762" i="4"/>
  <c r="G758" i="6"/>
  <c r="G758" i="4"/>
  <c r="F755" i="6"/>
  <c r="F755" i="4"/>
  <c r="D757" i="6"/>
  <c r="D757" i="4"/>
  <c r="I761" i="6"/>
  <c r="I761" i="4"/>
  <c r="H759" i="6"/>
  <c r="H759" i="4"/>
  <c r="F760" i="6"/>
  <c r="F760" i="4"/>
  <c r="E756" i="6"/>
  <c r="E756" i="4"/>
  <c r="I753" i="6"/>
  <c r="I753" i="4"/>
  <c r="H752" i="6"/>
  <c r="H752" i="4"/>
  <c r="H750" i="6"/>
  <c r="H750" i="4"/>
  <c r="F749" i="6"/>
  <c r="F749" i="4"/>
  <c r="D748" i="6"/>
  <c r="D748" i="4"/>
  <c r="C747" i="6"/>
  <c r="C747" i="4"/>
  <c r="I745" i="6"/>
  <c r="I745" i="4"/>
  <c r="G744" i="6"/>
  <c r="G744" i="4"/>
  <c r="C743" i="6"/>
  <c r="C743" i="4"/>
  <c r="I742" i="6"/>
  <c r="I742" i="4"/>
  <c r="H741" i="6"/>
  <c r="H741" i="4"/>
  <c r="F740" i="6"/>
  <c r="F740" i="4"/>
  <c r="E739" i="6"/>
  <c r="E739" i="4"/>
  <c r="D738" i="6"/>
  <c r="D738" i="4"/>
  <c r="C737" i="6"/>
  <c r="C737" i="4"/>
  <c r="H736" i="6"/>
  <c r="H736" i="4"/>
  <c r="C735" i="6"/>
  <c r="C735" i="4"/>
  <c r="I734" i="6"/>
  <c r="I734" i="4"/>
  <c r="F733" i="6"/>
  <c r="F733" i="4"/>
  <c r="F732" i="6"/>
  <c r="F732" i="4"/>
  <c r="F730" i="6"/>
  <c r="F730" i="4"/>
  <c r="F731" i="6"/>
  <c r="F731" i="4"/>
  <c r="F729" i="6"/>
  <c r="F729" i="4"/>
  <c r="F728" i="6"/>
  <c r="F728" i="4"/>
  <c r="F727" i="6"/>
  <c r="F727" i="4"/>
  <c r="F726" i="6"/>
  <c r="F726" i="4"/>
  <c r="F725" i="6"/>
  <c r="F725" i="4"/>
  <c r="F724" i="6"/>
  <c r="F724" i="4"/>
  <c r="F723" i="6"/>
  <c r="F723" i="4"/>
  <c r="F722" i="6"/>
  <c r="F722" i="4"/>
  <c r="F721" i="6"/>
  <c r="F721" i="4"/>
  <c r="F720" i="6"/>
  <c r="F720" i="4"/>
  <c r="F719" i="6"/>
  <c r="F719" i="4"/>
  <c r="F718" i="6"/>
  <c r="F718" i="4"/>
  <c r="F716" i="6"/>
  <c r="F716" i="4"/>
  <c r="F715" i="6"/>
  <c r="F715" i="4"/>
  <c r="F717" i="6"/>
  <c r="F717" i="4"/>
  <c r="F714" i="6"/>
  <c r="F714" i="4"/>
  <c r="F713" i="6"/>
  <c r="F713" i="4"/>
  <c r="F712" i="6"/>
  <c r="F712" i="4"/>
  <c r="F711" i="6"/>
  <c r="F711" i="4"/>
  <c r="F710" i="6"/>
  <c r="F710" i="4"/>
  <c r="F709" i="6"/>
  <c r="F709" i="4"/>
  <c r="F708" i="6"/>
  <c r="F708" i="4"/>
  <c r="F707" i="6"/>
  <c r="F707" i="4"/>
  <c r="F706" i="6"/>
  <c r="F706" i="4"/>
  <c r="F705" i="6"/>
  <c r="F705" i="4"/>
  <c r="F704" i="6"/>
  <c r="F704" i="4"/>
  <c r="F703" i="6"/>
  <c r="F703" i="4"/>
  <c r="F702" i="6"/>
  <c r="F702" i="4"/>
  <c r="F701" i="6"/>
  <c r="F701" i="4"/>
  <c r="F700" i="6"/>
  <c r="F700" i="4"/>
  <c r="F699" i="6"/>
  <c r="F699" i="4"/>
  <c r="F698" i="6"/>
  <c r="F698" i="4"/>
  <c r="F696" i="6"/>
  <c r="F696" i="4"/>
  <c r="F695" i="6"/>
  <c r="F695" i="4"/>
  <c r="F694" i="6"/>
  <c r="F694" i="4"/>
  <c r="F693" i="6"/>
  <c r="F693" i="4"/>
  <c r="F692" i="6"/>
  <c r="F692" i="4"/>
  <c r="F691" i="6"/>
  <c r="F691" i="4"/>
  <c r="F690" i="6"/>
  <c r="F690" i="4"/>
  <c r="F689" i="6"/>
  <c r="F689" i="4"/>
  <c r="C688" i="6"/>
  <c r="C688" i="4"/>
  <c r="H686" i="6"/>
  <c r="H686" i="4"/>
  <c r="F685" i="6"/>
  <c r="F685" i="4"/>
  <c r="E684" i="6"/>
  <c r="E684" i="4"/>
  <c r="C683" i="6"/>
  <c r="C683" i="4"/>
  <c r="F682" i="6"/>
  <c r="F682" i="4"/>
  <c r="E681" i="6"/>
  <c r="E681" i="4"/>
  <c r="F679" i="6"/>
  <c r="F679" i="4"/>
  <c r="E680" i="6"/>
  <c r="E680" i="4"/>
  <c r="H677" i="6"/>
  <c r="H677" i="4"/>
  <c r="G676" i="6"/>
  <c r="G676" i="4"/>
  <c r="G674" i="6"/>
  <c r="G674" i="4"/>
  <c r="C673" i="6"/>
  <c r="C673" i="4"/>
  <c r="H671" i="6"/>
  <c r="H671" i="4"/>
  <c r="F670" i="6"/>
  <c r="F670" i="4"/>
  <c r="D669" i="6"/>
  <c r="D669" i="4"/>
  <c r="C666" i="6"/>
  <c r="C666" i="4"/>
  <c r="H667" i="6"/>
  <c r="H667" i="4"/>
  <c r="G665" i="6"/>
  <c r="G665" i="4"/>
  <c r="F664" i="6"/>
  <c r="F664" i="4"/>
  <c r="E663" i="6"/>
  <c r="E663" i="4"/>
  <c r="D662" i="6"/>
  <c r="D662" i="4"/>
  <c r="C660" i="6"/>
  <c r="C660" i="4"/>
  <c r="I661" i="6"/>
  <c r="I661" i="4"/>
  <c r="F659" i="6"/>
  <c r="F659" i="4"/>
  <c r="E658" i="6"/>
  <c r="E658" i="4"/>
  <c r="C657" i="6"/>
  <c r="C657" i="4"/>
  <c r="H656" i="6"/>
  <c r="H656" i="4"/>
  <c r="F655" i="6"/>
  <c r="F655" i="4"/>
  <c r="E654" i="6"/>
  <c r="E654" i="4"/>
  <c r="I653" i="6"/>
  <c r="I653" i="4"/>
  <c r="H652" i="6"/>
  <c r="H652" i="4"/>
  <c r="G651" i="6"/>
  <c r="G651" i="4"/>
  <c r="E650" i="6"/>
  <c r="E650" i="4"/>
  <c r="I648" i="6"/>
  <c r="I648" i="4"/>
  <c r="H647" i="6"/>
  <c r="H647" i="4"/>
  <c r="E646" i="6"/>
  <c r="E646" i="4"/>
  <c r="C645" i="6"/>
  <c r="C645" i="4"/>
  <c r="I644" i="6"/>
  <c r="I644" i="4"/>
  <c r="H643" i="6"/>
  <c r="H643" i="4"/>
  <c r="H642" i="6"/>
  <c r="H642" i="4"/>
  <c r="D641" i="6"/>
  <c r="D641" i="4"/>
  <c r="C640" i="6"/>
  <c r="C640" i="4"/>
  <c r="H638" i="6"/>
  <c r="H638" i="4"/>
  <c r="F637" i="6"/>
  <c r="F637" i="4"/>
  <c r="D636" i="6"/>
  <c r="D636" i="4"/>
  <c r="I635" i="6"/>
  <c r="I635" i="4"/>
  <c r="G633" i="6"/>
  <c r="G633" i="4"/>
  <c r="E632" i="6"/>
  <c r="E632" i="4"/>
  <c r="D631" i="6"/>
  <c r="D631" i="4"/>
  <c r="C630" i="6"/>
  <c r="C630" i="4"/>
  <c r="I629" i="6"/>
  <c r="I629" i="4"/>
  <c r="H626" i="6"/>
  <c r="H626" i="4"/>
  <c r="G625" i="6"/>
  <c r="G625" i="4"/>
  <c r="E628" i="6"/>
  <c r="E628" i="4"/>
  <c r="D627" i="6"/>
  <c r="D627" i="4"/>
  <c r="I624" i="6"/>
  <c r="I624" i="4"/>
  <c r="G622" i="6"/>
  <c r="G622" i="4"/>
  <c r="G619" i="6"/>
  <c r="G619" i="4"/>
  <c r="F620" i="6"/>
  <c r="F620" i="4"/>
  <c r="D618" i="6"/>
  <c r="D618" i="4"/>
  <c r="I617" i="6"/>
  <c r="I617" i="4"/>
  <c r="H616" i="6"/>
  <c r="H616" i="4"/>
  <c r="G615" i="6"/>
  <c r="G615" i="4"/>
  <c r="I614" i="6"/>
  <c r="I614" i="4"/>
  <c r="G613" i="6"/>
  <c r="G613" i="4"/>
  <c r="H612" i="6"/>
  <c r="H612" i="4"/>
  <c r="G611" i="6"/>
  <c r="G611" i="4"/>
  <c r="F610" i="6"/>
  <c r="F610" i="4"/>
  <c r="I608" i="6"/>
  <c r="I608" i="4"/>
  <c r="E607" i="6"/>
  <c r="E607" i="4"/>
  <c r="C606" i="6"/>
  <c r="C606" i="4"/>
  <c r="G605" i="6"/>
  <c r="G605" i="4"/>
  <c r="D604" i="6"/>
  <c r="D604" i="4"/>
  <c r="C603" i="6"/>
  <c r="C603" i="4"/>
  <c r="H602" i="6"/>
  <c r="H602" i="4"/>
  <c r="F601" i="6"/>
  <c r="F601" i="4"/>
  <c r="D600" i="6"/>
  <c r="D600" i="4"/>
  <c r="C599" i="6"/>
  <c r="C599" i="4"/>
  <c r="I598" i="6"/>
  <c r="I598" i="4"/>
  <c r="F596" i="6"/>
  <c r="F596" i="4"/>
  <c r="E597" i="6"/>
  <c r="E597" i="4"/>
  <c r="C594" i="6"/>
  <c r="C594" i="4"/>
  <c r="D593" i="6"/>
  <c r="D593" i="4"/>
  <c r="H595" i="6"/>
  <c r="H595" i="4"/>
  <c r="G592" i="6"/>
  <c r="G592" i="4"/>
  <c r="E591" i="6"/>
  <c r="E591" i="4"/>
  <c r="D590" i="6"/>
  <c r="D590" i="4"/>
  <c r="C589" i="6"/>
  <c r="C589" i="4"/>
  <c r="I588" i="6"/>
  <c r="I588" i="4"/>
  <c r="H586" i="6"/>
  <c r="H586" i="4"/>
  <c r="D585" i="6"/>
  <c r="D585" i="4"/>
  <c r="C584" i="6"/>
  <c r="C584" i="4"/>
  <c r="H583" i="6"/>
  <c r="H583" i="4"/>
  <c r="G582" i="6"/>
  <c r="G582" i="4"/>
  <c r="F581" i="6"/>
  <c r="F581" i="4"/>
  <c r="I579" i="6"/>
  <c r="I579" i="4"/>
  <c r="H578" i="6"/>
  <c r="H578" i="4"/>
  <c r="G577" i="6"/>
  <c r="G577" i="4"/>
  <c r="E576" i="6"/>
  <c r="E576" i="4"/>
  <c r="C575" i="6"/>
  <c r="C575" i="4"/>
  <c r="F574" i="6"/>
  <c r="F574" i="4"/>
  <c r="E573" i="6"/>
  <c r="E573" i="4"/>
  <c r="C572" i="6"/>
  <c r="C572" i="4"/>
  <c r="I570" i="6"/>
  <c r="I570" i="4"/>
  <c r="H569" i="6"/>
  <c r="H569" i="4"/>
  <c r="G568" i="6"/>
  <c r="G568" i="4"/>
  <c r="D567" i="6"/>
  <c r="D567" i="4"/>
  <c r="D566" i="6"/>
  <c r="D566" i="4"/>
  <c r="I564" i="6"/>
  <c r="I564" i="4"/>
  <c r="H563" i="6"/>
  <c r="H563" i="4"/>
  <c r="G562" i="6"/>
  <c r="G562" i="4"/>
  <c r="F561" i="6"/>
  <c r="F561" i="4"/>
  <c r="E558" i="6"/>
  <c r="E558" i="4"/>
  <c r="G559" i="6"/>
  <c r="G559" i="4"/>
  <c r="F557" i="6"/>
  <c r="F557" i="4"/>
  <c r="E556" i="6"/>
  <c r="E556" i="4"/>
  <c r="C555" i="6"/>
  <c r="C555" i="4"/>
  <c r="H554" i="6"/>
  <c r="H554" i="4"/>
  <c r="F553" i="6"/>
  <c r="F553" i="4"/>
  <c r="E552" i="6"/>
  <c r="E552" i="4"/>
  <c r="D551" i="6"/>
  <c r="D551" i="4"/>
  <c r="E549" i="6"/>
  <c r="E549" i="4"/>
  <c r="D548" i="6"/>
  <c r="D548" i="4"/>
  <c r="I547" i="6"/>
  <c r="I547" i="4"/>
  <c r="G546" i="6"/>
  <c r="G546" i="4"/>
  <c r="F545" i="6"/>
  <c r="F545" i="4"/>
  <c r="E543" i="6"/>
  <c r="E543" i="4"/>
  <c r="D544" i="6"/>
  <c r="D544" i="4"/>
  <c r="H542" i="6"/>
  <c r="H542" i="4"/>
  <c r="F540" i="6"/>
  <c r="F540" i="4"/>
  <c r="E541" i="6"/>
  <c r="E541" i="4"/>
  <c r="C539" i="6"/>
  <c r="C539" i="4"/>
  <c r="E537" i="6"/>
  <c r="E537" i="4"/>
  <c r="C536" i="6"/>
  <c r="C536" i="4"/>
  <c r="H534" i="6"/>
  <c r="H534" i="4"/>
  <c r="F533" i="6"/>
  <c r="F533" i="4"/>
  <c r="I532" i="6"/>
  <c r="I532" i="4"/>
  <c r="G529" i="6"/>
  <c r="G529" i="4"/>
  <c r="E530" i="6"/>
  <c r="E530" i="4"/>
  <c r="G531" i="6"/>
  <c r="G531" i="4"/>
  <c r="E528" i="6"/>
  <c r="E528" i="4"/>
  <c r="H520" i="6"/>
  <c r="H520" i="4"/>
  <c r="G526" i="6"/>
  <c r="G526" i="4"/>
  <c r="D525" i="6"/>
  <c r="D525" i="4"/>
  <c r="C524" i="6"/>
  <c r="C524" i="4"/>
  <c r="F523" i="6"/>
  <c r="F523" i="4"/>
  <c r="D522" i="6"/>
  <c r="D522" i="4"/>
  <c r="C521" i="6"/>
  <c r="C521" i="4"/>
  <c r="E518" i="6"/>
  <c r="E518" i="4"/>
  <c r="C519" i="6"/>
  <c r="C519" i="4"/>
  <c r="I517" i="6"/>
  <c r="I517" i="4"/>
  <c r="I516" i="6"/>
  <c r="I516" i="4"/>
  <c r="H515" i="6"/>
  <c r="H515" i="4"/>
  <c r="D514" i="6"/>
  <c r="D514" i="4"/>
  <c r="I513" i="6"/>
  <c r="I513" i="4"/>
  <c r="H512" i="6"/>
  <c r="H512" i="4"/>
  <c r="D510" i="6"/>
  <c r="D510" i="4"/>
  <c r="I509" i="6"/>
  <c r="I509" i="4"/>
  <c r="D507" i="6"/>
  <c r="D507" i="4"/>
  <c r="C506" i="6"/>
  <c r="C506" i="4"/>
  <c r="I505" i="6"/>
  <c r="I505" i="4"/>
  <c r="G504" i="6"/>
  <c r="G504" i="4"/>
  <c r="E503" i="6"/>
  <c r="E503" i="4"/>
  <c r="I501" i="6"/>
  <c r="I501" i="4"/>
  <c r="G499" i="6"/>
  <c r="G499" i="4"/>
  <c r="F785" i="6"/>
  <c r="F785" i="4"/>
  <c r="G783" i="6"/>
  <c r="G783" i="4"/>
  <c r="F782" i="6"/>
  <c r="F782" i="4"/>
  <c r="D781" i="6"/>
  <c r="D781" i="4"/>
  <c r="C789" i="6"/>
  <c r="C789" i="4"/>
  <c r="F779" i="6"/>
  <c r="F779" i="4"/>
  <c r="E778" i="6"/>
  <c r="E778" i="4"/>
  <c r="C777" i="6"/>
  <c r="C777" i="4"/>
  <c r="I775" i="6"/>
  <c r="I775" i="4"/>
  <c r="F774" i="6"/>
  <c r="F774" i="4"/>
  <c r="D773" i="6"/>
  <c r="D773" i="4"/>
  <c r="I770" i="6"/>
  <c r="I770" i="4"/>
  <c r="D769" i="6"/>
  <c r="D769" i="4"/>
  <c r="C771" i="6"/>
  <c r="C771" i="4"/>
  <c r="E768" i="6"/>
  <c r="E768" i="4"/>
  <c r="D767" i="6"/>
  <c r="D767" i="4"/>
  <c r="H765" i="6"/>
  <c r="H765" i="4"/>
  <c r="G764" i="6"/>
  <c r="G764" i="4"/>
  <c r="C763" i="6"/>
  <c r="C763" i="4"/>
  <c r="H758" i="6"/>
  <c r="H758" i="4"/>
  <c r="G755" i="6"/>
  <c r="G755" i="4"/>
  <c r="E757" i="6"/>
  <c r="E757" i="4"/>
  <c r="I759" i="6"/>
  <c r="I759" i="4"/>
  <c r="G760" i="6"/>
  <c r="G760" i="4"/>
  <c r="F756" i="6"/>
  <c r="F756" i="4"/>
  <c r="C754" i="6"/>
  <c r="C754" i="4"/>
  <c r="I752" i="6"/>
  <c r="I752" i="4"/>
  <c r="C751" i="6"/>
  <c r="C751" i="4"/>
  <c r="I750" i="6"/>
  <c r="I750" i="4"/>
  <c r="G749" i="6"/>
  <c r="G749" i="4"/>
  <c r="E748" i="6"/>
  <c r="E748" i="4"/>
  <c r="D747" i="6"/>
  <c r="D747" i="4"/>
  <c r="C746" i="6"/>
  <c r="C746" i="4"/>
  <c r="H744" i="6"/>
  <c r="H744" i="4"/>
  <c r="D743" i="6"/>
  <c r="D743" i="4"/>
  <c r="I741" i="6"/>
  <c r="I741" i="4"/>
  <c r="G740" i="6"/>
  <c r="G740" i="4"/>
  <c r="F739" i="6"/>
  <c r="F739" i="4"/>
  <c r="E738" i="6"/>
  <c r="E738" i="4"/>
  <c r="D737" i="6"/>
  <c r="D737" i="4"/>
  <c r="I736" i="6"/>
  <c r="I736" i="4"/>
  <c r="D735" i="6"/>
  <c r="D735" i="4"/>
  <c r="D688" i="6"/>
  <c r="D688" i="4"/>
  <c r="C687" i="6"/>
  <c r="C687" i="4"/>
  <c r="I686" i="6"/>
  <c r="I686" i="4"/>
  <c r="G685" i="6"/>
  <c r="G685" i="4"/>
  <c r="F684" i="6"/>
  <c r="F684" i="4"/>
  <c r="D683" i="6"/>
  <c r="D683" i="4"/>
  <c r="G682" i="6"/>
  <c r="G682" i="4"/>
  <c r="F681" i="6"/>
  <c r="F681" i="4"/>
  <c r="G679" i="6"/>
  <c r="G679" i="4"/>
  <c r="F680" i="6"/>
  <c r="F680" i="4"/>
  <c r="C678" i="6"/>
  <c r="C678" i="4"/>
  <c r="I677" i="6"/>
  <c r="I677" i="4"/>
  <c r="H676" i="6"/>
  <c r="H676" i="4"/>
  <c r="C675" i="6"/>
  <c r="C675" i="4"/>
  <c r="H674" i="6"/>
  <c r="H674" i="4"/>
  <c r="D673" i="6"/>
  <c r="D673" i="4"/>
  <c r="C672" i="6"/>
  <c r="C672" i="4"/>
  <c r="I671" i="6"/>
  <c r="I671" i="4"/>
  <c r="G670" i="6"/>
  <c r="G670" i="4"/>
  <c r="E669" i="6"/>
  <c r="E669" i="4"/>
  <c r="D666" i="6"/>
  <c r="D666" i="4"/>
  <c r="C668" i="6"/>
  <c r="C668" i="4"/>
  <c r="I667" i="6"/>
  <c r="I667" i="4"/>
  <c r="H665" i="6"/>
  <c r="H665" i="4"/>
  <c r="G664" i="6"/>
  <c r="G664" i="4"/>
  <c r="F663" i="6"/>
  <c r="F663" i="4"/>
  <c r="E662" i="6"/>
  <c r="E662" i="4"/>
  <c r="D660" i="6"/>
  <c r="D660" i="4"/>
  <c r="G659" i="6"/>
  <c r="G659" i="4"/>
  <c r="F658" i="6"/>
  <c r="F658" i="4"/>
  <c r="D657" i="6"/>
  <c r="D657" i="4"/>
  <c r="I656" i="6"/>
  <c r="I656" i="4"/>
  <c r="G655" i="6"/>
  <c r="G655" i="4"/>
  <c r="F654" i="6"/>
  <c r="F654" i="4"/>
  <c r="I652" i="6"/>
  <c r="I652" i="4"/>
  <c r="H651" i="6"/>
  <c r="H651" i="4"/>
  <c r="F650" i="6"/>
  <c r="F650" i="4"/>
  <c r="C649" i="6"/>
  <c r="C649" i="4"/>
  <c r="I647" i="6"/>
  <c r="I647" i="4"/>
  <c r="F646" i="6"/>
  <c r="F646" i="4"/>
  <c r="D645" i="6"/>
  <c r="D645" i="4"/>
  <c r="I643" i="6"/>
  <c r="I643" i="4"/>
  <c r="I642" i="6"/>
  <c r="I642" i="4"/>
  <c r="E641" i="6"/>
  <c r="E641" i="4"/>
  <c r="D640" i="6"/>
  <c r="D640" i="4"/>
  <c r="C639" i="6"/>
  <c r="C639" i="4"/>
  <c r="I638" i="6"/>
  <c r="I638" i="4"/>
  <c r="G637" i="6"/>
  <c r="G637" i="4"/>
  <c r="E636" i="6"/>
  <c r="E636" i="4"/>
  <c r="C634" i="6"/>
  <c r="C634" i="4"/>
  <c r="H633" i="6"/>
  <c r="H633" i="4"/>
  <c r="F632" i="6"/>
  <c r="F632" i="4"/>
  <c r="E631" i="6"/>
  <c r="E631" i="4"/>
  <c r="D630" i="6"/>
  <c r="D630" i="4"/>
  <c r="I626" i="6"/>
  <c r="I626" i="4"/>
  <c r="H625" i="6"/>
  <c r="H625" i="4"/>
  <c r="F628" i="6"/>
  <c r="F628" i="4"/>
  <c r="E627" i="6"/>
  <c r="E627" i="4"/>
  <c r="C623" i="6"/>
  <c r="C623" i="4"/>
  <c r="H622" i="6"/>
  <c r="H622" i="4"/>
  <c r="C621" i="6"/>
  <c r="C621" i="4"/>
  <c r="H619" i="6"/>
  <c r="H619" i="4"/>
  <c r="G620" i="6"/>
  <c r="G620" i="4"/>
  <c r="E618" i="6"/>
  <c r="E618" i="4"/>
  <c r="I616" i="6"/>
  <c r="I616" i="4"/>
  <c r="H615" i="6"/>
  <c r="H615" i="4"/>
  <c r="H613" i="6"/>
  <c r="H613" i="4"/>
  <c r="I612" i="6"/>
  <c r="I612" i="4"/>
  <c r="H611" i="6"/>
  <c r="H611" i="4"/>
  <c r="G610" i="6"/>
  <c r="G610" i="4"/>
  <c r="C609" i="6"/>
  <c r="C609" i="4"/>
  <c r="F607" i="6"/>
  <c r="F607" i="4"/>
  <c r="D606" i="6"/>
  <c r="D606" i="4"/>
  <c r="H605" i="6"/>
  <c r="H605" i="4"/>
  <c r="E604" i="6"/>
  <c r="E604" i="4"/>
  <c r="D603" i="6"/>
  <c r="D603" i="4"/>
  <c r="I602" i="6"/>
  <c r="I602" i="4"/>
  <c r="G601" i="6"/>
  <c r="G601" i="4"/>
  <c r="E600" i="6"/>
  <c r="E600" i="4"/>
  <c r="D599" i="6"/>
  <c r="D599" i="4"/>
  <c r="G596" i="6"/>
  <c r="G596" i="4"/>
  <c r="F597" i="6"/>
  <c r="F597" i="4"/>
  <c r="D594" i="6"/>
  <c r="D594" i="4"/>
  <c r="E593" i="6"/>
  <c r="E593" i="4"/>
  <c r="I595" i="6"/>
  <c r="I595" i="4"/>
  <c r="H592" i="6"/>
  <c r="H592" i="4"/>
  <c r="F591" i="6"/>
  <c r="F591" i="4"/>
  <c r="E590" i="6"/>
  <c r="E590" i="4"/>
  <c r="D589" i="6"/>
  <c r="D589" i="4"/>
  <c r="C587" i="6"/>
  <c r="C587" i="4"/>
  <c r="I586" i="6"/>
  <c r="I586" i="4"/>
  <c r="E585" i="6"/>
  <c r="E585" i="4"/>
  <c r="D584" i="6"/>
  <c r="D584" i="4"/>
  <c r="I583" i="6"/>
  <c r="I583" i="4"/>
  <c r="H582" i="6"/>
  <c r="H582" i="4"/>
  <c r="G581" i="6"/>
  <c r="G581" i="4"/>
  <c r="C580" i="6"/>
  <c r="C580" i="4"/>
  <c r="I578" i="6"/>
  <c r="I578" i="4"/>
  <c r="H577" i="6"/>
  <c r="H577" i="4"/>
  <c r="F576" i="6"/>
  <c r="F576" i="4"/>
  <c r="D575" i="6"/>
  <c r="D575" i="4"/>
  <c r="G574" i="6"/>
  <c r="G574" i="4"/>
  <c r="F573" i="6"/>
  <c r="F573" i="4"/>
  <c r="D572" i="6"/>
  <c r="D572" i="4"/>
  <c r="I569" i="6"/>
  <c r="I569" i="4"/>
  <c r="H568" i="6"/>
  <c r="H568" i="4"/>
  <c r="E567" i="6"/>
  <c r="E567" i="4"/>
  <c r="E566" i="6"/>
  <c r="E566" i="4"/>
  <c r="C565" i="6"/>
  <c r="C565" i="4"/>
  <c r="I563" i="6"/>
  <c r="I563" i="4"/>
  <c r="H562" i="6"/>
  <c r="H562" i="4"/>
  <c r="G561" i="6"/>
  <c r="G561" i="4"/>
  <c r="C560" i="6"/>
  <c r="C560" i="4"/>
  <c r="F558" i="6"/>
  <c r="F558" i="4"/>
  <c r="H559" i="6"/>
  <c r="H559" i="4"/>
  <c r="G557" i="6"/>
  <c r="G557" i="4"/>
  <c r="F556" i="6"/>
  <c r="F556" i="4"/>
  <c r="D555" i="6"/>
  <c r="D555" i="4"/>
  <c r="I554" i="6"/>
  <c r="I554" i="4"/>
  <c r="G553" i="6"/>
  <c r="G553" i="4"/>
  <c r="F552" i="6"/>
  <c r="F552" i="4"/>
  <c r="E551" i="6"/>
  <c r="E551" i="4"/>
  <c r="C550" i="6"/>
  <c r="C550" i="4"/>
  <c r="F549" i="6"/>
  <c r="F549" i="4"/>
  <c r="E548" i="6"/>
  <c r="E548" i="4"/>
  <c r="H546" i="6"/>
  <c r="H546" i="4"/>
  <c r="G545" i="6"/>
  <c r="G545" i="4"/>
  <c r="F543" i="6"/>
  <c r="F543" i="4"/>
  <c r="E544" i="6"/>
  <c r="E544" i="4"/>
  <c r="I542" i="6"/>
  <c r="I542" i="4"/>
  <c r="G540" i="6"/>
  <c r="G540" i="4"/>
  <c r="F541" i="6"/>
  <c r="F541" i="4"/>
  <c r="D539" i="6"/>
  <c r="D539" i="4"/>
  <c r="C538" i="6"/>
  <c r="C538" i="4"/>
  <c r="F537" i="6"/>
  <c r="F537" i="4"/>
  <c r="D536" i="6"/>
  <c r="D536" i="4"/>
  <c r="C535" i="6"/>
  <c r="C535" i="4"/>
  <c r="I534" i="6"/>
  <c r="I534" i="4"/>
  <c r="G533" i="6"/>
  <c r="G533" i="4"/>
  <c r="H529" i="6"/>
  <c r="H529" i="4"/>
  <c r="F530" i="6"/>
  <c r="F530" i="4"/>
  <c r="H531" i="6"/>
  <c r="H531" i="4"/>
  <c r="F528" i="6"/>
  <c r="F528" i="4"/>
  <c r="C527" i="6"/>
  <c r="C527" i="4"/>
  <c r="I520" i="6"/>
  <c r="I520" i="4"/>
  <c r="H526" i="6"/>
  <c r="H526" i="4"/>
  <c r="E525" i="6"/>
  <c r="E525" i="4"/>
  <c r="D524" i="6"/>
  <c r="D524" i="4"/>
  <c r="G523" i="6"/>
  <c r="G523" i="4"/>
  <c r="E522" i="6"/>
  <c r="E522" i="4"/>
  <c r="D521" i="6"/>
  <c r="D521" i="4"/>
  <c r="F518" i="6"/>
  <c r="F518" i="4"/>
  <c r="D519" i="6"/>
  <c r="D519" i="4"/>
  <c r="I515" i="6"/>
  <c r="I515" i="4"/>
  <c r="E514" i="6"/>
  <c r="E514" i="4"/>
  <c r="I512" i="6"/>
  <c r="I512" i="4"/>
  <c r="E510" i="6"/>
  <c r="E510" i="4"/>
  <c r="C511" i="6"/>
  <c r="C511" i="4"/>
  <c r="G508" i="6"/>
  <c r="G508" i="4"/>
  <c r="E507" i="6"/>
  <c r="E507" i="4"/>
  <c r="E502" i="6"/>
  <c r="E502" i="4"/>
  <c r="I500" i="6"/>
  <c r="I500" i="4"/>
  <c r="E498" i="6"/>
  <c r="E498" i="4"/>
  <c r="I497" i="6"/>
  <c r="I497" i="4"/>
  <c r="G721" i="6"/>
  <c r="G721" i="4"/>
  <c r="G720" i="6"/>
  <c r="G720" i="4"/>
  <c r="G719" i="6"/>
  <c r="G719" i="4"/>
  <c r="G718" i="6"/>
  <c r="G718" i="4"/>
  <c r="G716" i="6"/>
  <c r="G716" i="4"/>
  <c r="G715" i="6"/>
  <c r="G715" i="4"/>
  <c r="G717" i="6"/>
  <c r="G717" i="4"/>
  <c r="G714" i="6"/>
  <c r="G714" i="4"/>
  <c r="G713" i="6"/>
  <c r="G713" i="4"/>
  <c r="G712" i="6"/>
  <c r="G712" i="4"/>
  <c r="G711" i="6"/>
  <c r="G711" i="4"/>
  <c r="G710" i="6"/>
  <c r="G710" i="4"/>
  <c r="G709" i="6"/>
  <c r="G709" i="4"/>
  <c r="G708" i="6"/>
  <c r="G708" i="4"/>
  <c r="G707" i="6"/>
  <c r="G707" i="4"/>
  <c r="G706" i="6"/>
  <c r="G706" i="4"/>
  <c r="G705" i="6"/>
  <c r="G705" i="4"/>
  <c r="G704" i="6"/>
  <c r="G704" i="4"/>
  <c r="G703" i="6"/>
  <c r="G703" i="4"/>
  <c r="G702" i="6"/>
  <c r="G702" i="4"/>
  <c r="G701" i="6"/>
  <c r="G701" i="4"/>
  <c r="G700" i="6"/>
  <c r="G700" i="4"/>
  <c r="G699" i="6"/>
  <c r="G699" i="4"/>
  <c r="G698" i="6"/>
  <c r="G698" i="4"/>
  <c r="G696" i="6"/>
  <c r="G696" i="4"/>
  <c r="G695" i="6"/>
  <c r="G695" i="4"/>
  <c r="G694" i="6"/>
  <c r="G694" i="4"/>
  <c r="G693" i="6"/>
  <c r="G693" i="4"/>
  <c r="G692" i="6"/>
  <c r="G692" i="4"/>
  <c r="G691" i="6"/>
  <c r="G691" i="4"/>
  <c r="G690" i="6"/>
  <c r="G690" i="4"/>
  <c r="G689" i="6"/>
  <c r="G689" i="4"/>
  <c r="E688" i="6"/>
  <c r="E688" i="4"/>
  <c r="D687" i="6"/>
  <c r="D687" i="4"/>
  <c r="H685" i="6"/>
  <c r="H685" i="4"/>
  <c r="G684" i="6"/>
  <c r="G684" i="4"/>
  <c r="E683" i="6"/>
  <c r="E683" i="4"/>
  <c r="H682" i="6"/>
  <c r="H682" i="4"/>
  <c r="G681" i="6"/>
  <c r="G681" i="4"/>
  <c r="H679" i="6"/>
  <c r="H679" i="4"/>
  <c r="G680" i="6"/>
  <c r="G680" i="4"/>
  <c r="D678" i="6"/>
  <c r="D678" i="4"/>
  <c r="I676" i="6"/>
  <c r="I676" i="4"/>
  <c r="D675" i="6"/>
  <c r="D675" i="4"/>
  <c r="I674" i="6"/>
  <c r="I674" i="4"/>
  <c r="E673" i="6"/>
  <c r="E673" i="4"/>
  <c r="D672" i="6"/>
  <c r="D672" i="4"/>
  <c r="H670" i="6"/>
  <c r="H670" i="4"/>
  <c r="F669" i="6"/>
  <c r="F669" i="4"/>
  <c r="E666" i="6"/>
  <c r="E666" i="4"/>
  <c r="D668" i="6"/>
  <c r="D668" i="4"/>
  <c r="I665" i="6"/>
  <c r="I665" i="4"/>
  <c r="H664" i="6"/>
  <c r="H664" i="4"/>
  <c r="G663" i="6"/>
  <c r="G663" i="4"/>
  <c r="F662" i="6"/>
  <c r="F662" i="4"/>
  <c r="E660" i="6"/>
  <c r="E660" i="4"/>
  <c r="C661" i="6"/>
  <c r="C661" i="4"/>
  <c r="H659" i="6"/>
  <c r="H659" i="4"/>
  <c r="G658" i="6"/>
  <c r="G658" i="4"/>
  <c r="E657" i="6"/>
  <c r="E657" i="4"/>
  <c r="H655" i="6"/>
  <c r="H655" i="4"/>
  <c r="G654" i="6"/>
  <c r="G654" i="4"/>
  <c r="C653" i="6"/>
  <c r="C653" i="4"/>
  <c r="I651" i="6"/>
  <c r="I651" i="4"/>
  <c r="G650" i="6"/>
  <c r="G650" i="4"/>
  <c r="D649" i="6"/>
  <c r="D649" i="4"/>
  <c r="C648" i="6"/>
  <c r="C648" i="4"/>
  <c r="G646" i="6"/>
  <c r="G646" i="4"/>
  <c r="E645" i="6"/>
  <c r="E645" i="4"/>
  <c r="C644" i="6"/>
  <c r="C644" i="4"/>
  <c r="F641" i="6"/>
  <c r="F641" i="4"/>
  <c r="E640" i="6"/>
  <c r="E640" i="4"/>
  <c r="D639" i="6"/>
  <c r="D639" i="4"/>
  <c r="H637" i="6"/>
  <c r="H637" i="4"/>
  <c r="F636" i="6"/>
  <c r="F636" i="4"/>
  <c r="D634" i="6"/>
  <c r="D634" i="4"/>
  <c r="C635" i="6"/>
  <c r="C635" i="4"/>
  <c r="I633" i="6"/>
  <c r="I633" i="4"/>
  <c r="G632" i="6"/>
  <c r="G632" i="4"/>
  <c r="F631" i="6"/>
  <c r="F631" i="4"/>
  <c r="E630" i="6"/>
  <c r="E630" i="4"/>
  <c r="C629" i="6"/>
  <c r="C629" i="4"/>
  <c r="I625" i="6"/>
  <c r="I625" i="4"/>
  <c r="G628" i="6"/>
  <c r="G628" i="4"/>
  <c r="F627" i="6"/>
  <c r="F627" i="4"/>
  <c r="D623" i="6"/>
  <c r="D623" i="4"/>
  <c r="C624" i="6"/>
  <c r="C624" i="4"/>
  <c r="I622" i="6"/>
  <c r="I622" i="4"/>
  <c r="D621" i="6"/>
  <c r="D621" i="4"/>
  <c r="I619" i="6"/>
  <c r="I619" i="4"/>
  <c r="H620" i="6"/>
  <c r="H620" i="4"/>
  <c r="F618" i="6"/>
  <c r="F618" i="4"/>
  <c r="C617" i="6"/>
  <c r="C617" i="4"/>
  <c r="I615" i="6"/>
  <c r="I615" i="4"/>
  <c r="C614" i="6"/>
  <c r="C614" i="4"/>
  <c r="I613" i="6"/>
  <c r="I613" i="4"/>
  <c r="I611" i="6"/>
  <c r="I611" i="4"/>
  <c r="H610" i="6"/>
  <c r="H610" i="4"/>
  <c r="D609" i="6"/>
  <c r="D609" i="4"/>
  <c r="C608" i="6"/>
  <c r="C608" i="4"/>
  <c r="G607" i="6"/>
  <c r="G607" i="4"/>
  <c r="E606" i="6"/>
  <c r="E606" i="4"/>
  <c r="I605" i="6"/>
  <c r="I605" i="4"/>
  <c r="F604" i="6"/>
  <c r="F604" i="4"/>
  <c r="E603" i="6"/>
  <c r="E603" i="4"/>
  <c r="H601" i="6"/>
  <c r="H601" i="4"/>
  <c r="F600" i="6"/>
  <c r="F600" i="4"/>
  <c r="E599" i="6"/>
  <c r="E599" i="4"/>
  <c r="C598" i="6"/>
  <c r="C598" i="4"/>
  <c r="H596" i="6"/>
  <c r="H596" i="4"/>
  <c r="G597" i="6"/>
  <c r="G597" i="4"/>
  <c r="E594" i="6"/>
  <c r="E594" i="4"/>
  <c r="F593" i="6"/>
  <c r="F593" i="4"/>
  <c r="I592" i="6"/>
  <c r="I592" i="4"/>
  <c r="G591" i="6"/>
  <c r="G591" i="4"/>
  <c r="F590" i="6"/>
  <c r="F590" i="4"/>
  <c r="E589" i="6"/>
  <c r="E589" i="4"/>
  <c r="D587" i="6"/>
  <c r="D587" i="4"/>
  <c r="C588" i="6"/>
  <c r="C588" i="4"/>
  <c r="F585" i="6"/>
  <c r="F585" i="4"/>
  <c r="E584" i="6"/>
  <c r="E584" i="4"/>
  <c r="I582" i="6"/>
  <c r="I582" i="4"/>
  <c r="H581" i="6"/>
  <c r="H581" i="4"/>
  <c r="D580" i="6"/>
  <c r="D580" i="4"/>
  <c r="C579" i="6"/>
  <c r="C579" i="4"/>
  <c r="I577" i="6"/>
  <c r="I577" i="4"/>
  <c r="G576" i="6"/>
  <c r="G576" i="4"/>
  <c r="E575" i="6"/>
  <c r="E575" i="4"/>
  <c r="H574" i="6"/>
  <c r="H574" i="4"/>
  <c r="G573" i="6"/>
  <c r="G573" i="4"/>
  <c r="E572" i="6"/>
  <c r="E572" i="4"/>
  <c r="C570" i="6"/>
  <c r="C570" i="4"/>
  <c r="I568" i="6"/>
  <c r="I568" i="4"/>
  <c r="F567" i="6"/>
  <c r="F567" i="4"/>
  <c r="F566" i="6"/>
  <c r="F566" i="4"/>
  <c r="D565" i="6"/>
  <c r="D565" i="4"/>
  <c r="C564" i="6"/>
  <c r="C564" i="4"/>
  <c r="I562" i="6"/>
  <c r="I562" i="4"/>
  <c r="H561" i="6"/>
  <c r="H561" i="4"/>
  <c r="D560" i="6"/>
  <c r="D560" i="4"/>
  <c r="G558" i="6"/>
  <c r="G558" i="4"/>
  <c r="I559" i="6"/>
  <c r="I559" i="4"/>
  <c r="H557" i="6"/>
  <c r="H557" i="4"/>
  <c r="G556" i="6"/>
  <c r="G556" i="4"/>
  <c r="E555" i="6"/>
  <c r="E555" i="4"/>
  <c r="H553" i="6"/>
  <c r="H553" i="4"/>
  <c r="G552" i="6"/>
  <c r="G552" i="4"/>
  <c r="F551" i="6"/>
  <c r="F551" i="4"/>
  <c r="D550" i="6"/>
  <c r="D550" i="4"/>
  <c r="G549" i="6"/>
  <c r="G549" i="4"/>
  <c r="F548" i="6"/>
  <c r="F548" i="4"/>
  <c r="C547" i="6"/>
  <c r="C547" i="4"/>
  <c r="I546" i="6"/>
  <c r="I546" i="4"/>
  <c r="H545" i="6"/>
  <c r="H545" i="4"/>
  <c r="G543" i="6"/>
  <c r="G543" i="4"/>
  <c r="F544" i="6"/>
  <c r="F544" i="4"/>
  <c r="H540" i="6"/>
  <c r="H540" i="4"/>
  <c r="G541" i="6"/>
  <c r="G541" i="4"/>
  <c r="E539" i="6"/>
  <c r="E539" i="4"/>
  <c r="D538" i="6"/>
  <c r="D538" i="4"/>
  <c r="G537" i="6"/>
  <c r="G537" i="4"/>
  <c r="E536" i="6"/>
  <c r="E536" i="4"/>
  <c r="D535" i="6"/>
  <c r="D535" i="4"/>
  <c r="H533" i="6"/>
  <c r="H533" i="4"/>
  <c r="C532" i="6"/>
  <c r="C532" i="4"/>
  <c r="I529" i="6"/>
  <c r="I529" i="4"/>
  <c r="G530" i="6"/>
  <c r="G530" i="4"/>
  <c r="I531" i="6"/>
  <c r="I531" i="4"/>
  <c r="G528" i="6"/>
  <c r="G528" i="4"/>
  <c r="D527" i="6"/>
  <c r="D527" i="4"/>
  <c r="I526" i="6"/>
  <c r="I526" i="4"/>
  <c r="F525" i="6"/>
  <c r="F525" i="4"/>
  <c r="E524" i="6"/>
  <c r="E524" i="4"/>
  <c r="H523" i="6"/>
  <c r="H523" i="4"/>
  <c r="F522" i="6"/>
  <c r="F522" i="4"/>
  <c r="E521" i="6"/>
  <c r="E521" i="4"/>
  <c r="G518" i="6"/>
  <c r="G518" i="4"/>
  <c r="E519" i="6"/>
  <c r="E519" i="4"/>
  <c r="C517" i="6"/>
  <c r="C517" i="4"/>
  <c r="C516" i="6"/>
  <c r="C516" i="4"/>
  <c r="F514" i="6"/>
  <c r="F514" i="4"/>
  <c r="C513" i="6"/>
  <c r="C513" i="4"/>
  <c r="F510" i="6"/>
  <c r="F510" i="4"/>
  <c r="D511" i="6"/>
  <c r="D511" i="4"/>
  <c r="C509" i="6"/>
  <c r="C509" i="4"/>
  <c r="E506" i="6"/>
  <c r="E506" i="4"/>
  <c r="C505" i="6"/>
  <c r="C505" i="4"/>
  <c r="I504" i="6"/>
  <c r="I504" i="4"/>
  <c r="G503" i="6"/>
  <c r="G503" i="4"/>
  <c r="C501" i="6"/>
  <c r="C501" i="4"/>
  <c r="I499" i="6"/>
  <c r="I499" i="4"/>
  <c r="F496" i="6"/>
  <c r="F496" i="4"/>
  <c r="E495" i="6"/>
  <c r="E495" i="4"/>
  <c r="I494" i="6"/>
  <c r="I494" i="4"/>
  <c r="F492" i="6"/>
  <c r="F492" i="4"/>
  <c r="I491" i="6"/>
  <c r="I491" i="4"/>
  <c r="F490" i="6"/>
  <c r="F490" i="4"/>
  <c r="E489" i="6"/>
  <c r="E489" i="4"/>
  <c r="C488" i="6"/>
  <c r="C488" i="4"/>
  <c r="G487" i="6"/>
  <c r="G487" i="4"/>
  <c r="E486" i="6"/>
  <c r="E486" i="4"/>
  <c r="D485" i="6"/>
  <c r="D485" i="4"/>
  <c r="I484" i="6"/>
  <c r="I484" i="4"/>
  <c r="D482" i="6"/>
  <c r="D482" i="4"/>
  <c r="C483" i="6"/>
  <c r="C483" i="4"/>
  <c r="G480" i="6"/>
  <c r="G480" i="4"/>
  <c r="D481" i="6"/>
  <c r="D481" i="4"/>
  <c r="I479" i="6"/>
  <c r="I479" i="4"/>
  <c r="E478" i="6"/>
  <c r="E478" i="4"/>
  <c r="D477" i="6"/>
  <c r="D477" i="4"/>
  <c r="I475" i="6"/>
  <c r="I475" i="4"/>
  <c r="G474" i="6"/>
  <c r="G474" i="4"/>
  <c r="D473" i="6"/>
  <c r="D473" i="4"/>
  <c r="I472" i="6"/>
  <c r="I472" i="4"/>
  <c r="H471" i="6"/>
  <c r="H471" i="4"/>
  <c r="F470" i="6"/>
  <c r="F470" i="4"/>
  <c r="I468" i="6"/>
  <c r="I468" i="4"/>
  <c r="F467" i="6"/>
  <c r="F467" i="4"/>
  <c r="C465" i="6"/>
  <c r="C465" i="4"/>
  <c r="H464" i="6"/>
  <c r="H464" i="4"/>
  <c r="F463" i="6"/>
  <c r="F463" i="4"/>
  <c r="E462" i="6"/>
  <c r="E462" i="4"/>
  <c r="D461" i="6"/>
  <c r="D461" i="4"/>
  <c r="G459" i="6"/>
  <c r="G459" i="4"/>
  <c r="F458" i="6"/>
  <c r="F458" i="4"/>
  <c r="E457" i="6"/>
  <c r="E457" i="4"/>
  <c r="I425" i="6"/>
  <c r="I425" i="4"/>
  <c r="H424" i="6"/>
  <c r="H424" i="4"/>
  <c r="G423" i="6"/>
  <c r="G423" i="4"/>
  <c r="E422" i="6"/>
  <c r="E422" i="4"/>
  <c r="I420" i="6"/>
  <c r="I420" i="4"/>
  <c r="G421" i="6"/>
  <c r="G421" i="4"/>
  <c r="C419" i="6"/>
  <c r="C419" i="4"/>
  <c r="I418" i="6"/>
  <c r="I418" i="4"/>
  <c r="E417" i="6"/>
  <c r="E417" i="4"/>
  <c r="G415" i="6"/>
  <c r="G415" i="4"/>
  <c r="I413" i="6"/>
  <c r="I413" i="4"/>
  <c r="G412" i="6"/>
  <c r="G412" i="4"/>
  <c r="F411" i="6"/>
  <c r="F411" i="4"/>
  <c r="D410" i="6"/>
  <c r="D410" i="4"/>
  <c r="C409" i="6"/>
  <c r="C409" i="4"/>
  <c r="I408" i="6"/>
  <c r="I408" i="4"/>
  <c r="H407" i="6"/>
  <c r="H407" i="4"/>
  <c r="G406" i="6"/>
  <c r="G406" i="4"/>
  <c r="F405" i="6"/>
  <c r="F405" i="4"/>
  <c r="E404" i="6"/>
  <c r="E404" i="4"/>
  <c r="D403" i="6"/>
  <c r="D403" i="4"/>
  <c r="I402" i="6"/>
  <c r="I402" i="4"/>
  <c r="H401" i="6"/>
  <c r="H401" i="4"/>
  <c r="G400" i="6"/>
  <c r="G400" i="4"/>
  <c r="F399" i="6"/>
  <c r="F399" i="4"/>
  <c r="C398" i="6"/>
  <c r="C398" i="4"/>
  <c r="I397" i="6"/>
  <c r="I397" i="4"/>
  <c r="F396" i="6"/>
  <c r="F396" i="4"/>
  <c r="C395" i="6"/>
  <c r="C395" i="4"/>
  <c r="G394" i="6"/>
  <c r="G394" i="4"/>
  <c r="F393" i="6"/>
  <c r="F393" i="4"/>
  <c r="E392" i="6"/>
  <c r="E392" i="4"/>
  <c r="C391" i="6"/>
  <c r="C391" i="4"/>
  <c r="E389" i="6"/>
  <c r="E389" i="4"/>
  <c r="D388" i="6"/>
  <c r="D388" i="4"/>
  <c r="C387" i="6"/>
  <c r="C387" i="4"/>
  <c r="I386" i="6"/>
  <c r="I386" i="4"/>
  <c r="F385" i="6"/>
  <c r="F385" i="4"/>
  <c r="C384" i="6"/>
  <c r="C384" i="4"/>
  <c r="H382" i="6"/>
  <c r="H382" i="4"/>
  <c r="D381" i="6"/>
  <c r="D381" i="4"/>
  <c r="I379" i="6"/>
  <c r="I379" i="4"/>
  <c r="H378" i="6"/>
  <c r="H378" i="4"/>
  <c r="D380" i="6"/>
  <c r="D380" i="4"/>
  <c r="C377" i="6"/>
  <c r="C377" i="4"/>
  <c r="H375" i="6"/>
  <c r="H375" i="4"/>
  <c r="F374" i="6"/>
  <c r="F374" i="4"/>
  <c r="G372" i="6"/>
  <c r="G372" i="4"/>
  <c r="E373" i="6"/>
  <c r="E373" i="4"/>
  <c r="D371" i="6"/>
  <c r="D371" i="4"/>
  <c r="C370" i="6"/>
  <c r="C370" i="4"/>
  <c r="G368" i="6"/>
  <c r="G368" i="4"/>
  <c r="F367" i="6"/>
  <c r="F367" i="4"/>
  <c r="E366" i="6"/>
  <c r="E366" i="4"/>
  <c r="D365" i="6"/>
  <c r="D365" i="4"/>
  <c r="F363" i="6"/>
  <c r="F363" i="4"/>
  <c r="E362" i="6"/>
  <c r="E362" i="4"/>
  <c r="I360" i="6"/>
  <c r="I360" i="4"/>
  <c r="G359" i="6"/>
  <c r="G359" i="4"/>
  <c r="F358" i="6"/>
  <c r="F358" i="4"/>
  <c r="E357" i="6"/>
  <c r="E357" i="4"/>
  <c r="D356" i="6"/>
  <c r="D356" i="4"/>
  <c r="H354" i="6"/>
  <c r="H354" i="4"/>
  <c r="G353" i="6"/>
  <c r="G353" i="4"/>
  <c r="D352" i="6"/>
  <c r="D352" i="4"/>
  <c r="C351" i="6"/>
  <c r="C351" i="4"/>
  <c r="G349" i="6"/>
  <c r="G349" i="4"/>
  <c r="E348" i="6"/>
  <c r="E348" i="4"/>
  <c r="C345" i="6"/>
  <c r="C345" i="4"/>
  <c r="H346" i="6"/>
  <c r="H346" i="4"/>
  <c r="H342" i="6"/>
  <c r="H342" i="4"/>
  <c r="G341" i="6"/>
  <c r="G341" i="4"/>
  <c r="F340" i="6"/>
  <c r="F340" i="4"/>
  <c r="D343" i="6"/>
  <c r="D343" i="4"/>
  <c r="D338" i="6"/>
  <c r="D338" i="4"/>
  <c r="C337" i="6"/>
  <c r="C337" i="4"/>
  <c r="H336" i="6"/>
  <c r="H336" i="4"/>
  <c r="G335" i="6"/>
  <c r="G335" i="4"/>
  <c r="F334" i="6"/>
  <c r="F334" i="4"/>
  <c r="C333" i="6"/>
  <c r="C333" i="4"/>
  <c r="H331" i="6"/>
  <c r="H331" i="4"/>
  <c r="F330" i="6"/>
  <c r="F330" i="4"/>
  <c r="D329" i="6"/>
  <c r="D329" i="4"/>
  <c r="I327" i="6"/>
  <c r="I327" i="4"/>
  <c r="H326" i="6"/>
  <c r="H326" i="4"/>
  <c r="D325" i="6"/>
  <c r="D325" i="4"/>
  <c r="I323" i="6"/>
  <c r="I323" i="4"/>
  <c r="H322" i="6"/>
  <c r="H322" i="4"/>
  <c r="E321" i="6"/>
  <c r="E321" i="4"/>
  <c r="C320" i="6"/>
  <c r="C320" i="4"/>
  <c r="I318" i="6"/>
  <c r="I318" i="4"/>
  <c r="H317" i="6"/>
  <c r="H317" i="4"/>
  <c r="G316" i="6"/>
  <c r="G316" i="4"/>
  <c r="D315" i="6"/>
  <c r="D315" i="4"/>
  <c r="H314" i="6"/>
  <c r="H314" i="4"/>
  <c r="D311" i="6"/>
  <c r="D311" i="4"/>
  <c r="I312" i="6"/>
  <c r="I312" i="4"/>
  <c r="C310" i="6"/>
  <c r="C310" i="4"/>
  <c r="E309" i="6"/>
  <c r="E309" i="4"/>
  <c r="D308" i="6"/>
  <c r="D308" i="4"/>
  <c r="H306" i="6"/>
  <c r="H306" i="4"/>
  <c r="C305" i="6"/>
  <c r="C305" i="4"/>
  <c r="H304" i="6"/>
  <c r="H304" i="4"/>
  <c r="C303" i="6"/>
  <c r="C303" i="4"/>
  <c r="F301" i="6"/>
  <c r="F301" i="4"/>
  <c r="E300" i="6"/>
  <c r="E300" i="4"/>
  <c r="D299" i="6"/>
  <c r="D299" i="4"/>
  <c r="G298" i="6"/>
  <c r="G298" i="4"/>
  <c r="E297" i="6"/>
  <c r="E297" i="4"/>
  <c r="C296" i="6"/>
  <c r="C296" i="4"/>
  <c r="G294" i="6"/>
  <c r="G294" i="4"/>
  <c r="E293" i="6"/>
  <c r="E293" i="4"/>
  <c r="D292" i="6"/>
  <c r="D292" i="4"/>
  <c r="E290" i="6"/>
  <c r="E290" i="4"/>
  <c r="D289" i="6"/>
  <c r="D289" i="4"/>
  <c r="I287" i="6"/>
  <c r="I287" i="4"/>
  <c r="E285" i="6"/>
  <c r="E285" i="4"/>
  <c r="G284" i="6"/>
  <c r="G284" i="4"/>
  <c r="F283" i="6"/>
  <c r="F283" i="4"/>
  <c r="I281" i="6"/>
  <c r="I281" i="4"/>
  <c r="G279" i="6"/>
  <c r="G279" i="4"/>
  <c r="F278" i="6"/>
  <c r="F278" i="4"/>
  <c r="H276" i="6"/>
  <c r="H276" i="4"/>
  <c r="F275" i="6"/>
  <c r="F275" i="4"/>
  <c r="C273" i="6"/>
  <c r="C273" i="4"/>
  <c r="H272" i="6"/>
  <c r="H272" i="4"/>
  <c r="G271" i="6"/>
  <c r="G271" i="4"/>
  <c r="G269" i="6"/>
  <c r="G269" i="4"/>
  <c r="E268" i="6"/>
  <c r="E268" i="4"/>
  <c r="C266" i="6"/>
  <c r="C266" i="4"/>
  <c r="I265" i="6"/>
  <c r="I265" i="4"/>
  <c r="H264" i="6"/>
  <c r="H264" i="4"/>
  <c r="I261" i="6"/>
  <c r="I261" i="4"/>
  <c r="H260" i="6"/>
  <c r="H260" i="4"/>
  <c r="F259" i="6"/>
  <c r="F259" i="4"/>
  <c r="C257" i="6"/>
  <c r="C257" i="4"/>
  <c r="I256" i="6"/>
  <c r="I256" i="4"/>
  <c r="F254" i="6"/>
  <c r="F254" i="4"/>
  <c r="I252" i="6"/>
  <c r="I252" i="4"/>
  <c r="H251" i="6"/>
  <c r="H251" i="4"/>
  <c r="F250" i="6"/>
  <c r="F250" i="4"/>
  <c r="E249" i="6"/>
  <c r="E249" i="4"/>
  <c r="C248" i="6"/>
  <c r="C248" i="4"/>
  <c r="G246" i="6"/>
  <c r="G246" i="4"/>
  <c r="G244" i="6"/>
  <c r="G244" i="4"/>
  <c r="E243" i="6"/>
  <c r="E243" i="4"/>
  <c r="C241" i="6"/>
  <c r="C241" i="4"/>
  <c r="I239" i="6"/>
  <c r="I239" i="4"/>
  <c r="G238" i="6"/>
  <c r="G238" i="4"/>
  <c r="E237" i="6"/>
  <c r="E237" i="4"/>
  <c r="I236" i="6"/>
  <c r="I236" i="4"/>
  <c r="F235" i="6"/>
  <c r="F235" i="4"/>
  <c r="I232" i="6"/>
  <c r="I232" i="4"/>
  <c r="H231" i="6"/>
  <c r="H231" i="4"/>
  <c r="G230" i="6"/>
  <c r="G230" i="4"/>
  <c r="E229" i="6"/>
  <c r="E229" i="4"/>
  <c r="I225" i="6"/>
  <c r="I225" i="4"/>
  <c r="H227" i="6"/>
  <c r="H227" i="4"/>
  <c r="F224" i="6"/>
  <c r="F224" i="4"/>
  <c r="H226" i="6"/>
  <c r="H226" i="4"/>
  <c r="H221" i="6"/>
  <c r="H221" i="4"/>
  <c r="G222" i="6"/>
  <c r="G222" i="4"/>
  <c r="E220" i="6"/>
  <c r="E220" i="4"/>
  <c r="G218" i="6"/>
  <c r="G218" i="4"/>
  <c r="G213" i="6"/>
  <c r="G213" i="4"/>
  <c r="G208" i="6"/>
  <c r="G208" i="4"/>
  <c r="G201" i="6"/>
  <c r="G201" i="4"/>
  <c r="G198" i="6"/>
  <c r="G198" i="4"/>
  <c r="E196" i="6"/>
  <c r="E196" i="4"/>
  <c r="G194" i="6"/>
  <c r="G194" i="4"/>
  <c r="E193" i="6"/>
  <c r="E193" i="4"/>
  <c r="G179" i="6"/>
  <c r="G179" i="4"/>
  <c r="G65" i="6"/>
  <c r="G65" i="4"/>
  <c r="D506" i="6"/>
  <c r="D506" i="4"/>
  <c r="D505" i="6"/>
  <c r="D505" i="4"/>
  <c r="D504" i="6"/>
  <c r="D504" i="4"/>
  <c r="D503" i="6"/>
  <c r="D503" i="4"/>
  <c r="D502" i="6"/>
  <c r="D502" i="4"/>
  <c r="D501" i="6"/>
  <c r="D501" i="4"/>
  <c r="D500" i="6"/>
  <c r="D500" i="4"/>
  <c r="D499" i="6"/>
  <c r="D499" i="4"/>
  <c r="D498" i="6"/>
  <c r="D498" i="4"/>
  <c r="D497" i="6"/>
  <c r="D497" i="4"/>
  <c r="H496" i="6"/>
  <c r="H496" i="4"/>
  <c r="G495" i="6"/>
  <c r="G495" i="4"/>
  <c r="D493" i="6"/>
  <c r="D493" i="4"/>
  <c r="C494" i="6"/>
  <c r="C494" i="4"/>
  <c r="H492" i="6"/>
  <c r="H492" i="4"/>
  <c r="C491" i="6"/>
  <c r="C491" i="4"/>
  <c r="H490" i="6"/>
  <c r="H490" i="4"/>
  <c r="G489" i="6"/>
  <c r="G489" i="4"/>
  <c r="E488" i="6"/>
  <c r="E488" i="4"/>
  <c r="I487" i="6"/>
  <c r="I487" i="4"/>
  <c r="G486" i="6"/>
  <c r="G486" i="4"/>
  <c r="F485" i="6"/>
  <c r="F485" i="4"/>
  <c r="C484" i="6"/>
  <c r="C484" i="4"/>
  <c r="F482" i="6"/>
  <c r="F482" i="4"/>
  <c r="E483" i="6"/>
  <c r="E483" i="4"/>
  <c r="I480" i="6"/>
  <c r="I480" i="4"/>
  <c r="F481" i="6"/>
  <c r="F481" i="4"/>
  <c r="C479" i="6"/>
  <c r="C479" i="4"/>
  <c r="G478" i="6"/>
  <c r="G478" i="4"/>
  <c r="F477" i="6"/>
  <c r="F477" i="4"/>
  <c r="D476" i="6"/>
  <c r="D476" i="4"/>
  <c r="C475" i="6"/>
  <c r="C475" i="4"/>
  <c r="I474" i="6"/>
  <c r="I474" i="4"/>
  <c r="F473" i="6"/>
  <c r="F473" i="4"/>
  <c r="C472" i="6"/>
  <c r="C472" i="4"/>
  <c r="H470" i="6"/>
  <c r="H470" i="4"/>
  <c r="D469" i="6"/>
  <c r="D469" i="4"/>
  <c r="C468" i="6"/>
  <c r="C468" i="4"/>
  <c r="H467" i="6"/>
  <c r="H467" i="4"/>
  <c r="E465" i="6"/>
  <c r="E465" i="4"/>
  <c r="D466" i="6"/>
  <c r="D466" i="4"/>
  <c r="H463" i="6"/>
  <c r="H463" i="4"/>
  <c r="G462" i="6"/>
  <c r="G462" i="4"/>
  <c r="F461" i="6"/>
  <c r="F461" i="4"/>
  <c r="D460" i="6"/>
  <c r="D460" i="4"/>
  <c r="I459" i="6"/>
  <c r="I459" i="4"/>
  <c r="H458" i="6"/>
  <c r="H458" i="4"/>
  <c r="G457" i="6"/>
  <c r="G457" i="4"/>
  <c r="D456" i="6"/>
  <c r="D456" i="4"/>
  <c r="C455" i="6"/>
  <c r="C455" i="4"/>
  <c r="G454" i="6"/>
  <c r="G454" i="4"/>
  <c r="E453" i="6"/>
  <c r="E453" i="4"/>
  <c r="C452" i="6"/>
  <c r="C452" i="4"/>
  <c r="H451" i="6"/>
  <c r="H451" i="4"/>
  <c r="F450" i="6"/>
  <c r="F450" i="4"/>
  <c r="D449" i="6"/>
  <c r="D449" i="4"/>
  <c r="C448" i="6"/>
  <c r="C448" i="4"/>
  <c r="I446" i="6"/>
  <c r="I446" i="4"/>
  <c r="F445" i="6"/>
  <c r="F445" i="4"/>
  <c r="D444" i="6"/>
  <c r="D444" i="4"/>
  <c r="I442" i="6"/>
  <c r="I442" i="4"/>
  <c r="G443" i="6"/>
  <c r="G443" i="4"/>
  <c r="E441" i="6"/>
  <c r="E441" i="4"/>
  <c r="D438" i="6"/>
  <c r="D438" i="4"/>
  <c r="C440" i="6"/>
  <c r="C440" i="4"/>
  <c r="G437" i="6"/>
  <c r="G437" i="4"/>
  <c r="E436" i="6"/>
  <c r="E436" i="4"/>
  <c r="D435" i="6"/>
  <c r="D435" i="4"/>
  <c r="C434" i="6"/>
  <c r="C434" i="4"/>
  <c r="I432" i="6"/>
  <c r="I432" i="4"/>
  <c r="H431" i="6"/>
  <c r="H431" i="4"/>
  <c r="G430" i="6"/>
  <c r="G430" i="4"/>
  <c r="I429" i="6"/>
  <c r="I429" i="4"/>
  <c r="H428" i="6"/>
  <c r="H428" i="4"/>
  <c r="F427" i="6"/>
  <c r="F427" i="4"/>
  <c r="C426" i="6"/>
  <c r="C426" i="4"/>
  <c r="I424" i="6"/>
  <c r="I424" i="4"/>
  <c r="H423" i="6"/>
  <c r="H423" i="4"/>
  <c r="F422" i="6"/>
  <c r="F422" i="4"/>
  <c r="H421" i="6"/>
  <c r="H421" i="4"/>
  <c r="D419" i="6"/>
  <c r="D419" i="4"/>
  <c r="F417" i="6"/>
  <c r="F417" i="4"/>
  <c r="C416" i="6"/>
  <c r="C416" i="4"/>
  <c r="H415" i="6"/>
  <c r="H415" i="4"/>
  <c r="C414" i="6"/>
  <c r="C414" i="4"/>
  <c r="H412" i="6"/>
  <c r="H412" i="4"/>
  <c r="G411" i="6"/>
  <c r="G411" i="4"/>
  <c r="E410" i="6"/>
  <c r="E410" i="4"/>
  <c r="D409" i="6"/>
  <c r="D409" i="4"/>
  <c r="I407" i="6"/>
  <c r="I407" i="4"/>
  <c r="H406" i="6"/>
  <c r="H406" i="4"/>
  <c r="G405" i="6"/>
  <c r="G405" i="4"/>
  <c r="F404" i="6"/>
  <c r="F404" i="4"/>
  <c r="E403" i="6"/>
  <c r="E403" i="4"/>
  <c r="I401" i="6"/>
  <c r="I401" i="4"/>
  <c r="H400" i="6"/>
  <c r="H400" i="4"/>
  <c r="G399" i="6"/>
  <c r="G399" i="4"/>
  <c r="D398" i="6"/>
  <c r="D398" i="4"/>
  <c r="G396" i="6"/>
  <c r="G396" i="4"/>
  <c r="D395" i="6"/>
  <c r="D395" i="4"/>
  <c r="H394" i="6"/>
  <c r="H394" i="4"/>
  <c r="G393" i="6"/>
  <c r="G393" i="4"/>
  <c r="F392" i="6"/>
  <c r="F392" i="4"/>
  <c r="D391" i="6"/>
  <c r="D391" i="4"/>
  <c r="C390" i="6"/>
  <c r="C390" i="4"/>
  <c r="F389" i="6"/>
  <c r="F389" i="4"/>
  <c r="E388" i="6"/>
  <c r="E388" i="4"/>
  <c r="D387" i="6"/>
  <c r="D387" i="4"/>
  <c r="G385" i="6"/>
  <c r="G385" i="4"/>
  <c r="D384" i="6"/>
  <c r="D384" i="4"/>
  <c r="C383" i="6"/>
  <c r="C383" i="4"/>
  <c r="I382" i="6"/>
  <c r="I382" i="4"/>
  <c r="E381" i="6"/>
  <c r="E381" i="4"/>
  <c r="I378" i="6"/>
  <c r="I378" i="4"/>
  <c r="E380" i="6"/>
  <c r="E380" i="4"/>
  <c r="D377" i="6"/>
  <c r="D377" i="4"/>
  <c r="C376" i="6"/>
  <c r="C376" i="4"/>
  <c r="I375" i="6"/>
  <c r="I375" i="4"/>
  <c r="G374" i="6"/>
  <c r="G374" i="4"/>
  <c r="H372" i="6"/>
  <c r="H372" i="4"/>
  <c r="F373" i="6"/>
  <c r="F373" i="4"/>
  <c r="E371" i="6"/>
  <c r="E371" i="4"/>
  <c r="D370" i="6"/>
  <c r="D370" i="4"/>
  <c r="H368" i="6"/>
  <c r="H368" i="4"/>
  <c r="G367" i="6"/>
  <c r="G367" i="4"/>
  <c r="F366" i="6"/>
  <c r="F366" i="4"/>
  <c r="E365" i="6"/>
  <c r="E365" i="4"/>
  <c r="C364" i="6"/>
  <c r="C364" i="4"/>
  <c r="G363" i="6"/>
  <c r="G363" i="4"/>
  <c r="F362" i="6"/>
  <c r="F362" i="4"/>
  <c r="C361" i="6"/>
  <c r="C361" i="4"/>
  <c r="H359" i="6"/>
  <c r="H359" i="4"/>
  <c r="G358" i="6"/>
  <c r="G358" i="4"/>
  <c r="F357" i="6"/>
  <c r="F357" i="4"/>
  <c r="E356" i="6"/>
  <c r="E356" i="4"/>
  <c r="C355" i="6"/>
  <c r="C355" i="4"/>
  <c r="I354" i="6"/>
  <c r="I354" i="4"/>
  <c r="H353" i="6"/>
  <c r="H353" i="4"/>
  <c r="E352" i="6"/>
  <c r="E352" i="4"/>
  <c r="D351" i="6"/>
  <c r="D351" i="4"/>
  <c r="C350" i="6"/>
  <c r="C350" i="4"/>
  <c r="H349" i="6"/>
  <c r="H349" i="4"/>
  <c r="F348" i="6"/>
  <c r="F348" i="4"/>
  <c r="D345" i="6"/>
  <c r="D345" i="4"/>
  <c r="C347" i="6"/>
  <c r="C347" i="4"/>
  <c r="I346" i="6"/>
  <c r="I346" i="4"/>
  <c r="C344" i="6"/>
  <c r="C344" i="4"/>
  <c r="I342" i="6"/>
  <c r="I342" i="4"/>
  <c r="H341" i="6"/>
  <c r="H341" i="4"/>
  <c r="G340" i="6"/>
  <c r="G340" i="4"/>
  <c r="E343" i="6"/>
  <c r="E343" i="4"/>
  <c r="C339" i="6"/>
  <c r="C339" i="4"/>
  <c r="E338" i="6"/>
  <c r="E338" i="4"/>
  <c r="D337" i="6"/>
  <c r="D337" i="4"/>
  <c r="I336" i="6"/>
  <c r="I336" i="4"/>
  <c r="H335" i="6"/>
  <c r="H335" i="4"/>
  <c r="G334" i="6"/>
  <c r="G334" i="4"/>
  <c r="D333" i="6"/>
  <c r="D333" i="4"/>
  <c r="C332" i="6"/>
  <c r="C332" i="4"/>
  <c r="I331" i="6"/>
  <c r="I331" i="4"/>
  <c r="G330" i="6"/>
  <c r="G330" i="4"/>
  <c r="E329" i="6"/>
  <c r="E329" i="4"/>
  <c r="C328" i="6"/>
  <c r="C328" i="4"/>
  <c r="I326" i="6"/>
  <c r="I326" i="4"/>
  <c r="E325" i="6"/>
  <c r="E325" i="4"/>
  <c r="C324" i="6"/>
  <c r="C324" i="4"/>
  <c r="I322" i="6"/>
  <c r="I322" i="4"/>
  <c r="F321" i="6"/>
  <c r="F321" i="4"/>
  <c r="D320" i="6"/>
  <c r="D320" i="4"/>
  <c r="C319" i="6"/>
  <c r="C319" i="4"/>
  <c r="I317" i="6"/>
  <c r="I317" i="4"/>
  <c r="H316" i="6"/>
  <c r="H316" i="4"/>
  <c r="E315" i="6"/>
  <c r="E315" i="4"/>
  <c r="I314" i="6"/>
  <c r="I314" i="4"/>
  <c r="E311" i="6"/>
  <c r="E311" i="4"/>
  <c r="C313" i="6"/>
  <c r="C313" i="4"/>
  <c r="D310" i="6"/>
  <c r="D310" i="4"/>
  <c r="F309" i="6"/>
  <c r="F309" i="4"/>
  <c r="E308" i="6"/>
  <c r="E308" i="4"/>
  <c r="C307" i="6"/>
  <c r="C307" i="4"/>
  <c r="I306" i="6"/>
  <c r="I306" i="4"/>
  <c r="D305" i="6"/>
  <c r="D305" i="4"/>
  <c r="I304" i="6"/>
  <c r="I304" i="4"/>
  <c r="D303" i="6"/>
  <c r="D303" i="4"/>
  <c r="C302" i="6"/>
  <c r="C302" i="4"/>
  <c r="G301" i="6"/>
  <c r="G301" i="4"/>
  <c r="F300" i="6"/>
  <c r="F300" i="4"/>
  <c r="E299" i="6"/>
  <c r="E299" i="4"/>
  <c r="H298" i="6"/>
  <c r="H298" i="4"/>
  <c r="F297" i="6"/>
  <c r="F297" i="4"/>
  <c r="D296" i="6"/>
  <c r="D296" i="4"/>
  <c r="C295" i="6"/>
  <c r="C295" i="4"/>
  <c r="H294" i="6"/>
  <c r="H294" i="4"/>
  <c r="F293" i="6"/>
  <c r="F293" i="4"/>
  <c r="E292" i="6"/>
  <c r="E292" i="4"/>
  <c r="C291" i="6"/>
  <c r="C291" i="4"/>
  <c r="F290" i="6"/>
  <c r="F290" i="4"/>
  <c r="E289" i="6"/>
  <c r="E289" i="4"/>
  <c r="C288" i="6"/>
  <c r="C288" i="4"/>
  <c r="I286" i="6"/>
  <c r="I286" i="4"/>
  <c r="F285" i="6"/>
  <c r="F285" i="4"/>
  <c r="G283" i="6"/>
  <c r="G283" i="4"/>
  <c r="C282" i="6"/>
  <c r="C282" i="4"/>
  <c r="I280" i="6"/>
  <c r="I280" i="4"/>
  <c r="G278" i="6"/>
  <c r="G278" i="4"/>
  <c r="C277" i="6"/>
  <c r="C277" i="4"/>
  <c r="I276" i="6"/>
  <c r="I276" i="4"/>
  <c r="G275" i="6"/>
  <c r="G275" i="4"/>
  <c r="E274" i="6"/>
  <c r="E274" i="4"/>
  <c r="I272" i="6"/>
  <c r="I272" i="4"/>
  <c r="H271" i="6"/>
  <c r="H271" i="4"/>
  <c r="C270" i="6"/>
  <c r="C270" i="4"/>
  <c r="H269" i="6"/>
  <c r="H269" i="4"/>
  <c r="F268" i="6"/>
  <c r="F268" i="4"/>
  <c r="E267" i="6"/>
  <c r="E267" i="4"/>
  <c r="I264" i="6"/>
  <c r="I264" i="4"/>
  <c r="E263" i="6"/>
  <c r="E263" i="4"/>
  <c r="C262" i="6"/>
  <c r="C262" i="4"/>
  <c r="I260" i="6"/>
  <c r="I260" i="4"/>
  <c r="G259" i="6"/>
  <c r="G259" i="4"/>
  <c r="E258" i="6"/>
  <c r="E258" i="4"/>
  <c r="C255" i="6"/>
  <c r="C255" i="4"/>
  <c r="G254" i="6"/>
  <c r="G254" i="4"/>
  <c r="E253" i="6"/>
  <c r="E253" i="4"/>
  <c r="I251" i="6"/>
  <c r="I251" i="4"/>
  <c r="G250" i="6"/>
  <c r="G250" i="4"/>
  <c r="F249" i="6"/>
  <c r="F249" i="4"/>
  <c r="C247" i="6"/>
  <c r="C247" i="4"/>
  <c r="H246" i="6"/>
  <c r="H246" i="4"/>
  <c r="E245" i="6"/>
  <c r="E245" i="4"/>
  <c r="H244" i="6"/>
  <c r="H244" i="4"/>
  <c r="F243" i="6"/>
  <c r="F243" i="4"/>
  <c r="E242" i="6"/>
  <c r="E242" i="4"/>
  <c r="C240" i="6"/>
  <c r="C240" i="4"/>
  <c r="H238" i="6"/>
  <c r="H238" i="4"/>
  <c r="F237" i="6"/>
  <c r="F237" i="4"/>
  <c r="G235" i="6"/>
  <c r="G235" i="4"/>
  <c r="E234" i="6"/>
  <c r="E234" i="4"/>
  <c r="I231" i="6"/>
  <c r="I231" i="4"/>
  <c r="H230" i="6"/>
  <c r="H230" i="4"/>
  <c r="F229" i="6"/>
  <c r="F229" i="4"/>
  <c r="E228" i="6"/>
  <c r="E228" i="4"/>
  <c r="I227" i="6"/>
  <c r="I227" i="4"/>
  <c r="G224" i="6"/>
  <c r="G224" i="4"/>
  <c r="E223" i="6"/>
  <c r="E223" i="4"/>
  <c r="H222" i="6"/>
  <c r="H222" i="4"/>
  <c r="F220" i="6"/>
  <c r="F220" i="4"/>
  <c r="H218" i="6"/>
  <c r="H218" i="4"/>
  <c r="G207" i="6"/>
  <c r="G207" i="4"/>
  <c r="E204" i="6"/>
  <c r="E204" i="4"/>
  <c r="G197" i="6"/>
  <c r="G197" i="4"/>
  <c r="G191" i="6"/>
  <c r="G191" i="4"/>
  <c r="G186" i="6"/>
  <c r="G186" i="4"/>
  <c r="G178" i="6"/>
  <c r="G178" i="4"/>
  <c r="G60" i="6"/>
  <c r="G60" i="4"/>
  <c r="G53" i="6"/>
  <c r="G53" i="4"/>
  <c r="G485" i="6"/>
  <c r="G485" i="4"/>
  <c r="D484" i="6"/>
  <c r="D484" i="4"/>
  <c r="G482" i="6"/>
  <c r="G482" i="4"/>
  <c r="F483" i="6"/>
  <c r="F483" i="4"/>
  <c r="G481" i="6"/>
  <c r="G481" i="4"/>
  <c r="D479" i="6"/>
  <c r="D479" i="4"/>
  <c r="H478" i="6"/>
  <c r="H478" i="4"/>
  <c r="G477" i="6"/>
  <c r="G477" i="4"/>
  <c r="E476" i="6"/>
  <c r="E476" i="4"/>
  <c r="D475" i="6"/>
  <c r="D475" i="4"/>
  <c r="G473" i="6"/>
  <c r="G473" i="4"/>
  <c r="D472" i="6"/>
  <c r="D472" i="4"/>
  <c r="C471" i="6"/>
  <c r="C471" i="4"/>
  <c r="I470" i="6"/>
  <c r="I470" i="4"/>
  <c r="E469" i="6"/>
  <c r="E469" i="4"/>
  <c r="D468" i="6"/>
  <c r="D468" i="4"/>
  <c r="I467" i="6"/>
  <c r="I467" i="4"/>
  <c r="F465" i="6"/>
  <c r="F465" i="4"/>
  <c r="E466" i="6"/>
  <c r="E466" i="4"/>
  <c r="C464" i="6"/>
  <c r="C464" i="4"/>
  <c r="I463" i="6"/>
  <c r="I463" i="4"/>
  <c r="H462" i="6"/>
  <c r="H462" i="4"/>
  <c r="G461" i="6"/>
  <c r="G461" i="4"/>
  <c r="E460" i="6"/>
  <c r="E460" i="4"/>
  <c r="I458" i="6"/>
  <c r="I458" i="4"/>
  <c r="H457" i="6"/>
  <c r="H457" i="4"/>
  <c r="E456" i="6"/>
  <c r="E456" i="4"/>
  <c r="D455" i="6"/>
  <c r="D455" i="4"/>
  <c r="H454" i="6"/>
  <c r="H454" i="4"/>
  <c r="F453" i="6"/>
  <c r="F453" i="4"/>
  <c r="D452" i="6"/>
  <c r="D452" i="4"/>
  <c r="I451" i="6"/>
  <c r="I451" i="4"/>
  <c r="G450" i="6"/>
  <c r="G450" i="4"/>
  <c r="E449" i="6"/>
  <c r="E449" i="4"/>
  <c r="D448" i="6"/>
  <c r="D448" i="4"/>
  <c r="C447" i="6"/>
  <c r="C447" i="4"/>
  <c r="G445" i="6"/>
  <c r="G445" i="4"/>
  <c r="E444" i="6"/>
  <c r="E444" i="4"/>
  <c r="H443" i="6"/>
  <c r="H443" i="4"/>
  <c r="F441" i="6"/>
  <c r="F441" i="4"/>
  <c r="E438" i="6"/>
  <c r="E438" i="4"/>
  <c r="D440" i="6"/>
  <c r="D440" i="4"/>
  <c r="C439" i="6"/>
  <c r="C439" i="4"/>
  <c r="H437" i="6"/>
  <c r="H437" i="4"/>
  <c r="F436" i="6"/>
  <c r="F436" i="4"/>
  <c r="E435" i="6"/>
  <c r="E435" i="4"/>
  <c r="D434" i="6"/>
  <c r="D434" i="4"/>
  <c r="C433" i="6"/>
  <c r="C433" i="4"/>
  <c r="I431" i="6"/>
  <c r="I431" i="4"/>
  <c r="H430" i="6"/>
  <c r="H430" i="4"/>
  <c r="I428" i="6"/>
  <c r="I428" i="4"/>
  <c r="G427" i="6"/>
  <c r="G427" i="4"/>
  <c r="D426" i="6"/>
  <c r="D426" i="4"/>
  <c r="C425" i="6"/>
  <c r="C425" i="4"/>
  <c r="I423" i="6"/>
  <c r="I423" i="4"/>
  <c r="G422" i="6"/>
  <c r="G422" i="4"/>
  <c r="C420" i="6"/>
  <c r="C420" i="4"/>
  <c r="I421" i="6"/>
  <c r="I421" i="4"/>
  <c r="E419" i="6"/>
  <c r="E419" i="4"/>
  <c r="C418" i="6"/>
  <c r="C418" i="4"/>
  <c r="G417" i="6"/>
  <c r="G417" i="4"/>
  <c r="D416" i="6"/>
  <c r="D416" i="4"/>
  <c r="I415" i="6"/>
  <c r="I415" i="4"/>
  <c r="D414" i="6"/>
  <c r="D414" i="4"/>
  <c r="C413" i="6"/>
  <c r="C413" i="4"/>
  <c r="I412" i="6"/>
  <c r="I412" i="4"/>
  <c r="H411" i="6"/>
  <c r="H411" i="4"/>
  <c r="F410" i="6"/>
  <c r="F410" i="4"/>
  <c r="E409" i="6"/>
  <c r="E409" i="4"/>
  <c r="C408" i="6"/>
  <c r="C408" i="4"/>
  <c r="I406" i="6"/>
  <c r="I406" i="4"/>
  <c r="H405" i="6"/>
  <c r="H405" i="4"/>
  <c r="G404" i="6"/>
  <c r="G404" i="4"/>
  <c r="F403" i="6"/>
  <c r="F403" i="4"/>
  <c r="C402" i="6"/>
  <c r="C402" i="4"/>
  <c r="I400" i="6"/>
  <c r="I400" i="4"/>
  <c r="H399" i="6"/>
  <c r="H399" i="4"/>
  <c r="E398" i="6"/>
  <c r="E398" i="4"/>
  <c r="C397" i="6"/>
  <c r="C397" i="4"/>
  <c r="H396" i="6"/>
  <c r="H396" i="4"/>
  <c r="E395" i="6"/>
  <c r="E395" i="4"/>
  <c r="I394" i="6"/>
  <c r="I394" i="4"/>
  <c r="H393" i="6"/>
  <c r="H393" i="4"/>
  <c r="G392" i="6"/>
  <c r="G392" i="4"/>
  <c r="E391" i="6"/>
  <c r="E391" i="4"/>
  <c r="D390" i="6"/>
  <c r="D390" i="4"/>
  <c r="G389" i="6"/>
  <c r="G389" i="4"/>
  <c r="F388" i="6"/>
  <c r="F388" i="4"/>
  <c r="E387" i="6"/>
  <c r="E387" i="4"/>
  <c r="C386" i="6"/>
  <c r="C386" i="4"/>
  <c r="H385" i="6"/>
  <c r="H385" i="4"/>
  <c r="E384" i="6"/>
  <c r="E384" i="4"/>
  <c r="D383" i="6"/>
  <c r="D383" i="4"/>
  <c r="F381" i="6"/>
  <c r="F381" i="4"/>
  <c r="C379" i="6"/>
  <c r="C379" i="4"/>
  <c r="F380" i="6"/>
  <c r="F380" i="4"/>
  <c r="E377" i="6"/>
  <c r="E377" i="4"/>
  <c r="D376" i="6"/>
  <c r="D376" i="4"/>
  <c r="H374" i="6"/>
  <c r="H374" i="4"/>
  <c r="I372" i="6"/>
  <c r="I372" i="4"/>
  <c r="G373" i="6"/>
  <c r="G373" i="4"/>
  <c r="F371" i="6"/>
  <c r="F371" i="4"/>
  <c r="E370" i="6"/>
  <c r="E370" i="4"/>
  <c r="I368" i="6"/>
  <c r="I368" i="4"/>
  <c r="H367" i="6"/>
  <c r="H367" i="4"/>
  <c r="G366" i="6"/>
  <c r="G366" i="4"/>
  <c r="F365" i="6"/>
  <c r="F365" i="4"/>
  <c r="D364" i="6"/>
  <c r="D364" i="4"/>
  <c r="H363" i="6"/>
  <c r="H363" i="4"/>
  <c r="G362" i="6"/>
  <c r="G362" i="4"/>
  <c r="D361" i="6"/>
  <c r="D361" i="4"/>
  <c r="C360" i="6"/>
  <c r="C360" i="4"/>
  <c r="I359" i="6"/>
  <c r="I359" i="4"/>
  <c r="H358" i="6"/>
  <c r="H358" i="4"/>
  <c r="G357" i="6"/>
  <c r="G357" i="4"/>
  <c r="F356" i="6"/>
  <c r="F356" i="4"/>
  <c r="D355" i="6"/>
  <c r="D355" i="4"/>
  <c r="I353" i="6"/>
  <c r="I353" i="4"/>
  <c r="F352" i="6"/>
  <c r="F352" i="4"/>
  <c r="E351" i="6"/>
  <c r="E351" i="4"/>
  <c r="D350" i="6"/>
  <c r="D350" i="4"/>
  <c r="I349" i="6"/>
  <c r="I349" i="4"/>
  <c r="G348" i="6"/>
  <c r="G348" i="4"/>
  <c r="E345" i="6"/>
  <c r="E345" i="4"/>
  <c r="D347" i="6"/>
  <c r="D347" i="4"/>
  <c r="D344" i="6"/>
  <c r="D344" i="4"/>
  <c r="I341" i="6"/>
  <c r="I341" i="4"/>
  <c r="H340" i="6"/>
  <c r="H340" i="4"/>
  <c r="F343" i="6"/>
  <c r="F343" i="4"/>
  <c r="D339" i="6"/>
  <c r="D339" i="4"/>
  <c r="F338" i="6"/>
  <c r="F338" i="4"/>
  <c r="E337" i="6"/>
  <c r="E337" i="4"/>
  <c r="I335" i="6"/>
  <c r="I335" i="4"/>
  <c r="H334" i="6"/>
  <c r="H334" i="4"/>
  <c r="E333" i="6"/>
  <c r="E333" i="4"/>
  <c r="D332" i="6"/>
  <c r="D332" i="4"/>
  <c r="H330" i="6"/>
  <c r="H330" i="4"/>
  <c r="F329" i="6"/>
  <c r="F329" i="4"/>
  <c r="D328" i="6"/>
  <c r="D328" i="4"/>
  <c r="C327" i="6"/>
  <c r="C327" i="4"/>
  <c r="F325" i="6"/>
  <c r="F325" i="4"/>
  <c r="D324" i="6"/>
  <c r="D324" i="4"/>
  <c r="C323" i="6"/>
  <c r="C323" i="4"/>
  <c r="G321" i="6"/>
  <c r="G321" i="4"/>
  <c r="E320" i="6"/>
  <c r="E320" i="4"/>
  <c r="D319" i="6"/>
  <c r="D319" i="4"/>
  <c r="C318" i="6"/>
  <c r="C318" i="4"/>
  <c r="I316" i="6"/>
  <c r="I316" i="4"/>
  <c r="F315" i="6"/>
  <c r="F315" i="4"/>
  <c r="F311" i="6"/>
  <c r="F311" i="4"/>
  <c r="D313" i="6"/>
  <c r="D313" i="4"/>
  <c r="C312" i="6"/>
  <c r="C312" i="4"/>
  <c r="E310" i="6"/>
  <c r="E310" i="4"/>
  <c r="G309" i="6"/>
  <c r="G309" i="4"/>
  <c r="F308" i="6"/>
  <c r="F308" i="4"/>
  <c r="D307" i="6"/>
  <c r="D307" i="4"/>
  <c r="E305" i="6"/>
  <c r="E305" i="4"/>
  <c r="E303" i="6"/>
  <c r="E303" i="4"/>
  <c r="D302" i="6"/>
  <c r="D302" i="4"/>
  <c r="H301" i="6"/>
  <c r="H301" i="4"/>
  <c r="G300" i="6"/>
  <c r="G300" i="4"/>
  <c r="F299" i="6"/>
  <c r="F299" i="4"/>
  <c r="I298" i="6"/>
  <c r="I298" i="4"/>
  <c r="G297" i="6"/>
  <c r="G297" i="4"/>
  <c r="E296" i="6"/>
  <c r="E296" i="4"/>
  <c r="D295" i="6"/>
  <c r="D295" i="4"/>
  <c r="I294" i="6"/>
  <c r="I294" i="4"/>
  <c r="G293" i="6"/>
  <c r="G293" i="4"/>
  <c r="F292" i="6"/>
  <c r="F292" i="4"/>
  <c r="D291" i="6"/>
  <c r="D291" i="4"/>
  <c r="G290" i="6"/>
  <c r="G290" i="4"/>
  <c r="F289" i="6"/>
  <c r="F289" i="4"/>
  <c r="D288" i="6"/>
  <c r="D288" i="4"/>
  <c r="C287" i="6"/>
  <c r="C287" i="4"/>
  <c r="G285" i="6"/>
  <c r="G285" i="4"/>
  <c r="I284" i="6"/>
  <c r="I284" i="4"/>
  <c r="D282" i="6"/>
  <c r="D282" i="4"/>
  <c r="C281" i="6"/>
  <c r="C281" i="4"/>
  <c r="I279" i="6"/>
  <c r="I279" i="4"/>
  <c r="D277" i="6"/>
  <c r="D277" i="4"/>
  <c r="H275" i="6"/>
  <c r="H275" i="4"/>
  <c r="F274" i="6"/>
  <c r="F274" i="4"/>
  <c r="E273" i="6"/>
  <c r="E273" i="4"/>
  <c r="I271" i="6"/>
  <c r="I271" i="4"/>
  <c r="I269" i="6"/>
  <c r="I269" i="4"/>
  <c r="G268" i="6"/>
  <c r="G268" i="4"/>
  <c r="F267" i="6"/>
  <c r="F267" i="4"/>
  <c r="E266" i="6"/>
  <c r="E266" i="4"/>
  <c r="C265" i="6"/>
  <c r="C265" i="4"/>
  <c r="F263" i="6"/>
  <c r="F263" i="4"/>
  <c r="C261" i="6"/>
  <c r="C261" i="4"/>
  <c r="H259" i="6"/>
  <c r="H259" i="4"/>
  <c r="F258" i="6"/>
  <c r="F258" i="4"/>
  <c r="E257" i="6"/>
  <c r="E257" i="4"/>
  <c r="C256" i="6"/>
  <c r="C256" i="4"/>
  <c r="H254" i="6"/>
  <c r="H254" i="4"/>
  <c r="F253" i="6"/>
  <c r="F253" i="4"/>
  <c r="C252" i="6"/>
  <c r="C252" i="4"/>
  <c r="H250" i="6"/>
  <c r="H250" i="4"/>
  <c r="G249" i="6"/>
  <c r="G249" i="4"/>
  <c r="E248" i="6"/>
  <c r="E248" i="4"/>
  <c r="I246" i="6"/>
  <c r="I246" i="4"/>
  <c r="F245" i="6"/>
  <c r="F245" i="4"/>
  <c r="I244" i="6"/>
  <c r="I244" i="4"/>
  <c r="G243" i="6"/>
  <c r="G243" i="4"/>
  <c r="F242" i="6"/>
  <c r="F242" i="4"/>
  <c r="E241" i="6"/>
  <c r="E241" i="4"/>
  <c r="C239" i="6"/>
  <c r="C239" i="4"/>
  <c r="I238" i="6"/>
  <c r="I238" i="4"/>
  <c r="G237" i="6"/>
  <c r="G237" i="4"/>
  <c r="C236" i="6"/>
  <c r="C236" i="4"/>
  <c r="H235" i="6"/>
  <c r="H235" i="4"/>
  <c r="F234" i="6"/>
  <c r="F234" i="4"/>
  <c r="I230" i="6"/>
  <c r="I230" i="4"/>
  <c r="G229" i="6"/>
  <c r="G229" i="4"/>
  <c r="F228" i="6"/>
  <c r="F228" i="4"/>
  <c r="H224" i="6"/>
  <c r="H224" i="4"/>
  <c r="F223" i="6"/>
  <c r="F223" i="4"/>
  <c r="G220" i="6"/>
  <c r="G220" i="4"/>
  <c r="E215" i="6"/>
  <c r="E215" i="4"/>
  <c r="E212" i="6"/>
  <c r="E212" i="4"/>
  <c r="E203" i="6"/>
  <c r="E203" i="4"/>
  <c r="G196" i="6"/>
  <c r="G196" i="4"/>
  <c r="G193" i="6"/>
  <c r="G193" i="4"/>
  <c r="G188" i="6"/>
  <c r="G188" i="4"/>
  <c r="G183" i="6"/>
  <c r="G183" i="4"/>
  <c r="G177" i="6"/>
  <c r="G177" i="4"/>
  <c r="G58" i="6"/>
  <c r="G58" i="4"/>
  <c r="G52" i="6"/>
  <c r="G52" i="4"/>
  <c r="F508" i="6"/>
  <c r="F508" i="4"/>
  <c r="F507" i="6"/>
  <c r="F507" i="4"/>
  <c r="F506" i="6"/>
  <c r="F506" i="4"/>
  <c r="F505" i="6"/>
  <c r="F505" i="4"/>
  <c r="F504" i="6"/>
  <c r="F504" i="4"/>
  <c r="F503" i="6"/>
  <c r="F503" i="4"/>
  <c r="F502" i="6"/>
  <c r="F502" i="4"/>
  <c r="F501" i="6"/>
  <c r="F501" i="4"/>
  <c r="F500" i="6"/>
  <c r="F500" i="4"/>
  <c r="F499" i="6"/>
  <c r="F499" i="4"/>
  <c r="F498" i="6"/>
  <c r="F498" i="4"/>
  <c r="F497" i="6"/>
  <c r="F497" i="4"/>
  <c r="I495" i="6"/>
  <c r="I495" i="4"/>
  <c r="F493" i="6"/>
  <c r="F493" i="4"/>
  <c r="E494" i="6"/>
  <c r="E494" i="4"/>
  <c r="E491" i="6"/>
  <c r="E491" i="4"/>
  <c r="I489" i="6"/>
  <c r="I489" i="4"/>
  <c r="G488" i="6"/>
  <c r="G488" i="4"/>
  <c r="C487" i="6"/>
  <c r="C487" i="4"/>
  <c r="I486" i="6"/>
  <c r="I486" i="4"/>
  <c r="H485" i="6"/>
  <c r="H485" i="4"/>
  <c r="E484" i="6"/>
  <c r="E484" i="4"/>
  <c r="H482" i="6"/>
  <c r="H482" i="4"/>
  <c r="G483" i="6"/>
  <c r="G483" i="4"/>
  <c r="C480" i="6"/>
  <c r="C480" i="4"/>
  <c r="H481" i="6"/>
  <c r="H481" i="4"/>
  <c r="E479" i="6"/>
  <c r="E479" i="4"/>
  <c r="I478" i="6"/>
  <c r="I478" i="4"/>
  <c r="H477" i="6"/>
  <c r="H477" i="4"/>
  <c r="F476" i="6"/>
  <c r="F476" i="4"/>
  <c r="E475" i="6"/>
  <c r="E475" i="4"/>
  <c r="C474" i="6"/>
  <c r="C474" i="4"/>
  <c r="H473" i="6"/>
  <c r="H473" i="4"/>
  <c r="E472" i="6"/>
  <c r="E472" i="4"/>
  <c r="D471" i="6"/>
  <c r="D471" i="4"/>
  <c r="F469" i="6"/>
  <c r="F469" i="4"/>
  <c r="E468" i="6"/>
  <c r="E468" i="4"/>
  <c r="G465" i="6"/>
  <c r="G465" i="4"/>
  <c r="F466" i="6"/>
  <c r="F466" i="4"/>
  <c r="D464" i="6"/>
  <c r="D464" i="4"/>
  <c r="I462" i="6"/>
  <c r="I462" i="4"/>
  <c r="H461" i="6"/>
  <c r="H461" i="4"/>
  <c r="F460" i="6"/>
  <c r="F460" i="4"/>
  <c r="C459" i="6"/>
  <c r="C459" i="4"/>
  <c r="I457" i="6"/>
  <c r="I457" i="4"/>
  <c r="F456" i="6"/>
  <c r="F456" i="4"/>
  <c r="E455" i="6"/>
  <c r="E455" i="4"/>
  <c r="I454" i="6"/>
  <c r="I454" i="4"/>
  <c r="G453" i="6"/>
  <c r="G453" i="4"/>
  <c r="E452" i="6"/>
  <c r="E452" i="4"/>
  <c r="H450" i="6"/>
  <c r="H450" i="4"/>
  <c r="F449" i="6"/>
  <c r="F449" i="4"/>
  <c r="E448" i="6"/>
  <c r="E448" i="4"/>
  <c r="D447" i="6"/>
  <c r="D447" i="4"/>
  <c r="C446" i="6"/>
  <c r="C446" i="4"/>
  <c r="H445" i="6"/>
  <c r="H445" i="4"/>
  <c r="F444" i="6"/>
  <c r="F444" i="4"/>
  <c r="C442" i="6"/>
  <c r="C442" i="4"/>
  <c r="I443" i="6"/>
  <c r="I443" i="4"/>
  <c r="G441" i="6"/>
  <c r="G441" i="4"/>
  <c r="F438" i="6"/>
  <c r="F438" i="4"/>
  <c r="E440" i="6"/>
  <c r="E440" i="4"/>
  <c r="D439" i="6"/>
  <c r="D439" i="4"/>
  <c r="I437" i="6"/>
  <c r="I437" i="4"/>
  <c r="G436" i="6"/>
  <c r="G436" i="4"/>
  <c r="F435" i="6"/>
  <c r="F435" i="4"/>
  <c r="E434" i="6"/>
  <c r="E434" i="4"/>
  <c r="D433" i="6"/>
  <c r="D433" i="4"/>
  <c r="C432" i="6"/>
  <c r="C432" i="4"/>
  <c r="I430" i="6"/>
  <c r="I430" i="4"/>
  <c r="C429" i="6"/>
  <c r="C429" i="4"/>
  <c r="H427" i="6"/>
  <c r="H427" i="4"/>
  <c r="E426" i="6"/>
  <c r="E426" i="4"/>
  <c r="D425" i="6"/>
  <c r="D425" i="4"/>
  <c r="C424" i="6"/>
  <c r="C424" i="4"/>
  <c r="H422" i="6"/>
  <c r="H422" i="4"/>
  <c r="D420" i="6"/>
  <c r="D420" i="4"/>
  <c r="F419" i="6"/>
  <c r="F419" i="4"/>
  <c r="D418" i="6"/>
  <c r="D418" i="4"/>
  <c r="H417" i="6"/>
  <c r="H417" i="4"/>
  <c r="E416" i="6"/>
  <c r="E416" i="4"/>
  <c r="E414" i="6"/>
  <c r="E414" i="4"/>
  <c r="D413" i="6"/>
  <c r="D413" i="4"/>
  <c r="I411" i="6"/>
  <c r="I411" i="4"/>
  <c r="G410" i="6"/>
  <c r="G410" i="4"/>
  <c r="F409" i="6"/>
  <c r="F409" i="4"/>
  <c r="D408" i="6"/>
  <c r="D408" i="4"/>
  <c r="C407" i="6"/>
  <c r="C407" i="4"/>
  <c r="I405" i="6"/>
  <c r="I405" i="4"/>
  <c r="H404" i="6"/>
  <c r="H404" i="4"/>
  <c r="G403" i="6"/>
  <c r="G403" i="4"/>
  <c r="D402" i="6"/>
  <c r="D402" i="4"/>
  <c r="C401" i="6"/>
  <c r="C401" i="4"/>
  <c r="I399" i="6"/>
  <c r="I399" i="4"/>
  <c r="F398" i="6"/>
  <c r="F398" i="4"/>
  <c r="D397" i="6"/>
  <c r="D397" i="4"/>
  <c r="I396" i="6"/>
  <c r="I396" i="4"/>
  <c r="F395" i="6"/>
  <c r="F395" i="4"/>
  <c r="I393" i="6"/>
  <c r="I393" i="4"/>
  <c r="H392" i="6"/>
  <c r="H392" i="4"/>
  <c r="F391" i="6"/>
  <c r="F391" i="4"/>
  <c r="E390" i="6"/>
  <c r="E390" i="4"/>
  <c r="H389" i="6"/>
  <c r="H389" i="4"/>
  <c r="G388" i="6"/>
  <c r="G388" i="4"/>
  <c r="F387" i="6"/>
  <c r="F387" i="4"/>
  <c r="D386" i="6"/>
  <c r="D386" i="4"/>
  <c r="I385" i="6"/>
  <c r="I385" i="4"/>
  <c r="F384" i="6"/>
  <c r="F384" i="4"/>
  <c r="E383" i="6"/>
  <c r="E383" i="4"/>
  <c r="C382" i="6"/>
  <c r="C382" i="4"/>
  <c r="G381" i="6"/>
  <c r="G381" i="4"/>
  <c r="D379" i="6"/>
  <c r="D379" i="4"/>
  <c r="C378" i="6"/>
  <c r="C378" i="4"/>
  <c r="G380" i="6"/>
  <c r="G380" i="4"/>
  <c r="F377" i="6"/>
  <c r="F377" i="4"/>
  <c r="E376" i="6"/>
  <c r="E376" i="4"/>
  <c r="C375" i="6"/>
  <c r="C375" i="4"/>
  <c r="I374" i="6"/>
  <c r="I374" i="4"/>
  <c r="H373" i="6"/>
  <c r="H373" i="4"/>
  <c r="G371" i="6"/>
  <c r="G371" i="4"/>
  <c r="F370" i="6"/>
  <c r="F370" i="4"/>
  <c r="I367" i="6"/>
  <c r="I367" i="4"/>
  <c r="H366" i="6"/>
  <c r="H366" i="4"/>
  <c r="G365" i="6"/>
  <c r="G365" i="4"/>
  <c r="E364" i="6"/>
  <c r="E364" i="4"/>
  <c r="I363" i="6"/>
  <c r="I363" i="4"/>
  <c r="H362" i="6"/>
  <c r="H362" i="4"/>
  <c r="E361" i="6"/>
  <c r="E361" i="4"/>
  <c r="D360" i="6"/>
  <c r="D360" i="4"/>
  <c r="I358" i="6"/>
  <c r="I358" i="4"/>
  <c r="H357" i="6"/>
  <c r="H357" i="4"/>
  <c r="G356" i="6"/>
  <c r="G356" i="4"/>
  <c r="E355" i="6"/>
  <c r="E355" i="4"/>
  <c r="C354" i="6"/>
  <c r="C354" i="4"/>
  <c r="G352" i="6"/>
  <c r="G352" i="4"/>
  <c r="F351" i="6"/>
  <c r="F351" i="4"/>
  <c r="E350" i="6"/>
  <c r="E350" i="4"/>
  <c r="H348" i="6"/>
  <c r="H348" i="4"/>
  <c r="F345" i="6"/>
  <c r="F345" i="4"/>
  <c r="E347" i="6"/>
  <c r="E347" i="4"/>
  <c r="C346" i="6"/>
  <c r="C346" i="4"/>
  <c r="E344" i="6"/>
  <c r="E344" i="4"/>
  <c r="C342" i="6"/>
  <c r="C342" i="4"/>
  <c r="I340" i="6"/>
  <c r="I340" i="4"/>
  <c r="G343" i="6"/>
  <c r="G343" i="4"/>
  <c r="E339" i="6"/>
  <c r="E339" i="4"/>
  <c r="G338" i="6"/>
  <c r="G338" i="4"/>
  <c r="F337" i="6"/>
  <c r="F337" i="4"/>
  <c r="C336" i="6"/>
  <c r="C336" i="4"/>
  <c r="I334" i="6"/>
  <c r="I334" i="4"/>
  <c r="F333" i="6"/>
  <c r="F333" i="4"/>
  <c r="E332" i="6"/>
  <c r="E332" i="4"/>
  <c r="C331" i="6"/>
  <c r="C331" i="4"/>
  <c r="I330" i="6"/>
  <c r="I330" i="4"/>
  <c r="G329" i="6"/>
  <c r="G329" i="4"/>
  <c r="E328" i="6"/>
  <c r="E328" i="4"/>
  <c r="D327" i="6"/>
  <c r="D327" i="4"/>
  <c r="C326" i="6"/>
  <c r="C326" i="4"/>
  <c r="G325" i="6"/>
  <c r="G325" i="4"/>
  <c r="E324" i="6"/>
  <c r="E324" i="4"/>
  <c r="D323" i="6"/>
  <c r="D323" i="4"/>
  <c r="C322" i="6"/>
  <c r="C322" i="4"/>
  <c r="H321" i="6"/>
  <c r="H321" i="4"/>
  <c r="F320" i="6"/>
  <c r="F320" i="4"/>
  <c r="E319" i="6"/>
  <c r="E319" i="4"/>
  <c r="D318" i="6"/>
  <c r="D318" i="4"/>
  <c r="C317" i="6"/>
  <c r="C317" i="4"/>
  <c r="G315" i="6"/>
  <c r="G315" i="4"/>
  <c r="C314" i="6"/>
  <c r="C314" i="4"/>
  <c r="G311" i="6"/>
  <c r="G311" i="4"/>
  <c r="E313" i="6"/>
  <c r="E313" i="4"/>
  <c r="D312" i="6"/>
  <c r="D312" i="4"/>
  <c r="F310" i="6"/>
  <c r="F310" i="4"/>
  <c r="H309" i="6"/>
  <c r="H309" i="4"/>
  <c r="G308" i="6"/>
  <c r="G308" i="4"/>
  <c r="E307" i="6"/>
  <c r="E307" i="4"/>
  <c r="C306" i="6"/>
  <c r="C306" i="4"/>
  <c r="F305" i="6"/>
  <c r="F305" i="4"/>
  <c r="C304" i="6"/>
  <c r="C304" i="4"/>
  <c r="F303" i="6"/>
  <c r="F303" i="4"/>
  <c r="E302" i="6"/>
  <c r="E302" i="4"/>
  <c r="I301" i="6"/>
  <c r="I301" i="4"/>
  <c r="H300" i="6"/>
  <c r="H300" i="4"/>
  <c r="G299" i="6"/>
  <c r="G299" i="4"/>
  <c r="H297" i="6"/>
  <c r="H297" i="4"/>
  <c r="F296" i="6"/>
  <c r="F296" i="4"/>
  <c r="E295" i="6"/>
  <c r="E295" i="4"/>
  <c r="H293" i="6"/>
  <c r="H293" i="4"/>
  <c r="G292" i="6"/>
  <c r="G292" i="4"/>
  <c r="E291" i="6"/>
  <c r="E291" i="4"/>
  <c r="G289" i="6"/>
  <c r="G289" i="4"/>
  <c r="E288" i="6"/>
  <c r="E288" i="4"/>
  <c r="D287" i="6"/>
  <c r="D287" i="4"/>
  <c r="C286" i="6"/>
  <c r="C286" i="4"/>
  <c r="I283" i="6"/>
  <c r="I283" i="4"/>
  <c r="E282" i="6"/>
  <c r="E282" i="4"/>
  <c r="D281" i="6"/>
  <c r="D281" i="4"/>
  <c r="C280" i="6"/>
  <c r="C280" i="4"/>
  <c r="I278" i="6"/>
  <c r="I278" i="4"/>
  <c r="C276" i="6"/>
  <c r="C276" i="4"/>
  <c r="I275" i="6"/>
  <c r="I275" i="4"/>
  <c r="G274" i="6"/>
  <c r="G274" i="4"/>
  <c r="F273" i="6"/>
  <c r="F273" i="4"/>
  <c r="C272" i="6"/>
  <c r="C272" i="4"/>
  <c r="E270" i="6"/>
  <c r="E270" i="4"/>
  <c r="H268" i="6"/>
  <c r="H268" i="4"/>
  <c r="G267" i="6"/>
  <c r="G267" i="4"/>
  <c r="F266" i="6"/>
  <c r="F266" i="4"/>
  <c r="C264" i="6"/>
  <c r="C264" i="4"/>
  <c r="G263" i="6"/>
  <c r="G263" i="4"/>
  <c r="E262" i="6"/>
  <c r="E262" i="4"/>
  <c r="C260" i="6"/>
  <c r="C260" i="4"/>
  <c r="I259" i="6"/>
  <c r="I259" i="4"/>
  <c r="G258" i="6"/>
  <c r="G258" i="4"/>
  <c r="F257" i="6"/>
  <c r="F257" i="4"/>
  <c r="E255" i="6"/>
  <c r="E255" i="4"/>
  <c r="I254" i="6"/>
  <c r="I254" i="4"/>
  <c r="G253" i="6"/>
  <c r="G253" i="4"/>
  <c r="C251" i="6"/>
  <c r="C251" i="4"/>
  <c r="I250" i="6"/>
  <c r="I250" i="4"/>
  <c r="H249" i="6"/>
  <c r="H249" i="4"/>
  <c r="F248" i="6"/>
  <c r="F248" i="4"/>
  <c r="E247" i="6"/>
  <c r="E247" i="4"/>
  <c r="G245" i="6"/>
  <c r="G245" i="4"/>
  <c r="H243" i="6"/>
  <c r="H243" i="4"/>
  <c r="G242" i="6"/>
  <c r="G242" i="4"/>
  <c r="F241" i="6"/>
  <c r="F241" i="4"/>
  <c r="E240" i="6"/>
  <c r="E240" i="4"/>
  <c r="H237" i="6"/>
  <c r="H237" i="4"/>
  <c r="I235" i="6"/>
  <c r="I235" i="4"/>
  <c r="G234" i="6"/>
  <c r="G234" i="4"/>
  <c r="E233" i="6"/>
  <c r="E233" i="4"/>
  <c r="H229" i="6"/>
  <c r="H229" i="4"/>
  <c r="G228" i="6"/>
  <c r="G228" i="4"/>
  <c r="G223" i="6"/>
  <c r="G223" i="4"/>
  <c r="H220" i="6"/>
  <c r="H220" i="4"/>
  <c r="E216" i="6"/>
  <c r="E216" i="4"/>
  <c r="E214" i="6"/>
  <c r="E214" i="4"/>
  <c r="E211" i="6"/>
  <c r="E211" i="4"/>
  <c r="G204" i="6"/>
  <c r="G204" i="4"/>
  <c r="E200" i="6"/>
  <c r="E200" i="4"/>
  <c r="E195" i="6"/>
  <c r="E195" i="4"/>
  <c r="G189" i="6"/>
  <c r="G189" i="4"/>
  <c r="G182" i="6"/>
  <c r="G182" i="4"/>
  <c r="G176" i="6"/>
  <c r="G176" i="4"/>
  <c r="G63" i="6"/>
  <c r="G63" i="4"/>
  <c r="G59" i="6"/>
  <c r="G59" i="4"/>
  <c r="G54" i="6"/>
  <c r="G54" i="4"/>
  <c r="G51" i="6"/>
  <c r="G51" i="4"/>
  <c r="G48" i="6"/>
  <c r="G48" i="4"/>
  <c r="H488" i="6"/>
  <c r="H488" i="4"/>
  <c r="D487" i="6"/>
  <c r="D487" i="4"/>
  <c r="I485" i="6"/>
  <c r="I485" i="4"/>
  <c r="F484" i="6"/>
  <c r="F484" i="4"/>
  <c r="I482" i="6"/>
  <c r="I482" i="4"/>
  <c r="H483" i="6"/>
  <c r="H483" i="4"/>
  <c r="D480" i="6"/>
  <c r="D480" i="4"/>
  <c r="I481" i="6"/>
  <c r="I481" i="4"/>
  <c r="F479" i="6"/>
  <c r="F479" i="4"/>
  <c r="I477" i="6"/>
  <c r="I477" i="4"/>
  <c r="G476" i="6"/>
  <c r="G476" i="4"/>
  <c r="F475" i="6"/>
  <c r="F475" i="4"/>
  <c r="D474" i="6"/>
  <c r="D474" i="4"/>
  <c r="I473" i="6"/>
  <c r="I473" i="4"/>
  <c r="F472" i="6"/>
  <c r="F472" i="4"/>
  <c r="E471" i="6"/>
  <c r="E471" i="4"/>
  <c r="C470" i="6"/>
  <c r="C470" i="4"/>
  <c r="G469" i="6"/>
  <c r="G469" i="4"/>
  <c r="F468" i="6"/>
  <c r="F468" i="4"/>
  <c r="C467" i="6"/>
  <c r="C467" i="4"/>
  <c r="H465" i="6"/>
  <c r="H465" i="4"/>
  <c r="G466" i="6"/>
  <c r="G466" i="4"/>
  <c r="E464" i="6"/>
  <c r="E464" i="4"/>
  <c r="C463" i="6"/>
  <c r="C463" i="4"/>
  <c r="I461" i="6"/>
  <c r="I461" i="4"/>
  <c r="G460" i="6"/>
  <c r="G460" i="4"/>
  <c r="D459" i="6"/>
  <c r="D459" i="4"/>
  <c r="C458" i="6"/>
  <c r="C458" i="4"/>
  <c r="G456" i="6"/>
  <c r="G456" i="4"/>
  <c r="F455" i="6"/>
  <c r="F455" i="4"/>
  <c r="H453" i="6"/>
  <c r="H453" i="4"/>
  <c r="F452" i="6"/>
  <c r="F452" i="4"/>
  <c r="C451" i="6"/>
  <c r="C451" i="4"/>
  <c r="I450" i="6"/>
  <c r="I450" i="4"/>
  <c r="G449" i="6"/>
  <c r="G449" i="4"/>
  <c r="F448" i="6"/>
  <c r="F448" i="4"/>
  <c r="E447" i="6"/>
  <c r="E447" i="4"/>
  <c r="D446" i="6"/>
  <c r="D446" i="4"/>
  <c r="I445" i="6"/>
  <c r="I445" i="4"/>
  <c r="G444" i="6"/>
  <c r="G444" i="4"/>
  <c r="D442" i="6"/>
  <c r="D442" i="4"/>
  <c r="H441" i="6"/>
  <c r="H441" i="4"/>
  <c r="G438" i="6"/>
  <c r="G438" i="4"/>
  <c r="F440" i="6"/>
  <c r="F440" i="4"/>
  <c r="E439" i="6"/>
  <c r="E439" i="4"/>
  <c r="H436" i="6"/>
  <c r="H436" i="4"/>
  <c r="G435" i="6"/>
  <c r="G435" i="4"/>
  <c r="F434" i="6"/>
  <c r="F434" i="4"/>
  <c r="E433" i="6"/>
  <c r="E433" i="4"/>
  <c r="D432" i="6"/>
  <c r="D432" i="4"/>
  <c r="C431" i="6"/>
  <c r="C431" i="4"/>
  <c r="D429" i="6"/>
  <c r="D429" i="4"/>
  <c r="C428" i="6"/>
  <c r="C428" i="4"/>
  <c r="I427" i="6"/>
  <c r="I427" i="4"/>
  <c r="F426" i="6"/>
  <c r="F426" i="4"/>
  <c r="E425" i="6"/>
  <c r="E425" i="4"/>
  <c r="D424" i="6"/>
  <c r="D424" i="4"/>
  <c r="C423" i="6"/>
  <c r="C423" i="4"/>
  <c r="I422" i="6"/>
  <c r="I422" i="4"/>
  <c r="E420" i="6"/>
  <c r="E420" i="4"/>
  <c r="C421" i="6"/>
  <c r="C421" i="4"/>
  <c r="G419" i="6"/>
  <c r="G419" i="4"/>
  <c r="E418" i="6"/>
  <c r="E418" i="4"/>
  <c r="I417" i="6"/>
  <c r="I417" i="4"/>
  <c r="F416" i="6"/>
  <c r="F416" i="4"/>
  <c r="C415" i="6"/>
  <c r="C415" i="4"/>
  <c r="F414" i="6"/>
  <c r="F414" i="4"/>
  <c r="E413" i="6"/>
  <c r="E413" i="4"/>
  <c r="C412" i="6"/>
  <c r="C412" i="4"/>
  <c r="H410" i="6"/>
  <c r="H410" i="4"/>
  <c r="G409" i="6"/>
  <c r="G409" i="4"/>
  <c r="E408" i="6"/>
  <c r="E408" i="4"/>
  <c r="D407" i="6"/>
  <c r="D407" i="4"/>
  <c r="C406" i="6"/>
  <c r="C406" i="4"/>
  <c r="I404" i="6"/>
  <c r="I404" i="4"/>
  <c r="H403" i="6"/>
  <c r="H403" i="4"/>
  <c r="E402" i="6"/>
  <c r="E402" i="4"/>
  <c r="D401" i="6"/>
  <c r="D401" i="4"/>
  <c r="C400" i="6"/>
  <c r="C400" i="4"/>
  <c r="G398" i="6"/>
  <c r="G398" i="4"/>
  <c r="E397" i="6"/>
  <c r="E397" i="4"/>
  <c r="G395" i="6"/>
  <c r="G395" i="4"/>
  <c r="C394" i="6"/>
  <c r="C394" i="4"/>
  <c r="I392" i="6"/>
  <c r="I392" i="4"/>
  <c r="G391" i="6"/>
  <c r="G391" i="4"/>
  <c r="F390" i="6"/>
  <c r="F390" i="4"/>
  <c r="I389" i="6"/>
  <c r="I389" i="4"/>
  <c r="H388" i="6"/>
  <c r="H388" i="4"/>
  <c r="G387" i="6"/>
  <c r="G387" i="4"/>
  <c r="E386" i="6"/>
  <c r="E386" i="4"/>
  <c r="G384" i="6"/>
  <c r="G384" i="4"/>
  <c r="F383" i="6"/>
  <c r="F383" i="4"/>
  <c r="D382" i="6"/>
  <c r="D382" i="4"/>
  <c r="H381" i="6"/>
  <c r="H381" i="4"/>
  <c r="E379" i="6"/>
  <c r="E379" i="4"/>
  <c r="D378" i="6"/>
  <c r="D378" i="4"/>
  <c r="H380" i="6"/>
  <c r="H380" i="4"/>
  <c r="G377" i="6"/>
  <c r="G377" i="4"/>
  <c r="F376" i="6"/>
  <c r="F376" i="4"/>
  <c r="D375" i="6"/>
  <c r="D375" i="4"/>
  <c r="C372" i="6"/>
  <c r="C372" i="4"/>
  <c r="I373" i="6"/>
  <c r="I373" i="4"/>
  <c r="H371" i="6"/>
  <c r="H371" i="4"/>
  <c r="G370" i="6"/>
  <c r="G370" i="4"/>
  <c r="C368" i="6"/>
  <c r="C368" i="4"/>
  <c r="I366" i="6"/>
  <c r="I366" i="4"/>
  <c r="H365" i="6"/>
  <c r="H365" i="4"/>
  <c r="F364" i="6"/>
  <c r="F364" i="4"/>
  <c r="I362" i="6"/>
  <c r="I362" i="4"/>
  <c r="F361" i="6"/>
  <c r="F361" i="4"/>
  <c r="E360" i="6"/>
  <c r="E360" i="4"/>
  <c r="C359" i="6"/>
  <c r="C359" i="4"/>
  <c r="I357" i="6"/>
  <c r="I357" i="4"/>
  <c r="H356" i="6"/>
  <c r="H356" i="4"/>
  <c r="F355" i="6"/>
  <c r="F355" i="4"/>
  <c r="D354" i="6"/>
  <c r="D354" i="4"/>
  <c r="C353" i="6"/>
  <c r="C353" i="4"/>
  <c r="H352" i="6"/>
  <c r="H352" i="4"/>
  <c r="G351" i="6"/>
  <c r="G351" i="4"/>
  <c r="F350" i="6"/>
  <c r="F350" i="4"/>
  <c r="C349" i="6"/>
  <c r="C349" i="4"/>
  <c r="I348" i="6"/>
  <c r="I348" i="4"/>
  <c r="G345" i="6"/>
  <c r="G345" i="4"/>
  <c r="F347" i="6"/>
  <c r="F347" i="4"/>
  <c r="D346" i="6"/>
  <c r="D346" i="4"/>
  <c r="F344" i="6"/>
  <c r="F344" i="4"/>
  <c r="D342" i="6"/>
  <c r="D342" i="4"/>
  <c r="C341" i="6"/>
  <c r="C341" i="4"/>
  <c r="H343" i="6"/>
  <c r="H343" i="4"/>
  <c r="F339" i="6"/>
  <c r="F339" i="4"/>
  <c r="H338" i="6"/>
  <c r="H338" i="4"/>
  <c r="G337" i="6"/>
  <c r="G337" i="4"/>
  <c r="D336" i="6"/>
  <c r="D336" i="4"/>
  <c r="C335" i="6"/>
  <c r="C335" i="4"/>
  <c r="G333" i="6"/>
  <c r="G333" i="4"/>
  <c r="F332" i="6"/>
  <c r="F332" i="4"/>
  <c r="D331" i="6"/>
  <c r="D331" i="4"/>
  <c r="H329" i="6"/>
  <c r="H329" i="4"/>
  <c r="F328" i="6"/>
  <c r="F328" i="4"/>
  <c r="E327" i="6"/>
  <c r="E327" i="4"/>
  <c r="D326" i="6"/>
  <c r="D326" i="4"/>
  <c r="H325" i="6"/>
  <c r="H325" i="4"/>
  <c r="F324" i="6"/>
  <c r="F324" i="4"/>
  <c r="E323" i="6"/>
  <c r="E323" i="4"/>
  <c r="D322" i="6"/>
  <c r="D322" i="4"/>
  <c r="I321" i="6"/>
  <c r="I321" i="4"/>
  <c r="G320" i="6"/>
  <c r="G320" i="4"/>
  <c r="F319" i="6"/>
  <c r="F319" i="4"/>
  <c r="E318" i="6"/>
  <c r="E318" i="4"/>
  <c r="D317" i="6"/>
  <c r="D317" i="4"/>
  <c r="C316" i="6"/>
  <c r="C316" i="4"/>
  <c r="H315" i="6"/>
  <c r="H315" i="4"/>
  <c r="D314" i="6"/>
  <c r="D314" i="4"/>
  <c r="H311" i="6"/>
  <c r="H311" i="4"/>
  <c r="F313" i="6"/>
  <c r="F313" i="4"/>
  <c r="E312" i="6"/>
  <c r="E312" i="4"/>
  <c r="G310" i="6"/>
  <c r="G310" i="4"/>
  <c r="I309" i="6"/>
  <c r="I309" i="4"/>
  <c r="H308" i="6"/>
  <c r="H308" i="4"/>
  <c r="F307" i="6"/>
  <c r="F307" i="4"/>
  <c r="D306" i="6"/>
  <c r="D306" i="4"/>
  <c r="G305" i="6"/>
  <c r="G305" i="4"/>
  <c r="D304" i="6"/>
  <c r="D304" i="4"/>
  <c r="G303" i="6"/>
  <c r="G303" i="4"/>
  <c r="F302" i="6"/>
  <c r="F302" i="4"/>
  <c r="I300" i="6"/>
  <c r="I300" i="4"/>
  <c r="H299" i="6"/>
  <c r="H299" i="4"/>
  <c r="C298" i="6"/>
  <c r="C298" i="4"/>
  <c r="I297" i="6"/>
  <c r="I297" i="4"/>
  <c r="G296" i="6"/>
  <c r="G296" i="4"/>
  <c r="F291" i="6"/>
  <c r="F291" i="4"/>
  <c r="I290" i="6"/>
  <c r="I290" i="4"/>
  <c r="F288" i="6"/>
  <c r="F288" i="4"/>
  <c r="E287" i="6"/>
  <c r="E287" i="4"/>
  <c r="D286" i="6"/>
  <c r="D286" i="4"/>
  <c r="I285" i="6"/>
  <c r="I285" i="4"/>
  <c r="C284" i="6"/>
  <c r="C284" i="4"/>
  <c r="F282" i="6"/>
  <c r="F282" i="4"/>
  <c r="D280" i="6"/>
  <c r="D280" i="4"/>
  <c r="C279" i="6"/>
  <c r="C279" i="4"/>
  <c r="F277" i="6"/>
  <c r="F277" i="4"/>
  <c r="H274" i="6"/>
  <c r="H274" i="4"/>
  <c r="G273" i="6"/>
  <c r="G273" i="4"/>
  <c r="C271" i="6"/>
  <c r="C271" i="4"/>
  <c r="F270" i="6"/>
  <c r="F270" i="4"/>
  <c r="C269" i="6"/>
  <c r="C269" i="4"/>
  <c r="I268" i="6"/>
  <c r="I268" i="4"/>
  <c r="H267" i="6"/>
  <c r="H267" i="4"/>
  <c r="G266" i="6"/>
  <c r="G266" i="4"/>
  <c r="E265" i="6"/>
  <c r="E265" i="4"/>
  <c r="H263" i="6"/>
  <c r="H263" i="4"/>
  <c r="F262" i="6"/>
  <c r="F262" i="4"/>
  <c r="E261" i="6"/>
  <c r="E261" i="4"/>
  <c r="H258" i="6"/>
  <c r="H258" i="4"/>
  <c r="G257" i="6"/>
  <c r="G257" i="4"/>
  <c r="F255" i="6"/>
  <c r="F255" i="4"/>
  <c r="E256" i="6"/>
  <c r="E256" i="4"/>
  <c r="H253" i="6"/>
  <c r="H253" i="4"/>
  <c r="E252" i="6"/>
  <c r="E252" i="4"/>
  <c r="I249" i="6"/>
  <c r="I249" i="4"/>
  <c r="G248" i="6"/>
  <c r="G248" i="4"/>
  <c r="F247" i="6"/>
  <c r="F247" i="4"/>
  <c r="C246" i="6"/>
  <c r="C246" i="4"/>
  <c r="H245" i="6"/>
  <c r="H245" i="4"/>
  <c r="C244" i="6"/>
  <c r="C244" i="4"/>
  <c r="I243" i="6"/>
  <c r="I243" i="4"/>
  <c r="H242" i="6"/>
  <c r="H242" i="4"/>
  <c r="G241" i="6"/>
  <c r="G241" i="4"/>
  <c r="F240" i="6"/>
  <c r="F240" i="4"/>
  <c r="E239" i="6"/>
  <c r="E239" i="4"/>
  <c r="C238" i="6"/>
  <c r="C238" i="4"/>
  <c r="I237" i="6"/>
  <c r="I237" i="4"/>
  <c r="E236" i="6"/>
  <c r="E236" i="4"/>
  <c r="H234" i="6"/>
  <c r="H234" i="4"/>
  <c r="F233" i="6"/>
  <c r="F233" i="4"/>
  <c r="E232" i="6"/>
  <c r="E232" i="4"/>
  <c r="I229" i="6"/>
  <c r="I229" i="4"/>
  <c r="H228" i="6"/>
  <c r="H228" i="4"/>
  <c r="E225" i="6"/>
  <c r="E225" i="4"/>
  <c r="H223" i="6"/>
  <c r="H223" i="4"/>
  <c r="E219" i="6"/>
  <c r="E219" i="4"/>
  <c r="E217" i="6"/>
  <c r="E217" i="4"/>
  <c r="G215" i="6"/>
  <c r="G215" i="4"/>
  <c r="G212" i="6"/>
  <c r="G212" i="4"/>
  <c r="E209" i="6"/>
  <c r="E209" i="4"/>
  <c r="E206" i="6"/>
  <c r="E206" i="4"/>
  <c r="G203" i="6"/>
  <c r="G203" i="4"/>
  <c r="E202" i="6"/>
  <c r="E202" i="4"/>
  <c r="G190" i="6"/>
  <c r="G190" i="4"/>
  <c r="G181" i="6"/>
  <c r="G181" i="4"/>
  <c r="G175" i="6"/>
  <c r="G175" i="4"/>
  <c r="G64" i="6"/>
  <c r="G64" i="4"/>
  <c r="G56" i="6"/>
  <c r="G56" i="4"/>
  <c r="G50" i="6"/>
  <c r="G50" i="4"/>
  <c r="D496" i="6"/>
  <c r="D496" i="4"/>
  <c r="C495" i="6"/>
  <c r="C495" i="4"/>
  <c r="H493" i="6"/>
  <c r="H493" i="4"/>
  <c r="G494" i="6"/>
  <c r="G494" i="4"/>
  <c r="D492" i="6"/>
  <c r="D492" i="4"/>
  <c r="G491" i="6"/>
  <c r="G491" i="4"/>
  <c r="D490" i="6"/>
  <c r="D490" i="4"/>
  <c r="C489" i="6"/>
  <c r="C489" i="4"/>
  <c r="I488" i="6"/>
  <c r="I488" i="4"/>
  <c r="E487" i="6"/>
  <c r="E487" i="4"/>
  <c r="C486" i="6"/>
  <c r="C486" i="4"/>
  <c r="G484" i="6"/>
  <c r="G484" i="4"/>
  <c r="I483" i="6"/>
  <c r="I483" i="4"/>
  <c r="E480" i="6"/>
  <c r="E480" i="4"/>
  <c r="G479" i="6"/>
  <c r="G479" i="4"/>
  <c r="C478" i="6"/>
  <c r="C478" i="4"/>
  <c r="H476" i="6"/>
  <c r="H476" i="4"/>
  <c r="G475" i="6"/>
  <c r="G475" i="4"/>
  <c r="E474" i="6"/>
  <c r="E474" i="4"/>
  <c r="G472" i="6"/>
  <c r="G472" i="4"/>
  <c r="F471" i="6"/>
  <c r="F471" i="4"/>
  <c r="D470" i="6"/>
  <c r="D470" i="4"/>
  <c r="H469" i="6"/>
  <c r="H469" i="4"/>
  <c r="G468" i="6"/>
  <c r="G468" i="4"/>
  <c r="D467" i="6"/>
  <c r="D467" i="4"/>
  <c r="I465" i="6"/>
  <c r="I465" i="4"/>
  <c r="H466" i="6"/>
  <c r="H466" i="4"/>
  <c r="F464" i="6"/>
  <c r="F464" i="4"/>
  <c r="D463" i="6"/>
  <c r="D463" i="4"/>
  <c r="C462" i="6"/>
  <c r="C462" i="4"/>
  <c r="H460" i="6"/>
  <c r="H460" i="4"/>
  <c r="E459" i="6"/>
  <c r="E459" i="4"/>
  <c r="D458" i="6"/>
  <c r="D458" i="4"/>
  <c r="C457" i="6"/>
  <c r="C457" i="4"/>
  <c r="H456" i="6"/>
  <c r="H456" i="4"/>
  <c r="G455" i="6"/>
  <c r="G455" i="4"/>
  <c r="C454" i="6"/>
  <c r="C454" i="4"/>
  <c r="I453" i="6"/>
  <c r="I453" i="4"/>
  <c r="G452" i="6"/>
  <c r="G452" i="4"/>
  <c r="D451" i="6"/>
  <c r="D451" i="4"/>
  <c r="H449" i="6"/>
  <c r="H449" i="4"/>
  <c r="G448" i="6"/>
  <c r="G448" i="4"/>
  <c r="F447" i="6"/>
  <c r="F447" i="4"/>
  <c r="E446" i="6"/>
  <c r="E446" i="4"/>
  <c r="H444" i="6"/>
  <c r="H444" i="4"/>
  <c r="E442" i="6"/>
  <c r="E442" i="4"/>
  <c r="C443" i="6"/>
  <c r="C443" i="4"/>
  <c r="I441" i="6"/>
  <c r="I441" i="4"/>
  <c r="H438" i="6"/>
  <c r="H438" i="4"/>
  <c r="G440" i="6"/>
  <c r="G440" i="4"/>
  <c r="F439" i="6"/>
  <c r="F439" i="4"/>
  <c r="C437" i="6"/>
  <c r="C437" i="4"/>
  <c r="I436" i="6"/>
  <c r="I436" i="4"/>
  <c r="H435" i="6"/>
  <c r="H435" i="4"/>
  <c r="G434" i="6"/>
  <c r="G434" i="4"/>
  <c r="F433" i="6"/>
  <c r="F433" i="4"/>
  <c r="E432" i="6"/>
  <c r="E432" i="4"/>
  <c r="D431" i="6"/>
  <c r="D431" i="4"/>
  <c r="C430" i="6"/>
  <c r="C430" i="4"/>
  <c r="E429" i="6"/>
  <c r="E429" i="4"/>
  <c r="D428" i="6"/>
  <c r="D428" i="4"/>
  <c r="G426" i="6"/>
  <c r="G426" i="4"/>
  <c r="F425" i="6"/>
  <c r="F425" i="4"/>
  <c r="E424" i="6"/>
  <c r="E424" i="4"/>
  <c r="D423" i="6"/>
  <c r="D423" i="4"/>
  <c r="F420" i="6"/>
  <c r="F420" i="4"/>
  <c r="D421" i="6"/>
  <c r="D421" i="4"/>
  <c r="H419" i="6"/>
  <c r="H419" i="4"/>
  <c r="F418" i="6"/>
  <c r="F418" i="4"/>
  <c r="G416" i="6"/>
  <c r="G416" i="4"/>
  <c r="D415" i="6"/>
  <c r="D415" i="4"/>
  <c r="G414" i="6"/>
  <c r="G414" i="4"/>
  <c r="F413" i="6"/>
  <c r="F413" i="4"/>
  <c r="D412" i="6"/>
  <c r="D412" i="4"/>
  <c r="C411" i="6"/>
  <c r="C411" i="4"/>
  <c r="I410" i="6"/>
  <c r="I410" i="4"/>
  <c r="H409" i="6"/>
  <c r="H409" i="4"/>
  <c r="F408" i="6"/>
  <c r="F408" i="4"/>
  <c r="E407" i="6"/>
  <c r="E407" i="4"/>
  <c r="D406" i="6"/>
  <c r="D406" i="4"/>
  <c r="C405" i="6"/>
  <c r="C405" i="4"/>
  <c r="I403" i="6"/>
  <c r="I403" i="4"/>
  <c r="F402" i="6"/>
  <c r="F402" i="4"/>
  <c r="E401" i="6"/>
  <c r="E401" i="4"/>
  <c r="D400" i="6"/>
  <c r="D400" i="4"/>
  <c r="C399" i="6"/>
  <c r="C399" i="4"/>
  <c r="H398" i="6"/>
  <c r="H398" i="4"/>
  <c r="F397" i="6"/>
  <c r="F397" i="4"/>
  <c r="C396" i="6"/>
  <c r="C396" i="4"/>
  <c r="H395" i="6"/>
  <c r="H395" i="4"/>
  <c r="D394" i="6"/>
  <c r="D394" i="4"/>
  <c r="C393" i="6"/>
  <c r="C393" i="4"/>
  <c r="H391" i="6"/>
  <c r="H391" i="4"/>
  <c r="G390" i="6"/>
  <c r="G390" i="4"/>
  <c r="I388" i="6"/>
  <c r="I388" i="4"/>
  <c r="H387" i="6"/>
  <c r="H387" i="4"/>
  <c r="F386" i="6"/>
  <c r="F386" i="4"/>
  <c r="C385" i="6"/>
  <c r="C385" i="4"/>
  <c r="H384" i="6"/>
  <c r="H384" i="4"/>
  <c r="G383" i="6"/>
  <c r="G383" i="4"/>
  <c r="E382" i="6"/>
  <c r="E382" i="4"/>
  <c r="I381" i="6"/>
  <c r="I381" i="4"/>
  <c r="F379" i="6"/>
  <c r="F379" i="4"/>
  <c r="E378" i="6"/>
  <c r="E378" i="4"/>
  <c r="I380" i="6"/>
  <c r="I380" i="4"/>
  <c r="H377" i="6"/>
  <c r="H377" i="4"/>
  <c r="G376" i="6"/>
  <c r="G376" i="4"/>
  <c r="E375" i="6"/>
  <c r="E375" i="4"/>
  <c r="C374" i="6"/>
  <c r="C374" i="4"/>
  <c r="D372" i="6"/>
  <c r="D372" i="4"/>
  <c r="I371" i="6"/>
  <c r="I371" i="4"/>
  <c r="H370" i="6"/>
  <c r="H370" i="4"/>
  <c r="D368" i="6"/>
  <c r="D368" i="4"/>
  <c r="C367" i="6"/>
  <c r="C367" i="4"/>
  <c r="I365" i="6"/>
  <c r="I365" i="4"/>
  <c r="G364" i="6"/>
  <c r="G364" i="4"/>
  <c r="C363" i="6"/>
  <c r="C363" i="4"/>
  <c r="G361" i="6"/>
  <c r="G361" i="4"/>
  <c r="F360" i="6"/>
  <c r="F360" i="4"/>
  <c r="D359" i="6"/>
  <c r="D359" i="4"/>
  <c r="C358" i="6"/>
  <c r="C358" i="4"/>
  <c r="I356" i="6"/>
  <c r="I356" i="4"/>
  <c r="G355" i="6"/>
  <c r="G355" i="4"/>
  <c r="E354" i="6"/>
  <c r="E354" i="4"/>
  <c r="D353" i="6"/>
  <c r="D353" i="4"/>
  <c r="I352" i="6"/>
  <c r="I352" i="4"/>
  <c r="H351" i="6"/>
  <c r="H351" i="4"/>
  <c r="G350" i="6"/>
  <c r="G350" i="4"/>
  <c r="D349" i="6"/>
  <c r="D349" i="4"/>
  <c r="H345" i="6"/>
  <c r="H345" i="4"/>
  <c r="G347" i="6"/>
  <c r="G347" i="4"/>
  <c r="E346" i="6"/>
  <c r="E346" i="4"/>
  <c r="G344" i="6"/>
  <c r="G344" i="4"/>
  <c r="E342" i="6"/>
  <c r="E342" i="4"/>
  <c r="D341" i="6"/>
  <c r="D341" i="4"/>
  <c r="C340" i="6"/>
  <c r="C340" i="4"/>
  <c r="I343" i="6"/>
  <c r="I343" i="4"/>
  <c r="G339" i="6"/>
  <c r="G339" i="4"/>
  <c r="I338" i="6"/>
  <c r="I338" i="4"/>
  <c r="H337" i="6"/>
  <c r="H337" i="4"/>
  <c r="E336" i="6"/>
  <c r="E336" i="4"/>
  <c r="D335" i="6"/>
  <c r="D335" i="4"/>
  <c r="C334" i="6"/>
  <c r="C334" i="4"/>
  <c r="H333" i="6"/>
  <c r="H333" i="4"/>
  <c r="G332" i="6"/>
  <c r="G332" i="4"/>
  <c r="E331" i="6"/>
  <c r="E331" i="4"/>
  <c r="C330" i="6"/>
  <c r="C330" i="4"/>
  <c r="I329" i="6"/>
  <c r="I329" i="4"/>
  <c r="G328" i="6"/>
  <c r="G328" i="4"/>
  <c r="F327" i="6"/>
  <c r="F327" i="4"/>
  <c r="E326" i="6"/>
  <c r="E326" i="4"/>
  <c r="I325" i="6"/>
  <c r="I325" i="4"/>
  <c r="G324" i="6"/>
  <c r="G324" i="4"/>
  <c r="F323" i="6"/>
  <c r="F323" i="4"/>
  <c r="E322" i="6"/>
  <c r="E322" i="4"/>
  <c r="H320" i="6"/>
  <c r="H320" i="4"/>
  <c r="G319" i="6"/>
  <c r="G319" i="4"/>
  <c r="G291" i="6"/>
  <c r="G291" i="4"/>
  <c r="I289" i="6"/>
  <c r="I289" i="4"/>
  <c r="G288" i="6"/>
  <c r="G288" i="4"/>
  <c r="F287" i="6"/>
  <c r="F287" i="4"/>
  <c r="E286" i="6"/>
  <c r="E286" i="4"/>
  <c r="D284" i="6"/>
  <c r="D284" i="4"/>
  <c r="C283" i="6"/>
  <c r="C283" i="4"/>
  <c r="G282" i="6"/>
  <c r="G282" i="4"/>
  <c r="F281" i="6"/>
  <c r="F281" i="4"/>
  <c r="D279" i="6"/>
  <c r="D279" i="4"/>
  <c r="C278" i="6"/>
  <c r="C278" i="4"/>
  <c r="G277" i="6"/>
  <c r="G277" i="4"/>
  <c r="E276" i="6"/>
  <c r="E276" i="4"/>
  <c r="C275" i="6"/>
  <c r="C275" i="4"/>
  <c r="I274" i="6"/>
  <c r="I274" i="4"/>
  <c r="H273" i="6"/>
  <c r="H273" i="4"/>
  <c r="E272" i="6"/>
  <c r="E272" i="4"/>
  <c r="G270" i="6"/>
  <c r="G270" i="4"/>
  <c r="I267" i="6"/>
  <c r="I267" i="4"/>
  <c r="H266" i="6"/>
  <c r="H266" i="4"/>
  <c r="F265" i="6"/>
  <c r="F265" i="4"/>
  <c r="E264" i="6"/>
  <c r="E264" i="4"/>
  <c r="I263" i="6"/>
  <c r="I263" i="4"/>
  <c r="G262" i="6"/>
  <c r="G262" i="4"/>
  <c r="F261" i="6"/>
  <c r="F261" i="4"/>
  <c r="E260" i="6"/>
  <c r="E260" i="4"/>
  <c r="C259" i="6"/>
  <c r="C259" i="4"/>
  <c r="I258" i="6"/>
  <c r="I258" i="4"/>
  <c r="H257" i="6"/>
  <c r="H257" i="4"/>
  <c r="G255" i="6"/>
  <c r="G255" i="4"/>
  <c r="F256" i="6"/>
  <c r="F256" i="4"/>
  <c r="C254" i="6"/>
  <c r="C254" i="4"/>
  <c r="I253" i="6"/>
  <c r="I253" i="4"/>
  <c r="F252" i="6"/>
  <c r="F252" i="4"/>
  <c r="E251" i="6"/>
  <c r="E251" i="4"/>
  <c r="C250" i="6"/>
  <c r="C250" i="4"/>
  <c r="H248" i="6"/>
  <c r="H248" i="4"/>
  <c r="G247" i="6"/>
  <c r="G247" i="4"/>
  <c r="I245" i="6"/>
  <c r="I245" i="4"/>
  <c r="I242" i="6"/>
  <c r="I242" i="4"/>
  <c r="H241" i="6"/>
  <c r="H241" i="4"/>
  <c r="G240" i="6"/>
  <c r="G240" i="4"/>
  <c r="F239" i="6"/>
  <c r="F239" i="4"/>
  <c r="F236" i="6"/>
  <c r="F236" i="4"/>
  <c r="I234" i="6"/>
  <c r="I234" i="4"/>
  <c r="G233" i="6"/>
  <c r="G233" i="4"/>
  <c r="F232" i="6"/>
  <c r="F232" i="4"/>
  <c r="E231" i="6"/>
  <c r="E231" i="4"/>
  <c r="I228" i="6"/>
  <c r="I228" i="4"/>
  <c r="F225" i="6"/>
  <c r="F225" i="4"/>
  <c r="E227" i="6"/>
  <c r="E227" i="4"/>
  <c r="E226" i="6"/>
  <c r="E226" i="4"/>
  <c r="E221" i="6"/>
  <c r="E221" i="4"/>
  <c r="F219" i="6"/>
  <c r="F219" i="4"/>
  <c r="G216" i="6"/>
  <c r="G216" i="4"/>
  <c r="G214" i="6"/>
  <c r="G214" i="4"/>
  <c r="G211" i="6"/>
  <c r="G211" i="4"/>
  <c r="E210" i="6"/>
  <c r="E210" i="4"/>
  <c r="E205" i="6"/>
  <c r="E205" i="4"/>
  <c r="G200" i="6"/>
  <c r="G200" i="4"/>
  <c r="E199" i="6"/>
  <c r="E199" i="4"/>
  <c r="G195" i="6"/>
  <c r="G195" i="4"/>
  <c r="G187" i="6"/>
  <c r="G187" i="4"/>
  <c r="G180" i="6"/>
  <c r="G180" i="4"/>
  <c r="G174" i="6"/>
  <c r="G174" i="4"/>
  <c r="G62" i="6"/>
  <c r="G62" i="4"/>
  <c r="G57" i="4"/>
  <c r="G57" i="6"/>
  <c r="G55" i="6"/>
  <c r="G55" i="4"/>
  <c r="H508" i="6"/>
  <c r="H508" i="4"/>
  <c r="H507" i="6"/>
  <c r="H507" i="4"/>
  <c r="H506" i="6"/>
  <c r="H506" i="4"/>
  <c r="H505" i="6"/>
  <c r="H505" i="4"/>
  <c r="H504" i="6"/>
  <c r="H504" i="4"/>
  <c r="H503" i="6"/>
  <c r="H503" i="4"/>
  <c r="H502" i="6"/>
  <c r="H502" i="4"/>
  <c r="H501" i="6"/>
  <c r="H501" i="4"/>
  <c r="H500" i="6"/>
  <c r="H500" i="4"/>
  <c r="H499" i="6"/>
  <c r="H499" i="4"/>
  <c r="H498" i="6"/>
  <c r="H498" i="4"/>
  <c r="H497" i="6"/>
  <c r="H497" i="4"/>
  <c r="E496" i="6"/>
  <c r="E496" i="4"/>
  <c r="D495" i="6"/>
  <c r="D495" i="4"/>
  <c r="I493" i="6"/>
  <c r="I493" i="4"/>
  <c r="H494" i="6"/>
  <c r="H494" i="4"/>
  <c r="E492" i="6"/>
  <c r="E492" i="4"/>
  <c r="H491" i="6"/>
  <c r="H491" i="4"/>
  <c r="E490" i="6"/>
  <c r="E490" i="4"/>
  <c r="D489" i="6"/>
  <c r="D489" i="4"/>
  <c r="F487" i="6"/>
  <c r="F487" i="4"/>
  <c r="D486" i="6"/>
  <c r="D486" i="4"/>
  <c r="C485" i="6"/>
  <c r="C485" i="4"/>
  <c r="H484" i="6"/>
  <c r="H484" i="4"/>
  <c r="C482" i="6"/>
  <c r="C482" i="4"/>
  <c r="F480" i="6"/>
  <c r="F480" i="4"/>
  <c r="C481" i="6"/>
  <c r="C481" i="4"/>
  <c r="H479" i="6"/>
  <c r="H479" i="4"/>
  <c r="D478" i="6"/>
  <c r="D478" i="4"/>
  <c r="C477" i="6"/>
  <c r="C477" i="4"/>
  <c r="I476" i="6"/>
  <c r="I476" i="4"/>
  <c r="H475" i="6"/>
  <c r="H475" i="4"/>
  <c r="F474" i="6"/>
  <c r="F474" i="4"/>
  <c r="C473" i="6"/>
  <c r="C473" i="4"/>
  <c r="H472" i="6"/>
  <c r="H472" i="4"/>
  <c r="G471" i="6"/>
  <c r="G471" i="4"/>
  <c r="E470" i="6"/>
  <c r="E470" i="4"/>
  <c r="I469" i="6"/>
  <c r="I469" i="4"/>
  <c r="H468" i="6"/>
  <c r="H468" i="4"/>
  <c r="E467" i="6"/>
  <c r="E467" i="4"/>
  <c r="I466" i="6"/>
  <c r="I466" i="4"/>
  <c r="G464" i="6"/>
  <c r="G464" i="4"/>
  <c r="E463" i="6"/>
  <c r="E463" i="4"/>
  <c r="D462" i="6"/>
  <c r="D462" i="4"/>
  <c r="C461" i="6"/>
  <c r="C461" i="4"/>
  <c r="I460" i="6"/>
  <c r="I460" i="4"/>
  <c r="F459" i="6"/>
  <c r="F459" i="4"/>
  <c r="E458" i="6"/>
  <c r="E458" i="4"/>
  <c r="D457" i="6"/>
  <c r="D457" i="4"/>
  <c r="I456" i="6"/>
  <c r="I456" i="4"/>
  <c r="H455" i="6"/>
  <c r="H455" i="4"/>
  <c r="D454" i="6"/>
  <c r="D454" i="4"/>
  <c r="H452" i="6"/>
  <c r="H452" i="4"/>
  <c r="E451" i="6"/>
  <c r="E451" i="4"/>
  <c r="C450" i="6"/>
  <c r="C450" i="4"/>
  <c r="I449" i="6"/>
  <c r="I449" i="4"/>
  <c r="H448" i="6"/>
  <c r="H448" i="4"/>
  <c r="G447" i="6"/>
  <c r="G447" i="4"/>
  <c r="F446" i="6"/>
  <c r="F446" i="4"/>
  <c r="C445" i="6"/>
  <c r="C445" i="4"/>
  <c r="I444" i="6"/>
  <c r="I444" i="4"/>
  <c r="F442" i="6"/>
  <c r="F442" i="4"/>
  <c r="D443" i="6"/>
  <c r="D443" i="4"/>
  <c r="I438" i="6"/>
  <c r="I438" i="4"/>
  <c r="H440" i="6"/>
  <c r="H440" i="4"/>
  <c r="G439" i="6"/>
  <c r="G439" i="4"/>
  <c r="D437" i="6"/>
  <c r="D437" i="4"/>
  <c r="I435" i="6"/>
  <c r="I435" i="4"/>
  <c r="H434" i="6"/>
  <c r="H434" i="4"/>
  <c r="G433" i="6"/>
  <c r="G433" i="4"/>
  <c r="F432" i="6"/>
  <c r="F432" i="4"/>
  <c r="E431" i="6"/>
  <c r="E431" i="4"/>
  <c r="D430" i="6"/>
  <c r="D430" i="4"/>
  <c r="F429" i="6"/>
  <c r="F429" i="4"/>
  <c r="E428" i="6"/>
  <c r="E428" i="4"/>
  <c r="C427" i="6"/>
  <c r="C427" i="4"/>
  <c r="H426" i="6"/>
  <c r="H426" i="4"/>
  <c r="G425" i="6"/>
  <c r="G425" i="4"/>
  <c r="F424" i="6"/>
  <c r="F424" i="4"/>
  <c r="E423" i="6"/>
  <c r="E423" i="4"/>
  <c r="C422" i="6"/>
  <c r="C422" i="4"/>
  <c r="G420" i="6"/>
  <c r="G420" i="4"/>
  <c r="E421" i="6"/>
  <c r="E421" i="4"/>
  <c r="I419" i="6"/>
  <c r="I419" i="4"/>
  <c r="G418" i="6"/>
  <c r="G418" i="4"/>
  <c r="C417" i="6"/>
  <c r="C417" i="4"/>
  <c r="H416" i="6"/>
  <c r="H416" i="4"/>
  <c r="E415" i="6"/>
  <c r="E415" i="4"/>
  <c r="H414" i="6"/>
  <c r="H414" i="4"/>
  <c r="G413" i="6"/>
  <c r="G413" i="4"/>
  <c r="E412" i="6"/>
  <c r="E412" i="4"/>
  <c r="D411" i="6"/>
  <c r="D411" i="4"/>
  <c r="I409" i="6"/>
  <c r="I409" i="4"/>
  <c r="G408" i="6"/>
  <c r="G408" i="4"/>
  <c r="F407" i="6"/>
  <c r="F407" i="4"/>
  <c r="E406" i="6"/>
  <c r="E406" i="4"/>
  <c r="D405" i="6"/>
  <c r="D405" i="4"/>
  <c r="C404" i="6"/>
  <c r="C404" i="4"/>
  <c r="G402" i="6"/>
  <c r="G402" i="4"/>
  <c r="F401" i="6"/>
  <c r="F401" i="4"/>
  <c r="E400" i="6"/>
  <c r="E400" i="4"/>
  <c r="D399" i="6"/>
  <c r="D399" i="4"/>
  <c r="I398" i="6"/>
  <c r="I398" i="4"/>
  <c r="G397" i="6"/>
  <c r="G397" i="4"/>
  <c r="D396" i="6"/>
  <c r="D396" i="4"/>
  <c r="I395" i="6"/>
  <c r="I395" i="4"/>
  <c r="E394" i="6"/>
  <c r="E394" i="4"/>
  <c r="D393" i="6"/>
  <c r="D393" i="4"/>
  <c r="C392" i="6"/>
  <c r="C392" i="4"/>
  <c r="I391" i="6"/>
  <c r="I391" i="4"/>
  <c r="H390" i="6"/>
  <c r="H390" i="4"/>
  <c r="C389" i="6"/>
  <c r="C389" i="4"/>
  <c r="I387" i="6"/>
  <c r="I387" i="4"/>
  <c r="G386" i="6"/>
  <c r="G386" i="4"/>
  <c r="D385" i="6"/>
  <c r="D385" i="4"/>
  <c r="I384" i="6"/>
  <c r="I384" i="4"/>
  <c r="H383" i="6"/>
  <c r="H383" i="4"/>
  <c r="F382" i="6"/>
  <c r="F382" i="4"/>
  <c r="G379" i="6"/>
  <c r="G379" i="4"/>
  <c r="F378" i="6"/>
  <c r="F378" i="4"/>
  <c r="I377" i="6"/>
  <c r="I377" i="4"/>
  <c r="H376" i="6"/>
  <c r="H376" i="4"/>
  <c r="F375" i="6"/>
  <c r="F375" i="4"/>
  <c r="D374" i="6"/>
  <c r="D374" i="4"/>
  <c r="E372" i="6"/>
  <c r="E372" i="4"/>
  <c r="C373" i="6"/>
  <c r="C373" i="4"/>
  <c r="I370" i="6"/>
  <c r="I370" i="4"/>
  <c r="E368" i="6"/>
  <c r="E368" i="4"/>
  <c r="D367" i="6"/>
  <c r="D367" i="4"/>
  <c r="C366" i="6"/>
  <c r="C366" i="4"/>
  <c r="H364" i="6"/>
  <c r="H364" i="4"/>
  <c r="D363" i="6"/>
  <c r="D363" i="4"/>
  <c r="C362" i="6"/>
  <c r="C362" i="4"/>
  <c r="H361" i="6"/>
  <c r="H361" i="4"/>
  <c r="G360" i="6"/>
  <c r="G360" i="4"/>
  <c r="E359" i="6"/>
  <c r="E359" i="4"/>
  <c r="D358" i="6"/>
  <c r="D358" i="4"/>
  <c r="C357" i="6"/>
  <c r="C357" i="4"/>
  <c r="H355" i="6"/>
  <c r="H355" i="4"/>
  <c r="F354" i="6"/>
  <c r="F354" i="4"/>
  <c r="E353" i="6"/>
  <c r="E353" i="4"/>
  <c r="I351" i="6"/>
  <c r="I351" i="4"/>
  <c r="H350" i="6"/>
  <c r="H350" i="4"/>
  <c r="E349" i="6"/>
  <c r="E349" i="4"/>
  <c r="C348" i="6"/>
  <c r="C348" i="4"/>
  <c r="I345" i="6"/>
  <c r="I345" i="4"/>
  <c r="H347" i="6"/>
  <c r="H347" i="4"/>
  <c r="F346" i="6"/>
  <c r="F346" i="4"/>
  <c r="H344" i="6"/>
  <c r="H344" i="4"/>
  <c r="F342" i="6"/>
  <c r="F342" i="4"/>
  <c r="E341" i="6"/>
  <c r="E341" i="4"/>
  <c r="D340" i="6"/>
  <c r="D340" i="4"/>
  <c r="H339" i="6"/>
  <c r="H339" i="4"/>
  <c r="I337" i="6"/>
  <c r="I337" i="4"/>
  <c r="F336" i="6"/>
  <c r="F336" i="4"/>
  <c r="E335" i="6"/>
  <c r="E335" i="4"/>
  <c r="D334" i="6"/>
  <c r="D334" i="4"/>
  <c r="I333" i="6"/>
  <c r="I333" i="4"/>
  <c r="H332" i="6"/>
  <c r="H332" i="4"/>
  <c r="F331" i="6"/>
  <c r="F331" i="4"/>
  <c r="D330" i="6"/>
  <c r="D330" i="4"/>
  <c r="H328" i="6"/>
  <c r="H328" i="4"/>
  <c r="G327" i="6"/>
  <c r="G327" i="4"/>
  <c r="F326" i="6"/>
  <c r="F326" i="4"/>
  <c r="H324" i="6"/>
  <c r="H324" i="4"/>
  <c r="G323" i="6"/>
  <c r="G323" i="4"/>
  <c r="F322" i="6"/>
  <c r="F322" i="4"/>
  <c r="C321" i="6"/>
  <c r="C321" i="4"/>
  <c r="I320" i="6"/>
  <c r="I320" i="4"/>
  <c r="H319" i="6"/>
  <c r="H319" i="4"/>
  <c r="G318" i="6"/>
  <c r="G318" i="4"/>
  <c r="F317" i="6"/>
  <c r="F317" i="4"/>
  <c r="E316" i="6"/>
  <c r="E316" i="4"/>
  <c r="F314" i="6"/>
  <c r="F314" i="4"/>
  <c r="H313" i="6"/>
  <c r="H313" i="4"/>
  <c r="G312" i="6"/>
  <c r="G312" i="4"/>
  <c r="I310" i="6"/>
  <c r="I310" i="4"/>
  <c r="C309" i="6"/>
  <c r="C309" i="4"/>
  <c r="H307" i="6"/>
  <c r="H307" i="4"/>
  <c r="F306" i="6"/>
  <c r="F306" i="4"/>
  <c r="I305" i="6"/>
  <c r="I305" i="4"/>
  <c r="F304" i="6"/>
  <c r="F304" i="4"/>
  <c r="I303" i="6"/>
  <c r="I303" i="4"/>
  <c r="H302" i="6"/>
  <c r="H302" i="4"/>
  <c r="D301" i="6"/>
  <c r="D301" i="4"/>
  <c r="C300" i="6"/>
  <c r="C300" i="4"/>
  <c r="E298" i="6"/>
  <c r="E298" i="4"/>
  <c r="C297" i="6"/>
  <c r="C297" i="4"/>
  <c r="I296" i="6"/>
  <c r="I296" i="4"/>
  <c r="H295" i="6"/>
  <c r="H295" i="4"/>
  <c r="E294" i="6"/>
  <c r="E294" i="4"/>
  <c r="C293" i="6"/>
  <c r="C293" i="4"/>
  <c r="C290" i="6"/>
  <c r="C290" i="4"/>
  <c r="G287" i="6"/>
  <c r="G287" i="4"/>
  <c r="F286" i="6"/>
  <c r="F286" i="4"/>
  <c r="C285" i="6"/>
  <c r="C285" i="4"/>
  <c r="E284" i="6"/>
  <c r="E284" i="4"/>
  <c r="D283" i="6"/>
  <c r="D283" i="4"/>
  <c r="G281" i="6"/>
  <c r="G281" i="4"/>
  <c r="F280" i="6"/>
  <c r="F280" i="4"/>
  <c r="D278" i="6"/>
  <c r="D278" i="4"/>
  <c r="F276" i="6"/>
  <c r="F276" i="4"/>
  <c r="I273" i="6"/>
  <c r="I273" i="4"/>
  <c r="F272" i="6"/>
  <c r="F272" i="4"/>
  <c r="E271" i="6"/>
  <c r="E271" i="4"/>
  <c r="H270" i="6"/>
  <c r="H270" i="4"/>
  <c r="E269" i="6"/>
  <c r="E269" i="4"/>
  <c r="C268" i="6"/>
  <c r="C268" i="4"/>
  <c r="I266" i="6"/>
  <c r="I266" i="4"/>
  <c r="G265" i="6"/>
  <c r="G265" i="4"/>
  <c r="F264" i="6"/>
  <c r="F264" i="4"/>
  <c r="H262" i="6"/>
  <c r="H262" i="4"/>
  <c r="G261" i="6"/>
  <c r="G261" i="4"/>
  <c r="F260" i="6"/>
  <c r="F260" i="4"/>
  <c r="I257" i="6"/>
  <c r="I257" i="4"/>
  <c r="H255" i="6"/>
  <c r="H255" i="4"/>
  <c r="G256" i="6"/>
  <c r="G256" i="4"/>
  <c r="G252" i="6"/>
  <c r="G252" i="4"/>
  <c r="F251" i="6"/>
  <c r="F251" i="4"/>
  <c r="C249" i="6"/>
  <c r="C249" i="4"/>
  <c r="I248" i="6"/>
  <c r="I248" i="4"/>
  <c r="H247" i="6"/>
  <c r="H247" i="4"/>
  <c r="E246" i="6"/>
  <c r="E246" i="4"/>
  <c r="E244" i="6"/>
  <c r="E244" i="4"/>
  <c r="C243" i="6"/>
  <c r="C243" i="4"/>
  <c r="I241" i="6"/>
  <c r="I241" i="4"/>
  <c r="H240" i="6"/>
  <c r="H240" i="4"/>
  <c r="G239" i="6"/>
  <c r="G239" i="4"/>
  <c r="E238" i="6"/>
  <c r="E238" i="4"/>
  <c r="C237" i="6"/>
  <c r="C237" i="4"/>
  <c r="G236" i="6"/>
  <c r="G236" i="4"/>
  <c r="H233" i="6"/>
  <c r="H233" i="4"/>
  <c r="G232" i="6"/>
  <c r="G232" i="4"/>
  <c r="F231" i="6"/>
  <c r="F231" i="4"/>
  <c r="E230" i="6"/>
  <c r="E230" i="4"/>
  <c r="G225" i="6"/>
  <c r="G225" i="4"/>
  <c r="F227" i="6"/>
  <c r="F227" i="4"/>
  <c r="F226" i="6"/>
  <c r="F226" i="4"/>
  <c r="F221" i="6"/>
  <c r="F221" i="4"/>
  <c r="E222" i="6"/>
  <c r="E222" i="4"/>
  <c r="G219" i="6"/>
  <c r="G219" i="4"/>
  <c r="E218" i="6"/>
  <c r="E218" i="4"/>
  <c r="G217" i="6"/>
  <c r="G217" i="4"/>
  <c r="E213" i="6"/>
  <c r="E213" i="4"/>
  <c r="G209" i="6"/>
  <c r="G209" i="4"/>
  <c r="E208" i="6"/>
  <c r="E208" i="4"/>
  <c r="G206" i="6"/>
  <c r="G206" i="4"/>
  <c r="G202" i="6"/>
  <c r="G202" i="4"/>
  <c r="E201" i="6"/>
  <c r="E201" i="4"/>
  <c r="E198" i="6"/>
  <c r="E198" i="4"/>
  <c r="E194" i="6"/>
  <c r="E194" i="4"/>
  <c r="G185" i="6"/>
  <c r="G185" i="4"/>
  <c r="G67" i="6"/>
  <c r="G67" i="4"/>
  <c r="G61" i="6"/>
  <c r="G61" i="4"/>
  <c r="G49" i="6"/>
  <c r="G49" i="4"/>
  <c r="I455" i="6"/>
  <c r="I455" i="4"/>
  <c r="E454" i="6"/>
  <c r="E454" i="4"/>
  <c r="C453" i="6"/>
  <c r="C453" i="4"/>
  <c r="I452" i="6"/>
  <c r="I452" i="4"/>
  <c r="F451" i="6"/>
  <c r="F451" i="4"/>
  <c r="D450" i="6"/>
  <c r="D450" i="4"/>
  <c r="I448" i="6"/>
  <c r="I448" i="4"/>
  <c r="H447" i="6"/>
  <c r="H447" i="4"/>
  <c r="G446" i="6"/>
  <c r="G446" i="4"/>
  <c r="D445" i="6"/>
  <c r="D445" i="4"/>
  <c r="G442" i="6"/>
  <c r="G442" i="4"/>
  <c r="E443" i="6"/>
  <c r="E443" i="4"/>
  <c r="C441" i="6"/>
  <c r="C441" i="4"/>
  <c r="I440" i="6"/>
  <c r="I440" i="4"/>
  <c r="H439" i="6"/>
  <c r="H439" i="4"/>
  <c r="E437" i="6"/>
  <c r="E437" i="4"/>
  <c r="C436" i="6"/>
  <c r="C436" i="4"/>
  <c r="I434" i="6"/>
  <c r="I434" i="4"/>
  <c r="H433" i="6"/>
  <c r="H433" i="4"/>
  <c r="G432" i="6"/>
  <c r="G432" i="4"/>
  <c r="F431" i="6"/>
  <c r="F431" i="4"/>
  <c r="E430" i="6"/>
  <c r="E430" i="4"/>
  <c r="G429" i="6"/>
  <c r="G429" i="4"/>
  <c r="F428" i="6"/>
  <c r="F428" i="4"/>
  <c r="D427" i="6"/>
  <c r="D427" i="4"/>
  <c r="I426" i="6"/>
  <c r="I426" i="4"/>
  <c r="H425" i="6"/>
  <c r="H425" i="4"/>
  <c r="G424" i="6"/>
  <c r="G424" i="4"/>
  <c r="F423" i="6"/>
  <c r="F423" i="4"/>
  <c r="D422" i="6"/>
  <c r="D422" i="4"/>
  <c r="H420" i="6"/>
  <c r="H420" i="4"/>
  <c r="F421" i="6"/>
  <c r="F421" i="4"/>
  <c r="H418" i="6"/>
  <c r="H418" i="4"/>
  <c r="D417" i="6"/>
  <c r="D417" i="4"/>
  <c r="I416" i="6"/>
  <c r="I416" i="4"/>
  <c r="F415" i="6"/>
  <c r="F415" i="4"/>
  <c r="I414" i="6"/>
  <c r="I414" i="4"/>
  <c r="H413" i="6"/>
  <c r="H413" i="4"/>
  <c r="F412" i="6"/>
  <c r="F412" i="4"/>
  <c r="E411" i="6"/>
  <c r="E411" i="4"/>
  <c r="C410" i="6"/>
  <c r="C410" i="4"/>
  <c r="H408" i="6"/>
  <c r="H408" i="4"/>
  <c r="G407" i="6"/>
  <c r="G407" i="4"/>
  <c r="F406" i="6"/>
  <c r="F406" i="4"/>
  <c r="E405" i="6"/>
  <c r="E405" i="4"/>
  <c r="D404" i="6"/>
  <c r="D404" i="4"/>
  <c r="C403" i="6"/>
  <c r="C403" i="4"/>
  <c r="H402" i="6"/>
  <c r="H402" i="4"/>
  <c r="G401" i="6"/>
  <c r="G401" i="4"/>
  <c r="F400" i="6"/>
  <c r="F400" i="4"/>
  <c r="E399" i="6"/>
  <c r="E399" i="4"/>
  <c r="H397" i="6"/>
  <c r="H397" i="4"/>
  <c r="E396" i="6"/>
  <c r="E396" i="4"/>
  <c r="F394" i="6"/>
  <c r="F394" i="4"/>
  <c r="E393" i="6"/>
  <c r="E393" i="4"/>
  <c r="D392" i="6"/>
  <c r="D392" i="4"/>
  <c r="I390" i="6"/>
  <c r="I390" i="4"/>
  <c r="D389" i="6"/>
  <c r="D389" i="4"/>
  <c r="C388" i="6"/>
  <c r="C388" i="4"/>
  <c r="H386" i="6"/>
  <c r="H386" i="4"/>
  <c r="E385" i="6"/>
  <c r="E385" i="4"/>
  <c r="I383" i="6"/>
  <c r="I383" i="4"/>
  <c r="G382" i="6"/>
  <c r="G382" i="4"/>
  <c r="C381" i="6"/>
  <c r="C381" i="4"/>
  <c r="H379" i="6"/>
  <c r="H379" i="4"/>
  <c r="G378" i="6"/>
  <c r="G378" i="4"/>
  <c r="C380" i="6"/>
  <c r="C380" i="4"/>
  <c r="I376" i="6"/>
  <c r="I376" i="4"/>
  <c r="G375" i="6"/>
  <c r="G375" i="4"/>
  <c r="E374" i="6"/>
  <c r="E374" i="4"/>
  <c r="F372" i="6"/>
  <c r="F372" i="4"/>
  <c r="D373" i="6"/>
  <c r="D373" i="4"/>
  <c r="C371" i="6"/>
  <c r="C371" i="4"/>
  <c r="F368" i="6"/>
  <c r="F368" i="4"/>
  <c r="E367" i="6"/>
  <c r="E367" i="4"/>
  <c r="D366" i="6"/>
  <c r="D366" i="4"/>
  <c r="C365" i="6"/>
  <c r="C365" i="4"/>
  <c r="I364" i="6"/>
  <c r="I364" i="4"/>
  <c r="E363" i="6"/>
  <c r="E363" i="4"/>
  <c r="D362" i="6"/>
  <c r="D362" i="4"/>
  <c r="I361" i="6"/>
  <c r="I361" i="4"/>
  <c r="H360" i="6"/>
  <c r="H360" i="4"/>
  <c r="F359" i="6"/>
  <c r="F359" i="4"/>
  <c r="E358" i="6"/>
  <c r="E358" i="4"/>
  <c r="D357" i="6"/>
  <c r="D357" i="4"/>
  <c r="C356" i="6"/>
  <c r="C356" i="4"/>
  <c r="I355" i="6"/>
  <c r="I355" i="4"/>
  <c r="G354" i="6"/>
  <c r="G354" i="4"/>
  <c r="F353" i="6"/>
  <c r="F353" i="4"/>
  <c r="C352" i="6"/>
  <c r="C352" i="4"/>
  <c r="I350" i="6"/>
  <c r="I350" i="4"/>
  <c r="F349" i="6"/>
  <c r="F349" i="4"/>
  <c r="D348" i="6"/>
  <c r="D348" i="4"/>
  <c r="I347" i="6"/>
  <c r="I347" i="4"/>
  <c r="G346" i="6"/>
  <c r="G346" i="4"/>
  <c r="I344" i="6"/>
  <c r="I344" i="4"/>
  <c r="G342" i="6"/>
  <c r="G342" i="4"/>
  <c r="F341" i="6"/>
  <c r="F341" i="4"/>
  <c r="E340" i="6"/>
  <c r="E340" i="4"/>
  <c r="C343" i="6"/>
  <c r="C343" i="4"/>
  <c r="I339" i="6"/>
  <c r="I339" i="4"/>
  <c r="C338" i="6"/>
  <c r="C338" i="4"/>
  <c r="G336" i="6"/>
  <c r="G336" i="4"/>
  <c r="F335" i="6"/>
  <c r="F335" i="4"/>
  <c r="E334" i="6"/>
  <c r="E334" i="4"/>
  <c r="I332" i="6"/>
  <c r="I332" i="4"/>
  <c r="G331" i="6"/>
  <c r="G331" i="4"/>
  <c r="E330" i="6"/>
  <c r="E330" i="4"/>
  <c r="C329" i="6"/>
  <c r="C329" i="4"/>
  <c r="I328" i="6"/>
  <c r="I328" i="4"/>
  <c r="H327" i="6"/>
  <c r="H327" i="4"/>
  <c r="G326" i="6"/>
  <c r="G326" i="4"/>
  <c r="C325" i="6"/>
  <c r="C325" i="4"/>
  <c r="I324" i="6"/>
  <c r="I324" i="4"/>
  <c r="H323" i="6"/>
  <c r="H323" i="4"/>
  <c r="G322" i="6"/>
  <c r="G322" i="4"/>
  <c r="D321" i="6"/>
  <c r="D321" i="4"/>
  <c r="I319" i="6"/>
  <c r="I319" i="4"/>
  <c r="H318" i="6"/>
  <c r="H318" i="4"/>
  <c r="G317" i="6"/>
  <c r="G317" i="4"/>
  <c r="F316" i="6"/>
  <c r="F316" i="4"/>
  <c r="C315" i="6"/>
  <c r="C315" i="4"/>
  <c r="G314" i="6"/>
  <c r="G314" i="4"/>
  <c r="C311" i="6"/>
  <c r="C311" i="4"/>
  <c r="I313" i="6"/>
  <c r="I313" i="4"/>
  <c r="H312" i="6"/>
  <c r="H312" i="4"/>
  <c r="D309" i="6"/>
  <c r="D309" i="4"/>
  <c r="C308" i="6"/>
  <c r="C308" i="4"/>
  <c r="I307" i="6"/>
  <c r="I307" i="4"/>
  <c r="G306" i="6"/>
  <c r="G306" i="4"/>
  <c r="G304" i="6"/>
  <c r="G304" i="4"/>
  <c r="I302" i="6"/>
  <c r="I302" i="4"/>
  <c r="E301" i="6"/>
  <c r="E301" i="4"/>
  <c r="D300" i="6"/>
  <c r="D300" i="4"/>
  <c r="C299" i="6"/>
  <c r="C299" i="4"/>
  <c r="F298" i="6"/>
  <c r="F298" i="4"/>
  <c r="D297" i="6"/>
  <c r="D297" i="4"/>
  <c r="I295" i="6"/>
  <c r="I295" i="4"/>
  <c r="F294" i="6"/>
  <c r="F294" i="4"/>
  <c r="D293" i="6"/>
  <c r="D293" i="4"/>
  <c r="C292" i="6"/>
  <c r="C292" i="4"/>
  <c r="I291" i="6"/>
  <c r="I291" i="4"/>
  <c r="D290" i="6"/>
  <c r="D290" i="4"/>
  <c r="C289" i="6"/>
  <c r="C289" i="4"/>
  <c r="I288" i="6"/>
  <c r="I288" i="4"/>
  <c r="G286" i="6"/>
  <c r="G286" i="4"/>
  <c r="D285" i="6"/>
  <c r="D285" i="4"/>
  <c r="F284" i="6"/>
  <c r="F284" i="4"/>
  <c r="E283" i="6"/>
  <c r="E283" i="4"/>
  <c r="I282" i="6"/>
  <c r="I282" i="4"/>
  <c r="G280" i="6"/>
  <c r="G280" i="4"/>
  <c r="F279" i="6"/>
  <c r="F279" i="4"/>
  <c r="I277" i="6"/>
  <c r="I277" i="4"/>
  <c r="G276" i="6"/>
  <c r="G276" i="4"/>
  <c r="E275" i="6"/>
  <c r="E275" i="4"/>
  <c r="C274" i="6"/>
  <c r="C274" i="4"/>
  <c r="G272" i="6"/>
  <c r="G272" i="4"/>
  <c r="F271" i="6"/>
  <c r="F271" i="4"/>
  <c r="I270" i="6"/>
  <c r="I270" i="4"/>
  <c r="F269" i="6"/>
  <c r="F269" i="4"/>
  <c r="C267" i="6"/>
  <c r="C267" i="4"/>
  <c r="H265" i="6"/>
  <c r="H265" i="4"/>
  <c r="G264" i="6"/>
  <c r="G264" i="4"/>
  <c r="C263" i="6"/>
  <c r="C263" i="4"/>
  <c r="I262" i="6"/>
  <c r="I262" i="4"/>
  <c r="H261" i="6"/>
  <c r="H261" i="4"/>
  <c r="G260" i="6"/>
  <c r="G260" i="4"/>
  <c r="E259" i="6"/>
  <c r="E259" i="4"/>
  <c r="C258" i="6"/>
  <c r="C258" i="4"/>
  <c r="I255" i="6"/>
  <c r="I255" i="4"/>
  <c r="H256" i="6"/>
  <c r="H256" i="4"/>
  <c r="E254" i="6"/>
  <c r="E254" i="4"/>
  <c r="C253" i="6"/>
  <c r="C253" i="4"/>
  <c r="H252" i="6"/>
  <c r="H252" i="4"/>
  <c r="G251" i="6"/>
  <c r="G251" i="4"/>
  <c r="E250" i="6"/>
  <c r="E250" i="4"/>
  <c r="I247" i="6"/>
  <c r="I247" i="4"/>
  <c r="F246" i="6"/>
  <c r="F246" i="4"/>
  <c r="C245" i="6"/>
  <c r="C245" i="4"/>
  <c r="F244" i="6"/>
  <c r="F244" i="4"/>
  <c r="C242" i="6"/>
  <c r="C242" i="4"/>
  <c r="I240" i="6"/>
  <c r="I240" i="4"/>
  <c r="H239" i="6"/>
  <c r="H239" i="4"/>
  <c r="F238" i="6"/>
  <c r="F238" i="4"/>
  <c r="H236" i="6"/>
  <c r="H236" i="4"/>
  <c r="E235" i="6"/>
  <c r="E235" i="4"/>
  <c r="I233" i="6"/>
  <c r="I233" i="4"/>
  <c r="H232" i="6"/>
  <c r="H232" i="4"/>
  <c r="G231" i="6"/>
  <c r="G231" i="4"/>
  <c r="F230" i="6"/>
  <c r="F230" i="4"/>
  <c r="H225" i="6"/>
  <c r="H225" i="4"/>
  <c r="G227" i="6"/>
  <c r="G227" i="4"/>
  <c r="E224" i="6"/>
  <c r="E224" i="4"/>
  <c r="G226" i="6"/>
  <c r="G226" i="4"/>
  <c r="G221" i="6"/>
  <c r="G221" i="4"/>
  <c r="F222" i="6"/>
  <c r="F222" i="4"/>
  <c r="H219" i="6"/>
  <c r="H219" i="4"/>
  <c r="G210" i="6"/>
  <c r="G210" i="4"/>
  <c r="E207" i="6"/>
  <c r="E207" i="4"/>
  <c r="G205" i="6"/>
  <c r="G205" i="4"/>
  <c r="G199" i="6"/>
  <c r="G199" i="4"/>
  <c r="E197" i="6"/>
  <c r="E197" i="4"/>
  <c r="G192" i="6"/>
  <c r="G192" i="4"/>
  <c r="G184" i="6"/>
  <c r="G184" i="4"/>
  <c r="F218" i="6"/>
  <c r="F218" i="4"/>
  <c r="F216" i="6"/>
  <c r="F216" i="4"/>
  <c r="F217" i="6"/>
  <c r="F217" i="4"/>
  <c r="F215" i="6"/>
  <c r="F215" i="4"/>
  <c r="F214" i="6"/>
  <c r="F214" i="4"/>
  <c r="F213" i="6"/>
  <c r="F213" i="4"/>
  <c r="F212" i="6"/>
  <c r="F212" i="4"/>
  <c r="F211" i="6"/>
  <c r="F211" i="4"/>
  <c r="F209" i="6"/>
  <c r="F209" i="4"/>
  <c r="F210" i="6"/>
  <c r="F210" i="4"/>
  <c r="F208" i="6"/>
  <c r="F208" i="4"/>
  <c r="F207" i="6"/>
  <c r="F207" i="4"/>
  <c r="F204" i="6"/>
  <c r="F204" i="4"/>
  <c r="F206" i="6"/>
  <c r="F206" i="4"/>
  <c r="F205" i="6"/>
  <c r="F205" i="4"/>
  <c r="F203" i="6"/>
  <c r="F203" i="4"/>
  <c r="F202" i="6"/>
  <c r="F202" i="4"/>
  <c r="F201" i="6"/>
  <c r="F201" i="4"/>
  <c r="F200" i="6"/>
  <c r="F200" i="4"/>
  <c r="F199" i="6"/>
  <c r="F199" i="4"/>
  <c r="F198" i="6"/>
  <c r="F198" i="4"/>
  <c r="F197" i="6"/>
  <c r="F197" i="4"/>
  <c r="F196" i="6"/>
  <c r="F196" i="4"/>
  <c r="F195" i="6"/>
  <c r="F195" i="4"/>
  <c r="F194" i="6"/>
  <c r="F194" i="4"/>
  <c r="F193" i="6"/>
  <c r="F193" i="4"/>
  <c r="F192" i="6"/>
  <c r="F192" i="4"/>
  <c r="F191" i="6"/>
  <c r="F191" i="4"/>
  <c r="F188" i="6"/>
  <c r="F188" i="4"/>
  <c r="F189" i="6"/>
  <c r="F189" i="4"/>
  <c r="F190" i="6"/>
  <c r="F190" i="4"/>
  <c r="F187" i="6"/>
  <c r="F187" i="4"/>
  <c r="F186" i="6"/>
  <c r="F186" i="4"/>
  <c r="F185" i="6"/>
  <c r="F185" i="4"/>
  <c r="F184" i="6"/>
  <c r="F184" i="4"/>
  <c r="F183" i="6"/>
  <c r="F183" i="4"/>
  <c r="F182" i="6"/>
  <c r="F182" i="4"/>
  <c r="F181" i="6"/>
  <c r="F181" i="4"/>
  <c r="F180" i="6"/>
  <c r="F180" i="4"/>
  <c r="F179" i="6"/>
  <c r="F179" i="4"/>
  <c r="F178" i="6"/>
  <c r="F178" i="4"/>
  <c r="F177" i="6"/>
  <c r="F177" i="4"/>
  <c r="F176" i="6"/>
  <c r="F176" i="4"/>
  <c r="F175" i="6"/>
  <c r="F175" i="4"/>
  <c r="F174" i="6"/>
  <c r="F174" i="4"/>
  <c r="E173" i="6"/>
  <c r="E173" i="4"/>
  <c r="C172" i="6"/>
  <c r="C172" i="4"/>
  <c r="I170" i="6"/>
  <c r="I170" i="4"/>
  <c r="H171" i="6"/>
  <c r="H171" i="4"/>
  <c r="G169" i="6"/>
  <c r="G169" i="4"/>
  <c r="D168" i="6"/>
  <c r="D168" i="4"/>
  <c r="H167" i="6"/>
  <c r="H167" i="4"/>
  <c r="D166" i="6"/>
  <c r="D166" i="4"/>
  <c r="G165" i="6"/>
  <c r="G165" i="4"/>
  <c r="F164" i="6"/>
  <c r="F164" i="4"/>
  <c r="C163" i="6"/>
  <c r="C163" i="4"/>
  <c r="I162" i="6"/>
  <c r="I162" i="4"/>
  <c r="H161" i="6"/>
  <c r="H161" i="4"/>
  <c r="F160" i="6"/>
  <c r="F160" i="4"/>
  <c r="I159" i="6"/>
  <c r="I159" i="4"/>
  <c r="F158" i="6"/>
  <c r="F158" i="4"/>
  <c r="C157" i="6"/>
  <c r="C157" i="4"/>
  <c r="E154" i="6"/>
  <c r="E154" i="4"/>
  <c r="C155" i="6"/>
  <c r="C155" i="4"/>
  <c r="H153" i="6"/>
  <c r="H153" i="4"/>
  <c r="F152" i="6"/>
  <c r="F152" i="4"/>
  <c r="D151" i="6"/>
  <c r="D151" i="4"/>
  <c r="I150" i="6"/>
  <c r="I150" i="4"/>
  <c r="I149" i="6"/>
  <c r="I149" i="4"/>
  <c r="G148" i="6"/>
  <c r="G148" i="4"/>
  <c r="C147" i="6"/>
  <c r="C147" i="4"/>
  <c r="I146" i="6"/>
  <c r="I146" i="4"/>
  <c r="H145" i="6"/>
  <c r="H145" i="4"/>
  <c r="E144" i="6"/>
  <c r="E144" i="4"/>
  <c r="C143" i="6"/>
  <c r="C143" i="4"/>
  <c r="E142" i="6"/>
  <c r="E142" i="4"/>
  <c r="D141" i="6"/>
  <c r="D141" i="4"/>
  <c r="C140" i="6"/>
  <c r="C140" i="4"/>
  <c r="F138" i="6"/>
  <c r="F138" i="4"/>
  <c r="D137" i="6"/>
  <c r="D137" i="4"/>
  <c r="C136" i="6"/>
  <c r="C136" i="4"/>
  <c r="I130" i="6"/>
  <c r="I130" i="4"/>
  <c r="H131" i="6"/>
  <c r="H131" i="4"/>
  <c r="E135" i="6"/>
  <c r="E135" i="4"/>
  <c r="I134" i="6"/>
  <c r="I134" i="4"/>
  <c r="H133" i="6"/>
  <c r="H133" i="4"/>
  <c r="G129" i="6"/>
  <c r="G129" i="4"/>
  <c r="I127" i="6"/>
  <c r="I127" i="4"/>
  <c r="G126" i="6"/>
  <c r="G126" i="4"/>
  <c r="E125" i="6"/>
  <c r="E125" i="4"/>
  <c r="D124" i="6"/>
  <c r="D124" i="4"/>
  <c r="I122" i="6"/>
  <c r="I122" i="4"/>
  <c r="H121" i="6"/>
  <c r="H121" i="4"/>
  <c r="E120" i="6"/>
  <c r="E120" i="4"/>
  <c r="I118" i="6"/>
  <c r="I118" i="4"/>
  <c r="H119" i="6"/>
  <c r="H119" i="4"/>
  <c r="E117" i="6"/>
  <c r="E117" i="4"/>
  <c r="I114" i="6"/>
  <c r="I114" i="4"/>
  <c r="H116" i="6"/>
  <c r="H116" i="4"/>
  <c r="G113" i="6"/>
  <c r="G113" i="4"/>
  <c r="D112" i="6"/>
  <c r="D112" i="4"/>
  <c r="H111" i="6"/>
  <c r="H111" i="4"/>
  <c r="G110" i="6"/>
  <c r="G110" i="4"/>
  <c r="F109" i="6"/>
  <c r="F109" i="4"/>
  <c r="D108" i="6"/>
  <c r="D108" i="4"/>
  <c r="C107" i="6"/>
  <c r="C107" i="4"/>
  <c r="I105" i="6"/>
  <c r="I105" i="4"/>
  <c r="H104" i="6"/>
  <c r="H104" i="4"/>
  <c r="F103" i="6"/>
  <c r="F103" i="4"/>
  <c r="G102" i="6"/>
  <c r="G102" i="4"/>
  <c r="C101" i="6"/>
  <c r="C101" i="4"/>
  <c r="I100" i="6"/>
  <c r="I100" i="4"/>
  <c r="H99" i="6"/>
  <c r="H99" i="4"/>
  <c r="G98" i="6"/>
  <c r="G98" i="4"/>
  <c r="D97" i="6"/>
  <c r="D97" i="4"/>
  <c r="I95" i="6"/>
  <c r="I95" i="4"/>
  <c r="H94" i="6"/>
  <c r="H94" i="4"/>
  <c r="G93" i="6"/>
  <c r="G93" i="4"/>
  <c r="E92" i="6"/>
  <c r="E92" i="4"/>
  <c r="D91" i="6"/>
  <c r="D91" i="4"/>
  <c r="E89" i="6"/>
  <c r="E89" i="4"/>
  <c r="D88" i="6"/>
  <c r="D88" i="4"/>
  <c r="C87" i="6"/>
  <c r="C87" i="4"/>
  <c r="F85" i="6"/>
  <c r="F85" i="4"/>
  <c r="D84" i="6"/>
  <c r="D84" i="4"/>
  <c r="H83" i="6"/>
  <c r="H83" i="4"/>
  <c r="F82" i="6"/>
  <c r="F82" i="4"/>
  <c r="E81" i="6"/>
  <c r="E81" i="4"/>
  <c r="D80" i="6"/>
  <c r="D80" i="4"/>
  <c r="C79" i="6"/>
  <c r="C79" i="4"/>
  <c r="I78" i="6"/>
  <c r="I78" i="4"/>
  <c r="H77" i="6"/>
  <c r="H77" i="4"/>
  <c r="F76" i="6"/>
  <c r="F76" i="4"/>
  <c r="C75" i="6"/>
  <c r="C75" i="4"/>
  <c r="H74" i="6"/>
  <c r="H74" i="4"/>
  <c r="C73" i="6"/>
  <c r="C73" i="4"/>
  <c r="F72" i="6"/>
  <c r="F72" i="4"/>
  <c r="I70" i="6"/>
  <c r="I70" i="4"/>
  <c r="F69" i="6"/>
  <c r="F69" i="4"/>
  <c r="E68" i="6"/>
  <c r="E68" i="4"/>
  <c r="F66" i="6"/>
  <c r="F66" i="4"/>
  <c r="F65" i="6"/>
  <c r="F65" i="4"/>
  <c r="F64" i="6"/>
  <c r="F64" i="4"/>
  <c r="F63" i="6"/>
  <c r="F63" i="4"/>
  <c r="F62" i="6"/>
  <c r="F62" i="4"/>
  <c r="F61" i="6"/>
  <c r="F61" i="4"/>
  <c r="F60" i="6"/>
  <c r="F60" i="4"/>
  <c r="F58" i="4"/>
  <c r="F58" i="6"/>
  <c r="F59" i="6"/>
  <c r="F59" i="4"/>
  <c r="F57" i="6"/>
  <c r="F57" i="4"/>
  <c r="F54" i="6"/>
  <c r="F54" i="4"/>
  <c r="F56" i="6"/>
  <c r="F56" i="4"/>
  <c r="F55" i="6"/>
  <c r="F55" i="4"/>
  <c r="F53" i="6"/>
  <c r="F53" i="4"/>
  <c r="F52" i="6"/>
  <c r="F52" i="4"/>
  <c r="F51" i="6"/>
  <c r="F51" i="4"/>
  <c r="F50" i="4"/>
  <c r="F50" i="6"/>
  <c r="F49" i="6"/>
  <c r="F49" i="4"/>
  <c r="F48" i="6"/>
  <c r="F48" i="4"/>
  <c r="C46" i="6"/>
  <c r="C46" i="4"/>
  <c r="F47" i="4"/>
  <c r="F47" i="6"/>
  <c r="H44" i="6"/>
  <c r="H44" i="4"/>
  <c r="G43" i="6"/>
  <c r="G43" i="4"/>
  <c r="D42" i="4"/>
  <c r="D42" i="6"/>
  <c r="H40" i="6"/>
  <c r="H40" i="4"/>
  <c r="F39" i="4"/>
  <c r="F39" i="6"/>
  <c r="E38" i="6"/>
  <c r="E38" i="4"/>
  <c r="F36" i="6"/>
  <c r="F36" i="4"/>
  <c r="D35" i="6"/>
  <c r="D35" i="4"/>
  <c r="H34" i="6"/>
  <c r="H34" i="4"/>
  <c r="F33" i="4"/>
  <c r="F33" i="6"/>
  <c r="E32" i="6"/>
  <c r="E32" i="4"/>
  <c r="H31" i="4"/>
  <c r="H31" i="6"/>
  <c r="G25" i="6"/>
  <c r="G25" i="4"/>
  <c r="E30" i="6"/>
  <c r="E30" i="4"/>
  <c r="C29" i="4"/>
  <c r="C29" i="6"/>
  <c r="F28" i="6"/>
  <c r="F28" i="4"/>
  <c r="C24" i="4"/>
  <c r="C24" i="6"/>
  <c r="G26" i="6"/>
  <c r="G26" i="4"/>
  <c r="I23" i="6"/>
  <c r="I23" i="4"/>
  <c r="H27" i="6"/>
  <c r="H27" i="4"/>
  <c r="E22" i="6"/>
  <c r="E22" i="4"/>
  <c r="H20" i="4"/>
  <c r="H20" i="6"/>
  <c r="G18" i="6"/>
  <c r="G18" i="4"/>
  <c r="F19" i="6"/>
  <c r="F19" i="4"/>
  <c r="E17" i="4"/>
  <c r="E17" i="6"/>
  <c r="C16" i="6"/>
  <c r="C16" i="4"/>
  <c r="F13" i="4"/>
  <c r="F13" i="6"/>
  <c r="D12" i="6"/>
  <c r="D12" i="4"/>
  <c r="G10" i="6"/>
  <c r="G10" i="4"/>
  <c r="D9" i="4"/>
  <c r="D9" i="6"/>
  <c r="G8" i="6"/>
  <c r="G8" i="4"/>
  <c r="D7" i="6"/>
  <c r="D7" i="4"/>
  <c r="D3" i="4"/>
  <c r="D3" i="6"/>
  <c r="F295" i="6"/>
  <c r="F295" i="4"/>
  <c r="C294" i="6"/>
  <c r="C294" i="4"/>
  <c r="I293" i="6"/>
  <c r="I293" i="4"/>
  <c r="H292" i="6"/>
  <c r="H292" i="4"/>
  <c r="F173" i="6"/>
  <c r="F173" i="4"/>
  <c r="D172" i="6"/>
  <c r="D172" i="4"/>
  <c r="I171" i="6"/>
  <c r="I171" i="4"/>
  <c r="H169" i="6"/>
  <c r="H169" i="4"/>
  <c r="E168" i="6"/>
  <c r="E168" i="4"/>
  <c r="I167" i="6"/>
  <c r="I167" i="4"/>
  <c r="E166" i="6"/>
  <c r="E166" i="4"/>
  <c r="H165" i="6"/>
  <c r="H165" i="4"/>
  <c r="G164" i="6"/>
  <c r="G164" i="4"/>
  <c r="D163" i="6"/>
  <c r="D163" i="4"/>
  <c r="I161" i="6"/>
  <c r="I161" i="4"/>
  <c r="G160" i="6"/>
  <c r="G160" i="4"/>
  <c r="G158" i="6"/>
  <c r="G158" i="4"/>
  <c r="D157" i="6"/>
  <c r="D157" i="4"/>
  <c r="C156" i="6"/>
  <c r="C156" i="4"/>
  <c r="F154" i="6"/>
  <c r="F154" i="4"/>
  <c r="D155" i="6"/>
  <c r="D155" i="4"/>
  <c r="I153" i="6"/>
  <c r="I153" i="4"/>
  <c r="G152" i="6"/>
  <c r="G152" i="4"/>
  <c r="E151" i="6"/>
  <c r="E151" i="4"/>
  <c r="H148" i="6"/>
  <c r="H148" i="4"/>
  <c r="D147" i="6"/>
  <c r="D147" i="4"/>
  <c r="I145" i="6"/>
  <c r="I145" i="4"/>
  <c r="F144" i="6"/>
  <c r="F144" i="4"/>
  <c r="D143" i="6"/>
  <c r="D143" i="4"/>
  <c r="F142" i="6"/>
  <c r="F142" i="4"/>
  <c r="E141" i="6"/>
  <c r="E141" i="4"/>
  <c r="D140" i="6"/>
  <c r="D140" i="4"/>
  <c r="C139" i="6"/>
  <c r="C139" i="4"/>
  <c r="G138" i="6"/>
  <c r="G138" i="4"/>
  <c r="E137" i="6"/>
  <c r="E137" i="4"/>
  <c r="D136" i="6"/>
  <c r="D136" i="4"/>
  <c r="C132" i="6"/>
  <c r="C132" i="4"/>
  <c r="I131" i="6"/>
  <c r="I131" i="4"/>
  <c r="F135" i="6"/>
  <c r="F135" i="4"/>
  <c r="I133" i="6"/>
  <c r="I133" i="4"/>
  <c r="H129" i="6"/>
  <c r="H129" i="4"/>
  <c r="C128" i="6"/>
  <c r="C128" i="4"/>
  <c r="H126" i="6"/>
  <c r="H126" i="4"/>
  <c r="F125" i="6"/>
  <c r="F125" i="4"/>
  <c r="E124" i="6"/>
  <c r="E124" i="4"/>
  <c r="C123" i="6"/>
  <c r="C123" i="4"/>
  <c r="I121" i="6"/>
  <c r="I121" i="4"/>
  <c r="F120" i="6"/>
  <c r="F120" i="4"/>
  <c r="I119" i="6"/>
  <c r="I119" i="4"/>
  <c r="F117" i="6"/>
  <c r="F117" i="4"/>
  <c r="C115" i="6"/>
  <c r="C115" i="4"/>
  <c r="I116" i="6"/>
  <c r="I116" i="4"/>
  <c r="H113" i="6"/>
  <c r="H113" i="4"/>
  <c r="E112" i="6"/>
  <c r="E112" i="4"/>
  <c r="I111" i="6"/>
  <c r="I111" i="4"/>
  <c r="H110" i="6"/>
  <c r="H110" i="4"/>
  <c r="G109" i="6"/>
  <c r="G109" i="4"/>
  <c r="E108" i="6"/>
  <c r="E108" i="4"/>
  <c r="D107" i="6"/>
  <c r="D107" i="4"/>
  <c r="C106" i="6"/>
  <c r="C106" i="4"/>
  <c r="I104" i="6"/>
  <c r="I104" i="4"/>
  <c r="G103" i="6"/>
  <c r="G103" i="4"/>
  <c r="H102" i="6"/>
  <c r="H102" i="4"/>
  <c r="D101" i="6"/>
  <c r="D101" i="4"/>
  <c r="I99" i="6"/>
  <c r="I99" i="4"/>
  <c r="H98" i="6"/>
  <c r="H98" i="4"/>
  <c r="E97" i="6"/>
  <c r="E97" i="4"/>
  <c r="C96" i="6"/>
  <c r="C96" i="4"/>
  <c r="I94" i="6"/>
  <c r="I94" i="4"/>
  <c r="H93" i="6"/>
  <c r="H93" i="4"/>
  <c r="F92" i="6"/>
  <c r="F92" i="4"/>
  <c r="E91" i="6"/>
  <c r="E91" i="4"/>
  <c r="C90" i="6"/>
  <c r="C90" i="4"/>
  <c r="F89" i="6"/>
  <c r="F89" i="4"/>
  <c r="E88" i="6"/>
  <c r="E88" i="4"/>
  <c r="D87" i="6"/>
  <c r="D87" i="4"/>
  <c r="C86" i="6"/>
  <c r="C86" i="4"/>
  <c r="G85" i="6"/>
  <c r="G85" i="4"/>
  <c r="E84" i="6"/>
  <c r="E84" i="4"/>
  <c r="I83" i="6"/>
  <c r="I83" i="4"/>
  <c r="G82" i="6"/>
  <c r="G82" i="4"/>
  <c r="F81" i="6"/>
  <c r="F81" i="4"/>
  <c r="E80" i="6"/>
  <c r="E80" i="4"/>
  <c r="D79" i="6"/>
  <c r="D79" i="4"/>
  <c r="I77" i="6"/>
  <c r="I77" i="4"/>
  <c r="G76" i="6"/>
  <c r="G76" i="4"/>
  <c r="D75" i="6"/>
  <c r="D75" i="4"/>
  <c r="I74" i="6"/>
  <c r="I74" i="4"/>
  <c r="D73" i="6"/>
  <c r="D73" i="4"/>
  <c r="G72" i="6"/>
  <c r="G72" i="4"/>
  <c r="C71" i="6"/>
  <c r="C71" i="4"/>
  <c r="G69" i="6"/>
  <c r="G69" i="4"/>
  <c r="F68" i="6"/>
  <c r="F68" i="4"/>
  <c r="C45" i="4"/>
  <c r="C45" i="6"/>
  <c r="G66" i="6"/>
  <c r="G66" i="4"/>
  <c r="D46" i="6"/>
  <c r="D46" i="4"/>
  <c r="G47" i="6"/>
  <c r="G47" i="4"/>
  <c r="I44" i="4"/>
  <c r="I44" i="6"/>
  <c r="H43" i="6"/>
  <c r="H43" i="4"/>
  <c r="E42" i="4"/>
  <c r="E42" i="6"/>
  <c r="C41" i="6"/>
  <c r="C41" i="4"/>
  <c r="I40" i="6"/>
  <c r="I40" i="4"/>
  <c r="G39" i="4"/>
  <c r="G39" i="6"/>
  <c r="F38" i="4"/>
  <c r="F38" i="6"/>
  <c r="C37" i="4"/>
  <c r="C37" i="6"/>
  <c r="G36" i="6"/>
  <c r="G36" i="4"/>
  <c r="E35" i="4"/>
  <c r="E35" i="6"/>
  <c r="I34" i="6"/>
  <c r="I34" i="4"/>
  <c r="G33" i="4"/>
  <c r="G33" i="6"/>
  <c r="F32" i="4"/>
  <c r="F32" i="6"/>
  <c r="I31" i="4"/>
  <c r="I31" i="6"/>
  <c r="H25" i="6"/>
  <c r="H25" i="4"/>
  <c r="F30" i="6"/>
  <c r="F30" i="4"/>
  <c r="D29" i="6"/>
  <c r="D29" i="4"/>
  <c r="G28" i="6"/>
  <c r="G28" i="4"/>
  <c r="D24" i="6"/>
  <c r="D24" i="4"/>
  <c r="H26" i="6"/>
  <c r="H26" i="4"/>
  <c r="I27" i="4"/>
  <c r="I27" i="6"/>
  <c r="F22" i="6"/>
  <c r="F22" i="4"/>
  <c r="C21" i="4"/>
  <c r="C21" i="6"/>
  <c r="I20" i="4"/>
  <c r="I20" i="6"/>
  <c r="H18" i="6"/>
  <c r="H18" i="4"/>
  <c r="G19" i="6"/>
  <c r="G19" i="4"/>
  <c r="F17" i="6"/>
  <c r="F17" i="4"/>
  <c r="D16" i="4"/>
  <c r="D16" i="6"/>
  <c r="C15" i="6"/>
  <c r="C15" i="4"/>
  <c r="G13" i="4"/>
  <c r="G13" i="6"/>
  <c r="E12" i="6"/>
  <c r="E12" i="4"/>
  <c r="E9" i="6"/>
  <c r="E9" i="4"/>
  <c r="E7" i="4"/>
  <c r="E7" i="6"/>
  <c r="E3" i="6"/>
  <c r="E3" i="4"/>
  <c r="F318" i="6"/>
  <c r="F318" i="4"/>
  <c r="E317" i="6"/>
  <c r="E317" i="4"/>
  <c r="D316" i="6"/>
  <c r="D316" i="4"/>
  <c r="I315" i="6"/>
  <c r="I315" i="4"/>
  <c r="E314" i="6"/>
  <c r="E314" i="4"/>
  <c r="I311" i="6"/>
  <c r="I311" i="4"/>
  <c r="G313" i="6"/>
  <c r="G313" i="4"/>
  <c r="F312" i="6"/>
  <c r="F312" i="4"/>
  <c r="H310" i="6"/>
  <c r="H310" i="4"/>
  <c r="I308" i="6"/>
  <c r="I308" i="4"/>
  <c r="G307" i="6"/>
  <c r="G307" i="4"/>
  <c r="E306" i="6"/>
  <c r="E306" i="4"/>
  <c r="H305" i="6"/>
  <c r="H305" i="4"/>
  <c r="E304" i="6"/>
  <c r="E304" i="4"/>
  <c r="H303" i="6"/>
  <c r="H303" i="4"/>
  <c r="G302" i="6"/>
  <c r="G302" i="4"/>
  <c r="C301" i="6"/>
  <c r="C301" i="4"/>
  <c r="I299" i="6"/>
  <c r="I299" i="4"/>
  <c r="D298" i="6"/>
  <c r="D298" i="4"/>
  <c r="H296" i="6"/>
  <c r="H296" i="4"/>
  <c r="G295" i="6"/>
  <c r="G295" i="4"/>
  <c r="D294" i="6"/>
  <c r="D294" i="4"/>
  <c r="I292" i="6"/>
  <c r="I292" i="4"/>
  <c r="H291" i="6"/>
  <c r="H291" i="4"/>
  <c r="H290" i="6"/>
  <c r="H290" i="4"/>
  <c r="H289" i="6"/>
  <c r="H289" i="4"/>
  <c r="H288" i="6"/>
  <c r="H288" i="4"/>
  <c r="H287" i="6"/>
  <c r="H287" i="4"/>
  <c r="H286" i="6"/>
  <c r="H286" i="4"/>
  <c r="H285" i="6"/>
  <c r="H285" i="4"/>
  <c r="H284" i="6"/>
  <c r="H284" i="4"/>
  <c r="H283" i="6"/>
  <c r="H283" i="4"/>
  <c r="H282" i="6"/>
  <c r="H282" i="4"/>
  <c r="H281" i="6"/>
  <c r="H281" i="4"/>
  <c r="H280" i="6"/>
  <c r="H280" i="4"/>
  <c r="H279" i="6"/>
  <c r="H279" i="4"/>
  <c r="H278" i="6"/>
  <c r="H278" i="4"/>
  <c r="H277" i="6"/>
  <c r="H277" i="4"/>
  <c r="G173" i="6"/>
  <c r="G173" i="4"/>
  <c r="E172" i="6"/>
  <c r="E172" i="4"/>
  <c r="C170" i="6"/>
  <c r="C170" i="4"/>
  <c r="I169" i="6"/>
  <c r="I169" i="4"/>
  <c r="F168" i="6"/>
  <c r="F168" i="4"/>
  <c r="F166" i="6"/>
  <c r="F166" i="4"/>
  <c r="I165" i="6"/>
  <c r="I165" i="4"/>
  <c r="H164" i="6"/>
  <c r="H164" i="4"/>
  <c r="E163" i="6"/>
  <c r="E163" i="4"/>
  <c r="C162" i="6"/>
  <c r="C162" i="4"/>
  <c r="H160" i="6"/>
  <c r="H160" i="4"/>
  <c r="C159" i="6"/>
  <c r="C159" i="4"/>
  <c r="H158" i="6"/>
  <c r="H158" i="4"/>
  <c r="E157" i="6"/>
  <c r="E157" i="4"/>
  <c r="D156" i="6"/>
  <c r="D156" i="4"/>
  <c r="G154" i="6"/>
  <c r="G154" i="4"/>
  <c r="E155" i="6"/>
  <c r="E155" i="4"/>
  <c r="H152" i="6"/>
  <c r="H152" i="4"/>
  <c r="F151" i="6"/>
  <c r="F151" i="4"/>
  <c r="C150" i="6"/>
  <c r="C150" i="4"/>
  <c r="C149" i="6"/>
  <c r="C149" i="4"/>
  <c r="I148" i="6"/>
  <c r="I148" i="4"/>
  <c r="E147" i="6"/>
  <c r="E147" i="4"/>
  <c r="C146" i="6"/>
  <c r="C146" i="4"/>
  <c r="G144" i="6"/>
  <c r="G144" i="4"/>
  <c r="E143" i="6"/>
  <c r="E143" i="4"/>
  <c r="G142" i="6"/>
  <c r="G142" i="4"/>
  <c r="F141" i="6"/>
  <c r="F141" i="4"/>
  <c r="E140" i="6"/>
  <c r="E140" i="4"/>
  <c r="D139" i="6"/>
  <c r="D139" i="4"/>
  <c r="H138" i="6"/>
  <c r="H138" i="4"/>
  <c r="F137" i="6"/>
  <c r="F137" i="4"/>
  <c r="E136" i="6"/>
  <c r="E136" i="4"/>
  <c r="D132" i="6"/>
  <c r="D132" i="4"/>
  <c r="C130" i="6"/>
  <c r="C130" i="4"/>
  <c r="G135" i="6"/>
  <c r="G135" i="4"/>
  <c r="C134" i="6"/>
  <c r="C134" i="4"/>
  <c r="I129" i="6"/>
  <c r="I129" i="4"/>
  <c r="D128" i="6"/>
  <c r="D128" i="4"/>
  <c r="C127" i="6"/>
  <c r="C127" i="4"/>
  <c r="I126" i="6"/>
  <c r="I126" i="4"/>
  <c r="G125" i="6"/>
  <c r="G125" i="4"/>
  <c r="F124" i="6"/>
  <c r="F124" i="4"/>
  <c r="D123" i="6"/>
  <c r="D123" i="4"/>
  <c r="C122" i="6"/>
  <c r="C122" i="4"/>
  <c r="G120" i="6"/>
  <c r="G120" i="4"/>
  <c r="C118" i="6"/>
  <c r="C118" i="4"/>
  <c r="G117" i="6"/>
  <c r="G117" i="4"/>
  <c r="D115" i="6"/>
  <c r="D115" i="4"/>
  <c r="C114" i="6"/>
  <c r="C114" i="4"/>
  <c r="I113" i="6"/>
  <c r="I113" i="4"/>
  <c r="F112" i="6"/>
  <c r="F112" i="4"/>
  <c r="I110" i="6"/>
  <c r="I110" i="4"/>
  <c r="H109" i="6"/>
  <c r="H109" i="4"/>
  <c r="F108" i="6"/>
  <c r="F108" i="4"/>
  <c r="E107" i="6"/>
  <c r="E107" i="4"/>
  <c r="D106" i="6"/>
  <c r="D106" i="4"/>
  <c r="C105" i="6"/>
  <c r="C105" i="4"/>
  <c r="H103" i="6"/>
  <c r="H103" i="4"/>
  <c r="I102" i="6"/>
  <c r="I102" i="4"/>
  <c r="E101" i="6"/>
  <c r="E101" i="4"/>
  <c r="C100" i="6"/>
  <c r="C100" i="4"/>
  <c r="I98" i="6"/>
  <c r="I98" i="4"/>
  <c r="F97" i="6"/>
  <c r="F97" i="4"/>
  <c r="D96" i="6"/>
  <c r="D96" i="4"/>
  <c r="C95" i="6"/>
  <c r="C95" i="4"/>
  <c r="I93" i="6"/>
  <c r="I93" i="4"/>
  <c r="G92" i="6"/>
  <c r="G92" i="4"/>
  <c r="F91" i="6"/>
  <c r="F91" i="4"/>
  <c r="D90" i="6"/>
  <c r="D90" i="4"/>
  <c r="G89" i="6"/>
  <c r="G89" i="4"/>
  <c r="F88" i="6"/>
  <c r="F88" i="4"/>
  <c r="E87" i="6"/>
  <c r="E87" i="4"/>
  <c r="D86" i="6"/>
  <c r="D86" i="4"/>
  <c r="H85" i="6"/>
  <c r="H85" i="4"/>
  <c r="F84" i="6"/>
  <c r="F84" i="4"/>
  <c r="H82" i="6"/>
  <c r="H82" i="4"/>
  <c r="G81" i="6"/>
  <c r="G81" i="4"/>
  <c r="F80" i="6"/>
  <c r="F80" i="4"/>
  <c r="E79" i="6"/>
  <c r="E79" i="4"/>
  <c r="C78" i="6"/>
  <c r="C78" i="4"/>
  <c r="H76" i="6"/>
  <c r="H76" i="4"/>
  <c r="E75" i="6"/>
  <c r="E75" i="4"/>
  <c r="E73" i="6"/>
  <c r="E73" i="4"/>
  <c r="H72" i="6"/>
  <c r="H72" i="4"/>
  <c r="D71" i="6"/>
  <c r="D71" i="4"/>
  <c r="C70" i="6"/>
  <c r="C70" i="4"/>
  <c r="H69" i="6"/>
  <c r="H69" i="4"/>
  <c r="G68" i="6"/>
  <c r="G68" i="4"/>
  <c r="D45" i="6"/>
  <c r="D45" i="4"/>
  <c r="H67" i="6"/>
  <c r="H67" i="4"/>
  <c r="H66" i="6"/>
  <c r="H66" i="4"/>
  <c r="E46" i="4"/>
  <c r="E46" i="6"/>
  <c r="H47" i="6"/>
  <c r="H47" i="4"/>
  <c r="I43" i="4"/>
  <c r="I43" i="6"/>
  <c r="F42" i="4"/>
  <c r="F42" i="6"/>
  <c r="D41" i="4"/>
  <c r="D41" i="6"/>
  <c r="H39" i="4"/>
  <c r="H39" i="6"/>
  <c r="G38" i="4"/>
  <c r="G38" i="6"/>
  <c r="D37" i="6"/>
  <c r="D37" i="4"/>
  <c r="H36" i="6"/>
  <c r="H36" i="4"/>
  <c r="F35" i="6"/>
  <c r="F35" i="4"/>
  <c r="H33" i="6"/>
  <c r="H33" i="4"/>
  <c r="G32" i="4"/>
  <c r="G32" i="6"/>
  <c r="I25" i="6"/>
  <c r="I25" i="4"/>
  <c r="G30" i="6"/>
  <c r="G30" i="4"/>
  <c r="E29" i="6"/>
  <c r="E29" i="4"/>
  <c r="H28" i="4"/>
  <c r="H28" i="6"/>
  <c r="E24" i="6"/>
  <c r="E24" i="4"/>
  <c r="I26" i="6"/>
  <c r="I26" i="4"/>
  <c r="C23" i="6"/>
  <c r="C23" i="4"/>
  <c r="G22" i="6"/>
  <c r="G22" i="4"/>
  <c r="D21" i="6"/>
  <c r="D21" i="4"/>
  <c r="I18" i="6"/>
  <c r="I18" i="4"/>
  <c r="H19" i="6"/>
  <c r="H19" i="4"/>
  <c r="G17" i="4"/>
  <c r="G17" i="6"/>
  <c r="E16" i="4"/>
  <c r="E16" i="6"/>
  <c r="D15" i="6"/>
  <c r="D15" i="4"/>
  <c r="H13" i="4"/>
  <c r="H13" i="6"/>
  <c r="F12" i="6"/>
  <c r="F12" i="4"/>
  <c r="C11" i="6"/>
  <c r="C11" i="4"/>
  <c r="D5" i="6"/>
  <c r="D5" i="4"/>
  <c r="D2" i="6"/>
  <c r="D2" i="4"/>
  <c r="H216" i="6"/>
  <c r="H216" i="4"/>
  <c r="H217" i="6"/>
  <c r="H217" i="4"/>
  <c r="H215" i="6"/>
  <c r="H215" i="4"/>
  <c r="H214" i="6"/>
  <c r="H214" i="4"/>
  <c r="H213" i="6"/>
  <c r="H213" i="4"/>
  <c r="H212" i="6"/>
  <c r="H212" i="4"/>
  <c r="H211" i="6"/>
  <c r="H211" i="4"/>
  <c r="H209" i="6"/>
  <c r="H209" i="4"/>
  <c r="H210" i="6"/>
  <c r="H210" i="4"/>
  <c r="H208" i="6"/>
  <c r="H208" i="4"/>
  <c r="H207" i="6"/>
  <c r="H207" i="4"/>
  <c r="H204" i="6"/>
  <c r="H204" i="4"/>
  <c r="H206" i="6"/>
  <c r="H206" i="4"/>
  <c r="H205" i="6"/>
  <c r="H205" i="4"/>
  <c r="H203" i="6"/>
  <c r="H203" i="4"/>
  <c r="H202" i="6"/>
  <c r="H202" i="4"/>
  <c r="H201" i="6"/>
  <c r="H201" i="4"/>
  <c r="H200" i="6"/>
  <c r="H200" i="4"/>
  <c r="H199" i="6"/>
  <c r="H199" i="4"/>
  <c r="H198" i="6"/>
  <c r="H198" i="4"/>
  <c r="H197" i="6"/>
  <c r="H197" i="4"/>
  <c r="H196" i="6"/>
  <c r="H196" i="4"/>
  <c r="H195" i="6"/>
  <c r="H195" i="4"/>
  <c r="H194" i="6"/>
  <c r="H194" i="4"/>
  <c r="H193" i="6"/>
  <c r="H193" i="4"/>
  <c r="H192" i="6"/>
  <c r="H192" i="4"/>
  <c r="H191" i="6"/>
  <c r="H191" i="4"/>
  <c r="H188" i="6"/>
  <c r="H188" i="4"/>
  <c r="H189" i="6"/>
  <c r="H189" i="4"/>
  <c r="H190" i="6"/>
  <c r="H190" i="4"/>
  <c r="H187" i="6"/>
  <c r="H187" i="4"/>
  <c r="H186" i="6"/>
  <c r="H186" i="4"/>
  <c r="H185" i="6"/>
  <c r="H185" i="4"/>
  <c r="H184" i="6"/>
  <c r="H184" i="4"/>
  <c r="H183" i="6"/>
  <c r="H183" i="4"/>
  <c r="H182" i="6"/>
  <c r="H182" i="4"/>
  <c r="H181" i="6"/>
  <c r="H181" i="4"/>
  <c r="H180" i="6"/>
  <c r="H180" i="4"/>
  <c r="H179" i="6"/>
  <c r="H179" i="4"/>
  <c r="H178" i="6"/>
  <c r="H178" i="4"/>
  <c r="H177" i="6"/>
  <c r="H177" i="4"/>
  <c r="H176" i="6"/>
  <c r="H176" i="4"/>
  <c r="H175" i="6"/>
  <c r="H175" i="4"/>
  <c r="H174" i="6"/>
  <c r="H174" i="4"/>
  <c r="H173" i="6"/>
  <c r="H173" i="4"/>
  <c r="F172" i="6"/>
  <c r="F172" i="4"/>
  <c r="D170" i="6"/>
  <c r="D170" i="4"/>
  <c r="C171" i="6"/>
  <c r="C171" i="4"/>
  <c r="G168" i="6"/>
  <c r="G168" i="4"/>
  <c r="C167" i="6"/>
  <c r="C167" i="4"/>
  <c r="G166" i="6"/>
  <c r="G166" i="4"/>
  <c r="I164" i="6"/>
  <c r="I164" i="4"/>
  <c r="F163" i="6"/>
  <c r="F163" i="4"/>
  <c r="D162" i="6"/>
  <c r="D162" i="4"/>
  <c r="C161" i="6"/>
  <c r="C161" i="4"/>
  <c r="I160" i="6"/>
  <c r="I160" i="4"/>
  <c r="D159" i="6"/>
  <c r="D159" i="4"/>
  <c r="I158" i="6"/>
  <c r="I158" i="4"/>
  <c r="F157" i="6"/>
  <c r="F157" i="4"/>
  <c r="E156" i="6"/>
  <c r="E156" i="4"/>
  <c r="H154" i="6"/>
  <c r="H154" i="4"/>
  <c r="F155" i="6"/>
  <c r="F155" i="4"/>
  <c r="C153" i="6"/>
  <c r="C153" i="4"/>
  <c r="I152" i="6"/>
  <c r="I152" i="4"/>
  <c r="G151" i="6"/>
  <c r="G151" i="4"/>
  <c r="D150" i="6"/>
  <c r="D150" i="4"/>
  <c r="D149" i="6"/>
  <c r="D149" i="4"/>
  <c r="F147" i="6"/>
  <c r="F147" i="4"/>
  <c r="D146" i="6"/>
  <c r="D146" i="4"/>
  <c r="C145" i="6"/>
  <c r="C145" i="4"/>
  <c r="H144" i="6"/>
  <c r="H144" i="4"/>
  <c r="F143" i="6"/>
  <c r="F143" i="4"/>
  <c r="H142" i="6"/>
  <c r="H142" i="4"/>
  <c r="G141" i="6"/>
  <c r="G141" i="4"/>
  <c r="F140" i="6"/>
  <c r="F140" i="4"/>
  <c r="E139" i="6"/>
  <c r="E139" i="4"/>
  <c r="I138" i="6"/>
  <c r="I138" i="4"/>
  <c r="G137" i="6"/>
  <c r="G137" i="4"/>
  <c r="F136" i="6"/>
  <c r="F136" i="4"/>
  <c r="E132" i="6"/>
  <c r="E132" i="4"/>
  <c r="D130" i="6"/>
  <c r="D130" i="4"/>
  <c r="C131" i="6"/>
  <c r="C131" i="4"/>
  <c r="H135" i="6"/>
  <c r="H135" i="4"/>
  <c r="D134" i="6"/>
  <c r="D134" i="4"/>
  <c r="C133" i="6"/>
  <c r="C133" i="4"/>
  <c r="E128" i="6"/>
  <c r="E128" i="4"/>
  <c r="D127" i="6"/>
  <c r="D127" i="4"/>
  <c r="H125" i="6"/>
  <c r="H125" i="4"/>
  <c r="G124" i="6"/>
  <c r="G124" i="4"/>
  <c r="E123" i="6"/>
  <c r="E123" i="4"/>
  <c r="D122" i="6"/>
  <c r="D122" i="4"/>
  <c r="C121" i="6"/>
  <c r="C121" i="4"/>
  <c r="H120" i="6"/>
  <c r="H120" i="4"/>
  <c r="D118" i="6"/>
  <c r="D118" i="4"/>
  <c r="C119" i="6"/>
  <c r="C119" i="4"/>
  <c r="H117" i="6"/>
  <c r="H117" i="4"/>
  <c r="E115" i="6"/>
  <c r="E115" i="4"/>
  <c r="D114" i="6"/>
  <c r="D114" i="4"/>
  <c r="C116" i="6"/>
  <c r="C116" i="4"/>
  <c r="G112" i="6"/>
  <c r="G112" i="4"/>
  <c r="C111" i="6"/>
  <c r="C111" i="4"/>
  <c r="I109" i="6"/>
  <c r="I109" i="4"/>
  <c r="G108" i="6"/>
  <c r="G108" i="4"/>
  <c r="F107" i="6"/>
  <c r="F107" i="4"/>
  <c r="E106" i="6"/>
  <c r="E106" i="4"/>
  <c r="D105" i="6"/>
  <c r="D105" i="4"/>
  <c r="C104" i="6"/>
  <c r="C104" i="4"/>
  <c r="I103" i="6"/>
  <c r="I103" i="4"/>
  <c r="F101" i="6"/>
  <c r="F101" i="4"/>
  <c r="D100" i="6"/>
  <c r="D100" i="4"/>
  <c r="C99" i="6"/>
  <c r="C99" i="4"/>
  <c r="G97" i="6"/>
  <c r="G97" i="4"/>
  <c r="E96" i="6"/>
  <c r="E96" i="4"/>
  <c r="D95" i="6"/>
  <c r="D95" i="4"/>
  <c r="C94" i="6"/>
  <c r="C94" i="4"/>
  <c r="H92" i="6"/>
  <c r="H92" i="4"/>
  <c r="G91" i="6"/>
  <c r="G91" i="4"/>
  <c r="E90" i="6"/>
  <c r="E90" i="4"/>
  <c r="H89" i="6"/>
  <c r="H89" i="4"/>
  <c r="G88" i="6"/>
  <c r="G88" i="4"/>
  <c r="F87" i="6"/>
  <c r="F87" i="4"/>
  <c r="E86" i="6"/>
  <c r="E86" i="4"/>
  <c r="I85" i="6"/>
  <c r="I85" i="4"/>
  <c r="G84" i="6"/>
  <c r="G84" i="4"/>
  <c r="C83" i="6"/>
  <c r="C83" i="4"/>
  <c r="I82" i="6"/>
  <c r="I82" i="4"/>
  <c r="H81" i="6"/>
  <c r="H81" i="4"/>
  <c r="G80" i="6"/>
  <c r="G80" i="4"/>
  <c r="F79" i="6"/>
  <c r="F79" i="4"/>
  <c r="D78" i="6"/>
  <c r="D78" i="4"/>
  <c r="C77" i="6"/>
  <c r="C77" i="4"/>
  <c r="I76" i="6"/>
  <c r="I76" i="4"/>
  <c r="F75" i="6"/>
  <c r="F75" i="4"/>
  <c r="C74" i="6"/>
  <c r="C74" i="4"/>
  <c r="F73" i="6"/>
  <c r="F73" i="4"/>
  <c r="I72" i="6"/>
  <c r="I72" i="4"/>
  <c r="E71" i="6"/>
  <c r="E71" i="4"/>
  <c r="D70" i="6"/>
  <c r="D70" i="4"/>
  <c r="I69" i="6"/>
  <c r="I69" i="4"/>
  <c r="H68" i="6"/>
  <c r="H68" i="4"/>
  <c r="E45" i="6"/>
  <c r="E45" i="4"/>
  <c r="I67" i="6"/>
  <c r="I67" i="4"/>
  <c r="I66" i="6"/>
  <c r="I66" i="4"/>
  <c r="H65" i="6"/>
  <c r="H65" i="4"/>
  <c r="H64" i="6"/>
  <c r="H64" i="4"/>
  <c r="H63" i="6"/>
  <c r="H63" i="4"/>
  <c r="H62" i="6"/>
  <c r="H62" i="4"/>
  <c r="H61" i="6"/>
  <c r="H61" i="4"/>
  <c r="H60" i="6"/>
  <c r="H60" i="4"/>
  <c r="H58" i="6"/>
  <c r="H58" i="4"/>
  <c r="H59" i="6"/>
  <c r="H59" i="4"/>
  <c r="H57" i="6"/>
  <c r="H57" i="4"/>
  <c r="H54" i="4"/>
  <c r="H54" i="6"/>
  <c r="H56" i="4"/>
  <c r="H56" i="6"/>
  <c r="H55" i="6"/>
  <c r="H55" i="4"/>
  <c r="H53" i="6"/>
  <c r="H53" i="4"/>
  <c r="H52" i="6"/>
  <c r="H52" i="4"/>
  <c r="H51" i="6"/>
  <c r="H51" i="4"/>
  <c r="H50" i="6"/>
  <c r="H50" i="4"/>
  <c r="H49" i="6"/>
  <c r="H49" i="4"/>
  <c r="H48" i="4"/>
  <c r="H48" i="6"/>
  <c r="F46" i="4"/>
  <c r="F46" i="6"/>
  <c r="I47" i="6"/>
  <c r="I47" i="4"/>
  <c r="C44" i="6"/>
  <c r="C44" i="4"/>
  <c r="G42" i="6"/>
  <c r="G42" i="4"/>
  <c r="E41" i="4"/>
  <c r="E41" i="6"/>
  <c r="C40" i="6"/>
  <c r="C40" i="4"/>
  <c r="I39" i="6"/>
  <c r="I39" i="4"/>
  <c r="H38" i="4"/>
  <c r="H38" i="6"/>
  <c r="E37" i="6"/>
  <c r="E37" i="4"/>
  <c r="I36" i="6"/>
  <c r="I36" i="4"/>
  <c r="G35" i="6"/>
  <c r="G35" i="4"/>
  <c r="C34" i="6"/>
  <c r="C34" i="4"/>
  <c r="I33" i="6"/>
  <c r="I33" i="4"/>
  <c r="H32" i="4"/>
  <c r="H32" i="6"/>
  <c r="C31" i="6"/>
  <c r="C31" i="4"/>
  <c r="H30" i="4"/>
  <c r="H30" i="6"/>
  <c r="F29" i="6"/>
  <c r="F29" i="4"/>
  <c r="I28" i="6"/>
  <c r="I28" i="4"/>
  <c r="F24" i="4"/>
  <c r="F24" i="6"/>
  <c r="D23" i="4"/>
  <c r="D23" i="6"/>
  <c r="C27" i="6"/>
  <c r="C27" i="4"/>
  <c r="H22" i="4"/>
  <c r="H22" i="6"/>
  <c r="E21" i="6"/>
  <c r="E21" i="4"/>
  <c r="C20" i="4"/>
  <c r="C20" i="6"/>
  <c r="I19" i="4"/>
  <c r="I19" i="6"/>
  <c r="H17" i="6"/>
  <c r="H17" i="4"/>
  <c r="F16" i="6"/>
  <c r="F16" i="4"/>
  <c r="E15" i="4"/>
  <c r="E15" i="6"/>
  <c r="I13" i="6"/>
  <c r="I13" i="4"/>
  <c r="G12" i="4"/>
  <c r="G12" i="6"/>
  <c r="D11" i="4"/>
  <c r="D11" i="6"/>
  <c r="G9" i="6"/>
  <c r="G9" i="4"/>
  <c r="G7" i="6"/>
  <c r="G7" i="4"/>
  <c r="E5" i="6"/>
  <c r="E5" i="4"/>
  <c r="G3" i="6"/>
  <c r="G3" i="4"/>
  <c r="E2" i="4"/>
  <c r="E2" i="6"/>
  <c r="I224" i="6"/>
  <c r="I224" i="4"/>
  <c r="I223" i="6"/>
  <c r="I223" i="4"/>
  <c r="I226" i="6"/>
  <c r="I226" i="4"/>
  <c r="I221" i="6"/>
  <c r="I221" i="4"/>
  <c r="I222" i="6"/>
  <c r="I222" i="4"/>
  <c r="I220" i="6"/>
  <c r="I220" i="4"/>
  <c r="I219" i="6"/>
  <c r="I219" i="4"/>
  <c r="I218" i="6"/>
  <c r="I218" i="4"/>
  <c r="I216" i="6"/>
  <c r="I216" i="4"/>
  <c r="I217" i="6"/>
  <c r="I217" i="4"/>
  <c r="I215" i="6"/>
  <c r="I215" i="4"/>
  <c r="I214" i="6"/>
  <c r="I214" i="4"/>
  <c r="I213" i="6"/>
  <c r="I213" i="4"/>
  <c r="I212" i="6"/>
  <c r="I212" i="4"/>
  <c r="I211" i="6"/>
  <c r="I211" i="4"/>
  <c r="I209" i="6"/>
  <c r="I209" i="4"/>
  <c r="I210" i="6"/>
  <c r="I210" i="4"/>
  <c r="I208" i="6"/>
  <c r="I208" i="4"/>
  <c r="I207" i="6"/>
  <c r="I207" i="4"/>
  <c r="I204" i="6"/>
  <c r="I204" i="4"/>
  <c r="I206" i="6"/>
  <c r="I206" i="4"/>
  <c r="I205" i="6"/>
  <c r="I205" i="4"/>
  <c r="I203" i="6"/>
  <c r="I203" i="4"/>
  <c r="I202" i="6"/>
  <c r="I202" i="4"/>
  <c r="I201" i="6"/>
  <c r="I201" i="4"/>
  <c r="I200" i="6"/>
  <c r="I200" i="4"/>
  <c r="I199" i="6"/>
  <c r="I199" i="4"/>
  <c r="I198" i="6"/>
  <c r="I198" i="4"/>
  <c r="I197" i="6"/>
  <c r="I197" i="4"/>
  <c r="I196" i="6"/>
  <c r="I196" i="4"/>
  <c r="I195" i="6"/>
  <c r="I195" i="4"/>
  <c r="I194" i="6"/>
  <c r="I194" i="4"/>
  <c r="I193" i="6"/>
  <c r="I193" i="4"/>
  <c r="I192" i="6"/>
  <c r="I192" i="4"/>
  <c r="I191" i="6"/>
  <c r="I191" i="4"/>
  <c r="I188" i="6"/>
  <c r="I188" i="4"/>
  <c r="I189" i="6"/>
  <c r="I189" i="4"/>
  <c r="I190" i="6"/>
  <c r="I190" i="4"/>
  <c r="I187" i="6"/>
  <c r="I187" i="4"/>
  <c r="I186" i="6"/>
  <c r="I186" i="4"/>
  <c r="I185" i="6"/>
  <c r="I185" i="4"/>
  <c r="I184" i="6"/>
  <c r="I184" i="4"/>
  <c r="I183" i="6"/>
  <c r="I183" i="4"/>
  <c r="I182" i="6"/>
  <c r="I182" i="4"/>
  <c r="I181" i="6"/>
  <c r="I181" i="4"/>
  <c r="I180" i="6"/>
  <c r="I180" i="4"/>
  <c r="I179" i="6"/>
  <c r="I179" i="4"/>
  <c r="I178" i="6"/>
  <c r="I178" i="4"/>
  <c r="I177" i="6"/>
  <c r="I177" i="4"/>
  <c r="I176" i="6"/>
  <c r="I176" i="4"/>
  <c r="I175" i="6"/>
  <c r="I175" i="4"/>
  <c r="I174" i="6"/>
  <c r="I174" i="4"/>
  <c r="I173" i="6"/>
  <c r="I173" i="4"/>
  <c r="G172" i="6"/>
  <c r="G172" i="4"/>
  <c r="E170" i="6"/>
  <c r="E170" i="4"/>
  <c r="D171" i="6"/>
  <c r="D171" i="4"/>
  <c r="C169" i="6"/>
  <c r="C169" i="4"/>
  <c r="H168" i="6"/>
  <c r="H168" i="4"/>
  <c r="D167" i="6"/>
  <c r="D167" i="4"/>
  <c r="H166" i="6"/>
  <c r="H166" i="4"/>
  <c r="C165" i="6"/>
  <c r="C165" i="4"/>
  <c r="G163" i="6"/>
  <c r="G163" i="4"/>
  <c r="E162" i="6"/>
  <c r="E162" i="4"/>
  <c r="D161" i="6"/>
  <c r="D161" i="4"/>
  <c r="E159" i="6"/>
  <c r="E159" i="4"/>
  <c r="G157" i="6"/>
  <c r="G157" i="4"/>
  <c r="F156" i="6"/>
  <c r="F156" i="4"/>
  <c r="I154" i="6"/>
  <c r="I154" i="4"/>
  <c r="G155" i="6"/>
  <c r="G155" i="4"/>
  <c r="D153" i="6"/>
  <c r="D153" i="4"/>
  <c r="H151" i="6"/>
  <c r="H151" i="4"/>
  <c r="E150" i="6"/>
  <c r="E150" i="4"/>
  <c r="E149" i="6"/>
  <c r="E149" i="4"/>
  <c r="C148" i="6"/>
  <c r="C148" i="4"/>
  <c r="G147" i="6"/>
  <c r="G147" i="4"/>
  <c r="E146" i="6"/>
  <c r="E146" i="4"/>
  <c r="D145" i="6"/>
  <c r="D145" i="4"/>
  <c r="I144" i="6"/>
  <c r="I144" i="4"/>
  <c r="G143" i="6"/>
  <c r="G143" i="4"/>
  <c r="I142" i="6"/>
  <c r="I142" i="4"/>
  <c r="H141" i="6"/>
  <c r="H141" i="4"/>
  <c r="G140" i="6"/>
  <c r="G140" i="4"/>
  <c r="F139" i="6"/>
  <c r="F139" i="4"/>
  <c r="H137" i="6"/>
  <c r="H137" i="4"/>
  <c r="G136" i="6"/>
  <c r="G136" i="4"/>
  <c r="F132" i="6"/>
  <c r="F132" i="4"/>
  <c r="E130" i="6"/>
  <c r="E130" i="4"/>
  <c r="D131" i="6"/>
  <c r="D131" i="4"/>
  <c r="I135" i="6"/>
  <c r="I135" i="4"/>
  <c r="E134" i="6"/>
  <c r="E134" i="4"/>
  <c r="D133" i="6"/>
  <c r="D133" i="4"/>
  <c r="C129" i="6"/>
  <c r="C129" i="4"/>
  <c r="F128" i="6"/>
  <c r="F128" i="4"/>
  <c r="E127" i="6"/>
  <c r="E127" i="4"/>
  <c r="C126" i="6"/>
  <c r="C126" i="4"/>
  <c r="I125" i="6"/>
  <c r="I125" i="4"/>
  <c r="H124" i="6"/>
  <c r="H124" i="4"/>
  <c r="F123" i="6"/>
  <c r="F123" i="4"/>
  <c r="E122" i="6"/>
  <c r="E122" i="4"/>
  <c r="D121" i="6"/>
  <c r="D121" i="4"/>
  <c r="I120" i="6"/>
  <c r="I120" i="4"/>
  <c r="E118" i="6"/>
  <c r="E118" i="4"/>
  <c r="D119" i="6"/>
  <c r="D119" i="4"/>
  <c r="I117" i="6"/>
  <c r="I117" i="4"/>
  <c r="F115" i="6"/>
  <c r="F115" i="4"/>
  <c r="E114" i="6"/>
  <c r="E114" i="4"/>
  <c r="D116" i="6"/>
  <c r="D116" i="4"/>
  <c r="C113" i="6"/>
  <c r="C113" i="4"/>
  <c r="H112" i="6"/>
  <c r="H112" i="4"/>
  <c r="D111" i="6"/>
  <c r="D111" i="4"/>
  <c r="C110" i="6"/>
  <c r="C110" i="4"/>
  <c r="H108" i="6"/>
  <c r="H108" i="4"/>
  <c r="G107" i="6"/>
  <c r="G107" i="4"/>
  <c r="F106" i="6"/>
  <c r="F106" i="4"/>
  <c r="E105" i="6"/>
  <c r="E105" i="4"/>
  <c r="D104" i="6"/>
  <c r="D104" i="4"/>
  <c r="C102" i="6"/>
  <c r="C102" i="4"/>
  <c r="G101" i="6"/>
  <c r="G101" i="4"/>
  <c r="E100" i="6"/>
  <c r="E100" i="4"/>
  <c r="D99" i="6"/>
  <c r="D99" i="4"/>
  <c r="C98" i="6"/>
  <c r="C98" i="4"/>
  <c r="H97" i="6"/>
  <c r="H97" i="4"/>
  <c r="F96" i="6"/>
  <c r="F96" i="4"/>
  <c r="E95" i="6"/>
  <c r="E95" i="4"/>
  <c r="D94" i="6"/>
  <c r="D94" i="4"/>
  <c r="C93" i="6"/>
  <c r="C93" i="4"/>
  <c r="I92" i="6"/>
  <c r="I92" i="4"/>
  <c r="H91" i="6"/>
  <c r="H91" i="4"/>
  <c r="F90" i="6"/>
  <c r="F90" i="4"/>
  <c r="I89" i="6"/>
  <c r="I89" i="4"/>
  <c r="H88" i="6"/>
  <c r="H88" i="4"/>
  <c r="G87" i="6"/>
  <c r="G87" i="4"/>
  <c r="F86" i="6"/>
  <c r="F86" i="4"/>
  <c r="H84" i="6"/>
  <c r="H84" i="4"/>
  <c r="D83" i="6"/>
  <c r="D83" i="4"/>
  <c r="I81" i="6"/>
  <c r="I81" i="4"/>
  <c r="H80" i="6"/>
  <c r="H80" i="4"/>
  <c r="G79" i="6"/>
  <c r="G79" i="4"/>
  <c r="E78" i="6"/>
  <c r="E78" i="4"/>
  <c r="D77" i="6"/>
  <c r="D77" i="4"/>
  <c r="G75" i="6"/>
  <c r="G75" i="4"/>
  <c r="D74" i="6"/>
  <c r="D74" i="4"/>
  <c r="G73" i="6"/>
  <c r="G73" i="4"/>
  <c r="F71" i="6"/>
  <c r="F71" i="4"/>
  <c r="E70" i="6"/>
  <c r="E70" i="4"/>
  <c r="I68" i="6"/>
  <c r="I68" i="4"/>
  <c r="F45" i="6"/>
  <c r="F45" i="4"/>
  <c r="C67" i="6"/>
  <c r="C67" i="4"/>
  <c r="I65" i="6"/>
  <c r="I65" i="4"/>
  <c r="I64" i="6"/>
  <c r="I64" i="4"/>
  <c r="I63" i="6"/>
  <c r="I63" i="4"/>
  <c r="I62" i="6"/>
  <c r="I62" i="4"/>
  <c r="I61" i="6"/>
  <c r="I61" i="4"/>
  <c r="I60" i="6"/>
  <c r="I60" i="4"/>
  <c r="I58" i="6"/>
  <c r="I58" i="4"/>
  <c r="I59" i="4"/>
  <c r="I59" i="6"/>
  <c r="I57" i="6"/>
  <c r="I57" i="4"/>
  <c r="I54" i="4"/>
  <c r="I54" i="6"/>
  <c r="I56" i="6"/>
  <c r="I56" i="4"/>
  <c r="I55" i="4"/>
  <c r="I55" i="6"/>
  <c r="I53" i="4"/>
  <c r="I53" i="6"/>
  <c r="I52" i="4"/>
  <c r="I52" i="6"/>
  <c r="I51" i="4"/>
  <c r="I51" i="6"/>
  <c r="I50" i="6"/>
  <c r="I50" i="4"/>
  <c r="I49" i="6"/>
  <c r="I49" i="4"/>
  <c r="I48" i="6"/>
  <c r="I48" i="4"/>
  <c r="G46" i="6"/>
  <c r="G46" i="4"/>
  <c r="D44" i="4"/>
  <c r="D44" i="6"/>
  <c r="C43" i="6"/>
  <c r="C43" i="4"/>
  <c r="H42" i="6"/>
  <c r="H42" i="4"/>
  <c r="F41" i="4"/>
  <c r="F41" i="6"/>
  <c r="D40" i="6"/>
  <c r="D40" i="4"/>
  <c r="I38" i="6"/>
  <c r="I38" i="4"/>
  <c r="F37" i="4"/>
  <c r="F37" i="6"/>
  <c r="H35" i="6"/>
  <c r="H35" i="4"/>
  <c r="D34" i="6"/>
  <c r="D34" i="4"/>
  <c r="I32" i="6"/>
  <c r="I32" i="4"/>
  <c r="D31" i="6"/>
  <c r="D31" i="4"/>
  <c r="C25" i="6"/>
  <c r="C25" i="4"/>
  <c r="I30" i="4"/>
  <c r="I30" i="6"/>
  <c r="G29" i="6"/>
  <c r="G29" i="4"/>
  <c r="G24" i="6"/>
  <c r="G24" i="4"/>
  <c r="C26" i="4"/>
  <c r="C26" i="6"/>
  <c r="E23" i="6"/>
  <c r="E23" i="4"/>
  <c r="D27" i="4"/>
  <c r="D27" i="6"/>
  <c r="I22" i="4"/>
  <c r="I22" i="6"/>
  <c r="F21" i="6"/>
  <c r="F21" i="4"/>
  <c r="D20" i="4"/>
  <c r="D20" i="6"/>
  <c r="C18" i="4"/>
  <c r="C18" i="6"/>
  <c r="I17" i="6"/>
  <c r="I17" i="4"/>
  <c r="G16" i="6"/>
  <c r="G16" i="4"/>
  <c r="F15" i="4"/>
  <c r="F15" i="6"/>
  <c r="H12" i="4"/>
  <c r="H12" i="6"/>
  <c r="E11" i="6"/>
  <c r="E11" i="4"/>
  <c r="C10" i="4"/>
  <c r="C10" i="6"/>
  <c r="D6" i="4"/>
  <c r="D6" i="6"/>
  <c r="D4" i="6"/>
  <c r="D4" i="4"/>
  <c r="C235" i="6"/>
  <c r="C235" i="4"/>
  <c r="C234" i="6"/>
  <c r="C234" i="4"/>
  <c r="C233" i="6"/>
  <c r="C233" i="4"/>
  <c r="C232" i="6"/>
  <c r="C232" i="4"/>
  <c r="C231" i="6"/>
  <c r="C231" i="4"/>
  <c r="C230" i="6"/>
  <c r="C230" i="4"/>
  <c r="C229" i="6"/>
  <c r="C229" i="4"/>
  <c r="C228" i="6"/>
  <c r="C228" i="4"/>
  <c r="C225" i="6"/>
  <c r="C225" i="4"/>
  <c r="C227" i="6"/>
  <c r="C227" i="4"/>
  <c r="C224" i="6"/>
  <c r="C224" i="4"/>
  <c r="C223" i="6"/>
  <c r="C223" i="4"/>
  <c r="C226" i="6"/>
  <c r="C226" i="4"/>
  <c r="C221" i="6"/>
  <c r="C221" i="4"/>
  <c r="C222" i="6"/>
  <c r="C222" i="4"/>
  <c r="C220" i="6"/>
  <c r="C220" i="4"/>
  <c r="C219" i="6"/>
  <c r="C219" i="4"/>
  <c r="C218" i="6"/>
  <c r="C218" i="4"/>
  <c r="C216" i="6"/>
  <c r="C216" i="4"/>
  <c r="C217" i="6"/>
  <c r="C217" i="4"/>
  <c r="C215" i="6"/>
  <c r="C215" i="4"/>
  <c r="C214" i="6"/>
  <c r="C214" i="4"/>
  <c r="C213" i="6"/>
  <c r="C213" i="4"/>
  <c r="C212" i="6"/>
  <c r="C212" i="4"/>
  <c r="C211" i="6"/>
  <c r="C211" i="4"/>
  <c r="C209" i="6"/>
  <c r="C209" i="4"/>
  <c r="C210" i="6"/>
  <c r="C210" i="4"/>
  <c r="C208" i="6"/>
  <c r="C208" i="4"/>
  <c r="C207" i="6"/>
  <c r="C207" i="4"/>
  <c r="C204" i="6"/>
  <c r="C204" i="4"/>
  <c r="C206" i="6"/>
  <c r="C206" i="4"/>
  <c r="C205" i="6"/>
  <c r="C205" i="4"/>
  <c r="C203" i="6"/>
  <c r="C203" i="4"/>
  <c r="C202" i="6"/>
  <c r="C202" i="4"/>
  <c r="C201" i="6"/>
  <c r="C201" i="4"/>
  <c r="C200" i="6"/>
  <c r="C200" i="4"/>
  <c r="C199" i="6"/>
  <c r="C199" i="4"/>
  <c r="C198" i="6"/>
  <c r="C198" i="4"/>
  <c r="C197" i="6"/>
  <c r="C197" i="4"/>
  <c r="C196" i="6"/>
  <c r="C196" i="4"/>
  <c r="C195" i="6"/>
  <c r="C195" i="4"/>
  <c r="C194" i="6"/>
  <c r="C194" i="4"/>
  <c r="C193" i="6"/>
  <c r="C193" i="4"/>
  <c r="C192" i="6"/>
  <c r="C192" i="4"/>
  <c r="C191" i="6"/>
  <c r="C191" i="4"/>
  <c r="C188" i="6"/>
  <c r="C188" i="4"/>
  <c r="C189" i="6"/>
  <c r="C189" i="4"/>
  <c r="C190" i="6"/>
  <c r="C190" i="4"/>
  <c r="C187" i="6"/>
  <c r="C187" i="4"/>
  <c r="C186" i="6"/>
  <c r="C186" i="4"/>
  <c r="C185" i="6"/>
  <c r="C185" i="4"/>
  <c r="C184" i="6"/>
  <c r="C184" i="4"/>
  <c r="C183" i="6"/>
  <c r="C183" i="4"/>
  <c r="C182" i="6"/>
  <c r="C182" i="4"/>
  <c r="C181" i="6"/>
  <c r="C181" i="4"/>
  <c r="C180" i="6"/>
  <c r="C180" i="4"/>
  <c r="C179" i="6"/>
  <c r="C179" i="4"/>
  <c r="C178" i="6"/>
  <c r="C178" i="4"/>
  <c r="C177" i="6"/>
  <c r="C177" i="4"/>
  <c r="C176" i="6"/>
  <c r="C176" i="4"/>
  <c r="C175" i="6"/>
  <c r="C175" i="4"/>
  <c r="C174" i="6"/>
  <c r="C174" i="4"/>
  <c r="H172" i="6"/>
  <c r="H172" i="4"/>
  <c r="F170" i="6"/>
  <c r="F170" i="4"/>
  <c r="E171" i="6"/>
  <c r="E171" i="4"/>
  <c r="D169" i="6"/>
  <c r="D169" i="4"/>
  <c r="I168" i="6"/>
  <c r="I168" i="4"/>
  <c r="E167" i="6"/>
  <c r="E167" i="4"/>
  <c r="I166" i="6"/>
  <c r="I166" i="4"/>
  <c r="D165" i="6"/>
  <c r="D165" i="4"/>
  <c r="C164" i="6"/>
  <c r="C164" i="4"/>
  <c r="H163" i="6"/>
  <c r="H163" i="4"/>
  <c r="F162" i="6"/>
  <c r="F162" i="4"/>
  <c r="E161" i="6"/>
  <c r="E161" i="4"/>
  <c r="C160" i="6"/>
  <c r="C160" i="4"/>
  <c r="F159" i="6"/>
  <c r="F159" i="4"/>
  <c r="C158" i="6"/>
  <c r="C158" i="4"/>
  <c r="H157" i="6"/>
  <c r="H157" i="4"/>
  <c r="G156" i="6"/>
  <c r="G156" i="4"/>
  <c r="H155" i="6"/>
  <c r="H155" i="4"/>
  <c r="E153" i="6"/>
  <c r="E153" i="4"/>
  <c r="C152" i="6"/>
  <c r="C152" i="4"/>
  <c r="I151" i="6"/>
  <c r="I151" i="4"/>
  <c r="F150" i="6"/>
  <c r="F150" i="4"/>
  <c r="F149" i="6"/>
  <c r="F149" i="4"/>
  <c r="D148" i="6"/>
  <c r="D148" i="4"/>
  <c r="H147" i="6"/>
  <c r="H147" i="4"/>
  <c r="F146" i="6"/>
  <c r="F146" i="4"/>
  <c r="E145" i="6"/>
  <c r="E145" i="4"/>
  <c r="H143" i="6"/>
  <c r="H143" i="4"/>
  <c r="I141" i="6"/>
  <c r="I141" i="4"/>
  <c r="H140" i="6"/>
  <c r="H140" i="4"/>
  <c r="G139" i="6"/>
  <c r="G139" i="4"/>
  <c r="C138" i="6"/>
  <c r="C138" i="4"/>
  <c r="I137" i="6"/>
  <c r="I137" i="4"/>
  <c r="H136" i="6"/>
  <c r="H136" i="4"/>
  <c r="G132" i="6"/>
  <c r="G132" i="4"/>
  <c r="F130" i="6"/>
  <c r="F130" i="4"/>
  <c r="E131" i="6"/>
  <c r="E131" i="4"/>
  <c r="F134" i="6"/>
  <c r="F134" i="4"/>
  <c r="E133" i="6"/>
  <c r="E133" i="4"/>
  <c r="D129" i="6"/>
  <c r="D129" i="4"/>
  <c r="G128" i="6"/>
  <c r="G128" i="4"/>
  <c r="F127" i="6"/>
  <c r="F127" i="4"/>
  <c r="D126" i="6"/>
  <c r="D126" i="4"/>
  <c r="I124" i="6"/>
  <c r="I124" i="4"/>
  <c r="G123" i="6"/>
  <c r="G123" i="4"/>
  <c r="F122" i="6"/>
  <c r="F122" i="4"/>
  <c r="E121" i="6"/>
  <c r="E121" i="4"/>
  <c r="F118" i="6"/>
  <c r="F118" i="4"/>
  <c r="E119" i="6"/>
  <c r="E119" i="4"/>
  <c r="G115" i="6"/>
  <c r="G115" i="4"/>
  <c r="F114" i="6"/>
  <c r="F114" i="4"/>
  <c r="E116" i="6"/>
  <c r="E116" i="4"/>
  <c r="D113" i="6"/>
  <c r="D113" i="4"/>
  <c r="I112" i="6"/>
  <c r="I112" i="4"/>
  <c r="E111" i="6"/>
  <c r="E111" i="4"/>
  <c r="D110" i="6"/>
  <c r="D110" i="4"/>
  <c r="C109" i="6"/>
  <c r="C109" i="4"/>
  <c r="I108" i="6"/>
  <c r="I108" i="4"/>
  <c r="H107" i="6"/>
  <c r="H107" i="4"/>
  <c r="G106" i="6"/>
  <c r="G106" i="4"/>
  <c r="F105" i="6"/>
  <c r="F105" i="4"/>
  <c r="E104" i="6"/>
  <c r="E104" i="4"/>
  <c r="C103" i="6"/>
  <c r="C103" i="4"/>
  <c r="D102" i="6"/>
  <c r="D102" i="4"/>
  <c r="H101" i="6"/>
  <c r="H101" i="4"/>
  <c r="F100" i="6"/>
  <c r="F100" i="4"/>
  <c r="E99" i="6"/>
  <c r="E99" i="4"/>
  <c r="D98" i="6"/>
  <c r="D98" i="4"/>
  <c r="I97" i="6"/>
  <c r="I97" i="4"/>
  <c r="G96" i="6"/>
  <c r="G96" i="4"/>
  <c r="F95" i="6"/>
  <c r="F95" i="4"/>
  <c r="E94" i="6"/>
  <c r="E94" i="4"/>
  <c r="D93" i="6"/>
  <c r="D93" i="4"/>
  <c r="I91" i="6"/>
  <c r="I91" i="4"/>
  <c r="G90" i="6"/>
  <c r="G90" i="4"/>
  <c r="I88" i="6"/>
  <c r="I88" i="4"/>
  <c r="H87" i="6"/>
  <c r="H87" i="4"/>
  <c r="G86" i="6"/>
  <c r="G86" i="4"/>
  <c r="C85" i="6"/>
  <c r="C85" i="4"/>
  <c r="I84" i="6"/>
  <c r="I84" i="4"/>
  <c r="E83" i="6"/>
  <c r="E83" i="4"/>
  <c r="C82" i="6"/>
  <c r="C82" i="4"/>
  <c r="I80" i="6"/>
  <c r="I80" i="4"/>
  <c r="H79" i="6"/>
  <c r="H79" i="4"/>
  <c r="F78" i="6"/>
  <c r="F78" i="4"/>
  <c r="E77" i="6"/>
  <c r="E77" i="4"/>
  <c r="C76" i="6"/>
  <c r="C76" i="4"/>
  <c r="H75" i="6"/>
  <c r="H75" i="4"/>
  <c r="E74" i="6"/>
  <c r="E74" i="4"/>
  <c r="H73" i="6"/>
  <c r="H73" i="4"/>
  <c r="C72" i="6"/>
  <c r="C72" i="4"/>
  <c r="G71" i="6"/>
  <c r="G71" i="4"/>
  <c r="F70" i="6"/>
  <c r="F70" i="4"/>
  <c r="C69" i="6"/>
  <c r="C69" i="4"/>
  <c r="G45" i="6"/>
  <c r="G45" i="4"/>
  <c r="D67" i="6"/>
  <c r="D67" i="4"/>
  <c r="C66" i="6"/>
  <c r="C66" i="4"/>
  <c r="C65" i="6"/>
  <c r="C65" i="4"/>
  <c r="C64" i="6"/>
  <c r="C64" i="4"/>
  <c r="C63" i="6"/>
  <c r="C63" i="4"/>
  <c r="C62" i="6"/>
  <c r="C62" i="4"/>
  <c r="C61" i="6"/>
  <c r="C61" i="4"/>
  <c r="C60" i="6"/>
  <c r="C60" i="4"/>
  <c r="C58" i="4"/>
  <c r="C58" i="6"/>
  <c r="C59" i="6"/>
  <c r="C59" i="4"/>
  <c r="C57" i="4"/>
  <c r="C57" i="6"/>
  <c r="C54" i="6"/>
  <c r="C54" i="4"/>
  <c r="C56" i="6"/>
  <c r="C56" i="4"/>
  <c r="C55" i="6"/>
  <c r="C55" i="4"/>
  <c r="C53" i="6"/>
  <c r="C53" i="4"/>
  <c r="C52" i="6"/>
  <c r="C52" i="4"/>
  <c r="C51" i="6"/>
  <c r="C51" i="4"/>
  <c r="C50" i="6"/>
  <c r="C50" i="4"/>
  <c r="C49" i="6"/>
  <c r="C49" i="4"/>
  <c r="C48" i="6"/>
  <c r="C48" i="4"/>
  <c r="H46" i="6"/>
  <c r="H46" i="4"/>
  <c r="C47" i="6"/>
  <c r="C47" i="4"/>
  <c r="E44" i="6"/>
  <c r="E44" i="4"/>
  <c r="D43" i="4"/>
  <c r="D43" i="6"/>
  <c r="I42" i="4"/>
  <c r="I42" i="6"/>
  <c r="G41" i="4"/>
  <c r="G41" i="6"/>
  <c r="E40" i="4"/>
  <c r="E40" i="6"/>
  <c r="C39" i="6"/>
  <c r="C39" i="4"/>
  <c r="G37" i="4"/>
  <c r="G37" i="6"/>
  <c r="C36" i="4"/>
  <c r="C36" i="6"/>
  <c r="I35" i="6"/>
  <c r="I35" i="4"/>
  <c r="E34" i="4"/>
  <c r="E34" i="6"/>
  <c r="C33" i="6"/>
  <c r="C33" i="4"/>
  <c r="E31" i="6"/>
  <c r="E31" i="4"/>
  <c r="D25" i="6"/>
  <c r="D25" i="4"/>
  <c r="H29" i="4"/>
  <c r="H29" i="6"/>
  <c r="C28" i="4"/>
  <c r="C28" i="6"/>
  <c r="H24" i="6"/>
  <c r="H24" i="4"/>
  <c r="D26" i="4"/>
  <c r="D26" i="6"/>
  <c r="F23" i="6"/>
  <c r="F23" i="4"/>
  <c r="E27" i="4"/>
  <c r="E27" i="6"/>
  <c r="G21" i="6"/>
  <c r="G21" i="4"/>
  <c r="E20" i="6"/>
  <c r="E20" i="4"/>
  <c r="D18" i="4"/>
  <c r="D18" i="6"/>
  <c r="C19" i="6"/>
  <c r="C19" i="4"/>
  <c r="H16" i="4"/>
  <c r="H16" i="6"/>
  <c r="G15" i="6"/>
  <c r="G15" i="4"/>
  <c r="C13" i="6"/>
  <c r="C13" i="4"/>
  <c r="I12" i="4"/>
  <c r="I12" i="6"/>
  <c r="F11" i="6"/>
  <c r="F11" i="4"/>
  <c r="D10" i="6"/>
  <c r="D10" i="4"/>
  <c r="E6" i="4"/>
  <c r="E6" i="6"/>
  <c r="D8" i="4"/>
  <c r="D8" i="6"/>
  <c r="G5" i="4"/>
  <c r="G5" i="6"/>
  <c r="E4" i="6"/>
  <c r="E4" i="4"/>
  <c r="G2" i="6"/>
  <c r="G2" i="4"/>
  <c r="E281" i="6"/>
  <c r="E281" i="4"/>
  <c r="E280" i="6"/>
  <c r="E280" i="4"/>
  <c r="E279" i="6"/>
  <c r="E279" i="4"/>
  <c r="E278" i="6"/>
  <c r="E278" i="4"/>
  <c r="E277" i="6"/>
  <c r="E277" i="4"/>
  <c r="D276" i="6"/>
  <c r="D276" i="4"/>
  <c r="D275" i="6"/>
  <c r="D275" i="4"/>
  <c r="D274" i="6"/>
  <c r="D274" i="4"/>
  <c r="D273" i="6"/>
  <c r="D273" i="4"/>
  <c r="D272" i="6"/>
  <c r="D272" i="4"/>
  <c r="D271" i="6"/>
  <c r="D271" i="4"/>
  <c r="D270" i="6"/>
  <c r="D270" i="4"/>
  <c r="D269" i="6"/>
  <c r="D269" i="4"/>
  <c r="D268" i="6"/>
  <c r="D268" i="4"/>
  <c r="D267" i="6"/>
  <c r="D267" i="4"/>
  <c r="D266" i="6"/>
  <c r="D266" i="4"/>
  <c r="D265" i="6"/>
  <c r="D265" i="4"/>
  <c r="D264" i="6"/>
  <c r="D264" i="4"/>
  <c r="D263" i="6"/>
  <c r="D263" i="4"/>
  <c r="D262" i="6"/>
  <c r="D262" i="4"/>
  <c r="D261" i="6"/>
  <c r="D261" i="4"/>
  <c r="D260" i="6"/>
  <c r="D260" i="4"/>
  <c r="D259" i="6"/>
  <c r="D259" i="4"/>
  <c r="D258" i="6"/>
  <c r="D258" i="4"/>
  <c r="D257" i="6"/>
  <c r="D257" i="4"/>
  <c r="D255" i="6"/>
  <c r="D255" i="4"/>
  <c r="D256" i="6"/>
  <c r="D256" i="4"/>
  <c r="D254" i="6"/>
  <c r="D254" i="4"/>
  <c r="D253" i="6"/>
  <c r="D253" i="4"/>
  <c r="D252" i="6"/>
  <c r="D252" i="4"/>
  <c r="D251" i="6"/>
  <c r="D251" i="4"/>
  <c r="D250" i="6"/>
  <c r="D250" i="4"/>
  <c r="D249" i="6"/>
  <c r="D249" i="4"/>
  <c r="D248" i="6"/>
  <c r="D248" i="4"/>
  <c r="D247" i="6"/>
  <c r="D247" i="4"/>
  <c r="D246" i="6"/>
  <c r="D246" i="4"/>
  <c r="D245" i="6"/>
  <c r="D245" i="4"/>
  <c r="D244" i="6"/>
  <c r="D244" i="4"/>
  <c r="D243" i="6"/>
  <c r="D243" i="4"/>
  <c r="D242" i="6"/>
  <c r="D242" i="4"/>
  <c r="D241" i="6"/>
  <c r="D241" i="4"/>
  <c r="D240" i="6"/>
  <c r="D240" i="4"/>
  <c r="D239" i="6"/>
  <c r="D239" i="4"/>
  <c r="D238" i="6"/>
  <c r="D238" i="4"/>
  <c r="D237" i="6"/>
  <c r="D237" i="4"/>
  <c r="D236" i="6"/>
  <c r="D236" i="4"/>
  <c r="D235" i="6"/>
  <c r="D235" i="4"/>
  <c r="D234" i="6"/>
  <c r="D234" i="4"/>
  <c r="D233" i="6"/>
  <c r="D233" i="4"/>
  <c r="D232" i="6"/>
  <c r="D232" i="4"/>
  <c r="D231" i="6"/>
  <c r="D231" i="4"/>
  <c r="D230" i="6"/>
  <c r="D230" i="4"/>
  <c r="D229" i="6"/>
  <c r="D229" i="4"/>
  <c r="D228" i="6"/>
  <c r="D228" i="4"/>
  <c r="D225" i="6"/>
  <c r="D225" i="4"/>
  <c r="D227" i="6"/>
  <c r="D227" i="4"/>
  <c r="D224" i="6"/>
  <c r="D224" i="4"/>
  <c r="D223" i="6"/>
  <c r="D223" i="4"/>
  <c r="D226" i="6"/>
  <c r="D226" i="4"/>
  <c r="D221" i="6"/>
  <c r="D221" i="4"/>
  <c r="D222" i="6"/>
  <c r="D222" i="4"/>
  <c r="D220" i="6"/>
  <c r="D220" i="4"/>
  <c r="D219" i="6"/>
  <c r="D219" i="4"/>
  <c r="D218" i="6"/>
  <c r="D218" i="4"/>
  <c r="D216" i="6"/>
  <c r="D216" i="4"/>
  <c r="D217" i="6"/>
  <c r="D217" i="4"/>
  <c r="D215" i="6"/>
  <c r="D215" i="4"/>
  <c r="D214" i="6"/>
  <c r="D214" i="4"/>
  <c r="D213" i="6"/>
  <c r="D213" i="4"/>
  <c r="D212" i="6"/>
  <c r="D212" i="4"/>
  <c r="D211" i="6"/>
  <c r="D211" i="4"/>
  <c r="D209" i="6"/>
  <c r="D209" i="4"/>
  <c r="D210" i="6"/>
  <c r="D210" i="4"/>
  <c r="D208" i="6"/>
  <c r="D208" i="4"/>
  <c r="D207" i="6"/>
  <c r="D207" i="4"/>
  <c r="D204" i="6"/>
  <c r="D204" i="4"/>
  <c r="D206" i="6"/>
  <c r="D206" i="4"/>
  <c r="D205" i="6"/>
  <c r="D205" i="4"/>
  <c r="D203" i="6"/>
  <c r="D203" i="4"/>
  <c r="D202" i="6"/>
  <c r="D202" i="4"/>
  <c r="D201" i="6"/>
  <c r="D201" i="4"/>
  <c r="D200" i="6"/>
  <c r="D200" i="4"/>
  <c r="D199" i="6"/>
  <c r="D199" i="4"/>
  <c r="D198" i="6"/>
  <c r="D198" i="4"/>
  <c r="D197" i="6"/>
  <c r="D197" i="4"/>
  <c r="D196" i="6"/>
  <c r="D196" i="4"/>
  <c r="D195" i="6"/>
  <c r="D195" i="4"/>
  <c r="D194" i="6"/>
  <c r="D194" i="4"/>
  <c r="D193" i="6"/>
  <c r="D193" i="4"/>
  <c r="D192" i="6"/>
  <c r="D192" i="4"/>
  <c r="D191" i="6"/>
  <c r="D191" i="4"/>
  <c r="D188" i="6"/>
  <c r="D188" i="4"/>
  <c r="D189" i="6"/>
  <c r="D189" i="4"/>
  <c r="D190" i="6"/>
  <c r="D190" i="4"/>
  <c r="D187" i="6"/>
  <c r="D187" i="4"/>
  <c r="D186" i="6"/>
  <c r="D186" i="4"/>
  <c r="D185" i="6"/>
  <c r="D185" i="4"/>
  <c r="D184" i="6"/>
  <c r="D184" i="4"/>
  <c r="D183" i="6"/>
  <c r="D183" i="4"/>
  <c r="D182" i="6"/>
  <c r="D182" i="4"/>
  <c r="D181" i="6"/>
  <c r="D181" i="4"/>
  <c r="D180" i="6"/>
  <c r="D180" i="4"/>
  <c r="D179" i="6"/>
  <c r="D179" i="4"/>
  <c r="D178" i="6"/>
  <c r="D178" i="4"/>
  <c r="D177" i="6"/>
  <c r="D177" i="4"/>
  <c r="D176" i="6"/>
  <c r="D176" i="4"/>
  <c r="D175" i="6"/>
  <c r="D175" i="4"/>
  <c r="D174" i="6"/>
  <c r="D174" i="4"/>
  <c r="C173" i="6"/>
  <c r="C173" i="4"/>
  <c r="I172" i="6"/>
  <c r="I172" i="4"/>
  <c r="G170" i="6"/>
  <c r="G170" i="4"/>
  <c r="F171" i="6"/>
  <c r="F171" i="4"/>
  <c r="E169" i="6"/>
  <c r="E169" i="4"/>
  <c r="F167" i="6"/>
  <c r="F167" i="4"/>
  <c r="E165" i="6"/>
  <c r="E165" i="4"/>
  <c r="D164" i="6"/>
  <c r="D164" i="4"/>
  <c r="I163" i="6"/>
  <c r="I163" i="4"/>
  <c r="G162" i="6"/>
  <c r="G162" i="4"/>
  <c r="F161" i="6"/>
  <c r="F161" i="4"/>
  <c r="D160" i="6"/>
  <c r="D160" i="4"/>
  <c r="G159" i="6"/>
  <c r="G159" i="4"/>
  <c r="D158" i="6"/>
  <c r="D158" i="4"/>
  <c r="I157" i="6"/>
  <c r="I157" i="4"/>
  <c r="H156" i="6"/>
  <c r="H156" i="4"/>
  <c r="C154" i="6"/>
  <c r="C154" i="4"/>
  <c r="I155" i="6"/>
  <c r="I155" i="4"/>
  <c r="F153" i="6"/>
  <c r="F153" i="4"/>
  <c r="D152" i="6"/>
  <c r="D152" i="4"/>
  <c r="G150" i="6"/>
  <c r="G150" i="4"/>
  <c r="G149" i="6"/>
  <c r="G149" i="4"/>
  <c r="E148" i="6"/>
  <c r="E148" i="4"/>
  <c r="I147" i="6"/>
  <c r="I147" i="4"/>
  <c r="G146" i="6"/>
  <c r="G146" i="4"/>
  <c r="F145" i="6"/>
  <c r="F145" i="4"/>
  <c r="C144" i="6"/>
  <c r="C144" i="4"/>
  <c r="I143" i="6"/>
  <c r="I143" i="4"/>
  <c r="C142" i="6"/>
  <c r="C142" i="4"/>
  <c r="I140" i="6"/>
  <c r="I140" i="4"/>
  <c r="H139" i="6"/>
  <c r="H139" i="4"/>
  <c r="D138" i="6"/>
  <c r="D138" i="4"/>
  <c r="I136" i="6"/>
  <c r="I136" i="4"/>
  <c r="H132" i="6"/>
  <c r="H132" i="4"/>
  <c r="G130" i="6"/>
  <c r="G130" i="4"/>
  <c r="F131" i="6"/>
  <c r="F131" i="4"/>
  <c r="C135" i="6"/>
  <c r="C135" i="4"/>
  <c r="G134" i="6"/>
  <c r="G134" i="4"/>
  <c r="F133" i="6"/>
  <c r="F133" i="4"/>
  <c r="E129" i="6"/>
  <c r="E129" i="4"/>
  <c r="H128" i="6"/>
  <c r="H128" i="4"/>
  <c r="G127" i="6"/>
  <c r="G127" i="4"/>
  <c r="E126" i="6"/>
  <c r="E126" i="4"/>
  <c r="C125" i="6"/>
  <c r="C125" i="4"/>
  <c r="H123" i="6"/>
  <c r="H123" i="4"/>
  <c r="G122" i="6"/>
  <c r="G122" i="4"/>
  <c r="F121" i="6"/>
  <c r="F121" i="4"/>
  <c r="C120" i="6"/>
  <c r="C120" i="4"/>
  <c r="G118" i="6"/>
  <c r="G118" i="4"/>
  <c r="F119" i="6"/>
  <c r="F119" i="4"/>
  <c r="C117" i="6"/>
  <c r="C117" i="4"/>
  <c r="H115" i="6"/>
  <c r="H115" i="4"/>
  <c r="G114" i="6"/>
  <c r="G114" i="4"/>
  <c r="F116" i="6"/>
  <c r="F116" i="4"/>
  <c r="E113" i="6"/>
  <c r="E113" i="4"/>
  <c r="F111" i="6"/>
  <c r="F111" i="4"/>
  <c r="E110" i="6"/>
  <c r="E110" i="4"/>
  <c r="D109" i="6"/>
  <c r="D109" i="4"/>
  <c r="I107" i="6"/>
  <c r="I107" i="4"/>
  <c r="H106" i="6"/>
  <c r="H106" i="4"/>
  <c r="G105" i="6"/>
  <c r="G105" i="4"/>
  <c r="F104" i="6"/>
  <c r="F104" i="4"/>
  <c r="D103" i="6"/>
  <c r="D103" i="4"/>
  <c r="E102" i="6"/>
  <c r="E102" i="4"/>
  <c r="I101" i="6"/>
  <c r="I101" i="4"/>
  <c r="G100" i="6"/>
  <c r="G100" i="4"/>
  <c r="F99" i="6"/>
  <c r="F99" i="4"/>
  <c r="E98" i="6"/>
  <c r="E98" i="4"/>
  <c r="H96" i="6"/>
  <c r="H96" i="4"/>
  <c r="G95" i="6"/>
  <c r="G95" i="4"/>
  <c r="F94" i="6"/>
  <c r="F94" i="4"/>
  <c r="E93" i="6"/>
  <c r="E93" i="4"/>
  <c r="C92" i="6"/>
  <c r="C92" i="4"/>
  <c r="H90" i="6"/>
  <c r="H90" i="4"/>
  <c r="C89" i="6"/>
  <c r="C89" i="4"/>
  <c r="I87" i="6"/>
  <c r="I87" i="4"/>
  <c r="H86" i="6"/>
  <c r="H86" i="4"/>
  <c r="D85" i="6"/>
  <c r="D85" i="4"/>
  <c r="F83" i="6"/>
  <c r="F83" i="4"/>
  <c r="D82" i="6"/>
  <c r="D82" i="4"/>
  <c r="C81" i="6"/>
  <c r="C81" i="4"/>
  <c r="I79" i="6"/>
  <c r="I79" i="4"/>
  <c r="G78" i="6"/>
  <c r="G78" i="4"/>
  <c r="F77" i="6"/>
  <c r="F77" i="4"/>
  <c r="D76" i="6"/>
  <c r="D76" i="4"/>
  <c r="I75" i="6"/>
  <c r="I75" i="4"/>
  <c r="F74" i="6"/>
  <c r="F74" i="4"/>
  <c r="I73" i="6"/>
  <c r="I73" i="4"/>
  <c r="D72" i="6"/>
  <c r="D72" i="4"/>
  <c r="H71" i="6"/>
  <c r="H71" i="4"/>
  <c r="G70" i="6"/>
  <c r="G70" i="4"/>
  <c r="D69" i="6"/>
  <c r="D69" i="4"/>
  <c r="C68" i="6"/>
  <c r="C68" i="4"/>
  <c r="H45" i="6"/>
  <c r="H45" i="4"/>
  <c r="E67" i="6"/>
  <c r="E67" i="4"/>
  <c r="D66" i="6"/>
  <c r="D66" i="4"/>
  <c r="D65" i="6"/>
  <c r="D65" i="4"/>
  <c r="D64" i="6"/>
  <c r="D64" i="4"/>
  <c r="D63" i="6"/>
  <c r="D63" i="4"/>
  <c r="D62" i="6"/>
  <c r="D62" i="4"/>
  <c r="D61" i="6"/>
  <c r="D61" i="4"/>
  <c r="D60" i="4"/>
  <c r="D60" i="6"/>
  <c r="D58" i="4"/>
  <c r="D58" i="6"/>
  <c r="D59" i="4"/>
  <c r="D59" i="6"/>
  <c r="D57" i="6"/>
  <c r="D57" i="4"/>
  <c r="D54" i="6"/>
  <c r="D54" i="4"/>
  <c r="D56" i="6"/>
  <c r="D56" i="4"/>
  <c r="D55" i="6"/>
  <c r="D55" i="4"/>
  <c r="D53" i="6"/>
  <c r="D53" i="4"/>
  <c r="D52" i="4"/>
  <c r="D52" i="6"/>
  <c r="D51" i="4"/>
  <c r="D51" i="6"/>
  <c r="D50" i="4"/>
  <c r="D50" i="6"/>
  <c r="D49" i="4"/>
  <c r="D49" i="6"/>
  <c r="D48" i="4"/>
  <c r="D48" i="6"/>
  <c r="I46" i="4"/>
  <c r="I46" i="6"/>
  <c r="D47" i="6"/>
  <c r="D47" i="4"/>
  <c r="F44" i="6"/>
  <c r="F44" i="4"/>
  <c r="E43" i="4"/>
  <c r="E43" i="6"/>
  <c r="H41" i="6"/>
  <c r="H41" i="4"/>
  <c r="F40" i="4"/>
  <c r="F40" i="6"/>
  <c r="D39" i="6"/>
  <c r="D39" i="4"/>
  <c r="C38" i="6"/>
  <c r="C38" i="4"/>
  <c r="H37" i="6"/>
  <c r="H37" i="4"/>
  <c r="D36" i="4"/>
  <c r="D36" i="6"/>
  <c r="F34" i="4"/>
  <c r="F34" i="6"/>
  <c r="D33" i="6"/>
  <c r="D33" i="4"/>
  <c r="C32" i="6"/>
  <c r="C32" i="4"/>
  <c r="F31" i="6"/>
  <c r="F31" i="4"/>
  <c r="E25" i="6"/>
  <c r="E25" i="4"/>
  <c r="C30" i="6"/>
  <c r="C30" i="4"/>
  <c r="I29" i="4"/>
  <c r="I29" i="6"/>
  <c r="D28" i="4"/>
  <c r="D28" i="6"/>
  <c r="I24" i="6"/>
  <c r="I24" i="4"/>
  <c r="E26" i="6"/>
  <c r="E26" i="4"/>
  <c r="G23" i="4"/>
  <c r="G23" i="6"/>
  <c r="F27" i="6"/>
  <c r="F27" i="4"/>
  <c r="C22" i="6"/>
  <c r="C22" i="4"/>
  <c r="H21" i="4"/>
  <c r="H21" i="6"/>
  <c r="F20" i="6"/>
  <c r="F20" i="4"/>
  <c r="E18" i="4"/>
  <c r="E18" i="6"/>
  <c r="D19" i="4"/>
  <c r="D19" i="6"/>
  <c r="C17" i="4"/>
  <c r="C17" i="6"/>
  <c r="I16" i="6"/>
  <c r="I16" i="4"/>
  <c r="H15" i="6"/>
  <c r="H15" i="4"/>
  <c r="D13" i="6"/>
  <c r="D13" i="4"/>
  <c r="G11" i="6"/>
  <c r="G11" i="4"/>
  <c r="E10" i="4"/>
  <c r="E10" i="6"/>
  <c r="E8" i="4"/>
  <c r="E8" i="6"/>
  <c r="E192" i="6"/>
  <c r="E192" i="4"/>
  <c r="E191" i="6"/>
  <c r="E191" i="4"/>
  <c r="E188" i="6"/>
  <c r="E188" i="4"/>
  <c r="E189" i="6"/>
  <c r="E189" i="4"/>
  <c r="E190" i="6"/>
  <c r="E190" i="4"/>
  <c r="E187" i="6"/>
  <c r="E187" i="4"/>
  <c r="E186" i="6"/>
  <c r="E186" i="4"/>
  <c r="E185" i="6"/>
  <c r="E185" i="4"/>
  <c r="E184" i="6"/>
  <c r="E184" i="4"/>
  <c r="E183" i="6"/>
  <c r="E183" i="4"/>
  <c r="E182" i="6"/>
  <c r="E182" i="4"/>
  <c r="E181" i="6"/>
  <c r="E181" i="4"/>
  <c r="E180" i="6"/>
  <c r="E180" i="4"/>
  <c r="E179" i="6"/>
  <c r="E179" i="4"/>
  <c r="E178" i="6"/>
  <c r="E178" i="4"/>
  <c r="E177" i="6"/>
  <c r="E177" i="4"/>
  <c r="E176" i="6"/>
  <c r="E176" i="4"/>
  <c r="E175" i="6"/>
  <c r="E175" i="4"/>
  <c r="E174" i="6"/>
  <c r="E174" i="4"/>
  <c r="D173" i="6"/>
  <c r="D173" i="4"/>
  <c r="H170" i="6"/>
  <c r="H170" i="4"/>
  <c r="G171" i="6"/>
  <c r="G171" i="4"/>
  <c r="F169" i="6"/>
  <c r="F169" i="4"/>
  <c r="C168" i="6"/>
  <c r="C168" i="4"/>
  <c r="G167" i="6"/>
  <c r="G167" i="4"/>
  <c r="C166" i="6"/>
  <c r="C166" i="4"/>
  <c r="F165" i="6"/>
  <c r="F165" i="4"/>
  <c r="E164" i="6"/>
  <c r="E164" i="4"/>
  <c r="H162" i="6"/>
  <c r="H162" i="4"/>
  <c r="G161" i="6"/>
  <c r="G161" i="4"/>
  <c r="E160" i="6"/>
  <c r="E160" i="4"/>
  <c r="H159" i="6"/>
  <c r="H159" i="4"/>
  <c r="E158" i="6"/>
  <c r="E158" i="4"/>
  <c r="I156" i="6"/>
  <c r="I156" i="4"/>
  <c r="D154" i="6"/>
  <c r="D154" i="4"/>
  <c r="G153" i="6"/>
  <c r="G153" i="4"/>
  <c r="E152" i="6"/>
  <c r="E152" i="4"/>
  <c r="C151" i="6"/>
  <c r="C151" i="4"/>
  <c r="H150" i="6"/>
  <c r="H150" i="4"/>
  <c r="H149" i="6"/>
  <c r="H149" i="4"/>
  <c r="F148" i="6"/>
  <c r="F148" i="4"/>
  <c r="H146" i="6"/>
  <c r="H146" i="4"/>
  <c r="G145" i="6"/>
  <c r="G145" i="4"/>
  <c r="D144" i="6"/>
  <c r="D144" i="4"/>
  <c r="D142" i="6"/>
  <c r="D142" i="4"/>
  <c r="C141" i="6"/>
  <c r="C141" i="4"/>
  <c r="I139" i="6"/>
  <c r="I139" i="4"/>
  <c r="E138" i="6"/>
  <c r="E138" i="4"/>
  <c r="C137" i="6"/>
  <c r="C137" i="4"/>
  <c r="I132" i="6"/>
  <c r="I132" i="4"/>
  <c r="H130" i="6"/>
  <c r="H130" i="4"/>
  <c r="G131" i="6"/>
  <c r="G131" i="4"/>
  <c r="D135" i="6"/>
  <c r="D135" i="4"/>
  <c r="H134" i="6"/>
  <c r="H134" i="4"/>
  <c r="G133" i="6"/>
  <c r="G133" i="4"/>
  <c r="F129" i="6"/>
  <c r="F129" i="4"/>
  <c r="I128" i="6"/>
  <c r="I128" i="4"/>
  <c r="H127" i="6"/>
  <c r="H127" i="4"/>
  <c r="F126" i="6"/>
  <c r="F126" i="4"/>
  <c r="D125" i="6"/>
  <c r="D125" i="4"/>
  <c r="C124" i="6"/>
  <c r="C124" i="4"/>
  <c r="I123" i="6"/>
  <c r="I123" i="4"/>
  <c r="H122" i="6"/>
  <c r="H122" i="4"/>
  <c r="G121" i="6"/>
  <c r="G121" i="4"/>
  <c r="D120" i="6"/>
  <c r="D120" i="4"/>
  <c r="H118" i="6"/>
  <c r="H118" i="4"/>
  <c r="G119" i="6"/>
  <c r="G119" i="4"/>
  <c r="D117" i="6"/>
  <c r="D117" i="4"/>
  <c r="I115" i="6"/>
  <c r="I115" i="4"/>
  <c r="H114" i="6"/>
  <c r="H114" i="4"/>
  <c r="G116" i="6"/>
  <c r="G116" i="4"/>
  <c r="F113" i="6"/>
  <c r="F113" i="4"/>
  <c r="C112" i="6"/>
  <c r="C112" i="4"/>
  <c r="G111" i="6"/>
  <c r="G111" i="4"/>
  <c r="F110" i="6"/>
  <c r="F110" i="4"/>
  <c r="E109" i="6"/>
  <c r="E109" i="4"/>
  <c r="C108" i="6"/>
  <c r="C108" i="4"/>
  <c r="I106" i="6"/>
  <c r="I106" i="4"/>
  <c r="H105" i="6"/>
  <c r="H105" i="4"/>
  <c r="G104" i="6"/>
  <c r="G104" i="4"/>
  <c r="E103" i="6"/>
  <c r="E103" i="4"/>
  <c r="F102" i="6"/>
  <c r="F102" i="4"/>
  <c r="H100" i="6"/>
  <c r="H100" i="4"/>
  <c r="G99" i="6"/>
  <c r="G99" i="4"/>
  <c r="F98" i="6"/>
  <c r="F98" i="4"/>
  <c r="C97" i="6"/>
  <c r="C97" i="4"/>
  <c r="I96" i="6"/>
  <c r="I96" i="4"/>
  <c r="H95" i="6"/>
  <c r="H95" i="4"/>
  <c r="G94" i="6"/>
  <c r="G94" i="4"/>
  <c r="F93" i="6"/>
  <c r="F93" i="4"/>
  <c r="D92" i="6"/>
  <c r="D92" i="4"/>
  <c r="C91" i="6"/>
  <c r="C91" i="4"/>
  <c r="I90" i="6"/>
  <c r="I90" i="4"/>
  <c r="D89" i="6"/>
  <c r="D89" i="4"/>
  <c r="C88" i="6"/>
  <c r="C88" i="4"/>
  <c r="I86" i="6"/>
  <c r="I86" i="4"/>
  <c r="E85" i="6"/>
  <c r="E85" i="4"/>
  <c r="C84" i="6"/>
  <c r="C84" i="4"/>
  <c r="G83" i="6"/>
  <c r="G83" i="4"/>
  <c r="E82" i="6"/>
  <c r="E82" i="4"/>
  <c r="D81" i="6"/>
  <c r="D81" i="4"/>
  <c r="C80" i="6"/>
  <c r="C80" i="4"/>
  <c r="H78" i="6"/>
  <c r="H78" i="4"/>
  <c r="G77" i="6"/>
  <c r="G77" i="4"/>
  <c r="E76" i="6"/>
  <c r="E76" i="4"/>
  <c r="G74" i="6"/>
  <c r="G74" i="4"/>
  <c r="E72" i="6"/>
  <c r="E72" i="4"/>
  <c r="I71" i="6"/>
  <c r="I71" i="4"/>
  <c r="H70" i="6"/>
  <c r="H70" i="4"/>
  <c r="E69" i="6"/>
  <c r="E69" i="4"/>
  <c r="D68" i="6"/>
  <c r="D68" i="4"/>
  <c r="I45" i="6"/>
  <c r="I45" i="4"/>
  <c r="F67" i="6"/>
  <c r="F67" i="4"/>
  <c r="E66" i="6"/>
  <c r="E66" i="4"/>
  <c r="E65" i="6"/>
  <c r="E65" i="4"/>
  <c r="E64" i="6"/>
  <c r="E64" i="4"/>
  <c r="E63" i="6"/>
  <c r="E63" i="4"/>
  <c r="E62" i="6"/>
  <c r="E62" i="4"/>
  <c r="E61" i="6"/>
  <c r="E61" i="4"/>
  <c r="E60" i="6"/>
  <c r="E60" i="4"/>
  <c r="E58" i="6"/>
  <c r="E58" i="4"/>
  <c r="E59" i="4"/>
  <c r="E59" i="6"/>
  <c r="E57" i="6"/>
  <c r="E57" i="4"/>
  <c r="E54" i="6"/>
  <c r="E54" i="4"/>
  <c r="E56" i="6"/>
  <c r="E56" i="4"/>
  <c r="E55" i="6"/>
  <c r="E55" i="4"/>
  <c r="E53" i="6"/>
  <c r="E53" i="4"/>
  <c r="E52" i="6"/>
  <c r="E52" i="4"/>
  <c r="E51" i="4"/>
  <c r="E51" i="6"/>
  <c r="E50" i="4"/>
  <c r="E50" i="6"/>
  <c r="E49" i="4"/>
  <c r="E49" i="6"/>
  <c r="E48" i="4"/>
  <c r="E48" i="6"/>
  <c r="E47" i="6"/>
  <c r="E47" i="4"/>
  <c r="G44" i="6"/>
  <c r="G44" i="4"/>
  <c r="F43" i="6"/>
  <c r="F43" i="4"/>
  <c r="C42" i="6"/>
  <c r="C42" i="4"/>
  <c r="I41" i="6"/>
  <c r="I41" i="4"/>
  <c r="G40" i="4"/>
  <c r="G40" i="6"/>
  <c r="E39" i="6"/>
  <c r="E39" i="4"/>
  <c r="D38" i="6"/>
  <c r="D38" i="4"/>
  <c r="I37" i="6"/>
  <c r="I37" i="4"/>
  <c r="E36" i="6"/>
  <c r="E36" i="4"/>
  <c r="C35" i="4"/>
  <c r="C35" i="6"/>
  <c r="G34" i="6"/>
  <c r="G34" i="4"/>
  <c r="E33" i="4"/>
  <c r="E33" i="6"/>
  <c r="D32" i="6"/>
  <c r="D32" i="4"/>
  <c r="G31" i="4"/>
  <c r="G31" i="6"/>
  <c r="F25" i="6"/>
  <c r="F25" i="4"/>
  <c r="D30" i="6"/>
  <c r="D30" i="4"/>
  <c r="E28" i="6"/>
  <c r="E28" i="4"/>
  <c r="F26" i="6"/>
  <c r="F26" i="4"/>
  <c r="H23" i="4"/>
  <c r="H23" i="6"/>
  <c r="G27" i="6"/>
  <c r="G27" i="4"/>
  <c r="D22" i="6"/>
  <c r="D22" i="4"/>
  <c r="I21" i="4"/>
  <c r="I21" i="6"/>
  <c r="G20" i="6"/>
  <c r="G20" i="4"/>
  <c r="F18" i="6"/>
  <c r="F18" i="4"/>
  <c r="E19" i="4"/>
  <c r="E19" i="6"/>
  <c r="D17" i="4"/>
  <c r="D17" i="6"/>
  <c r="I15" i="4"/>
  <c r="I15" i="6"/>
  <c r="E13" i="6"/>
  <c r="E13" i="4"/>
  <c r="C12" i="4"/>
  <c r="C12" i="6"/>
  <c r="G6" i="4"/>
  <c r="G6" i="6"/>
  <c r="G4" i="4"/>
  <c r="G4" i="6"/>
  <c r="F10" i="6"/>
  <c r="F10" i="4"/>
  <c r="F9" i="4"/>
  <c r="F9" i="6"/>
  <c r="F6" i="4"/>
  <c r="F6" i="6"/>
  <c r="F8" i="6"/>
  <c r="F8" i="4"/>
  <c r="F7" i="4"/>
  <c r="F7" i="6"/>
  <c r="F5" i="4"/>
  <c r="F5" i="6"/>
  <c r="F4" i="6"/>
  <c r="F4" i="4"/>
  <c r="F3" i="6"/>
  <c r="F3" i="4"/>
  <c r="F2" i="6"/>
  <c r="F2" i="4"/>
  <c r="H11" i="4"/>
  <c r="H11" i="6"/>
  <c r="H10" i="6"/>
  <c r="H10" i="4"/>
  <c r="H9" i="6"/>
  <c r="H9" i="4"/>
  <c r="H6" i="6"/>
  <c r="H6" i="4"/>
  <c r="H8" i="4"/>
  <c r="H8" i="6"/>
  <c r="H7" i="6"/>
  <c r="H7" i="4"/>
  <c r="H5" i="4"/>
  <c r="H5" i="6"/>
  <c r="H4" i="4"/>
  <c r="H4" i="6"/>
  <c r="H3" i="4"/>
  <c r="H3" i="6"/>
  <c r="H2" i="6"/>
  <c r="H2" i="4"/>
  <c r="I11" i="4"/>
  <c r="I11" i="6"/>
  <c r="I10" i="4"/>
  <c r="I10" i="6"/>
  <c r="I9" i="6"/>
  <c r="I9" i="4"/>
  <c r="I6" i="6"/>
  <c r="I6" i="4"/>
  <c r="I8" i="6"/>
  <c r="I8" i="4"/>
  <c r="I7" i="4"/>
  <c r="I7" i="6"/>
  <c r="I5" i="6"/>
  <c r="I5" i="4"/>
  <c r="I4" i="4"/>
  <c r="I4" i="6"/>
  <c r="I3" i="4"/>
  <c r="I3" i="6"/>
  <c r="I2" i="4"/>
  <c r="I2" i="6"/>
  <c r="C9" i="4"/>
  <c r="C9" i="6"/>
  <c r="C6" i="6"/>
  <c r="C6" i="4"/>
  <c r="C8" i="6"/>
  <c r="C8" i="4"/>
  <c r="C7" i="6"/>
  <c r="C7" i="4"/>
  <c r="C5" i="6"/>
  <c r="C5" i="4"/>
  <c r="C4" i="4"/>
  <c r="C4" i="6"/>
  <c r="C3" i="6"/>
  <c r="C3" i="4"/>
  <c r="C2" i="4"/>
  <c r="C2" i="6"/>
  <c r="B1" i="4"/>
  <c r="A1" i="4"/>
  <c r="D1" i="4"/>
  <c r="C1" i="4"/>
  <c r="AU1" i="2" l="1"/>
  <c r="F1" i="4" s="1"/>
  <c r="E1" i="4"/>
</calcChain>
</file>

<file path=xl/sharedStrings.xml><?xml version="1.0" encoding="utf-8"?>
<sst xmlns="http://schemas.openxmlformats.org/spreadsheetml/2006/main" count="28301" uniqueCount="6091">
  <si>
    <t>First Name:</t>
  </si>
  <si>
    <t>Last Name:</t>
  </si>
  <si>
    <t>Email Address:</t>
  </si>
  <si>
    <t>Who will pick up the Colors at the event?</t>
  </si>
  <si>
    <t>Guest of First Name</t>
  </si>
  <si>
    <t>Guest of Last Name</t>
  </si>
  <si>
    <t>Registration Date</t>
  </si>
  <si>
    <t>Registration Status</t>
  </si>
  <si>
    <t>Payment Status</t>
  </si>
  <si>
    <t>Payment Type</t>
  </si>
  <si>
    <t>General Admission, Kids 12 &amp; Under Free Quantity</t>
  </si>
  <si>
    <t>General Admission, Kids 12 &amp; Under Free Price</t>
  </si>
  <si>
    <t>General Admission, Kids Free Quantity</t>
  </si>
  <si>
    <t>General Admission, Kids Free Price</t>
  </si>
  <si>
    <t>General Admssion, Kids Free Quantity</t>
  </si>
  <si>
    <t>General Admssion, Kids Free Price</t>
  </si>
  <si>
    <t>10 Bags of Colors Quantity</t>
  </si>
  <si>
    <t>10 Bags of Colors Price</t>
  </si>
  <si>
    <t>20 Bags of Colors Quantity</t>
  </si>
  <si>
    <t>20 Bags of Colors Price</t>
  </si>
  <si>
    <t>30 Bags of Colors Quantity</t>
  </si>
  <si>
    <t>30 Bags of Colors Price</t>
  </si>
  <si>
    <t>40 Bags of Colors Quantity</t>
  </si>
  <si>
    <t>40 Bags of Colors Price</t>
  </si>
  <si>
    <t>5 Bags of Colors Quantity</t>
  </si>
  <si>
    <t>5 Bags of Colors Price</t>
  </si>
  <si>
    <t>Super Package Quantity</t>
  </si>
  <si>
    <t>Super Package Price</t>
  </si>
  <si>
    <t>T shirt Quantity</t>
  </si>
  <si>
    <t>T shirt Price</t>
  </si>
  <si>
    <t>Total</t>
  </si>
  <si>
    <t>Sharma</t>
  </si>
  <si>
    <t>Paid</t>
  </si>
  <si>
    <t>Abandoned</t>
  </si>
  <si>
    <t>Incomplete</t>
  </si>
  <si>
    <t>PayPal</t>
  </si>
  <si>
    <t>Talia</t>
  </si>
  <si>
    <t>Registered</t>
  </si>
  <si>
    <t>Diane</t>
  </si>
  <si>
    <t>Marc</t>
  </si>
  <si>
    <t>Aguilar</t>
  </si>
  <si>
    <t>small</t>
  </si>
  <si>
    <t>Kevin</t>
  </si>
  <si>
    <t>Jenny</t>
  </si>
  <si>
    <t>Kuhn</t>
  </si>
  <si>
    <t>Alissa</t>
  </si>
  <si>
    <t>Elizabeth</t>
  </si>
  <si>
    <t>Stephanie</t>
  </si>
  <si>
    <t>Vanessa</t>
  </si>
  <si>
    <t>Joshua</t>
  </si>
  <si>
    <t>Eric</t>
  </si>
  <si>
    <t>Allen</t>
  </si>
  <si>
    <t>Ron</t>
  </si>
  <si>
    <t>Small</t>
  </si>
  <si>
    <t>Karen</t>
  </si>
  <si>
    <t>Javier</t>
  </si>
  <si>
    <t>Michelle</t>
  </si>
  <si>
    <t>Me</t>
  </si>
  <si>
    <t>Joel</t>
  </si>
  <si>
    <t>Juan</t>
  </si>
  <si>
    <t>Jacob</t>
  </si>
  <si>
    <t>Anthony</t>
  </si>
  <si>
    <t>Kyle</t>
  </si>
  <si>
    <t>Erin</t>
  </si>
  <si>
    <t>David</t>
  </si>
  <si>
    <t>Medium</t>
  </si>
  <si>
    <t>Linda</t>
  </si>
  <si>
    <t>medium</t>
  </si>
  <si>
    <t>Emma</t>
  </si>
  <si>
    <t>Bailey</t>
  </si>
  <si>
    <t>myself</t>
  </si>
  <si>
    <t>Alexis</t>
  </si>
  <si>
    <t>Baldwin</t>
  </si>
  <si>
    <t>Ballard</t>
  </si>
  <si>
    <t>Ashton</t>
  </si>
  <si>
    <t>Robert</t>
  </si>
  <si>
    <t>L</t>
  </si>
  <si>
    <t>Barlow</t>
  </si>
  <si>
    <t>Joseph</t>
  </si>
  <si>
    <t>Ashley</t>
  </si>
  <si>
    <t>Ravi</t>
  </si>
  <si>
    <t>Paul</t>
  </si>
  <si>
    <t>Beaudoin</t>
  </si>
  <si>
    <t>Tami</t>
  </si>
  <si>
    <t>Garrett</t>
  </si>
  <si>
    <t>Sydney</t>
  </si>
  <si>
    <t>Benoit</t>
  </si>
  <si>
    <t>Nikki</t>
  </si>
  <si>
    <t>Lauren</t>
  </si>
  <si>
    <t>Nicholas</t>
  </si>
  <si>
    <t>Melissa</t>
  </si>
  <si>
    <t>Jessica</t>
  </si>
  <si>
    <t>Brooke</t>
  </si>
  <si>
    <t>Natalie</t>
  </si>
  <si>
    <t>Nicole</t>
  </si>
  <si>
    <t>Boyd</t>
  </si>
  <si>
    <t>Tim</t>
  </si>
  <si>
    <t>Casey</t>
  </si>
  <si>
    <t>Rachael</t>
  </si>
  <si>
    <t>Reynolds</t>
  </si>
  <si>
    <t>Sarah</t>
  </si>
  <si>
    <t>Brown</t>
  </si>
  <si>
    <t>Veronica</t>
  </si>
  <si>
    <t>Matthew</t>
  </si>
  <si>
    <t>Adam</t>
  </si>
  <si>
    <t>Erika</t>
  </si>
  <si>
    <t>Small and Large</t>
  </si>
  <si>
    <t>Danielle</t>
  </si>
  <si>
    <t>Thomas</t>
  </si>
  <si>
    <t>Cameron</t>
  </si>
  <si>
    <t>Kendra</t>
  </si>
  <si>
    <t>Jason</t>
  </si>
  <si>
    <t>Maria</t>
  </si>
  <si>
    <t>Carter</t>
  </si>
  <si>
    <t>Jasmine</t>
  </si>
  <si>
    <t>Jonathan</t>
  </si>
  <si>
    <t>Angela</t>
  </si>
  <si>
    <t>Large</t>
  </si>
  <si>
    <t>Susan</t>
  </si>
  <si>
    <t>Katherine</t>
  </si>
  <si>
    <t>Chapman</t>
  </si>
  <si>
    <t>Ryan</t>
  </si>
  <si>
    <t>Crystal</t>
  </si>
  <si>
    <t>Wendy</t>
  </si>
  <si>
    <t>Clark</t>
  </si>
  <si>
    <t>Travis</t>
  </si>
  <si>
    <t>Coleman</t>
  </si>
  <si>
    <t>Mary</t>
  </si>
  <si>
    <t>Collins</t>
  </si>
  <si>
    <t>Cook</t>
  </si>
  <si>
    <t>Lisa</t>
  </si>
  <si>
    <t>Steven</t>
  </si>
  <si>
    <t>Craig</t>
  </si>
  <si>
    <t>Patricia</t>
  </si>
  <si>
    <t>Dana</t>
  </si>
  <si>
    <t>Daniels</t>
  </si>
  <si>
    <t>Sara</t>
  </si>
  <si>
    <t>Catherine</t>
  </si>
  <si>
    <t>Sabrina</t>
  </si>
  <si>
    <t>Medium and Large</t>
  </si>
  <si>
    <t>Amanda</t>
  </si>
  <si>
    <t>Megan</t>
  </si>
  <si>
    <t>Samantha</t>
  </si>
  <si>
    <t>Nathan</t>
  </si>
  <si>
    <t>Danny</t>
  </si>
  <si>
    <t>Didi</t>
  </si>
  <si>
    <t>Julie</t>
  </si>
  <si>
    <t>Rosales</t>
  </si>
  <si>
    <t>Chelsea</t>
  </si>
  <si>
    <t>Kelly</t>
  </si>
  <si>
    <t>Brian</t>
  </si>
  <si>
    <t>James</t>
  </si>
  <si>
    <t>Andrea</t>
  </si>
  <si>
    <t>Hannah</t>
  </si>
  <si>
    <t>Martinez</t>
  </si>
  <si>
    <t>Luis</t>
  </si>
  <si>
    <t>Derek</t>
  </si>
  <si>
    <t>Brenda</t>
  </si>
  <si>
    <t>Summer</t>
  </si>
  <si>
    <t>Spencer</t>
  </si>
  <si>
    <t>Sandra</t>
  </si>
  <si>
    <t>Rodriguez</t>
  </si>
  <si>
    <t>Karley</t>
  </si>
  <si>
    <t>Michael</t>
  </si>
  <si>
    <t>Fisher</t>
  </si>
  <si>
    <t>Amber</t>
  </si>
  <si>
    <t>Jennifer</t>
  </si>
  <si>
    <t>Courtney</t>
  </si>
  <si>
    <t>Flores</t>
  </si>
  <si>
    <t>Fox</t>
  </si>
  <si>
    <t>Cynthia</t>
  </si>
  <si>
    <t>Lacey</t>
  </si>
  <si>
    <t>Phillips</t>
  </si>
  <si>
    <t>Kylie</t>
  </si>
  <si>
    <t>Lindsey</t>
  </si>
  <si>
    <t>Diana</t>
  </si>
  <si>
    <t>Garcia</t>
  </si>
  <si>
    <t>Evelyn</t>
  </si>
  <si>
    <t>Monica</t>
  </si>
  <si>
    <t>Karina</t>
  </si>
  <si>
    <t>Kristin</t>
  </si>
  <si>
    <t>Pamela</t>
  </si>
  <si>
    <t>Isabel</t>
  </si>
  <si>
    <t>Gonzalez</t>
  </si>
  <si>
    <t>Laura</t>
  </si>
  <si>
    <t>Kimberly</t>
  </si>
  <si>
    <t>Greene</t>
  </si>
  <si>
    <t>Chris</t>
  </si>
  <si>
    <t>Amy</t>
  </si>
  <si>
    <t>Natalia</t>
  </si>
  <si>
    <t>Rene</t>
  </si>
  <si>
    <t>Hart</t>
  </si>
  <si>
    <t>Shirley</t>
  </si>
  <si>
    <t>Joanna</t>
  </si>
  <si>
    <t>Ariel</t>
  </si>
  <si>
    <t>Holbrook</t>
  </si>
  <si>
    <t>Kari</t>
  </si>
  <si>
    <t>Jefferson</t>
  </si>
  <si>
    <t>me</t>
  </si>
  <si>
    <t>Daniel</t>
  </si>
  <si>
    <t>Erik</t>
  </si>
  <si>
    <t>XL</t>
  </si>
  <si>
    <t>Scott</t>
  </si>
  <si>
    <t>Jamie</t>
  </si>
  <si>
    <t>Miller</t>
  </si>
  <si>
    <t>Gabriela</t>
  </si>
  <si>
    <t>Kari Jefferson</t>
  </si>
  <si>
    <t>Marissa</t>
  </si>
  <si>
    <t>John</t>
  </si>
  <si>
    <t>Jones</t>
  </si>
  <si>
    <t>Tony</t>
  </si>
  <si>
    <t>Bethany</t>
  </si>
  <si>
    <t>Anne</t>
  </si>
  <si>
    <t>Sam</t>
  </si>
  <si>
    <t>William</t>
  </si>
  <si>
    <t>Jake</t>
  </si>
  <si>
    <t>large</t>
  </si>
  <si>
    <t>Brittany</t>
  </si>
  <si>
    <t>Lambert</t>
  </si>
  <si>
    <t>Tanner</t>
  </si>
  <si>
    <t>Kelsey</t>
  </si>
  <si>
    <t>Lawrence</t>
  </si>
  <si>
    <t>Rebecca</t>
  </si>
  <si>
    <t>Lopez</t>
  </si>
  <si>
    <t>Lee</t>
  </si>
  <si>
    <t>Curtis</t>
  </si>
  <si>
    <t>Lindsay</t>
  </si>
  <si>
    <t>xl</t>
  </si>
  <si>
    <t>Morales</t>
  </si>
  <si>
    <t>Melinda</t>
  </si>
  <si>
    <t>Jesse</t>
  </si>
  <si>
    <t>Lujan</t>
  </si>
  <si>
    <t>M</t>
  </si>
  <si>
    <t>Dakota</t>
  </si>
  <si>
    <t>Gerardo</t>
  </si>
  <si>
    <t>Raquel</t>
  </si>
  <si>
    <t>Ian</t>
  </si>
  <si>
    <t>Claudia</t>
  </si>
  <si>
    <t>Mendoza</t>
  </si>
  <si>
    <t>yes</t>
  </si>
  <si>
    <t>Miranda</t>
  </si>
  <si>
    <t>Nancy</t>
  </si>
  <si>
    <t>Montes</t>
  </si>
  <si>
    <t>Moore</t>
  </si>
  <si>
    <t>Margaret</t>
  </si>
  <si>
    <t>Keith</t>
  </si>
  <si>
    <t>Pauline</t>
  </si>
  <si>
    <t>S</t>
  </si>
  <si>
    <t>Haley</t>
  </si>
  <si>
    <t>Samir</t>
  </si>
  <si>
    <t>Lacy</t>
  </si>
  <si>
    <t>Adrian</t>
  </si>
  <si>
    <t>Parker</t>
  </si>
  <si>
    <t>Tyler</t>
  </si>
  <si>
    <t>Payne</t>
  </si>
  <si>
    <t>Heather</t>
  </si>
  <si>
    <t>Christina</t>
  </si>
  <si>
    <t>Perez</t>
  </si>
  <si>
    <t>Katie</t>
  </si>
  <si>
    <t>Pham</t>
  </si>
  <si>
    <t>Jade</t>
  </si>
  <si>
    <t>Yes</t>
  </si>
  <si>
    <t>Stephen</t>
  </si>
  <si>
    <t>Justin</t>
  </si>
  <si>
    <t>Quinn</t>
  </si>
  <si>
    <t>Cathy</t>
  </si>
  <si>
    <t>Timothy</t>
  </si>
  <si>
    <t>Wilson</t>
  </si>
  <si>
    <t>self</t>
  </si>
  <si>
    <t>Roberts</t>
  </si>
  <si>
    <t>Tammy</t>
  </si>
  <si>
    <t>Brandi</t>
  </si>
  <si>
    <t>Mike</t>
  </si>
  <si>
    <t>Ruiz</t>
  </si>
  <si>
    <t>Liz</t>
  </si>
  <si>
    <t>Sanchez</t>
  </si>
  <si>
    <t>Terry</t>
  </si>
  <si>
    <t>Jose</t>
  </si>
  <si>
    <t>Santos</t>
  </si>
  <si>
    <t>Theresa</t>
  </si>
  <si>
    <t>Brock</t>
  </si>
  <si>
    <t>Kim</t>
  </si>
  <si>
    <t>Serna</t>
  </si>
  <si>
    <t>Shah</t>
  </si>
  <si>
    <t>Shane</t>
  </si>
  <si>
    <t>Sandeep</t>
  </si>
  <si>
    <t>Johnny</t>
  </si>
  <si>
    <t>Smith</t>
  </si>
  <si>
    <t>Andrew</t>
  </si>
  <si>
    <t>Stewart</t>
  </si>
  <si>
    <t>Summers</t>
  </si>
  <si>
    <t>Kent</t>
  </si>
  <si>
    <t>Taylor</t>
  </si>
  <si>
    <t>Bianca</t>
  </si>
  <si>
    <t>Anna</t>
  </si>
  <si>
    <t>Abby</t>
  </si>
  <si>
    <t>Alex</t>
  </si>
  <si>
    <t>Ben</t>
  </si>
  <si>
    <t>Elliot</t>
  </si>
  <si>
    <t>Christopher</t>
  </si>
  <si>
    <t>Charles</t>
  </si>
  <si>
    <t>Bryan</t>
  </si>
  <si>
    <t>Williams</t>
  </si>
  <si>
    <t>Single Entry</t>
  </si>
  <si>
    <t>Single Addmission</t>
  </si>
  <si>
    <t>Greg</t>
  </si>
  <si>
    <t>Ahmed</t>
  </si>
  <si>
    <t>Myself</t>
  </si>
  <si>
    <t>Brandy</t>
  </si>
  <si>
    <t>Wright</t>
  </si>
  <si>
    <t>Carol</t>
  </si>
  <si>
    <t>Felicia</t>
  </si>
  <si>
    <t>Baker</t>
  </si>
  <si>
    <t>Barney</t>
  </si>
  <si>
    <t>Betty</t>
  </si>
  <si>
    <t>Brianna</t>
  </si>
  <si>
    <t>Jeff</t>
  </si>
  <si>
    <t>Emily</t>
  </si>
  <si>
    <t>Bennett</t>
  </si>
  <si>
    <t>Christine</t>
  </si>
  <si>
    <t>Carlee</t>
  </si>
  <si>
    <t>Robinson</t>
  </si>
  <si>
    <t>Carrington</t>
  </si>
  <si>
    <t>Brent</t>
  </si>
  <si>
    <t>Gina</t>
  </si>
  <si>
    <t>Jana</t>
  </si>
  <si>
    <t>Camacho</t>
  </si>
  <si>
    <t>Cavanaugh</t>
  </si>
  <si>
    <t>Noah</t>
  </si>
  <si>
    <t>Self</t>
  </si>
  <si>
    <t>Camille</t>
  </si>
  <si>
    <t>Ana</t>
  </si>
  <si>
    <t>Elise</t>
  </si>
  <si>
    <t>Mora</t>
  </si>
  <si>
    <t>Gutierrez</t>
  </si>
  <si>
    <t>Mark</t>
  </si>
  <si>
    <t>Caleb</t>
  </si>
  <si>
    <t>Davis</t>
  </si>
  <si>
    <t>Kaitlyn</t>
  </si>
  <si>
    <t>Drake</t>
  </si>
  <si>
    <t>Duncan</t>
  </si>
  <si>
    <t>Jimmy</t>
  </si>
  <si>
    <t>White</t>
  </si>
  <si>
    <t>Foster</t>
  </si>
  <si>
    <t>Jeanne</t>
  </si>
  <si>
    <t>Frost</t>
  </si>
  <si>
    <t>Aditya</t>
  </si>
  <si>
    <t>Paula</t>
  </si>
  <si>
    <t>Jackson</t>
  </si>
  <si>
    <t>Gabriel</t>
  </si>
  <si>
    <t>Gonzales</t>
  </si>
  <si>
    <t>Wesley</t>
  </si>
  <si>
    <t>Ann</t>
  </si>
  <si>
    <t>Salinas</t>
  </si>
  <si>
    <t>Jordan</t>
  </si>
  <si>
    <t>Harris</t>
  </si>
  <si>
    <t>Hawkins</t>
  </si>
  <si>
    <t>Alyssa</t>
  </si>
  <si>
    <t>Abigail</t>
  </si>
  <si>
    <t>Chase</t>
  </si>
  <si>
    <t>Shawna</t>
  </si>
  <si>
    <t>Pedro</t>
  </si>
  <si>
    <t>Johnson</t>
  </si>
  <si>
    <t>Richardson</t>
  </si>
  <si>
    <t>Kimball</t>
  </si>
  <si>
    <t>King</t>
  </si>
  <si>
    <t>Pending</t>
  </si>
  <si>
    <t>Luke</t>
  </si>
  <si>
    <t>Kristian</t>
  </si>
  <si>
    <t>May</t>
  </si>
  <si>
    <t>Lewis</t>
  </si>
  <si>
    <t>Alan</t>
  </si>
  <si>
    <t>Lowe</t>
  </si>
  <si>
    <t>Dave</t>
  </si>
  <si>
    <t>McDonald</t>
  </si>
  <si>
    <t>Breanna</t>
  </si>
  <si>
    <t>McLean</t>
  </si>
  <si>
    <t>Aaron</t>
  </si>
  <si>
    <t>Minor</t>
  </si>
  <si>
    <t>Hayley</t>
  </si>
  <si>
    <t>West</t>
  </si>
  <si>
    <t>Nick</t>
  </si>
  <si>
    <t>Murphy</t>
  </si>
  <si>
    <t>Neal</t>
  </si>
  <si>
    <t>Jenna</t>
  </si>
  <si>
    <t>Deanna</t>
  </si>
  <si>
    <t>Brandon</t>
  </si>
  <si>
    <t>Cody</t>
  </si>
  <si>
    <t>Padilla</t>
  </si>
  <si>
    <t>Tania</t>
  </si>
  <si>
    <t>Kayla</t>
  </si>
  <si>
    <t>Peterson</t>
  </si>
  <si>
    <t>Bart</t>
  </si>
  <si>
    <t>Ashlee</t>
  </si>
  <si>
    <t>Carrie</t>
  </si>
  <si>
    <t>Kathy</t>
  </si>
  <si>
    <t>Richard</t>
  </si>
  <si>
    <t>Stan</t>
  </si>
  <si>
    <t>Matt</t>
  </si>
  <si>
    <t>Josie</t>
  </si>
  <si>
    <t>Marilyn</t>
  </si>
  <si>
    <t>Angelica</t>
  </si>
  <si>
    <t>Lucas</t>
  </si>
  <si>
    <t>Tiffany</t>
  </si>
  <si>
    <t>Young</t>
  </si>
  <si>
    <t>Zamora</t>
  </si>
  <si>
    <t>Zuniga</t>
  </si>
  <si>
    <t>Chelsey</t>
  </si>
  <si>
    <t>Oliver</t>
  </si>
  <si>
    <t>Campbell</t>
  </si>
  <si>
    <t>Mara</t>
  </si>
  <si>
    <t>Casen</t>
  </si>
  <si>
    <t>Kathryn</t>
  </si>
  <si>
    <t>Bree</t>
  </si>
  <si>
    <t>Gardner</t>
  </si>
  <si>
    <t>Meaghan</t>
  </si>
  <si>
    <t>Levi</t>
  </si>
  <si>
    <t>Billy</t>
  </si>
  <si>
    <t>Zach</t>
  </si>
  <si>
    <t>Middleton</t>
  </si>
  <si>
    <t>Henry</t>
  </si>
  <si>
    <t>Grant</t>
  </si>
  <si>
    <t>Jay</t>
  </si>
  <si>
    <t>Reed</t>
  </si>
  <si>
    <t>Christian</t>
  </si>
  <si>
    <t>Wallace</t>
  </si>
  <si>
    <t>Wood</t>
  </si>
  <si>
    <t>Adams</t>
  </si>
  <si>
    <t>Castellon</t>
  </si>
  <si>
    <t>Skylar</t>
  </si>
  <si>
    <t>Audrey</t>
  </si>
  <si>
    <t>Holly</t>
  </si>
  <si>
    <t>Robison</t>
  </si>
  <si>
    <t>Barnes</t>
  </si>
  <si>
    <t>Rachel</t>
  </si>
  <si>
    <t>Barton</t>
  </si>
  <si>
    <t>Donna</t>
  </si>
  <si>
    <t>Cassie</t>
  </si>
  <si>
    <t>Stacy</t>
  </si>
  <si>
    <t>Ross</t>
  </si>
  <si>
    <t>Chelsee</t>
  </si>
  <si>
    <t>Corinne</t>
  </si>
  <si>
    <t>Booth</t>
  </si>
  <si>
    <t>Soraya</t>
  </si>
  <si>
    <t>Owens</t>
  </si>
  <si>
    <t>Alejandra</t>
  </si>
  <si>
    <t>Cervantes</t>
  </si>
  <si>
    <t>Violet</t>
  </si>
  <si>
    <t>Cooper</t>
  </si>
  <si>
    <t>Cox</t>
  </si>
  <si>
    <t>XXL</t>
  </si>
  <si>
    <t>Duarte</t>
  </si>
  <si>
    <t>Emery</t>
  </si>
  <si>
    <t>Jeannette</t>
  </si>
  <si>
    <t>Andy</t>
  </si>
  <si>
    <t>Ford</t>
  </si>
  <si>
    <t>Olivia</t>
  </si>
  <si>
    <t>Griffin</t>
  </si>
  <si>
    <t>Gross</t>
  </si>
  <si>
    <t>Schwartz</t>
  </si>
  <si>
    <t>Hamilton</t>
  </si>
  <si>
    <t>Hanna</t>
  </si>
  <si>
    <t>Hanson</t>
  </si>
  <si>
    <t>Allyson</t>
  </si>
  <si>
    <t>Gary</t>
  </si>
  <si>
    <t>Caitlyn</t>
  </si>
  <si>
    <t>Jindal</t>
  </si>
  <si>
    <t>Eva</t>
  </si>
  <si>
    <t>Hunter</t>
  </si>
  <si>
    <t>Palacios</t>
  </si>
  <si>
    <t>Larson</t>
  </si>
  <si>
    <t>Troy</t>
  </si>
  <si>
    <t>Price</t>
  </si>
  <si>
    <t>George</t>
  </si>
  <si>
    <t>Rodolfo</t>
  </si>
  <si>
    <t>Dalen</t>
  </si>
  <si>
    <t>Muck</t>
  </si>
  <si>
    <t>Nelson</t>
  </si>
  <si>
    <t>Newell</t>
  </si>
  <si>
    <t>Susanne</t>
  </si>
  <si>
    <t>Olson</t>
  </si>
  <si>
    <t>Makana</t>
  </si>
  <si>
    <t>Rita</t>
  </si>
  <si>
    <t>Powell</t>
  </si>
  <si>
    <t>Jack</t>
  </si>
  <si>
    <t>Tricia</t>
  </si>
  <si>
    <t>Reese</t>
  </si>
  <si>
    <t>Rosa</t>
  </si>
  <si>
    <t>Romo</t>
  </si>
  <si>
    <t>Don</t>
  </si>
  <si>
    <t>Schlatter</t>
  </si>
  <si>
    <t>Charlotte</t>
  </si>
  <si>
    <t>Kellen</t>
  </si>
  <si>
    <t>Stevens</t>
  </si>
  <si>
    <t>Shelby</t>
  </si>
  <si>
    <t>Subramani</t>
  </si>
  <si>
    <t>Antonio</t>
  </si>
  <si>
    <t>Susie</t>
  </si>
  <si>
    <t>Wade</t>
  </si>
  <si>
    <t>Doug</t>
  </si>
  <si>
    <t>Jess</t>
  </si>
  <si>
    <t>Josh</t>
  </si>
  <si>
    <t>Shannon</t>
  </si>
  <si>
    <t>Mikaela</t>
  </si>
  <si>
    <t>Hansen</t>
  </si>
  <si>
    <t>Martin</t>
  </si>
  <si>
    <t>Lynda</t>
  </si>
  <si>
    <t>Swenson</t>
  </si>
  <si>
    <t>Alice</t>
  </si>
  <si>
    <t>Bret</t>
  </si>
  <si>
    <t>Harrison</t>
  </si>
  <si>
    <t>Who will pick up the colors at the event?</t>
  </si>
  <si>
    <t>If you ordered t - shirt (s), what size (s) do you want?</t>
  </si>
  <si>
    <t>Event fee Quantity</t>
  </si>
  <si>
    <t>Event fee Price</t>
  </si>
  <si>
    <t>General Admission Kids Free Quantity</t>
  </si>
  <si>
    <t>General Admission Kids Free Price</t>
  </si>
  <si>
    <t>Single Entry Admission Kids 12 &amp; Under Free Quantity</t>
  </si>
  <si>
    <t>Single Entry Admission Kids 12 &amp; Under Free Price</t>
  </si>
  <si>
    <t>Single Entry Admission Kids Free Quantity</t>
  </si>
  <si>
    <t>Single Entry Admission Kids Free Price</t>
  </si>
  <si>
    <t>10 bags of Colors Quantity</t>
  </si>
  <si>
    <t>10 bags of Colors Price</t>
  </si>
  <si>
    <t>20 bags of Colors Quantity</t>
  </si>
  <si>
    <t>20 bags of Colors Price</t>
  </si>
  <si>
    <t>30 bags of colors Quantity</t>
  </si>
  <si>
    <t>30 bags of colors Price</t>
  </si>
  <si>
    <t>40 bags of Colors Quantity</t>
  </si>
  <si>
    <t>40 bags of Colors Price</t>
  </si>
  <si>
    <t>Bandana Quantity</t>
  </si>
  <si>
    <t>Bandana Price</t>
  </si>
  <si>
    <t>Dust Masks (3 for $ 1.00) Quantity</t>
  </si>
  <si>
    <t>Dust Masks (3 for $ 1.00) Price</t>
  </si>
  <si>
    <t>Hardback Bhagavad Gita Quantity</t>
  </si>
  <si>
    <t>Hardback Bhagavad Gita Price</t>
  </si>
  <si>
    <t>Hot Vegetarian Meal Quantity</t>
  </si>
  <si>
    <t>Hot Vegetarian Meal Price</t>
  </si>
  <si>
    <t>T Shirt Quantity</t>
  </si>
  <si>
    <t>T Shirt Price</t>
  </si>
  <si>
    <t>T-Shirt Sizes</t>
  </si>
  <si>
    <t>Yes I Understand</t>
  </si>
  <si>
    <t>Dust Mask</t>
  </si>
  <si>
    <t>Bandana</t>
  </si>
  <si>
    <t>Dust Mask Price</t>
  </si>
  <si>
    <t>Hard Bound BG</t>
  </si>
  <si>
    <t>Hard Bound BG Price</t>
  </si>
  <si>
    <t>Meal</t>
  </si>
  <si>
    <t>Meal Price</t>
  </si>
  <si>
    <t>I understand that only colors purchased from the organizers will be allowed on the festival grounds. Outside colors have unknown ingredients and we will have to disallow them for the comfort of our participants.</t>
  </si>
  <si>
    <t>Ari</t>
  </si>
  <si>
    <t>Abalos</t>
  </si>
  <si>
    <t>03/01/2013 10:55:33 AM MST</t>
  </si>
  <si>
    <t>Diana Abalos</t>
  </si>
  <si>
    <t>Jaqueline</t>
  </si>
  <si>
    <t>Abarca</t>
  </si>
  <si>
    <t>03/22/2013 11:31:34 AM MDT</t>
  </si>
  <si>
    <t>Mariana</t>
  </si>
  <si>
    <t>Abbott</t>
  </si>
  <si>
    <t>LeBaron</t>
  </si>
  <si>
    <t>03/15/2013 10:49:53 PM MDT</t>
  </si>
  <si>
    <t>Acker</t>
  </si>
  <si>
    <t>2 Mediums</t>
  </si>
  <si>
    <t>03/07/2013 06:19:47 PM MST</t>
  </si>
  <si>
    <t>Alicia</t>
  </si>
  <si>
    <t>Acord</t>
  </si>
  <si>
    <t>Philip</t>
  </si>
  <si>
    <t>Redd</t>
  </si>
  <si>
    <t>02/28/2013 01:18:15 PM MST</t>
  </si>
  <si>
    <t>03/22/2013 01:41:35 PM MDT</t>
  </si>
  <si>
    <t>Quinn Adams</t>
  </si>
  <si>
    <t>Adamson</t>
  </si>
  <si>
    <t>Kassadi</t>
  </si>
  <si>
    <t>02/21/2013 11:37:06 PM MST</t>
  </si>
  <si>
    <t>Adelman</t>
  </si>
  <si>
    <t>Howard</t>
  </si>
  <si>
    <t>03/18/2013 10:03:12 PM MDT</t>
  </si>
  <si>
    <t>Smita</t>
  </si>
  <si>
    <t>Aggarwal</t>
  </si>
  <si>
    <t>Ankita</t>
  </si>
  <si>
    <t>Verma</t>
  </si>
  <si>
    <t>03/18/2013 01:27:52 PM MDT</t>
  </si>
  <si>
    <t>Anurag</t>
  </si>
  <si>
    <t>Agrawal</t>
  </si>
  <si>
    <t>Meenal</t>
  </si>
  <si>
    <t>Dipeshkumar</t>
  </si>
  <si>
    <t>Punit</t>
  </si>
  <si>
    <t>Darrion</t>
  </si>
  <si>
    <t>Norcross</t>
  </si>
  <si>
    <t>03/22/2013 10:16:17 PM MDT</t>
  </si>
  <si>
    <t>Ahern</t>
  </si>
  <si>
    <t>01/09/2013 03:43:44 PM MST</t>
  </si>
  <si>
    <t>Ahl-Blue</t>
  </si>
  <si>
    <t>Blue</t>
  </si>
  <si>
    <t>03/21/2013 05:50:50 AM MDT</t>
  </si>
  <si>
    <t>Ahles</t>
  </si>
  <si>
    <t>Lauren Ahles</t>
  </si>
  <si>
    <t>03/09/2013 06:20:38 PM MST</t>
  </si>
  <si>
    <t>Aziz</t>
  </si>
  <si>
    <t>Keele</t>
  </si>
  <si>
    <t>03/22/2013 04:56:28 PM MDT</t>
  </si>
  <si>
    <t>Alder</t>
  </si>
  <si>
    <t>Hatcher</t>
  </si>
  <si>
    <t>03/10/2013 05:08:39 PM MDT</t>
  </si>
  <si>
    <t>Sierra</t>
  </si>
  <si>
    <t>Sierra Allen</t>
  </si>
  <si>
    <t>02/12/2013 03:10:01 PM MST</t>
  </si>
  <si>
    <t>Allred</t>
  </si>
  <si>
    <t>02/10/2013 09:24:14 PM MST</t>
  </si>
  <si>
    <t>Jake Allred</t>
  </si>
  <si>
    <t>03/16/2013 02:57:36 PM MDT</t>
  </si>
  <si>
    <t>Kristin Allred</t>
  </si>
  <si>
    <t>03/22/2013 08:47:23 AM MDT</t>
  </si>
  <si>
    <t>Rulon</t>
  </si>
  <si>
    <t>03/11/2013 07:33:56 PM MDT</t>
  </si>
  <si>
    <t>Savannah</t>
  </si>
  <si>
    <t>03/21/2013 02:04:07 PM MDT</t>
  </si>
  <si>
    <t>Lyndsey</t>
  </si>
  <si>
    <t>Ampuero</t>
  </si>
  <si>
    <t>03/24/2013 08:10:33 AM MDT</t>
  </si>
  <si>
    <t>Anaya</t>
  </si>
  <si>
    <t>Turney</t>
  </si>
  <si>
    <t>03/12/2013 06:46:40 PM MDT</t>
  </si>
  <si>
    <t>Me - Veronica Anaya</t>
  </si>
  <si>
    <t>03/22/2013 02:41:54 PM MDT</t>
  </si>
  <si>
    <t>Tori</t>
  </si>
  <si>
    <t>Andersen</t>
  </si>
  <si>
    <t>03/18/2013 02:43:11 PM MDT</t>
  </si>
  <si>
    <t>Aspen</t>
  </si>
  <si>
    <t>Anderson</t>
  </si>
  <si>
    <t>Bobbie Jo</t>
  </si>
  <si>
    <t>Thompson</t>
  </si>
  <si>
    <t>03/23/2013 06:36:10 PM MDT</t>
  </si>
  <si>
    <t>Carson</t>
  </si>
  <si>
    <t>Carson Anderson</t>
  </si>
  <si>
    <t>03/15/2013 10:47:35 PM MDT</t>
  </si>
  <si>
    <t>03/22/2013 08:00:45 AM MDT</t>
  </si>
  <si>
    <t>03/17/2013 07:05:36 PM MDT</t>
  </si>
  <si>
    <t>Jennifer Anderson</t>
  </si>
  <si>
    <t>S, M, M, XXL, XXL</t>
  </si>
  <si>
    <t>Jeremy</t>
  </si>
  <si>
    <t>03/13/2013 04:01:15 PM MDT</t>
  </si>
  <si>
    <t>Kalin</t>
  </si>
  <si>
    <t>Kelley</t>
  </si>
  <si>
    <t>03/22/2013 09:15:44 AM MDT</t>
  </si>
  <si>
    <t>Katelynn</t>
  </si>
  <si>
    <t>03/23/2013 06:41:46 PM MDT</t>
  </si>
  <si>
    <t>2 Large</t>
  </si>
  <si>
    <t>Krista</t>
  </si>
  <si>
    <t>krista</t>
  </si>
  <si>
    <t>02/10/2013 02:11:48 PM MST</t>
  </si>
  <si>
    <t>Zach Anderson</t>
  </si>
  <si>
    <t>01/08/2013 09:22:07 AM MST</t>
  </si>
  <si>
    <t>Zana</t>
  </si>
  <si>
    <t>03/15/2013 10:38:09 AM MDT</t>
  </si>
  <si>
    <t>Chelsi</t>
  </si>
  <si>
    <t>Archibald</t>
  </si>
  <si>
    <t>03/21/2013 07:53:02 PM MDT</t>
  </si>
  <si>
    <t>03/21/2013 07:53:03 PM MDT</t>
  </si>
  <si>
    <t>Arnold</t>
  </si>
  <si>
    <t>Danielle Arnold</t>
  </si>
  <si>
    <t>03/06/2013 06:53:26 PM MST</t>
  </si>
  <si>
    <t>Gillian</t>
  </si>
  <si>
    <t>Ashcraft</t>
  </si>
  <si>
    <t>03/19/2013 09:53:17 PM MDT</t>
  </si>
  <si>
    <t>Aste</t>
  </si>
  <si>
    <t>Robyn</t>
  </si>
  <si>
    <t>03/22/2013 10:15:13 PM MDT</t>
  </si>
  <si>
    <t>Astin</t>
  </si>
  <si>
    <t>Amber Astin</t>
  </si>
  <si>
    <t>03/15/2013 09:56:02 AM MDT</t>
  </si>
  <si>
    <t>Becca</t>
  </si>
  <si>
    <t>Austen</t>
  </si>
  <si>
    <t>03/01/2013 11:31:40 AM MST</t>
  </si>
  <si>
    <t>Amie</t>
  </si>
  <si>
    <t>Averett</t>
  </si>
  <si>
    <t>03/23/2013 09:59:24 AM MDT</t>
  </si>
  <si>
    <t>Baca</t>
  </si>
  <si>
    <t>03/07/2013 05:45:22 PM MST</t>
  </si>
  <si>
    <t>Badje</t>
  </si>
  <si>
    <t>Farrell</t>
  </si>
  <si>
    <t>03/22/2013 01:07:04 AM MDT</t>
  </si>
  <si>
    <t>Corey</t>
  </si>
  <si>
    <t>03/24/2013 12:00:40 AM MDT</t>
  </si>
  <si>
    <t>Corey Bailey</t>
  </si>
  <si>
    <t>Jannette</t>
  </si>
  <si>
    <t>Kimberly/Matthew Bailey</t>
  </si>
  <si>
    <t>N/A</t>
  </si>
  <si>
    <t>03/18/2013 05:28:15 PM MDT</t>
  </si>
  <si>
    <t>02/19/2013 10:19:48 AM MST</t>
  </si>
  <si>
    <t>Balch</t>
  </si>
  <si>
    <t>03/21/2013 05:46:58 PM MDT</t>
  </si>
  <si>
    <t>Shalina</t>
  </si>
  <si>
    <t>03/14/2013 01:28:56 PM MDT</t>
  </si>
  <si>
    <t>Balentine</t>
  </si>
  <si>
    <t>03/21/2013 09:04:02 PM MDT</t>
  </si>
  <si>
    <t>Mychal</t>
  </si>
  <si>
    <t>Banis</t>
  </si>
  <si>
    <t>03/01/2013 06:35:36 PM MST</t>
  </si>
  <si>
    <t>Barber</t>
  </si>
  <si>
    <t>Andrea Barber</t>
  </si>
  <si>
    <t>03/22/2013 10:20:04 AM MDT</t>
  </si>
  <si>
    <t>Reginald</t>
  </si>
  <si>
    <t>Barela</t>
  </si>
  <si>
    <t>Dirk</t>
  </si>
  <si>
    <t>Playle</t>
  </si>
  <si>
    <t>03/14/2013 09:10:41 AM MDT</t>
  </si>
  <si>
    <t>03/13/2013 03:40:06 PM MDT</t>
  </si>
  <si>
    <t>Cassidy</t>
  </si>
  <si>
    <t>Barnard</t>
  </si>
  <si>
    <t>Sydney Barnes</t>
  </si>
  <si>
    <t>03/18/2013 09:44:42 PM MDT</t>
  </si>
  <si>
    <t>Madason</t>
  </si>
  <si>
    <t>Madason Barney</t>
  </si>
  <si>
    <t>03/09/2013 03:00:00 PM MST</t>
  </si>
  <si>
    <t>Provi</t>
  </si>
  <si>
    <t>Tabitha</t>
  </si>
  <si>
    <t>03/16/2013 01:13:52 PM MDT</t>
  </si>
  <si>
    <t>Barrett</t>
  </si>
  <si>
    <t>Reveles</t>
  </si>
  <si>
    <t>Shawn</t>
  </si>
  <si>
    <t>Barry</t>
  </si>
  <si>
    <t>Shawn Barry</t>
  </si>
  <si>
    <t>XXXL</t>
  </si>
  <si>
    <t>12/26/2012 08:54:29 AM MST</t>
  </si>
  <si>
    <t>Shaye</t>
  </si>
  <si>
    <t>Derryberry</t>
  </si>
  <si>
    <t>03/15/2013 08:18:02 AM MDT</t>
  </si>
  <si>
    <t>Cory</t>
  </si>
  <si>
    <t>03/15/2013 10:02:33 AM MDT</t>
  </si>
  <si>
    <t>Jessica Barton</t>
  </si>
  <si>
    <t>03/15/2013 10:02:32 AM MDT</t>
  </si>
  <si>
    <t>Jan</t>
  </si>
  <si>
    <t>Bartsch</t>
  </si>
  <si>
    <t>Breckterfield</t>
  </si>
  <si>
    <t>03/12/2013 05:40:46 AM MDT</t>
  </si>
  <si>
    <t>Bauer</t>
  </si>
  <si>
    <t>03/18/2013 06:20:37 PM MDT</t>
  </si>
  <si>
    <t>Madi</t>
  </si>
  <si>
    <t>Bautista</t>
  </si>
  <si>
    <t>Camron</t>
  </si>
  <si>
    <t>Horlacher</t>
  </si>
  <si>
    <t>03/18/2013 12:39:38 PM MDT</t>
  </si>
  <si>
    <t>Jena</t>
  </si>
  <si>
    <t>Beadles</t>
  </si>
  <si>
    <t>Hailey</t>
  </si>
  <si>
    <t>Hall</t>
  </si>
  <si>
    <t>03/23/2013 11:30:35 AM MDT</t>
  </si>
  <si>
    <t>03/23/2013 11:58:27 AM MDT</t>
  </si>
  <si>
    <t>Beard</t>
  </si>
  <si>
    <t>LISA BEARD</t>
  </si>
  <si>
    <t>03/15/2013 01:37:13 PM MDT</t>
  </si>
  <si>
    <t>02/02/2013 10:09:35 AM MST</t>
  </si>
  <si>
    <t>Refunded</t>
  </si>
  <si>
    <t>PAUL OR TAMI BEAUDOIN</t>
  </si>
  <si>
    <t>ADULT MEN'S LARGE AND ADULT WOMAN'S SMALL</t>
  </si>
  <si>
    <t>Beavers</t>
  </si>
  <si>
    <t>Kathne</t>
  </si>
  <si>
    <t>Madsen</t>
  </si>
  <si>
    <t>03/21/2013 10:48:22 AM MDT</t>
  </si>
  <si>
    <t>Becerra</t>
  </si>
  <si>
    <t>03/07/2013 08:28:07 PM MST</t>
  </si>
  <si>
    <t>Beecher</t>
  </si>
  <si>
    <t>Jennifer Beecher</t>
  </si>
  <si>
    <t>03/15/2013 02:14:43 PM MDT</t>
  </si>
  <si>
    <t>Kolton</t>
  </si>
  <si>
    <t>ShyAnne</t>
  </si>
  <si>
    <t>Behunin</t>
  </si>
  <si>
    <t>Sara Behunin</t>
  </si>
  <si>
    <t>Medium Womens</t>
  </si>
  <si>
    <t>01/29/2013 01:02:48 PM MST</t>
  </si>
  <si>
    <t>Trevor</t>
  </si>
  <si>
    <t>Benassi</t>
  </si>
  <si>
    <t>Corina</t>
  </si>
  <si>
    <t>03/15/2013 09:53:06 PM MDT</t>
  </si>
  <si>
    <t>Kimi</t>
  </si>
  <si>
    <t>Benavides</t>
  </si>
  <si>
    <t>Misty</t>
  </si>
  <si>
    <t>Dawson</t>
  </si>
  <si>
    <t>Rigby</t>
  </si>
  <si>
    <t>03/02/2013 05:47:01 PM MST</t>
  </si>
  <si>
    <t>Reece</t>
  </si>
  <si>
    <t>02/13/2013 07:52:42 PM MST</t>
  </si>
  <si>
    <t>Reece Benoit</t>
  </si>
  <si>
    <t>Benson</t>
  </si>
  <si>
    <t>Tauni</t>
  </si>
  <si>
    <t>Huddleston</t>
  </si>
  <si>
    <t>03/04/2013 10:20:38 AM MST</t>
  </si>
  <si>
    <t>Berger</t>
  </si>
  <si>
    <t>03/23/2013 05:00:08 PM MDT</t>
  </si>
  <si>
    <t>Heidi</t>
  </si>
  <si>
    <t>Heidi Berger or Kailee Hoopes</t>
  </si>
  <si>
    <t>03/14/2013 08:52:49 PM MDT</t>
  </si>
  <si>
    <t>Allyn</t>
  </si>
  <si>
    <t>Bernkopf</t>
  </si>
  <si>
    <t>03/20/2013 06:08:35 PM MDT</t>
  </si>
  <si>
    <t>Berntson</t>
  </si>
  <si>
    <t>Curtiss</t>
  </si>
  <si>
    <t>03/12/2013 11:42:01 PM MDT</t>
  </si>
  <si>
    <t>Kati</t>
  </si>
  <si>
    <t>Bertagnolli</t>
  </si>
  <si>
    <t>Kati Bertagnolli</t>
  </si>
  <si>
    <t>03/02/2013 11:38:39 AM MST</t>
  </si>
  <si>
    <t>Blackburn</t>
  </si>
  <si>
    <t>Thomas Blackburn</t>
  </si>
  <si>
    <t>03/14/2013 01:57:54 AM MDT</t>
  </si>
  <si>
    <t>Blackledge</t>
  </si>
  <si>
    <t>Samantha Blackledge</t>
  </si>
  <si>
    <t>03/10/2013 07:12:33 PM MDT</t>
  </si>
  <si>
    <t>J</t>
  </si>
  <si>
    <t>Blain</t>
  </si>
  <si>
    <t>J blain</t>
  </si>
  <si>
    <t>02/02/2013 06:43:59 PM MST</t>
  </si>
  <si>
    <t>Blake</t>
  </si>
  <si>
    <t>Rachelle</t>
  </si>
  <si>
    <t>Rachelle Blake</t>
  </si>
  <si>
    <t>Blakley</t>
  </si>
  <si>
    <t>Phim</t>
  </si>
  <si>
    <t>03/15/2013 09:31:17 AM MDT</t>
  </si>
  <si>
    <t>Blankinship</t>
  </si>
  <si>
    <t>02/26/2013 05:44:51 PM MST</t>
  </si>
  <si>
    <t>Britny</t>
  </si>
  <si>
    <t>Bledsoe</t>
  </si>
  <si>
    <t>10/27/2012 10:36:45 PM MDT</t>
  </si>
  <si>
    <t>03/21/2013 05:50:49 AM MDT</t>
  </si>
  <si>
    <t>Boehm</t>
  </si>
  <si>
    <t>03/16/2013 05:39:19 PM MDT</t>
  </si>
  <si>
    <t>Bolduc</t>
  </si>
  <si>
    <t>Angela Bolduc</t>
  </si>
  <si>
    <t>03/20/2013 02:59:55 PM MDT</t>
  </si>
  <si>
    <t>Rebecca Bolduc</t>
  </si>
  <si>
    <t>03/20/2013 03:00:13 PM MDT</t>
  </si>
  <si>
    <t>Boley</t>
  </si>
  <si>
    <t>03/20/2013 03:25:46 PM MDT</t>
  </si>
  <si>
    <t>Bond</t>
  </si>
  <si>
    <t>Bono</t>
  </si>
  <si>
    <t>Mercedes</t>
  </si>
  <si>
    <t>Mauseth</t>
  </si>
  <si>
    <t>03/09/2013 04:18:15 PM MST</t>
  </si>
  <si>
    <t>Malcolm</t>
  </si>
  <si>
    <t>Kenzie</t>
  </si>
  <si>
    <t>Speed</t>
  </si>
  <si>
    <t>03/05/2013 08:38:48 AM MST</t>
  </si>
  <si>
    <t>Bordoy</t>
  </si>
  <si>
    <t>Martorano</t>
  </si>
  <si>
    <t>03/16/2013 09:13:07 PM MDT</t>
  </si>
  <si>
    <t>Boren</t>
  </si>
  <si>
    <t>Megan or Tyson Boren</t>
  </si>
  <si>
    <t>03/16/2013 12:08:53 PM MDT</t>
  </si>
  <si>
    <t>Tyson</t>
  </si>
  <si>
    <t>Brandie</t>
  </si>
  <si>
    <t>Bosserman</t>
  </si>
  <si>
    <t>brandie</t>
  </si>
  <si>
    <t>03/23/2013 04:05:41 PM MDT</t>
  </si>
  <si>
    <t>Bowden</t>
  </si>
  <si>
    <t>Ashley Bowden</t>
  </si>
  <si>
    <t>03/18/2013 02:31:42 PM MDT</t>
  </si>
  <si>
    <t>Bower</t>
  </si>
  <si>
    <t>Starrlyn</t>
  </si>
  <si>
    <t>Friedman</t>
  </si>
  <si>
    <t>03/20/2013 03:03:38 PM MDT</t>
  </si>
  <si>
    <t>Bowles</t>
  </si>
  <si>
    <t>Downy</t>
  </si>
  <si>
    <t>03/14/2013 10:13:52 PM MDT</t>
  </si>
  <si>
    <t>Downy Bowles</t>
  </si>
  <si>
    <t>Boyce</t>
  </si>
  <si>
    <t>Morrill</t>
  </si>
  <si>
    <t>03/10/2013 02:22:17 PM MDT</t>
  </si>
  <si>
    <t>03/13/2013 08:25:29 AM MDT</t>
  </si>
  <si>
    <t>Corina Boyd</t>
  </si>
  <si>
    <t>Aleena</t>
  </si>
  <si>
    <t>Boyer</t>
  </si>
  <si>
    <t>Joette</t>
  </si>
  <si>
    <t>Wangsgard</t>
  </si>
  <si>
    <t>03/22/2013 11:26:59 PM MDT</t>
  </si>
  <si>
    <t>Istenya</t>
  </si>
  <si>
    <t>Boyle</t>
  </si>
  <si>
    <t>Hurty</t>
  </si>
  <si>
    <t>03/15/2013 12:48:58 PM MDT</t>
  </si>
  <si>
    <t>Istenya Boyle or Tim Hurty</t>
  </si>
  <si>
    <t>03/11/2013 04:30:44 PM MDT</t>
  </si>
  <si>
    <t>Brackemyre</t>
  </si>
  <si>
    <t>brent</t>
  </si>
  <si>
    <t>01/10/2013 09:49:38 AM MST</t>
  </si>
  <si>
    <t>Braden</t>
  </si>
  <si>
    <t>03/23/2013 12:37:00 PM MDT</t>
  </si>
  <si>
    <t>Brewer</t>
  </si>
  <si>
    <t>Shantel</t>
  </si>
  <si>
    <t>03/23/2013 10:44:43 PM MDT</t>
  </si>
  <si>
    <t>Niole or chris</t>
  </si>
  <si>
    <t>03/11/2013 01:39:57 PM MDT</t>
  </si>
  <si>
    <t>Kressa</t>
  </si>
  <si>
    <t>Brindley</t>
  </si>
  <si>
    <t>family</t>
  </si>
  <si>
    <t>03/18/2013 06:10:47 PM MDT</t>
  </si>
  <si>
    <t>Broadbent</t>
  </si>
  <si>
    <t>03/17/2013 01:19:23 PM MDT</t>
  </si>
  <si>
    <t>Brooks</t>
  </si>
  <si>
    <t>11/12/2012 08:03:41 AM MST</t>
  </si>
  <si>
    <t>Rueckert</t>
  </si>
  <si>
    <t>02/22/2013 01:29:54 PM MST</t>
  </si>
  <si>
    <t>Michelle Brown</t>
  </si>
  <si>
    <t>Presley</t>
  </si>
  <si>
    <t>Presley Brown</t>
  </si>
  <si>
    <t>All adult medium</t>
  </si>
  <si>
    <t>03/17/2013 07:48:22 PM MDT</t>
  </si>
  <si>
    <t>Buerkle</t>
  </si>
  <si>
    <t>Heather Buerkle</t>
  </si>
  <si>
    <t>No</t>
  </si>
  <si>
    <t>03/22/2013 04:10:12 PM MDT</t>
  </si>
  <si>
    <t>Brytnee</t>
  </si>
  <si>
    <t>Bunnell</t>
  </si>
  <si>
    <t>Brytnee Bunnell</t>
  </si>
  <si>
    <t>03/06/2013 07:04:24 AM MST</t>
  </si>
  <si>
    <t>Burrell</t>
  </si>
  <si>
    <t>Alyssa Burrell</t>
  </si>
  <si>
    <t>03/22/2013 11:01:27 PM MDT</t>
  </si>
  <si>
    <t>Burress</t>
  </si>
  <si>
    <t>03/20/2013 12:57:10 PM MDT</t>
  </si>
  <si>
    <t>Lynn</t>
  </si>
  <si>
    <t>Stephen Burress</t>
  </si>
  <si>
    <t>Mens Large, Womens Medium</t>
  </si>
  <si>
    <t>Burt</t>
  </si>
  <si>
    <t>aaron burt</t>
  </si>
  <si>
    <t>03/22/2013 12:08:57 AM MDT</t>
  </si>
  <si>
    <t>Burton</t>
  </si>
  <si>
    <t>Katheryn</t>
  </si>
  <si>
    <t>03/15/2013 08:26:53 AM MDT</t>
  </si>
  <si>
    <t>Jamayka</t>
  </si>
  <si>
    <t>Walton</t>
  </si>
  <si>
    <t>03/20/2013 09:25:29 PM MDT</t>
  </si>
  <si>
    <t>Aaron Burton or Katheryn Burton</t>
  </si>
  <si>
    <t>Butler</t>
  </si>
  <si>
    <t>Tristen</t>
  </si>
  <si>
    <t>Larsen</t>
  </si>
  <si>
    <t>03/22/2013 02:21:38 AM MDT</t>
  </si>
  <si>
    <t>Butz</t>
  </si>
  <si>
    <t>Landon</t>
  </si>
  <si>
    <t>Byrd</t>
  </si>
  <si>
    <t>Mirzaakbari</t>
  </si>
  <si>
    <t>Caldwell</t>
  </si>
  <si>
    <t>miranda caldwell</t>
  </si>
  <si>
    <t>03/23/2013 07:03:47 PM MDT</t>
  </si>
  <si>
    <t>Dustin</t>
  </si>
  <si>
    <t>Call</t>
  </si>
  <si>
    <t>Tenley</t>
  </si>
  <si>
    <t>Schofield</t>
  </si>
  <si>
    <t>03/13/2013 02:28:28 AM MDT</t>
  </si>
  <si>
    <t>Camp</t>
  </si>
  <si>
    <t>Rockwood</t>
  </si>
  <si>
    <t>03/08/2013 06:57:26 PM MST</t>
  </si>
  <si>
    <t>01/19/2013 11:58:46 PM MST</t>
  </si>
  <si>
    <t>Vinicius</t>
  </si>
  <si>
    <t>Campos</t>
  </si>
  <si>
    <t>Fatima</t>
  </si>
  <si>
    <t>Canova</t>
  </si>
  <si>
    <t>Matt Canova</t>
  </si>
  <si>
    <t>X-large</t>
  </si>
  <si>
    <t>02/19/2013 08:39:03 PM MST</t>
  </si>
  <si>
    <t>Byanca</t>
  </si>
  <si>
    <t>Cantu</t>
  </si>
  <si>
    <t>Card</t>
  </si>
  <si>
    <t>Stacy Card</t>
  </si>
  <si>
    <t>03/08/2013 07:36:52 PM MST</t>
  </si>
  <si>
    <t>Carlyle</t>
  </si>
  <si>
    <t>Forster</t>
  </si>
  <si>
    <t>03/21/2013 12:16:42 PM MDT</t>
  </si>
  <si>
    <t>Erin Carlyle</t>
  </si>
  <si>
    <t>03/14/2013 11:52:54 AM MDT</t>
  </si>
  <si>
    <t>Kerr</t>
  </si>
  <si>
    <t>03/23/2013 05:29:05 PM MDT</t>
  </si>
  <si>
    <t>Ryley</t>
  </si>
  <si>
    <t>Ravyn</t>
  </si>
  <si>
    <t>Teri</t>
  </si>
  <si>
    <t>03/11/2013 05:49:56 PM MDT</t>
  </si>
  <si>
    <t>Teri Casey</t>
  </si>
  <si>
    <t>Itzel Garcia</t>
  </si>
  <si>
    <t>02/28/2013 07:44:19 AM MST</t>
  </si>
  <si>
    <t>Casey Cavanaugh</t>
  </si>
  <si>
    <t>Pope</t>
  </si>
  <si>
    <t>02/22/2013 06:15:42 PM MST</t>
  </si>
  <si>
    <t>Maritsa</t>
  </si>
  <si>
    <t>Maritsa Cervantes</t>
  </si>
  <si>
    <t>02/23/2013 08:43:52 PM MST</t>
  </si>
  <si>
    <t>Clifton</t>
  </si>
  <si>
    <t>Chaisson</t>
  </si>
  <si>
    <t>Segalla</t>
  </si>
  <si>
    <t>03/05/2013 06:03:18 PM MST</t>
  </si>
  <si>
    <t>Champion</t>
  </si>
  <si>
    <t>Matt Champion, Melyssa Thrower</t>
  </si>
  <si>
    <t>03/01/2013 09:53:47 AM MST</t>
  </si>
  <si>
    <t>02/03/2013 09:21:33 AM MST</t>
  </si>
  <si>
    <t>Kim/John Chapman</t>
  </si>
  <si>
    <t>Christensen</t>
  </si>
  <si>
    <t>03/05/2013 10:44:22 AM MST</t>
  </si>
  <si>
    <t>Patricia and Chris Christensen</t>
  </si>
  <si>
    <t>Cihi</t>
  </si>
  <si>
    <t>Brianna Cihi</t>
  </si>
  <si>
    <t>03/18/2013 09:45:45 AM MDT</t>
  </si>
  <si>
    <t>Clancy</t>
  </si>
  <si>
    <t>veronica clancy</t>
  </si>
  <si>
    <t>03/18/2013 11:54:53 PM MDT</t>
  </si>
  <si>
    <t>Danny Clark</t>
  </si>
  <si>
    <t>03/18/2013 01:25:09 PM MDT</t>
  </si>
  <si>
    <t>Clawson</t>
  </si>
  <si>
    <t>Lacy Clawson</t>
  </si>
  <si>
    <t>03/21/2013 02:38:11 PM MDT</t>
  </si>
  <si>
    <t>Clayson</t>
  </si>
  <si>
    <t>Clements</t>
  </si>
  <si>
    <t>Nicole clements</t>
  </si>
  <si>
    <t>03/17/2013 09:16:12 PM MDT</t>
  </si>
  <si>
    <t>Clemons</t>
  </si>
  <si>
    <t>Jansen Smith</t>
  </si>
  <si>
    <t>03/12/2013 11:13:12 AM MDT</t>
  </si>
  <si>
    <t>Clough</t>
  </si>
  <si>
    <t>De Hoyos</t>
  </si>
  <si>
    <t>03/20/2013 08:35:38 PM MDT</t>
  </si>
  <si>
    <t>Gage</t>
  </si>
  <si>
    <t>Kyra</t>
  </si>
  <si>
    <t>Chrystl</t>
  </si>
  <si>
    <t>Cole</t>
  </si>
  <si>
    <t>Chrystl  Cole</t>
  </si>
  <si>
    <t>03/23/2013 10:52:01 AM MDT</t>
  </si>
  <si>
    <t>Women's XL</t>
  </si>
  <si>
    <t>03/22/2013 10:04:34 AM MDT</t>
  </si>
  <si>
    <t>McKenzie</t>
  </si>
  <si>
    <t>Mckenzie Coleman</t>
  </si>
  <si>
    <t>03/19/2013 01:26:10 PM MDT</t>
  </si>
  <si>
    <t>Garriga</t>
  </si>
  <si>
    <t>03/08/2013 11:20:30 AM MST</t>
  </si>
  <si>
    <t>Combe</t>
  </si>
  <si>
    <t>Brad</t>
  </si>
  <si>
    <t>03/23/2013 03:59:23 PM MDT</t>
  </si>
  <si>
    <t>Compton</t>
  </si>
  <si>
    <t>03/07/2013 10:34:11 PM MST</t>
  </si>
  <si>
    <t>Rebecca or Marc Compton</t>
  </si>
  <si>
    <t>Aubrey</t>
  </si>
  <si>
    <t>Conatser</t>
  </si>
  <si>
    <t>Gilbert</t>
  </si>
  <si>
    <t>03/22/2013 10:25:12 PM MDT</t>
  </si>
  <si>
    <t>Conklin</t>
  </si>
  <si>
    <t>Conner</t>
  </si>
  <si>
    <t>03/09/2013 09:44:54 PM MST</t>
  </si>
  <si>
    <t>Raquel or Levi Conner</t>
  </si>
  <si>
    <t>Connor</t>
  </si>
  <si>
    <t>Lisa Connor</t>
  </si>
  <si>
    <t>03/11/2013 05:07:04 PM MDT</t>
  </si>
  <si>
    <t>William Cook</t>
  </si>
  <si>
    <t>03/11/2013 10:44:19 PM MDT</t>
  </si>
  <si>
    <t>Coon</t>
  </si>
  <si>
    <t>Amber Coon</t>
  </si>
  <si>
    <t>03/14/2013 01:11:51 PM MDT</t>
  </si>
  <si>
    <t>BayLee</t>
  </si>
  <si>
    <t>Noguera</t>
  </si>
  <si>
    <t>03/17/2013 03:44:20 AM MDT</t>
  </si>
  <si>
    <t>Copeland</t>
  </si>
  <si>
    <t>Brian Copeland &amp;/or J Curtis</t>
  </si>
  <si>
    <t>Adult Small</t>
  </si>
  <si>
    <t>03/04/2013 12:59:23 AM MST</t>
  </si>
  <si>
    <t>Paine</t>
  </si>
  <si>
    <t>03/19/2013 12:22:45 PM MDT</t>
  </si>
  <si>
    <t>Cornwell</t>
  </si>
  <si>
    <t>Olivia Cornwell</t>
  </si>
  <si>
    <t>03/18/2013 09:46:05 PM MDT</t>
  </si>
  <si>
    <t>Corry</t>
  </si>
  <si>
    <t>Casen Corry</t>
  </si>
  <si>
    <t>03/23/2013 11:25:07 PM MDT</t>
  </si>
  <si>
    <t>Cowley</t>
  </si>
  <si>
    <t>Angee</t>
  </si>
  <si>
    <t>03/21/2013 07:07:12 PM MDT</t>
  </si>
  <si>
    <t>Ashlynn</t>
  </si>
  <si>
    <t>03/18/2013 03:20:57 PM MDT</t>
  </si>
  <si>
    <t>Chrisotpher</t>
  </si>
  <si>
    <t>03/22/2013 11:39:01 AM MDT</t>
  </si>
  <si>
    <t>Avlyn Cox</t>
  </si>
  <si>
    <t>Emily or Christopher Cox</t>
  </si>
  <si>
    <t>Josh Cox</t>
  </si>
  <si>
    <t>03/18/2013 03:20:56 PM MDT</t>
  </si>
  <si>
    <t>Nena</t>
  </si>
  <si>
    <t>Cramer</t>
  </si>
  <si>
    <t>Heather Cramer</t>
  </si>
  <si>
    <t>03/21/2013 01:47:13 PM MDT</t>
  </si>
  <si>
    <t>Crapo</t>
  </si>
  <si>
    <t>Amanda Crapo</t>
  </si>
  <si>
    <t>03/10/2013 07:54:24 PM MDT</t>
  </si>
  <si>
    <t>03/12/2013 06:53:37 PM MDT</t>
  </si>
  <si>
    <t>Cherie</t>
  </si>
  <si>
    <t>Cherie Crapo</t>
  </si>
  <si>
    <t>03/10/2013 07:11:20 PM MDT</t>
  </si>
  <si>
    <t>Shirley Crapo</t>
  </si>
  <si>
    <t>03/10/2013 07:35:28 PM MDT</t>
  </si>
  <si>
    <t>Crouch</t>
  </si>
  <si>
    <t>Sorensen</t>
  </si>
  <si>
    <t>03/21/2013 09:47:12 PM MDT</t>
  </si>
  <si>
    <t>Shaunee</t>
  </si>
  <si>
    <t>Cunningham</t>
  </si>
  <si>
    <t>Dowdle</t>
  </si>
  <si>
    <t>03/07/2013 06:30:29 PM MST</t>
  </si>
  <si>
    <t>Czech</t>
  </si>
  <si>
    <t>greg czech</t>
  </si>
  <si>
    <t>03/22/2013 07:32:57 AM MDT</t>
  </si>
  <si>
    <t>A</t>
  </si>
  <si>
    <t>D</t>
  </si>
  <si>
    <t>T</t>
  </si>
  <si>
    <t>03/10/2013 08:08:04 PM MDT</t>
  </si>
  <si>
    <t>Katy</t>
  </si>
  <si>
    <t>Dalley</t>
  </si>
  <si>
    <t>03/15/2013 08:14:07 PM MDT</t>
  </si>
  <si>
    <t>03/17/2013 08:36:02 PM MDT</t>
  </si>
  <si>
    <t>Davey</t>
  </si>
  <si>
    <t>Mandi</t>
  </si>
  <si>
    <t>03/15/2013 09:35:16 PM MDT</t>
  </si>
  <si>
    <t>Bob</t>
  </si>
  <si>
    <t>Ronda</t>
  </si>
  <si>
    <t>03/23/2013 12:11:50 PM MDT</t>
  </si>
  <si>
    <t>11/09/2012 10:14:00 AM MST</t>
  </si>
  <si>
    <t>03/21/2013 06:55:36 PM MDT</t>
  </si>
  <si>
    <t>Pamela Davis</t>
  </si>
  <si>
    <t>Bob or ronda davis</t>
  </si>
  <si>
    <t>Chelsie</t>
  </si>
  <si>
    <t>Day</t>
  </si>
  <si>
    <t>Chelsie Day</t>
  </si>
  <si>
    <t>03/20/2013 06:44:28 PM MDT</t>
  </si>
  <si>
    <t>Michelle de Hoyos</t>
  </si>
  <si>
    <t>Rafael Agustin</t>
  </si>
  <si>
    <t>Delgado</t>
  </si>
  <si>
    <t>Rafael Agustin Delgado</t>
  </si>
  <si>
    <t>03/16/2013 07:44:27 AM MDT</t>
  </si>
  <si>
    <t>Shaye Derryberr or Andrew Barton</t>
  </si>
  <si>
    <t>DeYoung</t>
  </si>
  <si>
    <t>James DeYoung</t>
  </si>
  <si>
    <t>02/15/2013 06:45:41 PM MST</t>
  </si>
  <si>
    <t>Dickinson</t>
  </si>
  <si>
    <t>Shubhra</t>
  </si>
  <si>
    <t>Aayush</t>
  </si>
  <si>
    <t>Puri</t>
  </si>
  <si>
    <t>11/04/2012 11:51:40 PM MST</t>
  </si>
  <si>
    <t>Dimond</t>
  </si>
  <si>
    <t>Matt Dimond</t>
  </si>
  <si>
    <t>01/21/2013 11:26:59 PM MST</t>
  </si>
  <si>
    <t>Jenny Lee</t>
  </si>
  <si>
    <t>Doty</t>
  </si>
  <si>
    <t>Leeah</t>
  </si>
  <si>
    <t>Rasmussen</t>
  </si>
  <si>
    <t>03/19/2013 11:39:55 AM MDT</t>
  </si>
  <si>
    <t>Cynthia Dowdle</t>
  </si>
  <si>
    <t>Faith</t>
  </si>
  <si>
    <t>Jaramie</t>
  </si>
  <si>
    <t>Karlee</t>
  </si>
  <si>
    <t>Humrich</t>
  </si>
  <si>
    <t>03/21/2013 04:43:04 PM MDT</t>
  </si>
  <si>
    <t>Draughan</t>
  </si>
  <si>
    <t>03/19/2013 11:22:14 AM MDT</t>
  </si>
  <si>
    <t>Claudia Duarte</t>
  </si>
  <si>
    <t>03/19/2013 08:52:00 PM MDT</t>
  </si>
  <si>
    <t>Sage</t>
  </si>
  <si>
    <t>Dudley</t>
  </si>
  <si>
    <t>Sage Dudley</t>
  </si>
  <si>
    <t>03/23/2013 02:48:14 PM MDT</t>
  </si>
  <si>
    <t>Kristina</t>
  </si>
  <si>
    <t>Duler</t>
  </si>
  <si>
    <t>Kristina Duler</t>
  </si>
  <si>
    <t>03/11/2013 07:11:57 PM MDT</t>
  </si>
  <si>
    <t>Dunbar</t>
  </si>
  <si>
    <t>03/21/2013 11:33:39 PM MDT</t>
  </si>
  <si>
    <t>Katy Dunbar</t>
  </si>
  <si>
    <t>Charity</t>
  </si>
  <si>
    <t>Charity Duncan or Dewey Smith</t>
  </si>
  <si>
    <t>one Large and one Medium</t>
  </si>
  <si>
    <t>03/05/2013 07:33:54 AM MST</t>
  </si>
  <si>
    <t>Durr</t>
  </si>
  <si>
    <t>Sarah Durr</t>
  </si>
  <si>
    <t>03/11/2013 09:00:59 PM MDT</t>
  </si>
  <si>
    <t>Durrant</t>
  </si>
  <si>
    <t>Suzie</t>
  </si>
  <si>
    <t>Earley</t>
  </si>
  <si>
    <t>Kay</t>
  </si>
  <si>
    <t>Richards</t>
  </si>
  <si>
    <t>03/05/2013 01:30:40 PM MST</t>
  </si>
  <si>
    <t>Edrington</t>
  </si>
  <si>
    <t>Corinne Edrington</t>
  </si>
  <si>
    <t>03/14/2013 11:37:50 AM MDT</t>
  </si>
  <si>
    <t>Edwards</t>
  </si>
  <si>
    <t>MIcahel</t>
  </si>
  <si>
    <t>03/15/2013 12:33:00 AM MDT</t>
  </si>
  <si>
    <t>Jaderli</t>
  </si>
  <si>
    <t>Elkington</t>
  </si>
  <si>
    <t>03/05/2013 06:30:40 PM MST</t>
  </si>
  <si>
    <t>Joshua Elkington</t>
  </si>
  <si>
    <t>Ellgen</t>
  </si>
  <si>
    <t>Hejazi</t>
  </si>
  <si>
    <t>03/21/2013 08:16:56 AM MDT</t>
  </si>
  <si>
    <t>Eluri</t>
  </si>
  <si>
    <t>Ravi Eluri</t>
  </si>
  <si>
    <t>03/12/2013 10:34:38 PM MDT</t>
  </si>
  <si>
    <t>Robyn Emery</t>
  </si>
  <si>
    <t>2x</t>
  </si>
  <si>
    <t>Beth</t>
  </si>
  <si>
    <t>Encizo</t>
  </si>
  <si>
    <t>Beth Encizo</t>
  </si>
  <si>
    <t>03/23/2013 07:38:26 PM MDT</t>
  </si>
  <si>
    <t>Equihua</t>
  </si>
  <si>
    <t>Tania Equihua</t>
  </si>
  <si>
    <t>03/17/2013 04:25:13 PM MDT</t>
  </si>
  <si>
    <t>Erickson</t>
  </si>
  <si>
    <t>Hollea</t>
  </si>
  <si>
    <t>Hosteen</t>
  </si>
  <si>
    <t>03/19/2013 07:21:47 PM MDT</t>
  </si>
  <si>
    <t>Ethington</t>
  </si>
  <si>
    <t>03/21/2013 11:02:53 AM MDT</t>
  </si>
  <si>
    <t>Eyre</t>
  </si>
  <si>
    <t>Colby</t>
  </si>
  <si>
    <t>Van Orden</t>
  </si>
  <si>
    <t>03/23/2013 11:50:06 AM MDT</t>
  </si>
  <si>
    <t>Shannon or Christian</t>
  </si>
  <si>
    <t>Farris</t>
  </si>
  <si>
    <t>Kirkham</t>
  </si>
  <si>
    <t>02/27/2013 01:02:27 PM MST</t>
  </si>
  <si>
    <t>Fedo</t>
  </si>
  <si>
    <t>03/18/2013 09:27:03 AM MDT</t>
  </si>
  <si>
    <t>Feliciano</t>
  </si>
  <si>
    <t>Brian Feliciano</t>
  </si>
  <si>
    <t>12/12/2012 04:36:45 PM MST</t>
  </si>
  <si>
    <t>Fenstermaker</t>
  </si>
  <si>
    <t>Nick Fenstermaker</t>
  </si>
  <si>
    <t>03/19/2013 07:49:43 AM MDT</t>
  </si>
  <si>
    <t>Kasey</t>
  </si>
  <si>
    <t>Finegan</t>
  </si>
  <si>
    <t>03/23/2013 11:27:26 AM MDT</t>
  </si>
  <si>
    <t>Firth</t>
  </si>
  <si>
    <t>Jason Firth</t>
  </si>
  <si>
    <t>02/28/2013 06:23:40 PM MST</t>
  </si>
  <si>
    <t>Natalie Fisher</t>
  </si>
  <si>
    <t>03/19/2013 03:38:21 PM MDT</t>
  </si>
  <si>
    <t>JosÃ©</t>
  </si>
  <si>
    <t>Floyd</t>
  </si>
  <si>
    <t>Corrin</t>
  </si>
  <si>
    <t>Liston</t>
  </si>
  <si>
    <t>Foglesong</t>
  </si>
  <si>
    <t>03/23/2013 11:22:25 PM MDT</t>
  </si>
  <si>
    <t>03/19/2013 09:26:57 PM MDT</t>
  </si>
  <si>
    <t>Tomczak</t>
  </si>
  <si>
    <t>03/19/2013 12:02:12 AM MDT</t>
  </si>
  <si>
    <t>Hank</t>
  </si>
  <si>
    <t>henry forster or erin carlyle</t>
  </si>
  <si>
    <t>xl and l</t>
  </si>
  <si>
    <t>Foste</t>
  </si>
  <si>
    <t>Brielle</t>
  </si>
  <si>
    <t>Knerr</t>
  </si>
  <si>
    <t>Steffanie</t>
  </si>
  <si>
    <t>Alberia</t>
  </si>
  <si>
    <t>03/21/2013 07:09:57 PM MDT</t>
  </si>
  <si>
    <t>Tina</t>
  </si>
  <si>
    <t>Fowler</t>
  </si>
  <si>
    <t>Tina Fowler</t>
  </si>
  <si>
    <t>03/22/2013 08:37:23 AM MDT</t>
  </si>
  <si>
    <t>Rikki</t>
  </si>
  <si>
    <t>Worthen</t>
  </si>
  <si>
    <t>03/19/2013 10:09:32 AM MDT</t>
  </si>
  <si>
    <t>Yulia</t>
  </si>
  <si>
    <t>Fradkin</t>
  </si>
  <si>
    <t>Yulia Fradkin</t>
  </si>
  <si>
    <t>10/18/2012 12:10:05 PM MDT</t>
  </si>
  <si>
    <t>Francis</t>
  </si>
  <si>
    <t>Kevin Francis</t>
  </si>
  <si>
    <t>02/14/2013 04:19:38 PM MST</t>
  </si>
  <si>
    <t>Maria Sarah</t>
  </si>
  <si>
    <t>Maria Sarah Francis</t>
  </si>
  <si>
    <t>03/19/2013 06:43:48 PM MDT</t>
  </si>
  <si>
    <t>Frazee</t>
  </si>
  <si>
    <t>Romay</t>
  </si>
  <si>
    <t>01/22/2013 02:18:52 PM MST</t>
  </si>
  <si>
    <t>Aurora</t>
  </si>
  <si>
    <t>Freeman</t>
  </si>
  <si>
    <t>03/18/2013 05:27:49 PM MDT</t>
  </si>
  <si>
    <t>Carina</t>
  </si>
  <si>
    <t>French</t>
  </si>
  <si>
    <t>Carina French</t>
  </si>
  <si>
    <t>Larges</t>
  </si>
  <si>
    <t>03/12/2013 02:26:21 PM MDT</t>
  </si>
  <si>
    <t>Frickey</t>
  </si>
  <si>
    <t>Pickard</t>
  </si>
  <si>
    <t>03/21/2013 09:03:54 PM MDT</t>
  </si>
  <si>
    <t>Starrlyn or Ashton</t>
  </si>
  <si>
    <t>Fritz</t>
  </si>
  <si>
    <t>Casey fritz</t>
  </si>
  <si>
    <t>No shirts</t>
  </si>
  <si>
    <t>03/23/2013 12:07:41 PM MDT</t>
  </si>
  <si>
    <t>Jeanne Frost</t>
  </si>
  <si>
    <t>03/23/2013 11:35:59 AM MDT</t>
  </si>
  <si>
    <t>Frowein</t>
  </si>
  <si>
    <t>Fullmer</t>
  </si>
  <si>
    <t>03/16/2013 12:41:04 AM MDT</t>
  </si>
  <si>
    <t>Luseane</t>
  </si>
  <si>
    <t>Funaki</t>
  </si>
  <si>
    <t>Kami</t>
  </si>
  <si>
    <t>Funston</t>
  </si>
  <si>
    <t>03/11/2013 10:35:38 AM MDT</t>
  </si>
  <si>
    <t>Pearl</t>
  </si>
  <si>
    <t>Furgason</t>
  </si>
  <si>
    <t>G</t>
  </si>
  <si>
    <t>Seymour</t>
  </si>
  <si>
    <t>03/23/2013 05:46:32 PM MDT</t>
  </si>
  <si>
    <t>Gailey</t>
  </si>
  <si>
    <t>02/13/2013 09:44:42 AM MST</t>
  </si>
  <si>
    <t>Galbraith</t>
  </si>
  <si>
    <t>Teara</t>
  </si>
  <si>
    <t>03/06/2013 05:42:40 PM MST</t>
  </si>
  <si>
    <t>03/14/2013 11:43:05 PM MDT</t>
  </si>
  <si>
    <t>Andy or Teara Galbraith</t>
  </si>
  <si>
    <t>Gale</t>
  </si>
  <si>
    <t>02/18/2013 10:04:36 PM MST</t>
  </si>
  <si>
    <t>Gallegos</t>
  </si>
  <si>
    <t>Michelle Gallegos</t>
  </si>
  <si>
    <t>Adult Medium, Child Large, Child Medium</t>
  </si>
  <si>
    <t>03/17/2013 05:28:25 PM MDT</t>
  </si>
  <si>
    <t>Ravin</t>
  </si>
  <si>
    <t>Galvan</t>
  </si>
  <si>
    <t>Gavaldon</t>
  </si>
  <si>
    <t>03/21/2013 10:01:17 PM MDT</t>
  </si>
  <si>
    <t>Galvez</t>
  </si>
  <si>
    <t>Manriquez</t>
  </si>
  <si>
    <t>03/23/2013 07:26:28 PM MDT</t>
  </si>
  <si>
    <t>Cecy</t>
  </si>
  <si>
    <t>Itzel</t>
  </si>
  <si>
    <t>Veronica Garcia</t>
  </si>
  <si>
    <t>03/18/2013 06:01:24 PM MDT</t>
  </si>
  <si>
    <t>Garden</t>
  </si>
  <si>
    <t>M, XL</t>
  </si>
  <si>
    <t>03/18/2013 02:37:29 AM MDT</t>
  </si>
  <si>
    <t>Sandi</t>
  </si>
  <si>
    <t>03/23/2013 10:39:38 AM MDT</t>
  </si>
  <si>
    <t>Rashi</t>
  </si>
  <si>
    <t>Garg</t>
  </si>
  <si>
    <t>Vibhu</t>
  </si>
  <si>
    <t>03/20/2013 11:11:45 AM MDT</t>
  </si>
  <si>
    <t>Garrard</t>
  </si>
  <si>
    <t>JENNIFER</t>
  </si>
  <si>
    <t>Garrigues</t>
  </si>
  <si>
    <t>03/22/2013 03:44:04 PM MDT</t>
  </si>
  <si>
    <t>Amber Garrigues</t>
  </si>
  <si>
    <t>Sarah Gavaldon</t>
  </si>
  <si>
    <t>Gay</t>
  </si>
  <si>
    <t>cody gay or shayla farnworth</t>
  </si>
  <si>
    <t>03/17/2013 01:54:49 PM MDT</t>
  </si>
  <si>
    <t>Gelzer</t>
  </si>
  <si>
    <t>Theresa gelzer</t>
  </si>
  <si>
    <t>03/23/2013 10:10:09 AM MDT</t>
  </si>
  <si>
    <t>Marjorie</t>
  </si>
  <si>
    <t>Gendler</t>
  </si>
  <si>
    <t>Marjorie Gendler</t>
  </si>
  <si>
    <t>03/14/2013 08:24:40 PM MDT</t>
  </si>
  <si>
    <t>Ivan</t>
  </si>
  <si>
    <t>Genkov</t>
  </si>
  <si>
    <t>03/13/2013 10:21:38 AM MDT</t>
  </si>
  <si>
    <t>Candice</t>
  </si>
  <si>
    <t>Gentile</t>
  </si>
  <si>
    <t>Candice gentile</t>
  </si>
  <si>
    <t>1-Lg</t>
  </si>
  <si>
    <t>03/20/2013 10:37:28 PM MDT</t>
  </si>
  <si>
    <t>Gerads</t>
  </si>
  <si>
    <t>03/09/2013 11:42:38 AM MST</t>
  </si>
  <si>
    <t>Gerber</t>
  </si>
  <si>
    <t>Ken</t>
  </si>
  <si>
    <t>12/16/2012 01:40:26 PM MST</t>
  </si>
  <si>
    <t>Seema</t>
  </si>
  <si>
    <t>Ghatkar</t>
  </si>
  <si>
    <t>03/21/2013 08:19:03 PM MDT</t>
  </si>
  <si>
    <t>03/19/2013 05:59:55 AM MDT</t>
  </si>
  <si>
    <t>Jessica Gilbert</t>
  </si>
  <si>
    <t>NA</t>
  </si>
  <si>
    <t>03/17/2013 01:18:58 PM MDT</t>
  </si>
  <si>
    <t>Marcus</t>
  </si>
  <si>
    <t>Marcus Gilbert</t>
  </si>
  <si>
    <t>Michele</t>
  </si>
  <si>
    <t>Wentworth</t>
  </si>
  <si>
    <t>03/17/2013 08:17:42 PM MDT</t>
  </si>
  <si>
    <t>Gilson</t>
  </si>
  <si>
    <t>Shannon Gilson</t>
  </si>
  <si>
    <t>03/15/2013 09:23:16 PM MDT</t>
  </si>
  <si>
    <t>Giuliana</t>
  </si>
  <si>
    <t>Giuria</t>
  </si>
  <si>
    <t>Giuliana Giuria</t>
  </si>
  <si>
    <t>03/20/2013 02:37:09 PM MDT</t>
  </si>
  <si>
    <t>Gleason</t>
  </si>
  <si>
    <t>Godin (Minarick)</t>
  </si>
  <si>
    <t>Amanda Godin (Minarick)</t>
  </si>
  <si>
    <t>01/01/2013 02:15:59 PM MST</t>
  </si>
  <si>
    <t>Joelyne</t>
  </si>
  <si>
    <t>Gold</t>
  </si>
  <si>
    <t>Joei</t>
  </si>
  <si>
    <t>Small and Medium</t>
  </si>
  <si>
    <t>03/14/2013 09:53:03 PM MDT</t>
  </si>
  <si>
    <t>Eliseo</t>
  </si>
  <si>
    <t>Jorges</t>
  </si>
  <si>
    <t>03/03/2013 08:35:13 PM MST</t>
  </si>
  <si>
    <t>Jose Gonzalez</t>
  </si>
  <si>
    <t>Lindsy</t>
  </si>
  <si>
    <t>Goodell</t>
  </si>
  <si>
    <t>03/18/2013 06:10:48 PM MDT</t>
  </si>
  <si>
    <t>Goodfellow</t>
  </si>
  <si>
    <t>Stephanie Goodfellow</t>
  </si>
  <si>
    <t>03/19/2013 06:58:56 AM MDT</t>
  </si>
  <si>
    <t>Gorman</t>
  </si>
  <si>
    <t>Graham</t>
  </si>
  <si>
    <t>03/02/2013 09:12:51 PM MST</t>
  </si>
  <si>
    <t>Avalon</t>
  </si>
  <si>
    <t>Green</t>
  </si>
  <si>
    <t>03/23/2013 03:12:53 PM MDT</t>
  </si>
  <si>
    <t>Coulette</t>
  </si>
  <si>
    <t>03/19/2013 05:04:07 PM MDT</t>
  </si>
  <si>
    <t>Ireland</t>
  </si>
  <si>
    <t>Anakah</t>
  </si>
  <si>
    <t>Groneman</t>
  </si>
  <si>
    <t>danny gross</t>
  </si>
  <si>
    <t>3 mediums, 1 small</t>
  </si>
  <si>
    <t>03/03/2013 10:03:40 PM MST</t>
  </si>
  <si>
    <t>Grover</t>
  </si>
  <si>
    <t>david grover</t>
  </si>
  <si>
    <t>lg</t>
  </si>
  <si>
    <t>03/22/2013 03:19:51 PM MDT</t>
  </si>
  <si>
    <t>Guest 1</t>
  </si>
  <si>
    <t>Guest1</t>
  </si>
  <si>
    <t>03/23/2013 05:22:24 PM MDT</t>
  </si>
  <si>
    <t>Maddox</t>
  </si>
  <si>
    <t>03/02/2013 11:14:13 AM MST</t>
  </si>
  <si>
    <t>03/02/2013 11:38:40 AM MST</t>
  </si>
  <si>
    <t>Patience</t>
  </si>
  <si>
    <t>Trujillo</t>
  </si>
  <si>
    <t>03/06/2013 01:48:13 PM MST</t>
  </si>
  <si>
    <t>Skuzeski</t>
  </si>
  <si>
    <t>Mallory</t>
  </si>
  <si>
    <t>03/20/2013 06:52:16 PM MDT</t>
  </si>
  <si>
    <t>Rob</t>
  </si>
  <si>
    <t>Hudak</t>
  </si>
  <si>
    <t>03/22/2013 10:57:05 AM MDT</t>
  </si>
  <si>
    <t>03/22/2013 02:30:43 PM MDT</t>
  </si>
  <si>
    <t>Resa</t>
  </si>
  <si>
    <t>Tristan</t>
  </si>
  <si>
    <t>Guest2</t>
  </si>
  <si>
    <t>Guest 2</t>
  </si>
  <si>
    <t>03/19/2013 08:47:23 AM MDT</t>
  </si>
  <si>
    <t>Morgan</t>
  </si>
  <si>
    <t>03/21/2013 02:38:12 PM MDT</t>
  </si>
  <si>
    <t>Bobby</t>
  </si>
  <si>
    <t>Guest3</t>
  </si>
  <si>
    <t>Weston</t>
  </si>
  <si>
    <t>03/18/2013 09:10:30 PM MDT</t>
  </si>
  <si>
    <t>Guest 3</t>
  </si>
  <si>
    <t>Kendall</t>
  </si>
  <si>
    <t>LaFournaise</t>
  </si>
  <si>
    <t>03/18/2013 01:05:23 PM MDT</t>
  </si>
  <si>
    <t>Hagan</t>
  </si>
  <si>
    <t>Guest4</t>
  </si>
  <si>
    <t>Guest 4</t>
  </si>
  <si>
    <t>Guest 5</t>
  </si>
  <si>
    <t>Guest5</t>
  </si>
  <si>
    <t>Hill</t>
  </si>
  <si>
    <t>03/22/2013 10:27:43 PM MDT</t>
  </si>
  <si>
    <t>Guest 6</t>
  </si>
  <si>
    <t>Guest6</t>
  </si>
  <si>
    <t>Guest 7</t>
  </si>
  <si>
    <t>Guest7</t>
  </si>
  <si>
    <t>Guest 8</t>
  </si>
  <si>
    <t>Guest8</t>
  </si>
  <si>
    <t>Guest9</t>
  </si>
  <si>
    <t>Guinn</t>
  </si>
  <si>
    <t>Guthrie</t>
  </si>
  <si>
    <t>Kristin Guthrie</t>
  </si>
  <si>
    <t>03/21/2013 08:06:19 PM MDT</t>
  </si>
  <si>
    <t>Brania</t>
  </si>
  <si>
    <t>03/21/2013 11:48:54 PM MDT</t>
  </si>
  <si>
    <t>Guadalupe</t>
  </si>
  <si>
    <t>Hackworth</t>
  </si>
  <si>
    <t>Ashlee Hackworh</t>
  </si>
  <si>
    <t>03/19/2013 09:41:26 PM MDT</t>
  </si>
  <si>
    <t>Hadden</t>
  </si>
  <si>
    <t>Natalie Hadden</t>
  </si>
  <si>
    <t>03/21/2013 09:26:50 PM MDT</t>
  </si>
  <si>
    <t>Joni</t>
  </si>
  <si>
    <t>Hadley</t>
  </si>
  <si>
    <t>myself or Amber Pfeil</t>
  </si>
  <si>
    <t>03/22/2013 07:43:54 AM MDT</t>
  </si>
  <si>
    <t>Sanford</t>
  </si>
  <si>
    <t>03/15/2013 02:45:52 PM MDT</t>
  </si>
  <si>
    <t>Hafen</t>
  </si>
  <si>
    <t>Wagstaff</t>
  </si>
  <si>
    <t>03/19/2013 02:11:37 AM MDT</t>
  </si>
  <si>
    <t>Hale</t>
  </si>
  <si>
    <t>03/17/2013 10:00:21 PM MDT</t>
  </si>
  <si>
    <t>Michael Hall or Terri Riet</t>
  </si>
  <si>
    <t>03/22/2013 12:21:20 AM MDT</t>
  </si>
  <si>
    <t>Halliday</t>
  </si>
  <si>
    <t>03/19/2013 11:51:58 PM MDT</t>
  </si>
  <si>
    <t>Hamblin</t>
  </si>
  <si>
    <t>Blake Hamblin</t>
  </si>
  <si>
    <t>03/18/2013 09:45:11 PM MDT</t>
  </si>
  <si>
    <t>Holly Hamilton</t>
  </si>
  <si>
    <t>Hanbag</t>
  </si>
  <si>
    <t>Mullins</t>
  </si>
  <si>
    <t>03/20/2013 11:56:43 AM MDT</t>
  </si>
  <si>
    <t>Hanks</t>
  </si>
  <si>
    <t>Jordan Hanks</t>
  </si>
  <si>
    <t>(2) adult small</t>
  </si>
  <si>
    <t>03/13/2013 10:58:58 PM MDT</t>
  </si>
  <si>
    <t>Dakota Hansen or Brandon May</t>
  </si>
  <si>
    <t>03/21/2013 05:55:15 PM MDT</t>
  </si>
  <si>
    <t>McKay</t>
  </si>
  <si>
    <t>02/10/2013 08:06:04 PM MST</t>
  </si>
  <si>
    <t>Marisa</t>
  </si>
  <si>
    <t>Tricia Hansen</t>
  </si>
  <si>
    <t>03/14/2013 01:09:53 PM MDT</t>
  </si>
  <si>
    <t>03/15/2013 05:19:29 PM MDT</t>
  </si>
  <si>
    <t>Hard</t>
  </si>
  <si>
    <t>Hardy</t>
  </si>
  <si>
    <t>Upton</t>
  </si>
  <si>
    <t>03/12/2013 07:37:33 PM MDT</t>
  </si>
  <si>
    <t>Harmer</t>
  </si>
  <si>
    <t>Lisa Harmer</t>
  </si>
  <si>
    <t>03/20/2013 11:08:05 PM MDT</t>
  </si>
  <si>
    <t>Harmon</t>
  </si>
  <si>
    <t>Makenzie</t>
  </si>
  <si>
    <t>Makenzie Harris</t>
  </si>
  <si>
    <t>03/20/2013 09:58:58 PM MDT</t>
  </si>
  <si>
    <t>Sindy</t>
  </si>
  <si>
    <t>Sindy Harris</t>
  </si>
  <si>
    <t>03/20/2013 11:38:41 PM MDT</t>
  </si>
  <si>
    <t>Thurston</t>
  </si>
  <si>
    <t>03/01/2013 09:38:58 AM MST</t>
  </si>
  <si>
    <t>Marisa (me)</t>
  </si>
  <si>
    <t>03/17/2013 04:36:06 PM MDT</t>
  </si>
  <si>
    <t>Abigail Hatcher</t>
  </si>
  <si>
    <t>MaryAnn</t>
  </si>
  <si>
    <t>McKenna</t>
  </si>
  <si>
    <t>NataLee</t>
  </si>
  <si>
    <t>03/17/2013 01:06:13 AM MDT</t>
  </si>
  <si>
    <t>Haynes</t>
  </si>
  <si>
    <t>03/21/2013 10:14:06 PM MDT</t>
  </si>
  <si>
    <t>03/21/2013 10:14:07 PM MDT</t>
  </si>
  <si>
    <t>Natalie Haynes</t>
  </si>
  <si>
    <t>03/19/2013 09:41:23 PM MDT</t>
  </si>
  <si>
    <t>Adelaide</t>
  </si>
  <si>
    <t>Haywood</t>
  </si>
  <si>
    <t>Alli</t>
  </si>
  <si>
    <t>Howell</t>
  </si>
  <si>
    <t>02/25/2013 09:40:11 PM MST</t>
  </si>
  <si>
    <t>Hayword</t>
  </si>
  <si>
    <t>Kingery</t>
  </si>
  <si>
    <t>03/20/2013 07:14:41 PM MDT</t>
  </si>
  <si>
    <t>Heaton</t>
  </si>
  <si>
    <t>Alison</t>
  </si>
  <si>
    <t>Heisterman</t>
  </si>
  <si>
    <t>alison</t>
  </si>
  <si>
    <t>03/20/2013 08:05:21 PM MDT</t>
  </si>
  <si>
    <t>Melissa Hejazi, Brandon Ellgen or Kent Kercheval</t>
  </si>
  <si>
    <t>Henderson</t>
  </si>
  <si>
    <t>Julie Henderson</t>
  </si>
  <si>
    <t>03/22/2013 11:48:26 AM MDT</t>
  </si>
  <si>
    <t>Logan</t>
  </si>
  <si>
    <t>Hendricks</t>
  </si>
  <si>
    <t>Logan Hendricks</t>
  </si>
  <si>
    <t>03/15/2013 10:35:29 AM MDT</t>
  </si>
  <si>
    <t>Heninger</t>
  </si>
  <si>
    <t>03/22/2013 12:09:00 AM MDT</t>
  </si>
  <si>
    <t>Heredia Lopez</t>
  </si>
  <si>
    <t>Brenda Heredia Lopez</t>
  </si>
  <si>
    <t>03/04/2013 06:27:09 PM MST</t>
  </si>
  <si>
    <t>Yadira Esmeralda</t>
  </si>
  <si>
    <t>Lindey</t>
  </si>
  <si>
    <t>Herlocker</t>
  </si>
  <si>
    <t>Heupal</t>
  </si>
  <si>
    <t>Jummel</t>
  </si>
  <si>
    <t>Hidrosollo</t>
  </si>
  <si>
    <t>Jummel Hidrosollo</t>
  </si>
  <si>
    <t>Large (mens)</t>
  </si>
  <si>
    <t>03/20/2013 03:54:25 PM MDT</t>
  </si>
  <si>
    <t>Allison</t>
  </si>
  <si>
    <t>Hiler</t>
  </si>
  <si>
    <t>Kristen</t>
  </si>
  <si>
    <t>Randee</t>
  </si>
  <si>
    <t>03/15/2013 02:25:53 PM MDT</t>
  </si>
  <si>
    <t>Kelly Reese</t>
  </si>
  <si>
    <t>N?A</t>
  </si>
  <si>
    <t>03/17/2013 10:47:25 PM MDT</t>
  </si>
  <si>
    <t>Hixon</t>
  </si>
  <si>
    <t>2 small 1 medium</t>
  </si>
  <si>
    <t>03/22/2013 01:56:25 PM MDT</t>
  </si>
  <si>
    <t>01/30/2013 12:22:02 PM MST</t>
  </si>
  <si>
    <t>03/19/2013 01:50:09 PM MDT</t>
  </si>
  <si>
    <t>Dakotah</t>
  </si>
  <si>
    <t>Holmes</t>
  </si>
  <si>
    <t>Dakotah Holmes</t>
  </si>
  <si>
    <t>03/21/2013 10:34:04 PM MDT</t>
  </si>
  <si>
    <t>Ainsley</t>
  </si>
  <si>
    <t>Holt</t>
  </si>
  <si>
    <t>03/23/2013 08:23:28 PM MDT</t>
  </si>
  <si>
    <t>Gina Holt</t>
  </si>
  <si>
    <t>Adult Small and Adult Large</t>
  </si>
  <si>
    <t>03/23/2013 08:23:27 PM MDT</t>
  </si>
  <si>
    <t>Hone</t>
  </si>
  <si>
    <t>Mike Hone</t>
  </si>
  <si>
    <t>03/21/2013 11:18:55 PM MDT</t>
  </si>
  <si>
    <t>Krystal</t>
  </si>
  <si>
    <t>Hooper</t>
  </si>
  <si>
    <t>Anadine</t>
  </si>
  <si>
    <t>Horton</t>
  </si>
  <si>
    <t>01/20/2013 01:49:43 AM MST</t>
  </si>
  <si>
    <t>Madeline</t>
  </si>
  <si>
    <t>02/27/2013 01:02:26 PM MST</t>
  </si>
  <si>
    <t>03/19/2013 07:21:46 PM MDT</t>
  </si>
  <si>
    <t>Houseman</t>
  </si>
  <si>
    <t>Sara Howard</t>
  </si>
  <si>
    <t>Alli howell</t>
  </si>
  <si>
    <t>Christian Howell</t>
  </si>
  <si>
    <t>Xl</t>
  </si>
  <si>
    <t>12/07/2012 07:42:46 PM MST</t>
  </si>
  <si>
    <t>Rob Hudak</t>
  </si>
  <si>
    <t>Tauni Huddleston</t>
  </si>
  <si>
    <t>Huff</t>
  </si>
  <si>
    <t>03/08/2013 07:48:34 PM MST</t>
  </si>
  <si>
    <t>Hulet</t>
  </si>
  <si>
    <t>Hunsaker</t>
  </si>
  <si>
    <t>Aleena Hunsaker</t>
  </si>
  <si>
    <t>03/17/2013 11:58:58 PM MDT</t>
  </si>
  <si>
    <t>Lyons</t>
  </si>
  <si>
    <t>03/20/2013 12:34:40 PM MDT</t>
  </si>
  <si>
    <t>Keyna</t>
  </si>
  <si>
    <t>Hurley</t>
  </si>
  <si>
    <t>Kylene</t>
  </si>
  <si>
    <t>Shunn</t>
  </si>
  <si>
    <t>03/11/2013 03:34:11 PM MDT</t>
  </si>
  <si>
    <t>L. J</t>
  </si>
  <si>
    <t>Tim Hurty or Istenya Boyle</t>
  </si>
  <si>
    <t>Britani</t>
  </si>
  <si>
    <t>Hutchinson</t>
  </si>
  <si>
    <t>Sienna</t>
  </si>
  <si>
    <t>Virginia</t>
  </si>
  <si>
    <t>03/13/2013 04:17:23 PM MDT</t>
  </si>
  <si>
    <t>jessica hutchinson</t>
  </si>
  <si>
    <t>Cary</t>
  </si>
  <si>
    <t>Hyde</t>
  </si>
  <si>
    <t>02/18/2013 09:19:23 AM MST</t>
  </si>
  <si>
    <t>Laurel</t>
  </si>
  <si>
    <t>Wilder</t>
  </si>
  <si>
    <t>12/26/2012 10:40:48 AM MST</t>
  </si>
  <si>
    <t>Scott Jackson</t>
  </si>
  <si>
    <t>03/22/2013 03:48:20 PM MDT</t>
  </si>
  <si>
    <t>Jeffers</t>
  </si>
  <si>
    <t>03/02/2013 08:58:54 AM MST</t>
  </si>
  <si>
    <t>Evan</t>
  </si>
  <si>
    <t>03/18/2013 10:40:25 AM MDT</t>
  </si>
  <si>
    <t>Virginia or Evan Jenny</t>
  </si>
  <si>
    <t>Jensen</t>
  </si>
  <si>
    <t>Ashley Jensen</t>
  </si>
  <si>
    <t>03/19/2013 11:50:17 AM MDT</t>
  </si>
  <si>
    <t>Jaison</t>
  </si>
  <si>
    <t>Minkel</t>
  </si>
  <si>
    <t>03/16/2013 12:09:03 PM MDT</t>
  </si>
  <si>
    <t>03/11/2013 03:54:35 PM MDT</t>
  </si>
  <si>
    <t>Jeskie</t>
  </si>
  <si>
    <t>Margaret Jeskie</t>
  </si>
  <si>
    <t>03/23/2013 07:42:15 PM MDT</t>
  </si>
  <si>
    <t>Mid</t>
  </si>
  <si>
    <t>Jet</t>
  </si>
  <si>
    <t>mid jet</t>
  </si>
  <si>
    <t>02/27/2013 05:45:22 PM MST</t>
  </si>
  <si>
    <t>Korben</t>
  </si>
  <si>
    <t>Jewkes</t>
  </si>
  <si>
    <t>Witney</t>
  </si>
  <si>
    <t>03/20/2013 06:21:04 PM MDT</t>
  </si>
  <si>
    <t>Witney Jewkes</t>
  </si>
  <si>
    <t>1 Small and 1 X small</t>
  </si>
  <si>
    <t>Angella</t>
  </si>
  <si>
    <t>03/20/2013 05:36:30 PM MDT</t>
  </si>
  <si>
    <t>03/22/2013 02:13:34 PM MDT</t>
  </si>
  <si>
    <t>I got the colors already</t>
  </si>
  <si>
    <t>Kaylie</t>
  </si>
  <si>
    <t>Kaylie Johnson</t>
  </si>
  <si>
    <t>03/19/2013 12:43:30 AM MDT</t>
  </si>
  <si>
    <t>03/21/2013 01:47:14 PM MDT</t>
  </si>
  <si>
    <t>Shyla</t>
  </si>
  <si>
    <t>03/18/2013 06:00:34 PM MDT</t>
  </si>
  <si>
    <t>Bryanna</t>
  </si>
  <si>
    <t>Jolley</t>
  </si>
  <si>
    <t>03/22/2013 07:06:22 PM MDT</t>
  </si>
  <si>
    <t>Emily Jones</t>
  </si>
  <si>
    <t>James or Brooklyn</t>
  </si>
  <si>
    <t>Ruben</t>
  </si>
  <si>
    <t>Vallejo</t>
  </si>
  <si>
    <t>Winter</t>
  </si>
  <si>
    <t>03/15/2013 04:58:18 PM MDT</t>
  </si>
  <si>
    <t>Winter Jones</t>
  </si>
  <si>
    <t>03/15/2013 04:58:17 PM MDT</t>
  </si>
  <si>
    <t>03/03/2013 08:35:12 PM MST</t>
  </si>
  <si>
    <t>Josephson</t>
  </si>
  <si>
    <t>Juarez</t>
  </si>
  <si>
    <t>Judd</t>
  </si>
  <si>
    <t>03/10/2013 09:49:09 PM MDT</t>
  </si>
  <si>
    <t>Richard Judd</t>
  </si>
  <si>
    <t>Dayna</t>
  </si>
  <si>
    <t>Kaepp</t>
  </si>
  <si>
    <t>Dayna Kaepp</t>
  </si>
  <si>
    <t>03/20/2013 05:03:54 PM MDT</t>
  </si>
  <si>
    <t>Taran</t>
  </si>
  <si>
    <t>Kahus</t>
  </si>
  <si>
    <t>Taran Kahus</t>
  </si>
  <si>
    <t>03/16/2013 05:09:17 PM MDT</t>
  </si>
  <si>
    <t>Keddington</t>
  </si>
  <si>
    <t>Elise Keele</t>
  </si>
  <si>
    <t>03/22/2013 04:56:27 PM MDT</t>
  </si>
  <si>
    <t>James Kelley</t>
  </si>
  <si>
    <t>03/13/2013 04:32:05 AM MDT</t>
  </si>
  <si>
    <t>Kamala</t>
  </si>
  <si>
    <t>03/17/2013 10:16:38 PM MDT</t>
  </si>
  <si>
    <t>Genet</t>
  </si>
  <si>
    <t>Genet Kelly</t>
  </si>
  <si>
    <t>03/15/2013 07:02:01 PM MDT</t>
  </si>
  <si>
    <t>Klayton</t>
  </si>
  <si>
    <t>Kercheval</t>
  </si>
  <si>
    <t>Kiefer</t>
  </si>
  <si>
    <t>Amber kimball</t>
  </si>
  <si>
    <t>Medium and extra large</t>
  </si>
  <si>
    <t>02/21/2013 07:38:00 PM MST</t>
  </si>
  <si>
    <t>Heather Kimball</t>
  </si>
  <si>
    <t>03/12/2013 10:48:13 AM MDT</t>
  </si>
  <si>
    <t>Tom</t>
  </si>
  <si>
    <t>02/16/2013 10:04:58 AM MST</t>
  </si>
  <si>
    <t>Page</t>
  </si>
  <si>
    <t>Rhyan</t>
  </si>
  <si>
    <t>Shad</t>
  </si>
  <si>
    <t>Tom Kimball</t>
  </si>
  <si>
    <t>Carleigh</t>
  </si>
  <si>
    <t>Naylor</t>
  </si>
  <si>
    <t>03/08/2013 02:16:18 PM MST</t>
  </si>
  <si>
    <t>Kirk Kingery</t>
  </si>
  <si>
    <t>Kirk</t>
  </si>
  <si>
    <t>Kirby</t>
  </si>
  <si>
    <t>Audra</t>
  </si>
  <si>
    <t>Kirchner</t>
  </si>
  <si>
    <t>audra kirchner</t>
  </si>
  <si>
    <t>02/13/2013 05:55:37 PM MST</t>
  </si>
  <si>
    <t>Nathan Kirkham</t>
  </si>
  <si>
    <t>02/27/2013 02:47:26 PM MST</t>
  </si>
  <si>
    <t>Kleinman</t>
  </si>
  <si>
    <t>Jesseca</t>
  </si>
  <si>
    <t>Rough</t>
  </si>
  <si>
    <t>03/01/2013 08:05:12 PM MST</t>
  </si>
  <si>
    <t>Kluser</t>
  </si>
  <si>
    <t>Pfeil</t>
  </si>
  <si>
    <t>02/28/2013 02:19:58 PM MST</t>
  </si>
  <si>
    <t>Brielle Knerr</t>
  </si>
  <si>
    <t>Knorr</t>
  </si>
  <si>
    <t>03/06/2013 08:23:21 PM MST</t>
  </si>
  <si>
    <t>Kristen or Christopher</t>
  </si>
  <si>
    <t>03/06/2013 08:23:20 PM MST</t>
  </si>
  <si>
    <t>Knudson</t>
  </si>
  <si>
    <t>Susan Knudson</t>
  </si>
  <si>
    <t>03/13/2013 05:35:10 PM MDT</t>
  </si>
  <si>
    <t>Kocherhans</t>
  </si>
  <si>
    <t>Zeth</t>
  </si>
  <si>
    <t>03/20/2013 11:30:28 AM MDT</t>
  </si>
  <si>
    <t>Krebs</t>
  </si>
  <si>
    <t>03/21/2013 08:51:04 AM MDT</t>
  </si>
  <si>
    <t>BreAnna</t>
  </si>
  <si>
    <t>Kros</t>
  </si>
  <si>
    <t>BreAnna Kros</t>
  </si>
  <si>
    <t>03/18/2013 01:24:06 PM MDT</t>
  </si>
  <si>
    <t>Shanna</t>
  </si>
  <si>
    <t>Kump</t>
  </si>
  <si>
    <t>Alan kump</t>
  </si>
  <si>
    <t>02/21/2013 07:49:29 PM MST</t>
  </si>
  <si>
    <t>Kendall LaFournaise</t>
  </si>
  <si>
    <t>Laine</t>
  </si>
  <si>
    <t>Priddis</t>
  </si>
  <si>
    <t>02/11/2013 03:53:28 PM MST</t>
  </si>
  <si>
    <t>Me (Megan Lambert)</t>
  </si>
  <si>
    <t>03/18/2013 10:46:38 AM MDT</t>
  </si>
  <si>
    <t>Larrabee</t>
  </si>
  <si>
    <t>Nicole Larrabee</t>
  </si>
  <si>
    <t>03/21/2013 10:21:21 AM MDT</t>
  </si>
  <si>
    <t>Frankie</t>
  </si>
  <si>
    <t>Frankie, Trevor</t>
  </si>
  <si>
    <t>03/22/2013 09:43:40 PM MDT</t>
  </si>
  <si>
    <t>03/23/2013 03:00:38 PM MDT</t>
  </si>
  <si>
    <t>Joseph Larson</t>
  </si>
  <si>
    <t>One XXL and one Medium.</t>
  </si>
  <si>
    <t>Last</t>
  </si>
  <si>
    <t>03/17/2013 06:51:58 PM MDT</t>
  </si>
  <si>
    <t>Felicia last</t>
  </si>
  <si>
    <t>03/17/2013 06:51:57 PM MDT</t>
  </si>
  <si>
    <t>Rylee</t>
  </si>
  <si>
    <t>Leifson</t>
  </si>
  <si>
    <t>03/18/2013 08:31:47 PM MDT</t>
  </si>
  <si>
    <t>Charles Lee</t>
  </si>
  <si>
    <t>03/12/2013 04:41:15 PM MDT</t>
  </si>
  <si>
    <t>Legg</t>
  </si>
  <si>
    <t>02/16/2013 07:04:47 AM MST</t>
  </si>
  <si>
    <t>03/18/2013 08:31:46 PM MDT</t>
  </si>
  <si>
    <t>Michaela</t>
  </si>
  <si>
    <t>LeSollen</t>
  </si>
  <si>
    <t>03/19/2013 05:59:56 AM MDT</t>
  </si>
  <si>
    <t>03/18/2013 08:41:11 PM MDT</t>
  </si>
  <si>
    <t>Lieberman</t>
  </si>
  <si>
    <t>03/17/2013 10:19:35 PM MDT</t>
  </si>
  <si>
    <t>Lien</t>
  </si>
  <si>
    <t>Sears</t>
  </si>
  <si>
    <t>03/22/2013 05:34:12 PM MDT</t>
  </si>
  <si>
    <t>Lillywhite</t>
  </si>
  <si>
    <t>Reid</t>
  </si>
  <si>
    <t>03/03/2013 07:59:59 PM MST</t>
  </si>
  <si>
    <t>Lisenbee</t>
  </si>
  <si>
    <t>Kim Lisenbee</t>
  </si>
  <si>
    <t>03/22/2013 09:52:58 AM MDT</t>
  </si>
  <si>
    <t>Corrin Liston</t>
  </si>
  <si>
    <t>Lloyd</t>
  </si>
  <si>
    <t>Londono</t>
  </si>
  <si>
    <t>Long</t>
  </si>
  <si>
    <t>Samantha Long</t>
  </si>
  <si>
    <t>03/05/2013 07:56:40 PM MST</t>
  </si>
  <si>
    <t>Austin</t>
  </si>
  <si>
    <t>Sydney lopez</t>
  </si>
  <si>
    <t>Kapiolani</t>
  </si>
  <si>
    <t>Love</t>
  </si>
  <si>
    <t>Kapiolani Love</t>
  </si>
  <si>
    <t>03/20/2013 02:20:33 PM MDT</t>
  </si>
  <si>
    <t>03/07/2013 06:19:17 PM MST</t>
  </si>
  <si>
    <t>03/14/2013 04:20:53 PM MDT</t>
  </si>
  <si>
    <t>Manny</t>
  </si>
  <si>
    <t>manny lucas</t>
  </si>
  <si>
    <t>03/11/2013 07:24:44 PM MDT</t>
  </si>
  <si>
    <t>03/04/2013 07:17:59 PM MST</t>
  </si>
  <si>
    <t>Caitlyn Lyons</t>
  </si>
  <si>
    <t>Kearstin</t>
  </si>
  <si>
    <t>lyons</t>
  </si>
  <si>
    <t>02/14/2013 07:10:01 PM MST</t>
  </si>
  <si>
    <t>Macdonald</t>
  </si>
  <si>
    <t>Braden Macdonald</t>
  </si>
  <si>
    <t>03/23/2013 03:38:18 PM MDT</t>
  </si>
  <si>
    <t>Madia</t>
  </si>
  <si>
    <t>Kaloni</t>
  </si>
  <si>
    <t>03/18/2013 05:06:09 PM MDT</t>
  </si>
  <si>
    <t>03/18/2013 05:09:12 PM MDT</t>
  </si>
  <si>
    <t>Kathne Madsen</t>
  </si>
  <si>
    <t>Mckenzie Madsen</t>
  </si>
  <si>
    <t>03/21/2013 09:34:57 PM MDT</t>
  </si>
  <si>
    <t>Scot</t>
  </si>
  <si>
    <t>Magazin</t>
  </si>
  <si>
    <t>Sarah Magazin</t>
  </si>
  <si>
    <t>02/27/2013 09:33:51 PM MST</t>
  </si>
  <si>
    <t>Major</t>
  </si>
  <si>
    <t>Malik</t>
  </si>
  <si>
    <t>Malone</t>
  </si>
  <si>
    <t>Jennifer Malone</t>
  </si>
  <si>
    <t>03/13/2013 09:36:19 AM MDT</t>
  </si>
  <si>
    <t>Mangelson</t>
  </si>
  <si>
    <t>Austin Mangelson</t>
  </si>
  <si>
    <t>03/10/2013 08:47:22 PM MDT</t>
  </si>
  <si>
    <t>03/07/2013 03:05:11 PM MST</t>
  </si>
  <si>
    <t>Mannion</t>
  </si>
  <si>
    <t>Bianca Manriquez &amp; Joanna Galvez</t>
  </si>
  <si>
    <t>Velisha</t>
  </si>
  <si>
    <t>Manueli Inoke</t>
  </si>
  <si>
    <t>Markus</t>
  </si>
  <si>
    <t>Marli</t>
  </si>
  <si>
    <t>01/02/2013 04:33:49 PM MST</t>
  </si>
  <si>
    <t>Cambrie</t>
  </si>
  <si>
    <t>Marler</t>
  </si>
  <si>
    <t>03/02/2013 02:48:27 PM MST</t>
  </si>
  <si>
    <t>Alia</t>
  </si>
  <si>
    <t>Marrero</t>
  </si>
  <si>
    <t>Marshall</t>
  </si>
  <si>
    <t>Emelia</t>
  </si>
  <si>
    <t>02/08/2013 05:30:28 PM MST</t>
  </si>
  <si>
    <t>Kimberly Martin</t>
  </si>
  <si>
    <t>Natalie Martin</t>
  </si>
  <si>
    <t>03/23/2013 09:49:23 PM MDT</t>
  </si>
  <si>
    <t>Alberia Martinez</t>
  </si>
  <si>
    <t>medium, medium, child small</t>
  </si>
  <si>
    <t>Christina Martinez</t>
  </si>
  <si>
    <t>03/20/2013 05:04:13 PM MDT</t>
  </si>
  <si>
    <t>My self</t>
  </si>
  <si>
    <t>Megan Martorano</t>
  </si>
  <si>
    <t>Massey</t>
  </si>
  <si>
    <t>Shelby Massey</t>
  </si>
  <si>
    <t>03/14/2013 01:19:50 PM MDT</t>
  </si>
  <si>
    <t>Matern</t>
  </si>
  <si>
    <t>Jason Matern</t>
  </si>
  <si>
    <t>03/10/2013 05:37:12 PM MDT</t>
  </si>
  <si>
    <t>Jeanette</t>
  </si>
  <si>
    <t>Matheson</t>
  </si>
  <si>
    <t>Lindsay Matheson</t>
  </si>
  <si>
    <t>03/20/2013 02:40:29 PM MDT</t>
  </si>
  <si>
    <t>Cienna</t>
  </si>
  <si>
    <t>Mathess</t>
  </si>
  <si>
    <t>Maughan</t>
  </si>
  <si>
    <t>Storrs</t>
  </si>
  <si>
    <t>03/22/2013 05:14:28 PM MDT</t>
  </si>
  <si>
    <t>L, XL, XL, XL, XXL</t>
  </si>
  <si>
    <t>03/09/2013 04:18:14 PM MST</t>
  </si>
  <si>
    <t>Tyrell</t>
  </si>
  <si>
    <t>Mccarty</t>
  </si>
  <si>
    <t>mccarty</t>
  </si>
  <si>
    <t>03/22/2013 07:08:44 PM MDT</t>
  </si>
  <si>
    <t>McCoy</t>
  </si>
  <si>
    <t>03/16/2013 10:22:10 PM MDT</t>
  </si>
  <si>
    <t>Cheyenne</t>
  </si>
  <si>
    <t>Ciara</t>
  </si>
  <si>
    <t>Ciara McDonald</t>
  </si>
  <si>
    <t>02/07/2013 10:09:37 AM MST</t>
  </si>
  <si>
    <t>Liam</t>
  </si>
  <si>
    <t>McGarrell</t>
  </si>
  <si>
    <t>Shellby</t>
  </si>
  <si>
    <t>03/17/2013 06:51:11 PM MDT</t>
  </si>
  <si>
    <t>Shellby McGarrell</t>
  </si>
  <si>
    <t>McGarry</t>
  </si>
  <si>
    <t>Kelsey McGarry</t>
  </si>
  <si>
    <t>1 Adult Large and 1 Adult medium</t>
  </si>
  <si>
    <t>12/23/2012 11:58:43 AM MST</t>
  </si>
  <si>
    <t>McGuire</t>
  </si>
  <si>
    <t>Selig</t>
  </si>
  <si>
    <t>01/21/2013 08:31:02 PM MST</t>
  </si>
  <si>
    <t>McKinney</t>
  </si>
  <si>
    <t>jessica mckinney</t>
  </si>
  <si>
    <t>03/17/2013 06:46:47 PM MDT</t>
  </si>
  <si>
    <t>Mallory McLean</t>
  </si>
  <si>
    <t>Aj</t>
  </si>
  <si>
    <t>McLeod</t>
  </si>
  <si>
    <t>Aj McLeod</t>
  </si>
  <si>
    <t>02/18/2013 03:00:49 PM MST</t>
  </si>
  <si>
    <t>Mears</t>
  </si>
  <si>
    <t>03/18/2013 03:44:26 PM MDT</t>
  </si>
  <si>
    <t>Lang</t>
  </si>
  <si>
    <t>Meeks</t>
  </si>
  <si>
    <t>Rutland</t>
  </si>
  <si>
    <t>03/23/2013 08:16:52 PM MDT</t>
  </si>
  <si>
    <t>Lang Meeks</t>
  </si>
  <si>
    <t>03/23/2013 09:02:35 PM MDT</t>
  </si>
  <si>
    <t>Meldrum</t>
  </si>
  <si>
    <t>Kaitlyn Meldrum</t>
  </si>
  <si>
    <t>03/11/2013 10:13:01 PM MDT</t>
  </si>
  <si>
    <t>Melissa Meldrum</t>
  </si>
  <si>
    <t>03/07/2013 04:21:26 PM MST</t>
  </si>
  <si>
    <t>Mellott</t>
  </si>
  <si>
    <t>Sandford</t>
  </si>
  <si>
    <t>03/19/2013 09:18:42 PM MDT</t>
  </si>
  <si>
    <t>Mendola</t>
  </si>
  <si>
    <t>Leona</t>
  </si>
  <si>
    <t>02/27/2013 10:08:43 PM MST</t>
  </si>
  <si>
    <t>Kaily</t>
  </si>
  <si>
    <t>Soiseth</t>
  </si>
  <si>
    <t>03/13/2013 02:27:42 PM MDT</t>
  </si>
  <si>
    <t>Meng</t>
  </si>
  <si>
    <t>Betty Meng</t>
  </si>
  <si>
    <t>adult medium</t>
  </si>
  <si>
    <t>03/24/2013 06:33:33 AM MDT</t>
  </si>
  <si>
    <t>Merrill</t>
  </si>
  <si>
    <t>Jana Merrill</t>
  </si>
  <si>
    <t>02/25/2013 04:26:36 PM MST</t>
  </si>
  <si>
    <t>Merry</t>
  </si>
  <si>
    <t>heather merry</t>
  </si>
  <si>
    <t>03/22/2013 07:00:20 AM MDT</t>
  </si>
  <si>
    <t>Devon</t>
  </si>
  <si>
    <t>Breanna Miller</t>
  </si>
  <si>
    <t>3 Small</t>
  </si>
  <si>
    <t>03/21/2013 10:42:51 PM MDT</t>
  </si>
  <si>
    <t>Chanelle</t>
  </si>
  <si>
    <t>Maren</t>
  </si>
  <si>
    <t>Miyasaki</t>
  </si>
  <si>
    <t>Patti</t>
  </si>
  <si>
    <t>Mokry</t>
  </si>
  <si>
    <t>Renae</t>
  </si>
  <si>
    <t>Mokrzycki</t>
  </si>
  <si>
    <t>Amy Semrau</t>
  </si>
  <si>
    <t>Mondragon</t>
  </si>
  <si>
    <t>Moniak</t>
  </si>
  <si>
    <t>Danielle Moniak</t>
  </si>
  <si>
    <t>m</t>
  </si>
  <si>
    <t>03/22/2013 11:17:45 AM MDT</t>
  </si>
  <si>
    <t>03/23/2013 08:35:57 PM MDT</t>
  </si>
  <si>
    <t>Mirna</t>
  </si>
  <si>
    <t>Mooney</t>
  </si>
  <si>
    <t>03/14/2013 01:37:10 PM MDT</t>
  </si>
  <si>
    <t>Bandi</t>
  </si>
  <si>
    <t>brandi  moore</t>
  </si>
  <si>
    <t>03/09/2013 08:22:52 PM MST</t>
  </si>
  <si>
    <t>Darrell</t>
  </si>
  <si>
    <t>Destini</t>
  </si>
  <si>
    <t>Lydia</t>
  </si>
  <si>
    <t>03/03/2013 08:21:33 AM MST</t>
  </si>
  <si>
    <t>Preston</t>
  </si>
  <si>
    <t>Lindsey Morrill</t>
  </si>
  <si>
    <t>Small, Medium, Large</t>
  </si>
  <si>
    <t>Lainey</t>
  </si>
  <si>
    <t>Moser</t>
  </si>
  <si>
    <t>03/21/2013 07:29:49 PM MDT</t>
  </si>
  <si>
    <t>Marissa and Kathy</t>
  </si>
  <si>
    <t>Mulroy</t>
  </si>
  <si>
    <t>Kelly Mulroy</t>
  </si>
  <si>
    <t>02/23/2013 02:20:58 AM MST</t>
  </si>
  <si>
    <t>Debi</t>
  </si>
  <si>
    <t>Mumpower</t>
  </si>
  <si>
    <t>Brad Murphy or Terry Combe</t>
  </si>
  <si>
    <t>xl on both</t>
  </si>
  <si>
    <t>Kelli</t>
  </si>
  <si>
    <t>Napohaku</t>
  </si>
  <si>
    <t>Hannah Napohaku</t>
  </si>
  <si>
    <t>03/20/2013 06:11:34 PM MDT</t>
  </si>
  <si>
    <t>Tari</t>
  </si>
  <si>
    <t>Nay</t>
  </si>
  <si>
    <t>Carleigh Naylor</t>
  </si>
  <si>
    <t>Junie</t>
  </si>
  <si>
    <t>02/27/2013 06:22:47 PM MST</t>
  </si>
  <si>
    <t>Junie Neal</t>
  </si>
  <si>
    <t>Neerings</t>
  </si>
  <si>
    <t>Honour</t>
  </si>
  <si>
    <t>Newby</t>
  </si>
  <si>
    <t>Loretta</t>
  </si>
  <si>
    <t>Neily</t>
  </si>
  <si>
    <t>03/10/2013 09:41:07 AM MDT</t>
  </si>
  <si>
    <t>Malisa neily</t>
  </si>
  <si>
    <t>Small and mediam</t>
  </si>
  <si>
    <t>Nejatifar</t>
  </si>
  <si>
    <t>Mary Nejatifar</t>
  </si>
  <si>
    <t>03/16/2013 03:51:00 PM MDT</t>
  </si>
  <si>
    <t>Alisa</t>
  </si>
  <si>
    <t>Alisa Nelson</t>
  </si>
  <si>
    <t>03/19/2013 11:54:21 AM MDT</t>
  </si>
  <si>
    <t>Bianca Nelson</t>
  </si>
  <si>
    <t>2 XL</t>
  </si>
  <si>
    <t>11/27/2012 10:13:35 AM MST</t>
  </si>
  <si>
    <t>Katy Nelson</t>
  </si>
  <si>
    <t>1 Large, 1 medium</t>
  </si>
  <si>
    <t>Kinley</t>
  </si>
  <si>
    <t>Kinley Nelson</t>
  </si>
  <si>
    <t>11/07/2012 07:23:39 PM MST</t>
  </si>
  <si>
    <t>mike nelson</t>
  </si>
  <si>
    <t>1 large and 1 medium</t>
  </si>
  <si>
    <t>02/13/2013 07:26:21 AM MST</t>
  </si>
  <si>
    <t>Tabitha Nelson</t>
  </si>
  <si>
    <t>03/16/2013 01:13:51 PM MDT</t>
  </si>
  <si>
    <t>Drew</t>
  </si>
  <si>
    <t>Nevitt</t>
  </si>
  <si>
    <t>03/19/2013 05:13:06 PM MDT</t>
  </si>
  <si>
    <t>Emily or Drew</t>
  </si>
  <si>
    <t>Logan Neerings</t>
  </si>
  <si>
    <t>02/21/2013 10:15:07 PM MST</t>
  </si>
  <si>
    <t>Alek</t>
  </si>
  <si>
    <t>Nielsen</t>
  </si>
  <si>
    <t>Thomissa</t>
  </si>
  <si>
    <t>03/03/2013 07:00:21 PM MST</t>
  </si>
  <si>
    <t>Catherine Nielsen</t>
  </si>
  <si>
    <t>Medium, Large and 2X Large</t>
  </si>
  <si>
    <t>03/20/2013 10:04:20 AM MDT</t>
  </si>
  <si>
    <t>Nicolaus</t>
  </si>
  <si>
    <t>Nicolle</t>
  </si>
  <si>
    <t>Thomissa Nielsen</t>
  </si>
  <si>
    <t>Whitney</t>
  </si>
  <si>
    <t>Whitney Nielsen or Zach Wooden</t>
  </si>
  <si>
    <t>03/14/2013 05:24:15 PM MDT</t>
  </si>
  <si>
    <t>Monikah</t>
  </si>
  <si>
    <t>Nielson</t>
  </si>
  <si>
    <t>Monikah Nielson</t>
  </si>
  <si>
    <t>02/13/2013 07:55:28 PM MST</t>
  </si>
  <si>
    <t>Nippert</t>
  </si>
  <si>
    <t>Angela Nippert</t>
  </si>
  <si>
    <t>(2) adult small   (2) adult 2x</t>
  </si>
  <si>
    <t>03/14/2013 11:49:16 PM MDT</t>
  </si>
  <si>
    <t>Noble</t>
  </si>
  <si>
    <t>Amber Noguera</t>
  </si>
  <si>
    <t>Adult Extra Small or Youth Large</t>
  </si>
  <si>
    <t>03/17/2013 03:44:19 AM MDT</t>
  </si>
  <si>
    <t>Medium, Large, XL</t>
  </si>
  <si>
    <t>Rylie</t>
  </si>
  <si>
    <t>North</t>
  </si>
  <si>
    <t>O'Guin</t>
  </si>
  <si>
    <t>Jenelle</t>
  </si>
  <si>
    <t>O'Meara</t>
  </si>
  <si>
    <t>Jenelle O'Meara</t>
  </si>
  <si>
    <t>03/22/2013 10:09:15 AM MDT</t>
  </si>
  <si>
    <t>Kellie</t>
  </si>
  <si>
    <t>Oke</t>
  </si>
  <si>
    <t>kellie/zak oke</t>
  </si>
  <si>
    <t>adult xl, adult l</t>
  </si>
  <si>
    <t>03/16/2013 02:58:44 PM MDT</t>
  </si>
  <si>
    <t>Oliphant</t>
  </si>
  <si>
    <t>03/12/2013 03:35:01 AM MDT</t>
  </si>
  <si>
    <t>Amy Oliver</t>
  </si>
  <si>
    <t>Ambrosia</t>
  </si>
  <si>
    <t>Olsen</t>
  </si>
  <si>
    <t>Rawlings</t>
  </si>
  <si>
    <t>03/15/2013 12:05:19 PM MDT</t>
  </si>
  <si>
    <t>Darrin</t>
  </si>
  <si>
    <t>03/22/2013 10:50:47 PM MDT</t>
  </si>
  <si>
    <t>Rhett</t>
  </si>
  <si>
    <t>Kristyn</t>
  </si>
  <si>
    <t>03/08/2013 03:41:08 PM MST</t>
  </si>
  <si>
    <t>Kodi</t>
  </si>
  <si>
    <t>Oran</t>
  </si>
  <si>
    <t>Marina</t>
  </si>
  <si>
    <t>Orne</t>
  </si>
  <si>
    <t>Orosco</t>
  </si>
  <si>
    <t>Wiser</t>
  </si>
  <si>
    <t>03/19/2013 03:41:36 PM MDT</t>
  </si>
  <si>
    <t>Ostler</t>
  </si>
  <si>
    <t>03/18/2013 09:17:45 AM MDT</t>
  </si>
  <si>
    <t>Chante</t>
  </si>
  <si>
    <t>Ostrom</t>
  </si>
  <si>
    <t>Chante Ostrom</t>
  </si>
  <si>
    <t>03/19/2013 07:36:22 AM MDT</t>
  </si>
  <si>
    <t>Christy</t>
  </si>
  <si>
    <t>03/21/2013 05:17:06 PM MDT</t>
  </si>
  <si>
    <t>Raymond Scott</t>
  </si>
  <si>
    <t>Pack</t>
  </si>
  <si>
    <t>Nayeli</t>
  </si>
  <si>
    <t>Allyson Paine</t>
  </si>
  <si>
    <t>03/19/2013 12:22:44 PM MDT</t>
  </si>
  <si>
    <t>Rene Parker</t>
  </si>
  <si>
    <t>Easton</t>
  </si>
  <si>
    <t>Parry</t>
  </si>
  <si>
    <t>Mikaila</t>
  </si>
  <si>
    <t>Crisa</t>
  </si>
  <si>
    <t>Trent</t>
  </si>
  <si>
    <t>03/20/2013 09:57:19 PM MDT</t>
  </si>
  <si>
    <t>Carolyn</t>
  </si>
  <si>
    <t>Peacock</t>
  </si>
  <si>
    <t>Carolyn Peacock</t>
  </si>
  <si>
    <t>02/24/2013 05:17:34 PM MST</t>
  </si>
  <si>
    <t>Pearson</t>
  </si>
  <si>
    <t>03/19/2013 06:22:52 PM MDT</t>
  </si>
  <si>
    <t>Penney</t>
  </si>
  <si>
    <t>Pera</t>
  </si>
  <si>
    <t>03/20/2013 02:20:34 PM MDT</t>
  </si>
  <si>
    <t>Leona Perez</t>
  </si>
  <si>
    <t>2 Mediums and 1 XL</t>
  </si>
  <si>
    <t>Perry</t>
  </si>
  <si>
    <t>03/22/2013 11:02:35 PM MDT</t>
  </si>
  <si>
    <t>Shannon perry</t>
  </si>
  <si>
    <t>One adult extra large, one adult large, one adult medium, and one youth large</t>
  </si>
  <si>
    <t>Shaelinn A.</t>
  </si>
  <si>
    <t>Perryman</t>
  </si>
  <si>
    <t>Shaelinn</t>
  </si>
  <si>
    <t>03/20/2013 09:15:48 PM MDT</t>
  </si>
  <si>
    <t>Aline</t>
  </si>
  <si>
    <t>Peters</t>
  </si>
  <si>
    <t>Aline Peters</t>
  </si>
  <si>
    <t>02/18/2013 04:01:54 PM MST</t>
  </si>
  <si>
    <t>Petersen</t>
  </si>
  <si>
    <t>chanelle</t>
  </si>
  <si>
    <t>03/20/2013 07:21:50 PM MDT</t>
  </si>
  <si>
    <t>Kastina</t>
  </si>
  <si>
    <t>Autum</t>
  </si>
  <si>
    <t>Hallie</t>
  </si>
  <si>
    <t>Jed</t>
  </si>
  <si>
    <t>03/22/2013 05:50:30 PM MDT</t>
  </si>
  <si>
    <t>Lacey Peterson</t>
  </si>
  <si>
    <t>02/20/2013 07:30:09 PM MST</t>
  </si>
  <si>
    <t>Tiffanie</t>
  </si>
  <si>
    <t>Dani</t>
  </si>
  <si>
    <t>Petty</t>
  </si>
  <si>
    <t>03/13/2013 09:37:13 PM MDT</t>
  </si>
  <si>
    <t>Amber Pfeil</t>
  </si>
  <si>
    <t>Pflueger</t>
  </si>
  <si>
    <t>Jahnvi</t>
  </si>
  <si>
    <t>Purwar</t>
  </si>
  <si>
    <t>03/11/2013 05:50:27 PM MDT</t>
  </si>
  <si>
    <t>Kimberly Pham</t>
  </si>
  <si>
    <t>Tammy Phim or Scott Blakley</t>
  </si>
  <si>
    <t>Phommabout</t>
  </si>
  <si>
    <t>julie phommabout</t>
  </si>
  <si>
    <t>01/30/2013 09:37:09 AM MST</t>
  </si>
  <si>
    <t>Sierra Pickard</t>
  </si>
  <si>
    <t>Sommer</t>
  </si>
  <si>
    <t>Pientka</t>
  </si>
  <si>
    <t>03/18/2013 05:53:43 PM MDT</t>
  </si>
  <si>
    <t>Michelle Pientka</t>
  </si>
  <si>
    <t>Pierson</t>
  </si>
  <si>
    <t>Extra</t>
  </si>
  <si>
    <t>Extra Extra</t>
  </si>
  <si>
    <t>Pietszak</t>
  </si>
  <si>
    <t>Henry Pietszak</t>
  </si>
  <si>
    <t>01/31/2013 11:06:21 AM MST</t>
  </si>
  <si>
    <t>Eli</t>
  </si>
  <si>
    <t>Pitt</t>
  </si>
  <si>
    <t>Platter</t>
  </si>
  <si>
    <t>Shaw</t>
  </si>
  <si>
    <t>03/03/2013 03:31:11 PM MST</t>
  </si>
  <si>
    <t>Player</t>
  </si>
  <si>
    <t>Dirk Playle</t>
  </si>
  <si>
    <t>Plett</t>
  </si>
  <si>
    <t>Rachel Plett</t>
  </si>
  <si>
    <t>02/01/2013 01:19:14 AM MST</t>
  </si>
  <si>
    <t>Makinsey</t>
  </si>
  <si>
    <t>Plowman</t>
  </si>
  <si>
    <t>Makinsey Plowman</t>
  </si>
  <si>
    <t>03/23/2013 07:37:14 PM MDT</t>
  </si>
  <si>
    <t>Plummer</t>
  </si>
  <si>
    <t>12/26/2012 11:38:29 AM MST</t>
  </si>
  <si>
    <t>Javier Cervantes</t>
  </si>
  <si>
    <t>Popovich</t>
  </si>
  <si>
    <t>Brandi Price</t>
  </si>
  <si>
    <t>03/15/2013 07:03:54 PM MDT</t>
  </si>
  <si>
    <t>Large, large, and medium</t>
  </si>
  <si>
    <t>03/19/2013 05:55:43 PM MDT</t>
  </si>
  <si>
    <t>Rick Priddis</t>
  </si>
  <si>
    <t>Proffitt</t>
  </si>
  <si>
    <t>Provencio</t>
  </si>
  <si>
    <t>Matt Provencio</t>
  </si>
  <si>
    <t>03/22/2013 09:29:37 AM MDT</t>
  </si>
  <si>
    <t>Aayush Puri</t>
  </si>
  <si>
    <t>1 Small and 1 Large</t>
  </si>
  <si>
    <t>Jahnvi or Christian</t>
  </si>
  <si>
    <t>Amileki</t>
  </si>
  <si>
    <t>Qaqanilawa</t>
  </si>
  <si>
    <t>Quinlog</t>
  </si>
  <si>
    <t>03/07/2013 09:38:54 PM MST</t>
  </si>
  <si>
    <t>Alexandria</t>
  </si>
  <si>
    <t>Radford</t>
  </si>
  <si>
    <t>Ace</t>
  </si>
  <si>
    <t>Rags</t>
  </si>
  <si>
    <t>Rail</t>
  </si>
  <si>
    <t>Catherine Rail</t>
  </si>
  <si>
    <t>03/19/2013 08:27:29 PM MDT</t>
  </si>
  <si>
    <t>Ramsay</t>
  </si>
  <si>
    <t>Matt ramsay</t>
  </si>
  <si>
    <t>12/24/2012 07:14:54 AM MST</t>
  </si>
  <si>
    <t>Cortney</t>
  </si>
  <si>
    <t>Cortney Rasmussen</t>
  </si>
  <si>
    <t>03/11/2013 07:06:33 PM MDT</t>
  </si>
  <si>
    <t>Hannah, Logan</t>
  </si>
  <si>
    <t>03/20/2013 08:11:07 PM MDT</t>
  </si>
  <si>
    <t>Leeah, Juan, or Jenny Lee</t>
  </si>
  <si>
    <t>Steven Rasmussen</t>
  </si>
  <si>
    <t>03/22/2013 07:06:21 PM MDT</t>
  </si>
  <si>
    <t>Lily</t>
  </si>
  <si>
    <t>Ratliff</t>
  </si>
  <si>
    <t>s</t>
  </si>
  <si>
    <t>03/18/2013 10:08:37 AM MDT</t>
  </si>
  <si>
    <t>Rawat</t>
  </si>
  <si>
    <t>Ambrosia Olsen or Bree Hugel</t>
  </si>
  <si>
    <t>03/15/2013 12:05:18 PM MDT</t>
  </si>
  <si>
    <t>Brooklyn</t>
  </si>
  <si>
    <t>Reber</t>
  </si>
  <si>
    <t>02/27/2013 03:01:57 PM MST</t>
  </si>
  <si>
    <t>Philip Redd</t>
  </si>
  <si>
    <t>Redmond</t>
  </si>
  <si>
    <t>03/10/2013 07:03:46 PM MDT</t>
  </si>
  <si>
    <t>Reeves</t>
  </si>
  <si>
    <t>03/11/2013 09:59:56 AM MDT</t>
  </si>
  <si>
    <t>Brandon Reid</t>
  </si>
  <si>
    <t>Terri</t>
  </si>
  <si>
    <t>Reit</t>
  </si>
  <si>
    <t>Kiel</t>
  </si>
  <si>
    <t>Renwick</t>
  </si>
  <si>
    <t>Kiel Renwick</t>
  </si>
  <si>
    <t>03/21/2013 08:12:45 PM MDT</t>
  </si>
  <si>
    <t>Kori</t>
  </si>
  <si>
    <t>Gabriel Reynolds</t>
  </si>
  <si>
    <t>03/14/2013 10:22:34 PM MDT</t>
  </si>
  <si>
    <t>KAY RICHARDS</t>
  </si>
  <si>
    <t>Kian</t>
  </si>
  <si>
    <t>randee</t>
  </si>
  <si>
    <t>Riddle</t>
  </si>
  <si>
    <t>Elissa</t>
  </si>
  <si>
    <t>Ridgway</t>
  </si>
  <si>
    <t>03/14/2013 08:51:05 PM MDT</t>
  </si>
  <si>
    <t>Jessica Rigby</t>
  </si>
  <si>
    <t>Braxton</t>
  </si>
  <si>
    <t>Ranae</t>
  </si>
  <si>
    <t>carlee</t>
  </si>
  <si>
    <t>Kris</t>
  </si>
  <si>
    <t>03/22/2013 10:08:56 PM MDT</t>
  </si>
  <si>
    <t>Kris Robison</t>
  </si>
  <si>
    <t>03/22/2013 10:08:55 PM MDT</t>
  </si>
  <si>
    <t>Roby</t>
  </si>
  <si>
    <t>Rodgers</t>
  </si>
  <si>
    <t>veronica rodriguez</t>
  </si>
  <si>
    <t>03/23/2013 10:58:01 AM MDT</t>
  </si>
  <si>
    <t>Brittney</t>
  </si>
  <si>
    <t>Rogers</t>
  </si>
  <si>
    <t>Bridger</t>
  </si>
  <si>
    <t>Rollins</t>
  </si>
  <si>
    <t>Diana Romay</t>
  </si>
  <si>
    <t>Nicole Romo</t>
  </si>
  <si>
    <t>03/22/2013 01:49:28 PM MDT</t>
  </si>
  <si>
    <t>Britain</t>
  </si>
  <si>
    <t>Jamie Ross</t>
  </si>
  <si>
    <t>Jesseca Rough</t>
  </si>
  <si>
    <t>Routh</t>
  </si>
  <si>
    <t>Rowan</t>
  </si>
  <si>
    <t>Skyler Seegmiller</t>
  </si>
  <si>
    <t>03/20/2013 09:39:38 AM MDT</t>
  </si>
  <si>
    <t>Rowley</t>
  </si>
  <si>
    <t>Jon</t>
  </si>
  <si>
    <t>Roylance</t>
  </si>
  <si>
    <t>Staci</t>
  </si>
  <si>
    <t>03/04/2013 08:26:55 PM MST</t>
  </si>
  <si>
    <t>Amanda Rueckert</t>
  </si>
  <si>
    <t>Ruis</t>
  </si>
  <si>
    <t>Benjamine</t>
  </si>
  <si>
    <t>My friend</t>
  </si>
  <si>
    <t>03/23/2013 08:00:15 PM MDT</t>
  </si>
  <si>
    <t>Runnells</t>
  </si>
  <si>
    <t>Waugh</t>
  </si>
  <si>
    <t>03/22/2013 05:44:20 PM MDT</t>
  </si>
  <si>
    <t>Kallie</t>
  </si>
  <si>
    <t>Rupe</t>
  </si>
  <si>
    <t>Athena</t>
  </si>
  <si>
    <t>Lang Meeks or Rita Rutland</t>
  </si>
  <si>
    <t>Ryerson</t>
  </si>
  <si>
    <t>Sagers</t>
  </si>
  <si>
    <t>Caitlin</t>
  </si>
  <si>
    <t>Me :)</t>
  </si>
  <si>
    <t>03/10/2013 09:04:28 PM MDT</t>
  </si>
  <si>
    <t>Heather Salinas</t>
  </si>
  <si>
    <t>03/22/2013 01:28:13 PM MDT</t>
  </si>
  <si>
    <t>Roody</t>
  </si>
  <si>
    <t>Salvator</t>
  </si>
  <si>
    <t>Sanderson</t>
  </si>
  <si>
    <t>03/14/2013 05:01:42 PM MDT</t>
  </si>
  <si>
    <t>Brian Sandford or Kelly Mellott</t>
  </si>
  <si>
    <t>two Mediums</t>
  </si>
  <si>
    <t>Taylor Sanford</t>
  </si>
  <si>
    <t>Valmir</t>
  </si>
  <si>
    <t>Sarraf</t>
  </si>
  <si>
    <t>soraya sarraf</t>
  </si>
  <si>
    <t>03/23/2013 11:25:42 PM MDT</t>
  </si>
  <si>
    <t>Geoff</t>
  </si>
  <si>
    <t>Sauer</t>
  </si>
  <si>
    <t>Mallory Schofield</t>
  </si>
  <si>
    <t>Ted</t>
  </si>
  <si>
    <t>Tenley or Ted Schofield</t>
  </si>
  <si>
    <t>Ilyssa</t>
  </si>
  <si>
    <t>03/19/2013 09:42:36 PM MDT</t>
  </si>
  <si>
    <t>Angela Sears</t>
  </si>
  <si>
    <t>Skyler</t>
  </si>
  <si>
    <t>Seegmiller</t>
  </si>
  <si>
    <t>Seely</t>
  </si>
  <si>
    <t>ann seely</t>
  </si>
  <si>
    <t>01/26/2013 11:18:30 PM MST</t>
  </si>
  <si>
    <t>Becky</t>
  </si>
  <si>
    <t>Becky Seely or Jason Glad</t>
  </si>
  <si>
    <t>03/11/2013 08:34:29 AM MDT</t>
  </si>
  <si>
    <t>Kara</t>
  </si>
  <si>
    <t>Rachel Segalla</t>
  </si>
  <si>
    <t>Tony Segalla</t>
  </si>
  <si>
    <t>Segura</t>
  </si>
  <si>
    <t>Ashley segura</t>
  </si>
  <si>
    <t>02/20/2013 02:47:35 PM MST</t>
  </si>
  <si>
    <t>Semrau</t>
  </si>
  <si>
    <t>12/16/2012 08:14:11 PM MST</t>
  </si>
  <si>
    <t>Justin Semrau</t>
  </si>
  <si>
    <t>12/16/2012 08:16:50 PM MST</t>
  </si>
  <si>
    <t>Debolina</t>
  </si>
  <si>
    <t>Sen</t>
  </si>
  <si>
    <t>03/17/2013 11:58:59 PM MDT</t>
  </si>
  <si>
    <t>03/23/2013 05:46:31 PM MDT</t>
  </si>
  <si>
    <t>Atul</t>
  </si>
  <si>
    <t>Radha</t>
  </si>
  <si>
    <t>Shakur</t>
  </si>
  <si>
    <t>Shuman</t>
  </si>
  <si>
    <t>03/20/2013 03:07:58 PM MDT</t>
  </si>
  <si>
    <t>Arvind</t>
  </si>
  <si>
    <t>Shankar</t>
  </si>
  <si>
    <t>Jennifer Shaw</t>
  </si>
  <si>
    <t>Shelden</t>
  </si>
  <si>
    <t>Daniel Shelden</t>
  </si>
  <si>
    <t>03/20/2013 10:29:31 PM MDT</t>
  </si>
  <si>
    <t>Shipe</t>
  </si>
  <si>
    <t>Juliana</t>
  </si>
  <si>
    <t>01/31/2013 04:26:26 PM MST</t>
  </si>
  <si>
    <t>Shipman</t>
  </si>
  <si>
    <t>Alec</t>
  </si>
  <si>
    <t>Shook (Saturday)</t>
  </si>
  <si>
    <t>09/30/2012 02:02:34 PM MDT</t>
  </si>
  <si>
    <t>Brian Shook or Chrystal Velazquez</t>
  </si>
  <si>
    <t>all Med</t>
  </si>
  <si>
    <t>Shook (Sunday)</t>
  </si>
  <si>
    <t>Alixx</t>
  </si>
  <si>
    <t>Jessica Shuman</t>
  </si>
  <si>
    <t>Kurtis</t>
  </si>
  <si>
    <t>Kylene Shunn</t>
  </si>
  <si>
    <t>Simpson</t>
  </si>
  <si>
    <t>03/14/2013 10:44:05 PM MDT</t>
  </si>
  <si>
    <t>Sims</t>
  </si>
  <si>
    <t>Kristin or Scott Sims</t>
  </si>
  <si>
    <t>XXXL and Medium</t>
  </si>
  <si>
    <t>03/14/2013 10:41:56 AM MDT</t>
  </si>
  <si>
    <t>Sleight</t>
  </si>
  <si>
    <t>03/21/2013 07:28:45 PM MDT</t>
  </si>
  <si>
    <t>Justin Timmons</t>
  </si>
  <si>
    <t>2 Med Adult, 1 Large Adult, 1 Small Adult</t>
  </si>
  <si>
    <t>03/21/2013 07:28:44 PM MDT</t>
  </si>
  <si>
    <t>03/23/2013 11:43:52 AM MDT</t>
  </si>
  <si>
    <t>Dewey</t>
  </si>
  <si>
    <t>Jansen</t>
  </si>
  <si>
    <t>Jordan Smith</t>
  </si>
  <si>
    <t>03/05/2013 09:44:06 AM MST</t>
  </si>
  <si>
    <t>Landon B Smith</t>
  </si>
  <si>
    <t>Marilyn Smith</t>
  </si>
  <si>
    <t>03/04/2013 08:04:20 AM MST</t>
  </si>
  <si>
    <t>03/23/2013 10:57:16 AM MDT</t>
  </si>
  <si>
    <t>03/04/2013 08:04:21 AM MST</t>
  </si>
  <si>
    <t>Tyler Smith</t>
  </si>
  <si>
    <t>03/22/2013 07:28:59 PM MDT</t>
  </si>
  <si>
    <t>Sienie</t>
  </si>
  <si>
    <t>Sneddon</t>
  </si>
  <si>
    <t>Sienie Sneddon</t>
  </si>
  <si>
    <t>03/23/2013 01:58:55 AM MDT</t>
  </si>
  <si>
    <t>Snow</t>
  </si>
  <si>
    <t>03/20/2013 05:24:00 PM MDT</t>
  </si>
  <si>
    <t>Kaily Soiseth</t>
  </si>
  <si>
    <t>Adult small and adult X-large</t>
  </si>
  <si>
    <t>Jenny Spencer or Ian Anderson</t>
  </si>
  <si>
    <t>Spense</t>
  </si>
  <si>
    <t>Libby</t>
  </si>
  <si>
    <t>Spicker</t>
  </si>
  <si>
    <t>Libby spicker</t>
  </si>
  <si>
    <t>03/19/2013 05:46:19 PM MDT</t>
  </si>
  <si>
    <t>Stachowski</t>
  </si>
  <si>
    <t>Collin</t>
  </si>
  <si>
    <t>Stafford</t>
  </si>
  <si>
    <t>Staggs</t>
  </si>
  <si>
    <t>Stanbrough</t>
  </si>
  <si>
    <t>Tatyana</t>
  </si>
  <si>
    <t>Stanley</t>
  </si>
  <si>
    <t>Jim</t>
  </si>
  <si>
    <t>Veyette</t>
  </si>
  <si>
    <t>03/22/2013 10:59:58 AM MDT</t>
  </si>
  <si>
    <t>Christie</t>
  </si>
  <si>
    <t>Steele</t>
  </si>
  <si>
    <t>03/17/2013 11:15:08 PM MDT</t>
  </si>
  <si>
    <t>03/19/2013 11:48:05 PM MDT</t>
  </si>
  <si>
    <t>Steffensen</t>
  </si>
  <si>
    <t>Stenger</t>
  </si>
  <si>
    <t>Marli Stevens or Jesse Markus</t>
  </si>
  <si>
    <t>X-Small or Small and Large</t>
  </si>
  <si>
    <t>01/02/2013 04:33:48 PM MST</t>
  </si>
  <si>
    <t>Ivy</t>
  </si>
  <si>
    <t>Ty</t>
  </si>
  <si>
    <t>Marie</t>
  </si>
  <si>
    <t>Stirk</t>
  </si>
  <si>
    <t>03/20/2013 08:12:49 PM MDT</t>
  </si>
  <si>
    <t>Steve</t>
  </si>
  <si>
    <t>Stober</t>
  </si>
  <si>
    <t>Steve Stober</t>
  </si>
  <si>
    <t>12/15/2012 10:59:21 AM MST</t>
  </si>
  <si>
    <t>Mickela</t>
  </si>
  <si>
    <t>Stock</t>
  </si>
  <si>
    <t>Amanda Maughan</t>
  </si>
  <si>
    <t>03/22/2013 05:14:27 PM MDT</t>
  </si>
  <si>
    <t>Stowell</t>
  </si>
  <si>
    <t>Chelsey Stowell</t>
  </si>
  <si>
    <t>03/03/2013 07:12:40 PM MST</t>
  </si>
  <si>
    <t>Subeeshan</t>
  </si>
  <si>
    <t>Erik Summers</t>
  </si>
  <si>
    <t>01/25/2013 05:38:39 PM MST</t>
  </si>
  <si>
    <t>Sundell</t>
  </si>
  <si>
    <t>amanda</t>
  </si>
  <si>
    <t>03/15/2013 01:44:40 PM MDT</t>
  </si>
  <si>
    <t>Suthar</t>
  </si>
  <si>
    <t>Sutton</t>
  </si>
  <si>
    <t>Kelsey Sutton</t>
  </si>
  <si>
    <t>02/06/2013 11:48:56 PM MST</t>
  </si>
  <si>
    <t>Swainston</t>
  </si>
  <si>
    <t>(2) Large</t>
  </si>
  <si>
    <t>02/21/2013 02:14:56 PM MST</t>
  </si>
  <si>
    <t>Swanson</t>
  </si>
  <si>
    <t>Dustin Swanson</t>
  </si>
  <si>
    <t>03/18/2013 04:58:38 PM MDT</t>
  </si>
  <si>
    <t>Talamantez</t>
  </si>
  <si>
    <t>02/23/2013 11:01:03 AM MST</t>
  </si>
  <si>
    <t>donna taylor</t>
  </si>
  <si>
    <t>both sizes large</t>
  </si>
  <si>
    <t>02/07/2013 11:53:40 AM MST</t>
  </si>
  <si>
    <t>Karina or Derek Taylor</t>
  </si>
  <si>
    <t>Teague</t>
  </si>
  <si>
    <t>Teaman</t>
  </si>
  <si>
    <t>Thatcher</t>
  </si>
  <si>
    <t>01/01/2013 02:16:00 PM MST</t>
  </si>
  <si>
    <t>Andie</t>
  </si>
  <si>
    <t>Brooke Thomas, Chris Berger</t>
  </si>
  <si>
    <t>kayla</t>
  </si>
  <si>
    <t>03/21/2013 08:27:30 AM MDT</t>
  </si>
  <si>
    <t>BOBBIE JO</t>
  </si>
  <si>
    <t>Mara Thompson</t>
  </si>
  <si>
    <t>03/23/2013 07:38:29 PM MDT</t>
  </si>
  <si>
    <t>Rachel Thompson</t>
  </si>
  <si>
    <t>Adult XL</t>
  </si>
  <si>
    <t>02/12/2013 04:37:45 PM MST</t>
  </si>
  <si>
    <t>Alysha</t>
  </si>
  <si>
    <t>Thorpe</t>
  </si>
  <si>
    <t>Melyssa</t>
  </si>
  <si>
    <t>Thrower</t>
  </si>
  <si>
    <t>Alyssa Thurston</t>
  </si>
  <si>
    <t>Timmons</t>
  </si>
  <si>
    <t>Galina</t>
  </si>
  <si>
    <t>Timoff</t>
  </si>
  <si>
    <t>Galina Timoff</t>
  </si>
  <si>
    <t>03/23/2013 09:17:38 AM MDT</t>
  </si>
  <si>
    <t>Kauilani</t>
  </si>
  <si>
    <t>Tokailagi</t>
  </si>
  <si>
    <t>Emily Tomczak</t>
  </si>
  <si>
    <t>Tomlin</t>
  </si>
  <si>
    <t>Szabina</t>
  </si>
  <si>
    <t>Tomori</t>
  </si>
  <si>
    <t>Toole</t>
  </si>
  <si>
    <t>03/20/2013 01:35:52 AM MDT</t>
  </si>
  <si>
    <t>Jonathan Alonso</t>
  </si>
  <si>
    <t>Trejo Villalobos</t>
  </si>
  <si>
    <t>Jonathan Alonso Trejo Villalobos</t>
  </si>
  <si>
    <t>03/23/2013 12:49:46 AM MDT</t>
  </si>
  <si>
    <t>Billie</t>
  </si>
  <si>
    <t>Triphahn</t>
  </si>
  <si>
    <t>Trockman</t>
  </si>
  <si>
    <t>Trowbridge</t>
  </si>
  <si>
    <t>Tschetter</t>
  </si>
  <si>
    <t>Michelle Tschetter (self)</t>
  </si>
  <si>
    <t>02/25/2013 12:14:16 PM MST</t>
  </si>
  <si>
    <t>Tuft</t>
  </si>
  <si>
    <t>Ashley Tuft</t>
  </si>
  <si>
    <t>03/01/2013 04:21:04 PM MST</t>
  </si>
  <si>
    <t>Tungeln</t>
  </si>
  <si>
    <t>Turner</t>
  </si>
  <si>
    <t>Ryan Turner</t>
  </si>
  <si>
    <t>03/18/2013 10:30:36 PM MDT</t>
  </si>
  <si>
    <t>Julie Turney</t>
  </si>
  <si>
    <t>03/12/2013 06:46:39 PM MDT</t>
  </si>
  <si>
    <t>Sara Upton</t>
  </si>
  <si>
    <t>Maddie</t>
  </si>
  <si>
    <t>Valentine</t>
  </si>
  <si>
    <t>Nicolas</t>
  </si>
  <si>
    <t>03/20/2013 12:36:07 PM MDT</t>
  </si>
  <si>
    <t>Nicolas Valentine</t>
  </si>
  <si>
    <t>Colby Van Orden/ Megan Eyre</t>
  </si>
  <si>
    <t>03/23/2013 11:50:05 AM MDT</t>
  </si>
  <si>
    <t>Seth</t>
  </si>
  <si>
    <t>03/16/2013 04:20:18 PM MDT</t>
  </si>
  <si>
    <t>Tania Van Orden</t>
  </si>
  <si>
    <t>VanNoy</t>
  </si>
  <si>
    <t>Haggai</t>
  </si>
  <si>
    <t>Vardi</t>
  </si>
  <si>
    <t>Haggai Vardi</t>
  </si>
  <si>
    <t>Chrystal</t>
  </si>
  <si>
    <t>Velazquez (Saturday)</t>
  </si>
  <si>
    <t>Velazquez (Sunday)</t>
  </si>
  <si>
    <t>Ankita Verma</t>
  </si>
  <si>
    <t>Vermunt</t>
  </si>
  <si>
    <t>jim veyette</t>
  </si>
  <si>
    <t>Lizzy</t>
  </si>
  <si>
    <t>Vicente</t>
  </si>
  <si>
    <t>Von Weller</t>
  </si>
  <si>
    <t>Samantha vonweller</t>
  </si>
  <si>
    <t>03/17/2013 04:44:04 PM MDT</t>
  </si>
  <si>
    <t>Waddoups</t>
  </si>
  <si>
    <t>Amber Waddoups</t>
  </si>
  <si>
    <t>02/08/2013 01:52:51 AM MST</t>
  </si>
  <si>
    <t>Danielle Wagstaff / Eric Smith</t>
  </si>
  <si>
    <t>03/19/2013 02:11:36 AM MDT</t>
  </si>
  <si>
    <t>Wait</t>
  </si>
  <si>
    <t>NATALIE</t>
  </si>
  <si>
    <t>03/20/2013 09:02:33 AM MDT</t>
  </si>
  <si>
    <t>Walborn</t>
  </si>
  <si>
    <t>03/21/2013 04:50:07 PM MDT</t>
  </si>
  <si>
    <t>Halle</t>
  </si>
  <si>
    <t>03/21/2013 04:50:08 PM MDT</t>
  </si>
  <si>
    <t>Wall</t>
  </si>
  <si>
    <t>Jennifer Wall</t>
  </si>
  <si>
    <t>03/20/2013 10:10:16 AM MDT</t>
  </si>
  <si>
    <t>Kait</t>
  </si>
  <si>
    <t>03/18/2013 02:49:36 PM MDT</t>
  </si>
  <si>
    <t>Saryn</t>
  </si>
  <si>
    <t>Phillip</t>
  </si>
  <si>
    <t>Jamayka Walton</t>
  </si>
  <si>
    <t>Warner</t>
  </si>
  <si>
    <t>David Waugh</t>
  </si>
  <si>
    <t>Alene</t>
  </si>
  <si>
    <t>Weakley</t>
  </si>
  <si>
    <t>Wayne or Alene</t>
  </si>
  <si>
    <t>03/21/2013 10:21:28 PM MDT</t>
  </si>
  <si>
    <t>Lorina</t>
  </si>
  <si>
    <t>03/21/2013 10:21:29 PM MDT</t>
  </si>
  <si>
    <t>Lynzie</t>
  </si>
  <si>
    <t>Tobyn</t>
  </si>
  <si>
    <t>Wayne</t>
  </si>
  <si>
    <t>Weichers</t>
  </si>
  <si>
    <t>Aubree</t>
  </si>
  <si>
    <t>Randy</t>
  </si>
  <si>
    <t>Wellbaum</t>
  </si>
  <si>
    <t>Randy Wellbaum</t>
  </si>
  <si>
    <t>03/10/2013 08:47:19 PM MDT</t>
  </si>
  <si>
    <t>Wentz</t>
  </si>
  <si>
    <t>03/12/2013 11:16:32 AM MDT</t>
  </si>
  <si>
    <t>Jasmine West</t>
  </si>
  <si>
    <t>03/14/2013 06:44:01 PM MDT</t>
  </si>
  <si>
    <t>Wester</t>
  </si>
  <si>
    <t>Aaron Wester</t>
  </si>
  <si>
    <t>03/21/2013 04:38:31 PM MDT</t>
  </si>
  <si>
    <t>Westling</t>
  </si>
  <si>
    <t>02/16/2013 07:04:46 AM MST</t>
  </si>
  <si>
    <t>Cindy  Weston</t>
  </si>
  <si>
    <t>Whipple</t>
  </si>
  <si>
    <t>Jalisa</t>
  </si>
  <si>
    <t>Lilly</t>
  </si>
  <si>
    <t>03/22/2013 10:45:50 PM MDT</t>
  </si>
  <si>
    <t>Tandy</t>
  </si>
  <si>
    <t>03/23/2013 06:06:00 PM MDT</t>
  </si>
  <si>
    <t>Mindy</t>
  </si>
  <si>
    <t>Whiting</t>
  </si>
  <si>
    <t>Mindy whiting</t>
  </si>
  <si>
    <t>03/19/2013 06:31:22 PM MDT</t>
  </si>
  <si>
    <t>Kaydee</t>
  </si>
  <si>
    <t>Whittington</t>
  </si>
  <si>
    <t>Penny</t>
  </si>
  <si>
    <t>Wick</t>
  </si>
  <si>
    <t>Angelique</t>
  </si>
  <si>
    <t>Wiens</t>
  </si>
  <si>
    <t>Myself (Heidi)</t>
  </si>
  <si>
    <t>12/26/2012 10:15:42 AM MST</t>
  </si>
  <si>
    <t>Heidi Wilder</t>
  </si>
  <si>
    <t>Wilker</t>
  </si>
  <si>
    <t>Andrew Williams</t>
  </si>
  <si>
    <t>Karen Williams</t>
  </si>
  <si>
    <t>03/15/2013 11:03:48 PM MDT</t>
  </si>
  <si>
    <t>Kevin "Doc"</t>
  </si>
  <si>
    <t>lynda</t>
  </si>
  <si>
    <t>Zeth Williams</t>
  </si>
  <si>
    <t>Brookell</t>
  </si>
  <si>
    <t>Williamson</t>
  </si>
  <si>
    <t>03/22/2013 12:02:44 AM MDT</t>
  </si>
  <si>
    <t>Willie</t>
  </si>
  <si>
    <t>Nathan Willie</t>
  </si>
  <si>
    <t>03/11/2013 11:53:46 PM MDT</t>
  </si>
  <si>
    <t>Susie Wilson</t>
  </si>
  <si>
    <t>william wilson</t>
  </si>
  <si>
    <t>1 large 2 smalls</t>
  </si>
  <si>
    <t>Jennifer Wilson Call</t>
  </si>
  <si>
    <t>Wilson Call</t>
  </si>
  <si>
    <t>Wolff</t>
  </si>
  <si>
    <t>Shylee</t>
  </si>
  <si>
    <t>Wooden</t>
  </si>
  <si>
    <t>03/14/2013 05:24:16 PM MDT</t>
  </si>
  <si>
    <t>Marti</t>
  </si>
  <si>
    <t>Woolford</t>
  </si>
  <si>
    <t>Marti Woolford</t>
  </si>
  <si>
    <t>03/20/2013 04:25:06 PM MDT</t>
  </si>
  <si>
    <t>Kael</t>
  </si>
  <si>
    <t>03/04/2013 08:24:43 AM MST</t>
  </si>
  <si>
    <t>Michelle or Travis Worthen</t>
  </si>
  <si>
    <t>Rikki Worthen</t>
  </si>
  <si>
    <t>03/03/2013 07:16:31 PM MST</t>
  </si>
  <si>
    <t>03/20/2013 03:31:04 PM MDT</t>
  </si>
  <si>
    <t>Small and Medium Adult</t>
  </si>
  <si>
    <t>Mindy Wright</t>
  </si>
  <si>
    <t>Yannetta</t>
  </si>
  <si>
    <t>Yates</t>
  </si>
  <si>
    <t>Yelifari</t>
  </si>
  <si>
    <t>Aisha</t>
  </si>
  <si>
    <t>Kevin Young</t>
  </si>
  <si>
    <t>03/17/2013 08:38:40 PM MDT</t>
  </si>
  <si>
    <t>Zukanovich</t>
  </si>
  <si>
    <t>10/03/2012 08:19:56 AM MDT</t>
  </si>
  <si>
    <t>Dana Zukanovich</t>
  </si>
  <si>
    <t>10/03/2012 08:19:55 AM MDT</t>
  </si>
  <si>
    <t>Carlotta</t>
  </si>
  <si>
    <t>01/28/2013 10:04:53 PM MST</t>
  </si>
  <si>
    <t>Kumar</t>
  </si>
  <si>
    <t>Aatish</t>
  </si>
  <si>
    <t>no stop. no.</t>
  </si>
  <si>
    <t>Margaret Ann</t>
  </si>
  <si>
    <t>Edington Adams</t>
  </si>
  <si>
    <t>03/25/2013 06:09:33 PM MDT</t>
  </si>
  <si>
    <t>Branden</t>
  </si>
  <si>
    <t>03/24/2013 01:29:24 PM MDT</t>
  </si>
  <si>
    <t>Adorable</t>
  </si>
  <si>
    <t>03/25/2013 08:21:04 PM MDT</t>
  </si>
  <si>
    <t>03/25/2013 08:49:18 PM MDT</t>
  </si>
  <si>
    <t>Ahlberg</t>
  </si>
  <si>
    <t>Ryan Ahlberg</t>
  </si>
  <si>
    <t>03/25/2013 04:34:08 PM MDT</t>
  </si>
  <si>
    <t>Alcazar</t>
  </si>
  <si>
    <t>randy</t>
  </si>
  <si>
    <t>03/26/2013 06:30:53 AM MDT</t>
  </si>
  <si>
    <t>Bryan Allen</t>
  </si>
  <si>
    <t>03/25/2013 04:31:35 PM MDT</t>
  </si>
  <si>
    <t>Sarah Allen</t>
  </si>
  <si>
    <t>03/25/2013 12:06:19 PM MDT</t>
  </si>
  <si>
    <t>Hussain</t>
  </si>
  <si>
    <t>Alnakhli</t>
  </si>
  <si>
    <t>Zackery</t>
  </si>
  <si>
    <t>Wilding</t>
  </si>
  <si>
    <t>03/25/2013 10:22:56 PM MDT</t>
  </si>
  <si>
    <t>03/25/2013 12:26:38 PM MDT</t>
  </si>
  <si>
    <t>Ryan Anderson</t>
  </si>
  <si>
    <t>1 Ladies Small 1 Mens Medium</t>
  </si>
  <si>
    <t>Adolfo Guillermo</t>
  </si>
  <si>
    <t>Aragoneses Arguelles</t>
  </si>
  <si>
    <t>Adolfo Aragoneses</t>
  </si>
  <si>
    <t>03/24/2013 09:53:18 PM MDT</t>
  </si>
  <si>
    <t>Arancibia</t>
  </si>
  <si>
    <t>POnd</t>
  </si>
  <si>
    <t>03/25/2013 06:47:06 PM MDT</t>
  </si>
  <si>
    <t>Jared</t>
  </si>
  <si>
    <t>Argyle</t>
  </si>
  <si>
    <t>03/24/2013 01:29:44 PM MDT</t>
  </si>
  <si>
    <t>Ashby</t>
  </si>
  <si>
    <t>Hyte</t>
  </si>
  <si>
    <t>03/24/2013 10:33:27 PM MDT</t>
  </si>
  <si>
    <t>Lola</t>
  </si>
  <si>
    <t>Deb</t>
  </si>
  <si>
    <t>Harms</t>
  </si>
  <si>
    <t>03/25/2013 04:41:00 PM MDT</t>
  </si>
  <si>
    <t>Bristol</t>
  </si>
  <si>
    <t>Bale</t>
  </si>
  <si>
    <t>Bristol Bale</t>
  </si>
  <si>
    <t>03/24/2013 04:40:49 PM MDT</t>
  </si>
  <si>
    <t>Bentley</t>
  </si>
  <si>
    <t>Aundrea</t>
  </si>
  <si>
    <t>03/24/2013 07:45:15 PM MDT</t>
  </si>
  <si>
    <t>Brenna</t>
  </si>
  <si>
    <t>Bangerter</t>
  </si>
  <si>
    <t>03/25/2013 11:07:22 PM MDT</t>
  </si>
  <si>
    <t>Jaylene</t>
  </si>
  <si>
    <t>Barette</t>
  </si>
  <si>
    <t>Donaji</t>
  </si>
  <si>
    <t>Lugo</t>
  </si>
  <si>
    <t>03/25/2013 09:31:40 PM MDT</t>
  </si>
  <si>
    <t>Stoker</t>
  </si>
  <si>
    <t>03/25/2013 10:20:29 PM MDT</t>
  </si>
  <si>
    <t>Dawn</t>
  </si>
  <si>
    <t>Dawn, Rin, Mike, Connor, Allyson</t>
  </si>
  <si>
    <t>03/25/2013 11:27:59 AM MDT</t>
  </si>
  <si>
    <t>Rin</t>
  </si>
  <si>
    <t>Carissa</t>
  </si>
  <si>
    <t>Batista-Velez</t>
  </si>
  <si>
    <t>Gabe</t>
  </si>
  <si>
    <t>03/25/2013 10:56:29 PM MDT</t>
  </si>
  <si>
    <t>Beazer</t>
  </si>
  <si>
    <t>Spencer Beazer</t>
  </si>
  <si>
    <t>Mens Med, Women's Sm</t>
  </si>
  <si>
    <t>03/25/2013 10:29:32 AM MDT</t>
  </si>
  <si>
    <t>Victoria</t>
  </si>
  <si>
    <t>Beeny</t>
  </si>
  <si>
    <t>Victoria Beeny</t>
  </si>
  <si>
    <t>03/25/2013 08:56:30 PM MDT</t>
  </si>
  <si>
    <t>03/24/2013 02:16:12 PM MDT</t>
  </si>
  <si>
    <t>Bergman</t>
  </si>
  <si>
    <t>Danielle Susan</t>
  </si>
  <si>
    <t>Beschle Armstrong</t>
  </si>
  <si>
    <t>Danielle Beschle</t>
  </si>
  <si>
    <t>Extralarge</t>
  </si>
  <si>
    <t>03/24/2013 09:47:45 PM MDT</t>
  </si>
  <si>
    <t>Billat</t>
  </si>
  <si>
    <t>Hailey Billat</t>
  </si>
  <si>
    <t>03/24/2013 06:00:28 PM MDT</t>
  </si>
  <si>
    <t>Birdzell</t>
  </si>
  <si>
    <t>Shannon Birdzell</t>
  </si>
  <si>
    <t>03/25/2013 10:45:55 AM MDT</t>
  </si>
  <si>
    <t>Black</t>
  </si>
  <si>
    <t>Winger</t>
  </si>
  <si>
    <t>03/26/2013 07:24:12 AM MDT</t>
  </si>
  <si>
    <t>Kayleen</t>
  </si>
  <si>
    <t>Alexandrea</t>
  </si>
  <si>
    <t>Blatt</t>
  </si>
  <si>
    <t>03/25/2013 05:26:20 PM MDT</t>
  </si>
  <si>
    <t>Boeckmann</t>
  </si>
  <si>
    <t>Elise Boeckmann</t>
  </si>
  <si>
    <t>03/25/2013 09:27:33 PM MDT</t>
  </si>
  <si>
    <t>Boiteux</t>
  </si>
  <si>
    <t>03/25/2013 07:10:27 PM MDT</t>
  </si>
  <si>
    <t>Carly</t>
  </si>
  <si>
    <t>03/25/2013 06:32:50 PM MDT</t>
  </si>
  <si>
    <t>Bottoms</t>
  </si>
  <si>
    <t>Erika Bottoms</t>
  </si>
  <si>
    <t>03/25/2013 11:38:01 AM MDT</t>
  </si>
  <si>
    <t>Bowen</t>
  </si>
  <si>
    <t>Kaysie</t>
  </si>
  <si>
    <t>Bowman</t>
  </si>
  <si>
    <t>Kaysie Bowman</t>
  </si>
  <si>
    <t>03/24/2013 08:42:47 PM MDT</t>
  </si>
  <si>
    <t>Bown</t>
  </si>
  <si>
    <t>Michael Klotovich</t>
  </si>
  <si>
    <t>03/25/2013 09:46:15 PM MDT</t>
  </si>
  <si>
    <t>Bethany Bown</t>
  </si>
  <si>
    <t>03/25/2013 10:15:57 PM MDT</t>
  </si>
  <si>
    <t>Bryton</t>
  </si>
  <si>
    <t>Brimhall</t>
  </si>
  <si>
    <t>Parker Brimhall</t>
  </si>
  <si>
    <t>03/24/2013 10:38:50 PM MDT</t>
  </si>
  <si>
    <t>Brosig</t>
  </si>
  <si>
    <t>03/25/2013 11:45:35 AM MDT</t>
  </si>
  <si>
    <t>03/25/2013 10:38:24 AM MDT</t>
  </si>
  <si>
    <t>Morgan Brown</t>
  </si>
  <si>
    <t>03/25/2013 11:01:20 AM MDT</t>
  </si>
  <si>
    <t>Nathan Brown</t>
  </si>
  <si>
    <t>03/24/2013 02:00:45 PM MDT</t>
  </si>
  <si>
    <t>Jacque</t>
  </si>
  <si>
    <t>Bruening</t>
  </si>
  <si>
    <t>Jacque Bruening</t>
  </si>
  <si>
    <t>Men's xl</t>
  </si>
  <si>
    <t>03/25/2013 06:03:20 PM MDT</t>
  </si>
  <si>
    <t>Bruner</t>
  </si>
  <si>
    <t>Jordynne</t>
  </si>
  <si>
    <t>Burr</t>
  </si>
  <si>
    <t>Winchester</t>
  </si>
  <si>
    <t>03/25/2013 05:13:43 PM MDT</t>
  </si>
  <si>
    <t>03/25/2013 04:15:15 PM MDT</t>
  </si>
  <si>
    <t>McKennah</t>
  </si>
  <si>
    <t>Bybee</t>
  </si>
  <si>
    <t>03/24/2013 08:44:29 PM MDT</t>
  </si>
  <si>
    <t>Julia</t>
  </si>
  <si>
    <t>Carlson</t>
  </si>
  <si>
    <t>03/25/2013 06:40:35 PM MDT</t>
  </si>
  <si>
    <t>veronica carlson</t>
  </si>
  <si>
    <t>Jess or Ryley Carter</t>
  </si>
  <si>
    <t>Chadwick</t>
  </si>
  <si>
    <t>Chafin</t>
  </si>
  <si>
    <t>Snyder</t>
  </si>
  <si>
    <t>03/26/2013 02:06:12 AM MDT</t>
  </si>
  <si>
    <t>Chilcott</t>
  </si>
  <si>
    <t>Troy Chilcott</t>
  </si>
  <si>
    <t>03/25/2013 03:50:02 PM MDT</t>
  </si>
  <si>
    <t>03/24/2013 08:22:29 PM MDT</t>
  </si>
  <si>
    <t>Christiansen</t>
  </si>
  <si>
    <t>Sarah Christiansen</t>
  </si>
  <si>
    <t>03/24/2013 02:11:54 PM MDT</t>
  </si>
  <si>
    <t>Adrienne</t>
  </si>
  <si>
    <t>Nakamura</t>
  </si>
  <si>
    <t>03/25/2013 04:34:49 PM MDT</t>
  </si>
  <si>
    <t>Terrie</t>
  </si>
  <si>
    <t>Joey</t>
  </si>
  <si>
    <t>03/25/2013 06:26:36 PM MDT</t>
  </si>
  <si>
    <t>Kade</t>
  </si>
  <si>
    <t>Claybaugh</t>
  </si>
  <si>
    <t>Adison</t>
  </si>
  <si>
    <t>Griffith</t>
  </si>
  <si>
    <t>03/25/2013 03:31:55 PM MDT</t>
  </si>
  <si>
    <t>Cluff</t>
  </si>
  <si>
    <t>Karen Cluff</t>
  </si>
  <si>
    <t>03/25/2013 12:37:00 PM MDT</t>
  </si>
  <si>
    <t>Georgia</t>
  </si>
  <si>
    <t>Clyde</t>
  </si>
  <si>
    <t>Hunt</t>
  </si>
  <si>
    <t>03/25/2013 11:38:39 AM MDT</t>
  </si>
  <si>
    <t>Cochrane</t>
  </si>
  <si>
    <t>03/25/2013 05:36:26 PM MDT</t>
  </si>
  <si>
    <t>Cora</t>
  </si>
  <si>
    <t>Cora Coleman</t>
  </si>
  <si>
    <t>03/24/2013 11:24:27 AM MDT</t>
  </si>
  <si>
    <t>Joesph</t>
  </si>
  <si>
    <t>Collett</t>
  </si>
  <si>
    <t>Hokanson</t>
  </si>
  <si>
    <t>03/25/2013 01:37:10 AM MDT</t>
  </si>
  <si>
    <t>Collingwood</t>
  </si>
  <si>
    <t>Sheetz</t>
  </si>
  <si>
    <t>03/25/2013 01:32:21 PM MDT</t>
  </si>
  <si>
    <t>Comp</t>
  </si>
  <si>
    <t>03/25/2013 11:06:48 PM MDT</t>
  </si>
  <si>
    <t>Jill</t>
  </si>
  <si>
    <t>Coulson</t>
  </si>
  <si>
    <t>Jill Coulson</t>
  </si>
  <si>
    <t>03/24/2013 09:51:50 PM MDT</t>
  </si>
  <si>
    <t>Karrie</t>
  </si>
  <si>
    <t>Crivelli</t>
  </si>
  <si>
    <t>Donahue</t>
  </si>
  <si>
    <t>03/24/2013 04:35:56 PM MDT</t>
  </si>
  <si>
    <t>Brandan</t>
  </si>
  <si>
    <t>Crosgrove</t>
  </si>
  <si>
    <t>03/24/2013 06:25:29 PM MDT</t>
  </si>
  <si>
    <t>Dean</t>
  </si>
  <si>
    <t>Michaella</t>
  </si>
  <si>
    <t>Cruz</t>
  </si>
  <si>
    <t>Michaella Cruz</t>
  </si>
  <si>
    <t>03/25/2013 10:18:39 PM MDT</t>
  </si>
  <si>
    <t>Daily</t>
  </si>
  <si>
    <t>Chase Daily</t>
  </si>
  <si>
    <t>03/24/2013 05:43:18 PM MDT</t>
  </si>
  <si>
    <t>Jackie</t>
  </si>
  <si>
    <t>03/25/2013 08:25:31 AM MDT</t>
  </si>
  <si>
    <t>Shannon Dalley</t>
  </si>
  <si>
    <t>03/25/2013 08:25:30 AM MDT</t>
  </si>
  <si>
    <t>Zoe</t>
  </si>
  <si>
    <t>cory</t>
  </si>
  <si>
    <t>03/26/2013 06:58:01 AM MDT</t>
  </si>
  <si>
    <t>Roger</t>
  </si>
  <si>
    <t>Roger Davis</t>
  </si>
  <si>
    <t>03/25/2013 09:10:18 AM MDT</t>
  </si>
  <si>
    <t>misty</t>
  </si>
  <si>
    <t>two mediums, one large.</t>
  </si>
  <si>
    <t>Haley Dean</t>
  </si>
  <si>
    <t>03/25/2013 11:53:54 AM MDT</t>
  </si>
  <si>
    <t>Decker</t>
  </si>
  <si>
    <t>Jessie</t>
  </si>
  <si>
    <t>VanValkenburg</t>
  </si>
  <si>
    <t>03/24/2013 11:28:40 PM MDT</t>
  </si>
  <si>
    <t>Deneau</t>
  </si>
  <si>
    <t>Kayla Deneau</t>
  </si>
  <si>
    <t>03/25/2013 07:15:38 PM MDT</t>
  </si>
  <si>
    <t>Nirav</t>
  </si>
  <si>
    <t>Dhruv</t>
  </si>
  <si>
    <t>nirav dhruv</t>
  </si>
  <si>
    <t>03/26/2013 08:07:50 AM MDT</t>
  </si>
  <si>
    <t>Dugger</t>
  </si>
  <si>
    <t>Cory Dugger</t>
  </si>
  <si>
    <t>03/25/2013 04:06:43 PM MDT</t>
  </si>
  <si>
    <t>Dumas</t>
  </si>
  <si>
    <t>Linette</t>
  </si>
  <si>
    <t>Ketchum</t>
  </si>
  <si>
    <t>03/25/2013 02:46:55 PM MDT</t>
  </si>
  <si>
    <t>Eastman</t>
  </si>
  <si>
    <t>Egan</t>
  </si>
  <si>
    <t>03/25/2013 02:47:41 PM MDT</t>
  </si>
  <si>
    <t>Kris or Kevin Egan</t>
  </si>
  <si>
    <t>Elliott</t>
  </si>
  <si>
    <t>Hernandez</t>
  </si>
  <si>
    <t>03/25/2013 09:44:07 PM MDT</t>
  </si>
  <si>
    <t>Ellis</t>
  </si>
  <si>
    <t>03/24/2013 09:18:34 PM MDT</t>
  </si>
  <si>
    <t>Reaghan</t>
  </si>
  <si>
    <t>Tonni</t>
  </si>
  <si>
    <t>03/24/2013 10:05:40 PM MDT</t>
  </si>
  <si>
    <t>Corben</t>
  </si>
  <si>
    <t>Evans</t>
  </si>
  <si>
    <t>Fierra</t>
  </si>
  <si>
    <t>03/24/2013 07:12:38 PM MDT</t>
  </si>
  <si>
    <t>03/25/2013 09:54:15 PM MDT</t>
  </si>
  <si>
    <t>03/25/2013 09:45:04 PM MDT</t>
  </si>
  <si>
    <t>Farmer</t>
  </si>
  <si>
    <t>Hancock</t>
  </si>
  <si>
    <t>03/24/2013 05:49:25 PM MDT</t>
  </si>
  <si>
    <t>Fiona</t>
  </si>
  <si>
    <t>Feng</t>
  </si>
  <si>
    <t>Feragen</t>
  </si>
  <si>
    <t>Oly</t>
  </si>
  <si>
    <t>03/25/2013 09:10:19 PM MDT</t>
  </si>
  <si>
    <t>Kody</t>
  </si>
  <si>
    <t>oly feragen</t>
  </si>
  <si>
    <t>Ysah Micole</t>
  </si>
  <si>
    <t>Fernandez</t>
  </si>
  <si>
    <t>Dexter Keith</t>
  </si>
  <si>
    <t>Vargas</t>
  </si>
  <si>
    <t>03/26/2013 12:44:12 AM MDT</t>
  </si>
  <si>
    <t>Fife</t>
  </si>
  <si>
    <t>Kellie or Mike</t>
  </si>
  <si>
    <t>03/25/2013 08:47:42 AM MDT</t>
  </si>
  <si>
    <t>Fischl</t>
  </si>
  <si>
    <t>Catrina</t>
  </si>
  <si>
    <t>Frandsen</t>
  </si>
  <si>
    <t>03/25/2013 06:21:25 PM MDT</t>
  </si>
  <si>
    <t>Fishelson</t>
  </si>
  <si>
    <t>03/25/2013 06:35:51 PM MDT</t>
  </si>
  <si>
    <t>03/24/2013 11:28:22 AM MDT</t>
  </si>
  <si>
    <t>Flynn</t>
  </si>
  <si>
    <t>03/25/2013 03:21:39 PM MDT</t>
  </si>
  <si>
    <t>Austen Fowler</t>
  </si>
  <si>
    <t>S, M</t>
  </si>
  <si>
    <t>Catrina Frandsen</t>
  </si>
  <si>
    <t>Jodi</t>
  </si>
  <si>
    <t>Frkovich</t>
  </si>
  <si>
    <t>Jodi Frkovich</t>
  </si>
  <si>
    <t>03/25/2013 11:30:18 AM MDT</t>
  </si>
  <si>
    <t>Janelle</t>
  </si>
  <si>
    <t>03/25/2013 11:52:03 PM MDT</t>
  </si>
  <si>
    <t>Mary-Kathryn</t>
  </si>
  <si>
    <t>Galli</t>
  </si>
  <si>
    <t>Mary-Kathryn Galli</t>
  </si>
  <si>
    <t>03/25/2013 05:19:28 PM MDT</t>
  </si>
  <si>
    <t>Garback</t>
  </si>
  <si>
    <t>Ashley or Mike Garback</t>
  </si>
  <si>
    <t>1 small</t>
  </si>
  <si>
    <t>03/25/2013 11:07:37 AM MDT</t>
  </si>
  <si>
    <t>Kenneth</t>
  </si>
  <si>
    <t>Kenneth Gardner</t>
  </si>
  <si>
    <t>03/24/2013 01:02:34 PM MDT</t>
  </si>
  <si>
    <t>Gatrell</t>
  </si>
  <si>
    <t>Hillaree</t>
  </si>
  <si>
    <t>Mann</t>
  </si>
  <si>
    <t>03/25/2013 01:58:59 PM MDT</t>
  </si>
  <si>
    <t>Gilbertson</t>
  </si>
  <si>
    <t>AbiRae</t>
  </si>
  <si>
    <t>Knight</t>
  </si>
  <si>
    <t>03/25/2013 05:23:01 PM MDT</t>
  </si>
  <si>
    <t>03/25/2013 05:23:02 PM MDT</t>
  </si>
  <si>
    <t>Gillen</t>
  </si>
  <si>
    <t>Steph</t>
  </si>
  <si>
    <t>03/25/2013 03:07:38 PM MDT</t>
  </si>
  <si>
    <t>Gomm</t>
  </si>
  <si>
    <t>03/25/2013 08:58:35 PM MDT</t>
  </si>
  <si>
    <t>Aundrea Gonzalez</t>
  </si>
  <si>
    <t>Gibson</t>
  </si>
  <si>
    <t>03/26/2013 12:23:56 AM MDT</t>
  </si>
  <si>
    <t>Kameo</t>
  </si>
  <si>
    <t>Gregersen</t>
  </si>
  <si>
    <t>03/24/2013 10:55:45 PM MDT</t>
  </si>
  <si>
    <t>Maya</t>
  </si>
  <si>
    <t>Uribe</t>
  </si>
  <si>
    <t>03/26/2013 12:38:23 AM MDT</t>
  </si>
  <si>
    <t>Kenan</t>
  </si>
  <si>
    <t>McEwan</t>
  </si>
  <si>
    <t>03/24/2013 08:07:08 PM MDT</t>
  </si>
  <si>
    <t>Kyla</t>
  </si>
  <si>
    <t>Mercier</t>
  </si>
  <si>
    <t>03/25/2013 01:03:03 AM MDT</t>
  </si>
  <si>
    <t>Mia</t>
  </si>
  <si>
    <t>Schjelderup</t>
  </si>
  <si>
    <t>03/25/2013 11:22:25 AM MDT</t>
  </si>
  <si>
    <t>Giselle</t>
  </si>
  <si>
    <t>03/25/2013 03:47:33 PM MDT</t>
  </si>
  <si>
    <t>03/25/2013 05:45:48 PM MDT</t>
  </si>
  <si>
    <t>Paterson</t>
  </si>
  <si>
    <t>03/26/2013 12:31:57 AM MDT</t>
  </si>
  <si>
    <t>Rajesh</t>
  </si>
  <si>
    <t>Rathor</t>
  </si>
  <si>
    <t>03/24/2013 10:49:30 PM MDT</t>
  </si>
  <si>
    <t>Karli</t>
  </si>
  <si>
    <t>Cyndi</t>
  </si>
  <si>
    <t>Turgeon</t>
  </si>
  <si>
    <t>03/25/2013 05:17:29 PM MDT</t>
  </si>
  <si>
    <t>03/24/2013 05:11:00 PM MDT</t>
  </si>
  <si>
    <t>Valderaz</t>
  </si>
  <si>
    <t>Men - Small</t>
  </si>
  <si>
    <t>03/26/2013 12:05:52 AM MDT</t>
  </si>
  <si>
    <t>Hagy</t>
  </si>
  <si>
    <t>03/25/2013 07:51:04 PM MDT</t>
  </si>
  <si>
    <t>Sione</t>
  </si>
  <si>
    <t>Halaliku</t>
  </si>
  <si>
    <t>03/25/2013 02:08:22 PM MDT</t>
  </si>
  <si>
    <t>Tonni Hamilton</t>
  </si>
  <si>
    <t>Ty Hancock</t>
  </si>
  <si>
    <t>Emili</t>
  </si>
  <si>
    <t>03/24/2013 08:16:19 AM MDT</t>
  </si>
  <si>
    <t>Sue</t>
  </si>
  <si>
    <t>Hardin</t>
  </si>
  <si>
    <t>DEB HARMS</t>
  </si>
  <si>
    <t>Harper</t>
  </si>
  <si>
    <t>Karmel</t>
  </si>
  <si>
    <t>03/24/2013 11:53:43 AM MDT</t>
  </si>
  <si>
    <t>Jamie or Karmel Harper</t>
  </si>
  <si>
    <t>03/24/2013 11:53:42 AM MDT</t>
  </si>
  <si>
    <t>Jared harris</t>
  </si>
  <si>
    <t>03/24/2013 09:53:38 PM MDT</t>
  </si>
  <si>
    <t>03/25/2013 06:57:43 PM MDT</t>
  </si>
  <si>
    <t>Carolina</t>
  </si>
  <si>
    <t>Hazman</t>
  </si>
  <si>
    <t>03/25/2013 04:41:50 PM MDT</t>
  </si>
  <si>
    <t>Hehl</t>
  </si>
  <si>
    <t>Alyssa Hehl</t>
  </si>
  <si>
    <t>03/25/2013 01:24:10 PM MDT</t>
  </si>
  <si>
    <t>Ashley hernandez or Kade Elliott</t>
  </si>
  <si>
    <t>Herndon</t>
  </si>
  <si>
    <t>Natalie Herndon</t>
  </si>
  <si>
    <t>03/24/2013 06:58:35 PM MDT</t>
  </si>
  <si>
    <t>Alisha</t>
  </si>
  <si>
    <t>Hiatt</t>
  </si>
  <si>
    <t>03/25/2013 10:46:12 PM MDT</t>
  </si>
  <si>
    <t>Melanie</t>
  </si>
  <si>
    <t>03/25/2013 02:49:40 PM MDT</t>
  </si>
  <si>
    <t>Nate</t>
  </si>
  <si>
    <t>Higgs</t>
  </si>
  <si>
    <t>03/25/2013 09:12:04 PM MDT</t>
  </si>
  <si>
    <t>Fierra Hill</t>
  </si>
  <si>
    <t>Daisy</t>
  </si>
  <si>
    <t>Hobbs</t>
  </si>
  <si>
    <t>Dale</t>
  </si>
  <si>
    <t>Hopkins</t>
  </si>
  <si>
    <t>03/24/2013 09:41:54 PM MDT</t>
  </si>
  <si>
    <t>Marissa Hopkins</t>
  </si>
  <si>
    <t>Howells</t>
  </si>
  <si>
    <t>Mary Howells</t>
  </si>
  <si>
    <t>03/25/2013 02:39:36 PM MDT</t>
  </si>
  <si>
    <t>Eddie</t>
  </si>
  <si>
    <t>Huang</t>
  </si>
  <si>
    <t>Eddie Huang</t>
  </si>
  <si>
    <t>03/25/2013 02:14:32 PM MDT</t>
  </si>
  <si>
    <t>Hugentobler</t>
  </si>
  <si>
    <t>Sara Hugentobler</t>
  </si>
  <si>
    <t>03/24/2013 06:32:39 PM MDT</t>
  </si>
  <si>
    <t>Humenberger</t>
  </si>
  <si>
    <t>Shelbie</t>
  </si>
  <si>
    <t>03/25/2013 12:49:14 PM MDT</t>
  </si>
  <si>
    <t>Camie</t>
  </si>
  <si>
    <t>Jessica Hunt</t>
  </si>
  <si>
    <t>Mercedes or James</t>
  </si>
  <si>
    <t>Nina</t>
  </si>
  <si>
    <t>nina hunter, bryan allan</t>
  </si>
  <si>
    <t>03/25/2013 04:45:17 PM MDT</t>
  </si>
  <si>
    <t>Heidi Hyte</t>
  </si>
  <si>
    <t>Kenna</t>
  </si>
  <si>
    <t>Isom</t>
  </si>
  <si>
    <t>Tessa</t>
  </si>
  <si>
    <t>McGinnis</t>
  </si>
  <si>
    <t>03/25/2013 12:56:13 AM MDT</t>
  </si>
  <si>
    <t>Jacobsen</t>
  </si>
  <si>
    <t>Jacobson</t>
  </si>
  <si>
    <t>Jenna Jacobson</t>
  </si>
  <si>
    <t>03/25/2013 11:00:52 PM MDT</t>
  </si>
  <si>
    <t>Michel</t>
  </si>
  <si>
    <t>Jaesa</t>
  </si>
  <si>
    <t>Jarman</t>
  </si>
  <si>
    <t>03/25/2013 04:53:20 PM MDT</t>
  </si>
  <si>
    <t>Jeppsen</t>
  </si>
  <si>
    <t>Jerome</t>
  </si>
  <si>
    <t>03/25/2013 10:44:28 AM MDT</t>
  </si>
  <si>
    <t>Jimenez</t>
  </si>
  <si>
    <t>Nohea</t>
  </si>
  <si>
    <t>Xavier</t>
  </si>
  <si>
    <t>Lindsi</t>
  </si>
  <si>
    <t>Lindsi Johnson</t>
  </si>
  <si>
    <t>03/25/2013 11:10:56 PM MDT</t>
  </si>
  <si>
    <t>Vincent</t>
  </si>
  <si>
    <t>Vincent Johnson</t>
  </si>
  <si>
    <t>03/25/2013 08:23:41 PM MDT</t>
  </si>
  <si>
    <t>Whitney Johnson</t>
  </si>
  <si>
    <t>Patrick</t>
  </si>
  <si>
    <t>03/24/2013 11:49:35 AM MDT</t>
  </si>
  <si>
    <t>Jorgensen</t>
  </si>
  <si>
    <t>03/25/2013 08:47:51 AM MDT</t>
  </si>
  <si>
    <t>Shannon or Patrick</t>
  </si>
  <si>
    <t>Jayce</t>
  </si>
  <si>
    <t>Keller</t>
  </si>
  <si>
    <t>Michelle Kelsey</t>
  </si>
  <si>
    <t>03/24/2013 06:54:06 PM MDT</t>
  </si>
  <si>
    <t>Kelso</t>
  </si>
  <si>
    <t>03/24/2013 10:43:30 PM MDT</t>
  </si>
  <si>
    <t>McCall</t>
  </si>
  <si>
    <t>Kelson</t>
  </si>
  <si>
    <t>03/24/2013 10:52:28 PM MDT</t>
  </si>
  <si>
    <t>Kelson ];^) ~</t>
  </si>
  <si>
    <t>03/25/2013 03:50:32 PM MDT</t>
  </si>
  <si>
    <t>Linette Ketchum</t>
  </si>
  <si>
    <t>Anil</t>
  </si>
  <si>
    <t>Khanna</t>
  </si>
  <si>
    <t>Anil Khannna</t>
  </si>
  <si>
    <t>03/24/2013 01:36:15 PM MDT</t>
  </si>
  <si>
    <t>Anu</t>
  </si>
  <si>
    <t>Kiisel</t>
  </si>
  <si>
    <t>Jessica Kiisel</t>
  </si>
  <si>
    <t>03/25/2013 10:58:33 AM MDT</t>
  </si>
  <si>
    <t>Kimble</t>
  </si>
  <si>
    <t>Klotovich</t>
  </si>
  <si>
    <t>Madelynn</t>
  </si>
  <si>
    <t>Klupenger</t>
  </si>
  <si>
    <t>Mitchel</t>
  </si>
  <si>
    <t>03/25/2013 10:20:15 PM MDT</t>
  </si>
  <si>
    <t>Mitchel or Madelynn Klupenger</t>
  </si>
  <si>
    <t>AbiRae Knight</t>
  </si>
  <si>
    <t>Keira</t>
  </si>
  <si>
    <t>Nieslon</t>
  </si>
  <si>
    <t>03/24/2013 09:51:47 PM MDT</t>
  </si>
  <si>
    <t>Kranc</t>
  </si>
  <si>
    <t>Amber Kranc</t>
  </si>
  <si>
    <t>03/25/2013 12:26:25 PM MDT</t>
  </si>
  <si>
    <t>Krause</t>
  </si>
  <si>
    <t>steph</t>
  </si>
  <si>
    <t>two extra large two large</t>
  </si>
  <si>
    <t>Brett</t>
  </si>
  <si>
    <t>Lamont</t>
  </si>
  <si>
    <t>brett</t>
  </si>
  <si>
    <t>03/24/2013 03:20:27 PM MDT</t>
  </si>
  <si>
    <t>Lamprecht</t>
  </si>
  <si>
    <t>03/25/2013 10:34:09 PM MDT</t>
  </si>
  <si>
    <t>03/24/2013 09:13:52 PM MDT</t>
  </si>
  <si>
    <t>Layer</t>
  </si>
  <si>
    <t>Leabman</t>
  </si>
  <si>
    <t>1 Medium, 1 Large</t>
  </si>
  <si>
    <t>03/24/2013 10:45:54 PM MDT</t>
  </si>
  <si>
    <t>Leetham</t>
  </si>
  <si>
    <t>03/24/2013 09:04:09 AM MDT</t>
  </si>
  <si>
    <t>Shawna Leetham</t>
  </si>
  <si>
    <t>Gina Lloyd</t>
  </si>
  <si>
    <t>Lockwood</t>
  </si>
  <si>
    <t>Longfellow</t>
  </si>
  <si>
    <t>tyler</t>
  </si>
  <si>
    <t>03/25/2013 05:48:42 PM MDT</t>
  </si>
  <si>
    <t>donaji</t>
  </si>
  <si>
    <t>Todd</t>
  </si>
  <si>
    <t>Lundberg</t>
  </si>
  <si>
    <t>03/24/2013 11:28:37 PM MDT</t>
  </si>
  <si>
    <t>Ma'Afala</t>
  </si>
  <si>
    <t>Kim Ma'afala</t>
  </si>
  <si>
    <t>03/25/2013 10:50:13 AM MDT</t>
  </si>
  <si>
    <t>Maes</t>
  </si>
  <si>
    <t>03/24/2013 06:22:52 PM MDT</t>
  </si>
  <si>
    <t>Maestas</t>
  </si>
  <si>
    <t>Sharr</t>
  </si>
  <si>
    <t>03/24/2013 01:09:14 PM MDT</t>
  </si>
  <si>
    <t>Magby</t>
  </si>
  <si>
    <t>Swikrit</t>
  </si>
  <si>
    <t>Manandhar</t>
  </si>
  <si>
    <t>Swikrit/Corrina</t>
  </si>
  <si>
    <t>03/25/2013 11:20:49 AM MDT</t>
  </si>
  <si>
    <t>Mangum</t>
  </si>
  <si>
    <t>Hillaree Mann</t>
  </si>
  <si>
    <t>03/25/2013 01:58:58 PM MDT</t>
  </si>
  <si>
    <t>Kristil</t>
  </si>
  <si>
    <t>Manuel</t>
  </si>
  <si>
    <t>Kristil Manuel</t>
  </si>
  <si>
    <t>03/24/2013 10:54:47 PM MDT</t>
  </si>
  <si>
    <t>Launie</t>
  </si>
  <si>
    <t>Pollice</t>
  </si>
  <si>
    <t>03/24/2013 06:49:09 PM MDT</t>
  </si>
  <si>
    <t>Natalie Martinez</t>
  </si>
  <si>
    <t>03/26/2013 07:48:14 AM MDT</t>
  </si>
  <si>
    <t>Savana</t>
  </si>
  <si>
    <t>Sheryl</t>
  </si>
  <si>
    <t>McBride</t>
  </si>
  <si>
    <t>Macall</t>
  </si>
  <si>
    <t>Macall McDonald</t>
  </si>
  <si>
    <t>03/24/2013 05:48:50 PM MDT</t>
  </si>
  <si>
    <t>Kenan McEwan</t>
  </si>
  <si>
    <t>Tessa McGinnis</t>
  </si>
  <si>
    <t>McInnis</t>
  </si>
  <si>
    <t>03/24/2013 10:02:34 PM MDT</t>
  </si>
  <si>
    <t>03/25/2013 08:45:41 PM MDT</t>
  </si>
  <si>
    <t>Alisabeth</t>
  </si>
  <si>
    <t>McQueen</t>
  </si>
  <si>
    <t>03/24/2013 02:39:18 PM MDT</t>
  </si>
  <si>
    <t>Kyla Mercier</t>
  </si>
  <si>
    <t>Hayden</t>
  </si>
  <si>
    <t>Medium and Small</t>
  </si>
  <si>
    <t>03/25/2013 07:35:28 PM MDT</t>
  </si>
  <si>
    <t>03/25/2013 11:57:20 AM MDT</t>
  </si>
  <si>
    <t>Mackay</t>
  </si>
  <si>
    <t>Zak</t>
  </si>
  <si>
    <t>Slater</t>
  </si>
  <si>
    <t>03/24/2013 09:56:56 AM MDT</t>
  </si>
  <si>
    <t>03/24/2013 03:24:51 PM MDT</t>
  </si>
  <si>
    <t>Lexxi</t>
  </si>
  <si>
    <t>Montoya</t>
  </si>
  <si>
    <t>Trenton</t>
  </si>
  <si>
    <t>Mook</t>
  </si>
  <si>
    <t>Trenton Mook</t>
  </si>
  <si>
    <t>03/24/2013 09:58:01 PM MDT</t>
  </si>
  <si>
    <t>Rixey</t>
  </si>
  <si>
    <t>03/25/2013 09:07:12 PM MDT</t>
  </si>
  <si>
    <t>Asia</t>
  </si>
  <si>
    <t>Giselle Morgan</t>
  </si>
  <si>
    <t>Olivia Morgan</t>
  </si>
  <si>
    <t>Mosby</t>
  </si>
  <si>
    <t>03/24/2013 10:06:32 PM MDT</t>
  </si>
  <si>
    <t>03/24/2013 10:06:31 PM MDT</t>
  </si>
  <si>
    <t>Sterling</t>
  </si>
  <si>
    <t>Murdock</t>
  </si>
  <si>
    <t>sterling Murdock</t>
  </si>
  <si>
    <t>03/25/2013 07:02:13 PM MDT</t>
  </si>
  <si>
    <t>Elaine</t>
  </si>
  <si>
    <t>Murillo</t>
  </si>
  <si>
    <t>Jonathon</t>
  </si>
  <si>
    <t>Myers</t>
  </si>
  <si>
    <t>Takafumi</t>
  </si>
  <si>
    <t>Nagayama</t>
  </si>
  <si>
    <t>Adrienne Nakamura</t>
  </si>
  <si>
    <t>Nealy</t>
  </si>
  <si>
    <t>Nesis</t>
  </si>
  <si>
    <t>Sara Nesis or Bobby Siemiaszko (my boyfriend)</t>
  </si>
  <si>
    <t>03/26/2013 03:04:15 AM MDT</t>
  </si>
  <si>
    <t>Lagi</t>
  </si>
  <si>
    <t>Netzler</t>
  </si>
  <si>
    <t>Newton</t>
  </si>
  <si>
    <t>03/25/2013 09:36:06 AM MDT</t>
  </si>
  <si>
    <t>MaryAnn Knorr</t>
  </si>
  <si>
    <t>Shanlee</t>
  </si>
  <si>
    <t>Nilson</t>
  </si>
  <si>
    <t>03/25/2013 03:01:41 PM MDT</t>
  </si>
  <si>
    <t>Nefretiti</t>
  </si>
  <si>
    <t>Northam</t>
  </si>
  <si>
    <t>Nefretiti Northam</t>
  </si>
  <si>
    <t>03/25/2013 09:04:54 AM MDT</t>
  </si>
  <si>
    <t>Bobbi</t>
  </si>
  <si>
    <t>Oleniacz</t>
  </si>
  <si>
    <t>Nikole</t>
  </si>
  <si>
    <t>03/25/2013 09:36:05 AM MDT</t>
  </si>
  <si>
    <t>Orchard</t>
  </si>
  <si>
    <t>03/25/2013 09:48:22 PM MDT</t>
  </si>
  <si>
    <t>Padelsky</t>
  </si>
  <si>
    <t>McCall Padelsky</t>
  </si>
  <si>
    <t>03/25/2013 07:37:41 PM MDT</t>
  </si>
  <si>
    <t>Rohman</t>
  </si>
  <si>
    <t>03/24/2013 08:19:24 PM MDT</t>
  </si>
  <si>
    <t>Madalyn</t>
  </si>
  <si>
    <t>Park</t>
  </si>
  <si>
    <t>Kelly Caitlyn</t>
  </si>
  <si>
    <t>Kelly Caitlyn Park</t>
  </si>
  <si>
    <t>03/24/2013 02:11:04 PM MDT</t>
  </si>
  <si>
    <t>Chris Paterson</t>
  </si>
  <si>
    <t>Pauni</t>
  </si>
  <si>
    <t>Jessica Pauni or Kala Randall</t>
  </si>
  <si>
    <t>03/25/2013 11:49:00 AM MDT</t>
  </si>
  <si>
    <t>Pavlus</t>
  </si>
  <si>
    <t>Megan Pavlus</t>
  </si>
  <si>
    <t>03/25/2013 02:02:05 PM MDT</t>
  </si>
  <si>
    <t>03/25/2013 09:27:52 PM MDT</t>
  </si>
  <si>
    <t>Carlos</t>
  </si>
  <si>
    <t>Perdomo</t>
  </si>
  <si>
    <t>Susana</t>
  </si>
  <si>
    <t>03/24/2013 06:51:28 PM MDT</t>
  </si>
  <si>
    <t>Susana Perez</t>
  </si>
  <si>
    <t>2 Adult Large , 1 Adult Medium</t>
  </si>
  <si>
    <t>Perkins</t>
  </si>
  <si>
    <t>Kaitlin</t>
  </si>
  <si>
    <t>Perrenoud</t>
  </si>
  <si>
    <t>Rian</t>
  </si>
  <si>
    <t>03/24/2013 09:10:57 PM MDT</t>
  </si>
  <si>
    <t>Launie pollice</t>
  </si>
  <si>
    <t>03/24/2013 06:49:08 PM MDT</t>
  </si>
  <si>
    <t>Pool</t>
  </si>
  <si>
    <t>Porter</t>
  </si>
  <si>
    <t>Angela Porter</t>
  </si>
  <si>
    <t>03/24/2013 12:24:31 PM MDT</t>
  </si>
  <si>
    <t>Posada</t>
  </si>
  <si>
    <t>Carlos Posada</t>
  </si>
  <si>
    <t>03/26/2013 12:35:30 AM MDT</t>
  </si>
  <si>
    <t>Feliena</t>
  </si>
  <si>
    <t>Jamie Pond or Evan Arancibia</t>
  </si>
  <si>
    <t>Hina</t>
  </si>
  <si>
    <t>Prajapati</t>
  </si>
  <si>
    <t>Hina Prajapati</t>
  </si>
  <si>
    <t>03/25/2013 10:51:05 AM MDT</t>
  </si>
  <si>
    <t>Pratt</t>
  </si>
  <si>
    <t>Angie</t>
  </si>
  <si>
    <t>Seagren</t>
  </si>
  <si>
    <t>03/25/2013 03:58:05 PM MDT</t>
  </si>
  <si>
    <t>Pukpumin</t>
  </si>
  <si>
    <t>Rebecca Pukpumin</t>
  </si>
  <si>
    <t>03/25/2013 05:28:38 PM MDT</t>
  </si>
  <si>
    <t>Theerapong</t>
  </si>
  <si>
    <t>Rada</t>
  </si>
  <si>
    <t>Courtney Rada</t>
  </si>
  <si>
    <t>03/25/2013 08:45:22 PM MDT</t>
  </si>
  <si>
    <t>Jo</t>
  </si>
  <si>
    <t>Randall</t>
  </si>
  <si>
    <t>Kala</t>
  </si>
  <si>
    <t>03/25/2013 10:10:30 AM MDT</t>
  </si>
  <si>
    <t>Raj</t>
  </si>
  <si>
    <t>Rani</t>
  </si>
  <si>
    <t>Reder</t>
  </si>
  <si>
    <t>Anna Reder</t>
  </si>
  <si>
    <t>03/24/2013 02:06:37 PM MDT</t>
  </si>
  <si>
    <t>Restad</t>
  </si>
  <si>
    <t>kris or brenna reynolds</t>
  </si>
  <si>
    <t>03/25/2013 10:21:50 PM MDT</t>
  </si>
  <si>
    <t>Krystal Reynolds</t>
  </si>
  <si>
    <t>03/25/2013 10:24:33 PM MDT</t>
  </si>
  <si>
    <t>Tayzia</t>
  </si>
  <si>
    <t>Rice</t>
  </si>
  <si>
    <t>Tayzia Rice</t>
  </si>
  <si>
    <t>03/24/2013 10:10:32 PM MDT</t>
  </si>
  <si>
    <t>Jessica Richardson</t>
  </si>
  <si>
    <t>Myesha</t>
  </si>
  <si>
    <t>Rhonda</t>
  </si>
  <si>
    <t>Catherine Rixey</t>
  </si>
  <si>
    <t>1 Large, 1 Medium</t>
  </si>
  <si>
    <t>Christi</t>
  </si>
  <si>
    <t>Amy Rohman, Lauren Page</t>
  </si>
  <si>
    <t>Rolen</t>
  </si>
  <si>
    <t>03/25/2013 08:53:34 AM MDT</t>
  </si>
  <si>
    <t>XXL and L</t>
  </si>
  <si>
    <t>Miles</t>
  </si>
  <si>
    <t>Denise</t>
  </si>
  <si>
    <t>Sailors</t>
  </si>
  <si>
    <t>Atita</t>
  </si>
  <si>
    <t>Saisopa</t>
  </si>
  <si>
    <t>Sampson</t>
  </si>
  <si>
    <t>Sanches</t>
  </si>
  <si>
    <t>fatima santos</t>
  </si>
  <si>
    <t>Schendel</t>
  </si>
  <si>
    <t>03/24/2013 09:51:51 PM MDT</t>
  </si>
  <si>
    <t>Schmitt</t>
  </si>
  <si>
    <t>I will</t>
  </si>
  <si>
    <t>03/24/2013 03:11:10 PM MDT</t>
  </si>
  <si>
    <t>Paige</t>
  </si>
  <si>
    <t>Schultz</t>
  </si>
  <si>
    <t>Paige Schultz</t>
  </si>
  <si>
    <t>03/26/2013 02:15:31 AM MDT</t>
  </si>
  <si>
    <t>03/25/2013 09:48:33 AM MDT</t>
  </si>
  <si>
    <t>Angie Seagren</t>
  </si>
  <si>
    <t>Erica</t>
  </si>
  <si>
    <t>Seamons</t>
  </si>
  <si>
    <t>Erica Seamons or Calyn Waterlyn</t>
  </si>
  <si>
    <t>03/24/2013 08:29:22 PM MDT</t>
  </si>
  <si>
    <t>Shafer</t>
  </si>
  <si>
    <t>Jaydev</t>
  </si>
  <si>
    <t>Jaydev Shah</t>
  </si>
  <si>
    <t>03/26/2013 01:48:39 AM MDT</t>
  </si>
  <si>
    <t>Brandon Sheetz</t>
  </si>
  <si>
    <t>Shepherd</t>
  </si>
  <si>
    <t>Mitch</t>
  </si>
  <si>
    <t>Sheridan</t>
  </si>
  <si>
    <t>Mitch Sheridan</t>
  </si>
  <si>
    <t>03/25/2013 08:45:24 PM MDT</t>
  </si>
  <si>
    <t>Shinkoskey</t>
  </si>
  <si>
    <t>Ankur</t>
  </si>
  <si>
    <t>Shrivastava</t>
  </si>
  <si>
    <t>Shuey</t>
  </si>
  <si>
    <t>Alex Shuey</t>
  </si>
  <si>
    <t>03/24/2013 04:35:19 PM MDT</t>
  </si>
  <si>
    <t>Siemiaszko</t>
  </si>
  <si>
    <t>Sinks</t>
  </si>
  <si>
    <t>03/24/2013 11:20:44 AM MDT</t>
  </si>
  <si>
    <t>Nicholas Sinks</t>
  </si>
  <si>
    <t>amanda slater</t>
  </si>
  <si>
    <t>Cassandra</t>
  </si>
  <si>
    <t>Kirsten</t>
  </si>
  <si>
    <t>Supatra</t>
  </si>
  <si>
    <t>03/26/2013 06:58:02 AM MDT</t>
  </si>
  <si>
    <t>Tami Smith</t>
  </si>
  <si>
    <t>Smock</t>
  </si>
  <si>
    <t>03/25/2013 11:04:01 PM MDT</t>
  </si>
  <si>
    <t>1 womens large and 1 womens extra large</t>
  </si>
  <si>
    <t>myself (lisa snyder)</t>
  </si>
  <si>
    <t>Nicole Sorensen</t>
  </si>
  <si>
    <t>Soukup</t>
  </si>
  <si>
    <t>Spekman</t>
  </si>
  <si>
    <t>Alan Spencer</t>
  </si>
  <si>
    <t>03/25/2013 05:41:16 PM MDT</t>
  </si>
  <si>
    <t>Corrina</t>
  </si>
  <si>
    <t>Spidell</t>
  </si>
  <si>
    <t>Mandy</t>
  </si>
  <si>
    <t>Stansworth</t>
  </si>
  <si>
    <t>Jacob Stoker</t>
  </si>
  <si>
    <t>Dylan</t>
  </si>
  <si>
    <t>Stokes</t>
  </si>
  <si>
    <t>Alexandra</t>
  </si>
  <si>
    <t>03/24/2013 11:01:08 PM MDT</t>
  </si>
  <si>
    <t>Stone</t>
  </si>
  <si>
    <t>me- Audrey Stone</t>
  </si>
  <si>
    <t>03/26/2013 08:25:22 AM MDT</t>
  </si>
  <si>
    <t>Strobell</t>
  </si>
  <si>
    <t>Tana</t>
  </si>
  <si>
    <t>03/24/2013 09:54:43 PM MDT</t>
  </si>
  <si>
    <t>03/25/2013 10:59:03 AM MDT</t>
  </si>
  <si>
    <t>Emily Swenson</t>
  </si>
  <si>
    <t>Emilie</t>
  </si>
  <si>
    <t>Talbot</t>
  </si>
  <si>
    <t>Tapscott</t>
  </si>
  <si>
    <t>Ryley Tapscott</t>
  </si>
  <si>
    <t>03/25/2013 09:08:49 AM MDT</t>
  </si>
  <si>
    <t>Vickie</t>
  </si>
  <si>
    <t>Tenney-Lynch</t>
  </si>
  <si>
    <t>Vickie Tenney-Lynch</t>
  </si>
  <si>
    <t>03/25/2013 09:18:34 PM MDT</t>
  </si>
  <si>
    <t>Caryn</t>
  </si>
  <si>
    <t>Terres</t>
  </si>
  <si>
    <t>Caryn Terres</t>
  </si>
  <si>
    <t>03/25/2013 03:02:59 PM MDT</t>
  </si>
  <si>
    <t>Rhonda Thomas</t>
  </si>
  <si>
    <t>03/25/2013 10:09:06 PM MDT</t>
  </si>
  <si>
    <t>Colton</t>
  </si>
  <si>
    <t>Thomson</t>
  </si>
  <si>
    <t>Medium, Large</t>
  </si>
  <si>
    <t>1 Small, 1 Large</t>
  </si>
  <si>
    <t>Cyndi Turgeon</t>
  </si>
  <si>
    <t>Carli</t>
  </si>
  <si>
    <t>Udall</t>
  </si>
  <si>
    <t>Lyndee</t>
  </si>
  <si>
    <t>Unsicker</t>
  </si>
  <si>
    <t>Lyndee Unsucker</t>
  </si>
  <si>
    <t>03/25/2013 08:23:38 PM MDT</t>
  </si>
  <si>
    <t>Jessie, Shelby, Katie</t>
  </si>
  <si>
    <t>Dexter Keith C. Vargas</t>
  </si>
  <si>
    <t>(XS) Extra Small and (M) Medium</t>
  </si>
  <si>
    <t>Velez</t>
  </si>
  <si>
    <t>03/25/2013 10:56:30 PM MDT</t>
  </si>
  <si>
    <t>Nannette</t>
  </si>
  <si>
    <t>Vernon</t>
  </si>
  <si>
    <t>Vincenti</t>
  </si>
  <si>
    <t>Sunanda</t>
  </si>
  <si>
    <t>Vohra</t>
  </si>
  <si>
    <t>Donovan</t>
  </si>
  <si>
    <t>Walker</t>
  </si>
  <si>
    <t>xxl (2xl) &amp; L</t>
  </si>
  <si>
    <t>03/25/2013 01:02:58 PM MDT</t>
  </si>
  <si>
    <t>Frances</t>
  </si>
  <si>
    <t>03/24/2013 10:51:36 PM MDT</t>
  </si>
  <si>
    <t>Warren</t>
  </si>
  <si>
    <t>Malari</t>
  </si>
  <si>
    <t>Wasmer</t>
  </si>
  <si>
    <t>03/25/2013 02:08:47 PM MDT</t>
  </si>
  <si>
    <t>Calyn</t>
  </si>
  <si>
    <t>Waterlyn</t>
  </si>
  <si>
    <t>Calyn Waterlyn</t>
  </si>
  <si>
    <t>03/25/2013 06:19:50 PM MDT</t>
  </si>
  <si>
    <t>03/25/2013 08:34:01 AM MDT</t>
  </si>
  <si>
    <t>Weinblum</t>
  </si>
  <si>
    <t>Baylee</t>
  </si>
  <si>
    <t>Wells</t>
  </si>
  <si>
    <t>03/25/2013 07:28:56 PM MDT</t>
  </si>
  <si>
    <t>Michele Wentworth</t>
  </si>
  <si>
    <t>Wheeler</t>
  </si>
  <si>
    <t>Whitfield</t>
  </si>
  <si>
    <t>Zackery Wilding</t>
  </si>
  <si>
    <t>Danique</t>
  </si>
  <si>
    <t>Wildschut</t>
  </si>
  <si>
    <t>Candace</t>
  </si>
  <si>
    <t>Candace Williams</t>
  </si>
  <si>
    <t>03/25/2013 05:11:13 PM MDT</t>
  </si>
  <si>
    <t>Morgan Wiliams</t>
  </si>
  <si>
    <t>03/25/2013 09:52:36 PM MDT</t>
  </si>
  <si>
    <t>Nate or Shelbie</t>
  </si>
  <si>
    <t>1 large and 1 small</t>
  </si>
  <si>
    <t>Jeffery</t>
  </si>
  <si>
    <t>Diane Winger or Bob Black</t>
  </si>
  <si>
    <t>2 - Large</t>
  </si>
  <si>
    <t>Katrina</t>
  </si>
  <si>
    <t>Wismer</t>
  </si>
  <si>
    <t>Samuel</t>
  </si>
  <si>
    <t>Wolverton</t>
  </si>
  <si>
    <t>Codi</t>
  </si>
  <si>
    <t>Woner</t>
  </si>
  <si>
    <t>Noelle</t>
  </si>
  <si>
    <t>Desi</t>
  </si>
  <si>
    <t>Kelly Wright</t>
  </si>
  <si>
    <t>Naomi</t>
  </si>
  <si>
    <t>Wyeth</t>
  </si>
  <si>
    <t>Brenda Young</t>
  </si>
  <si>
    <t>large and extra large</t>
  </si>
  <si>
    <t>Joe</t>
  </si>
  <si>
    <t>Zaelit</t>
  </si>
  <si>
    <t>Joe Zaelit</t>
  </si>
  <si>
    <t>03/25/2013 07:52:58 PM MDT</t>
  </si>
  <si>
    <t>Zarzycki</t>
  </si>
  <si>
    <t>Anneleise</t>
  </si>
  <si>
    <t>Aa</t>
  </si>
  <si>
    <t>03/27/2013 07:34:04 PM MDT</t>
  </si>
  <si>
    <t>03/26/2013 06:04:00 PM MDT</t>
  </si>
  <si>
    <t>Diego</t>
  </si>
  <si>
    <t>03/26/2013 11:10:07 AM MDT</t>
  </si>
  <si>
    <t>03/26/2013 09:46:20 PM MDT</t>
  </si>
  <si>
    <t>Abril</t>
  </si>
  <si>
    <t>Claudia Abril</t>
  </si>
  <si>
    <t>03/26/2013 01:53:54 PM MDT</t>
  </si>
  <si>
    <t>Adair</t>
  </si>
  <si>
    <t>Morgan Adair</t>
  </si>
  <si>
    <t>03/28/2013 01:45:49 AM MDT</t>
  </si>
  <si>
    <t>Nathaniel</t>
  </si>
  <si>
    <t>Braidee</t>
  </si>
  <si>
    <t>Braidee Adams</t>
  </si>
  <si>
    <t>03/26/2013 06:33:21 PM MDT</t>
  </si>
  <si>
    <t>03/27/2013 03:21:30 PM MDT</t>
  </si>
  <si>
    <t>03/26/2013 09:18:45 AM MDT</t>
  </si>
  <si>
    <t>Kaile</t>
  </si>
  <si>
    <t>Akina</t>
  </si>
  <si>
    <t>Kaile Akina</t>
  </si>
  <si>
    <t>Adult Medium</t>
  </si>
  <si>
    <t>03/27/2013 09:49:03 AM MDT</t>
  </si>
  <si>
    <t>Jerou</t>
  </si>
  <si>
    <t>Alejandro</t>
  </si>
  <si>
    <t>Dorothy Ann</t>
  </si>
  <si>
    <t>Babaran</t>
  </si>
  <si>
    <t>03/27/2013 09:49:50 PM MDT</t>
  </si>
  <si>
    <t>Alexander</t>
  </si>
  <si>
    <t>Men's medium</t>
  </si>
  <si>
    <t>03/27/2013 11:11:51 AM MDT</t>
  </si>
  <si>
    <t>Hisham</t>
  </si>
  <si>
    <t>Alfarhan</t>
  </si>
  <si>
    <t>Mortdha</t>
  </si>
  <si>
    <t>03/27/2013 11:44:52 PM MDT</t>
  </si>
  <si>
    <t>Mortdha Alfarhan</t>
  </si>
  <si>
    <t>Waleed</t>
  </si>
  <si>
    <t>Algarni</t>
  </si>
  <si>
    <t>Alicia'S Last Name</t>
  </si>
  <si>
    <t>Annastasia</t>
  </si>
  <si>
    <t>Clarke</t>
  </si>
  <si>
    <t>03/28/2013 04:42:31 PM MDT</t>
  </si>
  <si>
    <t>Jeffrey</t>
  </si>
  <si>
    <t>Allan</t>
  </si>
  <si>
    <t>03/28/2013 09:52:49 PM MDT</t>
  </si>
  <si>
    <t>Vicki</t>
  </si>
  <si>
    <t>03/28/2013 10:12:24 AM MDT</t>
  </si>
  <si>
    <t>Jason Allred</t>
  </si>
  <si>
    <t>03/28/2013 11:19:40 PM MDT</t>
  </si>
  <si>
    <t>Madison</t>
  </si>
  <si>
    <t>Madison Allred</t>
  </si>
  <si>
    <t>03/26/2013 09:17:31 PM MDT</t>
  </si>
  <si>
    <t>03/28/2013 06:11:37 PM MDT</t>
  </si>
  <si>
    <t>Kaory</t>
  </si>
  <si>
    <t>Isaac</t>
  </si>
  <si>
    <t>Roman</t>
  </si>
  <si>
    <t>03/26/2013 07:52:35 PM MDT</t>
  </si>
  <si>
    <t>Annie</t>
  </si>
  <si>
    <t>03/28/2013 08:06:44 PM MDT</t>
  </si>
  <si>
    <t>Devin</t>
  </si>
  <si>
    <t>Galliher</t>
  </si>
  <si>
    <t>03/26/2013 02:13:45 PM MDT</t>
  </si>
  <si>
    <t>Bailie</t>
  </si>
  <si>
    <t>bailie anderson</t>
  </si>
  <si>
    <t>03/26/2013 07:36:05 PM MDT</t>
  </si>
  <si>
    <t>Cori</t>
  </si>
  <si>
    <t>Peter</t>
  </si>
  <si>
    <t>Swisher</t>
  </si>
  <si>
    <t>03/28/2013 10:49:04 AM MDT</t>
  </si>
  <si>
    <t>Riley</t>
  </si>
  <si>
    <t>03/27/2013 08:52:56 AM MDT</t>
  </si>
  <si>
    <t>Jase</t>
  </si>
  <si>
    <t>Megan Anderson</t>
  </si>
  <si>
    <t>03/28/2013 09:25:20 PM MDT</t>
  </si>
  <si>
    <t>Kira</t>
  </si>
  <si>
    <t>Goold</t>
  </si>
  <si>
    <t>03/28/2013 09:42:51 PM MDT</t>
  </si>
  <si>
    <t>Danyelle</t>
  </si>
  <si>
    <t>03/26/2013 07:45:00 PM MDT</t>
  </si>
  <si>
    <t>Tucker</t>
  </si>
  <si>
    <t>03/28/2013 09:04:30 PM MDT</t>
  </si>
  <si>
    <t>Carla</t>
  </si>
  <si>
    <t>Antezana</t>
  </si>
  <si>
    <t>Carla Antezana</t>
  </si>
  <si>
    <t>03/28/2013 03:44:53 PM MDT</t>
  </si>
  <si>
    <t>Apolonio</t>
  </si>
  <si>
    <t>Appleton</t>
  </si>
  <si>
    <t>03/28/2013 01:46:44 PM MDT</t>
  </si>
  <si>
    <t>jennifer</t>
  </si>
  <si>
    <t>Enzo</t>
  </si>
  <si>
    <t>Arballo</t>
  </si>
  <si>
    <t>Enzo Arballo</t>
  </si>
  <si>
    <t>03/28/2013 09:54:21 PM MDT</t>
  </si>
  <si>
    <t>Dyllan</t>
  </si>
  <si>
    <t>Armour</t>
  </si>
  <si>
    <t>03/26/2013 01:11:40 PM MDT</t>
  </si>
  <si>
    <t>Kel</t>
  </si>
  <si>
    <t>Armstrong</t>
  </si>
  <si>
    <t>Laub</t>
  </si>
  <si>
    <t>03/26/2013 08:05:34 PM MDT</t>
  </si>
  <si>
    <t>Margie</t>
  </si>
  <si>
    <t>Arnovitz</t>
  </si>
  <si>
    <t>Sonya</t>
  </si>
  <si>
    <t>03/26/2013 10:51:55 AM MDT</t>
  </si>
  <si>
    <t>Sonya Arnovitz</t>
  </si>
  <si>
    <t>Mayson</t>
  </si>
  <si>
    <t>Astle</t>
  </si>
  <si>
    <t>Willard</t>
  </si>
  <si>
    <t>03/28/2013 08:41:15 PM MDT</t>
  </si>
  <si>
    <t>Sandi Austin</t>
  </si>
  <si>
    <t>03/26/2013 09:27:59 AM MDT</t>
  </si>
  <si>
    <t>Charlee</t>
  </si>
  <si>
    <t>Avery</t>
  </si>
  <si>
    <t>03/28/2013 01:26:36 PM MDT</t>
  </si>
  <si>
    <t>Miguel</t>
  </si>
  <si>
    <t>Avila</t>
  </si>
  <si>
    <t>miguel e avila</t>
  </si>
  <si>
    <t>03/27/2013 10:15:09 PM MDT</t>
  </si>
  <si>
    <t>Karla Vanessa</t>
  </si>
  <si>
    <t>Avila Esparza</t>
  </si>
  <si>
    <t>Pehrson</t>
  </si>
  <si>
    <t>03/26/2013 12:25:14 PM MDT</t>
  </si>
  <si>
    <t>B</t>
  </si>
  <si>
    <t>Darren</t>
  </si>
  <si>
    <t>03/28/2013 02:39:11 PM MDT</t>
  </si>
  <si>
    <t>Dawn Babaran</t>
  </si>
  <si>
    <t>Jenny Baca</t>
  </si>
  <si>
    <t>03/28/2013 09:35:27 PM MDT</t>
  </si>
  <si>
    <t>Baganz</t>
  </si>
  <si>
    <t>Grunwald</t>
  </si>
  <si>
    <t>03/27/2013 02:52:04 PM MDT</t>
  </si>
  <si>
    <t>03/28/2013 09:40:03 PM MDT</t>
  </si>
  <si>
    <t>Julienne</t>
  </si>
  <si>
    <t>Jannika</t>
  </si>
  <si>
    <t>Haws</t>
  </si>
  <si>
    <t>03/27/2013 09:13:18 AM MDT</t>
  </si>
  <si>
    <t>Gaby</t>
  </si>
  <si>
    <t>Castillo</t>
  </si>
  <si>
    <t>03/27/2013 10:48:22 AM MDT</t>
  </si>
  <si>
    <t>Ali</t>
  </si>
  <si>
    <t>Tyler Hale or Ali Baker</t>
  </si>
  <si>
    <t>03/27/2013 01:34:43 PM MDT</t>
  </si>
  <si>
    <t>Michael Lynch</t>
  </si>
  <si>
    <t>03/28/2013 06:50:30 AM MDT</t>
  </si>
  <si>
    <t>Sophia</t>
  </si>
  <si>
    <t>Eldredge</t>
  </si>
  <si>
    <t>03/26/2013 03:51:31 PM MDT</t>
  </si>
  <si>
    <t>Jenn</t>
  </si>
  <si>
    <t>Ball</t>
  </si>
  <si>
    <t>03/26/2013 10:03:14 PM MDT</t>
  </si>
  <si>
    <t>03/27/2013 01:07:58 PM MDT</t>
  </si>
  <si>
    <t>Barker</t>
  </si>
  <si>
    <t>Labrum</t>
  </si>
  <si>
    <t>03/28/2013 08:56:47 AM MDT</t>
  </si>
  <si>
    <t>Bonnie</t>
  </si>
  <si>
    <t>Bonnie Barlow</t>
  </si>
  <si>
    <t>03/26/2013 10:38:04 PM MDT</t>
  </si>
  <si>
    <t>Alyssa Barlow</t>
  </si>
  <si>
    <t>03/26/2013 04:40:45 PM MDT</t>
  </si>
  <si>
    <t>03/28/2013 10:43:42 AM MDT</t>
  </si>
  <si>
    <t>Barrus</t>
  </si>
  <si>
    <t>CarrieAnne</t>
  </si>
  <si>
    <t>03/28/2013 06:28:44 PM MDT</t>
  </si>
  <si>
    <t>CarrieAnne Barrus</t>
  </si>
  <si>
    <t>03/27/2013 07:41:54 PM MDT</t>
  </si>
  <si>
    <t>Barson</t>
  </si>
  <si>
    <t>Cherrington</t>
  </si>
  <si>
    <t>03/26/2013 05:39:30 PM MDT</t>
  </si>
  <si>
    <t>Kaylee</t>
  </si>
  <si>
    <t>Barthalow</t>
  </si>
  <si>
    <t>Rees</t>
  </si>
  <si>
    <t>03/28/2013 07:15:19 PM MDT</t>
  </si>
  <si>
    <t>Bassett</t>
  </si>
  <si>
    <t>03/28/2013 10:21:49 PM MDT</t>
  </si>
  <si>
    <t>Allison Bassett</t>
  </si>
  <si>
    <t>03/28/2013 11:09:58 PM MDT</t>
  </si>
  <si>
    <t>Baugh</t>
  </si>
  <si>
    <t>03/27/2013 11:13:44 AM MDT</t>
  </si>
  <si>
    <t>BAhm</t>
  </si>
  <si>
    <t>Candice Bahm</t>
  </si>
  <si>
    <t>03/27/2013 10:13:54 AM MDT</t>
  </si>
  <si>
    <t>Lucy</t>
  </si>
  <si>
    <t>Beal</t>
  </si>
  <si>
    <t>Tena</t>
  </si>
  <si>
    <t>03/26/2013 08:56:47 PM MDT</t>
  </si>
  <si>
    <t>Tena Beal or Tamerra Sedacy</t>
  </si>
  <si>
    <t>Beck</t>
  </si>
  <si>
    <t>Toshiko</t>
  </si>
  <si>
    <t>Becker</t>
  </si>
  <si>
    <t>03/28/2013 05:09:03 PM MDT</t>
  </si>
  <si>
    <t>Bryce</t>
  </si>
  <si>
    <t>Heer</t>
  </si>
  <si>
    <t>03/26/2013 01:26:10 PM MDT</t>
  </si>
  <si>
    <t>Darius</t>
  </si>
  <si>
    <t>Behar</t>
  </si>
  <si>
    <t>03/28/2013 04:56:28 PM MDT</t>
  </si>
  <si>
    <t>Aislinn</t>
  </si>
  <si>
    <t>Bell</t>
  </si>
  <si>
    <t>Crawford</t>
  </si>
  <si>
    <t>03/27/2013 02:58:21 PM MDT</t>
  </si>
  <si>
    <t>Jen</t>
  </si>
  <si>
    <t>DaLynn</t>
  </si>
  <si>
    <t>03/27/2013 09:25:19 PM MDT</t>
  </si>
  <si>
    <t>Benford</t>
  </si>
  <si>
    <t>Courtney Benford</t>
  </si>
  <si>
    <t>Small, Medium, and Large</t>
  </si>
  <si>
    <t>03/27/2013 11:58:19 AM MDT</t>
  </si>
  <si>
    <t>Jason Bentley</t>
  </si>
  <si>
    <t>03/28/2013 11:48:35 AM MDT</t>
  </si>
  <si>
    <t>Kyle Connolly</t>
  </si>
  <si>
    <t>03/27/2013 07:31:38 PM MDT</t>
  </si>
  <si>
    <t>Bergeson</t>
  </si>
  <si>
    <t>03/27/2013 12:18:35 PM MDT</t>
  </si>
  <si>
    <t>Bhatnagar</t>
  </si>
  <si>
    <t>Aparna</t>
  </si>
  <si>
    <t>Nayak</t>
  </si>
  <si>
    <t>03/28/2013 04:02:50 PM MDT</t>
  </si>
  <si>
    <t>ANURAG BHATNAGAR</t>
  </si>
  <si>
    <t>03/28/2013 07:10:03 PM MDT</t>
  </si>
  <si>
    <t>Subhash</t>
  </si>
  <si>
    <t>Bhimalingam</t>
  </si>
  <si>
    <t>Subhash Bhimalingam</t>
  </si>
  <si>
    <t>03/26/2013 02:36:48 PM MDT</t>
  </si>
  <si>
    <t>Bidleman</t>
  </si>
  <si>
    <t>Gracie</t>
  </si>
  <si>
    <t>Classon</t>
  </si>
  <si>
    <t>03/26/2013 10:10:58 PM MDT</t>
  </si>
  <si>
    <t>Abbie</t>
  </si>
  <si>
    <t>Bird</t>
  </si>
  <si>
    <t>Bo</t>
  </si>
  <si>
    <t>03/27/2013 06:40:50 PM MDT</t>
  </si>
  <si>
    <t>03/27/2013 06:42:45 PM MDT</t>
  </si>
  <si>
    <t>Aryanna</t>
  </si>
  <si>
    <t>Wilkes</t>
  </si>
  <si>
    <t>03/28/2013 04:40:01 PM MDT</t>
  </si>
  <si>
    <t>Fernley</t>
  </si>
  <si>
    <t>03/27/2013 11:33:13 PM MDT</t>
  </si>
  <si>
    <t>Bidisha</t>
  </si>
  <si>
    <t>Biswas</t>
  </si>
  <si>
    <t>Subhadeep</t>
  </si>
  <si>
    <t>Nag</t>
  </si>
  <si>
    <t>03/27/2013 08:53:31 PM MDT</t>
  </si>
  <si>
    <t>Bitner</t>
  </si>
  <si>
    <t>Ariel Bitner</t>
  </si>
  <si>
    <t>03/27/2013 01:39:38 PM MDT</t>
  </si>
  <si>
    <t>Elisa</t>
  </si>
  <si>
    <t>Cinnamon</t>
  </si>
  <si>
    <t>McNeil</t>
  </si>
  <si>
    <t>03/27/2013 10:45:17 PM MDT</t>
  </si>
  <si>
    <t>03/26/2013 08:22:54 PM MDT</t>
  </si>
  <si>
    <t>Blackham</t>
  </si>
  <si>
    <t>03/28/2013 12:00:23 AM MDT</t>
  </si>
  <si>
    <t>Debbie</t>
  </si>
  <si>
    <t>Blackwell</t>
  </si>
  <si>
    <t>Teal Nesmith</t>
  </si>
  <si>
    <t>03/28/2013 03:28:41 PM MDT</t>
  </si>
  <si>
    <t>Blair</t>
  </si>
  <si>
    <t>Kayla Blair</t>
  </si>
  <si>
    <t>03/27/2013 09:56:49 PM MDT</t>
  </si>
  <si>
    <t>03/27/2013 07:41:25 PM MDT</t>
  </si>
  <si>
    <t>Laurajane</t>
  </si>
  <si>
    <t>Blaser</t>
  </si>
  <si>
    <t>03/28/2013 09:56:31 PM MDT</t>
  </si>
  <si>
    <t>Boada</t>
  </si>
  <si>
    <t>LUIS BOADA</t>
  </si>
  <si>
    <t>MEDIUM</t>
  </si>
  <si>
    <t>03/27/2013 08:02:50 PM MDT</t>
  </si>
  <si>
    <t>Keri</t>
  </si>
  <si>
    <t>Bogardus</t>
  </si>
  <si>
    <t>Keri Bogardus</t>
  </si>
  <si>
    <t>03/27/2013 01:56:20 PM MDT</t>
  </si>
  <si>
    <t>Bogdan</t>
  </si>
  <si>
    <t>Rose</t>
  </si>
  <si>
    <t>Greer</t>
  </si>
  <si>
    <t>03/28/2013 09:10:56 PM MDT</t>
  </si>
  <si>
    <t>Grace</t>
  </si>
  <si>
    <t>Bogumil</t>
  </si>
  <si>
    <t>Grace, Ashton or Starr/Starrlyn</t>
  </si>
  <si>
    <t>03/27/2013 05:33:34 PM MDT</t>
  </si>
  <si>
    <t>Bohman</t>
  </si>
  <si>
    <t>03/27/2013 12:55:45 AM MDT</t>
  </si>
  <si>
    <t>Minita</t>
  </si>
  <si>
    <t>Bohra</t>
  </si>
  <si>
    <t>Cindy</t>
  </si>
  <si>
    <t>03/28/2013 10:27:19 PM MDT</t>
  </si>
  <si>
    <t>Bonnett</t>
  </si>
  <si>
    <t>Andrew Bonnett</t>
  </si>
  <si>
    <t>03/27/2013 07:48:41 PM MDT</t>
  </si>
  <si>
    <t>Borders</t>
  </si>
  <si>
    <t>03/26/2013 02:09:09 PM MDT</t>
  </si>
  <si>
    <t>Brigitta</t>
  </si>
  <si>
    <t>Borrego</t>
  </si>
  <si>
    <t>Brigitta Borrego</t>
  </si>
  <si>
    <t>03/26/2013 09:47:37 AM MDT</t>
  </si>
  <si>
    <t>Pieter</t>
  </si>
  <si>
    <t>Bos</t>
  </si>
  <si>
    <t>Lester</t>
  </si>
  <si>
    <t>03/26/2013 12:45:25 PM MDT</t>
  </si>
  <si>
    <t>Boucher</t>
  </si>
  <si>
    <t>Catherine Boucher or Wolf Proctor</t>
  </si>
  <si>
    <t>NONE</t>
  </si>
  <si>
    <t>03/27/2013 10:13:16 AM MDT</t>
  </si>
  <si>
    <t>None</t>
  </si>
  <si>
    <t>03/27/2013 10:17:54 AM MDT</t>
  </si>
  <si>
    <t>Bourne</t>
  </si>
  <si>
    <t>03/28/2013 02:23:31 PM MDT</t>
  </si>
  <si>
    <t>Brooke bowen</t>
  </si>
  <si>
    <t>1 Medium, 3 large</t>
  </si>
  <si>
    <t>03/26/2013 10:10:25 PM MDT</t>
  </si>
  <si>
    <t>Mark Kevin Bowen</t>
  </si>
  <si>
    <t>03/28/2013 08:11:50 PM MDT</t>
  </si>
  <si>
    <t>Aubrey Bown</t>
  </si>
  <si>
    <t>03/28/2013 09:56:20 PM MDT</t>
  </si>
  <si>
    <t>Aleigh</t>
  </si>
  <si>
    <t>Aleigh Boyce</t>
  </si>
  <si>
    <t>03/27/2013 07:41:45 PM MDT</t>
  </si>
  <si>
    <t>Kipp</t>
  </si>
  <si>
    <t>Wawrzyniak</t>
  </si>
  <si>
    <t>03/28/2013 09:44:16 PM MDT</t>
  </si>
  <si>
    <t>Brackett</t>
  </si>
  <si>
    <t>Hendrix</t>
  </si>
  <si>
    <t>03/27/2013 09:59:11 AM MDT</t>
  </si>
  <si>
    <t>Bradford</t>
  </si>
  <si>
    <t>03/27/2013 03:00:59 PM MDT</t>
  </si>
  <si>
    <t>Aleeshia</t>
  </si>
  <si>
    <t>Bradshaw</t>
  </si>
  <si>
    <t>03/27/2013 11:21:55 AM MDT</t>
  </si>
  <si>
    <t>Branham</t>
  </si>
  <si>
    <t>03/28/2013 11:38:01 PM MDT</t>
  </si>
  <si>
    <t>Brinkerhoff</t>
  </si>
  <si>
    <t>Brenda Brinkerhoff</t>
  </si>
  <si>
    <t>03/26/2013 03:04:55 PM MDT</t>
  </si>
  <si>
    <t>03/27/2013 09:28:27 PM MDT</t>
  </si>
  <si>
    <t>Elliot Brinkerhoff</t>
  </si>
  <si>
    <t>Nina Ricci</t>
  </si>
  <si>
    <t>Briones</t>
  </si>
  <si>
    <t>Alexa</t>
  </si>
  <si>
    <t>Brizzee</t>
  </si>
  <si>
    <t>Alexa Brizzee</t>
  </si>
  <si>
    <t>03/26/2013 11:44:04 AM MDT</t>
  </si>
  <si>
    <t>Broberg</t>
  </si>
  <si>
    <t>lacey broberg</t>
  </si>
  <si>
    <t>03/27/2013 08:02:30 PM MDT</t>
  </si>
  <si>
    <t>03/27/2013 01:00:20 PM MDT</t>
  </si>
  <si>
    <t>03/28/2013 03:10:12 PM MDT</t>
  </si>
  <si>
    <t>Ricky</t>
  </si>
  <si>
    <t>Lauralee</t>
  </si>
  <si>
    <t>Broschinsky</t>
  </si>
  <si>
    <t>Holdsworth</t>
  </si>
  <si>
    <t>03/28/2013 07:07:49 PM MDT</t>
  </si>
  <si>
    <t>Amy Brown</t>
  </si>
  <si>
    <t>Desiree</t>
  </si>
  <si>
    <t>Rendon</t>
  </si>
  <si>
    <t>03/27/2013 04:18:36 PM MDT</t>
  </si>
  <si>
    <t>03/28/2013 11:23:52 AM MDT</t>
  </si>
  <si>
    <t>DaLynn Brown</t>
  </si>
  <si>
    <t>Ku'Uipolani</t>
  </si>
  <si>
    <t>Herrera</t>
  </si>
  <si>
    <t>03/27/2013 11:07:35 AM MDT</t>
  </si>
  <si>
    <t>Sydney Brown</t>
  </si>
  <si>
    <t>03/28/2013 04:33:14 PM MDT</t>
  </si>
  <si>
    <t>Renee</t>
  </si>
  <si>
    <t>Brunette</t>
  </si>
  <si>
    <t>Renee Brunette</t>
  </si>
  <si>
    <t>03/27/2013 09:02:13 PM MDT</t>
  </si>
  <si>
    <t>Alexus</t>
  </si>
  <si>
    <t>Buchanan</t>
  </si>
  <si>
    <t>03/26/2013 10:14:08 PM MDT</t>
  </si>
  <si>
    <t>Jason Buchanan</t>
  </si>
  <si>
    <t>03/26/2013 04:34:12 PM MDT</t>
  </si>
  <si>
    <t>Valerie</t>
  </si>
  <si>
    <t>Buckhoff</t>
  </si>
  <si>
    <t>03/27/2013 11:29:01 AM MDT</t>
  </si>
  <si>
    <t>Bulkley</t>
  </si>
  <si>
    <t>03/27/2013 08:13:52 PM MDT</t>
  </si>
  <si>
    <t>Carl</t>
  </si>
  <si>
    <t>Bullock</t>
  </si>
  <si>
    <t>Milligan</t>
  </si>
  <si>
    <t>03/28/2013 10:13:23 PM MDT</t>
  </si>
  <si>
    <t>Muir</t>
  </si>
  <si>
    <t>03/26/2013 05:17:51 PM MDT</t>
  </si>
  <si>
    <t>Kacie</t>
  </si>
  <si>
    <t>03/28/2013 06:57:52 PM MDT</t>
  </si>
  <si>
    <t>MakaeLyn</t>
  </si>
  <si>
    <t>Stetson</t>
  </si>
  <si>
    <t>03/28/2013 09:54:59 PM MDT</t>
  </si>
  <si>
    <t>Burgoyne</t>
  </si>
  <si>
    <t>03/28/2013 05:46:55 PM MDT</t>
  </si>
  <si>
    <t>jordynne</t>
  </si>
  <si>
    <t>x;</t>
  </si>
  <si>
    <t>03/28/2013 04:45:15 PM MDT</t>
  </si>
  <si>
    <t>Breeana</t>
  </si>
  <si>
    <t>03/28/2013 11:54:25 AM MDT</t>
  </si>
  <si>
    <t>Cecilia</t>
  </si>
  <si>
    <t>Burwasser</t>
  </si>
  <si>
    <t>Cecilia Burwasser</t>
  </si>
  <si>
    <t>03/26/2013 11:38:35 PM MDT</t>
  </si>
  <si>
    <t>Derrick</t>
  </si>
  <si>
    <t>Bush</t>
  </si>
  <si>
    <t>Brianda</t>
  </si>
  <si>
    <t>03/28/2013 05:55:22 PM MDT</t>
  </si>
  <si>
    <t>Leach</t>
  </si>
  <si>
    <t>03/28/2013 08:19:35 AM MDT</t>
  </si>
  <si>
    <t>Kylee</t>
  </si>
  <si>
    <t>Buys</t>
  </si>
  <si>
    <t>Marsha</t>
  </si>
  <si>
    <t>Nichols</t>
  </si>
  <si>
    <t>03/28/2013 01:41:11 AM MDT</t>
  </si>
  <si>
    <t>Aly</t>
  </si>
  <si>
    <t>C</t>
  </si>
  <si>
    <t>03/26/2013 09:48:01 AM MDT</t>
  </si>
  <si>
    <t>Calder</t>
  </si>
  <si>
    <t>03/26/2013 05:34:09 PM MDT</t>
  </si>
  <si>
    <t>Brad Call</t>
  </si>
  <si>
    <t>1 small, 1 medium</t>
  </si>
  <si>
    <t>03/27/2013 08:26:34 AM MDT</t>
  </si>
  <si>
    <t>Cindy, Braden, Ashley or Tiffany</t>
  </si>
  <si>
    <t>Rachel Call</t>
  </si>
  <si>
    <t>03/26/2013 06:18:33 PM MDT</t>
  </si>
  <si>
    <t>Camara</t>
  </si>
  <si>
    <t>03/28/2013 07:35:35 AM MDT</t>
  </si>
  <si>
    <t>Ster</t>
  </si>
  <si>
    <t>03/27/2013 10:55:46 PM MDT</t>
  </si>
  <si>
    <t>Campo</t>
  </si>
  <si>
    <t>03/26/2013 07:51:36 PM MDT</t>
  </si>
  <si>
    <t>Bleu</t>
  </si>
  <si>
    <t>Cyric</t>
  </si>
  <si>
    <t>Gage Campo OR Dawn Campo</t>
  </si>
  <si>
    <t>Cannivina</t>
  </si>
  <si>
    <t>03/26/2013 04:02:36 PM MDT</t>
  </si>
  <si>
    <t>Larissa</t>
  </si>
  <si>
    <t>Cannon</t>
  </si>
  <si>
    <t>Larissa or Rusty</t>
  </si>
  <si>
    <t>03/27/2013 11:21:32 PM MDT</t>
  </si>
  <si>
    <t>Rusty</t>
  </si>
  <si>
    <t>Tonja</t>
  </si>
  <si>
    <t>Capson</t>
  </si>
  <si>
    <t>tonja capson</t>
  </si>
  <si>
    <t>03/28/2013 08:52:23 PM MDT</t>
  </si>
  <si>
    <t>Cardillo</t>
  </si>
  <si>
    <t>Tawny</t>
  </si>
  <si>
    <t>03/27/2013 10:25:50 PM MDT</t>
  </si>
  <si>
    <t>03/27/2013 08:55:51 PM MDT</t>
  </si>
  <si>
    <t>Carman</t>
  </si>
  <si>
    <t>Bonni</t>
  </si>
  <si>
    <t>Patterson</t>
  </si>
  <si>
    <t>03/28/2013 04:33:52 PM MDT</t>
  </si>
  <si>
    <t>Pat</t>
  </si>
  <si>
    <t>Caroca</t>
  </si>
  <si>
    <t>Chloe</t>
  </si>
  <si>
    <t>Carr</t>
  </si>
  <si>
    <t>Claire</t>
  </si>
  <si>
    <t>03/28/2013 06:58:57 PM MDT</t>
  </si>
  <si>
    <t>Jason Carr</t>
  </si>
  <si>
    <t>03/28/2013 10:59:18 PM MDT</t>
  </si>
  <si>
    <t>Carriger</t>
  </si>
  <si>
    <t>Matt Carriger</t>
  </si>
  <si>
    <t>03/28/2013 06:51:30 PM MDT</t>
  </si>
  <si>
    <t>03/26/2013 07:38:30 PM MDT</t>
  </si>
  <si>
    <t>Jerry</t>
  </si>
  <si>
    <t>Carroll</t>
  </si>
  <si>
    <t>jerry carroll</t>
  </si>
  <si>
    <t>03/28/2013 11:05:13 PM MDT</t>
  </si>
  <si>
    <t>Aubs</t>
  </si>
  <si>
    <t>Hammond</t>
  </si>
  <si>
    <t>03/27/2013 11:55:56 AM MDT</t>
  </si>
  <si>
    <t>Chad</t>
  </si>
  <si>
    <t>Emily Carter</t>
  </si>
  <si>
    <t>03/28/2013 01:53:42 PM MDT</t>
  </si>
  <si>
    <t>Katie Carter</t>
  </si>
  <si>
    <t>03/26/2013 09:50:31 AM MDT</t>
  </si>
  <si>
    <t>03/27/2013 02:18:53 PM MDT</t>
  </si>
  <si>
    <t>Castaneda</t>
  </si>
  <si>
    <t>Henager</t>
  </si>
  <si>
    <t>03/27/2013 08:48:18 PM MDT</t>
  </si>
  <si>
    <t>Trevor Lohman</t>
  </si>
  <si>
    <t>03/28/2013 01:41:05 AM MDT</t>
  </si>
  <si>
    <t>Gaby Castillo</t>
  </si>
  <si>
    <t>Rebeca</t>
  </si>
  <si>
    <t>me (Rebeca)</t>
  </si>
  <si>
    <t>03/28/2013 08:13:37 PM MDT</t>
  </si>
  <si>
    <t>Shealyn</t>
  </si>
  <si>
    <t>Castro</t>
  </si>
  <si>
    <t>03/27/2013 09:48:01 PM MDT</t>
  </si>
  <si>
    <t>Guillermo</t>
  </si>
  <si>
    <t>Manuela</t>
  </si>
  <si>
    <t>Catano</t>
  </si>
  <si>
    <t>03/28/2013 11:14:46 PM MDT</t>
  </si>
  <si>
    <t>Cayama</t>
  </si>
  <si>
    <t>Flnaders</t>
  </si>
  <si>
    <t>03/27/2013 07:06:20 PM MDT</t>
  </si>
  <si>
    <t>Chabries</t>
  </si>
  <si>
    <t>03/27/2013 09:18:02 AM MDT</t>
  </si>
  <si>
    <t>Chalmers</t>
  </si>
  <si>
    <t>McKinley</t>
  </si>
  <si>
    <t>Stauffer</t>
  </si>
  <si>
    <t>03/28/2013 06:44:56 PM MDT</t>
  </si>
  <si>
    <t>Char</t>
  </si>
  <si>
    <t>Chambers</t>
  </si>
  <si>
    <t>Fluckiger</t>
  </si>
  <si>
    <t>03/27/2013 04:01:43 PM MDT</t>
  </si>
  <si>
    <t>Chan</t>
  </si>
  <si>
    <t>Hardik</t>
  </si>
  <si>
    <t>Patel</t>
  </si>
  <si>
    <t>03/26/2013 05:57:12 PM MDT</t>
  </si>
  <si>
    <t>Vivian</t>
  </si>
  <si>
    <t>Harrington</t>
  </si>
  <si>
    <t>03/28/2013 10:12:30 PM MDT</t>
  </si>
  <si>
    <t>Loucha</t>
  </si>
  <si>
    <t>Charite</t>
  </si>
  <si>
    <t>LOUCHA CHARITE</t>
  </si>
  <si>
    <t>03/27/2013 03:55:34 PM MDT</t>
  </si>
  <si>
    <t>Chatterly</t>
  </si>
  <si>
    <t>Florencia</t>
  </si>
  <si>
    <t>03/28/2013 10:48:50 PM MDT</t>
  </si>
  <si>
    <t>Chavez</t>
  </si>
  <si>
    <t>03/27/2013 10:33:39 PM MDT</t>
  </si>
  <si>
    <t>Chen</t>
  </si>
  <si>
    <t>Felosi</t>
  </si>
  <si>
    <t>03/26/2013 04:23:36 PM MDT</t>
  </si>
  <si>
    <t>Jonathan Cherrington</t>
  </si>
  <si>
    <t>Joelee</t>
  </si>
  <si>
    <t>Christeniansen</t>
  </si>
  <si>
    <t>Neel</t>
  </si>
  <si>
    <t>03/28/2013 03:26:40 PM MDT</t>
  </si>
  <si>
    <t>Brent Christensen</t>
  </si>
  <si>
    <t>03/26/2013 07:36:47 PM MDT</t>
  </si>
  <si>
    <t>Christy Christensen</t>
  </si>
  <si>
    <t>Extra small or small adult</t>
  </si>
  <si>
    <t>03/26/2013 03:40:05 PM MDT</t>
  </si>
  <si>
    <t>Dennis</t>
  </si>
  <si>
    <t>03/26/2013 11:21:00 PM MDT</t>
  </si>
  <si>
    <t>03/28/2013 03:58:46 PM MDT</t>
  </si>
  <si>
    <t>Marlene</t>
  </si>
  <si>
    <t>03/26/2013 04:39:33 PM MDT</t>
  </si>
  <si>
    <t>Church</t>
  </si>
  <si>
    <t>Kristen Church</t>
  </si>
  <si>
    <t>03/28/2013 02:02:59 PM MDT</t>
  </si>
  <si>
    <t>Cristina</t>
  </si>
  <si>
    <t>Ciacchella</t>
  </si>
  <si>
    <t>Cristina Ciacchella</t>
  </si>
  <si>
    <t>03/27/2013 01:36:30 PM MDT</t>
  </si>
  <si>
    <t>Annastasia Clarke</t>
  </si>
  <si>
    <t>Gracie Classon</t>
  </si>
  <si>
    <t>03/27/2013 09:19:00 AM MDT</t>
  </si>
  <si>
    <t>Cloe</t>
  </si>
  <si>
    <t>03/28/2013 10:47:56 PM MDT</t>
  </si>
  <si>
    <t>Sidni</t>
  </si>
  <si>
    <t>Clonts</t>
  </si>
  <si>
    <t>Abbey</t>
  </si>
  <si>
    <t>Forkus</t>
  </si>
  <si>
    <t>03/28/2013 09:36:26 PM MDT</t>
  </si>
  <si>
    <t>Leon</t>
  </si>
  <si>
    <t>03/28/2013 05:45:02 PM MDT</t>
  </si>
  <si>
    <t>Jonice</t>
  </si>
  <si>
    <t>Colburn</t>
  </si>
  <si>
    <t>Jonice Colburn</t>
  </si>
  <si>
    <t>03/26/2013 05:40:25 PM MDT</t>
  </si>
  <si>
    <t>Coles</t>
  </si>
  <si>
    <t>03/27/2013 08:16:43 PM MDT</t>
  </si>
  <si>
    <t>03/28/2013 07:15:09 AM MDT</t>
  </si>
  <si>
    <t>Colley</t>
  </si>
  <si>
    <t>Sperry</t>
  </si>
  <si>
    <t>03/28/2013 07:56:48 PM MDT</t>
  </si>
  <si>
    <t>Viland</t>
  </si>
  <si>
    <t>03/28/2013 01:13:07 AM MDT</t>
  </si>
  <si>
    <t>Connolly</t>
  </si>
  <si>
    <t>Werner</t>
  </si>
  <si>
    <t>Constanza</t>
  </si>
  <si>
    <t>Werner Constanza</t>
  </si>
  <si>
    <t>03/28/2013 11:58:37 PM MDT</t>
  </si>
  <si>
    <t>Contos</t>
  </si>
  <si>
    <t>03/27/2013 07:18:12 PM MDT</t>
  </si>
  <si>
    <t>Cindy Contos</t>
  </si>
  <si>
    <t>Adult small</t>
  </si>
  <si>
    <t>Dack</t>
  </si>
  <si>
    <t>Chelise</t>
  </si>
  <si>
    <t>Chelise Cook</t>
  </si>
  <si>
    <t>03/26/2013 10:47:54 PM MDT</t>
  </si>
  <si>
    <t>mike cook</t>
  </si>
  <si>
    <t>03/26/2013 10:39:32 PM MDT</t>
  </si>
  <si>
    <t>Neichel</t>
  </si>
  <si>
    <t>Neichel cook</t>
  </si>
  <si>
    <t>03/28/2013 06:25:37 PM MDT</t>
  </si>
  <si>
    <t>Peyton</t>
  </si>
  <si>
    <t>Peyton Cook or Billie Scott</t>
  </si>
  <si>
    <t>Adult XL and Adult Medium</t>
  </si>
  <si>
    <t>03/28/2013 10:10:52 AM MDT</t>
  </si>
  <si>
    <t>Samantha Cook</t>
  </si>
  <si>
    <t>Coombs</t>
  </si>
  <si>
    <t>Danielle Coombs</t>
  </si>
  <si>
    <t>03/28/2013 02:43:00 PM MDT</t>
  </si>
  <si>
    <t>Ethan</t>
  </si>
  <si>
    <t>Cottrell</t>
  </si>
  <si>
    <t>Durham</t>
  </si>
  <si>
    <t>03/28/2013 08:36:26 PM MDT</t>
  </si>
  <si>
    <t>Nessa</t>
  </si>
  <si>
    <t>Tegan</t>
  </si>
  <si>
    <t>03/28/2013 02:31:28 PM MDT</t>
  </si>
  <si>
    <t>Crandall</t>
  </si>
  <si>
    <t>Sarah Crandall</t>
  </si>
  <si>
    <t>03/28/2013 04:47:54 PM MDT</t>
  </si>
  <si>
    <t>03/28/2013 12:43:23 AM MDT</t>
  </si>
  <si>
    <t>Kelsey Crawford</t>
  </si>
  <si>
    <t>Angel</t>
  </si>
  <si>
    <t>Criswell</t>
  </si>
  <si>
    <t>Crites</t>
  </si>
  <si>
    <t>Annie Crites</t>
  </si>
  <si>
    <t>03/26/2013 01:28:14 PM MDT</t>
  </si>
  <si>
    <t>Stacey</t>
  </si>
  <si>
    <t>Crofutt</t>
  </si>
  <si>
    <t>Charissa Kendall</t>
  </si>
  <si>
    <t>03/26/2013 02:01:01 PM MDT</t>
  </si>
  <si>
    <t>03/28/2013 09:45:54 PM MDT</t>
  </si>
  <si>
    <t>Mackenzie</t>
  </si>
  <si>
    <t>Mackenzie Curz</t>
  </si>
  <si>
    <t>03/27/2013 08:05:46 PM MDT</t>
  </si>
  <si>
    <t>Cuevas</t>
  </si>
  <si>
    <t>03/28/2013 09:02:57 PM MDT</t>
  </si>
  <si>
    <t>Derrick Curtis</t>
  </si>
  <si>
    <t>S and M</t>
  </si>
  <si>
    <t>03/28/2013 10:07:59 PM MDT</t>
  </si>
  <si>
    <t>John Curtis</t>
  </si>
  <si>
    <t>03/28/2013 09:14:57 PM MDT</t>
  </si>
  <si>
    <t>Curtis (Davis)</t>
  </si>
  <si>
    <t>Morris</t>
  </si>
  <si>
    <t>03/28/2013 06:46:46 PM MDT</t>
  </si>
  <si>
    <t>Daphne</t>
  </si>
  <si>
    <t>Dahlberg</t>
  </si>
  <si>
    <t>Shyler</t>
  </si>
  <si>
    <t>03/26/2013 01:50:47 PM MDT</t>
  </si>
  <si>
    <t>Daiker</t>
  </si>
  <si>
    <t>Ruyak</t>
  </si>
  <si>
    <t>03/28/2013 07:51:27 PM MDT</t>
  </si>
  <si>
    <t>Shauna</t>
  </si>
  <si>
    <t>Daronch</t>
  </si>
  <si>
    <t>Slarks</t>
  </si>
  <si>
    <t>03/27/2013 06:23:51 PM MDT</t>
  </si>
  <si>
    <t>Prentice</t>
  </si>
  <si>
    <t>Dart</t>
  </si>
  <si>
    <t>Haily</t>
  </si>
  <si>
    <t>Liddell</t>
  </si>
  <si>
    <t>03/26/2013 06:39:21 PM MDT</t>
  </si>
  <si>
    <t>03/27/2013 09:13:59 PM MDT</t>
  </si>
  <si>
    <t>03/26/2013 03:22:58 PM MDT</t>
  </si>
  <si>
    <t>Kristen Davis</t>
  </si>
  <si>
    <t>03/26/2013 03:22:57 PM MDT</t>
  </si>
  <si>
    <t>Norton</t>
  </si>
  <si>
    <t>03/28/2013 02:48:57 PM MDT</t>
  </si>
  <si>
    <t>Tj</t>
  </si>
  <si>
    <t>Hinton</t>
  </si>
  <si>
    <t>03/27/2013 01:09:46 PM MDT</t>
  </si>
  <si>
    <t>LaRae</t>
  </si>
  <si>
    <t>Tenika</t>
  </si>
  <si>
    <t>Ray</t>
  </si>
  <si>
    <t>03/28/2013 04:11:35 PM MDT</t>
  </si>
  <si>
    <t>03/28/2013 09:23:44 AM MDT</t>
  </si>
  <si>
    <t>De Los Rios</t>
  </si>
  <si>
    <t>Alicia De Los Rios, Kyle Johnston, Alex Lair, or Marissa Ramos</t>
  </si>
  <si>
    <t>03/26/2013 10:27:52 AM MDT</t>
  </si>
  <si>
    <t>De Montreux</t>
  </si>
  <si>
    <t>Melinda de Montreux</t>
  </si>
  <si>
    <t>03/28/2013 10:49:18 AM MDT</t>
  </si>
  <si>
    <t>03/28/2013 10:52:12 AM MDT</t>
  </si>
  <si>
    <t>Helen</t>
  </si>
  <si>
    <t>03/28/2013 09:51:46 PM MDT</t>
  </si>
  <si>
    <t>DeForest</t>
  </si>
  <si>
    <t>x large</t>
  </si>
  <si>
    <t>03/28/2013 07:21:46 PM MDT</t>
  </si>
  <si>
    <t>Degooyer</t>
  </si>
  <si>
    <t>Webb</t>
  </si>
  <si>
    <t>03/28/2013 03:11:38 PM MDT</t>
  </si>
  <si>
    <t>Kenzee</t>
  </si>
  <si>
    <t>Degroot</t>
  </si>
  <si>
    <t>Dekker</t>
  </si>
  <si>
    <t>03/28/2013 11:08:23 PM MDT</t>
  </si>
  <si>
    <t>DeKarver</t>
  </si>
  <si>
    <t>03/26/2013 02:40:38 PM MDT</t>
  </si>
  <si>
    <t>Kelsie</t>
  </si>
  <si>
    <t>Caroline</t>
  </si>
  <si>
    <t>Deluca</t>
  </si>
  <si>
    <t>Mavis Anne</t>
  </si>
  <si>
    <t>DeLong</t>
  </si>
  <si>
    <t>Mavis Anne DeLong</t>
  </si>
  <si>
    <t>03/27/2013 10:36:59 PM MDT</t>
  </si>
  <si>
    <t>DeMill</t>
  </si>
  <si>
    <t>Dotson</t>
  </si>
  <si>
    <t>03/27/2013 02:38:26 PM MDT</t>
  </si>
  <si>
    <t>Sheri</t>
  </si>
  <si>
    <t>DeVore</t>
  </si>
  <si>
    <t>03/26/2013 09:47:15 PM MDT</t>
  </si>
  <si>
    <t>DeWitt</t>
  </si>
  <si>
    <t>Kendall DeWitt</t>
  </si>
  <si>
    <t>03/28/2013 02:12:51 PM MDT</t>
  </si>
  <si>
    <t>Pi</t>
  </si>
  <si>
    <t>Diddle</t>
  </si>
  <si>
    <t>McMullin</t>
  </si>
  <si>
    <t>03/28/2013 09:27:48 PM MDT</t>
  </si>
  <si>
    <t>Dillon</t>
  </si>
  <si>
    <t>Kaitlynn</t>
  </si>
  <si>
    <t>Greenwell</t>
  </si>
  <si>
    <t>03/27/2013 07:51:01 AM MDT</t>
  </si>
  <si>
    <t>Dinsbach</t>
  </si>
  <si>
    <t>My friend.</t>
  </si>
  <si>
    <t>03/28/2013 12:01:34 PM MDT</t>
  </si>
  <si>
    <t>Dobson</t>
  </si>
  <si>
    <t>Gwen</t>
  </si>
  <si>
    <t>03/28/2013 06:31:44 PM MDT</t>
  </si>
  <si>
    <t>Gwen Dobson</t>
  </si>
  <si>
    <t>Doing</t>
  </si>
  <si>
    <t>Georgina</t>
  </si>
  <si>
    <t>Wolfgramm</t>
  </si>
  <si>
    <t>03/28/2013 02:09:00 PM MDT</t>
  </si>
  <si>
    <t>Dolan</t>
  </si>
  <si>
    <t>03/27/2013 11:37:20 PM MDT</t>
  </si>
  <si>
    <t>Mandy dolan</t>
  </si>
  <si>
    <t>Domingo</t>
  </si>
  <si>
    <t>03/28/2013 10:04:42 PM MDT</t>
  </si>
  <si>
    <t>Dominguez</t>
  </si>
  <si>
    <t>Kelsey Dominguez</t>
  </si>
  <si>
    <t>03/27/2013 08:09:45 PM MDT</t>
  </si>
  <si>
    <t>Donnelly</t>
  </si>
  <si>
    <t>03/28/2013 07:57:29 PM MDT</t>
  </si>
  <si>
    <t>Justin Donnelly</t>
  </si>
  <si>
    <t>Ellen</t>
  </si>
  <si>
    <t>Ellen Donovan</t>
  </si>
  <si>
    <t>03/28/2013 01:03:46 PM MDT</t>
  </si>
  <si>
    <t>Telena</t>
  </si>
  <si>
    <t>Dopson</t>
  </si>
  <si>
    <t>Telena Dopson</t>
  </si>
  <si>
    <t>03/26/2013 12:08:18 PM MDT</t>
  </si>
  <si>
    <t>Misty Dotson/ Jennica Jensen</t>
  </si>
  <si>
    <t>03/28/2013 09:31:41 AM MDT</t>
  </si>
  <si>
    <t>Justin Doty</t>
  </si>
  <si>
    <t>Dow</t>
  </si>
  <si>
    <t>emily dow</t>
  </si>
  <si>
    <t>03/28/2013 10:19:44 PM MDT</t>
  </si>
  <si>
    <t>Doxey</t>
  </si>
  <si>
    <t>Andrew Doxey</t>
  </si>
  <si>
    <t>03/26/2013 01:38:38 PM MDT</t>
  </si>
  <si>
    <t>03/27/2013 12:22:59 PM MDT</t>
  </si>
  <si>
    <t>Draper</t>
  </si>
  <si>
    <t>Jonathon Draper</t>
  </si>
  <si>
    <t>03/26/2013 10:41:14 PM MDT</t>
  </si>
  <si>
    <t>Drennan</t>
  </si>
  <si>
    <t>Skyler Drennan</t>
  </si>
  <si>
    <t>03/26/2013 09:46:48 AM MDT</t>
  </si>
  <si>
    <t>Drouet</t>
  </si>
  <si>
    <t>03/27/2013 06:15:26 PM MDT</t>
  </si>
  <si>
    <t>Angeline Marin</t>
  </si>
  <si>
    <t>03/28/2013 08:41:46 PM MDT</t>
  </si>
  <si>
    <t>Dumont</t>
  </si>
  <si>
    <t>03/28/2013 01:20:08 PM MDT</t>
  </si>
  <si>
    <t>03/28/2013 03:54:45 PM MDT</t>
  </si>
  <si>
    <t>Durfey</t>
  </si>
  <si>
    <t>03/28/2013 06:48:17 PM MDT</t>
  </si>
  <si>
    <t>Jordan Durham</t>
  </si>
  <si>
    <t>Lela</t>
  </si>
  <si>
    <t>Durtschi</t>
  </si>
  <si>
    <t>Lela Durtschi</t>
  </si>
  <si>
    <t>03/28/2013 01:35:01 PM MDT</t>
  </si>
  <si>
    <t>Dy</t>
  </si>
  <si>
    <t>Dyck</t>
  </si>
  <si>
    <t>03/28/2013 10:06:26 AM MDT</t>
  </si>
  <si>
    <t>E</t>
  </si>
  <si>
    <t>Sammi</t>
  </si>
  <si>
    <t>Eastin</t>
  </si>
  <si>
    <t>03/28/2013 10:21:15 AM MDT</t>
  </si>
  <si>
    <t>Nic</t>
  </si>
  <si>
    <t>nic edwards</t>
  </si>
  <si>
    <t>03/27/2013 11:09:02 AM MDT</t>
  </si>
  <si>
    <t>Eggen</t>
  </si>
  <si>
    <t>Tammy Eggen</t>
  </si>
  <si>
    <t>I bought 2 so one in XLarge and one in Large</t>
  </si>
  <si>
    <t>03/28/2013 11:10:56 AM MDT</t>
  </si>
  <si>
    <t>Eisele</t>
  </si>
  <si>
    <t>Halie</t>
  </si>
  <si>
    <t>Halie Elliott</t>
  </si>
  <si>
    <t>03/27/2013 01:12:26 PM MDT</t>
  </si>
  <si>
    <t>Elton</t>
  </si>
  <si>
    <t>03/28/2013 06:40:17 PM MDT</t>
  </si>
  <si>
    <t>Epperson</t>
  </si>
  <si>
    <t>Heather Epperson</t>
  </si>
  <si>
    <t>03/27/2013 04:03:42 PM MDT</t>
  </si>
  <si>
    <t>Brady</t>
  </si>
  <si>
    <t>Ericksen</t>
  </si>
  <si>
    <t>03/27/2013 02:06:26 PM MDT</t>
  </si>
  <si>
    <t>Tiewa</t>
  </si>
  <si>
    <t>Esquerra</t>
  </si>
  <si>
    <t>Tracey</t>
  </si>
  <si>
    <t>03/26/2013 11:32:10 AM MDT</t>
  </si>
  <si>
    <t>Esswein</t>
  </si>
  <si>
    <t>Tamara</t>
  </si>
  <si>
    <t>Estey</t>
  </si>
  <si>
    <t>Tamara Estey</t>
  </si>
  <si>
    <t>03/26/2013 04:05:48 PM MDT</t>
  </si>
  <si>
    <t>Diana Evans</t>
  </si>
  <si>
    <t>One (1) Extra Large and One (1) Large</t>
  </si>
  <si>
    <t>03/28/2013 07:31:35 PM MDT</t>
  </si>
  <si>
    <t>Tammara</t>
  </si>
  <si>
    <t>Guterman</t>
  </si>
  <si>
    <t>03/26/2013 10:12:43 PM MDT</t>
  </si>
  <si>
    <t>03/28/2013 03:03:41 PM MDT</t>
  </si>
  <si>
    <t>Briana</t>
  </si>
  <si>
    <t>Ewell</t>
  </si>
  <si>
    <t>Briana Ewell</t>
  </si>
  <si>
    <t>03/26/2013 08:59:40 AM MDT</t>
  </si>
  <si>
    <t>F</t>
  </si>
  <si>
    <t>Falconi</t>
  </si>
  <si>
    <t>Sofia</t>
  </si>
  <si>
    <t>03/28/2013 10:51:59 AM MDT</t>
  </si>
  <si>
    <t>C. J.</t>
  </si>
  <si>
    <t>Fallentine</t>
  </si>
  <si>
    <t>C.J. Fallentine</t>
  </si>
  <si>
    <t>03/28/2013 11:06:44 PM MDT</t>
  </si>
  <si>
    <t>Fannen</t>
  </si>
  <si>
    <t>caitlin fannen</t>
  </si>
  <si>
    <t>03/28/2013 10:14:33 AM MDT</t>
  </si>
  <si>
    <t>Allison Farmer</t>
  </si>
  <si>
    <t>03/26/2013 01:20:47 PM MDT</t>
  </si>
  <si>
    <t>Gregg</t>
  </si>
  <si>
    <t>Farrington</t>
  </si>
  <si>
    <t>Gregg Farrington &amp; Merlin Taylor</t>
  </si>
  <si>
    <t>03/28/2013 02:01:32 PM MDT</t>
  </si>
  <si>
    <t>Fast</t>
  </si>
  <si>
    <t>Pollock</t>
  </si>
  <si>
    <t>03/26/2013 12:06:08 PM MDT</t>
  </si>
  <si>
    <t>Faye</t>
  </si>
  <si>
    <t>Ryan Faye</t>
  </si>
  <si>
    <t>03/28/2013 11:05:00 PM MDT</t>
  </si>
  <si>
    <t>Jessica Fernandez</t>
  </si>
  <si>
    <t>Tania Fernley</t>
  </si>
  <si>
    <t>Ferran</t>
  </si>
  <si>
    <t>Shania</t>
  </si>
  <si>
    <t>03/28/2013 07:09:30 PM MDT</t>
  </si>
  <si>
    <t>Ferry</t>
  </si>
  <si>
    <t>myself-Ashley</t>
  </si>
  <si>
    <t>03/28/2013 01:36:20 PM MDT</t>
  </si>
  <si>
    <t>Rachal</t>
  </si>
  <si>
    <t>Patton</t>
  </si>
  <si>
    <t>03/26/2013 07:47:08 PM MDT</t>
  </si>
  <si>
    <t>Brynn</t>
  </si>
  <si>
    <t>Ficklin</t>
  </si>
  <si>
    <t>03/26/2013 10:50:42 AM MDT</t>
  </si>
  <si>
    <t>Pam</t>
  </si>
  <si>
    <t>Filippelli</t>
  </si>
  <si>
    <t>03/26/2013 11:16:48 PM MDT</t>
  </si>
  <si>
    <t>Tysen</t>
  </si>
  <si>
    <t>Firzlaff</t>
  </si>
  <si>
    <t>Fitzgerald</t>
  </si>
  <si>
    <t>03/28/2013 11:09:21 PM MDT</t>
  </si>
  <si>
    <t>Flanders</t>
  </si>
  <si>
    <t>Amanda Flanders</t>
  </si>
  <si>
    <t>03/27/2013 08:04:36 PM MDT</t>
  </si>
  <si>
    <t>Chelcey</t>
  </si>
  <si>
    <t>Fleming</t>
  </si>
  <si>
    <t>Flint</t>
  </si>
  <si>
    <t>03/26/2013 09:53:24 AM MDT</t>
  </si>
  <si>
    <t>Becky Flanders</t>
  </si>
  <si>
    <t>Flood</t>
  </si>
  <si>
    <t>Christopher Flood</t>
  </si>
  <si>
    <t>03/26/2013 08:54:05 AM MDT</t>
  </si>
  <si>
    <t>Sarah Fluckiger`</t>
  </si>
  <si>
    <t>03/26/2013 12:29:34 PM MDT</t>
  </si>
  <si>
    <t>Lisa Ford</t>
  </si>
  <si>
    <t>Paul Ford</t>
  </si>
  <si>
    <t>Abbey Forkus</t>
  </si>
  <si>
    <t>Forsyth</t>
  </si>
  <si>
    <t>Forsythe</t>
  </si>
  <si>
    <t>03/28/2013 06:03:35 PM MDT</t>
  </si>
  <si>
    <t>Jazmine</t>
  </si>
  <si>
    <t>Samantha or Andrew Forsythe</t>
  </si>
  <si>
    <t>Fortner</t>
  </si>
  <si>
    <t>kelsie fortner</t>
  </si>
  <si>
    <t>03/27/2013 11:13:42 PM MDT</t>
  </si>
  <si>
    <t>Foss</t>
  </si>
  <si>
    <t>Stefan</t>
  </si>
  <si>
    <t>03/26/2013 06:48:09 PM MDT</t>
  </si>
  <si>
    <t>03/28/2013 07:51:38 PM MDT</t>
  </si>
  <si>
    <t>03/28/2013 03:30:56 PM MDT</t>
  </si>
  <si>
    <t>03/27/2013 01:42:40 PM MDT</t>
  </si>
  <si>
    <t>Fox Stevens</t>
  </si>
  <si>
    <t>03/27/2013 05:33:49 PM MDT</t>
  </si>
  <si>
    <t>Foy</t>
  </si>
  <si>
    <t>Lindsay Foy</t>
  </si>
  <si>
    <t>03/28/2013 10:20:27 PM MDT</t>
  </si>
  <si>
    <t>Charlene</t>
  </si>
  <si>
    <t>Frailey</t>
  </si>
  <si>
    <t>03/28/2013 08:45:12 AM MDT</t>
  </si>
  <si>
    <t>Gabriella</t>
  </si>
  <si>
    <t>robert frailey jessica frailey</t>
  </si>
  <si>
    <t>Tatum</t>
  </si>
  <si>
    <t>Frampton</t>
  </si>
  <si>
    <t>03/26/2013 11:12:20 PM MDT</t>
  </si>
  <si>
    <t>Sally</t>
  </si>
  <si>
    <t>Stahl</t>
  </si>
  <si>
    <t>03/28/2013 08:11:01 PM MDT</t>
  </si>
  <si>
    <t>Autumn</t>
  </si>
  <si>
    <t>03/26/2013 04:33:23 PM MDT</t>
  </si>
  <si>
    <t>Rashelle</t>
  </si>
  <si>
    <t>rashelle</t>
  </si>
  <si>
    <t>03/26/2013 05:18:33 PM MDT</t>
  </si>
  <si>
    <t>Franks</t>
  </si>
  <si>
    <t>Tyler and Jeannette Franks</t>
  </si>
  <si>
    <t>03/28/2013 01:49:29 PM MDT</t>
  </si>
  <si>
    <t>Frary</t>
  </si>
  <si>
    <t>Lauren Frary</t>
  </si>
  <si>
    <t>03/28/2013 07:23:26 PM MDT</t>
  </si>
  <si>
    <t>03/28/2013 06:33:41 PM MDT</t>
  </si>
  <si>
    <t>Frederick</t>
  </si>
  <si>
    <t>xl,m</t>
  </si>
  <si>
    <t>03/28/2013 10:03:05 PM MDT</t>
  </si>
  <si>
    <t>Victtoria</t>
  </si>
  <si>
    <t>Fredsall</t>
  </si>
  <si>
    <t>Jennifer Fredsall</t>
  </si>
  <si>
    <t>03/28/2013 12:35:38 PM MDT</t>
  </si>
  <si>
    <t>Douglas</t>
  </si>
  <si>
    <t>Douglas Freeman</t>
  </si>
  <si>
    <t>03/26/2013 07:25:44 PM MDT</t>
  </si>
  <si>
    <t>Froscheiser</t>
  </si>
  <si>
    <t>Fuller</t>
  </si>
  <si>
    <t>Emily Fuller</t>
  </si>
  <si>
    <t>03/28/2013 12:46:30 PM MDT</t>
  </si>
  <si>
    <t>03/28/2013 09:05:00 PM MDT</t>
  </si>
  <si>
    <t>Funk</t>
  </si>
  <si>
    <t>Chris Funk</t>
  </si>
  <si>
    <t>03/28/2013 10:39:35 PM MDT</t>
  </si>
  <si>
    <t>Amelia</t>
  </si>
  <si>
    <t>Furniss</t>
  </si>
  <si>
    <t>03/28/2013 09:31:23 PM MDT</t>
  </si>
  <si>
    <t>Gemma</t>
  </si>
  <si>
    <t>Galbreath</t>
  </si>
  <si>
    <t>Janessa</t>
  </si>
  <si>
    <t>Melonie</t>
  </si>
  <si>
    <t>Yannie</t>
  </si>
  <si>
    <t>03/28/2013 03:37:54 PM MDT</t>
  </si>
  <si>
    <t>Pete</t>
  </si>
  <si>
    <t>devin</t>
  </si>
  <si>
    <t>Gamble</t>
  </si>
  <si>
    <t>Timothy Gamble</t>
  </si>
  <si>
    <t>03/28/2013 09:29:41 AM MDT</t>
  </si>
  <si>
    <t>03/28/2013 11:46:16 PM MDT</t>
  </si>
  <si>
    <t>03/28/2013 10:57:30 PM MDT</t>
  </si>
  <si>
    <t>Sebastian</t>
  </si>
  <si>
    <t>Cory Gardner</t>
  </si>
  <si>
    <t>03/26/2013 08:55:21 PM MDT</t>
  </si>
  <si>
    <t>Tim Gardner</t>
  </si>
  <si>
    <t>April</t>
  </si>
  <si>
    <t>Garlick</t>
  </si>
  <si>
    <t>myself, my husband Brian Garlick or my son, Trevor Green</t>
  </si>
  <si>
    <t>6 large, one small</t>
  </si>
  <si>
    <t>03/27/2013 08:08:35 PM MDT</t>
  </si>
  <si>
    <t>Jonah</t>
  </si>
  <si>
    <t>Garret</t>
  </si>
  <si>
    <t>Hicks</t>
  </si>
  <si>
    <t>03/27/2013 04:56:01 PM MDT</t>
  </si>
  <si>
    <t>03/27/2013 04:30:50 PM MDT</t>
  </si>
  <si>
    <t>Eloise</t>
  </si>
  <si>
    <t>Keyes</t>
  </si>
  <si>
    <t>03/28/2013 11:42:57 PM MDT</t>
  </si>
  <si>
    <t>Flint Garrett</t>
  </si>
  <si>
    <t>03/28/2013 09:48:46 PM MDT</t>
  </si>
  <si>
    <t>kathy garrett</t>
  </si>
  <si>
    <t>03/28/2013 08:48:36 AM MDT</t>
  </si>
  <si>
    <t>Gates</t>
  </si>
  <si>
    <t>Chealsy</t>
  </si>
  <si>
    <t>Pond</t>
  </si>
  <si>
    <t>03/27/2013 08:09:06 PM MDT</t>
  </si>
  <si>
    <t>Gengler</t>
  </si>
  <si>
    <t>Geppert</t>
  </si>
  <si>
    <t>Tori Geppert</t>
  </si>
  <si>
    <t>03/26/2013 03:52:28 PM MDT</t>
  </si>
  <si>
    <t>Amir</t>
  </si>
  <si>
    <t>Ghazi</t>
  </si>
  <si>
    <t>Reynoso</t>
  </si>
  <si>
    <t>03/28/2013 11:11:31 PM MDT</t>
  </si>
  <si>
    <t>Giddings</t>
  </si>
  <si>
    <t>David Giddings</t>
  </si>
  <si>
    <t>03/28/2013 06:40:58 PM MDT</t>
  </si>
  <si>
    <t>kathryn gilbert</t>
  </si>
  <si>
    <t>03/26/2013 01:01:14 PM MDT</t>
  </si>
  <si>
    <t>Giles</t>
  </si>
  <si>
    <t>Gillespie</t>
  </si>
  <si>
    <t>Austin Gillespie</t>
  </si>
  <si>
    <t>03/26/2013 08:32:42 PM MDT</t>
  </si>
  <si>
    <t>Lexus</t>
  </si>
  <si>
    <t>Gillies</t>
  </si>
  <si>
    <t>Gladden</t>
  </si>
  <si>
    <t>03/26/2013 05:46:10 PM MDT</t>
  </si>
  <si>
    <t>Glasmann</t>
  </si>
  <si>
    <t>03/28/2013 03:59:00 PM MDT</t>
  </si>
  <si>
    <t>Zachary</t>
  </si>
  <si>
    <t>Glaus</t>
  </si>
  <si>
    <t>Zachary Glaus</t>
  </si>
  <si>
    <t>03/28/2013 07:43:01 PM MDT</t>
  </si>
  <si>
    <t>Gleed</t>
  </si>
  <si>
    <t>03/27/2013 06:28:10 PM MDT</t>
  </si>
  <si>
    <t>Gober</t>
  </si>
  <si>
    <t>Leonelli Gober</t>
  </si>
  <si>
    <t>03/27/2013 08:42:41 AM MDT</t>
  </si>
  <si>
    <t>Godderidge</t>
  </si>
  <si>
    <t>Extra Large</t>
  </si>
  <si>
    <t>03/26/2013 06:36:50 PM MDT</t>
  </si>
  <si>
    <t>Jessica-Ryan</t>
  </si>
  <si>
    <t>Goff</t>
  </si>
  <si>
    <t>Jessica-Ryan Goff</t>
  </si>
  <si>
    <t>03/27/2013 02:27:57 PM MDT</t>
  </si>
  <si>
    <t>Kiera</t>
  </si>
  <si>
    <t>Kiera Gomm</t>
  </si>
  <si>
    <t>03/28/2013 11:09:20 PM MDT</t>
  </si>
  <si>
    <t>Alethea</t>
  </si>
  <si>
    <t>Gonzaga</t>
  </si>
  <si>
    <t>Clara</t>
  </si>
  <si>
    <t>Goodwin</t>
  </si>
  <si>
    <t>03/27/2013 10:23:58 AM MDT</t>
  </si>
  <si>
    <t>Eric Goold</t>
  </si>
  <si>
    <t>Kyah</t>
  </si>
  <si>
    <t>Kazley</t>
  </si>
  <si>
    <t>Gordon</t>
  </si>
  <si>
    <t>Vasko</t>
  </si>
  <si>
    <t>Gorodetsky</t>
  </si>
  <si>
    <t>Starr</t>
  </si>
  <si>
    <t>03/28/2013 03:19:39 PM MDT</t>
  </si>
  <si>
    <t>Dulce</t>
  </si>
  <si>
    <t>Gorostieta</t>
  </si>
  <si>
    <t>03/27/2013 10:15:33 PM MDT</t>
  </si>
  <si>
    <t>Elisabeth</t>
  </si>
  <si>
    <t>Goss</t>
  </si>
  <si>
    <t>Lisa Goss</t>
  </si>
  <si>
    <t>03/28/2013 06:25:50 PM MDT</t>
  </si>
  <si>
    <t>Shruti</t>
  </si>
  <si>
    <t>Govinde</t>
  </si>
  <si>
    <t>03/26/2013 09:17:00 AM MDT</t>
  </si>
  <si>
    <t>03/26/2013 09:16:59 AM MDT</t>
  </si>
  <si>
    <t>Grass</t>
  </si>
  <si>
    <t>jannette and Jorn Grass</t>
  </si>
  <si>
    <t>03/26/2013 07:32:33 PM MDT</t>
  </si>
  <si>
    <t>Jorn</t>
  </si>
  <si>
    <t>Grate</t>
  </si>
  <si>
    <t>paul</t>
  </si>
  <si>
    <t>03/28/2013 07:15:47 PM MDT</t>
  </si>
  <si>
    <t>Gray</t>
  </si>
  <si>
    <t>Gray Jr</t>
  </si>
  <si>
    <t>03/28/2013 07:58:08 PM MDT</t>
  </si>
  <si>
    <t>Wayne Gray Jr</t>
  </si>
  <si>
    <t>1 XL, 1 Large, 2 Medium</t>
  </si>
  <si>
    <t>03/28/2013 12:56:39 PM MDT</t>
  </si>
  <si>
    <t>Nicole or Jacob Green</t>
  </si>
  <si>
    <t>Sara Green</t>
  </si>
  <si>
    <t>Janika</t>
  </si>
  <si>
    <t>Steenbakkers</t>
  </si>
  <si>
    <t>03/27/2013 09:26:56 PM MDT</t>
  </si>
  <si>
    <t>Greenfield</t>
  </si>
  <si>
    <t>Keiser</t>
  </si>
  <si>
    <t>03/27/2013 01:39:45 PM MDT</t>
  </si>
  <si>
    <t>Greenhalgh</t>
  </si>
  <si>
    <t>Rose or Jeannie</t>
  </si>
  <si>
    <t>Gregson</t>
  </si>
  <si>
    <t>Grow</t>
  </si>
  <si>
    <t>Abby Grow</t>
  </si>
  <si>
    <t>03/28/2013 06:49:28 PM MDT</t>
  </si>
  <si>
    <t>Mark Grunwald</t>
  </si>
  <si>
    <t>Roads</t>
  </si>
  <si>
    <t>03/26/2013 12:54:34 PM MDT</t>
  </si>
  <si>
    <t>Rui</t>
  </si>
  <si>
    <t>Sun</t>
  </si>
  <si>
    <t>03/27/2013 03:19:26 PM MDT</t>
  </si>
  <si>
    <t>Osiris</t>
  </si>
  <si>
    <t>Langarica</t>
  </si>
  <si>
    <t>03/27/2013 06:29:15 PM MDT</t>
  </si>
  <si>
    <t>Swift</t>
  </si>
  <si>
    <t>03/28/2013 06:21:44 PM MDT</t>
  </si>
  <si>
    <t>Teal</t>
  </si>
  <si>
    <t>03/28/2013 03:28:32 PM MDT</t>
  </si>
  <si>
    <t>Lauchnor</t>
  </si>
  <si>
    <t>03/27/2013 04:18:19 PM MDT</t>
  </si>
  <si>
    <t>Stankovich</t>
  </si>
  <si>
    <t>Kourtney</t>
  </si>
  <si>
    <t>Mitchell</t>
  </si>
  <si>
    <t>Nashai</t>
  </si>
  <si>
    <t>Ricardo</t>
  </si>
  <si>
    <t>03/26/2013 11:39:51 AM MDT</t>
  </si>
  <si>
    <t>Lori</t>
  </si>
  <si>
    <t>Mills</t>
  </si>
  <si>
    <t>03/28/2013 11:44:29 PM MDT</t>
  </si>
  <si>
    <t>Jane</t>
  </si>
  <si>
    <t>Jessup</t>
  </si>
  <si>
    <t>Kelton</t>
  </si>
  <si>
    <t>Sean</t>
  </si>
  <si>
    <t>Jett</t>
  </si>
  <si>
    <t>Zelda</t>
  </si>
  <si>
    <t>Rios</t>
  </si>
  <si>
    <t>03/27/2013 02:32:10 PM MDT</t>
  </si>
  <si>
    <t>Sheena</t>
  </si>
  <si>
    <t>Gunnell</t>
  </si>
  <si>
    <t>tammara and dave</t>
  </si>
  <si>
    <t>Hadock</t>
  </si>
  <si>
    <t>Chantel</t>
  </si>
  <si>
    <t>Hagen</t>
  </si>
  <si>
    <t>Greg Hagen</t>
  </si>
  <si>
    <t>03/28/2013 08:51:22 PM MDT</t>
  </si>
  <si>
    <t>Shonie-Savanah Elizabeth</t>
  </si>
  <si>
    <t>Haigh</t>
  </si>
  <si>
    <t>Emrah</t>
  </si>
  <si>
    <t>Karadeniz</t>
  </si>
  <si>
    <t>03/27/2013 06:52:50 AM MDT</t>
  </si>
  <si>
    <t>Anthony Halaliku</t>
  </si>
  <si>
    <t>Madison Hale</t>
  </si>
  <si>
    <t>Annie Hall</t>
  </si>
  <si>
    <t>03/27/2013 10:59:54 AM MDT</t>
  </si>
  <si>
    <t>Jeff Halliday</t>
  </si>
  <si>
    <t>Kaleb</t>
  </si>
  <si>
    <t>Darci</t>
  </si>
  <si>
    <t>Hallmark</t>
  </si>
  <si>
    <t>Darci Hallmark</t>
  </si>
  <si>
    <t>03/28/2013 11:45:36 PM MDT</t>
  </si>
  <si>
    <t>Hallows</t>
  </si>
  <si>
    <t>03/28/2013 09:06:48 AM MDT</t>
  </si>
  <si>
    <t>Hamill</t>
  </si>
  <si>
    <t>Lily Hamill</t>
  </si>
  <si>
    <t>03/28/2013 11:53:39 PM MDT</t>
  </si>
  <si>
    <t>Justine</t>
  </si>
  <si>
    <t>Hanscom</t>
  </si>
  <si>
    <t>Shanta</t>
  </si>
  <si>
    <t>Locklear</t>
  </si>
  <si>
    <t>03/27/2013 09:40:38 AM MDT</t>
  </si>
  <si>
    <t>Beckylynn</t>
  </si>
  <si>
    <t>Jace</t>
  </si>
  <si>
    <t>Sadie</t>
  </si>
  <si>
    <t>Madeleine</t>
  </si>
  <si>
    <t>03/28/2013 12:16:40 PM MDT</t>
  </si>
  <si>
    <t>Rose Hanson</t>
  </si>
  <si>
    <t>03/27/2013 09:43:06 AM MDT</t>
  </si>
  <si>
    <t>Geric</t>
  </si>
  <si>
    <t>Hardman</t>
  </si>
  <si>
    <t>geric</t>
  </si>
  <si>
    <t>03/28/2013 11:34:01 PM MDT</t>
  </si>
  <si>
    <t>03/28/2013 09:49:16 AM MDT</t>
  </si>
  <si>
    <t>Rhiannon</t>
  </si>
  <si>
    <t>Hargraves</t>
  </si>
  <si>
    <t>Rhiannon Hargraves</t>
  </si>
  <si>
    <t>03/28/2013 07:02:15 PM MDT</t>
  </si>
  <si>
    <t>Kate</t>
  </si>
  <si>
    <t>Harline</t>
  </si>
  <si>
    <t>03/28/2013 07:19:56 PM MDT</t>
  </si>
  <si>
    <t>03/27/2013 11:22:01 PM MDT</t>
  </si>
  <si>
    <t>Kim, Whitnee, Jessa or Connor</t>
  </si>
  <si>
    <t>Whitnee</t>
  </si>
  <si>
    <t>03/26/2013 02:55:38 PM MDT</t>
  </si>
  <si>
    <t>Cory Harrison</t>
  </si>
  <si>
    <t>03/26/2013 03:02:07 PM MDT</t>
  </si>
  <si>
    <t>Maygan</t>
  </si>
  <si>
    <t>Trevor Harrison or Dennis Christiansen</t>
  </si>
  <si>
    <t>03/27/2013 01:20:28 PM MDT</t>
  </si>
  <si>
    <t>Kai</t>
  </si>
  <si>
    <t>Hartley</t>
  </si>
  <si>
    <t>Laus</t>
  </si>
  <si>
    <t>03/26/2013 10:53:14 AM MDT</t>
  </si>
  <si>
    <t>Karl</t>
  </si>
  <si>
    <t>MaKayla</t>
  </si>
  <si>
    <t>Rowsell</t>
  </si>
  <si>
    <t>03/26/2013 08:56:21 PM MDT</t>
  </si>
  <si>
    <t>Harward</t>
  </si>
  <si>
    <t>03/28/2013 02:11:25 AM MDT</t>
  </si>
  <si>
    <t>melinda harward</t>
  </si>
  <si>
    <t>Scott Harward</t>
  </si>
  <si>
    <t>03/27/2013 07:45:31 PM MDT</t>
  </si>
  <si>
    <t>Janae</t>
  </si>
  <si>
    <t>Hasleton</t>
  </si>
  <si>
    <t>Janae Hasleton</t>
  </si>
  <si>
    <t>03/28/2013 09:29:57 PM MDT</t>
  </si>
  <si>
    <t>Hastings</t>
  </si>
  <si>
    <t>03/27/2013 04:52:02 AM MDT</t>
  </si>
  <si>
    <t>Barb</t>
  </si>
  <si>
    <t>Hatch</t>
  </si>
  <si>
    <t>Barb hatch</t>
  </si>
  <si>
    <t>03/28/2013 06:01:58 PM MDT</t>
  </si>
  <si>
    <t>03/26/2013 03:06:33 PM MDT</t>
  </si>
  <si>
    <t>MaryAnn Hatchery</t>
  </si>
  <si>
    <t>03/27/2013 08:55:53 PM MDT</t>
  </si>
  <si>
    <t>Hawkes</t>
  </si>
  <si>
    <t>Dan</t>
  </si>
  <si>
    <t>03/27/2013 07:10:56 PM MDT</t>
  </si>
  <si>
    <t>sienna hawkins</t>
  </si>
  <si>
    <t>03/27/2013 03:09:55 PM MDT</t>
  </si>
  <si>
    <t>Stefan Hawkins</t>
  </si>
  <si>
    <t>Khaled</t>
  </si>
  <si>
    <t>Hawsawi</t>
  </si>
  <si>
    <t>Hayes</t>
  </si>
  <si>
    <t>Abbey Haynes</t>
  </si>
  <si>
    <t>03/27/2013 01:45:58 PM MDT</t>
  </si>
  <si>
    <t>Zo</t>
  </si>
  <si>
    <t>Headley</t>
  </si>
  <si>
    <t>Bryce Heer</t>
  </si>
  <si>
    <t>Heiner</t>
  </si>
  <si>
    <t>03/26/2013 11:23:54 AM MDT</t>
  </si>
  <si>
    <t>Hemmert</t>
  </si>
  <si>
    <t>03/27/2013 10:02:12 AM MDT</t>
  </si>
  <si>
    <t>Hempel</t>
  </si>
  <si>
    <t>Ord</t>
  </si>
  <si>
    <t>03/28/2013 10:57:07 PM MDT</t>
  </si>
  <si>
    <t>mindy henager</t>
  </si>
  <si>
    <t>Hender</t>
  </si>
  <si>
    <t>Hendrickson</t>
  </si>
  <si>
    <t>Ashley Hendrickson</t>
  </si>
  <si>
    <t>Extra large</t>
  </si>
  <si>
    <t>03/27/2013 07:48:10 PM MDT</t>
  </si>
  <si>
    <t>03/26/2013 11:44:00 AM MDT</t>
  </si>
  <si>
    <t>Ashley Hendrix</t>
  </si>
  <si>
    <t>Colin</t>
  </si>
  <si>
    <t>Henning</t>
  </si>
  <si>
    <t>03/26/2013 06:00:45 PM MDT</t>
  </si>
  <si>
    <t>Hepworth</t>
  </si>
  <si>
    <t>Alex Hepworth</t>
  </si>
  <si>
    <t>03/28/2013 12:49:56 AM MDT</t>
  </si>
  <si>
    <t>Daniel Herrera</t>
  </si>
  <si>
    <t>Herring</t>
  </si>
  <si>
    <t>joseph herring</t>
  </si>
  <si>
    <t>03/28/2013 09:00:53 AM MDT</t>
  </si>
  <si>
    <t>Alexis Giles</t>
  </si>
  <si>
    <t>Higbee</t>
  </si>
  <si>
    <t>Ashley HIgbee</t>
  </si>
  <si>
    <t>03/27/2013 09:55:19 AM MDT</t>
  </si>
  <si>
    <t>Jerikke Hickam</t>
  </si>
  <si>
    <t>High</t>
  </si>
  <si>
    <t>03/26/2013 11:00:58 AM MDT</t>
  </si>
  <si>
    <t>Jenn Ball</t>
  </si>
  <si>
    <t>03/28/2013 12:09:56 PM MDT</t>
  </si>
  <si>
    <t>Jaylynn</t>
  </si>
  <si>
    <t>03/26/2013 09:49:02 AM MDT</t>
  </si>
  <si>
    <t>Hogan</t>
  </si>
  <si>
    <t>Josh Hogan</t>
  </si>
  <si>
    <t>03/27/2013 03:27:58 PM MDT</t>
  </si>
  <si>
    <t>Sariah</t>
  </si>
  <si>
    <t>03/26/2013 10:58:33 AM MDT</t>
  </si>
  <si>
    <t>Hoggan</t>
  </si>
  <si>
    <t>03/28/2013 05:51:47 PM MDT</t>
  </si>
  <si>
    <t>Rozan</t>
  </si>
  <si>
    <t>03/28/2013 07:51:44 PM MDT</t>
  </si>
  <si>
    <t>Whitney Holdsworth</t>
  </si>
  <si>
    <t>Coby</t>
  </si>
  <si>
    <t>Holm</t>
  </si>
  <si>
    <t>Holman</t>
  </si>
  <si>
    <t>Kelsy</t>
  </si>
  <si>
    <t>03/28/2013 12:53:36 PM MDT</t>
  </si>
  <si>
    <t>Eric Holmes</t>
  </si>
  <si>
    <t>03/28/2013 12:51:57 PM MDT</t>
  </si>
  <si>
    <t>03/26/2013 10:25:16 PM MDT</t>
  </si>
  <si>
    <t>Holyoak</t>
  </si>
  <si>
    <t>03/27/2013 09:54:34 AM MDT</t>
  </si>
  <si>
    <t>Mike or Shauna</t>
  </si>
  <si>
    <t>XL and L</t>
  </si>
  <si>
    <t>03/27/2013 10:37:01 AM MDT</t>
  </si>
  <si>
    <t>Shauna &amp; Mike Holyoak</t>
  </si>
  <si>
    <t>L and XL</t>
  </si>
  <si>
    <t>Honey</t>
  </si>
  <si>
    <t>Brenda Honey</t>
  </si>
  <si>
    <t>03/28/2013 12:40:51 PM MDT</t>
  </si>
  <si>
    <t>Zack</t>
  </si>
  <si>
    <t>Hooten</t>
  </si>
  <si>
    <t>03/27/2013 03:23:29 PM MDT</t>
  </si>
  <si>
    <t>kristina</t>
  </si>
  <si>
    <t>Hopkin</t>
  </si>
  <si>
    <t>Candice Hopkins</t>
  </si>
  <si>
    <t>Colt</t>
  </si>
  <si>
    <t>Neva</t>
  </si>
  <si>
    <t>03/28/2013 07:14:02 PM MDT</t>
  </si>
  <si>
    <t>ShayLyn</t>
  </si>
  <si>
    <t>Stubbs</t>
  </si>
  <si>
    <t>03/28/2013 03:00:48 PM MDT</t>
  </si>
  <si>
    <t>Neva Hopkins</t>
  </si>
  <si>
    <t>Bailee</t>
  </si>
  <si>
    <t>Horne</t>
  </si>
  <si>
    <t>Dallas</t>
  </si>
  <si>
    <t>Austin Horton</t>
  </si>
  <si>
    <t>03/28/2013 11:15:26 AM MDT</t>
  </si>
  <si>
    <t>Bryson</t>
  </si>
  <si>
    <t>Rick</t>
  </si>
  <si>
    <t>Houston</t>
  </si>
  <si>
    <t>03/28/2013 01:24:56 PM MDT</t>
  </si>
  <si>
    <t>Hovanec</t>
  </si>
  <si>
    <t>03/28/2013 09:33:37 AM MDT</t>
  </si>
  <si>
    <t>Jenni</t>
  </si>
  <si>
    <t>03/28/2013 03:54:55 PM MDT</t>
  </si>
  <si>
    <t>03/28/2013 05:03:18 PM MDT</t>
  </si>
  <si>
    <t>Britni</t>
  </si>
  <si>
    <t>Howe</t>
  </si>
  <si>
    <t>Britni Howe or Korey Linford</t>
  </si>
  <si>
    <t>03/26/2013 03:56:31 PM MDT</t>
  </si>
  <si>
    <t>03/26/2013 10:17:35 AM MDT</t>
  </si>
  <si>
    <t>Kalyn</t>
  </si>
  <si>
    <t>Howlett</t>
  </si>
  <si>
    <t>MaKenna</t>
  </si>
  <si>
    <t>Hoxsie</t>
  </si>
  <si>
    <t>Stacie</t>
  </si>
  <si>
    <t>Skinner</t>
  </si>
  <si>
    <t>03/27/2013 03:14:50 PM MDT</t>
  </si>
  <si>
    <t>Hughes</t>
  </si>
  <si>
    <t>Ricaren</t>
  </si>
  <si>
    <t>03/28/2013 07:34:23 PM MDT</t>
  </si>
  <si>
    <t>Lumpkin</t>
  </si>
  <si>
    <t>03/28/2013 11:08:29 PM MDT</t>
  </si>
  <si>
    <t>Hull</t>
  </si>
  <si>
    <t>Brinlie</t>
  </si>
  <si>
    <t>Warden</t>
  </si>
  <si>
    <t>03/27/2013 10:21:43 PM MDT</t>
  </si>
  <si>
    <t>Huppi</t>
  </si>
  <si>
    <t>03/27/2013 05:43:37 PM MDT</t>
  </si>
  <si>
    <t>Hurst</t>
  </si>
  <si>
    <t>03/26/2013 07:19:36 PM MDT</t>
  </si>
  <si>
    <t>Hyatt</t>
  </si>
  <si>
    <t>Amber Hyatt</t>
  </si>
  <si>
    <t>03/28/2013 10:26:46 PM MDT</t>
  </si>
  <si>
    <t>Hymas</t>
  </si>
  <si>
    <t>Ingoglia</t>
  </si>
  <si>
    <t>Joseph Ingoglia</t>
  </si>
  <si>
    <t>03/28/2013 02:12:00 AM MDT</t>
  </si>
  <si>
    <t>Hailee</t>
  </si>
  <si>
    <t>Ipson</t>
  </si>
  <si>
    <t>Hailee Ipson</t>
  </si>
  <si>
    <t>03/26/2013 03:10:06 PM MDT</t>
  </si>
  <si>
    <t>Marco</t>
  </si>
  <si>
    <t>Irazoqui</t>
  </si>
  <si>
    <t>Ithurralde</t>
  </si>
  <si>
    <t>Anthony Ithurralde</t>
  </si>
  <si>
    <t>03/28/2013 07:56:59 PM MDT</t>
  </si>
  <si>
    <t>Hiroki</t>
  </si>
  <si>
    <t>Ito</t>
  </si>
  <si>
    <t>03/28/2013 01:47:52 PM MDT</t>
  </si>
  <si>
    <t>Marta</t>
  </si>
  <si>
    <t>Iversen</t>
  </si>
  <si>
    <t>marta</t>
  </si>
  <si>
    <t>03/27/2013 07:51:44 PM MDT</t>
  </si>
  <si>
    <t>Jakobsen</t>
  </si>
  <si>
    <t>zana anderson or rachel jakobsen</t>
  </si>
  <si>
    <t>03/28/2013 08:55:04 AM MDT</t>
  </si>
  <si>
    <t>Logan James</t>
  </si>
  <si>
    <t>Jefferies</t>
  </si>
  <si>
    <t>Sean (myself)</t>
  </si>
  <si>
    <t>03/26/2013 03:58:35 PM MDT</t>
  </si>
  <si>
    <t>Holli</t>
  </si>
  <si>
    <t>Ward</t>
  </si>
  <si>
    <t>03/27/2013 03:27:48 PM MDT</t>
  </si>
  <si>
    <t>Claire Jensen, Chloe Carr, Abbie Hopkin, or Lyssa Jensen</t>
  </si>
  <si>
    <t>Storms</t>
  </si>
  <si>
    <t>03/27/2013 09:32:49 PM MDT</t>
  </si>
  <si>
    <t>Jeannie</t>
  </si>
  <si>
    <t>Jennica</t>
  </si>
  <si>
    <t>03/27/2013 12:05:30 PM MDT</t>
  </si>
  <si>
    <t>Krysta</t>
  </si>
  <si>
    <t>03/27/2013 09:40:25 PM MDT</t>
  </si>
  <si>
    <t>Lyssa</t>
  </si>
  <si>
    <t>Mykal</t>
  </si>
  <si>
    <t>Mykal Jensen</t>
  </si>
  <si>
    <t>03/28/2013 09:39:50 PM MDT</t>
  </si>
  <si>
    <t>Jeppson</t>
  </si>
  <si>
    <t>Kiirsten</t>
  </si>
  <si>
    <t>03/28/2013 01:39:47 PM MDT</t>
  </si>
  <si>
    <t>Kiirsten or Brian Jeppson</t>
  </si>
  <si>
    <t>Elisha</t>
  </si>
  <si>
    <t>Jessop</t>
  </si>
  <si>
    <t>03/28/2013 05:12:15 PM MDT</t>
  </si>
  <si>
    <t>Ankush</t>
  </si>
  <si>
    <t>Jhalani</t>
  </si>
  <si>
    <t>Mandeep</t>
  </si>
  <si>
    <t>Pawar</t>
  </si>
  <si>
    <t>03/26/2013 11:12:53 AM MDT</t>
  </si>
  <si>
    <t>Johansen</t>
  </si>
  <si>
    <t>Valdez</t>
  </si>
  <si>
    <t>03/28/2013 10:23:43 PM MDT</t>
  </si>
  <si>
    <t>03/27/2013 11:56:35 AM MDT</t>
  </si>
  <si>
    <t>03/27/2013 05:20:02 PM MDT</t>
  </si>
  <si>
    <t>03/26/2013 09:42:45 AM MDT</t>
  </si>
  <si>
    <t>Winfield</t>
  </si>
  <si>
    <t>03/27/2013 06:13:19 PM MDT</t>
  </si>
  <si>
    <t>Joann</t>
  </si>
  <si>
    <t>Julene</t>
  </si>
  <si>
    <t>Keith Johnson</t>
  </si>
  <si>
    <t>LaRen</t>
  </si>
  <si>
    <t>03/28/2013 01:56:21 PM MDT</t>
  </si>
  <si>
    <t>Alyson</t>
  </si>
  <si>
    <t>Wilkey</t>
  </si>
  <si>
    <t>03/27/2013 01:40:32 PM MDT</t>
  </si>
  <si>
    <t>Miranda Johnson</t>
  </si>
  <si>
    <t>03/28/2013 10:55:00 AM MDT</t>
  </si>
  <si>
    <t>Paris</t>
  </si>
  <si>
    <t>Trevor Johnson</t>
  </si>
  <si>
    <t>03/28/2013 08:54:31 AM MDT</t>
  </si>
  <si>
    <t>03/28/2013 07:10:40 PM MDT</t>
  </si>
  <si>
    <t>Johnston</t>
  </si>
  <si>
    <t>Tiffany Johnston</t>
  </si>
  <si>
    <t>03/28/2013 11:00:13 AM MDT</t>
  </si>
  <si>
    <t>03/27/2013 10:15:48 AM MDT</t>
  </si>
  <si>
    <t>Karalynn</t>
  </si>
  <si>
    <t>Karalynn Jones</t>
  </si>
  <si>
    <t>03/26/2013 04:36:26 PM MDT</t>
  </si>
  <si>
    <t>Shelly</t>
  </si>
  <si>
    <t>03/27/2013 03:58:35 PM MDT</t>
  </si>
  <si>
    <t>Kevin and/or Shelly Jones</t>
  </si>
  <si>
    <t>Stacia</t>
  </si>
  <si>
    <t>Joyner</t>
  </si>
  <si>
    <t>Lombardo</t>
  </si>
  <si>
    <t>03/28/2013 09:02:22 PM MDT</t>
  </si>
  <si>
    <t>Matt Judd</t>
  </si>
  <si>
    <t>Large and Medium</t>
  </si>
  <si>
    <t>03/27/2013 11:35:46 PM MDT</t>
  </si>
  <si>
    <t>Nyckie</t>
  </si>
  <si>
    <t>Justice</t>
  </si>
  <si>
    <t>Anup</t>
  </si>
  <si>
    <t>Kandpile</t>
  </si>
  <si>
    <t>Emrah Karadeniz</t>
  </si>
  <si>
    <t>5XL, if not possible, then the biggest size</t>
  </si>
  <si>
    <t>Cailin</t>
  </si>
  <si>
    <t>Karotkin</t>
  </si>
  <si>
    <t>Tiffany Kay</t>
  </si>
  <si>
    <t>Dayna Keiser</t>
  </si>
  <si>
    <t>Lauren Kelly</t>
  </si>
  <si>
    <t>03/27/2013 10:02:37 AM MDT</t>
  </si>
  <si>
    <t>Tabitha Kelly</t>
  </si>
  <si>
    <t>Kemp</t>
  </si>
  <si>
    <t>Rebecca Kemp</t>
  </si>
  <si>
    <t>03/28/2013 10:45:12 AM MDT</t>
  </si>
  <si>
    <t>Charissa</t>
  </si>
  <si>
    <t>Kennard</t>
  </si>
  <si>
    <t>Megan Kennard</t>
  </si>
  <si>
    <t>03/28/2013 08:04:51 PM MDT</t>
  </si>
  <si>
    <t>Kenney</t>
  </si>
  <si>
    <t>Chelsey or Mookie</t>
  </si>
  <si>
    <t>03/28/2013 01:40:30 PM MDT</t>
  </si>
  <si>
    <t>03/27/2013 04:19:11 PM MDT</t>
  </si>
  <si>
    <t>Chas</t>
  </si>
  <si>
    <t>Kerouac</t>
  </si>
  <si>
    <t>Kali</t>
  </si>
  <si>
    <t>Taulanga</t>
  </si>
  <si>
    <t>03/26/2013 10:25:47 PM MDT</t>
  </si>
  <si>
    <t>Addison</t>
  </si>
  <si>
    <t>Alondra</t>
  </si>
  <si>
    <t>03/27/2013 10:55:51 AM MDT</t>
  </si>
  <si>
    <t>Alondra Kerr</t>
  </si>
  <si>
    <t>Kesler</t>
  </si>
  <si>
    <t>03/26/2013 10:23:26 PM MDT</t>
  </si>
  <si>
    <t>Eloise Keyes</t>
  </si>
  <si>
    <t>Kenzi</t>
  </si>
  <si>
    <t>Kilpatrick</t>
  </si>
  <si>
    <t>Kenzi Kilpatrick</t>
  </si>
  <si>
    <t>03/26/2013 03:09:44 PM MDT</t>
  </si>
  <si>
    <t>Jessa</t>
  </si>
  <si>
    <t>Kinderknecht</t>
  </si>
  <si>
    <t>Terri/Penny</t>
  </si>
  <si>
    <t>Kirkeeide</t>
  </si>
  <si>
    <t>03/26/2013 10:26:28 AM MDT</t>
  </si>
  <si>
    <t>Kirkpatrick</t>
  </si>
  <si>
    <t>03/26/2013 09:34:40 PM MDT</t>
  </si>
  <si>
    <t>Kevin Kirkpatrick</t>
  </si>
  <si>
    <t>MacKenzie</t>
  </si>
  <si>
    <t>Roxanne</t>
  </si>
  <si>
    <t>Knapp</t>
  </si>
  <si>
    <t>men's small</t>
  </si>
  <si>
    <t>03/27/2013 11:10:38 AM MDT</t>
  </si>
  <si>
    <t>Thant Mon</t>
  </si>
  <si>
    <t>Ko Ko</t>
  </si>
  <si>
    <t>03/28/2013 04:59:41 PM MDT</t>
  </si>
  <si>
    <t>Kosloff</t>
  </si>
  <si>
    <t>Tayler</t>
  </si>
  <si>
    <t>Kramer</t>
  </si>
  <si>
    <t>Timmie</t>
  </si>
  <si>
    <t>03/28/2013 09:59:28 AM MDT</t>
  </si>
  <si>
    <t>03/27/2013 01:53:17 PM MDT</t>
  </si>
  <si>
    <t>Michelle Krause</t>
  </si>
  <si>
    <t>2 Large and 1 X-Large</t>
  </si>
  <si>
    <t>Ara</t>
  </si>
  <si>
    <t>Kreimeyer</t>
  </si>
  <si>
    <t>03/28/2013 07:18:28 PM MDT</t>
  </si>
  <si>
    <t>Krieger</t>
  </si>
  <si>
    <t>Aaon</t>
  </si>
  <si>
    <t>03/28/2013 06:58:10 PM MDT</t>
  </si>
  <si>
    <t>Kunkel</t>
  </si>
  <si>
    <t>03/28/2013 11:14:35 AM MDT</t>
  </si>
  <si>
    <t>Kunz</t>
  </si>
  <si>
    <t>Ashley Kunz</t>
  </si>
  <si>
    <t>03/27/2013 03:49:25 PM MDT</t>
  </si>
  <si>
    <t>Kvamme</t>
  </si>
  <si>
    <t>Alisha kvamme</t>
  </si>
  <si>
    <t>03/28/2013 09:37:28 PM MDT</t>
  </si>
  <si>
    <t>Dakota Labrum</t>
  </si>
  <si>
    <t>rebecca labrum</t>
  </si>
  <si>
    <t>03/27/2013 08:33:50 PM MDT</t>
  </si>
  <si>
    <t>Robin</t>
  </si>
  <si>
    <t>03/26/2013 07:43:55 PM MDT</t>
  </si>
  <si>
    <t>Lair</t>
  </si>
  <si>
    <t>Lam</t>
  </si>
  <si>
    <t>Alec Lam</t>
  </si>
  <si>
    <t>03/28/2013 10:05:17 PM MDT</t>
  </si>
  <si>
    <t>Brad Lambert</t>
  </si>
  <si>
    <t>Lange</t>
  </si>
  <si>
    <t>Angel Lange</t>
  </si>
  <si>
    <t>03/28/2013 05:20:59 PM MDT</t>
  </si>
  <si>
    <t>Chandler</t>
  </si>
  <si>
    <t>Lara</t>
  </si>
  <si>
    <t>Chandler Lara</t>
  </si>
  <si>
    <t>03/27/2013 09:04:13 PM MDT</t>
  </si>
  <si>
    <t>Isabella</t>
  </si>
  <si>
    <t>Larett</t>
  </si>
  <si>
    <t>Melissa Larsen</t>
  </si>
  <si>
    <t>Chantele</t>
  </si>
  <si>
    <t>Puckett</t>
  </si>
  <si>
    <t>03/27/2013 07:04:12 PM MDT</t>
  </si>
  <si>
    <t>Alyssa k. Larson</t>
  </si>
  <si>
    <t>Lasnick</t>
  </si>
  <si>
    <t>Westfall</t>
  </si>
  <si>
    <t>03/28/2013 10:12:40 PM MDT</t>
  </si>
  <si>
    <t>Whitney &amp; Kel</t>
  </si>
  <si>
    <t>joe lauchnor</t>
  </si>
  <si>
    <t>Boone</t>
  </si>
  <si>
    <t>Joseph Leach</t>
  </si>
  <si>
    <t>One XL, two Large, two medium</t>
  </si>
  <si>
    <t>Ledna</t>
  </si>
  <si>
    <t>Timothy Ledna</t>
  </si>
  <si>
    <t>03/26/2013 05:36:56 PM MDT</t>
  </si>
  <si>
    <t>03/27/2013 04:54:31 PM MDT</t>
  </si>
  <si>
    <t>03/28/2013 05:39:50 PM MDT</t>
  </si>
  <si>
    <t>Leek</t>
  </si>
  <si>
    <t>Marcie</t>
  </si>
  <si>
    <t>03/26/2013 12:37:58 PM MDT</t>
  </si>
  <si>
    <t>Leger</t>
  </si>
  <si>
    <t>Leib</t>
  </si>
  <si>
    <t>Schwertfeger</t>
  </si>
  <si>
    <t>03/26/2013 07:54:21 PM MDT</t>
  </si>
  <si>
    <t>Lemmon</t>
  </si>
  <si>
    <t>Anna Lemmon or Stephanie Warren</t>
  </si>
  <si>
    <t>03/27/2013 08:55:30 PM MDT</t>
  </si>
  <si>
    <t>Lemon</t>
  </si>
  <si>
    <t>Lengyel</t>
  </si>
  <si>
    <t>Andrea Leon or Robert Cluff</t>
  </si>
  <si>
    <t>woman's size medium and man's size XL</t>
  </si>
  <si>
    <t>Libby Leonelli Gober</t>
  </si>
  <si>
    <t>Lesher</t>
  </si>
  <si>
    <t>Analee</t>
  </si>
  <si>
    <t>Meyer</t>
  </si>
  <si>
    <t>03/27/2013 10:50:25 PM MDT</t>
  </si>
  <si>
    <t>ashley</t>
  </si>
  <si>
    <t>Lewandowski</t>
  </si>
  <si>
    <t>Brice</t>
  </si>
  <si>
    <t>03/26/2013 01:29:44 PM MDT</t>
  </si>
  <si>
    <t>Braylee</t>
  </si>
  <si>
    <t>03/27/2013 09:08:20 PM MDT</t>
  </si>
  <si>
    <t>Jeff Lewis</t>
  </si>
  <si>
    <t>03/27/2013 10:25:07 PM MDT</t>
  </si>
  <si>
    <t>Jennifer Lewis</t>
  </si>
  <si>
    <t>03/28/2013 11:12:03 AM MDT</t>
  </si>
  <si>
    <t>Haily liddell</t>
  </si>
  <si>
    <t>Liechty</t>
  </si>
  <si>
    <t>03/27/2013 09:36:45 PM MDT</t>
  </si>
  <si>
    <t>YaeRi</t>
  </si>
  <si>
    <t>Lim</t>
  </si>
  <si>
    <t>Brad Welker</t>
  </si>
  <si>
    <t>03/26/2013 10:38:17 PM MDT</t>
  </si>
  <si>
    <t>Korey</t>
  </si>
  <si>
    <t>Linford</t>
  </si>
  <si>
    <t>Little</t>
  </si>
  <si>
    <t>Adam Little</t>
  </si>
  <si>
    <t>03/28/2013 01:28:50 AM MDT</t>
  </si>
  <si>
    <t>03/28/2013 01:28:51 AM MDT</t>
  </si>
  <si>
    <t>Liu</t>
  </si>
  <si>
    <t>Livingston</t>
  </si>
  <si>
    <t>Amy livingston</t>
  </si>
  <si>
    <t>03/27/2013 03:37:06 PM MDT</t>
  </si>
  <si>
    <t>shanta locklear</t>
  </si>
  <si>
    <t>Loken</t>
  </si>
  <si>
    <t>Nariman</t>
  </si>
  <si>
    <t>Noursalehi</t>
  </si>
  <si>
    <t>03/26/2013 09:50:41 AM MDT</t>
  </si>
  <si>
    <t>Luis Lombardo</t>
  </si>
  <si>
    <t>Areeana</t>
  </si>
  <si>
    <t>chad</t>
  </si>
  <si>
    <t>Jamie Long</t>
  </si>
  <si>
    <t>03/28/2013 11:34:50 AM MDT</t>
  </si>
  <si>
    <t>Talisa</t>
  </si>
  <si>
    <t>Loosli</t>
  </si>
  <si>
    <t>03/27/2013 09:19:54 PM MDT</t>
  </si>
  <si>
    <t>Damian</t>
  </si>
  <si>
    <t>Sydney Lopez</t>
  </si>
  <si>
    <t>03/27/2013 11:59:15 AM MDT</t>
  </si>
  <si>
    <t>florencia lopez</t>
  </si>
  <si>
    <t>Madeleine Lopez</t>
  </si>
  <si>
    <t>Tezzy</t>
  </si>
  <si>
    <t>Tezzy Lopez</t>
  </si>
  <si>
    <t>03/26/2013 04:52:11 PM MDT</t>
  </si>
  <si>
    <t>Loumis</t>
  </si>
  <si>
    <t>Ranie</t>
  </si>
  <si>
    <t>03/28/2013 09:12:22 AM MDT</t>
  </si>
  <si>
    <t>small and large</t>
  </si>
  <si>
    <t>03/28/2013 09:12:21 AM MDT</t>
  </si>
  <si>
    <t>Ashley love</t>
  </si>
  <si>
    <t>03/27/2013 02:19:57 PM MDT</t>
  </si>
  <si>
    <t>Kiana</t>
  </si>
  <si>
    <t>Luft</t>
  </si>
  <si>
    <t>Bryce Lumpkin</t>
  </si>
  <si>
    <t>Lund</t>
  </si>
  <si>
    <t>Vince</t>
  </si>
  <si>
    <t>Luy</t>
  </si>
  <si>
    <t>Lynch</t>
  </si>
  <si>
    <t>One adult XL, one adult Large, three adult Small</t>
  </si>
  <si>
    <t>03/27/2013 01:58:29 PM MDT</t>
  </si>
  <si>
    <t>Lytle</t>
  </si>
  <si>
    <t>christy lytle</t>
  </si>
  <si>
    <t>03/27/2013 12:02:41 PM MDT</t>
  </si>
  <si>
    <t>Mason</t>
  </si>
  <si>
    <t>Mabbitt</t>
  </si>
  <si>
    <t>Estelle</t>
  </si>
  <si>
    <t>03/28/2013 08:31:36 PM MDT</t>
  </si>
  <si>
    <t>MacCabe</t>
  </si>
  <si>
    <t>Phil MacCabe</t>
  </si>
  <si>
    <t>03/27/2013 05:30:51 PM MDT</t>
  </si>
  <si>
    <t>Macias</t>
  </si>
  <si>
    <t>Mckenzie</t>
  </si>
  <si>
    <t>03/26/2013 10:13:28 PM MDT</t>
  </si>
  <si>
    <t>Maddock</t>
  </si>
  <si>
    <t>Calvin</t>
  </si>
  <si>
    <t>Tristan Major</t>
  </si>
  <si>
    <t>03/26/2013 10:17:50 PM MDT</t>
  </si>
  <si>
    <t>03/27/2013 11:30:26 AM MDT</t>
  </si>
  <si>
    <t>Maldonado</t>
  </si>
  <si>
    <t>Daniel Maldonado</t>
  </si>
  <si>
    <t>03/28/2013 02:08:19 PM MDT</t>
  </si>
  <si>
    <t>Malensek</t>
  </si>
  <si>
    <t>03/27/2013 01:41:57 AM MDT</t>
  </si>
  <si>
    <t>Vinit</t>
  </si>
  <si>
    <t>Malkan</t>
  </si>
  <si>
    <t>Marchese</t>
  </si>
  <si>
    <t>03/26/2013 09:51:16 AM MDT</t>
  </si>
  <si>
    <t>Angeline</t>
  </si>
  <si>
    <t>Marin</t>
  </si>
  <si>
    <t>Marrott</t>
  </si>
  <si>
    <t>l</t>
  </si>
  <si>
    <t>03/27/2013 03:44:54 PM MDT</t>
  </si>
  <si>
    <t>Kim Marshall</t>
  </si>
  <si>
    <t>lg and small</t>
  </si>
  <si>
    <t>03/27/2013 03:26:31 AM MDT</t>
  </si>
  <si>
    <t>Martim</t>
  </si>
  <si>
    <t>03/28/2013 09:04:52 PM MDT</t>
  </si>
  <si>
    <t>Brittnie</t>
  </si>
  <si>
    <t>Brittnie Martin</t>
  </si>
  <si>
    <t>03/28/2013 09:23:47 PM MDT</t>
  </si>
  <si>
    <t>03/28/2013 05:48:55 PM MDT</t>
  </si>
  <si>
    <t>Tarah</t>
  </si>
  <si>
    <t>Martindale</t>
  </si>
  <si>
    <t>Tarah Martindale</t>
  </si>
  <si>
    <t>03/27/2013 10:45:15 PM MDT</t>
  </si>
  <si>
    <t>Ivan Martinez</t>
  </si>
  <si>
    <t>Jaaron</t>
  </si>
  <si>
    <t>Kjirsten</t>
  </si>
  <si>
    <t>03/26/2013 11:54:38 PM MDT</t>
  </si>
  <si>
    <t>kathy martinez</t>
  </si>
  <si>
    <t>Kjirsten Martinez</t>
  </si>
  <si>
    <t>Chandra</t>
  </si>
  <si>
    <t>Martz</t>
  </si>
  <si>
    <t>03/28/2013 10:04:43 AM MDT</t>
  </si>
  <si>
    <t>Marzzarella</t>
  </si>
  <si>
    <t>Katie Marzzarella</t>
  </si>
  <si>
    <t>03/28/2013 02:59:11 PM MDT</t>
  </si>
  <si>
    <t>03/26/2013 07:02:18 PM MDT</t>
  </si>
  <si>
    <t>Mathiesen</t>
  </si>
  <si>
    <t>03/27/2013 02:38:57 PM MDT</t>
  </si>
  <si>
    <t>Matriss</t>
  </si>
  <si>
    <t>Ammon</t>
  </si>
  <si>
    <t>Mayfield</t>
  </si>
  <si>
    <t>Carie</t>
  </si>
  <si>
    <t>Mayle</t>
  </si>
  <si>
    <t>Maynard</t>
  </si>
  <si>
    <t>03/27/2013 08:29:35 PM MDT</t>
  </si>
  <si>
    <t>McAllister</t>
  </si>
  <si>
    <t>03/28/2013 04:26:11 AM MDT</t>
  </si>
  <si>
    <t>McBeth</t>
  </si>
  <si>
    <t>03/28/2013 10:25:12 PM MDT</t>
  </si>
  <si>
    <t>Tyler McBeth</t>
  </si>
  <si>
    <t>Jentre</t>
  </si>
  <si>
    <t>McCabe</t>
  </si>
  <si>
    <t>Jentre or Tyler McCabe</t>
  </si>
  <si>
    <t>Women's small</t>
  </si>
  <si>
    <t>03/27/2013 09:39:03 AM MDT</t>
  </si>
  <si>
    <t>Aubryann</t>
  </si>
  <si>
    <t>McClune</t>
  </si>
  <si>
    <t>Hillary</t>
  </si>
  <si>
    <t>McCombs</t>
  </si>
  <si>
    <t>Alyssa Lampecht</t>
  </si>
  <si>
    <t>03/26/2013 05:42:47 PM MDT</t>
  </si>
  <si>
    <t>McCracken</t>
  </si>
  <si>
    <t>Buffy</t>
  </si>
  <si>
    <t>Swallow</t>
  </si>
  <si>
    <t>03/28/2013 10:27:44 PM MDT</t>
  </si>
  <si>
    <t>McFarland</t>
  </si>
  <si>
    <t>03/28/2013 04:02:22 PM MDT</t>
  </si>
  <si>
    <t>Kris Tanton</t>
  </si>
  <si>
    <t>McKague-Schwartz</t>
  </si>
  <si>
    <t>Jennifer McKague-Schwartz</t>
  </si>
  <si>
    <t>03/27/2013 06:44:34 AM MDT</t>
  </si>
  <si>
    <t>Optimus Megatron</t>
  </si>
  <si>
    <t>Deja</t>
  </si>
  <si>
    <t>McKinnon</t>
  </si>
  <si>
    <t>Deja McKinnon</t>
  </si>
  <si>
    <t>03/28/2013 10:38:15 PM MDT</t>
  </si>
  <si>
    <t>Todd McKinnon</t>
  </si>
  <si>
    <t>03/28/2013 04:25:29 PM MDT</t>
  </si>
  <si>
    <t>McLain</t>
  </si>
  <si>
    <t>Alison McLain</t>
  </si>
  <si>
    <t>03/28/2013 09:49:12 PM MDT</t>
  </si>
  <si>
    <t>McMahan</t>
  </si>
  <si>
    <t>03/28/2013 11:09:03 AM MDT</t>
  </si>
  <si>
    <t>Andrew McMullin</t>
  </si>
  <si>
    <t>McUiston</t>
  </si>
  <si>
    <t>Stefanie</t>
  </si>
  <si>
    <t>Meads</t>
  </si>
  <si>
    <t>Stefanie Meads</t>
  </si>
  <si>
    <t>03/26/2013 11:03:24 PM MDT</t>
  </si>
  <si>
    <t>03/27/2013 04:14:23 PM MDT</t>
  </si>
  <si>
    <t>Mechling</t>
  </si>
  <si>
    <t>Medley</t>
  </si>
  <si>
    <t>Ben Medley</t>
  </si>
  <si>
    <t>03/28/2013 08:49:02 AM MDT</t>
  </si>
  <si>
    <t>Meikle</t>
  </si>
  <si>
    <t>Tammy Meikle</t>
  </si>
  <si>
    <t>XLG</t>
  </si>
  <si>
    <t>03/28/2013 09:36:24 AM MDT</t>
  </si>
  <si>
    <t>Marian</t>
  </si>
  <si>
    <t>03/26/2013 03:31:49 PM MDT</t>
  </si>
  <si>
    <t>brianda</t>
  </si>
  <si>
    <t>Tini</t>
  </si>
  <si>
    <t>Jonathon Meng</t>
  </si>
  <si>
    <t>Celeste</t>
  </si>
  <si>
    <t>Meranda</t>
  </si>
  <si>
    <t>Merrell</t>
  </si>
  <si>
    <t>Analee Meyer</t>
  </si>
  <si>
    <t>03/28/2013 09:18:39 PM MDT</t>
  </si>
  <si>
    <t>Midgley</t>
  </si>
  <si>
    <t>03/28/2013 07:23:30 PM MDT</t>
  </si>
  <si>
    <t>Ed</t>
  </si>
  <si>
    <t>Clarissa</t>
  </si>
  <si>
    <t>03/28/2013 04:53:52 PM MDT</t>
  </si>
  <si>
    <t>Destiny</t>
  </si>
  <si>
    <t>03/27/2013 09:18:20 PM MDT</t>
  </si>
  <si>
    <t>ricaren miller or caitlyn hughes</t>
  </si>
  <si>
    <t>1 adult large, 1 adult 3xl, 1 adult small, 1 medium kids (6x)</t>
  </si>
  <si>
    <t>Sandee</t>
  </si>
  <si>
    <t>03/27/2013 11:01:33 AM MDT</t>
  </si>
  <si>
    <t>Millet</t>
  </si>
  <si>
    <t>03/27/2013 12:06:45 PM MDT</t>
  </si>
  <si>
    <t>mackenzie</t>
  </si>
  <si>
    <t>Jared Milligan, Carl Bullock or Susan Seper</t>
  </si>
  <si>
    <t>Lori A Mills</t>
  </si>
  <si>
    <t>Medium and XXLarge</t>
  </si>
  <si>
    <t>Tracy</t>
  </si>
  <si>
    <t>Minard</t>
  </si>
  <si>
    <t>03/27/2013 03:38:05 PM MDT</t>
  </si>
  <si>
    <t>Minen</t>
  </si>
  <si>
    <t>Miner</t>
  </si>
  <si>
    <t>NIcholas Miner</t>
  </si>
  <si>
    <t>03/28/2013 03:16:28 PM MDT</t>
  </si>
  <si>
    <t>Minert</t>
  </si>
  <si>
    <t>Monreal</t>
  </si>
  <si>
    <t>Montgomery</t>
  </si>
  <si>
    <t>Swain</t>
  </si>
  <si>
    <t>03/28/2013 07:21:39 PM MDT</t>
  </si>
  <si>
    <t>Moody</t>
  </si>
  <si>
    <t>Leslie</t>
  </si>
  <si>
    <t>03/27/2013 12:25:32 PM MDT</t>
  </si>
  <si>
    <t>03/28/2013 11:06:05 AM MDT</t>
  </si>
  <si>
    <t>Marshall Moore</t>
  </si>
  <si>
    <t>03/26/2013 04:17:02 PM MDT</t>
  </si>
  <si>
    <t>Tracy Moore</t>
  </si>
  <si>
    <t>Marlenne</t>
  </si>
  <si>
    <t>03/26/2013 09:41:50 PM MDT</t>
  </si>
  <si>
    <t>Marlenne Morales</t>
  </si>
  <si>
    <t>Morozova</t>
  </si>
  <si>
    <t>Tegan Morrill</t>
  </si>
  <si>
    <t>Jenny Morris</t>
  </si>
  <si>
    <t>Morrison</t>
  </si>
  <si>
    <t>Mortensen</t>
  </si>
  <si>
    <t>lori smith</t>
  </si>
  <si>
    <t>03/26/2013 08:17:38 PM MDT</t>
  </si>
  <si>
    <t>Muffler</t>
  </si>
  <si>
    <t>Deanna Muffler</t>
  </si>
  <si>
    <t>03/28/2013 05:51:51 PM MDT</t>
  </si>
  <si>
    <t>Madi Muir</t>
  </si>
  <si>
    <t>Munyan</t>
  </si>
  <si>
    <t>Narumi</t>
  </si>
  <si>
    <t>Murata</t>
  </si>
  <si>
    <t>03/28/2013 08:45:57 PM MDT</t>
  </si>
  <si>
    <t>Kaylin</t>
  </si>
  <si>
    <t>Kaylin Murdock or Scyler Smith</t>
  </si>
  <si>
    <t>03/28/2013 08:31:33 AM MDT</t>
  </si>
  <si>
    <t>Subhadeep Nag</t>
  </si>
  <si>
    <t>Nash</t>
  </si>
  <si>
    <t>Diana Nash</t>
  </si>
  <si>
    <t>03/27/2013 08:16:31 PM MDT</t>
  </si>
  <si>
    <t>Shiv</t>
  </si>
  <si>
    <t>Natarajan</t>
  </si>
  <si>
    <t>shiv</t>
  </si>
  <si>
    <t>03/27/2013 06:35:40 PM MDT</t>
  </si>
  <si>
    <t>Anurag Bhatnagar</t>
  </si>
  <si>
    <t>03/28/2013 05:05:51 PM MDT</t>
  </si>
  <si>
    <t>Cyndie</t>
  </si>
  <si>
    <t>03/28/2013 04:44:50 PM MDT</t>
  </si>
  <si>
    <t>Ashleigh</t>
  </si>
  <si>
    <t>Neilsen</t>
  </si>
  <si>
    <t>Baylor</t>
  </si>
  <si>
    <t>Chelsea Nelson</t>
  </si>
  <si>
    <t>estelle nelson</t>
  </si>
  <si>
    <t>Jamie Nelson</t>
  </si>
  <si>
    <t>03/27/2013 10:36:08 PM MDT</t>
  </si>
  <si>
    <t>Jax</t>
  </si>
  <si>
    <t>Toby</t>
  </si>
  <si>
    <t>Toby Nelson</t>
  </si>
  <si>
    <t>03/28/2013 02:13:51 PM MDT</t>
  </si>
  <si>
    <t>Nester</t>
  </si>
  <si>
    <t>03/26/2013 10:33:53 PM MDT</t>
  </si>
  <si>
    <t>Lexie</t>
  </si>
  <si>
    <t>Nevarez</t>
  </si>
  <si>
    <t>Telesa</t>
  </si>
  <si>
    <t>Telesa Newell</t>
  </si>
  <si>
    <t>03/28/2013 04:41:21 PM MDT</t>
  </si>
  <si>
    <t>Adam Nichols</t>
  </si>
  <si>
    <t>Kayla Nichols</t>
  </si>
  <si>
    <t>Adult small, Adult large, Adult 3x</t>
  </si>
  <si>
    <t>03/27/2013 05:17:26 PM MDT</t>
  </si>
  <si>
    <t>Nicolaides</t>
  </si>
  <si>
    <t>Chezney</t>
  </si>
  <si>
    <t>crystal nielsen or colby Elton</t>
  </si>
  <si>
    <t>DeLanie</t>
  </si>
  <si>
    <t>Kent Nielsen</t>
  </si>
  <si>
    <t>Andee, Cheryl, Kinzi</t>
  </si>
  <si>
    <t>03/28/2013 07:47:06 PM MDT</t>
  </si>
  <si>
    <t>Katelyn</t>
  </si>
  <si>
    <t>Rose Norton</t>
  </si>
  <si>
    <t>Nariman Noursalehi</t>
  </si>
  <si>
    <t>Noyce</t>
  </si>
  <si>
    <t>03/27/2013 10:29:02 PM MDT</t>
  </si>
  <si>
    <t>Taryn</t>
  </si>
  <si>
    <t>O</t>
  </si>
  <si>
    <t>Ciaran</t>
  </si>
  <si>
    <t>O'Neill</t>
  </si>
  <si>
    <t>Ciaran oneill</t>
  </si>
  <si>
    <t>03/27/2013 08:08:47 PM MDT</t>
  </si>
  <si>
    <t>Enrique</t>
  </si>
  <si>
    <t>Ochoa</t>
  </si>
  <si>
    <t>03/28/2013 11:14:40 PM MDT</t>
  </si>
  <si>
    <t>Eduardo</t>
  </si>
  <si>
    <t>Odermatt</t>
  </si>
  <si>
    <t>Toscano</t>
  </si>
  <si>
    <t>03/28/2013 01:09:47 PM MDT</t>
  </si>
  <si>
    <t>Ohmie</t>
  </si>
  <si>
    <t>Adrian Ohmie</t>
  </si>
  <si>
    <t>03/28/2013 02:32:39 PM MDT</t>
  </si>
  <si>
    <t>03/28/2013 10:52:13 AM MDT</t>
  </si>
  <si>
    <t>Mindi</t>
  </si>
  <si>
    <t>03/28/2013 10:04:44 AM MDT</t>
  </si>
  <si>
    <t>James or Steve Hempel</t>
  </si>
  <si>
    <t>Ortiz</t>
  </si>
  <si>
    <t>03/28/2013 11:09:16 PM MDT</t>
  </si>
  <si>
    <t>03/28/2013 09:50:05 AM MDT</t>
  </si>
  <si>
    <t>Ouke</t>
  </si>
  <si>
    <t>03/28/2013 09:13:22 PM MDT</t>
  </si>
  <si>
    <t>Ouwerkerk</t>
  </si>
  <si>
    <t>Carlee Ouwerkerk</t>
  </si>
  <si>
    <t>03/28/2013 09:57:29 PM MDT</t>
  </si>
  <si>
    <t>Oveson</t>
  </si>
  <si>
    <t>Owen</t>
  </si>
  <si>
    <t>03/28/2013 10:37:57 PM MDT</t>
  </si>
  <si>
    <t>Packer</t>
  </si>
  <si>
    <t>kelsie</t>
  </si>
  <si>
    <t>03/28/2013 07:11:17 PM MDT</t>
  </si>
  <si>
    <t>03/28/2013 06:56:00 PM MDT</t>
  </si>
  <si>
    <t>Caden</t>
  </si>
  <si>
    <t>Palacio</t>
  </si>
  <si>
    <t>Tawni</t>
  </si>
  <si>
    <t>Palmer</t>
  </si>
  <si>
    <t>Parady</t>
  </si>
  <si>
    <t>Paras</t>
  </si>
  <si>
    <t>Katie paras</t>
  </si>
  <si>
    <t>03/26/2013 12:32:49 PM MDT</t>
  </si>
  <si>
    <t>Pardo</t>
  </si>
  <si>
    <t>03/28/2013 04:45:12 PM MDT</t>
  </si>
  <si>
    <t>Bhavin</t>
  </si>
  <si>
    <t>Parekh</t>
  </si>
  <si>
    <t>Parkin</t>
  </si>
  <si>
    <t>Ashlyn</t>
  </si>
  <si>
    <t>Parkinson</t>
  </si>
  <si>
    <t>Shombree</t>
  </si>
  <si>
    <t>Wojcik</t>
  </si>
  <si>
    <t>03/28/2013 03:04:37 PM MDT</t>
  </si>
  <si>
    <t>Teri Parkinson</t>
  </si>
  <si>
    <t>03/26/2013 11:49:49 AM MDT</t>
  </si>
  <si>
    <t>Jennifer Parry</t>
  </si>
  <si>
    <t>Pate</t>
  </si>
  <si>
    <t>Poulsen</t>
  </si>
  <si>
    <t>03/28/2013 08:09:11 AM MDT</t>
  </si>
  <si>
    <t>Ashvin</t>
  </si>
  <si>
    <t>Adult Large</t>
  </si>
  <si>
    <t>03/27/2013 01:49:31 PM MDT</t>
  </si>
  <si>
    <t>Hardik Patel</t>
  </si>
  <si>
    <t>L, M, S, S</t>
  </si>
  <si>
    <t>Krutika</t>
  </si>
  <si>
    <t>Patil</t>
  </si>
  <si>
    <t>03/28/2013 05:05:49 PM MDT</t>
  </si>
  <si>
    <t>Spence</t>
  </si>
  <si>
    <t>Rachal Patton</t>
  </si>
  <si>
    <t>Janene</t>
  </si>
  <si>
    <t>Pearce</t>
  </si>
  <si>
    <t>Swalberg</t>
  </si>
  <si>
    <t>03/28/2013 09:46:36 PM MDT</t>
  </si>
  <si>
    <t>Jamie Pearson</t>
  </si>
  <si>
    <t>03/28/2013 07:57:45 PM MDT</t>
  </si>
  <si>
    <t>Peatross</t>
  </si>
  <si>
    <t>Peck</t>
  </si>
  <si>
    <t>03/27/2013 11:43:40 PM MDT</t>
  </si>
  <si>
    <t>Jordan Peck</t>
  </si>
  <si>
    <t>03/27/2013 11:10:48 PM MDT</t>
  </si>
  <si>
    <t>Pentz</t>
  </si>
  <si>
    <t>Ranson</t>
  </si>
  <si>
    <t>Peralta</t>
  </si>
  <si>
    <t>03/28/2013 07:45:03 PM MDT</t>
  </si>
  <si>
    <t>Perkes</t>
  </si>
  <si>
    <t>n/a</t>
  </si>
  <si>
    <t>03/27/2013 01:43:43 PM MDT</t>
  </si>
  <si>
    <t>03/27/2013 12:53:31 PM MDT</t>
  </si>
  <si>
    <t>03/28/2013 12:27:51 AM MDT</t>
  </si>
  <si>
    <t>03/28/2013 08:49:58 PM MDT</t>
  </si>
  <si>
    <t>Jaclyn</t>
  </si>
  <si>
    <t>X-Small</t>
  </si>
  <si>
    <t>03/28/2013 08:55:13 AM MDT</t>
  </si>
  <si>
    <t>03/27/2013 04:10:24 PM MDT</t>
  </si>
  <si>
    <t>Shannon Brooks</t>
  </si>
  <si>
    <t>Darren Peterson</t>
  </si>
  <si>
    <t>Rosie</t>
  </si>
  <si>
    <t>Tindall</t>
  </si>
  <si>
    <t>03/27/2013 11:06:40 PM MDT</t>
  </si>
  <si>
    <t>Juhee</t>
  </si>
  <si>
    <t>03/27/2013 10:19:49 AM MDT</t>
  </si>
  <si>
    <t>Steve Peterson</t>
  </si>
  <si>
    <t>me (Tyler)</t>
  </si>
  <si>
    <t>03/27/2013 08:47:24 PM MDT</t>
  </si>
  <si>
    <t>Phair</t>
  </si>
  <si>
    <t>Phelps</t>
  </si>
  <si>
    <t>Diana phillips</t>
  </si>
  <si>
    <t>03/26/2013 02:22:21 PM MDT</t>
  </si>
  <si>
    <t>Pierce</t>
  </si>
  <si>
    <t>Either Connor or Meghan</t>
  </si>
  <si>
    <t>03/27/2013 10:28:40 AM MDT</t>
  </si>
  <si>
    <t>Debra</t>
  </si>
  <si>
    <t>Pitts</t>
  </si>
  <si>
    <t>Debra pitts</t>
  </si>
  <si>
    <t>03/28/2013 02:27:37 PM MDT</t>
  </si>
  <si>
    <t>03/28/2013 10:35:11 PM MDT</t>
  </si>
  <si>
    <t>Joi</t>
  </si>
  <si>
    <t>Podgorny</t>
  </si>
  <si>
    <t>Kelty</t>
  </si>
  <si>
    <t>Wakeley</t>
  </si>
  <si>
    <t>03/28/2013 01:27:43 PM MDT</t>
  </si>
  <si>
    <t>Polasek</t>
  </si>
  <si>
    <t>STACI POLASEK</t>
  </si>
  <si>
    <t>03/26/2013 04:09:38 PM MDT</t>
  </si>
  <si>
    <t>Tylie</t>
  </si>
  <si>
    <t>Polatis</t>
  </si>
  <si>
    <t>Polich</t>
  </si>
  <si>
    <t>Pollett</t>
  </si>
  <si>
    <t>Takeuchi</t>
  </si>
  <si>
    <t>03/27/2013 08:53:07 PM MDT</t>
  </si>
  <si>
    <t>Nick Pollock</t>
  </si>
  <si>
    <t>Chealsy pond</t>
  </si>
  <si>
    <t>Poppleton</t>
  </si>
  <si>
    <t>Potter</t>
  </si>
  <si>
    <t>Chance</t>
  </si>
  <si>
    <t>Turnbull</t>
  </si>
  <si>
    <t>03/27/2013 05:50:59 PM MDT</t>
  </si>
  <si>
    <t>03/28/2013 10:44:44 PM MDT</t>
  </si>
  <si>
    <t>Shane Poulsen</t>
  </si>
  <si>
    <t>Prado</t>
  </si>
  <si>
    <t>Soto</t>
  </si>
  <si>
    <t>03/27/2013 08:21:43 PM MDT</t>
  </si>
  <si>
    <t>Bo Price</t>
  </si>
  <si>
    <t>bo price</t>
  </si>
  <si>
    <t>Kevin Price</t>
  </si>
  <si>
    <t>Prisbrey</t>
  </si>
  <si>
    <t>ashlee</t>
  </si>
  <si>
    <t>03/28/2013 09:14:44 AM MDT</t>
  </si>
  <si>
    <t>Wolf</t>
  </si>
  <si>
    <t>Proctor</t>
  </si>
  <si>
    <t>Chantele Puckett</t>
  </si>
  <si>
    <t>2, XL T-Shirts</t>
  </si>
  <si>
    <t>Danni</t>
  </si>
  <si>
    <t>Pulver</t>
  </si>
  <si>
    <t>03/26/2013 06:54:54 PM MDT</t>
  </si>
  <si>
    <t>Pusey</t>
  </si>
  <si>
    <t>Quadros</t>
  </si>
  <si>
    <t>03/28/2013 05:35:26 PM MDT</t>
  </si>
  <si>
    <t>Quintana</t>
  </si>
  <si>
    <t>Danielle Quintana</t>
  </si>
  <si>
    <t>03/27/2013 09:28:18 PM MDT</t>
  </si>
  <si>
    <t>Juanita</t>
  </si>
  <si>
    <t>R</t>
  </si>
  <si>
    <t>Taysha</t>
  </si>
  <si>
    <t>Rafferty</t>
  </si>
  <si>
    <t>Ramos</t>
  </si>
  <si>
    <t>Aseneth</t>
  </si>
  <si>
    <t>Ranger</t>
  </si>
  <si>
    <t>Raps</t>
  </si>
  <si>
    <t>Jaisie</t>
  </si>
  <si>
    <t>Rast</t>
  </si>
  <si>
    <t>McKayla</t>
  </si>
  <si>
    <t>Rausch</t>
  </si>
  <si>
    <t>03/27/2013 09:14:15 PM MDT</t>
  </si>
  <si>
    <t>Rawle</t>
  </si>
  <si>
    <t>Korth</t>
  </si>
  <si>
    <t>Rushdi</t>
  </si>
  <si>
    <t>03/27/2013 02:14:53 PM MDT</t>
  </si>
  <si>
    <t>Tenika Ray</t>
  </si>
  <si>
    <t>Reading</t>
  </si>
  <si>
    <t>Jenna Reed</t>
  </si>
  <si>
    <t>03/28/2013 03:31:40 PM MDT</t>
  </si>
  <si>
    <t>Jill Rees</t>
  </si>
  <si>
    <t>Ashlee Reese</t>
  </si>
  <si>
    <t>Small, Large</t>
  </si>
  <si>
    <t>Lanz</t>
  </si>
  <si>
    <t>Rengel</t>
  </si>
  <si>
    <t>Rudy</t>
  </si>
  <si>
    <t>03/27/2013 02:58:25 AM MDT</t>
  </si>
  <si>
    <t>GIovanna</t>
  </si>
  <si>
    <t>Reyes</t>
  </si>
  <si>
    <t>Weight</t>
  </si>
  <si>
    <t>03/27/2013 11:31:39 PM MDT</t>
  </si>
  <si>
    <t>Katie Reynolds</t>
  </si>
  <si>
    <t>03/27/2013 11:13:05 AM MDT</t>
  </si>
  <si>
    <t>Landon Reynolds</t>
  </si>
  <si>
    <t>medium. amd childs medium</t>
  </si>
  <si>
    <t>03/26/2013 11:15:40 AM MDT</t>
  </si>
  <si>
    <t>Shania Reynolds</t>
  </si>
  <si>
    <t>Holly Reynoso</t>
  </si>
  <si>
    <t>Chelsea Richards</t>
  </si>
  <si>
    <t>03/26/2013 10:44:18 AM MDT</t>
  </si>
  <si>
    <t>Richelieu</t>
  </si>
  <si>
    <t>extra small, large</t>
  </si>
  <si>
    <t>03/28/2013 11:04:09 PM MDT</t>
  </si>
  <si>
    <t>Kennedy</t>
  </si>
  <si>
    <t>03/27/2013 01:49:46 PM MDT</t>
  </si>
  <si>
    <t>Gina Riley</t>
  </si>
  <si>
    <t>03/28/2013 07:00:22 PM MDT</t>
  </si>
  <si>
    <t>Cindy Rios</t>
  </si>
  <si>
    <t>Pepeen</t>
  </si>
  <si>
    <t>Ripley</t>
  </si>
  <si>
    <t>Sarah Ripley</t>
  </si>
  <si>
    <t>03/28/2013 12:50:06 PM MDT</t>
  </si>
  <si>
    <t>Max</t>
  </si>
  <si>
    <t>Ririe</t>
  </si>
  <si>
    <t>Rizzo</t>
  </si>
  <si>
    <t>03/26/2013 12:06:42 PM MDT</t>
  </si>
  <si>
    <t>Misty roads</t>
  </si>
  <si>
    <t>Xxxl</t>
  </si>
  <si>
    <t>Rochelle</t>
  </si>
  <si>
    <t>Rochelle Roberts or Erica Gurney</t>
  </si>
  <si>
    <t>03/28/2013 02:14:53 PM MDT</t>
  </si>
  <si>
    <t>Keaton</t>
  </si>
  <si>
    <t>Skyla</t>
  </si>
  <si>
    <t>Skyla Robinson</t>
  </si>
  <si>
    <t>03/26/2013 11:34:51 AM MDT</t>
  </si>
  <si>
    <t>03/28/2013 10:52:00 AM MDT</t>
  </si>
  <si>
    <t>Ruby</t>
  </si>
  <si>
    <t>Jaron</t>
  </si>
  <si>
    <t>Roe</t>
  </si>
  <si>
    <t>Rokovitz</t>
  </si>
  <si>
    <t>03/28/2013 03:59:10 PM MDT</t>
  </si>
  <si>
    <t>Chris Shane</t>
  </si>
  <si>
    <t>Rosenberger</t>
  </si>
  <si>
    <t>DeAnna</t>
  </si>
  <si>
    <t>Rossi</t>
  </si>
  <si>
    <t>MaKayla Rowsell</t>
  </si>
  <si>
    <t>Brooke Roylance or Jake Hendrickson</t>
  </si>
  <si>
    <t>03/26/2013 11:43:59 AM MDT</t>
  </si>
  <si>
    <t>Maria L</t>
  </si>
  <si>
    <t>korth rushdi</t>
  </si>
  <si>
    <t>xl and m</t>
  </si>
  <si>
    <t>03/27/2013 02:14:52 PM MDT</t>
  </si>
  <si>
    <t>Benjamin</t>
  </si>
  <si>
    <t>Russell</t>
  </si>
  <si>
    <t>03/28/2013 07:45:33 PM MDT</t>
  </si>
  <si>
    <t>Devadatta</t>
  </si>
  <si>
    <t>Sadhu</t>
  </si>
  <si>
    <t>Sagra</t>
  </si>
  <si>
    <t>03/28/2013 09:44:34 AM MDT</t>
  </si>
  <si>
    <t>Eddie or Jennifer Sagra</t>
  </si>
  <si>
    <t>Pablo</t>
  </si>
  <si>
    <t>Sagura</t>
  </si>
  <si>
    <t>Sakievich</t>
  </si>
  <si>
    <t>Luke Sakievich</t>
  </si>
  <si>
    <t>03/28/2013 10:46:38 AM MDT</t>
  </si>
  <si>
    <t>Manmohan</t>
  </si>
  <si>
    <t>Salandri</t>
  </si>
  <si>
    <t>Salazar</t>
  </si>
  <si>
    <t>DAVID SALAZAR</t>
  </si>
  <si>
    <t>Two - Medium shirts, One - Large shirt</t>
  </si>
  <si>
    <t>03/26/2013 06:05:18 PM MDT</t>
  </si>
  <si>
    <t>Sallies</t>
  </si>
  <si>
    <t>Curtis Sanchez</t>
  </si>
  <si>
    <t>03/27/2013 01:07:57 PM MDT</t>
  </si>
  <si>
    <t>Sanders</t>
  </si>
  <si>
    <t>03/27/2013 10:02:17 PM MDT</t>
  </si>
  <si>
    <t>Sandoval</t>
  </si>
  <si>
    <t>03/28/2013 02:55:27 PM MDT</t>
  </si>
  <si>
    <t>03/28/2013 11:14:22 PM MDT</t>
  </si>
  <si>
    <t>Sands</t>
  </si>
  <si>
    <t>Skip</t>
  </si>
  <si>
    <t>03/27/2013 05:50:02 PM MDT</t>
  </si>
  <si>
    <t>Sawyer</t>
  </si>
  <si>
    <t>Scheidt</t>
  </si>
  <si>
    <t>03/28/2013 11:53:50 PM MDT</t>
  </si>
  <si>
    <t>Amaya</t>
  </si>
  <si>
    <t>Schindele</t>
  </si>
  <si>
    <t>Jocelyn</t>
  </si>
  <si>
    <t>Scholes</t>
  </si>
  <si>
    <t>Jocelyn Scholes</t>
  </si>
  <si>
    <t>03/27/2013 10:18:46 PM MDT</t>
  </si>
  <si>
    <t>Garrick</t>
  </si>
  <si>
    <t>Schull</t>
  </si>
  <si>
    <t>03/28/2013 09:20:47 AM MDT</t>
  </si>
  <si>
    <t>Raymond</t>
  </si>
  <si>
    <t>03/27/2013 06:44:35 AM MDT</t>
  </si>
  <si>
    <t>Becca Schwertfeger</t>
  </si>
  <si>
    <t>extra large</t>
  </si>
  <si>
    <t>Seastrand</t>
  </si>
  <si>
    <t>Jake Seastrand</t>
  </si>
  <si>
    <t>03/27/2013 03:08:25 PM MDT</t>
  </si>
  <si>
    <t>Tamerra</t>
  </si>
  <si>
    <t>Sedacy</t>
  </si>
  <si>
    <t>Segina</t>
  </si>
  <si>
    <t>Stanger</t>
  </si>
  <si>
    <t>03/27/2013 12:48:59 PM MDT</t>
  </si>
  <si>
    <t>Jaiden</t>
  </si>
  <si>
    <t>Selfors</t>
  </si>
  <si>
    <t>Brook</t>
  </si>
  <si>
    <t>Sell</t>
  </si>
  <si>
    <t>Seper</t>
  </si>
  <si>
    <t>Dipeshkumar Sharma</t>
  </si>
  <si>
    <t>Lisa Shaw</t>
  </si>
  <si>
    <t>childrens Large/ Adult Large</t>
  </si>
  <si>
    <t>03/27/2013 11:30:09 AM MDT</t>
  </si>
  <si>
    <t>Sherrod</t>
  </si>
  <si>
    <t>Shimizu</t>
  </si>
  <si>
    <t>i_heart_bom@hotmail.com</t>
  </si>
  <si>
    <t>03/28/2013 12:56:35 PM MDT</t>
  </si>
  <si>
    <t>Suparna</t>
  </si>
  <si>
    <t>Shinganapurkar</t>
  </si>
  <si>
    <t>Suparna or Swapnil</t>
  </si>
  <si>
    <t>03/26/2013 11:03:40 AM MDT</t>
  </si>
  <si>
    <t>Shipley</t>
  </si>
  <si>
    <t>Briana Shipley</t>
  </si>
  <si>
    <t>03/26/2013 05:42:34 PM MDT</t>
  </si>
  <si>
    <t>Shortridge</t>
  </si>
  <si>
    <t>03/26/2013 07:32:21 PM MDT</t>
  </si>
  <si>
    <t>Shuffler</t>
  </si>
  <si>
    <t>Stanleyson</t>
  </si>
  <si>
    <t>03/26/2013 04:34:22 PM MDT</t>
  </si>
  <si>
    <t>Shurance</t>
  </si>
  <si>
    <t>Thin Thin</t>
  </si>
  <si>
    <t>Shwe</t>
  </si>
  <si>
    <t>Sim</t>
  </si>
  <si>
    <t>Emily Sim</t>
  </si>
  <si>
    <t>03/28/2013 02:02:43 PM MDT</t>
  </si>
  <si>
    <t>Shivam</t>
  </si>
  <si>
    <t>Singh</t>
  </si>
  <si>
    <t>skyler sinks</t>
  </si>
  <si>
    <t>03/28/2013 11:35:34 PM MDT</t>
  </si>
  <si>
    <t>Aishwarya</t>
  </si>
  <si>
    <t>Sivakumar</t>
  </si>
  <si>
    <t>stacie</t>
  </si>
  <si>
    <t>03/27/2013 03:14:49 PM MDT</t>
  </si>
  <si>
    <t>Carrie Skuzeski</t>
  </si>
  <si>
    <t>Mediums</t>
  </si>
  <si>
    <t>Demick</t>
  </si>
  <si>
    <t>Dorothy</t>
  </si>
  <si>
    <t>03/28/2013 09:45:29 AM MDT</t>
  </si>
  <si>
    <t>Roxanne Smith</t>
  </si>
  <si>
    <t>03/28/2013 07:55:04 PM MDT</t>
  </si>
  <si>
    <t>03/28/2013 12:27:25 PM MDT</t>
  </si>
  <si>
    <t>Sarah Smith</t>
  </si>
  <si>
    <t>03/27/2013 02:40:04 PM MDT</t>
  </si>
  <si>
    <t>savannah</t>
  </si>
  <si>
    <t>03/27/2013 02:34:36 PM MDT</t>
  </si>
  <si>
    <t>Scyler</t>
  </si>
  <si>
    <t>Snively</t>
  </si>
  <si>
    <t>Tiara</t>
  </si>
  <si>
    <t>03/27/2013 04:20:37 PM MDT</t>
  </si>
  <si>
    <t>Jenel</t>
  </si>
  <si>
    <t>03/28/2013 03:57:14 PM MDT</t>
  </si>
  <si>
    <t>Nyhra</t>
  </si>
  <si>
    <t>Melodie</t>
  </si>
  <si>
    <t>Solace</t>
  </si>
  <si>
    <t>03/28/2013 07:35:16 AM MDT</t>
  </si>
  <si>
    <t>Solis</t>
  </si>
  <si>
    <t>Anthony,Jessica solis</t>
  </si>
  <si>
    <t>03/26/2013 09:23:38 PM MDT</t>
  </si>
  <si>
    <t>Sorenson</t>
  </si>
  <si>
    <t>Alexander Soto</t>
  </si>
  <si>
    <t>Large, and medium</t>
  </si>
  <si>
    <t>Southwick</t>
  </si>
  <si>
    <t>Rachel Southwick</t>
  </si>
  <si>
    <t>03/28/2013 09:54:25 AM MDT</t>
  </si>
  <si>
    <t>Gregory</t>
  </si>
  <si>
    <t>Sparks</t>
  </si>
  <si>
    <t>Greg Sparks</t>
  </si>
  <si>
    <t>03/26/2013 10:41:21 AM MDT</t>
  </si>
  <si>
    <t>Spjut</t>
  </si>
  <si>
    <t>03/28/2013 12:32:22 AM MDT</t>
  </si>
  <si>
    <t>Ambu</t>
  </si>
  <si>
    <t>Sreedharan</t>
  </si>
  <si>
    <t>Staheli</t>
  </si>
  <si>
    <t>03/28/2013 09:28:59 PM MDT</t>
  </si>
  <si>
    <t>Gobriella</t>
  </si>
  <si>
    <t>TyRay</t>
  </si>
  <si>
    <t>Stain</t>
  </si>
  <si>
    <t>Jared Stanger(me)</t>
  </si>
  <si>
    <t>Melissa Stankovich</t>
  </si>
  <si>
    <t>Johan</t>
  </si>
  <si>
    <t>Lisa Stanleyson</t>
  </si>
  <si>
    <t>Starkey</t>
  </si>
  <si>
    <t>Mickel</t>
  </si>
  <si>
    <t>03/28/2013 05:12:44 PM MDT</t>
  </si>
  <si>
    <t>Dominic</t>
  </si>
  <si>
    <t>Starley</t>
  </si>
  <si>
    <t>03/27/2013 09:22:34 AM MDT</t>
  </si>
  <si>
    <t>Jenny Starley</t>
  </si>
  <si>
    <t>Emilie Starr</t>
  </si>
  <si>
    <t>McKinley Stauffer</t>
  </si>
  <si>
    <t>03/27/2013 09:26:55 PM MDT</t>
  </si>
  <si>
    <t>Jorden</t>
  </si>
  <si>
    <t>Steffler</t>
  </si>
  <si>
    <t>Jorden Steffler</t>
  </si>
  <si>
    <t>03/27/2013 11:14:54 PM MDT</t>
  </si>
  <si>
    <t>Hendrik</t>
  </si>
  <si>
    <t>Stegall</t>
  </si>
  <si>
    <t>Hendrik Stegall (me)</t>
  </si>
  <si>
    <t>03/28/2013 03:50:59 PM MDT</t>
  </si>
  <si>
    <t>Steger</t>
  </si>
  <si>
    <t>Stein</t>
  </si>
  <si>
    <t>Stephens</t>
  </si>
  <si>
    <t>Tanya</t>
  </si>
  <si>
    <t>03/28/2013 08:23:38 PM MDT</t>
  </si>
  <si>
    <t>Tanya Stephens</t>
  </si>
  <si>
    <t>03/26/2013 11:37:48 PM MDT</t>
  </si>
  <si>
    <t>Michael Stevens</t>
  </si>
  <si>
    <t>Maitlin</t>
  </si>
  <si>
    <t>Riley Stock</t>
  </si>
  <si>
    <t>Stocks</t>
  </si>
  <si>
    <t>Brittany stocks</t>
  </si>
  <si>
    <t>Medium 2 small 1</t>
  </si>
  <si>
    <t>03/26/2013 08:04:06 PM MDT</t>
  </si>
  <si>
    <t>Amy Stone</t>
  </si>
  <si>
    <t>Chantel Storms OR Dylan Jensen</t>
  </si>
  <si>
    <t>Strate</t>
  </si>
  <si>
    <t>Straw</t>
  </si>
  <si>
    <t>Me!</t>
  </si>
  <si>
    <t>03/28/2013 01:11:39 PM MDT</t>
  </si>
  <si>
    <t>Hannah M Swain</t>
  </si>
  <si>
    <t>Jacob Swalberg or Janene Pearce</t>
  </si>
  <si>
    <t>2-medium</t>
  </si>
  <si>
    <t>Aileen</t>
  </si>
  <si>
    <t>Heather Swallow</t>
  </si>
  <si>
    <t>Helen Swanson</t>
  </si>
  <si>
    <t>Sweat</t>
  </si>
  <si>
    <t>Swendsen</t>
  </si>
  <si>
    <t>Me- Rachel Swendsen</t>
  </si>
  <si>
    <t>03/26/2013 11:18:31 AM MDT</t>
  </si>
  <si>
    <t>Rachel Swift</t>
  </si>
  <si>
    <t>Cortni</t>
  </si>
  <si>
    <t>Peter Swisher</t>
  </si>
  <si>
    <t>Dwight</t>
  </si>
  <si>
    <t>Taitano</t>
  </si>
  <si>
    <t>ME</t>
  </si>
  <si>
    <t>Breeanne</t>
  </si>
  <si>
    <t>Breeanne Talbot</t>
  </si>
  <si>
    <t>03/27/2013 08:11:26 PM MDT</t>
  </si>
  <si>
    <t>Ether</t>
  </si>
  <si>
    <t>Tam</t>
  </si>
  <si>
    <t>Diana Tanner (me)</t>
  </si>
  <si>
    <t>03/28/2013 06:20:37 PM MDT</t>
  </si>
  <si>
    <t>Trent Tanner</t>
  </si>
  <si>
    <t>03/28/2013 01:12:52 PM MDT</t>
  </si>
  <si>
    <t>Tanton</t>
  </si>
  <si>
    <t>Casandra</t>
  </si>
  <si>
    <t>Tapia</t>
  </si>
  <si>
    <t>03/26/2013 05:19:51 PM MDT</t>
  </si>
  <si>
    <t>Camrie</t>
  </si>
  <si>
    <t>Tauaese</t>
  </si>
  <si>
    <t>03/28/2013 10:36:13 AM MDT</t>
  </si>
  <si>
    <t>Heide</t>
  </si>
  <si>
    <t>Tawagin</t>
  </si>
  <si>
    <t>Dawnya</t>
  </si>
  <si>
    <t>03/26/2013 03:58:04 PM MDT</t>
  </si>
  <si>
    <t>Merlin</t>
  </si>
  <si>
    <t>Terra</t>
  </si>
  <si>
    <t>David Terry</t>
  </si>
  <si>
    <t>Tholen</t>
  </si>
  <si>
    <t>Lauren Tholen</t>
  </si>
  <si>
    <t>03/27/2013 12:49:18 PM MDT</t>
  </si>
  <si>
    <t>Andrea Thompson</t>
  </si>
  <si>
    <t>Jimi</t>
  </si>
  <si>
    <t>03/26/2013 09:32:56 PM MDT</t>
  </si>
  <si>
    <t>Tawny Thompson</t>
  </si>
  <si>
    <t>Thornburg</t>
  </si>
  <si>
    <t>Kevin Thornburg</t>
  </si>
  <si>
    <t>03/28/2013 07:59:10 PM MDT</t>
  </si>
  <si>
    <t>Thornton</t>
  </si>
  <si>
    <t>Thronburg</t>
  </si>
  <si>
    <t>03/28/2013 08:06:58 PM MDT</t>
  </si>
  <si>
    <t>Gavin</t>
  </si>
  <si>
    <t>Thurnau</t>
  </si>
  <si>
    <t>Tietz</t>
  </si>
  <si>
    <t>Myah</t>
  </si>
  <si>
    <t>Tilton</t>
  </si>
  <si>
    <t>Timms</t>
  </si>
  <si>
    <t>03/27/2013 11:21:19 AM MDT</t>
  </si>
  <si>
    <t>Chris Timms</t>
  </si>
  <si>
    <t>Rosie Tindall</t>
  </si>
  <si>
    <t>03/27/2013 11:06:39 PM MDT</t>
  </si>
  <si>
    <t>Tingey</t>
  </si>
  <si>
    <t>samantha</t>
  </si>
  <si>
    <t>Titus</t>
  </si>
  <si>
    <t>alex titus</t>
  </si>
  <si>
    <t>03/27/2013 03:27:28 PM MDT</t>
  </si>
  <si>
    <t>Brennan</t>
  </si>
  <si>
    <t>Tolman</t>
  </si>
  <si>
    <t>Adderly</t>
  </si>
  <si>
    <t>Tomlinson</t>
  </si>
  <si>
    <t>Courtnee</t>
  </si>
  <si>
    <t>Tomsic</t>
  </si>
  <si>
    <t>Courtnee Tomsic</t>
  </si>
  <si>
    <t>03/28/2013 02:35:57 PM MDT</t>
  </si>
  <si>
    <t>Toney</t>
  </si>
  <si>
    <t>Brittany Toney</t>
  </si>
  <si>
    <t>Torgerson</t>
  </si>
  <si>
    <t>Angela Torgerson</t>
  </si>
  <si>
    <t>Large, Medium</t>
  </si>
  <si>
    <t>03/27/2013 10:43:48 PM MDT</t>
  </si>
  <si>
    <t>Torres</t>
  </si>
  <si>
    <t>Alyssa Torres</t>
  </si>
  <si>
    <t>03/26/2013 07:39:30 PM MDT</t>
  </si>
  <si>
    <t>Stephanie toscano</t>
  </si>
  <si>
    <t>03/28/2013 01:09:46 PM MDT</t>
  </si>
  <si>
    <t>Jr</t>
  </si>
  <si>
    <t>Trevizo</t>
  </si>
  <si>
    <t>Avani</t>
  </si>
  <si>
    <t>Trivedi</t>
  </si>
  <si>
    <t>Falgun Trivedi</t>
  </si>
  <si>
    <t>03/28/2013 12:14:09 PM MDT</t>
  </si>
  <si>
    <t>Falgun</t>
  </si>
  <si>
    <t>Micah</t>
  </si>
  <si>
    <t>03/27/2013 11:15:54 AM MDT</t>
  </si>
  <si>
    <t>Turley</t>
  </si>
  <si>
    <t>Me? Beans is the name!</t>
  </si>
  <si>
    <t>03/28/2013 09:07:06 PM MDT</t>
  </si>
  <si>
    <t>Chance Turnbull</t>
  </si>
  <si>
    <t>Swapnil</t>
  </si>
  <si>
    <t>Ukey</t>
  </si>
  <si>
    <t>Urry</t>
  </si>
  <si>
    <t>Taylor Valderaz</t>
  </si>
  <si>
    <t>small, large,large</t>
  </si>
  <si>
    <t>Dj</t>
  </si>
  <si>
    <t>03/27/2013 07:46:21 PM MDT</t>
  </si>
  <si>
    <t>Therese</t>
  </si>
  <si>
    <t>Valmocena</t>
  </si>
  <si>
    <t>Vandenberghe</t>
  </si>
  <si>
    <t>Tesia</t>
  </si>
  <si>
    <t>03/28/2013 12:05:15 PM MDT</t>
  </si>
  <si>
    <t>Marcela</t>
  </si>
  <si>
    <t>Vaughan</t>
  </si>
  <si>
    <t>Megan Vaughan</t>
  </si>
  <si>
    <t>03/27/2013 08:11:52 PM MDT</t>
  </si>
  <si>
    <t>Lyndsi</t>
  </si>
  <si>
    <t>Vela</t>
  </si>
  <si>
    <t>Lyndsi Vela</t>
  </si>
  <si>
    <t>03/27/2013 02:27:30 PM MDT</t>
  </si>
  <si>
    <t>VemÃ¡n</t>
  </si>
  <si>
    <t>Ajit</t>
  </si>
  <si>
    <t>Ajit Verma</t>
  </si>
  <si>
    <t>03/28/2013 08:16:59 PM MDT</t>
  </si>
  <si>
    <t>Asha</t>
  </si>
  <si>
    <t>03/28/2013 08:12:54 AM MDT</t>
  </si>
  <si>
    <t>Heather Viland</t>
  </si>
  <si>
    <t>Vinod</t>
  </si>
  <si>
    <t>nirav vinod</t>
  </si>
  <si>
    <t>03/27/2013 03:22:53 PM MDT</t>
  </si>
  <si>
    <t>Vranes</t>
  </si>
  <si>
    <t>Sara Vranes</t>
  </si>
  <si>
    <t>size medium, if it's the unisex t-shirt.</t>
  </si>
  <si>
    <t>03/28/2013 12:19:40 AM MDT</t>
  </si>
  <si>
    <t>W</t>
  </si>
  <si>
    <t>Mat</t>
  </si>
  <si>
    <t>Wadsworth</t>
  </si>
  <si>
    <t>Edye</t>
  </si>
  <si>
    <t>Edye Wagstaff</t>
  </si>
  <si>
    <t>03/28/2013 11:10:16 PM MDT</t>
  </si>
  <si>
    <t>Wake</t>
  </si>
  <si>
    <t>Braden Wake</t>
  </si>
  <si>
    <t>03/27/2013 08:47:40 PM MDT</t>
  </si>
  <si>
    <t>Daniel Walker</t>
  </si>
  <si>
    <t>Linsey</t>
  </si>
  <si>
    <t>03/28/2013 05:36:39 PM MDT</t>
  </si>
  <si>
    <t>Wallwork</t>
  </si>
  <si>
    <t>Holli Ward</t>
  </si>
  <si>
    <t>brinlie warden</t>
  </si>
  <si>
    <t>Reigan</t>
  </si>
  <si>
    <t>Ware</t>
  </si>
  <si>
    <t>Reigan Ware</t>
  </si>
  <si>
    <t>03/27/2013 09:56:13 AM MDT</t>
  </si>
  <si>
    <t>Waters</t>
  </si>
  <si>
    <t>Holly Waters</t>
  </si>
  <si>
    <t>03/28/2013 06:55:47 PM MDT</t>
  </si>
  <si>
    <t>Watson</t>
  </si>
  <si>
    <t>Jacy</t>
  </si>
  <si>
    <t>colby boyce</t>
  </si>
  <si>
    <t>Kacey</t>
  </si>
  <si>
    <t>Wayman</t>
  </si>
  <si>
    <t>Wayment</t>
  </si>
  <si>
    <t>Tiara W.</t>
  </si>
  <si>
    <t>Welker</t>
  </si>
  <si>
    <t>Wellons</t>
  </si>
  <si>
    <t>03/28/2013 03:28:31 PM MDT</t>
  </si>
  <si>
    <t>Anne Westfall</t>
  </si>
  <si>
    <t>Kate Westfall</t>
  </si>
  <si>
    <t>03/28/2013 11:23:12 PM MDT</t>
  </si>
  <si>
    <t>Westover</t>
  </si>
  <si>
    <t>03/27/2013 01:17:15 PM MDT</t>
  </si>
  <si>
    <t>Monika</t>
  </si>
  <si>
    <t>03/28/2013 05:57:59 PM MDT</t>
  </si>
  <si>
    <t>03/26/2013 01:05:39 PM MDT</t>
  </si>
  <si>
    <t>Steven Whitney</t>
  </si>
  <si>
    <t>Kandis</t>
  </si>
  <si>
    <t>Wilde</t>
  </si>
  <si>
    <t>03/27/2013 07:19:43 AM MDT</t>
  </si>
  <si>
    <t>Aryanna Wilkes</t>
  </si>
  <si>
    <t>Dalhn</t>
  </si>
  <si>
    <t>03/27/2013 03:08:34 PM MDT</t>
  </si>
  <si>
    <t>Nichelle</t>
  </si>
  <si>
    <t>Aly Wilkey</t>
  </si>
  <si>
    <t>Ellie</t>
  </si>
  <si>
    <t>Wilkinson</t>
  </si>
  <si>
    <t>Justin Wilkinson</t>
  </si>
  <si>
    <t>03/27/2013 12:45:23 PM MDT</t>
  </si>
  <si>
    <t>Shae-Lyn</t>
  </si>
  <si>
    <t>shae-lyn</t>
  </si>
  <si>
    <t>03/28/2013 03:51:50 PM MDT</t>
  </si>
  <si>
    <t>Erika Willard</t>
  </si>
  <si>
    <t>Lauren Williams</t>
  </si>
  <si>
    <t>Small and,medium</t>
  </si>
  <si>
    <t>03/28/2013 06:31:56 PM MDT</t>
  </si>
  <si>
    <t>Alix</t>
  </si>
  <si>
    <t>Michael Wilson</t>
  </si>
  <si>
    <t>03/28/2013 11:58:40 AM MDT</t>
  </si>
  <si>
    <t>Paris Johnson</t>
  </si>
  <si>
    <t>Winterbottom</t>
  </si>
  <si>
    <t>Winters</t>
  </si>
  <si>
    <t>Winward</t>
  </si>
  <si>
    <t>Krista Winward</t>
  </si>
  <si>
    <t>03/26/2013 05:38:02 PM MDT</t>
  </si>
  <si>
    <t>Wirthlin</t>
  </si>
  <si>
    <t>03/28/2013 06:53:27 PM MDT</t>
  </si>
  <si>
    <t>Withers</t>
  </si>
  <si>
    <t>Alexa withers</t>
  </si>
  <si>
    <t>03/27/2013 01:31:25 AM MDT</t>
  </si>
  <si>
    <t>Audie</t>
  </si>
  <si>
    <t>Jillian</t>
  </si>
  <si>
    <t>03/26/2013 04:49:54 PM MDT</t>
  </si>
  <si>
    <t>Mickel Wood</t>
  </si>
  <si>
    <t>03/28/2013 05:12:43 PM MDT</t>
  </si>
  <si>
    <t>Woolf</t>
  </si>
  <si>
    <t>Megan Woolf</t>
  </si>
  <si>
    <t>03/28/2013 06:58:19 PM MDT</t>
  </si>
  <si>
    <t>Hope</t>
  </si>
  <si>
    <t>Wotherspoon</t>
  </si>
  <si>
    <t>03/26/2013 12:52:45 PM MDT</t>
  </si>
  <si>
    <t>Lillian</t>
  </si>
  <si>
    <t>Mackinley</t>
  </si>
  <si>
    <t>Gunnar</t>
  </si>
  <si>
    <t>Wymore</t>
  </si>
  <si>
    <t>Gunnar Wymore</t>
  </si>
  <si>
    <t>03/26/2013 08:51:27 PM MDT</t>
  </si>
  <si>
    <t>Wynder</t>
  </si>
  <si>
    <t>Melonie Yannie or Pete Gallegos</t>
  </si>
  <si>
    <t>Yeates</t>
  </si>
  <si>
    <t>Amber Young</t>
  </si>
  <si>
    <t>Camdyn</t>
  </si>
  <si>
    <t>03/28/2013 09:36:20 PM MDT</t>
  </si>
  <si>
    <t>Jennifer Young</t>
  </si>
  <si>
    <t>Shae</t>
  </si>
  <si>
    <t>Zegarra</t>
  </si>
  <si>
    <t>Barbara</t>
  </si>
  <si>
    <t>Ziegler</t>
  </si>
  <si>
    <t>Brighton Ziegler</t>
  </si>
  <si>
    <t>03/28/2013 09:31:24 PM MDT</t>
  </si>
  <si>
    <t>Brighton</t>
  </si>
  <si>
    <t>Rafal</t>
  </si>
  <si>
    <t>Zlak</t>
  </si>
  <si>
    <t>03/28/2013 09:22:12 PM MDT</t>
  </si>
  <si>
    <t>Zubeldia</t>
  </si>
  <si>
    <t>Gamble T's Guest</t>
  </si>
  <si>
    <t>Maya's Guest</t>
  </si>
  <si>
    <t>Amber's Guest</t>
  </si>
  <si>
    <t>Mercier Kyla's Guest</t>
  </si>
  <si>
    <t>Mia's Guest</t>
  </si>
  <si>
    <t>Snow Daniel</t>
  </si>
  <si>
    <t>Bradford M</t>
  </si>
  <si>
    <t>Sun Rui</t>
  </si>
  <si>
    <t>Swift Rachel</t>
  </si>
  <si>
    <t>Maddox Heather</t>
  </si>
  <si>
    <t>Bertagnolli Kati</t>
  </si>
  <si>
    <t>Schofield Mallory</t>
  </si>
  <si>
    <t>Hudak Rob</t>
  </si>
  <si>
    <t>Austen Monica</t>
  </si>
  <si>
    <t xml:space="preserve">Anderson Tucker </t>
  </si>
  <si>
    <t xml:space="preserve">West Ryan </t>
  </si>
  <si>
    <t>Lauchnor Joe</t>
  </si>
  <si>
    <t>Stankovich Melissa</t>
  </si>
  <si>
    <t>McLean Mallory</t>
  </si>
  <si>
    <t>Mills Lori</t>
  </si>
  <si>
    <t>Farrington Gregg</t>
  </si>
  <si>
    <t xml:space="preserve">Weston </t>
  </si>
  <si>
    <t>Guest of Lastname</t>
  </si>
  <si>
    <t xml:space="preserve">Bregman </t>
  </si>
  <si>
    <t xml:space="preserve">Alexis </t>
  </si>
  <si>
    <t xml:space="preserve">Allen </t>
  </si>
  <si>
    <t>Purcell</t>
  </si>
  <si>
    <t>M, YM</t>
  </si>
  <si>
    <t>3 Large</t>
  </si>
  <si>
    <t>Aufdemorte</t>
  </si>
  <si>
    <t>Francie (Photographer)</t>
  </si>
  <si>
    <t>Adamson' Guest</t>
  </si>
  <si>
    <t>Neily's Guest</t>
  </si>
  <si>
    <t>2M, 1L, 1XL, 1XXL</t>
  </si>
  <si>
    <t xml:space="preserve">Brian </t>
  </si>
  <si>
    <t>Shook</t>
  </si>
  <si>
    <t>Subramaniam</t>
  </si>
  <si>
    <t>Venkatraman</t>
  </si>
  <si>
    <t xml:space="preserve">Kalyan </t>
  </si>
  <si>
    <t>Vasanta</t>
  </si>
  <si>
    <t>Shreyas</t>
  </si>
  <si>
    <t>Nitre</t>
  </si>
  <si>
    <t>Rohan</t>
  </si>
  <si>
    <t>Dhekane</t>
  </si>
  <si>
    <t>Vivek</t>
  </si>
  <si>
    <t>Battu</t>
  </si>
  <si>
    <t>Lohit</t>
  </si>
  <si>
    <t>Rakesh</t>
  </si>
  <si>
    <t>Nutulapati</t>
  </si>
  <si>
    <t>Kashyap</t>
  </si>
  <si>
    <t>4M, 2L, 2XL</t>
  </si>
  <si>
    <t>Jilleen</t>
  </si>
  <si>
    <t>Nystrom</t>
  </si>
  <si>
    <t xml:space="preserve">Mathew </t>
  </si>
  <si>
    <t>Freese</t>
  </si>
  <si>
    <t>Ashton (Fox13 &amp; Crew)</t>
  </si>
  <si>
    <t>Jacobs</t>
  </si>
  <si>
    <t>Timothy+39 Students</t>
  </si>
  <si>
    <t>USU - UT St Uni</t>
  </si>
  <si>
    <t>Switzer</t>
  </si>
  <si>
    <t>German News</t>
  </si>
  <si>
    <t>Anna-Barbara</t>
  </si>
  <si>
    <t xml:space="preserve"> Color Bags</t>
  </si>
  <si>
    <t xml:space="preserve"> T-Shirts</t>
  </si>
  <si>
    <t>Bandana Bandanas</t>
  </si>
  <si>
    <t xml:space="preserve"> Meals</t>
  </si>
  <si>
    <t>Hard Bound BG BG</t>
  </si>
  <si>
    <t>Dust Mask DustMask</t>
  </si>
  <si>
    <t>Emails Redacted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</si>
</sst>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b/>
      <sz val="11"/>
      <color theme="1"/>
      <name val="Calibri"/>
      <family val="2"/>
      <scheme val="minor"/>
    </font>
    <font>
      <u/>
      <sz val="11"/>
      <color theme="10"/>
      <name val="Calibri"/>
      <family val="2"/>
    </font>
    <font>
      <sz val="11"/>
      <color theme="0" tint="-0.1499984740745262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8">
    <xf numFmtId="0" fontId="0" fillId="0" borderId="0" xfId="0"/>
    <xf numFmtId="0" fontId="1" fillId="3" borderId="0" xfId="0" applyFont="1" applyFill="1"/>
    <xf numFmtId="164" fontId="1" fillId="4" borderId="0" xfId="0" applyNumberFormat="1" applyFont="1" applyFill="1"/>
    <xf numFmtId="164" fontId="1" fillId="2" borderId="0" xfId="0" applyNumberFormat="1" applyFont="1" applyFill="1"/>
    <xf numFmtId="164" fontId="0" fillId="0" borderId="0" xfId="0" applyNumberFormat="1"/>
    <xf numFmtId="164" fontId="1" fillId="3" borderId="0" xfId="0" applyNumberFormat="1" applyFont="1" applyFill="1"/>
    <xf numFmtId="0" fontId="2" fillId="0" borderId="0" xfId="1" applyAlignment="1" applyProtection="1"/>
    <xf numFmtId="0" fontId="3" fillId="0" borderId="0" xfId="0" applyFont="1"/>
  </cellXfs>
  <cellStyles count="2">
    <cellStyle name="Hyperlink" xfId="1" builtinId="8"/>
    <cellStyle name="Normal" xfId="0" builtinId="0"/>
  </cellStyles>
  <dxfs count="11">
    <dxf>
      <numFmt numFmtId="164" formatCode="0;\-0;"/>
      <fill>
        <patternFill patternType="none">
          <fgColor indexed="64"/>
          <bgColor indexed="65"/>
        </patternFill>
      </fill>
    </dxf>
    <dxf>
      <numFmt numFmtId="164" formatCode="0;\-0;"/>
      <fill>
        <patternFill patternType="none">
          <fgColor indexed="64"/>
          <bgColor indexed="65"/>
        </patternFill>
      </fill>
    </dxf>
    <dxf>
      <numFmt numFmtId="164" formatCode="0;\-0;"/>
      <fill>
        <patternFill patternType="none">
          <fgColor indexed="64"/>
          <bgColor indexed="65"/>
        </patternFill>
      </fill>
    </dxf>
    <dxf>
      <numFmt numFmtId="164" formatCode="0;\-0;"/>
      <fill>
        <patternFill patternType="none">
          <fgColor indexed="64"/>
          <bgColor indexed="65"/>
        </patternFill>
      </fill>
    </dxf>
    <dxf>
      <numFmt numFmtId="164" formatCode="0;\-0;"/>
      <fill>
        <patternFill patternType="none">
          <fgColor indexed="64"/>
          <bgColor indexed="65"/>
        </patternFill>
      </fill>
    </dxf>
    <dxf>
      <numFmt numFmtId="164" formatCode="0;\-0;"/>
      <fill>
        <patternFill patternType="none">
          <fgColor indexed="64"/>
          <bgColor indexed="65"/>
        </patternFill>
      </fill>
    </dxf>
    <dxf>
      <numFmt numFmtId="164" formatCode="0;\-0;"/>
      <fill>
        <patternFill patternType="none">
          <fgColor indexed="64"/>
          <bgColor indexed="65"/>
        </patternFill>
      </fill>
    </dxf>
    <dxf>
      <numFmt numFmtId="164" formatCode="0;\-0;"/>
      <fill>
        <patternFill patternType="none">
          <fgColor indexed="64"/>
          <bgColor indexed="65"/>
        </patternFill>
      </fill>
    </dxf>
    <dxf>
      <numFmt numFmtId="164" formatCode="0;\-0;"/>
      <fill>
        <patternFill patternType="none">
          <fgColor indexed="64"/>
          <bgColor indexed="65"/>
        </patternFill>
      </fill>
    </dxf>
    <dxf>
      <fill>
        <patternFill patternType="none">
          <fgColor indexed="64"/>
          <bgColor indexed="65"/>
        </patternFill>
      </fill>
    </dxf>
    <dxf>
      <numFmt numFmtId="164" formatCode="0;\-0;"/>
      <fill>
        <patternFill patternType="none">
          <fgColor indexed="64"/>
          <bgColor indexed="6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1186" totalsRowShown="0" headerRowDxfId="10" dataDxfId="9">
  <autoFilter ref="A1:I1186" xr:uid="{00000000-0009-0000-0100-000001000000}"/>
  <tableColumns count="9">
    <tableColumn id="1" xr3:uid="{00000000-0010-0000-0000-000001000000}" name="Last Name:" dataDxfId="8"/>
    <tableColumn id="2" xr3:uid="{00000000-0010-0000-0000-000002000000}" name="First Name:" dataDxfId="7"/>
    <tableColumn id="3" xr3:uid="{00000000-0010-0000-0000-000003000000}" name=" Color Bags" dataDxfId="6"/>
    <tableColumn id="4" xr3:uid="{00000000-0010-0000-0000-000004000000}" name=" T-Shirts" dataDxfId="5"/>
    <tableColumn id="5" xr3:uid="{00000000-0010-0000-0000-000005000000}" name="T-Shirt Sizes" dataDxfId="4"/>
    <tableColumn id="6" xr3:uid="{00000000-0010-0000-0000-000006000000}" name="Bandana Bandanas" dataDxfId="3"/>
    <tableColumn id="7" xr3:uid="{00000000-0010-0000-0000-000007000000}" name=" Meals" dataDxfId="2"/>
    <tableColumn id="8" xr3:uid="{00000000-0010-0000-0000-000008000000}" name="Hard Bound BG BG" dataDxfId="1"/>
    <tableColumn id="9" xr3:uid="{00000000-0010-0000-0000-000009000000}" name="Dust Mask DustMask"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Q3109"/>
  <sheetViews>
    <sheetView tabSelected="1" workbookViewId="0">
      <pane ySplit="1" topLeftCell="A2" activePane="bottomLeft" state="frozen"/>
      <selection pane="bottomLeft" activeCell="C15" sqref="C15"/>
    </sheetView>
  </sheetViews>
  <sheetFormatPr defaultRowHeight="15" x14ac:dyDescent="0.25"/>
  <cols>
    <col min="3" max="3" width="17.28515625" customWidth="1"/>
    <col min="4" max="4" width="18.7109375" customWidth="1"/>
  </cols>
  <sheetData>
    <row r="1" spans="1:43" x14ac:dyDescent="0.25">
      <c r="A1" t="s">
        <v>0</v>
      </c>
      <c r="B1" t="s">
        <v>1</v>
      </c>
      <c r="C1" t="s">
        <v>2</v>
      </c>
      <c r="D1" t="s">
        <v>511</v>
      </c>
      <c r="E1" t="s">
        <v>512</v>
      </c>
      <c r="F1" t="s">
        <v>548</v>
      </c>
      <c r="G1" t="s">
        <v>4</v>
      </c>
      <c r="H1" t="s">
        <v>6044</v>
      </c>
      <c r="I1" t="s">
        <v>6</v>
      </c>
      <c r="J1" t="s">
        <v>7</v>
      </c>
      <c r="K1" t="s">
        <v>8</v>
      </c>
      <c r="L1" t="s">
        <v>9</v>
      </c>
      <c r="M1" t="s">
        <v>513</v>
      </c>
      <c r="N1" t="s">
        <v>514</v>
      </c>
      <c r="O1" t="s">
        <v>515</v>
      </c>
      <c r="P1" t="s">
        <v>516</v>
      </c>
      <c r="Q1" t="s">
        <v>517</v>
      </c>
      <c r="R1" t="s">
        <v>518</v>
      </c>
      <c r="S1" t="s">
        <v>519</v>
      </c>
      <c r="T1" t="s">
        <v>520</v>
      </c>
      <c r="U1" t="s">
        <v>521</v>
      </c>
      <c r="V1" t="s">
        <v>522</v>
      </c>
      <c r="W1" t="s">
        <v>523</v>
      </c>
      <c r="X1" t="s">
        <v>524</v>
      </c>
      <c r="Y1" t="s">
        <v>525</v>
      </c>
      <c r="Z1" t="s">
        <v>526</v>
      </c>
      <c r="AA1" t="s">
        <v>527</v>
      </c>
      <c r="AB1" t="s">
        <v>528</v>
      </c>
      <c r="AC1" t="s">
        <v>24</v>
      </c>
      <c r="AD1" t="s">
        <v>25</v>
      </c>
      <c r="AE1" t="s">
        <v>529</v>
      </c>
      <c r="AF1" t="s">
        <v>530</v>
      </c>
      <c r="AG1" t="s">
        <v>531</v>
      </c>
      <c r="AH1" t="s">
        <v>532</v>
      </c>
      <c r="AI1" t="s">
        <v>533</v>
      </c>
      <c r="AJ1" t="s">
        <v>534</v>
      </c>
      <c r="AK1" t="s">
        <v>535</v>
      </c>
      <c r="AL1" t="s">
        <v>536</v>
      </c>
      <c r="AM1" t="s">
        <v>26</v>
      </c>
      <c r="AN1" t="s">
        <v>27</v>
      </c>
      <c r="AO1" t="s">
        <v>537</v>
      </c>
      <c r="AP1" t="s">
        <v>538</v>
      </c>
      <c r="AQ1" t="s">
        <v>30</v>
      </c>
    </row>
    <row r="92" spans="3:3" x14ac:dyDescent="0.25">
      <c r="C92" s="6"/>
    </row>
    <row r="120" spans="3:3" x14ac:dyDescent="0.25">
      <c r="C120" s="6"/>
    </row>
    <row r="241" spans="3:3" x14ac:dyDescent="0.25">
      <c r="C241" s="6"/>
    </row>
    <row r="337" spans="3:3" x14ac:dyDescent="0.25">
      <c r="C337" s="6"/>
    </row>
    <row r="523" spans="3:3" x14ac:dyDescent="0.25">
      <c r="C523" s="6"/>
    </row>
    <row r="790" spans="3:3" x14ac:dyDescent="0.25">
      <c r="C790" s="6"/>
    </row>
    <row r="1062" s="7" customFormat="1" x14ac:dyDescent="0.25"/>
    <row r="1063" s="7" customFormat="1" x14ac:dyDescent="0.25"/>
    <row r="1066" s="7" customFormat="1" x14ac:dyDescent="0.25"/>
    <row r="1068" s="7" customFormat="1" x14ac:dyDescent="0.25"/>
    <row r="1071" s="7" customFormat="1" x14ac:dyDescent="0.25"/>
    <row r="1075" s="7" customFormat="1" x14ac:dyDescent="0.25"/>
    <row r="1076" s="7" customFormat="1" x14ac:dyDescent="0.25"/>
    <row r="1079" s="7" customFormat="1" x14ac:dyDescent="0.25"/>
    <row r="1081" s="7" customFormat="1" x14ac:dyDescent="0.25"/>
    <row r="1082" s="7" customFormat="1" x14ac:dyDescent="0.25"/>
    <row r="1084" s="7" customFormat="1" x14ac:dyDescent="0.25"/>
    <row r="1085" s="7" customFormat="1" x14ac:dyDescent="0.25"/>
    <row r="1087" s="7" customFormat="1" x14ac:dyDescent="0.25"/>
    <row r="1088" s="7" customFormat="1" x14ac:dyDescent="0.25"/>
    <row r="1089" s="7" customFormat="1" x14ac:dyDescent="0.25"/>
    <row r="1090" s="7" customFormat="1" x14ac:dyDescent="0.25"/>
    <row r="1094" s="7" customFormat="1" x14ac:dyDescent="0.25"/>
    <row r="1096" s="7" customFormat="1" x14ac:dyDescent="0.25"/>
    <row r="1104" s="7" customFormat="1" x14ac:dyDescent="0.25"/>
    <row r="1109" s="7" customFormat="1" x14ac:dyDescent="0.25"/>
    <row r="1110" s="7" customFormat="1" x14ac:dyDescent="0.25"/>
    <row r="1112" s="7" customFormat="1" x14ac:dyDescent="0.25"/>
    <row r="1115" s="7" customFormat="1" x14ac:dyDescent="0.25"/>
    <row r="1117" s="7" customFormat="1" x14ac:dyDescent="0.25"/>
    <row r="1119" s="7" customFormat="1" x14ac:dyDescent="0.25"/>
    <row r="1120" s="7" customFormat="1" x14ac:dyDescent="0.25"/>
    <row r="1121" s="7" customFormat="1" x14ac:dyDescent="0.25"/>
    <row r="1124" s="7" customFormat="1" x14ac:dyDescent="0.25"/>
    <row r="1126" s="7" customFormat="1" x14ac:dyDescent="0.25"/>
    <row r="1131" s="7" customFormat="1" x14ac:dyDescent="0.25"/>
    <row r="1135" s="7" customFormat="1" x14ac:dyDescent="0.25"/>
    <row r="1139" s="7" customFormat="1" x14ac:dyDescent="0.25"/>
    <row r="1144" s="7" customFormat="1" x14ac:dyDescent="0.25"/>
    <row r="1148" s="7" customFormat="1" x14ac:dyDescent="0.25"/>
    <row r="1149" s="7" customFormat="1" x14ac:dyDescent="0.25"/>
    <row r="1151" s="7" customFormat="1" x14ac:dyDescent="0.25"/>
    <row r="1152" s="7" customFormat="1" x14ac:dyDescent="0.25"/>
    <row r="1154" s="7" customFormat="1" x14ac:dyDescent="0.25"/>
    <row r="1155" s="7" customFormat="1" x14ac:dyDescent="0.25"/>
    <row r="1157" s="7" customFormat="1" x14ac:dyDescent="0.25"/>
    <row r="1162" s="7" customFormat="1" x14ac:dyDescent="0.25"/>
    <row r="1163" s="7" customFormat="1" x14ac:dyDescent="0.25"/>
    <row r="1327" spans="3:3" x14ac:dyDescent="0.25">
      <c r="C1327" s="6"/>
    </row>
    <row r="1404" spans="3:3" x14ac:dyDescent="0.25">
      <c r="C1404" s="6"/>
    </row>
    <row r="1700" spans="3:3" x14ac:dyDescent="0.25">
      <c r="C1700" s="6"/>
    </row>
    <row r="1728" spans="3:3" x14ac:dyDescent="0.25">
      <c r="C1728" s="6"/>
    </row>
    <row r="1810" spans="3:3" x14ac:dyDescent="0.25">
      <c r="C1810" s="6"/>
    </row>
    <row r="1929" spans="3:3" x14ac:dyDescent="0.25">
      <c r="C1929" s="6"/>
    </row>
    <row r="1957" spans="3:3" x14ac:dyDescent="0.25">
      <c r="C1957" s="6"/>
    </row>
    <row r="1982" spans="3:3" x14ac:dyDescent="0.25">
      <c r="C1982" s="6"/>
    </row>
    <row r="2443" spans="3:3" x14ac:dyDescent="0.25">
      <c r="C2443" s="6"/>
    </row>
    <row r="2455" spans="3:3" x14ac:dyDescent="0.25">
      <c r="C2455" s="6"/>
    </row>
    <row r="2550" spans="3:3" x14ac:dyDescent="0.25">
      <c r="C2550" s="6"/>
    </row>
    <row r="2553" spans="3:3" x14ac:dyDescent="0.25">
      <c r="C2553" s="6"/>
    </row>
    <row r="2684" spans="3:3" x14ac:dyDescent="0.25">
      <c r="C2684" s="6"/>
    </row>
    <row r="2726" spans="3:3" x14ac:dyDescent="0.25">
      <c r="C2726" s="6"/>
    </row>
    <row r="2766" spans="3:3" x14ac:dyDescent="0.25">
      <c r="C2766" s="6"/>
    </row>
    <row r="2780" spans="3:3" x14ac:dyDescent="0.25">
      <c r="C2780" s="6"/>
    </row>
    <row r="2797" spans="3:3" x14ac:dyDescent="0.25">
      <c r="C2797" s="6"/>
    </row>
    <row r="2852" spans="3:3" x14ac:dyDescent="0.25">
      <c r="C2852" s="6"/>
    </row>
    <row r="2904" spans="3:3" x14ac:dyDescent="0.25">
      <c r="C2904" s="6"/>
    </row>
    <row r="2914" spans="3:3" x14ac:dyDescent="0.25">
      <c r="C2914" s="6"/>
    </row>
    <row r="3024" spans="3:3" x14ac:dyDescent="0.25">
      <c r="C3024" s="6"/>
    </row>
    <row r="3109" spans="3:3" x14ac:dyDescent="0.25">
      <c r="C3109" s="6"/>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Y3000"/>
  <sheetViews>
    <sheetView workbookViewId="0">
      <pane ySplit="1" topLeftCell="A2" activePane="bottomLeft" state="frozen"/>
      <selection pane="bottomLeft" activeCell="C2752" sqref="C2752"/>
    </sheetView>
  </sheetViews>
  <sheetFormatPr defaultRowHeight="15" x14ac:dyDescent="0.25"/>
  <cols>
    <col min="1" max="1" width="11.140625" style="4" bestFit="1" customWidth="1"/>
    <col min="2" max="2" width="10.7109375" style="4" bestFit="1" customWidth="1"/>
    <col min="3" max="3" width="14.140625" style="4" bestFit="1" customWidth="1"/>
    <col min="4" max="5" width="12" style="4" customWidth="1"/>
    <col min="6" max="6" width="11.5703125" style="4" customWidth="1"/>
    <col min="7" max="36" width="9.140625" style="4"/>
    <col min="37" max="37" width="10.5703125" style="4" customWidth="1"/>
    <col min="38" max="38" width="10.140625" style="4" customWidth="1"/>
    <col min="39" max="39" width="10.85546875" style="4" bestFit="1" customWidth="1"/>
    <col min="40" max="40" width="16.85546875" style="4" customWidth="1"/>
    <col min="41" max="47" width="9.140625" style="4"/>
    <col min="48" max="48" width="15.85546875" style="4" bestFit="1" customWidth="1"/>
    <col min="49" max="49" width="13.7109375" style="4" bestFit="1" customWidth="1"/>
    <col min="50" max="16384" width="9.140625" style="4"/>
  </cols>
  <sheetData>
    <row r="1" spans="1:51" s="2" customFormat="1" x14ac:dyDescent="0.25">
      <c r="A1" s="2" t="s">
        <v>0</v>
      </c>
      <c r="B1" s="2" t="s">
        <v>1</v>
      </c>
      <c r="C1" s="2" t="s">
        <v>2</v>
      </c>
      <c r="D1" s="2" t="s">
        <v>3</v>
      </c>
      <c r="E1" s="2" t="s">
        <v>539</v>
      </c>
      <c r="F1" s="2" t="s">
        <v>540</v>
      </c>
      <c r="G1" s="2" t="s">
        <v>4</v>
      </c>
      <c r="H1" s="2" t="s">
        <v>5</v>
      </c>
      <c r="I1" s="2" t="s">
        <v>6</v>
      </c>
      <c r="J1" s="2" t="s">
        <v>7</v>
      </c>
      <c r="K1" s="2" t="s">
        <v>8</v>
      </c>
      <c r="L1" s="2" t="s">
        <v>9</v>
      </c>
      <c r="M1" s="2" t="s">
        <v>10</v>
      </c>
      <c r="N1" s="2" t="s">
        <v>11</v>
      </c>
      <c r="O1" s="2" t="s">
        <v>12</v>
      </c>
      <c r="P1" s="2" t="s">
        <v>13</v>
      </c>
      <c r="Q1" s="2" t="s">
        <v>14</v>
      </c>
      <c r="R1" s="2" t="s">
        <v>15</v>
      </c>
      <c r="S1" s="2" t="s">
        <v>303</v>
      </c>
      <c r="T1" s="2" t="s">
        <v>304</v>
      </c>
      <c r="U1" s="2" t="s">
        <v>16</v>
      </c>
      <c r="V1" s="2" t="s">
        <v>17</v>
      </c>
      <c r="W1" s="2" t="s">
        <v>18</v>
      </c>
      <c r="X1" s="2" t="s">
        <v>19</v>
      </c>
      <c r="Y1" s="2" t="s">
        <v>20</v>
      </c>
      <c r="Z1" s="2" t="s">
        <v>21</v>
      </c>
      <c r="AA1" s="2" t="s">
        <v>22</v>
      </c>
      <c r="AB1" s="2" t="s">
        <v>23</v>
      </c>
      <c r="AC1" s="2" t="s">
        <v>24</v>
      </c>
      <c r="AD1" s="2" t="s">
        <v>25</v>
      </c>
      <c r="AE1" s="2" t="s">
        <v>542</v>
      </c>
      <c r="AF1" s="2" t="s">
        <v>530</v>
      </c>
      <c r="AG1" s="2" t="s">
        <v>541</v>
      </c>
      <c r="AH1" s="2" t="s">
        <v>543</v>
      </c>
      <c r="AI1" s="2" t="s">
        <v>544</v>
      </c>
      <c r="AJ1" s="2" t="s">
        <v>545</v>
      </c>
      <c r="AK1" s="2" t="s">
        <v>546</v>
      </c>
      <c r="AL1" s="2" t="s">
        <v>547</v>
      </c>
      <c r="AM1" s="2" t="s">
        <v>26</v>
      </c>
      <c r="AN1" s="2" t="s">
        <v>27</v>
      </c>
      <c r="AO1" s="2" t="s">
        <v>28</v>
      </c>
      <c r="AP1" s="2" t="s">
        <v>29</v>
      </c>
      <c r="AQ1" s="2" t="s">
        <v>30</v>
      </c>
      <c r="AR1" s="3" t="str">
        <f>IF(ISTEXT(AM1)=TRUE,"",SUM(U1*10,W1*20,Y1*30,AA1*40,AC1*5,AM1*5))</f>
        <v/>
      </c>
      <c r="AS1" s="3" t="str">
        <f>IF(ISTEXT(AM1)=TRUE,"",SUM(AM1,AO1))</f>
        <v/>
      </c>
      <c r="AT1" s="3" t="str">
        <f>IF(OR(Registered!AM1&gt;0,Registered!AO1&gt;0),(IF(Registered!E1=0,"Size Not Specified",Registered!E1)),"")</f>
        <v>T-Shirt Sizes</v>
      </c>
      <c r="AU1" s="3" t="str">
        <f>IF(Registered!AE1=0,"",IF(Registered!AE1=1,Registered!AE1&amp;" Bandana",Registered!AE1&amp;" Bandanas"))</f>
        <v>Bandana Bandanas</v>
      </c>
      <c r="AV1" s="3" t="str">
        <f>IF(ISTEXT(AM1)=TRUE,"",SUM(AM1,AK1))</f>
        <v/>
      </c>
      <c r="AW1" s="2" t="str">
        <f>IF(Registered!AV1=0,"",IF(Registered!AV1=1,Registered!AV1&amp;" Meal",Registered!AV1&amp;" Meals"))</f>
        <v xml:space="preserve"> Meals</v>
      </c>
      <c r="AX1" s="2" t="str">
        <f>IF(Registered!AI1=0,"",Registered!AI1&amp;" BG")</f>
        <v>Hard Bound BG BG</v>
      </c>
      <c r="AY1" s="2" t="str">
        <f>IF(Registered!AG1=0,"",Registered!AG1&amp;" DustMask")</f>
        <v>Dust Mask DustMask</v>
      </c>
    </row>
    <row r="2" spans="1:51" customFormat="1" x14ac:dyDescent="0.25">
      <c r="A2" t="s">
        <v>3519</v>
      </c>
      <c r="B2" t="s">
        <v>3520</v>
      </c>
      <c r="C2" t="s">
        <v>6090</v>
      </c>
      <c r="G2" t="s">
        <v>395</v>
      </c>
      <c r="H2" t="s">
        <v>154</v>
      </c>
      <c r="I2" t="s">
        <v>3521</v>
      </c>
      <c r="J2" t="s">
        <v>37</v>
      </c>
      <c r="K2" t="s">
        <v>32</v>
      </c>
      <c r="L2" t="s">
        <v>35</v>
      </c>
      <c r="AQ2">
        <v>0</v>
      </c>
      <c r="AR2" s="3">
        <f t="shared" ref="AR2:AR65" si="0">IF(ISTEXT(AM2)=TRUE,"",SUM(U2*10,W2*20,Y2*30,AA2*40,AC2*5,AM2*5))</f>
        <v>0</v>
      </c>
      <c r="AS2" s="3">
        <f t="shared" ref="AS2:AS65" si="1">IF(ISTEXT(AM2)=TRUE,"",SUM(AM2,AO2))</f>
        <v>0</v>
      </c>
      <c r="AT2" s="3" t="str">
        <f>IF(OR(Registered!AM2&gt;0,Registered!AO2&gt;0),(IF(Registered!E2=0,"Size Not Specified",Registered!E2)),"")</f>
        <v/>
      </c>
      <c r="AU2" s="3" t="str">
        <f>IF(Registered!AE2=0,"",IF(Registered!AE2=1,Registered!AE2&amp;" Bandana",Registered!AE2&amp;" Bandanas"))</f>
        <v/>
      </c>
      <c r="AV2" s="3">
        <f t="shared" ref="AV2:AV65" si="2">IF(ISTEXT(AM2)=TRUE,"",SUM(AM2,AK2))</f>
        <v>0</v>
      </c>
      <c r="AW2" s="2" t="str">
        <f>IF(Registered!AV2=0,"",IF(Registered!AV2=1,Registered!AV2&amp;" Meal",Registered!AV2&amp;" Meals"))</f>
        <v/>
      </c>
      <c r="AX2" s="2" t="str">
        <f>IF(Registered!AI2=0,"",Registered!AI2&amp;" BG")</f>
        <v/>
      </c>
      <c r="AY2" s="2" t="str">
        <f>IF(Registered!AG2=0,"",Registered!AG2&amp;" DustMask")</f>
        <v/>
      </c>
    </row>
    <row r="3" spans="1:51" customFormat="1" x14ac:dyDescent="0.25">
      <c r="A3" t="s">
        <v>2664</v>
      </c>
      <c r="B3" t="s">
        <v>2665</v>
      </c>
      <c r="C3" t="s">
        <v>6090</v>
      </c>
      <c r="D3" t="s">
        <v>57</v>
      </c>
      <c r="E3" t="s">
        <v>2666</v>
      </c>
      <c r="F3" t="s">
        <v>261</v>
      </c>
      <c r="I3" t="s">
        <v>3522</v>
      </c>
      <c r="J3" t="s">
        <v>37</v>
      </c>
      <c r="K3" t="s">
        <v>32</v>
      </c>
      <c r="L3" t="s">
        <v>35</v>
      </c>
      <c r="Q3">
        <v>2</v>
      </c>
      <c r="R3">
        <v>3</v>
      </c>
      <c r="AC3">
        <v>1</v>
      </c>
      <c r="AD3">
        <v>10</v>
      </c>
      <c r="AK3">
        <v>2</v>
      </c>
      <c r="AL3">
        <v>6</v>
      </c>
      <c r="AQ3">
        <v>28</v>
      </c>
      <c r="AR3" s="3">
        <f t="shared" si="0"/>
        <v>5</v>
      </c>
      <c r="AS3" s="3">
        <f t="shared" si="1"/>
        <v>0</v>
      </c>
      <c r="AT3" s="3" t="str">
        <f>IF(OR(Registered!AM3&gt;0,Registered!AO3&gt;0),(IF(Registered!E3=0,"Size Not Specified",Registered!E3)),"")</f>
        <v/>
      </c>
      <c r="AU3" s="3" t="str">
        <f>IF(Registered!AE3=0,"",IF(Registered!AE3=1,Registered!AE3&amp;" Bandana",Registered!AE3&amp;" Bandanas"))</f>
        <v/>
      </c>
      <c r="AV3" s="3">
        <f t="shared" si="2"/>
        <v>2</v>
      </c>
      <c r="AW3" s="2" t="str">
        <f>IF(Registered!AV3=0,"",IF(Registered!AV3=1,Registered!AV3&amp;" Meal",Registered!AV3&amp;" Meals"))</f>
        <v>2 Meals</v>
      </c>
      <c r="AX3" s="2" t="str">
        <f>IF(Registered!AI3=0,"",Registered!AI3&amp;" BG")</f>
        <v/>
      </c>
      <c r="AY3" s="2" t="str">
        <f>IF(Registered!AG3=0,"",Registered!AG3&amp;" DustMask")</f>
        <v/>
      </c>
    </row>
    <row r="4" spans="1:51" customFormat="1" x14ac:dyDescent="0.25">
      <c r="A4" t="s">
        <v>549</v>
      </c>
      <c r="B4" t="s">
        <v>550</v>
      </c>
      <c r="C4" t="s">
        <v>6090</v>
      </c>
      <c r="G4" t="s">
        <v>175</v>
      </c>
      <c r="H4" t="s">
        <v>550</v>
      </c>
      <c r="I4" t="s">
        <v>551</v>
      </c>
      <c r="J4" t="s">
        <v>37</v>
      </c>
      <c r="K4" t="s">
        <v>32</v>
      </c>
      <c r="L4" t="s">
        <v>35</v>
      </c>
      <c r="AQ4">
        <v>0</v>
      </c>
      <c r="AR4" s="3">
        <f t="shared" si="0"/>
        <v>0</v>
      </c>
      <c r="AS4" s="3">
        <f t="shared" si="1"/>
        <v>0</v>
      </c>
      <c r="AT4" s="3" t="str">
        <f>IF(OR(Registered!AM4&gt;0,Registered!AO4&gt;0),(IF(Registered!E4=0,"Size Not Specified",Registered!E4)),"")</f>
        <v/>
      </c>
      <c r="AU4" s="3" t="str">
        <f>IF(Registered!AE4=0,"",IF(Registered!AE4=1,Registered!AE4&amp;" Bandana",Registered!AE4&amp;" Bandanas"))</f>
        <v/>
      </c>
      <c r="AV4" s="3">
        <f t="shared" si="2"/>
        <v>0</v>
      </c>
      <c r="AW4" s="2" t="str">
        <f>IF(Registered!AV4=0,"",IF(Registered!AV4=1,Registered!AV4&amp;" Meal",Registered!AV4&amp;" Meals"))</f>
        <v/>
      </c>
      <c r="AX4" s="2" t="str">
        <f>IF(Registered!AI4=0,"",Registered!AI4&amp;" BG")</f>
        <v/>
      </c>
      <c r="AY4" s="2" t="str">
        <f>IF(Registered!AG4=0,"",Registered!AG4&amp;" DustMask")</f>
        <v/>
      </c>
    </row>
    <row r="5" spans="1:51" customFormat="1" x14ac:dyDescent="0.25">
      <c r="A5" t="s">
        <v>175</v>
      </c>
      <c r="B5" t="s">
        <v>550</v>
      </c>
      <c r="C5" t="s">
        <v>6090</v>
      </c>
      <c r="D5" t="s">
        <v>552</v>
      </c>
      <c r="I5" t="s">
        <v>551</v>
      </c>
      <c r="J5" t="s">
        <v>37</v>
      </c>
      <c r="K5" t="s">
        <v>32</v>
      </c>
      <c r="L5" t="s">
        <v>35</v>
      </c>
      <c r="S5">
        <v>2</v>
      </c>
      <c r="T5">
        <v>3</v>
      </c>
      <c r="U5">
        <v>2</v>
      </c>
      <c r="V5">
        <v>20</v>
      </c>
      <c r="AQ5">
        <v>46</v>
      </c>
      <c r="AR5" s="3">
        <f t="shared" si="0"/>
        <v>20</v>
      </c>
      <c r="AS5" s="3">
        <f t="shared" si="1"/>
        <v>0</v>
      </c>
      <c r="AT5" s="3" t="str">
        <f>IF(OR(Registered!AM5&gt;0,Registered!AO5&gt;0),(IF(Registered!E5=0,"Size Not Specified",Registered!E5)),"")</f>
        <v/>
      </c>
      <c r="AU5" s="3" t="str">
        <f>IF(Registered!AE5=0,"",IF(Registered!AE5=1,Registered!AE5&amp;" Bandana",Registered!AE5&amp;" Bandanas"))</f>
        <v/>
      </c>
      <c r="AV5" s="3">
        <f t="shared" si="2"/>
        <v>0</v>
      </c>
      <c r="AW5" s="2" t="str">
        <f>IF(Registered!AV5=0,"",IF(Registered!AV5=1,Registered!AV5&amp;" Meal",Registered!AV5&amp;" Meals"))</f>
        <v/>
      </c>
      <c r="AX5" s="2" t="str">
        <f>IF(Registered!AI5=0,"",Registered!AI5&amp;" BG")</f>
        <v/>
      </c>
      <c r="AY5" s="2" t="str">
        <f>IF(Registered!AG5=0,"",Registered!AG5&amp;" DustMask")</f>
        <v/>
      </c>
    </row>
    <row r="6" spans="1:51" customFormat="1" x14ac:dyDescent="0.25">
      <c r="A6" t="s">
        <v>3523</v>
      </c>
      <c r="B6" t="s">
        <v>550</v>
      </c>
      <c r="C6" t="s">
        <v>6090</v>
      </c>
      <c r="D6" t="s">
        <v>552</v>
      </c>
      <c r="F6" t="s">
        <v>261</v>
      </c>
      <c r="I6" t="s">
        <v>3524</v>
      </c>
      <c r="J6" t="s">
        <v>37</v>
      </c>
      <c r="K6" t="s">
        <v>32</v>
      </c>
      <c r="L6" t="s">
        <v>35</v>
      </c>
      <c r="Q6">
        <v>1</v>
      </c>
      <c r="R6">
        <v>3</v>
      </c>
      <c r="AQ6">
        <v>3</v>
      </c>
      <c r="AR6" s="3">
        <f t="shared" si="0"/>
        <v>0</v>
      </c>
      <c r="AS6" s="3">
        <f t="shared" si="1"/>
        <v>0</v>
      </c>
      <c r="AT6" s="3" t="str">
        <f>IF(OR(Registered!AM6&gt;0,Registered!AO6&gt;0),(IF(Registered!E6=0,"Size Not Specified",Registered!E6)),"")</f>
        <v/>
      </c>
      <c r="AU6" s="3" t="str">
        <f>IF(Registered!AE6=0,"",IF(Registered!AE6=1,Registered!AE6&amp;" Bandana",Registered!AE6&amp;" Bandanas"))</f>
        <v/>
      </c>
      <c r="AV6" s="3">
        <f t="shared" si="2"/>
        <v>0</v>
      </c>
      <c r="AW6" s="2" t="str">
        <f>IF(Registered!AV6=0,"",IF(Registered!AV6=1,Registered!AV6&amp;" Meal",Registered!AV6&amp;" Meals"))</f>
        <v/>
      </c>
      <c r="AX6" s="2" t="str">
        <f>IF(Registered!AI6=0,"",Registered!AI6&amp;" BG")</f>
        <v/>
      </c>
      <c r="AY6" s="2" t="str">
        <f>IF(Registered!AG6=0,"",Registered!AG6&amp;" DustMask")</f>
        <v/>
      </c>
    </row>
    <row r="7" spans="1:51" customFormat="1" x14ac:dyDescent="0.25">
      <c r="A7" t="s">
        <v>390</v>
      </c>
      <c r="B7" t="s">
        <v>557</v>
      </c>
      <c r="C7" t="s">
        <v>6090</v>
      </c>
      <c r="G7" t="s">
        <v>131</v>
      </c>
      <c r="H7" t="s">
        <v>558</v>
      </c>
      <c r="I7" t="s">
        <v>559</v>
      </c>
      <c r="J7" t="s">
        <v>37</v>
      </c>
      <c r="K7" t="s">
        <v>32</v>
      </c>
      <c r="L7" t="s">
        <v>35</v>
      </c>
      <c r="AQ7">
        <v>0</v>
      </c>
      <c r="AR7" s="3">
        <f t="shared" si="0"/>
        <v>0</v>
      </c>
      <c r="AS7" s="3">
        <f t="shared" si="1"/>
        <v>0</v>
      </c>
      <c r="AT7" s="3" t="str">
        <f>IF(OR(Registered!AM7&gt;0,Registered!AO7&gt;0),(IF(Registered!E7=0,"Size Not Specified",Registered!E7)),"")</f>
        <v/>
      </c>
      <c r="AU7" s="3" t="str">
        <f>IF(Registered!AE7=0,"",IF(Registered!AE7=1,Registered!AE7&amp;" Bandana",Registered!AE7&amp;" Bandanas"))</f>
        <v/>
      </c>
      <c r="AV7" s="3">
        <f t="shared" si="2"/>
        <v>0</v>
      </c>
      <c r="AW7" s="2" t="str">
        <f>IF(Registered!AV7=0,"",IF(Registered!AV7=1,Registered!AV7&amp;" Meal",Registered!AV7&amp;" Meals"))</f>
        <v/>
      </c>
      <c r="AX7" s="2" t="str">
        <f>IF(Registered!AI7=0,"",Registered!AI7&amp;" BG")</f>
        <v/>
      </c>
      <c r="AY7" s="2" t="str">
        <f>IF(Registered!AG7=0,"",Registered!AG7&amp;" DustMask")</f>
        <v/>
      </c>
    </row>
    <row r="8" spans="1:51" customFormat="1" x14ac:dyDescent="0.25">
      <c r="A8" t="s">
        <v>100</v>
      </c>
      <c r="B8" t="s">
        <v>557</v>
      </c>
      <c r="C8" t="s">
        <v>6090</v>
      </c>
      <c r="G8" t="s">
        <v>398</v>
      </c>
      <c r="H8" t="s">
        <v>1695</v>
      </c>
      <c r="I8" t="s">
        <v>3525</v>
      </c>
      <c r="J8" t="s">
        <v>37</v>
      </c>
      <c r="K8" t="s">
        <v>32</v>
      </c>
      <c r="L8" t="s">
        <v>35</v>
      </c>
      <c r="AQ8">
        <v>0</v>
      </c>
      <c r="AR8" s="3">
        <f t="shared" si="0"/>
        <v>0</v>
      </c>
      <c r="AS8" s="3">
        <f t="shared" si="1"/>
        <v>0</v>
      </c>
      <c r="AT8" s="3" t="str">
        <f>IF(OR(Registered!AM8&gt;0,Registered!AO8&gt;0),(IF(Registered!E8=0,"Size Not Specified",Registered!E8)),"")</f>
        <v/>
      </c>
      <c r="AU8" s="3" t="str">
        <f>IF(Registered!AE8=0,"",IF(Registered!AE8=1,Registered!AE8&amp;" Bandana",Registered!AE8&amp;" Bandanas"))</f>
        <v/>
      </c>
      <c r="AV8" s="3">
        <f t="shared" si="2"/>
        <v>0</v>
      </c>
      <c r="AW8" s="2" t="str">
        <f>IF(Registered!AV8=0,"",IF(Registered!AV8=1,Registered!AV8&amp;" Meal",Registered!AV8&amp;" Meals"))</f>
        <v/>
      </c>
      <c r="AX8" s="2" t="str">
        <f>IF(Registered!AI8=0,"",Registered!AI8&amp;" BG")</f>
        <v/>
      </c>
      <c r="AY8" s="2" t="str">
        <f>IF(Registered!AG8=0,"",Registered!AG8&amp;" DustMask")</f>
        <v/>
      </c>
    </row>
    <row r="9" spans="1:51" customFormat="1" x14ac:dyDescent="0.25">
      <c r="A9" t="s">
        <v>49</v>
      </c>
      <c r="B9" t="s">
        <v>560</v>
      </c>
      <c r="C9" t="s">
        <v>6090</v>
      </c>
      <c r="D9" t="s">
        <v>49</v>
      </c>
      <c r="E9" t="s">
        <v>561</v>
      </c>
      <c r="I9" t="s">
        <v>562</v>
      </c>
      <c r="J9" t="s">
        <v>37</v>
      </c>
      <c r="K9" t="s">
        <v>32</v>
      </c>
      <c r="L9" t="s">
        <v>35</v>
      </c>
      <c r="S9">
        <v>2</v>
      </c>
      <c r="T9">
        <v>3</v>
      </c>
      <c r="AC9">
        <v>1</v>
      </c>
      <c r="AD9">
        <v>10</v>
      </c>
      <c r="AO9">
        <v>2</v>
      </c>
      <c r="AP9">
        <v>10</v>
      </c>
      <c r="AQ9">
        <v>36</v>
      </c>
      <c r="AR9" s="3">
        <f t="shared" si="0"/>
        <v>5</v>
      </c>
      <c r="AS9" s="3">
        <f t="shared" si="1"/>
        <v>2</v>
      </c>
      <c r="AT9" s="3" t="str">
        <f>IF(OR(Registered!AM9&gt;0,Registered!AO9&gt;0),(IF(Registered!E9=0,"Size Not Specified",Registered!E9)),"")</f>
        <v>2 Mediums</v>
      </c>
      <c r="AU9" s="3" t="str">
        <f>IF(Registered!AE9=0,"",IF(Registered!AE9=1,Registered!AE9&amp;" Bandana",Registered!AE9&amp;" Bandanas"))</f>
        <v/>
      </c>
      <c r="AV9" s="3">
        <f t="shared" si="2"/>
        <v>0</v>
      </c>
      <c r="AW9" s="2" t="str">
        <f>IF(Registered!AV9=0,"",IF(Registered!AV9=1,Registered!AV9&amp;" Meal",Registered!AV9&amp;" Meals"))</f>
        <v/>
      </c>
      <c r="AX9" s="2" t="str">
        <f>IF(Registered!AI9=0,"",Registered!AI9&amp;" BG")</f>
        <v/>
      </c>
      <c r="AY9" s="2" t="str">
        <f>IF(Registered!AG9=0,"",Registered!AG9&amp;" DustMask")</f>
        <v/>
      </c>
    </row>
    <row r="10" spans="1:51" customFormat="1" x14ac:dyDescent="0.25">
      <c r="A10" t="s">
        <v>563</v>
      </c>
      <c r="B10" t="s">
        <v>564</v>
      </c>
      <c r="C10" t="s">
        <v>6090</v>
      </c>
      <c r="G10" t="s">
        <v>565</v>
      </c>
      <c r="H10" t="s">
        <v>566</v>
      </c>
      <c r="I10" t="s">
        <v>567</v>
      </c>
      <c r="J10" t="s">
        <v>37</v>
      </c>
      <c r="K10" t="s">
        <v>32</v>
      </c>
      <c r="L10" t="s">
        <v>35</v>
      </c>
      <c r="AQ10">
        <v>0</v>
      </c>
      <c r="AR10" s="3">
        <f t="shared" si="0"/>
        <v>0</v>
      </c>
      <c r="AS10" s="3">
        <f t="shared" si="1"/>
        <v>0</v>
      </c>
      <c r="AT10" s="3" t="str">
        <f>IF(OR(Registered!AM10&gt;0,Registered!AO10&gt;0),(IF(Registered!E10=0,"Size Not Specified",Registered!E10)),"")</f>
        <v/>
      </c>
      <c r="AU10" s="3" t="str">
        <f>IF(Registered!AE10=0,"",IF(Registered!AE10=1,Registered!AE10&amp;" Bandana",Registered!AE10&amp;" Bandanas"))</f>
        <v/>
      </c>
      <c r="AV10" s="3">
        <f t="shared" si="2"/>
        <v>0</v>
      </c>
      <c r="AW10" s="2" t="str">
        <f>IF(Registered!AV10=0,"",IF(Registered!AV10=1,Registered!AV10&amp;" Meal",Registered!AV10&amp;" Meals"))</f>
        <v/>
      </c>
      <c r="AX10" s="2" t="str">
        <f>IF(Registered!AI10=0,"",Registered!AI10&amp;" BG")</f>
        <v/>
      </c>
      <c r="AY10" s="2" t="str">
        <f>IF(Registered!AG10=0,"",Registered!AG10&amp;" DustMask")</f>
        <v/>
      </c>
    </row>
    <row r="11" spans="1:51" customFormat="1" x14ac:dyDescent="0.25">
      <c r="A11" t="s">
        <v>1441</v>
      </c>
      <c r="B11" t="s">
        <v>3529</v>
      </c>
      <c r="C11" t="s">
        <v>6090</v>
      </c>
      <c r="D11" t="s">
        <v>3530</v>
      </c>
      <c r="I11" t="s">
        <v>3531</v>
      </c>
      <c r="J11" t="s">
        <v>37</v>
      </c>
      <c r="K11" t="s">
        <v>32</v>
      </c>
      <c r="L11" t="s">
        <v>35</v>
      </c>
      <c r="Q11">
        <v>3</v>
      </c>
      <c r="R11">
        <v>3</v>
      </c>
      <c r="W11">
        <v>1</v>
      </c>
      <c r="X11">
        <v>40</v>
      </c>
      <c r="AQ11">
        <v>49</v>
      </c>
      <c r="AR11" s="3">
        <f t="shared" si="0"/>
        <v>20</v>
      </c>
      <c r="AS11" s="3">
        <f t="shared" si="1"/>
        <v>0</v>
      </c>
      <c r="AT11" s="3" t="str">
        <f>IF(OR(Registered!AM11&gt;0,Registered!AO11&gt;0),(IF(Registered!E11=0,"Size Not Specified",Registered!E11)),"")</f>
        <v/>
      </c>
      <c r="AU11" s="3" t="str">
        <f>IF(Registered!AE11=0,"",IF(Registered!AE11=1,Registered!AE11&amp;" Bandana",Registered!AE11&amp;" Bandanas"))</f>
        <v/>
      </c>
      <c r="AV11" s="3">
        <f t="shared" si="2"/>
        <v>0</v>
      </c>
      <c r="AW11" s="2" t="str">
        <f>IF(Registered!AV11=0,"",IF(Registered!AV11=1,Registered!AV11&amp;" Meal",Registered!AV11&amp;" Meals"))</f>
        <v/>
      </c>
      <c r="AX11" s="2" t="str">
        <f>IF(Registered!AI11=0,"",Registered!AI11&amp;" BG")</f>
        <v/>
      </c>
      <c r="AY11" s="2" t="str">
        <f>IF(Registered!AG11=0,"",Registered!AG11&amp;" DustMask")</f>
        <v/>
      </c>
    </row>
    <row r="12" spans="1:51" customFormat="1" x14ac:dyDescent="0.25">
      <c r="A12" t="s">
        <v>3532</v>
      </c>
      <c r="B12" t="s">
        <v>3529</v>
      </c>
      <c r="C12" t="s">
        <v>6090</v>
      </c>
      <c r="G12" t="s">
        <v>1441</v>
      </c>
      <c r="H12" t="s">
        <v>3529</v>
      </c>
      <c r="I12" t="s">
        <v>3531</v>
      </c>
      <c r="J12" t="s">
        <v>37</v>
      </c>
      <c r="K12" t="s">
        <v>32</v>
      </c>
      <c r="L12" t="s">
        <v>35</v>
      </c>
      <c r="AQ12">
        <v>0</v>
      </c>
      <c r="AR12" s="3">
        <f t="shared" si="0"/>
        <v>0</v>
      </c>
      <c r="AS12" s="3">
        <f t="shared" si="1"/>
        <v>0</v>
      </c>
      <c r="AT12" s="3" t="str">
        <f>IF(OR(Registered!AM12&gt;0,Registered!AO12&gt;0),(IF(Registered!E12=0,"Size Not Specified",Registered!E12)),"")</f>
        <v/>
      </c>
      <c r="AU12" s="3" t="str">
        <f>IF(Registered!AE12=0,"",IF(Registered!AE12=1,Registered!AE12&amp;" Bandana",Registered!AE12&amp;" Bandanas"))</f>
        <v/>
      </c>
      <c r="AV12" s="3">
        <f t="shared" si="2"/>
        <v>0</v>
      </c>
      <c r="AW12" s="2" t="str">
        <f>IF(Registered!AV12=0,"",IF(Registered!AV12=1,Registered!AV12&amp;" Meal",Registered!AV12&amp;" Meals"))</f>
        <v/>
      </c>
      <c r="AX12" s="2" t="str">
        <f>IF(Registered!AI12=0,"",Registered!AI12&amp;" BG")</f>
        <v/>
      </c>
      <c r="AY12" s="2" t="str">
        <f>IF(Registered!AG12=0,"",Registered!AG12&amp;" DustMask")</f>
        <v/>
      </c>
    </row>
    <row r="13" spans="1:51" customFormat="1" x14ac:dyDescent="0.25">
      <c r="A13" t="s">
        <v>3533</v>
      </c>
      <c r="B13" t="s">
        <v>427</v>
      </c>
      <c r="C13" t="s">
        <v>6090</v>
      </c>
      <c r="D13" t="s">
        <v>3534</v>
      </c>
      <c r="F13" t="s">
        <v>261</v>
      </c>
      <c r="I13" t="s">
        <v>3535</v>
      </c>
      <c r="J13" t="s">
        <v>37</v>
      </c>
      <c r="K13" t="s">
        <v>32</v>
      </c>
      <c r="L13" t="s">
        <v>35</v>
      </c>
      <c r="Q13">
        <v>2</v>
      </c>
      <c r="R13">
        <v>3</v>
      </c>
      <c r="AC13">
        <v>1</v>
      </c>
      <c r="AD13">
        <v>10</v>
      </c>
      <c r="AQ13">
        <v>16</v>
      </c>
      <c r="AR13" s="3">
        <f t="shared" si="0"/>
        <v>5</v>
      </c>
      <c r="AS13" s="3">
        <f t="shared" si="1"/>
        <v>0</v>
      </c>
      <c r="AT13" s="3" t="str">
        <f>IF(OR(Registered!AM13&gt;0,Registered!AO13&gt;0),(IF(Registered!E13=0,"Size Not Specified",Registered!E13)),"")</f>
        <v/>
      </c>
      <c r="AU13" s="3" t="str">
        <f>IF(Registered!AE13=0,"",IF(Registered!AE13=1,Registered!AE13&amp;" Bandana",Registered!AE13&amp;" Bandanas"))</f>
        <v/>
      </c>
      <c r="AV13" s="3">
        <f t="shared" si="2"/>
        <v>0</v>
      </c>
      <c r="AW13" s="2" t="str">
        <f>IF(Registered!AV13=0,"",IF(Registered!AV13=1,Registered!AV13&amp;" Meal",Registered!AV13&amp;" Meals"))</f>
        <v/>
      </c>
      <c r="AX13" s="2" t="str">
        <f>IF(Registered!AI13=0,"",Registered!AI13&amp;" BG")</f>
        <v/>
      </c>
      <c r="AY13" s="2" t="str">
        <f>IF(Registered!AG13=0,"",Registered!AG13&amp;" DustMask")</f>
        <v/>
      </c>
    </row>
    <row r="14" spans="1:51" customFormat="1" x14ac:dyDescent="0.25">
      <c r="A14" t="s">
        <v>199</v>
      </c>
      <c r="B14" t="s">
        <v>427</v>
      </c>
      <c r="C14" t="s">
        <v>6090</v>
      </c>
      <c r="G14" t="s">
        <v>3533</v>
      </c>
      <c r="H14" t="s">
        <v>427</v>
      </c>
      <c r="I14" t="s">
        <v>3535</v>
      </c>
      <c r="J14" t="s">
        <v>37</v>
      </c>
      <c r="K14" t="s">
        <v>32</v>
      </c>
      <c r="L14" t="s">
        <v>35</v>
      </c>
      <c r="AQ14">
        <v>0</v>
      </c>
      <c r="AR14" s="3">
        <f t="shared" si="0"/>
        <v>0</v>
      </c>
      <c r="AS14" s="3">
        <f t="shared" si="1"/>
        <v>0</v>
      </c>
      <c r="AT14" s="3" t="str">
        <f>IF(OR(Registered!AM14&gt;0,Registered!AO14&gt;0),(IF(Registered!E14=0,"Size Not Specified",Registered!E14)),"")</f>
        <v/>
      </c>
      <c r="AU14" s="3" t="str">
        <f>IF(Registered!AE14=0,"",IF(Registered!AE14=1,Registered!AE14&amp;" Bandana",Registered!AE14&amp;" Bandanas"))</f>
        <v/>
      </c>
      <c r="AV14" s="3">
        <f t="shared" si="2"/>
        <v>0</v>
      </c>
      <c r="AW14" s="2" t="str">
        <f>IF(Registered!AV14=0,"",IF(Registered!AV14=1,Registered!AV14&amp;" Meal",Registered!AV14&amp;" Meals"))</f>
        <v/>
      </c>
      <c r="AX14" s="2" t="str">
        <f>IF(Registered!AI14=0,"",Registered!AI14&amp;" BG")</f>
        <v/>
      </c>
      <c r="AY14" s="2" t="str">
        <f>IF(Registered!AG14=0,"",Registered!AG14&amp;" DustMask")</f>
        <v/>
      </c>
    </row>
    <row r="15" spans="1:51" customFormat="1" x14ac:dyDescent="0.25">
      <c r="A15" t="s">
        <v>46</v>
      </c>
      <c r="B15" t="s">
        <v>427</v>
      </c>
      <c r="C15" t="s">
        <v>6090</v>
      </c>
      <c r="G15" t="s">
        <v>264</v>
      </c>
      <c r="H15" t="s">
        <v>427</v>
      </c>
      <c r="I15" t="s">
        <v>568</v>
      </c>
      <c r="J15" t="s">
        <v>37</v>
      </c>
      <c r="K15" t="s">
        <v>32</v>
      </c>
      <c r="L15" t="s">
        <v>35</v>
      </c>
      <c r="AQ15">
        <v>0</v>
      </c>
      <c r="AR15" s="3">
        <f t="shared" si="0"/>
        <v>0</v>
      </c>
      <c r="AS15" s="3">
        <f t="shared" si="1"/>
        <v>0</v>
      </c>
      <c r="AT15" s="3" t="str">
        <f>IF(OR(Registered!AM15&gt;0,Registered!AO15&gt;0),(IF(Registered!E15=0,"Size Not Specified",Registered!E15)),"")</f>
        <v/>
      </c>
      <c r="AU15" s="3" t="str">
        <f>IF(Registered!AE15=0,"",IF(Registered!AE15=1,Registered!AE15&amp;" Bandana",Registered!AE15&amp;" Bandanas"))</f>
        <v/>
      </c>
      <c r="AV15" s="3">
        <f t="shared" si="2"/>
        <v>0</v>
      </c>
      <c r="AW15" s="2" t="str">
        <f>IF(Registered!AV15=0,"",IF(Registered!AV15=1,Registered!AV15&amp;" Meal",Registered!AV15&amp;" Meals"))</f>
        <v/>
      </c>
      <c r="AX15" s="2" t="str">
        <f>IF(Registered!AI15=0,"",Registered!AI15&amp;" BG")</f>
        <v/>
      </c>
      <c r="AY15" s="2" t="str">
        <f>IF(Registered!AG15=0,"",Registered!AG15&amp;" DustMask")</f>
        <v/>
      </c>
    </row>
    <row r="16" spans="1:51" customFormat="1" x14ac:dyDescent="0.25">
      <c r="A16" t="s">
        <v>244</v>
      </c>
      <c r="B16" t="s">
        <v>427</v>
      </c>
      <c r="C16" t="s">
        <v>6090</v>
      </c>
      <c r="D16" t="s">
        <v>244</v>
      </c>
      <c r="F16" t="s">
        <v>261</v>
      </c>
      <c r="I16" t="s">
        <v>3536</v>
      </c>
      <c r="J16" t="s">
        <v>37</v>
      </c>
      <c r="K16" t="s">
        <v>32</v>
      </c>
      <c r="L16" t="s">
        <v>35</v>
      </c>
      <c r="Q16">
        <v>1</v>
      </c>
      <c r="R16">
        <v>3</v>
      </c>
      <c r="AC16">
        <v>1</v>
      </c>
      <c r="AD16">
        <v>10</v>
      </c>
      <c r="AK16">
        <v>1</v>
      </c>
      <c r="AL16">
        <v>6</v>
      </c>
      <c r="AQ16">
        <v>19</v>
      </c>
      <c r="AR16" s="3">
        <f t="shared" si="0"/>
        <v>5</v>
      </c>
      <c r="AS16" s="3">
        <f t="shared" si="1"/>
        <v>0</v>
      </c>
      <c r="AT16" s="3" t="str">
        <f>IF(OR(Registered!AM16&gt;0,Registered!AO16&gt;0),(IF(Registered!E16=0,"Size Not Specified",Registered!E16)),"")</f>
        <v/>
      </c>
      <c r="AU16" s="3" t="str">
        <f>IF(Registered!AE16=0,"",IF(Registered!AE16=1,Registered!AE16&amp;" Bandana",Registered!AE16&amp;" Bandanas"))</f>
        <v/>
      </c>
      <c r="AV16" s="3">
        <f t="shared" si="2"/>
        <v>1</v>
      </c>
      <c r="AW16" s="2" t="str">
        <f>IF(Registered!AV16=0,"",IF(Registered!AV16=1,Registered!AV16&amp;" Meal",Registered!AV16&amp;" Meals"))</f>
        <v>1 Meal</v>
      </c>
      <c r="AX16" s="2" t="str">
        <f>IF(Registered!AI16=0,"",Registered!AI16&amp;" BG")</f>
        <v/>
      </c>
      <c r="AY16" s="2" t="str">
        <f>IF(Registered!AG16=0,"",Registered!AG16&amp;" DustMask")</f>
        <v/>
      </c>
    </row>
    <row r="17" spans="1:51" customFormat="1" x14ac:dyDescent="0.25">
      <c r="A17" t="s">
        <v>264</v>
      </c>
      <c r="B17" t="s">
        <v>427</v>
      </c>
      <c r="C17" t="s">
        <v>6090</v>
      </c>
      <c r="D17" t="s">
        <v>569</v>
      </c>
      <c r="E17" t="s">
        <v>6050</v>
      </c>
      <c r="F17" t="s">
        <v>261</v>
      </c>
      <c r="I17" t="s">
        <v>568</v>
      </c>
      <c r="J17" t="s">
        <v>37</v>
      </c>
      <c r="K17" t="s">
        <v>32</v>
      </c>
      <c r="L17" t="s">
        <v>35</v>
      </c>
      <c r="S17">
        <v>3</v>
      </c>
      <c r="T17">
        <v>3</v>
      </c>
      <c r="AM17">
        <v>3</v>
      </c>
      <c r="AN17">
        <v>25</v>
      </c>
      <c r="AQ17">
        <v>84</v>
      </c>
      <c r="AR17" s="3">
        <f t="shared" si="0"/>
        <v>15</v>
      </c>
      <c r="AS17" s="3">
        <f t="shared" si="1"/>
        <v>3</v>
      </c>
      <c r="AT17" s="3" t="str">
        <f>IF(OR(Registered!AM17&gt;0,Registered!AO17&gt;0),(IF(Registered!E17=0,"Size Not Specified",Registered!E17)),"")</f>
        <v>3 Large</v>
      </c>
      <c r="AU17" s="3" t="str">
        <f>IF(Registered!AE17=0,"",IF(Registered!AE17=1,Registered!AE17&amp;" Bandana",Registered!AE17&amp;" Bandanas"))</f>
        <v/>
      </c>
      <c r="AV17" s="3">
        <f t="shared" si="2"/>
        <v>3</v>
      </c>
      <c r="AW17" s="2" t="str">
        <f>IF(Registered!AV17=0,"",IF(Registered!AV17=1,Registered!AV17&amp;" Meal",Registered!AV17&amp;" Meals"))</f>
        <v>3 Meals</v>
      </c>
      <c r="AX17" s="2" t="str">
        <f>IF(Registered!AI17=0,"",Registered!AI17&amp;" BG")</f>
        <v/>
      </c>
      <c r="AY17" s="2" t="str">
        <f>IF(Registered!AG17=0,"",Registered!AG17&amp;" DustMask")</f>
        <v/>
      </c>
    </row>
    <row r="18" spans="1:51" customFormat="1" x14ac:dyDescent="0.25">
      <c r="A18" t="s">
        <v>2670</v>
      </c>
      <c r="B18" t="s">
        <v>570</v>
      </c>
      <c r="C18" t="s">
        <v>6090</v>
      </c>
      <c r="G18" t="s">
        <v>500</v>
      </c>
      <c r="H18" t="s">
        <v>113</v>
      </c>
      <c r="I18" t="s">
        <v>2671</v>
      </c>
      <c r="J18" t="s">
        <v>37</v>
      </c>
      <c r="K18" t="s">
        <v>32</v>
      </c>
      <c r="L18" t="s">
        <v>35</v>
      </c>
      <c r="AQ18">
        <v>0</v>
      </c>
      <c r="AR18" s="3">
        <f t="shared" si="0"/>
        <v>0</v>
      </c>
      <c r="AS18" s="3">
        <f t="shared" si="1"/>
        <v>0</v>
      </c>
      <c r="AT18" s="3" t="str">
        <f>IF(OR(Registered!AM18&gt;0,Registered!AO18&gt;0),(IF(Registered!E18=0,"Size Not Specified",Registered!E18)),"")</f>
        <v/>
      </c>
      <c r="AU18" s="3" t="str">
        <f>IF(Registered!AE18=0,"",IF(Registered!AE18=1,Registered!AE18&amp;" Bandana",Registered!AE18&amp;" Bandanas"))</f>
        <v/>
      </c>
      <c r="AV18" s="3">
        <f t="shared" si="2"/>
        <v>0</v>
      </c>
      <c r="AW18" s="2" t="str">
        <f>IF(Registered!AV18=0,"",IF(Registered!AV18=1,Registered!AV18&amp;" Meal",Registered!AV18&amp;" Meals"))</f>
        <v/>
      </c>
      <c r="AX18" s="2" t="str">
        <f>IF(Registered!AI18=0,"",Registered!AI18&amp;" BG")</f>
        <v/>
      </c>
      <c r="AY18" s="2" t="str">
        <f>IF(Registered!AG18=0,"",Registered!AG18&amp;" DustMask")</f>
        <v/>
      </c>
    </row>
    <row r="19" spans="1:51" customFormat="1" x14ac:dyDescent="0.25">
      <c r="A19" t="s">
        <v>571</v>
      </c>
      <c r="B19" t="s">
        <v>6053</v>
      </c>
      <c r="C19" t="s">
        <v>6090</v>
      </c>
      <c r="G19" t="s">
        <v>571</v>
      </c>
      <c r="H19" t="s">
        <v>570</v>
      </c>
      <c r="I19" t="s">
        <v>572</v>
      </c>
      <c r="J19" t="s">
        <v>37</v>
      </c>
      <c r="K19" t="s">
        <v>32</v>
      </c>
      <c r="L19" t="s">
        <v>35</v>
      </c>
      <c r="AQ19">
        <v>0</v>
      </c>
      <c r="AR19" s="3">
        <f t="shared" si="0"/>
        <v>0</v>
      </c>
      <c r="AS19" s="3">
        <f t="shared" si="1"/>
        <v>0</v>
      </c>
      <c r="AT19" s="3" t="str">
        <f>IF(OR(Registered!AM19&gt;0,Registered!AO19&gt;0),(IF(Registered!E19=0,"Size Not Specified",Registered!E19)),"")</f>
        <v/>
      </c>
      <c r="AU19" s="3" t="str">
        <f>IF(Registered!AE19=0,"",IF(Registered!AE19=1,Registered!AE19&amp;" Bandana",Registered!AE19&amp;" Bandanas"))</f>
        <v/>
      </c>
      <c r="AV19" s="3">
        <f t="shared" si="2"/>
        <v>0</v>
      </c>
      <c r="AW19" s="2" t="str">
        <f>IF(Registered!AV19=0,"",IF(Registered!AV19=1,Registered!AV19&amp;" Meal",Registered!AV19&amp;" Meals"))</f>
        <v/>
      </c>
      <c r="AX19" s="2" t="str">
        <f>IF(Registered!AI19=0,"",Registered!AI19&amp;" BG")</f>
        <v/>
      </c>
      <c r="AY19" s="2" t="str">
        <f>IF(Registered!AG19=0,"",Registered!AG19&amp;" DustMask")</f>
        <v/>
      </c>
    </row>
    <row r="20" spans="1:51" customFormat="1" x14ac:dyDescent="0.25">
      <c r="A20" t="s">
        <v>571</v>
      </c>
      <c r="B20" t="s">
        <v>570</v>
      </c>
      <c r="C20" t="s">
        <v>6090</v>
      </c>
      <c r="D20" t="s">
        <v>571</v>
      </c>
      <c r="I20" t="s">
        <v>572</v>
      </c>
      <c r="J20" t="s">
        <v>37</v>
      </c>
      <c r="K20" t="s">
        <v>32</v>
      </c>
      <c r="L20" t="s">
        <v>35</v>
      </c>
      <c r="O20">
        <v>2</v>
      </c>
      <c r="P20">
        <v>3</v>
      </c>
      <c r="AQ20">
        <v>6</v>
      </c>
      <c r="AR20" s="3">
        <f t="shared" si="0"/>
        <v>0</v>
      </c>
      <c r="AS20" s="3">
        <f t="shared" si="1"/>
        <v>0</v>
      </c>
      <c r="AT20" s="3" t="str">
        <f>IF(OR(Registered!AM20&gt;0,Registered!AO20&gt;0),(IF(Registered!E20=0,"Size Not Specified",Registered!E20)),"")</f>
        <v/>
      </c>
      <c r="AU20" s="3" t="str">
        <f>IF(Registered!AE20=0,"",IF(Registered!AE20=1,Registered!AE20&amp;" Bandana",Registered!AE20&amp;" Bandanas"))</f>
        <v/>
      </c>
      <c r="AV20" s="3">
        <f t="shared" si="2"/>
        <v>0</v>
      </c>
      <c r="AW20" s="2" t="str">
        <f>IF(Registered!AV20=0,"",IF(Registered!AV20=1,Registered!AV20&amp;" Meal",Registered!AV20&amp;" Meals"))</f>
        <v/>
      </c>
      <c r="AX20" s="2" t="str">
        <f>IF(Registered!AI20=0,"",Registered!AI20&amp;" BG")</f>
        <v/>
      </c>
      <c r="AY20" s="2" t="str">
        <f>IF(Registered!AG20=0,"",Registered!AG20&amp;" DustMask")</f>
        <v/>
      </c>
    </row>
    <row r="21" spans="1:51" customFormat="1" x14ac:dyDescent="0.25">
      <c r="A21" t="s">
        <v>454</v>
      </c>
      <c r="B21" t="s">
        <v>573</v>
      </c>
      <c r="C21" t="s">
        <v>6090</v>
      </c>
      <c r="G21" t="s">
        <v>136</v>
      </c>
      <c r="H21" t="s">
        <v>574</v>
      </c>
      <c r="I21" t="s">
        <v>575</v>
      </c>
      <c r="J21" t="s">
        <v>37</v>
      </c>
      <c r="K21" t="s">
        <v>32</v>
      </c>
      <c r="L21" t="s">
        <v>35</v>
      </c>
      <c r="AQ21">
        <v>0</v>
      </c>
      <c r="AR21" s="3">
        <f t="shared" si="0"/>
        <v>0</v>
      </c>
      <c r="AS21" s="3">
        <f t="shared" si="1"/>
        <v>0</v>
      </c>
      <c r="AT21" s="3" t="str">
        <f>IF(OR(Registered!AM21&gt;0,Registered!AO21&gt;0),(IF(Registered!E21=0,"Size Not Specified",Registered!E21)),"")</f>
        <v/>
      </c>
      <c r="AU21" s="3" t="str">
        <f>IF(Registered!AE21=0,"",IF(Registered!AE21=1,Registered!AE21&amp;" Bandana",Registered!AE21&amp;" Bandanas"))</f>
        <v/>
      </c>
      <c r="AV21" s="3">
        <f t="shared" si="2"/>
        <v>0</v>
      </c>
      <c r="AW21" s="2" t="str">
        <f>IF(Registered!AV21=0,"",IF(Registered!AV21=1,Registered!AV21&amp;" Meal",Registered!AV21&amp;" Meals"))</f>
        <v/>
      </c>
      <c r="AX21" s="2" t="str">
        <f>IF(Registered!AI21=0,"",Registered!AI21&amp;" BG")</f>
        <v/>
      </c>
      <c r="AY21" s="2" t="str">
        <f>IF(Registered!AG21=0,"",Registered!AG21&amp;" DustMask")</f>
        <v/>
      </c>
    </row>
    <row r="22" spans="1:51" customFormat="1" x14ac:dyDescent="0.25">
      <c r="A22" t="s">
        <v>140</v>
      </c>
      <c r="B22" t="s">
        <v>2672</v>
      </c>
      <c r="C22" t="s">
        <v>6090</v>
      </c>
      <c r="G22" t="s">
        <v>317</v>
      </c>
      <c r="H22" t="s">
        <v>507</v>
      </c>
      <c r="I22" t="s">
        <v>2673</v>
      </c>
      <c r="J22" t="s">
        <v>37</v>
      </c>
      <c r="K22" t="s">
        <v>32</v>
      </c>
      <c r="L22" t="s">
        <v>35</v>
      </c>
      <c r="AQ22">
        <v>0</v>
      </c>
      <c r="AR22" s="3">
        <f t="shared" si="0"/>
        <v>0</v>
      </c>
      <c r="AS22" s="3">
        <f t="shared" si="1"/>
        <v>0</v>
      </c>
      <c r="AT22" s="3" t="str">
        <f>IF(OR(Registered!AM22&gt;0,Registered!AO22&gt;0),(IF(Registered!E22=0,"Size Not Specified",Registered!E22)),"")</f>
        <v/>
      </c>
      <c r="AU22" s="3" t="str">
        <f>IF(Registered!AE22=0,"",IF(Registered!AE22=1,Registered!AE22&amp;" Bandana",Registered!AE22&amp;" Bandanas"))</f>
        <v/>
      </c>
      <c r="AV22" s="3">
        <f t="shared" si="2"/>
        <v>0</v>
      </c>
      <c r="AW22" s="2" t="str">
        <f>IF(Registered!AV22=0,"",IF(Registered!AV22=1,Registered!AV22&amp;" Meal",Registered!AV22&amp;" Meals"))</f>
        <v/>
      </c>
      <c r="AX22" s="2" t="str">
        <f>IF(Registered!AI22=0,"",Registered!AI22&amp;" BG")</f>
        <v/>
      </c>
      <c r="AY22" s="2" t="str">
        <f>IF(Registered!AG22=0,"",Registered!AG22&amp;" DustMask")</f>
        <v/>
      </c>
    </row>
    <row r="23" spans="1:51" customFormat="1" x14ac:dyDescent="0.25">
      <c r="A23" t="s">
        <v>576</v>
      </c>
      <c r="B23" t="s">
        <v>577</v>
      </c>
      <c r="C23" t="s">
        <v>6090</v>
      </c>
      <c r="G23" t="s">
        <v>578</v>
      </c>
      <c r="H23" t="s">
        <v>579</v>
      </c>
      <c r="I23" t="s">
        <v>580</v>
      </c>
      <c r="J23" t="s">
        <v>37</v>
      </c>
      <c r="K23" t="s">
        <v>32</v>
      </c>
      <c r="L23" t="s">
        <v>35</v>
      </c>
      <c r="AQ23">
        <v>0</v>
      </c>
      <c r="AR23" s="3">
        <f t="shared" si="0"/>
        <v>0</v>
      </c>
      <c r="AS23" s="3">
        <f t="shared" si="1"/>
        <v>0</v>
      </c>
      <c r="AT23" s="3" t="str">
        <f>IF(OR(Registered!AM23&gt;0,Registered!AO23&gt;0),(IF(Registered!E23=0,"Size Not Specified",Registered!E23)),"")</f>
        <v/>
      </c>
      <c r="AU23" s="3" t="str">
        <f>IF(Registered!AE23=0,"",IF(Registered!AE23=1,Registered!AE23&amp;" Bandana",Registered!AE23&amp;" Bandanas"))</f>
        <v/>
      </c>
      <c r="AV23" s="3">
        <f t="shared" si="2"/>
        <v>0</v>
      </c>
      <c r="AW23" s="2" t="str">
        <f>IF(Registered!AV23=0,"",IF(Registered!AV23=1,Registered!AV23&amp;" Meal",Registered!AV23&amp;" Meals"))</f>
        <v/>
      </c>
      <c r="AX23" s="2" t="str">
        <f>IF(Registered!AI23=0,"",Registered!AI23&amp;" BG")</f>
        <v/>
      </c>
      <c r="AY23" s="2" t="str">
        <f>IF(Registered!AG23=0,"",Registered!AG23&amp;" DustMask")</f>
        <v/>
      </c>
    </row>
    <row r="24" spans="1:51" customFormat="1" x14ac:dyDescent="0.25">
      <c r="A24" t="s">
        <v>581</v>
      </c>
      <c r="B24" t="s">
        <v>582</v>
      </c>
      <c r="C24" t="s">
        <v>6090</v>
      </c>
      <c r="G24" t="s">
        <v>578</v>
      </c>
      <c r="H24" t="s">
        <v>579</v>
      </c>
      <c r="I24" t="s">
        <v>580</v>
      </c>
      <c r="J24" t="s">
        <v>37</v>
      </c>
      <c r="K24" t="s">
        <v>32</v>
      </c>
      <c r="L24" t="s">
        <v>35</v>
      </c>
      <c r="AQ24">
        <v>0</v>
      </c>
      <c r="AR24" s="3">
        <f t="shared" si="0"/>
        <v>0</v>
      </c>
      <c r="AS24" s="3">
        <f t="shared" si="1"/>
        <v>0</v>
      </c>
      <c r="AT24" s="3" t="str">
        <f>IF(OR(Registered!AM24&gt;0,Registered!AO24&gt;0),(IF(Registered!E24=0,"Size Not Specified",Registered!E24)),"")</f>
        <v/>
      </c>
      <c r="AU24" s="3" t="str">
        <f>IF(Registered!AE24=0,"",IF(Registered!AE24=1,Registered!AE24&amp;" Bandana",Registered!AE24&amp;" Bandanas"))</f>
        <v/>
      </c>
      <c r="AV24" s="3">
        <f t="shared" si="2"/>
        <v>0</v>
      </c>
      <c r="AW24" s="2" t="str">
        <f>IF(Registered!AV24=0,"",IF(Registered!AV24=1,Registered!AV24&amp;" Meal",Registered!AV24&amp;" Meals"))</f>
        <v/>
      </c>
      <c r="AX24" s="2" t="str">
        <f>IF(Registered!AI24=0,"",Registered!AI24&amp;" BG")</f>
        <v/>
      </c>
      <c r="AY24" s="2" t="str">
        <f>IF(Registered!AG24=0,"",Registered!AG24&amp;" DustMask")</f>
        <v/>
      </c>
    </row>
    <row r="25" spans="1:51" customFormat="1" x14ac:dyDescent="0.25">
      <c r="A25" t="s">
        <v>583</v>
      </c>
      <c r="B25" t="s">
        <v>582</v>
      </c>
      <c r="C25" t="s">
        <v>6090</v>
      </c>
      <c r="G25" t="s">
        <v>584</v>
      </c>
      <c r="H25" t="s">
        <v>31</v>
      </c>
      <c r="I25" t="s">
        <v>3537</v>
      </c>
      <c r="J25" t="s">
        <v>37</v>
      </c>
      <c r="K25" t="s">
        <v>32</v>
      </c>
      <c r="L25" t="s">
        <v>35</v>
      </c>
      <c r="AQ25">
        <v>0</v>
      </c>
      <c r="AR25" s="3">
        <f t="shared" si="0"/>
        <v>0</v>
      </c>
      <c r="AS25" s="3">
        <f t="shared" si="1"/>
        <v>0</v>
      </c>
      <c r="AT25" s="3" t="str">
        <f>IF(OR(Registered!AM25&gt;0,Registered!AO25&gt;0),(IF(Registered!E25=0,"Size Not Specified",Registered!E25)),"")</f>
        <v/>
      </c>
      <c r="AU25" s="3" t="str">
        <f>IF(Registered!AE25=0,"",IF(Registered!AE25=1,Registered!AE25&amp;" Bandana",Registered!AE25&amp;" Bandanas"))</f>
        <v/>
      </c>
      <c r="AV25" s="3">
        <f t="shared" si="2"/>
        <v>0</v>
      </c>
      <c r="AW25" s="2" t="str">
        <f>IF(Registered!AV25=0,"",IF(Registered!AV25=1,Registered!AV25&amp;" Meal",Registered!AV25&amp;" Meals"))</f>
        <v/>
      </c>
      <c r="AX25" s="2" t="str">
        <f>IF(Registered!AI25=0,"",Registered!AI25&amp;" BG")</f>
        <v/>
      </c>
      <c r="AY25" s="2" t="str">
        <f>IF(Registered!AG25=0,"",Registered!AG25&amp;" DustMask")</f>
        <v/>
      </c>
    </row>
    <row r="26" spans="1:51" customFormat="1" x14ac:dyDescent="0.25">
      <c r="A26" t="s">
        <v>585</v>
      </c>
      <c r="B26" t="s">
        <v>582</v>
      </c>
      <c r="C26" t="s">
        <v>6090</v>
      </c>
      <c r="G26" t="s">
        <v>578</v>
      </c>
      <c r="H26" t="s">
        <v>579</v>
      </c>
      <c r="I26" t="s">
        <v>580</v>
      </c>
      <c r="J26" t="s">
        <v>37</v>
      </c>
      <c r="K26" t="s">
        <v>32</v>
      </c>
      <c r="L26" t="s">
        <v>35</v>
      </c>
      <c r="AQ26">
        <v>0</v>
      </c>
      <c r="AR26" s="3">
        <f t="shared" si="0"/>
        <v>0</v>
      </c>
      <c r="AS26" s="3">
        <f t="shared" si="1"/>
        <v>0</v>
      </c>
      <c r="AT26" s="3" t="str">
        <f>IF(OR(Registered!AM26&gt;0,Registered!AO26&gt;0),(IF(Registered!E26=0,"Size Not Specified",Registered!E26)),"")</f>
        <v/>
      </c>
      <c r="AU26" s="3" t="str">
        <f>IF(Registered!AE26=0,"",IF(Registered!AE26=1,Registered!AE26&amp;" Bandana",Registered!AE26&amp;" Bandanas"))</f>
        <v/>
      </c>
      <c r="AV26" s="3">
        <f t="shared" si="2"/>
        <v>0</v>
      </c>
      <c r="AW26" s="2" t="str">
        <f>IF(Registered!AV26=0,"",IF(Registered!AV26=1,Registered!AV26&amp;" Meal",Registered!AV26&amp;" Meals"))</f>
        <v/>
      </c>
      <c r="AX26" s="2" t="str">
        <f>IF(Registered!AI26=0,"",Registered!AI26&amp;" BG")</f>
        <v/>
      </c>
      <c r="AY26" s="2" t="str">
        <f>IF(Registered!AG26=0,"",Registered!AG26&amp;" DustMask")</f>
        <v/>
      </c>
    </row>
    <row r="27" spans="1:51" customFormat="1" x14ac:dyDescent="0.25">
      <c r="A27" t="s">
        <v>496</v>
      </c>
      <c r="B27" t="s">
        <v>40</v>
      </c>
      <c r="C27" t="s">
        <v>6090</v>
      </c>
      <c r="G27" t="s">
        <v>586</v>
      </c>
      <c r="H27" t="s">
        <v>587</v>
      </c>
      <c r="I27" t="s">
        <v>588</v>
      </c>
      <c r="J27" t="s">
        <v>37</v>
      </c>
      <c r="K27" t="s">
        <v>32</v>
      </c>
      <c r="L27" t="s">
        <v>35</v>
      </c>
      <c r="AQ27">
        <v>0</v>
      </c>
      <c r="AR27" s="3">
        <f t="shared" si="0"/>
        <v>0</v>
      </c>
      <c r="AS27" s="3">
        <f t="shared" si="1"/>
        <v>0</v>
      </c>
      <c r="AT27" s="3" t="str">
        <f>IF(OR(Registered!AM27&gt;0,Registered!AO27&gt;0),(IF(Registered!E27=0,"Size Not Specified",Registered!E27)),"")</f>
        <v/>
      </c>
      <c r="AU27" s="3" t="str">
        <f>IF(Registered!AE27=0,"",IF(Registered!AE27=1,Registered!AE27&amp;" Bandana",Registered!AE27&amp;" Bandanas"))</f>
        <v/>
      </c>
      <c r="AV27" s="3">
        <f t="shared" si="2"/>
        <v>0</v>
      </c>
      <c r="AW27" s="2" t="str">
        <f>IF(Registered!AV27=0,"",IF(Registered!AV27=1,Registered!AV27&amp;" Meal",Registered!AV27&amp;" Meals"))</f>
        <v/>
      </c>
      <c r="AX27" s="2" t="str">
        <f>IF(Registered!AI27=0,"",Registered!AI27&amp;" BG")</f>
        <v/>
      </c>
      <c r="AY27" s="2" t="str">
        <f>IF(Registered!AG27=0,"",Registered!AG27&amp;" DustMask")</f>
        <v/>
      </c>
    </row>
    <row r="28" spans="1:51" customFormat="1" x14ac:dyDescent="0.25">
      <c r="A28" t="s">
        <v>324</v>
      </c>
      <c r="B28" t="s">
        <v>40</v>
      </c>
      <c r="C28" t="s">
        <v>6090</v>
      </c>
      <c r="F28" t="s">
        <v>261</v>
      </c>
      <c r="I28" t="s">
        <v>2674</v>
      </c>
      <c r="J28" t="s">
        <v>37</v>
      </c>
      <c r="K28" t="s">
        <v>32</v>
      </c>
      <c r="L28" t="s">
        <v>35</v>
      </c>
      <c r="Q28">
        <v>1</v>
      </c>
      <c r="R28">
        <v>3</v>
      </c>
      <c r="AQ28">
        <v>3</v>
      </c>
      <c r="AR28" s="3">
        <f t="shared" si="0"/>
        <v>0</v>
      </c>
      <c r="AS28" s="3">
        <f t="shared" si="1"/>
        <v>0</v>
      </c>
      <c r="AT28" s="3" t="str">
        <f>IF(OR(Registered!AM28&gt;0,Registered!AO28&gt;0),(IF(Registered!E28=0,"Size Not Specified",Registered!E28)),"")</f>
        <v/>
      </c>
      <c r="AU28" s="3" t="str">
        <f>IF(Registered!AE28=0,"",IF(Registered!AE28=1,Registered!AE28&amp;" Bandana",Registered!AE28&amp;" Bandanas"))</f>
        <v/>
      </c>
      <c r="AV28" s="3">
        <f t="shared" si="2"/>
        <v>0</v>
      </c>
      <c r="AW28" s="2" t="str">
        <f>IF(Registered!AV28=0,"",IF(Registered!AV28=1,Registered!AV28&amp;" Meal",Registered!AV28&amp;" Meals"))</f>
        <v/>
      </c>
      <c r="AX28" s="2" t="str">
        <f>IF(Registered!AI28=0,"",Registered!AI28&amp;" BG")</f>
        <v/>
      </c>
      <c r="AY28" s="2" t="str">
        <f>IF(Registered!AG28=0,"",Registered!AG28&amp;" DustMask")</f>
        <v/>
      </c>
    </row>
    <row r="29" spans="1:51" customFormat="1" x14ac:dyDescent="0.25">
      <c r="A29" t="s">
        <v>508</v>
      </c>
      <c r="B29" t="s">
        <v>589</v>
      </c>
      <c r="C29" t="s">
        <v>6090</v>
      </c>
      <c r="D29" t="s">
        <v>508</v>
      </c>
      <c r="I29" t="s">
        <v>590</v>
      </c>
      <c r="J29" t="s">
        <v>37</v>
      </c>
      <c r="K29" t="s">
        <v>32</v>
      </c>
      <c r="L29" t="s">
        <v>35</v>
      </c>
      <c r="O29">
        <v>4</v>
      </c>
      <c r="P29">
        <v>3</v>
      </c>
      <c r="AA29">
        <v>2</v>
      </c>
      <c r="AB29">
        <v>75</v>
      </c>
      <c r="AQ29">
        <v>162</v>
      </c>
      <c r="AR29" s="3">
        <f t="shared" si="0"/>
        <v>80</v>
      </c>
      <c r="AS29" s="3">
        <f t="shared" si="1"/>
        <v>0</v>
      </c>
      <c r="AT29" s="3" t="str">
        <f>IF(OR(Registered!AM29&gt;0,Registered!AO29&gt;0),(IF(Registered!E29=0,"Size Not Specified",Registered!E29)),"")</f>
        <v/>
      </c>
      <c r="AU29" s="3" t="str">
        <f>IF(Registered!AE29=0,"",IF(Registered!AE29=1,Registered!AE29&amp;" Bandana",Registered!AE29&amp;" Bandanas"))</f>
        <v/>
      </c>
      <c r="AV29" s="3">
        <f t="shared" si="2"/>
        <v>0</v>
      </c>
      <c r="AW29" s="2" t="str">
        <f>IF(Registered!AV29=0,"",IF(Registered!AV29=1,Registered!AV29&amp;" Meal",Registered!AV29&amp;" Meals"))</f>
        <v/>
      </c>
      <c r="AX29" s="2" t="str">
        <f>IF(Registered!AI29=0,"",Registered!AI29&amp;" BG")</f>
        <v/>
      </c>
      <c r="AY29" s="2" t="str">
        <f>IF(Registered!AG29=0,"",Registered!AG29&amp;" DustMask")</f>
        <v/>
      </c>
    </row>
    <row r="30" spans="1:51" customFormat="1" x14ac:dyDescent="0.25">
      <c r="A30" t="s">
        <v>233</v>
      </c>
      <c r="B30" t="s">
        <v>591</v>
      </c>
      <c r="C30" t="s">
        <v>6090</v>
      </c>
      <c r="G30" t="s">
        <v>222</v>
      </c>
      <c r="H30" t="s">
        <v>592</v>
      </c>
      <c r="I30" t="s">
        <v>593</v>
      </c>
      <c r="J30" t="s">
        <v>37</v>
      </c>
      <c r="K30" t="s">
        <v>32</v>
      </c>
      <c r="L30" t="s">
        <v>35</v>
      </c>
      <c r="AQ30">
        <v>0</v>
      </c>
      <c r="AR30" s="3">
        <f t="shared" si="0"/>
        <v>0</v>
      </c>
      <c r="AS30" s="3">
        <f t="shared" si="1"/>
        <v>0</v>
      </c>
      <c r="AT30" s="3" t="str">
        <f>IF(OR(Registered!AM30&gt;0,Registered!AO30&gt;0),(IF(Registered!E30=0,"Size Not Specified",Registered!E30)),"")</f>
        <v/>
      </c>
      <c r="AU30" s="3" t="str">
        <f>IF(Registered!AE30=0,"",IF(Registered!AE30=1,Registered!AE30&amp;" Bandana",Registered!AE30&amp;" Bandanas"))</f>
        <v/>
      </c>
      <c r="AV30" s="3">
        <f t="shared" si="2"/>
        <v>0</v>
      </c>
      <c r="AW30" s="2" t="str">
        <f>IF(Registered!AV30=0,"",IF(Registered!AV30=1,Registered!AV30&amp;" Meal",Registered!AV30&amp;" Meals"))</f>
        <v/>
      </c>
      <c r="AX30" s="2" t="str">
        <f>IF(Registered!AI30=0,"",Registered!AI30&amp;" BG")</f>
        <v/>
      </c>
      <c r="AY30" s="2" t="str">
        <f>IF(Registered!AG30=0,"",Registered!AG30&amp;" DustMask")</f>
        <v/>
      </c>
    </row>
    <row r="31" spans="1:51" customFormat="1" x14ac:dyDescent="0.25">
      <c r="A31" t="s">
        <v>121</v>
      </c>
      <c r="B31" t="s">
        <v>2675</v>
      </c>
      <c r="C31" t="s">
        <v>6090</v>
      </c>
      <c r="D31" t="s">
        <v>2676</v>
      </c>
      <c r="F31" t="s">
        <v>261</v>
      </c>
      <c r="I31" t="s">
        <v>2677</v>
      </c>
      <c r="J31" t="s">
        <v>37</v>
      </c>
      <c r="K31" t="s">
        <v>32</v>
      </c>
      <c r="L31" t="s">
        <v>35</v>
      </c>
      <c r="Q31">
        <v>1</v>
      </c>
      <c r="R31">
        <v>3</v>
      </c>
      <c r="AQ31">
        <v>3</v>
      </c>
      <c r="AR31" s="3">
        <f t="shared" si="0"/>
        <v>0</v>
      </c>
      <c r="AS31" s="3">
        <f t="shared" si="1"/>
        <v>0</v>
      </c>
      <c r="AT31" s="3" t="str">
        <f>IF(OR(Registered!AM31&gt;0,Registered!AO31&gt;0),(IF(Registered!E31=0,"Size Not Specified",Registered!E31)),"")</f>
        <v/>
      </c>
      <c r="AU31" s="3" t="str">
        <f>IF(Registered!AE31=0,"",IF(Registered!AE31=1,Registered!AE31&amp;" Bandana",Registered!AE31&amp;" Bandanas"))</f>
        <v/>
      </c>
      <c r="AV31" s="3">
        <f t="shared" si="2"/>
        <v>0</v>
      </c>
      <c r="AW31" s="2" t="str">
        <f>IF(Registered!AV31=0,"",IF(Registered!AV31=1,Registered!AV31&amp;" Meal",Registered!AV31&amp;" Meals"))</f>
        <v/>
      </c>
      <c r="AX31" s="2" t="str">
        <f>IF(Registered!AI31=0,"",Registered!AI31&amp;" BG")</f>
        <v/>
      </c>
      <c r="AY31" s="2" t="str">
        <f>IF(Registered!AG31=0,"",Registered!AG31&amp;" DustMask")</f>
        <v/>
      </c>
    </row>
    <row r="32" spans="1:51" customFormat="1" x14ac:dyDescent="0.25">
      <c r="A32" t="s">
        <v>88</v>
      </c>
      <c r="B32" t="s">
        <v>594</v>
      </c>
      <c r="C32" t="s">
        <v>6090</v>
      </c>
      <c r="D32" t="s">
        <v>595</v>
      </c>
      <c r="F32" t="s">
        <v>261</v>
      </c>
      <c r="I32" t="s">
        <v>596</v>
      </c>
      <c r="J32" t="s">
        <v>37</v>
      </c>
      <c r="K32" t="s">
        <v>32</v>
      </c>
      <c r="L32" t="s">
        <v>35</v>
      </c>
      <c r="S32">
        <v>2</v>
      </c>
      <c r="T32">
        <v>3</v>
      </c>
      <c r="U32">
        <v>1</v>
      </c>
      <c r="V32">
        <v>20</v>
      </c>
      <c r="AK32">
        <v>2</v>
      </c>
      <c r="AL32">
        <v>6</v>
      </c>
      <c r="AQ32">
        <v>38</v>
      </c>
      <c r="AR32" s="3">
        <f t="shared" si="0"/>
        <v>10</v>
      </c>
      <c r="AS32" s="3">
        <f t="shared" si="1"/>
        <v>0</v>
      </c>
      <c r="AT32" s="3" t="str">
        <f>IF(OR(Registered!AM32&gt;0,Registered!AO32&gt;0),(IF(Registered!E32=0,"Size Not Specified",Registered!E32)),"")</f>
        <v/>
      </c>
      <c r="AU32" s="3" t="str">
        <f>IF(Registered!AE32=0,"",IF(Registered!AE32=1,Registered!AE32&amp;" Bandana",Registered!AE32&amp;" Bandanas"))</f>
        <v/>
      </c>
      <c r="AV32" s="3">
        <f t="shared" si="2"/>
        <v>2</v>
      </c>
      <c r="AW32" s="2" t="str">
        <f>IF(Registered!AV32=0,"",IF(Registered!AV32=1,Registered!AV32&amp;" Meal",Registered!AV32&amp;" Meals"))</f>
        <v>2 Meals</v>
      </c>
      <c r="AX32" s="2" t="str">
        <f>IF(Registered!AI32=0,"",Registered!AI32&amp;" BG")</f>
        <v/>
      </c>
      <c r="AY32" s="2" t="str">
        <f>IF(Registered!AG32=0,"",Registered!AG32&amp;" DustMask")</f>
        <v/>
      </c>
    </row>
    <row r="33" spans="1:51" customFormat="1" x14ac:dyDescent="0.25">
      <c r="A33" t="s">
        <v>597</v>
      </c>
      <c r="B33" t="s">
        <v>306</v>
      </c>
      <c r="C33" t="s">
        <v>6090</v>
      </c>
      <c r="G33" t="s">
        <v>332</v>
      </c>
      <c r="H33" t="s">
        <v>598</v>
      </c>
      <c r="I33" t="s">
        <v>599</v>
      </c>
      <c r="J33" t="s">
        <v>37</v>
      </c>
      <c r="K33" t="s">
        <v>32</v>
      </c>
      <c r="L33" t="s">
        <v>35</v>
      </c>
      <c r="AQ33">
        <v>0</v>
      </c>
      <c r="AR33" s="3">
        <f t="shared" si="0"/>
        <v>0</v>
      </c>
      <c r="AS33" s="3">
        <f t="shared" si="1"/>
        <v>0</v>
      </c>
      <c r="AT33" s="3" t="str">
        <f>IF(OR(Registered!AM33&gt;0,Registered!AO33&gt;0),(IF(Registered!E33=0,"Size Not Specified",Registered!E33)),"")</f>
        <v/>
      </c>
      <c r="AU33" s="3" t="str">
        <f>IF(Registered!AE33=0,"",IF(Registered!AE33=1,Registered!AE33&amp;" Bandana",Registered!AE33&amp;" Bandanas"))</f>
        <v/>
      </c>
      <c r="AV33" s="3">
        <f t="shared" si="2"/>
        <v>0</v>
      </c>
      <c r="AW33" s="2" t="str">
        <f>IF(Registered!AV33=0,"",IF(Registered!AV33=1,Registered!AV33&amp;" Meal",Registered!AV33&amp;" Meals"))</f>
        <v/>
      </c>
      <c r="AX33" s="2" t="str">
        <f>IF(Registered!AI33=0,"",Registered!AI33&amp;" BG")</f>
        <v/>
      </c>
      <c r="AY33" s="2" t="str">
        <f>IF(Registered!AG33=0,"",Registered!AG33&amp;" DustMask")</f>
        <v/>
      </c>
    </row>
    <row r="34" spans="1:51" customFormat="1" x14ac:dyDescent="0.25">
      <c r="A34" t="s">
        <v>3538</v>
      </c>
      <c r="B34" t="s">
        <v>3539</v>
      </c>
      <c r="C34" t="s">
        <v>6090</v>
      </c>
      <c r="D34" t="s">
        <v>3540</v>
      </c>
      <c r="E34" t="s">
        <v>3541</v>
      </c>
      <c r="F34" t="s">
        <v>261</v>
      </c>
      <c r="I34" t="s">
        <v>3542</v>
      </c>
      <c r="J34" t="s">
        <v>37</v>
      </c>
      <c r="K34" t="s">
        <v>32</v>
      </c>
      <c r="L34" t="s">
        <v>35</v>
      </c>
      <c r="Q34">
        <v>1</v>
      </c>
      <c r="R34">
        <v>3</v>
      </c>
      <c r="AI34">
        <v>1</v>
      </c>
      <c r="AJ34">
        <v>10</v>
      </c>
      <c r="AM34">
        <v>1</v>
      </c>
      <c r="AN34">
        <v>25</v>
      </c>
      <c r="AQ34">
        <v>38</v>
      </c>
      <c r="AR34" s="3">
        <f t="shared" si="0"/>
        <v>5</v>
      </c>
      <c r="AS34" s="3">
        <f t="shared" si="1"/>
        <v>1</v>
      </c>
      <c r="AT34" s="3" t="str">
        <f>IF(OR(Registered!AM34&gt;0,Registered!AO34&gt;0),(IF(Registered!E34=0,"Size Not Specified",Registered!E34)),"")</f>
        <v>Adult Medium</v>
      </c>
      <c r="AU34" s="3" t="str">
        <f>IF(Registered!AE34=0,"",IF(Registered!AE34=1,Registered!AE34&amp;" Bandana",Registered!AE34&amp;" Bandanas"))</f>
        <v/>
      </c>
      <c r="AV34" s="3">
        <f t="shared" si="2"/>
        <v>1</v>
      </c>
      <c r="AW34" s="2" t="str">
        <f>IF(Registered!AV34=0,"",IF(Registered!AV34=1,Registered!AV34&amp;" Meal",Registered!AV34&amp;" Meals"))</f>
        <v>1 Meal</v>
      </c>
      <c r="AX34" s="2" t="str">
        <f>IF(Registered!AI34=0,"",Registered!AI34&amp;" BG")</f>
        <v>1 BG</v>
      </c>
      <c r="AY34" s="2" t="str">
        <f>IF(Registered!AG34=0,"",Registered!AG34&amp;" DustMask")</f>
        <v/>
      </c>
    </row>
    <row r="35" spans="1:51" customFormat="1" x14ac:dyDescent="0.25">
      <c r="A35" t="s">
        <v>297</v>
      </c>
      <c r="B35" t="s">
        <v>600</v>
      </c>
      <c r="C35" t="s">
        <v>6090</v>
      </c>
      <c r="G35" t="s">
        <v>358</v>
      </c>
      <c r="H35" t="s">
        <v>601</v>
      </c>
      <c r="I35" t="s">
        <v>602</v>
      </c>
      <c r="J35" t="s">
        <v>37</v>
      </c>
      <c r="K35" t="s">
        <v>32</v>
      </c>
      <c r="L35" t="s">
        <v>35</v>
      </c>
      <c r="AQ35">
        <v>0</v>
      </c>
      <c r="AR35" s="3">
        <f t="shared" si="0"/>
        <v>0</v>
      </c>
      <c r="AS35" s="3">
        <f t="shared" si="1"/>
        <v>0</v>
      </c>
      <c r="AT35" s="3" t="str">
        <f>IF(OR(Registered!AM35&gt;0,Registered!AO35&gt;0),(IF(Registered!E35=0,"Size Not Specified",Registered!E35)),"")</f>
        <v/>
      </c>
      <c r="AU35" s="3" t="str">
        <f>IF(Registered!AE35=0,"",IF(Registered!AE35=1,Registered!AE35&amp;" Bandana",Registered!AE35&amp;" Bandanas"))</f>
        <v/>
      </c>
      <c r="AV35" s="3">
        <f t="shared" si="2"/>
        <v>0</v>
      </c>
      <c r="AW35" s="2" t="str">
        <f>IF(Registered!AV35=0,"",IF(Registered!AV35=1,Registered!AV35&amp;" Meal",Registered!AV35&amp;" Meals"))</f>
        <v/>
      </c>
      <c r="AX35" s="2" t="str">
        <f>IF(Registered!AI35=0,"",Registered!AI35&amp;" BG")</f>
        <v/>
      </c>
      <c r="AY35" s="2" t="str">
        <f>IF(Registered!AG35=0,"",Registered!AG35&amp;" DustMask")</f>
        <v/>
      </c>
    </row>
    <row r="36" spans="1:51" customFormat="1" x14ac:dyDescent="0.25">
      <c r="A36" t="s">
        <v>3543</v>
      </c>
      <c r="B36" t="s">
        <v>3544</v>
      </c>
      <c r="C36" t="s">
        <v>6090</v>
      </c>
      <c r="G36" t="s">
        <v>3545</v>
      </c>
      <c r="H36" t="s">
        <v>3546</v>
      </c>
      <c r="I36" t="s">
        <v>3547</v>
      </c>
      <c r="J36" t="s">
        <v>37</v>
      </c>
      <c r="K36" t="s">
        <v>32</v>
      </c>
      <c r="L36" t="s">
        <v>35</v>
      </c>
      <c r="AQ36">
        <v>0</v>
      </c>
      <c r="AR36" s="3">
        <f t="shared" si="0"/>
        <v>0</v>
      </c>
      <c r="AS36" s="3">
        <f t="shared" si="1"/>
        <v>0</v>
      </c>
      <c r="AT36" s="3" t="str">
        <f>IF(OR(Registered!AM36&gt;0,Registered!AO36&gt;0),(IF(Registered!E36=0,"Size Not Specified",Registered!E36)),"")</f>
        <v/>
      </c>
      <c r="AU36" s="3" t="str">
        <f>IF(Registered!AE36=0,"",IF(Registered!AE36=1,Registered!AE36&amp;" Bandana",Registered!AE36&amp;" Bandanas"))</f>
        <v/>
      </c>
      <c r="AV36" s="3">
        <f t="shared" si="2"/>
        <v>0</v>
      </c>
      <c r="AW36" s="2" t="str">
        <f>IF(Registered!AV36=0,"",IF(Registered!AV36=1,Registered!AV36&amp;" Meal",Registered!AV36&amp;" Meals"))</f>
        <v/>
      </c>
      <c r="AX36" s="2" t="str">
        <f>IF(Registered!AI36=0,"",Registered!AI36&amp;" BG")</f>
        <v/>
      </c>
      <c r="AY36" s="2" t="str">
        <f>IF(Registered!AG36=0,"",Registered!AG36&amp;" DustMask")</f>
        <v/>
      </c>
    </row>
    <row r="37" spans="1:51" customFormat="1" x14ac:dyDescent="0.25">
      <c r="A37" t="s">
        <v>2293</v>
      </c>
      <c r="B37" t="s">
        <v>3548</v>
      </c>
      <c r="C37" t="s">
        <v>6090</v>
      </c>
      <c r="D37" t="s">
        <v>57</v>
      </c>
      <c r="E37" t="s">
        <v>3549</v>
      </c>
      <c r="F37" t="s">
        <v>261</v>
      </c>
      <c r="I37" t="s">
        <v>3550</v>
      </c>
      <c r="J37" t="s">
        <v>37</v>
      </c>
      <c r="K37" t="s">
        <v>32</v>
      </c>
      <c r="L37" t="s">
        <v>35</v>
      </c>
      <c r="Q37">
        <v>1</v>
      </c>
      <c r="R37">
        <v>3</v>
      </c>
      <c r="AC37">
        <v>1</v>
      </c>
      <c r="AD37">
        <v>10</v>
      </c>
      <c r="AE37">
        <v>1</v>
      </c>
      <c r="AF37">
        <v>6</v>
      </c>
      <c r="AO37">
        <v>1</v>
      </c>
      <c r="AP37">
        <v>10</v>
      </c>
      <c r="AQ37">
        <v>29</v>
      </c>
      <c r="AR37" s="3">
        <f t="shared" si="0"/>
        <v>5</v>
      </c>
      <c r="AS37" s="3">
        <f t="shared" si="1"/>
        <v>1</v>
      </c>
      <c r="AT37" s="3" t="str">
        <f>IF(OR(Registered!AM37&gt;0,Registered!AO37&gt;0),(IF(Registered!E37=0,"Size Not Specified",Registered!E37)),"")</f>
        <v>Men's medium</v>
      </c>
      <c r="AU37" s="3" t="str">
        <f>IF(Registered!AE37=0,"",IF(Registered!AE37=1,Registered!AE37&amp;" Bandana",Registered!AE37&amp;" Bandanas"))</f>
        <v>1 Bandana</v>
      </c>
      <c r="AV37" s="3">
        <f t="shared" si="2"/>
        <v>0</v>
      </c>
      <c r="AW37" s="2" t="str">
        <f>IF(Registered!AV37=0,"",IF(Registered!AV37=1,Registered!AV37&amp;" Meal",Registered!AV37&amp;" Meals"))</f>
        <v/>
      </c>
      <c r="AX37" s="2" t="str">
        <f>IF(Registered!AI37=0,"",Registered!AI37&amp;" BG")</f>
        <v/>
      </c>
      <c r="AY37" s="2" t="str">
        <f>IF(Registered!AG37=0,"",Registered!AG37&amp;" DustMask")</f>
        <v/>
      </c>
    </row>
    <row r="38" spans="1:51" customFormat="1" x14ac:dyDescent="0.25">
      <c r="A38" t="s">
        <v>3551</v>
      </c>
      <c r="B38" t="s">
        <v>3552</v>
      </c>
      <c r="C38" t="s">
        <v>6090</v>
      </c>
      <c r="G38" t="s">
        <v>3553</v>
      </c>
      <c r="H38" t="s">
        <v>3552</v>
      </c>
      <c r="I38" t="s">
        <v>3554</v>
      </c>
      <c r="J38" t="s">
        <v>37</v>
      </c>
      <c r="K38" t="s">
        <v>32</v>
      </c>
      <c r="L38" t="s">
        <v>35</v>
      </c>
      <c r="AQ38">
        <v>0</v>
      </c>
      <c r="AR38" s="3">
        <f t="shared" si="0"/>
        <v>0</v>
      </c>
      <c r="AS38" s="3">
        <f t="shared" si="1"/>
        <v>0</v>
      </c>
      <c r="AT38" s="3" t="str">
        <f>IF(OR(Registered!AM38&gt;0,Registered!AO38&gt;0),(IF(Registered!E38=0,"Size Not Specified",Registered!E38)),"")</f>
        <v/>
      </c>
      <c r="AU38" s="3" t="str">
        <f>IF(Registered!AE38=0,"",IF(Registered!AE38=1,Registered!AE38&amp;" Bandana",Registered!AE38&amp;" Bandanas"))</f>
        <v/>
      </c>
      <c r="AV38" s="3">
        <f t="shared" si="2"/>
        <v>0</v>
      </c>
      <c r="AW38" s="2" t="str">
        <f>IF(Registered!AV38=0,"",IF(Registered!AV38=1,Registered!AV38&amp;" Meal",Registered!AV38&amp;" Meals"))</f>
        <v/>
      </c>
      <c r="AX38" s="2" t="str">
        <f>IF(Registered!AI38=0,"",Registered!AI38&amp;" BG")</f>
        <v/>
      </c>
      <c r="AY38" s="2" t="str">
        <f>IF(Registered!AG38=0,"",Registered!AG38&amp;" DustMask")</f>
        <v/>
      </c>
    </row>
    <row r="39" spans="1:51" customFormat="1" x14ac:dyDescent="0.25">
      <c r="A39" t="s">
        <v>3553</v>
      </c>
      <c r="B39" t="s">
        <v>3552</v>
      </c>
      <c r="C39" t="s">
        <v>6090</v>
      </c>
      <c r="D39" t="s">
        <v>3555</v>
      </c>
      <c r="F39" t="s">
        <v>261</v>
      </c>
      <c r="I39" t="s">
        <v>3554</v>
      </c>
      <c r="J39" t="s">
        <v>37</v>
      </c>
      <c r="K39" t="s">
        <v>32</v>
      </c>
      <c r="L39" t="s">
        <v>35</v>
      </c>
      <c r="Q39">
        <v>5</v>
      </c>
      <c r="R39">
        <v>3</v>
      </c>
      <c r="AA39">
        <v>1</v>
      </c>
      <c r="AB39">
        <v>75</v>
      </c>
      <c r="AQ39">
        <v>90</v>
      </c>
      <c r="AR39" s="3">
        <f t="shared" si="0"/>
        <v>40</v>
      </c>
      <c r="AS39" s="3">
        <f t="shared" si="1"/>
        <v>0</v>
      </c>
      <c r="AT39" s="3" t="str">
        <f>IF(OR(Registered!AM39&gt;0,Registered!AO39&gt;0),(IF(Registered!E39=0,"Size Not Specified",Registered!E39)),"")</f>
        <v/>
      </c>
      <c r="AU39" s="3" t="str">
        <f>IF(Registered!AE39=0,"",IF(Registered!AE39=1,Registered!AE39&amp;" Bandana",Registered!AE39&amp;" Bandanas"))</f>
        <v/>
      </c>
      <c r="AV39" s="3">
        <f t="shared" si="2"/>
        <v>0</v>
      </c>
      <c r="AW39" s="2" t="str">
        <f>IF(Registered!AV39=0,"",IF(Registered!AV39=1,Registered!AV39&amp;" Meal",Registered!AV39&amp;" Meals"))</f>
        <v/>
      </c>
      <c r="AX39" s="2" t="str">
        <f>IF(Registered!AI39=0,"",Registered!AI39&amp;" BG")</f>
        <v/>
      </c>
      <c r="AY39" s="2" t="str">
        <f>IF(Registered!AG39=0,"",Registered!AG39&amp;" DustMask")</f>
        <v/>
      </c>
    </row>
    <row r="40" spans="1:51" customFormat="1" x14ac:dyDescent="0.25">
      <c r="A40" t="s">
        <v>3556</v>
      </c>
      <c r="B40" t="s">
        <v>3557</v>
      </c>
      <c r="C40" t="s">
        <v>6090</v>
      </c>
      <c r="G40" t="s">
        <v>3553</v>
      </c>
      <c r="H40" t="s">
        <v>3552</v>
      </c>
      <c r="I40" t="s">
        <v>3554</v>
      </c>
      <c r="J40" t="s">
        <v>37</v>
      </c>
      <c r="K40" t="s">
        <v>32</v>
      </c>
      <c r="L40" t="s">
        <v>35</v>
      </c>
      <c r="AQ40">
        <v>0</v>
      </c>
      <c r="AR40" s="3">
        <f t="shared" si="0"/>
        <v>0</v>
      </c>
      <c r="AS40" s="3">
        <f t="shared" si="1"/>
        <v>0</v>
      </c>
      <c r="AT40" s="3" t="str">
        <f>IF(OR(Registered!AM40&gt;0,Registered!AO40&gt;0),(IF(Registered!E40=0,"Size Not Specified",Registered!E40)),"")</f>
        <v/>
      </c>
      <c r="AU40" s="3" t="str">
        <f>IF(Registered!AE40=0,"",IF(Registered!AE40=1,Registered!AE40&amp;" Bandana",Registered!AE40&amp;" Bandanas"))</f>
        <v/>
      </c>
      <c r="AV40" s="3">
        <f t="shared" si="2"/>
        <v>0</v>
      </c>
      <c r="AW40" s="2" t="str">
        <f>IF(Registered!AV40=0,"",IF(Registered!AV40=1,Registered!AV40&amp;" Meal",Registered!AV40&amp;" Meals"))</f>
        <v/>
      </c>
      <c r="AX40" s="2" t="str">
        <f>IF(Registered!AI40=0,"",Registered!AI40&amp;" BG")</f>
        <v/>
      </c>
      <c r="AY40" s="2" t="str">
        <f>IF(Registered!AG40=0,"",Registered!AG40&amp;" DustMask")</f>
        <v/>
      </c>
    </row>
    <row r="41" spans="1:51" customFormat="1" x14ac:dyDescent="0.25">
      <c r="A41" t="s">
        <v>563</v>
      </c>
      <c r="B41" t="s">
        <v>3558</v>
      </c>
      <c r="C41" t="s">
        <v>6090</v>
      </c>
      <c r="G41" t="s">
        <v>3559</v>
      </c>
      <c r="H41" t="s">
        <v>3560</v>
      </c>
      <c r="I41" t="s">
        <v>3561</v>
      </c>
      <c r="J41" t="s">
        <v>37</v>
      </c>
      <c r="K41" t="s">
        <v>32</v>
      </c>
      <c r="L41" t="s">
        <v>35</v>
      </c>
      <c r="AQ41">
        <v>0</v>
      </c>
      <c r="AR41" s="3">
        <f t="shared" si="0"/>
        <v>0</v>
      </c>
      <c r="AS41" s="3">
        <f t="shared" si="1"/>
        <v>0</v>
      </c>
      <c r="AT41" s="3" t="str">
        <f>IF(OR(Registered!AM41&gt;0,Registered!AO41&gt;0),(IF(Registered!E41=0,"Size Not Specified",Registered!E41)),"")</f>
        <v/>
      </c>
      <c r="AU41" s="3" t="str">
        <f>IF(Registered!AE41=0,"",IF(Registered!AE41=1,Registered!AE41&amp;" Bandana",Registered!AE41&amp;" Bandanas"))</f>
        <v/>
      </c>
      <c r="AV41" s="3">
        <f t="shared" si="2"/>
        <v>0</v>
      </c>
      <c r="AW41" s="2" t="str">
        <f>IF(Registered!AV41=0,"",IF(Registered!AV41=1,Registered!AV41&amp;" Meal",Registered!AV41&amp;" Meals"))</f>
        <v/>
      </c>
      <c r="AX41" s="2" t="str">
        <f>IF(Registered!AI41=0,"",Registered!AI41&amp;" BG")</f>
        <v/>
      </c>
      <c r="AY41" s="2" t="str">
        <f>IF(Registered!AG41=0,"",Registered!AG41&amp;" DustMask")</f>
        <v/>
      </c>
    </row>
    <row r="42" spans="1:51" customFormat="1" x14ac:dyDescent="0.25">
      <c r="A42" t="s">
        <v>3562</v>
      </c>
      <c r="B42" t="s">
        <v>3563</v>
      </c>
      <c r="C42" t="s">
        <v>6090</v>
      </c>
      <c r="F42" t="s">
        <v>261</v>
      </c>
      <c r="I42" t="s">
        <v>3564</v>
      </c>
      <c r="J42" t="s">
        <v>37</v>
      </c>
      <c r="K42" t="s">
        <v>32</v>
      </c>
      <c r="L42" t="s">
        <v>35</v>
      </c>
      <c r="Q42">
        <v>1</v>
      </c>
      <c r="R42">
        <v>3</v>
      </c>
      <c r="AQ42">
        <v>3</v>
      </c>
      <c r="AR42" s="3">
        <f t="shared" si="0"/>
        <v>0</v>
      </c>
      <c r="AS42" s="3">
        <f t="shared" si="1"/>
        <v>0</v>
      </c>
      <c r="AT42" s="3" t="str">
        <f>IF(OR(Registered!AM42&gt;0,Registered!AO42&gt;0),(IF(Registered!E42=0,"Size Not Specified",Registered!E42)),"")</f>
        <v/>
      </c>
      <c r="AU42" s="3" t="str">
        <f>IF(Registered!AE42=0,"",IF(Registered!AE42=1,Registered!AE42&amp;" Bandana",Registered!AE42&amp;" Bandanas"))</f>
        <v/>
      </c>
      <c r="AV42" s="3">
        <f t="shared" si="2"/>
        <v>0</v>
      </c>
      <c r="AW42" s="2" t="str">
        <f>IF(Registered!AV42=0,"",IF(Registered!AV42=1,Registered!AV42&amp;" Meal",Registered!AV42&amp;" Meals"))</f>
        <v/>
      </c>
      <c r="AX42" s="2" t="str">
        <f>IF(Registered!AI42=0,"",Registered!AI42&amp;" BG")</f>
        <v/>
      </c>
      <c r="AY42" s="2" t="str">
        <f>IF(Registered!AG42=0,"",Registered!AG42&amp;" DustMask")</f>
        <v/>
      </c>
    </row>
    <row r="43" spans="1:51" customFormat="1" x14ac:dyDescent="0.25">
      <c r="A43" t="s">
        <v>301</v>
      </c>
      <c r="B43" t="s">
        <v>51</v>
      </c>
      <c r="C43" t="s">
        <v>6090</v>
      </c>
      <c r="D43" t="s">
        <v>2681</v>
      </c>
      <c r="E43" t="s">
        <v>117</v>
      </c>
      <c r="F43" t="s">
        <v>261</v>
      </c>
      <c r="I43" t="s">
        <v>2682</v>
      </c>
      <c r="J43" t="s">
        <v>37</v>
      </c>
      <c r="K43" t="s">
        <v>32</v>
      </c>
      <c r="L43" t="s">
        <v>35</v>
      </c>
      <c r="Q43">
        <v>1</v>
      </c>
      <c r="R43">
        <v>3</v>
      </c>
      <c r="AM43">
        <v>1</v>
      </c>
      <c r="AN43">
        <v>25</v>
      </c>
      <c r="AQ43">
        <v>28</v>
      </c>
      <c r="AR43" s="3">
        <f t="shared" si="0"/>
        <v>5</v>
      </c>
      <c r="AS43" s="3">
        <f t="shared" si="1"/>
        <v>1</v>
      </c>
      <c r="AT43" s="3" t="str">
        <f>IF(OR(Registered!AM43&gt;0,Registered!AO43&gt;0),(IF(Registered!E43=0,"Size Not Specified",Registered!E43)),"")</f>
        <v>Large</v>
      </c>
      <c r="AU43" s="3" t="str">
        <f>IF(Registered!AE43=0,"",IF(Registered!AE43=1,Registered!AE43&amp;" Bandana",Registered!AE43&amp;" Bandanas"))</f>
        <v/>
      </c>
      <c r="AV43" s="3">
        <f t="shared" si="2"/>
        <v>1</v>
      </c>
      <c r="AW43" s="2" t="str">
        <f>IF(Registered!AV43=0,"",IF(Registered!AV43=1,Registered!AV43&amp;" Meal",Registered!AV43&amp;" Meals"))</f>
        <v>1 Meal</v>
      </c>
      <c r="AX43" s="2" t="str">
        <f>IF(Registered!AI43=0,"",Registered!AI43&amp;" BG")</f>
        <v/>
      </c>
      <c r="AY43" s="2" t="str">
        <f>IF(Registered!AG43=0,"",Registered!AG43&amp;" DustMask")</f>
        <v/>
      </c>
    </row>
    <row r="44" spans="1:51" customFormat="1" x14ac:dyDescent="0.25">
      <c r="A44" t="s">
        <v>3565</v>
      </c>
      <c r="B44" t="s">
        <v>1575</v>
      </c>
      <c r="C44" t="s">
        <v>6090</v>
      </c>
      <c r="D44" t="s">
        <v>3565</v>
      </c>
      <c r="F44" t="s">
        <v>261</v>
      </c>
      <c r="I44" t="s">
        <v>3566</v>
      </c>
      <c r="J44" t="s">
        <v>37</v>
      </c>
      <c r="K44" t="s">
        <v>32</v>
      </c>
      <c r="L44" t="s">
        <v>35</v>
      </c>
      <c r="Q44">
        <v>2</v>
      </c>
      <c r="R44">
        <v>3</v>
      </c>
      <c r="U44">
        <v>1</v>
      </c>
      <c r="V44">
        <v>20</v>
      </c>
      <c r="AQ44">
        <v>26</v>
      </c>
      <c r="AR44" s="3">
        <f t="shared" si="0"/>
        <v>10</v>
      </c>
      <c r="AS44" s="3">
        <f t="shared" si="1"/>
        <v>0</v>
      </c>
      <c r="AT44" s="3" t="str">
        <f>IF(OR(Registered!AM44&gt;0,Registered!AO44&gt;0),(IF(Registered!E44=0,"Size Not Specified",Registered!E44)),"")</f>
        <v/>
      </c>
      <c r="AU44" s="3" t="str">
        <f>IF(Registered!AE44=0,"",IF(Registered!AE44=1,Registered!AE44&amp;" Bandana",Registered!AE44&amp;" Bandanas"))</f>
        <v/>
      </c>
      <c r="AV44" s="3">
        <f t="shared" si="2"/>
        <v>0</v>
      </c>
      <c r="AW44" s="2" t="str">
        <f>IF(Registered!AV44=0,"",IF(Registered!AV44=1,Registered!AV44&amp;" Meal",Registered!AV44&amp;" Meals"))</f>
        <v/>
      </c>
      <c r="AX44" s="2" t="str">
        <f>IF(Registered!AI44=0,"",Registered!AI44&amp;" BG")</f>
        <v/>
      </c>
      <c r="AY44" s="2" t="str">
        <f>IF(Registered!AG44=0,"",Registered!AG44&amp;" DustMask")</f>
        <v/>
      </c>
    </row>
    <row r="45" spans="1:51" customFormat="1" x14ac:dyDescent="0.25">
      <c r="A45" t="s">
        <v>211</v>
      </c>
      <c r="B45" t="s">
        <v>606</v>
      </c>
      <c r="C45" t="s">
        <v>6090</v>
      </c>
      <c r="G45" t="s">
        <v>431</v>
      </c>
      <c r="H45" t="s">
        <v>460</v>
      </c>
      <c r="I45" t="s">
        <v>607</v>
      </c>
      <c r="J45" t="s">
        <v>37</v>
      </c>
      <c r="K45" t="s">
        <v>32</v>
      </c>
      <c r="L45" t="s">
        <v>35</v>
      </c>
      <c r="AQ45">
        <v>0</v>
      </c>
      <c r="AR45" s="3">
        <f t="shared" si="0"/>
        <v>0</v>
      </c>
      <c r="AS45" s="3">
        <f t="shared" si="1"/>
        <v>0</v>
      </c>
      <c r="AT45" s="3" t="str">
        <f>IF(OR(Registered!AM45&gt;0,Registered!AO45&gt;0),(IF(Registered!E45=0,"Size Not Specified",Registered!E45)),"")</f>
        <v/>
      </c>
      <c r="AU45" s="3" t="str">
        <f>IF(Registered!AE45=0,"",IF(Registered!AE45=1,Registered!AE45&amp;" Bandana",Registered!AE45&amp;" Bandanas"))</f>
        <v/>
      </c>
      <c r="AV45" s="3">
        <f t="shared" si="2"/>
        <v>0</v>
      </c>
      <c r="AW45" s="2" t="str">
        <f>IF(Registered!AV45=0,"",IF(Registered!AV45=1,Registered!AV45&amp;" Meal",Registered!AV45&amp;" Meals"))</f>
        <v/>
      </c>
      <c r="AX45" s="2" t="str">
        <f>IF(Registered!AI45=0,"",Registered!AI45&amp;" BG")</f>
        <v/>
      </c>
      <c r="AY45" s="2" t="str">
        <f>IF(Registered!AG45=0,"",Registered!AG45&amp;" DustMask")</f>
        <v/>
      </c>
    </row>
    <row r="46" spans="1:51" customFormat="1" x14ac:dyDescent="0.25">
      <c r="A46" t="s">
        <v>215</v>
      </c>
      <c r="B46" t="s">
        <v>606</v>
      </c>
      <c r="C46" t="s">
        <v>6090</v>
      </c>
      <c r="D46" t="s">
        <v>608</v>
      </c>
      <c r="F46" t="s">
        <v>261</v>
      </c>
      <c r="I46" t="s">
        <v>609</v>
      </c>
      <c r="J46" t="s">
        <v>37</v>
      </c>
      <c r="K46" t="s">
        <v>32</v>
      </c>
      <c r="L46" t="s">
        <v>35</v>
      </c>
      <c r="S46">
        <v>1</v>
      </c>
      <c r="T46">
        <v>3</v>
      </c>
      <c r="U46">
        <v>1</v>
      </c>
      <c r="V46">
        <v>20</v>
      </c>
      <c r="AQ46">
        <v>23</v>
      </c>
      <c r="AR46" s="3">
        <f t="shared" si="0"/>
        <v>10</v>
      </c>
      <c r="AS46" s="3">
        <f t="shared" si="1"/>
        <v>0</v>
      </c>
      <c r="AT46" s="3" t="str">
        <f>IF(OR(Registered!AM46&gt;0,Registered!AO46&gt;0),(IF(Registered!E46=0,"Size Not Specified",Registered!E46)),"")</f>
        <v/>
      </c>
      <c r="AU46" s="3" t="str">
        <f>IF(Registered!AE46=0,"",IF(Registered!AE46=1,Registered!AE46&amp;" Bandana",Registered!AE46&amp;" Bandanas"))</f>
        <v/>
      </c>
      <c r="AV46" s="3">
        <f t="shared" si="2"/>
        <v>0</v>
      </c>
      <c r="AW46" s="2" t="str">
        <f>IF(Registered!AV46=0,"",IF(Registered!AV46=1,Registered!AV46&amp;" Meal",Registered!AV46&amp;" Meals"))</f>
        <v/>
      </c>
      <c r="AX46" s="2" t="str">
        <f>IF(Registered!AI46=0,"",Registered!AI46&amp;" BG")</f>
        <v/>
      </c>
      <c r="AY46" s="2" t="str">
        <f>IF(Registered!AG46=0,"",Registered!AG46&amp;" DustMask")</f>
        <v/>
      </c>
    </row>
    <row r="47" spans="1:51" customFormat="1" x14ac:dyDescent="0.25">
      <c r="A47" t="s">
        <v>111</v>
      </c>
      <c r="B47" t="s">
        <v>606</v>
      </c>
      <c r="C47" t="s">
        <v>6090</v>
      </c>
      <c r="D47" t="s">
        <v>3567</v>
      </c>
      <c r="F47" t="s">
        <v>261</v>
      </c>
      <c r="I47" t="s">
        <v>3568</v>
      </c>
      <c r="J47" t="s">
        <v>37</v>
      </c>
      <c r="K47" t="s">
        <v>32</v>
      </c>
      <c r="L47" t="s">
        <v>35</v>
      </c>
      <c r="Q47">
        <v>1</v>
      </c>
      <c r="R47">
        <v>3</v>
      </c>
      <c r="AC47">
        <v>1</v>
      </c>
      <c r="AD47">
        <v>10</v>
      </c>
      <c r="AQ47">
        <v>13</v>
      </c>
      <c r="AR47" s="3">
        <f t="shared" si="0"/>
        <v>5</v>
      </c>
      <c r="AS47" s="3">
        <f t="shared" si="1"/>
        <v>0</v>
      </c>
      <c r="AT47" s="3" t="str">
        <f>IF(OR(Registered!AM47&gt;0,Registered!AO47&gt;0),(IF(Registered!E47=0,"Size Not Specified",Registered!E47)),"")</f>
        <v/>
      </c>
      <c r="AU47" s="3" t="str">
        <f>IF(Registered!AE47=0,"",IF(Registered!AE47=1,Registered!AE47&amp;" Bandana",Registered!AE47&amp;" Bandanas"))</f>
        <v/>
      </c>
      <c r="AV47" s="3">
        <f t="shared" si="2"/>
        <v>0</v>
      </c>
      <c r="AW47" s="2" t="str">
        <f>IF(Registered!AV47=0,"",IF(Registered!AV47=1,Registered!AV47&amp;" Meal",Registered!AV47&amp;" Meals"))</f>
        <v/>
      </c>
      <c r="AX47" s="2" t="str">
        <f>IF(Registered!AI47=0,"",Registered!AI47&amp;" BG")</f>
        <v/>
      </c>
      <c r="AY47" s="2" t="str">
        <f>IF(Registered!AG47=0,"",Registered!AG47&amp;" DustMask")</f>
        <v/>
      </c>
    </row>
    <row r="48" spans="1:51" customFormat="1" x14ac:dyDescent="0.25">
      <c r="A48" t="s">
        <v>180</v>
      </c>
      <c r="B48" t="s">
        <v>606</v>
      </c>
      <c r="C48" t="s">
        <v>6090</v>
      </c>
      <c r="D48" t="s">
        <v>610</v>
      </c>
      <c r="F48" t="s">
        <v>261</v>
      </c>
      <c r="I48" t="s">
        <v>611</v>
      </c>
      <c r="J48" t="s">
        <v>37</v>
      </c>
      <c r="K48" t="s">
        <v>32</v>
      </c>
      <c r="L48" t="s">
        <v>35</v>
      </c>
      <c r="S48">
        <v>2</v>
      </c>
      <c r="T48">
        <v>3</v>
      </c>
      <c r="W48">
        <v>1</v>
      </c>
      <c r="X48">
        <v>40</v>
      </c>
      <c r="AQ48">
        <v>46</v>
      </c>
      <c r="AR48" s="3">
        <f t="shared" si="0"/>
        <v>20</v>
      </c>
      <c r="AS48" s="3">
        <f t="shared" si="1"/>
        <v>0</v>
      </c>
      <c r="AT48" s="3" t="str">
        <f>IF(OR(Registered!AM48&gt;0,Registered!AO48&gt;0),(IF(Registered!E48=0,"Size Not Specified",Registered!E48)),"")</f>
        <v/>
      </c>
      <c r="AU48" s="3" t="str">
        <f>IF(Registered!AE48=0,"",IF(Registered!AE48=1,Registered!AE48&amp;" Bandana",Registered!AE48&amp;" Bandanas"))</f>
        <v/>
      </c>
      <c r="AV48" s="3">
        <f t="shared" si="2"/>
        <v>0</v>
      </c>
      <c r="AW48" s="2" t="str">
        <f>IF(Registered!AV48=0,"",IF(Registered!AV48=1,Registered!AV48&amp;" Meal",Registered!AV48&amp;" Meals"))</f>
        <v/>
      </c>
      <c r="AX48" s="2" t="str">
        <f>IF(Registered!AI48=0,"",Registered!AI48&amp;" BG")</f>
        <v/>
      </c>
      <c r="AY48" s="2" t="str">
        <f>IF(Registered!AG48=0,"",Registered!AG48&amp;" DustMask")</f>
        <v/>
      </c>
    </row>
    <row r="49" spans="1:51" customFormat="1" x14ac:dyDescent="0.25">
      <c r="A49" t="s">
        <v>3569</v>
      </c>
      <c r="B49" t="s">
        <v>606</v>
      </c>
      <c r="C49" t="s">
        <v>6090</v>
      </c>
      <c r="D49" t="s">
        <v>3570</v>
      </c>
      <c r="E49" t="s">
        <v>41</v>
      </c>
      <c r="F49" t="s">
        <v>261</v>
      </c>
      <c r="I49" t="s">
        <v>3571</v>
      </c>
      <c r="J49" t="s">
        <v>37</v>
      </c>
      <c r="K49" t="s">
        <v>32</v>
      </c>
      <c r="L49" t="s">
        <v>35</v>
      </c>
      <c r="Q49">
        <v>1</v>
      </c>
      <c r="R49">
        <v>3</v>
      </c>
      <c r="AC49">
        <v>1</v>
      </c>
      <c r="AD49">
        <v>10</v>
      </c>
      <c r="AO49">
        <v>1</v>
      </c>
      <c r="AP49">
        <v>10</v>
      </c>
      <c r="AQ49">
        <v>23</v>
      </c>
      <c r="AR49" s="3">
        <f t="shared" si="0"/>
        <v>5</v>
      </c>
      <c r="AS49" s="3">
        <f t="shared" si="1"/>
        <v>1</v>
      </c>
      <c r="AT49" s="3" t="str">
        <f>IF(OR(Registered!AM49&gt;0,Registered!AO49&gt;0),(IF(Registered!E49=0,"Size Not Specified",Registered!E49)),"")</f>
        <v>small</v>
      </c>
      <c r="AU49" s="3" t="str">
        <f>IF(Registered!AE49=0,"",IF(Registered!AE49=1,Registered!AE49&amp;" Bandana",Registered!AE49&amp;" Bandanas"))</f>
        <v/>
      </c>
      <c r="AV49" s="3">
        <f t="shared" si="2"/>
        <v>0</v>
      </c>
      <c r="AW49" s="2" t="str">
        <f>IF(Registered!AV49=0,"",IF(Registered!AV49=1,Registered!AV49&amp;" Meal",Registered!AV49&amp;" Meals"))</f>
        <v/>
      </c>
      <c r="AX49" s="2" t="str">
        <f>IF(Registered!AI49=0,"",Registered!AI49&amp;" BG")</f>
        <v/>
      </c>
      <c r="AY49" s="2" t="str">
        <f>IF(Registered!AG49=0,"",Registered!AG49&amp;" DustMask")</f>
        <v/>
      </c>
    </row>
    <row r="50" spans="1:51" customFormat="1" x14ac:dyDescent="0.25">
      <c r="A50" t="s">
        <v>612</v>
      </c>
      <c r="B50" t="s">
        <v>606</v>
      </c>
      <c r="C50" t="s">
        <v>6090</v>
      </c>
      <c r="G50" t="s">
        <v>56</v>
      </c>
      <c r="H50" t="s">
        <v>101</v>
      </c>
      <c r="I50" t="s">
        <v>613</v>
      </c>
      <c r="J50" t="s">
        <v>37</v>
      </c>
      <c r="K50" t="s">
        <v>32</v>
      </c>
      <c r="L50" t="s">
        <v>35</v>
      </c>
      <c r="AQ50">
        <v>0</v>
      </c>
      <c r="AR50" s="3">
        <f t="shared" si="0"/>
        <v>0</v>
      </c>
      <c r="AS50" s="3">
        <f t="shared" si="1"/>
        <v>0</v>
      </c>
      <c r="AT50" s="3" t="str">
        <f>IF(OR(Registered!AM50&gt;0,Registered!AO50&gt;0),(IF(Registered!E50=0,"Size Not Specified",Registered!E50)),"")</f>
        <v/>
      </c>
      <c r="AU50" s="3" t="str">
        <f>IF(Registered!AE50=0,"",IF(Registered!AE50=1,Registered!AE50&amp;" Bandana",Registered!AE50&amp;" Bandanas"))</f>
        <v/>
      </c>
      <c r="AV50" s="3">
        <f t="shared" si="2"/>
        <v>0</v>
      </c>
      <c r="AW50" s="2" t="str">
        <f>IF(Registered!AV50=0,"",IF(Registered!AV50=1,Registered!AV50&amp;" Meal",Registered!AV50&amp;" Meals"))</f>
        <v/>
      </c>
      <c r="AX50" s="2" t="str">
        <f>IF(Registered!AI50=0,"",Registered!AI50&amp;" BG")</f>
        <v/>
      </c>
      <c r="AY50" s="2" t="str">
        <f>IF(Registered!AG50=0,"",Registered!AG50&amp;" DustMask")</f>
        <v/>
      </c>
    </row>
    <row r="51" spans="1:51" customFormat="1" x14ac:dyDescent="0.25">
      <c r="A51" t="s">
        <v>616</v>
      </c>
      <c r="B51" t="s">
        <v>617</v>
      </c>
      <c r="C51" t="s">
        <v>6090</v>
      </c>
      <c r="D51" t="s">
        <v>616</v>
      </c>
      <c r="E51" t="s">
        <v>76</v>
      </c>
      <c r="F51" t="s">
        <v>261</v>
      </c>
      <c r="I51" t="s">
        <v>618</v>
      </c>
      <c r="J51" t="s">
        <v>37</v>
      </c>
      <c r="K51" t="s">
        <v>32</v>
      </c>
      <c r="L51" t="s">
        <v>35</v>
      </c>
      <c r="Q51">
        <v>1</v>
      </c>
      <c r="R51">
        <v>3</v>
      </c>
      <c r="AM51">
        <v>1</v>
      </c>
      <c r="AN51">
        <v>25</v>
      </c>
      <c r="AQ51">
        <v>28</v>
      </c>
      <c r="AR51" s="3">
        <f t="shared" si="0"/>
        <v>5</v>
      </c>
      <c r="AS51" s="3">
        <f t="shared" si="1"/>
        <v>1</v>
      </c>
      <c r="AT51" s="3" t="str">
        <f>IF(OR(Registered!AM51&gt;0,Registered!AO51&gt;0),(IF(Registered!E51=0,"Size Not Specified",Registered!E51)),"")</f>
        <v>L</v>
      </c>
      <c r="AU51" s="3" t="str">
        <f>IF(Registered!AE51=0,"",IF(Registered!AE51=1,Registered!AE51&amp;" Bandana",Registered!AE51&amp;" Bandanas"))</f>
        <v/>
      </c>
      <c r="AV51" s="3">
        <f t="shared" si="2"/>
        <v>1</v>
      </c>
      <c r="AW51" s="2" t="str">
        <f>IF(Registered!AV51=0,"",IF(Registered!AV51=1,Registered!AV51&amp;" Meal",Registered!AV51&amp;" Meals"))</f>
        <v>1 Meal</v>
      </c>
      <c r="AX51" s="2" t="str">
        <f>IF(Registered!AI51=0,"",Registered!AI51&amp;" BG")</f>
        <v/>
      </c>
      <c r="AY51" s="2" t="str">
        <f>IF(Registered!AG51=0,"",Registered!AG51&amp;" DustMask")</f>
        <v/>
      </c>
    </row>
    <row r="52" spans="1:51" customFormat="1" x14ac:dyDescent="0.25">
      <c r="A52" t="s">
        <v>293</v>
      </c>
      <c r="B52" t="s">
        <v>619</v>
      </c>
      <c r="C52" t="s">
        <v>6090</v>
      </c>
      <c r="G52" t="s">
        <v>146</v>
      </c>
      <c r="H52" t="s">
        <v>620</v>
      </c>
      <c r="I52" t="s">
        <v>621</v>
      </c>
      <c r="J52" t="s">
        <v>37</v>
      </c>
      <c r="K52" t="s">
        <v>32</v>
      </c>
      <c r="L52" t="s">
        <v>35</v>
      </c>
      <c r="AQ52">
        <v>0</v>
      </c>
      <c r="AR52" s="3">
        <f t="shared" si="0"/>
        <v>0</v>
      </c>
      <c r="AS52" s="3">
        <f t="shared" si="1"/>
        <v>0</v>
      </c>
      <c r="AT52" s="3" t="str">
        <f>IF(OR(Registered!AM52&gt;0,Registered!AO52&gt;0),(IF(Registered!E52=0,"Size Not Specified",Registered!E52)),"")</f>
        <v/>
      </c>
      <c r="AU52" s="3" t="str">
        <f>IF(Registered!AE52=0,"",IF(Registered!AE52=1,Registered!AE52&amp;" Bandana",Registered!AE52&amp;" Bandanas"))</f>
        <v/>
      </c>
      <c r="AV52" s="3">
        <f t="shared" si="2"/>
        <v>0</v>
      </c>
      <c r="AW52" s="2" t="str">
        <f>IF(Registered!AV52=0,"",IF(Registered!AV52=1,Registered!AV52&amp;" Meal",Registered!AV52&amp;" Meals"))</f>
        <v/>
      </c>
      <c r="AX52" s="2" t="str">
        <f>IF(Registered!AI52=0,"",Registered!AI52&amp;" BG")</f>
        <v/>
      </c>
      <c r="AY52" s="2" t="str">
        <f>IF(Registered!AG52=0,"",Registered!AG52&amp;" DustMask")</f>
        <v/>
      </c>
    </row>
    <row r="53" spans="1:51" customFormat="1" x14ac:dyDescent="0.25">
      <c r="A53" t="s">
        <v>3573</v>
      </c>
      <c r="B53" t="s">
        <v>619</v>
      </c>
      <c r="C53" t="s">
        <v>6090</v>
      </c>
      <c r="G53" t="s">
        <v>3574</v>
      </c>
      <c r="H53" t="s">
        <v>3575</v>
      </c>
      <c r="I53" t="s">
        <v>3576</v>
      </c>
      <c r="J53" t="s">
        <v>37</v>
      </c>
      <c r="K53" t="s">
        <v>32</v>
      </c>
      <c r="L53" t="s">
        <v>35</v>
      </c>
      <c r="AQ53">
        <v>0</v>
      </c>
      <c r="AR53" s="3">
        <f t="shared" si="0"/>
        <v>0</v>
      </c>
      <c r="AS53" s="3">
        <f t="shared" si="1"/>
        <v>0</v>
      </c>
      <c r="AT53" s="3" t="str">
        <f>IF(OR(Registered!AM53&gt;0,Registered!AO53&gt;0),(IF(Registered!E53=0,"Size Not Specified",Registered!E53)),"")</f>
        <v/>
      </c>
      <c r="AU53" s="3" t="str">
        <f>IF(Registered!AE53=0,"",IF(Registered!AE53=1,Registered!AE53&amp;" Bandana",Registered!AE53&amp;" Bandanas"))</f>
        <v/>
      </c>
      <c r="AV53" s="3">
        <f t="shared" si="2"/>
        <v>0</v>
      </c>
      <c r="AW53" s="2" t="str">
        <f>IF(Registered!AV53=0,"",IF(Registered!AV53=1,Registered!AV53&amp;" Meal",Registered!AV53&amp;" Meals"))</f>
        <v/>
      </c>
      <c r="AX53" s="2" t="str">
        <f>IF(Registered!AI53=0,"",Registered!AI53&amp;" BG")</f>
        <v/>
      </c>
      <c r="AY53" s="2" t="str">
        <f>IF(Registered!AG53=0,"",Registered!AG53&amp;" DustMask")</f>
        <v/>
      </c>
    </row>
    <row r="54" spans="1:51" customFormat="1" x14ac:dyDescent="0.25">
      <c r="A54" t="s">
        <v>624</v>
      </c>
      <c r="B54" t="s">
        <v>625</v>
      </c>
      <c r="C54" t="s">
        <v>6090</v>
      </c>
      <c r="D54" t="s">
        <v>624</v>
      </c>
      <c r="F54" t="s">
        <v>261</v>
      </c>
      <c r="I54" t="s">
        <v>626</v>
      </c>
      <c r="J54" t="s">
        <v>37</v>
      </c>
      <c r="K54" t="s">
        <v>32</v>
      </c>
      <c r="L54" t="s">
        <v>35</v>
      </c>
      <c r="S54">
        <v>1</v>
      </c>
      <c r="T54">
        <v>3</v>
      </c>
      <c r="AC54">
        <v>1</v>
      </c>
      <c r="AD54">
        <v>10</v>
      </c>
      <c r="AQ54">
        <v>13</v>
      </c>
      <c r="AR54" s="3">
        <f t="shared" si="0"/>
        <v>5</v>
      </c>
      <c r="AS54" s="3">
        <f t="shared" si="1"/>
        <v>0</v>
      </c>
      <c r="AT54" s="3" t="str">
        <f>IF(OR(Registered!AM54&gt;0,Registered!AO54&gt;0),(IF(Registered!E54=0,"Size Not Specified",Registered!E54)),"")</f>
        <v/>
      </c>
      <c r="AU54" s="3" t="str">
        <f>IF(Registered!AE54=0,"",IF(Registered!AE54=1,Registered!AE54&amp;" Bandana",Registered!AE54&amp;" Bandanas"))</f>
        <v/>
      </c>
      <c r="AV54" s="3">
        <f t="shared" si="2"/>
        <v>0</v>
      </c>
      <c r="AW54" s="2" t="str">
        <f>IF(Registered!AV54=0,"",IF(Registered!AV54=1,Registered!AV54&amp;" Meal",Registered!AV54&amp;" Meals"))</f>
        <v/>
      </c>
      <c r="AX54" s="2" t="str">
        <f>IF(Registered!AI54=0,"",Registered!AI54&amp;" BG")</f>
        <v/>
      </c>
      <c r="AY54" s="2" t="str">
        <f>IF(Registered!AG54=0,"",Registered!AG54&amp;" DustMask")</f>
        <v/>
      </c>
    </row>
    <row r="55" spans="1:51" customFormat="1" x14ac:dyDescent="0.25">
      <c r="A55" t="s">
        <v>3577</v>
      </c>
      <c r="B55" t="s">
        <v>628</v>
      </c>
      <c r="C55" t="s">
        <v>6090</v>
      </c>
      <c r="F55" t="s">
        <v>261</v>
      </c>
      <c r="I55" t="s">
        <v>3578</v>
      </c>
      <c r="J55" t="s">
        <v>37</v>
      </c>
      <c r="K55" t="s">
        <v>32</v>
      </c>
      <c r="L55" t="s">
        <v>35</v>
      </c>
      <c r="Q55">
        <v>1</v>
      </c>
      <c r="R55">
        <v>3</v>
      </c>
      <c r="AQ55">
        <v>3</v>
      </c>
      <c r="AR55" s="3">
        <f t="shared" si="0"/>
        <v>0</v>
      </c>
      <c r="AS55" s="3">
        <f t="shared" si="1"/>
        <v>0</v>
      </c>
      <c r="AT55" s="3" t="str">
        <f>IF(OR(Registered!AM55&gt;0,Registered!AO55&gt;0),(IF(Registered!E55=0,"Size Not Specified",Registered!E55)),"")</f>
        <v/>
      </c>
      <c r="AU55" s="3" t="str">
        <f>IF(Registered!AE55=0,"",IF(Registered!AE55=1,Registered!AE55&amp;" Bandana",Registered!AE55&amp;" Bandanas"))</f>
        <v/>
      </c>
      <c r="AV55" s="3">
        <f t="shared" si="2"/>
        <v>0</v>
      </c>
      <c r="AW55" s="2" t="str">
        <f>IF(Registered!AV55=0,"",IF(Registered!AV55=1,Registered!AV55&amp;" Meal",Registered!AV55&amp;" Meals"))</f>
        <v/>
      </c>
      <c r="AX55" s="2" t="str">
        <f>IF(Registered!AI55=0,"",Registered!AI55&amp;" BG")</f>
        <v/>
      </c>
      <c r="AY55" s="2" t="str">
        <f>IF(Registered!AG55=0,"",Registered!AG55&amp;" DustMask")</f>
        <v/>
      </c>
    </row>
    <row r="56" spans="1:51" customFormat="1" x14ac:dyDescent="0.25">
      <c r="A56" t="s">
        <v>627</v>
      </c>
      <c r="B56" t="s">
        <v>628</v>
      </c>
      <c r="C56" t="s">
        <v>6090</v>
      </c>
      <c r="G56" t="s">
        <v>629</v>
      </c>
      <c r="H56" t="s">
        <v>630</v>
      </c>
      <c r="I56" t="s">
        <v>631</v>
      </c>
      <c r="J56" t="s">
        <v>37</v>
      </c>
      <c r="K56" t="s">
        <v>32</v>
      </c>
      <c r="L56" t="s">
        <v>35</v>
      </c>
      <c r="AQ56">
        <v>0</v>
      </c>
      <c r="AR56" s="3">
        <f t="shared" si="0"/>
        <v>0</v>
      </c>
      <c r="AS56" s="3">
        <f t="shared" si="1"/>
        <v>0</v>
      </c>
      <c r="AT56" s="3" t="str">
        <f>IF(OR(Registered!AM56&gt;0,Registered!AO56&gt;0),(IF(Registered!E56=0,"Size Not Specified",Registered!E56)),"")</f>
        <v/>
      </c>
      <c r="AU56" s="3" t="str">
        <f>IF(Registered!AE56=0,"",IF(Registered!AE56=1,Registered!AE56&amp;" Bandana",Registered!AE56&amp;" Bandanas"))</f>
        <v/>
      </c>
      <c r="AV56" s="3">
        <f t="shared" si="2"/>
        <v>0</v>
      </c>
      <c r="AW56" s="2" t="str">
        <f>IF(Registered!AV56=0,"",IF(Registered!AV56=1,Registered!AV56&amp;" Meal",Registered!AV56&amp;" Meals"))</f>
        <v/>
      </c>
      <c r="AX56" s="2" t="str">
        <f>IF(Registered!AI56=0,"",Registered!AI56&amp;" BG")</f>
        <v/>
      </c>
      <c r="AY56" s="2" t="str">
        <f>IF(Registered!AG56=0,"",Registered!AG56&amp;" DustMask")</f>
        <v/>
      </c>
    </row>
    <row r="57" spans="1:51" customFormat="1" x14ac:dyDescent="0.25">
      <c r="A57" t="s">
        <v>3582</v>
      </c>
      <c r="B57" t="s">
        <v>628</v>
      </c>
      <c r="C57" t="s">
        <v>6090</v>
      </c>
      <c r="D57" t="s">
        <v>3583</v>
      </c>
      <c r="F57" t="s">
        <v>261</v>
      </c>
      <c r="I57" t="s">
        <v>3584</v>
      </c>
      <c r="J57" t="s">
        <v>37</v>
      </c>
      <c r="K57" t="s">
        <v>32</v>
      </c>
      <c r="L57" t="s">
        <v>35</v>
      </c>
      <c r="Q57">
        <v>2</v>
      </c>
      <c r="R57">
        <v>3</v>
      </c>
      <c r="AC57">
        <v>1</v>
      </c>
      <c r="AD57">
        <v>10</v>
      </c>
      <c r="AQ57">
        <v>16</v>
      </c>
      <c r="AR57" s="3">
        <f t="shared" si="0"/>
        <v>5</v>
      </c>
      <c r="AS57" s="3">
        <f t="shared" si="1"/>
        <v>0</v>
      </c>
      <c r="AT57" s="3" t="str">
        <f>IF(OR(Registered!AM57&gt;0,Registered!AO57&gt;0),(IF(Registered!E57=0,"Size Not Specified",Registered!E57)),"")</f>
        <v/>
      </c>
      <c r="AU57" s="3" t="str">
        <f>IF(Registered!AE57=0,"",IF(Registered!AE57=1,Registered!AE57&amp;" Bandana",Registered!AE57&amp;" Bandanas"))</f>
        <v/>
      </c>
      <c r="AV57" s="3">
        <f t="shared" si="2"/>
        <v>0</v>
      </c>
      <c r="AW57" s="2" t="str">
        <f>IF(Registered!AV57=0,"",IF(Registered!AV57=1,Registered!AV57&amp;" Meal",Registered!AV57&amp;" Meals"))</f>
        <v/>
      </c>
      <c r="AX57" s="2" t="str">
        <f>IF(Registered!AI57=0,"",Registered!AI57&amp;" BG")</f>
        <v/>
      </c>
      <c r="AY57" s="2" t="str">
        <f>IF(Registered!AG57=0,"",Registered!AG57&amp;" DustMask")</f>
        <v/>
      </c>
    </row>
    <row r="58" spans="1:51" customFormat="1" x14ac:dyDescent="0.25">
      <c r="A58" t="s">
        <v>632</v>
      </c>
      <c r="B58" t="s">
        <v>628</v>
      </c>
      <c r="C58" t="s">
        <v>6090</v>
      </c>
      <c r="D58" t="s">
        <v>633</v>
      </c>
      <c r="F58" t="s">
        <v>261</v>
      </c>
      <c r="I58" t="s">
        <v>634</v>
      </c>
      <c r="J58" t="s">
        <v>37</v>
      </c>
      <c r="K58" t="s">
        <v>32</v>
      </c>
      <c r="L58" t="s">
        <v>35</v>
      </c>
      <c r="S58">
        <v>2</v>
      </c>
      <c r="T58">
        <v>3</v>
      </c>
      <c r="AC58">
        <v>2</v>
      </c>
      <c r="AD58">
        <v>10</v>
      </c>
      <c r="AQ58">
        <v>26</v>
      </c>
      <c r="AR58" s="3">
        <f t="shared" si="0"/>
        <v>10</v>
      </c>
      <c r="AS58" s="3">
        <f t="shared" si="1"/>
        <v>0</v>
      </c>
      <c r="AT58" s="3" t="str">
        <f>IF(OR(Registered!AM58&gt;0,Registered!AO58&gt;0),(IF(Registered!E58=0,"Size Not Specified",Registered!E58)),"")</f>
        <v/>
      </c>
      <c r="AU58" s="3" t="str">
        <f>IF(Registered!AE58=0,"",IF(Registered!AE58=1,Registered!AE58&amp;" Bandana",Registered!AE58&amp;" Bandanas"))</f>
        <v/>
      </c>
      <c r="AV58" s="3">
        <f t="shared" si="2"/>
        <v>0</v>
      </c>
      <c r="AW58" s="2" t="str">
        <f>IF(Registered!AV58=0,"",IF(Registered!AV58=1,Registered!AV58&amp;" Meal",Registered!AV58&amp;" Meals"))</f>
        <v/>
      </c>
      <c r="AX58" s="2" t="str">
        <f>IF(Registered!AI58=0,"",Registered!AI58&amp;" BG")</f>
        <v/>
      </c>
      <c r="AY58" s="2" t="str">
        <f>IF(Registered!AG58=0,"",Registered!AG58&amp;" DustMask")</f>
        <v/>
      </c>
    </row>
    <row r="59" spans="1:51" customFormat="1" x14ac:dyDescent="0.25">
      <c r="A59" t="s">
        <v>3585</v>
      </c>
      <c r="B59" t="s">
        <v>628</v>
      </c>
      <c r="C59" t="s">
        <v>6090</v>
      </c>
      <c r="G59" t="s">
        <v>3586</v>
      </c>
      <c r="H59" t="s">
        <v>3587</v>
      </c>
      <c r="I59" t="s">
        <v>3588</v>
      </c>
      <c r="J59" t="s">
        <v>37</v>
      </c>
      <c r="K59" t="s">
        <v>32</v>
      </c>
      <c r="L59" t="s">
        <v>35</v>
      </c>
      <c r="AQ59">
        <v>0</v>
      </c>
      <c r="AR59" s="3">
        <f t="shared" si="0"/>
        <v>0</v>
      </c>
      <c r="AS59" s="3">
        <f t="shared" si="1"/>
        <v>0</v>
      </c>
      <c r="AT59" s="3" t="str">
        <f>IF(OR(Registered!AM59&gt;0,Registered!AO59&gt;0),(IF(Registered!E59=0,"Size Not Specified",Registered!E59)),"")</f>
        <v/>
      </c>
      <c r="AU59" s="3" t="str">
        <f>IF(Registered!AE59=0,"",IF(Registered!AE59=1,Registered!AE59&amp;" Bandana",Registered!AE59&amp;" Bandanas"))</f>
        <v/>
      </c>
      <c r="AV59" s="3">
        <f t="shared" si="2"/>
        <v>0</v>
      </c>
      <c r="AW59" s="2" t="str">
        <f>IF(Registered!AV59=0,"",IF(Registered!AV59=1,Registered!AV59&amp;" Meal",Registered!AV59&amp;" Meals"))</f>
        <v/>
      </c>
      <c r="AX59" s="2" t="str">
        <f>IF(Registered!AI59=0,"",Registered!AI59&amp;" BG")</f>
        <v/>
      </c>
      <c r="AY59" s="2" t="str">
        <f>IF(Registered!AG59=0,"",Registered!AG59&amp;" DustMask")</f>
        <v/>
      </c>
    </row>
    <row r="60" spans="1:51" customFormat="1" x14ac:dyDescent="0.25">
      <c r="A60" t="s">
        <v>233</v>
      </c>
      <c r="B60" t="s">
        <v>628</v>
      </c>
      <c r="C60" t="s">
        <v>6090</v>
      </c>
      <c r="G60" t="s">
        <v>166</v>
      </c>
      <c r="H60" t="s">
        <v>628</v>
      </c>
      <c r="I60" t="s">
        <v>635</v>
      </c>
      <c r="J60" t="s">
        <v>37</v>
      </c>
      <c r="K60" t="s">
        <v>32</v>
      </c>
      <c r="L60" t="s">
        <v>35</v>
      </c>
      <c r="AQ60">
        <v>0</v>
      </c>
      <c r="AR60" s="3">
        <f t="shared" si="0"/>
        <v>0</v>
      </c>
      <c r="AS60" s="3">
        <f t="shared" si="1"/>
        <v>0</v>
      </c>
      <c r="AT60" s="3" t="str">
        <f>IF(OR(Registered!AM60&gt;0,Registered!AO60&gt;0),(IF(Registered!E60=0,"Size Not Specified",Registered!E60)),"")</f>
        <v/>
      </c>
      <c r="AU60" s="3" t="str">
        <f>IF(Registered!AE60=0,"",IF(Registered!AE60=1,Registered!AE60&amp;" Bandana",Registered!AE60&amp;" Bandanas"))</f>
        <v/>
      </c>
      <c r="AV60" s="3">
        <f t="shared" si="2"/>
        <v>0</v>
      </c>
      <c r="AW60" s="2" t="str">
        <f>IF(Registered!AV60=0,"",IF(Registered!AV60=1,Registered!AV60&amp;" Meal",Registered!AV60&amp;" Meals"))</f>
        <v/>
      </c>
      <c r="AX60" s="2" t="str">
        <f>IF(Registered!AI60=0,"",Registered!AI60&amp;" BG")</f>
        <v/>
      </c>
      <c r="AY60" s="2" t="str">
        <f>IF(Registered!AG60=0,"",Registered!AG60&amp;" DustMask")</f>
        <v/>
      </c>
    </row>
    <row r="61" spans="1:51" customFormat="1" x14ac:dyDescent="0.25">
      <c r="A61" t="s">
        <v>332</v>
      </c>
      <c r="B61" t="s">
        <v>628</v>
      </c>
      <c r="C61" t="s">
        <v>6090</v>
      </c>
      <c r="G61" t="s">
        <v>3589</v>
      </c>
      <c r="H61" t="s">
        <v>2446</v>
      </c>
      <c r="I61" t="s">
        <v>3590</v>
      </c>
      <c r="J61" t="s">
        <v>37</v>
      </c>
      <c r="K61" t="s">
        <v>32</v>
      </c>
      <c r="L61" t="s">
        <v>35</v>
      </c>
      <c r="AQ61">
        <v>0</v>
      </c>
      <c r="AR61" s="3">
        <f t="shared" si="0"/>
        <v>0</v>
      </c>
      <c r="AS61" s="3">
        <f t="shared" si="1"/>
        <v>0</v>
      </c>
      <c r="AT61" s="3" t="str">
        <f>IF(OR(Registered!AM61&gt;0,Registered!AO61&gt;0),(IF(Registered!E61=0,"Size Not Specified",Registered!E61)),"")</f>
        <v/>
      </c>
      <c r="AU61" s="3" t="str">
        <f>IF(Registered!AE61=0,"",IF(Registered!AE61=1,Registered!AE61&amp;" Bandana",Registered!AE61&amp;" Bandanas"))</f>
        <v/>
      </c>
      <c r="AV61" s="3">
        <f t="shared" si="2"/>
        <v>0</v>
      </c>
      <c r="AW61" s="2" t="str">
        <f>IF(Registered!AV61=0,"",IF(Registered!AV61=1,Registered!AV61&amp;" Meal",Registered!AV61&amp;" Meals"))</f>
        <v/>
      </c>
      <c r="AX61" s="2" t="str">
        <f>IF(Registered!AI61=0,"",Registered!AI61&amp;" BG")</f>
        <v/>
      </c>
      <c r="AY61" s="2" t="str">
        <f>IF(Registered!AG61=0,"",Registered!AG61&amp;" DustMask")</f>
        <v/>
      </c>
    </row>
    <row r="62" spans="1:51" customFormat="1" x14ac:dyDescent="0.25">
      <c r="A62" t="s">
        <v>236</v>
      </c>
      <c r="B62" t="s">
        <v>628</v>
      </c>
      <c r="C62" t="s">
        <v>6090</v>
      </c>
      <c r="G62" t="s">
        <v>166</v>
      </c>
      <c r="H62" t="s">
        <v>159</v>
      </c>
      <c r="I62" t="s">
        <v>636</v>
      </c>
      <c r="J62" t="s">
        <v>37</v>
      </c>
      <c r="K62" t="s">
        <v>32</v>
      </c>
      <c r="L62" t="s">
        <v>35</v>
      </c>
      <c r="AQ62">
        <v>0</v>
      </c>
      <c r="AR62" s="3">
        <f t="shared" si="0"/>
        <v>0</v>
      </c>
      <c r="AS62" s="3">
        <f t="shared" si="1"/>
        <v>0</v>
      </c>
      <c r="AT62" s="3" t="str">
        <f>IF(OR(Registered!AM62&gt;0,Registered!AO62&gt;0),(IF(Registered!E62=0,"Size Not Specified",Registered!E62)),"")</f>
        <v/>
      </c>
      <c r="AU62" s="3" t="str">
        <f>IF(Registered!AE62=0,"",IF(Registered!AE62=1,Registered!AE62&amp;" Bandana",Registered!AE62&amp;" Bandanas"))</f>
        <v/>
      </c>
      <c r="AV62" s="3">
        <f t="shared" si="2"/>
        <v>0</v>
      </c>
      <c r="AW62" s="2" t="str">
        <f>IF(Registered!AV62=0,"",IF(Registered!AV62=1,Registered!AV62&amp;" Meal",Registered!AV62&amp;" Meals"))</f>
        <v/>
      </c>
      <c r="AX62" s="2" t="str">
        <f>IF(Registered!AI62=0,"",Registered!AI62&amp;" BG")</f>
        <v/>
      </c>
      <c r="AY62" s="2" t="str">
        <f>IF(Registered!AG62=0,"",Registered!AG62&amp;" DustMask")</f>
        <v/>
      </c>
    </row>
    <row r="63" spans="1:51" customFormat="1" x14ac:dyDescent="0.25">
      <c r="A63" t="s">
        <v>3591</v>
      </c>
      <c r="B63" t="s">
        <v>628</v>
      </c>
      <c r="C63" t="s">
        <v>6090</v>
      </c>
      <c r="G63" t="s">
        <v>3586</v>
      </c>
      <c r="H63" t="s">
        <v>3587</v>
      </c>
      <c r="I63" t="s">
        <v>3588</v>
      </c>
      <c r="J63" t="s">
        <v>37</v>
      </c>
      <c r="K63" t="s">
        <v>32</v>
      </c>
      <c r="L63" t="s">
        <v>35</v>
      </c>
      <c r="AQ63">
        <v>0</v>
      </c>
      <c r="AR63" s="3">
        <f t="shared" si="0"/>
        <v>0</v>
      </c>
      <c r="AS63" s="3">
        <f t="shared" si="1"/>
        <v>0</v>
      </c>
      <c r="AT63" s="3" t="str">
        <f>IF(OR(Registered!AM63&gt;0,Registered!AO63&gt;0),(IF(Registered!E63=0,"Size Not Specified",Registered!E63)),"")</f>
        <v/>
      </c>
      <c r="AU63" s="3" t="str">
        <f>IF(Registered!AE63=0,"",IF(Registered!AE63=1,Registered!AE63&amp;" Bandana",Registered!AE63&amp;" Bandanas"))</f>
        <v/>
      </c>
      <c r="AV63" s="3">
        <f t="shared" si="2"/>
        <v>0</v>
      </c>
      <c r="AW63" s="2" t="str">
        <f>IF(Registered!AV63=0,"",IF(Registered!AV63=1,Registered!AV63&amp;" Meal",Registered!AV63&amp;" Meals"))</f>
        <v/>
      </c>
      <c r="AX63" s="2" t="str">
        <f>IF(Registered!AI63=0,"",Registered!AI63&amp;" BG")</f>
        <v/>
      </c>
      <c r="AY63" s="2" t="str">
        <f>IF(Registered!AG63=0,"",Registered!AG63&amp;" DustMask")</f>
        <v/>
      </c>
    </row>
    <row r="64" spans="1:51" customFormat="1" x14ac:dyDescent="0.25">
      <c r="A64" t="s">
        <v>166</v>
      </c>
      <c r="B64" t="s">
        <v>628</v>
      </c>
      <c r="C64" t="s">
        <v>6090</v>
      </c>
      <c r="D64" t="s">
        <v>637</v>
      </c>
      <c r="E64" t="s">
        <v>638</v>
      </c>
      <c r="F64" t="s">
        <v>261</v>
      </c>
      <c r="I64" t="s">
        <v>635</v>
      </c>
      <c r="J64" t="s">
        <v>37</v>
      </c>
      <c r="K64" t="s">
        <v>32</v>
      </c>
      <c r="L64" t="s">
        <v>35</v>
      </c>
      <c r="S64">
        <v>4</v>
      </c>
      <c r="T64">
        <v>3</v>
      </c>
      <c r="AM64">
        <v>5</v>
      </c>
      <c r="AN64">
        <v>25</v>
      </c>
      <c r="AQ64">
        <v>137</v>
      </c>
      <c r="AR64" s="3">
        <f t="shared" si="0"/>
        <v>25</v>
      </c>
      <c r="AS64" s="3">
        <f t="shared" si="1"/>
        <v>5</v>
      </c>
      <c r="AT64" s="3" t="str">
        <f>IF(OR(Registered!AM64&gt;0,Registered!AO64&gt;0),(IF(Registered!E64=0,"Size Not Specified",Registered!E64)),"")</f>
        <v>S, M, M, XXL, XXL</v>
      </c>
      <c r="AU64" s="3" t="str">
        <f>IF(Registered!AE64=0,"",IF(Registered!AE64=1,Registered!AE64&amp;" Bandana",Registered!AE64&amp;" Bandanas"))</f>
        <v/>
      </c>
      <c r="AV64" s="3">
        <f t="shared" si="2"/>
        <v>5</v>
      </c>
      <c r="AW64" s="2" t="str">
        <f>IF(Registered!AV64=0,"",IF(Registered!AV64=1,Registered!AV64&amp;" Meal",Registered!AV64&amp;" Meals"))</f>
        <v>5 Meals</v>
      </c>
      <c r="AX64" s="2" t="str">
        <f>IF(Registered!AI64=0,"",Registered!AI64&amp;" BG")</f>
        <v/>
      </c>
      <c r="AY64" s="2" t="str">
        <f>IF(Registered!AG64=0,"",Registered!AG64&amp;" DustMask")</f>
        <v/>
      </c>
    </row>
    <row r="65" spans="1:51" customFormat="1" x14ac:dyDescent="0.25">
      <c r="A65" t="s">
        <v>641</v>
      </c>
      <c r="B65" t="s">
        <v>628</v>
      </c>
      <c r="C65" t="s">
        <v>6090</v>
      </c>
      <c r="G65" t="s">
        <v>642</v>
      </c>
      <c r="H65" t="s">
        <v>628</v>
      </c>
      <c r="I65" t="s">
        <v>643</v>
      </c>
      <c r="J65" t="s">
        <v>37</v>
      </c>
      <c r="K65" t="s">
        <v>32</v>
      </c>
      <c r="L65" t="s">
        <v>35</v>
      </c>
      <c r="AQ65">
        <v>0</v>
      </c>
      <c r="AR65" s="3">
        <f t="shared" si="0"/>
        <v>0</v>
      </c>
      <c r="AS65" s="3">
        <f t="shared" si="1"/>
        <v>0</v>
      </c>
      <c r="AT65" s="3" t="str">
        <f>IF(OR(Registered!AM65&gt;0,Registered!AO65&gt;0),(IF(Registered!E65=0,"Size Not Specified",Registered!E65)),"")</f>
        <v/>
      </c>
      <c r="AU65" s="3" t="str">
        <f>IF(Registered!AE65=0,"",IF(Registered!AE65=1,Registered!AE65&amp;" Bandana",Registered!AE65&amp;" Bandanas"))</f>
        <v/>
      </c>
      <c r="AV65" s="3">
        <f t="shared" si="2"/>
        <v>0</v>
      </c>
      <c r="AW65" s="2" t="str">
        <f>IF(Registered!AV65=0,"",IF(Registered!AV65=1,Registered!AV65&amp;" Meal",Registered!AV65&amp;" Meals"))</f>
        <v/>
      </c>
      <c r="AX65" s="2" t="str">
        <f>IF(Registered!AI65=0,"",Registered!AI65&amp;" BG")</f>
        <v/>
      </c>
      <c r="AY65" s="2" t="str">
        <f>IF(Registered!AG65=0,"",Registered!AG65&amp;" DustMask")</f>
        <v/>
      </c>
    </row>
    <row r="66" spans="1:51" customFormat="1" x14ac:dyDescent="0.25">
      <c r="A66" t="s">
        <v>162</v>
      </c>
      <c r="B66" t="s">
        <v>628</v>
      </c>
      <c r="C66" t="s">
        <v>6090</v>
      </c>
      <c r="G66" t="s">
        <v>166</v>
      </c>
      <c r="H66" t="s">
        <v>159</v>
      </c>
      <c r="I66" t="s">
        <v>636</v>
      </c>
      <c r="J66" t="s">
        <v>37</v>
      </c>
      <c r="K66" t="s">
        <v>32</v>
      </c>
      <c r="L66" t="s">
        <v>35</v>
      </c>
      <c r="AQ66">
        <v>0</v>
      </c>
      <c r="AR66" s="3">
        <f t="shared" ref="AR66:AR129" si="3">IF(ISTEXT(AM66)=TRUE,"",SUM(U66*10,W66*20,Y66*30,AA66*40,AC66*5,AM66*5))</f>
        <v>0</v>
      </c>
      <c r="AS66" s="3">
        <f t="shared" ref="AS66:AS129" si="4">IF(ISTEXT(AM66)=TRUE,"",SUM(AM66,AO66))</f>
        <v>0</v>
      </c>
      <c r="AT66" s="3" t="str">
        <f>IF(OR(Registered!AM66&gt;0,Registered!AO66&gt;0),(IF(Registered!E66=0,"Size Not Specified",Registered!E66)),"")</f>
        <v/>
      </c>
      <c r="AU66" s="3" t="str">
        <f>IF(Registered!AE66=0,"",IF(Registered!AE66=1,Registered!AE66&amp;" Bandana",Registered!AE66&amp;" Bandanas"))</f>
        <v/>
      </c>
      <c r="AV66" s="3">
        <f t="shared" ref="AV66:AV129" si="5">IF(ISTEXT(AM66)=TRUE,"",SUM(AM66,AK66))</f>
        <v>0</v>
      </c>
      <c r="AW66" s="2" t="str">
        <f>IF(Registered!AV66=0,"",IF(Registered!AV66=1,Registered!AV66&amp;" Meal",Registered!AV66&amp;" Meals"))</f>
        <v/>
      </c>
      <c r="AX66" s="2" t="str">
        <f>IF(Registered!AI66=0,"",Registered!AI66&amp;" BG")</f>
        <v/>
      </c>
      <c r="AY66" s="2" t="str">
        <f>IF(Registered!AG66=0,"",Registered!AG66&amp;" DustMask")</f>
        <v/>
      </c>
    </row>
    <row r="67" spans="1:51" customFormat="1" x14ac:dyDescent="0.25">
      <c r="A67" t="s">
        <v>644</v>
      </c>
      <c r="B67" t="s">
        <v>628</v>
      </c>
      <c r="C67" t="s">
        <v>6090</v>
      </c>
      <c r="G67" t="s">
        <v>38</v>
      </c>
      <c r="H67" t="s">
        <v>426</v>
      </c>
      <c r="I67" t="s">
        <v>645</v>
      </c>
      <c r="J67" t="s">
        <v>37</v>
      </c>
      <c r="K67" t="s">
        <v>32</v>
      </c>
      <c r="L67" t="s">
        <v>35</v>
      </c>
      <c r="AQ67">
        <v>0</v>
      </c>
      <c r="AR67" s="3">
        <f t="shared" si="3"/>
        <v>0</v>
      </c>
      <c r="AS67" s="3">
        <f t="shared" si="4"/>
        <v>0</v>
      </c>
      <c r="AT67" s="3" t="str">
        <f>IF(OR(Registered!AM67&gt;0,Registered!AO67&gt;0),(IF(Registered!E67=0,"Size Not Specified",Registered!E67)),"")</f>
        <v/>
      </c>
      <c r="AU67" s="3" t="str">
        <f>IF(Registered!AE67=0,"",IF(Registered!AE67=1,Registered!AE67&amp;" Bandana",Registered!AE67&amp;" Bandanas"))</f>
        <v/>
      </c>
      <c r="AV67" s="3">
        <f t="shared" si="5"/>
        <v>0</v>
      </c>
      <c r="AW67" s="2" t="str">
        <f>IF(Registered!AV67=0,"",IF(Registered!AV67=1,Registered!AV67&amp;" Meal",Registered!AV67&amp;" Meals"))</f>
        <v/>
      </c>
      <c r="AX67" s="2" t="str">
        <f>IF(Registered!AI67=0,"",Registered!AI67&amp;" BG")</f>
        <v/>
      </c>
      <c r="AY67" s="2" t="str">
        <f>IF(Registered!AG67=0,"",Registered!AG67&amp;" DustMask")</f>
        <v/>
      </c>
    </row>
    <row r="68" spans="1:51" customFormat="1" x14ac:dyDescent="0.25">
      <c r="A68" t="s">
        <v>642</v>
      </c>
      <c r="B68" t="s">
        <v>628</v>
      </c>
      <c r="C68" t="s">
        <v>6090</v>
      </c>
      <c r="D68" t="s">
        <v>641</v>
      </c>
      <c r="E68" t="s">
        <v>646</v>
      </c>
      <c r="F68" t="s">
        <v>261</v>
      </c>
      <c r="I68" t="s">
        <v>643</v>
      </c>
      <c r="J68" t="s">
        <v>37</v>
      </c>
      <c r="K68" t="s">
        <v>32</v>
      </c>
      <c r="L68" t="s">
        <v>35</v>
      </c>
      <c r="S68">
        <v>2</v>
      </c>
      <c r="T68">
        <v>3</v>
      </c>
      <c r="U68">
        <v>1</v>
      </c>
      <c r="V68">
        <v>20</v>
      </c>
      <c r="AO68">
        <v>2</v>
      </c>
      <c r="AP68">
        <v>10</v>
      </c>
      <c r="AQ68">
        <v>46</v>
      </c>
      <c r="AR68" s="3">
        <f t="shared" si="3"/>
        <v>10</v>
      </c>
      <c r="AS68" s="3">
        <f t="shared" si="4"/>
        <v>2</v>
      </c>
      <c r="AT68" s="3" t="str">
        <f>IF(OR(Registered!AM68&gt;0,Registered!AO68&gt;0),(IF(Registered!E68=0,"Size Not Specified",Registered!E68)),"")</f>
        <v>2 Large</v>
      </c>
      <c r="AU68" s="3" t="str">
        <f>IF(Registered!AE68=0,"",IF(Registered!AE68=1,Registered!AE68&amp;" Bandana",Registered!AE68&amp;" Bandanas"))</f>
        <v/>
      </c>
      <c r="AV68" s="3">
        <f t="shared" si="5"/>
        <v>0</v>
      </c>
      <c r="AW68" s="2" t="str">
        <f>IF(Registered!AV68=0,"",IF(Registered!AV68=1,Registered!AV68&amp;" Meal",Registered!AV68&amp;" Meals"))</f>
        <v/>
      </c>
      <c r="AX68" s="2" t="str">
        <f>IF(Registered!AI68=0,"",Registered!AI68&amp;" BG")</f>
        <v/>
      </c>
      <c r="AY68" s="2" t="str">
        <f>IF(Registered!AG68=0,"",Registered!AG68&amp;" DustMask")</f>
        <v/>
      </c>
    </row>
    <row r="69" spans="1:51" customFormat="1" x14ac:dyDescent="0.25">
      <c r="A69" t="s">
        <v>647</v>
      </c>
      <c r="B69" t="s">
        <v>628</v>
      </c>
      <c r="C69" t="s">
        <v>6090</v>
      </c>
      <c r="D69" t="s">
        <v>648</v>
      </c>
      <c r="I69" t="s">
        <v>649</v>
      </c>
      <c r="J69" t="s">
        <v>37</v>
      </c>
      <c r="K69" t="s">
        <v>32</v>
      </c>
      <c r="L69" t="s">
        <v>35</v>
      </c>
      <c r="O69">
        <v>3</v>
      </c>
      <c r="P69">
        <v>3</v>
      </c>
      <c r="AQ69">
        <v>9</v>
      </c>
      <c r="AR69" s="3">
        <f t="shared" si="3"/>
        <v>0</v>
      </c>
      <c r="AS69" s="3">
        <f t="shared" si="4"/>
        <v>0</v>
      </c>
      <c r="AT69" s="3" t="str">
        <f>IF(OR(Registered!AM69&gt;0,Registered!AO69&gt;0),(IF(Registered!E69=0,"Size Not Specified",Registered!E69)),"")</f>
        <v/>
      </c>
      <c r="AU69" s="3" t="str">
        <f>IF(Registered!AE69=0,"",IF(Registered!AE69=1,Registered!AE69&amp;" Bandana",Registered!AE69&amp;" Bandanas"))</f>
        <v/>
      </c>
      <c r="AV69" s="3">
        <f t="shared" si="5"/>
        <v>0</v>
      </c>
      <c r="AW69" s="2" t="str">
        <f>IF(Registered!AV69=0,"",IF(Registered!AV69=1,Registered!AV69&amp;" Meal",Registered!AV69&amp;" Meals"))</f>
        <v/>
      </c>
      <c r="AX69" s="2" t="str">
        <f>IF(Registered!AI69=0,"",Registered!AI69&amp;" BG")</f>
        <v/>
      </c>
      <c r="AY69" s="2" t="str">
        <f>IF(Registered!AG69=0,"",Registered!AG69&amp;" DustMask")</f>
        <v/>
      </c>
    </row>
    <row r="70" spans="1:51" customFormat="1" x14ac:dyDescent="0.25">
      <c r="A70" t="s">
        <v>127</v>
      </c>
      <c r="B70" t="s">
        <v>628</v>
      </c>
      <c r="C70" t="s">
        <v>6090</v>
      </c>
      <c r="G70" t="s">
        <v>3589</v>
      </c>
      <c r="H70" t="s">
        <v>2446</v>
      </c>
      <c r="I70" t="s">
        <v>3590</v>
      </c>
      <c r="J70" t="s">
        <v>37</v>
      </c>
      <c r="K70" t="s">
        <v>32</v>
      </c>
      <c r="L70" t="s">
        <v>35</v>
      </c>
      <c r="AQ70">
        <v>0</v>
      </c>
      <c r="AR70" s="3">
        <f t="shared" si="3"/>
        <v>0</v>
      </c>
      <c r="AS70" s="3">
        <f t="shared" si="4"/>
        <v>0</v>
      </c>
      <c r="AT70" s="3" t="str">
        <f>IF(OR(Registered!AM70&gt;0,Registered!AO70&gt;0),(IF(Registered!E70=0,"Size Not Specified",Registered!E70)),"")</f>
        <v/>
      </c>
      <c r="AU70" s="3" t="str">
        <f>IF(Registered!AE70=0,"",IF(Registered!AE70=1,Registered!AE70&amp;" Bandana",Registered!AE70&amp;" Bandanas"))</f>
        <v/>
      </c>
      <c r="AV70" s="3">
        <f t="shared" si="5"/>
        <v>0</v>
      </c>
      <c r="AW70" s="2" t="str">
        <f>IF(Registered!AV70=0,"",IF(Registered!AV70=1,Registered!AV70&amp;" Meal",Registered!AV70&amp;" Meals"))</f>
        <v/>
      </c>
      <c r="AX70" s="2" t="str">
        <f>IF(Registered!AI70=0,"",Registered!AI70&amp;" BG")</f>
        <v/>
      </c>
      <c r="AY70" s="2" t="str">
        <f>IF(Registered!AG70=0,"",Registered!AG70&amp;" DustMask")</f>
        <v/>
      </c>
    </row>
    <row r="71" spans="1:51" customFormat="1" x14ac:dyDescent="0.25">
      <c r="A71" t="s">
        <v>141</v>
      </c>
      <c r="B71" t="s">
        <v>628</v>
      </c>
      <c r="C71" t="s">
        <v>6090</v>
      </c>
      <c r="D71" t="s">
        <v>3592</v>
      </c>
      <c r="F71" t="s">
        <v>261</v>
      </c>
      <c r="I71" t="s">
        <v>3593</v>
      </c>
      <c r="J71" t="s">
        <v>37</v>
      </c>
      <c r="K71" t="s">
        <v>32</v>
      </c>
      <c r="L71" t="s">
        <v>35</v>
      </c>
      <c r="Q71">
        <v>1</v>
      </c>
      <c r="R71">
        <v>3</v>
      </c>
      <c r="AC71">
        <v>1</v>
      </c>
      <c r="AD71">
        <v>10</v>
      </c>
      <c r="AQ71">
        <v>13</v>
      </c>
      <c r="AR71" s="3">
        <f t="shared" si="3"/>
        <v>5</v>
      </c>
      <c r="AS71" s="3">
        <f t="shared" si="4"/>
        <v>0</v>
      </c>
      <c r="AT71" s="3" t="str">
        <f>IF(OR(Registered!AM71&gt;0,Registered!AO71&gt;0),(IF(Registered!E71=0,"Size Not Specified",Registered!E71)),"")</f>
        <v/>
      </c>
      <c r="AU71" s="3" t="str">
        <f>IF(Registered!AE71=0,"",IF(Registered!AE71=1,Registered!AE71&amp;" Bandana",Registered!AE71&amp;" Bandanas"))</f>
        <v/>
      </c>
      <c r="AV71" s="3">
        <f t="shared" si="5"/>
        <v>0</v>
      </c>
      <c r="AW71" s="2" t="str">
        <f>IF(Registered!AV71=0,"",IF(Registered!AV71=1,Registered!AV71&amp;" Meal",Registered!AV71&amp;" Meals"))</f>
        <v/>
      </c>
      <c r="AX71" s="2" t="str">
        <f>IF(Registered!AI71=0,"",Registered!AI71&amp;" BG")</f>
        <v/>
      </c>
      <c r="AY71" s="2" t="str">
        <f>IF(Registered!AG71=0,"",Registered!AG71&amp;" DustMask")</f>
        <v/>
      </c>
    </row>
    <row r="72" spans="1:51" customFormat="1" x14ac:dyDescent="0.25">
      <c r="A72" t="s">
        <v>94</v>
      </c>
      <c r="B72" t="s">
        <v>628</v>
      </c>
      <c r="C72" t="s">
        <v>6090</v>
      </c>
      <c r="G72" t="s">
        <v>2687</v>
      </c>
      <c r="H72" t="s">
        <v>2688</v>
      </c>
      <c r="I72" t="s">
        <v>2689</v>
      </c>
      <c r="J72" t="s">
        <v>37</v>
      </c>
      <c r="K72" t="s">
        <v>32</v>
      </c>
      <c r="L72" t="s">
        <v>35</v>
      </c>
      <c r="AQ72">
        <v>0</v>
      </c>
      <c r="AR72" s="3">
        <f t="shared" si="3"/>
        <v>0</v>
      </c>
      <c r="AS72" s="3">
        <f t="shared" si="4"/>
        <v>0</v>
      </c>
      <c r="AT72" s="3" t="str">
        <f>IF(OR(Registered!AM72&gt;0,Registered!AO72&gt;0),(IF(Registered!E72=0,"Size Not Specified",Registered!E72)),"")</f>
        <v/>
      </c>
      <c r="AU72" s="3" t="str">
        <f>IF(Registered!AE72=0,"",IF(Registered!AE72=1,Registered!AE72&amp;" Bandana",Registered!AE72&amp;" Bandanas"))</f>
        <v/>
      </c>
      <c r="AV72" s="3">
        <f t="shared" si="5"/>
        <v>0</v>
      </c>
      <c r="AW72" s="2" t="str">
        <f>IF(Registered!AV72=0,"",IF(Registered!AV72=1,Registered!AV72&amp;" Meal",Registered!AV72&amp;" Meals"))</f>
        <v/>
      </c>
      <c r="AX72" s="2" t="str">
        <f>IF(Registered!AI72=0,"",Registered!AI72&amp;" BG")</f>
        <v/>
      </c>
      <c r="AY72" s="2" t="str">
        <f>IF(Registered!AG72=0,"",Registered!AG72&amp;" DustMask")</f>
        <v/>
      </c>
    </row>
    <row r="73" spans="1:51" customFormat="1" x14ac:dyDescent="0.25">
      <c r="A73" t="s">
        <v>75</v>
      </c>
      <c r="B73" t="s">
        <v>628</v>
      </c>
      <c r="C73" t="s">
        <v>6090</v>
      </c>
      <c r="G73" t="s">
        <v>166</v>
      </c>
      <c r="H73" t="s">
        <v>628</v>
      </c>
      <c r="I73" t="s">
        <v>635</v>
      </c>
      <c r="J73" t="s">
        <v>37</v>
      </c>
      <c r="K73" t="s">
        <v>32</v>
      </c>
      <c r="L73" t="s">
        <v>35</v>
      </c>
      <c r="AQ73">
        <v>0</v>
      </c>
      <c r="AR73" s="3">
        <f t="shared" si="3"/>
        <v>0</v>
      </c>
      <c r="AS73" s="3">
        <f t="shared" si="4"/>
        <v>0</v>
      </c>
      <c r="AT73" s="3" t="str">
        <f>IF(OR(Registered!AM73&gt;0,Registered!AO73&gt;0),(IF(Registered!E73=0,"Size Not Specified",Registered!E73)),"")</f>
        <v/>
      </c>
      <c r="AU73" s="3" t="str">
        <f>IF(Registered!AE73=0,"",IF(Registered!AE73=1,Registered!AE73&amp;" Bandana",Registered!AE73&amp;" Bandanas"))</f>
        <v/>
      </c>
      <c r="AV73" s="3">
        <f t="shared" si="5"/>
        <v>0</v>
      </c>
      <c r="AW73" s="2" t="str">
        <f>IF(Registered!AV73=0,"",IF(Registered!AV73=1,Registered!AV73&amp;" Meal",Registered!AV73&amp;" Meals"))</f>
        <v/>
      </c>
      <c r="AX73" s="2" t="str">
        <f>IF(Registered!AI73=0,"",Registered!AI73&amp;" BG")</f>
        <v/>
      </c>
      <c r="AY73" s="2" t="str">
        <f>IF(Registered!AG73=0,"",Registered!AG73&amp;" DustMask")</f>
        <v/>
      </c>
    </row>
    <row r="74" spans="1:51" customFormat="1" x14ac:dyDescent="0.25">
      <c r="A74" t="s">
        <v>121</v>
      </c>
      <c r="B74" t="s">
        <v>628</v>
      </c>
      <c r="C74" t="s">
        <v>6090</v>
      </c>
      <c r="G74" t="s">
        <v>100</v>
      </c>
      <c r="H74" t="s">
        <v>628</v>
      </c>
      <c r="I74" t="s">
        <v>2690</v>
      </c>
      <c r="J74" t="s">
        <v>37</v>
      </c>
      <c r="K74" t="s">
        <v>32</v>
      </c>
      <c r="L74" t="s">
        <v>35</v>
      </c>
      <c r="AQ74">
        <v>0</v>
      </c>
      <c r="AR74" s="3">
        <f t="shared" si="3"/>
        <v>0</v>
      </c>
      <c r="AS74" s="3">
        <f t="shared" si="4"/>
        <v>0</v>
      </c>
      <c r="AT74" s="3" t="str">
        <f>IF(OR(Registered!AM74&gt;0,Registered!AO74&gt;0),(IF(Registered!E74=0,"Size Not Specified",Registered!E74)),"")</f>
        <v/>
      </c>
      <c r="AU74" s="3" t="str">
        <f>IF(Registered!AE74=0,"",IF(Registered!AE74=1,Registered!AE74&amp;" Bandana",Registered!AE74&amp;" Bandanas"))</f>
        <v/>
      </c>
      <c r="AV74" s="3">
        <f t="shared" si="5"/>
        <v>0</v>
      </c>
      <c r="AW74" s="2" t="str">
        <f>IF(Registered!AV74=0,"",IF(Registered!AV74=1,Registered!AV74&amp;" Meal",Registered!AV74&amp;" Meals"))</f>
        <v/>
      </c>
      <c r="AX74" s="2" t="str">
        <f>IF(Registered!AI74=0,"",Registered!AI74&amp;" BG")</f>
        <v/>
      </c>
      <c r="AY74" s="2" t="str">
        <f>IF(Registered!AG74=0,"",Registered!AG74&amp;" DustMask")</f>
        <v/>
      </c>
    </row>
    <row r="75" spans="1:51" customFormat="1" x14ac:dyDescent="0.25">
      <c r="A75" t="s">
        <v>142</v>
      </c>
      <c r="B75" t="s">
        <v>628</v>
      </c>
      <c r="C75" t="s">
        <v>6090</v>
      </c>
      <c r="G75" t="s">
        <v>3594</v>
      </c>
      <c r="H75" t="s">
        <v>3595</v>
      </c>
      <c r="I75" t="s">
        <v>3596</v>
      </c>
      <c r="J75" t="s">
        <v>37</v>
      </c>
      <c r="K75" t="s">
        <v>32</v>
      </c>
      <c r="L75" t="s">
        <v>35</v>
      </c>
      <c r="AQ75">
        <v>0</v>
      </c>
      <c r="AR75" s="3">
        <f t="shared" si="3"/>
        <v>0</v>
      </c>
      <c r="AS75" s="3">
        <f t="shared" si="4"/>
        <v>0</v>
      </c>
      <c r="AT75" s="3" t="str">
        <f>IF(OR(Registered!AM75&gt;0,Registered!AO75&gt;0),(IF(Registered!E75=0,"Size Not Specified",Registered!E75)),"")</f>
        <v/>
      </c>
      <c r="AU75" s="3" t="str">
        <f>IF(Registered!AE75=0,"",IF(Registered!AE75=1,Registered!AE75&amp;" Bandana",Registered!AE75&amp;" Bandanas"))</f>
        <v/>
      </c>
      <c r="AV75" s="3">
        <f t="shared" si="5"/>
        <v>0</v>
      </c>
      <c r="AW75" s="2" t="str">
        <f>IF(Registered!AV75=0,"",IF(Registered!AV75=1,Registered!AV75&amp;" Meal",Registered!AV75&amp;" Meals"))</f>
        <v/>
      </c>
      <c r="AX75" s="2" t="str">
        <f>IF(Registered!AI75=0,"",Registered!AI75&amp;" BG")</f>
        <v/>
      </c>
      <c r="AY75" s="2" t="str">
        <f>IF(Registered!AG75=0,"",Registered!AG75&amp;" DustMask")</f>
        <v/>
      </c>
    </row>
    <row r="76" spans="1:51" customFormat="1" x14ac:dyDescent="0.25">
      <c r="A76" t="s">
        <v>100</v>
      </c>
      <c r="B76" t="s">
        <v>628</v>
      </c>
      <c r="C76" t="s">
        <v>6090</v>
      </c>
      <c r="D76" t="s">
        <v>2691</v>
      </c>
      <c r="E76" t="s">
        <v>2692</v>
      </c>
      <c r="F76" t="s">
        <v>261</v>
      </c>
      <c r="I76" t="s">
        <v>2690</v>
      </c>
      <c r="J76" t="s">
        <v>37</v>
      </c>
      <c r="K76" t="s">
        <v>32</v>
      </c>
      <c r="L76" t="s">
        <v>35</v>
      </c>
      <c r="Q76">
        <v>2</v>
      </c>
      <c r="R76">
        <v>3</v>
      </c>
      <c r="AC76">
        <v>1</v>
      </c>
      <c r="AD76">
        <v>10</v>
      </c>
      <c r="AO76">
        <v>2</v>
      </c>
      <c r="AP76">
        <v>10</v>
      </c>
      <c r="AQ76">
        <v>36</v>
      </c>
      <c r="AR76" s="3">
        <f t="shared" si="3"/>
        <v>5</v>
      </c>
      <c r="AS76" s="3">
        <f t="shared" si="4"/>
        <v>2</v>
      </c>
      <c r="AT76" s="3" t="str">
        <f>IF(OR(Registered!AM76&gt;0,Registered!AO76&gt;0),(IF(Registered!E76=0,"Size Not Specified",Registered!E76)),"")</f>
        <v>1 Ladies Small 1 Mens Medium</v>
      </c>
      <c r="AU76" s="3" t="str">
        <f>IF(Registered!AE76=0,"",IF(Registered!AE76=1,Registered!AE76&amp;" Bandana",Registered!AE76&amp;" Bandanas"))</f>
        <v/>
      </c>
      <c r="AV76" s="3">
        <f t="shared" si="5"/>
        <v>0</v>
      </c>
      <c r="AW76" s="2" t="str">
        <f>IF(Registered!AV76=0,"",IF(Registered!AV76=1,Registered!AV76&amp;" Meal",Registered!AV76&amp;" Meals"))</f>
        <v/>
      </c>
      <c r="AX76" s="2" t="str">
        <f>IF(Registered!AI76=0,"",Registered!AI76&amp;" BG")</f>
        <v/>
      </c>
      <c r="AY76" s="2" t="str">
        <f>IF(Registered!AG76=0,"",Registered!AG76&amp;" DustMask")</f>
        <v/>
      </c>
    </row>
    <row r="77" spans="1:51" customFormat="1" x14ac:dyDescent="0.25">
      <c r="A77" t="s">
        <v>624</v>
      </c>
      <c r="B77" t="s">
        <v>628</v>
      </c>
      <c r="C77" t="s">
        <v>6090</v>
      </c>
      <c r="G77" t="s">
        <v>3582</v>
      </c>
      <c r="H77" t="s">
        <v>628</v>
      </c>
      <c r="I77" t="s">
        <v>3584</v>
      </c>
      <c r="J77" t="s">
        <v>37</v>
      </c>
      <c r="K77" t="s">
        <v>32</v>
      </c>
      <c r="L77" t="s">
        <v>35</v>
      </c>
      <c r="AQ77">
        <v>0</v>
      </c>
      <c r="AR77" s="3">
        <f t="shared" si="3"/>
        <v>0</v>
      </c>
      <c r="AS77" s="3">
        <f t="shared" si="4"/>
        <v>0</v>
      </c>
      <c r="AT77" s="3" t="str">
        <f>IF(OR(Registered!AM77&gt;0,Registered!AO77&gt;0),(IF(Registered!E77=0,"Size Not Specified",Registered!E77)),"")</f>
        <v/>
      </c>
      <c r="AU77" s="3" t="str">
        <f>IF(Registered!AE77=0,"",IF(Registered!AE77=1,Registered!AE77&amp;" Bandana",Registered!AE77&amp;" Bandanas"))</f>
        <v/>
      </c>
      <c r="AV77" s="3">
        <f t="shared" si="5"/>
        <v>0</v>
      </c>
      <c r="AW77" s="2" t="str">
        <f>IF(Registered!AV77=0,"",IF(Registered!AV77=1,Registered!AV77&amp;" Meal",Registered!AV77&amp;" Meals"))</f>
        <v/>
      </c>
      <c r="AX77" s="2" t="str">
        <f>IF(Registered!AI77=0,"",Registered!AI77&amp;" BG")</f>
        <v/>
      </c>
      <c r="AY77" s="2" t="str">
        <f>IF(Registered!AG77=0,"",Registered!AG77&amp;" DustMask")</f>
        <v/>
      </c>
    </row>
    <row r="78" spans="1:51" customFormat="1" x14ac:dyDescent="0.25">
      <c r="A78" t="s">
        <v>3599</v>
      </c>
      <c r="B78" t="s">
        <v>628</v>
      </c>
      <c r="C78" t="s">
        <v>6090</v>
      </c>
      <c r="D78" t="s">
        <v>3599</v>
      </c>
      <c r="F78" t="s">
        <v>261</v>
      </c>
      <c r="I78" t="s">
        <v>3600</v>
      </c>
      <c r="J78" t="s">
        <v>37</v>
      </c>
      <c r="K78" t="s">
        <v>32</v>
      </c>
      <c r="L78" t="s">
        <v>35</v>
      </c>
      <c r="Q78">
        <v>6</v>
      </c>
      <c r="R78">
        <v>3</v>
      </c>
      <c r="AC78">
        <v>1</v>
      </c>
      <c r="AD78">
        <v>10</v>
      </c>
      <c r="AQ78">
        <v>28</v>
      </c>
      <c r="AR78" s="3">
        <f t="shared" si="3"/>
        <v>5</v>
      </c>
      <c r="AS78" s="3">
        <f t="shared" si="4"/>
        <v>0</v>
      </c>
      <c r="AT78" s="3" t="str">
        <f>IF(OR(Registered!AM78&gt;0,Registered!AO78&gt;0),(IF(Registered!E78=0,"Size Not Specified",Registered!E78)),"")</f>
        <v/>
      </c>
      <c r="AU78" s="3" t="str">
        <f>IF(Registered!AE78=0,"",IF(Registered!AE78=1,Registered!AE78&amp;" Bandana",Registered!AE78&amp;" Bandanas"))</f>
        <v/>
      </c>
      <c r="AV78" s="3">
        <f t="shared" si="5"/>
        <v>0</v>
      </c>
      <c r="AW78" s="2" t="str">
        <f>IF(Registered!AV78=0,"",IF(Registered!AV78=1,Registered!AV78&amp;" Meal",Registered!AV78&amp;" Meals"))</f>
        <v/>
      </c>
      <c r="AX78" s="2" t="str">
        <f>IF(Registered!AI78=0,"",Registered!AI78&amp;" BG")</f>
        <v/>
      </c>
      <c r="AY78" s="2" t="str">
        <f>IF(Registered!AG78=0,"",Registered!AG78&amp;" DustMask")</f>
        <v/>
      </c>
    </row>
    <row r="79" spans="1:51" customFormat="1" x14ac:dyDescent="0.25">
      <c r="A79" t="s">
        <v>418</v>
      </c>
      <c r="B79" t="s">
        <v>628</v>
      </c>
      <c r="C79" t="s">
        <v>6090</v>
      </c>
      <c r="G79" t="s">
        <v>166</v>
      </c>
      <c r="H79" t="s">
        <v>159</v>
      </c>
      <c r="I79" t="s">
        <v>636</v>
      </c>
      <c r="J79" t="s">
        <v>37</v>
      </c>
      <c r="K79" t="s">
        <v>32</v>
      </c>
      <c r="L79" t="s">
        <v>35</v>
      </c>
      <c r="AQ79">
        <v>0</v>
      </c>
      <c r="AR79" s="3">
        <f t="shared" si="3"/>
        <v>0</v>
      </c>
      <c r="AS79" s="3">
        <f t="shared" si="4"/>
        <v>0</v>
      </c>
      <c r="AT79" s="3" t="str">
        <f>IF(OR(Registered!AM79&gt;0,Registered!AO79&gt;0),(IF(Registered!E79=0,"Size Not Specified",Registered!E79)),"")</f>
        <v/>
      </c>
      <c r="AU79" s="3" t="str">
        <f>IF(Registered!AE79=0,"",IF(Registered!AE79=1,Registered!AE79&amp;" Bandana",Registered!AE79&amp;" Bandanas"))</f>
        <v/>
      </c>
      <c r="AV79" s="3">
        <f t="shared" si="5"/>
        <v>0</v>
      </c>
      <c r="AW79" s="2" t="str">
        <f>IF(Registered!AV79=0,"",IF(Registered!AV79=1,Registered!AV79&amp;" Meal",Registered!AV79&amp;" Meals"))</f>
        <v/>
      </c>
      <c r="AX79" s="2" t="str">
        <f>IF(Registered!AI79=0,"",Registered!AI79&amp;" BG")</f>
        <v/>
      </c>
      <c r="AY79" s="2" t="str">
        <f>IF(Registered!AG79=0,"",Registered!AG79&amp;" DustMask")</f>
        <v/>
      </c>
    </row>
    <row r="80" spans="1:51" customFormat="1" x14ac:dyDescent="0.25">
      <c r="A80" t="s">
        <v>652</v>
      </c>
      <c r="B80" t="s">
        <v>628</v>
      </c>
      <c r="C80" t="s">
        <v>6090</v>
      </c>
      <c r="D80" t="s">
        <v>57</v>
      </c>
      <c r="F80" t="s">
        <v>261</v>
      </c>
      <c r="I80" t="s">
        <v>653</v>
      </c>
      <c r="J80" t="s">
        <v>37</v>
      </c>
      <c r="K80" t="s">
        <v>32</v>
      </c>
      <c r="L80" t="s">
        <v>35</v>
      </c>
      <c r="S80">
        <v>2</v>
      </c>
      <c r="T80">
        <v>3</v>
      </c>
      <c r="AC80">
        <v>2</v>
      </c>
      <c r="AD80">
        <v>10</v>
      </c>
      <c r="AE80">
        <v>1</v>
      </c>
      <c r="AF80">
        <v>6</v>
      </c>
      <c r="AK80">
        <v>2</v>
      </c>
      <c r="AL80">
        <v>6</v>
      </c>
      <c r="AQ80">
        <v>44</v>
      </c>
      <c r="AR80" s="3">
        <f t="shared" si="3"/>
        <v>10</v>
      </c>
      <c r="AS80" s="3">
        <f t="shared" si="4"/>
        <v>0</v>
      </c>
      <c r="AT80" s="3" t="str">
        <f>IF(OR(Registered!AM80&gt;0,Registered!AO80&gt;0),(IF(Registered!E80=0,"Size Not Specified",Registered!E80)),"")</f>
        <v/>
      </c>
      <c r="AU80" s="3" t="str">
        <f>IF(Registered!AE80=0,"",IF(Registered!AE80=1,Registered!AE80&amp;" Bandana",Registered!AE80&amp;" Bandanas"))</f>
        <v>1 Bandana</v>
      </c>
      <c r="AV80" s="3">
        <f t="shared" si="5"/>
        <v>2</v>
      </c>
      <c r="AW80" s="2" t="str">
        <f>IF(Registered!AV80=0,"",IF(Registered!AV80=1,Registered!AV80&amp;" Meal",Registered!AV80&amp;" Meals"))</f>
        <v>2 Meals</v>
      </c>
      <c r="AX80" s="2" t="str">
        <f>IF(Registered!AI80=0,"",Registered!AI80&amp;" BG")</f>
        <v/>
      </c>
      <c r="AY80" s="2" t="str">
        <f>IF(Registered!AG80=0,"",Registered!AG80&amp;" DustMask")</f>
        <v/>
      </c>
    </row>
    <row r="81" spans="1:51" customFormat="1" x14ac:dyDescent="0.25">
      <c r="A81" t="s">
        <v>3601</v>
      </c>
      <c r="B81" t="s">
        <v>3602</v>
      </c>
      <c r="C81" t="s">
        <v>6090</v>
      </c>
      <c r="D81" t="s">
        <v>3603</v>
      </c>
      <c r="F81" t="s">
        <v>261</v>
      </c>
      <c r="I81" t="s">
        <v>3604</v>
      </c>
      <c r="J81" t="s">
        <v>37</v>
      </c>
      <c r="K81" t="s">
        <v>32</v>
      </c>
      <c r="L81" t="s">
        <v>35</v>
      </c>
      <c r="Q81">
        <v>2</v>
      </c>
      <c r="R81">
        <v>3</v>
      </c>
      <c r="AC81">
        <v>1</v>
      </c>
      <c r="AD81">
        <v>10</v>
      </c>
      <c r="AQ81">
        <v>16</v>
      </c>
      <c r="AR81" s="3">
        <f t="shared" si="3"/>
        <v>5</v>
      </c>
      <c r="AS81" s="3">
        <f t="shared" si="4"/>
        <v>0</v>
      </c>
      <c r="AT81" s="3" t="str">
        <f>IF(OR(Registered!AM81&gt;0,Registered!AO81&gt;0),(IF(Registered!E81=0,"Size Not Specified",Registered!E81)),"")</f>
        <v/>
      </c>
      <c r="AU81" s="3" t="str">
        <f>IF(Registered!AE81=0,"",IF(Registered!AE81=1,Registered!AE81&amp;" Bandana",Registered!AE81&amp;" Bandanas"))</f>
        <v/>
      </c>
      <c r="AV81" s="3">
        <f t="shared" si="5"/>
        <v>0</v>
      </c>
      <c r="AW81" s="2" t="str">
        <f>IF(Registered!AV81=0,"",IF(Registered!AV81=1,Registered!AV81&amp;" Meal",Registered!AV81&amp;" Meals"))</f>
        <v/>
      </c>
      <c r="AX81" s="2" t="str">
        <f>IF(Registered!AI81=0,"",Registered!AI81&amp;" BG")</f>
        <v/>
      </c>
      <c r="AY81" s="2" t="str">
        <f>IF(Registered!AG81=0,"",Registered!AG81&amp;" DustMask")</f>
        <v/>
      </c>
    </row>
    <row r="82" spans="1:51" customFormat="1" x14ac:dyDescent="0.25">
      <c r="A82" t="s">
        <v>477</v>
      </c>
      <c r="B82" t="s">
        <v>3602</v>
      </c>
      <c r="C82" t="s">
        <v>6090</v>
      </c>
      <c r="G82" t="s">
        <v>3601</v>
      </c>
      <c r="H82" t="s">
        <v>3602</v>
      </c>
      <c r="I82" t="s">
        <v>3604</v>
      </c>
      <c r="J82" t="s">
        <v>37</v>
      </c>
      <c r="K82" t="s">
        <v>32</v>
      </c>
      <c r="L82" t="s">
        <v>35</v>
      </c>
      <c r="AQ82">
        <v>0</v>
      </c>
      <c r="AR82" s="3">
        <f t="shared" si="3"/>
        <v>0</v>
      </c>
      <c r="AS82" s="3">
        <f t="shared" si="4"/>
        <v>0</v>
      </c>
      <c r="AT82" s="3" t="str">
        <f>IF(OR(Registered!AM82&gt;0,Registered!AO82&gt;0),(IF(Registered!E82=0,"Size Not Specified",Registered!E82)),"")</f>
        <v/>
      </c>
      <c r="AU82" s="3" t="str">
        <f>IF(Registered!AE82=0,"",IF(Registered!AE82=1,Registered!AE82&amp;" Bandana",Registered!AE82&amp;" Bandanas"))</f>
        <v/>
      </c>
      <c r="AV82" s="3">
        <f t="shared" si="5"/>
        <v>0</v>
      </c>
      <c r="AW82" s="2" t="str">
        <f>IF(Registered!AV82=0,"",IF(Registered!AV82=1,Registered!AV82&amp;" Meal",Registered!AV82&amp;" Meals"))</f>
        <v/>
      </c>
      <c r="AX82" s="2" t="str">
        <f>IF(Registered!AI82=0,"",Registered!AI82&amp;" BG")</f>
        <v/>
      </c>
      <c r="AY82" s="2" t="str">
        <f>IF(Registered!AG82=0,"",Registered!AG82&amp;" DustMask")</f>
        <v/>
      </c>
    </row>
    <row r="83" spans="1:51" customFormat="1" x14ac:dyDescent="0.25">
      <c r="A83" t="s">
        <v>197</v>
      </c>
      <c r="B83" t="s">
        <v>3605</v>
      </c>
      <c r="C83" t="s">
        <v>6090</v>
      </c>
      <c r="G83" t="s">
        <v>3545</v>
      </c>
      <c r="H83" t="s">
        <v>3546</v>
      </c>
      <c r="I83" t="s">
        <v>3547</v>
      </c>
      <c r="J83" t="s">
        <v>37</v>
      </c>
      <c r="K83" t="s">
        <v>32</v>
      </c>
      <c r="L83" t="s">
        <v>35</v>
      </c>
      <c r="AQ83">
        <v>0</v>
      </c>
      <c r="AR83" s="3">
        <f t="shared" si="3"/>
        <v>0</v>
      </c>
      <c r="AS83" s="3">
        <f t="shared" si="4"/>
        <v>0</v>
      </c>
      <c r="AT83" s="3" t="str">
        <f>IF(OR(Registered!AM83&gt;0,Registered!AO83&gt;0),(IF(Registered!E83=0,"Size Not Specified",Registered!E83)),"")</f>
        <v/>
      </c>
      <c r="AU83" s="3" t="str">
        <f>IF(Registered!AE83=0,"",IF(Registered!AE83=1,Registered!AE83&amp;" Bandana",Registered!AE83&amp;" Bandanas"))</f>
        <v/>
      </c>
      <c r="AV83" s="3">
        <f t="shared" si="5"/>
        <v>0</v>
      </c>
      <c r="AW83" s="2" t="str">
        <f>IF(Registered!AV83=0,"",IF(Registered!AV83=1,Registered!AV83&amp;" Meal",Registered!AV83&amp;" Meals"))</f>
        <v/>
      </c>
      <c r="AX83" s="2" t="str">
        <f>IF(Registered!AI83=0,"",Registered!AI83&amp;" BG")</f>
        <v/>
      </c>
      <c r="AY83" s="2" t="str">
        <f>IF(Registered!AG83=0,"",Registered!AG83&amp;" DustMask")</f>
        <v/>
      </c>
    </row>
    <row r="84" spans="1:51" customFormat="1" x14ac:dyDescent="0.25">
      <c r="A84" t="s">
        <v>166</v>
      </c>
      <c r="B84" t="s">
        <v>3606</v>
      </c>
      <c r="C84" t="s">
        <v>6090</v>
      </c>
      <c r="G84" t="s">
        <v>166</v>
      </c>
      <c r="H84" t="s">
        <v>3606</v>
      </c>
      <c r="I84" t="s">
        <v>3607</v>
      </c>
      <c r="J84" t="s">
        <v>37</v>
      </c>
      <c r="K84" t="s">
        <v>32</v>
      </c>
      <c r="L84" t="s">
        <v>35</v>
      </c>
      <c r="AQ84">
        <v>0</v>
      </c>
      <c r="AR84" s="3">
        <f t="shared" si="3"/>
        <v>0</v>
      </c>
      <c r="AS84" s="3">
        <f t="shared" si="4"/>
        <v>0</v>
      </c>
      <c r="AT84" s="3" t="str">
        <f>IF(OR(Registered!AM84&gt;0,Registered!AO84&gt;0),(IF(Registered!E84=0,"Size Not Specified",Registered!E84)),"")</f>
        <v/>
      </c>
      <c r="AU84" s="3" t="str">
        <f>IF(Registered!AE84=0,"",IF(Registered!AE84=1,Registered!AE84&amp;" Bandana",Registered!AE84&amp;" Bandanas"))</f>
        <v/>
      </c>
      <c r="AV84" s="3">
        <f t="shared" si="5"/>
        <v>0</v>
      </c>
      <c r="AW84" s="2" t="str">
        <f>IF(Registered!AV84=0,"",IF(Registered!AV84=1,Registered!AV84&amp;" Meal",Registered!AV84&amp;" Meals"))</f>
        <v/>
      </c>
      <c r="AX84" s="2" t="str">
        <f>IF(Registered!AI84=0,"",Registered!AI84&amp;" BG")</f>
        <v/>
      </c>
      <c r="AY84" s="2" t="str">
        <f>IF(Registered!AG84=0,"",Registered!AG84&amp;" DustMask")</f>
        <v/>
      </c>
    </row>
    <row r="85" spans="1:51" customFormat="1" x14ac:dyDescent="0.25">
      <c r="A85" t="s">
        <v>166</v>
      </c>
      <c r="B85" t="s">
        <v>3606</v>
      </c>
      <c r="C85" t="s">
        <v>6090</v>
      </c>
      <c r="G85" t="s">
        <v>166</v>
      </c>
      <c r="H85" t="s">
        <v>3606</v>
      </c>
      <c r="I85" t="s">
        <v>3607</v>
      </c>
      <c r="J85" t="s">
        <v>37</v>
      </c>
      <c r="K85" t="s">
        <v>32</v>
      </c>
      <c r="L85" t="s">
        <v>35</v>
      </c>
      <c r="AQ85">
        <v>0</v>
      </c>
      <c r="AR85" s="3">
        <f t="shared" si="3"/>
        <v>0</v>
      </c>
      <c r="AS85" s="3">
        <f t="shared" si="4"/>
        <v>0</v>
      </c>
      <c r="AT85" s="3" t="str">
        <f>IF(OR(Registered!AM85&gt;0,Registered!AO85&gt;0),(IF(Registered!E85=0,"Size Not Specified",Registered!E85)),"")</f>
        <v/>
      </c>
      <c r="AU85" s="3" t="str">
        <f>IF(Registered!AE85=0,"",IF(Registered!AE85=1,Registered!AE85&amp;" Bandana",Registered!AE85&amp;" Bandanas"))</f>
        <v/>
      </c>
      <c r="AV85" s="3">
        <f t="shared" si="5"/>
        <v>0</v>
      </c>
      <c r="AW85" s="2" t="str">
        <f>IF(Registered!AV85=0,"",IF(Registered!AV85=1,Registered!AV85&amp;" Meal",Registered!AV85&amp;" Meals"))</f>
        <v/>
      </c>
      <c r="AX85" s="2" t="str">
        <f>IF(Registered!AI85=0,"",Registered!AI85&amp;" BG")</f>
        <v/>
      </c>
      <c r="AY85" s="2" t="str">
        <f>IF(Registered!AG85=0,"",Registered!AG85&amp;" DustMask")</f>
        <v/>
      </c>
    </row>
    <row r="86" spans="1:51" customFormat="1" x14ac:dyDescent="0.25">
      <c r="A86" t="s">
        <v>166</v>
      </c>
      <c r="B86" t="s">
        <v>3606</v>
      </c>
      <c r="C86" t="s">
        <v>6090</v>
      </c>
      <c r="D86" t="s">
        <v>3608</v>
      </c>
      <c r="F86" t="s">
        <v>261</v>
      </c>
      <c r="I86" t="s">
        <v>3607</v>
      </c>
      <c r="J86" t="s">
        <v>37</v>
      </c>
      <c r="K86" t="s">
        <v>32</v>
      </c>
      <c r="L86" t="s">
        <v>35</v>
      </c>
      <c r="Q86">
        <v>3</v>
      </c>
      <c r="R86">
        <v>3</v>
      </c>
      <c r="U86">
        <v>1</v>
      </c>
      <c r="V86">
        <v>20</v>
      </c>
      <c r="AQ86">
        <v>29</v>
      </c>
      <c r="AR86" s="3">
        <f t="shared" si="3"/>
        <v>10</v>
      </c>
      <c r="AS86" s="3">
        <f t="shared" si="4"/>
        <v>0</v>
      </c>
      <c r="AT86" s="3" t="str">
        <f>IF(OR(Registered!AM86&gt;0,Registered!AO86&gt;0),(IF(Registered!E86=0,"Size Not Specified",Registered!E86)),"")</f>
        <v/>
      </c>
      <c r="AU86" s="3" t="str">
        <f>IF(Registered!AE86=0,"",IF(Registered!AE86=1,Registered!AE86&amp;" Bandana",Registered!AE86&amp;" Bandanas"))</f>
        <v/>
      </c>
      <c r="AV86" s="3">
        <f t="shared" si="5"/>
        <v>0</v>
      </c>
      <c r="AW86" s="2" t="str">
        <f>IF(Registered!AV86=0,"",IF(Registered!AV86=1,Registered!AV86&amp;" Meal",Registered!AV86&amp;" Meals"))</f>
        <v/>
      </c>
      <c r="AX86" s="2" t="str">
        <f>IF(Registered!AI86=0,"",Registered!AI86&amp;" BG")</f>
        <v/>
      </c>
      <c r="AY86" s="2" t="str">
        <f>IF(Registered!AG86=0,"",Registered!AG86&amp;" DustMask")</f>
        <v/>
      </c>
    </row>
    <row r="87" spans="1:51" customFormat="1" x14ac:dyDescent="0.25">
      <c r="A87" t="s">
        <v>2693</v>
      </c>
      <c r="B87" t="s">
        <v>2694</v>
      </c>
      <c r="C87" t="s">
        <v>6090</v>
      </c>
      <c r="D87" t="s">
        <v>2695</v>
      </c>
      <c r="E87" t="s">
        <v>450</v>
      </c>
      <c r="F87" t="s">
        <v>261</v>
      </c>
      <c r="I87" t="s">
        <v>2696</v>
      </c>
      <c r="J87" t="s">
        <v>37</v>
      </c>
      <c r="K87" t="s">
        <v>32</v>
      </c>
      <c r="L87" t="s">
        <v>35</v>
      </c>
      <c r="Q87">
        <v>1</v>
      </c>
      <c r="R87">
        <v>3</v>
      </c>
      <c r="AC87">
        <v>1</v>
      </c>
      <c r="AD87">
        <v>10</v>
      </c>
      <c r="AM87">
        <v>1</v>
      </c>
      <c r="AN87">
        <v>25</v>
      </c>
      <c r="AQ87">
        <v>38</v>
      </c>
      <c r="AR87" s="3">
        <f t="shared" si="3"/>
        <v>10</v>
      </c>
      <c r="AS87" s="3">
        <f t="shared" si="4"/>
        <v>1</v>
      </c>
      <c r="AT87" s="3" t="str">
        <f>IF(OR(Registered!AM87&gt;0,Registered!AO87&gt;0),(IF(Registered!E87=0,"Size Not Specified",Registered!E87)),"")</f>
        <v>XXL</v>
      </c>
      <c r="AU87" s="3" t="str">
        <f>IF(Registered!AE87=0,"",IF(Registered!AE87=1,Registered!AE87&amp;" Bandana",Registered!AE87&amp;" Bandanas"))</f>
        <v/>
      </c>
      <c r="AV87" s="3">
        <f t="shared" si="5"/>
        <v>1</v>
      </c>
      <c r="AW87" s="2" t="str">
        <f>IF(Registered!AV87=0,"",IF(Registered!AV87=1,Registered!AV87&amp;" Meal",Registered!AV87&amp;" Meals"))</f>
        <v>1 Meal</v>
      </c>
      <c r="AX87" s="2" t="str">
        <f>IF(Registered!AI87=0,"",Registered!AI87&amp;" BG")</f>
        <v/>
      </c>
      <c r="AY87" s="2" t="str">
        <f>IF(Registered!AG87=0,"",Registered!AG87&amp;" DustMask")</f>
        <v/>
      </c>
    </row>
    <row r="88" spans="1:51" customFormat="1" x14ac:dyDescent="0.25">
      <c r="A88" t="s">
        <v>1648</v>
      </c>
      <c r="B88" t="s">
        <v>2697</v>
      </c>
      <c r="C88" t="s">
        <v>6090</v>
      </c>
      <c r="G88" t="s">
        <v>203</v>
      </c>
      <c r="H88" t="s">
        <v>2698</v>
      </c>
      <c r="I88" t="s">
        <v>2699</v>
      </c>
      <c r="J88" t="s">
        <v>37</v>
      </c>
      <c r="K88" t="s">
        <v>32</v>
      </c>
      <c r="L88" t="s">
        <v>35</v>
      </c>
      <c r="AQ88">
        <v>0</v>
      </c>
      <c r="AR88" s="3">
        <f t="shared" si="3"/>
        <v>0</v>
      </c>
      <c r="AS88" s="3">
        <f t="shared" si="4"/>
        <v>0</v>
      </c>
      <c r="AT88" s="3" t="str">
        <f>IF(OR(Registered!AM88&gt;0,Registered!AO88&gt;0),(IF(Registered!E88=0,"Size Not Specified",Registered!E88)),"")</f>
        <v/>
      </c>
      <c r="AU88" s="3" t="str">
        <f>IF(Registered!AE88=0,"",IF(Registered!AE88=1,Registered!AE88&amp;" Bandana",Registered!AE88&amp;" Bandanas"))</f>
        <v/>
      </c>
      <c r="AV88" s="3">
        <f t="shared" si="5"/>
        <v>0</v>
      </c>
      <c r="AW88" s="2" t="str">
        <f>IF(Registered!AV88=0,"",IF(Registered!AV88=1,Registered!AV88&amp;" Meal",Registered!AV88&amp;" Meals"))</f>
        <v/>
      </c>
      <c r="AX88" s="2" t="str">
        <f>IF(Registered!AI88=0,"",Registered!AI88&amp;" BG")</f>
        <v/>
      </c>
      <c r="AY88" s="2" t="str">
        <f>IF(Registered!AG88=0,"",Registered!AG88&amp;" DustMask")</f>
        <v/>
      </c>
    </row>
    <row r="89" spans="1:51" customFormat="1" x14ac:dyDescent="0.25">
      <c r="A89" t="s">
        <v>654</v>
      </c>
      <c r="B89" t="s">
        <v>655</v>
      </c>
      <c r="C89" t="s">
        <v>6090</v>
      </c>
      <c r="D89" t="s">
        <v>654</v>
      </c>
      <c r="F89" t="s">
        <v>261</v>
      </c>
      <c r="I89" t="s">
        <v>656</v>
      </c>
      <c r="J89" t="s">
        <v>37</v>
      </c>
      <c r="K89" t="s">
        <v>32</v>
      </c>
      <c r="L89" t="s">
        <v>35</v>
      </c>
      <c r="S89">
        <v>4</v>
      </c>
      <c r="T89">
        <v>3</v>
      </c>
      <c r="U89">
        <v>1</v>
      </c>
      <c r="V89">
        <v>20</v>
      </c>
      <c r="AQ89">
        <v>32</v>
      </c>
      <c r="AR89" s="3">
        <f t="shared" si="3"/>
        <v>10</v>
      </c>
      <c r="AS89" s="3">
        <f t="shared" si="4"/>
        <v>0</v>
      </c>
      <c r="AT89" s="3" t="str">
        <f>IF(OR(Registered!AM89&gt;0,Registered!AO89&gt;0),(IF(Registered!E89=0,"Size Not Specified",Registered!E89)),"")</f>
        <v/>
      </c>
      <c r="AU89" s="3" t="str">
        <f>IF(Registered!AE89=0,"",IF(Registered!AE89=1,Registered!AE89&amp;" Bandana",Registered!AE89&amp;" Bandanas"))</f>
        <v/>
      </c>
      <c r="AV89" s="3">
        <f t="shared" si="5"/>
        <v>0</v>
      </c>
      <c r="AW89" s="2" t="str">
        <f>IF(Registered!AV89=0,"",IF(Registered!AV89=1,Registered!AV89&amp;" Meal",Registered!AV89&amp;" Meals"))</f>
        <v/>
      </c>
      <c r="AX89" s="2" t="str">
        <f>IF(Registered!AI89=0,"",Registered!AI89&amp;" BG")</f>
        <v/>
      </c>
      <c r="AY89" s="2" t="str">
        <f>IF(Registered!AG89=0,"",Registered!AG89&amp;" DustMask")</f>
        <v/>
      </c>
    </row>
    <row r="90" spans="1:51" customFormat="1" x14ac:dyDescent="0.25">
      <c r="A90" t="s">
        <v>163</v>
      </c>
      <c r="B90" t="s">
        <v>655</v>
      </c>
      <c r="C90" t="s">
        <v>6090</v>
      </c>
      <c r="G90" t="s">
        <v>654</v>
      </c>
      <c r="H90" t="s">
        <v>655</v>
      </c>
      <c r="I90" t="s">
        <v>657</v>
      </c>
      <c r="J90" t="s">
        <v>37</v>
      </c>
      <c r="K90" t="s">
        <v>32</v>
      </c>
      <c r="L90" t="s">
        <v>35</v>
      </c>
      <c r="AQ90">
        <v>0</v>
      </c>
      <c r="AR90" s="3">
        <f t="shared" si="3"/>
        <v>0</v>
      </c>
      <c r="AS90" s="3">
        <f t="shared" si="4"/>
        <v>0</v>
      </c>
      <c r="AT90" s="3" t="str">
        <f>IF(OR(Registered!AM90&gt;0,Registered!AO90&gt;0),(IF(Registered!E90=0,"Size Not Specified",Registered!E90)),"")</f>
        <v/>
      </c>
      <c r="AU90" s="3" t="str">
        <f>IF(Registered!AE90=0,"",IF(Registered!AE90=1,Registered!AE90&amp;" Bandana",Registered!AE90&amp;" Bandanas"))</f>
        <v/>
      </c>
      <c r="AV90" s="3">
        <f t="shared" si="5"/>
        <v>0</v>
      </c>
      <c r="AW90" s="2" t="str">
        <f>IF(Registered!AV90=0,"",IF(Registered!AV90=1,Registered!AV90&amp;" Meal",Registered!AV90&amp;" Meals"))</f>
        <v/>
      </c>
      <c r="AX90" s="2" t="str">
        <f>IF(Registered!AI90=0,"",Registered!AI90&amp;" BG")</f>
        <v/>
      </c>
      <c r="AY90" s="2" t="str">
        <f>IF(Registered!AG90=0,"",Registered!AG90&amp;" DustMask")</f>
        <v/>
      </c>
    </row>
    <row r="91" spans="1:51" customFormat="1" x14ac:dyDescent="0.25">
      <c r="A91" t="s">
        <v>2700</v>
      </c>
      <c r="B91" t="s">
        <v>2701</v>
      </c>
      <c r="C91" t="s">
        <v>6090</v>
      </c>
      <c r="G91" t="s">
        <v>83</v>
      </c>
      <c r="H91" t="s">
        <v>287</v>
      </c>
      <c r="I91" t="s">
        <v>2702</v>
      </c>
      <c r="J91" t="s">
        <v>37</v>
      </c>
      <c r="K91" t="s">
        <v>32</v>
      </c>
      <c r="L91" t="s">
        <v>35</v>
      </c>
      <c r="AQ91">
        <v>0</v>
      </c>
      <c r="AR91" s="3">
        <f t="shared" si="3"/>
        <v>0</v>
      </c>
      <c r="AS91" s="3">
        <f t="shared" si="4"/>
        <v>0</v>
      </c>
      <c r="AT91" s="3" t="str">
        <f>IF(OR(Registered!AM91&gt;0,Registered!AO91&gt;0),(IF(Registered!E91=0,"Size Not Specified",Registered!E91)),"")</f>
        <v/>
      </c>
      <c r="AU91" s="3" t="str">
        <f>IF(Registered!AE91=0,"",IF(Registered!AE91=1,Registered!AE91&amp;" Bandana",Registered!AE91&amp;" Bandanas"))</f>
        <v/>
      </c>
      <c r="AV91" s="3">
        <f t="shared" si="5"/>
        <v>0</v>
      </c>
      <c r="AW91" s="2" t="str">
        <f>IF(Registered!AV91=0,"",IF(Registered!AV91=1,Registered!AV91&amp;" Meal",Registered!AV91&amp;" Meals"))</f>
        <v/>
      </c>
      <c r="AX91" s="2" t="str">
        <f>IF(Registered!AI91=0,"",Registered!AI91&amp;" BG")</f>
        <v/>
      </c>
      <c r="AY91" s="2" t="str">
        <f>IF(Registered!AG91=0,"",Registered!AG91&amp;" DustMask")</f>
        <v/>
      </c>
    </row>
    <row r="92" spans="1:51" customFormat="1" x14ac:dyDescent="0.25">
      <c r="A92" t="s">
        <v>3613</v>
      </c>
      <c r="B92" t="s">
        <v>3614</v>
      </c>
      <c r="C92" t="s">
        <v>6090</v>
      </c>
      <c r="G92" t="s">
        <v>292</v>
      </c>
      <c r="H92" t="s">
        <v>3017</v>
      </c>
      <c r="I92" t="s">
        <v>3615</v>
      </c>
      <c r="J92" t="s">
        <v>37</v>
      </c>
      <c r="K92" t="s">
        <v>32</v>
      </c>
      <c r="L92" t="s">
        <v>35</v>
      </c>
      <c r="AQ92">
        <v>0</v>
      </c>
      <c r="AR92" s="3">
        <f t="shared" si="3"/>
        <v>0</v>
      </c>
      <c r="AS92" s="3">
        <f t="shared" si="4"/>
        <v>0</v>
      </c>
      <c r="AT92" s="3" t="str">
        <f>IF(OR(Registered!AM92&gt;0,Registered!AO92&gt;0),(IF(Registered!E92=0,"Size Not Specified",Registered!E92)),"")</f>
        <v/>
      </c>
      <c r="AU92" s="3" t="str">
        <f>IF(Registered!AE92=0,"",IF(Registered!AE92=1,Registered!AE92&amp;" Bandana",Registered!AE92&amp;" Bandanas"))</f>
        <v/>
      </c>
      <c r="AV92" s="3">
        <f t="shared" si="5"/>
        <v>0</v>
      </c>
      <c r="AW92" s="2" t="str">
        <f>IF(Registered!AV92=0,"",IF(Registered!AV92=1,Registered!AV92&amp;" Meal",Registered!AV92&amp;" Meals"))</f>
        <v/>
      </c>
      <c r="AX92" s="2" t="str">
        <f>IF(Registered!AI92=0,"",Registered!AI92&amp;" BG")</f>
        <v/>
      </c>
      <c r="AY92" s="2" t="str">
        <f>IF(Registered!AG92=0,"",Registered!AG92&amp;" DustMask")</f>
        <v/>
      </c>
    </row>
    <row r="93" spans="1:51" customFormat="1" x14ac:dyDescent="0.25">
      <c r="A93" t="s">
        <v>107</v>
      </c>
      <c r="B93" t="s">
        <v>658</v>
      </c>
      <c r="C93" t="s">
        <v>6090</v>
      </c>
      <c r="D93" t="s">
        <v>659</v>
      </c>
      <c r="E93" t="s">
        <v>53</v>
      </c>
      <c r="I93" t="s">
        <v>660</v>
      </c>
      <c r="J93" t="s">
        <v>37</v>
      </c>
      <c r="K93" t="s">
        <v>32</v>
      </c>
      <c r="L93" t="s">
        <v>35</v>
      </c>
      <c r="S93">
        <v>1</v>
      </c>
      <c r="T93">
        <v>3</v>
      </c>
      <c r="AC93">
        <v>1</v>
      </c>
      <c r="AD93">
        <v>10</v>
      </c>
      <c r="AE93">
        <v>2</v>
      </c>
      <c r="AF93">
        <v>6</v>
      </c>
      <c r="AO93">
        <v>1</v>
      </c>
      <c r="AP93">
        <v>10</v>
      </c>
      <c r="AQ93">
        <v>35</v>
      </c>
      <c r="AR93" s="3">
        <f t="shared" si="3"/>
        <v>5</v>
      </c>
      <c r="AS93" s="3">
        <f t="shared" si="4"/>
        <v>1</v>
      </c>
      <c r="AT93" s="3" t="str">
        <f>IF(OR(Registered!AM93&gt;0,Registered!AO93&gt;0),(IF(Registered!E93=0,"Size Not Specified",Registered!E93)),"")</f>
        <v>Small</v>
      </c>
      <c r="AU93" s="3" t="str">
        <f>IF(Registered!AE93=0,"",IF(Registered!AE93=1,Registered!AE93&amp;" Bandana",Registered!AE93&amp;" Bandanas"))</f>
        <v>2 Bandanas</v>
      </c>
      <c r="AV93" s="3">
        <f t="shared" si="5"/>
        <v>0</v>
      </c>
      <c r="AW93" s="2" t="str">
        <f>IF(Registered!AV93=0,"",IF(Registered!AV93=1,Registered!AV93&amp;" Meal",Registered!AV93&amp;" Meals"))</f>
        <v/>
      </c>
      <c r="AX93" s="2" t="str">
        <f>IF(Registered!AI93=0,"",Registered!AI93&amp;" BG")</f>
        <v/>
      </c>
      <c r="AY93" s="2" t="str">
        <f>IF(Registered!AG93=0,"",Registered!AG93&amp;" DustMask")</f>
        <v/>
      </c>
    </row>
    <row r="94" spans="1:51" customFormat="1" x14ac:dyDescent="0.25">
      <c r="A94" t="s">
        <v>3620</v>
      </c>
      <c r="B94" t="s">
        <v>3621</v>
      </c>
      <c r="C94" t="s">
        <v>6090</v>
      </c>
      <c r="G94" t="s">
        <v>3622</v>
      </c>
      <c r="H94" t="s">
        <v>3621</v>
      </c>
      <c r="I94" t="s">
        <v>3623</v>
      </c>
      <c r="J94" t="s">
        <v>37</v>
      </c>
      <c r="K94" t="s">
        <v>32</v>
      </c>
      <c r="L94" t="s">
        <v>35</v>
      </c>
      <c r="AQ94">
        <v>0</v>
      </c>
      <c r="AR94" s="3">
        <f t="shared" si="3"/>
        <v>0</v>
      </c>
      <c r="AS94" s="3">
        <f t="shared" si="4"/>
        <v>0</v>
      </c>
      <c r="AT94" s="3" t="str">
        <f>IF(OR(Registered!AM94&gt;0,Registered!AO94&gt;0),(IF(Registered!E94=0,"Size Not Specified",Registered!E94)),"")</f>
        <v/>
      </c>
      <c r="AU94" s="3" t="str">
        <f>IF(Registered!AE94=0,"",IF(Registered!AE94=1,Registered!AE94&amp;" Bandana",Registered!AE94&amp;" Bandanas"))</f>
        <v/>
      </c>
      <c r="AV94" s="3">
        <f t="shared" si="5"/>
        <v>0</v>
      </c>
      <c r="AW94" s="2" t="str">
        <f>IF(Registered!AV94=0,"",IF(Registered!AV94=1,Registered!AV94&amp;" Meal",Registered!AV94&amp;" Meals"))</f>
        <v/>
      </c>
      <c r="AX94" s="2" t="str">
        <f>IF(Registered!AI94=0,"",Registered!AI94&amp;" BG")</f>
        <v/>
      </c>
      <c r="AY94" s="2" t="str">
        <f>IF(Registered!AG94=0,"",Registered!AG94&amp;" DustMask")</f>
        <v/>
      </c>
    </row>
    <row r="95" spans="1:51" customFormat="1" x14ac:dyDescent="0.25">
      <c r="A95" t="s">
        <v>3622</v>
      </c>
      <c r="B95" t="s">
        <v>3621</v>
      </c>
      <c r="C95" t="s">
        <v>6090</v>
      </c>
      <c r="D95" t="s">
        <v>3624</v>
      </c>
      <c r="F95" t="s">
        <v>261</v>
      </c>
      <c r="I95" t="s">
        <v>3623</v>
      </c>
      <c r="J95" t="s">
        <v>37</v>
      </c>
      <c r="K95" t="s">
        <v>32</v>
      </c>
      <c r="L95" t="s">
        <v>35</v>
      </c>
      <c r="Q95">
        <v>4</v>
      </c>
      <c r="R95">
        <v>3</v>
      </c>
      <c r="AC95">
        <v>4</v>
      </c>
      <c r="AD95">
        <v>10</v>
      </c>
      <c r="AK95">
        <v>4</v>
      </c>
      <c r="AL95">
        <v>6</v>
      </c>
      <c r="AQ95">
        <v>76</v>
      </c>
      <c r="AR95" s="3">
        <f t="shared" si="3"/>
        <v>20</v>
      </c>
      <c r="AS95" s="3">
        <f t="shared" si="4"/>
        <v>0</v>
      </c>
      <c r="AT95" s="3" t="str">
        <f>IF(OR(Registered!AM95&gt;0,Registered!AO95&gt;0),(IF(Registered!E95=0,"Size Not Specified",Registered!E95)),"")</f>
        <v/>
      </c>
      <c r="AU95" s="3" t="str">
        <f>IF(Registered!AE95=0,"",IF(Registered!AE95=1,Registered!AE95&amp;" Bandana",Registered!AE95&amp;" Bandanas"))</f>
        <v/>
      </c>
      <c r="AV95" s="3">
        <f t="shared" si="5"/>
        <v>4</v>
      </c>
      <c r="AW95" s="2" t="str">
        <f>IF(Registered!AV95=0,"",IF(Registered!AV95=1,Registered!AV95&amp;" Meal",Registered!AV95&amp;" Meals"))</f>
        <v>4 Meals</v>
      </c>
      <c r="AX95" s="2" t="str">
        <f>IF(Registered!AI95=0,"",Registered!AI95&amp;" BG")</f>
        <v/>
      </c>
      <c r="AY95" s="2" t="str">
        <f>IF(Registered!AG95=0,"",Registered!AG95&amp;" DustMask")</f>
        <v/>
      </c>
    </row>
    <row r="96" spans="1:51" customFormat="1" x14ac:dyDescent="0.25">
      <c r="A96" t="s">
        <v>2239</v>
      </c>
      <c r="B96" t="s">
        <v>2703</v>
      </c>
      <c r="C96" t="s">
        <v>6090</v>
      </c>
      <c r="G96" t="s">
        <v>789</v>
      </c>
      <c r="H96" t="s">
        <v>2704</v>
      </c>
      <c r="I96" t="s">
        <v>2705</v>
      </c>
      <c r="J96" t="s">
        <v>37</v>
      </c>
      <c r="K96" t="s">
        <v>32</v>
      </c>
      <c r="L96" t="s">
        <v>35</v>
      </c>
      <c r="AQ96">
        <v>0</v>
      </c>
      <c r="AR96" s="3">
        <f t="shared" si="3"/>
        <v>0</v>
      </c>
      <c r="AS96" s="3">
        <f t="shared" si="4"/>
        <v>0</v>
      </c>
      <c r="AT96" s="3" t="str">
        <f>IF(OR(Registered!AM96&gt;0,Registered!AO96&gt;0),(IF(Registered!E96=0,"Size Not Specified",Registered!E96)),"")</f>
        <v/>
      </c>
      <c r="AU96" s="3" t="str">
        <f>IF(Registered!AE96=0,"",IF(Registered!AE96=1,Registered!AE96&amp;" Bandana",Registered!AE96&amp;" Bandanas"))</f>
        <v/>
      </c>
      <c r="AV96" s="3">
        <f t="shared" si="5"/>
        <v>0</v>
      </c>
      <c r="AW96" s="2" t="str">
        <f>IF(Registered!AV96=0,"",IF(Registered!AV96=1,Registered!AV96&amp;" Meal",Registered!AV96&amp;" Meals"))</f>
        <v/>
      </c>
      <c r="AX96" s="2" t="str">
        <f>IF(Registered!AI96=0,"",Registered!AI96&amp;" BG")</f>
        <v/>
      </c>
      <c r="AY96" s="2" t="str">
        <f>IF(Registered!AG96=0,"",Registered!AG96&amp;" DustMask")</f>
        <v/>
      </c>
    </row>
    <row r="97" spans="1:51" customFormat="1" x14ac:dyDescent="0.25">
      <c r="A97" t="s">
        <v>661</v>
      </c>
      <c r="B97" t="s">
        <v>662</v>
      </c>
      <c r="C97" t="s">
        <v>6090</v>
      </c>
      <c r="F97" t="s">
        <v>261</v>
      </c>
      <c r="I97" t="s">
        <v>663</v>
      </c>
      <c r="J97" t="s">
        <v>37</v>
      </c>
      <c r="K97" t="s">
        <v>32</v>
      </c>
      <c r="L97" t="s">
        <v>35</v>
      </c>
      <c r="S97">
        <v>1</v>
      </c>
      <c r="T97">
        <v>3</v>
      </c>
      <c r="AQ97">
        <v>3</v>
      </c>
      <c r="AR97" s="3">
        <f t="shared" si="3"/>
        <v>0</v>
      </c>
      <c r="AS97" s="3">
        <f t="shared" si="4"/>
        <v>0</v>
      </c>
      <c r="AT97" s="3" t="str">
        <f>IF(OR(Registered!AM97&gt;0,Registered!AO97&gt;0),(IF(Registered!E97=0,"Size Not Specified",Registered!E97)),"")</f>
        <v/>
      </c>
      <c r="AU97" s="3" t="str">
        <f>IF(Registered!AE97=0,"",IF(Registered!AE97=1,Registered!AE97&amp;" Bandana",Registered!AE97&amp;" Bandanas"))</f>
        <v/>
      </c>
      <c r="AV97" s="3">
        <f t="shared" si="5"/>
        <v>0</v>
      </c>
      <c r="AW97" s="2" t="str">
        <f>IF(Registered!AV97=0,"",IF(Registered!AV97=1,Registered!AV97&amp;" Meal",Registered!AV97&amp;" Meals"))</f>
        <v/>
      </c>
      <c r="AX97" s="2" t="str">
        <f>IF(Registered!AI97=0,"",Registered!AI97&amp;" BG")</f>
        <v/>
      </c>
      <c r="AY97" s="2" t="str">
        <f>IF(Registered!AG97=0,"",Registered!AG97&amp;" DustMask")</f>
        <v/>
      </c>
    </row>
    <row r="98" spans="1:51" customFormat="1" x14ac:dyDescent="0.25">
      <c r="A98" t="s">
        <v>381</v>
      </c>
      <c r="B98" t="s">
        <v>664</v>
      </c>
      <c r="C98" t="s">
        <v>6090</v>
      </c>
      <c r="G98" t="s">
        <v>665</v>
      </c>
      <c r="H98" t="s">
        <v>452</v>
      </c>
      <c r="I98" t="s">
        <v>666</v>
      </c>
      <c r="J98" t="s">
        <v>37</v>
      </c>
      <c r="K98" t="s">
        <v>32</v>
      </c>
      <c r="L98" t="s">
        <v>35</v>
      </c>
      <c r="AQ98">
        <v>0</v>
      </c>
      <c r="AR98" s="3">
        <f t="shared" si="3"/>
        <v>0</v>
      </c>
      <c r="AS98" s="3">
        <f t="shared" si="4"/>
        <v>0</v>
      </c>
      <c r="AT98" s="3" t="str">
        <f>IF(OR(Registered!AM98&gt;0,Registered!AO98&gt;0),(IF(Registered!E98=0,"Size Not Specified",Registered!E98)),"")</f>
        <v/>
      </c>
      <c r="AU98" s="3" t="str">
        <f>IF(Registered!AE98=0,"",IF(Registered!AE98=1,Registered!AE98&amp;" Bandana",Registered!AE98&amp;" Bandanas"))</f>
        <v/>
      </c>
      <c r="AV98" s="3">
        <f t="shared" si="5"/>
        <v>0</v>
      </c>
      <c r="AW98" s="2" t="str">
        <f>IF(Registered!AV98=0,"",IF(Registered!AV98=1,Registered!AV98&amp;" Meal",Registered!AV98&amp;" Meals"))</f>
        <v/>
      </c>
      <c r="AX98" s="2" t="str">
        <f>IF(Registered!AI98=0,"",Registered!AI98&amp;" BG")</f>
        <v/>
      </c>
      <c r="AY98" s="2" t="str">
        <f>IF(Registered!AG98=0,"",Registered!AG98&amp;" DustMask")</f>
        <v/>
      </c>
    </row>
    <row r="99" spans="1:51" customFormat="1" x14ac:dyDescent="0.25">
      <c r="A99" t="s">
        <v>165</v>
      </c>
      <c r="B99" t="s">
        <v>667</v>
      </c>
      <c r="C99" t="s">
        <v>6090</v>
      </c>
      <c r="D99" t="s">
        <v>668</v>
      </c>
      <c r="F99" t="s">
        <v>261</v>
      </c>
      <c r="I99" t="s">
        <v>669</v>
      </c>
      <c r="J99" t="s">
        <v>37</v>
      </c>
      <c r="K99" t="s">
        <v>32</v>
      </c>
      <c r="L99" t="s">
        <v>35</v>
      </c>
      <c r="S99">
        <v>3</v>
      </c>
      <c r="T99">
        <v>3</v>
      </c>
      <c r="W99">
        <v>1</v>
      </c>
      <c r="X99">
        <v>40</v>
      </c>
      <c r="AK99">
        <v>3</v>
      </c>
      <c r="AL99">
        <v>6</v>
      </c>
      <c r="AQ99">
        <v>67</v>
      </c>
      <c r="AR99" s="3">
        <f t="shared" si="3"/>
        <v>20</v>
      </c>
      <c r="AS99" s="3">
        <f t="shared" si="4"/>
        <v>0</v>
      </c>
      <c r="AT99" s="3" t="str">
        <f>IF(OR(Registered!AM99&gt;0,Registered!AO99&gt;0),(IF(Registered!E99=0,"Size Not Specified",Registered!E99)),"")</f>
        <v/>
      </c>
      <c r="AU99" s="3" t="str">
        <f>IF(Registered!AE99=0,"",IF(Registered!AE99=1,Registered!AE99&amp;" Bandana",Registered!AE99&amp;" Bandanas"))</f>
        <v/>
      </c>
      <c r="AV99" s="3">
        <f t="shared" si="5"/>
        <v>3</v>
      </c>
      <c r="AW99" s="2" t="str">
        <f>IF(Registered!AV99=0,"",IF(Registered!AV99=1,Registered!AV99&amp;" Meal",Registered!AV99&amp;" Meals"))</f>
        <v>3 Meals</v>
      </c>
      <c r="AX99" s="2" t="str">
        <f>IF(Registered!AI99=0,"",Registered!AI99&amp;" BG")</f>
        <v/>
      </c>
      <c r="AY99" s="2" t="str">
        <f>IF(Registered!AG99=0,"",Registered!AG99&amp;" DustMask")</f>
        <v/>
      </c>
    </row>
    <row r="100" spans="1:51" customFormat="1" x14ac:dyDescent="0.25">
      <c r="A100" t="s">
        <v>670</v>
      </c>
      <c r="B100" t="s">
        <v>667</v>
      </c>
      <c r="C100" t="s">
        <v>6090</v>
      </c>
      <c r="G100" t="s">
        <v>165</v>
      </c>
      <c r="H100" t="s">
        <v>667</v>
      </c>
      <c r="I100" t="s">
        <v>669</v>
      </c>
      <c r="J100" t="s">
        <v>37</v>
      </c>
      <c r="K100" t="s">
        <v>32</v>
      </c>
      <c r="L100" t="s">
        <v>35</v>
      </c>
      <c r="AQ100">
        <v>0</v>
      </c>
      <c r="AR100" s="3">
        <f t="shared" si="3"/>
        <v>0</v>
      </c>
      <c r="AS100" s="3">
        <f t="shared" si="4"/>
        <v>0</v>
      </c>
      <c r="AT100" s="3" t="str">
        <f>IF(OR(Registered!AM100&gt;0,Registered!AO100&gt;0),(IF(Registered!E100=0,"Size Not Specified",Registered!E100)),"")</f>
        <v/>
      </c>
      <c r="AU100" s="3" t="str">
        <f>IF(Registered!AE100=0,"",IF(Registered!AE100=1,Registered!AE100&amp;" Bandana",Registered!AE100&amp;" Bandanas"))</f>
        <v/>
      </c>
      <c r="AV100" s="3">
        <f t="shared" si="5"/>
        <v>0</v>
      </c>
      <c r="AW100" s="2" t="str">
        <f>IF(Registered!AV100=0,"",IF(Registered!AV100=1,Registered!AV100&amp;" Meal",Registered!AV100&amp;" Meals"))</f>
        <v/>
      </c>
      <c r="AX100" s="2" t="str">
        <f>IF(Registered!AI100=0,"",Registered!AI100&amp;" BG")</f>
        <v/>
      </c>
      <c r="AY100" s="2" t="str">
        <f>IF(Registered!AG100=0,"",Registered!AG100&amp;" DustMask")</f>
        <v/>
      </c>
    </row>
    <row r="101" spans="1:51" customFormat="1" x14ac:dyDescent="0.25">
      <c r="A101" t="s">
        <v>3625</v>
      </c>
      <c r="B101" t="s">
        <v>3626</v>
      </c>
      <c r="C101" t="s">
        <v>6090</v>
      </c>
      <c r="G101" t="s">
        <v>105</v>
      </c>
      <c r="H101" t="s">
        <v>3627</v>
      </c>
      <c r="I101" t="s">
        <v>3628</v>
      </c>
      <c r="J101" t="s">
        <v>37</v>
      </c>
      <c r="K101" t="s">
        <v>32</v>
      </c>
      <c r="L101" t="s">
        <v>35</v>
      </c>
      <c r="AQ101">
        <v>0</v>
      </c>
      <c r="AR101" s="3">
        <f t="shared" si="3"/>
        <v>0</v>
      </c>
      <c r="AS101" s="3">
        <f t="shared" si="4"/>
        <v>0</v>
      </c>
      <c r="AT101" s="3" t="str">
        <f>IF(OR(Registered!AM101&gt;0,Registered!AO101&gt;0),(IF(Registered!E101=0,"Size Not Specified",Registered!E101)),"")</f>
        <v/>
      </c>
      <c r="AU101" s="3" t="str">
        <f>IF(Registered!AE101=0,"",IF(Registered!AE101=1,Registered!AE101&amp;" Bandana",Registered!AE101&amp;" Bandanas"))</f>
        <v/>
      </c>
      <c r="AV101" s="3">
        <f t="shared" si="5"/>
        <v>0</v>
      </c>
      <c r="AW101" s="2" t="str">
        <f>IF(Registered!AV101=0,"",IF(Registered!AV101=1,Registered!AV101&amp;" Meal",Registered!AV101&amp;" Meals"))</f>
        <v/>
      </c>
      <c r="AX101" s="2" t="str">
        <f>IF(Registered!AI101=0,"",Registered!AI101&amp;" BG")</f>
        <v/>
      </c>
      <c r="AY101" s="2" t="str">
        <f>IF(Registered!AG101=0,"",Registered!AG101&amp;" DustMask")</f>
        <v/>
      </c>
    </row>
    <row r="102" spans="1:51" customFormat="1" x14ac:dyDescent="0.25">
      <c r="A102" t="s">
        <v>178</v>
      </c>
      <c r="B102" t="s">
        <v>671</v>
      </c>
      <c r="C102" t="s">
        <v>6090</v>
      </c>
      <c r="D102" t="s">
        <v>178</v>
      </c>
      <c r="I102" t="s">
        <v>672</v>
      </c>
      <c r="J102" t="s">
        <v>37</v>
      </c>
      <c r="K102" t="s">
        <v>32</v>
      </c>
      <c r="L102" t="s">
        <v>35</v>
      </c>
      <c r="S102">
        <v>7</v>
      </c>
      <c r="T102">
        <v>3</v>
      </c>
      <c r="W102">
        <v>1</v>
      </c>
      <c r="X102">
        <v>40</v>
      </c>
      <c r="AQ102">
        <v>61</v>
      </c>
      <c r="AR102" s="3">
        <f t="shared" si="3"/>
        <v>20</v>
      </c>
      <c r="AS102" s="3">
        <f t="shared" si="4"/>
        <v>0</v>
      </c>
      <c r="AT102" s="3" t="str">
        <f>IF(OR(Registered!AM102&gt;0,Registered!AO102&gt;0),(IF(Registered!E102=0,"Size Not Specified",Registered!E102)),"")</f>
        <v/>
      </c>
      <c r="AU102" s="3" t="str">
        <f>IF(Registered!AE102=0,"",IF(Registered!AE102=1,Registered!AE102&amp;" Bandana",Registered!AE102&amp;" Bandanas"))</f>
        <v/>
      </c>
      <c r="AV102" s="3">
        <f t="shared" si="5"/>
        <v>0</v>
      </c>
      <c r="AW102" s="2" t="str">
        <f>IF(Registered!AV102=0,"",IF(Registered!AV102=1,Registered!AV102&amp;" Meal",Registered!AV102&amp;" Meals"))</f>
        <v/>
      </c>
      <c r="AX102" s="2" t="str">
        <f>IF(Registered!AI102=0,"",Registered!AI102&amp;" BG")</f>
        <v/>
      </c>
      <c r="AY102" s="2" t="str">
        <f>IF(Registered!AG102=0,"",Registered!AG102&amp;" DustMask")</f>
        <v/>
      </c>
    </row>
    <row r="103" spans="1:51" customFormat="1" x14ac:dyDescent="0.25">
      <c r="A103" t="s">
        <v>1329</v>
      </c>
      <c r="B103" t="s">
        <v>1818</v>
      </c>
      <c r="C103" t="s">
        <v>6090</v>
      </c>
      <c r="D103" t="s">
        <v>3629</v>
      </c>
      <c r="F103" t="s">
        <v>261</v>
      </c>
      <c r="I103" t="s">
        <v>3630</v>
      </c>
      <c r="J103" t="s">
        <v>37</v>
      </c>
      <c r="K103" t="s">
        <v>32</v>
      </c>
      <c r="L103" t="s">
        <v>35</v>
      </c>
      <c r="Q103">
        <v>2</v>
      </c>
      <c r="R103">
        <v>3</v>
      </c>
      <c r="U103">
        <v>2</v>
      </c>
      <c r="V103">
        <v>20</v>
      </c>
      <c r="AQ103">
        <v>46</v>
      </c>
      <c r="AR103" s="3">
        <f t="shared" si="3"/>
        <v>20</v>
      </c>
      <c r="AS103" s="3">
        <f t="shared" si="4"/>
        <v>0</v>
      </c>
      <c r="AT103" s="3" t="str">
        <f>IF(OR(Registered!AM103&gt;0,Registered!AO103&gt;0),(IF(Registered!E103=0,"Size Not Specified",Registered!E103)),"")</f>
        <v/>
      </c>
      <c r="AU103" s="3" t="str">
        <f>IF(Registered!AE103=0,"",IF(Registered!AE103=1,Registered!AE103&amp;" Bandana",Registered!AE103&amp;" Bandanas"))</f>
        <v/>
      </c>
      <c r="AV103" s="3">
        <f t="shared" si="5"/>
        <v>0</v>
      </c>
      <c r="AW103" s="2" t="str">
        <f>IF(Registered!AV103=0,"",IF(Registered!AV103=1,Registered!AV103&amp;" Meal",Registered!AV103&amp;" Meals"))</f>
        <v/>
      </c>
      <c r="AX103" s="2" t="str">
        <f>IF(Registered!AI103=0,"",Registered!AI103&amp;" BG")</f>
        <v/>
      </c>
      <c r="AY103" s="2" t="str">
        <f>IF(Registered!AG103=0,"",Registered!AG103&amp;" DustMask")</f>
        <v/>
      </c>
    </row>
    <row r="104" spans="1:51" customFormat="1" x14ac:dyDescent="0.25">
      <c r="A104" t="s">
        <v>673</v>
      </c>
      <c r="B104" t="s">
        <v>674</v>
      </c>
      <c r="C104" t="s">
        <v>6090</v>
      </c>
      <c r="G104" t="s">
        <v>673</v>
      </c>
      <c r="H104" t="s">
        <v>674</v>
      </c>
      <c r="I104" t="s">
        <v>675</v>
      </c>
      <c r="J104" t="s">
        <v>37</v>
      </c>
      <c r="K104" t="s">
        <v>32</v>
      </c>
      <c r="L104" t="s">
        <v>35</v>
      </c>
      <c r="AQ104">
        <v>0</v>
      </c>
      <c r="AR104" s="3">
        <f t="shared" si="3"/>
        <v>0</v>
      </c>
      <c r="AS104" s="3">
        <f t="shared" si="4"/>
        <v>0</v>
      </c>
      <c r="AT104" s="3" t="str">
        <f>IF(OR(Registered!AM104&gt;0,Registered!AO104&gt;0),(IF(Registered!E104=0,"Size Not Specified",Registered!E104)),"")</f>
        <v/>
      </c>
      <c r="AU104" s="3" t="str">
        <f>IF(Registered!AE104=0,"",IF(Registered!AE104=1,Registered!AE104&amp;" Bandana",Registered!AE104&amp;" Bandanas"))</f>
        <v/>
      </c>
      <c r="AV104" s="3">
        <f t="shared" si="5"/>
        <v>0</v>
      </c>
      <c r="AW104" s="2" t="str">
        <f>IF(Registered!AV104=0,"",IF(Registered!AV104=1,Registered!AV104&amp;" Meal",Registered!AV104&amp;" Meals"))</f>
        <v/>
      </c>
      <c r="AX104" s="2" t="str">
        <f>IF(Registered!AI104=0,"",Registered!AI104&amp;" BG")</f>
        <v/>
      </c>
      <c r="AY104" s="2" t="str">
        <f>IF(Registered!AG104=0,"",Registered!AG104&amp;" DustMask")</f>
        <v/>
      </c>
    </row>
    <row r="105" spans="1:51" customFormat="1" x14ac:dyDescent="0.25">
      <c r="A105" t="s">
        <v>673</v>
      </c>
      <c r="B105" t="s">
        <v>674</v>
      </c>
      <c r="C105" t="s">
        <v>6090</v>
      </c>
      <c r="D105" t="s">
        <v>673</v>
      </c>
      <c r="F105" t="s">
        <v>261</v>
      </c>
      <c r="I105" t="s">
        <v>675</v>
      </c>
      <c r="J105" t="s">
        <v>37</v>
      </c>
      <c r="K105" t="s">
        <v>32</v>
      </c>
      <c r="L105" t="s">
        <v>35</v>
      </c>
      <c r="Q105">
        <v>3</v>
      </c>
      <c r="R105">
        <v>3</v>
      </c>
      <c r="W105">
        <v>1</v>
      </c>
      <c r="X105">
        <v>40</v>
      </c>
      <c r="AQ105">
        <v>49</v>
      </c>
      <c r="AR105" s="3">
        <f t="shared" si="3"/>
        <v>20</v>
      </c>
      <c r="AS105" s="3">
        <f t="shared" si="4"/>
        <v>0</v>
      </c>
      <c r="AT105" s="3" t="str">
        <f>IF(OR(Registered!AM105&gt;0,Registered!AO105&gt;0),(IF(Registered!E105=0,"Size Not Specified",Registered!E105)),"")</f>
        <v/>
      </c>
      <c r="AU105" s="3" t="str">
        <f>IF(Registered!AE105=0,"",IF(Registered!AE105=1,Registered!AE105&amp;" Bandana",Registered!AE105&amp;" Bandanas"))</f>
        <v/>
      </c>
      <c r="AV105" s="3">
        <f t="shared" si="5"/>
        <v>0</v>
      </c>
      <c r="AW105" s="2" t="str">
        <f>IF(Registered!AV105=0,"",IF(Registered!AV105=1,Registered!AV105&amp;" Meal",Registered!AV105&amp;" Meals"))</f>
        <v/>
      </c>
      <c r="AX105" s="2" t="str">
        <f>IF(Registered!AI105=0,"",Registered!AI105&amp;" BG")</f>
        <v/>
      </c>
      <c r="AY105" s="2" t="str">
        <f>IF(Registered!AG105=0,"",Registered!AG105&amp;" DustMask")</f>
        <v/>
      </c>
    </row>
    <row r="106" spans="1:51" customFormat="1" x14ac:dyDescent="0.25">
      <c r="A106" t="s">
        <v>292</v>
      </c>
      <c r="B106" t="s">
        <v>674</v>
      </c>
      <c r="C106" t="s">
        <v>6090</v>
      </c>
      <c r="G106" t="s">
        <v>673</v>
      </c>
      <c r="H106" t="s">
        <v>674</v>
      </c>
      <c r="I106" t="s">
        <v>675</v>
      </c>
      <c r="J106" t="s">
        <v>37</v>
      </c>
      <c r="K106" t="s">
        <v>32</v>
      </c>
      <c r="L106" t="s">
        <v>35</v>
      </c>
      <c r="AQ106">
        <v>0</v>
      </c>
      <c r="AR106" s="3">
        <f t="shared" si="3"/>
        <v>0</v>
      </c>
      <c r="AS106" s="3">
        <f t="shared" si="4"/>
        <v>0</v>
      </c>
      <c r="AT106" s="3" t="str">
        <f>IF(OR(Registered!AM106&gt;0,Registered!AO106&gt;0),(IF(Registered!E106=0,"Size Not Specified",Registered!E106)),"")</f>
        <v/>
      </c>
      <c r="AU106" s="3" t="str">
        <f>IF(Registered!AE106=0,"",IF(Registered!AE106=1,Registered!AE106&amp;" Bandana",Registered!AE106&amp;" Bandanas"))</f>
        <v/>
      </c>
      <c r="AV106" s="3">
        <f t="shared" si="5"/>
        <v>0</v>
      </c>
      <c r="AW106" s="2" t="str">
        <f>IF(Registered!AV106=0,"",IF(Registered!AV106=1,Registered!AV106&amp;" Meal",Registered!AV106&amp;" Meals"))</f>
        <v/>
      </c>
      <c r="AX106" s="2" t="str">
        <f>IF(Registered!AI106=0,"",Registered!AI106&amp;" BG")</f>
        <v/>
      </c>
      <c r="AY106" s="2" t="str">
        <f>IF(Registered!AG106=0,"",Registered!AG106&amp;" DustMask")</f>
        <v/>
      </c>
    </row>
    <row r="107" spans="1:51" customFormat="1" x14ac:dyDescent="0.25">
      <c r="A107" t="s">
        <v>3631</v>
      </c>
      <c r="B107" t="s">
        <v>3632</v>
      </c>
      <c r="C107" t="s">
        <v>6090</v>
      </c>
      <c r="D107" t="s">
        <v>3631</v>
      </c>
      <c r="F107" t="s">
        <v>261</v>
      </c>
      <c r="I107" t="s">
        <v>3633</v>
      </c>
      <c r="J107" t="s">
        <v>37</v>
      </c>
      <c r="K107" t="s">
        <v>32</v>
      </c>
      <c r="L107" t="s">
        <v>35</v>
      </c>
      <c r="Q107">
        <v>2</v>
      </c>
      <c r="R107">
        <v>3</v>
      </c>
      <c r="U107">
        <v>1</v>
      </c>
      <c r="V107">
        <v>20</v>
      </c>
      <c r="AQ107">
        <v>26</v>
      </c>
      <c r="AR107" s="3">
        <f t="shared" si="3"/>
        <v>10</v>
      </c>
      <c r="AS107" s="3">
        <f t="shared" si="4"/>
        <v>0</v>
      </c>
      <c r="AT107" s="3" t="str">
        <f>IF(OR(Registered!AM107&gt;0,Registered!AO107&gt;0),(IF(Registered!E107=0,"Size Not Specified",Registered!E107)),"")</f>
        <v/>
      </c>
      <c r="AU107" s="3" t="str">
        <f>IF(Registered!AE107=0,"",IF(Registered!AE107=1,Registered!AE107&amp;" Bandana",Registered!AE107&amp;" Bandanas"))</f>
        <v/>
      </c>
      <c r="AV107" s="3">
        <f t="shared" si="5"/>
        <v>0</v>
      </c>
      <c r="AW107" s="2" t="str">
        <f>IF(Registered!AV107=0,"",IF(Registered!AV107=1,Registered!AV107&amp;" Meal",Registered!AV107&amp;" Meals"))</f>
        <v/>
      </c>
      <c r="AX107" s="2" t="str">
        <f>IF(Registered!AI107=0,"",Registered!AI107&amp;" BG")</f>
        <v/>
      </c>
      <c r="AY107" s="2" t="str">
        <f>IF(Registered!AG107=0,"",Registered!AG107&amp;" DustMask")</f>
        <v/>
      </c>
    </row>
    <row r="108" spans="1:51" customFormat="1" x14ac:dyDescent="0.25">
      <c r="A108" t="s">
        <v>501</v>
      </c>
      <c r="B108" t="s">
        <v>3632</v>
      </c>
      <c r="C108" t="s">
        <v>6090</v>
      </c>
      <c r="G108" t="s">
        <v>3631</v>
      </c>
      <c r="H108" t="s">
        <v>3632</v>
      </c>
      <c r="I108" t="s">
        <v>3633</v>
      </c>
      <c r="J108" t="s">
        <v>37</v>
      </c>
      <c r="K108" t="s">
        <v>32</v>
      </c>
      <c r="L108" t="s">
        <v>35</v>
      </c>
      <c r="AQ108">
        <v>0</v>
      </c>
      <c r="AR108" s="3">
        <f t="shared" si="3"/>
        <v>0</v>
      </c>
      <c r="AS108" s="3">
        <f t="shared" si="4"/>
        <v>0</v>
      </c>
      <c r="AT108" s="3" t="str">
        <f>IF(OR(Registered!AM108&gt;0,Registered!AO108&gt;0),(IF(Registered!E108=0,"Size Not Specified",Registered!E108)),"")</f>
        <v/>
      </c>
      <c r="AU108" s="3" t="str">
        <f>IF(Registered!AE108=0,"",IF(Registered!AE108=1,Registered!AE108&amp;" Bandana",Registered!AE108&amp;" Bandanas"))</f>
        <v/>
      </c>
      <c r="AV108" s="3">
        <f t="shared" si="5"/>
        <v>0</v>
      </c>
      <c r="AW108" s="2" t="str">
        <f>IF(Registered!AV108=0,"",IF(Registered!AV108=1,Registered!AV108&amp;" Meal",Registered!AV108&amp;" Meals"))</f>
        <v/>
      </c>
      <c r="AX108" s="2" t="str">
        <f>IF(Registered!AI108=0,"",Registered!AI108&amp;" BG")</f>
        <v/>
      </c>
      <c r="AY108" s="2" t="str">
        <f>IF(Registered!AG108=0,"",Registered!AG108&amp;" DustMask")</f>
        <v/>
      </c>
    </row>
    <row r="109" spans="1:51" customFormat="1" x14ac:dyDescent="0.25">
      <c r="A109" t="s">
        <v>3634</v>
      </c>
      <c r="B109" t="s">
        <v>3635</v>
      </c>
      <c r="C109" t="s">
        <v>6090</v>
      </c>
      <c r="D109" t="s">
        <v>3636</v>
      </c>
      <c r="F109" t="s">
        <v>261</v>
      </c>
      <c r="I109" t="s">
        <v>3637</v>
      </c>
      <c r="J109" t="s">
        <v>37</v>
      </c>
      <c r="K109" t="s">
        <v>32</v>
      </c>
      <c r="L109" t="s">
        <v>35</v>
      </c>
      <c r="Q109">
        <v>2</v>
      </c>
      <c r="R109">
        <v>3</v>
      </c>
      <c r="U109">
        <v>1</v>
      </c>
      <c r="V109">
        <v>20</v>
      </c>
      <c r="AQ109">
        <v>26</v>
      </c>
      <c r="AR109" s="3">
        <f t="shared" si="3"/>
        <v>10</v>
      </c>
      <c r="AS109" s="3">
        <f t="shared" si="4"/>
        <v>0</v>
      </c>
      <c r="AT109" s="3" t="str">
        <f>IF(OR(Registered!AM109&gt;0,Registered!AO109&gt;0),(IF(Registered!E109=0,"Size Not Specified",Registered!E109)),"")</f>
        <v/>
      </c>
      <c r="AU109" s="3" t="str">
        <f>IF(Registered!AE109=0,"",IF(Registered!AE109=1,Registered!AE109&amp;" Bandana",Registered!AE109&amp;" Bandanas"))</f>
        <v/>
      </c>
      <c r="AV109" s="3">
        <f t="shared" si="5"/>
        <v>0</v>
      </c>
      <c r="AW109" s="2" t="str">
        <f>IF(Registered!AV109=0,"",IF(Registered!AV109=1,Registered!AV109&amp;" Meal",Registered!AV109&amp;" Meals"))</f>
        <v/>
      </c>
      <c r="AX109" s="2" t="str">
        <f>IF(Registered!AI109=0,"",Registered!AI109&amp;" BG")</f>
        <v/>
      </c>
      <c r="AY109" s="2" t="str">
        <f>IF(Registered!AG109=0,"",Registered!AG109&amp;" DustMask")</f>
        <v/>
      </c>
    </row>
    <row r="110" spans="1:51" customFormat="1" x14ac:dyDescent="0.25">
      <c r="A110" t="s">
        <v>3638</v>
      </c>
      <c r="B110" t="s">
        <v>3639</v>
      </c>
      <c r="C110" t="s">
        <v>6090</v>
      </c>
      <c r="G110" t="s">
        <v>141</v>
      </c>
      <c r="H110" t="s">
        <v>3640</v>
      </c>
      <c r="I110" t="s">
        <v>3641</v>
      </c>
      <c r="J110" t="s">
        <v>37</v>
      </c>
      <c r="K110" t="s">
        <v>32</v>
      </c>
      <c r="L110" t="s">
        <v>35</v>
      </c>
      <c r="AQ110">
        <v>0</v>
      </c>
      <c r="AR110" s="3">
        <f t="shared" si="3"/>
        <v>0</v>
      </c>
      <c r="AS110" s="3">
        <f t="shared" si="4"/>
        <v>0</v>
      </c>
      <c r="AT110" s="3" t="str">
        <f>IF(OR(Registered!AM110&gt;0,Registered!AO110&gt;0),(IF(Registered!E110=0,"Size Not Specified",Registered!E110)),"")</f>
        <v/>
      </c>
      <c r="AU110" s="3" t="str">
        <f>IF(Registered!AE110=0,"",IF(Registered!AE110=1,Registered!AE110&amp;" Bandana",Registered!AE110&amp;" Bandanas"))</f>
        <v/>
      </c>
      <c r="AV110" s="3">
        <f t="shared" si="5"/>
        <v>0</v>
      </c>
      <c r="AW110" s="2" t="str">
        <f>IF(Registered!AV110=0,"",IF(Registered!AV110=1,Registered!AV110&amp;" Meal",Registered!AV110&amp;" Meals"))</f>
        <v/>
      </c>
      <c r="AX110" s="2" t="str">
        <f>IF(Registered!AI110=0,"",Registered!AI110&amp;" BG")</f>
        <v/>
      </c>
      <c r="AY110" s="2" t="str">
        <f>IF(Registered!AG110=0,"",Registered!AG110&amp;" DustMask")</f>
        <v/>
      </c>
    </row>
    <row r="111" spans="1:51" customFormat="1" x14ac:dyDescent="0.25">
      <c r="A111" t="s">
        <v>390</v>
      </c>
      <c r="B111" t="s">
        <v>3642</v>
      </c>
      <c r="C111" t="s">
        <v>6090</v>
      </c>
      <c r="G111" t="s">
        <v>3643</v>
      </c>
      <c r="H111" t="s">
        <v>391</v>
      </c>
      <c r="I111" t="s">
        <v>3644</v>
      </c>
      <c r="J111" t="s">
        <v>37</v>
      </c>
      <c r="K111" t="s">
        <v>32</v>
      </c>
      <c r="L111" t="s">
        <v>35</v>
      </c>
      <c r="AQ111">
        <v>0</v>
      </c>
      <c r="AR111" s="3">
        <f t="shared" si="3"/>
        <v>0</v>
      </c>
      <c r="AS111" s="3">
        <f t="shared" si="4"/>
        <v>0</v>
      </c>
      <c r="AT111" s="3" t="str">
        <f>IF(OR(Registered!AM111&gt;0,Registered!AO111&gt;0),(IF(Registered!E111=0,"Size Not Specified",Registered!E111)),"")</f>
        <v/>
      </c>
      <c r="AU111" s="3" t="str">
        <f>IF(Registered!AE111=0,"",IF(Registered!AE111=1,Registered!AE111&amp;" Bandana",Registered!AE111&amp;" Bandanas"))</f>
        <v/>
      </c>
      <c r="AV111" s="3">
        <f t="shared" si="5"/>
        <v>0</v>
      </c>
      <c r="AW111" s="2" t="str">
        <f>IF(Registered!AV111=0,"",IF(Registered!AV111=1,Registered!AV111&amp;" Meal",Registered!AV111&amp;" Meals"))</f>
        <v/>
      </c>
      <c r="AX111" s="2" t="str">
        <f>IF(Registered!AI111=0,"",Registered!AI111&amp;" BG")</f>
        <v/>
      </c>
      <c r="AY111" s="2" t="str">
        <f>IF(Registered!AG111=0,"",Registered!AG111&amp;" DustMask")</f>
        <v/>
      </c>
    </row>
    <row r="112" spans="1:51" customFormat="1" x14ac:dyDescent="0.25">
      <c r="A112" t="s">
        <v>3545</v>
      </c>
      <c r="B112" t="s">
        <v>3546</v>
      </c>
      <c r="C112" t="s">
        <v>6090</v>
      </c>
      <c r="D112" t="s">
        <v>3645</v>
      </c>
      <c r="I112" t="s">
        <v>3547</v>
      </c>
      <c r="J112" t="s">
        <v>37</v>
      </c>
      <c r="K112" t="s">
        <v>32</v>
      </c>
      <c r="L112" t="s">
        <v>35</v>
      </c>
      <c r="Q112">
        <v>11</v>
      </c>
      <c r="R112">
        <v>3</v>
      </c>
      <c r="W112">
        <v>1</v>
      </c>
      <c r="X112">
        <v>40</v>
      </c>
      <c r="AA112">
        <v>1</v>
      </c>
      <c r="AB112">
        <v>75</v>
      </c>
      <c r="AQ112">
        <v>148</v>
      </c>
      <c r="AR112" s="3">
        <f t="shared" si="3"/>
        <v>60</v>
      </c>
      <c r="AS112" s="3">
        <f t="shared" si="4"/>
        <v>0</v>
      </c>
      <c r="AT112" s="3" t="str">
        <f>IF(OR(Registered!AM112&gt;0,Registered!AO112&gt;0),(IF(Registered!E112=0,"Size Not Specified",Registered!E112)),"")</f>
        <v/>
      </c>
      <c r="AU112" s="3" t="str">
        <f>IF(Registered!AE112=0,"",IF(Registered!AE112=1,Registered!AE112&amp;" Bandana",Registered!AE112&amp;" Bandanas"))</f>
        <v/>
      </c>
      <c r="AV112" s="3">
        <f t="shared" si="5"/>
        <v>0</v>
      </c>
      <c r="AW112" s="2" t="str">
        <f>IF(Registered!AV112=0,"",IF(Registered!AV112=1,Registered!AV112&amp;" Meal",Registered!AV112&amp;" Meals"))</f>
        <v/>
      </c>
      <c r="AX112" s="2" t="str">
        <f>IF(Registered!AI112=0,"",Registered!AI112&amp;" BG")</f>
        <v/>
      </c>
      <c r="AY112" s="2" t="str">
        <f>IF(Registered!AG112=0,"",Registered!AG112&amp;" DustMask")</f>
        <v/>
      </c>
    </row>
    <row r="113" spans="1:51" customFormat="1" x14ac:dyDescent="0.25">
      <c r="A113" t="s">
        <v>43</v>
      </c>
      <c r="B113" t="s">
        <v>676</v>
      </c>
      <c r="C113" t="s">
        <v>6090</v>
      </c>
      <c r="D113" t="s">
        <v>3646</v>
      </c>
      <c r="E113" t="s">
        <v>65</v>
      </c>
      <c r="F113" t="s">
        <v>261</v>
      </c>
      <c r="I113" t="s">
        <v>3647</v>
      </c>
      <c r="J113" t="s">
        <v>37</v>
      </c>
      <c r="K113" t="s">
        <v>32</v>
      </c>
      <c r="L113" t="s">
        <v>35</v>
      </c>
      <c r="Q113">
        <v>1</v>
      </c>
      <c r="R113">
        <v>3</v>
      </c>
      <c r="AC113">
        <v>1</v>
      </c>
      <c r="AD113">
        <v>10</v>
      </c>
      <c r="AK113">
        <v>1</v>
      </c>
      <c r="AL113">
        <v>6</v>
      </c>
      <c r="AO113">
        <v>1</v>
      </c>
      <c r="AP113">
        <v>10</v>
      </c>
      <c r="AQ113">
        <v>29</v>
      </c>
      <c r="AR113" s="3">
        <f t="shared" si="3"/>
        <v>5</v>
      </c>
      <c r="AS113" s="3">
        <f t="shared" si="4"/>
        <v>1</v>
      </c>
      <c r="AT113" s="3" t="str">
        <f>IF(OR(Registered!AM113&gt;0,Registered!AO113&gt;0),(IF(Registered!E113=0,"Size Not Specified",Registered!E113)),"")</f>
        <v>Medium</v>
      </c>
      <c r="AU113" s="3" t="str">
        <f>IF(Registered!AE113=0,"",IF(Registered!AE113=1,Registered!AE113&amp;" Bandana",Registered!AE113&amp;" Bandanas"))</f>
        <v/>
      </c>
      <c r="AV113" s="3">
        <f t="shared" si="5"/>
        <v>1</v>
      </c>
      <c r="AW113" s="2" t="str">
        <f>IF(Registered!AV113=0,"",IF(Registered!AV113=1,Registered!AV113&amp;" Meal",Registered!AV113&amp;" Meals"))</f>
        <v>1 Meal</v>
      </c>
      <c r="AX113" s="2" t="str">
        <f>IF(Registered!AI113=0,"",Registered!AI113&amp;" BG")</f>
        <v/>
      </c>
      <c r="AY113" s="2" t="str">
        <f>IF(Registered!AG113=0,"",Registered!AG113&amp;" DustMask")</f>
        <v/>
      </c>
    </row>
    <row r="114" spans="1:51" customFormat="1" x14ac:dyDescent="0.25">
      <c r="A114" t="s">
        <v>155</v>
      </c>
      <c r="B114" t="s">
        <v>676</v>
      </c>
      <c r="C114" t="s">
        <v>6090</v>
      </c>
      <c r="G114" t="s">
        <v>185</v>
      </c>
      <c r="H114" t="s">
        <v>259</v>
      </c>
      <c r="I114" t="s">
        <v>677</v>
      </c>
      <c r="J114" t="s">
        <v>37</v>
      </c>
      <c r="K114" t="s">
        <v>32</v>
      </c>
      <c r="L114" t="s">
        <v>35</v>
      </c>
      <c r="AQ114">
        <v>0</v>
      </c>
      <c r="AR114" s="3">
        <f t="shared" si="3"/>
        <v>0</v>
      </c>
      <c r="AS114" s="3">
        <f t="shared" si="4"/>
        <v>0</v>
      </c>
      <c r="AT114" s="3" t="str">
        <f>IF(OR(Registered!AM114&gt;0,Registered!AO114&gt;0),(IF(Registered!E114=0,"Size Not Specified",Registered!E114)),"")</f>
        <v/>
      </c>
      <c r="AU114" s="3" t="str">
        <f>IF(Registered!AE114=0,"",IF(Registered!AE114=1,Registered!AE114&amp;" Bandana",Registered!AE114&amp;" Bandanas"))</f>
        <v/>
      </c>
      <c r="AV114" s="3">
        <f t="shared" si="5"/>
        <v>0</v>
      </c>
      <c r="AW114" s="2" t="str">
        <f>IF(Registered!AV114=0,"",IF(Registered!AV114=1,Registered!AV114&amp;" Meal",Registered!AV114&amp;" Meals"))</f>
        <v/>
      </c>
      <c r="AX114" s="2" t="str">
        <f>IF(Registered!AI114=0,"",Registered!AI114&amp;" BG")</f>
        <v/>
      </c>
      <c r="AY114" s="2" t="str">
        <f>IF(Registered!AG114=0,"",Registered!AG114&amp;" DustMask")</f>
        <v/>
      </c>
    </row>
    <row r="115" spans="1:51" customFormat="1" x14ac:dyDescent="0.25">
      <c r="A115" t="s">
        <v>424</v>
      </c>
      <c r="B115" t="s">
        <v>678</v>
      </c>
      <c r="C115" t="s">
        <v>6090</v>
      </c>
      <c r="G115" t="s">
        <v>502</v>
      </c>
      <c r="H115" t="s">
        <v>679</v>
      </c>
      <c r="I115" t="s">
        <v>680</v>
      </c>
      <c r="J115" t="s">
        <v>37</v>
      </c>
      <c r="K115" t="s">
        <v>32</v>
      </c>
      <c r="L115" t="s">
        <v>35</v>
      </c>
      <c r="AQ115">
        <v>0</v>
      </c>
      <c r="AR115" s="3">
        <f t="shared" si="3"/>
        <v>0</v>
      </c>
      <c r="AS115" s="3">
        <f t="shared" si="4"/>
        <v>0</v>
      </c>
      <c r="AT115" s="3" t="str">
        <f>IF(OR(Registered!AM115&gt;0,Registered!AO115&gt;0),(IF(Registered!E115=0,"Size Not Specified",Registered!E115)),"")</f>
        <v/>
      </c>
      <c r="AU115" s="3" t="str">
        <f>IF(Registered!AE115=0,"",IF(Registered!AE115=1,Registered!AE115&amp;" Bandana",Registered!AE115&amp;" Bandanas"))</f>
        <v/>
      </c>
      <c r="AV115" s="3">
        <f t="shared" si="5"/>
        <v>0</v>
      </c>
      <c r="AW115" s="2" t="str">
        <f>IF(Registered!AV115=0,"",IF(Registered!AV115=1,Registered!AV115&amp;" Meal",Registered!AV115&amp;" Meals"))</f>
        <v/>
      </c>
      <c r="AX115" s="2" t="str">
        <f>IF(Registered!AI115=0,"",Registered!AI115&amp;" BG")</f>
        <v/>
      </c>
      <c r="AY115" s="2" t="str">
        <f>IF(Registered!AG115=0,"",Registered!AG115&amp;" DustMask")</f>
        <v/>
      </c>
    </row>
    <row r="116" spans="1:51" customFormat="1" x14ac:dyDescent="0.25">
      <c r="A116" t="s">
        <v>75</v>
      </c>
      <c r="B116" t="s">
        <v>3648</v>
      </c>
      <c r="C116" t="s">
        <v>6090</v>
      </c>
      <c r="G116" t="s">
        <v>335</v>
      </c>
      <c r="H116" t="s">
        <v>3649</v>
      </c>
      <c r="I116" t="s">
        <v>3650</v>
      </c>
      <c r="J116" t="s">
        <v>37</v>
      </c>
      <c r="K116" t="s">
        <v>32</v>
      </c>
      <c r="L116" t="s">
        <v>35</v>
      </c>
      <c r="AQ116">
        <v>0</v>
      </c>
      <c r="AR116" s="3">
        <f t="shared" si="3"/>
        <v>0</v>
      </c>
      <c r="AS116" s="3">
        <f t="shared" si="4"/>
        <v>0</v>
      </c>
      <c r="AT116" s="3" t="str">
        <f>IF(OR(Registered!AM116&gt;0,Registered!AO116&gt;0),(IF(Registered!E116=0,"Size Not Specified",Registered!E116)),"")</f>
        <v/>
      </c>
      <c r="AU116" s="3" t="str">
        <f>IF(Registered!AE116=0,"",IF(Registered!AE116=1,Registered!AE116&amp;" Bandana",Registered!AE116&amp;" Bandanas"))</f>
        <v/>
      </c>
      <c r="AV116" s="3">
        <f t="shared" si="5"/>
        <v>0</v>
      </c>
      <c r="AW116" s="2" t="str">
        <f>IF(Registered!AV116=0,"",IF(Registered!AV116=1,Registered!AV116&amp;" Meal",Registered!AV116&amp;" Meals"))</f>
        <v/>
      </c>
      <c r="AX116" s="2" t="str">
        <f>IF(Registered!AI116=0,"",Registered!AI116&amp;" BG")</f>
        <v/>
      </c>
      <c r="AY116" s="2" t="str">
        <f>IF(Registered!AG116=0,"",Registered!AG116&amp;" DustMask")</f>
        <v/>
      </c>
    </row>
    <row r="117" spans="1:51" customFormat="1" x14ac:dyDescent="0.25">
      <c r="A117" t="s">
        <v>188</v>
      </c>
      <c r="B117" t="s">
        <v>69</v>
      </c>
      <c r="C117" t="s">
        <v>6090</v>
      </c>
      <c r="G117" t="s">
        <v>681</v>
      </c>
      <c r="H117" t="s">
        <v>69</v>
      </c>
      <c r="I117" t="s">
        <v>682</v>
      </c>
      <c r="J117" t="s">
        <v>37</v>
      </c>
      <c r="K117" t="s">
        <v>32</v>
      </c>
      <c r="L117" t="s">
        <v>35</v>
      </c>
      <c r="AQ117">
        <v>0</v>
      </c>
      <c r="AR117" s="3">
        <f t="shared" si="3"/>
        <v>0</v>
      </c>
      <c r="AS117" s="3">
        <f t="shared" si="4"/>
        <v>0</v>
      </c>
      <c r="AT117" s="3" t="str">
        <f>IF(OR(Registered!AM117&gt;0,Registered!AO117&gt;0),(IF(Registered!E117=0,"Size Not Specified",Registered!E117)),"")</f>
        <v/>
      </c>
      <c r="AU117" s="3" t="str">
        <f>IF(Registered!AE117=0,"",IF(Registered!AE117=1,Registered!AE117&amp;" Bandana",Registered!AE117&amp;" Bandanas"))</f>
        <v/>
      </c>
      <c r="AV117" s="3">
        <f t="shared" si="5"/>
        <v>0</v>
      </c>
      <c r="AW117" s="2" t="str">
        <f>IF(Registered!AV117=0,"",IF(Registered!AV117=1,Registered!AV117&amp;" Meal",Registered!AV117&amp;" Meals"))</f>
        <v/>
      </c>
      <c r="AX117" s="2" t="str">
        <f>IF(Registered!AI117=0,"",Registered!AI117&amp;" BG")</f>
        <v/>
      </c>
      <c r="AY117" s="2" t="str">
        <f>IF(Registered!AG117=0,"",Registered!AG117&amp;" DustMask")</f>
        <v/>
      </c>
    </row>
    <row r="118" spans="1:51" customFormat="1" x14ac:dyDescent="0.25">
      <c r="A118" t="s">
        <v>315</v>
      </c>
      <c r="B118" t="s">
        <v>69</v>
      </c>
      <c r="C118" t="s">
        <v>6090</v>
      </c>
      <c r="G118" t="s">
        <v>681</v>
      </c>
      <c r="H118" t="s">
        <v>69</v>
      </c>
      <c r="I118" t="s">
        <v>682</v>
      </c>
      <c r="J118" t="s">
        <v>37</v>
      </c>
      <c r="K118" t="s">
        <v>32</v>
      </c>
      <c r="L118" t="s">
        <v>35</v>
      </c>
      <c r="AQ118">
        <v>0</v>
      </c>
      <c r="AR118" s="3">
        <f t="shared" si="3"/>
        <v>0</v>
      </c>
      <c r="AS118" s="3">
        <f t="shared" si="4"/>
        <v>0</v>
      </c>
      <c r="AT118" s="3" t="str">
        <f>IF(OR(Registered!AM118&gt;0,Registered!AO118&gt;0),(IF(Registered!E118=0,"Size Not Specified",Registered!E118)),"")</f>
        <v/>
      </c>
      <c r="AU118" s="3" t="str">
        <f>IF(Registered!AE118=0,"",IF(Registered!AE118=1,Registered!AE118&amp;" Bandana",Registered!AE118&amp;" Bandanas"))</f>
        <v/>
      </c>
      <c r="AV118" s="3">
        <f t="shared" si="5"/>
        <v>0</v>
      </c>
      <c r="AW118" s="2" t="str">
        <f>IF(Registered!AV118=0,"",IF(Registered!AV118=1,Registered!AV118&amp;" Meal",Registered!AV118&amp;" Meals"))</f>
        <v/>
      </c>
      <c r="AX118" s="2" t="str">
        <f>IF(Registered!AI118=0,"",Registered!AI118&amp;" BG")</f>
        <v/>
      </c>
      <c r="AY118" s="2" t="str">
        <f>IF(Registered!AG118=0,"",Registered!AG118&amp;" DustMask")</f>
        <v/>
      </c>
    </row>
    <row r="119" spans="1:51" customFormat="1" x14ac:dyDescent="0.25">
      <c r="A119" t="s">
        <v>681</v>
      </c>
      <c r="B119" t="s">
        <v>69</v>
      </c>
      <c r="C119" t="s">
        <v>6090</v>
      </c>
      <c r="D119" t="s">
        <v>683</v>
      </c>
      <c r="F119" t="s">
        <v>261</v>
      </c>
      <c r="I119" t="s">
        <v>682</v>
      </c>
      <c r="J119" t="s">
        <v>37</v>
      </c>
      <c r="K119" t="s">
        <v>32</v>
      </c>
      <c r="L119" t="s">
        <v>35</v>
      </c>
      <c r="Q119">
        <v>6</v>
      </c>
      <c r="R119">
        <v>3</v>
      </c>
      <c r="AA119">
        <v>1</v>
      </c>
      <c r="AB119">
        <v>75</v>
      </c>
      <c r="AQ119">
        <v>93</v>
      </c>
      <c r="AR119" s="3">
        <f t="shared" si="3"/>
        <v>40</v>
      </c>
      <c r="AS119" s="3">
        <f t="shared" si="4"/>
        <v>0</v>
      </c>
      <c r="AT119" s="3" t="str">
        <f>IF(OR(Registered!AM119&gt;0,Registered!AO119&gt;0),(IF(Registered!E119=0,"Size Not Specified",Registered!E119)),"")</f>
        <v/>
      </c>
      <c r="AU119" s="3" t="str">
        <f>IF(Registered!AE119=0,"",IF(Registered!AE119=1,Registered!AE119&amp;" Bandana",Registered!AE119&amp;" Bandanas"))</f>
        <v/>
      </c>
      <c r="AV119" s="3">
        <f t="shared" si="5"/>
        <v>0</v>
      </c>
      <c r="AW119" s="2" t="str">
        <f>IF(Registered!AV119=0,"",IF(Registered!AV119=1,Registered!AV119&amp;" Meal",Registered!AV119&amp;" Meals"))</f>
        <v/>
      </c>
      <c r="AX119" s="2" t="str">
        <f>IF(Registered!AI119=0,"",Registered!AI119&amp;" BG")</f>
        <v/>
      </c>
      <c r="AY119" s="2" t="str">
        <f>IF(Registered!AG119=0,"",Registered!AG119&amp;" DustMask")</f>
        <v/>
      </c>
    </row>
    <row r="120" spans="1:51" customFormat="1" x14ac:dyDescent="0.25">
      <c r="A120" t="s">
        <v>3061</v>
      </c>
      <c r="B120" t="s">
        <v>69</v>
      </c>
      <c r="C120" t="s">
        <v>6090</v>
      </c>
      <c r="G120" t="s">
        <v>412</v>
      </c>
      <c r="H120" t="s">
        <v>1037</v>
      </c>
      <c r="I120" t="s">
        <v>3651</v>
      </c>
      <c r="J120" t="s">
        <v>37</v>
      </c>
      <c r="K120" t="s">
        <v>32</v>
      </c>
      <c r="L120" t="s">
        <v>35</v>
      </c>
      <c r="AQ120">
        <v>0</v>
      </c>
      <c r="AR120" s="3">
        <f t="shared" si="3"/>
        <v>0</v>
      </c>
      <c r="AS120" s="3">
        <f t="shared" si="4"/>
        <v>0</v>
      </c>
      <c r="AT120" s="3" t="str">
        <f>IF(OR(Registered!AM120&gt;0,Registered!AO120&gt;0),(IF(Registered!E120=0,"Size Not Specified",Registered!E120)),"")</f>
        <v/>
      </c>
      <c r="AU120" s="3" t="str">
        <f>IF(Registered!AE120=0,"",IF(Registered!AE120=1,Registered!AE120&amp;" Bandana",Registered!AE120&amp;" Bandanas"))</f>
        <v/>
      </c>
      <c r="AV120" s="3">
        <f t="shared" si="5"/>
        <v>0</v>
      </c>
      <c r="AW120" s="2" t="str">
        <f>IF(Registered!AV120=0,"",IF(Registered!AV120=1,Registered!AV120&amp;" Meal",Registered!AV120&amp;" Meals"))</f>
        <v/>
      </c>
      <c r="AX120" s="2" t="str">
        <f>IF(Registered!AI120=0,"",Registered!AI120&amp;" BG")</f>
        <v/>
      </c>
      <c r="AY120" s="2" t="str">
        <f>IF(Registered!AG120=0,"",Registered!AG120&amp;" DustMask")</f>
        <v/>
      </c>
    </row>
    <row r="121" spans="1:51" customFormat="1" x14ac:dyDescent="0.25">
      <c r="A121" t="s">
        <v>50</v>
      </c>
      <c r="B121" t="s">
        <v>69</v>
      </c>
      <c r="C121" t="s">
        <v>6090</v>
      </c>
      <c r="G121" t="s">
        <v>681</v>
      </c>
      <c r="H121" t="s">
        <v>69</v>
      </c>
      <c r="I121" t="s">
        <v>682</v>
      </c>
      <c r="J121" t="s">
        <v>37</v>
      </c>
      <c r="K121" t="s">
        <v>32</v>
      </c>
      <c r="L121" t="s">
        <v>35</v>
      </c>
      <c r="AQ121">
        <v>0</v>
      </c>
      <c r="AR121" s="3">
        <f t="shared" si="3"/>
        <v>0</v>
      </c>
      <c r="AS121" s="3">
        <f t="shared" si="4"/>
        <v>0</v>
      </c>
      <c r="AT121" s="3" t="str">
        <f>IF(OR(Registered!AM121&gt;0,Registered!AO121&gt;0),(IF(Registered!E121=0,"Size Not Specified",Registered!E121)),"")</f>
        <v/>
      </c>
      <c r="AU121" s="3" t="str">
        <f>IF(Registered!AE121=0,"",IF(Registered!AE121=1,Registered!AE121&amp;" Bandana",Registered!AE121&amp;" Bandanas"))</f>
        <v/>
      </c>
      <c r="AV121" s="3">
        <f t="shared" si="5"/>
        <v>0</v>
      </c>
      <c r="AW121" s="2" t="str">
        <f>IF(Registered!AV121=0,"",IF(Registered!AV121=1,Registered!AV121&amp;" Meal",Registered!AV121&amp;" Meals"))</f>
        <v/>
      </c>
      <c r="AX121" s="2" t="str">
        <f>IF(Registered!AI121=0,"",Registered!AI121&amp;" BG")</f>
        <v/>
      </c>
      <c r="AY121" s="2" t="str">
        <f>IF(Registered!AG121=0,"",Registered!AG121&amp;" DustMask")</f>
        <v/>
      </c>
    </row>
    <row r="122" spans="1:51" customFormat="1" x14ac:dyDescent="0.25">
      <c r="A122" t="s">
        <v>684</v>
      </c>
      <c r="B122" t="s">
        <v>69</v>
      </c>
      <c r="C122" t="s">
        <v>6090</v>
      </c>
      <c r="G122" t="s">
        <v>681</v>
      </c>
      <c r="H122" t="s">
        <v>69</v>
      </c>
      <c r="I122" t="s">
        <v>682</v>
      </c>
      <c r="J122" t="s">
        <v>37</v>
      </c>
      <c r="K122" t="s">
        <v>32</v>
      </c>
      <c r="L122" t="s">
        <v>35</v>
      </c>
      <c r="AQ122">
        <v>0</v>
      </c>
      <c r="AR122" s="3">
        <f t="shared" si="3"/>
        <v>0</v>
      </c>
      <c r="AS122" s="3">
        <f t="shared" si="4"/>
        <v>0</v>
      </c>
      <c r="AT122" s="3" t="str">
        <f>IF(OR(Registered!AM122&gt;0,Registered!AO122&gt;0),(IF(Registered!E122=0,"Size Not Specified",Registered!E122)),"")</f>
        <v/>
      </c>
      <c r="AU122" s="3" t="str">
        <f>IF(Registered!AE122=0,"",IF(Registered!AE122=1,Registered!AE122&amp;" Bandana",Registered!AE122&amp;" Bandanas"))</f>
        <v/>
      </c>
      <c r="AV122" s="3">
        <f t="shared" si="5"/>
        <v>0</v>
      </c>
      <c r="AW122" s="2" t="str">
        <f>IF(Registered!AV122=0,"",IF(Registered!AV122=1,Registered!AV122&amp;" Meal",Registered!AV122&amp;" Meals"))</f>
        <v/>
      </c>
      <c r="AX122" s="2" t="str">
        <f>IF(Registered!AI122=0,"",Registered!AI122&amp;" BG")</f>
        <v/>
      </c>
      <c r="AY122" s="2" t="str">
        <f>IF(Registered!AG122=0,"",Registered!AG122&amp;" DustMask")</f>
        <v/>
      </c>
    </row>
    <row r="123" spans="1:51" customFormat="1" x14ac:dyDescent="0.25">
      <c r="A123" t="s">
        <v>3652</v>
      </c>
      <c r="B123" t="s">
        <v>69</v>
      </c>
      <c r="C123" t="s">
        <v>6090</v>
      </c>
      <c r="G123" t="s">
        <v>3653</v>
      </c>
      <c r="H123" t="s">
        <v>3654</v>
      </c>
      <c r="I123" t="s">
        <v>3655</v>
      </c>
      <c r="J123" t="s">
        <v>37</v>
      </c>
      <c r="K123" t="s">
        <v>32</v>
      </c>
      <c r="L123" t="s">
        <v>35</v>
      </c>
      <c r="AQ123">
        <v>0</v>
      </c>
      <c r="AR123" s="3">
        <f t="shared" si="3"/>
        <v>0</v>
      </c>
      <c r="AS123" s="3">
        <f t="shared" si="4"/>
        <v>0</v>
      </c>
      <c r="AT123" s="3" t="str">
        <f>IF(OR(Registered!AM123&gt;0,Registered!AO123&gt;0),(IF(Registered!E123=0,"Size Not Specified",Registered!E123)),"")</f>
        <v/>
      </c>
      <c r="AU123" s="3" t="str">
        <f>IF(Registered!AE123=0,"",IF(Registered!AE123=1,Registered!AE123&amp;" Bandana",Registered!AE123&amp;" Bandanas"))</f>
        <v/>
      </c>
      <c r="AV123" s="3">
        <f t="shared" si="5"/>
        <v>0</v>
      </c>
      <c r="AW123" s="2" t="str">
        <f>IF(Registered!AV123=0,"",IF(Registered!AV123=1,Registered!AV123&amp;" Meal",Registered!AV123&amp;" Meals"))</f>
        <v/>
      </c>
      <c r="AX123" s="2" t="str">
        <f>IF(Registered!AI123=0,"",Registered!AI123&amp;" BG")</f>
        <v/>
      </c>
      <c r="AY123" s="2" t="str">
        <f>IF(Registered!AG123=0,"",Registered!AG123&amp;" DustMask")</f>
        <v/>
      </c>
    </row>
    <row r="124" spans="1:51" customFormat="1" x14ac:dyDescent="0.25">
      <c r="A124" t="s">
        <v>185</v>
      </c>
      <c r="B124" t="s">
        <v>69</v>
      </c>
      <c r="C124" t="s">
        <v>6090</v>
      </c>
      <c r="D124" t="s">
        <v>685</v>
      </c>
      <c r="E124" t="s">
        <v>686</v>
      </c>
      <c r="F124" t="s">
        <v>261</v>
      </c>
      <c r="I124" t="s">
        <v>687</v>
      </c>
      <c r="J124" t="s">
        <v>37</v>
      </c>
      <c r="K124" t="s">
        <v>32</v>
      </c>
      <c r="L124" t="s">
        <v>35</v>
      </c>
      <c r="S124">
        <v>2</v>
      </c>
      <c r="T124">
        <v>3</v>
      </c>
      <c r="U124">
        <v>1</v>
      </c>
      <c r="V124">
        <v>20</v>
      </c>
      <c r="AQ124">
        <v>26</v>
      </c>
      <c r="AR124" s="3">
        <f t="shared" si="3"/>
        <v>10</v>
      </c>
      <c r="AS124" s="3">
        <f t="shared" si="4"/>
        <v>0</v>
      </c>
      <c r="AT124" s="3" t="str">
        <f>IF(OR(Registered!AM124&gt;0,Registered!AO124&gt;0),(IF(Registered!E124=0,"Size Not Specified",Registered!E124)),"")</f>
        <v/>
      </c>
      <c r="AU124" s="3" t="str">
        <f>IF(Registered!AE124=0,"",IF(Registered!AE124=1,Registered!AE124&amp;" Bandana",Registered!AE124&amp;" Bandanas"))</f>
        <v/>
      </c>
      <c r="AV124" s="3">
        <f t="shared" si="5"/>
        <v>0</v>
      </c>
      <c r="AW124" s="2" t="str">
        <f>IF(Registered!AV124=0,"",IF(Registered!AV124=1,Registered!AV124&amp;" Meal",Registered!AV124&amp;" Meals"))</f>
        <v/>
      </c>
      <c r="AX124" s="2" t="str">
        <f>IF(Registered!AI124=0,"",Registered!AI124&amp;" BG")</f>
        <v/>
      </c>
      <c r="AY124" s="2" t="str">
        <f>IF(Registered!AG124=0,"",Registered!AG124&amp;" DustMask")</f>
        <v/>
      </c>
    </row>
    <row r="125" spans="1:51" customFormat="1" x14ac:dyDescent="0.25">
      <c r="A125" t="s">
        <v>103</v>
      </c>
      <c r="B125" t="s">
        <v>69</v>
      </c>
      <c r="C125" t="s">
        <v>6090</v>
      </c>
      <c r="G125" t="s">
        <v>185</v>
      </c>
      <c r="H125" t="s">
        <v>69</v>
      </c>
      <c r="I125" t="s">
        <v>687</v>
      </c>
      <c r="J125" t="s">
        <v>37</v>
      </c>
      <c r="K125" t="s">
        <v>32</v>
      </c>
      <c r="L125" t="s">
        <v>35</v>
      </c>
      <c r="AQ125">
        <v>0</v>
      </c>
      <c r="AR125" s="3">
        <f t="shared" si="3"/>
        <v>0</v>
      </c>
      <c r="AS125" s="3">
        <f t="shared" si="4"/>
        <v>0</v>
      </c>
      <c r="AT125" s="3" t="str">
        <f>IF(OR(Registered!AM125&gt;0,Registered!AO125&gt;0),(IF(Registered!E125=0,"Size Not Specified",Registered!E125)),"")</f>
        <v/>
      </c>
      <c r="AU125" s="3" t="str">
        <f>IF(Registered!AE125=0,"",IF(Registered!AE125=1,Registered!AE125&amp;" Bandana",Registered!AE125&amp;" Bandanas"))</f>
        <v/>
      </c>
      <c r="AV125" s="3">
        <f t="shared" si="5"/>
        <v>0</v>
      </c>
      <c r="AW125" s="2" t="str">
        <f>IF(Registered!AV125=0,"",IF(Registered!AV125=1,Registered!AV125&amp;" Meal",Registered!AV125&amp;" Meals"))</f>
        <v/>
      </c>
      <c r="AX125" s="2" t="str">
        <f>IF(Registered!AI125=0,"",Registered!AI125&amp;" BG")</f>
        <v/>
      </c>
      <c r="AY125" s="2" t="str">
        <f>IF(Registered!AG125=0,"",Registered!AG125&amp;" DustMask")</f>
        <v/>
      </c>
    </row>
    <row r="126" spans="1:51" customFormat="1" x14ac:dyDescent="0.25">
      <c r="A126" t="s">
        <v>181</v>
      </c>
      <c r="B126" t="s">
        <v>69</v>
      </c>
      <c r="C126" t="s">
        <v>6090</v>
      </c>
      <c r="G126" t="s">
        <v>681</v>
      </c>
      <c r="H126" t="s">
        <v>69</v>
      </c>
      <c r="I126" t="s">
        <v>682</v>
      </c>
      <c r="J126" t="s">
        <v>37</v>
      </c>
      <c r="K126" t="s">
        <v>32</v>
      </c>
      <c r="L126" t="s">
        <v>35</v>
      </c>
      <c r="AQ126">
        <v>0</v>
      </c>
      <c r="AR126" s="3">
        <f t="shared" si="3"/>
        <v>0</v>
      </c>
      <c r="AS126" s="3">
        <f t="shared" si="4"/>
        <v>0</v>
      </c>
      <c r="AT126" s="3" t="str">
        <f>IF(OR(Registered!AM126&gt;0,Registered!AO126&gt;0),(IF(Registered!E126=0,"Size Not Specified",Registered!E126)),"")</f>
        <v/>
      </c>
      <c r="AU126" s="3" t="str">
        <f>IF(Registered!AE126=0,"",IF(Registered!AE126=1,Registered!AE126&amp;" Bandana",Registered!AE126&amp;" Bandanas"))</f>
        <v/>
      </c>
      <c r="AV126" s="3">
        <f t="shared" si="5"/>
        <v>0</v>
      </c>
      <c r="AW126" s="2" t="str">
        <f>IF(Registered!AV126=0,"",IF(Registered!AV126=1,Registered!AV126&amp;" Meal",Registered!AV126&amp;" Meals"))</f>
        <v/>
      </c>
      <c r="AX126" s="2" t="str">
        <f>IF(Registered!AI126=0,"",Registered!AI126&amp;" BG")</f>
        <v/>
      </c>
      <c r="AY126" s="2" t="str">
        <f>IF(Registered!AG126=0,"",Registered!AG126&amp;" DustMask")</f>
        <v/>
      </c>
    </row>
    <row r="127" spans="1:51" customFormat="1" x14ac:dyDescent="0.25">
      <c r="A127" t="s">
        <v>3659</v>
      </c>
      <c r="B127" t="s">
        <v>312</v>
      </c>
      <c r="C127" t="s">
        <v>6090</v>
      </c>
      <c r="D127" t="s">
        <v>3660</v>
      </c>
      <c r="F127" t="s">
        <v>261</v>
      </c>
      <c r="I127" t="s">
        <v>3661</v>
      </c>
      <c r="J127" t="s">
        <v>37</v>
      </c>
      <c r="K127" t="s">
        <v>32</v>
      </c>
      <c r="L127" t="s">
        <v>35</v>
      </c>
      <c r="Q127">
        <v>2</v>
      </c>
      <c r="R127">
        <v>3</v>
      </c>
      <c r="U127">
        <v>1</v>
      </c>
      <c r="V127">
        <v>20</v>
      </c>
      <c r="AQ127">
        <v>26</v>
      </c>
      <c r="AR127" s="3">
        <f t="shared" si="3"/>
        <v>10</v>
      </c>
      <c r="AS127" s="3">
        <f t="shared" si="4"/>
        <v>0</v>
      </c>
      <c r="AT127" s="3" t="str">
        <f>IF(OR(Registered!AM127&gt;0,Registered!AO127&gt;0),(IF(Registered!E127=0,"Size Not Specified",Registered!E127)),"")</f>
        <v/>
      </c>
      <c r="AU127" s="3" t="str">
        <f>IF(Registered!AE127=0,"",IF(Registered!AE127=1,Registered!AE127&amp;" Bandana",Registered!AE127&amp;" Bandanas"))</f>
        <v/>
      </c>
      <c r="AV127" s="3">
        <f t="shared" si="5"/>
        <v>0</v>
      </c>
      <c r="AW127" s="2" t="str">
        <f>IF(Registered!AV127=0,"",IF(Registered!AV127=1,Registered!AV127&amp;" Meal",Registered!AV127&amp;" Meals"))</f>
        <v/>
      </c>
      <c r="AX127" s="2" t="str">
        <f>IF(Registered!AI127=0,"",Registered!AI127&amp;" BG")</f>
        <v/>
      </c>
      <c r="AY127" s="2" t="str">
        <f>IF(Registered!AG127=0,"",Registered!AG127&amp;" DustMask")</f>
        <v/>
      </c>
    </row>
    <row r="128" spans="1:51" customFormat="1" x14ac:dyDescent="0.25">
      <c r="A128" t="s">
        <v>395</v>
      </c>
      <c r="B128" t="s">
        <v>312</v>
      </c>
      <c r="C128" t="s">
        <v>6090</v>
      </c>
      <c r="D128" t="s">
        <v>3662</v>
      </c>
      <c r="F128" t="s">
        <v>261</v>
      </c>
      <c r="I128" t="s">
        <v>3663</v>
      </c>
      <c r="J128" t="s">
        <v>37</v>
      </c>
      <c r="K128" t="s">
        <v>32</v>
      </c>
      <c r="L128" t="s">
        <v>35</v>
      </c>
      <c r="Q128">
        <v>1</v>
      </c>
      <c r="R128">
        <v>3</v>
      </c>
      <c r="AQ128">
        <v>3</v>
      </c>
      <c r="AR128" s="3">
        <f t="shared" si="3"/>
        <v>0</v>
      </c>
      <c r="AS128" s="3">
        <f t="shared" si="4"/>
        <v>0</v>
      </c>
      <c r="AT128" s="3" t="str">
        <f>IF(OR(Registered!AM128&gt;0,Registered!AO128&gt;0),(IF(Registered!E128=0,"Size Not Specified",Registered!E128)),"")</f>
        <v/>
      </c>
      <c r="AU128" s="3" t="str">
        <f>IF(Registered!AE128=0,"",IF(Registered!AE128=1,Registered!AE128&amp;" Bandana",Registered!AE128&amp;" Bandanas"))</f>
        <v/>
      </c>
      <c r="AV128" s="3">
        <f t="shared" si="5"/>
        <v>0</v>
      </c>
      <c r="AW128" s="2" t="str">
        <f>IF(Registered!AV128=0,"",IF(Registered!AV128=1,Registered!AV128&amp;" Meal",Registered!AV128&amp;" Meals"))</f>
        <v/>
      </c>
      <c r="AX128" s="2" t="str">
        <f>IF(Registered!AI128=0,"",Registered!AI128&amp;" BG")</f>
        <v/>
      </c>
      <c r="AY128" s="2" t="str">
        <f>IF(Registered!AG128=0,"",Registered!AG128&amp;" DustMask")</f>
        <v/>
      </c>
    </row>
    <row r="129" spans="1:51" customFormat="1" x14ac:dyDescent="0.25">
      <c r="A129" t="s">
        <v>383</v>
      </c>
      <c r="B129" t="s">
        <v>312</v>
      </c>
      <c r="C129" t="s">
        <v>6090</v>
      </c>
      <c r="G129" t="s">
        <v>190</v>
      </c>
      <c r="H129" t="s">
        <v>252</v>
      </c>
      <c r="I129" t="s">
        <v>688</v>
      </c>
      <c r="J129" t="s">
        <v>37</v>
      </c>
      <c r="K129" t="s">
        <v>32</v>
      </c>
      <c r="L129" t="s">
        <v>35</v>
      </c>
      <c r="AQ129">
        <v>0</v>
      </c>
      <c r="AR129" s="3">
        <f t="shared" si="3"/>
        <v>0</v>
      </c>
      <c r="AS129" s="3">
        <f t="shared" si="4"/>
        <v>0</v>
      </c>
      <c r="AT129" s="3" t="str">
        <f>IF(OR(Registered!AM129&gt;0,Registered!AO129&gt;0),(IF(Registered!E129=0,"Size Not Specified",Registered!E129)),"")</f>
        <v/>
      </c>
      <c r="AU129" s="3" t="str">
        <f>IF(Registered!AE129=0,"",IF(Registered!AE129=1,Registered!AE129&amp;" Bandana",Registered!AE129&amp;" Bandanas"))</f>
        <v/>
      </c>
      <c r="AV129" s="3">
        <f t="shared" si="5"/>
        <v>0</v>
      </c>
      <c r="AW129" s="2" t="str">
        <f>IF(Registered!AV129=0,"",IF(Registered!AV129=1,Registered!AV129&amp;" Meal",Registered!AV129&amp;" Meals"))</f>
        <v/>
      </c>
      <c r="AX129" s="2" t="str">
        <f>IF(Registered!AI129=0,"",Registered!AI129&amp;" BG")</f>
        <v/>
      </c>
      <c r="AY129" s="2" t="str">
        <f>IF(Registered!AG129=0,"",Registered!AG129&amp;" DustMask")</f>
        <v/>
      </c>
    </row>
    <row r="130" spans="1:51" customFormat="1" x14ac:dyDescent="0.25">
      <c r="A130" t="s">
        <v>2055</v>
      </c>
      <c r="B130" t="s">
        <v>312</v>
      </c>
      <c r="C130" t="s">
        <v>6090</v>
      </c>
      <c r="G130" t="s">
        <v>3664</v>
      </c>
      <c r="H130" t="s">
        <v>3665</v>
      </c>
      <c r="I130" t="s">
        <v>3666</v>
      </c>
      <c r="J130" t="s">
        <v>37</v>
      </c>
      <c r="K130" t="s">
        <v>32</v>
      </c>
      <c r="L130" t="s">
        <v>35</v>
      </c>
      <c r="AQ130">
        <v>0</v>
      </c>
      <c r="AR130" s="3">
        <f t="shared" ref="AR130:AR193" si="6">IF(ISTEXT(AM130)=TRUE,"",SUM(U130*10,W130*20,Y130*30,AA130*40,AC130*5,AM130*5))</f>
        <v>0</v>
      </c>
      <c r="AS130" s="3">
        <f t="shared" ref="AS130:AS193" si="7">IF(ISTEXT(AM130)=TRUE,"",SUM(AM130,AO130))</f>
        <v>0</v>
      </c>
      <c r="AT130" s="3" t="str">
        <f>IF(OR(Registered!AM130&gt;0,Registered!AO130&gt;0),(IF(Registered!E130=0,"Size Not Specified",Registered!E130)),"")</f>
        <v/>
      </c>
      <c r="AU130" s="3" t="str">
        <f>IF(Registered!AE130=0,"",IF(Registered!AE130=1,Registered!AE130&amp;" Bandana",Registered!AE130&amp;" Bandanas"))</f>
        <v/>
      </c>
      <c r="AV130" s="3">
        <f t="shared" ref="AV130:AV193" si="8">IF(ISTEXT(AM130)=TRUE,"",SUM(AM130,AK130))</f>
        <v>0</v>
      </c>
      <c r="AW130" s="2" t="str">
        <f>IF(Registered!AV130=0,"",IF(Registered!AV130=1,Registered!AV130&amp;" Meal",Registered!AV130&amp;" Meals"))</f>
        <v/>
      </c>
      <c r="AX130" s="2" t="str">
        <f>IF(Registered!AI130=0,"",Registered!AI130&amp;" BG")</f>
        <v/>
      </c>
      <c r="AY130" s="2" t="str">
        <f>IF(Registered!AG130=0,"",Registered!AG130&amp;" DustMask")</f>
        <v/>
      </c>
    </row>
    <row r="131" spans="1:51" customFormat="1" x14ac:dyDescent="0.25">
      <c r="A131" t="s">
        <v>398</v>
      </c>
      <c r="B131" t="s">
        <v>689</v>
      </c>
      <c r="C131" t="s">
        <v>6090</v>
      </c>
      <c r="F131" t="s">
        <v>261</v>
      </c>
      <c r="I131" t="s">
        <v>690</v>
      </c>
      <c r="J131" t="s">
        <v>37</v>
      </c>
      <c r="K131" t="s">
        <v>32</v>
      </c>
      <c r="L131" t="s">
        <v>35</v>
      </c>
      <c r="S131">
        <v>1</v>
      </c>
      <c r="T131">
        <v>3</v>
      </c>
      <c r="AQ131">
        <v>3</v>
      </c>
      <c r="AR131" s="3">
        <f t="shared" si="6"/>
        <v>0</v>
      </c>
      <c r="AS131" s="3">
        <f t="shared" si="7"/>
        <v>0</v>
      </c>
      <c r="AT131" s="3" t="str">
        <f>IF(OR(Registered!AM131&gt;0,Registered!AO131&gt;0),(IF(Registered!E131=0,"Size Not Specified",Registered!E131)),"")</f>
        <v/>
      </c>
      <c r="AU131" s="3" t="str">
        <f>IF(Registered!AE131=0,"",IF(Registered!AE131=1,Registered!AE131&amp;" Bandana",Registered!AE131&amp;" Bandanas"))</f>
        <v/>
      </c>
      <c r="AV131" s="3">
        <f t="shared" si="8"/>
        <v>0</v>
      </c>
      <c r="AW131" s="2" t="str">
        <f>IF(Registered!AV131=0,"",IF(Registered!AV131=1,Registered!AV131&amp;" Meal",Registered!AV131&amp;" Meals"))</f>
        <v/>
      </c>
      <c r="AX131" s="2" t="str">
        <f>IF(Registered!AI131=0,"",Registered!AI131&amp;" BG")</f>
        <v/>
      </c>
      <c r="AY131" s="2" t="str">
        <f>IF(Registered!AG131=0,"",Registered!AG131&amp;" DustMask")</f>
        <v/>
      </c>
    </row>
    <row r="132" spans="1:51" customFormat="1" x14ac:dyDescent="0.25">
      <c r="A132" t="s">
        <v>2710</v>
      </c>
      <c r="B132" t="s">
        <v>2711</v>
      </c>
      <c r="C132" t="s">
        <v>6090</v>
      </c>
      <c r="D132" t="s">
        <v>2712</v>
      </c>
      <c r="F132" t="s">
        <v>261</v>
      </c>
      <c r="I132" t="s">
        <v>2713</v>
      </c>
      <c r="J132" t="s">
        <v>37</v>
      </c>
      <c r="K132" t="s">
        <v>32</v>
      </c>
      <c r="L132" t="s">
        <v>35</v>
      </c>
      <c r="Q132">
        <v>3</v>
      </c>
      <c r="R132">
        <v>3</v>
      </c>
      <c r="W132">
        <v>1</v>
      </c>
      <c r="X132">
        <v>40</v>
      </c>
      <c r="AQ132">
        <v>49</v>
      </c>
      <c r="AR132" s="3">
        <f t="shared" si="6"/>
        <v>20</v>
      </c>
      <c r="AS132" s="3">
        <f t="shared" si="7"/>
        <v>0</v>
      </c>
      <c r="AT132" s="3" t="str">
        <f>IF(OR(Registered!AM132&gt;0,Registered!AO132&gt;0),(IF(Registered!E132=0,"Size Not Specified",Registered!E132)),"")</f>
        <v/>
      </c>
      <c r="AU132" s="3" t="str">
        <f>IF(Registered!AE132=0,"",IF(Registered!AE132=1,Registered!AE132&amp;" Bandana",Registered!AE132&amp;" Bandanas"))</f>
        <v/>
      </c>
      <c r="AV132" s="3">
        <f t="shared" si="8"/>
        <v>0</v>
      </c>
      <c r="AW132" s="2" t="str">
        <f>IF(Registered!AV132=0,"",IF(Registered!AV132=1,Registered!AV132&amp;" Meal",Registered!AV132&amp;" Meals"))</f>
        <v/>
      </c>
      <c r="AX132" s="2" t="str">
        <f>IF(Registered!AI132=0,"",Registered!AI132&amp;" BG")</f>
        <v/>
      </c>
      <c r="AY132" s="2" t="str">
        <f>IF(Registered!AG132=0,"",Registered!AG132&amp;" DustMask")</f>
        <v/>
      </c>
    </row>
    <row r="133" spans="1:51" customFormat="1" x14ac:dyDescent="0.25">
      <c r="A133" t="s">
        <v>3667</v>
      </c>
      <c r="B133" t="s">
        <v>3668</v>
      </c>
      <c r="C133" t="s">
        <v>6090</v>
      </c>
      <c r="G133" t="s">
        <v>3659</v>
      </c>
      <c r="H133" t="s">
        <v>1456</v>
      </c>
      <c r="I133" t="s">
        <v>3669</v>
      </c>
      <c r="J133" t="s">
        <v>37</v>
      </c>
      <c r="K133" t="s">
        <v>32</v>
      </c>
      <c r="L133" t="s">
        <v>35</v>
      </c>
      <c r="AQ133">
        <v>0</v>
      </c>
      <c r="AR133" s="3">
        <f t="shared" si="6"/>
        <v>0</v>
      </c>
      <c r="AS133" s="3">
        <f t="shared" si="7"/>
        <v>0</v>
      </c>
      <c r="AT133" s="3" t="str">
        <f>IF(OR(Registered!AM133&gt;0,Registered!AO133&gt;0),(IF(Registered!E133=0,"Size Not Specified",Registered!E133)),"")</f>
        <v/>
      </c>
      <c r="AU133" s="3" t="str">
        <f>IF(Registered!AE133=0,"",IF(Registered!AE133=1,Registered!AE133&amp;" Bandana",Registered!AE133&amp;" Bandanas"))</f>
        <v/>
      </c>
      <c r="AV133" s="3">
        <f t="shared" si="8"/>
        <v>0</v>
      </c>
      <c r="AW133" s="2" t="str">
        <f>IF(Registered!AV133=0,"",IF(Registered!AV133=1,Registered!AV133&amp;" Meal",Registered!AV133&amp;" Meals"))</f>
        <v/>
      </c>
      <c r="AX133" s="2" t="str">
        <f>IF(Registered!AI133=0,"",Registered!AI133&amp;" BG")</f>
        <v/>
      </c>
      <c r="AY133" s="2" t="str">
        <f>IF(Registered!AG133=0,"",Registered!AG133&amp;" DustMask")</f>
        <v/>
      </c>
    </row>
    <row r="134" spans="1:51" customFormat="1" x14ac:dyDescent="0.25">
      <c r="A134" t="s">
        <v>502</v>
      </c>
      <c r="B134" t="s">
        <v>73</v>
      </c>
      <c r="C134" t="s">
        <v>6090</v>
      </c>
      <c r="F134" t="s">
        <v>261</v>
      </c>
      <c r="I134" t="s">
        <v>694</v>
      </c>
      <c r="J134" t="s">
        <v>37</v>
      </c>
      <c r="K134" t="s">
        <v>32</v>
      </c>
      <c r="L134" t="s">
        <v>35</v>
      </c>
      <c r="S134">
        <v>1</v>
      </c>
      <c r="T134">
        <v>3</v>
      </c>
      <c r="AC134">
        <v>1</v>
      </c>
      <c r="AD134">
        <v>10</v>
      </c>
      <c r="AQ134">
        <v>13</v>
      </c>
      <c r="AR134" s="3">
        <f t="shared" si="6"/>
        <v>5</v>
      </c>
      <c r="AS134" s="3">
        <f t="shared" si="7"/>
        <v>0</v>
      </c>
      <c r="AT134" s="3" t="str">
        <f>IF(OR(Registered!AM134&gt;0,Registered!AO134&gt;0),(IF(Registered!E134=0,"Size Not Specified",Registered!E134)),"")</f>
        <v/>
      </c>
      <c r="AU134" s="3" t="str">
        <f>IF(Registered!AE134=0,"",IF(Registered!AE134=1,Registered!AE134&amp;" Bandana",Registered!AE134&amp;" Bandanas"))</f>
        <v/>
      </c>
      <c r="AV134" s="3">
        <f t="shared" si="8"/>
        <v>0</v>
      </c>
      <c r="AW134" s="2" t="str">
        <f>IF(Registered!AV134=0,"",IF(Registered!AV134=1,Registered!AV134&amp;" Meal",Registered!AV134&amp;" Meals"))</f>
        <v/>
      </c>
      <c r="AX134" s="2" t="str">
        <f>IF(Registered!AI134=0,"",Registered!AI134&amp;" BG")</f>
        <v/>
      </c>
      <c r="AY134" s="2" t="str">
        <f>IF(Registered!AG134=0,"",Registered!AG134&amp;" DustMask")</f>
        <v/>
      </c>
    </row>
    <row r="135" spans="1:51" customFormat="1" x14ac:dyDescent="0.25">
      <c r="A135" t="s">
        <v>2717</v>
      </c>
      <c r="B135" t="s">
        <v>2718</v>
      </c>
      <c r="C135" t="s">
        <v>6090</v>
      </c>
      <c r="D135" t="s">
        <v>2717</v>
      </c>
      <c r="F135" t="s">
        <v>261</v>
      </c>
      <c r="I135" t="s">
        <v>2719</v>
      </c>
      <c r="J135" t="s">
        <v>37</v>
      </c>
      <c r="K135" t="s">
        <v>32</v>
      </c>
      <c r="L135" t="s">
        <v>35</v>
      </c>
      <c r="Q135">
        <v>1</v>
      </c>
      <c r="R135">
        <v>3</v>
      </c>
      <c r="AC135">
        <v>1</v>
      </c>
      <c r="AD135">
        <v>10</v>
      </c>
      <c r="AQ135">
        <v>13</v>
      </c>
      <c r="AR135" s="3">
        <f t="shared" si="6"/>
        <v>5</v>
      </c>
      <c r="AS135" s="3">
        <f t="shared" si="7"/>
        <v>0</v>
      </c>
      <c r="AT135" s="3" t="str">
        <f>IF(OR(Registered!AM135&gt;0,Registered!AO135&gt;0),(IF(Registered!E135=0,"Size Not Specified",Registered!E135)),"")</f>
        <v/>
      </c>
      <c r="AU135" s="3" t="str">
        <f>IF(Registered!AE135=0,"",IF(Registered!AE135=1,Registered!AE135&amp;" Bandana",Registered!AE135&amp;" Bandanas"))</f>
        <v/>
      </c>
      <c r="AV135" s="3">
        <f t="shared" si="8"/>
        <v>0</v>
      </c>
      <c r="AW135" s="2" t="str">
        <f>IF(Registered!AV135=0,"",IF(Registered!AV135=1,Registered!AV135&amp;" Meal",Registered!AV135&amp;" Meals"))</f>
        <v/>
      </c>
      <c r="AX135" s="2" t="str">
        <f>IF(Registered!AI135=0,"",Registered!AI135&amp;" BG")</f>
        <v/>
      </c>
      <c r="AY135" s="2" t="str">
        <f>IF(Registered!AG135=0,"",Registered!AG135&amp;" DustMask")</f>
        <v/>
      </c>
    </row>
    <row r="136" spans="1:51" customFormat="1" x14ac:dyDescent="0.25">
      <c r="A136" t="s">
        <v>695</v>
      </c>
      <c r="B136" t="s">
        <v>696</v>
      </c>
      <c r="C136" t="s">
        <v>6090</v>
      </c>
      <c r="I136" t="s">
        <v>697</v>
      </c>
      <c r="J136" t="s">
        <v>37</v>
      </c>
      <c r="K136" t="s">
        <v>32</v>
      </c>
      <c r="L136" t="s">
        <v>35</v>
      </c>
      <c r="S136">
        <v>1</v>
      </c>
      <c r="T136">
        <v>3</v>
      </c>
      <c r="U136">
        <v>1</v>
      </c>
      <c r="V136">
        <v>20</v>
      </c>
      <c r="AE136">
        <v>1</v>
      </c>
      <c r="AF136">
        <v>6</v>
      </c>
      <c r="AQ136">
        <v>29</v>
      </c>
      <c r="AR136" s="3">
        <f t="shared" si="6"/>
        <v>10</v>
      </c>
      <c r="AS136" s="3">
        <f t="shared" si="7"/>
        <v>0</v>
      </c>
      <c r="AT136" s="3" t="str">
        <f>IF(OR(Registered!AM136&gt;0,Registered!AO136&gt;0),(IF(Registered!E136=0,"Size Not Specified",Registered!E136)),"")</f>
        <v/>
      </c>
      <c r="AU136" s="3" t="str">
        <f>IF(Registered!AE136=0,"",IF(Registered!AE136=1,Registered!AE136&amp;" Bandana",Registered!AE136&amp;" Bandanas"))</f>
        <v>1 Bandana</v>
      </c>
      <c r="AV136" s="3">
        <f t="shared" si="8"/>
        <v>0</v>
      </c>
      <c r="AW136" s="2" t="str">
        <f>IF(Registered!AV136=0,"",IF(Registered!AV136=1,Registered!AV136&amp;" Meal",Registered!AV136&amp;" Meals"))</f>
        <v/>
      </c>
      <c r="AX136" s="2" t="str">
        <f>IF(Registered!AI136=0,"",Registered!AI136&amp;" BG")</f>
        <v/>
      </c>
      <c r="AY136" s="2" t="str">
        <f>IF(Registered!AG136=0,"",Registered!AG136&amp;" DustMask")</f>
        <v/>
      </c>
    </row>
    <row r="137" spans="1:51" customFormat="1" x14ac:dyDescent="0.25">
      <c r="A137" t="s">
        <v>152</v>
      </c>
      <c r="B137" t="s">
        <v>698</v>
      </c>
      <c r="C137" t="s">
        <v>6090</v>
      </c>
      <c r="D137" t="s">
        <v>699</v>
      </c>
      <c r="F137" t="s">
        <v>261</v>
      </c>
      <c r="I137" t="s">
        <v>700</v>
      </c>
      <c r="J137" t="s">
        <v>37</v>
      </c>
      <c r="K137" t="s">
        <v>32</v>
      </c>
      <c r="L137" t="s">
        <v>35</v>
      </c>
      <c r="S137">
        <v>2</v>
      </c>
      <c r="T137">
        <v>3</v>
      </c>
      <c r="U137">
        <v>2</v>
      </c>
      <c r="V137">
        <v>20</v>
      </c>
      <c r="AQ137">
        <v>46</v>
      </c>
      <c r="AR137" s="3">
        <f t="shared" si="6"/>
        <v>20</v>
      </c>
      <c r="AS137" s="3">
        <f t="shared" si="7"/>
        <v>0</v>
      </c>
      <c r="AT137" s="3" t="str">
        <f>IF(OR(Registered!AM137&gt;0,Registered!AO137&gt;0),(IF(Registered!E137=0,"Size Not Specified",Registered!E137)),"")</f>
        <v/>
      </c>
      <c r="AU137" s="3" t="str">
        <f>IF(Registered!AE137=0,"",IF(Registered!AE137=1,Registered!AE137&amp;" Bandana",Registered!AE137&amp;" Bandanas"))</f>
        <v/>
      </c>
      <c r="AV137" s="3">
        <f t="shared" si="8"/>
        <v>0</v>
      </c>
      <c r="AW137" s="2" t="str">
        <f>IF(Registered!AV137=0,"",IF(Registered!AV137=1,Registered!AV137&amp;" Meal",Registered!AV137&amp;" Meals"))</f>
        <v/>
      </c>
      <c r="AX137" s="2" t="str">
        <f>IF(Registered!AI137=0,"",Registered!AI137&amp;" BG")</f>
        <v/>
      </c>
      <c r="AY137" s="2" t="str">
        <f>IF(Registered!AG137=0,"",Registered!AG137&amp;" DustMask")</f>
        <v/>
      </c>
    </row>
    <row r="138" spans="1:51" customFormat="1" x14ac:dyDescent="0.25">
      <c r="A138" t="s">
        <v>1251</v>
      </c>
      <c r="B138" t="s">
        <v>702</v>
      </c>
      <c r="C138" t="s">
        <v>6090</v>
      </c>
      <c r="G138" t="s">
        <v>225</v>
      </c>
      <c r="H138" t="s">
        <v>275</v>
      </c>
      <c r="I138" t="s">
        <v>3670</v>
      </c>
      <c r="J138" t="s">
        <v>37</v>
      </c>
      <c r="K138" t="s">
        <v>32</v>
      </c>
      <c r="L138" t="s">
        <v>35</v>
      </c>
      <c r="AQ138">
        <v>0</v>
      </c>
      <c r="AR138" s="3">
        <f t="shared" si="6"/>
        <v>0</v>
      </c>
      <c r="AS138" s="3">
        <f t="shared" si="7"/>
        <v>0</v>
      </c>
      <c r="AT138" s="3" t="str">
        <f>IF(OR(Registered!AM138&gt;0,Registered!AO138&gt;0),(IF(Registered!E138=0,"Size Not Specified",Registered!E138)),"")</f>
        <v/>
      </c>
      <c r="AU138" s="3" t="str">
        <f>IF(Registered!AE138=0,"",IF(Registered!AE138=1,Registered!AE138&amp;" Bandana",Registered!AE138&amp;" Bandanas"))</f>
        <v/>
      </c>
      <c r="AV138" s="3">
        <f t="shared" si="8"/>
        <v>0</v>
      </c>
      <c r="AW138" s="2" t="str">
        <f>IF(Registered!AV138=0,"",IF(Registered!AV138=1,Registered!AV138&amp;" Meal",Registered!AV138&amp;" Meals"))</f>
        <v/>
      </c>
      <c r="AX138" s="2" t="str">
        <f>IF(Registered!AI138=0,"",Registered!AI138&amp;" BG")</f>
        <v/>
      </c>
      <c r="AY138" s="2" t="str">
        <f>IF(Registered!AG138=0,"",Registered!AG138&amp;" DustMask")</f>
        <v/>
      </c>
    </row>
    <row r="139" spans="1:51" customFormat="1" x14ac:dyDescent="0.25">
      <c r="A139" t="s">
        <v>2720</v>
      </c>
      <c r="B139" t="s">
        <v>2721</v>
      </c>
      <c r="C139" t="s">
        <v>6090</v>
      </c>
      <c r="G139" t="s">
        <v>2722</v>
      </c>
      <c r="H139" t="s">
        <v>2723</v>
      </c>
      <c r="I139" t="s">
        <v>2724</v>
      </c>
      <c r="J139" t="s">
        <v>37</v>
      </c>
      <c r="K139" t="s">
        <v>32</v>
      </c>
      <c r="L139" t="s">
        <v>35</v>
      </c>
      <c r="AQ139">
        <v>0</v>
      </c>
      <c r="AR139" s="3">
        <f t="shared" si="6"/>
        <v>0</v>
      </c>
      <c r="AS139" s="3">
        <f t="shared" si="7"/>
        <v>0</v>
      </c>
      <c r="AT139" s="3" t="str">
        <f>IF(OR(Registered!AM139&gt;0,Registered!AO139&gt;0),(IF(Registered!E139=0,"Size Not Specified",Registered!E139)),"")</f>
        <v/>
      </c>
      <c r="AU139" s="3" t="str">
        <f>IF(Registered!AE139=0,"",IF(Registered!AE139=1,Registered!AE139&amp;" Bandana",Registered!AE139&amp;" Bandanas"))</f>
        <v/>
      </c>
      <c r="AV139" s="3">
        <f t="shared" si="8"/>
        <v>0</v>
      </c>
      <c r="AW139" s="2" t="str">
        <f>IF(Registered!AV139=0,"",IF(Registered!AV139=1,Registered!AV139&amp;" Meal",Registered!AV139&amp;" Meals"))</f>
        <v/>
      </c>
      <c r="AX139" s="2" t="str">
        <f>IF(Registered!AI139=0,"",Registered!AI139&amp;" BG")</f>
        <v/>
      </c>
      <c r="AY139" s="2" t="str">
        <f>IF(Registered!AG139=0,"",Registered!AG139&amp;" DustMask")</f>
        <v/>
      </c>
    </row>
    <row r="140" spans="1:51" customFormat="1" x14ac:dyDescent="0.25">
      <c r="A140" t="s">
        <v>1988</v>
      </c>
      <c r="B140" t="s">
        <v>3671</v>
      </c>
      <c r="C140" t="s">
        <v>6090</v>
      </c>
      <c r="G140" t="s">
        <v>233</v>
      </c>
      <c r="H140" t="s">
        <v>3672</v>
      </c>
      <c r="I140" t="s">
        <v>3673</v>
      </c>
      <c r="J140" t="s">
        <v>37</v>
      </c>
      <c r="K140" t="s">
        <v>32</v>
      </c>
      <c r="L140" t="s">
        <v>35</v>
      </c>
      <c r="AQ140">
        <v>0</v>
      </c>
      <c r="AR140" s="3">
        <f t="shared" si="6"/>
        <v>0</v>
      </c>
      <c r="AS140" s="3">
        <f t="shared" si="7"/>
        <v>0</v>
      </c>
      <c r="AT140" s="3" t="str">
        <f>IF(OR(Registered!AM140&gt;0,Registered!AO140&gt;0),(IF(Registered!E140=0,"Size Not Specified",Registered!E140)),"")</f>
        <v/>
      </c>
      <c r="AU140" s="3" t="str">
        <f>IF(Registered!AE140=0,"",IF(Registered!AE140=1,Registered!AE140&amp;" Bandana",Registered!AE140&amp;" Bandanas"))</f>
        <v/>
      </c>
      <c r="AV140" s="3">
        <f t="shared" si="8"/>
        <v>0</v>
      </c>
      <c r="AW140" s="2" t="str">
        <f>IF(Registered!AV140=0,"",IF(Registered!AV140=1,Registered!AV140&amp;" Meal",Registered!AV140&amp;" Meals"))</f>
        <v/>
      </c>
      <c r="AX140" s="2" t="str">
        <f>IF(Registered!AI140=0,"",Registered!AI140&amp;" BG")</f>
        <v/>
      </c>
      <c r="AY140" s="2" t="str">
        <f>IF(Registered!AG140=0,"",Registered!AG140&amp;" DustMask")</f>
        <v/>
      </c>
    </row>
    <row r="141" spans="1:51" customFormat="1" x14ac:dyDescent="0.25">
      <c r="A141" t="s">
        <v>3674</v>
      </c>
      <c r="B141" t="s">
        <v>77</v>
      </c>
      <c r="C141" t="s">
        <v>6090</v>
      </c>
      <c r="D141" t="s">
        <v>3675</v>
      </c>
      <c r="F141" t="s">
        <v>261</v>
      </c>
      <c r="I141" t="s">
        <v>3676</v>
      </c>
      <c r="J141" t="s">
        <v>37</v>
      </c>
      <c r="K141" t="s">
        <v>32</v>
      </c>
      <c r="L141" t="s">
        <v>35</v>
      </c>
      <c r="Q141">
        <v>1</v>
      </c>
      <c r="R141">
        <v>3</v>
      </c>
      <c r="AC141">
        <v>1</v>
      </c>
      <c r="AD141">
        <v>10</v>
      </c>
      <c r="AQ141">
        <v>13</v>
      </c>
      <c r="AR141" s="3">
        <f t="shared" si="6"/>
        <v>5</v>
      </c>
      <c r="AS141" s="3">
        <f t="shared" si="7"/>
        <v>0</v>
      </c>
      <c r="AT141" s="3" t="str">
        <f>IF(OR(Registered!AM141&gt;0,Registered!AO141&gt;0),(IF(Registered!E141=0,"Size Not Specified",Registered!E141)),"")</f>
        <v/>
      </c>
      <c r="AU141" s="3" t="str">
        <f>IF(Registered!AE141=0,"",IF(Registered!AE141=1,Registered!AE141&amp;" Bandana",Registered!AE141&amp;" Bandanas"))</f>
        <v/>
      </c>
      <c r="AV141" s="3">
        <f t="shared" si="8"/>
        <v>0</v>
      </c>
      <c r="AW141" s="2" t="str">
        <f>IF(Registered!AV141=0,"",IF(Registered!AV141=1,Registered!AV141&amp;" Meal",Registered!AV141&amp;" Meals"))</f>
        <v/>
      </c>
      <c r="AX141" s="2" t="str">
        <f>IF(Registered!AI141=0,"",Registered!AI141&amp;" BG")</f>
        <v/>
      </c>
      <c r="AY141" s="2" t="str">
        <f>IF(Registered!AG141=0,"",Registered!AG141&amp;" DustMask")</f>
        <v/>
      </c>
    </row>
    <row r="142" spans="1:51" customFormat="1" x14ac:dyDescent="0.25">
      <c r="A142" t="s">
        <v>46</v>
      </c>
      <c r="B142" t="s">
        <v>77</v>
      </c>
      <c r="C142" t="s">
        <v>6090</v>
      </c>
      <c r="D142" t="s">
        <v>3677</v>
      </c>
      <c r="F142" t="s">
        <v>261</v>
      </c>
      <c r="I142" t="s">
        <v>3678</v>
      </c>
      <c r="J142" t="s">
        <v>37</v>
      </c>
      <c r="K142" t="s">
        <v>32</v>
      </c>
      <c r="L142" t="s">
        <v>35</v>
      </c>
      <c r="Q142">
        <v>1</v>
      </c>
      <c r="R142">
        <v>3</v>
      </c>
      <c r="AC142">
        <v>1</v>
      </c>
      <c r="AD142">
        <v>10</v>
      </c>
      <c r="AQ142">
        <v>13</v>
      </c>
      <c r="AR142" s="3">
        <f t="shared" si="6"/>
        <v>5</v>
      </c>
      <c r="AS142" s="3">
        <f t="shared" si="7"/>
        <v>0</v>
      </c>
      <c r="AT142" s="3" t="str">
        <f>IF(OR(Registered!AM142&gt;0,Registered!AO142&gt;0),(IF(Registered!E142=0,"Size Not Specified",Registered!E142)),"")</f>
        <v/>
      </c>
      <c r="AU142" s="3" t="str">
        <f>IF(Registered!AE142=0,"",IF(Registered!AE142=1,Registered!AE142&amp;" Bandana",Registered!AE142&amp;" Bandanas"))</f>
        <v/>
      </c>
      <c r="AV142" s="3">
        <f t="shared" si="8"/>
        <v>0</v>
      </c>
      <c r="AW142" s="2" t="str">
        <f>IF(Registered!AV142=0,"",IF(Registered!AV142=1,Registered!AV142&amp;" Meal",Registered!AV142&amp;" Meals"))</f>
        <v/>
      </c>
      <c r="AX142" s="2" t="str">
        <f>IF(Registered!AI142=0,"",Registered!AI142&amp;" BG")</f>
        <v/>
      </c>
      <c r="AY142" s="2" t="str">
        <f>IF(Registered!AG142=0,"",Registered!AG142&amp;" DustMask")</f>
        <v/>
      </c>
    </row>
    <row r="143" spans="1:51" customFormat="1" x14ac:dyDescent="0.25">
      <c r="A143" t="s">
        <v>127</v>
      </c>
      <c r="B143" t="s">
        <v>77</v>
      </c>
      <c r="C143" t="s">
        <v>6090</v>
      </c>
      <c r="D143" t="s">
        <v>127</v>
      </c>
      <c r="F143" t="s">
        <v>261</v>
      </c>
      <c r="I143" t="s">
        <v>706</v>
      </c>
      <c r="J143" t="s">
        <v>37</v>
      </c>
      <c r="K143" t="s">
        <v>32</v>
      </c>
      <c r="L143" t="s">
        <v>35</v>
      </c>
      <c r="S143">
        <v>3</v>
      </c>
      <c r="T143">
        <v>3</v>
      </c>
      <c r="W143">
        <v>1</v>
      </c>
      <c r="X143">
        <v>40</v>
      </c>
      <c r="AQ143">
        <v>49</v>
      </c>
      <c r="AR143" s="3">
        <f t="shared" si="6"/>
        <v>20</v>
      </c>
      <c r="AS143" s="3">
        <f t="shared" si="7"/>
        <v>0</v>
      </c>
      <c r="AT143" s="3" t="str">
        <f>IF(OR(Registered!AM143&gt;0,Registered!AO143&gt;0),(IF(Registered!E143=0,"Size Not Specified",Registered!E143)),"")</f>
        <v/>
      </c>
      <c r="AU143" s="3" t="str">
        <f>IF(Registered!AE143=0,"",IF(Registered!AE143=1,Registered!AE143&amp;" Bandana",Registered!AE143&amp;" Bandanas"))</f>
        <v/>
      </c>
      <c r="AV143" s="3">
        <f t="shared" si="8"/>
        <v>0</v>
      </c>
      <c r="AW143" s="2" t="str">
        <f>IF(Registered!AV143=0,"",IF(Registered!AV143=1,Registered!AV143&amp;" Meal",Registered!AV143&amp;" Meals"))</f>
        <v/>
      </c>
      <c r="AX143" s="2" t="str">
        <f>IF(Registered!AI143=0,"",Registered!AI143&amp;" BG")</f>
        <v/>
      </c>
      <c r="AY143" s="2" t="str">
        <f>IF(Registered!AG143=0,"",Registered!AG143&amp;" DustMask")</f>
        <v/>
      </c>
    </row>
    <row r="144" spans="1:51" customFormat="1" x14ac:dyDescent="0.25">
      <c r="A144" t="s">
        <v>75</v>
      </c>
      <c r="B144" t="s">
        <v>77</v>
      </c>
      <c r="C144" t="s">
        <v>6090</v>
      </c>
      <c r="G144" t="s">
        <v>127</v>
      </c>
      <c r="H144" t="s">
        <v>77</v>
      </c>
      <c r="I144" t="s">
        <v>706</v>
      </c>
      <c r="J144" t="s">
        <v>37</v>
      </c>
      <c r="K144" t="s">
        <v>32</v>
      </c>
      <c r="L144" t="s">
        <v>35</v>
      </c>
      <c r="AQ144">
        <v>0</v>
      </c>
      <c r="AR144" s="3">
        <f t="shared" si="6"/>
        <v>0</v>
      </c>
      <c r="AS144" s="3">
        <f t="shared" si="7"/>
        <v>0</v>
      </c>
      <c r="AT144" s="3" t="str">
        <f>IF(OR(Registered!AM144&gt;0,Registered!AO144&gt;0),(IF(Registered!E144=0,"Size Not Specified",Registered!E144)),"")</f>
        <v/>
      </c>
      <c r="AU144" s="3" t="str">
        <f>IF(Registered!AE144=0,"",IF(Registered!AE144=1,Registered!AE144&amp;" Bandana",Registered!AE144&amp;" Bandanas"))</f>
        <v/>
      </c>
      <c r="AV144" s="3">
        <f t="shared" si="8"/>
        <v>0</v>
      </c>
      <c r="AW144" s="2" t="str">
        <f>IF(Registered!AV144=0,"",IF(Registered!AV144=1,Registered!AV144&amp;" Meal",Registered!AV144&amp;" Meals"))</f>
        <v/>
      </c>
      <c r="AX144" s="2" t="str">
        <f>IF(Registered!AI144=0,"",Registered!AI144&amp;" BG")</f>
        <v/>
      </c>
      <c r="AY144" s="2" t="str">
        <f>IF(Registered!AG144=0,"",Registered!AG144&amp;" DustMask")</f>
        <v/>
      </c>
    </row>
    <row r="145" spans="1:51" customFormat="1" x14ac:dyDescent="0.25">
      <c r="A145" t="s">
        <v>100</v>
      </c>
      <c r="B145" t="s">
        <v>77</v>
      </c>
      <c r="C145" t="s">
        <v>6090</v>
      </c>
      <c r="G145" t="s">
        <v>127</v>
      </c>
      <c r="H145" t="s">
        <v>77</v>
      </c>
      <c r="I145" t="s">
        <v>706</v>
      </c>
      <c r="J145" t="s">
        <v>37</v>
      </c>
      <c r="K145" t="s">
        <v>32</v>
      </c>
      <c r="L145" t="s">
        <v>35</v>
      </c>
      <c r="AQ145">
        <v>0</v>
      </c>
      <c r="AR145" s="3">
        <f t="shared" si="6"/>
        <v>0</v>
      </c>
      <c r="AS145" s="3">
        <f t="shared" si="7"/>
        <v>0</v>
      </c>
      <c r="AT145" s="3" t="str">
        <f>IF(OR(Registered!AM145&gt;0,Registered!AO145&gt;0),(IF(Registered!E145=0,"Size Not Specified",Registered!E145)),"")</f>
        <v/>
      </c>
      <c r="AU145" s="3" t="str">
        <f>IF(Registered!AE145=0,"",IF(Registered!AE145=1,Registered!AE145&amp;" Bandana",Registered!AE145&amp;" Bandanas"))</f>
        <v/>
      </c>
      <c r="AV145" s="3">
        <f t="shared" si="8"/>
        <v>0</v>
      </c>
      <c r="AW145" s="2" t="str">
        <f>IF(Registered!AV145=0,"",IF(Registered!AV145=1,Registered!AV145&amp;" Meal",Registered!AV145&amp;" Meals"))</f>
        <v/>
      </c>
      <c r="AX145" s="2" t="str">
        <f>IF(Registered!AI145=0,"",Registered!AI145&amp;" BG")</f>
        <v/>
      </c>
      <c r="AY145" s="2" t="str">
        <f>IF(Registered!AG145=0,"",Registered!AG145&amp;" DustMask")</f>
        <v/>
      </c>
    </row>
    <row r="146" spans="1:51" customFormat="1" x14ac:dyDescent="0.25">
      <c r="A146" t="s">
        <v>707</v>
      </c>
      <c r="B146" t="s">
        <v>708</v>
      </c>
      <c r="C146" t="s">
        <v>6090</v>
      </c>
      <c r="G146" t="s">
        <v>654</v>
      </c>
      <c r="H146" t="s">
        <v>655</v>
      </c>
      <c r="I146" t="s">
        <v>657</v>
      </c>
      <c r="J146" t="s">
        <v>37</v>
      </c>
      <c r="K146" t="s">
        <v>32</v>
      </c>
      <c r="L146" t="s">
        <v>35</v>
      </c>
      <c r="AQ146">
        <v>0</v>
      </c>
      <c r="AR146" s="3">
        <f t="shared" si="6"/>
        <v>0</v>
      </c>
      <c r="AS146" s="3">
        <f t="shared" si="7"/>
        <v>0</v>
      </c>
      <c r="AT146" s="3" t="str">
        <f>IF(OR(Registered!AM146&gt;0,Registered!AO146&gt;0),(IF(Registered!E146=0,"Size Not Specified",Registered!E146)),"")</f>
        <v/>
      </c>
      <c r="AU146" s="3" t="str">
        <f>IF(Registered!AE146=0,"",IF(Registered!AE146=1,Registered!AE146&amp;" Bandana",Registered!AE146&amp;" Bandanas"))</f>
        <v/>
      </c>
      <c r="AV146" s="3">
        <f t="shared" si="8"/>
        <v>0</v>
      </c>
      <c r="AW146" s="2" t="str">
        <f>IF(Registered!AV146=0,"",IF(Registered!AV146=1,Registered!AV146&amp;" Meal",Registered!AV146&amp;" Meals"))</f>
        <v/>
      </c>
      <c r="AX146" s="2" t="str">
        <f>IF(Registered!AI146=0,"",Registered!AI146&amp;" BG")</f>
        <v/>
      </c>
      <c r="AY146" s="2" t="str">
        <f>IF(Registered!AG146=0,"",Registered!AG146&amp;" DustMask")</f>
        <v/>
      </c>
    </row>
    <row r="147" spans="1:51" customFormat="1" x14ac:dyDescent="0.25">
      <c r="A147" t="s">
        <v>328</v>
      </c>
      <c r="B147" t="s">
        <v>708</v>
      </c>
      <c r="C147" t="s">
        <v>6090</v>
      </c>
      <c r="G147" t="s">
        <v>654</v>
      </c>
      <c r="H147" t="s">
        <v>655</v>
      </c>
      <c r="I147" t="s">
        <v>657</v>
      </c>
      <c r="J147" t="s">
        <v>37</v>
      </c>
      <c r="K147" t="s">
        <v>32</v>
      </c>
      <c r="L147" t="s">
        <v>35</v>
      </c>
      <c r="AQ147">
        <v>0</v>
      </c>
      <c r="AR147" s="3">
        <f t="shared" si="6"/>
        <v>0</v>
      </c>
      <c r="AS147" s="3">
        <f t="shared" si="7"/>
        <v>0</v>
      </c>
      <c r="AT147" s="3" t="str">
        <f>IF(OR(Registered!AM147&gt;0,Registered!AO147&gt;0),(IF(Registered!E147=0,"Size Not Specified",Registered!E147)),"")</f>
        <v/>
      </c>
      <c r="AU147" s="3" t="str">
        <f>IF(Registered!AE147=0,"",IF(Registered!AE147=1,Registered!AE147&amp;" Bandana",Registered!AE147&amp;" Bandanas"))</f>
        <v/>
      </c>
      <c r="AV147" s="3">
        <f t="shared" si="8"/>
        <v>0</v>
      </c>
      <c r="AW147" s="2" t="str">
        <f>IF(Registered!AV147=0,"",IF(Registered!AV147=1,Registered!AV147&amp;" Meal",Registered!AV147&amp;" Meals"))</f>
        <v/>
      </c>
      <c r="AX147" s="2" t="str">
        <f>IF(Registered!AI147=0,"",Registered!AI147&amp;" BG")</f>
        <v/>
      </c>
      <c r="AY147" s="2" t="str">
        <f>IF(Registered!AG147=0,"",Registered!AG147&amp;" DustMask")</f>
        <v/>
      </c>
    </row>
    <row r="148" spans="1:51" customFormat="1" x14ac:dyDescent="0.25">
      <c r="A148" t="s">
        <v>263</v>
      </c>
      <c r="B148" t="s">
        <v>433</v>
      </c>
      <c r="C148" t="s">
        <v>6090</v>
      </c>
      <c r="G148" t="s">
        <v>60</v>
      </c>
      <c r="H148" t="s">
        <v>2725</v>
      </c>
      <c r="I148" t="s">
        <v>2726</v>
      </c>
      <c r="J148" t="s">
        <v>37</v>
      </c>
      <c r="K148" t="s">
        <v>32</v>
      </c>
      <c r="L148" t="s">
        <v>35</v>
      </c>
      <c r="AQ148">
        <v>0</v>
      </c>
      <c r="AR148" s="3">
        <f t="shared" si="6"/>
        <v>0</v>
      </c>
      <c r="AS148" s="3">
        <f t="shared" si="7"/>
        <v>0</v>
      </c>
      <c r="AT148" s="3" t="str">
        <f>IF(OR(Registered!AM148&gt;0,Registered!AO148&gt;0),(IF(Registered!E148=0,"Size Not Specified",Registered!E148)),"")</f>
        <v/>
      </c>
      <c r="AU148" s="3" t="str">
        <f>IF(Registered!AE148=0,"",IF(Registered!AE148=1,Registered!AE148&amp;" Bandana",Registered!AE148&amp;" Bandanas"))</f>
        <v/>
      </c>
      <c r="AV148" s="3">
        <f t="shared" si="8"/>
        <v>0</v>
      </c>
      <c r="AW148" s="2" t="str">
        <f>IF(Registered!AV148=0,"",IF(Registered!AV148=1,Registered!AV148&amp;" Meal",Registered!AV148&amp;" Meals"))</f>
        <v/>
      </c>
      <c r="AX148" s="2" t="str">
        <f>IF(Registered!AI148=0,"",Registered!AI148&amp;" BG")</f>
        <v/>
      </c>
      <c r="AY148" s="2" t="str">
        <f>IF(Registered!AG148=0,"",Registered!AG148&amp;" DustMask")</f>
        <v/>
      </c>
    </row>
    <row r="149" spans="1:51" customFormat="1" x14ac:dyDescent="0.25">
      <c r="A149" t="s">
        <v>85</v>
      </c>
      <c r="B149" t="s">
        <v>433</v>
      </c>
      <c r="C149" t="s">
        <v>6090</v>
      </c>
      <c r="D149" t="s">
        <v>709</v>
      </c>
      <c r="F149" t="s">
        <v>261</v>
      </c>
      <c r="I149" t="s">
        <v>710</v>
      </c>
      <c r="J149" t="s">
        <v>37</v>
      </c>
      <c r="K149" t="s">
        <v>32</v>
      </c>
      <c r="L149" t="s">
        <v>35</v>
      </c>
      <c r="S149">
        <v>1</v>
      </c>
      <c r="T149">
        <v>3</v>
      </c>
      <c r="AC149">
        <v>1</v>
      </c>
      <c r="AD149">
        <v>10</v>
      </c>
      <c r="AQ149">
        <v>13</v>
      </c>
      <c r="AR149" s="3">
        <f t="shared" si="6"/>
        <v>5</v>
      </c>
      <c r="AS149" s="3">
        <f t="shared" si="7"/>
        <v>0</v>
      </c>
      <c r="AT149" s="3" t="str">
        <f>IF(OR(Registered!AM149&gt;0,Registered!AO149&gt;0),(IF(Registered!E149=0,"Size Not Specified",Registered!E149)),"")</f>
        <v/>
      </c>
      <c r="AU149" s="3" t="str">
        <f>IF(Registered!AE149=0,"",IF(Registered!AE149=1,Registered!AE149&amp;" Bandana",Registered!AE149&amp;" Bandanas"))</f>
        <v/>
      </c>
      <c r="AV149" s="3">
        <f t="shared" si="8"/>
        <v>0</v>
      </c>
      <c r="AW149" s="2" t="str">
        <f>IF(Registered!AV149=0,"",IF(Registered!AV149=1,Registered!AV149&amp;" Meal",Registered!AV149&amp;" Meals"))</f>
        <v/>
      </c>
      <c r="AX149" s="2" t="str">
        <f>IF(Registered!AI149=0,"",Registered!AI149&amp;" BG")</f>
        <v/>
      </c>
      <c r="AY149" s="2" t="str">
        <f>IF(Registered!AG149=0,"",Registered!AG149&amp;" DustMask")</f>
        <v/>
      </c>
    </row>
    <row r="150" spans="1:51" customFormat="1" x14ac:dyDescent="0.25">
      <c r="A150" t="s">
        <v>156</v>
      </c>
      <c r="B150" t="s">
        <v>313</v>
      </c>
      <c r="C150" t="s">
        <v>6090</v>
      </c>
      <c r="G150" t="s">
        <v>90</v>
      </c>
      <c r="H150" t="s">
        <v>313</v>
      </c>
      <c r="I150" t="s">
        <v>3679</v>
      </c>
      <c r="J150" t="s">
        <v>37</v>
      </c>
      <c r="K150" t="s">
        <v>32</v>
      </c>
      <c r="L150" t="s">
        <v>35</v>
      </c>
      <c r="AQ150">
        <v>0</v>
      </c>
      <c r="AR150" s="3">
        <f t="shared" si="6"/>
        <v>0</v>
      </c>
      <c r="AS150" s="3">
        <f t="shared" si="7"/>
        <v>0</v>
      </c>
      <c r="AT150" s="3" t="str">
        <f>IF(OR(Registered!AM150&gt;0,Registered!AO150&gt;0),(IF(Registered!E150=0,"Size Not Specified",Registered!E150)),"")</f>
        <v/>
      </c>
      <c r="AU150" s="3" t="str">
        <f>IF(Registered!AE150=0,"",IF(Registered!AE150=1,Registered!AE150&amp;" Bandana",Registered!AE150&amp;" Bandanas"))</f>
        <v/>
      </c>
      <c r="AV150" s="3">
        <f t="shared" si="8"/>
        <v>0</v>
      </c>
      <c r="AW150" s="2" t="str">
        <f>IF(Registered!AV150=0,"",IF(Registered!AV150=1,Registered!AV150&amp;" Meal",Registered!AV150&amp;" Meals"))</f>
        <v/>
      </c>
      <c r="AX150" s="2" t="str">
        <f>IF(Registered!AI150=0,"",Registered!AI150&amp;" BG")</f>
        <v/>
      </c>
      <c r="AY150" s="2" t="str">
        <f>IF(Registered!AG150=0,"",Registered!AG150&amp;" DustMask")</f>
        <v/>
      </c>
    </row>
    <row r="151" spans="1:51" customFormat="1" x14ac:dyDescent="0.25">
      <c r="A151" t="s">
        <v>711</v>
      </c>
      <c r="B151" t="s">
        <v>313</v>
      </c>
      <c r="C151" t="s">
        <v>6090</v>
      </c>
      <c r="D151" t="s">
        <v>712</v>
      </c>
      <c r="F151" t="s">
        <v>261</v>
      </c>
      <c r="I151" t="s">
        <v>713</v>
      </c>
      <c r="J151" t="s">
        <v>37</v>
      </c>
      <c r="K151" t="s">
        <v>32</v>
      </c>
      <c r="L151" t="s">
        <v>35</v>
      </c>
      <c r="S151">
        <v>3</v>
      </c>
      <c r="T151">
        <v>3</v>
      </c>
      <c r="W151">
        <v>1</v>
      </c>
      <c r="X151">
        <v>40</v>
      </c>
      <c r="AQ151">
        <v>49</v>
      </c>
      <c r="AR151" s="3">
        <f t="shared" si="6"/>
        <v>20</v>
      </c>
      <c r="AS151" s="3">
        <f t="shared" si="7"/>
        <v>0</v>
      </c>
      <c r="AT151" s="3" t="str">
        <f>IF(OR(Registered!AM151&gt;0,Registered!AO151&gt;0),(IF(Registered!E151=0,"Size Not Specified",Registered!E151)),"")</f>
        <v/>
      </c>
      <c r="AU151" s="3" t="str">
        <f>IF(Registered!AE151=0,"",IF(Registered!AE151=1,Registered!AE151&amp;" Bandana",Registered!AE151&amp;" Bandanas"))</f>
        <v/>
      </c>
      <c r="AV151" s="3">
        <f t="shared" si="8"/>
        <v>0</v>
      </c>
      <c r="AW151" s="2" t="str">
        <f>IF(Registered!AV151=0,"",IF(Registered!AV151=1,Registered!AV151&amp;" Meal",Registered!AV151&amp;" Meals"))</f>
        <v/>
      </c>
      <c r="AX151" s="2" t="str">
        <f>IF(Registered!AI151=0,"",Registered!AI151&amp;" BG")</f>
        <v/>
      </c>
      <c r="AY151" s="2" t="str">
        <f>IF(Registered!AG151=0,"",Registered!AG151&amp;" DustMask")</f>
        <v/>
      </c>
    </row>
    <row r="152" spans="1:51" customFormat="1" x14ac:dyDescent="0.25">
      <c r="A152" t="s">
        <v>90</v>
      </c>
      <c r="B152" t="s">
        <v>313</v>
      </c>
      <c r="C152" t="s">
        <v>6090</v>
      </c>
      <c r="D152" t="s">
        <v>90</v>
      </c>
      <c r="F152" t="s">
        <v>261</v>
      </c>
      <c r="I152" t="s">
        <v>3679</v>
      </c>
      <c r="J152" t="s">
        <v>37</v>
      </c>
      <c r="K152" t="s">
        <v>32</v>
      </c>
      <c r="L152" t="s">
        <v>35</v>
      </c>
      <c r="Q152">
        <v>8</v>
      </c>
      <c r="R152">
        <v>3</v>
      </c>
      <c r="U152">
        <v>1</v>
      </c>
      <c r="V152">
        <v>20</v>
      </c>
      <c r="AQ152">
        <v>44</v>
      </c>
      <c r="AR152" s="3">
        <f t="shared" si="6"/>
        <v>10</v>
      </c>
      <c r="AS152" s="3">
        <f t="shared" si="7"/>
        <v>0</v>
      </c>
      <c r="AT152" s="3" t="str">
        <f>IF(OR(Registered!AM152&gt;0,Registered!AO152&gt;0),(IF(Registered!E152=0,"Size Not Specified",Registered!E152)),"")</f>
        <v/>
      </c>
      <c r="AU152" s="3" t="str">
        <f>IF(Registered!AE152=0,"",IF(Registered!AE152=1,Registered!AE152&amp;" Bandana",Registered!AE152&amp;" Bandanas"))</f>
        <v/>
      </c>
      <c r="AV152" s="3">
        <f t="shared" si="8"/>
        <v>0</v>
      </c>
      <c r="AW152" s="2" t="str">
        <f>IF(Registered!AV152=0,"",IF(Registered!AV152=1,Registered!AV152&amp;" Meal",Registered!AV152&amp;" Meals"))</f>
        <v/>
      </c>
      <c r="AX152" s="2" t="str">
        <f>IF(Registered!AI152=0,"",Registered!AI152&amp;" BG")</f>
        <v/>
      </c>
      <c r="AY152" s="2" t="str">
        <f>IF(Registered!AG152=0,"",Registered!AG152&amp;" DustMask")</f>
        <v/>
      </c>
    </row>
    <row r="153" spans="1:51" customFormat="1" x14ac:dyDescent="0.25">
      <c r="A153" t="s">
        <v>2727</v>
      </c>
      <c r="B153" t="s">
        <v>717</v>
      </c>
      <c r="C153" t="s">
        <v>6090</v>
      </c>
      <c r="D153" t="s">
        <v>2728</v>
      </c>
      <c r="F153" t="s">
        <v>261</v>
      </c>
      <c r="I153" t="s">
        <v>2729</v>
      </c>
      <c r="J153" t="s">
        <v>37</v>
      </c>
      <c r="K153" t="s">
        <v>32</v>
      </c>
      <c r="L153" t="s">
        <v>35</v>
      </c>
      <c r="Q153">
        <v>5</v>
      </c>
      <c r="R153">
        <v>3</v>
      </c>
      <c r="W153">
        <v>1</v>
      </c>
      <c r="X153">
        <v>40</v>
      </c>
      <c r="AQ153">
        <v>55</v>
      </c>
      <c r="AR153" s="3">
        <f t="shared" si="6"/>
        <v>20</v>
      </c>
      <c r="AS153" s="3">
        <f t="shared" si="7"/>
        <v>0</v>
      </c>
      <c r="AT153" s="3" t="str">
        <f>IF(OR(Registered!AM153&gt;0,Registered!AO153&gt;0),(IF(Registered!E153=0,"Size Not Specified",Registered!E153)),"")</f>
        <v/>
      </c>
      <c r="AU153" s="3" t="str">
        <f>IF(Registered!AE153=0,"",IF(Registered!AE153=1,Registered!AE153&amp;" Bandana",Registered!AE153&amp;" Bandanas"))</f>
        <v/>
      </c>
      <c r="AV153" s="3">
        <f t="shared" si="8"/>
        <v>0</v>
      </c>
      <c r="AW153" s="2" t="str">
        <f>IF(Registered!AV153=0,"",IF(Registered!AV153=1,Registered!AV153&amp;" Meal",Registered!AV153&amp;" Meals"))</f>
        <v/>
      </c>
      <c r="AX153" s="2" t="str">
        <f>IF(Registered!AI153=0,"",Registered!AI153&amp;" BG")</f>
        <v/>
      </c>
      <c r="AY153" s="2" t="str">
        <f>IF(Registered!AG153=0,"",Registered!AG153&amp;" DustMask")</f>
        <v/>
      </c>
    </row>
    <row r="154" spans="1:51" customFormat="1" x14ac:dyDescent="0.25">
      <c r="A154" t="s">
        <v>2730</v>
      </c>
      <c r="B154" t="s">
        <v>717</v>
      </c>
      <c r="C154" t="s">
        <v>6090</v>
      </c>
      <c r="G154" t="s">
        <v>2727</v>
      </c>
      <c r="H154" t="s">
        <v>717</v>
      </c>
      <c r="I154" t="s">
        <v>2729</v>
      </c>
      <c r="J154" t="s">
        <v>37</v>
      </c>
      <c r="K154" t="s">
        <v>32</v>
      </c>
      <c r="L154" t="s">
        <v>35</v>
      </c>
      <c r="AQ154">
        <v>0</v>
      </c>
      <c r="AR154" s="3">
        <f t="shared" si="6"/>
        <v>0</v>
      </c>
      <c r="AS154" s="3">
        <f t="shared" si="7"/>
        <v>0</v>
      </c>
      <c r="AT154" s="3" t="str">
        <f>IF(OR(Registered!AM154&gt;0,Registered!AO154&gt;0),(IF(Registered!E154=0,"Size Not Specified",Registered!E154)),"")</f>
        <v/>
      </c>
      <c r="AU154" s="3" t="str">
        <f>IF(Registered!AE154=0,"",IF(Registered!AE154=1,Registered!AE154&amp;" Bandana",Registered!AE154&amp;" Bandanas"))</f>
        <v/>
      </c>
      <c r="AV154" s="3">
        <f t="shared" si="8"/>
        <v>0</v>
      </c>
      <c r="AW154" s="2" t="str">
        <f>IF(Registered!AV154=0,"",IF(Registered!AV154=1,Registered!AV154&amp;" Meal",Registered!AV154&amp;" Meals"))</f>
        <v/>
      </c>
      <c r="AX154" s="2" t="str">
        <f>IF(Registered!AI154=0,"",Registered!AI154&amp;" BG")</f>
        <v/>
      </c>
      <c r="AY154" s="2" t="str">
        <f>IF(Registered!AG154=0,"",Registered!AG154&amp;" DustMask")</f>
        <v/>
      </c>
    </row>
    <row r="155" spans="1:51" customFormat="1" x14ac:dyDescent="0.25">
      <c r="A155" t="s">
        <v>377</v>
      </c>
      <c r="B155" t="s">
        <v>3680</v>
      </c>
      <c r="C155" t="s">
        <v>6090</v>
      </c>
      <c r="G155" t="s">
        <v>3681</v>
      </c>
      <c r="H155" t="s">
        <v>3680</v>
      </c>
      <c r="I155" t="s">
        <v>3682</v>
      </c>
      <c r="J155" t="s">
        <v>37</v>
      </c>
      <c r="K155" t="s">
        <v>32</v>
      </c>
      <c r="L155" t="s">
        <v>35</v>
      </c>
      <c r="AQ155">
        <v>0</v>
      </c>
      <c r="AR155" s="3">
        <f t="shared" si="6"/>
        <v>0</v>
      </c>
      <c r="AS155" s="3">
        <f t="shared" si="7"/>
        <v>0</v>
      </c>
      <c r="AT155" s="3" t="str">
        <f>IF(OR(Registered!AM155&gt;0,Registered!AO155&gt;0),(IF(Registered!E155=0,"Size Not Specified",Registered!E155)),"")</f>
        <v/>
      </c>
      <c r="AU155" s="3" t="str">
        <f>IF(Registered!AE155=0,"",IF(Registered!AE155=1,Registered!AE155&amp;" Bandana",Registered!AE155&amp;" Bandanas"))</f>
        <v/>
      </c>
      <c r="AV155" s="3">
        <f t="shared" si="8"/>
        <v>0</v>
      </c>
      <c r="AW155" s="2" t="str">
        <f>IF(Registered!AV155=0,"",IF(Registered!AV155=1,Registered!AV155&amp;" Meal",Registered!AV155&amp;" Meals"))</f>
        <v/>
      </c>
      <c r="AX155" s="2" t="str">
        <f>IF(Registered!AI155=0,"",Registered!AI155&amp;" BG")</f>
        <v/>
      </c>
      <c r="AY155" s="2" t="str">
        <f>IF(Registered!AG155=0,"",Registered!AG155&amp;" DustMask")</f>
        <v/>
      </c>
    </row>
    <row r="156" spans="1:51" customFormat="1" x14ac:dyDescent="0.25">
      <c r="A156" t="s">
        <v>3681</v>
      </c>
      <c r="B156" t="s">
        <v>3680</v>
      </c>
      <c r="C156" t="s">
        <v>6090</v>
      </c>
      <c r="D156" t="s">
        <v>3683</v>
      </c>
      <c r="F156" t="s">
        <v>261</v>
      </c>
      <c r="I156" t="s">
        <v>3682</v>
      </c>
      <c r="J156" t="s">
        <v>37</v>
      </c>
      <c r="K156" t="s">
        <v>32</v>
      </c>
      <c r="L156" t="s">
        <v>35</v>
      </c>
      <c r="Q156">
        <v>3</v>
      </c>
      <c r="R156">
        <v>3</v>
      </c>
      <c r="U156">
        <v>1</v>
      </c>
      <c r="V156">
        <v>20</v>
      </c>
      <c r="AK156">
        <v>3</v>
      </c>
      <c r="AL156">
        <v>6</v>
      </c>
      <c r="AQ156">
        <v>47</v>
      </c>
      <c r="AR156" s="3">
        <f t="shared" si="6"/>
        <v>10</v>
      </c>
      <c r="AS156" s="3">
        <f t="shared" si="7"/>
        <v>0</v>
      </c>
      <c r="AT156" s="3" t="str">
        <f>IF(OR(Registered!AM156&gt;0,Registered!AO156&gt;0),(IF(Registered!E156=0,"Size Not Specified",Registered!E156)),"")</f>
        <v/>
      </c>
      <c r="AU156" s="3" t="str">
        <f>IF(Registered!AE156=0,"",IF(Registered!AE156=1,Registered!AE156&amp;" Bandana",Registered!AE156&amp;" Bandanas"))</f>
        <v/>
      </c>
      <c r="AV156" s="3">
        <f t="shared" si="8"/>
        <v>3</v>
      </c>
      <c r="AW156" s="2" t="str">
        <f>IF(Registered!AV156=0,"",IF(Registered!AV156=1,Registered!AV156&amp;" Meal",Registered!AV156&amp;" Meals"))</f>
        <v>3 Meals</v>
      </c>
      <c r="AX156" s="2" t="str">
        <f>IF(Registered!AI156=0,"",Registered!AI156&amp;" BG")</f>
        <v/>
      </c>
      <c r="AY156" s="2" t="str">
        <f>IF(Registered!AG156=0,"",Registered!AG156&amp;" DustMask")</f>
        <v/>
      </c>
    </row>
    <row r="157" spans="1:51" customFormat="1" x14ac:dyDescent="0.25">
      <c r="A157" t="s">
        <v>292</v>
      </c>
      <c r="B157" t="s">
        <v>3680</v>
      </c>
      <c r="C157" t="s">
        <v>6090</v>
      </c>
      <c r="D157" t="s">
        <v>292</v>
      </c>
      <c r="F157" t="s">
        <v>261</v>
      </c>
      <c r="I157" t="s">
        <v>3684</v>
      </c>
      <c r="J157" t="s">
        <v>37</v>
      </c>
      <c r="K157" t="s">
        <v>32</v>
      </c>
      <c r="L157" t="s">
        <v>35</v>
      </c>
      <c r="Q157">
        <v>1</v>
      </c>
      <c r="R157">
        <v>3</v>
      </c>
      <c r="U157">
        <v>1</v>
      </c>
      <c r="V157">
        <v>20</v>
      </c>
      <c r="AQ157">
        <v>23</v>
      </c>
      <c r="AR157" s="3">
        <f t="shared" si="6"/>
        <v>10</v>
      </c>
      <c r="AS157" s="3">
        <f t="shared" si="7"/>
        <v>0</v>
      </c>
      <c r="AT157" s="3" t="str">
        <f>IF(OR(Registered!AM157&gt;0,Registered!AO157&gt;0),(IF(Registered!E157=0,"Size Not Specified",Registered!E157)),"")</f>
        <v/>
      </c>
      <c r="AU157" s="3" t="str">
        <f>IF(Registered!AE157=0,"",IF(Registered!AE157=1,Registered!AE157&amp;" Bandana",Registered!AE157&amp;" Bandanas"))</f>
        <v/>
      </c>
      <c r="AV157" s="3">
        <f t="shared" si="8"/>
        <v>0</v>
      </c>
      <c r="AW157" s="2" t="str">
        <f>IF(Registered!AV157=0,"",IF(Registered!AV157=1,Registered!AV157&amp;" Meal",Registered!AV157&amp;" Meals"))</f>
        <v/>
      </c>
      <c r="AX157" s="2" t="str">
        <f>IF(Registered!AI157=0,"",Registered!AI157&amp;" BG")</f>
        <v/>
      </c>
      <c r="AY157" s="2" t="str">
        <f>IF(Registered!AG157=0,"",Registered!AG157&amp;" DustMask")</f>
        <v/>
      </c>
    </row>
    <row r="158" spans="1:51" customFormat="1" x14ac:dyDescent="0.25">
      <c r="A158" t="s">
        <v>3087</v>
      </c>
      <c r="B158" t="s">
        <v>3680</v>
      </c>
      <c r="C158" t="s">
        <v>6090</v>
      </c>
      <c r="G158" t="s">
        <v>3681</v>
      </c>
      <c r="H158" t="s">
        <v>3680</v>
      </c>
      <c r="I158" t="s">
        <v>3682</v>
      </c>
      <c r="J158" t="s">
        <v>37</v>
      </c>
      <c r="K158" t="s">
        <v>32</v>
      </c>
      <c r="L158" t="s">
        <v>35</v>
      </c>
      <c r="AQ158">
        <v>0</v>
      </c>
      <c r="AR158" s="3">
        <f t="shared" si="6"/>
        <v>0</v>
      </c>
      <c r="AS158" s="3">
        <f t="shared" si="7"/>
        <v>0</v>
      </c>
      <c r="AT158" s="3" t="str">
        <f>IF(OR(Registered!AM158&gt;0,Registered!AO158&gt;0),(IF(Registered!E158=0,"Size Not Specified",Registered!E158)),"")</f>
        <v/>
      </c>
      <c r="AU158" s="3" t="str">
        <f>IF(Registered!AE158=0,"",IF(Registered!AE158=1,Registered!AE158&amp;" Bandana",Registered!AE158&amp;" Bandanas"))</f>
        <v/>
      </c>
      <c r="AV158" s="3">
        <f t="shared" si="8"/>
        <v>0</v>
      </c>
      <c r="AW158" s="2" t="str">
        <f>IF(Registered!AV158=0,"",IF(Registered!AV158=1,Registered!AV158&amp;" Meal",Registered!AV158&amp;" Meals"))</f>
        <v/>
      </c>
      <c r="AX158" s="2" t="str">
        <f>IF(Registered!AI158=0,"",Registered!AI158&amp;" BG")</f>
        <v/>
      </c>
      <c r="AY158" s="2" t="str">
        <f>IF(Registered!AG158=0,"",Registered!AG158&amp;" DustMask")</f>
        <v/>
      </c>
    </row>
    <row r="159" spans="1:51" customFormat="1" x14ac:dyDescent="0.25">
      <c r="A159" t="s">
        <v>719</v>
      </c>
      <c r="B159" t="s">
        <v>720</v>
      </c>
      <c r="C159" t="s">
        <v>6090</v>
      </c>
      <c r="D159" t="s">
        <v>721</v>
      </c>
      <c r="E159" t="s">
        <v>722</v>
      </c>
      <c r="I159" t="s">
        <v>723</v>
      </c>
      <c r="J159" t="s">
        <v>37</v>
      </c>
      <c r="K159" t="s">
        <v>32</v>
      </c>
      <c r="L159" t="s">
        <v>35</v>
      </c>
      <c r="O159">
        <v>1</v>
      </c>
      <c r="P159">
        <v>3</v>
      </c>
      <c r="AM159">
        <v>1</v>
      </c>
      <c r="AN159">
        <v>25</v>
      </c>
      <c r="AQ159">
        <v>28</v>
      </c>
      <c r="AR159" s="3">
        <f t="shared" si="6"/>
        <v>5</v>
      </c>
      <c r="AS159" s="3">
        <f t="shared" si="7"/>
        <v>1</v>
      </c>
      <c r="AT159" s="3" t="str">
        <f>IF(OR(Registered!AM159&gt;0,Registered!AO159&gt;0),(IF(Registered!E159=0,"Size Not Specified",Registered!E159)),"")</f>
        <v>XXXL</v>
      </c>
      <c r="AU159" s="3" t="str">
        <f>IF(Registered!AE159=0,"",IF(Registered!AE159=1,Registered!AE159&amp;" Bandana",Registered!AE159&amp;" Bandanas"))</f>
        <v/>
      </c>
      <c r="AV159" s="3">
        <f t="shared" si="8"/>
        <v>1</v>
      </c>
      <c r="AW159" s="2" t="str">
        <f>IF(Registered!AV159=0,"",IF(Registered!AV159=1,Registered!AV159&amp;" Meal",Registered!AV159&amp;" Meals"))</f>
        <v>1 Meal</v>
      </c>
      <c r="AX159" s="2" t="str">
        <f>IF(Registered!AI159=0,"",Registered!AI159&amp;" BG")</f>
        <v/>
      </c>
      <c r="AY159" s="2" t="str">
        <f>IF(Registered!AG159=0,"",Registered!AG159&amp;" DustMask")</f>
        <v/>
      </c>
    </row>
    <row r="160" spans="1:51" customFormat="1" x14ac:dyDescent="0.25">
      <c r="A160" t="s">
        <v>336</v>
      </c>
      <c r="B160" t="s">
        <v>3685</v>
      </c>
      <c r="C160" t="s">
        <v>6090</v>
      </c>
      <c r="G160" t="s">
        <v>165</v>
      </c>
      <c r="H160" t="s">
        <v>3686</v>
      </c>
      <c r="I160" t="s">
        <v>3687</v>
      </c>
      <c r="J160" t="s">
        <v>37</v>
      </c>
      <c r="K160" t="s">
        <v>32</v>
      </c>
      <c r="L160" t="s">
        <v>35</v>
      </c>
      <c r="AQ160">
        <v>0</v>
      </c>
      <c r="AR160" s="3">
        <f t="shared" si="6"/>
        <v>0</v>
      </c>
      <c r="AS160" s="3">
        <f t="shared" si="7"/>
        <v>0</v>
      </c>
      <c r="AT160" s="3" t="str">
        <f>IF(OR(Registered!AM160&gt;0,Registered!AO160&gt;0),(IF(Registered!E160=0,"Size Not Specified",Registered!E160)),"")</f>
        <v/>
      </c>
      <c r="AU160" s="3" t="str">
        <f>IF(Registered!AE160=0,"",IF(Registered!AE160=1,Registered!AE160&amp;" Bandana",Registered!AE160&amp;" Bandanas"))</f>
        <v/>
      </c>
      <c r="AV160" s="3">
        <f t="shared" si="8"/>
        <v>0</v>
      </c>
      <c r="AW160" s="2" t="str">
        <f>IF(Registered!AV160=0,"",IF(Registered!AV160=1,Registered!AV160&amp;" Meal",Registered!AV160&amp;" Meals"))</f>
        <v/>
      </c>
      <c r="AX160" s="2" t="str">
        <f>IF(Registered!AI160=0,"",Registered!AI160&amp;" BG")</f>
        <v/>
      </c>
      <c r="AY160" s="2" t="str">
        <f>IF(Registered!AG160=0,"",Registered!AG160&amp;" DustMask")</f>
        <v/>
      </c>
    </row>
    <row r="161" spans="1:51" customFormat="1" x14ac:dyDescent="0.25">
      <c r="A161" t="s">
        <v>338</v>
      </c>
      <c r="B161" t="s">
        <v>3685</v>
      </c>
      <c r="C161" t="s">
        <v>6090</v>
      </c>
      <c r="G161" t="s">
        <v>165</v>
      </c>
      <c r="H161" t="s">
        <v>3686</v>
      </c>
      <c r="I161" t="s">
        <v>3687</v>
      </c>
      <c r="J161" t="s">
        <v>37</v>
      </c>
      <c r="K161" t="s">
        <v>32</v>
      </c>
      <c r="L161" t="s">
        <v>35</v>
      </c>
      <c r="AQ161">
        <v>0</v>
      </c>
      <c r="AR161" s="3">
        <f t="shared" si="6"/>
        <v>0</v>
      </c>
      <c r="AS161" s="3">
        <f t="shared" si="7"/>
        <v>0</v>
      </c>
      <c r="AT161" s="3" t="str">
        <f>IF(OR(Registered!AM161&gt;0,Registered!AO161&gt;0),(IF(Registered!E161=0,"Size Not Specified",Registered!E161)),"")</f>
        <v/>
      </c>
      <c r="AU161" s="3" t="str">
        <f>IF(Registered!AE161=0,"",IF(Registered!AE161=1,Registered!AE161&amp;" Bandana",Registered!AE161&amp;" Bandanas"))</f>
        <v/>
      </c>
      <c r="AV161" s="3">
        <f t="shared" si="8"/>
        <v>0</v>
      </c>
      <c r="AW161" s="2" t="str">
        <f>IF(Registered!AV161=0,"",IF(Registered!AV161=1,Registered!AV161&amp;" Meal",Registered!AV161&amp;" Meals"))</f>
        <v/>
      </c>
      <c r="AX161" s="2" t="str">
        <f>IF(Registered!AI161=0,"",Registered!AI161&amp;" BG")</f>
        <v/>
      </c>
      <c r="AY161" s="2" t="str">
        <f>IF(Registered!AG161=0,"",Registered!AG161&amp;" DustMask")</f>
        <v/>
      </c>
    </row>
    <row r="162" spans="1:51" customFormat="1" x14ac:dyDescent="0.25">
      <c r="A162" t="s">
        <v>3688</v>
      </c>
      <c r="B162" t="s">
        <v>3685</v>
      </c>
      <c r="C162" t="s">
        <v>6090</v>
      </c>
      <c r="G162" t="s">
        <v>165</v>
      </c>
      <c r="H162" t="s">
        <v>3686</v>
      </c>
      <c r="I162" t="s">
        <v>3687</v>
      </c>
      <c r="J162" t="s">
        <v>37</v>
      </c>
      <c r="K162" t="s">
        <v>32</v>
      </c>
      <c r="L162" t="s">
        <v>35</v>
      </c>
      <c r="AQ162">
        <v>0</v>
      </c>
      <c r="AR162" s="3">
        <f t="shared" si="6"/>
        <v>0</v>
      </c>
      <c r="AS162" s="3">
        <f t="shared" si="7"/>
        <v>0</v>
      </c>
      <c r="AT162" s="3" t="str">
        <f>IF(OR(Registered!AM162&gt;0,Registered!AO162&gt;0),(IF(Registered!E162=0,"Size Not Specified",Registered!E162)),"")</f>
        <v/>
      </c>
      <c r="AU162" s="3" t="str">
        <f>IF(Registered!AE162=0,"",IF(Registered!AE162=1,Registered!AE162&amp;" Bandana",Registered!AE162&amp;" Bandanas"))</f>
        <v/>
      </c>
      <c r="AV162" s="3">
        <f t="shared" si="8"/>
        <v>0</v>
      </c>
      <c r="AW162" s="2" t="str">
        <f>IF(Registered!AV162=0,"",IF(Registered!AV162=1,Registered!AV162&amp;" Meal",Registered!AV162&amp;" Meals"))</f>
        <v/>
      </c>
      <c r="AX162" s="2" t="str">
        <f>IF(Registered!AI162=0,"",Registered!AI162&amp;" BG")</f>
        <v/>
      </c>
      <c r="AY162" s="2" t="str">
        <f>IF(Registered!AG162=0,"",Registered!AG162&amp;" DustMask")</f>
        <v/>
      </c>
    </row>
    <row r="163" spans="1:51" customFormat="1" x14ac:dyDescent="0.25">
      <c r="A163" t="s">
        <v>114</v>
      </c>
      <c r="B163" t="s">
        <v>3689</v>
      </c>
      <c r="C163" t="s">
        <v>6090</v>
      </c>
      <c r="G163" t="s">
        <v>377</v>
      </c>
      <c r="H163" t="s">
        <v>3690</v>
      </c>
      <c r="I163" t="s">
        <v>3691</v>
      </c>
      <c r="J163" t="s">
        <v>37</v>
      </c>
      <c r="K163" t="s">
        <v>32</v>
      </c>
      <c r="L163" t="s">
        <v>35</v>
      </c>
      <c r="AQ163">
        <v>0</v>
      </c>
      <c r="AR163" s="3">
        <f t="shared" si="6"/>
        <v>0</v>
      </c>
      <c r="AS163" s="3">
        <f t="shared" si="7"/>
        <v>0</v>
      </c>
      <c r="AT163" s="3" t="str">
        <f>IF(OR(Registered!AM163&gt;0,Registered!AO163&gt;0),(IF(Registered!E163=0,"Size Not Specified",Registered!E163)),"")</f>
        <v/>
      </c>
      <c r="AU163" s="3" t="str">
        <f>IF(Registered!AE163=0,"",IF(Registered!AE163=1,Registered!AE163&amp;" Bandana",Registered!AE163&amp;" Bandanas"))</f>
        <v/>
      </c>
      <c r="AV163" s="3">
        <f t="shared" si="8"/>
        <v>0</v>
      </c>
      <c r="AW163" s="2" t="str">
        <f>IF(Registered!AV163=0,"",IF(Registered!AV163=1,Registered!AV163&amp;" Meal",Registered!AV163&amp;" Meals"))</f>
        <v/>
      </c>
      <c r="AX163" s="2" t="str">
        <f>IF(Registered!AI163=0,"",Registered!AI163&amp;" BG")</f>
        <v/>
      </c>
      <c r="AY163" s="2" t="str">
        <f>IF(Registered!AG163=0,"",Registered!AG163&amp;" DustMask")</f>
        <v/>
      </c>
    </row>
    <row r="164" spans="1:51" customFormat="1" x14ac:dyDescent="0.25">
      <c r="A164" t="s">
        <v>288</v>
      </c>
      <c r="B164" t="s">
        <v>435</v>
      </c>
      <c r="C164" t="s">
        <v>6090</v>
      </c>
      <c r="G164" t="s">
        <v>724</v>
      </c>
      <c r="H164" t="s">
        <v>725</v>
      </c>
      <c r="I164" t="s">
        <v>726</v>
      </c>
      <c r="J164" t="s">
        <v>37</v>
      </c>
      <c r="K164" t="s">
        <v>32</v>
      </c>
      <c r="L164" t="s">
        <v>35</v>
      </c>
      <c r="AQ164">
        <v>0</v>
      </c>
      <c r="AR164" s="3">
        <f t="shared" si="6"/>
        <v>0</v>
      </c>
      <c r="AS164" s="3">
        <f t="shared" si="7"/>
        <v>0</v>
      </c>
      <c r="AT164" s="3" t="str">
        <f>IF(OR(Registered!AM164&gt;0,Registered!AO164&gt;0),(IF(Registered!E164=0,"Size Not Specified",Registered!E164)),"")</f>
        <v/>
      </c>
      <c r="AU164" s="3" t="str">
        <f>IF(Registered!AE164=0,"",IF(Registered!AE164=1,Registered!AE164&amp;" Bandana",Registered!AE164&amp;" Bandanas"))</f>
        <v/>
      </c>
      <c r="AV164" s="3">
        <f t="shared" si="8"/>
        <v>0</v>
      </c>
      <c r="AW164" s="2" t="str">
        <f>IF(Registered!AV164=0,"",IF(Registered!AV164=1,Registered!AV164&amp;" Meal",Registered!AV164&amp;" Meals"))</f>
        <v/>
      </c>
      <c r="AX164" s="2" t="str">
        <f>IF(Registered!AI164=0,"",Registered!AI164&amp;" BG")</f>
        <v/>
      </c>
      <c r="AY164" s="2" t="str">
        <f>IF(Registered!AG164=0,"",Registered!AG164&amp;" DustMask")</f>
        <v/>
      </c>
    </row>
    <row r="165" spans="1:51" customFormat="1" x14ac:dyDescent="0.25">
      <c r="A165" t="s">
        <v>727</v>
      </c>
      <c r="B165" t="s">
        <v>435</v>
      </c>
      <c r="C165" t="s">
        <v>6090</v>
      </c>
      <c r="G165" t="s">
        <v>91</v>
      </c>
      <c r="H165" t="s">
        <v>435</v>
      </c>
      <c r="I165" t="s">
        <v>728</v>
      </c>
      <c r="J165" t="s">
        <v>37</v>
      </c>
      <c r="K165" t="s">
        <v>32</v>
      </c>
      <c r="L165" t="s">
        <v>35</v>
      </c>
      <c r="AQ165">
        <v>0</v>
      </c>
      <c r="AR165" s="3">
        <f t="shared" si="6"/>
        <v>0</v>
      </c>
      <c r="AS165" s="3">
        <f t="shared" si="7"/>
        <v>0</v>
      </c>
      <c r="AT165" s="3" t="str">
        <f>IF(OR(Registered!AM165&gt;0,Registered!AO165&gt;0),(IF(Registered!E165=0,"Size Not Specified",Registered!E165)),"")</f>
        <v/>
      </c>
      <c r="AU165" s="3" t="str">
        <f>IF(Registered!AE165=0,"",IF(Registered!AE165=1,Registered!AE165&amp;" Bandana",Registered!AE165&amp;" Bandanas"))</f>
        <v/>
      </c>
      <c r="AV165" s="3">
        <f t="shared" si="8"/>
        <v>0</v>
      </c>
      <c r="AW165" s="2" t="str">
        <f>IF(Registered!AV165=0,"",IF(Registered!AV165=1,Registered!AV165&amp;" Meal",Registered!AV165&amp;" Meals"))</f>
        <v/>
      </c>
      <c r="AX165" s="2" t="str">
        <f>IF(Registered!AI165=0,"",Registered!AI165&amp;" BG")</f>
        <v/>
      </c>
      <c r="AY165" s="2" t="str">
        <f>IF(Registered!AG165=0,"",Registered!AG165&amp;" DustMask")</f>
        <v/>
      </c>
    </row>
    <row r="166" spans="1:51" customFormat="1" x14ac:dyDescent="0.25">
      <c r="A166" t="s">
        <v>91</v>
      </c>
      <c r="B166" t="s">
        <v>435</v>
      </c>
      <c r="C166" t="s">
        <v>6090</v>
      </c>
      <c r="D166" t="s">
        <v>729</v>
      </c>
      <c r="F166" t="s">
        <v>261</v>
      </c>
      <c r="I166" t="s">
        <v>730</v>
      </c>
      <c r="J166" t="s">
        <v>37</v>
      </c>
      <c r="K166" t="s">
        <v>32</v>
      </c>
      <c r="L166" t="s">
        <v>35</v>
      </c>
      <c r="S166">
        <v>4</v>
      </c>
      <c r="T166">
        <v>3</v>
      </c>
      <c r="AC166">
        <v>1</v>
      </c>
      <c r="AD166">
        <v>10</v>
      </c>
      <c r="AQ166">
        <v>22</v>
      </c>
      <c r="AR166" s="3">
        <f t="shared" si="6"/>
        <v>5</v>
      </c>
      <c r="AS166" s="3">
        <f t="shared" si="7"/>
        <v>0</v>
      </c>
      <c r="AT166" s="3" t="str">
        <f>IF(OR(Registered!AM166&gt;0,Registered!AO166&gt;0),(IF(Registered!E166=0,"Size Not Specified",Registered!E166)),"")</f>
        <v/>
      </c>
      <c r="AU166" s="3" t="str">
        <f>IF(Registered!AE166=0,"",IF(Registered!AE166=1,Registered!AE166&amp;" Bandana",Registered!AE166&amp;" Bandanas"))</f>
        <v/>
      </c>
      <c r="AV166" s="3">
        <f t="shared" si="8"/>
        <v>0</v>
      </c>
      <c r="AW166" s="2" t="str">
        <f>IF(Registered!AV166=0,"",IF(Registered!AV166=1,Registered!AV166&amp;" Meal",Registered!AV166&amp;" Meals"))</f>
        <v/>
      </c>
      <c r="AX166" s="2" t="str">
        <f>IF(Registered!AI166=0,"",Registered!AI166&amp;" BG")</f>
        <v/>
      </c>
      <c r="AY166" s="2" t="str">
        <f>IF(Registered!AG166=0,"",Registered!AG166&amp;" DustMask")</f>
        <v/>
      </c>
    </row>
    <row r="167" spans="1:51" customFormat="1" x14ac:dyDescent="0.25">
      <c r="A167" t="s">
        <v>62</v>
      </c>
      <c r="B167" t="s">
        <v>435</v>
      </c>
      <c r="C167" t="s">
        <v>6090</v>
      </c>
      <c r="G167" t="s">
        <v>91</v>
      </c>
      <c r="H167" t="s">
        <v>435</v>
      </c>
      <c r="I167" t="s">
        <v>728</v>
      </c>
      <c r="J167" t="s">
        <v>37</v>
      </c>
      <c r="K167" t="s">
        <v>32</v>
      </c>
      <c r="L167" t="s">
        <v>35</v>
      </c>
      <c r="AQ167">
        <v>0</v>
      </c>
      <c r="AR167" s="3">
        <f t="shared" si="6"/>
        <v>0</v>
      </c>
      <c r="AS167" s="3">
        <f t="shared" si="7"/>
        <v>0</v>
      </c>
      <c r="AT167" s="3" t="str">
        <f>IF(OR(Registered!AM167&gt;0,Registered!AO167&gt;0),(IF(Registered!E167=0,"Size Not Specified",Registered!E167)),"")</f>
        <v/>
      </c>
      <c r="AU167" s="3" t="str">
        <f>IF(Registered!AE167=0,"",IF(Registered!AE167=1,Registered!AE167&amp;" Bandana",Registered!AE167&amp;" Bandanas"))</f>
        <v/>
      </c>
      <c r="AV167" s="3">
        <f t="shared" si="8"/>
        <v>0</v>
      </c>
      <c r="AW167" s="2" t="str">
        <f>IF(Registered!AV167=0,"",IF(Registered!AV167=1,Registered!AV167&amp;" Meal",Registered!AV167&amp;" Meals"))</f>
        <v/>
      </c>
      <c r="AX167" s="2" t="str">
        <f>IF(Registered!AI167=0,"",Registered!AI167&amp;" BG")</f>
        <v/>
      </c>
      <c r="AY167" s="2" t="str">
        <f>IF(Registered!AG167=0,"",Registered!AG167&amp;" DustMask")</f>
        <v/>
      </c>
    </row>
    <row r="168" spans="1:51" customFormat="1" x14ac:dyDescent="0.25">
      <c r="A168" t="s">
        <v>222</v>
      </c>
      <c r="B168" t="s">
        <v>435</v>
      </c>
      <c r="C168" t="s">
        <v>6090</v>
      </c>
      <c r="G168" t="s">
        <v>91</v>
      </c>
      <c r="H168" t="s">
        <v>435</v>
      </c>
      <c r="I168" t="s">
        <v>728</v>
      </c>
      <c r="J168" t="s">
        <v>37</v>
      </c>
      <c r="K168" t="s">
        <v>32</v>
      </c>
      <c r="L168" t="s">
        <v>35</v>
      </c>
      <c r="AQ168">
        <v>0</v>
      </c>
      <c r="AR168" s="3">
        <f t="shared" si="6"/>
        <v>0</v>
      </c>
      <c r="AS168" s="3">
        <f t="shared" si="7"/>
        <v>0</v>
      </c>
      <c r="AT168" s="3" t="str">
        <f>IF(OR(Registered!AM168&gt;0,Registered!AO168&gt;0),(IF(Registered!E168=0,"Size Not Specified",Registered!E168)),"")</f>
        <v/>
      </c>
      <c r="AU168" s="3" t="str">
        <f>IF(Registered!AE168=0,"",IF(Registered!AE168=1,Registered!AE168&amp;" Bandana",Registered!AE168&amp;" Bandanas"))</f>
        <v/>
      </c>
      <c r="AV168" s="3">
        <f t="shared" si="8"/>
        <v>0</v>
      </c>
      <c r="AW168" s="2" t="str">
        <f>IF(Registered!AV168=0,"",IF(Registered!AV168=1,Registered!AV168&amp;" Meal",Registered!AV168&amp;" Meals"))</f>
        <v/>
      </c>
      <c r="AX168" s="2" t="str">
        <f>IF(Registered!AI168=0,"",Registered!AI168&amp;" BG")</f>
        <v/>
      </c>
      <c r="AY168" s="2" t="str">
        <f>IF(Registered!AG168=0,"",Registered!AG168&amp;" DustMask")</f>
        <v/>
      </c>
    </row>
    <row r="169" spans="1:51" customFormat="1" x14ac:dyDescent="0.25">
      <c r="A169" t="s">
        <v>731</v>
      </c>
      <c r="B169" t="s">
        <v>732</v>
      </c>
      <c r="C169" t="s">
        <v>6090</v>
      </c>
      <c r="G169" t="s">
        <v>487</v>
      </c>
      <c r="H169" t="s">
        <v>733</v>
      </c>
      <c r="I169" t="s">
        <v>734</v>
      </c>
      <c r="J169" t="s">
        <v>37</v>
      </c>
      <c r="K169" t="s">
        <v>32</v>
      </c>
      <c r="L169" t="s">
        <v>35</v>
      </c>
      <c r="AQ169">
        <v>0</v>
      </c>
      <c r="AR169" s="3">
        <f t="shared" si="6"/>
        <v>0</v>
      </c>
      <c r="AS169" s="3">
        <f t="shared" si="7"/>
        <v>0</v>
      </c>
      <c r="AT169" s="3" t="str">
        <f>IF(OR(Registered!AM169&gt;0,Registered!AO169&gt;0),(IF(Registered!E169=0,"Size Not Specified",Registered!E169)),"")</f>
        <v/>
      </c>
      <c r="AU169" s="3" t="str">
        <f>IF(Registered!AE169=0,"",IF(Registered!AE169=1,Registered!AE169&amp;" Bandana",Registered!AE169&amp;" Bandanas"))</f>
        <v/>
      </c>
      <c r="AV169" s="3">
        <f t="shared" si="8"/>
        <v>0</v>
      </c>
      <c r="AW169" s="2" t="str">
        <f>IF(Registered!AV169=0,"",IF(Registered!AV169=1,Registered!AV169&amp;" Meal",Registered!AV169&amp;" Meals"))</f>
        <v/>
      </c>
      <c r="AX169" s="2" t="str">
        <f>IF(Registered!AI169=0,"",Registered!AI169&amp;" BG")</f>
        <v/>
      </c>
      <c r="AY169" s="2" t="str">
        <f>IF(Registered!AG169=0,"",Registered!AG169&amp;" DustMask")</f>
        <v/>
      </c>
    </row>
    <row r="170" spans="1:51" customFormat="1" x14ac:dyDescent="0.25">
      <c r="A170" t="s">
        <v>1575</v>
      </c>
      <c r="B170" t="s">
        <v>3692</v>
      </c>
      <c r="C170" t="s">
        <v>6090</v>
      </c>
      <c r="D170" t="s">
        <v>3694</v>
      </c>
      <c r="F170" t="s">
        <v>261</v>
      </c>
      <c r="I170" t="s">
        <v>3695</v>
      </c>
      <c r="J170" t="s">
        <v>37</v>
      </c>
      <c r="K170" t="s">
        <v>32</v>
      </c>
      <c r="L170" t="s">
        <v>35</v>
      </c>
      <c r="Q170">
        <v>2</v>
      </c>
      <c r="R170">
        <v>3</v>
      </c>
      <c r="AC170">
        <v>2</v>
      </c>
      <c r="AD170">
        <v>10</v>
      </c>
      <c r="AQ170">
        <v>26</v>
      </c>
      <c r="AR170" s="3">
        <f t="shared" si="6"/>
        <v>10</v>
      </c>
      <c r="AS170" s="3">
        <f t="shared" si="7"/>
        <v>0</v>
      </c>
      <c r="AT170" s="3" t="str">
        <f>IF(OR(Registered!AM170&gt;0,Registered!AO170&gt;0),(IF(Registered!E170=0,"Size Not Specified",Registered!E170)),"")</f>
        <v/>
      </c>
      <c r="AU170" s="3" t="str">
        <f>IF(Registered!AE170=0,"",IF(Registered!AE170=1,Registered!AE170&amp;" Bandana",Registered!AE170&amp;" Bandanas"))</f>
        <v/>
      </c>
      <c r="AV170" s="3">
        <f t="shared" si="8"/>
        <v>0</v>
      </c>
      <c r="AW170" s="2" t="str">
        <f>IF(Registered!AV170=0,"",IF(Registered!AV170=1,Registered!AV170&amp;" Meal",Registered!AV170&amp;" Meals"))</f>
        <v/>
      </c>
      <c r="AX170" s="2" t="str">
        <f>IF(Registered!AI170=0,"",Registered!AI170&amp;" BG")</f>
        <v/>
      </c>
      <c r="AY170" s="2" t="str">
        <f>IF(Registered!AG170=0,"",Registered!AG170&amp;" DustMask")</f>
        <v/>
      </c>
    </row>
    <row r="171" spans="1:51" customFormat="1" x14ac:dyDescent="0.25">
      <c r="A171" t="s">
        <v>2731</v>
      </c>
      <c r="B171" t="s">
        <v>2732</v>
      </c>
      <c r="C171" t="s">
        <v>6090</v>
      </c>
      <c r="D171" t="s">
        <v>2733</v>
      </c>
      <c r="F171" t="s">
        <v>261</v>
      </c>
      <c r="I171" t="s">
        <v>2734</v>
      </c>
      <c r="J171" t="s">
        <v>37</v>
      </c>
      <c r="K171" t="s">
        <v>32</v>
      </c>
      <c r="L171" t="s">
        <v>35</v>
      </c>
      <c r="Q171">
        <v>2</v>
      </c>
      <c r="R171">
        <v>3</v>
      </c>
      <c r="AC171">
        <v>1</v>
      </c>
      <c r="AD171">
        <v>10</v>
      </c>
      <c r="AK171">
        <v>2</v>
      </c>
      <c r="AL171">
        <v>6</v>
      </c>
      <c r="AQ171">
        <v>28</v>
      </c>
      <c r="AR171" s="3">
        <f t="shared" si="6"/>
        <v>5</v>
      </c>
      <c r="AS171" s="3">
        <f t="shared" si="7"/>
        <v>0</v>
      </c>
      <c r="AT171" s="3" t="str">
        <f>IF(OR(Registered!AM171&gt;0,Registered!AO171&gt;0),(IF(Registered!E171=0,"Size Not Specified",Registered!E171)),"")</f>
        <v/>
      </c>
      <c r="AU171" s="3" t="str">
        <f>IF(Registered!AE171=0,"",IF(Registered!AE171=1,Registered!AE171&amp;" Bandana",Registered!AE171&amp;" Bandanas"))</f>
        <v/>
      </c>
      <c r="AV171" s="3">
        <f t="shared" si="8"/>
        <v>2</v>
      </c>
      <c r="AW171" s="2" t="str">
        <f>IF(Registered!AV171=0,"",IF(Registered!AV171=1,Registered!AV171&amp;" Meal",Registered!AV171&amp;" Meals"))</f>
        <v>2 Meals</v>
      </c>
      <c r="AX171" s="2" t="str">
        <f>IF(Registered!AI171=0,"",Registered!AI171&amp;" BG")</f>
        <v/>
      </c>
      <c r="AY171" s="2" t="str">
        <f>IF(Registered!AG171=0,"",Registered!AG171&amp;" DustMask")</f>
        <v/>
      </c>
    </row>
    <row r="172" spans="1:51" customFormat="1" x14ac:dyDescent="0.25">
      <c r="A172" t="s">
        <v>56</v>
      </c>
      <c r="B172" t="s">
        <v>735</v>
      </c>
      <c r="C172" t="s">
        <v>6090</v>
      </c>
      <c r="D172" t="s">
        <v>56</v>
      </c>
      <c r="F172" t="s">
        <v>261</v>
      </c>
      <c r="I172" t="s">
        <v>736</v>
      </c>
      <c r="J172" t="s">
        <v>37</v>
      </c>
      <c r="K172" t="s">
        <v>32</v>
      </c>
      <c r="L172" t="s">
        <v>35</v>
      </c>
      <c r="S172">
        <v>2</v>
      </c>
      <c r="T172">
        <v>3</v>
      </c>
      <c r="AC172">
        <v>2</v>
      </c>
      <c r="AD172">
        <v>10</v>
      </c>
      <c r="AQ172">
        <v>26</v>
      </c>
      <c r="AR172" s="3">
        <f t="shared" si="6"/>
        <v>10</v>
      </c>
      <c r="AS172" s="3">
        <f t="shared" si="7"/>
        <v>0</v>
      </c>
      <c r="AT172" s="3" t="str">
        <f>IF(OR(Registered!AM172&gt;0,Registered!AO172&gt;0),(IF(Registered!E172=0,"Size Not Specified",Registered!E172)),"")</f>
        <v/>
      </c>
      <c r="AU172" s="3" t="str">
        <f>IF(Registered!AE172=0,"",IF(Registered!AE172=1,Registered!AE172&amp;" Bandana",Registered!AE172&amp;" Bandanas"))</f>
        <v/>
      </c>
      <c r="AV172" s="3">
        <f t="shared" si="8"/>
        <v>0</v>
      </c>
      <c r="AW172" s="2" t="str">
        <f>IF(Registered!AV172=0,"",IF(Registered!AV172=1,Registered!AV172&amp;" Meal",Registered!AV172&amp;" Meals"))</f>
        <v/>
      </c>
      <c r="AX172" s="2" t="str">
        <f>IF(Registered!AI172=0,"",Registered!AI172&amp;" BG")</f>
        <v/>
      </c>
      <c r="AY172" s="2" t="str">
        <f>IF(Registered!AG172=0,"",Registered!AG172&amp;" DustMask")</f>
        <v/>
      </c>
    </row>
    <row r="173" spans="1:51" customFormat="1" x14ac:dyDescent="0.25">
      <c r="A173" t="s">
        <v>94</v>
      </c>
      <c r="B173" t="s">
        <v>3696</v>
      </c>
      <c r="C173" t="s">
        <v>6090</v>
      </c>
      <c r="G173" t="s">
        <v>3569</v>
      </c>
      <c r="H173" t="s">
        <v>1487</v>
      </c>
      <c r="I173" t="s">
        <v>3697</v>
      </c>
      <c r="J173" t="s">
        <v>37</v>
      </c>
      <c r="K173" t="s">
        <v>32</v>
      </c>
      <c r="L173" t="s">
        <v>35</v>
      </c>
      <c r="AQ173">
        <v>0</v>
      </c>
      <c r="AR173" s="3">
        <f t="shared" si="6"/>
        <v>0</v>
      </c>
      <c r="AS173" s="3">
        <f t="shared" si="7"/>
        <v>0</v>
      </c>
      <c r="AT173" s="3" t="str">
        <f>IF(OR(Registered!AM173&gt;0,Registered!AO173&gt;0),(IF(Registered!E173=0,"Size Not Specified",Registered!E173)),"")</f>
        <v/>
      </c>
      <c r="AU173" s="3" t="str">
        <f>IF(Registered!AE173=0,"",IF(Registered!AE173=1,Registered!AE173&amp;" Bandana",Registered!AE173&amp;" Bandanas"))</f>
        <v/>
      </c>
      <c r="AV173" s="3">
        <f t="shared" si="8"/>
        <v>0</v>
      </c>
      <c r="AW173" s="2" t="str">
        <f>IF(Registered!AV173=0,"",IF(Registered!AV173=1,Registered!AV173&amp;" Meal",Registered!AV173&amp;" Meals"))</f>
        <v/>
      </c>
      <c r="AX173" s="2" t="str">
        <f>IF(Registered!AI173=0,"",Registered!AI173&amp;" BG")</f>
        <v/>
      </c>
      <c r="AY173" s="2" t="str">
        <f>IF(Registered!AG173=0,"",Registered!AG173&amp;" DustMask")</f>
        <v/>
      </c>
    </row>
    <row r="174" spans="1:51" customFormat="1" x14ac:dyDescent="0.25">
      <c r="A174" t="s">
        <v>292</v>
      </c>
      <c r="B174" t="s">
        <v>3696</v>
      </c>
      <c r="C174" t="s">
        <v>6090</v>
      </c>
      <c r="G174" t="s">
        <v>3569</v>
      </c>
      <c r="H174" t="s">
        <v>1487</v>
      </c>
      <c r="I174" t="s">
        <v>3697</v>
      </c>
      <c r="J174" t="s">
        <v>37</v>
      </c>
      <c r="K174" t="s">
        <v>32</v>
      </c>
      <c r="L174" t="s">
        <v>35</v>
      </c>
      <c r="AQ174">
        <v>0</v>
      </c>
      <c r="AR174" s="3">
        <f t="shared" si="6"/>
        <v>0</v>
      </c>
      <c r="AS174" s="3">
        <f t="shared" si="7"/>
        <v>0</v>
      </c>
      <c r="AT174" s="3" t="str">
        <f>IF(OR(Registered!AM174&gt;0,Registered!AO174&gt;0),(IF(Registered!E174=0,"Size Not Specified",Registered!E174)),"")</f>
        <v/>
      </c>
      <c r="AU174" s="3" t="str">
        <f>IF(Registered!AE174=0,"",IF(Registered!AE174=1,Registered!AE174&amp;" Bandana",Registered!AE174&amp;" Bandanas"))</f>
        <v/>
      </c>
      <c r="AV174" s="3">
        <f t="shared" si="8"/>
        <v>0</v>
      </c>
      <c r="AW174" s="2" t="str">
        <f>IF(Registered!AV174=0,"",IF(Registered!AV174=1,Registered!AV174&amp;" Meal",Registered!AV174&amp;" Meals"))</f>
        <v/>
      </c>
      <c r="AX174" s="2" t="str">
        <f>IF(Registered!AI174=0,"",Registered!AI174&amp;" BG")</f>
        <v/>
      </c>
      <c r="AY174" s="2" t="str">
        <f>IF(Registered!AG174=0,"",Registered!AG174&amp;" DustMask")</f>
        <v/>
      </c>
    </row>
    <row r="175" spans="1:51" customFormat="1" x14ac:dyDescent="0.25">
      <c r="A175" t="s">
        <v>737</v>
      </c>
      <c r="B175" t="s">
        <v>738</v>
      </c>
      <c r="C175" t="s">
        <v>6090</v>
      </c>
      <c r="G175" t="s">
        <v>739</v>
      </c>
      <c r="H175" t="s">
        <v>740</v>
      </c>
      <c r="I175" t="s">
        <v>741</v>
      </c>
      <c r="J175" t="s">
        <v>37</v>
      </c>
      <c r="K175" t="s">
        <v>32</v>
      </c>
      <c r="L175" t="s">
        <v>35</v>
      </c>
      <c r="AQ175">
        <v>0</v>
      </c>
      <c r="AR175" s="3">
        <f t="shared" si="6"/>
        <v>0</v>
      </c>
      <c r="AS175" s="3">
        <f t="shared" si="7"/>
        <v>0</v>
      </c>
      <c r="AT175" s="3" t="str">
        <f>IF(OR(Registered!AM175&gt;0,Registered!AO175&gt;0),(IF(Registered!E175=0,"Size Not Specified",Registered!E175)),"")</f>
        <v/>
      </c>
      <c r="AU175" s="3" t="str">
        <f>IF(Registered!AE175=0,"",IF(Registered!AE175=1,Registered!AE175&amp;" Bandana",Registered!AE175&amp;" Bandanas"))</f>
        <v/>
      </c>
      <c r="AV175" s="3">
        <f t="shared" si="8"/>
        <v>0</v>
      </c>
      <c r="AW175" s="2" t="str">
        <f>IF(Registered!AV175=0,"",IF(Registered!AV175=1,Registered!AV175&amp;" Meal",Registered!AV175&amp;" Meals"))</f>
        <v/>
      </c>
      <c r="AX175" s="2" t="str">
        <f>IF(Registered!AI175=0,"",Registered!AI175&amp;" BG")</f>
        <v/>
      </c>
      <c r="AY175" s="2" t="str">
        <f>IF(Registered!AG175=0,"",Registered!AG175&amp;" DustMask")</f>
        <v/>
      </c>
    </row>
    <row r="176" spans="1:51" customFormat="1" x14ac:dyDescent="0.25">
      <c r="A176" t="s">
        <v>1354</v>
      </c>
      <c r="B176" t="s">
        <v>3698</v>
      </c>
      <c r="C176" t="s">
        <v>6090</v>
      </c>
      <c r="D176" t="s">
        <v>3699</v>
      </c>
      <c r="F176" t="s">
        <v>261</v>
      </c>
      <c r="I176" t="s">
        <v>3700</v>
      </c>
      <c r="J176" t="s">
        <v>37</v>
      </c>
      <c r="K176" t="s">
        <v>32</v>
      </c>
      <c r="L176" t="s">
        <v>35</v>
      </c>
      <c r="Q176">
        <v>1</v>
      </c>
      <c r="R176">
        <v>3</v>
      </c>
      <c r="AC176">
        <v>1</v>
      </c>
      <c r="AD176">
        <v>10</v>
      </c>
      <c r="AQ176">
        <v>13</v>
      </c>
      <c r="AR176" s="3">
        <f t="shared" si="6"/>
        <v>5</v>
      </c>
      <c r="AS176" s="3">
        <f t="shared" si="7"/>
        <v>0</v>
      </c>
      <c r="AT176" s="3" t="str">
        <f>IF(OR(Registered!AM176&gt;0,Registered!AO176&gt;0),(IF(Registered!E176=0,"Size Not Specified",Registered!E176)),"")</f>
        <v/>
      </c>
      <c r="AU176" s="3" t="str">
        <f>IF(Registered!AE176=0,"",IF(Registered!AE176=1,Registered!AE176&amp;" Bandana",Registered!AE176&amp;" Bandanas"))</f>
        <v/>
      </c>
      <c r="AV176" s="3">
        <f t="shared" si="8"/>
        <v>0</v>
      </c>
      <c r="AW176" s="2" t="str">
        <f>IF(Registered!AV176=0,"",IF(Registered!AV176=1,Registered!AV176&amp;" Meal",Registered!AV176&amp;" Meals"))</f>
        <v/>
      </c>
      <c r="AX176" s="2" t="str">
        <f>IF(Registered!AI176=0,"",Registered!AI176&amp;" BG")</f>
        <v/>
      </c>
      <c r="AY176" s="2" t="str">
        <f>IF(Registered!AG176=0,"",Registered!AG176&amp;" DustMask")</f>
        <v/>
      </c>
    </row>
    <row r="177" spans="1:51" customFormat="1" x14ac:dyDescent="0.25">
      <c r="A177" t="s">
        <v>742</v>
      </c>
      <c r="B177" t="s">
        <v>743</v>
      </c>
      <c r="C177" t="s">
        <v>6090</v>
      </c>
      <c r="G177" t="s">
        <v>744</v>
      </c>
      <c r="H177" t="s">
        <v>745</v>
      </c>
      <c r="I177" t="s">
        <v>747</v>
      </c>
      <c r="J177" t="s">
        <v>37</v>
      </c>
      <c r="K177" t="s">
        <v>32</v>
      </c>
      <c r="L177" t="s">
        <v>35</v>
      </c>
      <c r="AQ177">
        <v>0</v>
      </c>
      <c r="AR177" s="3">
        <f t="shared" si="6"/>
        <v>0</v>
      </c>
      <c r="AS177" s="3">
        <f t="shared" si="7"/>
        <v>0</v>
      </c>
      <c r="AT177" s="3" t="str">
        <f>IF(OR(Registered!AM177&gt;0,Registered!AO177&gt;0),(IF(Registered!E177=0,"Size Not Specified",Registered!E177)),"")</f>
        <v/>
      </c>
      <c r="AU177" s="3" t="str">
        <f>IF(Registered!AE177=0,"",IF(Registered!AE177=1,Registered!AE177&amp;" Bandana",Registered!AE177&amp;" Bandanas"))</f>
        <v/>
      </c>
      <c r="AV177" s="3">
        <f t="shared" si="8"/>
        <v>0</v>
      </c>
      <c r="AW177" s="2" t="str">
        <f>IF(Registered!AV177=0,"",IF(Registered!AV177=1,Registered!AV177&amp;" Meal",Registered!AV177&amp;" Meals"))</f>
        <v/>
      </c>
      <c r="AX177" s="2" t="str">
        <f>IF(Registered!AI177=0,"",Registered!AI177&amp;" BG")</f>
        <v/>
      </c>
      <c r="AY177" s="2" t="str">
        <f>IF(Registered!AG177=0,"",Registered!AG177&amp;" DustMask")</f>
        <v/>
      </c>
    </row>
    <row r="178" spans="1:51" customFormat="1" x14ac:dyDescent="0.25">
      <c r="A178" t="s">
        <v>3701</v>
      </c>
      <c r="B178" t="s">
        <v>3702</v>
      </c>
      <c r="C178" t="s">
        <v>6090</v>
      </c>
      <c r="G178" t="s">
        <v>3703</v>
      </c>
      <c r="H178" t="s">
        <v>3702</v>
      </c>
      <c r="I178" t="s">
        <v>3704</v>
      </c>
      <c r="J178" t="s">
        <v>37</v>
      </c>
      <c r="K178" t="s">
        <v>32</v>
      </c>
      <c r="L178" t="s">
        <v>35</v>
      </c>
      <c r="AQ178">
        <v>0</v>
      </c>
      <c r="AR178" s="3">
        <f t="shared" si="6"/>
        <v>0</v>
      </c>
      <c r="AS178" s="3">
        <f t="shared" si="7"/>
        <v>0</v>
      </c>
      <c r="AT178" s="3" t="str">
        <f>IF(OR(Registered!AM178&gt;0,Registered!AO178&gt;0),(IF(Registered!E178=0,"Size Not Specified",Registered!E178)),"")</f>
        <v/>
      </c>
      <c r="AU178" s="3" t="str">
        <f>IF(Registered!AE178=0,"",IF(Registered!AE178=1,Registered!AE178&amp;" Bandana",Registered!AE178&amp;" Bandanas"))</f>
        <v/>
      </c>
      <c r="AV178" s="3">
        <f t="shared" si="8"/>
        <v>0</v>
      </c>
      <c r="AW178" s="2" t="str">
        <f>IF(Registered!AV178=0,"",IF(Registered!AV178=1,Registered!AV178&amp;" Meal",Registered!AV178&amp;" Meals"))</f>
        <v/>
      </c>
      <c r="AX178" s="2" t="str">
        <f>IF(Registered!AI178=0,"",Registered!AI178&amp;" BG")</f>
        <v/>
      </c>
      <c r="AY178" s="2" t="str">
        <f>IF(Registered!AG178=0,"",Registered!AG178&amp;" DustMask")</f>
        <v/>
      </c>
    </row>
    <row r="179" spans="1:51" customFormat="1" x14ac:dyDescent="0.25">
      <c r="A179" t="s">
        <v>3703</v>
      </c>
      <c r="B179" t="s">
        <v>3702</v>
      </c>
      <c r="C179" t="s">
        <v>6090</v>
      </c>
      <c r="D179" t="s">
        <v>3705</v>
      </c>
      <c r="F179" t="s">
        <v>261</v>
      </c>
      <c r="I179" t="s">
        <v>3704</v>
      </c>
      <c r="J179" t="s">
        <v>37</v>
      </c>
      <c r="K179" t="s">
        <v>32</v>
      </c>
      <c r="L179" t="s">
        <v>35</v>
      </c>
      <c r="Q179">
        <v>4</v>
      </c>
      <c r="R179">
        <v>3</v>
      </c>
      <c r="AC179">
        <v>1</v>
      </c>
      <c r="AD179">
        <v>10</v>
      </c>
      <c r="AQ179">
        <v>22</v>
      </c>
      <c r="AR179" s="3">
        <f t="shared" si="6"/>
        <v>5</v>
      </c>
      <c r="AS179" s="3">
        <f t="shared" si="7"/>
        <v>0</v>
      </c>
      <c r="AT179" s="3" t="str">
        <f>IF(OR(Registered!AM179&gt;0,Registered!AO179&gt;0),(IF(Registered!E179=0,"Size Not Specified",Registered!E179)),"")</f>
        <v/>
      </c>
      <c r="AU179" s="3" t="str">
        <f>IF(Registered!AE179=0,"",IF(Registered!AE179=1,Registered!AE179&amp;" Bandana",Registered!AE179&amp;" Bandanas"))</f>
        <v/>
      </c>
      <c r="AV179" s="3">
        <f t="shared" si="8"/>
        <v>0</v>
      </c>
      <c r="AW179" s="2" t="str">
        <f>IF(Registered!AV179=0,"",IF(Registered!AV179=1,Registered!AV179&amp;" Meal",Registered!AV179&amp;" Meals"))</f>
        <v/>
      </c>
      <c r="AX179" s="2" t="str">
        <f>IF(Registered!AI179=0,"",Registered!AI179&amp;" BG")</f>
        <v/>
      </c>
      <c r="AY179" s="2" t="str">
        <f>IF(Registered!AG179=0,"",Registered!AG179&amp;" DustMask")</f>
        <v/>
      </c>
    </row>
    <row r="180" spans="1:51" customFormat="1" x14ac:dyDescent="0.25">
      <c r="A180" t="s">
        <v>130</v>
      </c>
      <c r="B180" t="s">
        <v>748</v>
      </c>
      <c r="C180" t="s">
        <v>6090</v>
      </c>
      <c r="D180" t="s">
        <v>749</v>
      </c>
      <c r="F180" t="s">
        <v>261</v>
      </c>
      <c r="I180" t="s">
        <v>750</v>
      </c>
      <c r="J180" t="s">
        <v>37</v>
      </c>
      <c r="K180" t="s">
        <v>32</v>
      </c>
      <c r="L180" t="s">
        <v>35</v>
      </c>
      <c r="S180">
        <v>2</v>
      </c>
      <c r="T180">
        <v>3</v>
      </c>
      <c r="AC180">
        <v>2</v>
      </c>
      <c r="AD180">
        <v>10</v>
      </c>
      <c r="AQ180">
        <v>26</v>
      </c>
      <c r="AR180" s="3">
        <f t="shared" si="6"/>
        <v>10</v>
      </c>
      <c r="AS180" s="3">
        <f t="shared" si="7"/>
        <v>0</v>
      </c>
      <c r="AT180" s="3" t="str">
        <f>IF(OR(Registered!AM180&gt;0,Registered!AO180&gt;0),(IF(Registered!E180=0,"Size Not Specified",Registered!E180)),"")</f>
        <v/>
      </c>
      <c r="AU180" s="3" t="str">
        <f>IF(Registered!AE180=0,"",IF(Registered!AE180=1,Registered!AE180&amp;" Bandana",Registered!AE180&amp;" Bandanas"))</f>
        <v/>
      </c>
      <c r="AV180" s="3">
        <f t="shared" si="8"/>
        <v>0</v>
      </c>
      <c r="AW180" s="2" t="str">
        <f>IF(Registered!AV180=0,"",IF(Registered!AV180=1,Registered!AV180&amp;" Meal",Registered!AV180&amp;" Meals"))</f>
        <v/>
      </c>
      <c r="AX180" s="2" t="str">
        <f>IF(Registered!AI180=0,"",Registered!AI180&amp;" BG")</f>
        <v/>
      </c>
      <c r="AY180" s="2" t="str">
        <f>IF(Registered!AG180=0,"",Registered!AG180&amp;" DustMask")</f>
        <v/>
      </c>
    </row>
    <row r="181" spans="1:51" customFormat="1" x14ac:dyDescent="0.25">
      <c r="A181" t="s">
        <v>75</v>
      </c>
      <c r="B181" t="s">
        <v>748</v>
      </c>
      <c r="C181" t="s">
        <v>6090</v>
      </c>
      <c r="G181" t="s">
        <v>130</v>
      </c>
      <c r="H181" t="s">
        <v>748</v>
      </c>
      <c r="I181" t="s">
        <v>750</v>
      </c>
      <c r="J181" t="s">
        <v>37</v>
      </c>
      <c r="K181" t="s">
        <v>32</v>
      </c>
      <c r="L181" t="s">
        <v>35</v>
      </c>
      <c r="AQ181">
        <v>0</v>
      </c>
      <c r="AR181" s="3">
        <f t="shared" si="6"/>
        <v>0</v>
      </c>
      <c r="AS181" s="3">
        <f t="shared" si="7"/>
        <v>0</v>
      </c>
      <c r="AT181" s="3" t="str">
        <f>IF(OR(Registered!AM181&gt;0,Registered!AO181&gt;0),(IF(Registered!E181=0,"Size Not Specified",Registered!E181)),"")</f>
        <v/>
      </c>
      <c r="AU181" s="3" t="str">
        <f>IF(Registered!AE181=0,"",IF(Registered!AE181=1,Registered!AE181&amp;" Bandana",Registered!AE181&amp;" Bandanas"))</f>
        <v/>
      </c>
      <c r="AV181" s="3">
        <f t="shared" si="8"/>
        <v>0</v>
      </c>
      <c r="AW181" s="2" t="str">
        <f>IF(Registered!AV181=0,"",IF(Registered!AV181=1,Registered!AV181&amp;" Meal",Registered!AV181&amp;" Meals"))</f>
        <v/>
      </c>
      <c r="AX181" s="2" t="str">
        <f>IF(Registered!AI181=0,"",Registered!AI181&amp;" BG")</f>
        <v/>
      </c>
      <c r="AY181" s="2" t="str">
        <f>IF(Registered!AG181=0,"",Registered!AG181&amp;" DustMask")</f>
        <v/>
      </c>
    </row>
    <row r="182" spans="1:51" customFormat="1" x14ac:dyDescent="0.25">
      <c r="A182" t="s">
        <v>292</v>
      </c>
      <c r="B182" t="s">
        <v>755</v>
      </c>
      <c r="C182" t="s">
        <v>6090</v>
      </c>
      <c r="G182" t="s">
        <v>756</v>
      </c>
      <c r="H182" t="s">
        <v>757</v>
      </c>
      <c r="I182" t="s">
        <v>758</v>
      </c>
      <c r="J182" t="s">
        <v>37</v>
      </c>
      <c r="K182" t="s">
        <v>32</v>
      </c>
      <c r="L182" t="s">
        <v>35</v>
      </c>
      <c r="AQ182">
        <v>0</v>
      </c>
      <c r="AR182" s="3">
        <f t="shared" si="6"/>
        <v>0</v>
      </c>
      <c r="AS182" s="3">
        <f t="shared" si="7"/>
        <v>0</v>
      </c>
      <c r="AT182" s="3" t="str">
        <f>IF(OR(Registered!AM182&gt;0,Registered!AO182&gt;0),(IF(Registered!E182=0,"Size Not Specified",Registered!E182)),"")</f>
        <v/>
      </c>
      <c r="AU182" s="3" t="str">
        <f>IF(Registered!AE182=0,"",IF(Registered!AE182=1,Registered!AE182&amp;" Bandana",Registered!AE182&amp;" Bandanas"))</f>
        <v/>
      </c>
      <c r="AV182" s="3">
        <f t="shared" si="8"/>
        <v>0</v>
      </c>
      <c r="AW182" s="2" t="str">
        <f>IF(Registered!AV182=0,"",IF(Registered!AV182=1,Registered!AV182&amp;" Meal",Registered!AV182&amp;" Meals"))</f>
        <v/>
      </c>
      <c r="AX182" s="2" t="str">
        <f>IF(Registered!AI182=0,"",Registered!AI182&amp;" BG")</f>
        <v/>
      </c>
      <c r="AY182" s="2" t="str">
        <f>IF(Registered!AG182=0,"",Registered!AG182&amp;" DustMask")</f>
        <v/>
      </c>
    </row>
    <row r="183" spans="1:51" customFormat="1" x14ac:dyDescent="0.25">
      <c r="A183" t="s">
        <v>159</v>
      </c>
      <c r="B183" t="s">
        <v>2735</v>
      </c>
      <c r="C183" t="s">
        <v>6090</v>
      </c>
      <c r="D183" t="s">
        <v>2736</v>
      </c>
      <c r="E183" t="s">
        <v>2737</v>
      </c>
      <c r="F183" t="s">
        <v>261</v>
      </c>
      <c r="I183" t="s">
        <v>2738</v>
      </c>
      <c r="J183" t="s">
        <v>37</v>
      </c>
      <c r="K183" t="s">
        <v>32</v>
      </c>
      <c r="L183" t="s">
        <v>35</v>
      </c>
      <c r="Q183">
        <v>2</v>
      </c>
      <c r="R183">
        <v>3</v>
      </c>
      <c r="AC183">
        <v>2</v>
      </c>
      <c r="AD183">
        <v>10</v>
      </c>
      <c r="AG183">
        <v>1</v>
      </c>
      <c r="AH183">
        <v>1</v>
      </c>
      <c r="AK183">
        <v>2</v>
      </c>
      <c r="AL183">
        <v>6</v>
      </c>
      <c r="AQ183">
        <v>39</v>
      </c>
      <c r="AR183" s="3">
        <f t="shared" si="6"/>
        <v>10</v>
      </c>
      <c r="AS183" s="3">
        <f t="shared" si="7"/>
        <v>0</v>
      </c>
      <c r="AT183" s="3" t="str">
        <f>IF(OR(Registered!AM183&gt;0,Registered!AO183&gt;0),(IF(Registered!E183=0,"Size Not Specified",Registered!E183)),"")</f>
        <v/>
      </c>
      <c r="AU183" s="3" t="str">
        <f>IF(Registered!AE183=0,"",IF(Registered!AE183=1,Registered!AE183&amp;" Bandana",Registered!AE183&amp;" Bandanas"))</f>
        <v/>
      </c>
      <c r="AV183" s="3">
        <f t="shared" si="8"/>
        <v>2</v>
      </c>
      <c r="AW183" s="2" t="str">
        <f>IF(Registered!AV183=0,"",IF(Registered!AV183=1,Registered!AV183&amp;" Meal",Registered!AV183&amp;" Meals"))</f>
        <v>2 Meals</v>
      </c>
      <c r="AX183" s="2" t="str">
        <f>IF(Registered!AI183=0,"",Registered!AI183&amp;" BG")</f>
        <v/>
      </c>
      <c r="AY183" s="2" t="str">
        <f>IF(Registered!AG183=0,"",Registered!AG183&amp;" DustMask")</f>
        <v>1 DustMask</v>
      </c>
    </row>
    <row r="184" spans="1:51" customFormat="1" x14ac:dyDescent="0.25">
      <c r="A184" t="s">
        <v>189</v>
      </c>
      <c r="B184" t="s">
        <v>759</v>
      </c>
      <c r="C184" t="s">
        <v>6090</v>
      </c>
      <c r="D184" t="s">
        <v>189</v>
      </c>
      <c r="I184" t="s">
        <v>760</v>
      </c>
      <c r="J184" t="s">
        <v>37</v>
      </c>
      <c r="K184" t="s">
        <v>32</v>
      </c>
      <c r="L184" t="s">
        <v>35</v>
      </c>
      <c r="S184">
        <v>2</v>
      </c>
      <c r="T184">
        <v>3</v>
      </c>
      <c r="U184">
        <v>1</v>
      </c>
      <c r="V184">
        <v>20</v>
      </c>
      <c r="AQ184">
        <v>26</v>
      </c>
      <c r="AR184" s="3">
        <f t="shared" si="6"/>
        <v>10</v>
      </c>
      <c r="AS184" s="3">
        <f t="shared" si="7"/>
        <v>0</v>
      </c>
      <c r="AT184" s="3" t="str">
        <f>IF(OR(Registered!AM184&gt;0,Registered!AO184&gt;0),(IF(Registered!E184=0,"Size Not Specified",Registered!E184)),"")</f>
        <v/>
      </c>
      <c r="AU184" s="3" t="str">
        <f>IF(Registered!AE184=0,"",IF(Registered!AE184=1,Registered!AE184&amp;" Bandana",Registered!AE184&amp;" Bandanas"))</f>
        <v/>
      </c>
      <c r="AV184" s="3">
        <f t="shared" si="8"/>
        <v>0</v>
      </c>
      <c r="AW184" s="2" t="str">
        <f>IF(Registered!AV184=0,"",IF(Registered!AV184=1,Registered!AV184&amp;" Meal",Registered!AV184&amp;" Meals"))</f>
        <v/>
      </c>
      <c r="AX184" s="2" t="str">
        <f>IF(Registered!AI184=0,"",Registered!AI184&amp;" BG")</f>
        <v/>
      </c>
      <c r="AY184" s="2" t="str">
        <f>IF(Registered!AG184=0,"",Registered!AG184&amp;" DustMask")</f>
        <v/>
      </c>
    </row>
    <row r="185" spans="1:51" customFormat="1" x14ac:dyDescent="0.25">
      <c r="A185" t="s">
        <v>292</v>
      </c>
      <c r="B185" t="s">
        <v>3706</v>
      </c>
      <c r="C185" t="s">
        <v>6090</v>
      </c>
      <c r="G185" t="s">
        <v>90</v>
      </c>
      <c r="H185" t="s">
        <v>313</v>
      </c>
      <c r="I185" t="s">
        <v>3679</v>
      </c>
      <c r="J185" t="s">
        <v>37</v>
      </c>
      <c r="K185" t="s">
        <v>32</v>
      </c>
      <c r="L185" t="s">
        <v>35</v>
      </c>
      <c r="AQ185">
        <v>0</v>
      </c>
      <c r="AR185" s="3">
        <f t="shared" si="6"/>
        <v>0</v>
      </c>
      <c r="AS185" s="3">
        <f t="shared" si="7"/>
        <v>0</v>
      </c>
      <c r="AT185" s="3" t="str">
        <f>IF(OR(Registered!AM185&gt;0,Registered!AO185&gt;0),(IF(Registered!E185=0,"Size Not Specified",Registered!E185)),"")</f>
        <v/>
      </c>
      <c r="AU185" s="3" t="str">
        <f>IF(Registered!AE185=0,"",IF(Registered!AE185=1,Registered!AE185&amp;" Bandana",Registered!AE185&amp;" Bandanas"))</f>
        <v/>
      </c>
      <c r="AV185" s="3">
        <f t="shared" si="8"/>
        <v>0</v>
      </c>
      <c r="AW185" s="2" t="str">
        <f>IF(Registered!AV185=0,"",IF(Registered!AV185=1,Registered!AV185&amp;" Meal",Registered!AV185&amp;" Meals"))</f>
        <v/>
      </c>
      <c r="AX185" s="2" t="str">
        <f>IF(Registered!AI185=0,"",Registered!AI185&amp;" BG")</f>
        <v/>
      </c>
      <c r="AY185" s="2" t="str">
        <f>IF(Registered!AG185=0,"",Registered!AG185&amp;" DustMask")</f>
        <v/>
      </c>
    </row>
    <row r="186" spans="1:51" customFormat="1" x14ac:dyDescent="0.25">
      <c r="A186" t="s">
        <v>3707</v>
      </c>
      <c r="B186" t="s">
        <v>3708</v>
      </c>
      <c r="C186" t="s">
        <v>6090</v>
      </c>
      <c r="G186" t="s">
        <v>50</v>
      </c>
      <c r="H186" t="s">
        <v>3595</v>
      </c>
      <c r="I186" t="s">
        <v>3709</v>
      </c>
      <c r="J186" t="s">
        <v>37</v>
      </c>
      <c r="K186" t="s">
        <v>32</v>
      </c>
      <c r="L186" t="s">
        <v>35</v>
      </c>
      <c r="AQ186">
        <v>0</v>
      </c>
      <c r="AR186" s="3">
        <f t="shared" si="6"/>
        <v>0</v>
      </c>
      <c r="AS186" s="3">
        <f t="shared" si="7"/>
        <v>0</v>
      </c>
      <c r="AT186" s="3" t="str">
        <f>IF(OR(Registered!AM186&gt;0,Registered!AO186&gt;0),(IF(Registered!E186=0,"Size Not Specified",Registered!E186)),"")</f>
        <v/>
      </c>
      <c r="AU186" s="3" t="str">
        <f>IF(Registered!AE186=0,"",IF(Registered!AE186=1,Registered!AE186&amp;" Bandana",Registered!AE186&amp;" Bandanas"))</f>
        <v/>
      </c>
      <c r="AV186" s="3">
        <f t="shared" si="8"/>
        <v>0</v>
      </c>
      <c r="AW186" s="2" t="str">
        <f>IF(Registered!AV186=0,"",IF(Registered!AV186=1,Registered!AV186&amp;" Meal",Registered!AV186&amp;" Meals"))</f>
        <v/>
      </c>
      <c r="AX186" s="2" t="str">
        <f>IF(Registered!AI186=0,"",Registered!AI186&amp;" BG")</f>
        <v/>
      </c>
      <c r="AY186" s="2" t="str">
        <f>IF(Registered!AG186=0,"",Registered!AG186&amp;" DustMask")</f>
        <v/>
      </c>
    </row>
    <row r="187" spans="1:51" customFormat="1" x14ac:dyDescent="0.25">
      <c r="A187" t="s">
        <v>1549</v>
      </c>
      <c r="B187" t="s">
        <v>761</v>
      </c>
      <c r="C187" t="s">
        <v>6090</v>
      </c>
      <c r="G187" t="s">
        <v>3710</v>
      </c>
      <c r="H187" t="s">
        <v>3711</v>
      </c>
      <c r="I187" t="s">
        <v>3712</v>
      </c>
      <c r="J187" t="s">
        <v>37</v>
      </c>
      <c r="K187" t="s">
        <v>32</v>
      </c>
      <c r="L187" t="s">
        <v>35</v>
      </c>
      <c r="AQ187">
        <v>0</v>
      </c>
      <c r="AR187" s="3">
        <f t="shared" si="6"/>
        <v>0</v>
      </c>
      <c r="AS187" s="3">
        <f t="shared" si="7"/>
        <v>0</v>
      </c>
      <c r="AT187" s="3" t="str">
        <f>IF(OR(Registered!AM187&gt;0,Registered!AO187&gt;0),(IF(Registered!E187=0,"Size Not Specified",Registered!E187)),"")</f>
        <v/>
      </c>
      <c r="AU187" s="3" t="str">
        <f>IF(Registered!AE187=0,"",IF(Registered!AE187=1,Registered!AE187&amp;" Bandana",Registered!AE187&amp;" Bandanas"))</f>
        <v/>
      </c>
      <c r="AV187" s="3">
        <f t="shared" si="8"/>
        <v>0</v>
      </c>
      <c r="AW187" s="2" t="str">
        <f>IF(Registered!AV187=0,"",IF(Registered!AV187=1,Registered!AV187&amp;" Meal",Registered!AV187&amp;" Meals"))</f>
        <v/>
      </c>
      <c r="AX187" s="2" t="str">
        <f>IF(Registered!AI187=0,"",Registered!AI187&amp;" BG")</f>
        <v/>
      </c>
      <c r="AY187" s="2" t="str">
        <f>IF(Registered!AG187=0,"",Registered!AG187&amp;" DustMask")</f>
        <v/>
      </c>
    </row>
    <row r="188" spans="1:51" customFormat="1" x14ac:dyDescent="0.25">
      <c r="A188" t="s">
        <v>166</v>
      </c>
      <c r="B188" t="s">
        <v>761</v>
      </c>
      <c r="C188" t="s">
        <v>6090</v>
      </c>
      <c r="D188" t="s">
        <v>762</v>
      </c>
      <c r="F188" t="s">
        <v>261</v>
      </c>
      <c r="I188" t="s">
        <v>763</v>
      </c>
      <c r="J188" t="s">
        <v>37</v>
      </c>
      <c r="K188" t="s">
        <v>32</v>
      </c>
      <c r="L188" t="s">
        <v>35</v>
      </c>
      <c r="S188">
        <v>4</v>
      </c>
      <c r="T188">
        <v>3</v>
      </c>
      <c r="AC188">
        <v>4</v>
      </c>
      <c r="AD188">
        <v>10</v>
      </c>
      <c r="AQ188">
        <v>52</v>
      </c>
      <c r="AR188" s="3">
        <f t="shared" si="6"/>
        <v>20</v>
      </c>
      <c r="AS188" s="3">
        <f t="shared" si="7"/>
        <v>0</v>
      </c>
      <c r="AT188" s="3" t="str">
        <f>IF(OR(Registered!AM188&gt;0,Registered!AO188&gt;0),(IF(Registered!E188=0,"Size Not Specified",Registered!E188)),"")</f>
        <v/>
      </c>
      <c r="AU188" s="3" t="str">
        <f>IF(Registered!AE188=0,"",IF(Registered!AE188=1,Registered!AE188&amp;" Bandana",Registered!AE188&amp;" Bandanas"))</f>
        <v/>
      </c>
      <c r="AV188" s="3">
        <f t="shared" si="8"/>
        <v>0</v>
      </c>
      <c r="AW188" s="2" t="str">
        <f>IF(Registered!AV188=0,"",IF(Registered!AV188=1,Registered!AV188&amp;" Meal",Registered!AV188&amp;" Meals"))</f>
        <v/>
      </c>
      <c r="AX188" s="2" t="str">
        <f>IF(Registered!AI188=0,"",Registered!AI188&amp;" BG")</f>
        <v/>
      </c>
      <c r="AY188" s="2" t="str">
        <f>IF(Registered!AG188=0,"",Registered!AG188&amp;" DustMask")</f>
        <v/>
      </c>
    </row>
    <row r="189" spans="1:51" customFormat="1" x14ac:dyDescent="0.25">
      <c r="A189" t="s">
        <v>764</v>
      </c>
      <c r="B189" t="s">
        <v>761</v>
      </c>
      <c r="C189" t="s">
        <v>6090</v>
      </c>
      <c r="G189" t="s">
        <v>166</v>
      </c>
      <c r="H189" t="s">
        <v>761</v>
      </c>
      <c r="I189" t="s">
        <v>763</v>
      </c>
      <c r="J189" t="s">
        <v>37</v>
      </c>
      <c r="K189" t="s">
        <v>32</v>
      </c>
      <c r="L189" t="s">
        <v>35</v>
      </c>
      <c r="AQ189">
        <v>0</v>
      </c>
      <c r="AR189" s="3">
        <f t="shared" si="6"/>
        <v>0</v>
      </c>
      <c r="AS189" s="3">
        <f t="shared" si="7"/>
        <v>0</v>
      </c>
      <c r="AT189" s="3" t="str">
        <f>IF(OR(Registered!AM189&gt;0,Registered!AO189&gt;0),(IF(Registered!E189=0,"Size Not Specified",Registered!E189)),"")</f>
        <v/>
      </c>
      <c r="AU189" s="3" t="str">
        <f>IF(Registered!AE189=0,"",IF(Registered!AE189=1,Registered!AE189&amp;" Bandana",Registered!AE189&amp;" Bandanas"))</f>
        <v/>
      </c>
      <c r="AV189" s="3">
        <f t="shared" si="8"/>
        <v>0</v>
      </c>
      <c r="AW189" s="2" t="str">
        <f>IF(Registered!AV189=0,"",IF(Registered!AV189=1,Registered!AV189&amp;" Meal",Registered!AV189&amp;" Meals"))</f>
        <v/>
      </c>
      <c r="AX189" s="2" t="str">
        <f>IF(Registered!AI189=0,"",Registered!AI189&amp;" BG")</f>
        <v/>
      </c>
      <c r="AY189" s="2" t="str">
        <f>IF(Registered!AG189=0,"",Registered!AG189&amp;" DustMask")</f>
        <v/>
      </c>
    </row>
    <row r="190" spans="1:51" customFormat="1" x14ac:dyDescent="0.25">
      <c r="A190" t="s">
        <v>765</v>
      </c>
      <c r="B190" t="s">
        <v>761</v>
      </c>
      <c r="C190" t="s">
        <v>6090</v>
      </c>
      <c r="G190" t="s">
        <v>166</v>
      </c>
      <c r="H190" t="s">
        <v>761</v>
      </c>
      <c r="I190" t="s">
        <v>763</v>
      </c>
      <c r="J190" t="s">
        <v>37</v>
      </c>
      <c r="K190" t="s">
        <v>32</v>
      </c>
      <c r="L190" t="s">
        <v>35</v>
      </c>
      <c r="AQ190">
        <v>0</v>
      </c>
      <c r="AR190" s="3">
        <f t="shared" si="6"/>
        <v>0</v>
      </c>
      <c r="AS190" s="3">
        <f t="shared" si="7"/>
        <v>0</v>
      </c>
      <c r="AT190" s="3" t="str">
        <f>IF(OR(Registered!AM190&gt;0,Registered!AO190&gt;0),(IF(Registered!E190=0,"Size Not Specified",Registered!E190)),"")</f>
        <v/>
      </c>
      <c r="AU190" s="3" t="str">
        <f>IF(Registered!AE190=0,"",IF(Registered!AE190=1,Registered!AE190&amp;" Bandana",Registered!AE190&amp;" Bandanas"))</f>
        <v/>
      </c>
      <c r="AV190" s="3">
        <f t="shared" si="8"/>
        <v>0</v>
      </c>
      <c r="AW190" s="2" t="str">
        <f>IF(Registered!AV190=0,"",IF(Registered!AV190=1,Registered!AV190&amp;" Meal",Registered!AV190&amp;" Meals"))</f>
        <v/>
      </c>
      <c r="AX190" s="2" t="str">
        <f>IF(Registered!AI190=0,"",Registered!AI190&amp;" BG")</f>
        <v/>
      </c>
      <c r="AY190" s="2" t="str">
        <f>IF(Registered!AG190=0,"",Registered!AG190&amp;" DustMask")</f>
        <v/>
      </c>
    </row>
    <row r="191" spans="1:51" customFormat="1" x14ac:dyDescent="0.25">
      <c r="A191" t="s">
        <v>125</v>
      </c>
      <c r="B191" t="s">
        <v>761</v>
      </c>
      <c r="C191" t="s">
        <v>6090</v>
      </c>
      <c r="G191" t="s">
        <v>166</v>
      </c>
      <c r="H191" t="s">
        <v>761</v>
      </c>
      <c r="I191" t="s">
        <v>763</v>
      </c>
      <c r="J191" t="s">
        <v>37</v>
      </c>
      <c r="K191" t="s">
        <v>32</v>
      </c>
      <c r="L191" t="s">
        <v>35</v>
      </c>
      <c r="AQ191">
        <v>0</v>
      </c>
      <c r="AR191" s="3">
        <f t="shared" si="6"/>
        <v>0</v>
      </c>
      <c r="AS191" s="3">
        <f t="shared" si="7"/>
        <v>0</v>
      </c>
      <c r="AT191" s="3" t="str">
        <f>IF(OR(Registered!AM191&gt;0,Registered!AO191&gt;0),(IF(Registered!E191=0,"Size Not Specified",Registered!E191)),"")</f>
        <v/>
      </c>
      <c r="AU191" s="3" t="str">
        <f>IF(Registered!AE191=0,"",IF(Registered!AE191=1,Registered!AE191&amp;" Bandana",Registered!AE191&amp;" Bandanas"))</f>
        <v/>
      </c>
      <c r="AV191" s="3">
        <f t="shared" si="8"/>
        <v>0</v>
      </c>
      <c r="AW191" s="2" t="str">
        <f>IF(Registered!AV191=0,"",IF(Registered!AV191=1,Registered!AV191&amp;" Meal",Registered!AV191&amp;" Meals"))</f>
        <v/>
      </c>
      <c r="AX191" s="2" t="str">
        <f>IF(Registered!AI191=0,"",Registered!AI191&amp;" BG")</f>
        <v/>
      </c>
      <c r="AY191" s="2" t="str">
        <f>IF(Registered!AG191=0,"",Registered!AG191&amp;" DustMask")</f>
        <v/>
      </c>
    </row>
    <row r="192" spans="1:51" customFormat="1" x14ac:dyDescent="0.25">
      <c r="A192" t="s">
        <v>3713</v>
      </c>
      <c r="B192" t="s">
        <v>3714</v>
      </c>
      <c r="C192" t="s">
        <v>6090</v>
      </c>
      <c r="G192" t="s">
        <v>188</v>
      </c>
      <c r="H192" t="s">
        <v>101</v>
      </c>
      <c r="I192" t="s">
        <v>3715</v>
      </c>
      <c r="J192" t="s">
        <v>37</v>
      </c>
      <c r="K192" t="s">
        <v>32</v>
      </c>
      <c r="L192" t="s">
        <v>35</v>
      </c>
      <c r="AQ192">
        <v>0</v>
      </c>
      <c r="AR192" s="3">
        <f t="shared" si="6"/>
        <v>0</v>
      </c>
      <c r="AS192" s="3">
        <f t="shared" si="7"/>
        <v>0</v>
      </c>
      <c r="AT192" s="3" t="str">
        <f>IF(OR(Registered!AM192&gt;0,Registered!AO192&gt;0),(IF(Registered!E192=0,"Size Not Specified",Registered!E192)),"")</f>
        <v/>
      </c>
      <c r="AU192" s="3" t="str">
        <f>IF(Registered!AE192=0,"",IF(Registered!AE192=1,Registered!AE192&amp;" Bandana",Registered!AE192&amp;" Bandanas"))</f>
        <v/>
      </c>
      <c r="AV192" s="3">
        <f t="shared" si="8"/>
        <v>0</v>
      </c>
      <c r="AW192" s="2" t="str">
        <f>IF(Registered!AV192=0,"",IF(Registered!AV192=1,Registered!AV192&amp;" Meal",Registered!AV192&amp;" Meals"))</f>
        <v/>
      </c>
      <c r="AX192" s="2" t="str">
        <f>IF(Registered!AI192=0,"",Registered!AI192&amp;" BG")</f>
        <v/>
      </c>
      <c r="AY192" s="2" t="str">
        <f>IF(Registered!AG192=0,"",Registered!AG192&amp;" DustMask")</f>
        <v/>
      </c>
    </row>
    <row r="193" spans="1:51" customFormat="1" x14ac:dyDescent="0.25">
      <c r="A193" t="s">
        <v>136</v>
      </c>
      <c r="B193" t="s">
        <v>766</v>
      </c>
      <c r="C193" t="s">
        <v>6090</v>
      </c>
      <c r="D193" t="s">
        <v>767</v>
      </c>
      <c r="E193" t="s">
        <v>768</v>
      </c>
      <c r="I193" t="s">
        <v>769</v>
      </c>
      <c r="J193" t="s">
        <v>37</v>
      </c>
      <c r="K193" t="s">
        <v>32</v>
      </c>
      <c r="L193" t="s">
        <v>35</v>
      </c>
      <c r="O193">
        <v>1</v>
      </c>
      <c r="P193">
        <v>3</v>
      </c>
      <c r="AM193">
        <v>1</v>
      </c>
      <c r="AN193">
        <v>25</v>
      </c>
      <c r="AQ193">
        <v>28</v>
      </c>
      <c r="AR193" s="3">
        <f t="shared" si="6"/>
        <v>5</v>
      </c>
      <c r="AS193" s="3">
        <f t="shared" si="7"/>
        <v>1</v>
      </c>
      <c r="AT193" s="3" t="str">
        <f>IF(OR(Registered!AM193&gt;0,Registered!AO193&gt;0),(IF(Registered!E193=0,"Size Not Specified",Registered!E193)),"")</f>
        <v>Medium Womens</v>
      </c>
      <c r="AU193" s="3" t="str">
        <f>IF(Registered!AE193=0,"",IF(Registered!AE193=1,Registered!AE193&amp;" Bandana",Registered!AE193&amp;" Bandanas"))</f>
        <v/>
      </c>
      <c r="AV193" s="3">
        <f t="shared" si="8"/>
        <v>1</v>
      </c>
      <c r="AW193" s="2" t="str">
        <f>IF(Registered!AV193=0,"",IF(Registered!AV193=1,Registered!AV193&amp;" Meal",Registered!AV193&amp;" Meals"))</f>
        <v>1 Meal</v>
      </c>
      <c r="AX193" s="2" t="str">
        <f>IF(Registered!AI193=0,"",Registered!AI193&amp;" BG")</f>
        <v/>
      </c>
      <c r="AY193" s="2" t="str">
        <f>IF(Registered!AG193=0,"",Registered!AG193&amp;" DustMask")</f>
        <v/>
      </c>
    </row>
    <row r="194" spans="1:51" customFormat="1" x14ac:dyDescent="0.25">
      <c r="A194" t="s">
        <v>3716</v>
      </c>
      <c r="B194" t="s">
        <v>3717</v>
      </c>
      <c r="C194" t="s">
        <v>6090</v>
      </c>
      <c r="G194" t="s">
        <v>220</v>
      </c>
      <c r="H194" t="s">
        <v>3718</v>
      </c>
      <c r="I194" t="s">
        <v>3719</v>
      </c>
      <c r="J194" t="s">
        <v>37</v>
      </c>
      <c r="K194" t="s">
        <v>32</v>
      </c>
      <c r="L194" t="s">
        <v>35</v>
      </c>
      <c r="AQ194">
        <v>0</v>
      </c>
      <c r="AR194" s="3">
        <f t="shared" ref="AR194:AR257" si="9">IF(ISTEXT(AM194)=TRUE,"",SUM(U194*10,W194*20,Y194*30,AA194*40,AC194*5,AM194*5))</f>
        <v>0</v>
      </c>
      <c r="AS194" s="3">
        <f t="shared" ref="AS194:AS257" si="10">IF(ISTEXT(AM194)=TRUE,"",SUM(AM194,AO194))</f>
        <v>0</v>
      </c>
      <c r="AT194" s="3" t="str">
        <f>IF(OR(Registered!AM194&gt;0,Registered!AO194&gt;0),(IF(Registered!E194=0,"Size Not Specified",Registered!E194)),"")</f>
        <v/>
      </c>
      <c r="AU194" s="3" t="str">
        <f>IF(Registered!AE194=0,"",IF(Registered!AE194=1,Registered!AE194&amp;" Bandana",Registered!AE194&amp;" Bandanas"))</f>
        <v/>
      </c>
      <c r="AV194" s="3">
        <f t="shared" ref="AV194:AV257" si="11">IF(ISTEXT(AM194)=TRUE,"",SUM(AM194,AK194))</f>
        <v>0</v>
      </c>
      <c r="AW194" s="2" t="str">
        <f>IF(Registered!AV194=0,"",IF(Registered!AV194=1,Registered!AV194&amp;" Meal",Registered!AV194&amp;" Meals"))</f>
        <v/>
      </c>
      <c r="AX194" s="2" t="str">
        <f>IF(Registered!AI194=0,"",Registered!AI194&amp;" BG")</f>
        <v/>
      </c>
      <c r="AY194" s="2" t="str">
        <f>IF(Registered!AG194=0,"",Registered!AG194&amp;" DustMask")</f>
        <v/>
      </c>
    </row>
    <row r="195" spans="1:51" customFormat="1" x14ac:dyDescent="0.25">
      <c r="A195" t="s">
        <v>3720</v>
      </c>
      <c r="B195" t="s">
        <v>3717</v>
      </c>
      <c r="C195" t="s">
        <v>6090</v>
      </c>
      <c r="G195" t="s">
        <v>3721</v>
      </c>
      <c r="H195" t="s">
        <v>101</v>
      </c>
      <c r="I195" t="s">
        <v>3722</v>
      </c>
      <c r="J195" t="s">
        <v>37</v>
      </c>
      <c r="K195" t="s">
        <v>32</v>
      </c>
      <c r="L195" t="s">
        <v>35</v>
      </c>
      <c r="AQ195">
        <v>0</v>
      </c>
      <c r="AR195" s="3">
        <f t="shared" si="9"/>
        <v>0</v>
      </c>
      <c r="AS195" s="3">
        <f t="shared" si="10"/>
        <v>0</v>
      </c>
      <c r="AT195" s="3" t="str">
        <f>IF(OR(Registered!AM195&gt;0,Registered!AO195&gt;0),(IF(Registered!E195=0,"Size Not Specified",Registered!E195)),"")</f>
        <v/>
      </c>
      <c r="AU195" s="3" t="str">
        <f>IF(Registered!AE195=0,"",IF(Registered!AE195=1,Registered!AE195&amp;" Bandana",Registered!AE195&amp;" Bandanas"))</f>
        <v/>
      </c>
      <c r="AV195" s="3">
        <f t="shared" si="11"/>
        <v>0</v>
      </c>
      <c r="AW195" s="2" t="str">
        <f>IF(Registered!AV195=0,"",IF(Registered!AV195=1,Registered!AV195&amp;" Meal",Registered!AV195&amp;" Meals"))</f>
        <v/>
      </c>
      <c r="AX195" s="2" t="str">
        <f>IF(Registered!AI195=0,"",Registered!AI195&amp;" BG")</f>
        <v/>
      </c>
      <c r="AY195" s="2" t="str">
        <f>IF(Registered!AG195=0,"",Registered!AG195&amp;" DustMask")</f>
        <v/>
      </c>
    </row>
    <row r="196" spans="1:51" customFormat="1" x14ac:dyDescent="0.25">
      <c r="A196" t="s">
        <v>770</v>
      </c>
      <c r="B196" t="s">
        <v>771</v>
      </c>
      <c r="C196" t="s">
        <v>6090</v>
      </c>
      <c r="G196" t="s">
        <v>772</v>
      </c>
      <c r="H196" t="s">
        <v>95</v>
      </c>
      <c r="I196" t="s">
        <v>773</v>
      </c>
      <c r="J196" t="s">
        <v>37</v>
      </c>
      <c r="K196" t="s">
        <v>32</v>
      </c>
      <c r="L196" t="s">
        <v>35</v>
      </c>
      <c r="AQ196">
        <v>0</v>
      </c>
      <c r="AR196" s="3">
        <f t="shared" si="9"/>
        <v>0</v>
      </c>
      <c r="AS196" s="3">
        <f t="shared" si="10"/>
        <v>0</v>
      </c>
      <c r="AT196" s="3" t="str">
        <f>IF(OR(Registered!AM196&gt;0,Registered!AO196&gt;0),(IF(Registered!E196=0,"Size Not Specified",Registered!E196)),"")</f>
        <v/>
      </c>
      <c r="AU196" s="3" t="str">
        <f>IF(Registered!AE196=0,"",IF(Registered!AE196=1,Registered!AE196&amp;" Bandana",Registered!AE196&amp;" Bandanas"))</f>
        <v/>
      </c>
      <c r="AV196" s="3">
        <f t="shared" si="11"/>
        <v>0</v>
      </c>
      <c r="AW196" s="2" t="str">
        <f>IF(Registered!AV196=0,"",IF(Registered!AV196=1,Registered!AV196&amp;" Meal",Registered!AV196&amp;" Meals"))</f>
        <v/>
      </c>
      <c r="AX196" s="2" t="str">
        <f>IF(Registered!AI196=0,"",Registered!AI196&amp;" BG")</f>
        <v/>
      </c>
      <c r="AY196" s="2" t="str">
        <f>IF(Registered!AG196=0,"",Registered!AG196&amp;" DustMask")</f>
        <v/>
      </c>
    </row>
    <row r="197" spans="1:51" customFormat="1" x14ac:dyDescent="0.25">
      <c r="A197" t="s">
        <v>774</v>
      </c>
      <c r="B197" t="s">
        <v>775</v>
      </c>
      <c r="C197" t="s">
        <v>6090</v>
      </c>
      <c r="G197" t="s">
        <v>776</v>
      </c>
      <c r="H197" t="s">
        <v>777</v>
      </c>
      <c r="I197" t="s">
        <v>2743</v>
      </c>
      <c r="J197" t="s">
        <v>37</v>
      </c>
      <c r="K197" t="s">
        <v>32</v>
      </c>
      <c r="L197" t="s">
        <v>35</v>
      </c>
      <c r="AQ197">
        <v>0</v>
      </c>
      <c r="AR197" s="3">
        <f t="shared" si="9"/>
        <v>0</v>
      </c>
      <c r="AS197" s="3">
        <f t="shared" si="10"/>
        <v>0</v>
      </c>
      <c r="AT197" s="3" t="str">
        <f>IF(OR(Registered!AM197&gt;0,Registered!AO197&gt;0),(IF(Registered!E197=0,"Size Not Specified",Registered!E197)),"")</f>
        <v/>
      </c>
      <c r="AU197" s="3" t="str">
        <f>IF(Registered!AE197=0,"",IF(Registered!AE197=1,Registered!AE197&amp;" Bandana",Registered!AE197&amp;" Bandanas"))</f>
        <v/>
      </c>
      <c r="AV197" s="3">
        <f t="shared" si="11"/>
        <v>0</v>
      </c>
      <c r="AW197" s="2" t="str">
        <f>IF(Registered!AV197=0,"",IF(Registered!AV197=1,Registered!AV197&amp;" Meal",Registered!AV197&amp;" Meals"))</f>
        <v/>
      </c>
      <c r="AX197" s="2" t="str">
        <f>IF(Registered!AI197=0,"",Registered!AI197&amp;" BG")</f>
        <v/>
      </c>
      <c r="AY197" s="2" t="str">
        <f>IF(Registered!AG197=0,"",Registered!AG197&amp;" DustMask")</f>
        <v/>
      </c>
    </row>
    <row r="198" spans="1:51" customFormat="1" x14ac:dyDescent="0.25">
      <c r="A198" t="s">
        <v>167</v>
      </c>
      <c r="B198" t="s">
        <v>3723</v>
      </c>
      <c r="C198" t="s">
        <v>6090</v>
      </c>
      <c r="D198" t="s">
        <v>3724</v>
      </c>
      <c r="E198" t="s">
        <v>3725</v>
      </c>
      <c r="F198" t="s">
        <v>261</v>
      </c>
      <c r="I198" t="s">
        <v>3726</v>
      </c>
      <c r="J198" t="s">
        <v>37</v>
      </c>
      <c r="K198" t="s">
        <v>32</v>
      </c>
      <c r="L198" t="s">
        <v>35</v>
      </c>
      <c r="Q198">
        <v>3</v>
      </c>
      <c r="R198">
        <v>3</v>
      </c>
      <c r="AE198">
        <v>3</v>
      </c>
      <c r="AF198">
        <v>6</v>
      </c>
      <c r="AM198">
        <v>3</v>
      </c>
      <c r="AN198">
        <v>25</v>
      </c>
      <c r="AQ198">
        <v>102</v>
      </c>
      <c r="AR198" s="3">
        <f t="shared" si="9"/>
        <v>15</v>
      </c>
      <c r="AS198" s="3">
        <f t="shared" si="10"/>
        <v>3</v>
      </c>
      <c r="AT198" s="3" t="str">
        <f>IF(OR(Registered!AM198&gt;0,Registered!AO198&gt;0),(IF(Registered!E198=0,"Size Not Specified",Registered!E198)),"")</f>
        <v>Small, Medium, and Large</v>
      </c>
      <c r="AU198" s="3" t="str">
        <f>IF(Registered!AE198=0,"",IF(Registered!AE198=1,Registered!AE198&amp;" Bandana",Registered!AE198&amp;" Bandanas"))</f>
        <v>3 Bandanas</v>
      </c>
      <c r="AV198" s="3">
        <f t="shared" si="11"/>
        <v>3</v>
      </c>
      <c r="AW198" s="2" t="str">
        <f>IF(Registered!AV198=0,"",IF(Registered!AV198=1,Registered!AV198&amp;" Meal",Registered!AV198&amp;" Meals"))</f>
        <v>3 Meals</v>
      </c>
      <c r="AX198" s="2" t="str">
        <f>IF(Registered!AI198=0,"",Registered!AI198&amp;" BG")</f>
        <v/>
      </c>
      <c r="AY198" s="2" t="str">
        <f>IF(Registered!AG198=0,"",Registered!AG198&amp;" DustMask")</f>
        <v/>
      </c>
    </row>
    <row r="199" spans="1:51" customFormat="1" x14ac:dyDescent="0.25">
      <c r="A199" t="s">
        <v>89</v>
      </c>
      <c r="B199" t="s">
        <v>318</v>
      </c>
      <c r="C199" t="s">
        <v>6090</v>
      </c>
      <c r="G199" t="s">
        <v>91</v>
      </c>
      <c r="H199" t="s">
        <v>778</v>
      </c>
      <c r="I199" t="s">
        <v>779</v>
      </c>
      <c r="J199" t="s">
        <v>37</v>
      </c>
      <c r="K199" t="s">
        <v>32</v>
      </c>
      <c r="L199" t="s">
        <v>35</v>
      </c>
      <c r="AQ199">
        <v>0</v>
      </c>
      <c r="AR199" s="3">
        <f t="shared" si="9"/>
        <v>0</v>
      </c>
      <c r="AS199" s="3">
        <f t="shared" si="10"/>
        <v>0</v>
      </c>
      <c r="AT199" s="3" t="str">
        <f>IF(OR(Registered!AM199&gt;0,Registered!AO199&gt;0),(IF(Registered!E199=0,"Size Not Specified",Registered!E199)),"")</f>
        <v/>
      </c>
      <c r="AU199" s="3" t="str">
        <f>IF(Registered!AE199=0,"",IF(Registered!AE199=1,Registered!AE199&amp;" Bandana",Registered!AE199&amp;" Bandanas"))</f>
        <v/>
      </c>
      <c r="AV199" s="3">
        <f t="shared" si="11"/>
        <v>0</v>
      </c>
      <c r="AW199" s="2" t="str">
        <f>IF(Registered!AV199=0,"",IF(Registered!AV199=1,Registered!AV199&amp;" Meal",Registered!AV199&amp;" Meals"))</f>
        <v/>
      </c>
      <c r="AX199" s="2" t="str">
        <f>IF(Registered!AI199=0,"",Registered!AI199&amp;" BG")</f>
        <v/>
      </c>
      <c r="AY199" s="2" t="str">
        <f>IF(Registered!AG199=0,"",Registered!AG199&amp;" DustMask")</f>
        <v/>
      </c>
    </row>
    <row r="200" spans="1:51" customFormat="1" x14ac:dyDescent="0.25">
      <c r="A200" t="s">
        <v>230</v>
      </c>
      <c r="B200" t="s">
        <v>86</v>
      </c>
      <c r="C200" t="s">
        <v>6090</v>
      </c>
      <c r="G200" t="s">
        <v>780</v>
      </c>
      <c r="H200" t="s">
        <v>86</v>
      </c>
      <c r="I200" t="s">
        <v>781</v>
      </c>
      <c r="J200" t="s">
        <v>37</v>
      </c>
      <c r="K200" t="s">
        <v>32</v>
      </c>
      <c r="L200" t="s">
        <v>35</v>
      </c>
      <c r="AQ200">
        <v>0</v>
      </c>
      <c r="AR200" s="3">
        <f t="shared" si="9"/>
        <v>0</v>
      </c>
      <c r="AS200" s="3">
        <f t="shared" si="10"/>
        <v>0</v>
      </c>
      <c r="AT200" s="3" t="str">
        <f>IF(OR(Registered!AM200&gt;0,Registered!AO200&gt;0),(IF(Registered!E200=0,"Size Not Specified",Registered!E200)),"")</f>
        <v/>
      </c>
      <c r="AU200" s="3" t="str">
        <f>IF(Registered!AE200=0,"",IF(Registered!AE200=1,Registered!AE200&amp;" Bandana",Registered!AE200&amp;" Bandanas"))</f>
        <v/>
      </c>
      <c r="AV200" s="3">
        <f t="shared" si="11"/>
        <v>0</v>
      </c>
      <c r="AW200" s="2" t="str">
        <f>IF(Registered!AV200=0,"",IF(Registered!AV200=1,Registered!AV200&amp;" Meal",Registered!AV200&amp;" Meals"))</f>
        <v/>
      </c>
      <c r="AX200" s="2" t="str">
        <f>IF(Registered!AI200=0,"",Registered!AI200&amp;" BG")</f>
        <v/>
      </c>
      <c r="AY200" s="2" t="str">
        <f>IF(Registered!AG200=0,"",Registered!AG200&amp;" DustMask")</f>
        <v/>
      </c>
    </row>
    <row r="201" spans="1:51" customFormat="1" x14ac:dyDescent="0.25">
      <c r="A201" t="s">
        <v>780</v>
      </c>
      <c r="B201" t="s">
        <v>86</v>
      </c>
      <c r="C201" t="s">
        <v>6090</v>
      </c>
      <c r="D201" t="s">
        <v>782</v>
      </c>
      <c r="I201" t="s">
        <v>781</v>
      </c>
      <c r="J201" t="s">
        <v>37</v>
      </c>
      <c r="K201" t="s">
        <v>32</v>
      </c>
      <c r="L201" t="s">
        <v>35</v>
      </c>
      <c r="O201">
        <v>2</v>
      </c>
      <c r="P201">
        <v>3</v>
      </c>
      <c r="W201">
        <v>1</v>
      </c>
      <c r="X201">
        <v>40</v>
      </c>
      <c r="AK201">
        <v>2</v>
      </c>
      <c r="AL201">
        <v>6</v>
      </c>
      <c r="AQ201">
        <v>58</v>
      </c>
      <c r="AR201" s="3">
        <f t="shared" si="9"/>
        <v>20</v>
      </c>
      <c r="AS201" s="3">
        <f t="shared" si="10"/>
        <v>0</v>
      </c>
      <c r="AT201" s="3" t="str">
        <f>IF(OR(Registered!AM201&gt;0,Registered!AO201&gt;0),(IF(Registered!E201=0,"Size Not Specified",Registered!E201)),"")</f>
        <v/>
      </c>
      <c r="AU201" s="3" t="str">
        <f>IF(Registered!AE201=0,"",IF(Registered!AE201=1,Registered!AE201&amp;" Bandana",Registered!AE201&amp;" Bandanas"))</f>
        <v/>
      </c>
      <c r="AV201" s="3">
        <f t="shared" si="11"/>
        <v>2</v>
      </c>
      <c r="AW201" s="2" t="str">
        <f>IF(Registered!AV201=0,"",IF(Registered!AV201=1,Registered!AV201&amp;" Meal",Registered!AV201&amp;" Meals"))</f>
        <v>2 Meals</v>
      </c>
      <c r="AX201" s="2" t="str">
        <f>IF(Registered!AI201=0,"",Registered!AI201&amp;" BG")</f>
        <v/>
      </c>
      <c r="AY201" s="2" t="str">
        <f>IF(Registered!AG201=0,"",Registered!AG201&amp;" DustMask")</f>
        <v/>
      </c>
    </row>
    <row r="202" spans="1:51" customFormat="1" x14ac:dyDescent="0.25">
      <c r="A202" t="s">
        <v>141</v>
      </c>
      <c r="B202" t="s">
        <v>783</v>
      </c>
      <c r="C202" t="s">
        <v>6090</v>
      </c>
      <c r="G202" t="s">
        <v>784</v>
      </c>
      <c r="H202" t="s">
        <v>785</v>
      </c>
      <c r="I202" t="s">
        <v>786</v>
      </c>
      <c r="J202" t="s">
        <v>37</v>
      </c>
      <c r="K202" t="s">
        <v>32</v>
      </c>
      <c r="L202" t="s">
        <v>35</v>
      </c>
      <c r="AQ202">
        <v>0</v>
      </c>
      <c r="AR202" s="3">
        <f t="shared" si="9"/>
        <v>0</v>
      </c>
      <c r="AS202" s="3">
        <f t="shared" si="10"/>
        <v>0</v>
      </c>
      <c r="AT202" s="3" t="str">
        <f>IF(OR(Registered!AM202&gt;0,Registered!AO202&gt;0),(IF(Registered!E202=0,"Size Not Specified",Registered!E202)),"")</f>
        <v/>
      </c>
      <c r="AU202" s="3" t="str">
        <f>IF(Registered!AE202=0,"",IF(Registered!AE202=1,Registered!AE202&amp;" Bandana",Registered!AE202&amp;" Bandanas"))</f>
        <v/>
      </c>
      <c r="AV202" s="3">
        <f t="shared" si="11"/>
        <v>0</v>
      </c>
      <c r="AW202" s="2" t="str">
        <f>IF(Registered!AV202=0,"",IF(Registered!AV202=1,Registered!AV202&amp;" Meal",Registered!AV202&amp;" Meals"))</f>
        <v/>
      </c>
      <c r="AX202" s="2" t="str">
        <f>IF(Registered!AI202=0,"",Registered!AI202&amp;" BG")</f>
        <v/>
      </c>
      <c r="AY202" s="2" t="str">
        <f>IF(Registered!AG202=0,"",Registered!AG202&amp;" DustMask")</f>
        <v/>
      </c>
    </row>
    <row r="203" spans="1:51" customFormat="1" x14ac:dyDescent="0.25">
      <c r="A203" t="s">
        <v>1196</v>
      </c>
      <c r="B203" t="s">
        <v>2714</v>
      </c>
      <c r="C203" t="s">
        <v>6090</v>
      </c>
      <c r="G203" t="s">
        <v>188</v>
      </c>
      <c r="H203" t="s">
        <v>101</v>
      </c>
      <c r="I203" t="s">
        <v>3715</v>
      </c>
      <c r="J203" t="s">
        <v>37</v>
      </c>
      <c r="K203" t="s">
        <v>32</v>
      </c>
      <c r="L203" t="s">
        <v>35</v>
      </c>
      <c r="AQ203">
        <v>0</v>
      </c>
      <c r="AR203" s="3">
        <f t="shared" si="9"/>
        <v>0</v>
      </c>
      <c r="AS203" s="3">
        <f t="shared" si="10"/>
        <v>0</v>
      </c>
      <c r="AT203" s="3" t="str">
        <f>IF(OR(Registered!AM203&gt;0,Registered!AO203&gt;0),(IF(Registered!E203=0,"Size Not Specified",Registered!E203)),"")</f>
        <v/>
      </c>
      <c r="AU203" s="3" t="str">
        <f>IF(Registered!AE203=0,"",IF(Registered!AE203=1,Registered!AE203&amp;" Bandana",Registered!AE203&amp;" Bandanas"))</f>
        <v/>
      </c>
      <c r="AV203" s="3">
        <f t="shared" si="11"/>
        <v>0</v>
      </c>
      <c r="AW203" s="2" t="str">
        <f>IF(Registered!AV203=0,"",IF(Registered!AV203=1,Registered!AV203&amp;" Meal",Registered!AV203&amp;" Meals"))</f>
        <v/>
      </c>
      <c r="AX203" s="2" t="str">
        <f>IF(Registered!AI203=0,"",Registered!AI203&amp;" BG")</f>
        <v/>
      </c>
      <c r="AY203" s="2" t="str">
        <f>IF(Registered!AG203=0,"",Registered!AG203&amp;" DustMask")</f>
        <v/>
      </c>
    </row>
    <row r="204" spans="1:51" customFormat="1" x14ac:dyDescent="0.25">
      <c r="A204" t="s">
        <v>111</v>
      </c>
      <c r="B204" t="s">
        <v>2714</v>
      </c>
      <c r="C204" t="s">
        <v>6090</v>
      </c>
      <c r="D204" t="s">
        <v>3727</v>
      </c>
      <c r="F204" t="s">
        <v>261</v>
      </c>
      <c r="I204" t="s">
        <v>3728</v>
      </c>
      <c r="J204" t="s">
        <v>37</v>
      </c>
      <c r="K204" t="s">
        <v>32</v>
      </c>
      <c r="L204" t="s">
        <v>35</v>
      </c>
      <c r="Q204">
        <v>2</v>
      </c>
      <c r="R204">
        <v>3</v>
      </c>
      <c r="U204">
        <v>1</v>
      </c>
      <c r="V204">
        <v>20</v>
      </c>
      <c r="AQ204">
        <v>26</v>
      </c>
      <c r="AR204" s="3">
        <f t="shared" si="9"/>
        <v>10</v>
      </c>
      <c r="AS204" s="3">
        <f t="shared" si="10"/>
        <v>0</v>
      </c>
      <c r="AT204" s="3" t="str">
        <f>IF(OR(Registered!AM204&gt;0,Registered!AO204&gt;0),(IF(Registered!E204=0,"Size Not Specified",Registered!E204)),"")</f>
        <v/>
      </c>
      <c r="AU204" s="3" t="str">
        <f>IF(Registered!AE204=0,"",IF(Registered!AE204=1,Registered!AE204&amp;" Bandana",Registered!AE204&amp;" Bandanas"))</f>
        <v/>
      </c>
      <c r="AV204" s="3">
        <f t="shared" si="11"/>
        <v>0</v>
      </c>
      <c r="AW204" s="2" t="str">
        <f>IF(Registered!AV204=0,"",IF(Registered!AV204=1,Registered!AV204&amp;" Meal",Registered!AV204&amp;" Meals"))</f>
        <v/>
      </c>
      <c r="AX204" s="2" t="str">
        <f>IF(Registered!AI204=0,"",Registered!AI204&amp;" BG")</f>
        <v/>
      </c>
      <c r="AY204" s="2" t="str">
        <f>IF(Registered!AG204=0,"",Registered!AG204&amp;" DustMask")</f>
        <v/>
      </c>
    </row>
    <row r="205" spans="1:51" customFormat="1" x14ac:dyDescent="0.25">
      <c r="A205" t="s">
        <v>187</v>
      </c>
      <c r="B205" t="s">
        <v>787</v>
      </c>
      <c r="C205" t="s">
        <v>6090</v>
      </c>
      <c r="G205" t="s">
        <v>92</v>
      </c>
      <c r="H205" t="s">
        <v>108</v>
      </c>
      <c r="I205" t="s">
        <v>788</v>
      </c>
      <c r="J205" t="s">
        <v>37</v>
      </c>
      <c r="K205" t="s">
        <v>32</v>
      </c>
      <c r="L205" t="s">
        <v>35</v>
      </c>
      <c r="AQ205">
        <v>0</v>
      </c>
      <c r="AR205" s="3">
        <f t="shared" si="9"/>
        <v>0</v>
      </c>
      <c r="AS205" s="3">
        <f t="shared" si="10"/>
        <v>0</v>
      </c>
      <c r="AT205" s="3" t="str">
        <f>IF(OR(Registered!AM205&gt;0,Registered!AO205&gt;0),(IF(Registered!E205=0,"Size Not Specified",Registered!E205)),"")</f>
        <v/>
      </c>
      <c r="AU205" s="3" t="str">
        <f>IF(Registered!AE205=0,"",IF(Registered!AE205=1,Registered!AE205&amp;" Bandana",Registered!AE205&amp;" Bandanas"))</f>
        <v/>
      </c>
      <c r="AV205" s="3">
        <f t="shared" si="11"/>
        <v>0</v>
      </c>
      <c r="AW205" s="2" t="str">
        <f>IF(Registered!AV205=0,"",IF(Registered!AV205=1,Registered!AV205&amp;" Meal",Registered!AV205&amp;" Meals"))</f>
        <v/>
      </c>
      <c r="AX205" s="2" t="str">
        <f>IF(Registered!AI205=0,"",Registered!AI205&amp;" BG")</f>
        <v/>
      </c>
      <c r="AY205" s="2" t="str">
        <f>IF(Registered!AG205=0,"",Registered!AG205&amp;" DustMask")</f>
        <v/>
      </c>
    </row>
    <row r="206" spans="1:51" customFormat="1" x14ac:dyDescent="0.25">
      <c r="A206" t="s">
        <v>789</v>
      </c>
      <c r="B206" t="s">
        <v>787</v>
      </c>
      <c r="C206" t="s">
        <v>6090</v>
      </c>
      <c r="D206" t="s">
        <v>790</v>
      </c>
      <c r="F206" t="s">
        <v>261</v>
      </c>
      <c r="I206" t="s">
        <v>791</v>
      </c>
      <c r="J206" t="s">
        <v>37</v>
      </c>
      <c r="K206" t="s">
        <v>32</v>
      </c>
      <c r="L206" t="s">
        <v>35</v>
      </c>
      <c r="S206">
        <v>5</v>
      </c>
      <c r="T206">
        <v>3</v>
      </c>
      <c r="W206">
        <v>1</v>
      </c>
      <c r="X206">
        <v>40</v>
      </c>
      <c r="AK206">
        <v>2</v>
      </c>
      <c r="AL206">
        <v>6</v>
      </c>
      <c r="AQ206">
        <v>67</v>
      </c>
      <c r="AR206" s="3">
        <f t="shared" si="9"/>
        <v>20</v>
      </c>
      <c r="AS206" s="3">
        <f t="shared" si="10"/>
        <v>0</v>
      </c>
      <c r="AT206" s="3" t="str">
        <f>IF(OR(Registered!AM206&gt;0,Registered!AO206&gt;0),(IF(Registered!E206=0,"Size Not Specified",Registered!E206)),"")</f>
        <v/>
      </c>
      <c r="AU206" s="3" t="str">
        <f>IF(Registered!AE206=0,"",IF(Registered!AE206=1,Registered!AE206&amp;" Bandana",Registered!AE206&amp;" Bandanas"))</f>
        <v/>
      </c>
      <c r="AV206" s="3">
        <f t="shared" si="11"/>
        <v>2</v>
      </c>
      <c r="AW206" s="2" t="str">
        <f>IF(Registered!AV206=0,"",IF(Registered!AV206=1,Registered!AV206&amp;" Meal",Registered!AV206&amp;" Meals"))</f>
        <v>2 Meals</v>
      </c>
      <c r="AX206" s="2" t="str">
        <f>IF(Registered!AI206=0,"",Registered!AI206&amp;" BG")</f>
        <v/>
      </c>
      <c r="AY206" s="2" t="str">
        <f>IF(Registered!AG206=0,"",Registered!AG206&amp;" DustMask")</f>
        <v/>
      </c>
    </row>
    <row r="207" spans="1:51" customFormat="1" x14ac:dyDescent="0.25">
      <c r="A207" t="s">
        <v>354</v>
      </c>
      <c r="B207" t="s">
        <v>787</v>
      </c>
      <c r="C207" t="s">
        <v>6090</v>
      </c>
      <c r="D207" t="s">
        <v>3729</v>
      </c>
      <c r="F207" t="s">
        <v>261</v>
      </c>
      <c r="I207" t="s">
        <v>3730</v>
      </c>
      <c r="J207" t="s">
        <v>37</v>
      </c>
      <c r="K207" t="s">
        <v>32</v>
      </c>
      <c r="L207" t="s">
        <v>35</v>
      </c>
      <c r="Q207">
        <v>2</v>
      </c>
      <c r="R207">
        <v>3</v>
      </c>
      <c r="AC207">
        <v>1</v>
      </c>
      <c r="AD207">
        <v>10</v>
      </c>
      <c r="AQ207">
        <v>16</v>
      </c>
      <c r="AR207" s="3">
        <f t="shared" si="9"/>
        <v>5</v>
      </c>
      <c r="AS207" s="3">
        <f t="shared" si="10"/>
        <v>0</v>
      </c>
      <c r="AT207" s="3" t="str">
        <f>IF(OR(Registered!AM207&gt;0,Registered!AO207&gt;0),(IF(Registered!E207=0,"Size Not Specified",Registered!E207)),"")</f>
        <v/>
      </c>
      <c r="AU207" s="3" t="str">
        <f>IF(Registered!AE207=0,"",IF(Registered!AE207=1,Registered!AE207&amp;" Bandana",Registered!AE207&amp;" Bandanas"))</f>
        <v/>
      </c>
      <c r="AV207" s="3">
        <f t="shared" si="11"/>
        <v>0</v>
      </c>
      <c r="AW207" s="2" t="str">
        <f>IF(Registered!AV207=0,"",IF(Registered!AV207=1,Registered!AV207&amp;" Meal",Registered!AV207&amp;" Meals"))</f>
        <v/>
      </c>
      <c r="AX207" s="2" t="str">
        <f>IF(Registered!AI207=0,"",Registered!AI207&amp;" BG")</f>
        <v/>
      </c>
      <c r="AY207" s="2" t="str">
        <f>IF(Registered!AG207=0,"",Registered!AG207&amp;" DustMask")</f>
        <v/>
      </c>
    </row>
    <row r="208" spans="1:51" customFormat="1" x14ac:dyDescent="0.25">
      <c r="A208" t="s">
        <v>84</v>
      </c>
      <c r="B208" t="s">
        <v>3731</v>
      </c>
      <c r="C208" t="s">
        <v>6090</v>
      </c>
      <c r="G208" t="s">
        <v>96</v>
      </c>
      <c r="H208" t="s">
        <v>414</v>
      </c>
      <c r="I208" t="s">
        <v>3732</v>
      </c>
      <c r="J208" t="s">
        <v>37</v>
      </c>
      <c r="K208" t="s">
        <v>32</v>
      </c>
      <c r="L208" t="s">
        <v>35</v>
      </c>
      <c r="AQ208">
        <v>0</v>
      </c>
      <c r="AR208" s="3">
        <f t="shared" si="9"/>
        <v>0</v>
      </c>
      <c r="AS208" s="3">
        <f t="shared" si="10"/>
        <v>0</v>
      </c>
      <c r="AT208" s="3" t="str">
        <f>IF(OR(Registered!AM208&gt;0,Registered!AO208&gt;0),(IF(Registered!E208=0,"Size Not Specified",Registered!E208)),"")</f>
        <v/>
      </c>
      <c r="AU208" s="3" t="str">
        <f>IF(Registered!AE208=0,"",IF(Registered!AE208=1,Registered!AE208&amp;" Bandana",Registered!AE208&amp;" Bandanas"))</f>
        <v/>
      </c>
      <c r="AV208" s="3">
        <f t="shared" si="11"/>
        <v>0</v>
      </c>
      <c r="AW208" s="2" t="str">
        <f>IF(Registered!AV208=0,"",IF(Registered!AV208=1,Registered!AV208&amp;" Meal",Registered!AV208&amp;" Meals"))</f>
        <v/>
      </c>
      <c r="AX208" s="2" t="str">
        <f>IF(Registered!AI208=0,"",Registered!AI208&amp;" BG")</f>
        <v/>
      </c>
      <c r="AY208" s="2" t="str">
        <f>IF(Registered!AG208=0,"",Registered!AG208&amp;" DustMask")</f>
        <v/>
      </c>
    </row>
    <row r="209" spans="1:51" customFormat="1" x14ac:dyDescent="0.25">
      <c r="A209" t="s">
        <v>792</v>
      </c>
      <c r="B209" t="s">
        <v>793</v>
      </c>
      <c r="C209" t="s">
        <v>6090</v>
      </c>
      <c r="D209" t="s">
        <v>792</v>
      </c>
      <c r="F209" t="s">
        <v>261</v>
      </c>
      <c r="I209" t="s">
        <v>794</v>
      </c>
      <c r="J209" t="s">
        <v>37</v>
      </c>
      <c r="K209" t="s">
        <v>32</v>
      </c>
      <c r="L209" t="s">
        <v>35</v>
      </c>
      <c r="S209">
        <v>2</v>
      </c>
      <c r="T209">
        <v>3</v>
      </c>
      <c r="U209">
        <v>1</v>
      </c>
      <c r="V209">
        <v>20</v>
      </c>
      <c r="AI209">
        <v>1</v>
      </c>
      <c r="AJ209">
        <v>10</v>
      </c>
      <c r="AQ209">
        <v>36</v>
      </c>
      <c r="AR209" s="3">
        <f t="shared" si="9"/>
        <v>10</v>
      </c>
      <c r="AS209" s="3">
        <f t="shared" si="10"/>
        <v>0</v>
      </c>
      <c r="AT209" s="3" t="str">
        <f>IF(OR(Registered!AM209&gt;0,Registered!AO209&gt;0),(IF(Registered!E209=0,"Size Not Specified",Registered!E209)),"")</f>
        <v/>
      </c>
      <c r="AU209" s="3" t="str">
        <f>IF(Registered!AE209=0,"",IF(Registered!AE209=1,Registered!AE209&amp;" Bandana",Registered!AE209&amp;" Bandanas"))</f>
        <v/>
      </c>
      <c r="AV209" s="3">
        <f t="shared" si="11"/>
        <v>0</v>
      </c>
      <c r="AW209" s="2" t="str">
        <f>IF(Registered!AV209=0,"",IF(Registered!AV209=1,Registered!AV209&amp;" Meal",Registered!AV209&amp;" Meals"))</f>
        <v/>
      </c>
      <c r="AX209" s="2" t="str">
        <f>IF(Registered!AI209=0,"",Registered!AI209&amp;" BG")</f>
        <v>1 BG</v>
      </c>
      <c r="AY209" s="2" t="str">
        <f>IF(Registered!AG209=0,"",Registered!AG209&amp;" DustMask")</f>
        <v/>
      </c>
    </row>
    <row r="210" spans="1:51" customFormat="1" x14ac:dyDescent="0.25">
      <c r="A210" t="s">
        <v>798</v>
      </c>
      <c r="B210" t="s">
        <v>799</v>
      </c>
      <c r="C210" t="s">
        <v>6090</v>
      </c>
      <c r="D210" t="s">
        <v>800</v>
      </c>
      <c r="I210" t="s">
        <v>801</v>
      </c>
      <c r="J210" t="s">
        <v>37</v>
      </c>
      <c r="K210" t="s">
        <v>32</v>
      </c>
      <c r="L210" t="s">
        <v>35</v>
      </c>
      <c r="S210">
        <v>2</v>
      </c>
      <c r="T210">
        <v>3</v>
      </c>
      <c r="U210">
        <v>1</v>
      </c>
      <c r="V210">
        <v>20</v>
      </c>
      <c r="AQ210">
        <v>26</v>
      </c>
      <c r="AR210" s="3">
        <f t="shared" si="9"/>
        <v>10</v>
      </c>
      <c r="AS210" s="3">
        <f t="shared" si="10"/>
        <v>0</v>
      </c>
      <c r="AT210" s="3" t="str">
        <f>IF(OR(Registered!AM210&gt;0,Registered!AO210&gt;0),(IF(Registered!E210=0,"Size Not Specified",Registered!E210)),"")</f>
        <v/>
      </c>
      <c r="AU210" s="3" t="str">
        <f>IF(Registered!AE210=0,"",IF(Registered!AE210=1,Registered!AE210&amp;" Bandana",Registered!AE210&amp;" Bandanas"))</f>
        <v/>
      </c>
      <c r="AV210" s="3">
        <f t="shared" si="11"/>
        <v>0</v>
      </c>
      <c r="AW210" s="2" t="str">
        <f>IF(Registered!AV210=0,"",IF(Registered!AV210=1,Registered!AV210&amp;" Meal",Registered!AV210&amp;" Meals"))</f>
        <v/>
      </c>
      <c r="AX210" s="2" t="str">
        <f>IF(Registered!AI210=0,"",Registered!AI210&amp;" BG")</f>
        <v/>
      </c>
      <c r="AY210" s="2" t="str">
        <f>IF(Registered!AG210=0,"",Registered!AG210&amp;" DustMask")</f>
        <v/>
      </c>
    </row>
    <row r="211" spans="1:51" customFormat="1" x14ac:dyDescent="0.25">
      <c r="A211" t="s">
        <v>2745</v>
      </c>
      <c r="B211" t="s">
        <v>2746</v>
      </c>
      <c r="C211" t="s">
        <v>6090</v>
      </c>
      <c r="D211" t="s">
        <v>2747</v>
      </c>
      <c r="E211" t="s">
        <v>2748</v>
      </c>
      <c r="F211" t="s">
        <v>261</v>
      </c>
      <c r="I211" t="s">
        <v>2749</v>
      </c>
      <c r="J211" t="s">
        <v>37</v>
      </c>
      <c r="K211" t="s">
        <v>32</v>
      </c>
      <c r="L211" t="s">
        <v>35</v>
      </c>
      <c r="Q211">
        <v>1</v>
      </c>
      <c r="R211">
        <v>3</v>
      </c>
      <c r="AC211">
        <v>1</v>
      </c>
      <c r="AD211">
        <v>10</v>
      </c>
      <c r="AG211">
        <v>1</v>
      </c>
      <c r="AH211">
        <v>1</v>
      </c>
      <c r="AM211">
        <v>1</v>
      </c>
      <c r="AN211">
        <v>25</v>
      </c>
      <c r="AQ211">
        <v>39</v>
      </c>
      <c r="AR211" s="3">
        <f t="shared" si="9"/>
        <v>10</v>
      </c>
      <c r="AS211" s="3">
        <f t="shared" si="10"/>
        <v>1</v>
      </c>
      <c r="AT211" s="3" t="str">
        <f>IF(OR(Registered!AM211&gt;0,Registered!AO211&gt;0),(IF(Registered!E211=0,"Size Not Specified",Registered!E211)),"")</f>
        <v>Extralarge</v>
      </c>
      <c r="AU211" s="3" t="str">
        <f>IF(Registered!AE211=0,"",IF(Registered!AE211=1,Registered!AE211&amp;" Bandana",Registered!AE211&amp;" Bandanas"))</f>
        <v/>
      </c>
      <c r="AV211" s="3">
        <f t="shared" si="11"/>
        <v>1</v>
      </c>
      <c r="AW211" s="2" t="str">
        <f>IF(Registered!AV211=0,"",IF(Registered!AV211=1,Registered!AV211&amp;" Meal",Registered!AV211&amp;" Meals"))</f>
        <v>1 Meal</v>
      </c>
      <c r="AX211" s="2" t="str">
        <f>IF(Registered!AI211=0,"",Registered!AI211&amp;" BG")</f>
        <v/>
      </c>
      <c r="AY211" s="2" t="str">
        <f>IF(Registered!AG211=0,"",Registered!AG211&amp;" DustMask")</f>
        <v>1 DustMask</v>
      </c>
    </row>
    <row r="212" spans="1:51" customFormat="1" x14ac:dyDescent="0.25">
      <c r="A212" t="s">
        <v>3739</v>
      </c>
      <c r="B212" t="s">
        <v>3740</v>
      </c>
      <c r="C212" t="s">
        <v>6090</v>
      </c>
      <c r="D212" t="s">
        <v>3741</v>
      </c>
      <c r="F212" t="s">
        <v>261</v>
      </c>
      <c r="I212" t="s">
        <v>3742</v>
      </c>
      <c r="J212" t="s">
        <v>37</v>
      </c>
      <c r="K212" t="s">
        <v>32</v>
      </c>
      <c r="L212" t="s">
        <v>35</v>
      </c>
      <c r="Q212">
        <v>8</v>
      </c>
      <c r="R212">
        <v>3</v>
      </c>
      <c r="W212">
        <v>1</v>
      </c>
      <c r="X212">
        <v>40</v>
      </c>
      <c r="AQ212">
        <v>64</v>
      </c>
      <c r="AR212" s="3">
        <f t="shared" si="9"/>
        <v>20</v>
      </c>
      <c r="AS212" s="3">
        <f t="shared" si="10"/>
        <v>0</v>
      </c>
      <c r="AT212" s="3" t="str">
        <f>IF(OR(Registered!AM212&gt;0,Registered!AO212&gt;0),(IF(Registered!E212=0,"Size Not Specified",Registered!E212)),"")</f>
        <v/>
      </c>
      <c r="AU212" s="3" t="str">
        <f>IF(Registered!AE212=0,"",IF(Registered!AE212=1,Registered!AE212&amp;" Bandana",Registered!AE212&amp;" Bandanas"))</f>
        <v/>
      </c>
      <c r="AV212" s="3">
        <f t="shared" si="11"/>
        <v>0</v>
      </c>
      <c r="AW212" s="2" t="str">
        <f>IF(Registered!AV212=0,"",IF(Registered!AV212=1,Registered!AV212&amp;" Meal",Registered!AV212&amp;" Meals"))</f>
        <v/>
      </c>
      <c r="AX212" s="2" t="str">
        <f>IF(Registered!AI212=0,"",Registered!AI212&amp;" BG")</f>
        <v/>
      </c>
      <c r="AY212" s="2" t="str">
        <f>IF(Registered!AG212=0,"",Registered!AG212&amp;" DustMask")</f>
        <v/>
      </c>
    </row>
    <row r="213" spans="1:51" customFormat="1" x14ac:dyDescent="0.25">
      <c r="A213" t="s">
        <v>456</v>
      </c>
      <c r="B213" t="s">
        <v>3743</v>
      </c>
      <c r="C213" t="s">
        <v>6090</v>
      </c>
      <c r="G213" t="s">
        <v>3744</v>
      </c>
      <c r="H213" t="s">
        <v>3745</v>
      </c>
      <c r="I213" t="s">
        <v>3746</v>
      </c>
      <c r="J213" t="s">
        <v>37</v>
      </c>
      <c r="K213" t="s">
        <v>32</v>
      </c>
      <c r="L213" t="s">
        <v>35</v>
      </c>
      <c r="AQ213">
        <v>0</v>
      </c>
      <c r="AR213" s="3">
        <f t="shared" si="9"/>
        <v>0</v>
      </c>
      <c r="AS213" s="3">
        <f t="shared" si="10"/>
        <v>0</v>
      </c>
      <c r="AT213" s="3" t="str">
        <f>IF(OR(Registered!AM213&gt;0,Registered!AO213&gt;0),(IF(Registered!E213=0,"Size Not Specified",Registered!E213)),"")</f>
        <v/>
      </c>
      <c r="AU213" s="3" t="str">
        <f>IF(Registered!AE213=0,"",IF(Registered!AE213=1,Registered!AE213&amp;" Bandana",Registered!AE213&amp;" Bandanas"))</f>
        <v/>
      </c>
      <c r="AV213" s="3">
        <f t="shared" si="11"/>
        <v>0</v>
      </c>
      <c r="AW213" s="2" t="str">
        <f>IF(Registered!AV213=0,"",IF(Registered!AV213=1,Registered!AV213&amp;" Meal",Registered!AV213&amp;" Meals"))</f>
        <v/>
      </c>
      <c r="AX213" s="2" t="str">
        <f>IF(Registered!AI213=0,"",Registered!AI213&amp;" BG")</f>
        <v/>
      </c>
      <c r="AY213" s="2" t="str">
        <f>IF(Registered!AG213=0,"",Registered!AG213&amp;" DustMask")</f>
        <v/>
      </c>
    </row>
    <row r="214" spans="1:51" customFormat="1" x14ac:dyDescent="0.25">
      <c r="A214" t="s">
        <v>744</v>
      </c>
      <c r="B214" t="s">
        <v>2750</v>
      </c>
      <c r="C214" t="s">
        <v>6090</v>
      </c>
      <c r="D214" t="s">
        <v>2751</v>
      </c>
      <c r="E214" t="s">
        <v>41</v>
      </c>
      <c r="F214" t="s">
        <v>261</v>
      </c>
      <c r="I214" t="s">
        <v>2752</v>
      </c>
      <c r="J214" t="s">
        <v>37</v>
      </c>
      <c r="K214" t="s">
        <v>32</v>
      </c>
      <c r="L214" t="s">
        <v>35</v>
      </c>
      <c r="Q214">
        <v>1</v>
      </c>
      <c r="R214">
        <v>3</v>
      </c>
      <c r="AC214">
        <v>1</v>
      </c>
      <c r="AD214">
        <v>10</v>
      </c>
      <c r="AQ214">
        <v>13</v>
      </c>
      <c r="AR214" s="3">
        <f t="shared" si="9"/>
        <v>5</v>
      </c>
      <c r="AS214" s="3">
        <f t="shared" si="10"/>
        <v>0</v>
      </c>
      <c r="AT214" s="3" t="str">
        <f>IF(OR(Registered!AM214&gt;0,Registered!AO214&gt;0),(IF(Registered!E214=0,"Size Not Specified",Registered!E214)),"")</f>
        <v/>
      </c>
      <c r="AU214" s="3" t="str">
        <f>IF(Registered!AE214=0,"",IF(Registered!AE214=1,Registered!AE214&amp;" Bandana",Registered!AE214&amp;" Bandanas"))</f>
        <v/>
      </c>
      <c r="AV214" s="3">
        <f t="shared" si="11"/>
        <v>0</v>
      </c>
      <c r="AW214" s="2" t="str">
        <f>IF(Registered!AV214=0,"",IF(Registered!AV214=1,Registered!AV214&amp;" Meal",Registered!AV214&amp;" Meals"))</f>
        <v/>
      </c>
      <c r="AX214" s="2" t="str">
        <f>IF(Registered!AI214=0,"",Registered!AI214&amp;" BG")</f>
        <v/>
      </c>
      <c r="AY214" s="2" t="str">
        <f>IF(Registered!AG214=0,"",Registered!AG214&amp;" DustMask")</f>
        <v/>
      </c>
    </row>
    <row r="215" spans="1:51" customFormat="1" x14ac:dyDescent="0.25">
      <c r="A215" t="s">
        <v>3747</v>
      </c>
      <c r="B215" t="s">
        <v>3748</v>
      </c>
      <c r="C215" t="s">
        <v>6090</v>
      </c>
      <c r="G215" t="s">
        <v>3749</v>
      </c>
      <c r="H215" t="s">
        <v>472</v>
      </c>
      <c r="I215" t="s">
        <v>3751</v>
      </c>
      <c r="J215" t="s">
        <v>37</v>
      </c>
      <c r="K215" t="s">
        <v>32</v>
      </c>
      <c r="L215" t="s">
        <v>35</v>
      </c>
      <c r="AQ215">
        <v>0</v>
      </c>
      <c r="AR215" s="3">
        <f t="shared" si="9"/>
        <v>0</v>
      </c>
      <c r="AS215" s="3">
        <f t="shared" si="10"/>
        <v>0</v>
      </c>
      <c r="AT215" s="3" t="str">
        <f>IF(OR(Registered!AM215&gt;0,Registered!AO215&gt;0),(IF(Registered!E215=0,"Size Not Specified",Registered!E215)),"")</f>
        <v/>
      </c>
      <c r="AU215" s="3" t="str">
        <f>IF(Registered!AE215=0,"",IF(Registered!AE215=1,Registered!AE215&amp;" Bandana",Registered!AE215&amp;" Bandanas"))</f>
        <v/>
      </c>
      <c r="AV215" s="3">
        <f t="shared" si="11"/>
        <v>0</v>
      </c>
      <c r="AW215" s="2" t="str">
        <f>IF(Registered!AV215=0,"",IF(Registered!AV215=1,Registered!AV215&amp;" Meal",Registered!AV215&amp;" Meals"))</f>
        <v/>
      </c>
      <c r="AX215" s="2" t="str">
        <f>IF(Registered!AI215=0,"",Registered!AI215&amp;" BG")</f>
        <v/>
      </c>
      <c r="AY215" s="2" t="str">
        <f>IF(Registered!AG215=0,"",Registered!AG215&amp;" DustMask")</f>
        <v/>
      </c>
    </row>
    <row r="216" spans="1:51" customFormat="1" x14ac:dyDescent="0.25">
      <c r="A216" t="s">
        <v>386</v>
      </c>
      <c r="B216" t="s">
        <v>3748</v>
      </c>
      <c r="C216" t="s">
        <v>6090</v>
      </c>
      <c r="G216" t="s">
        <v>3752</v>
      </c>
      <c r="H216" t="s">
        <v>3753</v>
      </c>
      <c r="I216" t="s">
        <v>3754</v>
      </c>
      <c r="J216" t="s">
        <v>37</v>
      </c>
      <c r="K216" t="s">
        <v>32</v>
      </c>
      <c r="L216" t="s">
        <v>35</v>
      </c>
      <c r="AQ216">
        <v>0</v>
      </c>
      <c r="AR216" s="3">
        <f t="shared" si="9"/>
        <v>0</v>
      </c>
      <c r="AS216" s="3">
        <f t="shared" si="10"/>
        <v>0</v>
      </c>
      <c r="AT216" s="3" t="str">
        <f>IF(OR(Registered!AM216&gt;0,Registered!AO216&gt;0),(IF(Registered!E216=0,"Size Not Specified",Registered!E216)),"")</f>
        <v/>
      </c>
      <c r="AU216" s="3" t="str">
        <f>IF(Registered!AE216=0,"",IF(Registered!AE216=1,Registered!AE216&amp;" Bandana",Registered!AE216&amp;" Bandanas"))</f>
        <v/>
      </c>
      <c r="AV216" s="3">
        <f t="shared" si="11"/>
        <v>0</v>
      </c>
      <c r="AW216" s="2" t="str">
        <f>IF(Registered!AV216=0,"",IF(Registered!AV216=1,Registered!AV216&amp;" Meal",Registered!AV216&amp;" Meals"))</f>
        <v/>
      </c>
      <c r="AX216" s="2" t="str">
        <f>IF(Registered!AI216=0,"",Registered!AI216&amp;" BG")</f>
        <v/>
      </c>
      <c r="AY216" s="2" t="str">
        <f>IF(Registered!AG216=0,"",Registered!AG216&amp;" DustMask")</f>
        <v/>
      </c>
    </row>
    <row r="217" spans="1:51" customFormat="1" x14ac:dyDescent="0.25">
      <c r="A217" t="s">
        <v>381</v>
      </c>
      <c r="B217" t="s">
        <v>3748</v>
      </c>
      <c r="C217" t="s">
        <v>6090</v>
      </c>
      <c r="G217" t="s">
        <v>389</v>
      </c>
      <c r="H217" t="s">
        <v>3755</v>
      </c>
      <c r="I217" t="s">
        <v>3756</v>
      </c>
      <c r="J217" t="s">
        <v>37</v>
      </c>
      <c r="K217" t="s">
        <v>32</v>
      </c>
      <c r="L217" t="s">
        <v>35</v>
      </c>
      <c r="AQ217">
        <v>0</v>
      </c>
      <c r="AR217" s="3">
        <f t="shared" si="9"/>
        <v>0</v>
      </c>
      <c r="AS217" s="3">
        <f t="shared" si="10"/>
        <v>0</v>
      </c>
      <c r="AT217" s="3" t="str">
        <f>IF(OR(Registered!AM217&gt;0,Registered!AO217&gt;0),(IF(Registered!E217=0,"Size Not Specified",Registered!E217)),"")</f>
        <v/>
      </c>
      <c r="AU217" s="3" t="str">
        <f>IF(Registered!AE217=0,"",IF(Registered!AE217=1,Registered!AE217&amp;" Bandana",Registered!AE217&amp;" Bandanas"))</f>
        <v/>
      </c>
      <c r="AV217" s="3">
        <f t="shared" si="11"/>
        <v>0</v>
      </c>
      <c r="AW217" s="2" t="str">
        <f>IF(Registered!AV217=0,"",IF(Registered!AV217=1,Registered!AV217&amp;" Meal",Registered!AV217&amp;" Meals"))</f>
        <v/>
      </c>
      <c r="AX217" s="2" t="str">
        <f>IF(Registered!AI217=0,"",Registered!AI217&amp;" BG")</f>
        <v/>
      </c>
      <c r="AY217" s="2" t="str">
        <f>IF(Registered!AG217=0,"",Registered!AG217&amp;" DustMask")</f>
        <v/>
      </c>
    </row>
    <row r="218" spans="1:51" customFormat="1" x14ac:dyDescent="0.25">
      <c r="A218" t="s">
        <v>502</v>
      </c>
      <c r="B218" t="s">
        <v>2753</v>
      </c>
      <c r="C218" t="s">
        <v>6090</v>
      </c>
      <c r="D218" t="s">
        <v>2754</v>
      </c>
      <c r="F218" t="s">
        <v>261</v>
      </c>
      <c r="I218" t="s">
        <v>2755</v>
      </c>
      <c r="J218" t="s">
        <v>37</v>
      </c>
      <c r="K218" t="s">
        <v>32</v>
      </c>
      <c r="L218" t="s">
        <v>35</v>
      </c>
      <c r="Q218">
        <v>1</v>
      </c>
      <c r="R218">
        <v>3</v>
      </c>
      <c r="AC218">
        <v>2</v>
      </c>
      <c r="AD218">
        <v>10</v>
      </c>
      <c r="AQ218">
        <v>23</v>
      </c>
      <c r="AR218" s="3">
        <f t="shared" si="9"/>
        <v>10</v>
      </c>
      <c r="AS218" s="3">
        <f t="shared" si="10"/>
        <v>0</v>
      </c>
      <c r="AT218" s="3" t="str">
        <f>IF(OR(Registered!AM218&gt;0,Registered!AO218&gt;0),(IF(Registered!E218=0,"Size Not Specified",Registered!E218)),"")</f>
        <v/>
      </c>
      <c r="AU218" s="3" t="str">
        <f>IF(Registered!AE218=0,"",IF(Registered!AE218=1,Registered!AE218&amp;" Bandana",Registered!AE218&amp;" Bandanas"))</f>
        <v/>
      </c>
      <c r="AV218" s="3">
        <f t="shared" si="11"/>
        <v>0</v>
      </c>
      <c r="AW218" s="2" t="str">
        <f>IF(Registered!AV218=0,"",IF(Registered!AV218=1,Registered!AV218&amp;" Meal",Registered!AV218&amp;" Meals"))</f>
        <v/>
      </c>
      <c r="AX218" s="2" t="str">
        <f>IF(Registered!AI218=0,"",Registered!AI218&amp;" BG")</f>
        <v/>
      </c>
      <c r="AY218" s="2" t="str">
        <f>IF(Registered!AG218=0,"",Registered!AG218&amp;" DustMask")</f>
        <v/>
      </c>
    </row>
    <row r="219" spans="1:51" customFormat="1" x14ac:dyDescent="0.25">
      <c r="A219" t="s">
        <v>3757</v>
      </c>
      <c r="B219" t="s">
        <v>3758</v>
      </c>
      <c r="C219" t="s">
        <v>6090</v>
      </c>
      <c r="G219" t="s">
        <v>3759</v>
      </c>
      <c r="H219" t="s">
        <v>3760</v>
      </c>
      <c r="I219" t="s">
        <v>3761</v>
      </c>
      <c r="J219" t="s">
        <v>37</v>
      </c>
      <c r="K219" t="s">
        <v>32</v>
      </c>
      <c r="L219" t="s">
        <v>35</v>
      </c>
      <c r="AQ219">
        <v>0</v>
      </c>
      <c r="AR219" s="3">
        <f t="shared" si="9"/>
        <v>0</v>
      </c>
      <c r="AS219" s="3">
        <f t="shared" si="10"/>
        <v>0</v>
      </c>
      <c r="AT219" s="3" t="str">
        <f>IF(OR(Registered!AM219&gt;0,Registered!AO219&gt;0),(IF(Registered!E219=0,"Size Not Specified",Registered!E219)),"")</f>
        <v/>
      </c>
      <c r="AU219" s="3" t="str">
        <f>IF(Registered!AE219=0,"",IF(Registered!AE219=1,Registered!AE219&amp;" Bandana",Registered!AE219&amp;" Bandanas"))</f>
        <v/>
      </c>
      <c r="AV219" s="3">
        <f t="shared" si="11"/>
        <v>0</v>
      </c>
      <c r="AW219" s="2" t="str">
        <f>IF(Registered!AV219=0,"",IF(Registered!AV219=1,Registered!AV219&amp;" Meal",Registered!AV219&amp;" Meals"))</f>
        <v/>
      </c>
      <c r="AX219" s="2" t="str">
        <f>IF(Registered!AI219=0,"",Registered!AI219&amp;" BG")</f>
        <v/>
      </c>
      <c r="AY219" s="2" t="str">
        <f>IF(Registered!AG219=0,"",Registered!AG219&amp;" DustMask")</f>
        <v/>
      </c>
    </row>
    <row r="220" spans="1:51" customFormat="1" x14ac:dyDescent="0.25">
      <c r="A220" t="s">
        <v>194</v>
      </c>
      <c r="B220" t="s">
        <v>3762</v>
      </c>
      <c r="C220" t="s">
        <v>6090</v>
      </c>
      <c r="D220" t="s">
        <v>3763</v>
      </c>
      <c r="F220" t="s">
        <v>261</v>
      </c>
      <c r="I220" t="s">
        <v>3764</v>
      </c>
      <c r="J220" t="s">
        <v>37</v>
      </c>
      <c r="K220" t="s">
        <v>32</v>
      </c>
      <c r="L220" t="s">
        <v>35</v>
      </c>
      <c r="Q220">
        <v>2</v>
      </c>
      <c r="R220">
        <v>3</v>
      </c>
      <c r="AC220">
        <v>1</v>
      </c>
      <c r="AD220">
        <v>10</v>
      </c>
      <c r="AQ220">
        <v>16</v>
      </c>
      <c r="AR220" s="3">
        <f t="shared" si="9"/>
        <v>5</v>
      </c>
      <c r="AS220" s="3">
        <f t="shared" si="10"/>
        <v>0</v>
      </c>
      <c r="AT220" s="3" t="str">
        <f>IF(OR(Registered!AM220&gt;0,Registered!AO220&gt;0),(IF(Registered!E220=0,"Size Not Specified",Registered!E220)),"")</f>
        <v/>
      </c>
      <c r="AU220" s="3" t="str">
        <f>IF(Registered!AE220=0,"",IF(Registered!AE220=1,Registered!AE220&amp;" Bandana",Registered!AE220&amp;" Bandanas"))</f>
        <v/>
      </c>
      <c r="AV220" s="3">
        <f t="shared" si="11"/>
        <v>0</v>
      </c>
      <c r="AW220" s="2" t="str">
        <f>IF(Registered!AV220=0,"",IF(Registered!AV220=1,Registered!AV220&amp;" Meal",Registered!AV220&amp;" Meals"))</f>
        <v/>
      </c>
      <c r="AX220" s="2" t="str">
        <f>IF(Registered!AI220=0,"",Registered!AI220&amp;" BG")</f>
        <v/>
      </c>
      <c r="AY220" s="2" t="str">
        <f>IF(Registered!AG220=0,"",Registered!AG220&amp;" DustMask")</f>
        <v/>
      </c>
    </row>
    <row r="221" spans="1:51" customFormat="1" x14ac:dyDescent="0.25">
      <c r="A221" t="s">
        <v>1111</v>
      </c>
      <c r="B221" t="s">
        <v>2756</v>
      </c>
      <c r="C221" t="s">
        <v>6090</v>
      </c>
      <c r="G221" t="s">
        <v>38</v>
      </c>
      <c r="H221" t="s">
        <v>2757</v>
      </c>
      <c r="I221" t="s">
        <v>2758</v>
      </c>
      <c r="J221" t="s">
        <v>37</v>
      </c>
      <c r="K221" t="s">
        <v>32</v>
      </c>
      <c r="L221" t="s">
        <v>35</v>
      </c>
      <c r="AQ221">
        <v>0</v>
      </c>
      <c r="AR221" s="3">
        <f t="shared" si="9"/>
        <v>0</v>
      </c>
      <c r="AS221" s="3">
        <f t="shared" si="10"/>
        <v>0</v>
      </c>
      <c r="AT221" s="3" t="str">
        <f>IF(OR(Registered!AM221&gt;0,Registered!AO221&gt;0),(IF(Registered!E221=0,"Size Not Specified",Registered!E221)),"")</f>
        <v/>
      </c>
      <c r="AU221" s="3" t="str">
        <f>IF(Registered!AE221=0,"",IF(Registered!AE221=1,Registered!AE221&amp;" Bandana",Registered!AE221&amp;" Bandanas"))</f>
        <v/>
      </c>
      <c r="AV221" s="3">
        <f t="shared" si="11"/>
        <v>0</v>
      </c>
      <c r="AW221" s="2" t="str">
        <f>IF(Registered!AV221=0,"",IF(Registered!AV221=1,Registered!AV221&amp;" Meal",Registered!AV221&amp;" Meals"))</f>
        <v/>
      </c>
      <c r="AX221" s="2" t="str">
        <f>IF(Registered!AI221=0,"",Registered!AI221&amp;" BG")</f>
        <v/>
      </c>
      <c r="AY221" s="2" t="str">
        <f>IF(Registered!AG221=0,"",Registered!AG221&amp;" DustMask")</f>
        <v/>
      </c>
    </row>
    <row r="222" spans="1:51" customFormat="1" x14ac:dyDescent="0.25">
      <c r="A222" t="s">
        <v>3765</v>
      </c>
      <c r="B222" t="s">
        <v>2756</v>
      </c>
      <c r="C222" t="s">
        <v>6090</v>
      </c>
      <c r="G222" t="s">
        <v>3766</v>
      </c>
      <c r="H222" t="s">
        <v>3767</v>
      </c>
      <c r="I222" t="s">
        <v>3768</v>
      </c>
      <c r="J222" t="s">
        <v>37</v>
      </c>
      <c r="K222" t="s">
        <v>32</v>
      </c>
      <c r="L222" t="s">
        <v>35</v>
      </c>
      <c r="AQ222">
        <v>0</v>
      </c>
      <c r="AR222" s="3">
        <f t="shared" si="9"/>
        <v>0</v>
      </c>
      <c r="AS222" s="3">
        <f t="shared" si="10"/>
        <v>0</v>
      </c>
      <c r="AT222" s="3" t="str">
        <f>IF(OR(Registered!AM222&gt;0,Registered!AO222&gt;0),(IF(Registered!E222=0,"Size Not Specified",Registered!E222)),"")</f>
        <v/>
      </c>
      <c r="AU222" s="3" t="str">
        <f>IF(Registered!AE222=0,"",IF(Registered!AE222=1,Registered!AE222&amp;" Bandana",Registered!AE222&amp;" Bandanas"))</f>
        <v/>
      </c>
      <c r="AV222" s="3">
        <f t="shared" si="11"/>
        <v>0</v>
      </c>
      <c r="AW222" s="2" t="str">
        <f>IF(Registered!AV222=0,"",IF(Registered!AV222=1,Registered!AV222&amp;" Meal",Registered!AV222&amp;" Meals"))</f>
        <v/>
      </c>
      <c r="AX222" s="2" t="str">
        <f>IF(Registered!AI222=0,"",Registered!AI222&amp;" BG")</f>
        <v/>
      </c>
      <c r="AY222" s="2" t="str">
        <f>IF(Registered!AG222=0,"",Registered!AG222&amp;" DustMask")</f>
        <v/>
      </c>
    </row>
    <row r="223" spans="1:51" customFormat="1" x14ac:dyDescent="0.25">
      <c r="A223" t="s">
        <v>936</v>
      </c>
      <c r="B223" t="s">
        <v>2756</v>
      </c>
      <c r="C223" t="s">
        <v>6090</v>
      </c>
      <c r="G223" t="s">
        <v>130</v>
      </c>
      <c r="H223" t="s">
        <v>455</v>
      </c>
      <c r="I223" t="s">
        <v>3769</v>
      </c>
      <c r="J223" t="s">
        <v>37</v>
      </c>
      <c r="K223" t="s">
        <v>32</v>
      </c>
      <c r="L223" t="s">
        <v>35</v>
      </c>
      <c r="AQ223">
        <v>0</v>
      </c>
      <c r="AR223" s="3">
        <f t="shared" si="9"/>
        <v>0</v>
      </c>
      <c r="AS223" s="3">
        <f t="shared" si="10"/>
        <v>0</v>
      </c>
      <c r="AT223" s="3" t="str">
        <f>IF(OR(Registered!AM223&gt;0,Registered!AO223&gt;0),(IF(Registered!E223=0,"Size Not Specified",Registered!E223)),"")</f>
        <v/>
      </c>
      <c r="AU223" s="3" t="str">
        <f>IF(Registered!AE223=0,"",IF(Registered!AE223=1,Registered!AE223&amp;" Bandana",Registered!AE223&amp;" Bandanas"))</f>
        <v/>
      </c>
      <c r="AV223" s="3">
        <f t="shared" si="11"/>
        <v>0</v>
      </c>
      <c r="AW223" s="2" t="str">
        <f>IF(Registered!AV223=0,"",IF(Registered!AV223=1,Registered!AV223&amp;" Meal",Registered!AV223&amp;" Meals"))</f>
        <v/>
      </c>
      <c r="AX223" s="2" t="str">
        <f>IF(Registered!AI223=0,"",Registered!AI223&amp;" BG")</f>
        <v/>
      </c>
      <c r="AY223" s="2" t="str">
        <f>IF(Registered!AG223=0,"",Registered!AG223&amp;" DustMask")</f>
        <v/>
      </c>
    </row>
    <row r="224" spans="1:51" customFormat="1" x14ac:dyDescent="0.25">
      <c r="A224" t="s">
        <v>108</v>
      </c>
      <c r="B224" t="s">
        <v>802</v>
      </c>
      <c r="C224" t="s">
        <v>6090</v>
      </c>
      <c r="D224" t="s">
        <v>803</v>
      </c>
      <c r="F224" t="s">
        <v>261</v>
      </c>
      <c r="I224" t="s">
        <v>804</v>
      </c>
      <c r="J224" t="s">
        <v>37</v>
      </c>
      <c r="K224" t="s">
        <v>32</v>
      </c>
      <c r="L224" t="s">
        <v>35</v>
      </c>
      <c r="S224">
        <v>3</v>
      </c>
      <c r="T224">
        <v>3</v>
      </c>
      <c r="U224">
        <v>1</v>
      </c>
      <c r="V224">
        <v>20</v>
      </c>
      <c r="AC224">
        <v>1</v>
      </c>
      <c r="AD224">
        <v>10</v>
      </c>
      <c r="AQ224">
        <v>39</v>
      </c>
      <c r="AR224" s="3">
        <f t="shared" si="9"/>
        <v>15</v>
      </c>
      <c r="AS224" s="3">
        <f t="shared" si="10"/>
        <v>0</v>
      </c>
      <c r="AT224" s="3" t="str">
        <f>IF(OR(Registered!AM224&gt;0,Registered!AO224&gt;0),(IF(Registered!E224=0,"Size Not Specified",Registered!E224)),"")</f>
        <v/>
      </c>
      <c r="AU224" s="3" t="str">
        <f>IF(Registered!AE224=0,"",IF(Registered!AE224=1,Registered!AE224&amp;" Bandana",Registered!AE224&amp;" Bandanas"))</f>
        <v/>
      </c>
      <c r="AV224" s="3">
        <f t="shared" si="11"/>
        <v>0</v>
      </c>
      <c r="AW224" s="2" t="str">
        <f>IF(Registered!AV224=0,"",IF(Registered!AV224=1,Registered!AV224&amp;" Meal",Registered!AV224&amp;" Meals"))</f>
        <v/>
      </c>
      <c r="AX224" s="2" t="str">
        <f>IF(Registered!AI224=0,"",Registered!AI224&amp;" BG")</f>
        <v/>
      </c>
      <c r="AY224" s="2" t="str">
        <f>IF(Registered!AG224=0,"",Registered!AG224&amp;" DustMask")</f>
        <v/>
      </c>
    </row>
    <row r="225" spans="1:51" customFormat="1" x14ac:dyDescent="0.25">
      <c r="A225" t="s">
        <v>1577</v>
      </c>
      <c r="B225" t="s">
        <v>3770</v>
      </c>
      <c r="C225" t="s">
        <v>6090</v>
      </c>
      <c r="D225" t="s">
        <v>1577</v>
      </c>
      <c r="F225" t="s">
        <v>261</v>
      </c>
      <c r="I225" t="s">
        <v>3771</v>
      </c>
      <c r="J225" t="s">
        <v>37</v>
      </c>
      <c r="K225" t="s">
        <v>32</v>
      </c>
      <c r="L225" t="s">
        <v>35</v>
      </c>
      <c r="Q225">
        <v>1</v>
      </c>
      <c r="R225">
        <v>3</v>
      </c>
      <c r="AC225">
        <v>1</v>
      </c>
      <c r="AD225">
        <v>10</v>
      </c>
      <c r="AQ225">
        <v>13</v>
      </c>
      <c r="AR225" s="3">
        <f t="shared" si="9"/>
        <v>5</v>
      </c>
      <c r="AS225" s="3">
        <f t="shared" si="10"/>
        <v>0</v>
      </c>
      <c r="AT225" s="3" t="str">
        <f>IF(OR(Registered!AM225&gt;0,Registered!AO225&gt;0),(IF(Registered!E225=0,"Size Not Specified",Registered!E225)),"")</f>
        <v/>
      </c>
      <c r="AU225" s="3" t="str">
        <f>IF(Registered!AE225=0,"",IF(Registered!AE225=1,Registered!AE225&amp;" Bandana",Registered!AE225&amp;" Bandanas"))</f>
        <v/>
      </c>
      <c r="AV225" s="3">
        <f t="shared" si="11"/>
        <v>0</v>
      </c>
      <c r="AW225" s="2" t="str">
        <f>IF(Registered!AV225=0,"",IF(Registered!AV225=1,Registered!AV225&amp;" Meal",Registered!AV225&amp;" Meals"))</f>
        <v/>
      </c>
      <c r="AX225" s="2" t="str">
        <f>IF(Registered!AI225=0,"",Registered!AI225&amp;" BG")</f>
        <v/>
      </c>
      <c r="AY225" s="2" t="str">
        <f>IF(Registered!AG225=0,"",Registered!AG225&amp;" DustMask")</f>
        <v/>
      </c>
    </row>
    <row r="226" spans="1:51" customFormat="1" x14ac:dyDescent="0.25">
      <c r="A226" t="s">
        <v>142</v>
      </c>
      <c r="B226" t="s">
        <v>805</v>
      </c>
      <c r="C226" t="s">
        <v>6090</v>
      </c>
      <c r="D226" t="s">
        <v>806</v>
      </c>
      <c r="F226" t="s">
        <v>261</v>
      </c>
      <c r="I226" t="s">
        <v>807</v>
      </c>
      <c r="J226" t="s">
        <v>37</v>
      </c>
      <c r="K226" t="s">
        <v>32</v>
      </c>
      <c r="L226" t="s">
        <v>35</v>
      </c>
      <c r="S226">
        <v>1</v>
      </c>
      <c r="T226">
        <v>3</v>
      </c>
      <c r="U226">
        <v>1</v>
      </c>
      <c r="V226">
        <v>20</v>
      </c>
      <c r="AQ226">
        <v>23</v>
      </c>
      <c r="AR226" s="3">
        <f t="shared" si="9"/>
        <v>10</v>
      </c>
      <c r="AS226" s="3">
        <f t="shared" si="10"/>
        <v>0</v>
      </c>
      <c r="AT226" s="3" t="str">
        <f>IF(OR(Registered!AM226&gt;0,Registered!AO226&gt;0),(IF(Registered!E226=0,"Size Not Specified",Registered!E226)),"")</f>
        <v/>
      </c>
      <c r="AU226" s="3" t="str">
        <f>IF(Registered!AE226=0,"",IF(Registered!AE226=1,Registered!AE226&amp;" Bandana",Registered!AE226&amp;" Bandanas"))</f>
        <v/>
      </c>
      <c r="AV226" s="3">
        <f t="shared" si="11"/>
        <v>0</v>
      </c>
      <c r="AW226" s="2" t="str">
        <f>IF(Registered!AV226=0,"",IF(Registered!AV226=1,Registered!AV226&amp;" Meal",Registered!AV226&amp;" Meals"))</f>
        <v/>
      </c>
      <c r="AX226" s="2" t="str">
        <f>IF(Registered!AI226=0,"",Registered!AI226&amp;" BG")</f>
        <v/>
      </c>
      <c r="AY226" s="2" t="str">
        <f>IF(Registered!AG226=0,"",Registered!AG226&amp;" DustMask")</f>
        <v/>
      </c>
    </row>
    <row r="227" spans="1:51" customFormat="1" x14ac:dyDescent="0.25">
      <c r="A227" t="s">
        <v>390</v>
      </c>
      <c r="B227" t="s">
        <v>3776</v>
      </c>
      <c r="C227" t="s">
        <v>6090</v>
      </c>
      <c r="D227" t="s">
        <v>3777</v>
      </c>
      <c r="F227" t="s">
        <v>261</v>
      </c>
      <c r="I227" t="s">
        <v>3778</v>
      </c>
      <c r="J227" t="s">
        <v>37</v>
      </c>
      <c r="K227" t="s">
        <v>32</v>
      </c>
      <c r="L227" t="s">
        <v>35</v>
      </c>
      <c r="Q227">
        <v>4</v>
      </c>
      <c r="R227">
        <v>3</v>
      </c>
      <c r="U227">
        <v>1</v>
      </c>
      <c r="V227">
        <v>20</v>
      </c>
      <c r="AC227">
        <v>1</v>
      </c>
      <c r="AD227">
        <v>10</v>
      </c>
      <c r="AQ227">
        <v>42</v>
      </c>
      <c r="AR227" s="3">
        <f t="shared" si="9"/>
        <v>15</v>
      </c>
      <c r="AS227" s="3">
        <f t="shared" si="10"/>
        <v>0</v>
      </c>
      <c r="AT227" s="3" t="str">
        <f>IF(OR(Registered!AM227&gt;0,Registered!AO227&gt;0),(IF(Registered!E227=0,"Size Not Specified",Registered!E227)),"")</f>
        <v/>
      </c>
      <c r="AU227" s="3" t="str">
        <f>IF(Registered!AE227=0,"",IF(Registered!AE227=1,Registered!AE227&amp;" Bandana",Registered!AE227&amp;" Bandanas"))</f>
        <v/>
      </c>
      <c r="AV227" s="3">
        <f t="shared" si="11"/>
        <v>0</v>
      </c>
      <c r="AW227" s="2" t="str">
        <f>IF(Registered!AV227=0,"",IF(Registered!AV227=1,Registered!AV227&amp;" Meal",Registered!AV227&amp;" Meals"))</f>
        <v/>
      </c>
      <c r="AX227" s="2" t="str">
        <f>IF(Registered!AI227=0,"",Registered!AI227&amp;" BG")</f>
        <v/>
      </c>
      <c r="AY227" s="2" t="str">
        <f>IF(Registered!AG227=0,"",Registered!AG227&amp;" DustMask")</f>
        <v/>
      </c>
    </row>
    <row r="228" spans="1:51" customFormat="1" x14ac:dyDescent="0.25">
      <c r="A228" t="s">
        <v>357</v>
      </c>
      <c r="B228" t="s">
        <v>812</v>
      </c>
      <c r="C228" t="s">
        <v>6090</v>
      </c>
      <c r="G228" t="s">
        <v>813</v>
      </c>
      <c r="H228" t="s">
        <v>812</v>
      </c>
      <c r="I228" t="s">
        <v>3779</v>
      </c>
      <c r="J228" t="s">
        <v>37</v>
      </c>
      <c r="K228" t="s">
        <v>32</v>
      </c>
      <c r="L228" t="s">
        <v>35</v>
      </c>
      <c r="AQ228">
        <v>0</v>
      </c>
      <c r="AR228" s="3">
        <f t="shared" si="9"/>
        <v>0</v>
      </c>
      <c r="AS228" s="3">
        <f t="shared" si="10"/>
        <v>0</v>
      </c>
      <c r="AT228" s="3" t="str">
        <f>IF(OR(Registered!AM228&gt;0,Registered!AO228&gt;0),(IF(Registered!E228=0,"Size Not Specified",Registered!E228)),"")</f>
        <v/>
      </c>
      <c r="AU228" s="3" t="str">
        <f>IF(Registered!AE228=0,"",IF(Registered!AE228=1,Registered!AE228&amp;" Bandana",Registered!AE228&amp;" Bandanas"))</f>
        <v/>
      </c>
      <c r="AV228" s="3">
        <f t="shared" si="11"/>
        <v>0</v>
      </c>
      <c r="AW228" s="2" t="str">
        <f>IF(Registered!AV228=0,"",IF(Registered!AV228=1,Registered!AV228&amp;" Meal",Registered!AV228&amp;" Meals"))</f>
        <v/>
      </c>
      <c r="AX228" s="2" t="str">
        <f>IF(Registered!AI228=0,"",Registered!AI228&amp;" BG")</f>
        <v/>
      </c>
      <c r="AY228" s="2" t="str">
        <f>IF(Registered!AG228=0,"",Registered!AG228&amp;" DustMask")</f>
        <v/>
      </c>
    </row>
    <row r="229" spans="1:51" customFormat="1" x14ac:dyDescent="0.25">
      <c r="A229" t="s">
        <v>208</v>
      </c>
      <c r="B229" t="s">
        <v>812</v>
      </c>
      <c r="C229" t="s">
        <v>6090</v>
      </c>
      <c r="G229" t="s">
        <v>2710</v>
      </c>
      <c r="H229" t="s">
        <v>2711</v>
      </c>
      <c r="I229" t="s">
        <v>2713</v>
      </c>
      <c r="J229" t="s">
        <v>37</v>
      </c>
      <c r="K229" t="s">
        <v>32</v>
      </c>
      <c r="L229" t="s">
        <v>35</v>
      </c>
      <c r="AQ229">
        <v>0</v>
      </c>
      <c r="AR229" s="3">
        <f t="shared" si="9"/>
        <v>0</v>
      </c>
      <c r="AS229" s="3">
        <f t="shared" si="10"/>
        <v>0</v>
      </c>
      <c r="AT229" s="3" t="str">
        <f>IF(OR(Registered!AM229&gt;0,Registered!AO229&gt;0),(IF(Registered!E229=0,"Size Not Specified",Registered!E229)),"")</f>
        <v/>
      </c>
      <c r="AU229" s="3" t="str">
        <f>IF(Registered!AE229=0,"",IF(Registered!AE229=1,Registered!AE229&amp;" Bandana",Registered!AE229&amp;" Bandanas"))</f>
        <v/>
      </c>
      <c r="AV229" s="3">
        <f t="shared" si="11"/>
        <v>0</v>
      </c>
      <c r="AW229" s="2" t="str">
        <f>IF(Registered!AV229=0,"",IF(Registered!AV229=1,Registered!AV229&amp;" Meal",Registered!AV229&amp;" Meals"))</f>
        <v/>
      </c>
      <c r="AX229" s="2" t="str">
        <f>IF(Registered!AI229=0,"",Registered!AI229&amp;" BG")</f>
        <v/>
      </c>
      <c r="AY229" s="2" t="str">
        <f>IF(Registered!AG229=0,"",Registered!AG229&amp;" DustMask")</f>
        <v/>
      </c>
    </row>
    <row r="230" spans="1:51" customFormat="1" x14ac:dyDescent="0.25">
      <c r="A230" t="s">
        <v>2759</v>
      </c>
      <c r="B230" t="s">
        <v>812</v>
      </c>
      <c r="C230" t="s">
        <v>6090</v>
      </c>
      <c r="G230" t="s">
        <v>2710</v>
      </c>
      <c r="H230" t="s">
        <v>2711</v>
      </c>
      <c r="I230" t="s">
        <v>2713</v>
      </c>
      <c r="J230" t="s">
        <v>37</v>
      </c>
      <c r="K230" t="s">
        <v>32</v>
      </c>
      <c r="L230" t="s">
        <v>35</v>
      </c>
      <c r="AQ230">
        <v>0</v>
      </c>
      <c r="AR230" s="3">
        <f t="shared" si="9"/>
        <v>0</v>
      </c>
      <c r="AS230" s="3">
        <f t="shared" si="10"/>
        <v>0</v>
      </c>
      <c r="AT230" s="3" t="str">
        <f>IF(OR(Registered!AM230&gt;0,Registered!AO230&gt;0),(IF(Registered!E230=0,"Size Not Specified",Registered!E230)),"")</f>
        <v/>
      </c>
      <c r="AU230" s="3" t="str">
        <f>IF(Registered!AE230=0,"",IF(Registered!AE230=1,Registered!AE230&amp;" Bandana",Registered!AE230&amp;" Bandanas"))</f>
        <v/>
      </c>
      <c r="AV230" s="3">
        <f t="shared" si="11"/>
        <v>0</v>
      </c>
      <c r="AW230" s="2" t="str">
        <f>IF(Registered!AV230=0,"",IF(Registered!AV230=1,Registered!AV230&amp;" Meal",Registered!AV230&amp;" Meals"))</f>
        <v/>
      </c>
      <c r="AX230" s="2" t="str">
        <f>IF(Registered!AI230=0,"",Registered!AI230&amp;" BG")</f>
        <v/>
      </c>
      <c r="AY230" s="2" t="str">
        <f>IF(Registered!AG230=0,"",Registered!AG230&amp;" DustMask")</f>
        <v/>
      </c>
    </row>
    <row r="231" spans="1:51" customFormat="1" x14ac:dyDescent="0.25">
      <c r="A231" t="s">
        <v>245</v>
      </c>
      <c r="B231" t="s">
        <v>812</v>
      </c>
      <c r="C231" t="s">
        <v>6090</v>
      </c>
      <c r="G231" t="s">
        <v>317</v>
      </c>
      <c r="H231" t="s">
        <v>507</v>
      </c>
      <c r="I231" t="s">
        <v>2673</v>
      </c>
      <c r="J231" t="s">
        <v>37</v>
      </c>
      <c r="K231" t="s">
        <v>32</v>
      </c>
      <c r="L231" t="s">
        <v>35</v>
      </c>
      <c r="AQ231">
        <v>0</v>
      </c>
      <c r="AR231" s="3">
        <f t="shared" si="9"/>
        <v>0</v>
      </c>
      <c r="AS231" s="3">
        <f t="shared" si="10"/>
        <v>0</v>
      </c>
      <c r="AT231" s="3" t="str">
        <f>IF(OR(Registered!AM231&gt;0,Registered!AO231&gt;0),(IF(Registered!E231=0,"Size Not Specified",Registered!E231)),"")</f>
        <v/>
      </c>
      <c r="AU231" s="3" t="str">
        <f>IF(Registered!AE231=0,"",IF(Registered!AE231=1,Registered!AE231&amp;" Bandana",Registered!AE231&amp;" Bandanas"))</f>
        <v/>
      </c>
      <c r="AV231" s="3">
        <f t="shared" si="11"/>
        <v>0</v>
      </c>
      <c r="AW231" s="2" t="str">
        <f>IF(Registered!AV231=0,"",IF(Registered!AV231=1,Registered!AV231&amp;" Meal",Registered!AV231&amp;" Meals"))</f>
        <v/>
      </c>
      <c r="AX231" s="2" t="str">
        <f>IF(Registered!AI231=0,"",Registered!AI231&amp;" BG")</f>
        <v/>
      </c>
      <c r="AY231" s="2" t="str">
        <f>IF(Registered!AG231=0,"",Registered!AG231&amp;" DustMask")</f>
        <v/>
      </c>
    </row>
    <row r="232" spans="1:51" customFormat="1" x14ac:dyDescent="0.25">
      <c r="A232" t="s">
        <v>813</v>
      </c>
      <c r="B232" t="s">
        <v>812</v>
      </c>
      <c r="C232" t="s">
        <v>6090</v>
      </c>
      <c r="D232" t="s">
        <v>814</v>
      </c>
      <c r="F232" t="s">
        <v>261</v>
      </c>
      <c r="I232" t="s">
        <v>3779</v>
      </c>
      <c r="J232" t="s">
        <v>37</v>
      </c>
      <c r="K232" t="s">
        <v>32</v>
      </c>
      <c r="L232" t="s">
        <v>35</v>
      </c>
      <c r="Q232">
        <v>2</v>
      </c>
      <c r="R232">
        <v>3</v>
      </c>
      <c r="U232">
        <v>1</v>
      </c>
      <c r="V232">
        <v>20</v>
      </c>
      <c r="AQ232">
        <v>26</v>
      </c>
      <c r="AR232" s="3">
        <f t="shared" si="9"/>
        <v>10</v>
      </c>
      <c r="AS232" s="3">
        <f t="shared" si="10"/>
        <v>0</v>
      </c>
      <c r="AT232" s="3" t="str">
        <f>IF(OR(Registered!AM232&gt;0,Registered!AO232&gt;0),(IF(Registered!E232=0,"Size Not Specified",Registered!E232)),"")</f>
        <v/>
      </c>
      <c r="AU232" s="3" t="str">
        <f>IF(Registered!AE232=0,"",IF(Registered!AE232=1,Registered!AE232&amp;" Bandana",Registered!AE232&amp;" Bandanas"))</f>
        <v/>
      </c>
      <c r="AV232" s="3">
        <f t="shared" si="11"/>
        <v>0</v>
      </c>
      <c r="AW232" s="2" t="str">
        <f>IF(Registered!AV232=0,"",IF(Registered!AV232=1,Registered!AV232&amp;" Meal",Registered!AV232&amp;" Meals"))</f>
        <v/>
      </c>
      <c r="AX232" s="2" t="str">
        <f>IF(Registered!AI232=0,"",Registered!AI232&amp;" BG")</f>
        <v/>
      </c>
      <c r="AY232" s="2" t="str">
        <f>IF(Registered!AG232=0,"",Registered!AG232&amp;" DustMask")</f>
        <v/>
      </c>
    </row>
    <row r="233" spans="1:51" customFormat="1" x14ac:dyDescent="0.25">
      <c r="A233" t="s">
        <v>202</v>
      </c>
      <c r="B233" t="s">
        <v>815</v>
      </c>
      <c r="C233" t="s">
        <v>6090</v>
      </c>
      <c r="G233" t="s">
        <v>270</v>
      </c>
      <c r="H233" t="s">
        <v>816</v>
      </c>
      <c r="I233" t="s">
        <v>817</v>
      </c>
      <c r="J233" t="s">
        <v>37</v>
      </c>
      <c r="K233" t="s">
        <v>32</v>
      </c>
      <c r="L233" t="s">
        <v>35</v>
      </c>
      <c r="AQ233">
        <v>0</v>
      </c>
      <c r="AR233" s="3">
        <f t="shared" si="9"/>
        <v>0</v>
      </c>
      <c r="AS233" s="3">
        <f t="shared" si="10"/>
        <v>0</v>
      </c>
      <c r="AT233" s="3" t="str">
        <f>IF(OR(Registered!AM233&gt;0,Registered!AO233&gt;0),(IF(Registered!E233=0,"Size Not Specified",Registered!E233)),"")</f>
        <v/>
      </c>
      <c r="AU233" s="3" t="str">
        <f>IF(Registered!AE233=0,"",IF(Registered!AE233=1,Registered!AE233&amp;" Bandana",Registered!AE233&amp;" Bandanas"))</f>
        <v/>
      </c>
      <c r="AV233" s="3">
        <f t="shared" si="11"/>
        <v>0</v>
      </c>
      <c r="AW233" s="2" t="str">
        <f>IF(Registered!AV233=0,"",IF(Registered!AV233=1,Registered!AV233&amp;" Meal",Registered!AV233&amp;" Meals"))</f>
        <v/>
      </c>
      <c r="AX233" s="2" t="str">
        <f>IF(Registered!AI233=0,"",Registered!AI233&amp;" BG")</f>
        <v/>
      </c>
      <c r="AY233" s="2" t="str">
        <f>IF(Registered!AG233=0,"",Registered!AG233&amp;" DustMask")</f>
        <v/>
      </c>
    </row>
    <row r="234" spans="1:51" customFormat="1" x14ac:dyDescent="0.25">
      <c r="A234" t="s">
        <v>317</v>
      </c>
      <c r="B234" t="s">
        <v>818</v>
      </c>
      <c r="C234" t="s">
        <v>6090</v>
      </c>
      <c r="I234" t="s">
        <v>819</v>
      </c>
      <c r="J234" t="s">
        <v>37</v>
      </c>
      <c r="K234" t="s">
        <v>32</v>
      </c>
      <c r="L234" t="s">
        <v>35</v>
      </c>
      <c r="O234">
        <v>1</v>
      </c>
      <c r="P234">
        <v>3</v>
      </c>
      <c r="AO234">
        <v>1</v>
      </c>
      <c r="AP234">
        <v>10</v>
      </c>
      <c r="AQ234">
        <v>13</v>
      </c>
      <c r="AR234" s="3">
        <f t="shared" si="9"/>
        <v>0</v>
      </c>
      <c r="AS234" s="3">
        <f t="shared" si="10"/>
        <v>1</v>
      </c>
      <c r="AT234" s="3" t="str">
        <f>IF(OR(Registered!AM234&gt;0,Registered!AO234&gt;0),(IF(Registered!E234=0,"Size Not Specified",Registered!E234)),"")</f>
        <v>Size Not Specified</v>
      </c>
      <c r="AU234" s="3" t="str">
        <f>IF(Registered!AE234=0,"",IF(Registered!AE234=1,Registered!AE234&amp;" Bandana",Registered!AE234&amp;" Bandanas"))</f>
        <v/>
      </c>
      <c r="AV234" s="3">
        <f t="shared" si="11"/>
        <v>0</v>
      </c>
      <c r="AW234" s="2" t="str">
        <f>IF(Registered!AV234=0,"",IF(Registered!AV234=1,Registered!AV234&amp;" Meal",Registered!AV234&amp;" Meals"))</f>
        <v/>
      </c>
      <c r="AX234" s="2" t="str">
        <f>IF(Registered!AI234=0,"",Registered!AI234&amp;" BG")</f>
        <v/>
      </c>
      <c r="AY234" s="2" t="str">
        <f>IF(Registered!AG234=0,"",Registered!AG234&amp;" DustMask")</f>
        <v/>
      </c>
    </row>
    <row r="235" spans="1:51" customFormat="1" x14ac:dyDescent="0.25">
      <c r="A235" t="s">
        <v>3780</v>
      </c>
      <c r="B235" t="s">
        <v>3781</v>
      </c>
      <c r="C235" t="s">
        <v>6090</v>
      </c>
      <c r="D235" t="s">
        <v>3780</v>
      </c>
      <c r="F235" t="s">
        <v>261</v>
      </c>
      <c r="I235" t="s">
        <v>3782</v>
      </c>
      <c r="J235" t="s">
        <v>37</v>
      </c>
      <c r="K235" t="s">
        <v>32</v>
      </c>
      <c r="L235" t="s">
        <v>35</v>
      </c>
      <c r="Q235">
        <v>1</v>
      </c>
      <c r="R235">
        <v>3</v>
      </c>
      <c r="AC235">
        <v>1</v>
      </c>
      <c r="AD235">
        <v>10</v>
      </c>
      <c r="AQ235">
        <v>13</v>
      </c>
      <c r="AR235" s="3">
        <f t="shared" si="9"/>
        <v>5</v>
      </c>
      <c r="AS235" s="3">
        <f t="shared" si="10"/>
        <v>0</v>
      </c>
      <c r="AT235" s="3" t="str">
        <f>IF(OR(Registered!AM235&gt;0,Registered!AO235&gt;0),(IF(Registered!E235=0,"Size Not Specified",Registered!E235)),"")</f>
        <v/>
      </c>
      <c r="AU235" s="3" t="str">
        <f>IF(Registered!AE235=0,"",IF(Registered!AE235=1,Registered!AE235&amp;" Bandana",Registered!AE235&amp;" Bandanas"))</f>
        <v/>
      </c>
      <c r="AV235" s="3">
        <f t="shared" si="11"/>
        <v>0</v>
      </c>
      <c r="AW235" s="2" t="str">
        <f>IF(Registered!AV235=0,"",IF(Registered!AV235=1,Registered!AV235&amp;" Meal",Registered!AV235&amp;" Meals"))</f>
        <v/>
      </c>
      <c r="AX235" s="2" t="str">
        <f>IF(Registered!AI235=0,"",Registered!AI235&amp;" BG")</f>
        <v/>
      </c>
      <c r="AY235" s="2" t="str">
        <f>IF(Registered!AG235=0,"",Registered!AG235&amp;" DustMask")</f>
        <v/>
      </c>
    </row>
    <row r="236" spans="1:51" customFormat="1" x14ac:dyDescent="0.25">
      <c r="A236" t="s">
        <v>222</v>
      </c>
      <c r="B236" t="s">
        <v>592</v>
      </c>
      <c r="C236" t="s">
        <v>6090</v>
      </c>
      <c r="F236" t="s">
        <v>261</v>
      </c>
      <c r="I236" t="s">
        <v>823</v>
      </c>
      <c r="J236" t="s">
        <v>37</v>
      </c>
      <c r="K236" t="s">
        <v>32</v>
      </c>
      <c r="L236" t="s">
        <v>35</v>
      </c>
      <c r="S236">
        <v>7</v>
      </c>
      <c r="T236">
        <v>3</v>
      </c>
      <c r="AQ236">
        <v>21</v>
      </c>
      <c r="AR236" s="3">
        <f t="shared" si="9"/>
        <v>0</v>
      </c>
      <c r="AS236" s="3">
        <f t="shared" si="10"/>
        <v>0</v>
      </c>
      <c r="AT236" s="3" t="str">
        <f>IF(OR(Registered!AM236&gt;0,Registered!AO236&gt;0),(IF(Registered!E236=0,"Size Not Specified",Registered!E236)),"")</f>
        <v/>
      </c>
      <c r="AU236" s="3" t="str">
        <f>IF(Registered!AE236=0,"",IF(Registered!AE236=1,Registered!AE236&amp;" Bandana",Registered!AE236&amp;" Bandanas"))</f>
        <v/>
      </c>
      <c r="AV236" s="3">
        <f t="shared" si="11"/>
        <v>0</v>
      </c>
      <c r="AW236" s="2" t="str">
        <f>IF(Registered!AV236=0,"",IF(Registered!AV236=1,Registered!AV236&amp;" Meal",Registered!AV236&amp;" Meals"))</f>
        <v/>
      </c>
      <c r="AX236" s="2" t="str">
        <f>IF(Registered!AI236=0,"",Registered!AI236&amp;" BG")</f>
        <v/>
      </c>
      <c r="AY236" s="2" t="str">
        <f>IF(Registered!AG236=0,"",Registered!AG236&amp;" DustMask")</f>
        <v/>
      </c>
    </row>
    <row r="237" spans="1:51" customFormat="1" x14ac:dyDescent="0.25">
      <c r="A237" t="s">
        <v>155</v>
      </c>
      <c r="B237" t="s">
        <v>3783</v>
      </c>
      <c r="C237" t="s">
        <v>6090</v>
      </c>
      <c r="D237" t="s">
        <v>3784</v>
      </c>
      <c r="E237" t="s">
        <v>3785</v>
      </c>
      <c r="F237" t="s">
        <v>261</v>
      </c>
      <c r="I237" t="s">
        <v>3786</v>
      </c>
      <c r="J237" t="s">
        <v>37</v>
      </c>
      <c r="K237" t="s">
        <v>32</v>
      </c>
      <c r="L237" t="s">
        <v>35</v>
      </c>
      <c r="Q237">
        <v>1</v>
      </c>
      <c r="R237">
        <v>3</v>
      </c>
      <c r="AC237">
        <v>1</v>
      </c>
      <c r="AD237">
        <v>10</v>
      </c>
      <c r="AG237">
        <v>1</v>
      </c>
      <c r="AH237">
        <v>1</v>
      </c>
      <c r="AM237">
        <v>1</v>
      </c>
      <c r="AN237">
        <v>25</v>
      </c>
      <c r="AO237">
        <v>1</v>
      </c>
      <c r="AP237">
        <v>10</v>
      </c>
      <c r="AQ237">
        <v>49</v>
      </c>
      <c r="AR237" s="3">
        <f t="shared" si="9"/>
        <v>10</v>
      </c>
      <c r="AS237" s="3">
        <f t="shared" si="10"/>
        <v>2</v>
      </c>
      <c r="AT237" s="3" t="str">
        <f>IF(OR(Registered!AM237&gt;0,Registered!AO237&gt;0),(IF(Registered!E237=0,"Size Not Specified",Registered!E237)),"")</f>
        <v>MEDIUM</v>
      </c>
      <c r="AU237" s="3" t="str">
        <f>IF(Registered!AE237=0,"",IF(Registered!AE237=1,Registered!AE237&amp;" Bandana",Registered!AE237&amp;" Bandanas"))</f>
        <v/>
      </c>
      <c r="AV237" s="3">
        <f t="shared" si="11"/>
        <v>1</v>
      </c>
      <c r="AW237" s="2" t="str">
        <f>IF(Registered!AV237=0,"",IF(Registered!AV237=1,Registered!AV237&amp;" Meal",Registered!AV237&amp;" Meals"))</f>
        <v>1 Meal</v>
      </c>
      <c r="AX237" s="2" t="str">
        <f>IF(Registered!AI237=0,"",Registered!AI237&amp;" BG")</f>
        <v/>
      </c>
      <c r="AY237" s="2" t="str">
        <f>IF(Registered!AG237=0,"",Registered!AG237&amp;" DustMask")</f>
        <v>1 DustMask</v>
      </c>
    </row>
    <row r="238" spans="1:51" customFormat="1" x14ac:dyDescent="0.25">
      <c r="A238" t="s">
        <v>332</v>
      </c>
      <c r="B238" t="s">
        <v>2763</v>
      </c>
      <c r="C238" t="s">
        <v>6090</v>
      </c>
      <c r="D238" t="s">
        <v>2764</v>
      </c>
      <c r="F238" t="s">
        <v>261</v>
      </c>
      <c r="I238" t="s">
        <v>2765</v>
      </c>
      <c r="J238" t="s">
        <v>37</v>
      </c>
      <c r="K238" t="s">
        <v>32</v>
      </c>
      <c r="L238" t="s">
        <v>35</v>
      </c>
      <c r="Q238">
        <v>1</v>
      </c>
      <c r="R238">
        <v>3</v>
      </c>
      <c r="AC238">
        <v>1</v>
      </c>
      <c r="AD238">
        <v>10</v>
      </c>
      <c r="AQ238">
        <v>13</v>
      </c>
      <c r="AR238" s="3">
        <f t="shared" si="9"/>
        <v>5</v>
      </c>
      <c r="AS238" s="3">
        <f t="shared" si="10"/>
        <v>0</v>
      </c>
      <c r="AT238" s="3" t="str">
        <f>IF(OR(Registered!AM238&gt;0,Registered!AO238&gt;0),(IF(Registered!E238=0,"Size Not Specified",Registered!E238)),"")</f>
        <v/>
      </c>
      <c r="AU238" s="3" t="str">
        <f>IF(Registered!AE238=0,"",IF(Registered!AE238=1,Registered!AE238&amp;" Bandana",Registered!AE238&amp;" Bandanas"))</f>
        <v/>
      </c>
      <c r="AV238" s="3">
        <f t="shared" si="11"/>
        <v>0</v>
      </c>
      <c r="AW238" s="2" t="str">
        <f>IF(Registered!AV238=0,"",IF(Registered!AV238=1,Registered!AV238&amp;" Meal",Registered!AV238&amp;" Meals"))</f>
        <v/>
      </c>
      <c r="AX238" s="2" t="str">
        <f>IF(Registered!AI238=0,"",Registered!AI238&amp;" BG")</f>
        <v/>
      </c>
      <c r="AY238" s="2" t="str">
        <f>IF(Registered!AG238=0,"",Registered!AG238&amp;" DustMask")</f>
        <v/>
      </c>
    </row>
    <row r="239" spans="1:51" customFormat="1" x14ac:dyDescent="0.25">
      <c r="A239" t="s">
        <v>440</v>
      </c>
      <c r="B239" t="s">
        <v>824</v>
      </c>
      <c r="C239" t="s">
        <v>6090</v>
      </c>
      <c r="D239" t="s">
        <v>440</v>
      </c>
      <c r="F239" t="s">
        <v>261</v>
      </c>
      <c r="I239" t="s">
        <v>825</v>
      </c>
      <c r="J239" t="s">
        <v>37</v>
      </c>
      <c r="K239" t="s">
        <v>32</v>
      </c>
      <c r="L239" t="s">
        <v>35</v>
      </c>
      <c r="S239">
        <v>3</v>
      </c>
      <c r="T239">
        <v>3</v>
      </c>
      <c r="AC239">
        <v>3</v>
      </c>
      <c r="AD239">
        <v>10</v>
      </c>
      <c r="AQ239">
        <v>39</v>
      </c>
      <c r="AR239" s="3">
        <f t="shared" si="9"/>
        <v>15</v>
      </c>
      <c r="AS239" s="3">
        <f t="shared" si="10"/>
        <v>0</v>
      </c>
      <c r="AT239" s="3" t="str">
        <f>IF(OR(Registered!AM239&gt;0,Registered!AO239&gt;0),(IF(Registered!E239=0,"Size Not Specified",Registered!E239)),"")</f>
        <v/>
      </c>
      <c r="AU239" s="3" t="str">
        <f>IF(Registered!AE239=0,"",IF(Registered!AE239=1,Registered!AE239&amp;" Bandana",Registered!AE239&amp;" Bandanas"))</f>
        <v/>
      </c>
      <c r="AV239" s="3">
        <f t="shared" si="11"/>
        <v>0</v>
      </c>
      <c r="AW239" s="2" t="str">
        <f>IF(Registered!AV239=0,"",IF(Registered!AV239=1,Registered!AV239&amp;" Meal",Registered!AV239&amp;" Meals"))</f>
        <v/>
      </c>
      <c r="AX239" s="2" t="str">
        <f>IF(Registered!AI239=0,"",Registered!AI239&amp;" BG")</f>
        <v/>
      </c>
      <c r="AY239" s="2" t="str">
        <f>IF(Registered!AG239=0,"",Registered!AG239&amp;" DustMask")</f>
        <v/>
      </c>
    </row>
    <row r="240" spans="1:51" customFormat="1" x14ac:dyDescent="0.25">
      <c r="A240" t="s">
        <v>3787</v>
      </c>
      <c r="B240" t="s">
        <v>3788</v>
      </c>
      <c r="C240" t="s">
        <v>6090</v>
      </c>
      <c r="D240" t="s">
        <v>3789</v>
      </c>
      <c r="F240" t="s">
        <v>261</v>
      </c>
      <c r="I240" t="s">
        <v>3790</v>
      </c>
      <c r="J240" t="s">
        <v>37</v>
      </c>
      <c r="K240" t="s">
        <v>32</v>
      </c>
      <c r="L240" t="s">
        <v>35</v>
      </c>
      <c r="Q240">
        <v>3</v>
      </c>
      <c r="R240">
        <v>3</v>
      </c>
      <c r="U240">
        <v>1</v>
      </c>
      <c r="V240">
        <v>20</v>
      </c>
      <c r="AG240">
        <v>1</v>
      </c>
      <c r="AH240">
        <v>1</v>
      </c>
      <c r="AK240">
        <v>1</v>
      </c>
      <c r="AL240">
        <v>6</v>
      </c>
      <c r="AQ240">
        <v>36</v>
      </c>
      <c r="AR240" s="3">
        <f t="shared" si="9"/>
        <v>10</v>
      </c>
      <c r="AS240" s="3">
        <f t="shared" si="10"/>
        <v>0</v>
      </c>
      <c r="AT240" s="3" t="str">
        <f>IF(OR(Registered!AM240&gt;0,Registered!AO240&gt;0),(IF(Registered!E240=0,"Size Not Specified",Registered!E240)),"")</f>
        <v/>
      </c>
      <c r="AU240" s="3" t="str">
        <f>IF(Registered!AE240=0,"",IF(Registered!AE240=1,Registered!AE240&amp;" Bandana",Registered!AE240&amp;" Bandanas"))</f>
        <v/>
      </c>
      <c r="AV240" s="3">
        <f t="shared" si="11"/>
        <v>1</v>
      </c>
      <c r="AW240" s="2" t="str">
        <f>IF(Registered!AV240=0,"",IF(Registered!AV240=1,Registered!AV240&amp;" Meal",Registered!AV240&amp;" Meals"))</f>
        <v>1 Meal</v>
      </c>
      <c r="AX240" s="2" t="str">
        <f>IF(Registered!AI240=0,"",Registered!AI240&amp;" BG")</f>
        <v/>
      </c>
      <c r="AY240" s="2" t="str">
        <f>IF(Registered!AG240=0,"",Registered!AG240&amp;" DustMask")</f>
        <v>1 DustMask</v>
      </c>
    </row>
    <row r="241" spans="1:51" customFormat="1" x14ac:dyDescent="0.25">
      <c r="A241" t="s">
        <v>113</v>
      </c>
      <c r="B241" t="s">
        <v>3791</v>
      </c>
      <c r="C241" t="s">
        <v>6090</v>
      </c>
      <c r="G241" t="s">
        <v>3792</v>
      </c>
      <c r="H241" t="s">
        <v>3793</v>
      </c>
      <c r="I241" t="s">
        <v>3794</v>
      </c>
      <c r="J241" t="s">
        <v>37</v>
      </c>
      <c r="K241" t="s">
        <v>32</v>
      </c>
      <c r="L241" t="s">
        <v>35</v>
      </c>
      <c r="AQ241">
        <v>0</v>
      </c>
      <c r="AR241" s="3">
        <f t="shared" si="9"/>
        <v>0</v>
      </c>
      <c r="AS241" s="3">
        <f t="shared" si="10"/>
        <v>0</v>
      </c>
      <c r="AT241" s="3" t="str">
        <f>IF(OR(Registered!AM241&gt;0,Registered!AO241&gt;0),(IF(Registered!E241=0,"Size Not Specified",Registered!E241)),"")</f>
        <v/>
      </c>
      <c r="AU241" s="3" t="str">
        <f>IF(Registered!AE241=0,"",IF(Registered!AE241=1,Registered!AE241&amp;" Bandana",Registered!AE241&amp;" Bandanas"))</f>
        <v/>
      </c>
      <c r="AV241" s="3">
        <f t="shared" si="11"/>
        <v>0</v>
      </c>
      <c r="AW241" s="2" t="str">
        <f>IF(Registered!AV241=0,"",IF(Registered!AV241=1,Registered!AV241&amp;" Meal",Registered!AV241&amp;" Meals"))</f>
        <v/>
      </c>
      <c r="AX241" s="2" t="str">
        <f>IF(Registered!AI241=0,"",Registered!AI241&amp;" BG")</f>
        <v/>
      </c>
      <c r="AY241" s="2" t="str">
        <f>IF(Registered!AG241=0,"",Registered!AG241&amp;" DustMask")</f>
        <v/>
      </c>
    </row>
    <row r="242" spans="1:51" customFormat="1" x14ac:dyDescent="0.25">
      <c r="A242" t="s">
        <v>3795</v>
      </c>
      <c r="B242" t="s">
        <v>3796</v>
      </c>
      <c r="C242" t="s">
        <v>6090</v>
      </c>
      <c r="D242" t="s">
        <v>3797</v>
      </c>
      <c r="F242" t="s">
        <v>261</v>
      </c>
      <c r="I242" t="s">
        <v>3798</v>
      </c>
      <c r="J242" t="s">
        <v>37</v>
      </c>
      <c r="K242" t="s">
        <v>32</v>
      </c>
      <c r="L242" t="s">
        <v>35</v>
      </c>
      <c r="Q242">
        <v>1</v>
      </c>
      <c r="R242">
        <v>3</v>
      </c>
      <c r="AC242">
        <v>1</v>
      </c>
      <c r="AD242">
        <v>10</v>
      </c>
      <c r="AQ242">
        <v>13</v>
      </c>
      <c r="AR242" s="3">
        <f t="shared" si="9"/>
        <v>5</v>
      </c>
      <c r="AS242" s="3">
        <f t="shared" si="10"/>
        <v>0</v>
      </c>
      <c r="AT242" s="3" t="str">
        <f>IF(OR(Registered!AM242&gt;0,Registered!AO242&gt;0),(IF(Registered!E242=0,"Size Not Specified",Registered!E242)),"")</f>
        <v/>
      </c>
      <c r="AU242" s="3" t="str">
        <f>IF(Registered!AE242=0,"",IF(Registered!AE242=1,Registered!AE242&amp;" Bandana",Registered!AE242&amp;" Bandanas"))</f>
        <v/>
      </c>
      <c r="AV242" s="3">
        <f t="shared" si="11"/>
        <v>0</v>
      </c>
      <c r="AW242" s="2" t="str">
        <f>IF(Registered!AV242=0,"",IF(Registered!AV242=1,Registered!AV242&amp;" Meal",Registered!AV242&amp;" Meals"))</f>
        <v/>
      </c>
      <c r="AX242" s="2" t="str">
        <f>IF(Registered!AI242=0,"",Registered!AI242&amp;" BG")</f>
        <v/>
      </c>
      <c r="AY242" s="2" t="str">
        <f>IF(Registered!AG242=0,"",Registered!AG242&amp;" DustMask")</f>
        <v/>
      </c>
    </row>
    <row r="243" spans="1:51" customFormat="1" x14ac:dyDescent="0.25">
      <c r="A243" t="s">
        <v>1158</v>
      </c>
      <c r="B243" t="s">
        <v>3799</v>
      </c>
      <c r="C243" t="s">
        <v>6090</v>
      </c>
      <c r="G243" t="s">
        <v>3245</v>
      </c>
      <c r="H243" t="s">
        <v>1950</v>
      </c>
      <c r="I243" t="s">
        <v>3800</v>
      </c>
      <c r="J243" t="s">
        <v>37</v>
      </c>
      <c r="K243" t="s">
        <v>32</v>
      </c>
      <c r="L243" t="s">
        <v>35</v>
      </c>
      <c r="AQ243">
        <v>0</v>
      </c>
      <c r="AR243" s="3">
        <f t="shared" si="9"/>
        <v>0</v>
      </c>
      <c r="AS243" s="3">
        <f t="shared" si="10"/>
        <v>0</v>
      </c>
      <c r="AT243" s="3" t="str">
        <f>IF(OR(Registered!AM243&gt;0,Registered!AO243&gt;0),(IF(Registered!E243=0,"Size Not Specified",Registered!E243)),"")</f>
        <v/>
      </c>
      <c r="AU243" s="3" t="str">
        <f>IF(Registered!AE243=0,"",IF(Registered!AE243=1,Registered!AE243&amp;" Bandana",Registered!AE243&amp;" Bandanas"))</f>
        <v/>
      </c>
      <c r="AV243" s="3">
        <f t="shared" si="11"/>
        <v>0</v>
      </c>
      <c r="AW243" s="2" t="str">
        <f>IF(Registered!AV243=0,"",IF(Registered!AV243=1,Registered!AV243&amp;" Meal",Registered!AV243&amp;" Meals"))</f>
        <v/>
      </c>
      <c r="AX243" s="2" t="str">
        <f>IF(Registered!AI243=0,"",Registered!AI243&amp;" BG")</f>
        <v/>
      </c>
      <c r="AY243" s="2" t="str">
        <f>IF(Registered!AG243=0,"",Registered!AG243&amp;" DustMask")</f>
        <v/>
      </c>
    </row>
    <row r="244" spans="1:51" customFormat="1" x14ac:dyDescent="0.25">
      <c r="A244" t="s">
        <v>3801</v>
      </c>
      <c r="B244" t="s">
        <v>3802</v>
      </c>
      <c r="C244" t="s">
        <v>6090</v>
      </c>
      <c r="G244" t="s">
        <v>3739</v>
      </c>
      <c r="H244" t="s">
        <v>3740</v>
      </c>
      <c r="I244" t="s">
        <v>3742</v>
      </c>
      <c r="J244" t="s">
        <v>37</v>
      </c>
      <c r="K244" t="s">
        <v>32</v>
      </c>
      <c r="L244" t="s">
        <v>35</v>
      </c>
      <c r="AQ244">
        <v>0</v>
      </c>
      <c r="AR244" s="3">
        <f t="shared" si="9"/>
        <v>0</v>
      </c>
      <c r="AS244" s="3">
        <f t="shared" si="10"/>
        <v>0</v>
      </c>
      <c r="AT244" s="3" t="str">
        <f>IF(OR(Registered!AM244&gt;0,Registered!AO244&gt;0),(IF(Registered!E244=0,"Size Not Specified",Registered!E244)),"")</f>
        <v/>
      </c>
      <c r="AU244" s="3" t="str">
        <f>IF(Registered!AE244=0,"",IF(Registered!AE244=1,Registered!AE244&amp;" Bandana",Registered!AE244&amp;" Bandanas"))</f>
        <v/>
      </c>
      <c r="AV244" s="3">
        <f t="shared" si="11"/>
        <v>0</v>
      </c>
      <c r="AW244" s="2" t="str">
        <f>IF(Registered!AV244=0,"",IF(Registered!AV244=1,Registered!AV244&amp;" Meal",Registered!AV244&amp;" Meals"))</f>
        <v/>
      </c>
      <c r="AX244" s="2" t="str">
        <f>IF(Registered!AI244=0,"",Registered!AI244&amp;" BG")</f>
        <v/>
      </c>
      <c r="AY244" s="2" t="str">
        <f>IF(Registered!AG244=0,"",Registered!AG244&amp;" DustMask")</f>
        <v/>
      </c>
    </row>
    <row r="245" spans="1:51" customFormat="1" x14ac:dyDescent="0.25">
      <c r="A245" t="s">
        <v>812</v>
      </c>
      <c r="B245" t="s">
        <v>2766</v>
      </c>
      <c r="C245" t="s">
        <v>6090</v>
      </c>
      <c r="D245" t="s">
        <v>812</v>
      </c>
      <c r="F245" t="s">
        <v>261</v>
      </c>
      <c r="I245" t="s">
        <v>2767</v>
      </c>
      <c r="J245" t="s">
        <v>37</v>
      </c>
      <c r="K245" t="s">
        <v>32</v>
      </c>
      <c r="L245" t="s">
        <v>35</v>
      </c>
      <c r="Q245">
        <v>2</v>
      </c>
      <c r="R245">
        <v>3</v>
      </c>
      <c r="AC245">
        <v>2</v>
      </c>
      <c r="AD245">
        <v>10</v>
      </c>
      <c r="AQ245">
        <v>26</v>
      </c>
      <c r="AR245" s="3">
        <f t="shared" si="9"/>
        <v>10</v>
      </c>
      <c r="AS245" s="3">
        <f t="shared" si="10"/>
        <v>0</v>
      </c>
      <c r="AT245" s="3" t="str">
        <f>IF(OR(Registered!AM245&gt;0,Registered!AO245&gt;0),(IF(Registered!E245=0,"Size Not Specified",Registered!E245)),"")</f>
        <v/>
      </c>
      <c r="AU245" s="3" t="str">
        <f>IF(Registered!AE245=0,"",IF(Registered!AE245=1,Registered!AE245&amp;" Bandana",Registered!AE245&amp;" Bandanas"))</f>
        <v/>
      </c>
      <c r="AV245" s="3">
        <f t="shared" si="11"/>
        <v>0</v>
      </c>
      <c r="AW245" s="2" t="str">
        <f>IF(Registered!AV245=0,"",IF(Registered!AV245=1,Registered!AV245&amp;" Meal",Registered!AV245&amp;" Meals"))</f>
        <v/>
      </c>
      <c r="AX245" s="2" t="str">
        <f>IF(Registered!AI245=0,"",Registered!AI245&amp;" BG")</f>
        <v/>
      </c>
      <c r="AY245" s="2" t="str">
        <f>IF(Registered!AG245=0,"",Registered!AG245&amp;" DustMask")</f>
        <v/>
      </c>
    </row>
    <row r="246" spans="1:51" customFormat="1" x14ac:dyDescent="0.25">
      <c r="A246" t="s">
        <v>2768</v>
      </c>
      <c r="B246" t="s">
        <v>2766</v>
      </c>
      <c r="C246" t="s">
        <v>6090</v>
      </c>
      <c r="D246" t="s">
        <v>2768</v>
      </c>
      <c r="F246" t="s">
        <v>261</v>
      </c>
      <c r="I246" t="s">
        <v>2769</v>
      </c>
      <c r="J246" t="s">
        <v>37</v>
      </c>
      <c r="K246" t="s">
        <v>32</v>
      </c>
      <c r="L246" t="s">
        <v>35</v>
      </c>
      <c r="Q246">
        <v>2</v>
      </c>
      <c r="R246">
        <v>3</v>
      </c>
      <c r="U246">
        <v>2</v>
      </c>
      <c r="V246">
        <v>20</v>
      </c>
      <c r="AQ246">
        <v>46</v>
      </c>
      <c r="AR246" s="3">
        <f t="shared" si="9"/>
        <v>20</v>
      </c>
      <c r="AS246" s="3">
        <f t="shared" si="10"/>
        <v>0</v>
      </c>
      <c r="AT246" s="3" t="str">
        <f>IF(OR(Registered!AM246&gt;0,Registered!AO246&gt;0),(IF(Registered!E246=0,"Size Not Specified",Registered!E246)),"")</f>
        <v/>
      </c>
      <c r="AU246" s="3" t="str">
        <f>IF(Registered!AE246=0,"",IF(Registered!AE246=1,Registered!AE246&amp;" Bandana",Registered!AE246&amp;" Bandanas"))</f>
        <v/>
      </c>
      <c r="AV246" s="3">
        <f t="shared" si="11"/>
        <v>0</v>
      </c>
      <c r="AW246" s="2" t="str">
        <f>IF(Registered!AV246=0,"",IF(Registered!AV246=1,Registered!AV246&amp;" Meal",Registered!AV246&amp;" Meals"))</f>
        <v/>
      </c>
      <c r="AX246" s="2" t="str">
        <f>IF(Registered!AI246=0,"",Registered!AI246&amp;" BG")</f>
        <v/>
      </c>
      <c r="AY246" s="2" t="str">
        <f>IF(Registered!AG246=0,"",Registered!AG246&amp;" DustMask")</f>
        <v/>
      </c>
    </row>
    <row r="247" spans="1:51" customFormat="1" x14ac:dyDescent="0.25">
      <c r="A247" t="s">
        <v>116</v>
      </c>
      <c r="B247" t="s">
        <v>826</v>
      </c>
      <c r="C247" t="s">
        <v>6090</v>
      </c>
      <c r="D247" t="s">
        <v>827</v>
      </c>
      <c r="F247" t="s">
        <v>261</v>
      </c>
      <c r="I247" t="s">
        <v>828</v>
      </c>
      <c r="J247" t="s">
        <v>37</v>
      </c>
      <c r="K247" t="s">
        <v>32</v>
      </c>
      <c r="L247" t="s">
        <v>35</v>
      </c>
      <c r="S247">
        <v>2</v>
      </c>
      <c r="T247">
        <v>3</v>
      </c>
      <c r="W247">
        <v>1</v>
      </c>
      <c r="X247">
        <v>40</v>
      </c>
      <c r="AQ247">
        <v>46</v>
      </c>
      <c r="AR247" s="3">
        <f t="shared" si="9"/>
        <v>20</v>
      </c>
      <c r="AS247" s="3">
        <f t="shared" si="10"/>
        <v>0</v>
      </c>
      <c r="AT247" s="3" t="str">
        <f>IF(OR(Registered!AM247&gt;0,Registered!AO247&gt;0),(IF(Registered!E247=0,"Size Not Specified",Registered!E247)),"")</f>
        <v/>
      </c>
      <c r="AU247" s="3" t="str">
        <f>IF(Registered!AE247=0,"",IF(Registered!AE247=1,Registered!AE247&amp;" Bandana",Registered!AE247&amp;" Bandanas"))</f>
        <v/>
      </c>
      <c r="AV247" s="3">
        <f t="shared" si="11"/>
        <v>0</v>
      </c>
      <c r="AW247" s="2" t="str">
        <f>IF(Registered!AV247=0,"",IF(Registered!AV247=1,Registered!AV247&amp;" Meal",Registered!AV247&amp;" Meals"))</f>
        <v/>
      </c>
      <c r="AX247" s="2" t="str">
        <f>IF(Registered!AI247=0,"",Registered!AI247&amp;" BG")</f>
        <v/>
      </c>
      <c r="AY247" s="2" t="str">
        <f>IF(Registered!AG247=0,"",Registered!AG247&amp;" DustMask")</f>
        <v/>
      </c>
    </row>
    <row r="248" spans="1:51" customFormat="1" x14ac:dyDescent="0.25">
      <c r="A248" t="s">
        <v>222</v>
      </c>
      <c r="B248" t="s">
        <v>826</v>
      </c>
      <c r="C248" t="s">
        <v>6090</v>
      </c>
      <c r="D248" t="s">
        <v>829</v>
      </c>
      <c r="F248" t="s">
        <v>261</v>
      </c>
      <c r="I248" t="s">
        <v>830</v>
      </c>
      <c r="J248" t="s">
        <v>37</v>
      </c>
      <c r="K248" t="s">
        <v>32</v>
      </c>
      <c r="L248" t="s">
        <v>35</v>
      </c>
      <c r="S248">
        <v>1</v>
      </c>
      <c r="T248">
        <v>3</v>
      </c>
      <c r="AQ248">
        <v>3</v>
      </c>
      <c r="AR248" s="3">
        <f t="shared" si="9"/>
        <v>0</v>
      </c>
      <c r="AS248" s="3">
        <f t="shared" si="10"/>
        <v>0</v>
      </c>
      <c r="AT248" s="3" t="str">
        <f>IF(OR(Registered!AM248&gt;0,Registered!AO248&gt;0),(IF(Registered!E248=0,"Size Not Specified",Registered!E248)),"")</f>
        <v/>
      </c>
      <c r="AU248" s="3" t="str">
        <f>IF(Registered!AE248=0,"",IF(Registered!AE248=1,Registered!AE248&amp;" Bandana",Registered!AE248&amp;" Bandanas"))</f>
        <v/>
      </c>
      <c r="AV248" s="3">
        <f t="shared" si="11"/>
        <v>0</v>
      </c>
      <c r="AW248" s="2" t="str">
        <f>IF(Registered!AV248=0,"",IF(Registered!AV248=1,Registered!AV248&amp;" Meal",Registered!AV248&amp;" Meals"))</f>
        <v/>
      </c>
      <c r="AX248" s="2" t="str">
        <f>IF(Registered!AI248=0,"",Registered!AI248&amp;" BG")</f>
        <v/>
      </c>
      <c r="AY248" s="2" t="str">
        <f>IF(Registered!AG248=0,"",Registered!AG248&amp;" DustMask")</f>
        <v/>
      </c>
    </row>
    <row r="249" spans="1:51" customFormat="1" x14ac:dyDescent="0.25">
      <c r="A249" t="s">
        <v>166</v>
      </c>
      <c r="B249" t="s">
        <v>831</v>
      </c>
      <c r="C249" t="s">
        <v>6090</v>
      </c>
      <c r="D249" t="s">
        <v>166</v>
      </c>
      <c r="F249" t="s">
        <v>261</v>
      </c>
      <c r="I249" t="s">
        <v>832</v>
      </c>
      <c r="J249" t="s">
        <v>37</v>
      </c>
      <c r="K249" t="s">
        <v>32</v>
      </c>
      <c r="L249" t="s">
        <v>35</v>
      </c>
      <c r="S249">
        <v>2</v>
      </c>
      <c r="T249">
        <v>3</v>
      </c>
      <c r="U249">
        <v>1</v>
      </c>
      <c r="V249">
        <v>20</v>
      </c>
      <c r="AK249">
        <v>1</v>
      </c>
      <c r="AL249">
        <v>6</v>
      </c>
      <c r="AQ249">
        <v>32</v>
      </c>
      <c r="AR249" s="3">
        <f t="shared" si="9"/>
        <v>10</v>
      </c>
      <c r="AS249" s="3">
        <f t="shared" si="10"/>
        <v>0</v>
      </c>
      <c r="AT249" s="3" t="str">
        <f>IF(OR(Registered!AM249&gt;0,Registered!AO249&gt;0),(IF(Registered!E249=0,"Size Not Specified",Registered!E249)),"")</f>
        <v/>
      </c>
      <c r="AU249" s="3" t="str">
        <f>IF(Registered!AE249=0,"",IF(Registered!AE249=1,Registered!AE249&amp;" Bandana",Registered!AE249&amp;" Bandanas"))</f>
        <v/>
      </c>
      <c r="AV249" s="3">
        <f t="shared" si="11"/>
        <v>1</v>
      </c>
      <c r="AW249" s="2" t="str">
        <f>IF(Registered!AV249=0,"",IF(Registered!AV249=1,Registered!AV249&amp;" Meal",Registered!AV249&amp;" Meals"))</f>
        <v>1 Meal</v>
      </c>
      <c r="AX249" s="2" t="str">
        <f>IF(Registered!AI249=0,"",Registered!AI249&amp;" BG")</f>
        <v/>
      </c>
      <c r="AY249" s="2" t="str">
        <f>IF(Registered!AG249=0,"",Registered!AG249&amp;" DustMask")</f>
        <v/>
      </c>
    </row>
    <row r="250" spans="1:51" customFormat="1" x14ac:dyDescent="0.25">
      <c r="A250" t="s">
        <v>79</v>
      </c>
      <c r="B250" t="s">
        <v>833</v>
      </c>
      <c r="C250" t="s">
        <v>6090</v>
      </c>
      <c r="G250" t="s">
        <v>3803</v>
      </c>
      <c r="H250" t="s">
        <v>943</v>
      </c>
      <c r="I250" t="s">
        <v>3804</v>
      </c>
      <c r="J250" t="s">
        <v>37</v>
      </c>
      <c r="K250" t="s">
        <v>32</v>
      </c>
      <c r="L250" t="s">
        <v>35</v>
      </c>
      <c r="AQ250">
        <v>0</v>
      </c>
      <c r="AR250" s="3">
        <f t="shared" si="9"/>
        <v>0</v>
      </c>
      <c r="AS250" s="3">
        <f t="shared" si="10"/>
        <v>0</v>
      </c>
      <c r="AT250" s="3" t="str">
        <f>IF(OR(Registered!AM250&gt;0,Registered!AO250&gt;0),(IF(Registered!E250=0,"Size Not Specified",Registered!E250)),"")</f>
        <v/>
      </c>
      <c r="AU250" s="3" t="str">
        <f>IF(Registered!AE250=0,"",IF(Registered!AE250=1,Registered!AE250&amp;" Bandana",Registered!AE250&amp;" Bandanas"))</f>
        <v/>
      </c>
      <c r="AV250" s="3">
        <f t="shared" si="11"/>
        <v>0</v>
      </c>
      <c r="AW250" s="2" t="str">
        <f>IF(Registered!AV250=0,"",IF(Registered!AV250=1,Registered!AV250&amp;" Meal",Registered!AV250&amp;" Meals"))</f>
        <v/>
      </c>
      <c r="AX250" s="2" t="str">
        <f>IF(Registered!AI250=0,"",Registered!AI250&amp;" BG")</f>
        <v/>
      </c>
      <c r="AY250" s="2" t="str">
        <f>IF(Registered!AG250=0,"",Registered!AG250&amp;" DustMask")</f>
        <v/>
      </c>
    </row>
    <row r="251" spans="1:51" customFormat="1" x14ac:dyDescent="0.25">
      <c r="A251" t="s">
        <v>883</v>
      </c>
      <c r="B251" t="s">
        <v>833</v>
      </c>
      <c r="C251" t="s">
        <v>6090</v>
      </c>
      <c r="G251" t="s">
        <v>3803</v>
      </c>
      <c r="H251" t="s">
        <v>943</v>
      </c>
      <c r="I251" t="s">
        <v>3804</v>
      </c>
      <c r="J251" t="s">
        <v>37</v>
      </c>
      <c r="K251" t="s">
        <v>32</v>
      </c>
      <c r="L251" t="s">
        <v>35</v>
      </c>
      <c r="AQ251">
        <v>0</v>
      </c>
      <c r="AR251" s="3">
        <f t="shared" si="9"/>
        <v>0</v>
      </c>
      <c r="AS251" s="3">
        <f t="shared" si="10"/>
        <v>0</v>
      </c>
      <c r="AT251" s="3" t="str">
        <f>IF(OR(Registered!AM251&gt;0,Registered!AO251&gt;0),(IF(Registered!E251=0,"Size Not Specified",Registered!E251)),"")</f>
        <v/>
      </c>
      <c r="AU251" s="3" t="str">
        <f>IF(Registered!AE251=0,"",IF(Registered!AE251=1,Registered!AE251&amp;" Bandana",Registered!AE251&amp;" Bandanas"))</f>
        <v/>
      </c>
      <c r="AV251" s="3">
        <f t="shared" si="11"/>
        <v>0</v>
      </c>
      <c r="AW251" s="2" t="str">
        <f>IF(Registered!AV251=0,"",IF(Registered!AV251=1,Registered!AV251&amp;" Meal",Registered!AV251&amp;" Meals"))</f>
        <v/>
      </c>
      <c r="AX251" s="2" t="str">
        <f>IF(Registered!AI251=0,"",Registered!AI251&amp;" BG")</f>
        <v/>
      </c>
      <c r="AY251" s="2" t="str">
        <f>IF(Registered!AG251=0,"",Registered!AG251&amp;" DustMask")</f>
        <v/>
      </c>
    </row>
    <row r="252" spans="1:51" customFormat="1" x14ac:dyDescent="0.25">
      <c r="A252" t="s">
        <v>403</v>
      </c>
      <c r="B252" t="s">
        <v>833</v>
      </c>
      <c r="C252" t="s">
        <v>6090</v>
      </c>
      <c r="G252" t="s">
        <v>3803</v>
      </c>
      <c r="H252" t="s">
        <v>943</v>
      </c>
      <c r="I252" t="s">
        <v>3804</v>
      </c>
      <c r="J252" t="s">
        <v>37</v>
      </c>
      <c r="K252" t="s">
        <v>32</v>
      </c>
      <c r="L252" t="s">
        <v>35</v>
      </c>
      <c r="AQ252">
        <v>0</v>
      </c>
      <c r="AR252" s="3">
        <f t="shared" si="9"/>
        <v>0</v>
      </c>
      <c r="AS252" s="3">
        <f t="shared" si="10"/>
        <v>0</v>
      </c>
      <c r="AT252" s="3" t="str">
        <f>IF(OR(Registered!AM252&gt;0,Registered!AO252&gt;0),(IF(Registered!E252=0,"Size Not Specified",Registered!E252)),"")</f>
        <v/>
      </c>
      <c r="AU252" s="3" t="str">
        <f>IF(Registered!AE252=0,"",IF(Registered!AE252=1,Registered!AE252&amp;" Bandana",Registered!AE252&amp;" Bandanas"))</f>
        <v/>
      </c>
      <c r="AV252" s="3">
        <f t="shared" si="11"/>
        <v>0</v>
      </c>
      <c r="AW252" s="2" t="str">
        <f>IF(Registered!AV252=0,"",IF(Registered!AV252=1,Registered!AV252&amp;" Meal",Registered!AV252&amp;" Meals"))</f>
        <v/>
      </c>
      <c r="AX252" s="2" t="str">
        <f>IF(Registered!AI252=0,"",Registered!AI252&amp;" BG")</f>
        <v/>
      </c>
      <c r="AY252" s="2" t="str">
        <f>IF(Registered!AG252=0,"",Registered!AG252&amp;" DustMask")</f>
        <v/>
      </c>
    </row>
    <row r="253" spans="1:51" customFormat="1" x14ac:dyDescent="0.25">
      <c r="A253" t="s">
        <v>288</v>
      </c>
      <c r="B253" t="s">
        <v>3805</v>
      </c>
      <c r="C253" t="s">
        <v>6090</v>
      </c>
      <c r="D253" t="s">
        <v>3806</v>
      </c>
      <c r="E253" t="s">
        <v>3541</v>
      </c>
      <c r="F253" t="s">
        <v>261</v>
      </c>
      <c r="I253" t="s">
        <v>3807</v>
      </c>
      <c r="J253" t="s">
        <v>37</v>
      </c>
      <c r="K253" t="s">
        <v>32</v>
      </c>
      <c r="L253" t="s">
        <v>35</v>
      </c>
      <c r="Q253">
        <v>1</v>
      </c>
      <c r="R253">
        <v>3</v>
      </c>
      <c r="AM253">
        <v>1</v>
      </c>
      <c r="AN253">
        <v>25</v>
      </c>
      <c r="AQ253">
        <v>28</v>
      </c>
      <c r="AR253" s="3">
        <f t="shared" si="9"/>
        <v>5</v>
      </c>
      <c r="AS253" s="3">
        <f t="shared" si="10"/>
        <v>1</v>
      </c>
      <c r="AT253" s="3" t="str">
        <f>IF(OR(Registered!AM253&gt;0,Registered!AO253&gt;0),(IF(Registered!E253=0,"Size Not Specified",Registered!E253)),"")</f>
        <v>Adult Medium</v>
      </c>
      <c r="AU253" s="3" t="str">
        <f>IF(Registered!AE253=0,"",IF(Registered!AE253=1,Registered!AE253&amp;" Bandana",Registered!AE253&amp;" Bandanas"))</f>
        <v/>
      </c>
      <c r="AV253" s="3">
        <f t="shared" si="11"/>
        <v>1</v>
      </c>
      <c r="AW253" s="2" t="str">
        <f>IF(Registered!AV253=0,"",IF(Registered!AV253=1,Registered!AV253&amp;" Meal",Registered!AV253&amp;" Meals"))</f>
        <v>1 Meal</v>
      </c>
      <c r="AX253" s="2" t="str">
        <f>IF(Registered!AI253=0,"",Registered!AI253&amp;" BG")</f>
        <v/>
      </c>
      <c r="AY253" s="2" t="str">
        <f>IF(Registered!AG253=0,"",Registered!AG253&amp;" DustMask")</f>
        <v/>
      </c>
    </row>
    <row r="254" spans="1:51" customFormat="1" x14ac:dyDescent="0.25">
      <c r="A254" t="s">
        <v>130</v>
      </c>
      <c r="B254" t="s">
        <v>834</v>
      </c>
      <c r="C254" t="s">
        <v>6090</v>
      </c>
      <c r="G254" t="s">
        <v>835</v>
      </c>
      <c r="H254" t="s">
        <v>836</v>
      </c>
      <c r="I254" t="s">
        <v>837</v>
      </c>
      <c r="J254" t="s">
        <v>37</v>
      </c>
      <c r="K254" t="s">
        <v>32</v>
      </c>
      <c r="L254" t="s">
        <v>35</v>
      </c>
      <c r="AQ254">
        <v>0</v>
      </c>
      <c r="AR254" s="3">
        <f t="shared" si="9"/>
        <v>0</v>
      </c>
      <c r="AS254" s="3">
        <f t="shared" si="10"/>
        <v>0</v>
      </c>
      <c r="AT254" s="3" t="str">
        <f>IF(OR(Registered!AM254&gt;0,Registered!AO254&gt;0),(IF(Registered!E254=0,"Size Not Specified",Registered!E254)),"")</f>
        <v/>
      </c>
      <c r="AU254" s="3" t="str">
        <f>IF(Registered!AE254=0,"",IF(Registered!AE254=1,Registered!AE254&amp;" Bandana",Registered!AE254&amp;" Bandanas"))</f>
        <v/>
      </c>
      <c r="AV254" s="3">
        <f t="shared" si="11"/>
        <v>0</v>
      </c>
      <c r="AW254" s="2" t="str">
        <f>IF(Registered!AV254=0,"",IF(Registered!AV254=1,Registered!AV254&amp;" Meal",Registered!AV254&amp;" Meals"))</f>
        <v/>
      </c>
      <c r="AX254" s="2" t="str">
        <f>IF(Registered!AI254=0,"",Registered!AI254&amp;" BG")</f>
        <v/>
      </c>
      <c r="AY254" s="2" t="str">
        <f>IF(Registered!AG254=0,"",Registered!AG254&amp;" DustMask")</f>
        <v/>
      </c>
    </row>
    <row r="255" spans="1:51" customFormat="1" x14ac:dyDescent="0.25">
      <c r="A255" t="s">
        <v>838</v>
      </c>
      <c r="B255" t="s">
        <v>834</v>
      </c>
      <c r="C255" t="s">
        <v>6090</v>
      </c>
      <c r="G255" t="s">
        <v>835</v>
      </c>
      <c r="H255" t="s">
        <v>836</v>
      </c>
      <c r="I255" t="s">
        <v>837</v>
      </c>
      <c r="J255" t="s">
        <v>37</v>
      </c>
      <c r="K255" t="s">
        <v>32</v>
      </c>
      <c r="L255" t="s">
        <v>35</v>
      </c>
      <c r="AQ255">
        <v>0</v>
      </c>
      <c r="AR255" s="3">
        <f t="shared" si="9"/>
        <v>0</v>
      </c>
      <c r="AS255" s="3">
        <f t="shared" si="10"/>
        <v>0</v>
      </c>
      <c r="AT255" s="3" t="str">
        <f>IF(OR(Registered!AM255&gt;0,Registered!AO255&gt;0),(IF(Registered!E255=0,"Size Not Specified",Registered!E255)),"")</f>
        <v/>
      </c>
      <c r="AU255" s="3" t="str">
        <f>IF(Registered!AE255=0,"",IF(Registered!AE255=1,Registered!AE255&amp;" Bandana",Registered!AE255&amp;" Bandanas"))</f>
        <v/>
      </c>
      <c r="AV255" s="3">
        <f t="shared" si="11"/>
        <v>0</v>
      </c>
      <c r="AW255" s="2" t="str">
        <f>IF(Registered!AV255=0,"",IF(Registered!AV255=1,Registered!AV255&amp;" Meal",Registered!AV255&amp;" Meals"))</f>
        <v/>
      </c>
      <c r="AX255" s="2" t="str">
        <f>IF(Registered!AI255=0,"",Registered!AI255&amp;" BG")</f>
        <v/>
      </c>
      <c r="AY255" s="2" t="str">
        <f>IF(Registered!AG255=0,"",Registered!AG255&amp;" DustMask")</f>
        <v/>
      </c>
    </row>
    <row r="256" spans="1:51" customFormat="1" x14ac:dyDescent="0.25">
      <c r="A256" t="s">
        <v>396</v>
      </c>
      <c r="B256" t="s">
        <v>834</v>
      </c>
      <c r="C256" t="s">
        <v>6090</v>
      </c>
      <c r="G256" t="s">
        <v>835</v>
      </c>
      <c r="H256" t="s">
        <v>836</v>
      </c>
      <c r="I256" t="s">
        <v>837</v>
      </c>
      <c r="J256" t="s">
        <v>37</v>
      </c>
      <c r="K256" t="s">
        <v>32</v>
      </c>
      <c r="L256" t="s">
        <v>35</v>
      </c>
      <c r="AQ256">
        <v>0</v>
      </c>
      <c r="AR256" s="3">
        <f t="shared" si="9"/>
        <v>0</v>
      </c>
      <c r="AS256" s="3">
        <f t="shared" si="10"/>
        <v>0</v>
      </c>
      <c r="AT256" s="3" t="str">
        <f>IF(OR(Registered!AM256&gt;0,Registered!AO256&gt;0),(IF(Registered!E256=0,"Size Not Specified",Registered!E256)),"")</f>
        <v/>
      </c>
      <c r="AU256" s="3" t="str">
        <f>IF(Registered!AE256=0,"",IF(Registered!AE256=1,Registered!AE256&amp;" Bandana",Registered!AE256&amp;" Bandanas"))</f>
        <v/>
      </c>
      <c r="AV256" s="3">
        <f t="shared" si="11"/>
        <v>0</v>
      </c>
      <c r="AW256" s="2" t="str">
        <f>IF(Registered!AV256=0,"",IF(Registered!AV256=1,Registered!AV256&amp;" Meal",Registered!AV256&amp;" Meals"))</f>
        <v/>
      </c>
      <c r="AX256" s="2" t="str">
        <f>IF(Registered!AI256=0,"",Registered!AI256&amp;" BG")</f>
        <v/>
      </c>
      <c r="AY256" s="2" t="str">
        <f>IF(Registered!AG256=0,"",Registered!AG256&amp;" DustMask")</f>
        <v/>
      </c>
    </row>
    <row r="257" spans="1:51" customFormat="1" x14ac:dyDescent="0.25">
      <c r="A257" t="s">
        <v>839</v>
      </c>
      <c r="B257" t="s">
        <v>442</v>
      </c>
      <c r="C257" t="s">
        <v>6090</v>
      </c>
      <c r="G257" t="s">
        <v>151</v>
      </c>
      <c r="H257" t="s">
        <v>840</v>
      </c>
      <c r="I257" t="s">
        <v>841</v>
      </c>
      <c r="J257" t="s">
        <v>37</v>
      </c>
      <c r="K257" t="s">
        <v>32</v>
      </c>
      <c r="L257" t="s">
        <v>35</v>
      </c>
      <c r="AQ257">
        <v>0</v>
      </c>
      <c r="AR257" s="3">
        <f t="shared" si="9"/>
        <v>0</v>
      </c>
      <c r="AS257" s="3">
        <f t="shared" si="10"/>
        <v>0</v>
      </c>
      <c r="AT257" s="3" t="str">
        <f>IF(OR(Registered!AM257&gt;0,Registered!AO257&gt;0),(IF(Registered!E257=0,"Size Not Specified",Registered!E257)),"")</f>
        <v/>
      </c>
      <c r="AU257" s="3" t="str">
        <f>IF(Registered!AE257=0,"",IF(Registered!AE257=1,Registered!AE257&amp;" Bandana",Registered!AE257&amp;" Bandanas"))</f>
        <v/>
      </c>
      <c r="AV257" s="3">
        <f t="shared" si="11"/>
        <v>0</v>
      </c>
      <c r="AW257" s="2" t="str">
        <f>IF(Registered!AV257=0,"",IF(Registered!AV257=1,Registered!AV257&amp;" Meal",Registered!AV257&amp;" Meals"))</f>
        <v/>
      </c>
      <c r="AX257" s="2" t="str">
        <f>IF(Registered!AI257=0,"",Registered!AI257&amp;" BG")</f>
        <v/>
      </c>
      <c r="AY257" s="2" t="str">
        <f>IF(Registered!AG257=0,"",Registered!AG257&amp;" DustMask")</f>
        <v/>
      </c>
    </row>
    <row r="258" spans="1:51" customFormat="1" x14ac:dyDescent="0.25">
      <c r="A258" t="s">
        <v>142</v>
      </c>
      <c r="B258" t="s">
        <v>3808</v>
      </c>
      <c r="C258" t="s">
        <v>6090</v>
      </c>
      <c r="F258" t="s">
        <v>261</v>
      </c>
      <c r="I258" t="s">
        <v>3809</v>
      </c>
      <c r="J258" t="s">
        <v>37</v>
      </c>
      <c r="K258" t="s">
        <v>32</v>
      </c>
      <c r="L258" t="s">
        <v>35</v>
      </c>
      <c r="Q258">
        <v>1</v>
      </c>
      <c r="R258">
        <v>3</v>
      </c>
      <c r="AQ258">
        <v>3</v>
      </c>
      <c r="AR258" s="3">
        <f t="shared" ref="AR258:AR321" si="12">IF(ISTEXT(AM258)=TRUE,"",SUM(U258*10,W258*20,Y258*30,AA258*40,AC258*5,AM258*5))</f>
        <v>0</v>
      </c>
      <c r="AS258" s="3">
        <f t="shared" ref="AS258:AS321" si="13">IF(ISTEXT(AM258)=TRUE,"",SUM(AM258,AO258))</f>
        <v>0</v>
      </c>
      <c r="AT258" s="3" t="str">
        <f>IF(OR(Registered!AM258&gt;0,Registered!AO258&gt;0),(IF(Registered!E258=0,"Size Not Specified",Registered!E258)),"")</f>
        <v/>
      </c>
      <c r="AU258" s="3" t="str">
        <f>IF(Registered!AE258=0,"",IF(Registered!AE258=1,Registered!AE258&amp;" Bandana",Registered!AE258&amp;" Bandanas"))</f>
        <v/>
      </c>
      <c r="AV258" s="3">
        <f t="shared" ref="AV258:AV321" si="14">IF(ISTEXT(AM258)=TRUE,"",SUM(AM258,AK258))</f>
        <v>0</v>
      </c>
      <c r="AW258" s="2" t="str">
        <f>IF(Registered!AV258=0,"",IF(Registered!AV258=1,Registered!AV258&amp;" Meal",Registered!AV258&amp;" Meals"))</f>
        <v/>
      </c>
      <c r="AX258" s="2" t="str">
        <f>IF(Registered!AI258=0,"",Registered!AI258&amp;" BG")</f>
        <v/>
      </c>
      <c r="AY258" s="2" t="str">
        <f>IF(Registered!AG258=0,"",Registered!AG258&amp;" DustMask")</f>
        <v/>
      </c>
    </row>
    <row r="259" spans="1:51" customFormat="1" x14ac:dyDescent="0.25">
      <c r="A259" t="s">
        <v>299</v>
      </c>
      <c r="B259" t="s">
        <v>842</v>
      </c>
      <c r="C259" t="s">
        <v>6090</v>
      </c>
      <c r="G259" t="s">
        <v>141</v>
      </c>
      <c r="H259" t="s">
        <v>843</v>
      </c>
      <c r="I259" t="s">
        <v>844</v>
      </c>
      <c r="J259" t="s">
        <v>37</v>
      </c>
      <c r="K259" t="s">
        <v>32</v>
      </c>
      <c r="L259" t="s">
        <v>35</v>
      </c>
      <c r="AQ259">
        <v>0</v>
      </c>
      <c r="AR259" s="3">
        <f t="shared" si="12"/>
        <v>0</v>
      </c>
      <c r="AS259" s="3">
        <f t="shared" si="13"/>
        <v>0</v>
      </c>
      <c r="AT259" s="3" t="str">
        <f>IF(OR(Registered!AM259&gt;0,Registered!AO259&gt;0),(IF(Registered!E259=0,"Size Not Specified",Registered!E259)),"")</f>
        <v/>
      </c>
      <c r="AU259" s="3" t="str">
        <f>IF(Registered!AE259=0,"",IF(Registered!AE259=1,Registered!AE259&amp;" Bandana",Registered!AE259&amp;" Bandanas"))</f>
        <v/>
      </c>
      <c r="AV259" s="3">
        <f t="shared" si="14"/>
        <v>0</v>
      </c>
      <c r="AW259" s="2" t="str">
        <f>IF(Registered!AV259=0,"",IF(Registered!AV259=1,Registered!AV259&amp;" Meal",Registered!AV259&amp;" Meals"))</f>
        <v/>
      </c>
      <c r="AX259" s="2" t="str">
        <f>IF(Registered!AI259=0,"",Registered!AI259&amp;" BG")</f>
        <v/>
      </c>
      <c r="AY259" s="2" t="str">
        <f>IF(Registered!AG259=0,"",Registered!AG259&amp;" DustMask")</f>
        <v/>
      </c>
    </row>
    <row r="260" spans="1:51" customFormat="1" x14ac:dyDescent="0.25">
      <c r="A260" t="s">
        <v>141</v>
      </c>
      <c r="B260" t="s">
        <v>845</v>
      </c>
      <c r="C260" t="s">
        <v>6090</v>
      </c>
      <c r="D260" t="s">
        <v>846</v>
      </c>
      <c r="E260" t="s">
        <v>227</v>
      </c>
      <c r="F260" t="s">
        <v>261</v>
      </c>
      <c r="I260" t="s">
        <v>847</v>
      </c>
      <c r="J260" t="s">
        <v>37</v>
      </c>
      <c r="K260" t="s">
        <v>32</v>
      </c>
      <c r="L260" t="s">
        <v>35</v>
      </c>
      <c r="S260">
        <v>2</v>
      </c>
      <c r="T260">
        <v>3</v>
      </c>
      <c r="AC260">
        <v>1</v>
      </c>
      <c r="AD260">
        <v>10</v>
      </c>
      <c r="AM260">
        <v>1</v>
      </c>
      <c r="AN260">
        <v>25</v>
      </c>
      <c r="AQ260">
        <v>41</v>
      </c>
      <c r="AR260" s="3">
        <f t="shared" si="12"/>
        <v>10</v>
      </c>
      <c r="AS260" s="3">
        <f t="shared" si="13"/>
        <v>1</v>
      </c>
      <c r="AT260" s="3" t="str">
        <f>IF(OR(Registered!AM260&gt;0,Registered!AO260&gt;0),(IF(Registered!E260=0,"Size Not Specified",Registered!E260)),"")</f>
        <v>xl</v>
      </c>
      <c r="AU260" s="3" t="str">
        <f>IF(Registered!AE260=0,"",IF(Registered!AE260=1,Registered!AE260&amp;" Bandana",Registered!AE260&amp;" Bandanas"))</f>
        <v/>
      </c>
      <c r="AV260" s="3">
        <f t="shared" si="14"/>
        <v>1</v>
      </c>
      <c r="AW260" s="2" t="str">
        <f>IF(Registered!AV260=0,"",IF(Registered!AV260=1,Registered!AV260&amp;" Meal",Registered!AV260&amp;" Meals"))</f>
        <v>1 Meal</v>
      </c>
      <c r="AX260" s="2" t="str">
        <f>IF(Registered!AI260=0,"",Registered!AI260&amp;" BG")</f>
        <v/>
      </c>
      <c r="AY260" s="2" t="str">
        <f>IF(Registered!AG260=0,"",Registered!AG260&amp;" DustMask")</f>
        <v/>
      </c>
    </row>
    <row r="261" spans="1:51" customFormat="1" x14ac:dyDescent="0.25">
      <c r="A261" t="s">
        <v>848</v>
      </c>
      <c r="B261" t="s">
        <v>845</v>
      </c>
      <c r="C261" t="s">
        <v>6090</v>
      </c>
      <c r="G261" t="s">
        <v>141</v>
      </c>
      <c r="H261" t="s">
        <v>845</v>
      </c>
      <c r="I261" t="s">
        <v>847</v>
      </c>
      <c r="J261" t="s">
        <v>37</v>
      </c>
      <c r="K261" t="s">
        <v>32</v>
      </c>
      <c r="L261" t="s">
        <v>35</v>
      </c>
      <c r="AQ261">
        <v>0</v>
      </c>
      <c r="AR261" s="3">
        <f t="shared" si="12"/>
        <v>0</v>
      </c>
      <c r="AS261" s="3">
        <f t="shared" si="13"/>
        <v>0</v>
      </c>
      <c r="AT261" s="3" t="str">
        <f>IF(OR(Registered!AM261&gt;0,Registered!AO261&gt;0),(IF(Registered!E261=0,"Size Not Specified",Registered!E261)),"")</f>
        <v/>
      </c>
      <c r="AU261" s="3" t="str">
        <f>IF(Registered!AE261=0,"",IF(Registered!AE261=1,Registered!AE261&amp;" Bandana",Registered!AE261&amp;" Bandanas"))</f>
        <v/>
      </c>
      <c r="AV261" s="3">
        <f t="shared" si="14"/>
        <v>0</v>
      </c>
      <c r="AW261" s="2" t="str">
        <f>IF(Registered!AV261=0,"",IF(Registered!AV261=1,Registered!AV261&amp;" Meal",Registered!AV261&amp;" Meals"))</f>
        <v/>
      </c>
      <c r="AX261" s="2" t="str">
        <f>IF(Registered!AI261=0,"",Registered!AI261&amp;" BG")</f>
        <v/>
      </c>
      <c r="AY261" s="2" t="str">
        <f>IF(Registered!AG261=0,"",Registered!AG261&amp;" DustMask")</f>
        <v/>
      </c>
    </row>
    <row r="262" spans="1:51" customFormat="1" x14ac:dyDescent="0.25">
      <c r="A262" t="s">
        <v>3810</v>
      </c>
      <c r="B262" t="s">
        <v>3811</v>
      </c>
      <c r="C262" t="s">
        <v>6090</v>
      </c>
      <c r="D262" t="s">
        <v>3812</v>
      </c>
      <c r="F262" t="s">
        <v>261</v>
      </c>
      <c r="I262" t="s">
        <v>3813</v>
      </c>
      <c r="J262" t="s">
        <v>37</v>
      </c>
      <c r="K262" t="s">
        <v>32</v>
      </c>
      <c r="L262" t="s">
        <v>35</v>
      </c>
      <c r="Q262">
        <v>2</v>
      </c>
      <c r="R262">
        <v>3</v>
      </c>
      <c r="AC262">
        <v>1</v>
      </c>
      <c r="AD262">
        <v>10</v>
      </c>
      <c r="AK262">
        <v>3</v>
      </c>
      <c r="AL262">
        <v>6</v>
      </c>
      <c r="AQ262">
        <v>34</v>
      </c>
      <c r="AR262" s="3">
        <f t="shared" si="12"/>
        <v>5</v>
      </c>
      <c r="AS262" s="3">
        <f t="shared" si="13"/>
        <v>0</v>
      </c>
      <c r="AT262" s="3" t="str">
        <f>IF(OR(Registered!AM262&gt;0,Registered!AO262&gt;0),(IF(Registered!E262=0,"Size Not Specified",Registered!E262)),"")</f>
        <v/>
      </c>
      <c r="AU262" s="3" t="str">
        <f>IF(Registered!AE262=0,"",IF(Registered!AE262=1,Registered!AE262&amp;" Bandana",Registered!AE262&amp;" Bandanas"))</f>
        <v/>
      </c>
      <c r="AV262" s="3">
        <f t="shared" si="14"/>
        <v>3</v>
      </c>
      <c r="AW262" s="2" t="str">
        <f>IF(Registered!AV262=0,"",IF(Registered!AV262=1,Registered!AV262&amp;" Meal",Registered!AV262&amp;" Meals"))</f>
        <v>3 Meals</v>
      </c>
      <c r="AX262" s="2" t="str">
        <f>IF(Registered!AI262=0,"",Registered!AI262&amp;" BG")</f>
        <v/>
      </c>
      <c r="AY262" s="2" t="str">
        <f>IF(Registered!AG262=0,"",Registered!AG262&amp;" DustMask")</f>
        <v/>
      </c>
    </row>
    <row r="263" spans="1:51" customFormat="1" x14ac:dyDescent="0.25">
      <c r="A263" t="s">
        <v>849</v>
      </c>
      <c r="B263" t="s">
        <v>850</v>
      </c>
      <c r="C263" t="s">
        <v>6090</v>
      </c>
      <c r="D263" t="s">
        <v>851</v>
      </c>
      <c r="E263" t="s">
        <v>216</v>
      </c>
      <c r="F263" t="s">
        <v>261</v>
      </c>
      <c r="I263" t="s">
        <v>852</v>
      </c>
      <c r="J263" t="s">
        <v>37</v>
      </c>
      <c r="K263" t="s">
        <v>32</v>
      </c>
      <c r="L263" t="s">
        <v>35</v>
      </c>
      <c r="Q263">
        <v>2</v>
      </c>
      <c r="R263">
        <v>3</v>
      </c>
      <c r="AC263">
        <v>1</v>
      </c>
      <c r="AD263">
        <v>10</v>
      </c>
      <c r="AQ263">
        <v>16</v>
      </c>
      <c r="AR263" s="3">
        <f t="shared" si="12"/>
        <v>5</v>
      </c>
      <c r="AS263" s="3">
        <f t="shared" si="13"/>
        <v>0</v>
      </c>
      <c r="AT263" s="3" t="str">
        <f>IF(OR(Registered!AM263&gt;0,Registered!AO263&gt;0),(IF(Registered!E263=0,"Size Not Specified",Registered!E263)),"")</f>
        <v/>
      </c>
      <c r="AU263" s="3" t="str">
        <f>IF(Registered!AE263=0,"",IF(Registered!AE263=1,Registered!AE263&amp;" Bandana",Registered!AE263&amp;" Bandanas"))</f>
        <v/>
      </c>
      <c r="AV263" s="3">
        <f t="shared" si="14"/>
        <v>0</v>
      </c>
      <c r="AW263" s="2" t="str">
        <f>IF(Registered!AV263=0,"",IF(Registered!AV263=1,Registered!AV263&amp;" Meal",Registered!AV263&amp;" Meals"))</f>
        <v/>
      </c>
      <c r="AX263" s="2" t="str">
        <f>IF(Registered!AI263=0,"",Registered!AI263&amp;" BG")</f>
        <v/>
      </c>
      <c r="AY263" s="2" t="str">
        <f>IF(Registered!AG263=0,"",Registered!AG263&amp;" DustMask")</f>
        <v/>
      </c>
    </row>
    <row r="264" spans="1:51" customFormat="1" x14ac:dyDescent="0.25">
      <c r="A264" t="s">
        <v>105</v>
      </c>
      <c r="B264" t="s">
        <v>2770</v>
      </c>
      <c r="C264" t="s">
        <v>6090</v>
      </c>
      <c r="D264" t="s">
        <v>2771</v>
      </c>
      <c r="F264" t="s">
        <v>261</v>
      </c>
      <c r="I264" t="s">
        <v>2772</v>
      </c>
      <c r="J264" t="s">
        <v>37</v>
      </c>
      <c r="K264" t="s">
        <v>32</v>
      </c>
      <c r="L264" t="s">
        <v>35</v>
      </c>
      <c r="Q264">
        <v>2</v>
      </c>
      <c r="R264">
        <v>3</v>
      </c>
      <c r="U264">
        <v>1</v>
      </c>
      <c r="V264">
        <v>20</v>
      </c>
      <c r="AK264">
        <v>4</v>
      </c>
      <c r="AL264">
        <v>6</v>
      </c>
      <c r="AQ264">
        <v>50</v>
      </c>
      <c r="AR264" s="3">
        <f t="shared" si="12"/>
        <v>10</v>
      </c>
      <c r="AS264" s="3">
        <f t="shared" si="13"/>
        <v>0</v>
      </c>
      <c r="AT264" s="3" t="str">
        <f>IF(OR(Registered!AM264&gt;0,Registered!AO264&gt;0),(IF(Registered!E264=0,"Size Not Specified",Registered!E264)),"")</f>
        <v/>
      </c>
      <c r="AU264" s="3" t="str">
        <f>IF(Registered!AE264=0,"",IF(Registered!AE264=1,Registered!AE264&amp;" Bandana",Registered!AE264&amp;" Bandanas"))</f>
        <v/>
      </c>
      <c r="AV264" s="3">
        <f t="shared" si="14"/>
        <v>4</v>
      </c>
      <c r="AW264" s="2" t="str">
        <f>IF(Registered!AV264=0,"",IF(Registered!AV264=1,Registered!AV264&amp;" Meal",Registered!AV264&amp;" Meals"))</f>
        <v>4 Meals</v>
      </c>
      <c r="AX264" s="2" t="str">
        <f>IF(Registered!AI264=0,"",Registered!AI264&amp;" BG")</f>
        <v/>
      </c>
      <c r="AY264" s="2" t="str">
        <f>IF(Registered!AG264=0,"",Registered!AG264&amp;" DustMask")</f>
        <v/>
      </c>
    </row>
    <row r="265" spans="1:51" customFormat="1" x14ac:dyDescent="0.25">
      <c r="A265" t="s">
        <v>137</v>
      </c>
      <c r="B265" t="s">
        <v>3818</v>
      </c>
      <c r="C265" t="s">
        <v>6090</v>
      </c>
      <c r="D265" t="s">
        <v>3819</v>
      </c>
      <c r="E265" t="s">
        <v>3822</v>
      </c>
      <c r="F265" t="s">
        <v>261</v>
      </c>
      <c r="I265" t="s">
        <v>3823</v>
      </c>
      <c r="J265" t="s">
        <v>37</v>
      </c>
      <c r="K265" t="s">
        <v>32</v>
      </c>
      <c r="L265" t="s">
        <v>35</v>
      </c>
      <c r="Q265">
        <v>2</v>
      </c>
      <c r="R265">
        <v>3</v>
      </c>
      <c r="AC265">
        <v>2</v>
      </c>
      <c r="AD265">
        <v>10</v>
      </c>
      <c r="AK265">
        <v>2</v>
      </c>
      <c r="AL265">
        <v>6</v>
      </c>
      <c r="AQ265">
        <v>38</v>
      </c>
      <c r="AR265" s="3">
        <f t="shared" si="12"/>
        <v>10</v>
      </c>
      <c r="AS265" s="3">
        <f t="shared" si="13"/>
        <v>0</v>
      </c>
      <c r="AT265" s="3" t="str">
        <f>IF(OR(Registered!AM265&gt;0,Registered!AO265&gt;0),(IF(Registered!E265=0,"Size Not Specified",Registered!E265)),"")</f>
        <v/>
      </c>
      <c r="AU265" s="3" t="str">
        <f>IF(Registered!AE265=0,"",IF(Registered!AE265=1,Registered!AE265&amp;" Bandana",Registered!AE265&amp;" Bandanas"))</f>
        <v/>
      </c>
      <c r="AV265" s="3">
        <f t="shared" si="14"/>
        <v>2</v>
      </c>
      <c r="AW265" s="2" t="str">
        <f>IF(Registered!AV265=0,"",IF(Registered!AV265=1,Registered!AV265&amp;" Meal",Registered!AV265&amp;" Meals"))</f>
        <v>2 Meals</v>
      </c>
      <c r="AX265" s="2" t="str">
        <f>IF(Registered!AI265=0,"",Registered!AI265&amp;" BG")</f>
        <v/>
      </c>
      <c r="AY265" s="2" t="str">
        <f>IF(Registered!AG265=0,"",Registered!AG265&amp;" DustMask")</f>
        <v/>
      </c>
    </row>
    <row r="266" spans="1:51" customFormat="1" x14ac:dyDescent="0.25">
      <c r="A266" t="s">
        <v>338</v>
      </c>
      <c r="B266" t="s">
        <v>3824</v>
      </c>
      <c r="C266" t="s">
        <v>6090</v>
      </c>
      <c r="D266" t="s">
        <v>338</v>
      </c>
      <c r="F266" t="s">
        <v>261</v>
      </c>
      <c r="I266" t="s">
        <v>3825</v>
      </c>
      <c r="J266" t="s">
        <v>37</v>
      </c>
      <c r="K266" t="s">
        <v>32</v>
      </c>
      <c r="L266" t="s">
        <v>35</v>
      </c>
      <c r="Q266">
        <v>2</v>
      </c>
      <c r="R266">
        <v>3</v>
      </c>
      <c r="AC266">
        <v>2</v>
      </c>
      <c r="AD266">
        <v>10</v>
      </c>
      <c r="AQ266">
        <v>26</v>
      </c>
      <c r="AR266" s="3">
        <f t="shared" si="12"/>
        <v>10</v>
      </c>
      <c r="AS266" s="3">
        <f t="shared" si="13"/>
        <v>0</v>
      </c>
      <c r="AT266" s="3" t="str">
        <f>IF(OR(Registered!AM266&gt;0,Registered!AO266&gt;0),(IF(Registered!E266=0,"Size Not Specified",Registered!E266)),"")</f>
        <v/>
      </c>
      <c r="AU266" s="3" t="str">
        <f>IF(Registered!AE266=0,"",IF(Registered!AE266=1,Registered!AE266&amp;" Bandana",Registered!AE266&amp;" Bandanas"))</f>
        <v/>
      </c>
      <c r="AV266" s="3">
        <f t="shared" si="14"/>
        <v>0</v>
      </c>
      <c r="AW266" s="2" t="str">
        <f>IF(Registered!AV266=0,"",IF(Registered!AV266=1,Registered!AV266&amp;" Meal",Registered!AV266&amp;" Meals"))</f>
        <v/>
      </c>
      <c r="AX266" s="2" t="str">
        <f>IF(Registered!AI266=0,"",Registered!AI266&amp;" BG")</f>
        <v/>
      </c>
      <c r="AY266" s="2" t="str">
        <f>IF(Registered!AG266=0,"",Registered!AG266&amp;" DustMask")</f>
        <v/>
      </c>
    </row>
    <row r="267" spans="1:51" customFormat="1" x14ac:dyDescent="0.25">
      <c r="A267" t="s">
        <v>1147</v>
      </c>
      <c r="B267" t="s">
        <v>3824</v>
      </c>
      <c r="C267" t="s">
        <v>6090</v>
      </c>
      <c r="G267" t="s">
        <v>338</v>
      </c>
      <c r="H267" t="s">
        <v>3824</v>
      </c>
      <c r="I267" t="s">
        <v>3825</v>
      </c>
      <c r="J267" t="s">
        <v>37</v>
      </c>
      <c r="K267" t="s">
        <v>32</v>
      </c>
      <c r="L267" t="s">
        <v>35</v>
      </c>
      <c r="AQ267">
        <v>0</v>
      </c>
      <c r="AR267" s="3">
        <f t="shared" si="12"/>
        <v>0</v>
      </c>
      <c r="AS267" s="3">
        <f t="shared" si="13"/>
        <v>0</v>
      </c>
      <c r="AT267" s="3" t="str">
        <f>IF(OR(Registered!AM267&gt;0,Registered!AO267&gt;0),(IF(Registered!E267=0,"Size Not Specified",Registered!E267)),"")</f>
        <v/>
      </c>
      <c r="AU267" s="3" t="str">
        <f>IF(Registered!AE267=0,"",IF(Registered!AE267=1,Registered!AE267&amp;" Bandana",Registered!AE267&amp;" Bandanas"))</f>
        <v/>
      </c>
      <c r="AV267" s="3">
        <f t="shared" si="14"/>
        <v>0</v>
      </c>
      <c r="AW267" s="2" t="str">
        <f>IF(Registered!AV267=0,"",IF(Registered!AV267=1,Registered!AV267&amp;" Meal",Registered!AV267&amp;" Meals"))</f>
        <v/>
      </c>
      <c r="AX267" s="2" t="str">
        <f>IF(Registered!AI267=0,"",Registered!AI267&amp;" BG")</f>
        <v/>
      </c>
      <c r="AY267" s="2" t="str">
        <f>IF(Registered!AG267=0,"",Registered!AG267&amp;" DustMask")</f>
        <v/>
      </c>
    </row>
    <row r="268" spans="1:51" customFormat="1" x14ac:dyDescent="0.25">
      <c r="A268" t="s">
        <v>79</v>
      </c>
      <c r="B268" t="s">
        <v>853</v>
      </c>
      <c r="C268" t="s">
        <v>6090</v>
      </c>
      <c r="D268" t="s">
        <v>854</v>
      </c>
      <c r="F268" t="s">
        <v>261</v>
      </c>
      <c r="I268" t="s">
        <v>855</v>
      </c>
      <c r="J268" t="s">
        <v>37</v>
      </c>
      <c r="K268" t="s">
        <v>32</v>
      </c>
      <c r="L268" t="s">
        <v>35</v>
      </c>
      <c r="S268">
        <v>1</v>
      </c>
      <c r="T268">
        <v>3</v>
      </c>
      <c r="Y268">
        <v>1</v>
      </c>
      <c r="Z268">
        <v>60</v>
      </c>
      <c r="AQ268">
        <v>63</v>
      </c>
      <c r="AR268" s="3">
        <f t="shared" si="12"/>
        <v>30</v>
      </c>
      <c r="AS268" s="3">
        <f t="shared" si="13"/>
        <v>0</v>
      </c>
      <c r="AT268" s="3" t="str">
        <f>IF(OR(Registered!AM268&gt;0,Registered!AO268&gt;0),(IF(Registered!E268=0,"Size Not Specified",Registered!E268)),"")</f>
        <v/>
      </c>
      <c r="AU268" s="3" t="str">
        <f>IF(Registered!AE268=0,"",IF(Registered!AE268=1,Registered!AE268&amp;" Bandana",Registered!AE268&amp;" Bandanas"))</f>
        <v/>
      </c>
      <c r="AV268" s="3">
        <f t="shared" si="14"/>
        <v>0</v>
      </c>
      <c r="AW268" s="2" t="str">
        <f>IF(Registered!AV268=0,"",IF(Registered!AV268=1,Registered!AV268&amp;" Meal",Registered!AV268&amp;" Meals"))</f>
        <v/>
      </c>
      <c r="AX268" s="2" t="str">
        <f>IF(Registered!AI268=0,"",Registered!AI268&amp;" BG")</f>
        <v/>
      </c>
      <c r="AY268" s="2" t="str">
        <f>IF(Registered!AG268=0,"",Registered!AG268&amp;" DustMask")</f>
        <v/>
      </c>
    </row>
    <row r="269" spans="1:51" customFormat="1" x14ac:dyDescent="0.25">
      <c r="A269" t="s">
        <v>92</v>
      </c>
      <c r="B269" t="s">
        <v>2773</v>
      </c>
      <c r="C269" t="s">
        <v>6090</v>
      </c>
      <c r="D269" t="s">
        <v>3826</v>
      </c>
      <c r="E269" t="s">
        <v>3827</v>
      </c>
      <c r="F269" t="s">
        <v>261</v>
      </c>
      <c r="I269" t="s">
        <v>3828</v>
      </c>
      <c r="J269" t="s">
        <v>37</v>
      </c>
      <c r="K269" t="s">
        <v>32</v>
      </c>
      <c r="L269" t="s">
        <v>35</v>
      </c>
      <c r="Q269">
        <v>4</v>
      </c>
      <c r="R269">
        <v>3</v>
      </c>
      <c r="AC269">
        <v>4</v>
      </c>
      <c r="AD269">
        <v>10</v>
      </c>
      <c r="AQ269">
        <v>52</v>
      </c>
      <c r="AR269" s="3">
        <f t="shared" si="12"/>
        <v>20</v>
      </c>
      <c r="AS269" s="3">
        <f t="shared" si="13"/>
        <v>0</v>
      </c>
      <c r="AT269" s="3" t="str">
        <f>IF(OR(Registered!AM269&gt;0,Registered!AO269&gt;0),(IF(Registered!E269=0,"Size Not Specified",Registered!E269)),"")</f>
        <v/>
      </c>
      <c r="AU269" s="3" t="str">
        <f>IF(Registered!AE269=0,"",IF(Registered!AE269=1,Registered!AE269&amp;" Bandana",Registered!AE269&amp;" Bandanas"))</f>
        <v/>
      </c>
      <c r="AV269" s="3">
        <f t="shared" si="14"/>
        <v>0</v>
      </c>
      <c r="AW269" s="2" t="str">
        <f>IF(Registered!AV269=0,"",IF(Registered!AV269=1,Registered!AV269&amp;" Meal",Registered!AV269&amp;" Meals"))</f>
        <v/>
      </c>
      <c r="AX269" s="2" t="str">
        <f>IF(Registered!AI269=0,"",Registered!AI269&amp;" BG")</f>
        <v/>
      </c>
      <c r="AY269" s="2" t="str">
        <f>IF(Registered!AG269=0,"",Registered!AG269&amp;" DustMask")</f>
        <v/>
      </c>
    </row>
    <row r="270" spans="1:51" customFormat="1" x14ac:dyDescent="0.25">
      <c r="A270" t="s">
        <v>335</v>
      </c>
      <c r="B270" t="s">
        <v>2773</v>
      </c>
      <c r="C270" t="s">
        <v>6090</v>
      </c>
      <c r="D270" t="s">
        <v>3829</v>
      </c>
      <c r="F270" t="s">
        <v>261</v>
      </c>
      <c r="I270" t="s">
        <v>3830</v>
      </c>
      <c r="J270" t="s">
        <v>37</v>
      </c>
      <c r="K270" t="s">
        <v>32</v>
      </c>
      <c r="L270" t="s">
        <v>35</v>
      </c>
      <c r="Q270">
        <v>1</v>
      </c>
      <c r="R270">
        <v>3</v>
      </c>
      <c r="AC270">
        <v>1</v>
      </c>
      <c r="AD270">
        <v>10</v>
      </c>
      <c r="AG270">
        <v>1</v>
      </c>
      <c r="AH270">
        <v>1</v>
      </c>
      <c r="AQ270">
        <v>14</v>
      </c>
      <c r="AR270" s="3">
        <f t="shared" si="12"/>
        <v>5</v>
      </c>
      <c r="AS270" s="3">
        <f t="shared" si="13"/>
        <v>0</v>
      </c>
      <c r="AT270" s="3" t="str">
        <f>IF(OR(Registered!AM270&gt;0,Registered!AO270&gt;0),(IF(Registered!E270=0,"Size Not Specified",Registered!E270)),"")</f>
        <v/>
      </c>
      <c r="AU270" s="3" t="str">
        <f>IF(Registered!AE270=0,"",IF(Registered!AE270=1,Registered!AE270&amp;" Bandana",Registered!AE270&amp;" Bandanas"))</f>
        <v/>
      </c>
      <c r="AV270" s="3">
        <f t="shared" si="14"/>
        <v>0</v>
      </c>
      <c r="AW270" s="2" t="str">
        <f>IF(Registered!AV270=0,"",IF(Registered!AV270=1,Registered!AV270&amp;" Meal",Registered!AV270&amp;" Meals"))</f>
        <v/>
      </c>
      <c r="AX270" s="2" t="str">
        <f>IF(Registered!AI270=0,"",Registered!AI270&amp;" BG")</f>
        <v/>
      </c>
      <c r="AY270" s="2" t="str">
        <f>IF(Registered!AG270=0,"",Registered!AG270&amp;" DustMask")</f>
        <v>1 DustMask</v>
      </c>
    </row>
    <row r="271" spans="1:51" customFormat="1" x14ac:dyDescent="0.25">
      <c r="A271" t="s">
        <v>214</v>
      </c>
      <c r="B271" t="s">
        <v>2773</v>
      </c>
      <c r="C271" t="s">
        <v>6090</v>
      </c>
      <c r="G271" t="s">
        <v>92</v>
      </c>
      <c r="H271" t="s">
        <v>2773</v>
      </c>
      <c r="I271" t="s">
        <v>3828</v>
      </c>
      <c r="J271" t="s">
        <v>37</v>
      </c>
      <c r="K271" t="s">
        <v>32</v>
      </c>
      <c r="L271" t="s">
        <v>35</v>
      </c>
      <c r="AQ271">
        <v>0</v>
      </c>
      <c r="AR271" s="3">
        <f t="shared" si="12"/>
        <v>0</v>
      </c>
      <c r="AS271" s="3">
        <f t="shared" si="13"/>
        <v>0</v>
      </c>
      <c r="AT271" s="3" t="str">
        <f>IF(OR(Registered!AM271&gt;0,Registered!AO271&gt;0),(IF(Registered!E271=0,"Size Not Specified",Registered!E271)),"")</f>
        <v/>
      </c>
      <c r="AU271" s="3" t="str">
        <f>IF(Registered!AE271=0,"",IF(Registered!AE271=1,Registered!AE271&amp;" Bandana",Registered!AE271&amp;" Bandanas"))</f>
        <v/>
      </c>
      <c r="AV271" s="3">
        <f t="shared" si="14"/>
        <v>0</v>
      </c>
      <c r="AW271" s="2" t="str">
        <f>IF(Registered!AV271=0,"",IF(Registered!AV271=1,Registered!AV271&amp;" Meal",Registered!AV271&amp;" Meals"))</f>
        <v/>
      </c>
      <c r="AX271" s="2" t="str">
        <f>IF(Registered!AI271=0,"",Registered!AI271&amp;" BG")</f>
        <v/>
      </c>
      <c r="AY271" s="2" t="str">
        <f>IF(Registered!AG271=0,"",Registered!AG271&amp;" DustMask")</f>
        <v/>
      </c>
    </row>
    <row r="272" spans="1:51" customFormat="1" x14ac:dyDescent="0.25">
      <c r="A272" t="s">
        <v>74</v>
      </c>
      <c r="B272" t="s">
        <v>856</v>
      </c>
      <c r="C272" t="s">
        <v>6090</v>
      </c>
      <c r="G272" t="s">
        <v>857</v>
      </c>
      <c r="H272" t="s">
        <v>858</v>
      </c>
      <c r="I272" t="s">
        <v>859</v>
      </c>
      <c r="J272" t="s">
        <v>37</v>
      </c>
      <c r="K272" t="s">
        <v>32</v>
      </c>
      <c r="L272" t="s">
        <v>35</v>
      </c>
      <c r="AQ272">
        <v>0</v>
      </c>
      <c r="AR272" s="3">
        <f t="shared" si="12"/>
        <v>0</v>
      </c>
      <c r="AS272" s="3">
        <f t="shared" si="13"/>
        <v>0</v>
      </c>
      <c r="AT272" s="3" t="str">
        <f>IF(OR(Registered!AM272&gt;0,Registered!AO272&gt;0),(IF(Registered!E272=0,"Size Not Specified",Registered!E272)),"")</f>
        <v/>
      </c>
      <c r="AU272" s="3" t="str">
        <f>IF(Registered!AE272=0,"",IF(Registered!AE272=1,Registered!AE272&amp;" Bandana",Registered!AE272&amp;" Bandanas"))</f>
        <v/>
      </c>
      <c r="AV272" s="3">
        <f t="shared" si="14"/>
        <v>0</v>
      </c>
      <c r="AW272" s="2" t="str">
        <f>IF(Registered!AV272=0,"",IF(Registered!AV272=1,Registered!AV272&amp;" Meal",Registered!AV272&amp;" Meals"))</f>
        <v/>
      </c>
      <c r="AX272" s="2" t="str">
        <f>IF(Registered!AI272=0,"",Registered!AI272&amp;" BG")</f>
        <v/>
      </c>
      <c r="AY272" s="2" t="str">
        <f>IF(Registered!AG272=0,"",Registered!AG272&amp;" DustMask")</f>
        <v/>
      </c>
    </row>
    <row r="273" spans="1:51" customFormat="1" x14ac:dyDescent="0.25">
      <c r="A273" t="s">
        <v>288</v>
      </c>
      <c r="B273" t="s">
        <v>860</v>
      </c>
      <c r="C273" t="s">
        <v>6090</v>
      </c>
      <c r="G273" t="s">
        <v>861</v>
      </c>
      <c r="H273" t="s">
        <v>860</v>
      </c>
      <c r="I273" t="s">
        <v>862</v>
      </c>
      <c r="J273" t="s">
        <v>37</v>
      </c>
      <c r="K273" t="s">
        <v>32</v>
      </c>
      <c r="L273" t="s">
        <v>35</v>
      </c>
      <c r="AQ273">
        <v>0</v>
      </c>
      <c r="AR273" s="3">
        <f t="shared" si="12"/>
        <v>0</v>
      </c>
      <c r="AS273" s="3">
        <f t="shared" si="13"/>
        <v>0</v>
      </c>
      <c r="AT273" s="3" t="str">
        <f>IF(OR(Registered!AM273&gt;0,Registered!AO273&gt;0),(IF(Registered!E273=0,"Size Not Specified",Registered!E273)),"")</f>
        <v/>
      </c>
      <c r="AU273" s="3" t="str">
        <f>IF(Registered!AE273=0,"",IF(Registered!AE273=1,Registered!AE273&amp;" Bandana",Registered!AE273&amp;" Bandanas"))</f>
        <v/>
      </c>
      <c r="AV273" s="3">
        <f t="shared" si="14"/>
        <v>0</v>
      </c>
      <c r="AW273" s="2" t="str">
        <f>IF(Registered!AV273=0,"",IF(Registered!AV273=1,Registered!AV273&amp;" Meal",Registered!AV273&amp;" Meals"))</f>
        <v/>
      </c>
      <c r="AX273" s="2" t="str">
        <f>IF(Registered!AI273=0,"",Registered!AI273&amp;" BG")</f>
        <v/>
      </c>
      <c r="AY273" s="2" t="str">
        <f>IF(Registered!AG273=0,"",Registered!AG273&amp;" DustMask")</f>
        <v/>
      </c>
    </row>
    <row r="274" spans="1:51" customFormat="1" x14ac:dyDescent="0.25">
      <c r="A274" t="s">
        <v>861</v>
      </c>
      <c r="B274" t="s">
        <v>860</v>
      </c>
      <c r="C274" t="s">
        <v>6090</v>
      </c>
      <c r="D274" t="s">
        <v>863</v>
      </c>
      <c r="F274" t="s">
        <v>261</v>
      </c>
      <c r="I274" t="s">
        <v>862</v>
      </c>
      <c r="J274" t="s">
        <v>37</v>
      </c>
      <c r="K274" t="s">
        <v>32</v>
      </c>
      <c r="L274" t="s">
        <v>35</v>
      </c>
      <c r="S274">
        <v>2</v>
      </c>
      <c r="T274">
        <v>3</v>
      </c>
      <c r="AC274">
        <v>2</v>
      </c>
      <c r="AD274">
        <v>10</v>
      </c>
      <c r="AQ274">
        <v>26</v>
      </c>
      <c r="AR274" s="3">
        <f t="shared" si="12"/>
        <v>10</v>
      </c>
      <c r="AS274" s="3">
        <f t="shared" si="13"/>
        <v>0</v>
      </c>
      <c r="AT274" s="3" t="str">
        <f>IF(OR(Registered!AM274&gt;0,Registered!AO274&gt;0),(IF(Registered!E274=0,"Size Not Specified",Registered!E274)),"")</f>
        <v/>
      </c>
      <c r="AU274" s="3" t="str">
        <f>IF(Registered!AE274=0,"",IF(Registered!AE274=1,Registered!AE274&amp;" Bandana",Registered!AE274&amp;" Bandanas"))</f>
        <v/>
      </c>
      <c r="AV274" s="3">
        <f t="shared" si="14"/>
        <v>0</v>
      </c>
      <c r="AW274" s="2" t="str">
        <f>IF(Registered!AV274=0,"",IF(Registered!AV274=1,Registered!AV274&amp;" Meal",Registered!AV274&amp;" Meals"))</f>
        <v/>
      </c>
      <c r="AX274" s="2" t="str">
        <f>IF(Registered!AI274=0,"",Registered!AI274&amp;" BG")</f>
        <v/>
      </c>
      <c r="AY274" s="2" t="str">
        <f>IF(Registered!AG274=0,"",Registered!AG274&amp;" DustMask")</f>
        <v/>
      </c>
    </row>
    <row r="275" spans="1:51" customFormat="1" x14ac:dyDescent="0.25">
      <c r="A275" t="s">
        <v>1577</v>
      </c>
      <c r="B275" t="s">
        <v>860</v>
      </c>
      <c r="C275" t="s">
        <v>6090</v>
      </c>
      <c r="G275" t="s">
        <v>3721</v>
      </c>
      <c r="H275" t="s">
        <v>101</v>
      </c>
      <c r="I275" t="s">
        <v>3722</v>
      </c>
      <c r="J275" t="s">
        <v>37</v>
      </c>
      <c r="K275" t="s">
        <v>32</v>
      </c>
      <c r="L275" t="s">
        <v>35</v>
      </c>
      <c r="AQ275">
        <v>0</v>
      </c>
      <c r="AR275" s="3">
        <f t="shared" si="12"/>
        <v>0</v>
      </c>
      <c r="AS275" s="3">
        <f t="shared" si="13"/>
        <v>0</v>
      </c>
      <c r="AT275" s="3" t="str">
        <f>IF(OR(Registered!AM275&gt;0,Registered!AO275&gt;0),(IF(Registered!E275=0,"Size Not Specified",Registered!E275)),"")</f>
        <v/>
      </c>
      <c r="AU275" s="3" t="str">
        <f>IF(Registered!AE275=0,"",IF(Registered!AE275=1,Registered!AE275&amp;" Bandana",Registered!AE275&amp;" Bandanas"))</f>
        <v/>
      </c>
      <c r="AV275" s="3">
        <f t="shared" si="14"/>
        <v>0</v>
      </c>
      <c r="AW275" s="2" t="str">
        <f>IF(Registered!AV275=0,"",IF(Registered!AV275=1,Registered!AV275&amp;" Meal",Registered!AV275&amp;" Meals"))</f>
        <v/>
      </c>
      <c r="AX275" s="2" t="str">
        <f>IF(Registered!AI275=0,"",Registered!AI275&amp;" BG")</f>
        <v/>
      </c>
      <c r="AY275" s="2" t="str">
        <f>IF(Registered!AG275=0,"",Registered!AG275&amp;" DustMask")</f>
        <v/>
      </c>
    </row>
    <row r="276" spans="1:51" customFormat="1" x14ac:dyDescent="0.25">
      <c r="A276" t="s">
        <v>1043</v>
      </c>
      <c r="B276" t="s">
        <v>2775</v>
      </c>
      <c r="C276" t="s">
        <v>6090</v>
      </c>
      <c r="G276" t="s">
        <v>1575</v>
      </c>
      <c r="H276" t="s">
        <v>3692</v>
      </c>
      <c r="I276" t="s">
        <v>3695</v>
      </c>
      <c r="J276" t="s">
        <v>37</v>
      </c>
      <c r="K276" t="s">
        <v>32</v>
      </c>
      <c r="L276" t="s">
        <v>35</v>
      </c>
      <c r="AQ276">
        <v>0</v>
      </c>
      <c r="AR276" s="3">
        <f t="shared" si="12"/>
        <v>0</v>
      </c>
      <c r="AS276" s="3">
        <f t="shared" si="13"/>
        <v>0</v>
      </c>
      <c r="AT276" s="3" t="str">
        <f>IF(OR(Registered!AM276&gt;0,Registered!AO276&gt;0),(IF(Registered!E276=0,"Size Not Specified",Registered!E276)),"")</f>
        <v/>
      </c>
      <c r="AU276" s="3" t="str">
        <f>IF(Registered!AE276=0,"",IF(Registered!AE276=1,Registered!AE276&amp;" Bandana",Registered!AE276&amp;" Bandanas"))</f>
        <v/>
      </c>
      <c r="AV276" s="3">
        <f t="shared" si="14"/>
        <v>0</v>
      </c>
      <c r="AW276" s="2" t="str">
        <f>IF(Registered!AV276=0,"",IF(Registered!AV276=1,Registered!AV276&amp;" Meal",Registered!AV276&amp;" Meals"))</f>
        <v/>
      </c>
      <c r="AX276" s="2" t="str">
        <f>IF(Registered!AI276=0,"",Registered!AI276&amp;" BG")</f>
        <v/>
      </c>
      <c r="AY276" s="2" t="str">
        <f>IF(Registered!AG276=0,"",Registered!AG276&amp;" DustMask")</f>
        <v/>
      </c>
    </row>
    <row r="277" spans="1:51" customFormat="1" x14ac:dyDescent="0.25">
      <c r="A277" t="s">
        <v>2774</v>
      </c>
      <c r="B277" t="s">
        <v>2775</v>
      </c>
      <c r="C277" t="s">
        <v>6090</v>
      </c>
      <c r="D277" t="s">
        <v>2776</v>
      </c>
      <c r="E277" t="s">
        <v>117</v>
      </c>
      <c r="F277" t="s">
        <v>261</v>
      </c>
      <c r="I277" t="s">
        <v>2777</v>
      </c>
      <c r="J277" t="s">
        <v>37</v>
      </c>
      <c r="K277" t="s">
        <v>32</v>
      </c>
      <c r="L277" t="s">
        <v>35</v>
      </c>
      <c r="Q277">
        <v>1</v>
      </c>
      <c r="R277">
        <v>3</v>
      </c>
      <c r="U277">
        <v>1</v>
      </c>
      <c r="V277">
        <v>20</v>
      </c>
      <c r="AE277">
        <v>1</v>
      </c>
      <c r="AF277">
        <v>6</v>
      </c>
      <c r="AO277">
        <v>1</v>
      </c>
      <c r="AP277">
        <v>10</v>
      </c>
      <c r="AQ277">
        <v>39</v>
      </c>
      <c r="AR277" s="3">
        <f t="shared" si="12"/>
        <v>10</v>
      </c>
      <c r="AS277" s="3">
        <f t="shared" si="13"/>
        <v>1</v>
      </c>
      <c r="AT277" s="3" t="str">
        <f>IF(OR(Registered!AM277&gt;0,Registered!AO277&gt;0),(IF(Registered!E277=0,"Size Not Specified",Registered!E277)),"")</f>
        <v>Large</v>
      </c>
      <c r="AU277" s="3" t="str">
        <f>IF(Registered!AE277=0,"",IF(Registered!AE277=1,Registered!AE277&amp;" Bandana",Registered!AE277&amp;" Bandanas"))</f>
        <v>1 Bandana</v>
      </c>
      <c r="AV277" s="3">
        <f t="shared" si="14"/>
        <v>0</v>
      </c>
      <c r="AW277" s="2" t="str">
        <f>IF(Registered!AV277=0,"",IF(Registered!AV277=1,Registered!AV277&amp;" Meal",Registered!AV277&amp;" Meals"))</f>
        <v/>
      </c>
      <c r="AX277" s="2" t="str">
        <f>IF(Registered!AI277=0,"",Registered!AI277&amp;" BG")</f>
        <v/>
      </c>
      <c r="AY277" s="2" t="str">
        <f>IF(Registered!AG277=0,"",Registered!AG277&amp;" DustMask")</f>
        <v/>
      </c>
    </row>
    <row r="278" spans="1:51" customFormat="1" x14ac:dyDescent="0.25">
      <c r="A278" t="s">
        <v>79</v>
      </c>
      <c r="B278" t="s">
        <v>2778</v>
      </c>
      <c r="C278" t="s">
        <v>6090</v>
      </c>
      <c r="D278" t="s">
        <v>2779</v>
      </c>
      <c r="F278" t="s">
        <v>261</v>
      </c>
      <c r="I278" t="s">
        <v>2780</v>
      </c>
      <c r="J278" t="s">
        <v>37</v>
      </c>
      <c r="K278" t="s">
        <v>32</v>
      </c>
      <c r="L278" t="s">
        <v>35</v>
      </c>
      <c r="Q278">
        <v>2</v>
      </c>
      <c r="R278">
        <v>3</v>
      </c>
      <c r="AA278">
        <v>1</v>
      </c>
      <c r="AB278">
        <v>75</v>
      </c>
      <c r="AC278">
        <v>1</v>
      </c>
      <c r="AD278">
        <v>10</v>
      </c>
      <c r="AQ278">
        <v>91</v>
      </c>
      <c r="AR278" s="3">
        <f t="shared" si="12"/>
        <v>45</v>
      </c>
      <c r="AS278" s="3">
        <f t="shared" si="13"/>
        <v>0</v>
      </c>
      <c r="AT278" s="3" t="str">
        <f>IF(OR(Registered!AM278&gt;0,Registered!AO278&gt;0),(IF(Registered!E278=0,"Size Not Specified",Registered!E278)),"")</f>
        <v/>
      </c>
      <c r="AU278" s="3" t="str">
        <f>IF(Registered!AE278=0,"",IF(Registered!AE278=1,Registered!AE278&amp;" Bandana",Registered!AE278&amp;" Bandanas"))</f>
        <v/>
      </c>
      <c r="AV278" s="3">
        <f t="shared" si="14"/>
        <v>0</v>
      </c>
      <c r="AW278" s="2" t="str">
        <f>IF(Registered!AV278=0,"",IF(Registered!AV278=1,Registered!AV278&amp;" Meal",Registered!AV278&amp;" Meals"))</f>
        <v/>
      </c>
      <c r="AX278" s="2" t="str">
        <f>IF(Registered!AI278=0,"",Registered!AI278&amp;" BG")</f>
        <v/>
      </c>
      <c r="AY278" s="2" t="str">
        <f>IF(Registered!AG278=0,"",Registered!AG278&amp;" DustMask")</f>
        <v/>
      </c>
    </row>
    <row r="279" spans="1:51" customFormat="1" x14ac:dyDescent="0.25">
      <c r="A279" t="s">
        <v>1035</v>
      </c>
      <c r="B279" t="s">
        <v>2778</v>
      </c>
      <c r="C279" t="s">
        <v>6090</v>
      </c>
      <c r="D279" t="s">
        <v>3831</v>
      </c>
      <c r="F279" t="s">
        <v>261</v>
      </c>
      <c r="I279" t="s">
        <v>3832</v>
      </c>
      <c r="J279" t="s">
        <v>37</v>
      </c>
      <c r="K279" t="s">
        <v>32</v>
      </c>
      <c r="L279" t="s">
        <v>35</v>
      </c>
      <c r="Q279">
        <v>2</v>
      </c>
      <c r="R279">
        <v>3</v>
      </c>
      <c r="U279">
        <v>1</v>
      </c>
      <c r="V279">
        <v>20</v>
      </c>
      <c r="AC279">
        <v>1</v>
      </c>
      <c r="AD279">
        <v>10</v>
      </c>
      <c r="AQ279">
        <v>36</v>
      </c>
      <c r="AR279" s="3">
        <f t="shared" si="12"/>
        <v>15</v>
      </c>
      <c r="AS279" s="3">
        <f t="shared" si="13"/>
        <v>0</v>
      </c>
      <c r="AT279" s="3" t="str">
        <f>IF(OR(Registered!AM279&gt;0,Registered!AO279&gt;0),(IF(Registered!E279=0,"Size Not Specified",Registered!E279)),"")</f>
        <v/>
      </c>
      <c r="AU279" s="3" t="str">
        <f>IF(Registered!AE279=0,"",IF(Registered!AE279=1,Registered!AE279&amp;" Bandana",Registered!AE279&amp;" Bandanas"))</f>
        <v/>
      </c>
      <c r="AV279" s="3">
        <f t="shared" si="14"/>
        <v>0</v>
      </c>
      <c r="AW279" s="2" t="str">
        <f>IF(Registered!AV279=0,"",IF(Registered!AV279=1,Registered!AV279&amp;" Meal",Registered!AV279&amp;" Meals"))</f>
        <v/>
      </c>
      <c r="AX279" s="2" t="str">
        <f>IF(Registered!AI279=0,"",Registered!AI279&amp;" BG")</f>
        <v/>
      </c>
      <c r="AY279" s="2" t="str">
        <f>IF(Registered!AG279=0,"",Registered!AG279&amp;" DustMask")</f>
        <v/>
      </c>
    </row>
    <row r="280" spans="1:51" customFormat="1" x14ac:dyDescent="0.25">
      <c r="A280" t="s">
        <v>211</v>
      </c>
      <c r="B280" t="s">
        <v>2778</v>
      </c>
      <c r="C280" t="s">
        <v>6090</v>
      </c>
      <c r="D280" t="s">
        <v>2781</v>
      </c>
      <c r="F280" t="s">
        <v>261</v>
      </c>
      <c r="I280" t="s">
        <v>2782</v>
      </c>
      <c r="J280" t="s">
        <v>37</v>
      </c>
      <c r="K280" t="s">
        <v>32</v>
      </c>
      <c r="L280" t="s">
        <v>35</v>
      </c>
      <c r="Q280">
        <v>3</v>
      </c>
      <c r="R280">
        <v>3</v>
      </c>
      <c r="W280">
        <v>1</v>
      </c>
      <c r="X280">
        <v>40</v>
      </c>
      <c r="AG280">
        <v>1</v>
      </c>
      <c r="AH280">
        <v>1</v>
      </c>
      <c r="AQ280">
        <v>50</v>
      </c>
      <c r="AR280" s="3">
        <f t="shared" si="12"/>
        <v>20</v>
      </c>
      <c r="AS280" s="3">
        <f t="shared" si="13"/>
        <v>0</v>
      </c>
      <c r="AT280" s="3" t="str">
        <f>IF(OR(Registered!AM280&gt;0,Registered!AO280&gt;0),(IF(Registered!E280=0,"Size Not Specified",Registered!E280)),"")</f>
        <v/>
      </c>
      <c r="AU280" s="3" t="str">
        <f>IF(Registered!AE280=0,"",IF(Registered!AE280=1,Registered!AE280&amp;" Bandana",Registered!AE280&amp;" Bandanas"))</f>
        <v/>
      </c>
      <c r="AV280" s="3">
        <f t="shared" si="14"/>
        <v>0</v>
      </c>
      <c r="AW280" s="2" t="str">
        <f>IF(Registered!AV280=0,"",IF(Registered!AV280=1,Registered!AV280&amp;" Meal",Registered!AV280&amp;" Meals"))</f>
        <v/>
      </c>
      <c r="AX280" s="2" t="str">
        <f>IF(Registered!AI280=0,"",Registered!AI280&amp;" BG")</f>
        <v/>
      </c>
      <c r="AY280" s="2" t="str">
        <f>IF(Registered!AG280=0,"",Registered!AG280&amp;" DustMask")</f>
        <v>1 DustMask</v>
      </c>
    </row>
    <row r="281" spans="1:51" customFormat="1" x14ac:dyDescent="0.25">
      <c r="A281" t="s">
        <v>1443</v>
      </c>
      <c r="B281" t="s">
        <v>2778</v>
      </c>
      <c r="C281" t="s">
        <v>6090</v>
      </c>
      <c r="G281" t="s">
        <v>211</v>
      </c>
      <c r="H281" t="s">
        <v>2778</v>
      </c>
      <c r="I281" t="s">
        <v>2782</v>
      </c>
      <c r="J281" t="s">
        <v>37</v>
      </c>
      <c r="K281" t="s">
        <v>32</v>
      </c>
      <c r="L281" t="s">
        <v>35</v>
      </c>
      <c r="AQ281">
        <v>0</v>
      </c>
      <c r="AR281" s="3">
        <f t="shared" si="12"/>
        <v>0</v>
      </c>
      <c r="AS281" s="3">
        <f t="shared" si="13"/>
        <v>0</v>
      </c>
      <c r="AT281" s="3" t="str">
        <f>IF(OR(Registered!AM281&gt;0,Registered!AO281&gt;0),(IF(Registered!E281=0,"Size Not Specified",Registered!E281)),"")</f>
        <v/>
      </c>
      <c r="AU281" s="3" t="str">
        <f>IF(Registered!AE281=0,"",IF(Registered!AE281=1,Registered!AE281&amp;" Bandana",Registered!AE281&amp;" Bandanas"))</f>
        <v/>
      </c>
      <c r="AV281" s="3">
        <f t="shared" si="14"/>
        <v>0</v>
      </c>
      <c r="AW281" s="2" t="str">
        <f>IF(Registered!AV281=0,"",IF(Registered!AV281=1,Registered!AV281&amp;" Meal",Registered!AV281&amp;" Meals"))</f>
        <v/>
      </c>
      <c r="AX281" s="2" t="str">
        <f>IF(Registered!AI281=0,"",Registered!AI281&amp;" BG")</f>
        <v/>
      </c>
      <c r="AY281" s="2" t="str">
        <f>IF(Registered!AG281=0,"",Registered!AG281&amp;" DustMask")</f>
        <v/>
      </c>
    </row>
    <row r="282" spans="1:51" customFormat="1" x14ac:dyDescent="0.25">
      <c r="A282" t="s">
        <v>2783</v>
      </c>
      <c r="B282" t="s">
        <v>2778</v>
      </c>
      <c r="C282" t="s">
        <v>6090</v>
      </c>
      <c r="G282" t="s">
        <v>211</v>
      </c>
      <c r="H282" t="s">
        <v>2778</v>
      </c>
      <c r="I282" t="s">
        <v>2782</v>
      </c>
      <c r="J282" t="s">
        <v>37</v>
      </c>
      <c r="K282" t="s">
        <v>32</v>
      </c>
      <c r="L282" t="s">
        <v>35</v>
      </c>
      <c r="AQ282">
        <v>0</v>
      </c>
      <c r="AR282" s="3">
        <f t="shared" si="12"/>
        <v>0</v>
      </c>
      <c r="AS282" s="3">
        <f t="shared" si="13"/>
        <v>0</v>
      </c>
      <c r="AT282" s="3" t="str">
        <f>IF(OR(Registered!AM282&gt;0,Registered!AO282&gt;0),(IF(Registered!E282=0,"Size Not Specified",Registered!E282)),"")</f>
        <v/>
      </c>
      <c r="AU282" s="3" t="str">
        <f>IF(Registered!AE282=0,"",IF(Registered!AE282=1,Registered!AE282&amp;" Bandana",Registered!AE282&amp;" Bandanas"))</f>
        <v/>
      </c>
      <c r="AV282" s="3">
        <f t="shared" si="14"/>
        <v>0</v>
      </c>
      <c r="AW282" s="2" t="str">
        <f>IF(Registered!AV282=0,"",IF(Registered!AV282=1,Registered!AV282&amp;" Meal",Registered!AV282&amp;" Meals"))</f>
        <v/>
      </c>
      <c r="AX282" s="2" t="str">
        <f>IF(Registered!AI282=0,"",Registered!AI282&amp;" BG")</f>
        <v/>
      </c>
      <c r="AY282" s="2" t="str">
        <f>IF(Registered!AG282=0,"",Registered!AG282&amp;" DustMask")</f>
        <v/>
      </c>
    </row>
    <row r="283" spans="1:51" customFormat="1" x14ac:dyDescent="0.25">
      <c r="A283" t="s">
        <v>3833</v>
      </c>
      <c r="B283" t="s">
        <v>864</v>
      </c>
      <c r="C283" t="s">
        <v>6090</v>
      </c>
      <c r="D283" t="s">
        <v>3834</v>
      </c>
      <c r="F283" t="s">
        <v>261</v>
      </c>
      <c r="I283" t="s">
        <v>3835</v>
      </c>
      <c r="J283" t="s">
        <v>37</v>
      </c>
      <c r="K283" t="s">
        <v>32</v>
      </c>
      <c r="L283" t="s">
        <v>35</v>
      </c>
      <c r="Q283">
        <v>1</v>
      </c>
      <c r="R283">
        <v>3</v>
      </c>
      <c r="AC283">
        <v>1</v>
      </c>
      <c r="AD283">
        <v>10</v>
      </c>
      <c r="AQ283">
        <v>13</v>
      </c>
      <c r="AR283" s="3">
        <f t="shared" si="12"/>
        <v>5</v>
      </c>
      <c r="AS283" s="3">
        <f t="shared" si="13"/>
        <v>0</v>
      </c>
      <c r="AT283" s="3" t="str">
        <f>IF(OR(Registered!AM283&gt;0,Registered!AO283&gt;0),(IF(Registered!E283=0,"Size Not Specified",Registered!E283)),"")</f>
        <v/>
      </c>
      <c r="AU283" s="3" t="str">
        <f>IF(Registered!AE283=0,"",IF(Registered!AE283=1,Registered!AE283&amp;" Bandana",Registered!AE283&amp;" Bandanas"))</f>
        <v/>
      </c>
      <c r="AV283" s="3">
        <f t="shared" si="14"/>
        <v>0</v>
      </c>
      <c r="AW283" s="2" t="str">
        <f>IF(Registered!AV283=0,"",IF(Registered!AV283=1,Registered!AV283&amp;" Meal",Registered!AV283&amp;" Meals"))</f>
        <v/>
      </c>
      <c r="AX283" s="2" t="str">
        <f>IF(Registered!AI283=0,"",Registered!AI283&amp;" BG")</f>
        <v/>
      </c>
      <c r="AY283" s="2" t="str">
        <f>IF(Registered!AG283=0,"",Registered!AG283&amp;" DustMask")</f>
        <v/>
      </c>
    </row>
    <row r="284" spans="1:51" customFormat="1" x14ac:dyDescent="0.25">
      <c r="A284" t="s">
        <v>45</v>
      </c>
      <c r="B284" t="s">
        <v>864</v>
      </c>
      <c r="C284" t="s">
        <v>6090</v>
      </c>
      <c r="G284" t="s">
        <v>174</v>
      </c>
      <c r="H284" t="s">
        <v>865</v>
      </c>
      <c r="I284" t="s">
        <v>866</v>
      </c>
      <c r="J284" t="s">
        <v>37</v>
      </c>
      <c r="K284" t="s">
        <v>32</v>
      </c>
      <c r="L284" t="s">
        <v>35</v>
      </c>
      <c r="AQ284">
        <v>0</v>
      </c>
      <c r="AR284" s="3">
        <f t="shared" si="12"/>
        <v>0</v>
      </c>
      <c r="AS284" s="3">
        <f t="shared" si="13"/>
        <v>0</v>
      </c>
      <c r="AT284" s="3" t="str">
        <f>IF(OR(Registered!AM284&gt;0,Registered!AO284&gt;0),(IF(Registered!E284=0,"Size Not Specified",Registered!E284)),"")</f>
        <v/>
      </c>
      <c r="AU284" s="3" t="str">
        <f>IF(Registered!AE284=0,"",IF(Registered!AE284=1,Registered!AE284&amp;" Bandana",Registered!AE284&amp;" Bandanas"))</f>
        <v/>
      </c>
      <c r="AV284" s="3">
        <f t="shared" si="14"/>
        <v>0</v>
      </c>
      <c r="AW284" s="2" t="str">
        <f>IF(Registered!AV284=0,"",IF(Registered!AV284=1,Registered!AV284&amp;" Meal",Registered!AV284&amp;" Meals"))</f>
        <v/>
      </c>
      <c r="AX284" s="2" t="str">
        <f>IF(Registered!AI284=0,"",Registered!AI284&amp;" BG")</f>
        <v/>
      </c>
      <c r="AY284" s="2" t="str">
        <f>IF(Registered!AG284=0,"",Registered!AG284&amp;" DustMask")</f>
        <v/>
      </c>
    </row>
    <row r="285" spans="1:51" customFormat="1" x14ac:dyDescent="0.25">
      <c r="A285" t="s">
        <v>1210</v>
      </c>
      <c r="B285" t="s">
        <v>864</v>
      </c>
      <c r="C285" t="s">
        <v>6090</v>
      </c>
      <c r="G285" t="s">
        <v>3836</v>
      </c>
      <c r="H285" t="s">
        <v>3837</v>
      </c>
      <c r="I285" t="s">
        <v>3838</v>
      </c>
      <c r="J285" t="s">
        <v>37</v>
      </c>
      <c r="K285" t="s">
        <v>32</v>
      </c>
      <c r="L285" t="s">
        <v>35</v>
      </c>
      <c r="AQ285">
        <v>0</v>
      </c>
      <c r="AR285" s="3">
        <f t="shared" si="12"/>
        <v>0</v>
      </c>
      <c r="AS285" s="3">
        <f t="shared" si="13"/>
        <v>0</v>
      </c>
      <c r="AT285" s="3" t="str">
        <f>IF(OR(Registered!AM285&gt;0,Registered!AO285&gt;0),(IF(Registered!E285=0,"Size Not Specified",Registered!E285)),"")</f>
        <v/>
      </c>
      <c r="AU285" s="3" t="str">
        <f>IF(Registered!AE285=0,"",IF(Registered!AE285=1,Registered!AE285&amp;" Bandana",Registered!AE285&amp;" Bandanas"))</f>
        <v/>
      </c>
      <c r="AV285" s="3">
        <f t="shared" si="14"/>
        <v>0</v>
      </c>
      <c r="AW285" s="2" t="str">
        <f>IF(Registered!AV285=0,"",IF(Registered!AV285=1,Registered!AV285&amp;" Meal",Registered!AV285&amp;" Meals"))</f>
        <v/>
      </c>
      <c r="AX285" s="2" t="str">
        <f>IF(Registered!AI285=0,"",Registered!AI285&amp;" BG")</f>
        <v/>
      </c>
      <c r="AY285" s="2" t="str">
        <f>IF(Registered!AG285=0,"",Registered!AG285&amp;" DustMask")</f>
        <v/>
      </c>
    </row>
    <row r="286" spans="1:51" customFormat="1" x14ac:dyDescent="0.25">
      <c r="A286" t="s">
        <v>386</v>
      </c>
      <c r="B286" t="s">
        <v>95</v>
      </c>
      <c r="C286" t="s">
        <v>6090</v>
      </c>
      <c r="D286" t="s">
        <v>386</v>
      </c>
      <c r="F286" t="s">
        <v>261</v>
      </c>
      <c r="I286" t="s">
        <v>867</v>
      </c>
      <c r="J286" t="s">
        <v>37</v>
      </c>
      <c r="K286" t="s">
        <v>32</v>
      </c>
      <c r="L286" t="s">
        <v>35</v>
      </c>
      <c r="S286">
        <v>1</v>
      </c>
      <c r="T286">
        <v>3</v>
      </c>
      <c r="AC286">
        <v>1</v>
      </c>
      <c r="AD286">
        <v>10</v>
      </c>
      <c r="AQ286">
        <v>13</v>
      </c>
      <c r="AR286" s="3">
        <f t="shared" si="12"/>
        <v>5</v>
      </c>
      <c r="AS286" s="3">
        <f t="shared" si="13"/>
        <v>0</v>
      </c>
      <c r="AT286" s="3" t="str">
        <f>IF(OR(Registered!AM286&gt;0,Registered!AO286&gt;0),(IF(Registered!E286=0,"Size Not Specified",Registered!E286)),"")</f>
        <v/>
      </c>
      <c r="AU286" s="3" t="str">
        <f>IF(Registered!AE286=0,"",IF(Registered!AE286=1,Registered!AE286&amp;" Bandana",Registered!AE286&amp;" Bandanas"))</f>
        <v/>
      </c>
      <c r="AV286" s="3">
        <f t="shared" si="14"/>
        <v>0</v>
      </c>
      <c r="AW286" s="2" t="str">
        <f>IF(Registered!AV286=0,"",IF(Registered!AV286=1,Registered!AV286&amp;" Meal",Registered!AV286&amp;" Meals"))</f>
        <v/>
      </c>
      <c r="AX286" s="2" t="str">
        <f>IF(Registered!AI286=0,"",Registered!AI286&amp;" BG")</f>
        <v/>
      </c>
      <c r="AY286" s="2" t="str">
        <f>IF(Registered!AG286=0,"",Registered!AG286&amp;" DustMask")</f>
        <v/>
      </c>
    </row>
    <row r="287" spans="1:51" customFormat="1" x14ac:dyDescent="0.25">
      <c r="A287" t="s">
        <v>772</v>
      </c>
      <c r="B287" t="s">
        <v>95</v>
      </c>
      <c r="C287" t="s">
        <v>6090</v>
      </c>
      <c r="D287" t="s">
        <v>868</v>
      </c>
      <c r="F287" t="s">
        <v>261</v>
      </c>
      <c r="I287" t="s">
        <v>773</v>
      </c>
      <c r="J287" t="s">
        <v>37</v>
      </c>
      <c r="K287" t="s">
        <v>32</v>
      </c>
      <c r="L287" t="s">
        <v>35</v>
      </c>
      <c r="S287">
        <v>4</v>
      </c>
      <c r="T287">
        <v>3</v>
      </c>
      <c r="W287">
        <v>1</v>
      </c>
      <c r="X287">
        <v>40</v>
      </c>
      <c r="AE287">
        <v>3</v>
      </c>
      <c r="AF287">
        <v>6</v>
      </c>
      <c r="AQ287">
        <v>70</v>
      </c>
      <c r="AR287" s="3">
        <f t="shared" si="12"/>
        <v>20</v>
      </c>
      <c r="AS287" s="3">
        <f t="shared" si="13"/>
        <v>0</v>
      </c>
      <c r="AT287" s="3" t="str">
        <f>IF(OR(Registered!AM287&gt;0,Registered!AO287&gt;0),(IF(Registered!E287=0,"Size Not Specified",Registered!E287)),"")</f>
        <v/>
      </c>
      <c r="AU287" s="3" t="str">
        <f>IF(Registered!AE287=0,"",IF(Registered!AE287=1,Registered!AE287&amp;" Bandana",Registered!AE287&amp;" Bandanas"))</f>
        <v>3 Bandanas</v>
      </c>
      <c r="AV287" s="3">
        <f t="shared" si="14"/>
        <v>0</v>
      </c>
      <c r="AW287" s="2" t="str">
        <f>IF(Registered!AV287=0,"",IF(Registered!AV287=1,Registered!AV287&amp;" Meal",Registered!AV287&amp;" Meals"))</f>
        <v/>
      </c>
      <c r="AX287" s="2" t="str">
        <f>IF(Registered!AI287=0,"",Registered!AI287&amp;" BG")</f>
        <v/>
      </c>
      <c r="AY287" s="2" t="str">
        <f>IF(Registered!AG287=0,"",Registered!AG287&amp;" DustMask")</f>
        <v/>
      </c>
    </row>
    <row r="288" spans="1:51" customFormat="1" x14ac:dyDescent="0.25">
      <c r="A288" t="s">
        <v>869</v>
      </c>
      <c r="B288" t="s">
        <v>870</v>
      </c>
      <c r="C288" t="s">
        <v>6090</v>
      </c>
      <c r="G288" t="s">
        <v>871</v>
      </c>
      <c r="H288" t="s">
        <v>872</v>
      </c>
      <c r="I288" t="s">
        <v>873</v>
      </c>
      <c r="J288" t="s">
        <v>37</v>
      </c>
      <c r="K288" t="s">
        <v>32</v>
      </c>
      <c r="L288" t="s">
        <v>35</v>
      </c>
      <c r="AQ288">
        <v>0</v>
      </c>
      <c r="AR288" s="3">
        <f t="shared" si="12"/>
        <v>0</v>
      </c>
      <c r="AS288" s="3">
        <f t="shared" si="13"/>
        <v>0</v>
      </c>
      <c r="AT288" s="3" t="str">
        <f>IF(OR(Registered!AM288&gt;0,Registered!AO288&gt;0),(IF(Registered!E288=0,"Size Not Specified",Registered!E288)),"")</f>
        <v/>
      </c>
      <c r="AU288" s="3" t="str">
        <f>IF(Registered!AE288=0,"",IF(Registered!AE288=1,Registered!AE288&amp;" Bandana",Registered!AE288&amp;" Bandanas"))</f>
        <v/>
      </c>
      <c r="AV288" s="3">
        <f t="shared" si="14"/>
        <v>0</v>
      </c>
      <c r="AW288" s="2" t="str">
        <f>IF(Registered!AV288=0,"",IF(Registered!AV288=1,Registered!AV288&amp;" Meal",Registered!AV288&amp;" Meals"))</f>
        <v/>
      </c>
      <c r="AX288" s="2" t="str">
        <f>IF(Registered!AI288=0,"",Registered!AI288&amp;" BG")</f>
        <v/>
      </c>
      <c r="AY288" s="2" t="str">
        <f>IF(Registered!AG288=0,"",Registered!AG288&amp;" DustMask")</f>
        <v/>
      </c>
    </row>
    <row r="289" spans="1:51" customFormat="1" x14ac:dyDescent="0.25">
      <c r="A289" t="s">
        <v>199</v>
      </c>
      <c r="B289" t="s">
        <v>870</v>
      </c>
      <c r="C289" t="s">
        <v>6090</v>
      </c>
      <c r="G289" t="s">
        <v>871</v>
      </c>
      <c r="H289" t="s">
        <v>872</v>
      </c>
      <c r="I289" t="s">
        <v>873</v>
      </c>
      <c r="J289" t="s">
        <v>37</v>
      </c>
      <c r="K289" t="s">
        <v>32</v>
      </c>
      <c r="L289" t="s">
        <v>35</v>
      </c>
      <c r="AQ289">
        <v>0</v>
      </c>
      <c r="AR289" s="3">
        <f t="shared" si="12"/>
        <v>0</v>
      </c>
      <c r="AS289" s="3">
        <f t="shared" si="13"/>
        <v>0</v>
      </c>
      <c r="AT289" s="3" t="str">
        <f>IF(OR(Registered!AM289&gt;0,Registered!AO289&gt;0),(IF(Registered!E289=0,"Size Not Specified",Registered!E289)),"")</f>
        <v/>
      </c>
      <c r="AU289" s="3" t="str">
        <f>IF(Registered!AE289=0,"",IF(Registered!AE289=1,Registered!AE289&amp;" Bandana",Registered!AE289&amp;" Bandanas"))</f>
        <v/>
      </c>
      <c r="AV289" s="3">
        <f t="shared" si="14"/>
        <v>0</v>
      </c>
      <c r="AW289" s="2" t="str">
        <f>IF(Registered!AV289=0,"",IF(Registered!AV289=1,Registered!AV289&amp;" Meal",Registered!AV289&amp;" Meals"))</f>
        <v/>
      </c>
      <c r="AX289" s="2" t="str">
        <f>IF(Registered!AI289=0,"",Registered!AI289&amp;" BG")</f>
        <v/>
      </c>
      <c r="AY289" s="2" t="str">
        <f>IF(Registered!AG289=0,"",Registered!AG289&amp;" DustMask")</f>
        <v/>
      </c>
    </row>
    <row r="290" spans="1:51" customFormat="1" x14ac:dyDescent="0.25">
      <c r="A290" t="s">
        <v>874</v>
      </c>
      <c r="B290" t="s">
        <v>875</v>
      </c>
      <c r="C290" t="s">
        <v>6090</v>
      </c>
      <c r="G290" t="s">
        <v>96</v>
      </c>
      <c r="H290" t="s">
        <v>876</v>
      </c>
      <c r="I290" t="s">
        <v>877</v>
      </c>
      <c r="J290" t="s">
        <v>37</v>
      </c>
      <c r="K290" t="s">
        <v>32</v>
      </c>
      <c r="L290" t="s">
        <v>35</v>
      </c>
      <c r="AQ290">
        <v>0</v>
      </c>
      <c r="AR290" s="3">
        <f t="shared" si="12"/>
        <v>0</v>
      </c>
      <c r="AS290" s="3">
        <f t="shared" si="13"/>
        <v>0</v>
      </c>
      <c r="AT290" s="3" t="str">
        <f>IF(OR(Registered!AM290&gt;0,Registered!AO290&gt;0),(IF(Registered!E290=0,"Size Not Specified",Registered!E290)),"")</f>
        <v/>
      </c>
      <c r="AU290" s="3" t="str">
        <f>IF(Registered!AE290=0,"",IF(Registered!AE290=1,Registered!AE290&amp;" Bandana",Registered!AE290&amp;" Bandanas"))</f>
        <v/>
      </c>
      <c r="AV290" s="3">
        <f t="shared" si="14"/>
        <v>0</v>
      </c>
      <c r="AW290" s="2" t="str">
        <f>IF(Registered!AV290=0,"",IF(Registered!AV290=1,Registered!AV290&amp;" Meal",Registered!AV290&amp;" Meals"))</f>
        <v/>
      </c>
      <c r="AX290" s="2" t="str">
        <f>IF(Registered!AI290=0,"",Registered!AI290&amp;" BG")</f>
        <v/>
      </c>
      <c r="AY290" s="2" t="str">
        <f>IF(Registered!AG290=0,"",Registered!AG290&amp;" DustMask")</f>
        <v/>
      </c>
    </row>
    <row r="291" spans="1:51" customFormat="1" x14ac:dyDescent="0.25">
      <c r="A291" t="s">
        <v>323</v>
      </c>
      <c r="B291" t="s">
        <v>880</v>
      </c>
      <c r="C291" t="s">
        <v>6090</v>
      </c>
      <c r="D291" t="s">
        <v>881</v>
      </c>
      <c r="I291" t="s">
        <v>882</v>
      </c>
      <c r="J291" t="s">
        <v>37</v>
      </c>
      <c r="K291" t="s">
        <v>32</v>
      </c>
      <c r="L291" t="s">
        <v>35</v>
      </c>
      <c r="O291">
        <v>3</v>
      </c>
      <c r="P291">
        <v>3</v>
      </c>
      <c r="AC291">
        <v>2</v>
      </c>
      <c r="AD291">
        <v>10</v>
      </c>
      <c r="AQ291">
        <v>29</v>
      </c>
      <c r="AR291" s="3">
        <f t="shared" si="12"/>
        <v>10</v>
      </c>
      <c r="AS291" s="3">
        <f t="shared" si="13"/>
        <v>0</v>
      </c>
      <c r="AT291" s="3" t="str">
        <f>IF(OR(Registered!AM291&gt;0,Registered!AO291&gt;0),(IF(Registered!E291=0,"Size Not Specified",Registered!E291)),"")</f>
        <v/>
      </c>
      <c r="AU291" s="3" t="str">
        <f>IF(Registered!AE291=0,"",IF(Registered!AE291=1,Registered!AE291&amp;" Bandana",Registered!AE291&amp;" Bandanas"))</f>
        <v/>
      </c>
      <c r="AV291" s="3">
        <f t="shared" si="14"/>
        <v>0</v>
      </c>
      <c r="AW291" s="2" t="str">
        <f>IF(Registered!AV291=0,"",IF(Registered!AV291=1,Registered!AV291&amp;" Meal",Registered!AV291&amp;" Meals"))</f>
        <v/>
      </c>
      <c r="AX291" s="2" t="str">
        <f>IF(Registered!AI291=0,"",Registered!AI291&amp;" BG")</f>
        <v/>
      </c>
      <c r="AY291" s="2" t="str">
        <f>IF(Registered!AG291=0,"",Registered!AG291&amp;" DustMask")</f>
        <v/>
      </c>
    </row>
    <row r="292" spans="1:51" customFormat="1" x14ac:dyDescent="0.25">
      <c r="A292" t="s">
        <v>412</v>
      </c>
      <c r="B292" t="s">
        <v>880</v>
      </c>
      <c r="C292" t="s">
        <v>6090</v>
      </c>
      <c r="G292" t="s">
        <v>323</v>
      </c>
      <c r="H292" t="s">
        <v>880</v>
      </c>
      <c r="I292" t="s">
        <v>882</v>
      </c>
      <c r="J292" t="s">
        <v>37</v>
      </c>
      <c r="K292" t="s">
        <v>32</v>
      </c>
      <c r="L292" t="s">
        <v>35</v>
      </c>
      <c r="AQ292">
        <v>0</v>
      </c>
      <c r="AR292" s="3">
        <f t="shared" si="12"/>
        <v>0</v>
      </c>
      <c r="AS292" s="3">
        <f t="shared" si="13"/>
        <v>0</v>
      </c>
      <c r="AT292" s="3" t="str">
        <f>IF(OR(Registered!AM292&gt;0,Registered!AO292&gt;0),(IF(Registered!E292=0,"Size Not Specified",Registered!E292)),"")</f>
        <v/>
      </c>
      <c r="AU292" s="3" t="str">
        <f>IF(Registered!AE292=0,"",IF(Registered!AE292=1,Registered!AE292&amp;" Bandana",Registered!AE292&amp;" Bandanas"))</f>
        <v/>
      </c>
      <c r="AV292" s="3">
        <f t="shared" si="14"/>
        <v>0</v>
      </c>
      <c r="AW292" s="2" t="str">
        <f>IF(Registered!AV292=0,"",IF(Registered!AV292=1,Registered!AV292&amp;" Meal",Registered!AV292&amp;" Meals"))</f>
        <v/>
      </c>
      <c r="AX292" s="2" t="str">
        <f>IF(Registered!AI292=0,"",Registered!AI292&amp;" BG")</f>
        <v/>
      </c>
      <c r="AY292" s="2" t="str">
        <f>IF(Registered!AG292=0,"",Registered!AG292&amp;" DustMask")</f>
        <v/>
      </c>
    </row>
    <row r="293" spans="1:51" customFormat="1" x14ac:dyDescent="0.25">
      <c r="A293" t="s">
        <v>109</v>
      </c>
      <c r="B293" t="s">
        <v>3839</v>
      </c>
      <c r="C293" t="s">
        <v>6090</v>
      </c>
      <c r="G293" t="s">
        <v>79</v>
      </c>
      <c r="H293" t="s">
        <v>3840</v>
      </c>
      <c r="I293" t="s">
        <v>3841</v>
      </c>
      <c r="J293" t="s">
        <v>37</v>
      </c>
      <c r="K293" t="s">
        <v>32</v>
      </c>
      <c r="L293" t="s">
        <v>35</v>
      </c>
      <c r="AQ293">
        <v>0</v>
      </c>
      <c r="AR293" s="3">
        <f t="shared" si="12"/>
        <v>0</v>
      </c>
      <c r="AS293" s="3">
        <f t="shared" si="13"/>
        <v>0</v>
      </c>
      <c r="AT293" s="3" t="str">
        <f>IF(OR(Registered!AM293&gt;0,Registered!AO293&gt;0),(IF(Registered!E293=0,"Size Not Specified",Registered!E293)),"")</f>
        <v/>
      </c>
      <c r="AU293" s="3" t="str">
        <f>IF(Registered!AE293=0,"",IF(Registered!AE293=1,Registered!AE293&amp;" Bandana",Registered!AE293&amp;" Bandanas"))</f>
        <v/>
      </c>
      <c r="AV293" s="3">
        <f t="shared" si="14"/>
        <v>0</v>
      </c>
      <c r="AW293" s="2" t="str">
        <f>IF(Registered!AV293=0,"",IF(Registered!AV293=1,Registered!AV293&amp;" Meal",Registered!AV293&amp;" Meals"))</f>
        <v/>
      </c>
      <c r="AX293" s="2" t="str">
        <f>IF(Registered!AI293=0,"",Registered!AI293&amp;" BG")</f>
        <v/>
      </c>
      <c r="AY293" s="2" t="str">
        <f>IF(Registered!AG293=0,"",Registered!AG293&amp;" DustMask")</f>
        <v/>
      </c>
    </row>
    <row r="294" spans="1:51" customFormat="1" x14ac:dyDescent="0.25">
      <c r="A294" t="s">
        <v>56</v>
      </c>
      <c r="B294" t="s">
        <v>3842</v>
      </c>
      <c r="C294" t="s">
        <v>6090</v>
      </c>
      <c r="D294" t="s">
        <v>56</v>
      </c>
      <c r="F294" t="s">
        <v>261</v>
      </c>
      <c r="I294" t="s">
        <v>3843</v>
      </c>
      <c r="J294" t="s">
        <v>37</v>
      </c>
      <c r="K294" t="s">
        <v>32</v>
      </c>
      <c r="L294" t="s">
        <v>35</v>
      </c>
      <c r="Q294">
        <v>2</v>
      </c>
      <c r="R294">
        <v>3</v>
      </c>
      <c r="AC294">
        <v>2</v>
      </c>
      <c r="AD294">
        <v>10</v>
      </c>
      <c r="AQ294">
        <v>26</v>
      </c>
      <c r="AR294" s="3">
        <f t="shared" si="12"/>
        <v>10</v>
      </c>
      <c r="AS294" s="3">
        <f t="shared" si="13"/>
        <v>0</v>
      </c>
      <c r="AT294" s="3" t="str">
        <f>IF(OR(Registered!AM294&gt;0,Registered!AO294&gt;0),(IF(Registered!E294=0,"Size Not Specified",Registered!E294)),"")</f>
        <v/>
      </c>
      <c r="AU294" s="3" t="str">
        <f>IF(Registered!AE294=0,"",IF(Registered!AE294=1,Registered!AE294&amp;" Bandana",Registered!AE294&amp;" Bandanas"))</f>
        <v/>
      </c>
      <c r="AV294" s="3">
        <f t="shared" si="14"/>
        <v>0</v>
      </c>
      <c r="AW294" s="2" t="str">
        <f>IF(Registered!AV294=0,"",IF(Registered!AV294=1,Registered!AV294&amp;" Meal",Registered!AV294&amp;" Meals"))</f>
        <v/>
      </c>
      <c r="AX294" s="2" t="str">
        <f>IF(Registered!AI294=0,"",Registered!AI294&amp;" BG")</f>
        <v/>
      </c>
      <c r="AY294" s="2" t="str">
        <f>IF(Registered!AG294=0,"",Registered!AG294&amp;" DustMask")</f>
        <v/>
      </c>
    </row>
    <row r="295" spans="1:51" customFormat="1" x14ac:dyDescent="0.25">
      <c r="A295" t="s">
        <v>3844</v>
      </c>
      <c r="B295" t="s">
        <v>3845</v>
      </c>
      <c r="C295" t="s">
        <v>6090</v>
      </c>
      <c r="I295" t="s">
        <v>3846</v>
      </c>
      <c r="J295" t="s">
        <v>37</v>
      </c>
      <c r="K295" t="s">
        <v>32</v>
      </c>
      <c r="L295" t="s">
        <v>35</v>
      </c>
      <c r="Q295">
        <v>1</v>
      </c>
      <c r="R295">
        <v>3</v>
      </c>
      <c r="AC295">
        <v>1</v>
      </c>
      <c r="AD295">
        <v>10</v>
      </c>
      <c r="AQ295">
        <v>13</v>
      </c>
      <c r="AR295" s="3">
        <f t="shared" si="12"/>
        <v>5</v>
      </c>
      <c r="AS295" s="3">
        <f t="shared" si="13"/>
        <v>0</v>
      </c>
      <c r="AT295" s="3" t="str">
        <f>IF(OR(Registered!AM295&gt;0,Registered!AO295&gt;0),(IF(Registered!E295=0,"Size Not Specified",Registered!E295)),"")</f>
        <v/>
      </c>
      <c r="AU295" s="3" t="str">
        <f>IF(Registered!AE295=0,"",IF(Registered!AE295=1,Registered!AE295&amp;" Bandana",Registered!AE295&amp;" Bandanas"))</f>
        <v/>
      </c>
      <c r="AV295" s="3">
        <f t="shared" si="14"/>
        <v>0</v>
      </c>
      <c r="AW295" s="2" t="str">
        <f>IF(Registered!AV295=0,"",IF(Registered!AV295=1,Registered!AV295&amp;" Meal",Registered!AV295&amp;" Meals"))</f>
        <v/>
      </c>
      <c r="AX295" s="2" t="str">
        <f>IF(Registered!AI295=0,"",Registered!AI295&amp;" BG")</f>
        <v/>
      </c>
      <c r="AY295" s="2" t="str">
        <f>IF(Registered!AG295=0,"",Registered!AG295&amp;" DustMask")</f>
        <v/>
      </c>
    </row>
    <row r="296" spans="1:51" customFormat="1" x14ac:dyDescent="0.25">
      <c r="A296" t="s">
        <v>131</v>
      </c>
      <c r="B296" t="s">
        <v>3847</v>
      </c>
      <c r="C296" t="s">
        <v>6090</v>
      </c>
      <c r="D296" t="s">
        <v>131</v>
      </c>
      <c r="E296" t="s">
        <v>117</v>
      </c>
      <c r="F296" t="s">
        <v>261</v>
      </c>
      <c r="I296" t="s">
        <v>3848</v>
      </c>
      <c r="J296" t="s">
        <v>37</v>
      </c>
      <c r="K296" t="s">
        <v>32</v>
      </c>
      <c r="L296" t="s">
        <v>35</v>
      </c>
      <c r="Q296">
        <v>2</v>
      </c>
      <c r="R296">
        <v>3</v>
      </c>
      <c r="AC296">
        <v>2</v>
      </c>
      <c r="AD296">
        <v>10</v>
      </c>
      <c r="AK296">
        <v>2</v>
      </c>
      <c r="AL296">
        <v>6</v>
      </c>
      <c r="AQ296">
        <v>38</v>
      </c>
      <c r="AR296" s="3">
        <f t="shared" si="12"/>
        <v>10</v>
      </c>
      <c r="AS296" s="3">
        <f t="shared" si="13"/>
        <v>0</v>
      </c>
      <c r="AT296" s="3" t="str">
        <f>IF(OR(Registered!AM296&gt;0,Registered!AO296&gt;0),(IF(Registered!E296=0,"Size Not Specified",Registered!E296)),"")</f>
        <v/>
      </c>
      <c r="AU296" s="3" t="str">
        <f>IF(Registered!AE296=0,"",IF(Registered!AE296=1,Registered!AE296&amp;" Bandana",Registered!AE296&amp;" Bandanas"))</f>
        <v/>
      </c>
      <c r="AV296" s="3">
        <f t="shared" si="14"/>
        <v>2</v>
      </c>
      <c r="AW296" s="2" t="str">
        <f>IF(Registered!AV296=0,"",IF(Registered!AV296=1,Registered!AV296&amp;" Meal",Registered!AV296&amp;" Meals"))</f>
        <v>2 Meals</v>
      </c>
      <c r="AX296" s="2" t="str">
        <f>IF(Registered!AI296=0,"",Registered!AI296&amp;" BG")</f>
        <v/>
      </c>
      <c r="AY296" s="2" t="str">
        <f>IF(Registered!AG296=0,"",Registered!AG296&amp;" DustMask")</f>
        <v/>
      </c>
    </row>
    <row r="297" spans="1:51" customFormat="1" x14ac:dyDescent="0.25">
      <c r="A297" t="s">
        <v>487</v>
      </c>
      <c r="B297" t="s">
        <v>733</v>
      </c>
      <c r="C297" t="s">
        <v>6090</v>
      </c>
      <c r="F297" t="s">
        <v>261</v>
      </c>
      <c r="I297" t="s">
        <v>734</v>
      </c>
      <c r="J297" t="s">
        <v>37</v>
      </c>
      <c r="K297" t="s">
        <v>32</v>
      </c>
      <c r="L297" t="s">
        <v>35</v>
      </c>
      <c r="S297">
        <v>6</v>
      </c>
      <c r="T297">
        <v>3</v>
      </c>
      <c r="AQ297">
        <v>18</v>
      </c>
      <c r="AR297" s="3">
        <f t="shared" si="12"/>
        <v>0</v>
      </c>
      <c r="AS297" s="3">
        <f t="shared" si="13"/>
        <v>0</v>
      </c>
      <c r="AT297" s="3" t="str">
        <f>IF(OR(Registered!AM297&gt;0,Registered!AO297&gt;0),(IF(Registered!E297=0,"Size Not Specified",Registered!E297)),"")</f>
        <v/>
      </c>
      <c r="AU297" s="3" t="str">
        <f>IF(Registered!AE297=0,"",IF(Registered!AE297=1,Registered!AE297&amp;" Bandana",Registered!AE297&amp;" Bandanas"))</f>
        <v/>
      </c>
      <c r="AV297" s="3">
        <f t="shared" si="14"/>
        <v>0</v>
      </c>
      <c r="AW297" s="2" t="str">
        <f>IF(Registered!AV297=0,"",IF(Registered!AV297=1,Registered!AV297&amp;" Meal",Registered!AV297&amp;" Meals"))</f>
        <v/>
      </c>
      <c r="AX297" s="2" t="str">
        <f>IF(Registered!AI297=0,"",Registered!AI297&amp;" BG")</f>
        <v/>
      </c>
      <c r="AY297" s="2" t="str">
        <f>IF(Registered!AG297=0,"",Registered!AG297&amp;" DustMask")</f>
        <v/>
      </c>
    </row>
    <row r="298" spans="1:51" customFormat="1" x14ac:dyDescent="0.25">
      <c r="A298" t="s">
        <v>252</v>
      </c>
      <c r="B298" t="s">
        <v>2784</v>
      </c>
      <c r="C298" t="s">
        <v>6090</v>
      </c>
      <c r="D298" t="s">
        <v>2785</v>
      </c>
      <c r="F298" t="s">
        <v>261</v>
      </c>
      <c r="I298" t="s">
        <v>2786</v>
      </c>
      <c r="J298" t="s">
        <v>37</v>
      </c>
      <c r="K298" t="s">
        <v>32</v>
      </c>
      <c r="L298" t="s">
        <v>35</v>
      </c>
      <c r="Q298">
        <v>2</v>
      </c>
      <c r="R298">
        <v>3</v>
      </c>
      <c r="AC298">
        <v>2</v>
      </c>
      <c r="AD298">
        <v>10</v>
      </c>
      <c r="AQ298">
        <v>26</v>
      </c>
      <c r="AR298" s="3">
        <f t="shared" si="12"/>
        <v>10</v>
      </c>
      <c r="AS298" s="3">
        <f t="shared" si="13"/>
        <v>0</v>
      </c>
      <c r="AT298" s="3" t="str">
        <f>IF(OR(Registered!AM298&gt;0,Registered!AO298&gt;0),(IF(Registered!E298=0,"Size Not Specified",Registered!E298)),"")</f>
        <v/>
      </c>
      <c r="AU298" s="3" t="str">
        <f>IF(Registered!AE298=0,"",IF(Registered!AE298=1,Registered!AE298&amp;" Bandana",Registered!AE298&amp;" Bandanas"))</f>
        <v/>
      </c>
      <c r="AV298" s="3">
        <f t="shared" si="14"/>
        <v>0</v>
      </c>
      <c r="AW298" s="2" t="str">
        <f>IF(Registered!AV298=0,"",IF(Registered!AV298=1,Registered!AV298&amp;" Meal",Registered!AV298&amp;" Meals"))</f>
        <v/>
      </c>
      <c r="AX298" s="2" t="str">
        <f>IF(Registered!AI298=0,"",Registered!AI298&amp;" BG")</f>
        <v/>
      </c>
      <c r="AY298" s="2" t="str">
        <f>IF(Registered!AG298=0,"",Registered!AG298&amp;" DustMask")</f>
        <v/>
      </c>
    </row>
    <row r="299" spans="1:51" customFormat="1" x14ac:dyDescent="0.25">
      <c r="A299" t="s">
        <v>157</v>
      </c>
      <c r="B299" t="s">
        <v>3849</v>
      </c>
      <c r="C299" t="s">
        <v>6090</v>
      </c>
      <c r="D299" t="s">
        <v>3850</v>
      </c>
      <c r="F299" t="s">
        <v>261</v>
      </c>
      <c r="I299" t="s">
        <v>3851</v>
      </c>
      <c r="J299" t="s">
        <v>37</v>
      </c>
      <c r="K299" t="s">
        <v>32</v>
      </c>
      <c r="L299" t="s">
        <v>35</v>
      </c>
      <c r="Q299">
        <v>2</v>
      </c>
      <c r="R299">
        <v>3</v>
      </c>
      <c r="AC299">
        <v>2</v>
      </c>
      <c r="AD299">
        <v>10</v>
      </c>
      <c r="AG299">
        <v>1</v>
      </c>
      <c r="AH299">
        <v>1</v>
      </c>
      <c r="AQ299">
        <v>27</v>
      </c>
      <c r="AR299" s="3">
        <f t="shared" si="12"/>
        <v>10</v>
      </c>
      <c r="AS299" s="3">
        <f t="shared" si="13"/>
        <v>0</v>
      </c>
      <c r="AT299" s="3" t="str">
        <f>IF(OR(Registered!AM299&gt;0,Registered!AO299&gt;0),(IF(Registered!E299=0,"Size Not Specified",Registered!E299)),"")</f>
        <v/>
      </c>
      <c r="AU299" s="3" t="str">
        <f>IF(Registered!AE299=0,"",IF(Registered!AE299=1,Registered!AE299&amp;" Bandana",Registered!AE299&amp;" Bandanas"))</f>
        <v/>
      </c>
      <c r="AV299" s="3">
        <f t="shared" si="14"/>
        <v>0</v>
      </c>
      <c r="AW299" s="2" t="str">
        <f>IF(Registered!AV299=0,"",IF(Registered!AV299=1,Registered!AV299&amp;" Meal",Registered!AV299&amp;" Meals"))</f>
        <v/>
      </c>
      <c r="AX299" s="2" t="str">
        <f>IF(Registered!AI299=0,"",Registered!AI299&amp;" BG")</f>
        <v/>
      </c>
      <c r="AY299" s="2" t="str">
        <f>IF(Registered!AG299=0,"",Registered!AG299&amp;" DustMask")</f>
        <v>1 DustMask</v>
      </c>
    </row>
    <row r="300" spans="1:51" customFormat="1" x14ac:dyDescent="0.25">
      <c r="A300" t="s">
        <v>298</v>
      </c>
      <c r="B300" t="s">
        <v>3849</v>
      </c>
      <c r="C300" t="s">
        <v>6090</v>
      </c>
      <c r="G300" t="s">
        <v>1294</v>
      </c>
      <c r="H300" t="s">
        <v>3849</v>
      </c>
      <c r="I300" t="s">
        <v>3852</v>
      </c>
      <c r="J300" t="s">
        <v>37</v>
      </c>
      <c r="K300" t="s">
        <v>32</v>
      </c>
      <c r="L300" t="s">
        <v>35</v>
      </c>
      <c r="AQ300">
        <v>0</v>
      </c>
      <c r="AR300" s="3">
        <f t="shared" si="12"/>
        <v>0</v>
      </c>
      <c r="AS300" s="3">
        <f t="shared" si="13"/>
        <v>0</v>
      </c>
      <c r="AT300" s="3" t="str">
        <f>IF(OR(Registered!AM300&gt;0,Registered!AO300&gt;0),(IF(Registered!E300=0,"Size Not Specified",Registered!E300)),"")</f>
        <v/>
      </c>
      <c r="AU300" s="3" t="str">
        <f>IF(Registered!AE300=0,"",IF(Registered!AE300=1,Registered!AE300&amp;" Bandana",Registered!AE300&amp;" Bandanas"))</f>
        <v/>
      </c>
      <c r="AV300" s="3">
        <f t="shared" si="14"/>
        <v>0</v>
      </c>
      <c r="AW300" s="2" t="str">
        <f>IF(Registered!AV300=0,"",IF(Registered!AV300=1,Registered!AV300&amp;" Meal",Registered!AV300&amp;" Meals"))</f>
        <v/>
      </c>
      <c r="AX300" s="2" t="str">
        <f>IF(Registered!AI300=0,"",Registered!AI300&amp;" BG")</f>
        <v/>
      </c>
      <c r="AY300" s="2" t="str">
        <f>IF(Registered!AG300=0,"",Registered!AG300&amp;" DustMask")</f>
        <v/>
      </c>
    </row>
    <row r="301" spans="1:51" customFormat="1" x14ac:dyDescent="0.25">
      <c r="A301" t="s">
        <v>1294</v>
      </c>
      <c r="B301" t="s">
        <v>3849</v>
      </c>
      <c r="C301" t="s">
        <v>6090</v>
      </c>
      <c r="D301" t="s">
        <v>3853</v>
      </c>
      <c r="F301" t="s">
        <v>261</v>
      </c>
      <c r="I301" t="s">
        <v>3852</v>
      </c>
      <c r="J301" t="s">
        <v>37</v>
      </c>
      <c r="K301" t="s">
        <v>32</v>
      </c>
      <c r="L301" t="s">
        <v>35</v>
      </c>
      <c r="Q301">
        <v>2</v>
      </c>
      <c r="R301">
        <v>3</v>
      </c>
      <c r="U301">
        <v>1</v>
      </c>
      <c r="V301">
        <v>20</v>
      </c>
      <c r="AQ301">
        <v>26</v>
      </c>
      <c r="AR301" s="3">
        <f t="shared" si="12"/>
        <v>10</v>
      </c>
      <c r="AS301" s="3">
        <f t="shared" si="13"/>
        <v>0</v>
      </c>
      <c r="AT301" s="3" t="str">
        <f>IF(OR(Registered!AM301&gt;0,Registered!AO301&gt;0),(IF(Registered!E301=0,"Size Not Specified",Registered!E301)),"")</f>
        <v/>
      </c>
      <c r="AU301" s="3" t="str">
        <f>IF(Registered!AE301=0,"",IF(Registered!AE301=1,Registered!AE301&amp;" Bandana",Registered!AE301&amp;" Bandanas"))</f>
        <v/>
      </c>
      <c r="AV301" s="3">
        <f t="shared" si="14"/>
        <v>0</v>
      </c>
      <c r="AW301" s="2" t="str">
        <f>IF(Registered!AV301=0,"",IF(Registered!AV301=1,Registered!AV301&amp;" Meal",Registered!AV301&amp;" Meals"))</f>
        <v/>
      </c>
      <c r="AX301" s="2" t="str">
        <f>IF(Registered!AI301=0,"",Registered!AI301&amp;" BG")</f>
        <v/>
      </c>
      <c r="AY301" s="2" t="str">
        <f>IF(Registered!AG301=0,"",Registered!AG301&amp;" DustMask")</f>
        <v/>
      </c>
    </row>
    <row r="302" spans="1:51" customFormat="1" x14ac:dyDescent="0.25">
      <c r="A302" t="s">
        <v>3854</v>
      </c>
      <c r="B302" t="s">
        <v>3855</v>
      </c>
      <c r="C302" t="s">
        <v>6090</v>
      </c>
      <c r="G302" t="s">
        <v>3545</v>
      </c>
      <c r="H302" t="s">
        <v>3546</v>
      </c>
      <c r="I302" t="s">
        <v>3547</v>
      </c>
      <c r="J302" t="s">
        <v>37</v>
      </c>
      <c r="K302" t="s">
        <v>32</v>
      </c>
      <c r="L302" t="s">
        <v>35</v>
      </c>
      <c r="AQ302">
        <v>0</v>
      </c>
      <c r="AR302" s="3">
        <f t="shared" si="12"/>
        <v>0</v>
      </c>
      <c r="AS302" s="3">
        <f t="shared" si="13"/>
        <v>0</v>
      </c>
      <c r="AT302" s="3" t="str">
        <f>IF(OR(Registered!AM302&gt;0,Registered!AO302&gt;0),(IF(Registered!E302=0,"Size Not Specified",Registered!E302)),"")</f>
        <v/>
      </c>
      <c r="AU302" s="3" t="str">
        <f>IF(Registered!AE302=0,"",IF(Registered!AE302=1,Registered!AE302&amp;" Bandana",Registered!AE302&amp;" Bandanas"))</f>
        <v/>
      </c>
      <c r="AV302" s="3">
        <f t="shared" si="14"/>
        <v>0</v>
      </c>
      <c r="AW302" s="2" t="str">
        <f>IF(Registered!AV302=0,"",IF(Registered!AV302=1,Registered!AV302&amp;" Meal",Registered!AV302&amp;" Meals"))</f>
        <v/>
      </c>
      <c r="AX302" s="2" t="str">
        <f>IF(Registered!AI302=0,"",Registered!AI302&amp;" BG")</f>
        <v/>
      </c>
      <c r="AY302" s="2" t="str">
        <f>IF(Registered!AG302=0,"",Registered!AG302&amp;" DustMask")</f>
        <v/>
      </c>
    </row>
    <row r="303" spans="1:51" customFormat="1" x14ac:dyDescent="0.25">
      <c r="A303" t="s">
        <v>3856</v>
      </c>
      <c r="B303" t="s">
        <v>3857</v>
      </c>
      <c r="C303" t="s">
        <v>6090</v>
      </c>
      <c r="D303" t="s">
        <v>3858</v>
      </c>
      <c r="F303" t="s">
        <v>261</v>
      </c>
      <c r="I303" t="s">
        <v>3859</v>
      </c>
      <c r="J303" t="s">
        <v>37</v>
      </c>
      <c r="K303" t="s">
        <v>32</v>
      </c>
      <c r="L303" t="s">
        <v>35</v>
      </c>
      <c r="Q303">
        <v>2</v>
      </c>
      <c r="R303">
        <v>3</v>
      </c>
      <c r="AC303">
        <v>2</v>
      </c>
      <c r="AD303">
        <v>10</v>
      </c>
      <c r="AQ303">
        <v>26</v>
      </c>
      <c r="AR303" s="3">
        <f t="shared" si="12"/>
        <v>10</v>
      </c>
      <c r="AS303" s="3">
        <f t="shared" si="13"/>
        <v>0</v>
      </c>
      <c r="AT303" s="3" t="str">
        <f>IF(OR(Registered!AM303&gt;0,Registered!AO303&gt;0),(IF(Registered!E303=0,"Size Not Specified",Registered!E303)),"")</f>
        <v/>
      </c>
      <c r="AU303" s="3" t="str">
        <f>IF(Registered!AE303=0,"",IF(Registered!AE303=1,Registered!AE303&amp;" Bandana",Registered!AE303&amp;" Bandanas"))</f>
        <v/>
      </c>
      <c r="AV303" s="3">
        <f t="shared" si="14"/>
        <v>0</v>
      </c>
      <c r="AW303" s="2" t="str">
        <f>IF(Registered!AV303=0,"",IF(Registered!AV303=1,Registered!AV303&amp;" Meal",Registered!AV303&amp;" Meals"))</f>
        <v/>
      </c>
      <c r="AX303" s="2" t="str">
        <f>IF(Registered!AI303=0,"",Registered!AI303&amp;" BG")</f>
        <v/>
      </c>
      <c r="AY303" s="2" t="str">
        <f>IF(Registered!AG303=0,"",Registered!AG303&amp;" DustMask")</f>
        <v/>
      </c>
    </row>
    <row r="304" spans="1:51" customFormat="1" x14ac:dyDescent="0.25">
      <c r="A304" t="s">
        <v>171</v>
      </c>
      <c r="B304" t="s">
        <v>3860</v>
      </c>
      <c r="C304" t="s">
        <v>6090</v>
      </c>
      <c r="D304" t="s">
        <v>3861</v>
      </c>
      <c r="F304" t="s">
        <v>261</v>
      </c>
      <c r="I304" t="s">
        <v>3862</v>
      </c>
      <c r="J304" t="s">
        <v>37</v>
      </c>
      <c r="K304" t="s">
        <v>32</v>
      </c>
      <c r="L304" t="s">
        <v>35</v>
      </c>
      <c r="Q304">
        <v>1</v>
      </c>
      <c r="R304">
        <v>3</v>
      </c>
      <c r="U304">
        <v>1</v>
      </c>
      <c r="V304">
        <v>20</v>
      </c>
      <c r="AQ304">
        <v>23</v>
      </c>
      <c r="AR304" s="3">
        <f t="shared" si="12"/>
        <v>10</v>
      </c>
      <c r="AS304" s="3">
        <f t="shared" si="13"/>
        <v>0</v>
      </c>
      <c r="AT304" s="3" t="str">
        <f>IF(OR(Registered!AM304&gt;0,Registered!AO304&gt;0),(IF(Registered!E304=0,"Size Not Specified",Registered!E304)),"")</f>
        <v/>
      </c>
      <c r="AU304" s="3" t="str">
        <f>IF(Registered!AE304=0,"",IF(Registered!AE304=1,Registered!AE304&amp;" Bandana",Registered!AE304&amp;" Bandanas"))</f>
        <v/>
      </c>
      <c r="AV304" s="3">
        <f t="shared" si="14"/>
        <v>0</v>
      </c>
      <c r="AW304" s="2" t="str">
        <f>IF(Registered!AV304=0,"",IF(Registered!AV304=1,Registered!AV304&amp;" Meal",Registered!AV304&amp;" Meals"))</f>
        <v/>
      </c>
      <c r="AX304" s="2" t="str">
        <f>IF(Registered!AI304=0,"",Registered!AI304&amp;" BG")</f>
        <v/>
      </c>
      <c r="AY304" s="2" t="str">
        <f>IF(Registered!AG304=0,"",Registered!AG304&amp;" DustMask")</f>
        <v/>
      </c>
    </row>
    <row r="305" spans="1:51" customFormat="1" x14ac:dyDescent="0.25">
      <c r="A305" t="s">
        <v>942</v>
      </c>
      <c r="B305" t="s">
        <v>896</v>
      </c>
      <c r="C305" t="s">
        <v>6090</v>
      </c>
      <c r="G305" t="s">
        <v>2149</v>
      </c>
      <c r="H305" t="s">
        <v>391</v>
      </c>
      <c r="I305" t="s">
        <v>3864</v>
      </c>
      <c r="J305" t="s">
        <v>37</v>
      </c>
      <c r="K305" t="s">
        <v>32</v>
      </c>
      <c r="L305" t="s">
        <v>35</v>
      </c>
      <c r="AQ305">
        <v>0</v>
      </c>
      <c r="AR305" s="3">
        <f t="shared" si="12"/>
        <v>0</v>
      </c>
      <c r="AS305" s="3">
        <f t="shared" si="13"/>
        <v>0</v>
      </c>
      <c r="AT305" s="3" t="str">
        <f>IF(OR(Registered!AM305&gt;0,Registered!AO305&gt;0),(IF(Registered!E305=0,"Size Not Specified",Registered!E305)),"")</f>
        <v/>
      </c>
      <c r="AU305" s="3" t="str">
        <f>IF(Registered!AE305=0,"",IF(Registered!AE305=1,Registered!AE305&amp;" Bandana",Registered!AE305&amp;" Bandanas"))</f>
        <v/>
      </c>
      <c r="AV305" s="3">
        <f t="shared" si="14"/>
        <v>0</v>
      </c>
      <c r="AW305" s="2" t="str">
        <f>IF(Registered!AV305=0,"",IF(Registered!AV305=1,Registered!AV305&amp;" Meal",Registered!AV305&amp;" Meals"))</f>
        <v/>
      </c>
      <c r="AX305" s="2" t="str">
        <f>IF(Registered!AI305=0,"",Registered!AI305&amp;" BG")</f>
        <v/>
      </c>
      <c r="AY305" s="2" t="str">
        <f>IF(Registered!AG305=0,"",Registered!AG305&amp;" DustMask")</f>
        <v/>
      </c>
    </row>
    <row r="306" spans="1:51" customFormat="1" x14ac:dyDescent="0.25">
      <c r="A306" t="s">
        <v>3865</v>
      </c>
      <c r="B306" t="s">
        <v>896</v>
      </c>
      <c r="C306" t="s">
        <v>6090</v>
      </c>
      <c r="G306" t="s">
        <v>3810</v>
      </c>
      <c r="H306" t="s">
        <v>3811</v>
      </c>
      <c r="I306" t="s">
        <v>3813</v>
      </c>
      <c r="J306" t="s">
        <v>37</v>
      </c>
      <c r="K306" t="s">
        <v>32</v>
      </c>
      <c r="L306" t="s">
        <v>35</v>
      </c>
      <c r="AQ306">
        <v>0</v>
      </c>
      <c r="AR306" s="3">
        <f t="shared" si="12"/>
        <v>0</v>
      </c>
      <c r="AS306" s="3">
        <f t="shared" si="13"/>
        <v>0</v>
      </c>
      <c r="AT306" s="3" t="str">
        <f>IF(OR(Registered!AM306&gt;0,Registered!AO306&gt;0),(IF(Registered!E306=0,"Size Not Specified",Registered!E306)),"")</f>
        <v/>
      </c>
      <c r="AU306" s="3" t="str">
        <f>IF(Registered!AE306=0,"",IF(Registered!AE306=1,Registered!AE306&amp;" Bandana",Registered!AE306&amp;" Bandanas"))</f>
        <v/>
      </c>
      <c r="AV306" s="3">
        <f t="shared" si="14"/>
        <v>0</v>
      </c>
      <c r="AW306" s="2" t="str">
        <f>IF(Registered!AV306=0,"",IF(Registered!AV306=1,Registered!AV306&amp;" Meal",Registered!AV306&amp;" Meals"))</f>
        <v/>
      </c>
      <c r="AX306" s="2" t="str">
        <f>IF(Registered!AI306=0,"",Registered!AI306&amp;" BG")</f>
        <v/>
      </c>
      <c r="AY306" s="2" t="str">
        <f>IF(Registered!AG306=0,"",Registered!AG306&amp;" DustMask")</f>
        <v/>
      </c>
    </row>
    <row r="307" spans="1:51" customFormat="1" x14ac:dyDescent="0.25">
      <c r="A307" t="s">
        <v>502</v>
      </c>
      <c r="B307" t="s">
        <v>896</v>
      </c>
      <c r="C307" t="s">
        <v>6090</v>
      </c>
      <c r="G307" t="s">
        <v>2149</v>
      </c>
      <c r="H307" t="s">
        <v>391</v>
      </c>
      <c r="I307" t="s">
        <v>3864</v>
      </c>
      <c r="J307" t="s">
        <v>37</v>
      </c>
      <c r="K307" t="s">
        <v>32</v>
      </c>
      <c r="L307" t="s">
        <v>35</v>
      </c>
      <c r="AQ307">
        <v>0</v>
      </c>
      <c r="AR307" s="3">
        <f t="shared" si="12"/>
        <v>0</v>
      </c>
      <c r="AS307" s="3">
        <f t="shared" si="13"/>
        <v>0</v>
      </c>
      <c r="AT307" s="3" t="str">
        <f>IF(OR(Registered!AM307&gt;0,Registered!AO307&gt;0),(IF(Registered!E307=0,"Size Not Specified",Registered!E307)),"")</f>
        <v/>
      </c>
      <c r="AU307" s="3" t="str">
        <f>IF(Registered!AE307=0,"",IF(Registered!AE307=1,Registered!AE307&amp;" Bandana",Registered!AE307&amp;" Bandanas"))</f>
        <v/>
      </c>
      <c r="AV307" s="3">
        <f t="shared" si="14"/>
        <v>0</v>
      </c>
      <c r="AW307" s="2" t="str">
        <f>IF(Registered!AV307=0,"",IF(Registered!AV307=1,Registered!AV307&amp;" Meal",Registered!AV307&amp;" Meals"))</f>
        <v/>
      </c>
      <c r="AX307" s="2" t="str">
        <f>IF(Registered!AI307=0,"",Registered!AI307&amp;" BG")</f>
        <v/>
      </c>
      <c r="AY307" s="2" t="str">
        <f>IF(Registered!AG307=0,"",Registered!AG307&amp;" DustMask")</f>
        <v/>
      </c>
    </row>
    <row r="308" spans="1:51" customFormat="1" x14ac:dyDescent="0.25">
      <c r="A308" t="s">
        <v>3866</v>
      </c>
      <c r="B308" t="s">
        <v>3867</v>
      </c>
      <c r="C308" t="s">
        <v>6090</v>
      </c>
      <c r="G308" t="s">
        <v>2055</v>
      </c>
      <c r="H308" t="s">
        <v>3868</v>
      </c>
      <c r="I308" t="s">
        <v>3869</v>
      </c>
      <c r="J308" t="s">
        <v>37</v>
      </c>
      <c r="K308" t="s">
        <v>32</v>
      </c>
      <c r="L308" t="s">
        <v>35</v>
      </c>
      <c r="AQ308">
        <v>0</v>
      </c>
      <c r="AR308" s="3">
        <f t="shared" si="12"/>
        <v>0</v>
      </c>
      <c r="AS308" s="3">
        <f t="shared" si="13"/>
        <v>0</v>
      </c>
      <c r="AT308" s="3" t="str">
        <f>IF(OR(Registered!AM308&gt;0,Registered!AO308&gt;0),(IF(Registered!E308=0,"Size Not Specified",Registered!E308)),"")</f>
        <v/>
      </c>
      <c r="AU308" s="3" t="str">
        <f>IF(Registered!AE308=0,"",IF(Registered!AE308=1,Registered!AE308&amp;" Bandana",Registered!AE308&amp;" Bandanas"))</f>
        <v/>
      </c>
      <c r="AV308" s="3">
        <f t="shared" si="14"/>
        <v>0</v>
      </c>
      <c r="AW308" s="2" t="str">
        <f>IF(Registered!AV308=0,"",IF(Registered!AV308=1,Registered!AV308&amp;" Meal",Registered!AV308&amp;" Meals"))</f>
        <v/>
      </c>
      <c r="AX308" s="2" t="str">
        <f>IF(Registered!AI308=0,"",Registered!AI308&amp;" BG")</f>
        <v/>
      </c>
      <c r="AY308" s="2" t="str">
        <f>IF(Registered!AG308=0,"",Registered!AG308&amp;" DustMask")</f>
        <v/>
      </c>
    </row>
    <row r="309" spans="1:51" customFormat="1" x14ac:dyDescent="0.25">
      <c r="A309" t="s">
        <v>165</v>
      </c>
      <c r="B309" t="s">
        <v>2787</v>
      </c>
      <c r="C309" t="s">
        <v>6090</v>
      </c>
      <c r="D309" t="s">
        <v>198</v>
      </c>
      <c r="F309" t="s">
        <v>261</v>
      </c>
      <c r="I309" t="s">
        <v>2788</v>
      </c>
      <c r="J309" t="s">
        <v>37</v>
      </c>
      <c r="K309" t="s">
        <v>32</v>
      </c>
      <c r="L309" t="s">
        <v>35</v>
      </c>
      <c r="Q309">
        <v>1</v>
      </c>
      <c r="R309">
        <v>3</v>
      </c>
      <c r="U309">
        <v>1</v>
      </c>
      <c r="V309">
        <v>20</v>
      </c>
      <c r="AG309">
        <v>1</v>
      </c>
      <c r="AH309">
        <v>1</v>
      </c>
      <c r="AQ309">
        <v>24</v>
      </c>
      <c r="AR309" s="3">
        <f t="shared" si="12"/>
        <v>10</v>
      </c>
      <c r="AS309" s="3">
        <f t="shared" si="13"/>
        <v>0</v>
      </c>
      <c r="AT309" s="3" t="str">
        <f>IF(OR(Registered!AM309&gt;0,Registered!AO309&gt;0),(IF(Registered!E309=0,"Size Not Specified",Registered!E309)),"")</f>
        <v/>
      </c>
      <c r="AU309" s="3" t="str">
        <f>IF(Registered!AE309=0,"",IF(Registered!AE309=1,Registered!AE309&amp;" Bandana",Registered!AE309&amp;" Bandanas"))</f>
        <v/>
      </c>
      <c r="AV309" s="3">
        <f t="shared" si="14"/>
        <v>0</v>
      </c>
      <c r="AW309" s="2" t="str">
        <f>IF(Registered!AV309=0,"",IF(Registered!AV309=1,Registered!AV309&amp;" Meal",Registered!AV309&amp;" Meals"))</f>
        <v/>
      </c>
      <c r="AX309" s="2" t="str">
        <f>IF(Registered!AI309=0,"",Registered!AI309&amp;" BG")</f>
        <v/>
      </c>
      <c r="AY309" s="2" t="str">
        <f>IF(Registered!AG309=0,"",Registered!AG309&amp;" DustMask")</f>
        <v>1 DustMask</v>
      </c>
    </row>
    <row r="310" spans="1:51" customFormat="1" x14ac:dyDescent="0.25">
      <c r="A310" t="s">
        <v>508</v>
      </c>
      <c r="B310" t="s">
        <v>101</v>
      </c>
      <c r="C310" t="s">
        <v>6090</v>
      </c>
      <c r="D310" t="s">
        <v>508</v>
      </c>
      <c r="E310" t="s">
        <v>450</v>
      </c>
      <c r="F310" t="s">
        <v>261</v>
      </c>
      <c r="I310" t="s">
        <v>2789</v>
      </c>
      <c r="J310" t="s">
        <v>37</v>
      </c>
      <c r="K310" t="s">
        <v>32</v>
      </c>
      <c r="L310" t="s">
        <v>35</v>
      </c>
      <c r="Q310">
        <v>1</v>
      </c>
      <c r="R310">
        <v>3</v>
      </c>
      <c r="AC310">
        <v>1</v>
      </c>
      <c r="AD310">
        <v>10</v>
      </c>
      <c r="AO310">
        <v>1</v>
      </c>
      <c r="AP310">
        <v>10</v>
      </c>
      <c r="AQ310">
        <v>23</v>
      </c>
      <c r="AR310" s="3">
        <f t="shared" si="12"/>
        <v>5</v>
      </c>
      <c r="AS310" s="3">
        <f t="shared" si="13"/>
        <v>1</v>
      </c>
      <c r="AT310" s="3" t="str">
        <f>IF(OR(Registered!AM310&gt;0,Registered!AO310&gt;0),(IF(Registered!E310=0,"Size Not Specified",Registered!E310)),"")</f>
        <v>XXL</v>
      </c>
      <c r="AU310" s="3" t="str">
        <f>IF(Registered!AE310=0,"",IF(Registered!AE310=1,Registered!AE310&amp;" Bandana",Registered!AE310&amp;" Bandanas"))</f>
        <v/>
      </c>
      <c r="AV310" s="3">
        <f t="shared" si="14"/>
        <v>0</v>
      </c>
      <c r="AW310" s="2" t="str">
        <f>IF(Registered!AV310=0,"",IF(Registered!AV310=1,Registered!AV310&amp;" Meal",Registered!AV310&amp;" Meals"))</f>
        <v/>
      </c>
      <c r="AX310" s="2" t="str">
        <f>IF(Registered!AI310=0,"",Registered!AI310&amp;" BG")</f>
        <v/>
      </c>
      <c r="AY310" s="2" t="str">
        <f>IF(Registered!AG310=0,"",Registered!AG310&amp;" DustMask")</f>
        <v/>
      </c>
    </row>
    <row r="311" spans="1:51" customFormat="1" x14ac:dyDescent="0.25">
      <c r="A311" t="s">
        <v>188</v>
      </c>
      <c r="B311" t="s">
        <v>101</v>
      </c>
      <c r="C311" t="s">
        <v>6090</v>
      </c>
      <c r="D311" t="s">
        <v>3870</v>
      </c>
      <c r="F311" t="s">
        <v>261</v>
      </c>
      <c r="I311" t="s">
        <v>3715</v>
      </c>
      <c r="J311" t="s">
        <v>37</v>
      </c>
      <c r="K311" t="s">
        <v>32</v>
      </c>
      <c r="L311" t="s">
        <v>35</v>
      </c>
      <c r="Q311">
        <v>3</v>
      </c>
      <c r="R311">
        <v>3</v>
      </c>
      <c r="AC311">
        <v>1</v>
      </c>
      <c r="AD311">
        <v>10</v>
      </c>
      <c r="AQ311">
        <v>19</v>
      </c>
      <c r="AR311" s="3">
        <f t="shared" si="12"/>
        <v>5</v>
      </c>
      <c r="AS311" s="3">
        <f t="shared" si="13"/>
        <v>0</v>
      </c>
      <c r="AT311" s="3" t="str">
        <f>IF(OR(Registered!AM311&gt;0,Registered!AO311&gt;0),(IF(Registered!E311=0,"Size Not Specified",Registered!E311)),"")</f>
        <v/>
      </c>
      <c r="AU311" s="3" t="str">
        <f>IF(Registered!AE311=0,"",IF(Registered!AE311=1,Registered!AE311&amp;" Bandana",Registered!AE311&amp;" Bandanas"))</f>
        <v/>
      </c>
      <c r="AV311" s="3">
        <f t="shared" si="14"/>
        <v>0</v>
      </c>
      <c r="AW311" s="2" t="str">
        <f>IF(Registered!AV311=0,"",IF(Registered!AV311=1,Registered!AV311&amp;" Meal",Registered!AV311&amp;" Meals"))</f>
        <v/>
      </c>
      <c r="AX311" s="2" t="str">
        <f>IF(Registered!AI311=0,"",Registered!AI311&amp;" BG")</f>
        <v/>
      </c>
      <c r="AY311" s="2" t="str">
        <f>IF(Registered!AG311=0,"",Registered!AG311&amp;" DustMask")</f>
        <v/>
      </c>
    </row>
    <row r="312" spans="1:51" customFormat="1" x14ac:dyDescent="0.25">
      <c r="A312" t="s">
        <v>1818</v>
      </c>
      <c r="B312" t="s">
        <v>101</v>
      </c>
      <c r="C312" t="s">
        <v>6090</v>
      </c>
      <c r="G312" t="s">
        <v>3871</v>
      </c>
      <c r="H312" t="s">
        <v>3872</v>
      </c>
      <c r="I312" t="s">
        <v>3873</v>
      </c>
      <c r="J312" t="s">
        <v>37</v>
      </c>
      <c r="K312" t="s">
        <v>32</v>
      </c>
      <c r="L312" t="s">
        <v>35</v>
      </c>
      <c r="AQ312">
        <v>0</v>
      </c>
      <c r="AR312" s="3">
        <f t="shared" si="12"/>
        <v>0</v>
      </c>
      <c r="AS312" s="3">
        <f t="shared" si="13"/>
        <v>0</v>
      </c>
      <c r="AT312" s="3" t="str">
        <f>IF(OR(Registered!AM312&gt;0,Registered!AO312&gt;0),(IF(Registered!E312=0,"Size Not Specified",Registered!E312)),"")</f>
        <v/>
      </c>
      <c r="AU312" s="3" t="str">
        <f>IF(Registered!AE312=0,"",IF(Registered!AE312=1,Registered!AE312&amp;" Bandana",Registered!AE312&amp;" Bandanas"))</f>
        <v/>
      </c>
      <c r="AV312" s="3">
        <f t="shared" si="14"/>
        <v>0</v>
      </c>
      <c r="AW312" s="2" t="str">
        <f>IF(Registered!AV312=0,"",IF(Registered!AV312=1,Registered!AV312&amp;" Meal",Registered!AV312&amp;" Meals"))</f>
        <v/>
      </c>
      <c r="AX312" s="2" t="str">
        <f>IF(Registered!AI312=0,"",Registered!AI312&amp;" BG")</f>
        <v/>
      </c>
      <c r="AY312" s="2" t="str">
        <f>IF(Registered!AG312=0,"",Registered!AG312&amp;" DustMask")</f>
        <v/>
      </c>
    </row>
    <row r="313" spans="1:51" customFormat="1" x14ac:dyDescent="0.25">
      <c r="A313" t="s">
        <v>2338</v>
      </c>
      <c r="B313" t="s">
        <v>101</v>
      </c>
      <c r="C313" t="s">
        <v>6090</v>
      </c>
      <c r="G313" t="s">
        <v>148</v>
      </c>
      <c r="H313" t="s">
        <v>1176</v>
      </c>
      <c r="I313" t="s">
        <v>3874</v>
      </c>
      <c r="J313" t="s">
        <v>37</v>
      </c>
      <c r="K313" t="s">
        <v>32</v>
      </c>
      <c r="L313" t="s">
        <v>35</v>
      </c>
      <c r="AQ313">
        <v>0</v>
      </c>
      <c r="AR313" s="3">
        <f t="shared" si="12"/>
        <v>0</v>
      </c>
      <c r="AS313" s="3">
        <f t="shared" si="13"/>
        <v>0</v>
      </c>
      <c r="AT313" s="3" t="str">
        <f>IF(OR(Registered!AM313&gt;0,Registered!AO313&gt;0),(IF(Registered!E313=0,"Size Not Specified",Registered!E313)),"")</f>
        <v/>
      </c>
      <c r="AU313" s="3" t="str">
        <f>IF(Registered!AE313=0,"",IF(Registered!AE313=1,Registered!AE313&amp;" Bandana",Registered!AE313&amp;" Bandanas"))</f>
        <v/>
      </c>
      <c r="AV313" s="3">
        <f t="shared" si="14"/>
        <v>0</v>
      </c>
      <c r="AW313" s="2" t="str">
        <f>IF(Registered!AV313=0,"",IF(Registered!AV313=1,Registered!AV313&amp;" Meal",Registered!AV313&amp;" Meals"))</f>
        <v/>
      </c>
      <c r="AX313" s="2" t="str">
        <f>IF(Registered!AI313=0,"",Registered!AI313&amp;" BG")</f>
        <v/>
      </c>
      <c r="AY313" s="2" t="str">
        <f>IF(Registered!AG313=0,"",Registered!AG313&amp;" DustMask")</f>
        <v/>
      </c>
    </row>
    <row r="314" spans="1:51" customFormat="1" x14ac:dyDescent="0.25">
      <c r="A314" t="s">
        <v>299</v>
      </c>
      <c r="B314" t="s">
        <v>101</v>
      </c>
      <c r="C314" t="s">
        <v>6090</v>
      </c>
      <c r="G314" t="s">
        <v>188</v>
      </c>
      <c r="H314" t="s">
        <v>408</v>
      </c>
      <c r="I314" t="s">
        <v>897</v>
      </c>
      <c r="J314" t="s">
        <v>37</v>
      </c>
      <c r="K314" t="s">
        <v>32</v>
      </c>
      <c r="L314" t="s">
        <v>35</v>
      </c>
      <c r="AQ314">
        <v>0</v>
      </c>
      <c r="AR314" s="3">
        <f t="shared" si="12"/>
        <v>0</v>
      </c>
      <c r="AS314" s="3">
        <f t="shared" si="13"/>
        <v>0</v>
      </c>
      <c r="AT314" s="3" t="str">
        <f>IF(OR(Registered!AM314&gt;0,Registered!AO314&gt;0),(IF(Registered!E314=0,"Size Not Specified",Registered!E314)),"")</f>
        <v/>
      </c>
      <c r="AU314" s="3" t="str">
        <f>IF(Registered!AE314=0,"",IF(Registered!AE314=1,Registered!AE314&amp;" Bandana",Registered!AE314&amp;" Bandanas"))</f>
        <v/>
      </c>
      <c r="AV314" s="3">
        <f t="shared" si="14"/>
        <v>0</v>
      </c>
      <c r="AW314" s="2" t="str">
        <f>IF(Registered!AV314=0,"",IF(Registered!AV314=1,Registered!AV314&amp;" Meal",Registered!AV314&amp;" Meals"))</f>
        <v/>
      </c>
      <c r="AX314" s="2" t="str">
        <f>IF(Registered!AI314=0,"",Registered!AI314&amp;" BG")</f>
        <v/>
      </c>
      <c r="AY314" s="2" t="str">
        <f>IF(Registered!AG314=0,"",Registered!AG314&amp;" DustMask")</f>
        <v/>
      </c>
    </row>
    <row r="315" spans="1:51" customFormat="1" x14ac:dyDescent="0.25">
      <c r="A315" t="s">
        <v>3721</v>
      </c>
      <c r="B315" t="s">
        <v>101</v>
      </c>
      <c r="C315" t="s">
        <v>6090</v>
      </c>
      <c r="D315" t="s">
        <v>3875</v>
      </c>
      <c r="F315" t="s">
        <v>261</v>
      </c>
      <c r="I315" t="s">
        <v>3722</v>
      </c>
      <c r="J315" t="s">
        <v>37</v>
      </c>
      <c r="K315" t="s">
        <v>32</v>
      </c>
      <c r="L315" t="s">
        <v>35</v>
      </c>
      <c r="Q315">
        <v>3</v>
      </c>
      <c r="R315">
        <v>3</v>
      </c>
      <c r="AC315">
        <v>1</v>
      </c>
      <c r="AD315">
        <v>10</v>
      </c>
      <c r="AQ315">
        <v>19</v>
      </c>
      <c r="AR315" s="3">
        <f t="shared" si="12"/>
        <v>5</v>
      </c>
      <c r="AS315" s="3">
        <f t="shared" si="13"/>
        <v>0</v>
      </c>
      <c r="AT315" s="3" t="str">
        <f>IF(OR(Registered!AM315&gt;0,Registered!AO315&gt;0),(IF(Registered!E315=0,"Size Not Specified",Registered!E315)),"")</f>
        <v/>
      </c>
      <c r="AU315" s="3" t="str">
        <f>IF(Registered!AE315=0,"",IF(Registered!AE315=1,Registered!AE315&amp;" Bandana",Registered!AE315&amp;" Bandanas"))</f>
        <v/>
      </c>
      <c r="AV315" s="3">
        <f t="shared" si="14"/>
        <v>0</v>
      </c>
      <c r="AW315" s="2" t="str">
        <f>IF(Registered!AV315=0,"",IF(Registered!AV315=1,Registered!AV315&amp;" Meal",Registered!AV315&amp;" Meals"))</f>
        <v/>
      </c>
      <c r="AX315" s="2" t="str">
        <f>IF(Registered!AI315=0,"",Registered!AI315&amp;" BG")</f>
        <v/>
      </c>
      <c r="AY315" s="2" t="str">
        <f>IF(Registered!AG315=0,"",Registered!AG315&amp;" DustMask")</f>
        <v/>
      </c>
    </row>
    <row r="316" spans="1:51" customFormat="1" x14ac:dyDescent="0.25">
      <c r="A316" t="s">
        <v>3876</v>
      </c>
      <c r="B316" t="s">
        <v>101</v>
      </c>
      <c r="C316" t="s">
        <v>6090</v>
      </c>
      <c r="G316" t="s">
        <v>199</v>
      </c>
      <c r="H316" t="s">
        <v>3877</v>
      </c>
      <c r="I316" t="s">
        <v>3878</v>
      </c>
      <c r="J316" t="s">
        <v>37</v>
      </c>
      <c r="K316" t="s">
        <v>32</v>
      </c>
      <c r="L316" t="s">
        <v>35</v>
      </c>
      <c r="AQ316">
        <v>0</v>
      </c>
      <c r="AR316" s="3">
        <f t="shared" si="12"/>
        <v>0</v>
      </c>
      <c r="AS316" s="3">
        <f t="shared" si="13"/>
        <v>0</v>
      </c>
      <c r="AT316" s="3" t="str">
        <f>IF(OR(Registered!AM316&gt;0,Registered!AO316&gt;0),(IF(Registered!E316=0,"Size Not Specified",Registered!E316)),"")</f>
        <v/>
      </c>
      <c r="AU316" s="3" t="str">
        <f>IF(Registered!AE316=0,"",IF(Registered!AE316=1,Registered!AE316&amp;" Bandana",Registered!AE316&amp;" Bandanas"))</f>
        <v/>
      </c>
      <c r="AV316" s="3">
        <f t="shared" si="14"/>
        <v>0</v>
      </c>
      <c r="AW316" s="2" t="str">
        <f>IF(Registered!AV316=0,"",IF(Registered!AV316=1,Registered!AV316&amp;" Meal",Registered!AV316&amp;" Meals"))</f>
        <v/>
      </c>
      <c r="AX316" s="2" t="str">
        <f>IF(Registered!AI316=0,"",Registered!AI316&amp;" BG")</f>
        <v/>
      </c>
      <c r="AY316" s="2" t="str">
        <f>IF(Registered!AG316=0,"",Registered!AG316&amp;" DustMask")</f>
        <v/>
      </c>
    </row>
    <row r="317" spans="1:51" customFormat="1" x14ac:dyDescent="0.25">
      <c r="A317" t="s">
        <v>415</v>
      </c>
      <c r="B317" t="s">
        <v>101</v>
      </c>
      <c r="C317" t="s">
        <v>6090</v>
      </c>
      <c r="G317" t="s">
        <v>140</v>
      </c>
      <c r="H317" t="s">
        <v>898</v>
      </c>
      <c r="I317" t="s">
        <v>899</v>
      </c>
      <c r="J317" t="s">
        <v>37</v>
      </c>
      <c r="K317" t="s">
        <v>32</v>
      </c>
      <c r="L317" t="s">
        <v>35</v>
      </c>
      <c r="AQ317">
        <v>0</v>
      </c>
      <c r="AR317" s="3">
        <f t="shared" si="12"/>
        <v>0</v>
      </c>
      <c r="AS317" s="3">
        <f t="shared" si="13"/>
        <v>0</v>
      </c>
      <c r="AT317" s="3" t="str">
        <f>IF(OR(Registered!AM317&gt;0,Registered!AO317&gt;0),(IF(Registered!E317=0,"Size Not Specified",Registered!E317)),"")</f>
        <v/>
      </c>
      <c r="AU317" s="3" t="str">
        <f>IF(Registered!AE317=0,"",IF(Registered!AE317=1,Registered!AE317&amp;" Bandana",Registered!AE317&amp;" Bandanas"))</f>
        <v/>
      </c>
      <c r="AV317" s="3">
        <f t="shared" si="14"/>
        <v>0</v>
      </c>
      <c r="AW317" s="2" t="str">
        <f>IF(Registered!AV317=0,"",IF(Registered!AV317=1,Registered!AV317&amp;" Meal",Registered!AV317&amp;" Meals"))</f>
        <v/>
      </c>
      <c r="AX317" s="2" t="str">
        <f>IF(Registered!AI317=0,"",Registered!AI317&amp;" BG")</f>
        <v/>
      </c>
      <c r="AY317" s="2" t="str">
        <f>IF(Registered!AG317=0,"",Registered!AG317&amp;" DustMask")</f>
        <v/>
      </c>
    </row>
    <row r="318" spans="1:51" customFormat="1" x14ac:dyDescent="0.25">
      <c r="A318" t="s">
        <v>56</v>
      </c>
      <c r="B318" t="s">
        <v>101</v>
      </c>
      <c r="C318" t="s">
        <v>6090</v>
      </c>
      <c r="D318" t="s">
        <v>900</v>
      </c>
      <c r="F318" t="s">
        <v>261</v>
      </c>
      <c r="I318" t="s">
        <v>613</v>
      </c>
      <c r="J318" t="s">
        <v>37</v>
      </c>
      <c r="K318" t="s">
        <v>32</v>
      </c>
      <c r="L318" t="s">
        <v>35</v>
      </c>
      <c r="S318">
        <v>4</v>
      </c>
      <c r="T318">
        <v>3</v>
      </c>
      <c r="W318">
        <v>1</v>
      </c>
      <c r="X318">
        <v>40</v>
      </c>
      <c r="AQ318">
        <v>52</v>
      </c>
      <c r="AR318" s="3">
        <f t="shared" si="12"/>
        <v>20</v>
      </c>
      <c r="AS318" s="3">
        <f t="shared" si="13"/>
        <v>0</v>
      </c>
      <c r="AT318" s="3" t="str">
        <f>IF(OR(Registered!AM318&gt;0,Registered!AO318&gt;0),(IF(Registered!E318=0,"Size Not Specified",Registered!E318)),"")</f>
        <v/>
      </c>
      <c r="AU318" s="3" t="str">
        <f>IF(Registered!AE318=0,"",IF(Registered!AE318=1,Registered!AE318&amp;" Bandana",Registered!AE318&amp;" Bandanas"))</f>
        <v/>
      </c>
      <c r="AV318" s="3">
        <f t="shared" si="14"/>
        <v>0</v>
      </c>
      <c r="AW318" s="2" t="str">
        <f>IF(Registered!AV318=0,"",IF(Registered!AV318=1,Registered!AV318&amp;" Meal",Registered!AV318&amp;" Meals"))</f>
        <v/>
      </c>
      <c r="AX318" s="2" t="str">
        <f>IF(Registered!AI318=0,"",Registered!AI318&amp;" BG")</f>
        <v/>
      </c>
      <c r="AY318" s="2" t="str">
        <f>IF(Registered!AG318=0,"",Registered!AG318&amp;" DustMask")</f>
        <v/>
      </c>
    </row>
    <row r="319" spans="1:51" customFormat="1" x14ac:dyDescent="0.25">
      <c r="A319" t="s">
        <v>143</v>
      </c>
      <c r="B319" t="s">
        <v>101</v>
      </c>
      <c r="C319" t="s">
        <v>6090</v>
      </c>
      <c r="D319" t="s">
        <v>2792</v>
      </c>
      <c r="F319" t="s">
        <v>261</v>
      </c>
      <c r="I319" t="s">
        <v>2793</v>
      </c>
      <c r="J319" t="s">
        <v>37</v>
      </c>
      <c r="K319" t="s">
        <v>32</v>
      </c>
      <c r="L319" t="s">
        <v>35</v>
      </c>
      <c r="Q319">
        <v>2</v>
      </c>
      <c r="R319">
        <v>3</v>
      </c>
      <c r="U319">
        <v>1</v>
      </c>
      <c r="V319">
        <v>20</v>
      </c>
      <c r="AG319">
        <v>1</v>
      </c>
      <c r="AH319">
        <v>1</v>
      </c>
      <c r="AQ319">
        <v>27</v>
      </c>
      <c r="AR319" s="3">
        <f t="shared" si="12"/>
        <v>10</v>
      </c>
      <c r="AS319" s="3">
        <f t="shared" si="13"/>
        <v>0</v>
      </c>
      <c r="AT319" s="3" t="str">
        <f>IF(OR(Registered!AM319&gt;0,Registered!AO319&gt;0),(IF(Registered!E319=0,"Size Not Specified",Registered!E319)),"")</f>
        <v/>
      </c>
      <c r="AU319" s="3" t="str">
        <f>IF(Registered!AE319=0,"",IF(Registered!AE319=1,Registered!AE319&amp;" Bandana",Registered!AE319&amp;" Bandanas"))</f>
        <v/>
      </c>
      <c r="AV319" s="3">
        <f t="shared" si="14"/>
        <v>0</v>
      </c>
      <c r="AW319" s="2" t="str">
        <f>IF(Registered!AV319=0,"",IF(Registered!AV319=1,Registered!AV319&amp;" Meal",Registered!AV319&amp;" Meals"))</f>
        <v/>
      </c>
      <c r="AX319" s="2" t="str">
        <f>IF(Registered!AI319=0,"",Registered!AI319&amp;" BG")</f>
        <v/>
      </c>
      <c r="AY319" s="2" t="str">
        <f>IF(Registered!AG319=0,"",Registered!AG319&amp;" DustMask")</f>
        <v>1 DustMask</v>
      </c>
    </row>
    <row r="320" spans="1:51" customFormat="1" x14ac:dyDescent="0.25">
      <c r="A320" t="s">
        <v>901</v>
      </c>
      <c r="B320" t="s">
        <v>101</v>
      </c>
      <c r="C320" t="s">
        <v>6090</v>
      </c>
      <c r="D320" t="s">
        <v>902</v>
      </c>
      <c r="E320" t="s">
        <v>903</v>
      </c>
      <c r="F320" t="s">
        <v>261</v>
      </c>
      <c r="I320" t="s">
        <v>904</v>
      </c>
      <c r="J320" t="s">
        <v>37</v>
      </c>
      <c r="K320" t="s">
        <v>32</v>
      </c>
      <c r="L320" t="s">
        <v>35</v>
      </c>
      <c r="S320">
        <v>4</v>
      </c>
      <c r="T320">
        <v>3</v>
      </c>
      <c r="AM320">
        <v>4</v>
      </c>
      <c r="AN320">
        <v>25</v>
      </c>
      <c r="AQ320">
        <v>112</v>
      </c>
      <c r="AR320" s="3">
        <f t="shared" si="12"/>
        <v>20</v>
      </c>
      <c r="AS320" s="3">
        <f t="shared" si="13"/>
        <v>4</v>
      </c>
      <c r="AT320" s="3" t="str">
        <f>IF(OR(Registered!AM320&gt;0,Registered!AO320&gt;0),(IF(Registered!E320=0,"Size Not Specified",Registered!E320)),"")</f>
        <v>All adult medium</v>
      </c>
      <c r="AU320" s="3" t="str">
        <f>IF(Registered!AE320=0,"",IF(Registered!AE320=1,Registered!AE320&amp;" Bandana",Registered!AE320&amp;" Bandanas"))</f>
        <v/>
      </c>
      <c r="AV320" s="3">
        <f t="shared" si="14"/>
        <v>4</v>
      </c>
      <c r="AW320" s="2" t="str">
        <f>IF(Registered!AV320=0,"",IF(Registered!AV320=1,Registered!AV320&amp;" Meal",Registered!AV320&amp;" Meals"))</f>
        <v>4 Meals</v>
      </c>
      <c r="AX320" s="2" t="str">
        <f>IF(Registered!AI320=0,"",Registered!AI320&amp;" BG")</f>
        <v/>
      </c>
      <c r="AY320" s="2" t="str">
        <f>IF(Registered!AG320=0,"",Registered!AG320&amp;" DustMask")</f>
        <v/>
      </c>
    </row>
    <row r="321" spans="1:51" customFormat="1" x14ac:dyDescent="0.25">
      <c r="A321" t="s">
        <v>85</v>
      </c>
      <c r="B321" t="s">
        <v>101</v>
      </c>
      <c r="C321" t="s">
        <v>6090</v>
      </c>
      <c r="D321" t="s">
        <v>3879</v>
      </c>
      <c r="E321" t="s">
        <v>76</v>
      </c>
      <c r="F321" t="s">
        <v>261</v>
      </c>
      <c r="I321" t="s">
        <v>3880</v>
      </c>
      <c r="J321" t="s">
        <v>37</v>
      </c>
      <c r="K321" t="s">
        <v>32</v>
      </c>
      <c r="L321" t="s">
        <v>35</v>
      </c>
      <c r="Q321">
        <v>1</v>
      </c>
      <c r="R321">
        <v>3</v>
      </c>
      <c r="AG321">
        <v>1</v>
      </c>
      <c r="AH321">
        <v>1</v>
      </c>
      <c r="AM321">
        <v>1</v>
      </c>
      <c r="AN321">
        <v>25</v>
      </c>
      <c r="AQ321">
        <v>29</v>
      </c>
      <c r="AR321" s="3">
        <f t="shared" si="12"/>
        <v>5</v>
      </c>
      <c r="AS321" s="3">
        <f t="shared" si="13"/>
        <v>1</v>
      </c>
      <c r="AT321" s="3" t="str">
        <f>IF(OR(Registered!AM321&gt;0,Registered!AO321&gt;0),(IF(Registered!E321=0,"Size Not Specified",Registered!E321)),"")</f>
        <v>L</v>
      </c>
      <c r="AU321" s="3" t="str">
        <f>IF(Registered!AE321=0,"",IF(Registered!AE321=1,Registered!AE321&amp;" Bandana",Registered!AE321&amp;" Bandanas"))</f>
        <v/>
      </c>
      <c r="AV321" s="3">
        <f t="shared" si="14"/>
        <v>1</v>
      </c>
      <c r="AW321" s="2" t="str">
        <f>IF(Registered!AV321=0,"",IF(Registered!AV321=1,Registered!AV321&amp;" Meal",Registered!AV321&amp;" Meals"))</f>
        <v>1 Meal</v>
      </c>
      <c r="AX321" s="2" t="str">
        <f>IF(Registered!AI321=0,"",Registered!AI321&amp;" BG")</f>
        <v/>
      </c>
      <c r="AY321" s="2" t="str">
        <f>IF(Registered!AG321=0,"",Registered!AG321&amp;" DustMask")</f>
        <v>1 DustMask</v>
      </c>
    </row>
    <row r="322" spans="1:51" customFormat="1" x14ac:dyDescent="0.25">
      <c r="A322" t="s">
        <v>2794</v>
      </c>
      <c r="B322" t="s">
        <v>2795</v>
      </c>
      <c r="C322" t="s">
        <v>6090</v>
      </c>
      <c r="D322" t="s">
        <v>2796</v>
      </c>
      <c r="E322" t="s">
        <v>2797</v>
      </c>
      <c r="F322" t="s">
        <v>261</v>
      </c>
      <c r="I322" t="s">
        <v>2798</v>
      </c>
      <c r="J322" t="s">
        <v>37</v>
      </c>
      <c r="K322" t="s">
        <v>32</v>
      </c>
      <c r="L322" t="s">
        <v>35</v>
      </c>
      <c r="Q322">
        <v>1</v>
      </c>
      <c r="R322">
        <v>3</v>
      </c>
      <c r="AC322">
        <v>1</v>
      </c>
      <c r="AD322">
        <v>10</v>
      </c>
      <c r="AQ322">
        <v>13</v>
      </c>
      <c r="AR322" s="3">
        <f t="shared" ref="AR322:AR385" si="15">IF(ISTEXT(AM322)=TRUE,"",SUM(U322*10,W322*20,Y322*30,AA322*40,AC322*5,AM322*5))</f>
        <v>5</v>
      </c>
      <c r="AS322" s="3">
        <f t="shared" ref="AS322:AS385" si="16">IF(ISTEXT(AM322)=TRUE,"",SUM(AM322,AO322))</f>
        <v>0</v>
      </c>
      <c r="AT322" s="3" t="str">
        <f>IF(OR(Registered!AM322&gt;0,Registered!AO322&gt;0),(IF(Registered!E322=0,"Size Not Specified",Registered!E322)),"")</f>
        <v/>
      </c>
      <c r="AU322" s="3" t="str">
        <f>IF(Registered!AE322=0,"",IF(Registered!AE322=1,Registered!AE322&amp;" Bandana",Registered!AE322&amp;" Bandanas"))</f>
        <v/>
      </c>
      <c r="AV322" s="3">
        <f t="shared" ref="AV322:AV385" si="17">IF(ISTEXT(AM322)=TRUE,"",SUM(AM322,AK322))</f>
        <v>0</v>
      </c>
      <c r="AW322" s="2" t="str">
        <f>IF(Registered!AV322=0,"",IF(Registered!AV322=1,Registered!AV322&amp;" Meal",Registered!AV322&amp;" Meals"))</f>
        <v/>
      </c>
      <c r="AX322" s="2" t="str">
        <f>IF(Registered!AI322=0,"",Registered!AI322&amp;" BG")</f>
        <v/>
      </c>
      <c r="AY322" s="2" t="str">
        <f>IF(Registered!AG322=0,"",Registered!AG322&amp;" DustMask")</f>
        <v/>
      </c>
    </row>
    <row r="323" spans="1:51" customFormat="1" x14ac:dyDescent="0.25">
      <c r="A323" t="s">
        <v>163</v>
      </c>
      <c r="B323" t="s">
        <v>2799</v>
      </c>
      <c r="C323" t="s">
        <v>6090</v>
      </c>
      <c r="G323" t="s">
        <v>105</v>
      </c>
      <c r="H323" t="s">
        <v>2770</v>
      </c>
      <c r="I323" t="s">
        <v>2772</v>
      </c>
      <c r="J323" t="s">
        <v>37</v>
      </c>
      <c r="K323" t="s">
        <v>32</v>
      </c>
      <c r="L323" t="s">
        <v>35</v>
      </c>
      <c r="AQ323">
        <v>0</v>
      </c>
      <c r="AR323" s="3">
        <f t="shared" si="15"/>
        <v>0</v>
      </c>
      <c r="AS323" s="3">
        <f t="shared" si="16"/>
        <v>0</v>
      </c>
      <c r="AT323" s="3" t="str">
        <f>IF(OR(Registered!AM323&gt;0,Registered!AO323&gt;0),(IF(Registered!E323=0,"Size Not Specified",Registered!E323)),"")</f>
        <v/>
      </c>
      <c r="AU323" s="3" t="str">
        <f>IF(Registered!AE323=0,"",IF(Registered!AE323=1,Registered!AE323&amp;" Bandana",Registered!AE323&amp;" Bandanas"))</f>
        <v/>
      </c>
      <c r="AV323" s="3">
        <f t="shared" si="17"/>
        <v>0</v>
      </c>
      <c r="AW323" s="2" t="str">
        <f>IF(Registered!AV323=0,"",IF(Registered!AV323=1,Registered!AV323&amp;" Meal",Registered!AV323&amp;" Meals"))</f>
        <v/>
      </c>
      <c r="AX323" s="2" t="str">
        <f>IF(Registered!AI323=0,"",Registered!AI323&amp;" BG")</f>
        <v/>
      </c>
      <c r="AY323" s="2" t="str">
        <f>IF(Registered!AG323=0,"",Registered!AG323&amp;" DustMask")</f>
        <v/>
      </c>
    </row>
    <row r="324" spans="1:51" customFormat="1" x14ac:dyDescent="0.25">
      <c r="A324" t="s">
        <v>3881</v>
      </c>
      <c r="B324" t="s">
        <v>3882</v>
      </c>
      <c r="C324" t="s">
        <v>6090</v>
      </c>
      <c r="D324" t="s">
        <v>3883</v>
      </c>
      <c r="F324" t="s">
        <v>261</v>
      </c>
      <c r="I324" t="s">
        <v>3884</v>
      </c>
      <c r="J324" t="s">
        <v>37</v>
      </c>
      <c r="K324" t="s">
        <v>32</v>
      </c>
      <c r="L324" t="s">
        <v>35</v>
      </c>
      <c r="Q324">
        <v>2</v>
      </c>
      <c r="R324">
        <v>3</v>
      </c>
      <c r="AC324">
        <v>1</v>
      </c>
      <c r="AD324">
        <v>10</v>
      </c>
      <c r="AQ324">
        <v>16</v>
      </c>
      <c r="AR324" s="3">
        <f t="shared" si="15"/>
        <v>5</v>
      </c>
      <c r="AS324" s="3">
        <f t="shared" si="16"/>
        <v>0</v>
      </c>
      <c r="AT324" s="3" t="str">
        <f>IF(OR(Registered!AM324&gt;0,Registered!AO324&gt;0),(IF(Registered!E324=0,"Size Not Specified",Registered!E324)),"")</f>
        <v/>
      </c>
      <c r="AU324" s="3" t="str">
        <f>IF(Registered!AE324=0,"",IF(Registered!AE324=1,Registered!AE324&amp;" Bandana",Registered!AE324&amp;" Bandanas"))</f>
        <v/>
      </c>
      <c r="AV324" s="3">
        <f t="shared" si="17"/>
        <v>0</v>
      </c>
      <c r="AW324" s="2" t="str">
        <f>IF(Registered!AV324=0,"",IF(Registered!AV324=1,Registered!AV324&amp;" Meal",Registered!AV324&amp;" Meals"))</f>
        <v/>
      </c>
      <c r="AX324" s="2" t="str">
        <f>IF(Registered!AI324=0,"",Registered!AI324&amp;" BG")</f>
        <v/>
      </c>
      <c r="AY324" s="2" t="str">
        <f>IF(Registered!AG324=0,"",Registered!AG324&amp;" DustMask")</f>
        <v/>
      </c>
    </row>
    <row r="325" spans="1:51" customFormat="1" x14ac:dyDescent="0.25">
      <c r="A325" t="s">
        <v>3885</v>
      </c>
      <c r="B325" t="s">
        <v>3886</v>
      </c>
      <c r="C325" t="s">
        <v>6090</v>
      </c>
      <c r="G325" t="s">
        <v>111</v>
      </c>
      <c r="H325" t="s">
        <v>3886</v>
      </c>
      <c r="I325" t="s">
        <v>3887</v>
      </c>
      <c r="J325" t="s">
        <v>37</v>
      </c>
      <c r="K325" t="s">
        <v>32</v>
      </c>
      <c r="L325" t="s">
        <v>35</v>
      </c>
      <c r="AQ325">
        <v>0</v>
      </c>
      <c r="AR325" s="3">
        <f t="shared" si="15"/>
        <v>0</v>
      </c>
      <c r="AS325" s="3">
        <f t="shared" si="16"/>
        <v>0</v>
      </c>
      <c r="AT325" s="3" t="str">
        <f>IF(OR(Registered!AM325&gt;0,Registered!AO325&gt;0),(IF(Registered!E325=0,"Size Not Specified",Registered!E325)),"")</f>
        <v/>
      </c>
      <c r="AU325" s="3" t="str">
        <f>IF(Registered!AE325=0,"",IF(Registered!AE325=1,Registered!AE325&amp;" Bandana",Registered!AE325&amp;" Bandanas"))</f>
        <v/>
      </c>
      <c r="AV325" s="3">
        <f t="shared" si="17"/>
        <v>0</v>
      </c>
      <c r="AW325" s="2" t="str">
        <f>IF(Registered!AV325=0,"",IF(Registered!AV325=1,Registered!AV325&amp;" Meal",Registered!AV325&amp;" Meals"))</f>
        <v/>
      </c>
      <c r="AX325" s="2" t="str">
        <f>IF(Registered!AI325=0,"",Registered!AI325&amp;" BG")</f>
        <v/>
      </c>
      <c r="AY325" s="2" t="str">
        <f>IF(Registered!AG325=0,"",Registered!AG325&amp;" DustMask")</f>
        <v/>
      </c>
    </row>
    <row r="326" spans="1:51" customFormat="1" x14ac:dyDescent="0.25">
      <c r="A326" t="s">
        <v>188</v>
      </c>
      <c r="B326" t="s">
        <v>3886</v>
      </c>
      <c r="C326" t="s">
        <v>6090</v>
      </c>
      <c r="G326" t="s">
        <v>111</v>
      </c>
      <c r="H326" t="s">
        <v>3886</v>
      </c>
      <c r="I326" t="s">
        <v>3887</v>
      </c>
      <c r="J326" t="s">
        <v>37</v>
      </c>
      <c r="K326" t="s">
        <v>32</v>
      </c>
      <c r="L326" t="s">
        <v>35</v>
      </c>
      <c r="AQ326">
        <v>0</v>
      </c>
      <c r="AR326" s="3">
        <f t="shared" si="15"/>
        <v>0</v>
      </c>
      <c r="AS326" s="3">
        <f t="shared" si="16"/>
        <v>0</v>
      </c>
      <c r="AT326" s="3" t="str">
        <f>IF(OR(Registered!AM326&gt;0,Registered!AO326&gt;0),(IF(Registered!E326=0,"Size Not Specified",Registered!E326)),"")</f>
        <v/>
      </c>
      <c r="AU326" s="3" t="str">
        <f>IF(Registered!AE326=0,"",IF(Registered!AE326=1,Registered!AE326&amp;" Bandana",Registered!AE326&amp;" Bandanas"))</f>
        <v/>
      </c>
      <c r="AV326" s="3">
        <f t="shared" si="17"/>
        <v>0</v>
      </c>
      <c r="AW326" s="2" t="str">
        <f>IF(Registered!AV326=0,"",IF(Registered!AV326=1,Registered!AV326&amp;" Meal",Registered!AV326&amp;" Meals"))</f>
        <v/>
      </c>
      <c r="AX326" s="2" t="str">
        <f>IF(Registered!AI326=0,"",Registered!AI326&amp;" BG")</f>
        <v/>
      </c>
      <c r="AY326" s="2" t="str">
        <f>IF(Registered!AG326=0,"",Registered!AG326&amp;" DustMask")</f>
        <v/>
      </c>
    </row>
    <row r="327" spans="1:51" customFormat="1" x14ac:dyDescent="0.25">
      <c r="A327" t="s">
        <v>1040</v>
      </c>
      <c r="B327" t="s">
        <v>3886</v>
      </c>
      <c r="C327" t="s">
        <v>6090</v>
      </c>
      <c r="G327" t="s">
        <v>111</v>
      </c>
      <c r="H327" t="s">
        <v>3886</v>
      </c>
      <c r="I327" t="s">
        <v>3887</v>
      </c>
      <c r="J327" t="s">
        <v>37</v>
      </c>
      <c r="K327" t="s">
        <v>32</v>
      </c>
      <c r="L327" t="s">
        <v>35</v>
      </c>
      <c r="AQ327">
        <v>0</v>
      </c>
      <c r="AR327" s="3">
        <f t="shared" si="15"/>
        <v>0</v>
      </c>
      <c r="AS327" s="3">
        <f t="shared" si="16"/>
        <v>0</v>
      </c>
      <c r="AT327" s="3" t="str">
        <f>IF(OR(Registered!AM327&gt;0,Registered!AO327&gt;0),(IF(Registered!E327=0,"Size Not Specified",Registered!E327)),"")</f>
        <v/>
      </c>
      <c r="AU327" s="3" t="str">
        <f>IF(Registered!AE327=0,"",IF(Registered!AE327=1,Registered!AE327&amp;" Bandana",Registered!AE327&amp;" Bandanas"))</f>
        <v/>
      </c>
      <c r="AV327" s="3">
        <f t="shared" si="17"/>
        <v>0</v>
      </c>
      <c r="AW327" s="2" t="str">
        <f>IF(Registered!AV327=0,"",IF(Registered!AV327=1,Registered!AV327&amp;" Meal",Registered!AV327&amp;" Meals"))</f>
        <v/>
      </c>
      <c r="AX327" s="2" t="str">
        <f>IF(Registered!AI327=0,"",Registered!AI327&amp;" BG")</f>
        <v/>
      </c>
      <c r="AY327" s="2" t="str">
        <f>IF(Registered!AG327=0,"",Registered!AG327&amp;" DustMask")</f>
        <v/>
      </c>
    </row>
    <row r="328" spans="1:51" customFormat="1" x14ac:dyDescent="0.25">
      <c r="A328" t="s">
        <v>111</v>
      </c>
      <c r="B328" t="s">
        <v>3886</v>
      </c>
      <c r="C328" t="s">
        <v>6090</v>
      </c>
      <c r="D328" t="s">
        <v>3888</v>
      </c>
      <c r="F328" t="s">
        <v>261</v>
      </c>
      <c r="I328" t="s">
        <v>3887</v>
      </c>
      <c r="J328" t="s">
        <v>37</v>
      </c>
      <c r="K328" t="s">
        <v>32</v>
      </c>
      <c r="L328" t="s">
        <v>35</v>
      </c>
      <c r="Q328">
        <v>4</v>
      </c>
      <c r="R328">
        <v>3</v>
      </c>
      <c r="W328">
        <v>1</v>
      </c>
      <c r="X328">
        <v>40</v>
      </c>
      <c r="AG328">
        <v>2</v>
      </c>
      <c r="AH328">
        <v>1</v>
      </c>
      <c r="AQ328">
        <v>54</v>
      </c>
      <c r="AR328" s="3">
        <f t="shared" si="15"/>
        <v>20</v>
      </c>
      <c r="AS328" s="3">
        <f t="shared" si="16"/>
        <v>0</v>
      </c>
      <c r="AT328" s="3" t="str">
        <f>IF(OR(Registered!AM328&gt;0,Registered!AO328&gt;0),(IF(Registered!E328=0,"Size Not Specified",Registered!E328)),"")</f>
        <v/>
      </c>
      <c r="AU328" s="3" t="str">
        <f>IF(Registered!AE328=0,"",IF(Registered!AE328=1,Registered!AE328&amp;" Bandana",Registered!AE328&amp;" Bandanas"))</f>
        <v/>
      </c>
      <c r="AV328" s="3">
        <f t="shared" si="17"/>
        <v>0</v>
      </c>
      <c r="AW328" s="2" t="str">
        <f>IF(Registered!AV328=0,"",IF(Registered!AV328=1,Registered!AV328&amp;" Meal",Registered!AV328&amp;" Meals"))</f>
        <v/>
      </c>
      <c r="AX328" s="2" t="str">
        <f>IF(Registered!AI328=0,"",Registered!AI328&amp;" BG")</f>
        <v/>
      </c>
      <c r="AY328" s="2" t="str">
        <f>IF(Registered!AG328=0,"",Registered!AG328&amp;" DustMask")</f>
        <v>2 DustMask</v>
      </c>
    </row>
    <row r="329" spans="1:51" customFormat="1" x14ac:dyDescent="0.25">
      <c r="A329" t="s">
        <v>88</v>
      </c>
      <c r="B329" t="s">
        <v>3886</v>
      </c>
      <c r="C329" t="s">
        <v>6090</v>
      </c>
      <c r="D329" t="s">
        <v>88</v>
      </c>
      <c r="F329" t="s">
        <v>261</v>
      </c>
      <c r="I329" t="s">
        <v>3889</v>
      </c>
      <c r="J329" t="s">
        <v>37</v>
      </c>
      <c r="K329" t="s">
        <v>32</v>
      </c>
      <c r="L329" t="s">
        <v>35</v>
      </c>
      <c r="Q329">
        <v>1</v>
      </c>
      <c r="R329">
        <v>3</v>
      </c>
      <c r="AC329">
        <v>1</v>
      </c>
      <c r="AD329">
        <v>10</v>
      </c>
      <c r="AE329">
        <v>1</v>
      </c>
      <c r="AF329">
        <v>6</v>
      </c>
      <c r="AG329">
        <v>1</v>
      </c>
      <c r="AH329">
        <v>1</v>
      </c>
      <c r="AQ329">
        <v>20</v>
      </c>
      <c r="AR329" s="3">
        <f t="shared" si="15"/>
        <v>5</v>
      </c>
      <c r="AS329" s="3">
        <f t="shared" si="16"/>
        <v>0</v>
      </c>
      <c r="AT329" s="3" t="str">
        <f>IF(OR(Registered!AM329&gt;0,Registered!AO329&gt;0),(IF(Registered!E329=0,"Size Not Specified",Registered!E329)),"")</f>
        <v/>
      </c>
      <c r="AU329" s="3" t="str">
        <f>IF(Registered!AE329=0,"",IF(Registered!AE329=1,Registered!AE329&amp;" Bandana",Registered!AE329&amp;" Bandanas"))</f>
        <v>1 Bandana</v>
      </c>
      <c r="AV329" s="3">
        <f t="shared" si="17"/>
        <v>0</v>
      </c>
      <c r="AW329" s="2" t="str">
        <f>IF(Registered!AV329=0,"",IF(Registered!AV329=1,Registered!AV329&amp;" Meal",Registered!AV329&amp;" Meals"))</f>
        <v/>
      </c>
      <c r="AX329" s="2" t="str">
        <f>IF(Registered!AI329=0,"",Registered!AI329&amp;" BG")</f>
        <v/>
      </c>
      <c r="AY329" s="2" t="str">
        <f>IF(Registered!AG329=0,"",Registered!AG329&amp;" DustMask")</f>
        <v>1 DustMask</v>
      </c>
    </row>
    <row r="330" spans="1:51" customFormat="1" x14ac:dyDescent="0.25">
      <c r="A330" t="s">
        <v>3890</v>
      </c>
      <c r="B330" t="s">
        <v>3891</v>
      </c>
      <c r="C330" t="s">
        <v>6090</v>
      </c>
      <c r="D330" t="s">
        <v>3890</v>
      </c>
      <c r="F330" t="s">
        <v>261</v>
      </c>
      <c r="I330" t="s">
        <v>3892</v>
      </c>
      <c r="J330" t="s">
        <v>37</v>
      </c>
      <c r="K330" t="s">
        <v>32</v>
      </c>
      <c r="L330" t="s">
        <v>35</v>
      </c>
      <c r="Q330">
        <v>1</v>
      </c>
      <c r="R330">
        <v>3</v>
      </c>
      <c r="AC330">
        <v>1</v>
      </c>
      <c r="AD330">
        <v>10</v>
      </c>
      <c r="AQ330">
        <v>13</v>
      </c>
      <c r="AR330" s="3">
        <f t="shared" si="15"/>
        <v>5</v>
      </c>
      <c r="AS330" s="3">
        <f t="shared" si="16"/>
        <v>0</v>
      </c>
      <c r="AT330" s="3" t="str">
        <f>IF(OR(Registered!AM330&gt;0,Registered!AO330&gt;0),(IF(Registered!E330=0,"Size Not Specified",Registered!E330)),"")</f>
        <v/>
      </c>
      <c r="AU330" s="3" t="str">
        <f>IF(Registered!AE330=0,"",IF(Registered!AE330=1,Registered!AE330&amp;" Bandana",Registered!AE330&amp;" Bandanas"))</f>
        <v/>
      </c>
      <c r="AV330" s="3">
        <f t="shared" si="17"/>
        <v>0</v>
      </c>
      <c r="AW330" s="2" t="str">
        <f>IF(Registered!AV330=0,"",IF(Registered!AV330=1,Registered!AV330&amp;" Meal",Registered!AV330&amp;" Meals"))</f>
        <v/>
      </c>
      <c r="AX330" s="2" t="str">
        <f>IF(Registered!AI330=0,"",Registered!AI330&amp;" BG")</f>
        <v/>
      </c>
      <c r="AY330" s="2" t="str">
        <f>IF(Registered!AG330=0,"",Registered!AG330&amp;" DustMask")</f>
        <v/>
      </c>
    </row>
    <row r="331" spans="1:51" customFormat="1" x14ac:dyDescent="0.25">
      <c r="A331" t="s">
        <v>255</v>
      </c>
      <c r="B331" t="s">
        <v>905</v>
      </c>
      <c r="C331" t="s">
        <v>6090</v>
      </c>
      <c r="D331" t="s">
        <v>906</v>
      </c>
      <c r="F331" t="s">
        <v>907</v>
      </c>
      <c r="I331" t="s">
        <v>908</v>
      </c>
      <c r="J331" t="s">
        <v>37</v>
      </c>
      <c r="K331" t="s">
        <v>32</v>
      </c>
      <c r="L331" t="s">
        <v>35</v>
      </c>
      <c r="Q331">
        <v>2</v>
      </c>
      <c r="R331">
        <v>3</v>
      </c>
      <c r="U331">
        <v>1</v>
      </c>
      <c r="V331">
        <v>20</v>
      </c>
      <c r="AC331">
        <v>1</v>
      </c>
      <c r="AD331">
        <v>10</v>
      </c>
      <c r="AQ331">
        <v>36</v>
      </c>
      <c r="AR331" s="3">
        <f t="shared" si="15"/>
        <v>15</v>
      </c>
      <c r="AS331" s="3">
        <f t="shared" si="16"/>
        <v>0</v>
      </c>
      <c r="AT331" s="3" t="str">
        <f>IF(OR(Registered!AM331&gt;0,Registered!AO331&gt;0),(IF(Registered!E331=0,"Size Not Specified",Registered!E331)),"")</f>
        <v/>
      </c>
      <c r="AU331" s="3" t="str">
        <f>IF(Registered!AE331=0,"",IF(Registered!AE331=1,Registered!AE331&amp;" Bandana",Registered!AE331&amp;" Bandanas"))</f>
        <v/>
      </c>
      <c r="AV331" s="3">
        <f t="shared" si="17"/>
        <v>0</v>
      </c>
      <c r="AW331" s="2" t="str">
        <f>IF(Registered!AV331=0,"",IF(Registered!AV331=1,Registered!AV331&amp;" Meal",Registered!AV331&amp;" Meals"))</f>
        <v/>
      </c>
      <c r="AX331" s="2" t="str">
        <f>IF(Registered!AI331=0,"",Registered!AI331&amp;" BG")</f>
        <v/>
      </c>
      <c r="AY331" s="2" t="str">
        <f>IF(Registered!AG331=0,"",Registered!AG331&amp;" DustMask")</f>
        <v/>
      </c>
    </row>
    <row r="332" spans="1:51" customFormat="1" x14ac:dyDescent="0.25">
      <c r="A332" t="s">
        <v>263</v>
      </c>
      <c r="B332" t="s">
        <v>3893</v>
      </c>
      <c r="C332" t="s">
        <v>6090</v>
      </c>
      <c r="G332" t="s">
        <v>203</v>
      </c>
      <c r="H332" t="s">
        <v>933</v>
      </c>
      <c r="I332" t="s">
        <v>3894</v>
      </c>
      <c r="J332" t="s">
        <v>37</v>
      </c>
      <c r="K332" t="s">
        <v>32</v>
      </c>
      <c r="L332" t="s">
        <v>35</v>
      </c>
      <c r="AQ332">
        <v>0</v>
      </c>
      <c r="AR332" s="3">
        <f t="shared" si="15"/>
        <v>0</v>
      </c>
      <c r="AS332" s="3">
        <f t="shared" si="16"/>
        <v>0</v>
      </c>
      <c r="AT332" s="3" t="str">
        <f>IF(OR(Registered!AM332&gt;0,Registered!AO332&gt;0),(IF(Registered!E332=0,"Size Not Specified",Registered!E332)),"")</f>
        <v/>
      </c>
      <c r="AU332" s="3" t="str">
        <f>IF(Registered!AE332=0,"",IF(Registered!AE332=1,Registered!AE332&amp;" Bandana",Registered!AE332&amp;" Bandanas"))</f>
        <v/>
      </c>
      <c r="AV332" s="3">
        <f t="shared" si="17"/>
        <v>0</v>
      </c>
      <c r="AW332" s="2" t="str">
        <f>IF(Registered!AV332=0,"",IF(Registered!AV332=1,Registered!AV332&amp;" Meal",Registered!AV332&amp;" Meals"))</f>
        <v/>
      </c>
      <c r="AX332" s="2" t="str">
        <f>IF(Registered!AI332=0,"",Registered!AI332&amp;" BG")</f>
        <v/>
      </c>
      <c r="AY332" s="2" t="str">
        <f>IF(Registered!AG332=0,"",Registered!AG332&amp;" DustMask")</f>
        <v/>
      </c>
    </row>
    <row r="333" spans="1:51" customFormat="1" x14ac:dyDescent="0.25">
      <c r="A333" t="s">
        <v>3895</v>
      </c>
      <c r="B333" t="s">
        <v>3896</v>
      </c>
      <c r="C333" t="s">
        <v>6090</v>
      </c>
      <c r="G333" t="s">
        <v>2700</v>
      </c>
      <c r="H333" t="s">
        <v>3897</v>
      </c>
      <c r="I333" t="s">
        <v>3898</v>
      </c>
      <c r="J333" t="s">
        <v>37</v>
      </c>
      <c r="K333" t="s">
        <v>32</v>
      </c>
      <c r="L333" t="s">
        <v>35</v>
      </c>
      <c r="AQ333">
        <v>0</v>
      </c>
      <c r="AR333" s="3">
        <f t="shared" si="15"/>
        <v>0</v>
      </c>
      <c r="AS333" s="3">
        <f t="shared" si="16"/>
        <v>0</v>
      </c>
      <c r="AT333" s="3" t="str">
        <f>IF(OR(Registered!AM333&gt;0,Registered!AO333&gt;0),(IF(Registered!E333=0,"Size Not Specified",Registered!E333)),"")</f>
        <v/>
      </c>
      <c r="AU333" s="3" t="str">
        <f>IF(Registered!AE333=0,"",IF(Registered!AE333=1,Registered!AE333&amp;" Bandana",Registered!AE333&amp;" Bandanas"))</f>
        <v/>
      </c>
      <c r="AV333" s="3">
        <f t="shared" si="17"/>
        <v>0</v>
      </c>
      <c r="AW333" s="2" t="str">
        <f>IF(Registered!AV333=0,"",IF(Registered!AV333=1,Registered!AV333&amp;" Meal",Registered!AV333&amp;" Meals"))</f>
        <v/>
      </c>
      <c r="AX333" s="2" t="str">
        <f>IF(Registered!AI333=0,"",Registered!AI333&amp;" BG")</f>
        <v/>
      </c>
      <c r="AY333" s="2" t="str">
        <f>IF(Registered!AG333=0,"",Registered!AG333&amp;" DustMask")</f>
        <v/>
      </c>
    </row>
    <row r="334" spans="1:51" customFormat="1" x14ac:dyDescent="0.25">
      <c r="A334" t="s">
        <v>132</v>
      </c>
      <c r="B334" t="s">
        <v>3896</v>
      </c>
      <c r="C334" t="s">
        <v>6090</v>
      </c>
      <c r="G334" t="s">
        <v>737</v>
      </c>
      <c r="H334" t="s">
        <v>3899</v>
      </c>
      <c r="I334" t="s">
        <v>3900</v>
      </c>
      <c r="J334" t="s">
        <v>37</v>
      </c>
      <c r="K334" t="s">
        <v>32</v>
      </c>
      <c r="L334" t="s">
        <v>35</v>
      </c>
      <c r="AQ334">
        <v>0</v>
      </c>
      <c r="AR334" s="3">
        <f t="shared" si="15"/>
        <v>0</v>
      </c>
      <c r="AS334" s="3">
        <f t="shared" si="16"/>
        <v>0</v>
      </c>
      <c r="AT334" s="3" t="str">
        <f>IF(OR(Registered!AM334&gt;0,Registered!AO334&gt;0),(IF(Registered!E334=0,"Size Not Specified",Registered!E334)),"")</f>
        <v/>
      </c>
      <c r="AU334" s="3" t="str">
        <f>IF(Registered!AE334=0,"",IF(Registered!AE334=1,Registered!AE334&amp;" Bandana",Registered!AE334&amp;" Bandanas"))</f>
        <v/>
      </c>
      <c r="AV334" s="3">
        <f t="shared" si="17"/>
        <v>0</v>
      </c>
      <c r="AW334" s="2" t="str">
        <f>IF(Registered!AV334=0,"",IF(Registered!AV334=1,Registered!AV334&amp;" Meal",Registered!AV334&amp;" Meals"))</f>
        <v/>
      </c>
      <c r="AX334" s="2" t="str">
        <f>IF(Registered!AI334=0,"",Registered!AI334&amp;" BG")</f>
        <v/>
      </c>
      <c r="AY334" s="2" t="str">
        <f>IF(Registered!AG334=0,"",Registered!AG334&amp;" DustMask")</f>
        <v/>
      </c>
    </row>
    <row r="335" spans="1:51" customFormat="1" x14ac:dyDescent="0.25">
      <c r="A335" t="s">
        <v>3903</v>
      </c>
      <c r="B335" t="s">
        <v>3896</v>
      </c>
      <c r="C335" t="s">
        <v>6090</v>
      </c>
      <c r="G335" t="s">
        <v>2700</v>
      </c>
      <c r="H335" t="s">
        <v>3897</v>
      </c>
      <c r="I335" t="s">
        <v>3898</v>
      </c>
      <c r="J335" t="s">
        <v>37</v>
      </c>
      <c r="K335" t="s">
        <v>32</v>
      </c>
      <c r="L335" t="s">
        <v>35</v>
      </c>
      <c r="AQ335">
        <v>0</v>
      </c>
      <c r="AR335" s="3">
        <f t="shared" si="15"/>
        <v>0</v>
      </c>
      <c r="AS335" s="3">
        <f t="shared" si="16"/>
        <v>0</v>
      </c>
      <c r="AT335" s="3" t="str">
        <f>IF(OR(Registered!AM335&gt;0,Registered!AO335&gt;0),(IF(Registered!E335=0,"Size Not Specified",Registered!E335)),"")</f>
        <v/>
      </c>
      <c r="AU335" s="3" t="str">
        <f>IF(Registered!AE335=0,"",IF(Registered!AE335=1,Registered!AE335&amp;" Bandana",Registered!AE335&amp;" Bandanas"))</f>
        <v/>
      </c>
      <c r="AV335" s="3">
        <f t="shared" si="17"/>
        <v>0</v>
      </c>
      <c r="AW335" s="2" t="str">
        <f>IF(Registered!AV335=0,"",IF(Registered!AV335=1,Registered!AV335&amp;" Meal",Registered!AV335&amp;" Meals"))</f>
        <v/>
      </c>
      <c r="AX335" s="2" t="str">
        <f>IF(Registered!AI335=0,"",Registered!AI335&amp;" BG")</f>
        <v/>
      </c>
      <c r="AY335" s="2" t="str">
        <f>IF(Registered!AG335=0,"",Registered!AG335&amp;" DustMask")</f>
        <v/>
      </c>
    </row>
    <row r="336" spans="1:51" customFormat="1" x14ac:dyDescent="0.25">
      <c r="A336" t="s">
        <v>3904</v>
      </c>
      <c r="B336" t="s">
        <v>3896</v>
      </c>
      <c r="C336" t="s">
        <v>6090</v>
      </c>
      <c r="G336" t="s">
        <v>2700</v>
      </c>
      <c r="H336" t="s">
        <v>3897</v>
      </c>
      <c r="I336" t="s">
        <v>3898</v>
      </c>
      <c r="J336" t="s">
        <v>37</v>
      </c>
      <c r="K336" t="s">
        <v>32</v>
      </c>
      <c r="L336" t="s">
        <v>35</v>
      </c>
      <c r="AQ336">
        <v>0</v>
      </c>
      <c r="AR336" s="3">
        <f t="shared" si="15"/>
        <v>0</v>
      </c>
      <c r="AS336" s="3">
        <f t="shared" si="16"/>
        <v>0</v>
      </c>
      <c r="AT336" s="3" t="str">
        <f>IF(OR(Registered!AM336&gt;0,Registered!AO336&gt;0),(IF(Registered!E336=0,"Size Not Specified",Registered!E336)),"")</f>
        <v/>
      </c>
      <c r="AU336" s="3" t="str">
        <f>IF(Registered!AE336=0,"",IF(Registered!AE336=1,Registered!AE336&amp;" Bandana",Registered!AE336&amp;" Bandanas"))</f>
        <v/>
      </c>
      <c r="AV336" s="3">
        <f t="shared" si="17"/>
        <v>0</v>
      </c>
      <c r="AW336" s="2" t="str">
        <f>IF(Registered!AV336=0,"",IF(Registered!AV336=1,Registered!AV336&amp;" Meal",Registered!AV336&amp;" Meals"))</f>
        <v/>
      </c>
      <c r="AX336" s="2" t="str">
        <f>IF(Registered!AI336=0,"",Registered!AI336&amp;" BG")</f>
        <v/>
      </c>
      <c r="AY336" s="2" t="str">
        <f>IF(Registered!AG336=0,"",Registered!AG336&amp;" DustMask")</f>
        <v/>
      </c>
    </row>
    <row r="337" spans="1:51" customFormat="1" x14ac:dyDescent="0.25">
      <c r="A337" t="s">
        <v>909</v>
      </c>
      <c r="B337" t="s">
        <v>910</v>
      </c>
      <c r="C337" t="s">
        <v>6090</v>
      </c>
      <c r="D337" t="s">
        <v>911</v>
      </c>
      <c r="E337" t="s">
        <v>201</v>
      </c>
      <c r="F337" t="s">
        <v>261</v>
      </c>
      <c r="I337" t="s">
        <v>3905</v>
      </c>
      <c r="J337" t="s">
        <v>37</v>
      </c>
      <c r="K337" t="s">
        <v>32</v>
      </c>
      <c r="L337" t="s">
        <v>35</v>
      </c>
      <c r="Q337">
        <v>1</v>
      </c>
      <c r="R337">
        <v>3</v>
      </c>
      <c r="U337">
        <v>1</v>
      </c>
      <c r="V337">
        <v>20</v>
      </c>
      <c r="AQ337">
        <v>23</v>
      </c>
      <c r="AR337" s="3">
        <f t="shared" si="15"/>
        <v>10</v>
      </c>
      <c r="AS337" s="3">
        <f t="shared" si="16"/>
        <v>0</v>
      </c>
      <c r="AT337" s="3" t="str">
        <f>IF(OR(Registered!AM337&gt;0,Registered!AO337&gt;0),(IF(Registered!E337=0,"Size Not Specified",Registered!E337)),"")</f>
        <v/>
      </c>
      <c r="AU337" s="3" t="str">
        <f>IF(Registered!AE337=0,"",IF(Registered!AE337=1,Registered!AE337&amp;" Bandana",Registered!AE337&amp;" Bandanas"))</f>
        <v/>
      </c>
      <c r="AV337" s="3">
        <f t="shared" si="17"/>
        <v>0</v>
      </c>
      <c r="AW337" s="2" t="str">
        <f>IF(Registered!AV337=0,"",IF(Registered!AV337=1,Registered!AV337&amp;" Meal",Registered!AV337&amp;" Meals"))</f>
        <v/>
      </c>
      <c r="AX337" s="2" t="str">
        <f>IF(Registered!AI337=0,"",Registered!AI337&amp;" BG")</f>
        <v/>
      </c>
      <c r="AY337" s="2" t="str">
        <f>IF(Registered!AG337=0,"",Registered!AG337&amp;" DustMask")</f>
        <v/>
      </c>
    </row>
    <row r="338" spans="1:51" customFormat="1" x14ac:dyDescent="0.25">
      <c r="A338" t="s">
        <v>3501</v>
      </c>
      <c r="B338" t="s">
        <v>3906</v>
      </c>
      <c r="C338" t="s">
        <v>6090</v>
      </c>
      <c r="F338" t="s">
        <v>261</v>
      </c>
      <c r="I338" t="s">
        <v>3907</v>
      </c>
      <c r="J338" t="s">
        <v>37</v>
      </c>
      <c r="K338" t="s">
        <v>32</v>
      </c>
      <c r="L338" t="s">
        <v>35</v>
      </c>
      <c r="Q338">
        <v>1</v>
      </c>
      <c r="R338">
        <v>3</v>
      </c>
      <c r="AQ338">
        <v>3</v>
      </c>
      <c r="AR338" s="3">
        <f t="shared" si="15"/>
        <v>0</v>
      </c>
      <c r="AS338" s="3">
        <f t="shared" si="16"/>
        <v>0</v>
      </c>
      <c r="AT338" s="3" t="str">
        <f>IF(OR(Registered!AM338&gt;0,Registered!AO338&gt;0),(IF(Registered!E338=0,"Size Not Specified",Registered!E338)),"")</f>
        <v/>
      </c>
      <c r="AU338" s="3" t="str">
        <f>IF(Registered!AE338=0,"",IF(Registered!AE338=1,Registered!AE338&amp;" Bandana",Registered!AE338&amp;" Bandanas"))</f>
        <v/>
      </c>
      <c r="AV338" s="3">
        <f t="shared" si="17"/>
        <v>0</v>
      </c>
      <c r="AW338" s="2" t="str">
        <f>IF(Registered!AV338=0,"",IF(Registered!AV338=1,Registered!AV338&amp;" Meal",Registered!AV338&amp;" Meals"))</f>
        <v/>
      </c>
      <c r="AX338" s="2" t="str">
        <f>IF(Registered!AI338=0,"",Registered!AI338&amp;" BG")</f>
        <v/>
      </c>
      <c r="AY338" s="2" t="str">
        <f>IF(Registered!AG338=0,"",Registered!AG338&amp;" DustMask")</f>
        <v/>
      </c>
    </row>
    <row r="339" spans="1:51" customFormat="1" x14ac:dyDescent="0.25">
      <c r="A339" t="s">
        <v>357</v>
      </c>
      <c r="B339" t="s">
        <v>913</v>
      </c>
      <c r="C339" t="s">
        <v>6090</v>
      </c>
      <c r="D339" t="s">
        <v>914</v>
      </c>
      <c r="F339" t="s">
        <v>261</v>
      </c>
      <c r="I339" t="s">
        <v>915</v>
      </c>
      <c r="J339" t="s">
        <v>37</v>
      </c>
      <c r="K339" t="s">
        <v>32</v>
      </c>
      <c r="L339" t="s">
        <v>35</v>
      </c>
      <c r="Q339">
        <v>2</v>
      </c>
      <c r="R339">
        <v>3</v>
      </c>
      <c r="AC339">
        <v>2</v>
      </c>
      <c r="AD339">
        <v>10</v>
      </c>
      <c r="AQ339">
        <v>26</v>
      </c>
      <c r="AR339" s="3">
        <f t="shared" si="15"/>
        <v>10</v>
      </c>
      <c r="AS339" s="3">
        <f t="shared" si="16"/>
        <v>0</v>
      </c>
      <c r="AT339" s="3" t="str">
        <f>IF(OR(Registered!AM339&gt;0,Registered!AO339&gt;0),(IF(Registered!E339=0,"Size Not Specified",Registered!E339)),"")</f>
        <v/>
      </c>
      <c r="AU339" s="3" t="str">
        <f>IF(Registered!AE339=0,"",IF(Registered!AE339=1,Registered!AE339&amp;" Bandana",Registered!AE339&amp;" Bandanas"))</f>
        <v/>
      </c>
      <c r="AV339" s="3">
        <f t="shared" si="17"/>
        <v>0</v>
      </c>
      <c r="AW339" s="2" t="str">
        <f>IF(Registered!AV339=0,"",IF(Registered!AV339=1,Registered!AV339&amp;" Meal",Registered!AV339&amp;" Meals"))</f>
        <v/>
      </c>
      <c r="AX339" s="2" t="str">
        <f>IF(Registered!AI339=0,"",Registered!AI339&amp;" BG")</f>
        <v/>
      </c>
      <c r="AY339" s="2" t="str">
        <f>IF(Registered!AG339=0,"",Registered!AG339&amp;" DustMask")</f>
        <v/>
      </c>
    </row>
    <row r="340" spans="1:51" customFormat="1" x14ac:dyDescent="0.25">
      <c r="A340" t="s">
        <v>392</v>
      </c>
      <c r="B340" t="s">
        <v>916</v>
      </c>
      <c r="C340" t="s">
        <v>6090</v>
      </c>
      <c r="G340" t="s">
        <v>262</v>
      </c>
      <c r="H340" t="s">
        <v>916</v>
      </c>
      <c r="I340" t="s">
        <v>917</v>
      </c>
      <c r="J340" t="s">
        <v>37</v>
      </c>
      <c r="K340" t="s">
        <v>32</v>
      </c>
      <c r="L340" t="s">
        <v>35</v>
      </c>
      <c r="AQ340">
        <v>0</v>
      </c>
      <c r="AR340" s="3">
        <f t="shared" si="15"/>
        <v>0</v>
      </c>
      <c r="AS340" s="3">
        <f t="shared" si="16"/>
        <v>0</v>
      </c>
      <c r="AT340" s="3" t="str">
        <f>IF(OR(Registered!AM340&gt;0,Registered!AO340&gt;0),(IF(Registered!E340=0,"Size Not Specified",Registered!E340)),"")</f>
        <v/>
      </c>
      <c r="AU340" s="3" t="str">
        <f>IF(Registered!AE340=0,"",IF(Registered!AE340=1,Registered!AE340&amp;" Bandana",Registered!AE340&amp;" Bandanas"))</f>
        <v/>
      </c>
      <c r="AV340" s="3">
        <f t="shared" si="17"/>
        <v>0</v>
      </c>
      <c r="AW340" s="2" t="str">
        <f>IF(Registered!AV340=0,"",IF(Registered!AV340=1,Registered!AV340&amp;" Meal",Registered!AV340&amp;" Meals"))</f>
        <v/>
      </c>
      <c r="AX340" s="2" t="str">
        <f>IF(Registered!AI340=0,"",Registered!AI340&amp;" BG")</f>
        <v/>
      </c>
      <c r="AY340" s="2" t="str">
        <f>IF(Registered!AG340=0,"",Registered!AG340&amp;" DustMask")</f>
        <v/>
      </c>
    </row>
    <row r="341" spans="1:51" customFormat="1" x14ac:dyDescent="0.25">
      <c r="A341" t="s">
        <v>918</v>
      </c>
      <c r="B341" t="s">
        <v>916</v>
      </c>
      <c r="C341" t="s">
        <v>6090</v>
      </c>
      <c r="G341" t="s">
        <v>262</v>
      </c>
      <c r="H341" t="s">
        <v>916</v>
      </c>
      <c r="I341" t="s">
        <v>917</v>
      </c>
      <c r="J341" t="s">
        <v>37</v>
      </c>
      <c r="K341" t="s">
        <v>32</v>
      </c>
      <c r="L341" t="s">
        <v>35</v>
      </c>
      <c r="AQ341">
        <v>0</v>
      </c>
      <c r="AR341" s="3">
        <f t="shared" si="15"/>
        <v>0</v>
      </c>
      <c r="AS341" s="3">
        <f t="shared" si="16"/>
        <v>0</v>
      </c>
      <c r="AT341" s="3" t="str">
        <f>IF(OR(Registered!AM341&gt;0,Registered!AO341&gt;0),(IF(Registered!E341=0,"Size Not Specified",Registered!E341)),"")</f>
        <v/>
      </c>
      <c r="AU341" s="3" t="str">
        <f>IF(Registered!AE341=0,"",IF(Registered!AE341=1,Registered!AE341&amp;" Bandana",Registered!AE341&amp;" Bandanas"))</f>
        <v/>
      </c>
      <c r="AV341" s="3">
        <f t="shared" si="17"/>
        <v>0</v>
      </c>
      <c r="AW341" s="2" t="str">
        <f>IF(Registered!AV341=0,"",IF(Registered!AV341=1,Registered!AV341&amp;" Meal",Registered!AV341&amp;" Meals"))</f>
        <v/>
      </c>
      <c r="AX341" s="2" t="str">
        <f>IF(Registered!AI341=0,"",Registered!AI341&amp;" BG")</f>
        <v/>
      </c>
      <c r="AY341" s="2" t="str">
        <f>IF(Registered!AG341=0,"",Registered!AG341&amp;" DustMask")</f>
        <v/>
      </c>
    </row>
    <row r="342" spans="1:51" customFormat="1" x14ac:dyDescent="0.25">
      <c r="A342" t="s">
        <v>262</v>
      </c>
      <c r="B342" t="s">
        <v>916</v>
      </c>
      <c r="C342" t="s">
        <v>6090</v>
      </c>
      <c r="D342" t="s">
        <v>919</v>
      </c>
      <c r="E342" t="s">
        <v>920</v>
      </c>
      <c r="F342" t="s">
        <v>261</v>
      </c>
      <c r="I342" t="s">
        <v>917</v>
      </c>
      <c r="J342" t="s">
        <v>37</v>
      </c>
      <c r="K342" t="s">
        <v>32</v>
      </c>
      <c r="L342" t="s">
        <v>35</v>
      </c>
      <c r="S342">
        <v>3</v>
      </c>
      <c r="T342">
        <v>3</v>
      </c>
      <c r="AM342">
        <v>2</v>
      </c>
      <c r="AN342">
        <v>25</v>
      </c>
      <c r="AQ342">
        <v>59</v>
      </c>
      <c r="AR342" s="3">
        <f t="shared" si="15"/>
        <v>10</v>
      </c>
      <c r="AS342" s="3">
        <f t="shared" si="16"/>
        <v>2</v>
      </c>
      <c r="AT342" s="3" t="str">
        <f>IF(OR(Registered!AM342&gt;0,Registered!AO342&gt;0),(IF(Registered!E342=0,"Size Not Specified",Registered!E342)),"")</f>
        <v>Mens Large, Womens Medium</v>
      </c>
      <c r="AU342" s="3" t="str">
        <f>IF(Registered!AE342=0,"",IF(Registered!AE342=1,Registered!AE342&amp;" Bandana",Registered!AE342&amp;" Bandanas"))</f>
        <v/>
      </c>
      <c r="AV342" s="3">
        <f t="shared" si="17"/>
        <v>2</v>
      </c>
      <c r="AW342" s="2" t="str">
        <f>IF(Registered!AV342=0,"",IF(Registered!AV342=1,Registered!AV342&amp;" Meal",Registered!AV342&amp;" Meals"))</f>
        <v>2 Meals</v>
      </c>
      <c r="AX342" s="2" t="str">
        <f>IF(Registered!AI342=0,"",Registered!AI342&amp;" BG")</f>
        <v/>
      </c>
      <c r="AY342" s="2" t="str">
        <f>IF(Registered!AG342=0,"",Registered!AG342&amp;" DustMask")</f>
        <v/>
      </c>
    </row>
    <row r="343" spans="1:51" customFormat="1" x14ac:dyDescent="0.25">
      <c r="A343" t="s">
        <v>377</v>
      </c>
      <c r="B343" t="s">
        <v>921</v>
      </c>
      <c r="C343" t="s">
        <v>6090</v>
      </c>
      <c r="D343" t="s">
        <v>922</v>
      </c>
      <c r="F343" t="s">
        <v>261</v>
      </c>
      <c r="I343" t="s">
        <v>923</v>
      </c>
      <c r="J343" t="s">
        <v>37</v>
      </c>
      <c r="K343" t="s">
        <v>32</v>
      </c>
      <c r="L343" t="s">
        <v>35</v>
      </c>
      <c r="S343">
        <v>1</v>
      </c>
      <c r="T343">
        <v>3</v>
      </c>
      <c r="AC343">
        <v>1</v>
      </c>
      <c r="AD343">
        <v>10</v>
      </c>
      <c r="AQ343">
        <v>13</v>
      </c>
      <c r="AR343" s="3">
        <f t="shared" si="15"/>
        <v>5</v>
      </c>
      <c r="AS343" s="3">
        <f t="shared" si="16"/>
        <v>0</v>
      </c>
      <c r="AT343" s="3" t="str">
        <f>IF(OR(Registered!AM343&gt;0,Registered!AO343&gt;0),(IF(Registered!E343=0,"Size Not Specified",Registered!E343)),"")</f>
        <v/>
      </c>
      <c r="AU343" s="3" t="str">
        <f>IF(Registered!AE343=0,"",IF(Registered!AE343=1,Registered!AE343&amp;" Bandana",Registered!AE343&amp;" Bandanas"))</f>
        <v/>
      </c>
      <c r="AV343" s="3">
        <f t="shared" si="17"/>
        <v>0</v>
      </c>
      <c r="AW343" s="2" t="str">
        <f>IF(Registered!AV343=0,"",IF(Registered!AV343=1,Registered!AV343&amp;" Meal",Registered!AV343&amp;" Meals"))</f>
        <v/>
      </c>
      <c r="AX343" s="2" t="str">
        <f>IF(Registered!AI343=0,"",Registered!AI343&amp;" BG")</f>
        <v/>
      </c>
      <c r="AY343" s="2" t="str">
        <f>IF(Registered!AG343=0,"",Registered!AG343&amp;" DustMask")</f>
        <v/>
      </c>
    </row>
    <row r="344" spans="1:51" customFormat="1" x14ac:dyDescent="0.25">
      <c r="A344" t="s">
        <v>377</v>
      </c>
      <c r="B344" t="s">
        <v>924</v>
      </c>
      <c r="C344" t="s">
        <v>6090</v>
      </c>
      <c r="G344" t="s">
        <v>925</v>
      </c>
      <c r="H344" t="s">
        <v>924</v>
      </c>
      <c r="I344" t="s">
        <v>926</v>
      </c>
      <c r="J344" t="s">
        <v>37</v>
      </c>
      <c r="K344" t="s">
        <v>32</v>
      </c>
      <c r="L344" t="s">
        <v>35</v>
      </c>
      <c r="AQ344">
        <v>0</v>
      </c>
      <c r="AR344" s="3">
        <f t="shared" si="15"/>
        <v>0</v>
      </c>
      <c r="AS344" s="3">
        <f t="shared" si="16"/>
        <v>0</v>
      </c>
      <c r="AT344" s="3" t="str">
        <f>IF(OR(Registered!AM344&gt;0,Registered!AO344&gt;0),(IF(Registered!E344=0,"Size Not Specified",Registered!E344)),"")</f>
        <v/>
      </c>
      <c r="AU344" s="3" t="str">
        <f>IF(Registered!AE344=0,"",IF(Registered!AE344=1,Registered!AE344&amp;" Bandana",Registered!AE344&amp;" Bandanas"))</f>
        <v/>
      </c>
      <c r="AV344" s="3">
        <f t="shared" si="17"/>
        <v>0</v>
      </c>
      <c r="AW344" s="2" t="str">
        <f>IF(Registered!AV344=0,"",IF(Registered!AV344=1,Registered!AV344&amp;" Meal",Registered!AV344&amp;" Meals"))</f>
        <v/>
      </c>
      <c r="AX344" s="2" t="str">
        <f>IF(Registered!AI344=0,"",Registered!AI344&amp;" BG")</f>
        <v/>
      </c>
      <c r="AY344" s="2" t="str">
        <f>IF(Registered!AG344=0,"",Registered!AG344&amp;" DustMask")</f>
        <v/>
      </c>
    </row>
    <row r="345" spans="1:51" customFormat="1" x14ac:dyDescent="0.25">
      <c r="A345" t="s">
        <v>925</v>
      </c>
      <c r="B345" t="s">
        <v>924</v>
      </c>
      <c r="C345" t="s">
        <v>6090</v>
      </c>
      <c r="D345" t="s">
        <v>930</v>
      </c>
      <c r="F345" t="s">
        <v>261</v>
      </c>
      <c r="I345" t="s">
        <v>926</v>
      </c>
      <c r="J345" t="s">
        <v>37</v>
      </c>
      <c r="K345" t="s">
        <v>32</v>
      </c>
      <c r="L345" t="s">
        <v>35</v>
      </c>
      <c r="S345">
        <v>2</v>
      </c>
      <c r="T345">
        <v>3</v>
      </c>
      <c r="U345">
        <v>1</v>
      </c>
      <c r="V345">
        <v>20</v>
      </c>
      <c r="AQ345">
        <v>26</v>
      </c>
      <c r="AR345" s="3">
        <f t="shared" si="15"/>
        <v>10</v>
      </c>
      <c r="AS345" s="3">
        <f t="shared" si="16"/>
        <v>0</v>
      </c>
      <c r="AT345" s="3" t="str">
        <f>IF(OR(Registered!AM345&gt;0,Registered!AO345&gt;0),(IF(Registered!E345=0,"Size Not Specified",Registered!E345)),"")</f>
        <v/>
      </c>
      <c r="AU345" s="3" t="str">
        <f>IF(Registered!AE345=0,"",IF(Registered!AE345=1,Registered!AE345&amp;" Bandana",Registered!AE345&amp;" Bandanas"))</f>
        <v/>
      </c>
      <c r="AV345" s="3">
        <f t="shared" si="17"/>
        <v>0</v>
      </c>
      <c r="AW345" s="2" t="str">
        <f>IF(Registered!AV345=0,"",IF(Registered!AV345=1,Registered!AV345&amp;" Meal",Registered!AV345&amp;" Meals"))</f>
        <v/>
      </c>
      <c r="AX345" s="2" t="str">
        <f>IF(Registered!AI345=0,"",Registered!AI345&amp;" BG")</f>
        <v/>
      </c>
      <c r="AY345" s="2" t="str">
        <f>IF(Registered!AG345=0,"",Registered!AG345&amp;" DustMask")</f>
        <v/>
      </c>
    </row>
    <row r="346" spans="1:51" customFormat="1" x14ac:dyDescent="0.25">
      <c r="A346" t="s">
        <v>3917</v>
      </c>
      <c r="B346" t="s">
        <v>3918</v>
      </c>
      <c r="C346" t="s">
        <v>6090</v>
      </c>
      <c r="G346" t="s">
        <v>3919</v>
      </c>
      <c r="H346" t="s">
        <v>238</v>
      </c>
      <c r="I346" t="s">
        <v>3920</v>
      </c>
      <c r="J346" t="s">
        <v>37</v>
      </c>
      <c r="K346" t="s">
        <v>32</v>
      </c>
      <c r="L346" t="s">
        <v>35</v>
      </c>
      <c r="AQ346">
        <v>0</v>
      </c>
      <c r="AR346" s="3">
        <f t="shared" si="15"/>
        <v>0</v>
      </c>
      <c r="AS346" s="3">
        <f t="shared" si="16"/>
        <v>0</v>
      </c>
      <c r="AT346" s="3" t="str">
        <f>IF(OR(Registered!AM346&gt;0,Registered!AO346&gt;0),(IF(Registered!E346=0,"Size Not Specified",Registered!E346)),"")</f>
        <v/>
      </c>
      <c r="AU346" s="3" t="str">
        <f>IF(Registered!AE346=0,"",IF(Registered!AE346=1,Registered!AE346&amp;" Bandana",Registered!AE346&amp;" Bandanas"))</f>
        <v/>
      </c>
      <c r="AV346" s="3">
        <f t="shared" si="17"/>
        <v>0</v>
      </c>
      <c r="AW346" s="2" t="str">
        <f>IF(Registered!AV346=0,"",IF(Registered!AV346=1,Registered!AV346&amp;" Meal",Registered!AV346&amp;" Meals"))</f>
        <v/>
      </c>
      <c r="AX346" s="2" t="str">
        <f>IF(Registered!AI346=0,"",Registered!AI346&amp;" BG")</f>
        <v/>
      </c>
      <c r="AY346" s="2" t="str">
        <f>IF(Registered!AG346=0,"",Registered!AG346&amp;" DustMask")</f>
        <v/>
      </c>
    </row>
    <row r="347" spans="1:51" customFormat="1" x14ac:dyDescent="0.25">
      <c r="A347" t="s">
        <v>1242</v>
      </c>
      <c r="B347" t="s">
        <v>3918</v>
      </c>
      <c r="C347" t="s">
        <v>6090</v>
      </c>
      <c r="G347" t="s">
        <v>78</v>
      </c>
      <c r="H347" t="s">
        <v>3921</v>
      </c>
      <c r="I347" t="s">
        <v>3922</v>
      </c>
      <c r="J347" t="s">
        <v>37</v>
      </c>
      <c r="K347" t="s">
        <v>32</v>
      </c>
      <c r="L347" t="s">
        <v>35</v>
      </c>
      <c r="AQ347">
        <v>0</v>
      </c>
      <c r="AR347" s="3">
        <f t="shared" si="15"/>
        <v>0</v>
      </c>
      <c r="AS347" s="3">
        <f t="shared" si="16"/>
        <v>0</v>
      </c>
      <c r="AT347" s="3" t="str">
        <f>IF(OR(Registered!AM347&gt;0,Registered!AO347&gt;0),(IF(Registered!E347=0,"Size Not Specified",Registered!E347)),"")</f>
        <v/>
      </c>
      <c r="AU347" s="3" t="str">
        <f>IF(Registered!AE347=0,"",IF(Registered!AE347=1,Registered!AE347&amp;" Bandana",Registered!AE347&amp;" Bandanas"))</f>
        <v/>
      </c>
      <c r="AV347" s="3">
        <f t="shared" si="17"/>
        <v>0</v>
      </c>
      <c r="AW347" s="2" t="str">
        <f>IF(Registered!AV347=0,"",IF(Registered!AV347=1,Registered!AV347&amp;" Meal",Registered!AV347&amp;" Meals"))</f>
        <v/>
      </c>
      <c r="AX347" s="2" t="str">
        <f>IF(Registered!AI347=0,"",Registered!AI347&amp;" BG")</f>
        <v/>
      </c>
      <c r="AY347" s="2" t="str">
        <f>IF(Registered!AG347=0,"",Registered!AG347&amp;" DustMask")</f>
        <v/>
      </c>
    </row>
    <row r="348" spans="1:51" customFormat="1" x14ac:dyDescent="0.25">
      <c r="A348" t="s">
        <v>256</v>
      </c>
      <c r="B348" t="s">
        <v>931</v>
      </c>
      <c r="C348" t="s">
        <v>6090</v>
      </c>
      <c r="G348" t="s">
        <v>266</v>
      </c>
      <c r="H348" t="s">
        <v>2802</v>
      </c>
      <c r="I348" t="s">
        <v>2803</v>
      </c>
      <c r="J348" t="s">
        <v>37</v>
      </c>
      <c r="K348" t="s">
        <v>32</v>
      </c>
      <c r="L348" t="s">
        <v>35</v>
      </c>
      <c r="AQ348">
        <v>0</v>
      </c>
      <c r="AR348" s="3">
        <f t="shared" si="15"/>
        <v>0</v>
      </c>
      <c r="AS348" s="3">
        <f t="shared" si="16"/>
        <v>0</v>
      </c>
      <c r="AT348" s="3" t="str">
        <f>IF(OR(Registered!AM348&gt;0,Registered!AO348&gt;0),(IF(Registered!E348=0,"Size Not Specified",Registered!E348)),"")</f>
        <v/>
      </c>
      <c r="AU348" s="3" t="str">
        <f>IF(Registered!AE348=0,"",IF(Registered!AE348=1,Registered!AE348&amp;" Bandana",Registered!AE348&amp;" Bandanas"))</f>
        <v/>
      </c>
      <c r="AV348" s="3">
        <f t="shared" si="17"/>
        <v>0</v>
      </c>
      <c r="AW348" s="2" t="str">
        <f>IF(Registered!AV348=0,"",IF(Registered!AV348=1,Registered!AV348&amp;" Meal",Registered!AV348&amp;" Meals"))</f>
        <v/>
      </c>
      <c r="AX348" s="2" t="str">
        <f>IF(Registered!AI348=0,"",Registered!AI348&amp;" BG")</f>
        <v/>
      </c>
      <c r="AY348" s="2" t="str">
        <f>IF(Registered!AG348=0,"",Registered!AG348&amp;" DustMask")</f>
        <v/>
      </c>
    </row>
    <row r="349" spans="1:51" customFormat="1" x14ac:dyDescent="0.25">
      <c r="A349" t="s">
        <v>66</v>
      </c>
      <c r="B349" t="s">
        <v>931</v>
      </c>
      <c r="C349" t="s">
        <v>6090</v>
      </c>
      <c r="G349" t="s">
        <v>932</v>
      </c>
      <c r="H349" t="s">
        <v>933</v>
      </c>
      <c r="I349" t="s">
        <v>934</v>
      </c>
      <c r="J349" t="s">
        <v>37</v>
      </c>
      <c r="K349" t="s">
        <v>32</v>
      </c>
      <c r="L349" t="s">
        <v>35</v>
      </c>
      <c r="AQ349">
        <v>0</v>
      </c>
      <c r="AR349" s="3">
        <f t="shared" si="15"/>
        <v>0</v>
      </c>
      <c r="AS349" s="3">
        <f t="shared" si="16"/>
        <v>0</v>
      </c>
      <c r="AT349" s="3" t="str">
        <f>IF(OR(Registered!AM349&gt;0,Registered!AO349&gt;0),(IF(Registered!E349=0,"Size Not Specified",Registered!E349)),"")</f>
        <v/>
      </c>
      <c r="AU349" s="3" t="str">
        <f>IF(Registered!AE349=0,"",IF(Registered!AE349=1,Registered!AE349&amp;" Bandana",Registered!AE349&amp;" Bandanas"))</f>
        <v/>
      </c>
      <c r="AV349" s="3">
        <f t="shared" si="17"/>
        <v>0</v>
      </c>
      <c r="AW349" s="2" t="str">
        <f>IF(Registered!AV349=0,"",IF(Registered!AV349=1,Registered!AV349&amp;" Meal",Registered!AV349&amp;" Meals"))</f>
        <v/>
      </c>
      <c r="AX349" s="2" t="str">
        <f>IF(Registered!AI349=0,"",Registered!AI349&amp;" BG")</f>
        <v/>
      </c>
      <c r="AY349" s="2" t="str">
        <f>IF(Registered!AG349=0,"",Registered!AG349&amp;" DustMask")</f>
        <v/>
      </c>
    </row>
    <row r="350" spans="1:51" customFormat="1" x14ac:dyDescent="0.25">
      <c r="A350" t="s">
        <v>3923</v>
      </c>
      <c r="B350" t="s">
        <v>3924</v>
      </c>
      <c r="C350" t="s">
        <v>6090</v>
      </c>
      <c r="G350" t="s">
        <v>61</v>
      </c>
      <c r="H350" t="s">
        <v>3023</v>
      </c>
      <c r="I350" t="s">
        <v>3691</v>
      </c>
      <c r="J350" t="s">
        <v>37</v>
      </c>
      <c r="K350" t="s">
        <v>32</v>
      </c>
      <c r="L350" t="s">
        <v>35</v>
      </c>
      <c r="AQ350">
        <v>0</v>
      </c>
      <c r="AR350" s="3">
        <f t="shared" si="15"/>
        <v>0</v>
      </c>
      <c r="AS350" s="3">
        <f t="shared" si="16"/>
        <v>0</v>
      </c>
      <c r="AT350" s="3" t="str">
        <f>IF(OR(Registered!AM350&gt;0,Registered!AO350&gt;0),(IF(Registered!E350=0,"Size Not Specified",Registered!E350)),"")</f>
        <v/>
      </c>
      <c r="AU350" s="3" t="str">
        <f>IF(Registered!AE350=0,"",IF(Registered!AE350=1,Registered!AE350&amp;" Bandana",Registered!AE350&amp;" Bandanas"))</f>
        <v/>
      </c>
      <c r="AV350" s="3">
        <f t="shared" si="17"/>
        <v>0</v>
      </c>
      <c r="AW350" s="2" t="str">
        <f>IF(Registered!AV350=0,"",IF(Registered!AV350=1,Registered!AV350&amp;" Meal",Registered!AV350&amp;" Meals"))</f>
        <v/>
      </c>
      <c r="AX350" s="2" t="str">
        <f>IF(Registered!AI350=0,"",Registered!AI350&amp;" BG")</f>
        <v/>
      </c>
      <c r="AY350" s="2" t="str">
        <f>IF(Registered!AG350=0,"",Registered!AG350&amp;" DustMask")</f>
        <v/>
      </c>
    </row>
    <row r="351" spans="1:51" customFormat="1" x14ac:dyDescent="0.25">
      <c r="A351" t="s">
        <v>258</v>
      </c>
      <c r="B351" t="s">
        <v>937</v>
      </c>
      <c r="C351" t="s">
        <v>6090</v>
      </c>
      <c r="G351" t="s">
        <v>440</v>
      </c>
      <c r="H351" t="s">
        <v>824</v>
      </c>
      <c r="I351" t="s">
        <v>825</v>
      </c>
      <c r="J351" t="s">
        <v>37</v>
      </c>
      <c r="K351" t="s">
        <v>32</v>
      </c>
      <c r="L351" t="s">
        <v>35</v>
      </c>
      <c r="AQ351">
        <v>0</v>
      </c>
      <c r="AR351" s="3">
        <f t="shared" si="15"/>
        <v>0</v>
      </c>
      <c r="AS351" s="3">
        <f t="shared" si="16"/>
        <v>0</v>
      </c>
      <c r="AT351" s="3" t="str">
        <f>IF(OR(Registered!AM351&gt;0,Registered!AO351&gt;0),(IF(Registered!E351=0,"Size Not Specified",Registered!E351)),"")</f>
        <v/>
      </c>
      <c r="AU351" s="3" t="str">
        <f>IF(Registered!AE351=0,"",IF(Registered!AE351=1,Registered!AE351&amp;" Bandana",Registered!AE351&amp;" Bandanas"))</f>
        <v/>
      </c>
      <c r="AV351" s="3">
        <f t="shared" si="17"/>
        <v>0</v>
      </c>
      <c r="AW351" s="2" t="str">
        <f>IF(Registered!AV351=0,"",IF(Registered!AV351=1,Registered!AV351&amp;" Meal",Registered!AV351&amp;" Meals"))</f>
        <v/>
      </c>
      <c r="AX351" s="2" t="str">
        <f>IF(Registered!AI351=0,"",Registered!AI351&amp;" BG")</f>
        <v/>
      </c>
      <c r="AY351" s="2" t="str">
        <f>IF(Registered!AG351=0,"",Registered!AG351&amp;" DustMask")</f>
        <v/>
      </c>
    </row>
    <row r="352" spans="1:51" customFormat="1" x14ac:dyDescent="0.25">
      <c r="A352" t="s">
        <v>3925</v>
      </c>
      <c r="B352" t="s">
        <v>937</v>
      </c>
      <c r="C352" t="s">
        <v>6090</v>
      </c>
      <c r="G352" t="s">
        <v>104</v>
      </c>
      <c r="H352" t="s">
        <v>3926</v>
      </c>
      <c r="I352" t="s">
        <v>3927</v>
      </c>
      <c r="J352" t="s">
        <v>37</v>
      </c>
      <c r="K352" t="s">
        <v>32</v>
      </c>
      <c r="L352" t="s">
        <v>35</v>
      </c>
      <c r="AQ352">
        <v>0</v>
      </c>
      <c r="AR352" s="3">
        <f t="shared" si="15"/>
        <v>0</v>
      </c>
      <c r="AS352" s="3">
        <f t="shared" si="16"/>
        <v>0</v>
      </c>
      <c r="AT352" s="3" t="str">
        <f>IF(OR(Registered!AM352&gt;0,Registered!AO352&gt;0),(IF(Registered!E352=0,"Size Not Specified",Registered!E352)),"")</f>
        <v/>
      </c>
      <c r="AU352" s="3" t="str">
        <f>IF(Registered!AE352=0,"",IF(Registered!AE352=1,Registered!AE352&amp;" Bandana",Registered!AE352&amp;" Bandanas"))</f>
        <v/>
      </c>
      <c r="AV352" s="3">
        <f t="shared" si="17"/>
        <v>0</v>
      </c>
      <c r="AW352" s="2" t="str">
        <f>IF(Registered!AV352=0,"",IF(Registered!AV352=1,Registered!AV352&amp;" Meal",Registered!AV352&amp;" Meals"))</f>
        <v/>
      </c>
      <c r="AX352" s="2" t="str">
        <f>IF(Registered!AI352=0,"",Registered!AI352&amp;" BG")</f>
        <v/>
      </c>
      <c r="AY352" s="2" t="str">
        <f>IF(Registered!AG352=0,"",Registered!AG352&amp;" DustMask")</f>
        <v/>
      </c>
    </row>
    <row r="353" spans="1:51" customFormat="1" x14ac:dyDescent="0.25">
      <c r="A353" t="s">
        <v>3928</v>
      </c>
      <c r="B353" t="s">
        <v>3929</v>
      </c>
      <c r="C353" t="s">
        <v>6090</v>
      </c>
      <c r="G353" t="s">
        <v>3643</v>
      </c>
      <c r="H353" t="s">
        <v>391</v>
      </c>
      <c r="I353" t="s">
        <v>3644</v>
      </c>
      <c r="J353" t="s">
        <v>37</v>
      </c>
      <c r="K353" t="s">
        <v>32</v>
      </c>
      <c r="L353" t="s">
        <v>35</v>
      </c>
      <c r="AQ353">
        <v>0</v>
      </c>
      <c r="AR353" s="3">
        <f t="shared" si="15"/>
        <v>0</v>
      </c>
      <c r="AS353" s="3">
        <f t="shared" si="16"/>
        <v>0</v>
      </c>
      <c r="AT353" s="3" t="str">
        <f>IF(OR(Registered!AM353&gt;0,Registered!AO353&gt;0),(IF(Registered!E353=0,"Size Not Specified",Registered!E353)),"")</f>
        <v/>
      </c>
      <c r="AU353" s="3" t="str">
        <f>IF(Registered!AE353=0,"",IF(Registered!AE353=1,Registered!AE353&amp;" Bandana",Registered!AE353&amp;" Bandanas"))</f>
        <v/>
      </c>
      <c r="AV353" s="3">
        <f t="shared" si="17"/>
        <v>0</v>
      </c>
      <c r="AW353" s="2" t="str">
        <f>IF(Registered!AV353=0,"",IF(Registered!AV353=1,Registered!AV353&amp;" Meal",Registered!AV353&amp;" Meals"))</f>
        <v/>
      </c>
      <c r="AX353" s="2" t="str">
        <f>IF(Registered!AI353=0,"",Registered!AI353&amp;" BG")</f>
        <v/>
      </c>
      <c r="AY353" s="2" t="str">
        <f>IF(Registered!AG353=0,"",Registered!AG353&amp;" DustMask")</f>
        <v/>
      </c>
    </row>
    <row r="354" spans="1:51" customFormat="1" x14ac:dyDescent="0.25">
      <c r="A354" t="s">
        <v>79</v>
      </c>
      <c r="B354" t="s">
        <v>3929</v>
      </c>
      <c r="C354" t="s">
        <v>6090</v>
      </c>
      <c r="G354" t="s">
        <v>281</v>
      </c>
      <c r="H354" t="s">
        <v>938</v>
      </c>
      <c r="I354" t="s">
        <v>3930</v>
      </c>
      <c r="J354" t="s">
        <v>37</v>
      </c>
      <c r="K354" t="s">
        <v>32</v>
      </c>
      <c r="L354" t="s">
        <v>35</v>
      </c>
      <c r="AQ354">
        <v>0</v>
      </c>
      <c r="AR354" s="3">
        <f t="shared" si="15"/>
        <v>0</v>
      </c>
      <c r="AS354" s="3">
        <f t="shared" si="16"/>
        <v>0</v>
      </c>
      <c r="AT354" s="3" t="str">
        <f>IF(OR(Registered!AM354&gt;0,Registered!AO354&gt;0),(IF(Registered!E354=0,"Size Not Specified",Registered!E354)),"")</f>
        <v/>
      </c>
      <c r="AU354" s="3" t="str">
        <f>IF(Registered!AE354=0,"",IF(Registered!AE354=1,Registered!AE354&amp;" Bandana",Registered!AE354&amp;" Bandanas"))</f>
        <v/>
      </c>
      <c r="AV354" s="3">
        <f t="shared" si="17"/>
        <v>0</v>
      </c>
      <c r="AW354" s="2" t="str">
        <f>IF(Registered!AV354=0,"",IF(Registered!AV354=1,Registered!AV354&amp;" Meal",Registered!AV354&amp;" Meals"))</f>
        <v/>
      </c>
      <c r="AX354" s="2" t="str">
        <f>IF(Registered!AI354=0,"",Registered!AI354&amp;" BG")</f>
        <v/>
      </c>
      <c r="AY354" s="2" t="str">
        <f>IF(Registered!AG354=0,"",Registered!AG354&amp;" DustMask")</f>
        <v/>
      </c>
    </row>
    <row r="355" spans="1:51" customFormat="1" x14ac:dyDescent="0.25">
      <c r="A355" t="s">
        <v>1887</v>
      </c>
      <c r="B355" t="s">
        <v>3929</v>
      </c>
      <c r="C355" t="s">
        <v>6090</v>
      </c>
      <c r="G355" t="s">
        <v>377</v>
      </c>
      <c r="H355" t="s">
        <v>3690</v>
      </c>
      <c r="I355" t="s">
        <v>3691</v>
      </c>
      <c r="J355" t="s">
        <v>37</v>
      </c>
      <c r="K355" t="s">
        <v>32</v>
      </c>
      <c r="L355" t="s">
        <v>35</v>
      </c>
      <c r="AQ355">
        <v>0</v>
      </c>
      <c r="AR355" s="3">
        <f t="shared" si="15"/>
        <v>0</v>
      </c>
      <c r="AS355" s="3">
        <f t="shared" si="16"/>
        <v>0</v>
      </c>
      <c r="AT355" s="3" t="str">
        <f>IF(OR(Registered!AM355&gt;0,Registered!AO355&gt;0),(IF(Registered!E355=0,"Size Not Specified",Registered!E355)),"")</f>
        <v/>
      </c>
      <c r="AU355" s="3" t="str">
        <f>IF(Registered!AE355=0,"",IF(Registered!AE355=1,Registered!AE355&amp;" Bandana",Registered!AE355&amp;" Bandanas"))</f>
        <v/>
      </c>
      <c r="AV355" s="3">
        <f t="shared" si="17"/>
        <v>0</v>
      </c>
      <c r="AW355" s="2" t="str">
        <f>IF(Registered!AV355=0,"",IF(Registered!AV355=1,Registered!AV355&amp;" Meal",Registered!AV355&amp;" Meals"))</f>
        <v/>
      </c>
      <c r="AX355" s="2" t="str">
        <f>IF(Registered!AI355=0,"",Registered!AI355&amp;" BG")</f>
        <v/>
      </c>
      <c r="AY355" s="2" t="str">
        <f>IF(Registered!AG355=0,"",Registered!AG355&amp;" DustMask")</f>
        <v/>
      </c>
    </row>
    <row r="356" spans="1:51" customFormat="1" x14ac:dyDescent="0.25">
      <c r="A356" t="s">
        <v>375</v>
      </c>
      <c r="B356" t="s">
        <v>3931</v>
      </c>
      <c r="C356" t="s">
        <v>6090</v>
      </c>
      <c r="D356" t="s">
        <v>3105</v>
      </c>
      <c r="F356" t="s">
        <v>261</v>
      </c>
      <c r="I356" t="s">
        <v>3932</v>
      </c>
      <c r="J356" t="s">
        <v>37</v>
      </c>
      <c r="K356" t="s">
        <v>32</v>
      </c>
      <c r="L356" t="s">
        <v>35</v>
      </c>
      <c r="Q356">
        <v>1</v>
      </c>
      <c r="R356">
        <v>3</v>
      </c>
      <c r="AQ356">
        <v>3</v>
      </c>
      <c r="AR356" s="3">
        <f t="shared" si="15"/>
        <v>0</v>
      </c>
      <c r="AS356" s="3">
        <f t="shared" si="16"/>
        <v>0</v>
      </c>
      <c r="AT356" s="3" t="str">
        <f>IF(OR(Registered!AM356&gt;0,Registered!AO356&gt;0),(IF(Registered!E356=0,"Size Not Specified",Registered!E356)),"")</f>
        <v/>
      </c>
      <c r="AU356" s="3" t="str">
        <f>IF(Registered!AE356=0,"",IF(Registered!AE356=1,Registered!AE356&amp;" Bandana",Registered!AE356&amp;" Bandanas"))</f>
        <v/>
      </c>
      <c r="AV356" s="3">
        <f t="shared" si="17"/>
        <v>0</v>
      </c>
      <c r="AW356" s="2" t="str">
        <f>IF(Registered!AV356=0,"",IF(Registered!AV356=1,Registered!AV356&amp;" Meal",Registered!AV356&amp;" Meals"))</f>
        <v/>
      </c>
      <c r="AX356" s="2" t="str">
        <f>IF(Registered!AI356=0,"",Registered!AI356&amp;" BG")</f>
        <v/>
      </c>
      <c r="AY356" s="2" t="str">
        <f>IF(Registered!AG356=0,"",Registered!AG356&amp;" DustMask")</f>
        <v/>
      </c>
    </row>
    <row r="357" spans="1:51" customFormat="1" x14ac:dyDescent="0.25">
      <c r="A357" t="s">
        <v>3803</v>
      </c>
      <c r="B357" t="s">
        <v>943</v>
      </c>
      <c r="C357" t="s">
        <v>6090</v>
      </c>
      <c r="D357" t="s">
        <v>3936</v>
      </c>
      <c r="F357" t="s">
        <v>261</v>
      </c>
      <c r="I357" t="s">
        <v>3804</v>
      </c>
      <c r="J357" t="s">
        <v>37</v>
      </c>
      <c r="K357" t="s">
        <v>32</v>
      </c>
      <c r="L357" t="s">
        <v>35</v>
      </c>
      <c r="Q357">
        <v>4</v>
      </c>
      <c r="R357">
        <v>3</v>
      </c>
      <c r="U357">
        <v>1</v>
      </c>
      <c r="V357">
        <v>20</v>
      </c>
      <c r="AQ357">
        <v>32</v>
      </c>
      <c r="AR357" s="3">
        <f t="shared" si="15"/>
        <v>10</v>
      </c>
      <c r="AS357" s="3">
        <f t="shared" si="16"/>
        <v>0</v>
      </c>
      <c r="AT357" s="3" t="str">
        <f>IF(OR(Registered!AM357&gt;0,Registered!AO357&gt;0),(IF(Registered!E357=0,"Size Not Specified",Registered!E357)),"")</f>
        <v/>
      </c>
      <c r="AU357" s="3" t="str">
        <f>IF(Registered!AE357=0,"",IF(Registered!AE357=1,Registered!AE357&amp;" Bandana",Registered!AE357&amp;" Bandanas"))</f>
        <v/>
      </c>
      <c r="AV357" s="3">
        <f t="shared" si="17"/>
        <v>0</v>
      </c>
      <c r="AW357" s="2" t="str">
        <f>IF(Registered!AV357=0,"",IF(Registered!AV357=1,Registered!AV357&amp;" Meal",Registered!AV357&amp;" Meals"))</f>
        <v/>
      </c>
      <c r="AX357" s="2" t="str">
        <f>IF(Registered!AI357=0,"",Registered!AI357&amp;" BG")</f>
        <v/>
      </c>
      <c r="AY357" s="2" t="str">
        <f>IF(Registered!AG357=0,"",Registered!AG357&amp;" DustMask")</f>
        <v/>
      </c>
    </row>
    <row r="358" spans="1:51" customFormat="1" x14ac:dyDescent="0.25">
      <c r="A358" t="s">
        <v>942</v>
      </c>
      <c r="B358" t="s">
        <v>943</v>
      </c>
      <c r="C358" t="s">
        <v>6090</v>
      </c>
      <c r="G358" t="s">
        <v>944</v>
      </c>
      <c r="H358" t="s">
        <v>945</v>
      </c>
      <c r="I358" t="s">
        <v>946</v>
      </c>
      <c r="J358" t="s">
        <v>37</v>
      </c>
      <c r="K358" t="s">
        <v>32</v>
      </c>
      <c r="L358" t="s">
        <v>35</v>
      </c>
      <c r="AQ358">
        <v>0</v>
      </c>
      <c r="AR358" s="3">
        <f t="shared" si="15"/>
        <v>0</v>
      </c>
      <c r="AS358" s="3">
        <f t="shared" si="16"/>
        <v>0</v>
      </c>
      <c r="AT358" s="3" t="str">
        <f>IF(OR(Registered!AM358&gt;0,Registered!AO358&gt;0),(IF(Registered!E358=0,"Size Not Specified",Registered!E358)),"")</f>
        <v/>
      </c>
      <c r="AU358" s="3" t="str">
        <f>IF(Registered!AE358=0,"",IF(Registered!AE358=1,Registered!AE358&amp;" Bandana",Registered!AE358&amp;" Bandanas"))</f>
        <v/>
      </c>
      <c r="AV358" s="3">
        <f t="shared" si="17"/>
        <v>0</v>
      </c>
      <c r="AW358" s="2" t="str">
        <f>IF(Registered!AV358=0,"",IF(Registered!AV358=1,Registered!AV358&amp;" Meal",Registered!AV358&amp;" Meals"))</f>
        <v/>
      </c>
      <c r="AX358" s="2" t="str">
        <f>IF(Registered!AI358=0,"",Registered!AI358&amp;" BG")</f>
        <v/>
      </c>
      <c r="AY358" s="2" t="str">
        <f>IF(Registered!AG358=0,"",Registered!AG358&amp;" DustMask")</f>
        <v/>
      </c>
    </row>
    <row r="359" spans="1:51" customFormat="1" x14ac:dyDescent="0.25">
      <c r="A359" t="s">
        <v>434</v>
      </c>
      <c r="B359" t="s">
        <v>943</v>
      </c>
      <c r="C359" t="s">
        <v>6090</v>
      </c>
      <c r="D359" t="s">
        <v>3937</v>
      </c>
      <c r="F359" t="s">
        <v>261</v>
      </c>
      <c r="I359" t="s">
        <v>3938</v>
      </c>
      <c r="J359" t="s">
        <v>37</v>
      </c>
      <c r="K359" t="s">
        <v>32</v>
      </c>
      <c r="L359" t="s">
        <v>35</v>
      </c>
      <c r="Q359">
        <v>2</v>
      </c>
      <c r="R359">
        <v>3</v>
      </c>
      <c r="U359">
        <v>1</v>
      </c>
      <c r="V359">
        <v>20</v>
      </c>
      <c r="AQ359">
        <v>26</v>
      </c>
      <c r="AR359" s="3">
        <f t="shared" si="15"/>
        <v>10</v>
      </c>
      <c r="AS359" s="3">
        <f t="shared" si="16"/>
        <v>0</v>
      </c>
      <c r="AT359" s="3" t="str">
        <f>IF(OR(Registered!AM359&gt;0,Registered!AO359&gt;0),(IF(Registered!E359=0,"Size Not Specified",Registered!E359)),"")</f>
        <v/>
      </c>
      <c r="AU359" s="3" t="str">
        <f>IF(Registered!AE359=0,"",IF(Registered!AE359=1,Registered!AE359&amp;" Bandana",Registered!AE359&amp;" Bandanas"))</f>
        <v/>
      </c>
      <c r="AV359" s="3">
        <f t="shared" si="17"/>
        <v>0</v>
      </c>
      <c r="AW359" s="2" t="str">
        <f>IF(Registered!AV359=0,"",IF(Registered!AV359=1,Registered!AV359&amp;" Meal",Registered!AV359&amp;" Meals"))</f>
        <v/>
      </c>
      <c r="AX359" s="2" t="str">
        <f>IF(Registered!AI359=0,"",Registered!AI359&amp;" BG")</f>
        <v/>
      </c>
      <c r="AY359" s="2" t="str">
        <f>IF(Registered!AG359=0,"",Registered!AG359&amp;" DustMask")</f>
        <v/>
      </c>
    </row>
    <row r="360" spans="1:51" customFormat="1" x14ac:dyDescent="0.25">
      <c r="A360" t="s">
        <v>1557</v>
      </c>
      <c r="B360" t="s">
        <v>3939</v>
      </c>
      <c r="C360" t="s">
        <v>6090</v>
      </c>
      <c r="G360" t="s">
        <v>1354</v>
      </c>
      <c r="H360" t="s">
        <v>3062</v>
      </c>
      <c r="I360" t="s">
        <v>3940</v>
      </c>
      <c r="J360" t="s">
        <v>37</v>
      </c>
      <c r="K360" t="s">
        <v>32</v>
      </c>
      <c r="L360" t="s">
        <v>35</v>
      </c>
      <c r="AQ360">
        <v>0</v>
      </c>
      <c r="AR360" s="3">
        <f t="shared" si="15"/>
        <v>0</v>
      </c>
      <c r="AS360" s="3">
        <f t="shared" si="16"/>
        <v>0</v>
      </c>
      <c r="AT360" s="3" t="str">
        <f>IF(OR(Registered!AM360&gt;0,Registered!AO360&gt;0),(IF(Registered!E360=0,"Size Not Specified",Registered!E360)),"")</f>
        <v/>
      </c>
      <c r="AU360" s="3" t="str">
        <f>IF(Registered!AE360=0,"",IF(Registered!AE360=1,Registered!AE360&amp;" Bandana",Registered!AE360&amp;" Bandanas"))</f>
        <v/>
      </c>
      <c r="AV360" s="3">
        <f t="shared" si="17"/>
        <v>0</v>
      </c>
      <c r="AW360" s="2" t="str">
        <f>IF(Registered!AV360=0,"",IF(Registered!AV360=1,Registered!AV360&amp;" Meal",Registered!AV360&amp;" Meals"))</f>
        <v/>
      </c>
      <c r="AX360" s="2" t="str">
        <f>IF(Registered!AI360=0,"",Registered!AI360&amp;" BG")</f>
        <v/>
      </c>
      <c r="AY360" s="2" t="str">
        <f>IF(Registered!AG360=0,"",Registered!AG360&amp;" DustMask")</f>
        <v/>
      </c>
    </row>
    <row r="361" spans="1:51" customFormat="1" x14ac:dyDescent="0.25">
      <c r="A361" t="s">
        <v>225</v>
      </c>
      <c r="B361" t="s">
        <v>947</v>
      </c>
      <c r="C361" t="s">
        <v>6090</v>
      </c>
      <c r="G361" t="s">
        <v>256</v>
      </c>
      <c r="H361" t="s">
        <v>948</v>
      </c>
      <c r="I361" t="s">
        <v>949</v>
      </c>
      <c r="J361" t="s">
        <v>37</v>
      </c>
      <c r="K361" t="s">
        <v>32</v>
      </c>
      <c r="L361" t="s">
        <v>35</v>
      </c>
      <c r="AQ361">
        <v>0</v>
      </c>
      <c r="AR361" s="3">
        <f t="shared" si="15"/>
        <v>0</v>
      </c>
      <c r="AS361" s="3">
        <f t="shared" si="16"/>
        <v>0</v>
      </c>
      <c r="AT361" s="3" t="str">
        <f>IF(OR(Registered!AM361&gt;0,Registered!AO361&gt;0),(IF(Registered!E361=0,"Size Not Specified",Registered!E361)),"")</f>
        <v/>
      </c>
      <c r="AU361" s="3" t="str">
        <f>IF(Registered!AE361=0,"",IF(Registered!AE361=1,Registered!AE361&amp;" Bandana",Registered!AE361&amp;" Bandanas"))</f>
        <v/>
      </c>
      <c r="AV361" s="3">
        <f t="shared" si="17"/>
        <v>0</v>
      </c>
      <c r="AW361" s="2" t="str">
        <f>IF(Registered!AV361=0,"",IF(Registered!AV361=1,Registered!AV361&amp;" Meal",Registered!AV361&amp;" Meals"))</f>
        <v/>
      </c>
      <c r="AX361" s="2" t="str">
        <f>IF(Registered!AI361=0,"",Registered!AI361&amp;" BG")</f>
        <v/>
      </c>
      <c r="AY361" s="2" t="str">
        <f>IF(Registered!AG361=0,"",Registered!AG361&amp;" DustMask")</f>
        <v/>
      </c>
    </row>
    <row r="362" spans="1:51" customFormat="1" x14ac:dyDescent="0.25">
      <c r="A362" t="s">
        <v>188</v>
      </c>
      <c r="B362" t="s">
        <v>3943</v>
      </c>
      <c r="C362" t="s">
        <v>6090</v>
      </c>
      <c r="G362" t="s">
        <v>1016</v>
      </c>
      <c r="H362" t="s">
        <v>3943</v>
      </c>
      <c r="I362" t="s">
        <v>3944</v>
      </c>
      <c r="J362" t="s">
        <v>37</v>
      </c>
      <c r="K362" t="s">
        <v>32</v>
      </c>
      <c r="L362" t="s">
        <v>35</v>
      </c>
      <c r="AQ362">
        <v>0</v>
      </c>
      <c r="AR362" s="3">
        <f t="shared" si="15"/>
        <v>0</v>
      </c>
      <c r="AS362" s="3">
        <f t="shared" si="16"/>
        <v>0</v>
      </c>
      <c r="AT362" s="3" t="str">
        <f>IF(OR(Registered!AM362&gt;0,Registered!AO362&gt;0),(IF(Registered!E362=0,"Size Not Specified",Registered!E362)),"")</f>
        <v/>
      </c>
      <c r="AU362" s="3" t="str">
        <f>IF(Registered!AE362=0,"",IF(Registered!AE362=1,Registered!AE362&amp;" Bandana",Registered!AE362&amp;" Bandanas"))</f>
        <v/>
      </c>
      <c r="AV362" s="3">
        <f t="shared" si="17"/>
        <v>0</v>
      </c>
      <c r="AW362" s="2" t="str">
        <f>IF(Registered!AV362=0,"",IF(Registered!AV362=1,Registered!AV362&amp;" Meal",Registered!AV362&amp;" Meals"))</f>
        <v/>
      </c>
      <c r="AX362" s="2" t="str">
        <f>IF(Registered!AI362=0,"",Registered!AI362&amp;" BG")</f>
        <v/>
      </c>
      <c r="AY362" s="2" t="str">
        <f>IF(Registered!AG362=0,"",Registered!AG362&amp;" DustMask")</f>
        <v/>
      </c>
    </row>
    <row r="363" spans="1:51" customFormat="1" x14ac:dyDescent="0.25">
      <c r="A363" t="s">
        <v>3945</v>
      </c>
      <c r="B363" t="s">
        <v>3943</v>
      </c>
      <c r="C363" t="s">
        <v>6090</v>
      </c>
      <c r="G363" t="s">
        <v>1016</v>
      </c>
      <c r="H363" t="s">
        <v>3943</v>
      </c>
      <c r="I363" t="s">
        <v>3944</v>
      </c>
      <c r="J363" t="s">
        <v>37</v>
      </c>
      <c r="K363" t="s">
        <v>32</v>
      </c>
      <c r="L363" t="s">
        <v>35</v>
      </c>
      <c r="AQ363">
        <v>0</v>
      </c>
      <c r="AR363" s="3">
        <f t="shared" si="15"/>
        <v>0</v>
      </c>
      <c r="AS363" s="3">
        <f t="shared" si="16"/>
        <v>0</v>
      </c>
      <c r="AT363" s="3" t="str">
        <f>IF(OR(Registered!AM363&gt;0,Registered!AO363&gt;0),(IF(Registered!E363=0,"Size Not Specified",Registered!E363)),"")</f>
        <v/>
      </c>
      <c r="AU363" s="3" t="str">
        <f>IF(Registered!AE363=0,"",IF(Registered!AE363=1,Registered!AE363&amp;" Bandana",Registered!AE363&amp;" Bandanas"))</f>
        <v/>
      </c>
      <c r="AV363" s="3">
        <f t="shared" si="17"/>
        <v>0</v>
      </c>
      <c r="AW363" s="2" t="str">
        <f>IF(Registered!AV363=0,"",IF(Registered!AV363=1,Registered!AV363&amp;" Meal",Registered!AV363&amp;" Meals"))</f>
        <v/>
      </c>
      <c r="AX363" s="2" t="str">
        <f>IF(Registered!AI363=0,"",Registered!AI363&amp;" BG")</f>
        <v/>
      </c>
      <c r="AY363" s="2" t="str">
        <f>IF(Registered!AG363=0,"",Registered!AG363&amp;" DustMask")</f>
        <v/>
      </c>
    </row>
    <row r="364" spans="1:51" customFormat="1" x14ac:dyDescent="0.25">
      <c r="A364" t="s">
        <v>3946</v>
      </c>
      <c r="B364" t="s">
        <v>3943</v>
      </c>
      <c r="C364" t="s">
        <v>6090</v>
      </c>
      <c r="G364" t="s">
        <v>1016</v>
      </c>
      <c r="H364" t="s">
        <v>3943</v>
      </c>
      <c r="I364" t="s">
        <v>3944</v>
      </c>
      <c r="J364" t="s">
        <v>37</v>
      </c>
      <c r="K364" t="s">
        <v>32</v>
      </c>
      <c r="L364" t="s">
        <v>35</v>
      </c>
      <c r="AQ364">
        <v>0</v>
      </c>
      <c r="AR364" s="3">
        <f t="shared" si="15"/>
        <v>0</v>
      </c>
      <c r="AS364" s="3">
        <f t="shared" si="16"/>
        <v>0</v>
      </c>
      <c r="AT364" s="3" t="str">
        <f>IF(OR(Registered!AM364&gt;0,Registered!AO364&gt;0),(IF(Registered!E364=0,"Size Not Specified",Registered!E364)),"")</f>
        <v/>
      </c>
      <c r="AU364" s="3" t="str">
        <f>IF(Registered!AE364=0,"",IF(Registered!AE364=1,Registered!AE364&amp;" Bandana",Registered!AE364&amp;" Bandanas"))</f>
        <v/>
      </c>
      <c r="AV364" s="3">
        <f t="shared" si="17"/>
        <v>0</v>
      </c>
      <c r="AW364" s="2" t="str">
        <f>IF(Registered!AV364=0,"",IF(Registered!AV364=1,Registered!AV364&amp;" Meal",Registered!AV364&amp;" Meals"))</f>
        <v/>
      </c>
      <c r="AX364" s="2" t="str">
        <f>IF(Registered!AI364=0,"",Registered!AI364&amp;" BG")</f>
        <v/>
      </c>
      <c r="AY364" s="2" t="str">
        <f>IF(Registered!AG364=0,"",Registered!AG364&amp;" DustMask")</f>
        <v/>
      </c>
    </row>
    <row r="365" spans="1:51" customFormat="1" x14ac:dyDescent="0.25">
      <c r="A365" t="s">
        <v>2727</v>
      </c>
      <c r="B365" t="s">
        <v>3943</v>
      </c>
      <c r="C365" t="s">
        <v>6090</v>
      </c>
      <c r="G365" t="s">
        <v>1016</v>
      </c>
      <c r="H365" t="s">
        <v>3943</v>
      </c>
      <c r="I365" t="s">
        <v>3944</v>
      </c>
      <c r="J365" t="s">
        <v>37</v>
      </c>
      <c r="K365" t="s">
        <v>32</v>
      </c>
      <c r="L365" t="s">
        <v>35</v>
      </c>
      <c r="AQ365">
        <v>0</v>
      </c>
      <c r="AR365" s="3">
        <f t="shared" si="15"/>
        <v>0</v>
      </c>
      <c r="AS365" s="3">
        <f t="shared" si="16"/>
        <v>0</v>
      </c>
      <c r="AT365" s="3" t="str">
        <f>IF(OR(Registered!AM365&gt;0,Registered!AO365&gt;0),(IF(Registered!E365=0,"Size Not Specified",Registered!E365)),"")</f>
        <v/>
      </c>
      <c r="AU365" s="3" t="str">
        <f>IF(Registered!AE365=0,"",IF(Registered!AE365=1,Registered!AE365&amp;" Bandana",Registered!AE365&amp;" Bandanas"))</f>
        <v/>
      </c>
      <c r="AV365" s="3">
        <f t="shared" si="17"/>
        <v>0</v>
      </c>
      <c r="AW365" s="2" t="str">
        <f>IF(Registered!AV365=0,"",IF(Registered!AV365=1,Registered!AV365&amp;" Meal",Registered!AV365&amp;" Meals"))</f>
        <v/>
      </c>
      <c r="AX365" s="2" t="str">
        <f>IF(Registered!AI365=0,"",Registered!AI365&amp;" BG")</f>
        <v/>
      </c>
      <c r="AY365" s="2" t="str">
        <f>IF(Registered!AG365=0,"",Registered!AG365&amp;" DustMask")</f>
        <v/>
      </c>
    </row>
    <row r="366" spans="1:51" customFormat="1" x14ac:dyDescent="0.25">
      <c r="A366" t="s">
        <v>452</v>
      </c>
      <c r="B366" t="s">
        <v>3943</v>
      </c>
      <c r="C366" t="s">
        <v>6090</v>
      </c>
      <c r="G366" t="s">
        <v>1016</v>
      </c>
      <c r="H366" t="s">
        <v>3943</v>
      </c>
      <c r="I366" t="s">
        <v>3944</v>
      </c>
      <c r="J366" t="s">
        <v>37</v>
      </c>
      <c r="K366" t="s">
        <v>32</v>
      </c>
      <c r="L366" t="s">
        <v>35</v>
      </c>
      <c r="AQ366">
        <v>0</v>
      </c>
      <c r="AR366" s="3">
        <f t="shared" si="15"/>
        <v>0</v>
      </c>
      <c r="AS366" s="3">
        <f t="shared" si="16"/>
        <v>0</v>
      </c>
      <c r="AT366" s="3" t="str">
        <f>IF(OR(Registered!AM366&gt;0,Registered!AO366&gt;0),(IF(Registered!E366=0,"Size Not Specified",Registered!E366)),"")</f>
        <v/>
      </c>
      <c r="AU366" s="3" t="str">
        <f>IF(Registered!AE366=0,"",IF(Registered!AE366=1,Registered!AE366&amp;" Bandana",Registered!AE366&amp;" Bandanas"))</f>
        <v/>
      </c>
      <c r="AV366" s="3">
        <f t="shared" si="17"/>
        <v>0</v>
      </c>
      <c r="AW366" s="2" t="str">
        <f>IF(Registered!AV366=0,"",IF(Registered!AV366=1,Registered!AV366&amp;" Meal",Registered!AV366&amp;" Meals"))</f>
        <v/>
      </c>
      <c r="AX366" s="2" t="str">
        <f>IF(Registered!AI366=0,"",Registered!AI366&amp;" BG")</f>
        <v/>
      </c>
      <c r="AY366" s="2" t="str">
        <f>IF(Registered!AG366=0,"",Registered!AG366&amp;" DustMask")</f>
        <v/>
      </c>
    </row>
    <row r="367" spans="1:51" customFormat="1" x14ac:dyDescent="0.25">
      <c r="A367" t="s">
        <v>1016</v>
      </c>
      <c r="B367" t="s">
        <v>3943</v>
      </c>
      <c r="C367" t="s">
        <v>6090</v>
      </c>
      <c r="D367" t="s">
        <v>3947</v>
      </c>
      <c r="F367" t="s">
        <v>261</v>
      </c>
      <c r="I367" t="s">
        <v>3944</v>
      </c>
      <c r="J367" t="s">
        <v>37</v>
      </c>
      <c r="K367" t="s">
        <v>32</v>
      </c>
      <c r="L367" t="s">
        <v>35</v>
      </c>
      <c r="Q367">
        <v>6</v>
      </c>
      <c r="R367">
        <v>3</v>
      </c>
      <c r="U367">
        <v>1</v>
      </c>
      <c r="V367">
        <v>20</v>
      </c>
      <c r="AQ367">
        <v>38</v>
      </c>
      <c r="AR367" s="3">
        <f t="shared" si="15"/>
        <v>10</v>
      </c>
      <c r="AS367" s="3">
        <f t="shared" si="16"/>
        <v>0</v>
      </c>
      <c r="AT367" s="3" t="str">
        <f>IF(OR(Registered!AM367&gt;0,Registered!AO367&gt;0),(IF(Registered!E367=0,"Size Not Specified",Registered!E367)),"")</f>
        <v/>
      </c>
      <c r="AU367" s="3" t="str">
        <f>IF(Registered!AE367=0,"",IF(Registered!AE367=1,Registered!AE367&amp;" Bandana",Registered!AE367&amp;" Bandanas"))</f>
        <v/>
      </c>
      <c r="AV367" s="3">
        <f t="shared" si="17"/>
        <v>0</v>
      </c>
      <c r="AW367" s="2" t="str">
        <f>IF(Registered!AV367=0,"",IF(Registered!AV367=1,Registered!AV367&amp;" Meal",Registered!AV367&amp;" Meals"))</f>
        <v/>
      </c>
      <c r="AX367" s="2" t="str">
        <f>IF(Registered!AI367=0,"",Registered!AI367&amp;" BG")</f>
        <v/>
      </c>
      <c r="AY367" s="2" t="str">
        <f>IF(Registered!AG367=0,"",Registered!AG367&amp;" DustMask")</f>
        <v/>
      </c>
    </row>
    <row r="368" spans="1:51" customFormat="1" x14ac:dyDescent="0.25">
      <c r="A368" t="s">
        <v>951</v>
      </c>
      <c r="B368" t="s">
        <v>952</v>
      </c>
      <c r="C368" t="s">
        <v>6090</v>
      </c>
      <c r="G368" t="s">
        <v>953</v>
      </c>
      <c r="H368" t="s">
        <v>278</v>
      </c>
      <c r="I368" t="s">
        <v>2807</v>
      </c>
      <c r="J368" t="s">
        <v>37</v>
      </c>
      <c r="K368" t="s">
        <v>32</v>
      </c>
      <c r="L368" t="s">
        <v>35</v>
      </c>
      <c r="AQ368">
        <v>0</v>
      </c>
      <c r="AR368" s="3">
        <f t="shared" si="15"/>
        <v>0</v>
      </c>
      <c r="AS368" s="3">
        <f t="shared" si="16"/>
        <v>0</v>
      </c>
      <c r="AT368" s="3" t="str">
        <f>IF(OR(Registered!AM368&gt;0,Registered!AO368&gt;0),(IF(Registered!E368=0,"Size Not Specified",Registered!E368)),"")</f>
        <v/>
      </c>
      <c r="AU368" s="3" t="str">
        <f>IF(Registered!AE368=0,"",IF(Registered!AE368=1,Registered!AE368&amp;" Bandana",Registered!AE368&amp;" Bandanas"))</f>
        <v/>
      </c>
      <c r="AV368" s="3">
        <f t="shared" si="17"/>
        <v>0</v>
      </c>
      <c r="AW368" s="2" t="str">
        <f>IF(Registered!AV368=0,"",IF(Registered!AV368=1,Registered!AV368&amp;" Meal",Registered!AV368&amp;" Meals"))</f>
        <v/>
      </c>
      <c r="AX368" s="2" t="str">
        <f>IF(Registered!AI368=0,"",Registered!AI368&amp;" BG")</f>
        <v/>
      </c>
      <c r="AY368" s="2" t="str">
        <f>IF(Registered!AG368=0,"",Registered!AG368&amp;" DustMask")</f>
        <v/>
      </c>
    </row>
    <row r="369" spans="1:51" customFormat="1" x14ac:dyDescent="0.25">
      <c r="A369" t="s">
        <v>131</v>
      </c>
      <c r="B369" t="s">
        <v>3948</v>
      </c>
      <c r="C369" t="s">
        <v>6090</v>
      </c>
      <c r="G369" t="s">
        <v>393</v>
      </c>
      <c r="H369" t="s">
        <v>486</v>
      </c>
      <c r="I369" t="s">
        <v>3949</v>
      </c>
      <c r="J369" t="s">
        <v>37</v>
      </c>
      <c r="K369" t="s">
        <v>32</v>
      </c>
      <c r="L369" t="s">
        <v>35</v>
      </c>
      <c r="AQ369">
        <v>0</v>
      </c>
      <c r="AR369" s="3">
        <f t="shared" si="15"/>
        <v>0</v>
      </c>
      <c r="AS369" s="3">
        <f t="shared" si="16"/>
        <v>0</v>
      </c>
      <c r="AT369" s="3" t="str">
        <f>IF(OR(Registered!AM369&gt;0,Registered!AO369&gt;0),(IF(Registered!E369=0,"Size Not Specified",Registered!E369)),"")</f>
        <v/>
      </c>
      <c r="AU369" s="3" t="str">
        <f>IF(Registered!AE369=0,"",IF(Registered!AE369=1,Registered!AE369&amp;" Bandana",Registered!AE369&amp;" Bandanas"))</f>
        <v/>
      </c>
      <c r="AV369" s="3">
        <f t="shared" si="17"/>
        <v>0</v>
      </c>
      <c r="AW369" s="2" t="str">
        <f>IF(Registered!AV369=0,"",IF(Registered!AV369=1,Registered!AV369&amp;" Meal",Registered!AV369&amp;" Meals"))</f>
        <v/>
      </c>
      <c r="AX369" s="2" t="str">
        <f>IF(Registered!AI369=0,"",Registered!AI369&amp;" BG")</f>
        <v/>
      </c>
      <c r="AY369" s="2" t="str">
        <f>IF(Registered!AG369=0,"",Registered!AG369&amp;" DustMask")</f>
        <v/>
      </c>
    </row>
    <row r="370" spans="1:51" customFormat="1" x14ac:dyDescent="0.25">
      <c r="A370" t="s">
        <v>3950</v>
      </c>
      <c r="B370" t="s">
        <v>3951</v>
      </c>
      <c r="C370" t="s">
        <v>6090</v>
      </c>
      <c r="D370" t="s">
        <v>3952</v>
      </c>
      <c r="F370" t="s">
        <v>261</v>
      </c>
      <c r="I370" t="s">
        <v>3953</v>
      </c>
      <c r="J370" t="s">
        <v>37</v>
      </c>
      <c r="K370" t="s">
        <v>32</v>
      </c>
      <c r="L370" t="s">
        <v>35</v>
      </c>
      <c r="Q370">
        <v>2</v>
      </c>
      <c r="R370">
        <v>3</v>
      </c>
      <c r="AC370">
        <v>1</v>
      </c>
      <c r="AD370">
        <v>10</v>
      </c>
      <c r="AQ370">
        <v>16</v>
      </c>
      <c r="AR370" s="3">
        <f t="shared" si="15"/>
        <v>5</v>
      </c>
      <c r="AS370" s="3">
        <f t="shared" si="16"/>
        <v>0</v>
      </c>
      <c r="AT370" s="3" t="str">
        <f>IF(OR(Registered!AM370&gt;0,Registered!AO370&gt;0),(IF(Registered!E370=0,"Size Not Specified",Registered!E370)),"")</f>
        <v/>
      </c>
      <c r="AU370" s="3" t="str">
        <f>IF(Registered!AE370=0,"",IF(Registered!AE370=1,Registered!AE370&amp;" Bandana",Registered!AE370&amp;" Bandanas"))</f>
        <v/>
      </c>
      <c r="AV370" s="3">
        <f t="shared" si="17"/>
        <v>0</v>
      </c>
      <c r="AW370" s="2" t="str">
        <f>IF(Registered!AV370=0,"",IF(Registered!AV370=1,Registered!AV370&amp;" Meal",Registered!AV370&amp;" Meals"))</f>
        <v/>
      </c>
      <c r="AX370" s="2" t="str">
        <f>IF(Registered!AI370=0,"",Registered!AI370&amp;" BG")</f>
        <v/>
      </c>
      <c r="AY370" s="2" t="str">
        <f>IF(Registered!AG370=0,"",Registered!AG370&amp;" DustMask")</f>
        <v/>
      </c>
    </row>
    <row r="371" spans="1:51" customFormat="1" x14ac:dyDescent="0.25">
      <c r="A371" t="s">
        <v>3954</v>
      </c>
      <c r="B371" t="s">
        <v>3951</v>
      </c>
      <c r="C371" t="s">
        <v>6090</v>
      </c>
      <c r="G371" t="s">
        <v>3950</v>
      </c>
      <c r="H371" t="s">
        <v>3951</v>
      </c>
      <c r="I371" t="s">
        <v>3953</v>
      </c>
      <c r="J371" t="s">
        <v>37</v>
      </c>
      <c r="K371" t="s">
        <v>32</v>
      </c>
      <c r="L371" t="s">
        <v>35</v>
      </c>
      <c r="AQ371">
        <v>0</v>
      </c>
      <c r="AR371" s="3">
        <f t="shared" si="15"/>
        <v>0</v>
      </c>
      <c r="AS371" s="3">
        <f t="shared" si="16"/>
        <v>0</v>
      </c>
      <c r="AT371" s="3" t="str">
        <f>IF(OR(Registered!AM371&gt;0,Registered!AO371&gt;0),(IF(Registered!E371=0,"Size Not Specified",Registered!E371)),"")</f>
        <v/>
      </c>
      <c r="AU371" s="3" t="str">
        <f>IF(Registered!AE371=0,"",IF(Registered!AE371=1,Registered!AE371&amp;" Bandana",Registered!AE371&amp;" Bandanas"))</f>
        <v/>
      </c>
      <c r="AV371" s="3">
        <f t="shared" si="17"/>
        <v>0</v>
      </c>
      <c r="AW371" s="2" t="str">
        <f>IF(Registered!AV371=0,"",IF(Registered!AV371=1,Registered!AV371&amp;" Meal",Registered!AV371&amp;" Meals"))</f>
        <v/>
      </c>
      <c r="AX371" s="2" t="str">
        <f>IF(Registered!AI371=0,"",Registered!AI371&amp;" BG")</f>
        <v/>
      </c>
      <c r="AY371" s="2" t="str">
        <f>IF(Registered!AG371=0,"",Registered!AG371&amp;" DustMask")</f>
        <v/>
      </c>
    </row>
    <row r="372" spans="1:51" customFormat="1" x14ac:dyDescent="0.25">
      <c r="A372" t="s">
        <v>398</v>
      </c>
      <c r="B372" t="s">
        <v>954</v>
      </c>
      <c r="C372" t="s">
        <v>6090</v>
      </c>
      <c r="D372" t="s">
        <v>955</v>
      </c>
      <c r="E372" t="s">
        <v>956</v>
      </c>
      <c r="I372" t="s">
        <v>957</v>
      </c>
      <c r="J372" t="s">
        <v>37</v>
      </c>
      <c r="K372" t="s">
        <v>32</v>
      </c>
      <c r="L372" t="s">
        <v>35</v>
      </c>
      <c r="O372">
        <v>1</v>
      </c>
      <c r="P372">
        <v>3</v>
      </c>
      <c r="AC372">
        <v>1</v>
      </c>
      <c r="AD372">
        <v>10</v>
      </c>
      <c r="AO372">
        <v>1</v>
      </c>
      <c r="AP372">
        <v>10</v>
      </c>
      <c r="AQ372">
        <v>23</v>
      </c>
      <c r="AR372" s="3">
        <f t="shared" si="15"/>
        <v>5</v>
      </c>
      <c r="AS372" s="3">
        <f t="shared" si="16"/>
        <v>1</v>
      </c>
      <c r="AT372" s="3" t="str">
        <f>IF(OR(Registered!AM372&gt;0,Registered!AO372&gt;0),(IF(Registered!E372=0,"Size Not Specified",Registered!E372)),"")</f>
        <v>X-large</v>
      </c>
      <c r="AU372" s="3" t="str">
        <f>IF(Registered!AE372=0,"",IF(Registered!AE372=1,Registered!AE372&amp;" Bandana",Registered!AE372&amp;" Bandanas"))</f>
        <v/>
      </c>
      <c r="AV372" s="3">
        <f t="shared" si="17"/>
        <v>0</v>
      </c>
      <c r="AW372" s="2" t="str">
        <f>IF(Registered!AV372=0,"",IF(Registered!AV372=1,Registered!AV372&amp;" Meal",Registered!AV372&amp;" Meals"))</f>
        <v/>
      </c>
      <c r="AX372" s="2" t="str">
        <f>IF(Registered!AI372=0,"",Registered!AI372&amp;" BG")</f>
        <v/>
      </c>
      <c r="AY372" s="2" t="str">
        <f>IF(Registered!AG372=0,"",Registered!AG372&amp;" DustMask")</f>
        <v/>
      </c>
    </row>
    <row r="373" spans="1:51" customFormat="1" x14ac:dyDescent="0.25">
      <c r="A373" t="s">
        <v>958</v>
      </c>
      <c r="B373" t="s">
        <v>959</v>
      </c>
      <c r="C373" t="s">
        <v>6090</v>
      </c>
      <c r="G373" t="s">
        <v>901</v>
      </c>
      <c r="H373" t="s">
        <v>101</v>
      </c>
      <c r="I373" t="s">
        <v>904</v>
      </c>
      <c r="J373" t="s">
        <v>37</v>
      </c>
      <c r="K373" t="s">
        <v>32</v>
      </c>
      <c r="L373" t="s">
        <v>35</v>
      </c>
      <c r="AQ373">
        <v>0</v>
      </c>
      <c r="AR373" s="3">
        <f t="shared" si="15"/>
        <v>0</v>
      </c>
      <c r="AS373" s="3">
        <f t="shared" si="16"/>
        <v>0</v>
      </c>
      <c r="AT373" s="3" t="str">
        <f>IF(OR(Registered!AM373&gt;0,Registered!AO373&gt;0),(IF(Registered!E373=0,"Size Not Specified",Registered!E373)),"")</f>
        <v/>
      </c>
      <c r="AU373" s="3" t="str">
        <f>IF(Registered!AE373=0,"",IF(Registered!AE373=1,Registered!AE373&amp;" Bandana",Registered!AE373&amp;" Bandanas"))</f>
        <v/>
      </c>
      <c r="AV373" s="3">
        <f t="shared" si="17"/>
        <v>0</v>
      </c>
      <c r="AW373" s="2" t="str">
        <f>IF(Registered!AV373=0,"",IF(Registered!AV373=1,Registered!AV373&amp;" Meal",Registered!AV373&amp;" Meals"))</f>
        <v/>
      </c>
      <c r="AX373" s="2" t="str">
        <f>IF(Registered!AI373=0,"",Registered!AI373&amp;" BG")</f>
        <v/>
      </c>
      <c r="AY373" s="2" t="str">
        <f>IF(Registered!AG373=0,"",Registered!AG373&amp;" DustMask")</f>
        <v/>
      </c>
    </row>
    <row r="374" spans="1:51" customFormat="1" x14ac:dyDescent="0.25">
      <c r="A374" t="s">
        <v>438</v>
      </c>
      <c r="B374" t="s">
        <v>960</v>
      </c>
      <c r="C374" t="s">
        <v>6090</v>
      </c>
      <c r="D374" t="s">
        <v>961</v>
      </c>
      <c r="F374" t="s">
        <v>261</v>
      </c>
      <c r="I374" t="s">
        <v>962</v>
      </c>
      <c r="J374" t="s">
        <v>37</v>
      </c>
      <c r="K374" t="s">
        <v>32</v>
      </c>
      <c r="L374" t="s">
        <v>35</v>
      </c>
      <c r="S374">
        <v>1</v>
      </c>
      <c r="T374">
        <v>3</v>
      </c>
      <c r="AC374">
        <v>1</v>
      </c>
      <c r="AD374">
        <v>10</v>
      </c>
      <c r="AQ374">
        <v>13</v>
      </c>
      <c r="AR374" s="3">
        <f t="shared" si="15"/>
        <v>5</v>
      </c>
      <c r="AS374" s="3">
        <f t="shared" si="16"/>
        <v>0</v>
      </c>
      <c r="AT374" s="3" t="str">
        <f>IF(OR(Registered!AM374&gt;0,Registered!AO374&gt;0),(IF(Registered!E374=0,"Size Not Specified",Registered!E374)),"")</f>
        <v/>
      </c>
      <c r="AU374" s="3" t="str">
        <f>IF(Registered!AE374=0,"",IF(Registered!AE374=1,Registered!AE374&amp;" Bandana",Registered!AE374&amp;" Bandanas"))</f>
        <v/>
      </c>
      <c r="AV374" s="3">
        <f t="shared" si="17"/>
        <v>0</v>
      </c>
      <c r="AW374" s="2" t="str">
        <f>IF(Registered!AV374=0,"",IF(Registered!AV374=1,Registered!AV374&amp;" Meal",Registered!AV374&amp;" Meals"))</f>
        <v/>
      </c>
      <c r="AX374" s="2" t="str">
        <f>IF(Registered!AI374=0,"",Registered!AI374&amp;" BG")</f>
        <v/>
      </c>
      <c r="AY374" s="2" t="str">
        <f>IF(Registered!AG374=0,"",Registered!AG374&amp;" DustMask")</f>
        <v/>
      </c>
    </row>
    <row r="375" spans="1:51" customFormat="1" x14ac:dyDescent="0.25">
      <c r="A375" t="s">
        <v>3399</v>
      </c>
      <c r="B375" t="s">
        <v>3959</v>
      </c>
      <c r="C375" t="s">
        <v>6090</v>
      </c>
      <c r="G375" t="s">
        <v>3960</v>
      </c>
      <c r="H375" t="s">
        <v>630</v>
      </c>
      <c r="I375" t="s">
        <v>3961</v>
      </c>
      <c r="J375" t="s">
        <v>37</v>
      </c>
      <c r="K375" t="s">
        <v>32</v>
      </c>
      <c r="L375" t="s">
        <v>35</v>
      </c>
      <c r="AQ375">
        <v>0</v>
      </c>
      <c r="AR375" s="3">
        <f t="shared" si="15"/>
        <v>0</v>
      </c>
      <c r="AS375" s="3">
        <f t="shared" si="16"/>
        <v>0</v>
      </c>
      <c r="AT375" s="3" t="str">
        <f>IF(OR(Registered!AM375&gt;0,Registered!AO375&gt;0),(IF(Registered!E375=0,"Size Not Specified",Registered!E375)),"")</f>
        <v/>
      </c>
      <c r="AU375" s="3" t="str">
        <f>IF(Registered!AE375=0,"",IF(Registered!AE375=1,Registered!AE375&amp;" Bandana",Registered!AE375&amp;" Bandanas"))</f>
        <v/>
      </c>
      <c r="AV375" s="3">
        <f t="shared" si="17"/>
        <v>0</v>
      </c>
      <c r="AW375" s="2" t="str">
        <f>IF(Registered!AV375=0,"",IF(Registered!AV375=1,Registered!AV375&amp;" Meal",Registered!AV375&amp;" Meals"))</f>
        <v/>
      </c>
      <c r="AX375" s="2" t="str">
        <f>IF(Registered!AI375=0,"",Registered!AI375&amp;" BG")</f>
        <v/>
      </c>
      <c r="AY375" s="2" t="str">
        <f>IF(Registered!AG375=0,"",Registered!AG375&amp;" DustMask")</f>
        <v/>
      </c>
    </row>
    <row r="376" spans="1:51" customFormat="1" x14ac:dyDescent="0.25">
      <c r="A376" t="s">
        <v>2808</v>
      </c>
      <c r="B376" t="s">
        <v>2809</v>
      </c>
      <c r="C376" t="s">
        <v>6090</v>
      </c>
      <c r="G376" t="s">
        <v>102</v>
      </c>
      <c r="H376" t="s">
        <v>2809</v>
      </c>
      <c r="I376" t="s">
        <v>2810</v>
      </c>
      <c r="J376" t="s">
        <v>37</v>
      </c>
      <c r="K376" t="s">
        <v>32</v>
      </c>
      <c r="L376" t="s">
        <v>35</v>
      </c>
      <c r="AQ376">
        <v>0</v>
      </c>
      <c r="AR376" s="3">
        <f t="shared" si="15"/>
        <v>0</v>
      </c>
      <c r="AS376" s="3">
        <f t="shared" si="16"/>
        <v>0</v>
      </c>
      <c r="AT376" s="3" t="str">
        <f>IF(OR(Registered!AM376&gt;0,Registered!AO376&gt;0),(IF(Registered!E376=0,"Size Not Specified",Registered!E376)),"")</f>
        <v/>
      </c>
      <c r="AU376" s="3" t="str">
        <f>IF(Registered!AE376=0,"",IF(Registered!AE376=1,Registered!AE376&amp;" Bandana",Registered!AE376&amp;" Bandanas"))</f>
        <v/>
      </c>
      <c r="AV376" s="3">
        <f t="shared" si="17"/>
        <v>0</v>
      </c>
      <c r="AW376" s="2" t="str">
        <f>IF(Registered!AV376=0,"",IF(Registered!AV376=1,Registered!AV376&amp;" Meal",Registered!AV376&amp;" Meals"))</f>
        <v/>
      </c>
      <c r="AX376" s="2" t="str">
        <f>IF(Registered!AI376=0,"",Registered!AI376&amp;" BG")</f>
        <v/>
      </c>
      <c r="AY376" s="2" t="str">
        <f>IF(Registered!AG376=0,"",Registered!AG376&amp;" DustMask")</f>
        <v/>
      </c>
    </row>
    <row r="377" spans="1:51" customFormat="1" x14ac:dyDescent="0.25">
      <c r="A377" t="s">
        <v>202</v>
      </c>
      <c r="B377" t="s">
        <v>2809</v>
      </c>
      <c r="C377" t="s">
        <v>6090</v>
      </c>
      <c r="D377" t="s">
        <v>202</v>
      </c>
      <c r="F377" t="s">
        <v>261</v>
      </c>
      <c r="I377" t="s">
        <v>3962</v>
      </c>
      <c r="J377" t="s">
        <v>37</v>
      </c>
      <c r="K377" t="s">
        <v>32</v>
      </c>
      <c r="L377" t="s">
        <v>35</v>
      </c>
      <c r="Q377">
        <v>3</v>
      </c>
      <c r="R377">
        <v>3</v>
      </c>
      <c r="AC377">
        <v>1</v>
      </c>
      <c r="AD377">
        <v>10</v>
      </c>
      <c r="AQ377">
        <v>19</v>
      </c>
      <c r="AR377" s="3">
        <f t="shared" si="15"/>
        <v>5</v>
      </c>
      <c r="AS377" s="3">
        <f t="shared" si="16"/>
        <v>0</v>
      </c>
      <c r="AT377" s="3" t="str">
        <f>IF(OR(Registered!AM377&gt;0,Registered!AO377&gt;0),(IF(Registered!E377=0,"Size Not Specified",Registered!E377)),"")</f>
        <v/>
      </c>
      <c r="AU377" s="3" t="str">
        <f>IF(Registered!AE377=0,"",IF(Registered!AE377=1,Registered!AE377&amp;" Bandana",Registered!AE377&amp;" Bandanas"))</f>
        <v/>
      </c>
      <c r="AV377" s="3">
        <f t="shared" si="17"/>
        <v>0</v>
      </c>
      <c r="AW377" s="2" t="str">
        <f>IF(Registered!AV377=0,"",IF(Registered!AV377=1,Registered!AV377&amp;" Meal",Registered!AV377&amp;" Meals"))</f>
        <v/>
      </c>
      <c r="AX377" s="2" t="str">
        <f>IF(Registered!AI377=0,"",Registered!AI377&amp;" BG")</f>
        <v/>
      </c>
      <c r="AY377" s="2" t="str">
        <f>IF(Registered!AG377=0,"",Registered!AG377&amp;" DustMask")</f>
        <v/>
      </c>
    </row>
    <row r="378" spans="1:51" customFormat="1" x14ac:dyDescent="0.25">
      <c r="A378" t="s">
        <v>253</v>
      </c>
      <c r="B378" t="s">
        <v>2809</v>
      </c>
      <c r="C378" t="s">
        <v>6090</v>
      </c>
      <c r="G378" t="s">
        <v>1035</v>
      </c>
      <c r="H378" t="s">
        <v>2778</v>
      </c>
      <c r="I378" t="s">
        <v>3832</v>
      </c>
      <c r="J378" t="s">
        <v>37</v>
      </c>
      <c r="K378" t="s">
        <v>32</v>
      </c>
      <c r="L378" t="s">
        <v>35</v>
      </c>
      <c r="AQ378">
        <v>0</v>
      </c>
      <c r="AR378" s="3">
        <f t="shared" si="15"/>
        <v>0</v>
      </c>
      <c r="AS378" s="3">
        <f t="shared" si="16"/>
        <v>0</v>
      </c>
      <c r="AT378" s="3" t="str">
        <f>IF(OR(Registered!AM378&gt;0,Registered!AO378&gt;0),(IF(Registered!E378=0,"Size Not Specified",Registered!E378)),"")</f>
        <v/>
      </c>
      <c r="AU378" s="3" t="str">
        <f>IF(Registered!AE378=0,"",IF(Registered!AE378=1,Registered!AE378&amp;" Bandana",Registered!AE378&amp;" Bandanas"))</f>
        <v/>
      </c>
      <c r="AV378" s="3">
        <f t="shared" si="17"/>
        <v>0</v>
      </c>
      <c r="AW378" s="2" t="str">
        <f>IF(Registered!AV378=0,"",IF(Registered!AV378=1,Registered!AV378&amp;" Meal",Registered!AV378&amp;" Meals"))</f>
        <v/>
      </c>
      <c r="AX378" s="2" t="str">
        <f>IF(Registered!AI378=0,"",Registered!AI378&amp;" BG")</f>
        <v/>
      </c>
      <c r="AY378" s="2" t="str">
        <f>IF(Registered!AG378=0,"",Registered!AG378&amp;" DustMask")</f>
        <v/>
      </c>
    </row>
    <row r="379" spans="1:51" customFormat="1" x14ac:dyDescent="0.25">
      <c r="A379" t="s">
        <v>102</v>
      </c>
      <c r="B379" t="s">
        <v>2809</v>
      </c>
      <c r="C379" t="s">
        <v>6090</v>
      </c>
      <c r="D379" t="s">
        <v>2811</v>
      </c>
      <c r="F379" t="s">
        <v>261</v>
      </c>
      <c r="I379" t="s">
        <v>2810</v>
      </c>
      <c r="J379" t="s">
        <v>37</v>
      </c>
      <c r="K379" t="s">
        <v>32</v>
      </c>
      <c r="L379" t="s">
        <v>35</v>
      </c>
      <c r="Q379">
        <v>2</v>
      </c>
      <c r="R379">
        <v>3</v>
      </c>
      <c r="U379">
        <v>1</v>
      </c>
      <c r="V379">
        <v>20</v>
      </c>
      <c r="AE379">
        <v>1</v>
      </c>
      <c r="AF379">
        <v>6</v>
      </c>
      <c r="AQ379">
        <v>32</v>
      </c>
      <c r="AR379" s="3">
        <f t="shared" si="15"/>
        <v>10</v>
      </c>
      <c r="AS379" s="3">
        <f t="shared" si="16"/>
        <v>0</v>
      </c>
      <c r="AT379" s="3" t="str">
        <f>IF(OR(Registered!AM379&gt;0,Registered!AO379&gt;0),(IF(Registered!E379=0,"Size Not Specified",Registered!E379)),"")</f>
        <v/>
      </c>
      <c r="AU379" s="3" t="str">
        <f>IF(Registered!AE379=0,"",IF(Registered!AE379=1,Registered!AE379&amp;" Bandana",Registered!AE379&amp;" Bandanas"))</f>
        <v>1 Bandana</v>
      </c>
      <c r="AV379" s="3">
        <f t="shared" si="17"/>
        <v>0</v>
      </c>
      <c r="AW379" s="2" t="str">
        <f>IF(Registered!AV379=0,"",IF(Registered!AV379=1,Registered!AV379&amp;" Meal",Registered!AV379&amp;" Meals"))</f>
        <v/>
      </c>
      <c r="AX379" s="2" t="str">
        <f>IF(Registered!AI379=0,"",Registered!AI379&amp;" BG")</f>
        <v/>
      </c>
      <c r="AY379" s="2" t="str">
        <f>IF(Registered!AG379=0,"",Registered!AG379&amp;" DustMask")</f>
        <v/>
      </c>
    </row>
    <row r="380" spans="1:51" customFormat="1" x14ac:dyDescent="0.25">
      <c r="A380" t="s">
        <v>63</v>
      </c>
      <c r="B380" t="s">
        <v>963</v>
      </c>
      <c r="C380" t="s">
        <v>6090</v>
      </c>
      <c r="G380" t="s">
        <v>420</v>
      </c>
      <c r="H380" t="s">
        <v>964</v>
      </c>
      <c r="I380" t="s">
        <v>965</v>
      </c>
      <c r="J380" t="s">
        <v>37</v>
      </c>
      <c r="K380" t="s">
        <v>32</v>
      </c>
      <c r="L380" t="s">
        <v>35</v>
      </c>
      <c r="AQ380">
        <v>0</v>
      </c>
      <c r="AR380" s="3">
        <f t="shared" si="15"/>
        <v>0</v>
      </c>
      <c r="AS380" s="3">
        <f t="shared" si="16"/>
        <v>0</v>
      </c>
      <c r="AT380" s="3" t="str">
        <f>IF(OR(Registered!AM380&gt;0,Registered!AO380&gt;0),(IF(Registered!E380=0,"Size Not Specified",Registered!E380)),"")</f>
        <v/>
      </c>
      <c r="AU380" s="3" t="str">
        <f>IF(Registered!AE380=0,"",IF(Registered!AE380=1,Registered!AE380&amp;" Bandana",Registered!AE380&amp;" Bandanas"))</f>
        <v/>
      </c>
      <c r="AV380" s="3">
        <f t="shared" si="17"/>
        <v>0</v>
      </c>
      <c r="AW380" s="2" t="str">
        <f>IF(Registered!AV380=0,"",IF(Registered!AV380=1,Registered!AV380&amp;" Meal",Registered!AV380&amp;" Meals"))</f>
        <v/>
      </c>
      <c r="AX380" s="2" t="str">
        <f>IF(Registered!AI380=0,"",Registered!AI380&amp;" BG")</f>
        <v/>
      </c>
      <c r="AY380" s="2" t="str">
        <f>IF(Registered!AG380=0,"",Registered!AG380&amp;" DustMask")</f>
        <v/>
      </c>
    </row>
    <row r="381" spans="1:51" customFormat="1" x14ac:dyDescent="0.25">
      <c r="A381" t="s">
        <v>56</v>
      </c>
      <c r="B381" t="s">
        <v>3963</v>
      </c>
      <c r="C381" t="s">
        <v>6090</v>
      </c>
      <c r="G381" t="s">
        <v>3964</v>
      </c>
      <c r="H381" t="s">
        <v>3965</v>
      </c>
      <c r="I381" t="s">
        <v>3966</v>
      </c>
      <c r="J381" t="s">
        <v>37</v>
      </c>
      <c r="K381" t="s">
        <v>32</v>
      </c>
      <c r="L381" t="s">
        <v>35</v>
      </c>
      <c r="AQ381">
        <v>0</v>
      </c>
      <c r="AR381" s="3">
        <f t="shared" si="15"/>
        <v>0</v>
      </c>
      <c r="AS381" s="3">
        <f t="shared" si="16"/>
        <v>0</v>
      </c>
      <c r="AT381" s="3" t="str">
        <f>IF(OR(Registered!AM381&gt;0,Registered!AO381&gt;0),(IF(Registered!E381=0,"Size Not Specified",Registered!E381)),"")</f>
        <v/>
      </c>
      <c r="AU381" s="3" t="str">
        <f>IF(Registered!AE381=0,"",IF(Registered!AE381=1,Registered!AE381&amp;" Bandana",Registered!AE381&amp;" Bandanas"))</f>
        <v/>
      </c>
      <c r="AV381" s="3">
        <f t="shared" si="17"/>
        <v>0</v>
      </c>
      <c r="AW381" s="2" t="str">
        <f>IF(Registered!AV381=0,"",IF(Registered!AV381=1,Registered!AV381&amp;" Meal",Registered!AV381&amp;" Meals"))</f>
        <v/>
      </c>
      <c r="AX381" s="2" t="str">
        <f>IF(Registered!AI381=0,"",Registered!AI381&amp;" BG")</f>
        <v/>
      </c>
      <c r="AY381" s="2" t="str">
        <f>IF(Registered!AG381=0,"",Registered!AG381&amp;" DustMask")</f>
        <v/>
      </c>
    </row>
    <row r="382" spans="1:51" customFormat="1" x14ac:dyDescent="0.25">
      <c r="A382" t="s">
        <v>3967</v>
      </c>
      <c r="B382" t="s">
        <v>3968</v>
      </c>
      <c r="C382" t="s">
        <v>6090</v>
      </c>
      <c r="G382" t="s">
        <v>92</v>
      </c>
      <c r="H382" t="s">
        <v>2773</v>
      </c>
      <c r="I382" t="s">
        <v>3828</v>
      </c>
      <c r="J382" t="s">
        <v>37</v>
      </c>
      <c r="K382" t="s">
        <v>32</v>
      </c>
      <c r="L382" t="s">
        <v>35</v>
      </c>
      <c r="AQ382">
        <v>0</v>
      </c>
      <c r="AR382" s="3">
        <f t="shared" si="15"/>
        <v>0</v>
      </c>
      <c r="AS382" s="3">
        <f t="shared" si="16"/>
        <v>0</v>
      </c>
      <c r="AT382" s="3" t="str">
        <f>IF(OR(Registered!AM382&gt;0,Registered!AO382&gt;0),(IF(Registered!E382=0,"Size Not Specified",Registered!E382)),"")</f>
        <v/>
      </c>
      <c r="AU382" s="3" t="str">
        <f>IF(Registered!AE382=0,"",IF(Registered!AE382=1,Registered!AE382&amp;" Bandana",Registered!AE382&amp;" Bandanas"))</f>
        <v/>
      </c>
      <c r="AV382" s="3">
        <f t="shared" si="17"/>
        <v>0</v>
      </c>
      <c r="AW382" s="2" t="str">
        <f>IF(Registered!AV382=0,"",IF(Registered!AV382=1,Registered!AV382&amp;" Meal",Registered!AV382&amp;" Meals"))</f>
        <v/>
      </c>
      <c r="AX382" s="2" t="str">
        <f>IF(Registered!AI382=0,"",Registered!AI382&amp;" BG")</f>
        <v/>
      </c>
      <c r="AY382" s="2" t="str">
        <f>IF(Registered!AG382=0,"",Registered!AG382&amp;" DustMask")</f>
        <v/>
      </c>
    </row>
    <row r="383" spans="1:51" customFormat="1" x14ac:dyDescent="0.25">
      <c r="A383" t="s">
        <v>3969</v>
      </c>
      <c r="B383" t="s">
        <v>3970</v>
      </c>
      <c r="C383" t="s">
        <v>6090</v>
      </c>
      <c r="G383" t="s">
        <v>3971</v>
      </c>
      <c r="H383" t="s">
        <v>1651</v>
      </c>
      <c r="I383" t="s">
        <v>3972</v>
      </c>
      <c r="J383" t="s">
        <v>37</v>
      </c>
      <c r="K383" t="s">
        <v>32</v>
      </c>
      <c r="L383" t="s">
        <v>35</v>
      </c>
      <c r="AQ383">
        <v>0</v>
      </c>
      <c r="AR383" s="3">
        <f t="shared" si="15"/>
        <v>0</v>
      </c>
      <c r="AS383" s="3">
        <f t="shared" si="16"/>
        <v>0</v>
      </c>
      <c r="AT383" s="3" t="str">
        <f>IF(OR(Registered!AM383&gt;0,Registered!AO383&gt;0),(IF(Registered!E383=0,"Size Not Specified",Registered!E383)),"")</f>
        <v/>
      </c>
      <c r="AU383" s="3" t="str">
        <f>IF(Registered!AE383=0,"",IF(Registered!AE383=1,Registered!AE383&amp;" Bandana",Registered!AE383&amp;" Bandanas"))</f>
        <v/>
      </c>
      <c r="AV383" s="3">
        <f t="shared" si="17"/>
        <v>0</v>
      </c>
      <c r="AW383" s="2" t="str">
        <f>IF(Registered!AV383=0,"",IF(Registered!AV383=1,Registered!AV383&amp;" Meal",Registered!AV383&amp;" Meals"))</f>
        <v/>
      </c>
      <c r="AX383" s="2" t="str">
        <f>IF(Registered!AI383=0,"",Registered!AI383&amp;" BG")</f>
        <v/>
      </c>
      <c r="AY383" s="2" t="str">
        <f>IF(Registered!AG383=0,"",Registered!AG383&amp;" DustMask")</f>
        <v/>
      </c>
    </row>
    <row r="384" spans="1:51" customFormat="1" x14ac:dyDescent="0.25">
      <c r="A384" t="s">
        <v>111</v>
      </c>
      <c r="B384" t="s">
        <v>3970</v>
      </c>
      <c r="C384" t="s">
        <v>6090</v>
      </c>
      <c r="D384" t="s">
        <v>3973</v>
      </c>
      <c r="F384" t="s">
        <v>261</v>
      </c>
      <c r="I384" t="s">
        <v>3974</v>
      </c>
      <c r="J384" t="s">
        <v>37</v>
      </c>
      <c r="K384" t="s">
        <v>32</v>
      </c>
      <c r="L384" t="s">
        <v>35</v>
      </c>
      <c r="Q384">
        <v>3</v>
      </c>
      <c r="R384">
        <v>3</v>
      </c>
      <c r="U384">
        <v>1</v>
      </c>
      <c r="V384">
        <v>20</v>
      </c>
      <c r="AQ384">
        <v>29</v>
      </c>
      <c r="AR384" s="3">
        <f t="shared" si="15"/>
        <v>10</v>
      </c>
      <c r="AS384" s="3">
        <f t="shared" si="16"/>
        <v>0</v>
      </c>
      <c r="AT384" s="3" t="str">
        <f>IF(OR(Registered!AM384&gt;0,Registered!AO384&gt;0),(IF(Registered!E384=0,"Size Not Specified",Registered!E384)),"")</f>
        <v/>
      </c>
      <c r="AU384" s="3" t="str">
        <f>IF(Registered!AE384=0,"",IF(Registered!AE384=1,Registered!AE384&amp;" Bandana",Registered!AE384&amp;" Bandanas"))</f>
        <v/>
      </c>
      <c r="AV384" s="3">
        <f t="shared" si="17"/>
        <v>0</v>
      </c>
      <c r="AW384" s="2" t="str">
        <f>IF(Registered!AV384=0,"",IF(Registered!AV384=1,Registered!AV384&amp;" Meal",Registered!AV384&amp;" Meals"))</f>
        <v/>
      </c>
      <c r="AX384" s="2" t="str">
        <f>IF(Registered!AI384=0,"",Registered!AI384&amp;" BG")</f>
        <v/>
      </c>
      <c r="AY384" s="2" t="str">
        <f>IF(Registered!AG384=0,"",Registered!AG384&amp;" DustMask")</f>
        <v/>
      </c>
    </row>
    <row r="385" spans="1:51" customFormat="1" x14ac:dyDescent="0.25">
      <c r="A385" t="s">
        <v>398</v>
      </c>
      <c r="B385" t="s">
        <v>3975</v>
      </c>
      <c r="C385" t="s">
        <v>6090</v>
      </c>
      <c r="D385" t="s">
        <v>3976</v>
      </c>
      <c r="F385" t="s">
        <v>261</v>
      </c>
      <c r="I385" t="s">
        <v>3977</v>
      </c>
      <c r="J385" t="s">
        <v>37</v>
      </c>
      <c r="K385" t="s">
        <v>32</v>
      </c>
      <c r="L385" t="s">
        <v>35</v>
      </c>
      <c r="Q385">
        <v>2</v>
      </c>
      <c r="R385">
        <v>3</v>
      </c>
      <c r="U385">
        <v>1</v>
      </c>
      <c r="V385">
        <v>20</v>
      </c>
      <c r="AQ385">
        <v>26</v>
      </c>
      <c r="AR385" s="3">
        <f t="shared" si="15"/>
        <v>10</v>
      </c>
      <c r="AS385" s="3">
        <f t="shared" si="16"/>
        <v>0</v>
      </c>
      <c r="AT385" s="3" t="str">
        <f>IF(OR(Registered!AM385&gt;0,Registered!AO385&gt;0),(IF(Registered!E385=0,"Size Not Specified",Registered!E385)),"")</f>
        <v/>
      </c>
      <c r="AU385" s="3" t="str">
        <f>IF(Registered!AE385=0,"",IF(Registered!AE385=1,Registered!AE385&amp;" Bandana",Registered!AE385&amp;" Bandanas"))</f>
        <v/>
      </c>
      <c r="AV385" s="3">
        <f t="shared" si="17"/>
        <v>0</v>
      </c>
      <c r="AW385" s="2" t="str">
        <f>IF(Registered!AV385=0,"",IF(Registered!AV385=1,Registered!AV385&amp;" Meal",Registered!AV385&amp;" Meals"))</f>
        <v/>
      </c>
      <c r="AX385" s="2" t="str">
        <f>IF(Registered!AI385=0,"",Registered!AI385&amp;" BG")</f>
        <v/>
      </c>
      <c r="AY385" s="2" t="str">
        <f>IF(Registered!AG385=0,"",Registered!AG385&amp;" DustMask")</f>
        <v/>
      </c>
    </row>
    <row r="386" spans="1:51" customFormat="1" x14ac:dyDescent="0.25">
      <c r="A386" t="s">
        <v>403</v>
      </c>
      <c r="B386" t="s">
        <v>3975</v>
      </c>
      <c r="C386" t="s">
        <v>6090</v>
      </c>
      <c r="G386" t="s">
        <v>398</v>
      </c>
      <c r="H386" t="s">
        <v>3975</v>
      </c>
      <c r="I386" t="s">
        <v>3977</v>
      </c>
      <c r="J386" t="s">
        <v>37</v>
      </c>
      <c r="K386" t="s">
        <v>32</v>
      </c>
      <c r="L386" t="s">
        <v>35</v>
      </c>
      <c r="AQ386">
        <v>0</v>
      </c>
      <c r="AR386" s="3">
        <f t="shared" ref="AR386:AR449" si="18">IF(ISTEXT(AM386)=TRUE,"",SUM(U386*10,W386*20,Y386*30,AA386*40,AC386*5,AM386*5))</f>
        <v>0</v>
      </c>
      <c r="AS386" s="3">
        <f t="shared" ref="AS386:AS449" si="19">IF(ISTEXT(AM386)=TRUE,"",SUM(AM386,AO386))</f>
        <v>0</v>
      </c>
      <c r="AT386" s="3" t="str">
        <f>IF(OR(Registered!AM386&gt;0,Registered!AO386&gt;0),(IF(Registered!E386=0,"Size Not Specified",Registered!E386)),"")</f>
        <v/>
      </c>
      <c r="AU386" s="3" t="str">
        <f>IF(Registered!AE386=0,"",IF(Registered!AE386=1,Registered!AE386&amp;" Bandana",Registered!AE386&amp;" Bandanas"))</f>
        <v/>
      </c>
      <c r="AV386" s="3">
        <f t="shared" ref="AV386:AV449" si="20">IF(ISTEXT(AM386)=TRUE,"",SUM(AM386,AK386))</f>
        <v>0</v>
      </c>
      <c r="AW386" s="2" t="str">
        <f>IF(Registered!AV386=0,"",IF(Registered!AV386=1,Registered!AV386&amp;" Meal",Registered!AV386&amp;" Meals"))</f>
        <v/>
      </c>
      <c r="AX386" s="2" t="str">
        <f>IF(Registered!AI386=0,"",Registered!AI386&amp;" BG")</f>
        <v/>
      </c>
      <c r="AY386" s="2" t="str">
        <f>IF(Registered!AG386=0,"",Registered!AG386&amp;" DustMask")</f>
        <v/>
      </c>
    </row>
    <row r="387" spans="1:51" customFormat="1" x14ac:dyDescent="0.25">
      <c r="A387" t="s">
        <v>429</v>
      </c>
      <c r="B387" t="s">
        <v>322</v>
      </c>
      <c r="C387" t="s">
        <v>6090</v>
      </c>
      <c r="G387" t="s">
        <v>142</v>
      </c>
      <c r="H387" t="s">
        <v>129</v>
      </c>
      <c r="I387" t="s">
        <v>3978</v>
      </c>
      <c r="J387" t="s">
        <v>37</v>
      </c>
      <c r="K387" t="s">
        <v>32</v>
      </c>
      <c r="L387" t="s">
        <v>35</v>
      </c>
      <c r="AQ387">
        <v>0</v>
      </c>
      <c r="AR387" s="3">
        <f t="shared" si="18"/>
        <v>0</v>
      </c>
      <c r="AS387" s="3">
        <f t="shared" si="19"/>
        <v>0</v>
      </c>
      <c r="AT387" s="3" t="str">
        <f>IF(OR(Registered!AM387&gt;0,Registered!AO387&gt;0),(IF(Registered!E387=0,"Size Not Specified",Registered!E387)),"")</f>
        <v/>
      </c>
      <c r="AU387" s="3" t="str">
        <f>IF(Registered!AE387=0,"",IF(Registered!AE387=1,Registered!AE387&amp;" Bandana",Registered!AE387&amp;" Bandanas"))</f>
        <v/>
      </c>
      <c r="AV387" s="3">
        <f t="shared" si="20"/>
        <v>0</v>
      </c>
      <c r="AW387" s="2" t="str">
        <f>IF(Registered!AV387=0,"",IF(Registered!AV387=1,Registered!AV387&amp;" Meal",Registered!AV387&amp;" Meals"))</f>
        <v/>
      </c>
      <c r="AX387" s="2" t="str">
        <f>IF(Registered!AI387=0,"",Registered!AI387&amp;" BG")</f>
        <v/>
      </c>
      <c r="AY387" s="2" t="str">
        <f>IF(Registered!AG387=0,"",Registered!AG387&amp;" DustMask")</f>
        <v/>
      </c>
    </row>
    <row r="388" spans="1:51" customFormat="1" x14ac:dyDescent="0.25">
      <c r="A388" t="s">
        <v>3979</v>
      </c>
      <c r="B388" t="s">
        <v>3980</v>
      </c>
      <c r="C388" t="s">
        <v>6090</v>
      </c>
      <c r="D388" t="s">
        <v>3981</v>
      </c>
      <c r="I388" t="s">
        <v>3982</v>
      </c>
      <c r="J388" t="s">
        <v>37</v>
      </c>
      <c r="K388" t="s">
        <v>32</v>
      </c>
      <c r="L388" t="s">
        <v>35</v>
      </c>
      <c r="Q388">
        <v>1</v>
      </c>
      <c r="R388">
        <v>3</v>
      </c>
      <c r="W388">
        <v>1</v>
      </c>
      <c r="X388">
        <v>40</v>
      </c>
      <c r="AQ388">
        <v>43</v>
      </c>
      <c r="AR388" s="3">
        <f t="shared" si="18"/>
        <v>20</v>
      </c>
      <c r="AS388" s="3">
        <f t="shared" si="19"/>
        <v>0</v>
      </c>
      <c r="AT388" s="3" t="str">
        <f>IF(OR(Registered!AM388&gt;0,Registered!AO388&gt;0),(IF(Registered!E388=0,"Size Not Specified",Registered!E388)),"")</f>
        <v/>
      </c>
      <c r="AU388" s="3" t="str">
        <f>IF(Registered!AE388=0,"",IF(Registered!AE388=1,Registered!AE388&amp;" Bandana",Registered!AE388&amp;" Bandanas"))</f>
        <v/>
      </c>
      <c r="AV388" s="3">
        <f t="shared" si="20"/>
        <v>0</v>
      </c>
      <c r="AW388" s="2" t="str">
        <f>IF(Registered!AV388=0,"",IF(Registered!AV388=1,Registered!AV388&amp;" Meal",Registered!AV388&amp;" Meals"))</f>
        <v/>
      </c>
      <c r="AX388" s="2" t="str">
        <f>IF(Registered!AI388=0,"",Registered!AI388&amp;" BG")</f>
        <v/>
      </c>
      <c r="AY388" s="2" t="str">
        <f>IF(Registered!AG388=0,"",Registered!AG388&amp;" DustMask")</f>
        <v/>
      </c>
    </row>
    <row r="389" spans="1:51" customFormat="1" x14ac:dyDescent="0.25">
      <c r="A389" t="s">
        <v>3983</v>
      </c>
      <c r="B389" t="s">
        <v>113</v>
      </c>
      <c r="C389" t="s">
        <v>6090</v>
      </c>
      <c r="G389" t="s">
        <v>2856</v>
      </c>
      <c r="H389" t="s">
        <v>3984</v>
      </c>
      <c r="I389" t="s">
        <v>3985</v>
      </c>
      <c r="J389" t="s">
        <v>37</v>
      </c>
      <c r="K389" t="s">
        <v>32</v>
      </c>
      <c r="L389" t="s">
        <v>35</v>
      </c>
      <c r="AQ389">
        <v>0</v>
      </c>
      <c r="AR389" s="3">
        <f t="shared" si="18"/>
        <v>0</v>
      </c>
      <c r="AS389" s="3">
        <f t="shared" si="19"/>
        <v>0</v>
      </c>
      <c r="AT389" s="3" t="str">
        <f>IF(OR(Registered!AM389&gt;0,Registered!AO389&gt;0),(IF(Registered!E389=0,"Size Not Specified",Registered!E389)),"")</f>
        <v/>
      </c>
      <c r="AU389" s="3" t="str">
        <f>IF(Registered!AE389=0,"",IF(Registered!AE389=1,Registered!AE389&amp;" Bandana",Registered!AE389&amp;" Bandanas"))</f>
        <v/>
      </c>
      <c r="AV389" s="3">
        <f t="shared" si="20"/>
        <v>0</v>
      </c>
      <c r="AW389" s="2" t="str">
        <f>IF(Registered!AV389=0,"",IF(Registered!AV389=1,Registered!AV389&amp;" Meal",Registered!AV389&amp;" Meals"))</f>
        <v/>
      </c>
      <c r="AX389" s="2" t="str">
        <f>IF(Registered!AI389=0,"",Registered!AI389&amp;" BG")</f>
        <v/>
      </c>
      <c r="AY389" s="2" t="str">
        <f>IF(Registered!AG389=0,"",Registered!AG389&amp;" DustMask")</f>
        <v/>
      </c>
    </row>
    <row r="390" spans="1:51" customFormat="1" x14ac:dyDescent="0.25">
      <c r="A390" t="s">
        <v>3986</v>
      </c>
      <c r="B390" t="s">
        <v>113</v>
      </c>
      <c r="C390" t="s">
        <v>6090</v>
      </c>
      <c r="G390" t="s">
        <v>2856</v>
      </c>
      <c r="H390" t="s">
        <v>3984</v>
      </c>
      <c r="I390" t="s">
        <v>3985</v>
      </c>
      <c r="J390" t="s">
        <v>37</v>
      </c>
      <c r="K390" t="s">
        <v>32</v>
      </c>
      <c r="L390" t="s">
        <v>35</v>
      </c>
      <c r="AQ390">
        <v>0</v>
      </c>
      <c r="AR390" s="3">
        <f t="shared" si="18"/>
        <v>0</v>
      </c>
      <c r="AS390" s="3">
        <f t="shared" si="19"/>
        <v>0</v>
      </c>
      <c r="AT390" s="3" t="str">
        <f>IF(OR(Registered!AM390&gt;0,Registered!AO390&gt;0),(IF(Registered!E390=0,"Size Not Specified",Registered!E390)),"")</f>
        <v/>
      </c>
      <c r="AU390" s="3" t="str">
        <f>IF(Registered!AE390=0,"",IF(Registered!AE390=1,Registered!AE390&amp;" Bandana",Registered!AE390&amp;" Bandanas"))</f>
        <v/>
      </c>
      <c r="AV390" s="3">
        <f t="shared" si="20"/>
        <v>0</v>
      </c>
      <c r="AW390" s="2" t="str">
        <f>IF(Registered!AV390=0,"",IF(Registered!AV390=1,Registered!AV390&amp;" Meal",Registered!AV390&amp;" Meals"))</f>
        <v/>
      </c>
      <c r="AX390" s="2" t="str">
        <f>IF(Registered!AI390=0,"",Registered!AI390&amp;" BG")</f>
        <v/>
      </c>
      <c r="AY390" s="2" t="str">
        <f>IF(Registered!AG390=0,"",Registered!AG390&amp;" DustMask")</f>
        <v/>
      </c>
    </row>
    <row r="391" spans="1:51" customFormat="1" x14ac:dyDescent="0.25">
      <c r="A391" t="s">
        <v>500</v>
      </c>
      <c r="B391" t="s">
        <v>113</v>
      </c>
      <c r="C391" t="s">
        <v>6090</v>
      </c>
      <c r="D391" t="s">
        <v>2812</v>
      </c>
      <c r="F391" t="s">
        <v>261</v>
      </c>
      <c r="I391" t="s">
        <v>2671</v>
      </c>
      <c r="J391" t="s">
        <v>37</v>
      </c>
      <c r="K391" t="s">
        <v>32</v>
      </c>
      <c r="L391" t="s">
        <v>35</v>
      </c>
      <c r="Q391">
        <v>4</v>
      </c>
      <c r="R391">
        <v>3</v>
      </c>
      <c r="W391">
        <v>1</v>
      </c>
      <c r="X391">
        <v>40</v>
      </c>
      <c r="AQ391">
        <v>52</v>
      </c>
      <c r="AR391" s="3">
        <f t="shared" si="18"/>
        <v>20</v>
      </c>
      <c r="AS391" s="3">
        <f t="shared" si="19"/>
        <v>0</v>
      </c>
      <c r="AT391" s="3" t="str">
        <f>IF(OR(Registered!AM391&gt;0,Registered!AO391&gt;0),(IF(Registered!E391=0,"Size Not Specified",Registered!E391)),"")</f>
        <v/>
      </c>
      <c r="AU391" s="3" t="str">
        <f>IF(Registered!AE391=0,"",IF(Registered!AE391=1,Registered!AE391&amp;" Bandana",Registered!AE391&amp;" Bandanas"))</f>
        <v/>
      </c>
      <c r="AV391" s="3">
        <f t="shared" si="20"/>
        <v>0</v>
      </c>
      <c r="AW391" s="2" t="str">
        <f>IF(Registered!AV391=0,"",IF(Registered!AV391=1,Registered!AV391&amp;" Meal",Registered!AV391&amp;" Meals"))</f>
        <v/>
      </c>
      <c r="AX391" s="2" t="str">
        <f>IF(Registered!AI391=0,"",Registered!AI391&amp;" BG")</f>
        <v/>
      </c>
      <c r="AY391" s="2" t="str">
        <f>IF(Registered!AG391=0,"",Registered!AG391&amp;" DustMask")</f>
        <v/>
      </c>
    </row>
    <row r="392" spans="1:51" customFormat="1" x14ac:dyDescent="0.25">
      <c r="A392" t="s">
        <v>220</v>
      </c>
      <c r="B392" t="s">
        <v>113</v>
      </c>
      <c r="C392" t="s">
        <v>6090</v>
      </c>
      <c r="G392" t="s">
        <v>2856</v>
      </c>
      <c r="H392" t="s">
        <v>3984</v>
      </c>
      <c r="I392" t="s">
        <v>3985</v>
      </c>
      <c r="J392" t="s">
        <v>37</v>
      </c>
      <c r="K392" t="s">
        <v>32</v>
      </c>
      <c r="L392" t="s">
        <v>35</v>
      </c>
      <c r="AQ392">
        <v>0</v>
      </c>
      <c r="AR392" s="3">
        <f t="shared" si="18"/>
        <v>0</v>
      </c>
      <c r="AS392" s="3">
        <f t="shared" si="19"/>
        <v>0</v>
      </c>
      <c r="AT392" s="3" t="str">
        <f>IF(OR(Registered!AM392&gt;0,Registered!AO392&gt;0),(IF(Registered!E392=0,"Size Not Specified",Registered!E392)),"")</f>
        <v/>
      </c>
      <c r="AU392" s="3" t="str">
        <f>IF(Registered!AE392=0,"",IF(Registered!AE392=1,Registered!AE392&amp;" Bandana",Registered!AE392&amp;" Bandanas"))</f>
        <v/>
      </c>
      <c r="AV392" s="3">
        <f t="shared" si="20"/>
        <v>0</v>
      </c>
      <c r="AW392" s="2" t="str">
        <f>IF(Registered!AV392=0,"",IF(Registered!AV392=1,Registered!AV392&amp;" Meal",Registered!AV392&amp;" Meals"))</f>
        <v/>
      </c>
      <c r="AX392" s="2" t="str">
        <f>IF(Registered!AI392=0,"",Registered!AI392&amp;" BG")</f>
        <v/>
      </c>
      <c r="AY392" s="2" t="str">
        <f>IF(Registered!AG392=0,"",Registered!AG392&amp;" DustMask")</f>
        <v/>
      </c>
    </row>
    <row r="393" spans="1:51" customFormat="1" x14ac:dyDescent="0.25">
      <c r="A393" t="s">
        <v>970</v>
      </c>
      <c r="B393" t="s">
        <v>113</v>
      </c>
      <c r="C393" t="s">
        <v>6090</v>
      </c>
      <c r="G393" t="s">
        <v>500</v>
      </c>
      <c r="H393" t="s">
        <v>113</v>
      </c>
      <c r="I393" t="s">
        <v>2671</v>
      </c>
      <c r="J393" t="s">
        <v>37</v>
      </c>
      <c r="K393" t="s">
        <v>32</v>
      </c>
      <c r="L393" t="s">
        <v>35</v>
      </c>
      <c r="AQ393">
        <v>0</v>
      </c>
      <c r="AR393" s="3">
        <f t="shared" si="18"/>
        <v>0</v>
      </c>
      <c r="AS393" s="3">
        <f t="shared" si="19"/>
        <v>0</v>
      </c>
      <c r="AT393" s="3" t="str">
        <f>IF(OR(Registered!AM393&gt;0,Registered!AO393&gt;0),(IF(Registered!E393=0,"Size Not Specified",Registered!E393)),"")</f>
        <v/>
      </c>
      <c r="AU393" s="3" t="str">
        <f>IF(Registered!AE393=0,"",IF(Registered!AE393=1,Registered!AE393&amp;" Bandana",Registered!AE393&amp;" Bandanas"))</f>
        <v/>
      </c>
      <c r="AV393" s="3">
        <f t="shared" si="20"/>
        <v>0</v>
      </c>
      <c r="AW393" s="2" t="str">
        <f>IF(Registered!AV393=0,"",IF(Registered!AV393=1,Registered!AV393&amp;" Meal",Registered!AV393&amp;" Meals"))</f>
        <v/>
      </c>
      <c r="AX393" s="2" t="str">
        <f>IF(Registered!AI393=0,"",Registered!AI393&amp;" BG")</f>
        <v/>
      </c>
      <c r="AY393" s="2" t="str">
        <f>IF(Registered!AG393=0,"",Registered!AG393&amp;" DustMask")</f>
        <v/>
      </c>
    </row>
    <row r="394" spans="1:51" customFormat="1" x14ac:dyDescent="0.25">
      <c r="A394" t="s">
        <v>2120</v>
      </c>
      <c r="B394" t="s">
        <v>113</v>
      </c>
      <c r="C394" t="s">
        <v>6090</v>
      </c>
      <c r="G394" t="s">
        <v>91</v>
      </c>
      <c r="H394" t="s">
        <v>2936</v>
      </c>
      <c r="I394" t="s">
        <v>3991</v>
      </c>
      <c r="J394" t="s">
        <v>37</v>
      </c>
      <c r="K394" t="s">
        <v>32</v>
      </c>
      <c r="L394" t="s">
        <v>35</v>
      </c>
      <c r="AQ394">
        <v>0</v>
      </c>
      <c r="AR394" s="3">
        <f t="shared" si="18"/>
        <v>0</v>
      </c>
      <c r="AS394" s="3">
        <f t="shared" si="19"/>
        <v>0</v>
      </c>
      <c r="AT394" s="3" t="str">
        <f>IF(OR(Registered!AM394&gt;0,Registered!AO394&gt;0),(IF(Registered!E394=0,"Size Not Specified",Registered!E394)),"")</f>
        <v/>
      </c>
      <c r="AU394" s="3" t="str">
        <f>IF(Registered!AE394=0,"",IF(Registered!AE394=1,Registered!AE394&amp;" Bandana",Registered!AE394&amp;" Bandanas"))</f>
        <v/>
      </c>
      <c r="AV394" s="3">
        <f t="shared" si="20"/>
        <v>0</v>
      </c>
      <c r="AW394" s="2" t="str">
        <f>IF(Registered!AV394=0,"",IF(Registered!AV394=1,Registered!AV394&amp;" Meal",Registered!AV394&amp;" Meals"))</f>
        <v/>
      </c>
      <c r="AX394" s="2" t="str">
        <f>IF(Registered!AI394=0,"",Registered!AI394&amp;" BG")</f>
        <v/>
      </c>
      <c r="AY394" s="2" t="str">
        <f>IF(Registered!AG394=0,"",Registered!AG394&amp;" DustMask")</f>
        <v/>
      </c>
    </row>
    <row r="395" spans="1:51" customFormat="1" x14ac:dyDescent="0.25">
      <c r="A395" t="s">
        <v>971</v>
      </c>
      <c r="B395" t="s">
        <v>97</v>
      </c>
      <c r="C395" t="s">
        <v>6090</v>
      </c>
      <c r="G395" t="s">
        <v>972</v>
      </c>
      <c r="H395" t="s">
        <v>97</v>
      </c>
      <c r="I395" t="s">
        <v>973</v>
      </c>
      <c r="J395" t="s">
        <v>37</v>
      </c>
      <c r="K395" t="s">
        <v>32</v>
      </c>
      <c r="L395" t="s">
        <v>35</v>
      </c>
      <c r="AQ395">
        <v>0</v>
      </c>
      <c r="AR395" s="3">
        <f t="shared" si="18"/>
        <v>0</v>
      </c>
      <c r="AS395" s="3">
        <f t="shared" si="19"/>
        <v>0</v>
      </c>
      <c r="AT395" s="3" t="str">
        <f>IF(OR(Registered!AM395&gt;0,Registered!AO395&gt;0),(IF(Registered!E395=0,"Size Not Specified",Registered!E395)),"")</f>
        <v/>
      </c>
      <c r="AU395" s="3" t="str">
        <f>IF(Registered!AE395=0,"",IF(Registered!AE395=1,Registered!AE395&amp;" Bandana",Registered!AE395&amp;" Bandanas"))</f>
        <v/>
      </c>
      <c r="AV395" s="3">
        <f t="shared" si="20"/>
        <v>0</v>
      </c>
      <c r="AW395" s="2" t="str">
        <f>IF(Registered!AV395=0,"",IF(Registered!AV395=1,Registered!AV395&amp;" Meal",Registered!AV395&amp;" Meals"))</f>
        <v/>
      </c>
      <c r="AX395" s="2" t="str">
        <f>IF(Registered!AI395=0,"",Registered!AI395&amp;" BG")</f>
        <v/>
      </c>
      <c r="AY395" s="2" t="str">
        <f>IF(Registered!AG395=0,"",Registered!AG395&amp;" DustMask")</f>
        <v/>
      </c>
    </row>
    <row r="396" spans="1:51" customFormat="1" x14ac:dyDescent="0.25">
      <c r="A396" t="s">
        <v>972</v>
      </c>
      <c r="B396" t="s">
        <v>97</v>
      </c>
      <c r="C396" t="s">
        <v>6090</v>
      </c>
      <c r="D396" t="s">
        <v>974</v>
      </c>
      <c r="F396" t="s">
        <v>261</v>
      </c>
      <c r="I396" t="s">
        <v>973</v>
      </c>
      <c r="J396" t="s">
        <v>37</v>
      </c>
      <c r="K396" t="s">
        <v>32</v>
      </c>
      <c r="L396" t="s">
        <v>35</v>
      </c>
      <c r="S396">
        <v>2</v>
      </c>
      <c r="T396">
        <v>3</v>
      </c>
      <c r="U396">
        <v>1</v>
      </c>
      <c r="V396">
        <v>20</v>
      </c>
      <c r="AE396">
        <v>2</v>
      </c>
      <c r="AF396">
        <v>6</v>
      </c>
      <c r="AK396">
        <v>2</v>
      </c>
      <c r="AL396">
        <v>6</v>
      </c>
      <c r="AQ396">
        <v>50</v>
      </c>
      <c r="AR396" s="3">
        <f t="shared" si="18"/>
        <v>10</v>
      </c>
      <c r="AS396" s="3">
        <f t="shared" si="19"/>
        <v>0</v>
      </c>
      <c r="AT396" s="3" t="str">
        <f>IF(OR(Registered!AM396&gt;0,Registered!AO396&gt;0),(IF(Registered!E396=0,"Size Not Specified",Registered!E396)),"")</f>
        <v/>
      </c>
      <c r="AU396" s="3" t="str">
        <f>IF(Registered!AE396=0,"",IF(Registered!AE396=1,Registered!AE396&amp;" Bandana",Registered!AE396&amp;" Bandanas"))</f>
        <v>2 Bandanas</v>
      </c>
      <c r="AV396" s="3">
        <f t="shared" si="20"/>
        <v>2</v>
      </c>
      <c r="AW396" s="2" t="str">
        <f>IF(Registered!AV396=0,"",IF(Registered!AV396=1,Registered!AV396&amp;" Meal",Registered!AV396&amp;" Meals"))</f>
        <v>2 Meals</v>
      </c>
      <c r="AX396" s="2" t="str">
        <f>IF(Registered!AI396=0,"",Registered!AI396&amp;" BG")</f>
        <v/>
      </c>
      <c r="AY396" s="2" t="str">
        <f>IF(Registered!AG396=0,"",Registered!AG396&amp;" DustMask")</f>
        <v/>
      </c>
    </row>
    <row r="397" spans="1:51" customFormat="1" x14ac:dyDescent="0.25">
      <c r="A397" t="s">
        <v>496</v>
      </c>
      <c r="B397" t="s">
        <v>3992</v>
      </c>
      <c r="C397" t="s">
        <v>6090</v>
      </c>
      <c r="G397" t="s">
        <v>2605</v>
      </c>
      <c r="H397" t="s">
        <v>3993</v>
      </c>
      <c r="I397" t="s">
        <v>3994</v>
      </c>
      <c r="J397" t="s">
        <v>37</v>
      </c>
      <c r="K397" t="s">
        <v>32</v>
      </c>
      <c r="L397" t="s">
        <v>35</v>
      </c>
      <c r="AQ397">
        <v>0</v>
      </c>
      <c r="AR397" s="3">
        <f t="shared" si="18"/>
        <v>0</v>
      </c>
      <c r="AS397" s="3">
        <f t="shared" si="19"/>
        <v>0</v>
      </c>
      <c r="AT397" s="3" t="str">
        <f>IF(OR(Registered!AM397&gt;0,Registered!AO397&gt;0),(IF(Registered!E397=0,"Size Not Specified",Registered!E397)),"")</f>
        <v/>
      </c>
      <c r="AU397" s="3" t="str">
        <f>IF(Registered!AE397=0,"",IF(Registered!AE397=1,Registered!AE397&amp;" Bandana",Registered!AE397&amp;" Bandanas"))</f>
        <v/>
      </c>
      <c r="AV397" s="3">
        <f t="shared" si="20"/>
        <v>0</v>
      </c>
      <c r="AW397" s="2" t="str">
        <f>IF(Registered!AV397=0,"",IF(Registered!AV397=1,Registered!AV397&amp;" Meal",Registered!AV397&amp;" Meals"))</f>
        <v/>
      </c>
      <c r="AX397" s="2" t="str">
        <f>IF(Registered!AI397=0,"",Registered!AI397&amp;" BG")</f>
        <v/>
      </c>
      <c r="AY397" s="2" t="str">
        <f>IF(Registered!AG397=0,"",Registered!AG397&amp;" DustMask")</f>
        <v/>
      </c>
    </row>
    <row r="398" spans="1:51" customFormat="1" x14ac:dyDescent="0.25">
      <c r="A398" t="s">
        <v>299</v>
      </c>
      <c r="B398" t="s">
        <v>3657</v>
      </c>
      <c r="C398" t="s">
        <v>6090</v>
      </c>
      <c r="D398" t="s">
        <v>3995</v>
      </c>
      <c r="F398" t="s">
        <v>261</v>
      </c>
      <c r="I398" t="s">
        <v>3996</v>
      </c>
      <c r="J398" t="s">
        <v>37</v>
      </c>
      <c r="K398" t="s">
        <v>32</v>
      </c>
      <c r="L398" t="s">
        <v>35</v>
      </c>
      <c r="Q398">
        <v>5</v>
      </c>
      <c r="R398">
        <v>3</v>
      </c>
      <c r="AC398">
        <v>2</v>
      </c>
      <c r="AD398">
        <v>10</v>
      </c>
      <c r="AQ398">
        <v>35</v>
      </c>
      <c r="AR398" s="3">
        <f t="shared" si="18"/>
        <v>10</v>
      </c>
      <c r="AS398" s="3">
        <f t="shared" si="19"/>
        <v>0</v>
      </c>
      <c r="AT398" s="3" t="str">
        <f>IF(OR(Registered!AM398&gt;0,Registered!AO398&gt;0),(IF(Registered!E398=0,"Size Not Specified",Registered!E398)),"")</f>
        <v/>
      </c>
      <c r="AU398" s="3" t="str">
        <f>IF(Registered!AE398=0,"",IF(Registered!AE398=1,Registered!AE398&amp;" Bandana",Registered!AE398&amp;" Bandanas"))</f>
        <v/>
      </c>
      <c r="AV398" s="3">
        <f t="shared" si="20"/>
        <v>0</v>
      </c>
      <c r="AW398" s="2" t="str">
        <f>IF(Registered!AV398=0,"",IF(Registered!AV398=1,Registered!AV398&amp;" Meal",Registered!AV398&amp;" Meals"))</f>
        <v/>
      </c>
      <c r="AX398" s="2" t="str">
        <f>IF(Registered!AI398=0,"",Registered!AI398&amp;" BG")</f>
        <v/>
      </c>
      <c r="AY398" s="2" t="str">
        <f>IF(Registered!AG398=0,"",Registered!AG398&amp;" DustMask")</f>
        <v/>
      </c>
    </row>
    <row r="399" spans="1:51" customFormat="1" x14ac:dyDescent="0.25">
      <c r="A399" t="s">
        <v>3998</v>
      </c>
      <c r="B399" t="s">
        <v>3657</v>
      </c>
      <c r="C399" t="s">
        <v>6090</v>
      </c>
      <c r="D399" t="s">
        <v>3999</v>
      </c>
      <c r="F399" t="s">
        <v>261</v>
      </c>
      <c r="I399" t="s">
        <v>4000</v>
      </c>
      <c r="J399" t="s">
        <v>37</v>
      </c>
      <c r="K399" t="s">
        <v>32</v>
      </c>
      <c r="L399" t="s">
        <v>35</v>
      </c>
      <c r="Q399">
        <v>1</v>
      </c>
      <c r="R399">
        <v>3</v>
      </c>
      <c r="AC399">
        <v>1</v>
      </c>
      <c r="AD399">
        <v>10</v>
      </c>
      <c r="AQ399">
        <v>13</v>
      </c>
      <c r="AR399" s="3">
        <f t="shared" si="18"/>
        <v>5</v>
      </c>
      <c r="AS399" s="3">
        <f t="shared" si="19"/>
        <v>0</v>
      </c>
      <c r="AT399" s="3" t="str">
        <f>IF(OR(Registered!AM399&gt;0,Registered!AO399&gt;0),(IF(Registered!E399=0,"Size Not Specified",Registered!E399)),"")</f>
        <v/>
      </c>
      <c r="AU399" s="3" t="str">
        <f>IF(Registered!AE399=0,"",IF(Registered!AE399=1,Registered!AE399&amp;" Bandana",Registered!AE399&amp;" Bandanas"))</f>
        <v/>
      </c>
      <c r="AV399" s="3">
        <f t="shared" si="20"/>
        <v>0</v>
      </c>
      <c r="AW399" s="2" t="str">
        <f>IF(Registered!AV399=0,"",IF(Registered!AV399=1,Registered!AV399&amp;" Meal",Registered!AV399&amp;" Meals"))</f>
        <v/>
      </c>
      <c r="AX399" s="2" t="str">
        <f>IF(Registered!AI399=0,"",Registered!AI399&amp;" BG")</f>
        <v/>
      </c>
      <c r="AY399" s="2" t="str">
        <f>IF(Registered!AG399=0,"",Registered!AG399&amp;" DustMask")</f>
        <v/>
      </c>
    </row>
    <row r="400" spans="1:51" customFormat="1" x14ac:dyDescent="0.25">
      <c r="A400" t="s">
        <v>4001</v>
      </c>
      <c r="B400" t="s">
        <v>3657</v>
      </c>
      <c r="C400" t="s">
        <v>6090</v>
      </c>
      <c r="G400" t="s">
        <v>299</v>
      </c>
      <c r="H400" t="s">
        <v>3657</v>
      </c>
      <c r="I400" t="s">
        <v>3996</v>
      </c>
      <c r="J400" t="s">
        <v>37</v>
      </c>
      <c r="K400" t="s">
        <v>32</v>
      </c>
      <c r="L400" t="s">
        <v>35</v>
      </c>
      <c r="AQ400">
        <v>0</v>
      </c>
      <c r="AR400" s="3">
        <f t="shared" si="18"/>
        <v>0</v>
      </c>
      <c r="AS400" s="3">
        <f t="shared" si="19"/>
        <v>0</v>
      </c>
      <c r="AT400" s="3" t="str">
        <f>IF(OR(Registered!AM400&gt;0,Registered!AO400&gt;0),(IF(Registered!E400=0,"Size Not Specified",Registered!E400)),"")</f>
        <v/>
      </c>
      <c r="AU400" s="3" t="str">
        <f>IF(Registered!AE400=0,"",IF(Registered!AE400=1,Registered!AE400&amp;" Bandana",Registered!AE400&amp;" Bandanas"))</f>
        <v/>
      </c>
      <c r="AV400" s="3">
        <f t="shared" si="20"/>
        <v>0</v>
      </c>
      <c r="AW400" s="2" t="str">
        <f>IF(Registered!AV400=0,"",IF(Registered!AV400=1,Registered!AV400&amp;" Meal",Registered!AV400&amp;" Meals"))</f>
        <v/>
      </c>
      <c r="AX400" s="2" t="str">
        <f>IF(Registered!AI400=0,"",Registered!AI400&amp;" BG")</f>
        <v/>
      </c>
      <c r="AY400" s="2" t="str">
        <f>IF(Registered!AG400=0,"",Registered!AG400&amp;" DustMask")</f>
        <v/>
      </c>
    </row>
    <row r="401" spans="1:51" customFormat="1" x14ac:dyDescent="0.25">
      <c r="A401" t="s">
        <v>3526</v>
      </c>
      <c r="B401" t="s">
        <v>4002</v>
      </c>
      <c r="C401" t="s">
        <v>6090</v>
      </c>
      <c r="D401" t="s">
        <v>70</v>
      </c>
      <c r="F401" t="s">
        <v>261</v>
      </c>
      <c r="I401" t="s">
        <v>4003</v>
      </c>
      <c r="J401" t="s">
        <v>37</v>
      </c>
      <c r="K401" t="s">
        <v>32</v>
      </c>
      <c r="L401" t="s">
        <v>35</v>
      </c>
      <c r="Q401">
        <v>2</v>
      </c>
      <c r="R401">
        <v>3</v>
      </c>
      <c r="U401">
        <v>1</v>
      </c>
      <c r="V401">
        <v>20</v>
      </c>
      <c r="AC401">
        <v>1</v>
      </c>
      <c r="AD401">
        <v>10</v>
      </c>
      <c r="AQ401">
        <v>36</v>
      </c>
      <c r="AR401" s="3">
        <f t="shared" si="18"/>
        <v>15</v>
      </c>
      <c r="AS401" s="3">
        <f t="shared" si="19"/>
        <v>0</v>
      </c>
      <c r="AT401" s="3" t="str">
        <f>IF(OR(Registered!AM401&gt;0,Registered!AO401&gt;0),(IF(Registered!E401=0,"Size Not Specified",Registered!E401)),"")</f>
        <v/>
      </c>
      <c r="AU401" s="3" t="str">
        <f>IF(Registered!AE401=0,"",IF(Registered!AE401=1,Registered!AE401&amp;" Bandana",Registered!AE401&amp;" Bandanas"))</f>
        <v/>
      </c>
      <c r="AV401" s="3">
        <f t="shared" si="20"/>
        <v>0</v>
      </c>
      <c r="AW401" s="2" t="str">
        <f>IF(Registered!AV401=0,"",IF(Registered!AV401=1,Registered!AV401&amp;" Meal",Registered!AV401&amp;" Meals"))</f>
        <v/>
      </c>
      <c r="AX401" s="2" t="str">
        <f>IF(Registered!AI401=0,"",Registered!AI401&amp;" BG")</f>
        <v/>
      </c>
      <c r="AY401" s="2" t="str">
        <f>IF(Registered!AG401=0,"",Registered!AG401&amp;" DustMask")</f>
        <v/>
      </c>
    </row>
    <row r="402" spans="1:51" customFormat="1" x14ac:dyDescent="0.25">
      <c r="A402" t="s">
        <v>277</v>
      </c>
      <c r="B402" t="s">
        <v>4008</v>
      </c>
      <c r="C402" t="s">
        <v>6090</v>
      </c>
      <c r="G402" t="s">
        <v>2338</v>
      </c>
      <c r="H402" t="s">
        <v>4009</v>
      </c>
      <c r="I402" t="s">
        <v>4010</v>
      </c>
      <c r="J402" t="s">
        <v>37</v>
      </c>
      <c r="K402" t="s">
        <v>32</v>
      </c>
      <c r="L402" t="s">
        <v>35</v>
      </c>
      <c r="AQ402">
        <v>0</v>
      </c>
      <c r="AR402" s="3">
        <f t="shared" si="18"/>
        <v>0</v>
      </c>
      <c r="AS402" s="3">
        <f t="shared" si="19"/>
        <v>0</v>
      </c>
      <c r="AT402" s="3" t="str">
        <f>IF(OR(Registered!AM402&gt;0,Registered!AO402&gt;0),(IF(Registered!E402=0,"Size Not Specified",Registered!E402)),"")</f>
        <v/>
      </c>
      <c r="AU402" s="3" t="str">
        <f>IF(Registered!AE402=0,"",IF(Registered!AE402=1,Registered!AE402&amp;" Bandana",Registered!AE402&amp;" Bandanas"))</f>
        <v/>
      </c>
      <c r="AV402" s="3">
        <f t="shared" si="20"/>
        <v>0</v>
      </c>
      <c r="AW402" s="2" t="str">
        <f>IF(Registered!AV402=0,"",IF(Registered!AV402=1,Registered!AV402&amp;" Meal",Registered!AV402&amp;" Meals"))</f>
        <v/>
      </c>
      <c r="AX402" s="2" t="str">
        <f>IF(Registered!AI402=0,"",Registered!AI402&amp;" BG")</f>
        <v/>
      </c>
      <c r="AY402" s="2" t="str">
        <f>IF(Registered!AG402=0,"",Registered!AG402&amp;" DustMask")</f>
        <v/>
      </c>
    </row>
    <row r="403" spans="1:51" customFormat="1" x14ac:dyDescent="0.25">
      <c r="A403" t="s">
        <v>55</v>
      </c>
      <c r="B403" t="s">
        <v>446</v>
      </c>
      <c r="C403" t="s">
        <v>6090</v>
      </c>
      <c r="G403" t="s">
        <v>98</v>
      </c>
      <c r="H403" t="s">
        <v>978</v>
      </c>
      <c r="I403" t="s">
        <v>979</v>
      </c>
      <c r="J403" t="s">
        <v>37</v>
      </c>
      <c r="K403" t="s">
        <v>32</v>
      </c>
      <c r="L403" t="s">
        <v>35</v>
      </c>
      <c r="AQ403">
        <v>0</v>
      </c>
      <c r="AR403" s="3">
        <f t="shared" si="18"/>
        <v>0</v>
      </c>
      <c r="AS403" s="3">
        <f t="shared" si="19"/>
        <v>0</v>
      </c>
      <c r="AT403" s="3" t="str">
        <f>IF(OR(Registered!AM403&gt;0,Registered!AO403&gt;0),(IF(Registered!E403=0,"Size Not Specified",Registered!E403)),"")</f>
        <v/>
      </c>
      <c r="AU403" s="3" t="str">
        <f>IF(Registered!AE403=0,"",IF(Registered!AE403=1,Registered!AE403&amp;" Bandana",Registered!AE403&amp;" Bandanas"))</f>
        <v/>
      </c>
      <c r="AV403" s="3">
        <f t="shared" si="20"/>
        <v>0</v>
      </c>
      <c r="AW403" s="2" t="str">
        <f>IF(Registered!AV403=0,"",IF(Registered!AV403=1,Registered!AV403&amp;" Meal",Registered!AV403&amp;" Meals"))</f>
        <v/>
      </c>
      <c r="AX403" s="2" t="str">
        <f>IF(Registered!AI403=0,"",Registered!AI403&amp;" BG")</f>
        <v/>
      </c>
      <c r="AY403" s="2" t="str">
        <f>IF(Registered!AG403=0,"",Registered!AG403&amp;" DustMask")</f>
        <v/>
      </c>
    </row>
    <row r="404" spans="1:51" customFormat="1" x14ac:dyDescent="0.25">
      <c r="A404" t="s">
        <v>980</v>
      </c>
      <c r="B404" t="s">
        <v>446</v>
      </c>
      <c r="C404" t="s">
        <v>6090</v>
      </c>
      <c r="D404" t="s">
        <v>981</v>
      </c>
      <c r="I404" t="s">
        <v>982</v>
      </c>
      <c r="J404" t="s">
        <v>37</v>
      </c>
      <c r="K404" t="s">
        <v>32</v>
      </c>
      <c r="L404" t="s">
        <v>35</v>
      </c>
      <c r="O404">
        <v>2</v>
      </c>
      <c r="P404">
        <v>3</v>
      </c>
      <c r="AC404">
        <v>2</v>
      </c>
      <c r="AD404">
        <v>10</v>
      </c>
      <c r="AQ404">
        <v>26</v>
      </c>
      <c r="AR404" s="3">
        <f t="shared" si="18"/>
        <v>10</v>
      </c>
      <c r="AS404" s="3">
        <f t="shared" si="19"/>
        <v>0</v>
      </c>
      <c r="AT404" s="3" t="str">
        <f>IF(OR(Registered!AM404&gt;0,Registered!AO404&gt;0),(IF(Registered!E404=0,"Size Not Specified",Registered!E404)),"")</f>
        <v/>
      </c>
      <c r="AU404" s="3" t="str">
        <f>IF(Registered!AE404=0,"",IF(Registered!AE404=1,Registered!AE404&amp;" Bandana",Registered!AE404&amp;" Bandanas"))</f>
        <v/>
      </c>
      <c r="AV404" s="3">
        <f t="shared" si="20"/>
        <v>0</v>
      </c>
      <c r="AW404" s="2" t="str">
        <f>IF(Registered!AV404=0,"",IF(Registered!AV404=1,Registered!AV404&amp;" Meal",Registered!AV404&amp;" Meals"))</f>
        <v/>
      </c>
      <c r="AX404" s="2" t="str">
        <f>IF(Registered!AI404=0,"",Registered!AI404&amp;" BG")</f>
        <v/>
      </c>
      <c r="AY404" s="2" t="str">
        <f>IF(Registered!AG404=0,"",Registered!AG404&amp;" DustMask")</f>
        <v/>
      </c>
    </row>
    <row r="405" spans="1:51" customFormat="1" x14ac:dyDescent="0.25">
      <c r="A405" t="s">
        <v>83</v>
      </c>
      <c r="B405" t="s">
        <v>4011</v>
      </c>
      <c r="C405" t="s">
        <v>6090</v>
      </c>
      <c r="D405" t="s">
        <v>83</v>
      </c>
      <c r="E405" t="s">
        <v>216</v>
      </c>
      <c r="F405" t="s">
        <v>261</v>
      </c>
      <c r="I405" t="s">
        <v>4012</v>
      </c>
      <c r="J405" t="s">
        <v>37</v>
      </c>
      <c r="K405" t="s">
        <v>32</v>
      </c>
      <c r="L405" t="s">
        <v>35</v>
      </c>
      <c r="Q405">
        <v>1</v>
      </c>
      <c r="R405">
        <v>3</v>
      </c>
      <c r="Y405">
        <v>1</v>
      </c>
      <c r="Z405">
        <v>60</v>
      </c>
      <c r="AQ405">
        <v>63</v>
      </c>
      <c r="AR405" s="3">
        <f t="shared" si="18"/>
        <v>30</v>
      </c>
      <c r="AS405" s="3">
        <f t="shared" si="19"/>
        <v>0</v>
      </c>
      <c r="AT405" s="3" t="str">
        <f>IF(OR(Registered!AM405&gt;0,Registered!AO405&gt;0),(IF(Registered!E405=0,"Size Not Specified",Registered!E405)),"")</f>
        <v/>
      </c>
      <c r="AU405" s="3" t="str">
        <f>IF(Registered!AE405=0,"",IF(Registered!AE405=1,Registered!AE405&amp;" Bandana",Registered!AE405&amp;" Bandanas"))</f>
        <v/>
      </c>
      <c r="AV405" s="3">
        <f t="shared" si="20"/>
        <v>0</v>
      </c>
      <c r="AW405" s="2" t="str">
        <f>IF(Registered!AV405=0,"",IF(Registered!AV405=1,Registered!AV405&amp;" Meal",Registered!AV405&amp;" Meals"))</f>
        <v/>
      </c>
      <c r="AX405" s="2" t="str">
        <f>IF(Registered!AI405=0,"",Registered!AI405&amp;" BG")</f>
        <v/>
      </c>
      <c r="AY405" s="2" t="str">
        <f>IF(Registered!AG405=0,"",Registered!AG405&amp;" DustMask")</f>
        <v/>
      </c>
    </row>
    <row r="406" spans="1:51" customFormat="1" x14ac:dyDescent="0.25">
      <c r="A406" t="s">
        <v>335</v>
      </c>
      <c r="B406" t="s">
        <v>2814</v>
      </c>
      <c r="C406" t="s">
        <v>6090</v>
      </c>
      <c r="G406" t="s">
        <v>130</v>
      </c>
      <c r="H406" t="s">
        <v>2815</v>
      </c>
      <c r="I406" t="s">
        <v>2816</v>
      </c>
      <c r="J406" t="s">
        <v>37</v>
      </c>
      <c r="K406" t="s">
        <v>32</v>
      </c>
      <c r="L406" t="s">
        <v>35</v>
      </c>
      <c r="AQ406">
        <v>0</v>
      </c>
      <c r="AR406" s="3">
        <f t="shared" si="18"/>
        <v>0</v>
      </c>
      <c r="AS406" s="3">
        <f t="shared" si="19"/>
        <v>0</v>
      </c>
      <c r="AT406" s="3" t="str">
        <f>IF(OR(Registered!AM406&gt;0,Registered!AO406&gt;0),(IF(Registered!E406=0,"Size Not Specified",Registered!E406)),"")</f>
        <v/>
      </c>
      <c r="AU406" s="3" t="str">
        <f>IF(Registered!AE406=0,"",IF(Registered!AE406=1,Registered!AE406&amp;" Bandana",Registered!AE406&amp;" Bandanas"))</f>
        <v/>
      </c>
      <c r="AV406" s="3">
        <f t="shared" si="20"/>
        <v>0</v>
      </c>
      <c r="AW406" s="2" t="str">
        <f>IF(Registered!AV406=0,"",IF(Registered!AV406=1,Registered!AV406&amp;" Meal",Registered!AV406&amp;" Meals"))</f>
        <v/>
      </c>
      <c r="AX406" s="2" t="str">
        <f>IF(Registered!AI406=0,"",Registered!AI406&amp;" BG")</f>
        <v/>
      </c>
      <c r="AY406" s="2" t="str">
        <f>IF(Registered!AG406=0,"",Registered!AG406&amp;" DustMask")</f>
        <v/>
      </c>
    </row>
    <row r="407" spans="1:51" customFormat="1" x14ac:dyDescent="0.25">
      <c r="A407" t="s">
        <v>983</v>
      </c>
      <c r="B407" t="s">
        <v>984</v>
      </c>
      <c r="C407" t="s">
        <v>6090</v>
      </c>
      <c r="G407" t="s">
        <v>434</v>
      </c>
      <c r="H407" t="s">
        <v>985</v>
      </c>
      <c r="I407" t="s">
        <v>986</v>
      </c>
      <c r="J407" t="s">
        <v>37</v>
      </c>
      <c r="K407" t="s">
        <v>32</v>
      </c>
      <c r="L407" t="s">
        <v>35</v>
      </c>
      <c r="AQ407">
        <v>0</v>
      </c>
      <c r="AR407" s="3">
        <f t="shared" si="18"/>
        <v>0</v>
      </c>
      <c r="AS407" s="3">
        <f t="shared" si="19"/>
        <v>0</v>
      </c>
      <c r="AT407" s="3" t="str">
        <f>IF(OR(Registered!AM407&gt;0,Registered!AO407&gt;0),(IF(Registered!E407=0,"Size Not Specified",Registered!E407)),"")</f>
        <v/>
      </c>
      <c r="AU407" s="3" t="str">
        <f>IF(Registered!AE407=0,"",IF(Registered!AE407=1,Registered!AE407&amp;" Bandana",Registered!AE407&amp;" Bandanas"))</f>
        <v/>
      </c>
      <c r="AV407" s="3">
        <f t="shared" si="20"/>
        <v>0</v>
      </c>
      <c r="AW407" s="2" t="str">
        <f>IF(Registered!AV407=0,"",IF(Registered!AV407=1,Registered!AV407&amp;" Meal",Registered!AV407&amp;" Meals"))</f>
        <v/>
      </c>
      <c r="AX407" s="2" t="str">
        <f>IF(Registered!AI407=0,"",Registered!AI407&amp;" BG")</f>
        <v/>
      </c>
      <c r="AY407" s="2" t="str">
        <f>IF(Registered!AG407=0,"",Registered!AG407&amp;" DustMask")</f>
        <v/>
      </c>
    </row>
    <row r="408" spans="1:51" customFormat="1" x14ac:dyDescent="0.25">
      <c r="A408" t="s">
        <v>141</v>
      </c>
      <c r="B408" t="s">
        <v>4013</v>
      </c>
      <c r="C408" t="s">
        <v>6090</v>
      </c>
      <c r="G408" t="s">
        <v>4014</v>
      </c>
      <c r="H408" t="s">
        <v>4015</v>
      </c>
      <c r="I408" t="s">
        <v>4016</v>
      </c>
      <c r="J408" t="s">
        <v>37</v>
      </c>
      <c r="K408" t="s">
        <v>32</v>
      </c>
      <c r="L408" t="s">
        <v>35</v>
      </c>
      <c r="AQ408">
        <v>0</v>
      </c>
      <c r="AR408" s="3">
        <f t="shared" si="18"/>
        <v>0</v>
      </c>
      <c r="AS408" s="3">
        <f t="shared" si="19"/>
        <v>0</v>
      </c>
      <c r="AT408" s="3" t="str">
        <f>IF(OR(Registered!AM408&gt;0,Registered!AO408&gt;0),(IF(Registered!E408=0,"Size Not Specified",Registered!E408)),"")</f>
        <v/>
      </c>
      <c r="AU408" s="3" t="str">
        <f>IF(Registered!AE408=0,"",IF(Registered!AE408=1,Registered!AE408&amp;" Bandana",Registered!AE408&amp;" Bandanas"))</f>
        <v/>
      </c>
      <c r="AV408" s="3">
        <f t="shared" si="20"/>
        <v>0</v>
      </c>
      <c r="AW408" s="2" t="str">
        <f>IF(Registered!AV408=0,"",IF(Registered!AV408=1,Registered!AV408&amp;" Meal",Registered!AV408&amp;" Meals"))</f>
        <v/>
      </c>
      <c r="AX408" s="2" t="str">
        <f>IF(Registered!AI408=0,"",Registered!AI408&amp;" BG")</f>
        <v/>
      </c>
      <c r="AY408" s="2" t="str">
        <f>IF(Registered!AG408=0,"",Registered!AG408&amp;" DustMask")</f>
        <v/>
      </c>
    </row>
    <row r="409" spans="1:51" customFormat="1" x14ac:dyDescent="0.25">
      <c r="A409" t="s">
        <v>4017</v>
      </c>
      <c r="B409" t="s">
        <v>4018</v>
      </c>
      <c r="C409" t="s">
        <v>6090</v>
      </c>
      <c r="G409" t="s">
        <v>100</v>
      </c>
      <c r="H409" t="s">
        <v>4019</v>
      </c>
      <c r="I409" t="s">
        <v>4020</v>
      </c>
      <c r="J409" t="s">
        <v>37</v>
      </c>
      <c r="K409" t="s">
        <v>32</v>
      </c>
      <c r="L409" t="s">
        <v>35</v>
      </c>
      <c r="AQ409">
        <v>0</v>
      </c>
      <c r="AR409" s="3">
        <f t="shared" si="18"/>
        <v>0</v>
      </c>
      <c r="AS409" s="3">
        <f t="shared" si="19"/>
        <v>0</v>
      </c>
      <c r="AT409" s="3" t="str">
        <f>IF(OR(Registered!AM409&gt;0,Registered!AO409&gt;0),(IF(Registered!E409=0,"Size Not Specified",Registered!E409)),"")</f>
        <v/>
      </c>
      <c r="AU409" s="3" t="str">
        <f>IF(Registered!AE409=0,"",IF(Registered!AE409=1,Registered!AE409&amp;" Bandana",Registered!AE409&amp;" Bandanas"))</f>
        <v/>
      </c>
      <c r="AV409" s="3">
        <f t="shared" si="20"/>
        <v>0</v>
      </c>
      <c r="AW409" s="2" t="str">
        <f>IF(Registered!AV409=0,"",IF(Registered!AV409=1,Registered!AV409&amp;" Meal",Registered!AV409&amp;" Meals"))</f>
        <v/>
      </c>
      <c r="AX409" s="2" t="str">
        <f>IF(Registered!AI409=0,"",Registered!AI409&amp;" BG")</f>
        <v/>
      </c>
      <c r="AY409" s="2" t="str">
        <f>IF(Registered!AG409=0,"",Registered!AG409&amp;" DustMask")</f>
        <v/>
      </c>
    </row>
    <row r="410" spans="1:51" customFormat="1" x14ac:dyDescent="0.25">
      <c r="A410" t="s">
        <v>398</v>
      </c>
      <c r="B410" t="s">
        <v>987</v>
      </c>
      <c r="C410" t="s">
        <v>6090</v>
      </c>
      <c r="D410" t="s">
        <v>988</v>
      </c>
      <c r="I410" t="s">
        <v>989</v>
      </c>
      <c r="J410" t="s">
        <v>37</v>
      </c>
      <c r="K410" t="s">
        <v>32</v>
      </c>
      <c r="L410" t="s">
        <v>35</v>
      </c>
      <c r="O410">
        <v>3</v>
      </c>
      <c r="P410">
        <v>3</v>
      </c>
      <c r="AC410">
        <v>3</v>
      </c>
      <c r="AD410">
        <v>10</v>
      </c>
      <c r="AQ410">
        <v>39</v>
      </c>
      <c r="AR410" s="3">
        <f t="shared" si="18"/>
        <v>15</v>
      </c>
      <c r="AS410" s="3">
        <f t="shared" si="19"/>
        <v>0</v>
      </c>
      <c r="AT410" s="3" t="str">
        <f>IF(OR(Registered!AM410&gt;0,Registered!AO410&gt;0),(IF(Registered!E410=0,"Size Not Specified",Registered!E410)),"")</f>
        <v/>
      </c>
      <c r="AU410" s="3" t="str">
        <f>IF(Registered!AE410=0,"",IF(Registered!AE410=1,Registered!AE410&amp;" Bandana",Registered!AE410&amp;" Bandanas"))</f>
        <v/>
      </c>
      <c r="AV410" s="3">
        <f t="shared" si="20"/>
        <v>0</v>
      </c>
      <c r="AW410" s="2" t="str">
        <f>IF(Registered!AV410=0,"",IF(Registered!AV410=1,Registered!AV410&amp;" Meal",Registered!AV410&amp;" Meals"))</f>
        <v/>
      </c>
      <c r="AX410" s="2" t="str">
        <f>IF(Registered!AI410=0,"",Registered!AI410&amp;" BG")</f>
        <v/>
      </c>
      <c r="AY410" s="2" t="str">
        <f>IF(Registered!AG410=0,"",Registered!AG410&amp;" DustMask")</f>
        <v/>
      </c>
    </row>
    <row r="411" spans="1:51" customFormat="1" x14ac:dyDescent="0.25">
      <c r="A411" t="s">
        <v>111</v>
      </c>
      <c r="B411" t="s">
        <v>4021</v>
      </c>
      <c r="C411" t="s">
        <v>6090</v>
      </c>
      <c r="G411" t="s">
        <v>4022</v>
      </c>
      <c r="H411" t="s">
        <v>4023</v>
      </c>
      <c r="I411" t="s">
        <v>4024</v>
      </c>
      <c r="J411" t="s">
        <v>37</v>
      </c>
      <c r="K411" t="s">
        <v>32</v>
      </c>
      <c r="L411" t="s">
        <v>35</v>
      </c>
      <c r="AQ411">
        <v>0</v>
      </c>
      <c r="AR411" s="3">
        <f t="shared" si="18"/>
        <v>0</v>
      </c>
      <c r="AS411" s="3">
        <f t="shared" si="19"/>
        <v>0</v>
      </c>
      <c r="AT411" s="3" t="str">
        <f>IF(OR(Registered!AM411&gt;0,Registered!AO411&gt;0),(IF(Registered!E411=0,"Size Not Specified",Registered!E411)),"")</f>
        <v/>
      </c>
      <c r="AU411" s="3" t="str">
        <f>IF(Registered!AE411=0,"",IF(Registered!AE411=1,Registered!AE411&amp;" Bandana",Registered!AE411&amp;" Bandanas"))</f>
        <v/>
      </c>
      <c r="AV411" s="3">
        <f t="shared" si="20"/>
        <v>0</v>
      </c>
      <c r="AW411" s="2" t="str">
        <f>IF(Registered!AV411=0,"",IF(Registered!AV411=1,Registered!AV411&amp;" Meal",Registered!AV411&amp;" Meals"))</f>
        <v/>
      </c>
      <c r="AX411" s="2" t="str">
        <f>IF(Registered!AI411=0,"",Registered!AI411&amp;" BG")</f>
        <v/>
      </c>
      <c r="AY411" s="2" t="str">
        <f>IF(Registered!AG411=0,"",Registered!AG411&amp;" DustMask")</f>
        <v/>
      </c>
    </row>
    <row r="412" spans="1:51" customFormat="1" x14ac:dyDescent="0.25">
      <c r="A412" t="s">
        <v>4025</v>
      </c>
      <c r="B412" t="s">
        <v>4021</v>
      </c>
      <c r="C412" t="s">
        <v>6090</v>
      </c>
      <c r="G412" t="s">
        <v>281</v>
      </c>
      <c r="H412" t="s">
        <v>4026</v>
      </c>
      <c r="I412" t="s">
        <v>4027</v>
      </c>
      <c r="J412" t="s">
        <v>37</v>
      </c>
      <c r="K412" t="s">
        <v>32</v>
      </c>
      <c r="L412" t="s">
        <v>35</v>
      </c>
      <c r="AQ412">
        <v>0</v>
      </c>
      <c r="AR412" s="3">
        <f t="shared" si="18"/>
        <v>0</v>
      </c>
      <c r="AS412" s="3">
        <f t="shared" si="19"/>
        <v>0</v>
      </c>
      <c r="AT412" s="3" t="str">
        <f>IF(OR(Registered!AM412&gt;0,Registered!AO412&gt;0),(IF(Registered!E412=0,"Size Not Specified",Registered!E412)),"")</f>
        <v/>
      </c>
      <c r="AU412" s="3" t="str">
        <f>IF(Registered!AE412=0,"",IF(Registered!AE412=1,Registered!AE412&amp;" Bandana",Registered!AE412&amp;" Bandanas"))</f>
        <v/>
      </c>
      <c r="AV412" s="3">
        <f t="shared" si="20"/>
        <v>0</v>
      </c>
      <c r="AW412" s="2" t="str">
        <f>IF(Registered!AV412=0,"",IF(Registered!AV412=1,Registered!AV412&amp;" Meal",Registered!AV412&amp;" Meals"))</f>
        <v/>
      </c>
      <c r="AX412" s="2" t="str">
        <f>IF(Registered!AI412=0,"",Registered!AI412&amp;" BG")</f>
        <v/>
      </c>
      <c r="AY412" s="2" t="str">
        <f>IF(Registered!AG412=0,"",Registered!AG412&amp;" DustMask")</f>
        <v/>
      </c>
    </row>
    <row r="413" spans="1:51" customFormat="1" x14ac:dyDescent="0.25">
      <c r="A413" t="s">
        <v>208</v>
      </c>
      <c r="B413" t="s">
        <v>120</v>
      </c>
      <c r="C413" t="s">
        <v>6090</v>
      </c>
      <c r="G413" t="s">
        <v>281</v>
      </c>
      <c r="H413" t="s">
        <v>120</v>
      </c>
      <c r="I413" t="s">
        <v>990</v>
      </c>
      <c r="J413" t="s">
        <v>37</v>
      </c>
      <c r="K413" t="s">
        <v>32</v>
      </c>
      <c r="L413" t="s">
        <v>35</v>
      </c>
      <c r="AQ413">
        <v>0</v>
      </c>
      <c r="AR413" s="3">
        <f t="shared" si="18"/>
        <v>0</v>
      </c>
      <c r="AS413" s="3">
        <f t="shared" si="19"/>
        <v>0</v>
      </c>
      <c r="AT413" s="3" t="str">
        <f>IF(OR(Registered!AM413&gt;0,Registered!AO413&gt;0),(IF(Registered!E413=0,"Size Not Specified",Registered!E413)),"")</f>
        <v/>
      </c>
      <c r="AU413" s="3" t="str">
        <f>IF(Registered!AE413=0,"",IF(Registered!AE413=1,Registered!AE413&amp;" Bandana",Registered!AE413&amp;" Bandanas"))</f>
        <v/>
      </c>
      <c r="AV413" s="3">
        <f t="shared" si="20"/>
        <v>0</v>
      </c>
      <c r="AW413" s="2" t="str">
        <f>IF(Registered!AV413=0,"",IF(Registered!AV413=1,Registered!AV413&amp;" Meal",Registered!AV413&amp;" Meals"))</f>
        <v/>
      </c>
      <c r="AX413" s="2" t="str">
        <f>IF(Registered!AI413=0,"",Registered!AI413&amp;" BG")</f>
        <v/>
      </c>
      <c r="AY413" s="2" t="str">
        <f>IF(Registered!AG413=0,"",Registered!AG413&amp;" DustMask")</f>
        <v/>
      </c>
    </row>
    <row r="414" spans="1:51" customFormat="1" x14ac:dyDescent="0.25">
      <c r="A414" t="s">
        <v>281</v>
      </c>
      <c r="B414" t="s">
        <v>120</v>
      </c>
      <c r="C414" t="s">
        <v>6090</v>
      </c>
      <c r="D414" t="s">
        <v>991</v>
      </c>
      <c r="I414" t="s">
        <v>990</v>
      </c>
      <c r="J414" t="s">
        <v>37</v>
      </c>
      <c r="K414" t="s">
        <v>32</v>
      </c>
      <c r="L414" t="s">
        <v>35</v>
      </c>
      <c r="O414">
        <v>2</v>
      </c>
      <c r="P414">
        <v>3</v>
      </c>
      <c r="U414">
        <v>1</v>
      </c>
      <c r="V414">
        <v>20</v>
      </c>
      <c r="AQ414">
        <v>26</v>
      </c>
      <c r="AR414" s="3">
        <f t="shared" si="18"/>
        <v>10</v>
      </c>
      <c r="AS414" s="3">
        <f t="shared" si="19"/>
        <v>0</v>
      </c>
      <c r="AT414" s="3" t="str">
        <f>IF(OR(Registered!AM414&gt;0,Registered!AO414&gt;0),(IF(Registered!E414=0,"Size Not Specified",Registered!E414)),"")</f>
        <v/>
      </c>
      <c r="AU414" s="3" t="str">
        <f>IF(Registered!AE414=0,"",IF(Registered!AE414=1,Registered!AE414&amp;" Bandana",Registered!AE414&amp;" Bandanas"))</f>
        <v/>
      </c>
      <c r="AV414" s="3">
        <f t="shared" si="20"/>
        <v>0</v>
      </c>
      <c r="AW414" s="2" t="str">
        <f>IF(Registered!AV414=0,"",IF(Registered!AV414=1,Registered!AV414&amp;" Meal",Registered!AV414&amp;" Meals"))</f>
        <v/>
      </c>
      <c r="AX414" s="2" t="str">
        <f>IF(Registered!AI414=0,"",Registered!AI414&amp;" BG")</f>
        <v/>
      </c>
      <c r="AY414" s="2" t="str">
        <f>IF(Registered!AG414=0,"",Registered!AG414&amp;" DustMask")</f>
        <v/>
      </c>
    </row>
    <row r="415" spans="1:51" customFormat="1" x14ac:dyDescent="0.25">
      <c r="A415" t="s">
        <v>219</v>
      </c>
      <c r="B415" t="s">
        <v>4032</v>
      </c>
      <c r="C415" t="s">
        <v>6090</v>
      </c>
      <c r="G415" t="s">
        <v>4033</v>
      </c>
      <c r="H415" t="s">
        <v>223</v>
      </c>
      <c r="I415" t="s">
        <v>4034</v>
      </c>
      <c r="J415" t="s">
        <v>37</v>
      </c>
      <c r="K415" t="s">
        <v>32</v>
      </c>
      <c r="L415" t="s">
        <v>35</v>
      </c>
      <c r="AQ415">
        <v>0</v>
      </c>
      <c r="AR415" s="3">
        <f t="shared" si="18"/>
        <v>0</v>
      </c>
      <c r="AS415" s="3">
        <f t="shared" si="19"/>
        <v>0</v>
      </c>
      <c r="AT415" s="3" t="str">
        <f>IF(OR(Registered!AM415&gt;0,Registered!AO415&gt;0),(IF(Registered!E415=0,"Size Not Specified",Registered!E415)),"")</f>
        <v/>
      </c>
      <c r="AU415" s="3" t="str">
        <f>IF(Registered!AE415=0,"",IF(Registered!AE415=1,Registered!AE415&amp;" Bandana",Registered!AE415&amp;" Bandanas"))</f>
        <v/>
      </c>
      <c r="AV415" s="3">
        <f t="shared" si="20"/>
        <v>0</v>
      </c>
      <c r="AW415" s="2" t="str">
        <f>IF(Registered!AV415=0,"",IF(Registered!AV415=1,Registered!AV415&amp;" Meal",Registered!AV415&amp;" Meals"))</f>
        <v/>
      </c>
      <c r="AX415" s="2" t="str">
        <f>IF(Registered!AI415=0,"",Registered!AI415&amp;" BG")</f>
        <v/>
      </c>
      <c r="AY415" s="2" t="str">
        <f>IF(Registered!AG415=0,"",Registered!AG415&amp;" DustMask")</f>
        <v/>
      </c>
    </row>
    <row r="416" spans="1:51" customFormat="1" x14ac:dyDescent="0.25">
      <c r="A416" t="s">
        <v>87</v>
      </c>
      <c r="B416" t="s">
        <v>4035</v>
      </c>
      <c r="C416" t="s">
        <v>6090</v>
      </c>
      <c r="G416" t="s">
        <v>403</v>
      </c>
      <c r="H416" t="s">
        <v>1175</v>
      </c>
      <c r="I416" t="s">
        <v>4036</v>
      </c>
      <c r="J416" t="s">
        <v>37</v>
      </c>
      <c r="K416" t="s">
        <v>32</v>
      </c>
      <c r="L416" t="s">
        <v>35</v>
      </c>
      <c r="AQ416">
        <v>0</v>
      </c>
      <c r="AR416" s="3">
        <f t="shared" si="18"/>
        <v>0</v>
      </c>
      <c r="AS416" s="3">
        <f t="shared" si="19"/>
        <v>0</v>
      </c>
      <c r="AT416" s="3" t="str">
        <f>IF(OR(Registered!AM416&gt;0,Registered!AO416&gt;0),(IF(Registered!E416=0,"Size Not Specified",Registered!E416)),"")</f>
        <v/>
      </c>
      <c r="AU416" s="3" t="str">
        <f>IF(Registered!AE416=0,"",IF(Registered!AE416=1,Registered!AE416&amp;" Bandana",Registered!AE416&amp;" Bandanas"))</f>
        <v/>
      </c>
      <c r="AV416" s="3">
        <f t="shared" si="20"/>
        <v>0</v>
      </c>
      <c r="AW416" s="2" t="str">
        <f>IF(Registered!AV416=0,"",IF(Registered!AV416=1,Registered!AV416&amp;" Meal",Registered!AV416&amp;" Meals"))</f>
        <v/>
      </c>
      <c r="AX416" s="2" t="str">
        <f>IF(Registered!AI416=0,"",Registered!AI416&amp;" BG")</f>
        <v/>
      </c>
      <c r="AY416" s="2" t="str">
        <f>IF(Registered!AG416=0,"",Registered!AG416&amp;" DustMask")</f>
        <v/>
      </c>
    </row>
    <row r="417" spans="1:51" customFormat="1" x14ac:dyDescent="0.25">
      <c r="A417" t="s">
        <v>482</v>
      </c>
      <c r="B417" t="s">
        <v>4037</v>
      </c>
      <c r="C417" t="s">
        <v>6090</v>
      </c>
      <c r="G417" t="s">
        <v>665</v>
      </c>
      <c r="H417" t="s">
        <v>4038</v>
      </c>
      <c r="I417" t="s">
        <v>4039</v>
      </c>
      <c r="J417" t="s">
        <v>37</v>
      </c>
      <c r="K417" t="s">
        <v>32</v>
      </c>
      <c r="L417" t="s">
        <v>35</v>
      </c>
      <c r="AQ417">
        <v>0</v>
      </c>
      <c r="AR417" s="3">
        <f t="shared" si="18"/>
        <v>0</v>
      </c>
      <c r="AS417" s="3">
        <f t="shared" si="19"/>
        <v>0</v>
      </c>
      <c r="AT417" s="3" t="str">
        <f>IF(OR(Registered!AM417&gt;0,Registered!AO417&gt;0),(IF(Registered!E417=0,"Size Not Specified",Registered!E417)),"")</f>
        <v/>
      </c>
      <c r="AU417" s="3" t="str">
        <f>IF(Registered!AE417=0,"",IF(Registered!AE417=1,Registered!AE417&amp;" Bandana",Registered!AE417&amp;" Bandanas"))</f>
        <v/>
      </c>
      <c r="AV417" s="3">
        <f t="shared" si="20"/>
        <v>0</v>
      </c>
      <c r="AW417" s="2" t="str">
        <f>IF(Registered!AV417=0,"",IF(Registered!AV417=1,Registered!AV417&amp;" Meal",Registered!AV417&amp;" Meals"))</f>
        <v/>
      </c>
      <c r="AX417" s="2" t="str">
        <f>IF(Registered!AI417=0,"",Registered!AI417&amp;" BG")</f>
        <v/>
      </c>
      <c r="AY417" s="2" t="str">
        <f>IF(Registered!AG417=0,"",Registered!AG417&amp;" DustMask")</f>
        <v/>
      </c>
    </row>
    <row r="418" spans="1:51" customFormat="1" x14ac:dyDescent="0.25">
      <c r="A418" t="s">
        <v>165</v>
      </c>
      <c r="B418" t="s">
        <v>3686</v>
      </c>
      <c r="C418" t="s">
        <v>6090</v>
      </c>
      <c r="D418" t="s">
        <v>4040</v>
      </c>
      <c r="F418" t="s">
        <v>261</v>
      </c>
      <c r="I418" t="s">
        <v>3687</v>
      </c>
      <c r="J418" t="s">
        <v>37</v>
      </c>
      <c r="K418" t="s">
        <v>32</v>
      </c>
      <c r="L418" t="s">
        <v>35</v>
      </c>
      <c r="Q418">
        <v>6</v>
      </c>
      <c r="R418">
        <v>3</v>
      </c>
      <c r="U418">
        <v>1</v>
      </c>
      <c r="V418">
        <v>20</v>
      </c>
      <c r="AC418">
        <v>1</v>
      </c>
      <c r="AD418">
        <v>10</v>
      </c>
      <c r="AQ418">
        <v>48</v>
      </c>
      <c r="AR418" s="3">
        <f t="shared" si="18"/>
        <v>15</v>
      </c>
      <c r="AS418" s="3">
        <f t="shared" si="19"/>
        <v>0</v>
      </c>
      <c r="AT418" s="3" t="str">
        <f>IF(OR(Registered!AM418&gt;0,Registered!AO418&gt;0),(IF(Registered!E418=0,"Size Not Specified",Registered!E418)),"")</f>
        <v/>
      </c>
      <c r="AU418" s="3" t="str">
        <f>IF(Registered!AE418=0,"",IF(Registered!AE418=1,Registered!AE418&amp;" Bandana",Registered!AE418&amp;" Bandanas"))</f>
        <v/>
      </c>
      <c r="AV418" s="3">
        <f t="shared" si="20"/>
        <v>0</v>
      </c>
      <c r="AW418" s="2" t="str">
        <f>IF(Registered!AV418=0,"",IF(Registered!AV418=1,Registered!AV418&amp;" Meal",Registered!AV418&amp;" Meals"))</f>
        <v/>
      </c>
      <c r="AX418" s="2" t="str">
        <f>IF(Registered!AI418=0,"",Registered!AI418&amp;" BG")</f>
        <v/>
      </c>
      <c r="AY418" s="2" t="str">
        <f>IF(Registered!AG418=0,"",Registered!AG418&amp;" DustMask")</f>
        <v/>
      </c>
    </row>
    <row r="419" spans="1:51" customFormat="1" x14ac:dyDescent="0.25">
      <c r="A419" t="s">
        <v>4041</v>
      </c>
      <c r="B419" t="s">
        <v>3686</v>
      </c>
      <c r="C419" t="s">
        <v>6090</v>
      </c>
      <c r="G419" t="s">
        <v>165</v>
      </c>
      <c r="H419" t="s">
        <v>3686</v>
      </c>
      <c r="I419" t="s">
        <v>3687</v>
      </c>
      <c r="J419" t="s">
        <v>37</v>
      </c>
      <c r="K419" t="s">
        <v>32</v>
      </c>
      <c r="L419" t="s">
        <v>35</v>
      </c>
      <c r="AQ419">
        <v>0</v>
      </c>
      <c r="AR419" s="3">
        <f t="shared" si="18"/>
        <v>0</v>
      </c>
      <c r="AS419" s="3">
        <f t="shared" si="19"/>
        <v>0</v>
      </c>
      <c r="AT419" s="3" t="str">
        <f>IF(OR(Registered!AM419&gt;0,Registered!AO419&gt;0),(IF(Registered!E419=0,"Size Not Specified",Registered!E419)),"")</f>
        <v/>
      </c>
      <c r="AU419" s="3" t="str">
        <f>IF(Registered!AE419=0,"",IF(Registered!AE419=1,Registered!AE419&amp;" Bandana",Registered!AE419&amp;" Bandanas"))</f>
        <v/>
      </c>
      <c r="AV419" s="3">
        <f t="shared" si="20"/>
        <v>0</v>
      </c>
      <c r="AW419" s="2" t="str">
        <f>IF(Registered!AV419=0,"",IF(Registered!AV419=1,Registered!AV419&amp;" Meal",Registered!AV419&amp;" Meals"))</f>
        <v/>
      </c>
      <c r="AX419" s="2" t="str">
        <f>IF(Registered!AI419=0,"",Registered!AI419&amp;" BG")</f>
        <v/>
      </c>
      <c r="AY419" s="2" t="str">
        <f>IF(Registered!AG419=0,"",Registered!AG419&amp;" DustMask")</f>
        <v/>
      </c>
    </row>
    <row r="420" spans="1:51" customFormat="1" x14ac:dyDescent="0.25">
      <c r="A420" t="s">
        <v>115</v>
      </c>
      <c r="B420" t="s">
        <v>3686</v>
      </c>
      <c r="C420" t="s">
        <v>6090</v>
      </c>
      <c r="G420" t="s">
        <v>165</v>
      </c>
      <c r="H420" t="s">
        <v>3686</v>
      </c>
      <c r="I420" t="s">
        <v>3687</v>
      </c>
      <c r="J420" t="s">
        <v>37</v>
      </c>
      <c r="K420" t="s">
        <v>32</v>
      </c>
      <c r="L420" t="s">
        <v>35</v>
      </c>
      <c r="AQ420">
        <v>0</v>
      </c>
      <c r="AR420" s="3">
        <f t="shared" si="18"/>
        <v>0</v>
      </c>
      <c r="AS420" s="3">
        <f t="shared" si="19"/>
        <v>0</v>
      </c>
      <c r="AT420" s="3" t="str">
        <f>IF(OR(Registered!AM420&gt;0,Registered!AO420&gt;0),(IF(Registered!E420=0,"Size Not Specified",Registered!E420)),"")</f>
        <v/>
      </c>
      <c r="AU420" s="3" t="str">
        <f>IF(Registered!AE420=0,"",IF(Registered!AE420=1,Registered!AE420&amp;" Bandana",Registered!AE420&amp;" Bandanas"))</f>
        <v/>
      </c>
      <c r="AV420" s="3">
        <f t="shared" si="20"/>
        <v>0</v>
      </c>
      <c r="AW420" s="2" t="str">
        <f>IF(Registered!AV420=0,"",IF(Registered!AV420=1,Registered!AV420&amp;" Meal",Registered!AV420&amp;" Meals"))</f>
        <v/>
      </c>
      <c r="AX420" s="2" t="str">
        <f>IF(Registered!AI420=0,"",Registered!AI420&amp;" BG")</f>
        <v/>
      </c>
      <c r="AY420" s="2" t="str">
        <f>IF(Registered!AG420=0,"",Registered!AG420&amp;" DustMask")</f>
        <v/>
      </c>
    </row>
    <row r="421" spans="1:51" customFormat="1" x14ac:dyDescent="0.25">
      <c r="A421" t="s">
        <v>471</v>
      </c>
      <c r="B421" t="s">
        <v>2817</v>
      </c>
      <c r="C421" t="s">
        <v>6090</v>
      </c>
      <c r="D421" t="s">
        <v>2818</v>
      </c>
      <c r="F421" t="s">
        <v>261</v>
      </c>
      <c r="I421" t="s">
        <v>2819</v>
      </c>
      <c r="J421" t="s">
        <v>37</v>
      </c>
      <c r="K421" t="s">
        <v>32</v>
      </c>
      <c r="L421" t="s">
        <v>35</v>
      </c>
      <c r="Q421">
        <v>1</v>
      </c>
      <c r="R421">
        <v>3</v>
      </c>
      <c r="AC421">
        <v>1</v>
      </c>
      <c r="AD421">
        <v>10</v>
      </c>
      <c r="AQ421">
        <v>13</v>
      </c>
      <c r="AR421" s="3">
        <f t="shared" si="18"/>
        <v>5</v>
      </c>
      <c r="AS421" s="3">
        <f t="shared" si="19"/>
        <v>0</v>
      </c>
      <c r="AT421" s="3" t="str">
        <f>IF(OR(Registered!AM421&gt;0,Registered!AO421&gt;0),(IF(Registered!E421=0,"Size Not Specified",Registered!E421)),"")</f>
        <v/>
      </c>
      <c r="AU421" s="3" t="str">
        <f>IF(Registered!AE421=0,"",IF(Registered!AE421=1,Registered!AE421&amp;" Bandana",Registered!AE421&amp;" Bandanas"))</f>
        <v/>
      </c>
      <c r="AV421" s="3">
        <f t="shared" si="20"/>
        <v>0</v>
      </c>
      <c r="AW421" s="2" t="str">
        <f>IF(Registered!AV421=0,"",IF(Registered!AV421=1,Registered!AV421&amp;" Meal",Registered!AV421&amp;" Meals"))</f>
        <v/>
      </c>
      <c r="AX421" s="2" t="str">
        <f>IF(Registered!AI421=0,"",Registered!AI421&amp;" BG")</f>
        <v/>
      </c>
      <c r="AY421" s="2" t="str">
        <f>IF(Registered!AG421=0,"",Registered!AG421&amp;" DustMask")</f>
        <v/>
      </c>
    </row>
    <row r="422" spans="1:51" customFormat="1" x14ac:dyDescent="0.25">
      <c r="A422" t="s">
        <v>323</v>
      </c>
      <c r="B422" t="s">
        <v>992</v>
      </c>
      <c r="C422" t="s">
        <v>6090</v>
      </c>
      <c r="D422" t="s">
        <v>4045</v>
      </c>
      <c r="F422" t="s">
        <v>261</v>
      </c>
      <c r="I422" t="s">
        <v>4046</v>
      </c>
      <c r="J422" t="s">
        <v>37</v>
      </c>
      <c r="K422" t="s">
        <v>32</v>
      </c>
      <c r="L422" t="s">
        <v>35</v>
      </c>
      <c r="Q422">
        <v>4</v>
      </c>
      <c r="R422">
        <v>3</v>
      </c>
      <c r="W422">
        <v>1</v>
      </c>
      <c r="X422">
        <v>40</v>
      </c>
      <c r="AG422">
        <v>5</v>
      </c>
      <c r="AH422">
        <v>1</v>
      </c>
      <c r="AQ422">
        <v>57</v>
      </c>
      <c r="AR422" s="3">
        <f t="shared" si="18"/>
        <v>20</v>
      </c>
      <c r="AS422" s="3">
        <f t="shared" si="19"/>
        <v>0</v>
      </c>
      <c r="AT422" s="3" t="str">
        <f>IF(OR(Registered!AM422&gt;0,Registered!AO422&gt;0),(IF(Registered!E422=0,"Size Not Specified",Registered!E422)),"")</f>
        <v/>
      </c>
      <c r="AU422" s="3" t="str">
        <f>IF(Registered!AE422=0,"",IF(Registered!AE422=1,Registered!AE422&amp;" Bandana",Registered!AE422&amp;" Bandanas"))</f>
        <v/>
      </c>
      <c r="AV422" s="3">
        <f t="shared" si="20"/>
        <v>0</v>
      </c>
      <c r="AW422" s="2" t="str">
        <f>IF(Registered!AV422=0,"",IF(Registered!AV422=1,Registered!AV422&amp;" Meal",Registered!AV422&amp;" Meals"))</f>
        <v/>
      </c>
      <c r="AX422" s="2" t="str">
        <f>IF(Registered!AI422=0,"",Registered!AI422&amp;" BG")</f>
        <v/>
      </c>
      <c r="AY422" s="2" t="str">
        <f>IF(Registered!AG422=0,"",Registered!AG422&amp;" DustMask")</f>
        <v>5 DustMask</v>
      </c>
    </row>
    <row r="423" spans="1:51" customFormat="1" x14ac:dyDescent="0.25">
      <c r="A423" t="s">
        <v>2108</v>
      </c>
      <c r="B423" t="s">
        <v>992</v>
      </c>
      <c r="C423" t="s">
        <v>6090</v>
      </c>
      <c r="D423" t="s">
        <v>4047</v>
      </c>
      <c r="E423" t="s">
        <v>4048</v>
      </c>
      <c r="F423" t="s">
        <v>261</v>
      </c>
      <c r="I423" t="s">
        <v>4049</v>
      </c>
      <c r="J423" t="s">
        <v>37</v>
      </c>
      <c r="K423" t="s">
        <v>32</v>
      </c>
      <c r="L423" t="s">
        <v>35</v>
      </c>
      <c r="Q423">
        <v>2</v>
      </c>
      <c r="R423">
        <v>3</v>
      </c>
      <c r="U423">
        <v>1</v>
      </c>
      <c r="V423">
        <v>20</v>
      </c>
      <c r="AK423">
        <v>2</v>
      </c>
      <c r="AL423">
        <v>6</v>
      </c>
      <c r="AO423">
        <v>1</v>
      </c>
      <c r="AP423">
        <v>10</v>
      </c>
      <c r="AQ423">
        <v>48</v>
      </c>
      <c r="AR423" s="3">
        <f t="shared" si="18"/>
        <v>10</v>
      </c>
      <c r="AS423" s="3">
        <f t="shared" si="19"/>
        <v>1</v>
      </c>
      <c r="AT423" s="3" t="str">
        <f>IF(OR(Registered!AM423&gt;0,Registered!AO423&gt;0),(IF(Registered!E423=0,"Size Not Specified",Registered!E423)),"")</f>
        <v>Extra small or small adult</v>
      </c>
      <c r="AU423" s="3" t="str">
        <f>IF(Registered!AE423=0,"",IF(Registered!AE423=1,Registered!AE423&amp;" Bandana",Registered!AE423&amp;" Bandanas"))</f>
        <v/>
      </c>
      <c r="AV423" s="3">
        <f t="shared" si="20"/>
        <v>2</v>
      </c>
      <c r="AW423" s="2" t="str">
        <f>IF(Registered!AV423=0,"",IF(Registered!AV423=1,Registered!AV423&amp;" Meal",Registered!AV423&amp;" Meals"))</f>
        <v>2 Meals</v>
      </c>
      <c r="AX423" s="2" t="str">
        <f>IF(Registered!AI423=0,"",Registered!AI423&amp;" BG")</f>
        <v/>
      </c>
      <c r="AY423" s="2" t="str">
        <f>IF(Registered!AG423=0,"",Registered!AG423&amp;" DustMask")</f>
        <v/>
      </c>
    </row>
    <row r="424" spans="1:51" customFormat="1" x14ac:dyDescent="0.25">
      <c r="A424" t="s">
        <v>681</v>
      </c>
      <c r="B424" t="s">
        <v>992</v>
      </c>
      <c r="C424" t="s">
        <v>6090</v>
      </c>
      <c r="G424" t="s">
        <v>323</v>
      </c>
      <c r="H424" t="s">
        <v>992</v>
      </c>
      <c r="I424" t="s">
        <v>4046</v>
      </c>
      <c r="J424" t="s">
        <v>37</v>
      </c>
      <c r="K424" t="s">
        <v>32</v>
      </c>
      <c r="L424" t="s">
        <v>35</v>
      </c>
      <c r="AQ424">
        <v>0</v>
      </c>
      <c r="AR424" s="3">
        <f t="shared" si="18"/>
        <v>0</v>
      </c>
      <c r="AS424" s="3">
        <f t="shared" si="19"/>
        <v>0</v>
      </c>
      <c r="AT424" s="3" t="str">
        <f>IF(OR(Registered!AM424&gt;0,Registered!AO424&gt;0),(IF(Registered!E424=0,"Size Not Specified",Registered!E424)),"")</f>
        <v/>
      </c>
      <c r="AU424" s="3" t="str">
        <f>IF(Registered!AE424=0,"",IF(Registered!AE424=1,Registered!AE424&amp;" Bandana",Registered!AE424&amp;" Bandanas"))</f>
        <v/>
      </c>
      <c r="AV424" s="3">
        <f t="shared" si="20"/>
        <v>0</v>
      </c>
      <c r="AW424" s="2" t="str">
        <f>IF(Registered!AV424=0,"",IF(Registered!AV424=1,Registered!AV424&amp;" Meal",Registered!AV424&amp;" Meals"))</f>
        <v/>
      </c>
      <c r="AX424" s="2" t="str">
        <f>IF(Registered!AI424=0,"",Registered!AI424&amp;" BG")</f>
        <v/>
      </c>
      <c r="AY424" s="2" t="str">
        <f>IF(Registered!AG424=0,"",Registered!AG424&amp;" DustMask")</f>
        <v/>
      </c>
    </row>
    <row r="425" spans="1:51" customFormat="1" x14ac:dyDescent="0.25">
      <c r="A425" t="s">
        <v>4050</v>
      </c>
      <c r="B425" t="s">
        <v>992</v>
      </c>
      <c r="C425" t="s">
        <v>6090</v>
      </c>
      <c r="D425" t="s">
        <v>4050</v>
      </c>
      <c r="F425" t="s">
        <v>261</v>
      </c>
      <c r="I425" t="s">
        <v>4051</v>
      </c>
      <c r="J425" t="s">
        <v>37</v>
      </c>
      <c r="K425" t="s">
        <v>32</v>
      </c>
      <c r="L425" t="s">
        <v>35</v>
      </c>
      <c r="Q425">
        <v>1</v>
      </c>
      <c r="R425">
        <v>3</v>
      </c>
      <c r="AC425">
        <v>1</v>
      </c>
      <c r="AD425">
        <v>10</v>
      </c>
      <c r="AQ425">
        <v>13</v>
      </c>
      <c r="AR425" s="3">
        <f t="shared" si="18"/>
        <v>5</v>
      </c>
      <c r="AS425" s="3">
        <f t="shared" si="19"/>
        <v>0</v>
      </c>
      <c r="AT425" s="3" t="str">
        <f>IF(OR(Registered!AM425&gt;0,Registered!AO425&gt;0),(IF(Registered!E425=0,"Size Not Specified",Registered!E425)),"")</f>
        <v/>
      </c>
      <c r="AU425" s="3" t="str">
        <f>IF(Registered!AE425=0,"",IF(Registered!AE425=1,Registered!AE425&amp;" Bandana",Registered!AE425&amp;" Bandanas"))</f>
        <v/>
      </c>
      <c r="AV425" s="3">
        <f t="shared" si="20"/>
        <v>0</v>
      </c>
      <c r="AW425" s="2" t="str">
        <f>IF(Registered!AV425=0,"",IF(Registered!AV425=1,Registered!AV425&amp;" Meal",Registered!AV425&amp;" Meals"))</f>
        <v/>
      </c>
      <c r="AX425" s="2" t="str">
        <f>IF(Registered!AI425=0,"",Registered!AI425&amp;" BG")</f>
        <v/>
      </c>
      <c r="AY425" s="2" t="str">
        <f>IF(Registered!AG425=0,"",Registered!AG425&amp;" DustMask")</f>
        <v/>
      </c>
    </row>
    <row r="426" spans="1:51" customFormat="1" x14ac:dyDescent="0.25">
      <c r="A426" t="s">
        <v>4053</v>
      </c>
      <c r="B426" t="s">
        <v>992</v>
      </c>
      <c r="C426" t="s">
        <v>6090</v>
      </c>
      <c r="G426" t="s">
        <v>323</v>
      </c>
      <c r="H426" t="s">
        <v>992</v>
      </c>
      <c r="I426" t="s">
        <v>4046</v>
      </c>
      <c r="J426" t="s">
        <v>37</v>
      </c>
      <c r="K426" t="s">
        <v>32</v>
      </c>
      <c r="L426" t="s">
        <v>35</v>
      </c>
      <c r="AQ426">
        <v>0</v>
      </c>
      <c r="AR426" s="3">
        <f t="shared" si="18"/>
        <v>0</v>
      </c>
      <c r="AS426" s="3">
        <f t="shared" si="19"/>
        <v>0</v>
      </c>
      <c r="AT426" s="3" t="str">
        <f>IF(OR(Registered!AM426&gt;0,Registered!AO426&gt;0),(IF(Registered!E426=0,"Size Not Specified",Registered!E426)),"")</f>
        <v/>
      </c>
      <c r="AU426" s="3" t="str">
        <f>IF(Registered!AE426=0,"",IF(Registered!AE426=1,Registered!AE426&amp;" Bandana",Registered!AE426&amp;" Bandanas"))</f>
        <v/>
      </c>
      <c r="AV426" s="3">
        <f t="shared" si="20"/>
        <v>0</v>
      </c>
      <c r="AW426" s="2" t="str">
        <f>IF(Registered!AV426=0,"",IF(Registered!AV426=1,Registered!AV426&amp;" Meal",Registered!AV426&amp;" Meals"))</f>
        <v/>
      </c>
      <c r="AX426" s="2" t="str">
        <f>IF(Registered!AI426=0,"",Registered!AI426&amp;" BG")</f>
        <v/>
      </c>
      <c r="AY426" s="2" t="str">
        <f>IF(Registered!AG426=0,"",Registered!AG426&amp;" DustMask")</f>
        <v/>
      </c>
    </row>
    <row r="427" spans="1:51" customFormat="1" x14ac:dyDescent="0.25">
      <c r="A427" t="s">
        <v>141</v>
      </c>
      <c r="B427" t="s">
        <v>992</v>
      </c>
      <c r="C427" t="s">
        <v>6090</v>
      </c>
      <c r="D427" t="s">
        <v>268</v>
      </c>
      <c r="F427" t="s">
        <v>261</v>
      </c>
      <c r="I427" t="s">
        <v>2820</v>
      </c>
      <c r="J427" t="s">
        <v>37</v>
      </c>
      <c r="K427" t="s">
        <v>32</v>
      </c>
      <c r="L427" t="s">
        <v>35</v>
      </c>
      <c r="Q427">
        <v>1</v>
      </c>
      <c r="R427">
        <v>3</v>
      </c>
      <c r="AC427">
        <v>1</v>
      </c>
      <c r="AD427">
        <v>10</v>
      </c>
      <c r="AQ427">
        <v>13</v>
      </c>
      <c r="AR427" s="3">
        <f t="shared" si="18"/>
        <v>5</v>
      </c>
      <c r="AS427" s="3">
        <f t="shared" si="19"/>
        <v>0</v>
      </c>
      <c r="AT427" s="3" t="str">
        <f>IF(OR(Registered!AM427&gt;0,Registered!AO427&gt;0),(IF(Registered!E427=0,"Size Not Specified",Registered!E427)),"")</f>
        <v/>
      </c>
      <c r="AU427" s="3" t="str">
        <f>IF(Registered!AE427=0,"",IF(Registered!AE427=1,Registered!AE427&amp;" Bandana",Registered!AE427&amp;" Bandanas"))</f>
        <v/>
      </c>
      <c r="AV427" s="3">
        <f t="shared" si="20"/>
        <v>0</v>
      </c>
      <c r="AW427" s="2" t="str">
        <f>IF(Registered!AV427=0,"",IF(Registered!AV427=1,Registered!AV427&amp;" Meal",Registered!AV427&amp;" Meals"))</f>
        <v/>
      </c>
      <c r="AX427" s="2" t="str">
        <f>IF(Registered!AI427=0,"",Registered!AI427&amp;" BG")</f>
        <v/>
      </c>
      <c r="AY427" s="2" t="str">
        <f>IF(Registered!AG427=0,"",Registered!AG427&amp;" DustMask")</f>
        <v/>
      </c>
    </row>
    <row r="428" spans="1:51" customFormat="1" x14ac:dyDescent="0.25">
      <c r="A428" t="s">
        <v>118</v>
      </c>
      <c r="B428" t="s">
        <v>992</v>
      </c>
      <c r="C428" t="s">
        <v>6090</v>
      </c>
      <c r="G428" t="s">
        <v>323</v>
      </c>
      <c r="H428" t="s">
        <v>992</v>
      </c>
      <c r="I428" t="s">
        <v>4046</v>
      </c>
      <c r="J428" t="s">
        <v>37</v>
      </c>
      <c r="K428" t="s">
        <v>32</v>
      </c>
      <c r="L428" t="s">
        <v>35</v>
      </c>
      <c r="AQ428">
        <v>0</v>
      </c>
      <c r="AR428" s="3">
        <f t="shared" si="18"/>
        <v>0</v>
      </c>
      <c r="AS428" s="3">
        <f t="shared" si="19"/>
        <v>0</v>
      </c>
      <c r="AT428" s="3" t="str">
        <f>IF(OR(Registered!AM428&gt;0,Registered!AO428&gt;0),(IF(Registered!E428=0,"Size Not Specified",Registered!E428)),"")</f>
        <v/>
      </c>
      <c r="AU428" s="3" t="str">
        <f>IF(Registered!AE428=0,"",IF(Registered!AE428=1,Registered!AE428&amp;" Bandana",Registered!AE428&amp;" Bandanas"))</f>
        <v/>
      </c>
      <c r="AV428" s="3">
        <f t="shared" si="20"/>
        <v>0</v>
      </c>
      <c r="AW428" s="2" t="str">
        <f>IF(Registered!AV428=0,"",IF(Registered!AV428=1,Registered!AV428&amp;" Meal",Registered!AV428&amp;" Meals"))</f>
        <v/>
      </c>
      <c r="AX428" s="2" t="str">
        <f>IF(Registered!AI428=0,"",Registered!AI428&amp;" BG")</f>
        <v/>
      </c>
      <c r="AY428" s="2" t="str">
        <f>IF(Registered!AG428=0,"",Registered!AG428&amp;" DustMask")</f>
        <v/>
      </c>
    </row>
    <row r="429" spans="1:51" customFormat="1" x14ac:dyDescent="0.25">
      <c r="A429" t="s">
        <v>2768</v>
      </c>
      <c r="B429" t="s">
        <v>424</v>
      </c>
      <c r="C429" t="s">
        <v>6090</v>
      </c>
      <c r="F429" t="s">
        <v>261</v>
      </c>
      <c r="I429" t="s">
        <v>4054</v>
      </c>
      <c r="J429" t="s">
        <v>37</v>
      </c>
      <c r="K429" t="s">
        <v>32</v>
      </c>
      <c r="L429" t="s">
        <v>35</v>
      </c>
      <c r="Q429">
        <v>1</v>
      </c>
      <c r="R429">
        <v>3</v>
      </c>
      <c r="AC429">
        <v>1</v>
      </c>
      <c r="AD429">
        <v>10</v>
      </c>
      <c r="AQ429">
        <v>13</v>
      </c>
      <c r="AR429" s="3">
        <f t="shared" si="18"/>
        <v>5</v>
      </c>
      <c r="AS429" s="3">
        <f t="shared" si="19"/>
        <v>0</v>
      </c>
      <c r="AT429" s="3" t="str">
        <f>IF(OR(Registered!AM429&gt;0,Registered!AO429&gt;0),(IF(Registered!E429=0,"Size Not Specified",Registered!E429)),"")</f>
        <v/>
      </c>
      <c r="AU429" s="3" t="str">
        <f>IF(Registered!AE429=0,"",IF(Registered!AE429=1,Registered!AE429&amp;" Bandana",Registered!AE429&amp;" Bandanas"))</f>
        <v/>
      </c>
      <c r="AV429" s="3">
        <f t="shared" si="20"/>
        <v>0</v>
      </c>
      <c r="AW429" s="2" t="str">
        <f>IF(Registered!AV429=0,"",IF(Registered!AV429=1,Registered!AV429&amp;" Meal",Registered!AV429&amp;" Meals"))</f>
        <v/>
      </c>
      <c r="AX429" s="2" t="str">
        <f>IF(Registered!AI429=0,"",Registered!AI429&amp;" BG")</f>
        <v/>
      </c>
      <c r="AY429" s="2" t="str">
        <f>IF(Registered!AG429=0,"",Registered!AG429&amp;" DustMask")</f>
        <v/>
      </c>
    </row>
    <row r="430" spans="1:51" customFormat="1" x14ac:dyDescent="0.25">
      <c r="A430" t="s">
        <v>100</v>
      </c>
      <c r="B430" t="s">
        <v>2821</v>
      </c>
      <c r="C430" t="s">
        <v>6090</v>
      </c>
      <c r="D430" t="s">
        <v>2822</v>
      </c>
      <c r="F430" t="s">
        <v>261</v>
      </c>
      <c r="I430" t="s">
        <v>2823</v>
      </c>
      <c r="J430" t="s">
        <v>37</v>
      </c>
      <c r="K430" t="s">
        <v>32</v>
      </c>
      <c r="L430" t="s">
        <v>35</v>
      </c>
      <c r="Q430">
        <v>1</v>
      </c>
      <c r="R430">
        <v>3</v>
      </c>
      <c r="AC430">
        <v>1</v>
      </c>
      <c r="AD430">
        <v>10</v>
      </c>
      <c r="AQ430">
        <v>13</v>
      </c>
      <c r="AR430" s="3">
        <f t="shared" si="18"/>
        <v>5</v>
      </c>
      <c r="AS430" s="3">
        <f t="shared" si="19"/>
        <v>0</v>
      </c>
      <c r="AT430" s="3" t="str">
        <f>IF(OR(Registered!AM430&gt;0,Registered!AO430&gt;0),(IF(Registered!E430=0,"Size Not Specified",Registered!E430)),"")</f>
        <v/>
      </c>
      <c r="AU430" s="3" t="str">
        <f>IF(Registered!AE430=0,"",IF(Registered!AE430=1,Registered!AE430&amp;" Bandana",Registered!AE430&amp;" Bandanas"))</f>
        <v/>
      </c>
      <c r="AV430" s="3">
        <f t="shared" si="20"/>
        <v>0</v>
      </c>
      <c r="AW430" s="2" t="str">
        <f>IF(Registered!AV430=0,"",IF(Registered!AV430=1,Registered!AV430&amp;" Meal",Registered!AV430&amp;" Meals"))</f>
        <v/>
      </c>
      <c r="AX430" s="2" t="str">
        <f>IF(Registered!AI430=0,"",Registered!AI430&amp;" BG")</f>
        <v/>
      </c>
      <c r="AY430" s="2" t="str">
        <f>IF(Registered!AG430=0,"",Registered!AG430&amp;" DustMask")</f>
        <v/>
      </c>
    </row>
    <row r="431" spans="1:51" customFormat="1" x14ac:dyDescent="0.25">
      <c r="A431" t="s">
        <v>1577</v>
      </c>
      <c r="B431" t="s">
        <v>4055</v>
      </c>
      <c r="C431" t="s">
        <v>6090</v>
      </c>
      <c r="D431" t="s">
        <v>4056</v>
      </c>
      <c r="F431" t="s">
        <v>261</v>
      </c>
      <c r="I431" t="s">
        <v>4057</v>
      </c>
      <c r="J431" t="s">
        <v>37</v>
      </c>
      <c r="K431" t="s">
        <v>32</v>
      </c>
      <c r="L431" t="s">
        <v>35</v>
      </c>
      <c r="Q431">
        <v>1</v>
      </c>
      <c r="R431">
        <v>3</v>
      </c>
      <c r="U431">
        <v>1</v>
      </c>
      <c r="V431">
        <v>20</v>
      </c>
      <c r="AK431">
        <v>1</v>
      </c>
      <c r="AL431">
        <v>6</v>
      </c>
      <c r="AQ431">
        <v>29</v>
      </c>
      <c r="AR431" s="3">
        <f t="shared" si="18"/>
        <v>10</v>
      </c>
      <c r="AS431" s="3">
        <f t="shared" si="19"/>
        <v>0</v>
      </c>
      <c r="AT431" s="3" t="str">
        <f>IF(OR(Registered!AM431&gt;0,Registered!AO431&gt;0),(IF(Registered!E431=0,"Size Not Specified",Registered!E431)),"")</f>
        <v/>
      </c>
      <c r="AU431" s="3" t="str">
        <f>IF(Registered!AE431=0,"",IF(Registered!AE431=1,Registered!AE431&amp;" Bandana",Registered!AE431&amp;" Bandanas"))</f>
        <v/>
      </c>
      <c r="AV431" s="3">
        <f t="shared" si="20"/>
        <v>1</v>
      </c>
      <c r="AW431" s="2" t="str">
        <f>IF(Registered!AV431=0,"",IF(Registered!AV431=1,Registered!AV431&amp;" Meal",Registered!AV431&amp;" Meals"))</f>
        <v>1 Meal</v>
      </c>
      <c r="AX431" s="2" t="str">
        <f>IF(Registered!AI431=0,"",Registered!AI431&amp;" BG")</f>
        <v/>
      </c>
      <c r="AY431" s="2" t="str">
        <f>IF(Registered!AG431=0,"",Registered!AG431&amp;" DustMask")</f>
        <v/>
      </c>
    </row>
    <row r="432" spans="1:51" customFormat="1" x14ac:dyDescent="0.25">
      <c r="A432" t="s">
        <v>4058</v>
      </c>
      <c r="B432" t="s">
        <v>4059</v>
      </c>
      <c r="C432" t="s">
        <v>6090</v>
      </c>
      <c r="D432" t="s">
        <v>4060</v>
      </c>
      <c r="F432" t="s">
        <v>261</v>
      </c>
      <c r="I432" t="s">
        <v>4061</v>
      </c>
      <c r="J432" t="s">
        <v>37</v>
      </c>
      <c r="K432" t="s">
        <v>32</v>
      </c>
      <c r="L432" t="s">
        <v>35</v>
      </c>
      <c r="Q432">
        <v>2</v>
      </c>
      <c r="R432">
        <v>3</v>
      </c>
      <c r="AC432">
        <v>1</v>
      </c>
      <c r="AD432">
        <v>10</v>
      </c>
      <c r="AQ432">
        <v>16</v>
      </c>
      <c r="AR432" s="3">
        <f t="shared" si="18"/>
        <v>5</v>
      </c>
      <c r="AS432" s="3">
        <f t="shared" si="19"/>
        <v>0</v>
      </c>
      <c r="AT432" s="3" t="str">
        <f>IF(OR(Registered!AM432&gt;0,Registered!AO432&gt;0),(IF(Registered!E432=0,"Size Not Specified",Registered!E432)),"")</f>
        <v/>
      </c>
      <c r="AU432" s="3" t="str">
        <f>IF(Registered!AE432=0,"",IF(Registered!AE432=1,Registered!AE432&amp;" Bandana",Registered!AE432&amp;" Bandanas"))</f>
        <v/>
      </c>
      <c r="AV432" s="3">
        <f t="shared" si="20"/>
        <v>0</v>
      </c>
      <c r="AW432" s="2" t="str">
        <f>IF(Registered!AV432=0,"",IF(Registered!AV432=1,Registered!AV432&amp;" Meal",Registered!AV432&amp;" Meals"))</f>
        <v/>
      </c>
      <c r="AX432" s="2" t="str">
        <f>IF(Registered!AI432=0,"",Registered!AI432&amp;" BG")</f>
        <v/>
      </c>
      <c r="AY432" s="2" t="str">
        <f>IF(Registered!AG432=0,"",Registered!AG432&amp;" DustMask")</f>
        <v/>
      </c>
    </row>
    <row r="433" spans="1:51" customFormat="1" x14ac:dyDescent="0.25">
      <c r="A433" t="s">
        <v>315</v>
      </c>
      <c r="B433" t="s">
        <v>995</v>
      </c>
      <c r="C433" t="s">
        <v>6090</v>
      </c>
      <c r="D433" t="s">
        <v>996</v>
      </c>
      <c r="F433" t="s">
        <v>261</v>
      </c>
      <c r="I433" t="s">
        <v>997</v>
      </c>
      <c r="J433" t="s">
        <v>37</v>
      </c>
      <c r="K433" t="s">
        <v>32</v>
      </c>
      <c r="L433" t="s">
        <v>35</v>
      </c>
      <c r="S433">
        <v>2</v>
      </c>
      <c r="T433">
        <v>3</v>
      </c>
      <c r="U433">
        <v>1</v>
      </c>
      <c r="V433">
        <v>20</v>
      </c>
      <c r="AQ433">
        <v>26</v>
      </c>
      <c r="AR433" s="3">
        <f t="shared" si="18"/>
        <v>10</v>
      </c>
      <c r="AS433" s="3">
        <f t="shared" si="19"/>
        <v>0</v>
      </c>
      <c r="AT433" s="3" t="str">
        <f>IF(OR(Registered!AM433&gt;0,Registered!AO433&gt;0),(IF(Registered!E433=0,"Size Not Specified",Registered!E433)),"")</f>
        <v/>
      </c>
      <c r="AU433" s="3" t="str">
        <f>IF(Registered!AE433=0,"",IF(Registered!AE433=1,Registered!AE433&amp;" Bandana",Registered!AE433&amp;" Bandanas"))</f>
        <v/>
      </c>
      <c r="AV433" s="3">
        <f t="shared" si="20"/>
        <v>0</v>
      </c>
      <c r="AW433" s="2" t="str">
        <f>IF(Registered!AV433=0,"",IF(Registered!AV433=1,Registered!AV433&amp;" Meal",Registered!AV433&amp;" Meals"))</f>
        <v/>
      </c>
      <c r="AX433" s="2" t="str">
        <f>IF(Registered!AI433=0,"",Registered!AI433&amp;" BG")</f>
        <v/>
      </c>
      <c r="AY433" s="2" t="str">
        <f>IF(Registered!AG433=0,"",Registered!AG433&amp;" DustMask")</f>
        <v/>
      </c>
    </row>
    <row r="434" spans="1:51" customFormat="1" x14ac:dyDescent="0.25">
      <c r="A434" t="s">
        <v>102</v>
      </c>
      <c r="B434" t="s">
        <v>998</v>
      </c>
      <c r="C434" t="s">
        <v>6090</v>
      </c>
      <c r="D434" t="s">
        <v>999</v>
      </c>
      <c r="F434" t="s">
        <v>261</v>
      </c>
      <c r="I434" t="s">
        <v>1000</v>
      </c>
      <c r="J434" t="s">
        <v>37</v>
      </c>
      <c r="K434" t="s">
        <v>32</v>
      </c>
      <c r="L434" t="s">
        <v>35</v>
      </c>
      <c r="S434">
        <v>2</v>
      </c>
      <c r="T434">
        <v>3</v>
      </c>
      <c r="U434">
        <v>1</v>
      </c>
      <c r="V434">
        <v>20</v>
      </c>
      <c r="AQ434">
        <v>26</v>
      </c>
      <c r="AR434" s="3">
        <f t="shared" si="18"/>
        <v>10</v>
      </c>
      <c r="AS434" s="3">
        <f t="shared" si="19"/>
        <v>0</v>
      </c>
      <c r="AT434" s="3" t="str">
        <f>IF(OR(Registered!AM434&gt;0,Registered!AO434&gt;0),(IF(Registered!E434=0,"Size Not Specified",Registered!E434)),"")</f>
        <v/>
      </c>
      <c r="AU434" s="3" t="str">
        <f>IF(Registered!AE434=0,"",IF(Registered!AE434=1,Registered!AE434&amp;" Bandana",Registered!AE434&amp;" Bandanas"))</f>
        <v/>
      </c>
      <c r="AV434" s="3">
        <f t="shared" si="20"/>
        <v>0</v>
      </c>
      <c r="AW434" s="2" t="str">
        <f>IF(Registered!AV434=0,"",IF(Registered!AV434=1,Registered!AV434&amp;" Meal",Registered!AV434&amp;" Meals"))</f>
        <v/>
      </c>
      <c r="AX434" s="2" t="str">
        <f>IF(Registered!AI434=0,"",Registered!AI434&amp;" BG")</f>
        <v/>
      </c>
      <c r="AY434" s="2" t="str">
        <f>IF(Registered!AG434=0,"",Registered!AG434&amp;" DustMask")</f>
        <v/>
      </c>
    </row>
    <row r="435" spans="1:51" customFormat="1" x14ac:dyDescent="0.25">
      <c r="A435" t="s">
        <v>107</v>
      </c>
      <c r="B435" t="s">
        <v>124</v>
      </c>
      <c r="C435" t="s">
        <v>6090</v>
      </c>
      <c r="G435" t="s">
        <v>2824</v>
      </c>
      <c r="H435" t="s">
        <v>2825</v>
      </c>
      <c r="I435" t="s">
        <v>2826</v>
      </c>
      <c r="J435" t="s">
        <v>37</v>
      </c>
      <c r="K435" t="s">
        <v>32</v>
      </c>
      <c r="L435" t="s">
        <v>35</v>
      </c>
      <c r="AQ435">
        <v>0</v>
      </c>
      <c r="AR435" s="3">
        <f t="shared" si="18"/>
        <v>0</v>
      </c>
      <c r="AS435" s="3">
        <f t="shared" si="19"/>
        <v>0</v>
      </c>
      <c r="AT435" s="3" t="str">
        <f>IF(OR(Registered!AM435&gt;0,Registered!AO435&gt;0),(IF(Registered!E435=0,"Size Not Specified",Registered!E435)),"")</f>
        <v/>
      </c>
      <c r="AU435" s="3" t="str">
        <f>IF(Registered!AE435=0,"",IF(Registered!AE435=1,Registered!AE435&amp;" Bandana",Registered!AE435&amp;" Bandanas"))</f>
        <v/>
      </c>
      <c r="AV435" s="3">
        <f t="shared" si="20"/>
        <v>0</v>
      </c>
      <c r="AW435" s="2" t="str">
        <f>IF(Registered!AV435=0,"",IF(Registered!AV435=1,Registered!AV435&amp;" Meal",Registered!AV435&amp;" Meals"))</f>
        <v/>
      </c>
      <c r="AX435" s="2" t="str">
        <f>IF(Registered!AI435=0,"",Registered!AI435&amp;" BG")</f>
        <v/>
      </c>
      <c r="AY435" s="2" t="str">
        <f>IF(Registered!AG435=0,"",Registered!AG435&amp;" DustMask")</f>
        <v/>
      </c>
    </row>
    <row r="436" spans="1:51" customFormat="1" x14ac:dyDescent="0.25">
      <c r="A436" t="s">
        <v>2827</v>
      </c>
      <c r="B436" t="s">
        <v>124</v>
      </c>
      <c r="C436" t="s">
        <v>6090</v>
      </c>
      <c r="G436" t="s">
        <v>2828</v>
      </c>
      <c r="H436" t="s">
        <v>2133</v>
      </c>
      <c r="I436" t="s">
        <v>2829</v>
      </c>
      <c r="J436" t="s">
        <v>37</v>
      </c>
      <c r="K436" t="s">
        <v>32</v>
      </c>
      <c r="L436" t="s">
        <v>35</v>
      </c>
      <c r="AQ436">
        <v>0</v>
      </c>
      <c r="AR436" s="3">
        <f t="shared" si="18"/>
        <v>0</v>
      </c>
      <c r="AS436" s="3">
        <f t="shared" si="19"/>
        <v>0</v>
      </c>
      <c r="AT436" s="3" t="str">
        <f>IF(OR(Registered!AM436&gt;0,Registered!AO436&gt;0),(IF(Registered!E436=0,"Size Not Specified",Registered!E436)),"")</f>
        <v/>
      </c>
      <c r="AU436" s="3" t="str">
        <f>IF(Registered!AE436=0,"",IF(Registered!AE436=1,Registered!AE436&amp;" Bandana",Registered!AE436&amp;" Bandanas"))</f>
        <v/>
      </c>
      <c r="AV436" s="3">
        <f t="shared" si="20"/>
        <v>0</v>
      </c>
      <c r="AW436" s="2" t="str">
        <f>IF(Registered!AV436=0,"",IF(Registered!AV436=1,Registered!AV436&amp;" Meal",Registered!AV436&amp;" Meals"))</f>
        <v/>
      </c>
      <c r="AX436" s="2" t="str">
        <f>IF(Registered!AI436=0,"",Registered!AI436&amp;" BG")</f>
        <v/>
      </c>
      <c r="AY436" s="2" t="str">
        <f>IF(Registered!AG436=0,"",Registered!AG436&amp;" DustMask")</f>
        <v/>
      </c>
    </row>
    <row r="437" spans="1:51" customFormat="1" x14ac:dyDescent="0.25">
      <c r="A437" t="s">
        <v>3559</v>
      </c>
      <c r="B437" t="s">
        <v>3560</v>
      </c>
      <c r="C437" t="s">
        <v>6090</v>
      </c>
      <c r="D437" t="s">
        <v>4062</v>
      </c>
      <c r="F437" t="s">
        <v>261</v>
      </c>
      <c r="I437" t="s">
        <v>3561</v>
      </c>
      <c r="J437" t="s">
        <v>37</v>
      </c>
      <c r="K437" t="s">
        <v>32</v>
      </c>
      <c r="L437" t="s">
        <v>35</v>
      </c>
      <c r="Q437">
        <v>4</v>
      </c>
      <c r="R437">
        <v>3</v>
      </c>
      <c r="U437">
        <v>1</v>
      </c>
      <c r="V437">
        <v>20</v>
      </c>
      <c r="AQ437">
        <v>32</v>
      </c>
      <c r="AR437" s="3">
        <f t="shared" si="18"/>
        <v>10</v>
      </c>
      <c r="AS437" s="3">
        <f t="shared" si="19"/>
        <v>0</v>
      </c>
      <c r="AT437" s="3" t="str">
        <f>IF(OR(Registered!AM437&gt;0,Registered!AO437&gt;0),(IF(Registered!E437=0,"Size Not Specified",Registered!E437)),"")</f>
        <v/>
      </c>
      <c r="AU437" s="3" t="str">
        <f>IF(Registered!AE437=0,"",IF(Registered!AE437=1,Registered!AE437&amp;" Bandana",Registered!AE437&amp;" Bandanas"))</f>
        <v/>
      </c>
      <c r="AV437" s="3">
        <f t="shared" si="20"/>
        <v>0</v>
      </c>
      <c r="AW437" s="2" t="str">
        <f>IF(Registered!AV437=0,"",IF(Registered!AV437=1,Registered!AV437&amp;" Meal",Registered!AV437&amp;" Meals"))</f>
        <v/>
      </c>
      <c r="AX437" s="2" t="str">
        <f>IF(Registered!AI437=0,"",Registered!AI437&amp;" BG")</f>
        <v/>
      </c>
      <c r="AY437" s="2" t="str">
        <f>IF(Registered!AG437=0,"",Registered!AG437&amp;" DustMask")</f>
        <v/>
      </c>
    </row>
    <row r="438" spans="1:51" customFormat="1" x14ac:dyDescent="0.25">
      <c r="A438" t="s">
        <v>3744</v>
      </c>
      <c r="B438" t="s">
        <v>3745</v>
      </c>
      <c r="C438" t="s">
        <v>6090</v>
      </c>
      <c r="D438" t="s">
        <v>4063</v>
      </c>
      <c r="F438" t="s">
        <v>261</v>
      </c>
      <c r="I438" t="s">
        <v>3746</v>
      </c>
      <c r="J438" t="s">
        <v>37</v>
      </c>
      <c r="K438" t="s">
        <v>32</v>
      </c>
      <c r="L438" t="s">
        <v>35</v>
      </c>
      <c r="Q438">
        <v>2</v>
      </c>
      <c r="R438">
        <v>3</v>
      </c>
      <c r="AC438">
        <v>1</v>
      </c>
      <c r="AD438">
        <v>10</v>
      </c>
      <c r="AQ438">
        <v>16</v>
      </c>
      <c r="AR438" s="3">
        <f t="shared" si="18"/>
        <v>5</v>
      </c>
      <c r="AS438" s="3">
        <f t="shared" si="19"/>
        <v>0</v>
      </c>
      <c r="AT438" s="3" t="str">
        <f>IF(OR(Registered!AM438&gt;0,Registered!AO438&gt;0),(IF(Registered!E438=0,"Size Not Specified",Registered!E438)),"")</f>
        <v/>
      </c>
      <c r="AU438" s="3" t="str">
        <f>IF(Registered!AE438=0,"",IF(Registered!AE438=1,Registered!AE438&amp;" Bandana",Registered!AE438&amp;" Bandanas"))</f>
        <v/>
      </c>
      <c r="AV438" s="3">
        <f t="shared" si="20"/>
        <v>0</v>
      </c>
      <c r="AW438" s="2" t="str">
        <f>IF(Registered!AV438=0,"",IF(Registered!AV438=1,Registered!AV438&amp;" Meal",Registered!AV438&amp;" Meals"))</f>
        <v/>
      </c>
      <c r="AX438" s="2" t="str">
        <f>IF(Registered!AI438=0,"",Registered!AI438&amp;" BG")</f>
        <v/>
      </c>
      <c r="AY438" s="2" t="str">
        <f>IF(Registered!AG438=0,"",Registered!AG438&amp;" DustMask")</f>
        <v/>
      </c>
    </row>
    <row r="439" spans="1:51" customFormat="1" x14ac:dyDescent="0.25">
      <c r="A439" t="s">
        <v>250</v>
      </c>
      <c r="B439" t="s">
        <v>1003</v>
      </c>
      <c r="C439" t="s">
        <v>6090</v>
      </c>
      <c r="D439" t="s">
        <v>1004</v>
      </c>
      <c r="F439" t="s">
        <v>261</v>
      </c>
      <c r="I439" t="s">
        <v>1005</v>
      </c>
      <c r="J439" t="s">
        <v>37</v>
      </c>
      <c r="K439" t="s">
        <v>32</v>
      </c>
      <c r="L439" t="s">
        <v>35</v>
      </c>
      <c r="S439">
        <v>3</v>
      </c>
      <c r="T439">
        <v>3</v>
      </c>
      <c r="W439">
        <v>1</v>
      </c>
      <c r="X439">
        <v>40</v>
      </c>
      <c r="AQ439">
        <v>49</v>
      </c>
      <c r="AR439" s="3">
        <f t="shared" si="18"/>
        <v>20</v>
      </c>
      <c r="AS439" s="3">
        <f t="shared" si="19"/>
        <v>0</v>
      </c>
      <c r="AT439" s="3" t="str">
        <f>IF(OR(Registered!AM439&gt;0,Registered!AO439&gt;0),(IF(Registered!E439=0,"Size Not Specified",Registered!E439)),"")</f>
        <v/>
      </c>
      <c r="AU439" s="3" t="str">
        <f>IF(Registered!AE439=0,"",IF(Registered!AE439=1,Registered!AE439&amp;" Bandana",Registered!AE439&amp;" Bandanas"))</f>
        <v/>
      </c>
      <c r="AV439" s="3">
        <f t="shared" si="20"/>
        <v>0</v>
      </c>
      <c r="AW439" s="2" t="str">
        <f>IF(Registered!AV439=0,"",IF(Registered!AV439=1,Registered!AV439&amp;" Meal",Registered!AV439&amp;" Meals"))</f>
        <v/>
      </c>
      <c r="AX439" s="2" t="str">
        <f>IF(Registered!AI439=0,"",Registered!AI439&amp;" BG")</f>
        <v/>
      </c>
      <c r="AY439" s="2" t="str">
        <f>IF(Registered!AG439=0,"",Registered!AG439&amp;" DustMask")</f>
        <v/>
      </c>
    </row>
    <row r="440" spans="1:51" customFormat="1" x14ac:dyDescent="0.25">
      <c r="A440" t="s">
        <v>614</v>
      </c>
      <c r="B440" t="s">
        <v>1003</v>
      </c>
      <c r="C440" t="s">
        <v>6090</v>
      </c>
      <c r="F440" t="s">
        <v>261</v>
      </c>
      <c r="I440" t="s">
        <v>4064</v>
      </c>
      <c r="J440" t="s">
        <v>37</v>
      </c>
      <c r="K440" t="s">
        <v>32</v>
      </c>
      <c r="L440" t="s">
        <v>35</v>
      </c>
      <c r="Q440">
        <v>1</v>
      </c>
      <c r="R440">
        <v>3</v>
      </c>
      <c r="AC440">
        <v>1</v>
      </c>
      <c r="AD440">
        <v>10</v>
      </c>
      <c r="AQ440">
        <v>13</v>
      </c>
      <c r="AR440" s="3">
        <f t="shared" si="18"/>
        <v>5</v>
      </c>
      <c r="AS440" s="3">
        <f t="shared" si="19"/>
        <v>0</v>
      </c>
      <c r="AT440" s="3" t="str">
        <f>IF(OR(Registered!AM440&gt;0,Registered!AO440&gt;0),(IF(Registered!E440=0,"Size Not Specified",Registered!E440)),"")</f>
        <v/>
      </c>
      <c r="AU440" s="3" t="str">
        <f>IF(Registered!AE440=0,"",IF(Registered!AE440=1,Registered!AE440&amp;" Bandana",Registered!AE440&amp;" Bandanas"))</f>
        <v/>
      </c>
      <c r="AV440" s="3">
        <f t="shared" si="20"/>
        <v>0</v>
      </c>
      <c r="AW440" s="2" t="str">
        <f>IF(Registered!AV440=0,"",IF(Registered!AV440=1,Registered!AV440&amp;" Meal",Registered!AV440&amp;" Meals"))</f>
        <v/>
      </c>
      <c r="AX440" s="2" t="str">
        <f>IF(Registered!AI440=0,"",Registered!AI440&amp;" BG")</f>
        <v/>
      </c>
      <c r="AY440" s="2" t="str">
        <f>IF(Registered!AG440=0,"",Registered!AG440&amp;" DustMask")</f>
        <v/>
      </c>
    </row>
    <row r="441" spans="1:51" customFormat="1" x14ac:dyDescent="0.25">
      <c r="A441" t="s">
        <v>2830</v>
      </c>
      <c r="B441" t="s">
        <v>2831</v>
      </c>
      <c r="C441" t="s">
        <v>6090</v>
      </c>
      <c r="G441" t="s">
        <v>2832</v>
      </c>
      <c r="H441" t="s">
        <v>2833</v>
      </c>
      <c r="I441" t="s">
        <v>2834</v>
      </c>
      <c r="J441" t="s">
        <v>37</v>
      </c>
      <c r="K441" t="s">
        <v>32</v>
      </c>
      <c r="L441" t="s">
        <v>35</v>
      </c>
      <c r="AQ441">
        <v>0</v>
      </c>
      <c r="AR441" s="3">
        <f t="shared" si="18"/>
        <v>0</v>
      </c>
      <c r="AS441" s="3">
        <f t="shared" si="19"/>
        <v>0</v>
      </c>
      <c r="AT441" s="3" t="str">
        <f>IF(OR(Registered!AM441&gt;0,Registered!AO441&gt;0),(IF(Registered!E441=0,"Size Not Specified",Registered!E441)),"")</f>
        <v/>
      </c>
      <c r="AU441" s="3" t="str">
        <f>IF(Registered!AE441=0,"",IF(Registered!AE441=1,Registered!AE441&amp;" Bandana",Registered!AE441&amp;" Bandanas"))</f>
        <v/>
      </c>
      <c r="AV441" s="3">
        <f t="shared" si="20"/>
        <v>0</v>
      </c>
      <c r="AW441" s="2" t="str">
        <f>IF(Registered!AV441=0,"",IF(Registered!AV441=1,Registered!AV441&amp;" Meal",Registered!AV441&amp;" Meals"))</f>
        <v/>
      </c>
      <c r="AX441" s="2" t="str">
        <f>IF(Registered!AI441=0,"",Registered!AI441&amp;" BG")</f>
        <v/>
      </c>
      <c r="AY441" s="2" t="str">
        <f>IF(Registered!AG441=0,"",Registered!AG441&amp;" DustMask")</f>
        <v/>
      </c>
    </row>
    <row r="442" spans="1:51" customFormat="1" x14ac:dyDescent="0.25">
      <c r="A442" t="s">
        <v>316</v>
      </c>
      <c r="B442" t="s">
        <v>1006</v>
      </c>
      <c r="C442" t="s">
        <v>6090</v>
      </c>
      <c r="G442" t="s">
        <v>255</v>
      </c>
      <c r="H442" t="s">
        <v>905</v>
      </c>
      <c r="I442" t="s">
        <v>908</v>
      </c>
      <c r="J442" t="s">
        <v>37</v>
      </c>
      <c r="K442" t="s">
        <v>32</v>
      </c>
      <c r="L442" t="s">
        <v>35</v>
      </c>
      <c r="AQ442">
        <v>0</v>
      </c>
      <c r="AR442" s="3">
        <f t="shared" si="18"/>
        <v>0</v>
      </c>
      <c r="AS442" s="3">
        <f t="shared" si="19"/>
        <v>0</v>
      </c>
      <c r="AT442" s="3" t="str">
        <f>IF(OR(Registered!AM442&gt;0,Registered!AO442&gt;0),(IF(Registered!E442=0,"Size Not Specified",Registered!E442)),"")</f>
        <v/>
      </c>
      <c r="AU442" s="3" t="str">
        <f>IF(Registered!AE442=0,"",IF(Registered!AE442=1,Registered!AE442&amp;" Bandana",Registered!AE442&amp;" Bandanas"))</f>
        <v/>
      </c>
      <c r="AV442" s="3">
        <f t="shared" si="20"/>
        <v>0</v>
      </c>
      <c r="AW442" s="2" t="str">
        <f>IF(Registered!AV442=0,"",IF(Registered!AV442=1,Registered!AV442&amp;" Meal",Registered!AV442&amp;" Meals"))</f>
        <v/>
      </c>
      <c r="AX442" s="2" t="str">
        <f>IF(Registered!AI442=0,"",Registered!AI442&amp;" BG")</f>
        <v/>
      </c>
      <c r="AY442" s="2" t="str">
        <f>IF(Registered!AG442=0,"",Registered!AG442&amp;" DustMask")</f>
        <v/>
      </c>
    </row>
    <row r="443" spans="1:51" customFormat="1" x14ac:dyDescent="0.25">
      <c r="A443" t="s">
        <v>94</v>
      </c>
      <c r="B443" t="s">
        <v>1007</v>
      </c>
      <c r="C443" t="s">
        <v>6090</v>
      </c>
      <c r="D443" t="s">
        <v>1008</v>
      </c>
      <c r="F443" t="s">
        <v>261</v>
      </c>
      <c r="I443" t="s">
        <v>1009</v>
      </c>
      <c r="J443" t="s">
        <v>37</v>
      </c>
      <c r="K443" t="s">
        <v>32</v>
      </c>
      <c r="L443" t="s">
        <v>35</v>
      </c>
      <c r="S443">
        <v>2</v>
      </c>
      <c r="T443">
        <v>3</v>
      </c>
      <c r="U443">
        <v>1</v>
      </c>
      <c r="V443">
        <v>20</v>
      </c>
      <c r="AQ443">
        <v>26</v>
      </c>
      <c r="AR443" s="3">
        <f t="shared" si="18"/>
        <v>10</v>
      </c>
      <c r="AS443" s="3">
        <f t="shared" si="19"/>
        <v>0</v>
      </c>
      <c r="AT443" s="3" t="str">
        <f>IF(OR(Registered!AM443&gt;0,Registered!AO443&gt;0),(IF(Registered!E443=0,"Size Not Specified",Registered!E443)),"")</f>
        <v/>
      </c>
      <c r="AU443" s="3" t="str">
        <f>IF(Registered!AE443=0,"",IF(Registered!AE443=1,Registered!AE443&amp;" Bandana",Registered!AE443&amp;" Bandanas"))</f>
        <v/>
      </c>
      <c r="AV443" s="3">
        <f t="shared" si="20"/>
        <v>0</v>
      </c>
      <c r="AW443" s="2" t="str">
        <f>IF(Registered!AV443=0,"",IF(Registered!AV443=1,Registered!AV443&amp;" Meal",Registered!AV443&amp;" Meals"))</f>
        <v/>
      </c>
      <c r="AX443" s="2" t="str">
        <f>IF(Registered!AI443=0,"",Registered!AI443&amp;" BG")</f>
        <v/>
      </c>
      <c r="AY443" s="2" t="str">
        <f>IF(Registered!AG443=0,"",Registered!AG443&amp;" DustMask")</f>
        <v/>
      </c>
    </row>
    <row r="444" spans="1:51" customFormat="1" x14ac:dyDescent="0.25">
      <c r="A444" t="s">
        <v>317</v>
      </c>
      <c r="B444" t="s">
        <v>4065</v>
      </c>
      <c r="C444" t="s">
        <v>6090</v>
      </c>
      <c r="F444" t="s">
        <v>261</v>
      </c>
      <c r="I444" t="s">
        <v>4066</v>
      </c>
      <c r="J444" t="s">
        <v>37</v>
      </c>
      <c r="K444" t="s">
        <v>32</v>
      </c>
      <c r="L444" t="s">
        <v>35</v>
      </c>
      <c r="Q444">
        <v>1</v>
      </c>
      <c r="R444">
        <v>3</v>
      </c>
      <c r="AC444">
        <v>1</v>
      </c>
      <c r="AD444">
        <v>10</v>
      </c>
      <c r="AQ444">
        <v>13</v>
      </c>
      <c r="AR444" s="3">
        <f t="shared" si="18"/>
        <v>5</v>
      </c>
      <c r="AS444" s="3">
        <f t="shared" si="19"/>
        <v>0</v>
      </c>
      <c r="AT444" s="3" t="str">
        <f>IF(OR(Registered!AM444&gt;0,Registered!AO444&gt;0),(IF(Registered!E444=0,"Size Not Specified",Registered!E444)),"")</f>
        <v/>
      </c>
      <c r="AU444" s="3" t="str">
        <f>IF(Registered!AE444=0,"",IF(Registered!AE444=1,Registered!AE444&amp;" Bandana",Registered!AE444&amp;" Bandanas"))</f>
        <v/>
      </c>
      <c r="AV444" s="3">
        <f t="shared" si="20"/>
        <v>0</v>
      </c>
      <c r="AW444" s="2" t="str">
        <f>IF(Registered!AV444=0,"",IF(Registered!AV444=1,Registered!AV444&amp;" Meal",Registered!AV444&amp;" Meals"))</f>
        <v/>
      </c>
      <c r="AX444" s="2" t="str">
        <f>IF(Registered!AI444=0,"",Registered!AI444&amp;" BG")</f>
        <v/>
      </c>
      <c r="AY444" s="2" t="str">
        <f>IF(Registered!AG444=0,"",Registered!AG444&amp;" DustMask")</f>
        <v/>
      </c>
    </row>
    <row r="445" spans="1:51" customFormat="1" x14ac:dyDescent="0.25">
      <c r="A445" t="s">
        <v>4067</v>
      </c>
      <c r="B445" t="s">
        <v>4068</v>
      </c>
      <c r="C445" t="s">
        <v>6090</v>
      </c>
      <c r="G445" t="s">
        <v>4069</v>
      </c>
      <c r="H445" t="s">
        <v>4070</v>
      </c>
      <c r="I445" t="s">
        <v>4071</v>
      </c>
      <c r="J445" t="s">
        <v>37</v>
      </c>
      <c r="K445" t="s">
        <v>32</v>
      </c>
      <c r="L445" t="s">
        <v>35</v>
      </c>
      <c r="AQ445">
        <v>0</v>
      </c>
      <c r="AR445" s="3">
        <f t="shared" si="18"/>
        <v>0</v>
      </c>
      <c r="AS445" s="3">
        <f t="shared" si="19"/>
        <v>0</v>
      </c>
      <c r="AT445" s="3" t="str">
        <f>IF(OR(Registered!AM445&gt;0,Registered!AO445&gt;0),(IF(Registered!E445=0,"Size Not Specified",Registered!E445)),"")</f>
        <v/>
      </c>
      <c r="AU445" s="3" t="str">
        <f>IF(Registered!AE445=0,"",IF(Registered!AE445=1,Registered!AE445&amp;" Bandana",Registered!AE445&amp;" Bandanas"))</f>
        <v/>
      </c>
      <c r="AV445" s="3">
        <f t="shared" si="20"/>
        <v>0</v>
      </c>
      <c r="AW445" s="2" t="str">
        <f>IF(Registered!AV445=0,"",IF(Registered!AV445=1,Registered!AV445&amp;" Meal",Registered!AV445&amp;" Meals"))</f>
        <v/>
      </c>
      <c r="AX445" s="2" t="str">
        <f>IF(Registered!AI445=0,"",Registered!AI445&amp;" BG")</f>
        <v/>
      </c>
      <c r="AY445" s="2" t="str">
        <f>IF(Registered!AG445=0,"",Registered!AG445&amp;" DustMask")</f>
        <v/>
      </c>
    </row>
    <row r="446" spans="1:51" customFormat="1" x14ac:dyDescent="0.25">
      <c r="A446" t="s">
        <v>97</v>
      </c>
      <c r="B446" t="s">
        <v>1013</v>
      </c>
      <c r="C446" t="s">
        <v>6090</v>
      </c>
      <c r="G446" t="s">
        <v>56</v>
      </c>
      <c r="H446" t="s">
        <v>1014</v>
      </c>
      <c r="I446" t="s">
        <v>1015</v>
      </c>
      <c r="J446" t="s">
        <v>37</v>
      </c>
      <c r="K446" t="s">
        <v>32</v>
      </c>
      <c r="L446" t="s">
        <v>35</v>
      </c>
      <c r="AQ446">
        <v>0</v>
      </c>
      <c r="AR446" s="3">
        <f t="shared" si="18"/>
        <v>0</v>
      </c>
      <c r="AS446" s="3">
        <f t="shared" si="19"/>
        <v>0</v>
      </c>
      <c r="AT446" s="3" t="str">
        <f>IF(OR(Registered!AM446&gt;0,Registered!AO446&gt;0),(IF(Registered!E446=0,"Size Not Specified",Registered!E446)),"")</f>
        <v/>
      </c>
      <c r="AU446" s="3" t="str">
        <f>IF(Registered!AE446=0,"",IF(Registered!AE446=1,Registered!AE446&amp;" Bandana",Registered!AE446&amp;" Bandanas"))</f>
        <v/>
      </c>
      <c r="AV446" s="3">
        <f t="shared" si="20"/>
        <v>0</v>
      </c>
      <c r="AW446" s="2" t="str">
        <f>IF(Registered!AV446=0,"",IF(Registered!AV446=1,Registered!AV446&amp;" Meal",Registered!AV446&amp;" Meals"))</f>
        <v/>
      </c>
      <c r="AX446" s="2" t="str">
        <f>IF(Registered!AI446=0,"",Registered!AI446&amp;" BG")</f>
        <v/>
      </c>
      <c r="AY446" s="2" t="str">
        <f>IF(Registered!AG446=0,"",Registered!AG446&amp;" DustMask")</f>
        <v/>
      </c>
    </row>
    <row r="447" spans="1:51" customFormat="1" x14ac:dyDescent="0.25">
      <c r="A447" t="s">
        <v>1016</v>
      </c>
      <c r="B447" t="s">
        <v>1013</v>
      </c>
      <c r="C447" t="s">
        <v>6090</v>
      </c>
      <c r="G447" t="s">
        <v>56</v>
      </c>
      <c r="H447" t="s">
        <v>1014</v>
      </c>
      <c r="I447" t="s">
        <v>1015</v>
      </c>
      <c r="J447" t="s">
        <v>37</v>
      </c>
      <c r="K447" t="s">
        <v>32</v>
      </c>
      <c r="L447" t="s">
        <v>35</v>
      </c>
      <c r="AQ447">
        <v>0</v>
      </c>
      <c r="AR447" s="3">
        <f t="shared" si="18"/>
        <v>0</v>
      </c>
      <c r="AS447" s="3">
        <f t="shared" si="19"/>
        <v>0</v>
      </c>
      <c r="AT447" s="3" t="str">
        <f>IF(OR(Registered!AM447&gt;0,Registered!AO447&gt;0),(IF(Registered!E447=0,"Size Not Specified",Registered!E447)),"")</f>
        <v/>
      </c>
      <c r="AU447" s="3" t="str">
        <f>IF(Registered!AE447=0,"",IF(Registered!AE447=1,Registered!AE447&amp;" Bandana",Registered!AE447&amp;" Bandanas"))</f>
        <v/>
      </c>
      <c r="AV447" s="3">
        <f t="shared" si="20"/>
        <v>0</v>
      </c>
      <c r="AW447" s="2" t="str">
        <f>IF(Registered!AV447=0,"",IF(Registered!AV447=1,Registered!AV447&amp;" Meal",Registered!AV447&amp;" Meals"))</f>
        <v/>
      </c>
      <c r="AX447" s="2" t="str">
        <f>IF(Registered!AI447=0,"",Registered!AI447&amp;" BG")</f>
        <v/>
      </c>
      <c r="AY447" s="2" t="str">
        <f>IF(Registered!AG447=0,"",Registered!AG447&amp;" DustMask")</f>
        <v/>
      </c>
    </row>
    <row r="448" spans="1:51" customFormat="1" x14ac:dyDescent="0.25">
      <c r="A448" t="s">
        <v>1017</v>
      </c>
      <c r="B448" t="s">
        <v>1013</v>
      </c>
      <c r="C448" t="s">
        <v>6090</v>
      </c>
      <c r="G448" t="s">
        <v>56</v>
      </c>
      <c r="H448" t="s">
        <v>1014</v>
      </c>
      <c r="I448" t="s">
        <v>1015</v>
      </c>
      <c r="J448" t="s">
        <v>37</v>
      </c>
      <c r="K448" t="s">
        <v>32</v>
      </c>
      <c r="L448" t="s">
        <v>35</v>
      </c>
      <c r="AQ448">
        <v>0</v>
      </c>
      <c r="AR448" s="3">
        <f t="shared" si="18"/>
        <v>0</v>
      </c>
      <c r="AS448" s="3">
        <f t="shared" si="19"/>
        <v>0</v>
      </c>
      <c r="AT448" s="3" t="str">
        <f>IF(OR(Registered!AM448&gt;0,Registered!AO448&gt;0),(IF(Registered!E448=0,"Size Not Specified",Registered!E448)),"")</f>
        <v/>
      </c>
      <c r="AU448" s="3" t="str">
        <f>IF(Registered!AE448=0,"",IF(Registered!AE448=1,Registered!AE448&amp;" Bandana",Registered!AE448&amp;" Bandanas"))</f>
        <v/>
      </c>
      <c r="AV448" s="3">
        <f t="shared" si="20"/>
        <v>0</v>
      </c>
      <c r="AW448" s="2" t="str">
        <f>IF(Registered!AV448=0,"",IF(Registered!AV448=1,Registered!AV448&amp;" Meal",Registered!AV448&amp;" Meals"))</f>
        <v/>
      </c>
      <c r="AX448" s="2" t="str">
        <f>IF(Registered!AI448=0,"",Registered!AI448&amp;" BG")</f>
        <v/>
      </c>
      <c r="AY448" s="2" t="str">
        <f>IF(Registered!AG448=0,"",Registered!AG448&amp;" DustMask")</f>
        <v/>
      </c>
    </row>
    <row r="449" spans="1:51" customFormat="1" x14ac:dyDescent="0.25">
      <c r="A449" t="s">
        <v>54</v>
      </c>
      <c r="B449" t="s">
        <v>2835</v>
      </c>
      <c r="C449" t="s">
        <v>6090</v>
      </c>
      <c r="D449" t="s">
        <v>2836</v>
      </c>
      <c r="F449" t="s">
        <v>261</v>
      </c>
      <c r="I449" t="s">
        <v>2837</v>
      </c>
      <c r="J449" t="s">
        <v>37</v>
      </c>
      <c r="K449" t="s">
        <v>32</v>
      </c>
      <c r="L449" t="s">
        <v>35</v>
      </c>
      <c r="Q449">
        <v>2</v>
      </c>
      <c r="R449">
        <v>3</v>
      </c>
      <c r="U449">
        <v>1</v>
      </c>
      <c r="V449">
        <v>20</v>
      </c>
      <c r="AQ449">
        <v>26</v>
      </c>
      <c r="AR449" s="3">
        <f t="shared" si="18"/>
        <v>10</v>
      </c>
      <c r="AS449" s="3">
        <f t="shared" si="19"/>
        <v>0</v>
      </c>
      <c r="AT449" s="3" t="str">
        <f>IF(OR(Registered!AM449&gt;0,Registered!AO449&gt;0),(IF(Registered!E449=0,"Size Not Specified",Registered!E449)),"")</f>
        <v/>
      </c>
      <c r="AU449" s="3" t="str">
        <f>IF(Registered!AE449=0,"",IF(Registered!AE449=1,Registered!AE449&amp;" Bandana",Registered!AE449&amp;" Bandanas"))</f>
        <v/>
      </c>
      <c r="AV449" s="3">
        <f t="shared" si="20"/>
        <v>0</v>
      </c>
      <c r="AW449" s="2" t="str">
        <f>IF(Registered!AV449=0,"",IF(Registered!AV449=1,Registered!AV449&amp;" Meal",Registered!AV449&amp;" Meals"))</f>
        <v/>
      </c>
      <c r="AX449" s="2" t="str">
        <f>IF(Registered!AI449=0,"",Registered!AI449&amp;" BG")</f>
        <v/>
      </c>
      <c r="AY449" s="2" t="str">
        <f>IF(Registered!AG449=0,"",Registered!AG449&amp;" DustMask")</f>
        <v/>
      </c>
    </row>
    <row r="450" spans="1:51" customFormat="1" x14ac:dyDescent="0.25">
      <c r="A450" t="s">
        <v>75</v>
      </c>
      <c r="B450" t="s">
        <v>2835</v>
      </c>
      <c r="C450" t="s">
        <v>6090</v>
      </c>
      <c r="G450" t="s">
        <v>152</v>
      </c>
      <c r="H450" t="s">
        <v>4072</v>
      </c>
      <c r="I450" t="s">
        <v>4073</v>
      </c>
      <c r="J450" t="s">
        <v>37</v>
      </c>
      <c r="K450" t="s">
        <v>32</v>
      </c>
      <c r="L450" t="s">
        <v>35</v>
      </c>
      <c r="AQ450">
        <v>0</v>
      </c>
      <c r="AR450" s="3">
        <f t="shared" ref="AR450:AR513" si="21">IF(ISTEXT(AM450)=TRUE,"",SUM(U450*10,W450*20,Y450*30,AA450*40,AC450*5,AM450*5))</f>
        <v>0</v>
      </c>
      <c r="AS450" s="3">
        <f t="shared" ref="AS450:AS513" si="22">IF(ISTEXT(AM450)=TRUE,"",SUM(AM450,AO450))</f>
        <v>0</v>
      </c>
      <c r="AT450" s="3" t="str">
        <f>IF(OR(Registered!AM450&gt;0,Registered!AO450&gt;0),(IF(Registered!E450=0,"Size Not Specified",Registered!E450)),"")</f>
        <v/>
      </c>
      <c r="AU450" s="3" t="str">
        <f>IF(Registered!AE450=0,"",IF(Registered!AE450=1,Registered!AE450&amp;" Bandana",Registered!AE450&amp;" Bandanas"))</f>
        <v/>
      </c>
      <c r="AV450" s="3">
        <f t="shared" ref="AV450:AV513" si="23">IF(ISTEXT(AM450)=TRUE,"",SUM(AM450,AK450))</f>
        <v>0</v>
      </c>
      <c r="AW450" s="2" t="str">
        <f>IF(Registered!AV450=0,"",IF(Registered!AV450=1,Registered!AV450&amp;" Meal",Registered!AV450&amp;" Meals"))</f>
        <v/>
      </c>
      <c r="AX450" s="2" t="str">
        <f>IF(Registered!AI450=0,"",Registered!AI450&amp;" BG")</f>
        <v/>
      </c>
      <c r="AY450" s="2" t="str">
        <f>IF(Registered!AG450=0,"",Registered!AG450&amp;" DustMask")</f>
        <v/>
      </c>
    </row>
    <row r="451" spans="1:51" customFormat="1" x14ac:dyDescent="0.25">
      <c r="A451" t="s">
        <v>2838</v>
      </c>
      <c r="B451" t="s">
        <v>2839</v>
      </c>
      <c r="C451" t="s">
        <v>6090</v>
      </c>
      <c r="G451" t="s">
        <v>91</v>
      </c>
      <c r="H451" t="s">
        <v>2840</v>
      </c>
      <c r="I451" t="s">
        <v>2841</v>
      </c>
      <c r="J451" t="s">
        <v>37</v>
      </c>
      <c r="K451" t="s">
        <v>32</v>
      </c>
      <c r="L451" t="s">
        <v>35</v>
      </c>
      <c r="AQ451">
        <v>0</v>
      </c>
      <c r="AR451" s="3">
        <f t="shared" si="21"/>
        <v>0</v>
      </c>
      <c r="AS451" s="3">
        <f t="shared" si="22"/>
        <v>0</v>
      </c>
      <c r="AT451" s="3" t="str">
        <f>IF(OR(Registered!AM451&gt;0,Registered!AO451&gt;0),(IF(Registered!E451=0,"Size Not Specified",Registered!E451)),"")</f>
        <v/>
      </c>
      <c r="AU451" s="3" t="str">
        <f>IF(Registered!AE451=0,"",IF(Registered!AE451=1,Registered!AE451&amp;" Bandana",Registered!AE451&amp;" Bandanas"))</f>
        <v/>
      </c>
      <c r="AV451" s="3">
        <f t="shared" si="23"/>
        <v>0</v>
      </c>
      <c r="AW451" s="2" t="str">
        <f>IF(Registered!AV451=0,"",IF(Registered!AV451=1,Registered!AV451&amp;" Meal",Registered!AV451&amp;" Meals"))</f>
        <v/>
      </c>
      <c r="AX451" s="2" t="str">
        <f>IF(Registered!AI451=0,"",Registered!AI451&amp;" BG")</f>
        <v/>
      </c>
      <c r="AY451" s="2" t="str">
        <f>IF(Registered!AG451=0,"",Registered!AG451&amp;" DustMask")</f>
        <v/>
      </c>
    </row>
    <row r="452" spans="1:51" customFormat="1" x14ac:dyDescent="0.25">
      <c r="A452" t="s">
        <v>217</v>
      </c>
      <c r="B452" t="s">
        <v>2842</v>
      </c>
      <c r="C452" t="s">
        <v>6090</v>
      </c>
      <c r="G452" t="s">
        <v>255</v>
      </c>
      <c r="H452" t="s">
        <v>2407</v>
      </c>
      <c r="I452" t="s">
        <v>2843</v>
      </c>
      <c r="J452" t="s">
        <v>37</v>
      </c>
      <c r="K452" t="s">
        <v>32</v>
      </c>
      <c r="L452" t="s">
        <v>35</v>
      </c>
      <c r="AQ452">
        <v>0</v>
      </c>
      <c r="AR452" s="3">
        <f t="shared" si="21"/>
        <v>0</v>
      </c>
      <c r="AS452" s="3">
        <f t="shared" si="22"/>
        <v>0</v>
      </c>
      <c r="AT452" s="3" t="str">
        <f>IF(OR(Registered!AM452&gt;0,Registered!AO452&gt;0),(IF(Registered!E452=0,"Size Not Specified",Registered!E452)),"")</f>
        <v/>
      </c>
      <c r="AU452" s="3" t="str">
        <f>IF(Registered!AE452=0,"",IF(Registered!AE452=1,Registered!AE452&amp;" Bandana",Registered!AE452&amp;" Bandanas"))</f>
        <v/>
      </c>
      <c r="AV452" s="3">
        <f t="shared" si="23"/>
        <v>0</v>
      </c>
      <c r="AW452" s="2" t="str">
        <f>IF(Registered!AV452=0,"",IF(Registered!AV452=1,Registered!AV452&amp;" Meal",Registered!AV452&amp;" Meals"))</f>
        <v/>
      </c>
      <c r="AX452" s="2" t="str">
        <f>IF(Registered!AI452=0,"",Registered!AI452&amp;" BG")</f>
        <v/>
      </c>
      <c r="AY452" s="2" t="str">
        <f>IF(Registered!AG452=0,"",Registered!AG452&amp;" DustMask")</f>
        <v/>
      </c>
    </row>
    <row r="453" spans="1:51" customFormat="1" x14ac:dyDescent="0.25">
      <c r="A453" t="s">
        <v>1018</v>
      </c>
      <c r="B453" t="s">
        <v>1019</v>
      </c>
      <c r="C453" t="s">
        <v>6090</v>
      </c>
      <c r="D453" t="s">
        <v>1020</v>
      </c>
      <c r="E453" t="s">
        <v>117</v>
      </c>
      <c r="F453" t="s">
        <v>261</v>
      </c>
      <c r="I453" t="s">
        <v>1021</v>
      </c>
      <c r="J453" t="s">
        <v>37</v>
      </c>
      <c r="K453" t="s">
        <v>32</v>
      </c>
      <c r="L453" t="s">
        <v>35</v>
      </c>
      <c r="Q453">
        <v>1</v>
      </c>
      <c r="R453">
        <v>3</v>
      </c>
      <c r="AC453">
        <v>1</v>
      </c>
      <c r="AD453">
        <v>10</v>
      </c>
      <c r="AE453">
        <v>1</v>
      </c>
      <c r="AF453">
        <v>6</v>
      </c>
      <c r="AO453">
        <v>1</v>
      </c>
      <c r="AP453">
        <v>10</v>
      </c>
      <c r="AQ453">
        <v>29</v>
      </c>
      <c r="AR453" s="3">
        <f t="shared" si="21"/>
        <v>5</v>
      </c>
      <c r="AS453" s="3">
        <f t="shared" si="22"/>
        <v>1</v>
      </c>
      <c r="AT453" s="3" t="str">
        <f>IF(OR(Registered!AM453&gt;0,Registered!AO453&gt;0),(IF(Registered!E453=0,"Size Not Specified",Registered!E453)),"")</f>
        <v>Large</v>
      </c>
      <c r="AU453" s="3" t="str">
        <f>IF(Registered!AE453=0,"",IF(Registered!AE453=1,Registered!AE453&amp;" Bandana",Registered!AE453&amp;" Bandanas"))</f>
        <v>1 Bandana</v>
      </c>
      <c r="AV453" s="3">
        <f t="shared" si="23"/>
        <v>0</v>
      </c>
      <c r="AW453" s="2" t="str">
        <f>IF(Registered!AV453=0,"",IF(Registered!AV453=1,Registered!AV453&amp;" Meal",Registered!AV453&amp;" Meals"))</f>
        <v/>
      </c>
      <c r="AX453" s="2" t="str">
        <f>IF(Registered!AI453=0,"",Registered!AI453&amp;" BG")</f>
        <v/>
      </c>
      <c r="AY453" s="2" t="str">
        <f>IF(Registered!AG453=0,"",Registered!AG453&amp;" DustMask")</f>
        <v/>
      </c>
    </row>
    <row r="454" spans="1:51" customFormat="1" x14ac:dyDescent="0.25">
      <c r="A454" t="s">
        <v>217</v>
      </c>
      <c r="B454" t="s">
        <v>126</v>
      </c>
      <c r="C454" t="s">
        <v>6090</v>
      </c>
      <c r="D454" t="s">
        <v>57</v>
      </c>
      <c r="E454" t="s">
        <v>1022</v>
      </c>
      <c r="F454" t="s">
        <v>261</v>
      </c>
      <c r="I454" t="s">
        <v>1023</v>
      </c>
      <c r="J454" t="s">
        <v>37</v>
      </c>
      <c r="K454" t="s">
        <v>32</v>
      </c>
      <c r="L454" t="s">
        <v>35</v>
      </c>
      <c r="S454">
        <v>1</v>
      </c>
      <c r="T454">
        <v>3</v>
      </c>
      <c r="AC454">
        <v>1</v>
      </c>
      <c r="AD454">
        <v>10</v>
      </c>
      <c r="AE454">
        <v>1</v>
      </c>
      <c r="AF454">
        <v>6</v>
      </c>
      <c r="AO454">
        <v>1</v>
      </c>
      <c r="AP454">
        <v>10</v>
      </c>
      <c r="AQ454">
        <v>29</v>
      </c>
      <c r="AR454" s="3">
        <f t="shared" si="21"/>
        <v>5</v>
      </c>
      <c r="AS454" s="3">
        <f t="shared" si="22"/>
        <v>1</v>
      </c>
      <c r="AT454" s="3" t="str">
        <f>IF(OR(Registered!AM454&gt;0,Registered!AO454&gt;0),(IF(Registered!E454=0,"Size Not Specified",Registered!E454)),"")</f>
        <v>Women's XL</v>
      </c>
      <c r="AU454" s="3" t="str">
        <f>IF(Registered!AE454=0,"",IF(Registered!AE454=1,Registered!AE454&amp;" Bandana",Registered!AE454&amp;" Bandanas"))</f>
        <v>1 Bandana</v>
      </c>
      <c r="AV454" s="3">
        <f t="shared" si="23"/>
        <v>0</v>
      </c>
      <c r="AW454" s="2" t="str">
        <f>IF(Registered!AV454=0,"",IF(Registered!AV454=1,Registered!AV454&amp;" Meal",Registered!AV454&amp;" Meals"))</f>
        <v/>
      </c>
      <c r="AX454" s="2" t="str">
        <f>IF(Registered!AI454=0,"",Registered!AI454&amp;" BG")</f>
        <v/>
      </c>
      <c r="AY454" s="2" t="str">
        <f>IF(Registered!AG454=0,"",Registered!AG454&amp;" DustMask")</f>
        <v/>
      </c>
    </row>
    <row r="455" spans="1:51" customFormat="1" x14ac:dyDescent="0.25">
      <c r="A455" t="s">
        <v>2844</v>
      </c>
      <c r="B455" t="s">
        <v>126</v>
      </c>
      <c r="C455" t="s">
        <v>6090</v>
      </c>
      <c r="D455" t="s">
        <v>2845</v>
      </c>
      <c r="F455" t="s">
        <v>261</v>
      </c>
      <c r="I455" t="s">
        <v>2846</v>
      </c>
      <c r="J455" t="s">
        <v>37</v>
      </c>
      <c r="K455" t="s">
        <v>32</v>
      </c>
      <c r="L455" t="s">
        <v>35</v>
      </c>
      <c r="Q455">
        <v>1</v>
      </c>
      <c r="R455">
        <v>3</v>
      </c>
      <c r="U455">
        <v>1</v>
      </c>
      <c r="V455">
        <v>20</v>
      </c>
      <c r="AC455">
        <v>1</v>
      </c>
      <c r="AD455">
        <v>10</v>
      </c>
      <c r="AQ455">
        <v>33</v>
      </c>
      <c r="AR455" s="3">
        <f t="shared" si="21"/>
        <v>15</v>
      </c>
      <c r="AS455" s="3">
        <f t="shared" si="22"/>
        <v>0</v>
      </c>
      <c r="AT455" s="3" t="str">
        <f>IF(OR(Registered!AM455&gt;0,Registered!AO455&gt;0),(IF(Registered!E455=0,"Size Not Specified",Registered!E455)),"")</f>
        <v/>
      </c>
      <c r="AU455" s="3" t="str">
        <f>IF(Registered!AE455=0,"",IF(Registered!AE455=1,Registered!AE455&amp;" Bandana",Registered!AE455&amp;" Bandanas"))</f>
        <v/>
      </c>
      <c r="AV455" s="3">
        <f t="shared" si="23"/>
        <v>0</v>
      </c>
      <c r="AW455" s="2" t="str">
        <f>IF(Registered!AV455=0,"",IF(Registered!AV455=1,Registered!AV455&amp;" Meal",Registered!AV455&amp;" Meals"))</f>
        <v/>
      </c>
      <c r="AX455" s="2" t="str">
        <f>IF(Registered!AI455=0,"",Registered!AI455&amp;" BG")</f>
        <v/>
      </c>
      <c r="AY455" s="2" t="str">
        <f>IF(Registered!AG455=0,"",Registered!AG455&amp;" DustMask")</f>
        <v/>
      </c>
    </row>
    <row r="456" spans="1:51" customFormat="1" x14ac:dyDescent="0.25">
      <c r="A456" t="s">
        <v>1024</v>
      </c>
      <c r="B456" t="s">
        <v>126</v>
      </c>
      <c r="C456" t="s">
        <v>6090</v>
      </c>
      <c r="D456" t="s">
        <v>1025</v>
      </c>
      <c r="F456" t="s">
        <v>261</v>
      </c>
      <c r="I456" t="s">
        <v>1026</v>
      </c>
      <c r="J456" t="s">
        <v>37</v>
      </c>
      <c r="K456" t="s">
        <v>32</v>
      </c>
      <c r="L456" t="s">
        <v>35</v>
      </c>
      <c r="S456">
        <v>1</v>
      </c>
      <c r="T456">
        <v>3</v>
      </c>
      <c r="U456">
        <v>1</v>
      </c>
      <c r="V456">
        <v>20</v>
      </c>
      <c r="AQ456">
        <v>23</v>
      </c>
      <c r="AR456" s="3">
        <f t="shared" si="21"/>
        <v>10</v>
      </c>
      <c r="AS456" s="3">
        <f t="shared" si="22"/>
        <v>0</v>
      </c>
      <c r="AT456" s="3" t="str">
        <f>IF(OR(Registered!AM456&gt;0,Registered!AO456&gt;0),(IF(Registered!E456=0,"Size Not Specified",Registered!E456)),"")</f>
        <v/>
      </c>
      <c r="AU456" s="3" t="str">
        <f>IF(Registered!AE456=0,"",IF(Registered!AE456=1,Registered!AE456&amp;" Bandana",Registered!AE456&amp;" Bandanas"))</f>
        <v/>
      </c>
      <c r="AV456" s="3">
        <f t="shared" si="23"/>
        <v>0</v>
      </c>
      <c r="AW456" s="2" t="str">
        <f>IF(Registered!AV456=0,"",IF(Registered!AV456=1,Registered!AV456&amp;" Meal",Registered!AV456&amp;" Meals"))</f>
        <v/>
      </c>
      <c r="AX456" s="2" t="str">
        <f>IF(Registered!AI456=0,"",Registered!AI456&amp;" BG")</f>
        <v/>
      </c>
      <c r="AY456" s="2" t="str">
        <f>IF(Registered!AG456=0,"",Registered!AG456&amp;" DustMask")</f>
        <v/>
      </c>
    </row>
    <row r="457" spans="1:51" customFormat="1" x14ac:dyDescent="0.25">
      <c r="A457" t="s">
        <v>258</v>
      </c>
      <c r="B457" t="s">
        <v>4078</v>
      </c>
      <c r="C457" t="s">
        <v>6090</v>
      </c>
      <c r="F457" t="s">
        <v>261</v>
      </c>
      <c r="I457" t="s">
        <v>4079</v>
      </c>
      <c r="J457" t="s">
        <v>37</v>
      </c>
      <c r="K457" t="s">
        <v>32</v>
      </c>
      <c r="L457" t="s">
        <v>35</v>
      </c>
      <c r="Q457">
        <v>1</v>
      </c>
      <c r="R457">
        <v>3</v>
      </c>
      <c r="AQ457">
        <v>3</v>
      </c>
      <c r="AR457" s="3">
        <f t="shared" si="21"/>
        <v>0</v>
      </c>
      <c r="AS457" s="3">
        <f t="shared" si="22"/>
        <v>0</v>
      </c>
      <c r="AT457" s="3" t="str">
        <f>IF(OR(Registered!AM457&gt;0,Registered!AO457&gt;0),(IF(Registered!E457=0,"Size Not Specified",Registered!E457)),"")</f>
        <v/>
      </c>
      <c r="AU457" s="3" t="str">
        <f>IF(Registered!AE457=0,"",IF(Registered!AE457=1,Registered!AE457&amp;" Bandana",Registered!AE457&amp;" Bandanas"))</f>
        <v/>
      </c>
      <c r="AV457" s="3">
        <f t="shared" si="23"/>
        <v>0</v>
      </c>
      <c r="AW457" s="2" t="str">
        <f>IF(Registered!AV457=0,"",IF(Registered!AV457=1,Registered!AV457&amp;" Meal",Registered!AV457&amp;" Meals"))</f>
        <v/>
      </c>
      <c r="AX457" s="2" t="str">
        <f>IF(Registered!AI457=0,"",Registered!AI457&amp;" BG")</f>
        <v/>
      </c>
      <c r="AY457" s="2" t="str">
        <f>IF(Registered!AG457=0,"",Registered!AG457&amp;" DustMask")</f>
        <v/>
      </c>
    </row>
    <row r="458" spans="1:51" customFormat="1" x14ac:dyDescent="0.25">
      <c r="A458" t="s">
        <v>100</v>
      </c>
      <c r="B458" t="s">
        <v>4078</v>
      </c>
      <c r="C458" t="s">
        <v>6090</v>
      </c>
      <c r="F458" t="s">
        <v>261</v>
      </c>
      <c r="I458" t="s">
        <v>4080</v>
      </c>
      <c r="J458" t="s">
        <v>37</v>
      </c>
      <c r="K458" t="s">
        <v>32</v>
      </c>
      <c r="L458" t="s">
        <v>35</v>
      </c>
      <c r="Q458">
        <v>1</v>
      </c>
      <c r="R458">
        <v>3</v>
      </c>
      <c r="AQ458">
        <v>3</v>
      </c>
      <c r="AR458" s="3">
        <f t="shared" si="21"/>
        <v>0</v>
      </c>
      <c r="AS458" s="3">
        <f t="shared" si="22"/>
        <v>0</v>
      </c>
      <c r="AT458" s="3" t="str">
        <f>IF(OR(Registered!AM458&gt;0,Registered!AO458&gt;0),(IF(Registered!E458=0,"Size Not Specified",Registered!E458)),"")</f>
        <v/>
      </c>
      <c r="AU458" s="3" t="str">
        <f>IF(Registered!AE458=0,"",IF(Registered!AE458=1,Registered!AE458&amp;" Bandana",Registered!AE458&amp;" Bandanas"))</f>
        <v/>
      </c>
      <c r="AV458" s="3">
        <f t="shared" si="23"/>
        <v>0</v>
      </c>
      <c r="AW458" s="2" t="str">
        <f>IF(Registered!AV458=0,"",IF(Registered!AV458=1,Registered!AV458&amp;" Meal",Registered!AV458&amp;" Meals"))</f>
        <v/>
      </c>
      <c r="AX458" s="2" t="str">
        <f>IF(Registered!AI458=0,"",Registered!AI458&amp;" BG")</f>
        <v/>
      </c>
      <c r="AY458" s="2" t="str">
        <f>IF(Registered!AG458=0,"",Registered!AG458&amp;" DustMask")</f>
        <v/>
      </c>
    </row>
    <row r="459" spans="1:51" customFormat="1" x14ac:dyDescent="0.25">
      <c r="A459" t="s">
        <v>2847</v>
      </c>
      <c r="B459" t="s">
        <v>2848</v>
      </c>
      <c r="C459" t="s">
        <v>6090</v>
      </c>
      <c r="G459" t="s">
        <v>122</v>
      </c>
      <c r="H459" t="s">
        <v>2849</v>
      </c>
      <c r="I459" t="s">
        <v>2850</v>
      </c>
      <c r="J459" t="s">
        <v>37</v>
      </c>
      <c r="K459" t="s">
        <v>32</v>
      </c>
      <c r="L459" t="s">
        <v>35</v>
      </c>
      <c r="AQ459">
        <v>0</v>
      </c>
      <c r="AR459" s="3">
        <f t="shared" si="21"/>
        <v>0</v>
      </c>
      <c r="AS459" s="3">
        <f t="shared" si="22"/>
        <v>0</v>
      </c>
      <c r="AT459" s="3" t="str">
        <f>IF(OR(Registered!AM459&gt;0,Registered!AO459&gt;0),(IF(Registered!E459=0,"Size Not Specified",Registered!E459)),"")</f>
        <v/>
      </c>
      <c r="AU459" s="3" t="str">
        <f>IF(Registered!AE459=0,"",IF(Registered!AE459=1,Registered!AE459&amp;" Bandana",Registered!AE459&amp;" Bandanas"))</f>
        <v/>
      </c>
      <c r="AV459" s="3">
        <f t="shared" si="23"/>
        <v>0</v>
      </c>
      <c r="AW459" s="2" t="str">
        <f>IF(Registered!AV459=0,"",IF(Registered!AV459=1,Registered!AV459&amp;" Meal",Registered!AV459&amp;" Meals"))</f>
        <v/>
      </c>
      <c r="AX459" s="2" t="str">
        <f>IF(Registered!AI459=0,"",Registered!AI459&amp;" BG")</f>
        <v/>
      </c>
      <c r="AY459" s="2" t="str">
        <f>IF(Registered!AG459=0,"",Registered!AG459&amp;" DustMask")</f>
        <v/>
      </c>
    </row>
    <row r="460" spans="1:51" customFormat="1" x14ac:dyDescent="0.25">
      <c r="A460" t="s">
        <v>357</v>
      </c>
      <c r="B460" t="s">
        <v>4081</v>
      </c>
      <c r="C460" t="s">
        <v>6090</v>
      </c>
      <c r="G460" t="s">
        <v>121</v>
      </c>
      <c r="H460" t="s">
        <v>4082</v>
      </c>
      <c r="I460" t="s">
        <v>4083</v>
      </c>
      <c r="J460" t="s">
        <v>37</v>
      </c>
      <c r="K460" t="s">
        <v>32</v>
      </c>
      <c r="L460" t="s">
        <v>35</v>
      </c>
      <c r="AQ460">
        <v>0</v>
      </c>
      <c r="AR460" s="3">
        <f t="shared" si="21"/>
        <v>0</v>
      </c>
      <c r="AS460" s="3">
        <f t="shared" si="22"/>
        <v>0</v>
      </c>
      <c r="AT460" s="3" t="str">
        <f>IF(OR(Registered!AM460&gt;0,Registered!AO460&gt;0),(IF(Registered!E460=0,"Size Not Specified",Registered!E460)),"")</f>
        <v/>
      </c>
      <c r="AU460" s="3" t="str">
        <f>IF(Registered!AE460=0,"",IF(Registered!AE460=1,Registered!AE460&amp;" Bandana",Registered!AE460&amp;" Bandanas"))</f>
        <v/>
      </c>
      <c r="AV460" s="3">
        <f t="shared" si="23"/>
        <v>0</v>
      </c>
      <c r="AW460" s="2" t="str">
        <f>IF(Registered!AV460=0,"",IF(Registered!AV460=1,Registered!AV460&amp;" Meal",Registered!AV460&amp;" Meals"))</f>
        <v/>
      </c>
      <c r="AX460" s="2" t="str">
        <f>IF(Registered!AI460=0,"",Registered!AI460&amp;" BG")</f>
        <v/>
      </c>
      <c r="AY460" s="2" t="str">
        <f>IF(Registered!AG460=0,"",Registered!AG460&amp;" DustMask")</f>
        <v/>
      </c>
    </row>
    <row r="461" spans="1:51" customFormat="1" x14ac:dyDescent="0.25">
      <c r="A461" t="s">
        <v>1104</v>
      </c>
      <c r="B461" t="s">
        <v>2851</v>
      </c>
      <c r="C461" t="s">
        <v>6090</v>
      </c>
      <c r="G461" t="s">
        <v>386</v>
      </c>
      <c r="H461" t="s">
        <v>2852</v>
      </c>
      <c r="I461" t="s">
        <v>2853</v>
      </c>
      <c r="J461" t="s">
        <v>37</v>
      </c>
      <c r="K461" t="s">
        <v>32</v>
      </c>
      <c r="L461" t="s">
        <v>35</v>
      </c>
      <c r="AQ461">
        <v>0</v>
      </c>
      <c r="AR461" s="3">
        <f t="shared" si="21"/>
        <v>0</v>
      </c>
      <c r="AS461" s="3">
        <f t="shared" si="22"/>
        <v>0</v>
      </c>
      <c r="AT461" s="3" t="str">
        <f>IF(OR(Registered!AM461&gt;0,Registered!AO461&gt;0),(IF(Registered!E461=0,"Size Not Specified",Registered!E461)),"")</f>
        <v/>
      </c>
      <c r="AU461" s="3" t="str">
        <f>IF(Registered!AE461=0,"",IF(Registered!AE461=1,Registered!AE461&amp;" Bandana",Registered!AE461&amp;" Bandanas"))</f>
        <v/>
      </c>
      <c r="AV461" s="3">
        <f t="shared" si="23"/>
        <v>0</v>
      </c>
      <c r="AW461" s="2" t="str">
        <f>IF(Registered!AV461=0,"",IF(Registered!AV461=1,Registered!AV461&amp;" Meal",Registered!AV461&amp;" Meals"))</f>
        <v/>
      </c>
      <c r="AX461" s="2" t="str">
        <f>IF(Registered!AI461=0,"",Registered!AI461&amp;" BG")</f>
        <v/>
      </c>
      <c r="AY461" s="2" t="str">
        <f>IF(Registered!AG461=0,"",Registered!AG461&amp;" DustMask")</f>
        <v/>
      </c>
    </row>
    <row r="462" spans="1:51" customFormat="1" x14ac:dyDescent="0.25">
      <c r="A462" t="s">
        <v>812</v>
      </c>
      <c r="B462" t="s">
        <v>128</v>
      </c>
      <c r="C462" t="s">
        <v>6090</v>
      </c>
      <c r="G462" t="s">
        <v>255</v>
      </c>
      <c r="H462" t="s">
        <v>4084</v>
      </c>
      <c r="I462" t="s">
        <v>4085</v>
      </c>
      <c r="J462" t="s">
        <v>37</v>
      </c>
      <c r="K462" t="s">
        <v>32</v>
      </c>
      <c r="L462" t="s">
        <v>35</v>
      </c>
      <c r="AQ462">
        <v>0</v>
      </c>
      <c r="AR462" s="3">
        <f t="shared" si="21"/>
        <v>0</v>
      </c>
      <c r="AS462" s="3">
        <f t="shared" si="22"/>
        <v>0</v>
      </c>
      <c r="AT462" s="3" t="str">
        <f>IF(OR(Registered!AM462&gt;0,Registered!AO462&gt;0),(IF(Registered!E462=0,"Size Not Specified",Registered!E462)),"")</f>
        <v/>
      </c>
      <c r="AU462" s="3" t="str">
        <f>IF(Registered!AE462=0,"",IF(Registered!AE462=1,Registered!AE462&amp;" Bandana",Registered!AE462&amp;" Bandanas"))</f>
        <v/>
      </c>
      <c r="AV462" s="3">
        <f t="shared" si="23"/>
        <v>0</v>
      </c>
      <c r="AW462" s="2" t="str">
        <f>IF(Registered!AV462=0,"",IF(Registered!AV462=1,Registered!AV462&amp;" Meal",Registered!AV462&amp;" Meals"))</f>
        <v/>
      </c>
      <c r="AX462" s="2" t="str">
        <f>IF(Registered!AI462=0,"",Registered!AI462&amp;" BG")</f>
        <v/>
      </c>
      <c r="AY462" s="2" t="str">
        <f>IF(Registered!AG462=0,"",Registered!AG462&amp;" DustMask")</f>
        <v/>
      </c>
    </row>
    <row r="463" spans="1:51" customFormat="1" x14ac:dyDescent="0.25">
      <c r="A463" t="s">
        <v>219</v>
      </c>
      <c r="B463" t="s">
        <v>128</v>
      </c>
      <c r="C463" t="s">
        <v>6090</v>
      </c>
      <c r="G463" t="s">
        <v>166</v>
      </c>
      <c r="H463" t="s">
        <v>1027</v>
      </c>
      <c r="I463" t="s">
        <v>1028</v>
      </c>
      <c r="J463" t="s">
        <v>37</v>
      </c>
      <c r="K463" t="s">
        <v>32</v>
      </c>
      <c r="L463" t="s">
        <v>35</v>
      </c>
      <c r="AQ463">
        <v>0</v>
      </c>
      <c r="AR463" s="3">
        <f t="shared" si="21"/>
        <v>0</v>
      </c>
      <c r="AS463" s="3">
        <f t="shared" si="22"/>
        <v>0</v>
      </c>
      <c r="AT463" s="3" t="str">
        <f>IF(OR(Registered!AM463&gt;0,Registered!AO463&gt;0),(IF(Registered!E463=0,"Size Not Specified",Registered!E463)),"")</f>
        <v/>
      </c>
      <c r="AU463" s="3" t="str">
        <f>IF(Registered!AE463=0,"",IF(Registered!AE463=1,Registered!AE463&amp;" Bandana",Registered!AE463&amp;" Bandanas"))</f>
        <v/>
      </c>
      <c r="AV463" s="3">
        <f t="shared" si="23"/>
        <v>0</v>
      </c>
      <c r="AW463" s="2" t="str">
        <f>IF(Registered!AV463=0,"",IF(Registered!AV463=1,Registered!AV463&amp;" Meal",Registered!AV463&amp;" Meals"))</f>
        <v/>
      </c>
      <c r="AX463" s="2" t="str">
        <f>IF(Registered!AI463=0,"",Registered!AI463&amp;" BG")</f>
        <v/>
      </c>
      <c r="AY463" s="2" t="str">
        <f>IF(Registered!AG463=0,"",Registered!AG463&amp;" DustMask")</f>
        <v/>
      </c>
    </row>
    <row r="464" spans="1:51" customFormat="1" x14ac:dyDescent="0.25">
      <c r="A464" t="s">
        <v>276</v>
      </c>
      <c r="B464" t="s">
        <v>1029</v>
      </c>
      <c r="C464" t="s">
        <v>6090</v>
      </c>
      <c r="G464" t="s">
        <v>1030</v>
      </c>
      <c r="H464" t="s">
        <v>382</v>
      </c>
      <c r="I464" t="s">
        <v>1031</v>
      </c>
      <c r="J464" t="s">
        <v>37</v>
      </c>
      <c r="K464" t="s">
        <v>32</v>
      </c>
      <c r="L464" t="s">
        <v>35</v>
      </c>
      <c r="AQ464">
        <v>0</v>
      </c>
      <c r="AR464" s="3">
        <f t="shared" si="21"/>
        <v>0</v>
      </c>
      <c r="AS464" s="3">
        <f t="shared" si="22"/>
        <v>0</v>
      </c>
      <c r="AT464" s="3" t="str">
        <f>IF(OR(Registered!AM464&gt;0,Registered!AO464&gt;0),(IF(Registered!E464=0,"Size Not Specified",Registered!E464)),"")</f>
        <v/>
      </c>
      <c r="AU464" s="3" t="str">
        <f>IF(Registered!AE464=0,"",IF(Registered!AE464=1,Registered!AE464&amp;" Bandana",Registered!AE464&amp;" Bandanas"))</f>
        <v/>
      </c>
      <c r="AV464" s="3">
        <f t="shared" si="23"/>
        <v>0</v>
      </c>
      <c r="AW464" s="2" t="str">
        <f>IF(Registered!AV464=0,"",IF(Registered!AV464=1,Registered!AV464&amp;" Meal",Registered!AV464&amp;" Meals"))</f>
        <v/>
      </c>
      <c r="AX464" s="2" t="str">
        <f>IF(Registered!AI464=0,"",Registered!AI464&amp;" BG")</f>
        <v/>
      </c>
      <c r="AY464" s="2" t="str">
        <f>IF(Registered!AG464=0,"",Registered!AG464&amp;" DustMask")</f>
        <v/>
      </c>
    </row>
    <row r="465" spans="1:51" customFormat="1" x14ac:dyDescent="0.25">
      <c r="A465" t="s">
        <v>163</v>
      </c>
      <c r="B465" t="s">
        <v>2854</v>
      </c>
      <c r="C465" t="s">
        <v>6090</v>
      </c>
      <c r="D465" t="s">
        <v>198</v>
      </c>
      <c r="E465" t="s">
        <v>41</v>
      </c>
      <c r="F465" t="s">
        <v>261</v>
      </c>
      <c r="I465" t="s">
        <v>2855</v>
      </c>
      <c r="J465" t="s">
        <v>37</v>
      </c>
      <c r="K465" t="s">
        <v>32</v>
      </c>
      <c r="L465" t="s">
        <v>35</v>
      </c>
      <c r="Q465">
        <v>1</v>
      </c>
      <c r="R465">
        <v>3</v>
      </c>
      <c r="AC465">
        <v>1</v>
      </c>
      <c r="AD465">
        <v>10</v>
      </c>
      <c r="AQ465">
        <v>13</v>
      </c>
      <c r="AR465" s="3">
        <f t="shared" si="21"/>
        <v>5</v>
      </c>
      <c r="AS465" s="3">
        <f t="shared" si="22"/>
        <v>0</v>
      </c>
      <c r="AT465" s="3" t="str">
        <f>IF(OR(Registered!AM465&gt;0,Registered!AO465&gt;0),(IF(Registered!E465=0,"Size Not Specified",Registered!E465)),"")</f>
        <v/>
      </c>
      <c r="AU465" s="3" t="str">
        <f>IF(Registered!AE465=0,"",IF(Registered!AE465=1,Registered!AE465&amp;" Bandana",Registered!AE465&amp;" Bandanas"))</f>
        <v/>
      </c>
      <c r="AV465" s="3">
        <f t="shared" si="23"/>
        <v>0</v>
      </c>
      <c r="AW465" s="2" t="str">
        <f>IF(Registered!AV465=0,"",IF(Registered!AV465=1,Registered!AV465&amp;" Meal",Registered!AV465&amp;" Meals"))</f>
        <v/>
      </c>
      <c r="AX465" s="2" t="str">
        <f>IF(Registered!AI465=0,"",Registered!AI465&amp;" BG")</f>
        <v/>
      </c>
      <c r="AY465" s="2" t="str">
        <f>IF(Registered!AG465=0,"",Registered!AG465&amp;" DustMask")</f>
        <v/>
      </c>
    </row>
    <row r="466" spans="1:51" customFormat="1" x14ac:dyDescent="0.25">
      <c r="A466" t="s">
        <v>39</v>
      </c>
      <c r="B466" t="s">
        <v>1032</v>
      </c>
      <c r="C466" t="s">
        <v>6090</v>
      </c>
      <c r="G466" t="s">
        <v>222</v>
      </c>
      <c r="H466" t="s">
        <v>1032</v>
      </c>
      <c r="I466" t="s">
        <v>1033</v>
      </c>
      <c r="J466" t="s">
        <v>37</v>
      </c>
      <c r="K466" t="s">
        <v>32</v>
      </c>
      <c r="L466" t="s">
        <v>35</v>
      </c>
      <c r="AQ466">
        <v>0</v>
      </c>
      <c r="AR466" s="3">
        <f t="shared" si="21"/>
        <v>0</v>
      </c>
      <c r="AS466" s="3">
        <f t="shared" si="22"/>
        <v>0</v>
      </c>
      <c r="AT466" s="3" t="str">
        <f>IF(OR(Registered!AM466&gt;0,Registered!AO466&gt;0),(IF(Registered!E466=0,"Size Not Specified",Registered!E466)),"")</f>
        <v/>
      </c>
      <c r="AU466" s="3" t="str">
        <f>IF(Registered!AE466=0,"",IF(Registered!AE466=1,Registered!AE466&amp;" Bandana",Registered!AE466&amp;" Bandanas"))</f>
        <v/>
      </c>
      <c r="AV466" s="3">
        <f t="shared" si="23"/>
        <v>0</v>
      </c>
      <c r="AW466" s="2" t="str">
        <f>IF(Registered!AV466=0,"",IF(Registered!AV466=1,Registered!AV466&amp;" Meal",Registered!AV466&amp;" Meals"))</f>
        <v/>
      </c>
      <c r="AX466" s="2" t="str">
        <f>IF(Registered!AI466=0,"",Registered!AI466&amp;" BG")</f>
        <v/>
      </c>
      <c r="AY466" s="2" t="str">
        <f>IF(Registered!AG466=0,"",Registered!AG466&amp;" DustMask")</f>
        <v/>
      </c>
    </row>
    <row r="467" spans="1:51" customFormat="1" x14ac:dyDescent="0.25">
      <c r="A467" t="s">
        <v>222</v>
      </c>
      <c r="B467" t="s">
        <v>1032</v>
      </c>
      <c r="C467" t="s">
        <v>6090</v>
      </c>
      <c r="D467" t="s">
        <v>1034</v>
      </c>
      <c r="I467" t="s">
        <v>1033</v>
      </c>
      <c r="J467" t="s">
        <v>37</v>
      </c>
      <c r="K467" t="s">
        <v>32</v>
      </c>
      <c r="L467" t="s">
        <v>35</v>
      </c>
      <c r="S467">
        <v>2</v>
      </c>
      <c r="T467">
        <v>3</v>
      </c>
      <c r="W467">
        <v>1</v>
      </c>
      <c r="X467">
        <v>40</v>
      </c>
      <c r="AQ467">
        <v>46</v>
      </c>
      <c r="AR467" s="3">
        <f t="shared" si="21"/>
        <v>20</v>
      </c>
      <c r="AS467" s="3">
        <f t="shared" si="22"/>
        <v>0</v>
      </c>
      <c r="AT467" s="3" t="str">
        <f>IF(OR(Registered!AM467&gt;0,Registered!AO467&gt;0),(IF(Registered!E467=0,"Size Not Specified",Registered!E467)),"")</f>
        <v/>
      </c>
      <c r="AU467" s="3" t="str">
        <f>IF(Registered!AE467=0,"",IF(Registered!AE467=1,Registered!AE467&amp;" Bandana",Registered!AE467&amp;" Bandanas"))</f>
        <v/>
      </c>
      <c r="AV467" s="3">
        <f t="shared" si="23"/>
        <v>0</v>
      </c>
      <c r="AW467" s="2" t="str">
        <f>IF(Registered!AV467=0,"",IF(Registered!AV467=1,Registered!AV467&amp;" Meal",Registered!AV467&amp;" Meals"))</f>
        <v/>
      </c>
      <c r="AX467" s="2" t="str">
        <f>IF(Registered!AI467=0,"",Registered!AI467&amp;" BG")</f>
        <v/>
      </c>
      <c r="AY467" s="2" t="str">
        <f>IF(Registered!AG467=0,"",Registered!AG467&amp;" DustMask")</f>
        <v/>
      </c>
    </row>
    <row r="468" spans="1:51" customFormat="1" x14ac:dyDescent="0.25">
      <c r="A468" t="s">
        <v>403</v>
      </c>
      <c r="B468" t="s">
        <v>1032</v>
      </c>
      <c r="C468" t="s">
        <v>6090</v>
      </c>
      <c r="F468" t="s">
        <v>261</v>
      </c>
      <c r="I468" t="s">
        <v>917</v>
      </c>
      <c r="J468" t="s">
        <v>37</v>
      </c>
      <c r="K468" t="s">
        <v>32</v>
      </c>
      <c r="L468" t="s">
        <v>35</v>
      </c>
      <c r="S468">
        <v>1</v>
      </c>
      <c r="T468">
        <v>3</v>
      </c>
      <c r="AQ468">
        <v>3</v>
      </c>
      <c r="AR468" s="3">
        <f t="shared" si="21"/>
        <v>0</v>
      </c>
      <c r="AS468" s="3">
        <f t="shared" si="22"/>
        <v>0</v>
      </c>
      <c r="AT468" s="3" t="str">
        <f>IF(OR(Registered!AM468&gt;0,Registered!AO468&gt;0),(IF(Registered!E468=0,"Size Not Specified",Registered!E468)),"")</f>
        <v/>
      </c>
      <c r="AU468" s="3" t="str">
        <f>IF(Registered!AE468=0,"",IF(Registered!AE468=1,Registered!AE468&amp;" Bandana",Registered!AE468&amp;" Bandanas"))</f>
        <v/>
      </c>
      <c r="AV468" s="3">
        <f t="shared" si="23"/>
        <v>0</v>
      </c>
      <c r="AW468" s="2" t="str">
        <f>IF(Registered!AV468=0,"",IF(Registered!AV468=1,Registered!AV468&amp;" Meal",Registered!AV468&amp;" Meals"))</f>
        <v/>
      </c>
      <c r="AX468" s="2" t="str">
        <f>IF(Registered!AI468=0,"",Registered!AI468&amp;" BG")</f>
        <v/>
      </c>
      <c r="AY468" s="2" t="str">
        <f>IF(Registered!AG468=0,"",Registered!AG468&amp;" DustMask")</f>
        <v/>
      </c>
    </row>
    <row r="469" spans="1:51" customFormat="1" x14ac:dyDescent="0.25">
      <c r="A469" t="s">
        <v>1035</v>
      </c>
      <c r="B469" t="s">
        <v>1036</v>
      </c>
      <c r="C469" t="s">
        <v>6090</v>
      </c>
      <c r="G469" t="s">
        <v>178</v>
      </c>
      <c r="H469" t="s">
        <v>1037</v>
      </c>
      <c r="I469" t="s">
        <v>1038</v>
      </c>
      <c r="J469" t="s">
        <v>37</v>
      </c>
      <c r="K469" t="s">
        <v>32</v>
      </c>
      <c r="L469" t="s">
        <v>35</v>
      </c>
      <c r="AQ469">
        <v>0</v>
      </c>
      <c r="AR469" s="3">
        <f t="shared" si="21"/>
        <v>0</v>
      </c>
      <c r="AS469" s="3">
        <f t="shared" si="22"/>
        <v>0</v>
      </c>
      <c r="AT469" s="3" t="str">
        <f>IF(OR(Registered!AM469&gt;0,Registered!AO469&gt;0),(IF(Registered!E469=0,"Size Not Specified",Registered!E469)),"")</f>
        <v/>
      </c>
      <c r="AU469" s="3" t="str">
        <f>IF(Registered!AE469=0,"",IF(Registered!AE469=1,Registered!AE469&amp;" Bandana",Registered!AE469&amp;" Bandanas"))</f>
        <v/>
      </c>
      <c r="AV469" s="3">
        <f t="shared" si="23"/>
        <v>0</v>
      </c>
      <c r="AW469" s="2" t="str">
        <f>IF(Registered!AV469=0,"",IF(Registered!AV469=1,Registered!AV469&amp;" Meal",Registered!AV469&amp;" Meals"))</f>
        <v/>
      </c>
      <c r="AX469" s="2" t="str">
        <f>IF(Registered!AI469=0,"",Registered!AI469&amp;" BG")</f>
        <v/>
      </c>
      <c r="AY469" s="2" t="str">
        <f>IF(Registered!AG469=0,"",Registered!AG469&amp;" DustMask")</f>
        <v/>
      </c>
    </row>
    <row r="470" spans="1:51" customFormat="1" x14ac:dyDescent="0.25">
      <c r="A470" t="s">
        <v>91</v>
      </c>
      <c r="B470" t="s">
        <v>1039</v>
      </c>
      <c r="C470" t="s">
        <v>6090</v>
      </c>
      <c r="G470" t="s">
        <v>140</v>
      </c>
      <c r="H470" t="s">
        <v>898</v>
      </c>
      <c r="I470" t="s">
        <v>899</v>
      </c>
      <c r="J470" t="s">
        <v>37</v>
      </c>
      <c r="K470" t="s">
        <v>32</v>
      </c>
      <c r="L470" t="s">
        <v>35</v>
      </c>
      <c r="AQ470">
        <v>0</v>
      </c>
      <c r="AR470" s="3">
        <f t="shared" si="21"/>
        <v>0</v>
      </c>
      <c r="AS470" s="3">
        <f t="shared" si="22"/>
        <v>0</v>
      </c>
      <c r="AT470" s="3" t="str">
        <f>IF(OR(Registered!AM470&gt;0,Registered!AO470&gt;0),(IF(Registered!E470=0,"Size Not Specified",Registered!E470)),"")</f>
        <v/>
      </c>
      <c r="AU470" s="3" t="str">
        <f>IF(Registered!AE470=0,"",IF(Registered!AE470=1,Registered!AE470&amp;" Bandana",Registered!AE470&amp;" Bandanas"))</f>
        <v/>
      </c>
      <c r="AV470" s="3">
        <f t="shared" si="23"/>
        <v>0</v>
      </c>
      <c r="AW470" s="2" t="str">
        <f>IF(Registered!AV470=0,"",IF(Registered!AV470=1,Registered!AV470&amp;" Meal",Registered!AV470&amp;" Meals"))</f>
        <v/>
      </c>
      <c r="AX470" s="2" t="str">
        <f>IF(Registered!AI470=0,"",Registered!AI470&amp;" BG")</f>
        <v/>
      </c>
      <c r="AY470" s="2" t="str">
        <f>IF(Registered!AG470=0,"",Registered!AG470&amp;" DustMask")</f>
        <v/>
      </c>
    </row>
    <row r="471" spans="1:51" customFormat="1" x14ac:dyDescent="0.25">
      <c r="A471" t="s">
        <v>416</v>
      </c>
      <c r="B471" t="s">
        <v>1040</v>
      </c>
      <c r="C471" t="s">
        <v>6090</v>
      </c>
      <c r="G471" t="s">
        <v>235</v>
      </c>
      <c r="H471" t="s">
        <v>1040</v>
      </c>
      <c r="I471" t="s">
        <v>1041</v>
      </c>
      <c r="J471" t="s">
        <v>37</v>
      </c>
      <c r="K471" t="s">
        <v>32</v>
      </c>
      <c r="L471" t="s">
        <v>35</v>
      </c>
      <c r="AQ471">
        <v>0</v>
      </c>
      <c r="AR471" s="3">
        <f t="shared" si="21"/>
        <v>0</v>
      </c>
      <c r="AS471" s="3">
        <f t="shared" si="22"/>
        <v>0</v>
      </c>
      <c r="AT471" s="3" t="str">
        <f>IF(OR(Registered!AM471&gt;0,Registered!AO471&gt;0),(IF(Registered!E471=0,"Size Not Specified",Registered!E471)),"")</f>
        <v/>
      </c>
      <c r="AU471" s="3" t="str">
        <f>IF(Registered!AE471=0,"",IF(Registered!AE471=1,Registered!AE471&amp;" Bandana",Registered!AE471&amp;" Bandanas"))</f>
        <v/>
      </c>
      <c r="AV471" s="3">
        <f t="shared" si="23"/>
        <v>0</v>
      </c>
      <c r="AW471" s="2" t="str">
        <f>IF(Registered!AV471=0,"",IF(Registered!AV471=1,Registered!AV471&amp;" Meal",Registered!AV471&amp;" Meals"))</f>
        <v/>
      </c>
      <c r="AX471" s="2" t="str">
        <f>IF(Registered!AI471=0,"",Registered!AI471&amp;" BG")</f>
        <v/>
      </c>
      <c r="AY471" s="2" t="str">
        <f>IF(Registered!AG471=0,"",Registered!AG471&amp;" DustMask")</f>
        <v/>
      </c>
    </row>
    <row r="472" spans="1:51" customFormat="1" x14ac:dyDescent="0.25">
      <c r="A472" t="s">
        <v>235</v>
      </c>
      <c r="B472" t="s">
        <v>1040</v>
      </c>
      <c r="C472" t="s">
        <v>6090</v>
      </c>
      <c r="D472" t="s">
        <v>1042</v>
      </c>
      <c r="F472" t="s">
        <v>261</v>
      </c>
      <c r="I472" t="s">
        <v>1041</v>
      </c>
      <c r="J472" t="s">
        <v>37</v>
      </c>
      <c r="K472" t="s">
        <v>32</v>
      </c>
      <c r="L472" t="s">
        <v>35</v>
      </c>
      <c r="S472">
        <v>2</v>
      </c>
      <c r="T472">
        <v>3</v>
      </c>
      <c r="U472">
        <v>1</v>
      </c>
      <c r="V472">
        <v>20</v>
      </c>
      <c r="AQ472">
        <v>26</v>
      </c>
      <c r="AR472" s="3">
        <f t="shared" si="21"/>
        <v>10</v>
      </c>
      <c r="AS472" s="3">
        <f t="shared" si="22"/>
        <v>0</v>
      </c>
      <c r="AT472" s="3" t="str">
        <f>IF(OR(Registered!AM472&gt;0,Registered!AO472&gt;0),(IF(Registered!E472=0,"Size Not Specified",Registered!E472)),"")</f>
        <v/>
      </c>
      <c r="AU472" s="3" t="str">
        <f>IF(Registered!AE472=0,"",IF(Registered!AE472=1,Registered!AE472&amp;" Bandana",Registered!AE472&amp;" Bandanas"))</f>
        <v/>
      </c>
      <c r="AV472" s="3">
        <f t="shared" si="23"/>
        <v>0</v>
      </c>
      <c r="AW472" s="2" t="str">
        <f>IF(Registered!AV472=0,"",IF(Registered!AV472=1,Registered!AV472&amp;" Meal",Registered!AV472&amp;" Meals"))</f>
        <v/>
      </c>
      <c r="AX472" s="2" t="str">
        <f>IF(Registered!AI472=0,"",Registered!AI472&amp;" BG")</f>
        <v/>
      </c>
      <c r="AY472" s="2" t="str">
        <f>IF(Registered!AG472=0,"",Registered!AG472&amp;" DustMask")</f>
        <v/>
      </c>
    </row>
    <row r="473" spans="1:51" customFormat="1" x14ac:dyDescent="0.25">
      <c r="A473" t="s">
        <v>62</v>
      </c>
      <c r="B473" t="s">
        <v>4086</v>
      </c>
      <c r="C473" t="s">
        <v>6090</v>
      </c>
      <c r="G473" t="s">
        <v>354</v>
      </c>
      <c r="H473" t="s">
        <v>787</v>
      </c>
      <c r="I473" t="s">
        <v>3730</v>
      </c>
      <c r="J473" t="s">
        <v>37</v>
      </c>
      <c r="K473" t="s">
        <v>32</v>
      </c>
      <c r="L473" t="s">
        <v>35</v>
      </c>
      <c r="AQ473">
        <v>0</v>
      </c>
      <c r="AR473" s="3">
        <f t="shared" si="21"/>
        <v>0</v>
      </c>
      <c r="AS473" s="3">
        <f t="shared" si="22"/>
        <v>0</v>
      </c>
      <c r="AT473" s="3" t="str">
        <f>IF(OR(Registered!AM473&gt;0,Registered!AO473&gt;0),(IF(Registered!E473=0,"Size Not Specified",Registered!E473)),"")</f>
        <v/>
      </c>
      <c r="AU473" s="3" t="str">
        <f>IF(Registered!AE473=0,"",IF(Registered!AE473=1,Registered!AE473&amp;" Bandana",Registered!AE473&amp;" Bandanas"))</f>
        <v/>
      </c>
      <c r="AV473" s="3">
        <f t="shared" si="23"/>
        <v>0</v>
      </c>
      <c r="AW473" s="2" t="str">
        <f>IF(Registered!AV473=0,"",IF(Registered!AV473=1,Registered!AV473&amp;" Meal",Registered!AV473&amp;" Meals"))</f>
        <v/>
      </c>
      <c r="AX473" s="2" t="str">
        <f>IF(Registered!AI473=0,"",Registered!AI473&amp;" BG")</f>
        <v/>
      </c>
      <c r="AY473" s="2" t="str">
        <f>IF(Registered!AG473=0,"",Registered!AG473&amp;" DustMask")</f>
        <v/>
      </c>
    </row>
    <row r="474" spans="1:51" customFormat="1" x14ac:dyDescent="0.25">
      <c r="A474" t="s">
        <v>130</v>
      </c>
      <c r="B474" t="s">
        <v>1043</v>
      </c>
      <c r="C474" t="s">
        <v>6090</v>
      </c>
      <c r="D474" t="s">
        <v>1044</v>
      </c>
      <c r="F474" t="s">
        <v>261</v>
      </c>
      <c r="I474" t="s">
        <v>1045</v>
      </c>
      <c r="J474" t="s">
        <v>37</v>
      </c>
      <c r="K474" t="s">
        <v>32</v>
      </c>
      <c r="L474" t="s">
        <v>35</v>
      </c>
      <c r="S474">
        <v>1</v>
      </c>
      <c r="T474">
        <v>3</v>
      </c>
      <c r="AC474">
        <v>1</v>
      </c>
      <c r="AD474">
        <v>10</v>
      </c>
      <c r="AQ474">
        <v>13</v>
      </c>
      <c r="AR474" s="3">
        <f t="shared" si="21"/>
        <v>5</v>
      </c>
      <c r="AS474" s="3">
        <f t="shared" si="22"/>
        <v>0</v>
      </c>
      <c r="AT474" s="3" t="str">
        <f>IF(OR(Registered!AM474&gt;0,Registered!AO474&gt;0),(IF(Registered!E474=0,"Size Not Specified",Registered!E474)),"")</f>
        <v/>
      </c>
      <c r="AU474" s="3" t="str">
        <f>IF(Registered!AE474=0,"",IF(Registered!AE474=1,Registered!AE474&amp;" Bandana",Registered!AE474&amp;" Bandanas"))</f>
        <v/>
      </c>
      <c r="AV474" s="3">
        <f t="shared" si="23"/>
        <v>0</v>
      </c>
      <c r="AW474" s="2" t="str">
        <f>IF(Registered!AV474=0,"",IF(Registered!AV474=1,Registered!AV474&amp;" Meal",Registered!AV474&amp;" Meals"))</f>
        <v/>
      </c>
      <c r="AX474" s="2" t="str">
        <f>IF(Registered!AI474=0,"",Registered!AI474&amp;" BG")</f>
        <v/>
      </c>
      <c r="AY474" s="2" t="str">
        <f>IF(Registered!AG474=0,"",Registered!AG474&amp;" DustMask")</f>
        <v/>
      </c>
    </row>
    <row r="475" spans="1:51" customFormat="1" x14ac:dyDescent="0.25">
      <c r="A475" t="s">
        <v>4087</v>
      </c>
      <c r="B475" t="s">
        <v>4088</v>
      </c>
      <c r="C475" t="s">
        <v>6090</v>
      </c>
      <c r="D475" t="s">
        <v>4089</v>
      </c>
      <c r="E475" t="s">
        <v>3822</v>
      </c>
      <c r="F475" t="s">
        <v>261</v>
      </c>
      <c r="I475" t="s">
        <v>4090</v>
      </c>
      <c r="J475" t="s">
        <v>37</v>
      </c>
      <c r="K475" t="s">
        <v>32</v>
      </c>
      <c r="L475" t="s">
        <v>35</v>
      </c>
      <c r="Q475">
        <v>1</v>
      </c>
      <c r="R475">
        <v>3</v>
      </c>
      <c r="AQ475">
        <v>3</v>
      </c>
      <c r="AR475" s="3">
        <f t="shared" si="21"/>
        <v>0</v>
      </c>
      <c r="AS475" s="3">
        <f t="shared" si="22"/>
        <v>0</v>
      </c>
      <c r="AT475" s="3" t="str">
        <f>IF(OR(Registered!AM475&gt;0,Registered!AO475&gt;0),(IF(Registered!E475=0,"Size Not Specified",Registered!E475)),"")</f>
        <v/>
      </c>
      <c r="AU475" s="3" t="str">
        <f>IF(Registered!AE475=0,"",IF(Registered!AE475=1,Registered!AE475&amp;" Bandana",Registered!AE475&amp;" Bandanas"))</f>
        <v/>
      </c>
      <c r="AV475" s="3">
        <f t="shared" si="23"/>
        <v>0</v>
      </c>
      <c r="AW475" s="2" t="str">
        <f>IF(Registered!AV475=0,"",IF(Registered!AV475=1,Registered!AV475&amp;" Meal",Registered!AV475&amp;" Meals"))</f>
        <v/>
      </c>
      <c r="AX475" s="2" t="str">
        <f>IF(Registered!AI475=0,"",Registered!AI475&amp;" BG")</f>
        <v/>
      </c>
      <c r="AY475" s="2" t="str">
        <f>IF(Registered!AG475=0,"",Registered!AG475&amp;" DustMask")</f>
        <v/>
      </c>
    </row>
    <row r="476" spans="1:51" customFormat="1" x14ac:dyDescent="0.25">
      <c r="A476" t="s">
        <v>296</v>
      </c>
      <c r="B476" t="s">
        <v>4091</v>
      </c>
      <c r="C476" t="s">
        <v>6090</v>
      </c>
      <c r="G476" t="s">
        <v>3803</v>
      </c>
      <c r="H476" t="s">
        <v>4091</v>
      </c>
      <c r="I476" t="s">
        <v>4092</v>
      </c>
      <c r="J476" t="s">
        <v>37</v>
      </c>
      <c r="K476" t="s">
        <v>32</v>
      </c>
      <c r="L476" t="s">
        <v>35</v>
      </c>
      <c r="AQ476">
        <v>0</v>
      </c>
      <c r="AR476" s="3">
        <f t="shared" si="21"/>
        <v>0</v>
      </c>
      <c r="AS476" s="3">
        <f t="shared" si="22"/>
        <v>0</v>
      </c>
      <c r="AT476" s="3" t="str">
        <f>IF(OR(Registered!AM476&gt;0,Registered!AO476&gt;0),(IF(Registered!E476=0,"Size Not Specified",Registered!E476)),"")</f>
        <v/>
      </c>
      <c r="AU476" s="3" t="str">
        <f>IF(Registered!AE476=0,"",IF(Registered!AE476=1,Registered!AE476&amp;" Bandana",Registered!AE476&amp;" Bandanas"))</f>
        <v/>
      </c>
      <c r="AV476" s="3">
        <f t="shared" si="23"/>
        <v>0</v>
      </c>
      <c r="AW476" s="2" t="str">
        <f>IF(Registered!AV476=0,"",IF(Registered!AV476=1,Registered!AV476&amp;" Meal",Registered!AV476&amp;" Meals"))</f>
        <v/>
      </c>
      <c r="AX476" s="2" t="str">
        <f>IF(Registered!AI476=0,"",Registered!AI476&amp;" BG")</f>
        <v/>
      </c>
      <c r="AY476" s="2" t="str">
        <f>IF(Registered!AG476=0,"",Registered!AG476&amp;" DustMask")</f>
        <v/>
      </c>
    </row>
    <row r="477" spans="1:51" customFormat="1" x14ac:dyDescent="0.25">
      <c r="A477" t="s">
        <v>3803</v>
      </c>
      <c r="B477" t="s">
        <v>4091</v>
      </c>
      <c r="C477" t="s">
        <v>6090</v>
      </c>
      <c r="D477" t="s">
        <v>4093</v>
      </c>
      <c r="E477" t="s">
        <v>4094</v>
      </c>
      <c r="F477" t="s">
        <v>261</v>
      </c>
      <c r="I477" t="s">
        <v>4092</v>
      </c>
      <c r="J477" t="s">
        <v>37</v>
      </c>
      <c r="K477" t="s">
        <v>32</v>
      </c>
      <c r="L477" t="s">
        <v>35</v>
      </c>
      <c r="Q477">
        <v>4</v>
      </c>
      <c r="R477">
        <v>3</v>
      </c>
      <c r="AC477">
        <v>1</v>
      </c>
      <c r="AD477">
        <v>10</v>
      </c>
      <c r="AO477">
        <v>1</v>
      </c>
      <c r="AP477">
        <v>10</v>
      </c>
      <c r="AQ477">
        <v>32</v>
      </c>
      <c r="AR477" s="3">
        <f t="shared" si="21"/>
        <v>5</v>
      </c>
      <c r="AS477" s="3">
        <f t="shared" si="22"/>
        <v>1</v>
      </c>
      <c r="AT477" s="3" t="str">
        <f>IF(OR(Registered!AM477&gt;0,Registered!AO477&gt;0),(IF(Registered!E477=0,"Size Not Specified",Registered!E477)),"")</f>
        <v>Adult small</v>
      </c>
      <c r="AU477" s="3" t="str">
        <f>IF(Registered!AE477=0,"",IF(Registered!AE477=1,Registered!AE477&amp;" Bandana",Registered!AE477&amp;" Bandanas"))</f>
        <v/>
      </c>
      <c r="AV477" s="3">
        <f t="shared" si="23"/>
        <v>0</v>
      </c>
      <c r="AW477" s="2" t="str">
        <f>IF(Registered!AV477=0,"",IF(Registered!AV477=1,Registered!AV477&amp;" Meal",Registered!AV477&amp;" Meals"))</f>
        <v/>
      </c>
      <c r="AX477" s="2" t="str">
        <f>IF(Registered!AI477=0,"",Registered!AI477&amp;" BG")</f>
        <v/>
      </c>
      <c r="AY477" s="2" t="str">
        <f>IF(Registered!AG477=0,"",Registered!AG477&amp;" DustMask")</f>
        <v/>
      </c>
    </row>
    <row r="478" spans="1:51" customFormat="1" x14ac:dyDescent="0.25">
      <c r="A478" t="s">
        <v>4095</v>
      </c>
      <c r="B478" t="s">
        <v>4091</v>
      </c>
      <c r="C478" t="s">
        <v>6090</v>
      </c>
      <c r="G478" t="s">
        <v>3803</v>
      </c>
      <c r="H478" t="s">
        <v>4091</v>
      </c>
      <c r="I478" t="s">
        <v>4092</v>
      </c>
      <c r="J478" t="s">
        <v>37</v>
      </c>
      <c r="K478" t="s">
        <v>32</v>
      </c>
      <c r="L478" t="s">
        <v>35</v>
      </c>
      <c r="AQ478">
        <v>0</v>
      </c>
      <c r="AR478" s="3">
        <f t="shared" si="21"/>
        <v>0</v>
      </c>
      <c r="AS478" s="3">
        <f t="shared" si="22"/>
        <v>0</v>
      </c>
      <c r="AT478" s="3" t="str">
        <f>IF(OR(Registered!AM478&gt;0,Registered!AO478&gt;0),(IF(Registered!E478=0,"Size Not Specified",Registered!E478)),"")</f>
        <v/>
      </c>
      <c r="AU478" s="3" t="str">
        <f>IF(Registered!AE478=0,"",IF(Registered!AE478=1,Registered!AE478&amp;" Bandana",Registered!AE478&amp;" Bandanas"))</f>
        <v/>
      </c>
      <c r="AV478" s="3">
        <f t="shared" si="23"/>
        <v>0</v>
      </c>
      <c r="AW478" s="2" t="str">
        <f>IF(Registered!AV478=0,"",IF(Registered!AV478=1,Registered!AV478&amp;" Meal",Registered!AV478&amp;" Meals"))</f>
        <v/>
      </c>
      <c r="AX478" s="2" t="str">
        <f>IF(Registered!AI478=0,"",Registered!AI478&amp;" BG")</f>
        <v/>
      </c>
      <c r="AY478" s="2" t="str">
        <f>IF(Registered!AG478=0,"",Registered!AG478&amp;" DustMask")</f>
        <v/>
      </c>
    </row>
    <row r="479" spans="1:51" customFormat="1" x14ac:dyDescent="0.25">
      <c r="A479" t="s">
        <v>96</v>
      </c>
      <c r="B479" t="s">
        <v>4091</v>
      </c>
      <c r="C479" t="s">
        <v>6090</v>
      </c>
      <c r="G479" t="s">
        <v>3803</v>
      </c>
      <c r="H479" t="s">
        <v>4091</v>
      </c>
      <c r="I479" t="s">
        <v>4092</v>
      </c>
      <c r="J479" t="s">
        <v>37</v>
      </c>
      <c r="K479" t="s">
        <v>32</v>
      </c>
      <c r="L479" t="s">
        <v>35</v>
      </c>
      <c r="AQ479">
        <v>0</v>
      </c>
      <c r="AR479" s="3">
        <f t="shared" si="21"/>
        <v>0</v>
      </c>
      <c r="AS479" s="3">
        <f t="shared" si="22"/>
        <v>0</v>
      </c>
      <c r="AT479" s="3" t="str">
        <f>IF(OR(Registered!AM479&gt;0,Registered!AO479&gt;0),(IF(Registered!E479=0,"Size Not Specified",Registered!E479)),"")</f>
        <v/>
      </c>
      <c r="AU479" s="3" t="str">
        <f>IF(Registered!AE479=0,"",IF(Registered!AE479=1,Registered!AE479&amp;" Bandana",Registered!AE479&amp;" Bandanas"))</f>
        <v/>
      </c>
      <c r="AV479" s="3">
        <f t="shared" si="23"/>
        <v>0</v>
      </c>
      <c r="AW479" s="2" t="str">
        <f>IF(Registered!AV479=0,"",IF(Registered!AV479=1,Registered!AV479&amp;" Meal",Registered!AV479&amp;" Meals"))</f>
        <v/>
      </c>
      <c r="AX479" s="2" t="str">
        <f>IF(Registered!AI479=0,"",Registered!AI479&amp;" BG")</f>
        <v/>
      </c>
      <c r="AY479" s="2" t="str">
        <f>IF(Registered!AG479=0,"",Registered!AG479&amp;" DustMask")</f>
        <v/>
      </c>
    </row>
    <row r="480" spans="1:51" customFormat="1" x14ac:dyDescent="0.25">
      <c r="A480" t="s">
        <v>4096</v>
      </c>
      <c r="B480" t="s">
        <v>129</v>
      </c>
      <c r="C480" t="s">
        <v>6090</v>
      </c>
      <c r="D480" t="s">
        <v>4097</v>
      </c>
      <c r="F480" t="s">
        <v>261</v>
      </c>
      <c r="I480" t="s">
        <v>4098</v>
      </c>
      <c r="J480" t="s">
        <v>37</v>
      </c>
      <c r="K480" t="s">
        <v>32</v>
      </c>
      <c r="L480" t="s">
        <v>35</v>
      </c>
      <c r="Q480">
        <v>1</v>
      </c>
      <c r="R480">
        <v>3</v>
      </c>
      <c r="U480">
        <v>1</v>
      </c>
      <c r="V480">
        <v>20</v>
      </c>
      <c r="AQ480">
        <v>23</v>
      </c>
      <c r="AR480" s="3">
        <f t="shared" si="21"/>
        <v>10</v>
      </c>
      <c r="AS480" s="3">
        <f t="shared" si="22"/>
        <v>0</v>
      </c>
      <c r="AT480" s="3" t="str">
        <f>IF(OR(Registered!AM480&gt;0,Registered!AO480&gt;0),(IF(Registered!E480=0,"Size Not Specified",Registered!E480)),"")</f>
        <v/>
      </c>
      <c r="AU480" s="3" t="str">
        <f>IF(Registered!AE480=0,"",IF(Registered!AE480=1,Registered!AE480&amp;" Bandana",Registered!AE480&amp;" Bandanas"))</f>
        <v/>
      </c>
      <c r="AV480" s="3">
        <f t="shared" si="23"/>
        <v>0</v>
      </c>
      <c r="AW480" s="2" t="str">
        <f>IF(Registered!AV480=0,"",IF(Registered!AV480=1,Registered!AV480&amp;" Meal",Registered!AV480&amp;" Meals"))</f>
        <v/>
      </c>
      <c r="AX480" s="2" t="str">
        <f>IF(Registered!AI480=0,"",Registered!AI480&amp;" BG")</f>
        <v/>
      </c>
      <c r="AY480" s="2" t="str">
        <f>IF(Registered!AG480=0,"",Registered!AG480&amp;" DustMask")</f>
        <v/>
      </c>
    </row>
    <row r="481" spans="1:51" customFormat="1" x14ac:dyDescent="0.25">
      <c r="A481" t="s">
        <v>272</v>
      </c>
      <c r="B481" t="s">
        <v>129</v>
      </c>
      <c r="C481" t="s">
        <v>6090</v>
      </c>
      <c r="D481" t="s">
        <v>4099</v>
      </c>
      <c r="F481" t="s">
        <v>261</v>
      </c>
      <c r="I481" t="s">
        <v>4100</v>
      </c>
      <c r="J481" t="s">
        <v>37</v>
      </c>
      <c r="K481" t="s">
        <v>32</v>
      </c>
      <c r="L481" t="s">
        <v>35</v>
      </c>
      <c r="Q481">
        <v>1</v>
      </c>
      <c r="R481">
        <v>3</v>
      </c>
      <c r="U481">
        <v>1</v>
      </c>
      <c r="V481">
        <v>20</v>
      </c>
      <c r="AQ481">
        <v>23</v>
      </c>
      <c r="AR481" s="3">
        <f t="shared" si="21"/>
        <v>10</v>
      </c>
      <c r="AS481" s="3">
        <f t="shared" si="22"/>
        <v>0</v>
      </c>
      <c r="AT481" s="3" t="str">
        <f>IF(OR(Registered!AM481&gt;0,Registered!AO481&gt;0),(IF(Registered!E481=0,"Size Not Specified",Registered!E481)),"")</f>
        <v/>
      </c>
      <c r="AU481" s="3" t="str">
        <f>IF(Registered!AE481=0,"",IF(Registered!AE481=1,Registered!AE481&amp;" Bandana",Registered!AE481&amp;" Bandanas"))</f>
        <v/>
      </c>
      <c r="AV481" s="3">
        <f t="shared" si="23"/>
        <v>0</v>
      </c>
      <c r="AW481" s="2" t="str">
        <f>IF(Registered!AV481=0,"",IF(Registered!AV481=1,Registered!AV481&amp;" Meal",Registered!AV481&amp;" Meals"))</f>
        <v/>
      </c>
      <c r="AX481" s="2" t="str">
        <f>IF(Registered!AI481=0,"",Registered!AI481&amp;" BG")</f>
        <v/>
      </c>
      <c r="AY481" s="2" t="str">
        <f>IF(Registered!AG481=0,"",Registered!AG481&amp;" DustMask")</f>
        <v/>
      </c>
    </row>
    <row r="482" spans="1:51" customFormat="1" x14ac:dyDescent="0.25">
      <c r="A482" t="s">
        <v>4101</v>
      </c>
      <c r="B482" t="s">
        <v>129</v>
      </c>
      <c r="C482" t="s">
        <v>6090</v>
      </c>
      <c r="D482" t="s">
        <v>4102</v>
      </c>
      <c r="F482" t="s">
        <v>261</v>
      </c>
      <c r="I482" t="s">
        <v>4103</v>
      </c>
      <c r="J482" t="s">
        <v>37</v>
      </c>
      <c r="K482" t="s">
        <v>32</v>
      </c>
      <c r="L482" t="s">
        <v>35</v>
      </c>
      <c r="Q482">
        <v>4</v>
      </c>
      <c r="R482">
        <v>3</v>
      </c>
      <c r="AC482">
        <v>2</v>
      </c>
      <c r="AD482">
        <v>10</v>
      </c>
      <c r="AG482">
        <v>1</v>
      </c>
      <c r="AH482">
        <v>1</v>
      </c>
      <c r="AQ482">
        <v>33</v>
      </c>
      <c r="AR482" s="3">
        <f t="shared" si="21"/>
        <v>10</v>
      </c>
      <c r="AS482" s="3">
        <f t="shared" si="22"/>
        <v>0</v>
      </c>
      <c r="AT482" s="3" t="str">
        <f>IF(OR(Registered!AM482&gt;0,Registered!AO482&gt;0),(IF(Registered!E482=0,"Size Not Specified",Registered!E482)),"")</f>
        <v/>
      </c>
      <c r="AU482" s="3" t="str">
        <f>IF(Registered!AE482=0,"",IF(Registered!AE482=1,Registered!AE482&amp;" Bandana",Registered!AE482&amp;" Bandanas"))</f>
        <v/>
      </c>
      <c r="AV482" s="3">
        <f t="shared" si="23"/>
        <v>0</v>
      </c>
      <c r="AW482" s="2" t="str">
        <f>IF(Registered!AV482=0,"",IF(Registered!AV482=1,Registered!AV482&amp;" Meal",Registered!AV482&amp;" Meals"))</f>
        <v/>
      </c>
      <c r="AX482" s="2" t="str">
        <f>IF(Registered!AI482=0,"",Registered!AI482&amp;" BG")</f>
        <v/>
      </c>
      <c r="AY482" s="2" t="str">
        <f>IF(Registered!AG482=0,"",Registered!AG482&amp;" DustMask")</f>
        <v>1 DustMask</v>
      </c>
    </row>
    <row r="483" spans="1:51" customFormat="1" x14ac:dyDescent="0.25">
      <c r="A483" t="s">
        <v>4104</v>
      </c>
      <c r="B483" t="s">
        <v>129</v>
      </c>
      <c r="C483" t="s">
        <v>6090</v>
      </c>
      <c r="D483" t="s">
        <v>4105</v>
      </c>
      <c r="E483" t="s">
        <v>4106</v>
      </c>
      <c r="F483" t="s">
        <v>261</v>
      </c>
      <c r="I483" t="s">
        <v>4107</v>
      </c>
      <c r="J483" t="s">
        <v>37</v>
      </c>
      <c r="K483" t="s">
        <v>32</v>
      </c>
      <c r="L483" t="s">
        <v>35</v>
      </c>
      <c r="Q483">
        <v>2</v>
      </c>
      <c r="R483">
        <v>3</v>
      </c>
      <c r="U483">
        <v>1</v>
      </c>
      <c r="V483">
        <v>20</v>
      </c>
      <c r="AO483">
        <v>2</v>
      </c>
      <c r="AP483">
        <v>10</v>
      </c>
      <c r="AQ483">
        <v>46</v>
      </c>
      <c r="AR483" s="3">
        <f t="shared" si="21"/>
        <v>10</v>
      </c>
      <c r="AS483" s="3">
        <f t="shared" si="22"/>
        <v>2</v>
      </c>
      <c r="AT483" s="3" t="str">
        <f>IF(OR(Registered!AM483&gt;0,Registered!AO483&gt;0),(IF(Registered!E483=0,"Size Not Specified",Registered!E483)),"")</f>
        <v>Adult XL and Adult Medium</v>
      </c>
      <c r="AU483" s="3" t="str">
        <f>IF(Registered!AE483=0,"",IF(Registered!AE483=1,Registered!AE483&amp;" Bandana",Registered!AE483&amp;" Bandanas"))</f>
        <v/>
      </c>
      <c r="AV483" s="3">
        <f t="shared" si="23"/>
        <v>0</v>
      </c>
      <c r="AW483" s="2" t="str">
        <f>IF(Registered!AV483=0,"",IF(Registered!AV483=1,Registered!AV483&amp;" Meal",Registered!AV483&amp;" Meals"))</f>
        <v/>
      </c>
      <c r="AX483" s="2" t="str">
        <f>IF(Registered!AI483=0,"",Registered!AI483&amp;" BG")</f>
        <v/>
      </c>
      <c r="AY483" s="2" t="str">
        <f>IF(Registered!AG483=0,"",Registered!AG483&amp;" DustMask")</f>
        <v/>
      </c>
    </row>
    <row r="484" spans="1:51" customFormat="1" x14ac:dyDescent="0.25">
      <c r="A484" t="s">
        <v>142</v>
      </c>
      <c r="B484" t="s">
        <v>129</v>
      </c>
      <c r="C484" t="s">
        <v>6090</v>
      </c>
      <c r="D484" t="s">
        <v>4108</v>
      </c>
      <c r="F484" t="s">
        <v>261</v>
      </c>
      <c r="I484" t="s">
        <v>3978</v>
      </c>
      <c r="J484" t="s">
        <v>37</v>
      </c>
      <c r="K484" t="s">
        <v>32</v>
      </c>
      <c r="L484" t="s">
        <v>35</v>
      </c>
      <c r="S484">
        <v>3</v>
      </c>
      <c r="T484">
        <v>3</v>
      </c>
      <c r="AQ484">
        <v>9</v>
      </c>
      <c r="AR484" s="3">
        <f t="shared" si="21"/>
        <v>0</v>
      </c>
      <c r="AS484" s="3">
        <f t="shared" si="22"/>
        <v>0</v>
      </c>
      <c r="AT484" s="3" t="str">
        <f>IF(OR(Registered!AM484&gt;0,Registered!AO484&gt;0),(IF(Registered!E484=0,"Size Not Specified",Registered!E484)),"")</f>
        <v/>
      </c>
      <c r="AU484" s="3" t="str">
        <f>IF(Registered!AE484=0,"",IF(Registered!AE484=1,Registered!AE484&amp;" Bandana",Registered!AE484&amp;" Bandanas"))</f>
        <v/>
      </c>
      <c r="AV484" s="3">
        <f t="shared" si="23"/>
        <v>0</v>
      </c>
      <c r="AW484" s="2" t="str">
        <f>IF(Registered!AV484=0,"",IF(Registered!AV484=1,Registered!AV484&amp;" Meal",Registered!AV484&amp;" Meals"))</f>
        <v/>
      </c>
      <c r="AX484" s="2" t="str">
        <f>IF(Registered!AI484=0,"",Registered!AI484&amp;" BG")</f>
        <v/>
      </c>
      <c r="AY484" s="2" t="str">
        <f>IF(Registered!AG484=0,"",Registered!AG484&amp;" DustMask")</f>
        <v/>
      </c>
    </row>
    <row r="485" spans="1:51" customFormat="1" x14ac:dyDescent="0.25">
      <c r="A485" t="s">
        <v>214</v>
      </c>
      <c r="B485" t="s">
        <v>129</v>
      </c>
      <c r="C485" t="s">
        <v>6090</v>
      </c>
      <c r="D485" t="s">
        <v>1046</v>
      </c>
      <c r="E485" t="s">
        <v>117</v>
      </c>
      <c r="F485" t="s">
        <v>261</v>
      </c>
      <c r="I485" t="s">
        <v>1047</v>
      </c>
      <c r="J485" t="s">
        <v>37</v>
      </c>
      <c r="K485" t="s">
        <v>32</v>
      </c>
      <c r="L485" t="s">
        <v>35</v>
      </c>
      <c r="S485">
        <v>1</v>
      </c>
      <c r="T485">
        <v>3</v>
      </c>
      <c r="AC485">
        <v>1</v>
      </c>
      <c r="AD485">
        <v>10</v>
      </c>
      <c r="AO485">
        <v>1</v>
      </c>
      <c r="AP485">
        <v>10</v>
      </c>
      <c r="AQ485">
        <v>23</v>
      </c>
      <c r="AR485" s="3">
        <f t="shared" si="21"/>
        <v>5</v>
      </c>
      <c r="AS485" s="3">
        <f t="shared" si="22"/>
        <v>1</v>
      </c>
      <c r="AT485" s="3" t="str">
        <f>IF(OR(Registered!AM485&gt;0,Registered!AO485&gt;0),(IF(Registered!E485=0,"Size Not Specified",Registered!E485)),"")</f>
        <v>Large</v>
      </c>
      <c r="AU485" s="3" t="str">
        <f>IF(Registered!AE485=0,"",IF(Registered!AE485=1,Registered!AE485&amp;" Bandana",Registered!AE485&amp;" Bandanas"))</f>
        <v/>
      </c>
      <c r="AV485" s="3">
        <f t="shared" si="23"/>
        <v>0</v>
      </c>
      <c r="AW485" s="2" t="str">
        <f>IF(Registered!AV485=0,"",IF(Registered!AV485=1,Registered!AV485&amp;" Meal",Registered!AV485&amp;" Meals"))</f>
        <v/>
      </c>
      <c r="AX485" s="2" t="str">
        <f>IF(Registered!AI485=0,"",Registered!AI485&amp;" BG")</f>
        <v/>
      </c>
      <c r="AY485" s="2" t="str">
        <f>IF(Registered!AG485=0,"",Registered!AG485&amp;" DustMask")</f>
        <v/>
      </c>
    </row>
    <row r="486" spans="1:51" customFormat="1" x14ac:dyDescent="0.25">
      <c r="A486" t="s">
        <v>107</v>
      </c>
      <c r="B486" t="s">
        <v>4109</v>
      </c>
      <c r="C486" t="s">
        <v>6090</v>
      </c>
      <c r="D486" t="s">
        <v>4110</v>
      </c>
      <c r="F486" t="s">
        <v>261</v>
      </c>
      <c r="I486" t="s">
        <v>4111</v>
      </c>
      <c r="J486" t="s">
        <v>37</v>
      </c>
      <c r="K486" t="s">
        <v>32</v>
      </c>
      <c r="L486" t="s">
        <v>35</v>
      </c>
      <c r="Q486">
        <v>4</v>
      </c>
      <c r="R486">
        <v>3</v>
      </c>
      <c r="AQ486">
        <v>12</v>
      </c>
      <c r="AR486" s="3">
        <f t="shared" si="21"/>
        <v>0</v>
      </c>
      <c r="AS486" s="3">
        <f t="shared" si="22"/>
        <v>0</v>
      </c>
      <c r="AT486" s="3" t="str">
        <f>IF(OR(Registered!AM486&gt;0,Registered!AO486&gt;0),(IF(Registered!E486=0,"Size Not Specified",Registered!E486)),"")</f>
        <v/>
      </c>
      <c r="AU486" s="3" t="str">
        <f>IF(Registered!AE486=0,"",IF(Registered!AE486=1,Registered!AE486&amp;" Bandana",Registered!AE486&amp;" Bandanas"))</f>
        <v/>
      </c>
      <c r="AV486" s="3">
        <f t="shared" si="23"/>
        <v>0</v>
      </c>
      <c r="AW486" s="2" t="str">
        <f>IF(Registered!AV486=0,"",IF(Registered!AV486=1,Registered!AV486&amp;" Meal",Registered!AV486&amp;" Meals"))</f>
        <v/>
      </c>
      <c r="AX486" s="2" t="str">
        <f>IF(Registered!AI486=0,"",Registered!AI486&amp;" BG")</f>
        <v/>
      </c>
      <c r="AY486" s="2" t="str">
        <f>IF(Registered!AG486=0,"",Registered!AG486&amp;" DustMask")</f>
        <v/>
      </c>
    </row>
    <row r="487" spans="1:51" customFormat="1" x14ac:dyDescent="0.25">
      <c r="A487" t="s">
        <v>165</v>
      </c>
      <c r="B487" t="s">
        <v>1048</v>
      </c>
      <c r="C487" t="s">
        <v>6090</v>
      </c>
      <c r="D487" t="s">
        <v>1049</v>
      </c>
      <c r="F487" t="s">
        <v>261</v>
      </c>
      <c r="I487" t="s">
        <v>1050</v>
      </c>
      <c r="J487" t="s">
        <v>37</v>
      </c>
      <c r="K487" t="s">
        <v>32</v>
      </c>
      <c r="L487" t="s">
        <v>35</v>
      </c>
      <c r="S487">
        <v>1</v>
      </c>
      <c r="T487">
        <v>3</v>
      </c>
      <c r="AQ487">
        <v>13</v>
      </c>
      <c r="AR487" s="3">
        <f t="shared" si="21"/>
        <v>0</v>
      </c>
      <c r="AS487" s="3">
        <f t="shared" si="22"/>
        <v>0</v>
      </c>
      <c r="AT487" s="3" t="str">
        <f>IF(OR(Registered!AM487&gt;0,Registered!AO487&gt;0),(IF(Registered!E487=0,"Size Not Specified",Registered!E487)),"")</f>
        <v/>
      </c>
      <c r="AU487" s="3" t="str">
        <f>IF(Registered!AE487=0,"",IF(Registered!AE487=1,Registered!AE487&amp;" Bandana",Registered!AE487&amp;" Bandanas"))</f>
        <v/>
      </c>
      <c r="AV487" s="3">
        <f t="shared" si="23"/>
        <v>0</v>
      </c>
      <c r="AW487" s="2" t="str">
        <f>IF(Registered!AV487=0,"",IF(Registered!AV487=1,Registered!AV487&amp;" Meal",Registered!AV487&amp;" Meals"))</f>
        <v/>
      </c>
      <c r="AX487" s="2" t="str">
        <f>IF(Registered!AI487=0,"",Registered!AI487&amp;" BG")</f>
        <v/>
      </c>
      <c r="AY487" s="2" t="str">
        <f>IF(Registered!AG487=0,"",Registered!AG487&amp;" DustMask")</f>
        <v/>
      </c>
    </row>
    <row r="488" spans="1:51" customFormat="1" x14ac:dyDescent="0.25">
      <c r="A488" t="s">
        <v>115</v>
      </c>
      <c r="B488" t="s">
        <v>1048</v>
      </c>
      <c r="C488" t="s">
        <v>6090</v>
      </c>
      <c r="G488" t="s">
        <v>157</v>
      </c>
      <c r="H488" t="s">
        <v>3849</v>
      </c>
      <c r="I488" t="s">
        <v>3851</v>
      </c>
      <c r="J488" t="s">
        <v>37</v>
      </c>
      <c r="K488" t="s">
        <v>32</v>
      </c>
      <c r="L488" t="s">
        <v>35</v>
      </c>
      <c r="AQ488">
        <v>0</v>
      </c>
      <c r="AR488" s="3">
        <f t="shared" si="21"/>
        <v>0</v>
      </c>
      <c r="AS488" s="3">
        <f t="shared" si="22"/>
        <v>0</v>
      </c>
      <c r="AT488" s="3" t="str">
        <f>IF(OR(Registered!AM488&gt;0,Registered!AO488&gt;0),(IF(Registered!E488=0,"Size Not Specified",Registered!E488)),"")</f>
        <v/>
      </c>
      <c r="AU488" s="3" t="str">
        <f>IF(Registered!AE488=0,"",IF(Registered!AE488=1,Registered!AE488&amp;" Bandana",Registered!AE488&amp;" Bandanas"))</f>
        <v/>
      </c>
      <c r="AV488" s="3">
        <f t="shared" si="23"/>
        <v>0</v>
      </c>
      <c r="AW488" s="2" t="str">
        <f>IF(Registered!AV488=0,"",IF(Registered!AV488=1,Registered!AV488&amp;" Meal",Registered!AV488&amp;" Meals"))</f>
        <v/>
      </c>
      <c r="AX488" s="2" t="str">
        <f>IF(Registered!AI488=0,"",Registered!AI488&amp;" BG")</f>
        <v/>
      </c>
      <c r="AY488" s="2" t="str">
        <f>IF(Registered!AG488=0,"",Registered!AG488&amp;" DustMask")</f>
        <v/>
      </c>
    </row>
    <row r="489" spans="1:51" customFormat="1" x14ac:dyDescent="0.25">
      <c r="A489" t="s">
        <v>1051</v>
      </c>
      <c r="B489" t="s">
        <v>448</v>
      </c>
      <c r="C489" t="s">
        <v>6090</v>
      </c>
      <c r="G489" t="s">
        <v>165</v>
      </c>
      <c r="H489" t="s">
        <v>1052</v>
      </c>
      <c r="I489" t="s">
        <v>1053</v>
      </c>
      <c r="J489" t="s">
        <v>37</v>
      </c>
      <c r="K489" t="s">
        <v>32</v>
      </c>
      <c r="L489" t="s">
        <v>35</v>
      </c>
      <c r="AQ489">
        <v>0</v>
      </c>
      <c r="AR489" s="3">
        <f t="shared" si="21"/>
        <v>0</v>
      </c>
      <c r="AS489" s="3">
        <f t="shared" si="22"/>
        <v>0</v>
      </c>
      <c r="AT489" s="3" t="str">
        <f>IF(OR(Registered!AM489&gt;0,Registered!AO489&gt;0),(IF(Registered!E489=0,"Size Not Specified",Registered!E489)),"")</f>
        <v/>
      </c>
      <c r="AU489" s="3" t="str">
        <f>IF(Registered!AE489=0,"",IF(Registered!AE489=1,Registered!AE489&amp;" Bandana",Registered!AE489&amp;" Bandanas"))</f>
        <v/>
      </c>
      <c r="AV489" s="3">
        <f t="shared" si="23"/>
        <v>0</v>
      </c>
      <c r="AW489" s="2" t="str">
        <f>IF(Registered!AV489=0,"",IF(Registered!AV489=1,Registered!AV489&amp;" Meal",Registered!AV489&amp;" Meals"))</f>
        <v/>
      </c>
      <c r="AX489" s="2" t="str">
        <f>IF(Registered!AI489=0,"",Registered!AI489&amp;" BG")</f>
        <v/>
      </c>
      <c r="AY489" s="2" t="str">
        <f>IF(Registered!AG489=0,"",Registered!AG489&amp;" DustMask")</f>
        <v/>
      </c>
    </row>
    <row r="490" spans="1:51" customFormat="1" x14ac:dyDescent="0.25">
      <c r="A490" t="s">
        <v>150</v>
      </c>
      <c r="B490" t="s">
        <v>1054</v>
      </c>
      <c r="C490" t="s">
        <v>6090</v>
      </c>
      <c r="D490" t="s">
        <v>1055</v>
      </c>
      <c r="E490" t="s">
        <v>1056</v>
      </c>
      <c r="I490" t="s">
        <v>1057</v>
      </c>
      <c r="J490" t="s">
        <v>37</v>
      </c>
      <c r="K490" t="s">
        <v>32</v>
      </c>
      <c r="L490" t="s">
        <v>35</v>
      </c>
      <c r="S490">
        <v>2</v>
      </c>
      <c r="T490">
        <v>3</v>
      </c>
      <c r="AM490">
        <v>2</v>
      </c>
      <c r="AN490">
        <v>25</v>
      </c>
      <c r="AQ490">
        <v>56</v>
      </c>
      <c r="AR490" s="3">
        <f t="shared" si="21"/>
        <v>10</v>
      </c>
      <c r="AS490" s="3">
        <f t="shared" si="22"/>
        <v>2</v>
      </c>
      <c r="AT490" s="3" t="str">
        <f>IF(OR(Registered!AM490&gt;0,Registered!AO490&gt;0),(IF(Registered!E490=0,"Size Not Specified",Registered!E490)),"")</f>
        <v>Adult Small</v>
      </c>
      <c r="AU490" s="3" t="str">
        <f>IF(Registered!AE490=0,"",IF(Registered!AE490=1,Registered!AE490&amp;" Bandana",Registered!AE490&amp;" Bandanas"))</f>
        <v/>
      </c>
      <c r="AV490" s="3">
        <f t="shared" si="23"/>
        <v>2</v>
      </c>
      <c r="AW490" s="2" t="str">
        <f>IF(Registered!AV490=0,"",IF(Registered!AV490=1,Registered!AV490&amp;" Meal",Registered!AV490&amp;" Meals"))</f>
        <v>2 Meals</v>
      </c>
      <c r="AX490" s="2" t="str">
        <f>IF(Registered!AI490=0,"",Registered!AI490&amp;" BG")</f>
        <v/>
      </c>
      <c r="AY490" s="2" t="str">
        <f>IF(Registered!AG490=0,"",Registered!AG490&amp;" DustMask")</f>
        <v/>
      </c>
    </row>
    <row r="491" spans="1:51" customFormat="1" x14ac:dyDescent="0.25">
      <c r="A491" t="s">
        <v>398</v>
      </c>
      <c r="B491" t="s">
        <v>1054</v>
      </c>
      <c r="C491" t="s">
        <v>6090</v>
      </c>
      <c r="G491" t="s">
        <v>463</v>
      </c>
      <c r="H491" t="s">
        <v>1058</v>
      </c>
      <c r="I491" t="s">
        <v>1059</v>
      </c>
      <c r="J491" t="s">
        <v>37</v>
      </c>
      <c r="K491" t="s">
        <v>32</v>
      </c>
      <c r="L491" t="s">
        <v>35</v>
      </c>
      <c r="AQ491">
        <v>0</v>
      </c>
      <c r="AR491" s="3">
        <f t="shared" si="21"/>
        <v>0</v>
      </c>
      <c r="AS491" s="3">
        <f t="shared" si="22"/>
        <v>0</v>
      </c>
      <c r="AT491" s="3" t="str">
        <f>IF(OR(Registered!AM491&gt;0,Registered!AO491&gt;0),(IF(Registered!E491=0,"Size Not Specified",Registered!E491)),"")</f>
        <v/>
      </c>
      <c r="AU491" s="3" t="str">
        <f>IF(Registered!AE491=0,"",IF(Registered!AE491=1,Registered!AE491&amp;" Bandana",Registered!AE491&amp;" Bandanas"))</f>
        <v/>
      </c>
      <c r="AV491" s="3">
        <f t="shared" si="23"/>
        <v>0</v>
      </c>
      <c r="AW491" s="2" t="str">
        <f>IF(Registered!AV491=0,"",IF(Registered!AV491=1,Registered!AV491&amp;" Meal",Registered!AV491&amp;" Meals"))</f>
        <v/>
      </c>
      <c r="AX491" s="2" t="str">
        <f>IF(Registered!AI491=0,"",Registered!AI491&amp;" BG")</f>
        <v/>
      </c>
      <c r="AY491" s="2" t="str">
        <f>IF(Registered!AG491=0,"",Registered!AG491&amp;" DustMask")</f>
        <v/>
      </c>
    </row>
    <row r="492" spans="1:51" customFormat="1" x14ac:dyDescent="0.25">
      <c r="A492" t="s">
        <v>456</v>
      </c>
      <c r="B492" t="s">
        <v>1060</v>
      </c>
      <c r="C492" t="s">
        <v>6090</v>
      </c>
      <c r="D492" t="s">
        <v>1061</v>
      </c>
      <c r="F492" t="s">
        <v>261</v>
      </c>
      <c r="I492" t="s">
        <v>1062</v>
      </c>
      <c r="J492" t="s">
        <v>37</v>
      </c>
      <c r="K492" t="s">
        <v>32</v>
      </c>
      <c r="L492" t="s">
        <v>35</v>
      </c>
      <c r="S492">
        <v>1</v>
      </c>
      <c r="T492">
        <v>3</v>
      </c>
      <c r="AC492">
        <v>1</v>
      </c>
      <c r="AD492">
        <v>10</v>
      </c>
      <c r="AQ492">
        <v>13</v>
      </c>
      <c r="AR492" s="3">
        <f t="shared" si="21"/>
        <v>5</v>
      </c>
      <c r="AS492" s="3">
        <f t="shared" si="22"/>
        <v>0</v>
      </c>
      <c r="AT492" s="3" t="str">
        <f>IF(OR(Registered!AM492&gt;0,Registered!AO492&gt;0),(IF(Registered!E492=0,"Size Not Specified",Registered!E492)),"")</f>
        <v/>
      </c>
      <c r="AU492" s="3" t="str">
        <f>IF(Registered!AE492=0,"",IF(Registered!AE492=1,Registered!AE492&amp;" Bandana",Registered!AE492&amp;" Bandanas"))</f>
        <v/>
      </c>
      <c r="AV492" s="3">
        <f t="shared" si="23"/>
        <v>0</v>
      </c>
      <c r="AW492" s="2" t="str">
        <f>IF(Registered!AV492=0,"",IF(Registered!AV492=1,Registered!AV492&amp;" Meal",Registered!AV492&amp;" Meals"))</f>
        <v/>
      </c>
      <c r="AX492" s="2" t="str">
        <f>IF(Registered!AI492=0,"",Registered!AI492&amp;" BG")</f>
        <v/>
      </c>
      <c r="AY492" s="2" t="str">
        <f>IF(Registered!AG492=0,"",Registered!AG492&amp;" DustMask")</f>
        <v/>
      </c>
    </row>
    <row r="493" spans="1:51" customFormat="1" x14ac:dyDescent="0.25">
      <c r="A493" t="s">
        <v>4112</v>
      </c>
      <c r="B493" t="s">
        <v>4113</v>
      </c>
      <c r="C493" t="s">
        <v>6090</v>
      </c>
      <c r="G493" t="s">
        <v>354</v>
      </c>
      <c r="H493" t="s">
        <v>4114</v>
      </c>
      <c r="I493" t="s">
        <v>4115</v>
      </c>
      <c r="J493" t="s">
        <v>37</v>
      </c>
      <c r="K493" t="s">
        <v>32</v>
      </c>
      <c r="L493" t="s">
        <v>35</v>
      </c>
      <c r="AQ493">
        <v>0</v>
      </c>
      <c r="AR493" s="3">
        <f t="shared" si="21"/>
        <v>0</v>
      </c>
      <c r="AS493" s="3">
        <f t="shared" si="22"/>
        <v>0</v>
      </c>
      <c r="AT493" s="3" t="str">
        <f>IF(OR(Registered!AM493&gt;0,Registered!AO493&gt;0),(IF(Registered!E493=0,"Size Not Specified",Registered!E493)),"")</f>
        <v/>
      </c>
      <c r="AU493" s="3" t="str">
        <f>IF(Registered!AE493=0,"",IF(Registered!AE493=1,Registered!AE493&amp;" Bandana",Registered!AE493&amp;" Bandanas"))</f>
        <v/>
      </c>
      <c r="AV493" s="3">
        <f t="shared" si="23"/>
        <v>0</v>
      </c>
      <c r="AW493" s="2" t="str">
        <f>IF(Registered!AV493=0,"",IF(Registered!AV493=1,Registered!AV493&amp;" Meal",Registered!AV493&amp;" Meals"))</f>
        <v/>
      </c>
      <c r="AX493" s="2" t="str">
        <f>IF(Registered!AI493=0,"",Registered!AI493&amp;" BG")</f>
        <v/>
      </c>
      <c r="AY493" s="2" t="str">
        <f>IF(Registered!AG493=0,"",Registered!AG493&amp;" DustMask")</f>
        <v/>
      </c>
    </row>
    <row r="494" spans="1:51" customFormat="1" x14ac:dyDescent="0.25">
      <c r="A494" t="s">
        <v>2856</v>
      </c>
      <c r="B494" t="s">
        <v>2857</v>
      </c>
      <c r="C494" t="s">
        <v>6090</v>
      </c>
      <c r="D494" t="s">
        <v>2858</v>
      </c>
      <c r="F494" t="s">
        <v>261</v>
      </c>
      <c r="I494" t="s">
        <v>2859</v>
      </c>
      <c r="J494" t="s">
        <v>37</v>
      </c>
      <c r="K494" t="s">
        <v>32</v>
      </c>
      <c r="L494" t="s">
        <v>35</v>
      </c>
      <c r="Q494">
        <v>2</v>
      </c>
      <c r="R494">
        <v>3</v>
      </c>
      <c r="U494">
        <v>2</v>
      </c>
      <c r="V494">
        <v>20</v>
      </c>
      <c r="AQ494">
        <v>46</v>
      </c>
      <c r="AR494" s="3">
        <f t="shared" si="21"/>
        <v>20</v>
      </c>
      <c r="AS494" s="3">
        <f t="shared" si="22"/>
        <v>0</v>
      </c>
      <c r="AT494" s="3" t="str">
        <f>IF(OR(Registered!AM494&gt;0,Registered!AO494&gt;0),(IF(Registered!E494=0,"Size Not Specified",Registered!E494)),"")</f>
        <v/>
      </c>
      <c r="AU494" s="3" t="str">
        <f>IF(Registered!AE494=0,"",IF(Registered!AE494=1,Registered!AE494&amp;" Bandana",Registered!AE494&amp;" Bandanas"))</f>
        <v/>
      </c>
      <c r="AV494" s="3">
        <f t="shared" si="23"/>
        <v>0</v>
      </c>
      <c r="AW494" s="2" t="str">
        <f>IF(Registered!AV494=0,"",IF(Registered!AV494=1,Registered!AV494&amp;" Meal",Registered!AV494&amp;" Meals"))</f>
        <v/>
      </c>
      <c r="AX494" s="2" t="str">
        <f>IF(Registered!AI494=0,"",Registered!AI494&amp;" BG")</f>
        <v/>
      </c>
      <c r="AY494" s="2" t="str">
        <f>IF(Registered!AG494=0,"",Registered!AG494&amp;" DustMask")</f>
        <v/>
      </c>
    </row>
    <row r="495" spans="1:51" customFormat="1" x14ac:dyDescent="0.25">
      <c r="A495" t="s">
        <v>226</v>
      </c>
      <c r="B495" t="s">
        <v>1066</v>
      </c>
      <c r="C495" t="s">
        <v>6090</v>
      </c>
      <c r="G495" t="s">
        <v>500</v>
      </c>
      <c r="H495" t="s">
        <v>113</v>
      </c>
      <c r="I495" t="s">
        <v>2671</v>
      </c>
      <c r="J495" t="s">
        <v>37</v>
      </c>
      <c r="K495" t="s">
        <v>32</v>
      </c>
      <c r="L495" t="s">
        <v>35</v>
      </c>
      <c r="AQ495">
        <v>0</v>
      </c>
      <c r="AR495" s="3">
        <f t="shared" si="21"/>
        <v>0</v>
      </c>
      <c r="AS495" s="3">
        <f t="shared" si="22"/>
        <v>0</v>
      </c>
      <c r="AT495" s="3" t="str">
        <f>IF(OR(Registered!AM495&gt;0,Registered!AO495&gt;0),(IF(Registered!E495=0,"Size Not Specified",Registered!E495)),"")</f>
        <v/>
      </c>
      <c r="AU495" s="3" t="str">
        <f>IF(Registered!AE495=0,"",IF(Registered!AE495=1,Registered!AE495&amp;" Bandana",Registered!AE495&amp;" Bandanas"))</f>
        <v/>
      </c>
      <c r="AV495" s="3">
        <f t="shared" si="23"/>
        <v>0</v>
      </c>
      <c r="AW495" s="2" t="str">
        <f>IF(Registered!AV495=0,"",IF(Registered!AV495=1,Registered!AV495&amp;" Meal",Registered!AV495&amp;" Meals"))</f>
        <v/>
      </c>
      <c r="AX495" s="2" t="str">
        <f>IF(Registered!AI495=0,"",Registered!AI495&amp;" BG")</f>
        <v/>
      </c>
      <c r="AY495" s="2" t="str">
        <f>IF(Registered!AG495=0,"",Registered!AG495&amp;" DustMask")</f>
        <v/>
      </c>
    </row>
    <row r="496" spans="1:51" customFormat="1" x14ac:dyDescent="0.25">
      <c r="A496" t="s">
        <v>1067</v>
      </c>
      <c r="B496" t="s">
        <v>449</v>
      </c>
      <c r="C496" t="s">
        <v>6090</v>
      </c>
      <c r="G496" t="s">
        <v>64</v>
      </c>
      <c r="H496" t="s">
        <v>449</v>
      </c>
      <c r="I496" t="s">
        <v>1068</v>
      </c>
      <c r="J496" t="s">
        <v>37</v>
      </c>
      <c r="K496" t="s">
        <v>32</v>
      </c>
      <c r="L496" t="s">
        <v>35</v>
      </c>
      <c r="AQ496">
        <v>0</v>
      </c>
      <c r="AR496" s="3">
        <f t="shared" si="21"/>
        <v>0</v>
      </c>
      <c r="AS496" s="3">
        <f t="shared" si="22"/>
        <v>0</v>
      </c>
      <c r="AT496" s="3" t="str">
        <f>IF(OR(Registered!AM496&gt;0,Registered!AO496&gt;0),(IF(Registered!E496=0,"Size Not Specified",Registered!E496)),"")</f>
        <v/>
      </c>
      <c r="AU496" s="3" t="str">
        <f>IF(Registered!AE496=0,"",IF(Registered!AE496=1,Registered!AE496&amp;" Bandana",Registered!AE496&amp;" Bandanas"))</f>
        <v/>
      </c>
      <c r="AV496" s="3">
        <f t="shared" si="23"/>
        <v>0</v>
      </c>
      <c r="AW496" s="2" t="str">
        <f>IF(Registered!AV496=0,"",IF(Registered!AV496=1,Registered!AV496&amp;" Meal",Registered!AV496&amp;" Meals"))</f>
        <v/>
      </c>
      <c r="AX496" s="2" t="str">
        <f>IF(Registered!AI496=0,"",Registered!AI496&amp;" BG")</f>
        <v/>
      </c>
      <c r="AY496" s="2" t="str">
        <f>IF(Registered!AG496=0,"",Registered!AG496&amp;" DustMask")</f>
        <v/>
      </c>
    </row>
    <row r="497" spans="1:51" customFormat="1" x14ac:dyDescent="0.25">
      <c r="A497" t="s">
        <v>1069</v>
      </c>
      <c r="B497" t="s">
        <v>449</v>
      </c>
      <c r="C497" t="s">
        <v>6090</v>
      </c>
      <c r="G497" t="s">
        <v>49</v>
      </c>
      <c r="H497" t="s">
        <v>449</v>
      </c>
      <c r="I497" t="s">
        <v>1070</v>
      </c>
      <c r="J497" t="s">
        <v>37</v>
      </c>
      <c r="K497" t="s">
        <v>32</v>
      </c>
      <c r="L497" t="s">
        <v>35</v>
      </c>
      <c r="AQ497">
        <v>0</v>
      </c>
      <c r="AR497" s="3">
        <f t="shared" si="21"/>
        <v>0</v>
      </c>
      <c r="AS497" s="3">
        <f t="shared" si="22"/>
        <v>0</v>
      </c>
      <c r="AT497" s="3" t="str">
        <f>IF(OR(Registered!AM497&gt;0,Registered!AO497&gt;0),(IF(Registered!E497=0,"Size Not Specified",Registered!E497)),"")</f>
        <v/>
      </c>
      <c r="AU497" s="3" t="str">
        <f>IF(Registered!AE497=0,"",IF(Registered!AE497=1,Registered!AE497&amp;" Bandana",Registered!AE497&amp;" Bandanas"))</f>
        <v/>
      </c>
      <c r="AV497" s="3">
        <f t="shared" si="23"/>
        <v>0</v>
      </c>
      <c r="AW497" s="2" t="str">
        <f>IF(Registered!AV497=0,"",IF(Registered!AV497=1,Registered!AV497&amp;" Meal",Registered!AV497&amp;" Meals"))</f>
        <v/>
      </c>
      <c r="AX497" s="2" t="str">
        <f>IF(Registered!AI497=0,"",Registered!AI497&amp;" BG")</f>
        <v/>
      </c>
      <c r="AY497" s="2" t="str">
        <f>IF(Registered!AG497=0,"",Registered!AG497&amp;" DustMask")</f>
        <v/>
      </c>
    </row>
    <row r="498" spans="1:51" customFormat="1" x14ac:dyDescent="0.25">
      <c r="A498" t="s">
        <v>1071</v>
      </c>
      <c r="B498" t="s">
        <v>449</v>
      </c>
      <c r="C498" t="s">
        <v>6090</v>
      </c>
      <c r="G498" t="s">
        <v>317</v>
      </c>
      <c r="H498" t="s">
        <v>449</v>
      </c>
      <c r="I498" t="s">
        <v>1072</v>
      </c>
      <c r="J498" t="s">
        <v>37</v>
      </c>
      <c r="K498" t="s">
        <v>32</v>
      </c>
      <c r="L498" t="s">
        <v>35</v>
      </c>
      <c r="AQ498">
        <v>0</v>
      </c>
      <c r="AR498" s="3">
        <f t="shared" si="21"/>
        <v>0</v>
      </c>
      <c r="AS498" s="3">
        <f t="shared" si="22"/>
        <v>0</v>
      </c>
      <c r="AT498" s="3" t="str">
        <f>IF(OR(Registered!AM498&gt;0,Registered!AO498&gt;0),(IF(Registered!E498=0,"Size Not Specified",Registered!E498)),"")</f>
        <v/>
      </c>
      <c r="AU498" s="3" t="str">
        <f>IF(Registered!AE498=0,"",IF(Registered!AE498=1,Registered!AE498&amp;" Bandana",Registered!AE498&amp;" Bandanas"))</f>
        <v/>
      </c>
      <c r="AV498" s="3">
        <f t="shared" si="23"/>
        <v>0</v>
      </c>
      <c r="AW498" s="2" t="str">
        <f>IF(Registered!AV498=0,"",IF(Registered!AV498=1,Registered!AV498&amp;" Meal",Registered!AV498&amp;" Meals"))</f>
        <v/>
      </c>
      <c r="AX498" s="2" t="str">
        <f>IF(Registered!AI498=0,"",Registered!AI498&amp;" BG")</f>
        <v/>
      </c>
      <c r="AY498" s="2" t="str">
        <f>IF(Registered!AG498=0,"",Registered!AG498&amp;" DustMask")</f>
        <v/>
      </c>
    </row>
    <row r="499" spans="1:51" customFormat="1" x14ac:dyDescent="0.25">
      <c r="A499" t="s">
        <v>64</v>
      </c>
      <c r="B499" t="s">
        <v>449</v>
      </c>
      <c r="C499" t="s">
        <v>6090</v>
      </c>
      <c r="D499" t="s">
        <v>1073</v>
      </c>
      <c r="F499" t="s">
        <v>261</v>
      </c>
      <c r="I499" t="s">
        <v>1068</v>
      </c>
      <c r="J499" t="s">
        <v>37</v>
      </c>
      <c r="K499" t="s">
        <v>32</v>
      </c>
      <c r="L499" t="s">
        <v>35</v>
      </c>
      <c r="S499">
        <v>2</v>
      </c>
      <c r="T499">
        <v>3</v>
      </c>
      <c r="AE499">
        <v>4</v>
      </c>
      <c r="AF499">
        <v>6</v>
      </c>
      <c r="AM499">
        <v>1</v>
      </c>
      <c r="AN499">
        <v>25</v>
      </c>
      <c r="AQ499">
        <v>55</v>
      </c>
      <c r="AR499" s="3">
        <f t="shared" si="21"/>
        <v>5</v>
      </c>
      <c r="AS499" s="3">
        <f t="shared" si="22"/>
        <v>1</v>
      </c>
      <c r="AT499" s="3" t="str">
        <f>IF(OR(Registered!AM499&gt;0,Registered!AO499&gt;0),(IF(Registered!E499=0,"Size Not Specified",Registered!E499)),"")</f>
        <v>Size Not Specified</v>
      </c>
      <c r="AU499" s="3" t="str">
        <f>IF(Registered!AE499=0,"",IF(Registered!AE499=1,Registered!AE499&amp;" Bandana",Registered!AE499&amp;" Bandanas"))</f>
        <v>4 Bandanas</v>
      </c>
      <c r="AV499" s="3">
        <f t="shared" si="23"/>
        <v>1</v>
      </c>
      <c r="AW499" s="2" t="str">
        <f>IF(Registered!AV499=0,"",IF(Registered!AV499=1,Registered!AV499&amp;" Meal",Registered!AV499&amp;" Meals"))</f>
        <v>1 Meal</v>
      </c>
      <c r="AX499" s="2" t="str">
        <f>IF(Registered!AI499=0,"",Registered!AI499&amp;" BG")</f>
        <v/>
      </c>
      <c r="AY499" s="2" t="str">
        <f>IF(Registered!AG499=0,"",Registered!AG499&amp;" DustMask")</f>
        <v/>
      </c>
    </row>
    <row r="500" spans="1:51" customFormat="1" x14ac:dyDescent="0.25">
      <c r="A500" t="s">
        <v>317</v>
      </c>
      <c r="B500" t="s">
        <v>449</v>
      </c>
      <c r="C500" t="s">
        <v>6090</v>
      </c>
      <c r="D500" t="s">
        <v>1074</v>
      </c>
      <c r="F500" t="s">
        <v>261</v>
      </c>
      <c r="I500" t="s">
        <v>1072</v>
      </c>
      <c r="J500" t="s">
        <v>37</v>
      </c>
      <c r="K500" t="s">
        <v>32</v>
      </c>
      <c r="L500" t="s">
        <v>35</v>
      </c>
      <c r="S500">
        <v>2</v>
      </c>
      <c r="T500">
        <v>3</v>
      </c>
      <c r="AC500">
        <v>1</v>
      </c>
      <c r="AD500">
        <v>10</v>
      </c>
      <c r="AQ500">
        <v>16</v>
      </c>
      <c r="AR500" s="3">
        <f t="shared" si="21"/>
        <v>5</v>
      </c>
      <c r="AS500" s="3">
        <f t="shared" si="22"/>
        <v>0</v>
      </c>
      <c r="AT500" s="3" t="str">
        <f>IF(OR(Registered!AM500&gt;0,Registered!AO500&gt;0),(IF(Registered!E500=0,"Size Not Specified",Registered!E500)),"")</f>
        <v/>
      </c>
      <c r="AU500" s="3" t="str">
        <f>IF(Registered!AE500=0,"",IF(Registered!AE500=1,Registered!AE500&amp;" Bandana",Registered!AE500&amp;" Bandanas"))</f>
        <v/>
      </c>
      <c r="AV500" s="3">
        <f t="shared" si="23"/>
        <v>0</v>
      </c>
      <c r="AW500" s="2" t="str">
        <f>IF(Registered!AV500=0,"",IF(Registered!AV500=1,Registered!AV500&amp;" Meal",Registered!AV500&amp;" Meals"))</f>
        <v/>
      </c>
      <c r="AX500" s="2" t="str">
        <f>IF(Registered!AI500=0,"",Registered!AI500&amp;" BG")</f>
        <v/>
      </c>
      <c r="AY500" s="2" t="str">
        <f>IF(Registered!AG500=0,"",Registered!AG500&amp;" DustMask")</f>
        <v/>
      </c>
    </row>
    <row r="501" spans="1:51" customFormat="1" x14ac:dyDescent="0.25">
      <c r="A501" t="s">
        <v>68</v>
      </c>
      <c r="B501" t="s">
        <v>449</v>
      </c>
      <c r="C501" t="s">
        <v>6090</v>
      </c>
      <c r="G501" t="s">
        <v>49</v>
      </c>
      <c r="H501" t="s">
        <v>449</v>
      </c>
      <c r="I501" t="s">
        <v>1070</v>
      </c>
      <c r="J501" t="s">
        <v>37</v>
      </c>
      <c r="K501" t="s">
        <v>32</v>
      </c>
      <c r="L501" t="s">
        <v>35</v>
      </c>
      <c r="AQ501">
        <v>0</v>
      </c>
      <c r="AR501" s="3">
        <f t="shared" si="21"/>
        <v>0</v>
      </c>
      <c r="AS501" s="3">
        <f t="shared" si="22"/>
        <v>0</v>
      </c>
      <c r="AT501" s="3" t="str">
        <f>IF(OR(Registered!AM501&gt;0,Registered!AO501&gt;0),(IF(Registered!E501=0,"Size Not Specified",Registered!E501)),"")</f>
        <v/>
      </c>
      <c r="AU501" s="3" t="str">
        <f>IF(Registered!AE501=0,"",IF(Registered!AE501=1,Registered!AE501&amp;" Bandana",Registered!AE501&amp;" Bandanas"))</f>
        <v/>
      </c>
      <c r="AV501" s="3">
        <f t="shared" si="23"/>
        <v>0</v>
      </c>
      <c r="AW501" s="2" t="str">
        <f>IF(Registered!AV501=0,"",IF(Registered!AV501=1,Registered!AV501&amp;" Meal",Registered!AV501&amp;" Meals"))</f>
        <v/>
      </c>
      <c r="AX501" s="2" t="str">
        <f>IF(Registered!AI501=0,"",Registered!AI501&amp;" BG")</f>
        <v/>
      </c>
      <c r="AY501" s="2" t="str">
        <f>IF(Registered!AG501=0,"",Registered!AG501&amp;" DustMask")</f>
        <v/>
      </c>
    </row>
    <row r="502" spans="1:51" customFormat="1" x14ac:dyDescent="0.25">
      <c r="A502" t="s">
        <v>501</v>
      </c>
      <c r="B502" t="s">
        <v>449</v>
      </c>
      <c r="C502" t="s">
        <v>6090</v>
      </c>
      <c r="G502" t="s">
        <v>49</v>
      </c>
      <c r="H502" t="s">
        <v>449</v>
      </c>
      <c r="I502" t="s">
        <v>1070</v>
      </c>
      <c r="J502" t="s">
        <v>37</v>
      </c>
      <c r="K502" t="s">
        <v>32</v>
      </c>
      <c r="L502" t="s">
        <v>35</v>
      </c>
      <c r="AQ502">
        <v>0</v>
      </c>
      <c r="AR502" s="3">
        <f t="shared" si="21"/>
        <v>0</v>
      </c>
      <c r="AS502" s="3">
        <f t="shared" si="22"/>
        <v>0</v>
      </c>
      <c r="AT502" s="3" t="str">
        <f>IF(OR(Registered!AM502&gt;0,Registered!AO502&gt;0),(IF(Registered!E502=0,"Size Not Specified",Registered!E502)),"")</f>
        <v/>
      </c>
      <c r="AU502" s="3" t="str">
        <f>IF(Registered!AE502=0,"",IF(Registered!AE502=1,Registered!AE502&amp;" Bandana",Registered!AE502&amp;" Bandanas"))</f>
        <v/>
      </c>
      <c r="AV502" s="3">
        <f t="shared" si="23"/>
        <v>0</v>
      </c>
      <c r="AW502" s="2" t="str">
        <f>IF(Registered!AV502=0,"",IF(Registered!AV502=1,Registered!AV502&amp;" Meal",Registered!AV502&amp;" Meals"))</f>
        <v/>
      </c>
      <c r="AX502" s="2" t="str">
        <f>IF(Registered!AI502=0,"",Registered!AI502&amp;" BG")</f>
        <v/>
      </c>
      <c r="AY502" s="2" t="str">
        <f>IF(Registered!AG502=0,"",Registered!AG502&amp;" DustMask")</f>
        <v/>
      </c>
    </row>
    <row r="503" spans="1:51" customFormat="1" x14ac:dyDescent="0.25">
      <c r="A503" t="s">
        <v>49</v>
      </c>
      <c r="B503" t="s">
        <v>449</v>
      </c>
      <c r="C503" t="s">
        <v>6090</v>
      </c>
      <c r="D503" t="s">
        <v>1075</v>
      </c>
      <c r="F503" t="s">
        <v>261</v>
      </c>
      <c r="I503" t="s">
        <v>1076</v>
      </c>
      <c r="J503" t="s">
        <v>37</v>
      </c>
      <c r="K503" t="s">
        <v>32</v>
      </c>
      <c r="L503" t="s">
        <v>35</v>
      </c>
      <c r="S503">
        <v>6</v>
      </c>
      <c r="T503">
        <v>3</v>
      </c>
      <c r="W503">
        <v>1</v>
      </c>
      <c r="X503">
        <v>40</v>
      </c>
      <c r="AQ503">
        <v>58</v>
      </c>
      <c r="AR503" s="3">
        <f t="shared" si="21"/>
        <v>20</v>
      </c>
      <c r="AS503" s="3">
        <f t="shared" si="22"/>
        <v>0</v>
      </c>
      <c r="AT503" s="3" t="str">
        <f>IF(OR(Registered!AM503&gt;0,Registered!AO503&gt;0),(IF(Registered!E503=0,"Size Not Specified",Registered!E503)),"")</f>
        <v/>
      </c>
      <c r="AU503" s="3" t="str">
        <f>IF(Registered!AE503=0,"",IF(Registered!AE503=1,Registered!AE503&amp;" Bandana",Registered!AE503&amp;" Bandanas"))</f>
        <v/>
      </c>
      <c r="AV503" s="3">
        <f t="shared" si="23"/>
        <v>0</v>
      </c>
      <c r="AW503" s="2" t="str">
        <f>IF(Registered!AV503=0,"",IF(Registered!AV503=1,Registered!AV503&amp;" Meal",Registered!AV503&amp;" Meals"))</f>
        <v/>
      </c>
      <c r="AX503" s="2" t="str">
        <f>IF(Registered!AI503=0,"",Registered!AI503&amp;" BG")</f>
        <v/>
      </c>
      <c r="AY503" s="2" t="str">
        <f>IF(Registered!AG503=0,"",Registered!AG503&amp;" DustMask")</f>
        <v/>
      </c>
    </row>
    <row r="504" spans="1:51" customFormat="1" x14ac:dyDescent="0.25">
      <c r="A504" t="s">
        <v>1077</v>
      </c>
      <c r="B504" t="s">
        <v>449</v>
      </c>
      <c r="C504" t="s">
        <v>6090</v>
      </c>
      <c r="G504" t="s">
        <v>49</v>
      </c>
      <c r="H504" t="s">
        <v>449</v>
      </c>
      <c r="I504" t="s">
        <v>1070</v>
      </c>
      <c r="J504" t="s">
        <v>37</v>
      </c>
      <c r="K504" t="s">
        <v>32</v>
      </c>
      <c r="L504" t="s">
        <v>35</v>
      </c>
      <c r="AQ504">
        <v>0</v>
      </c>
      <c r="AR504" s="3">
        <f t="shared" si="21"/>
        <v>0</v>
      </c>
      <c r="AS504" s="3">
        <f t="shared" si="22"/>
        <v>0</v>
      </c>
      <c r="AT504" s="3" t="str">
        <f>IF(OR(Registered!AM504&gt;0,Registered!AO504&gt;0),(IF(Registered!E504=0,"Size Not Specified",Registered!E504)),"")</f>
        <v/>
      </c>
      <c r="AU504" s="3" t="str">
        <f>IF(Registered!AE504=0,"",IF(Registered!AE504=1,Registered!AE504&amp;" Bandana",Registered!AE504&amp;" Bandanas"))</f>
        <v/>
      </c>
      <c r="AV504" s="3">
        <f t="shared" si="23"/>
        <v>0</v>
      </c>
      <c r="AW504" s="2" t="str">
        <f>IF(Registered!AV504=0,"",IF(Registered!AV504=1,Registered!AV504&amp;" Meal",Registered!AV504&amp;" Meals"))</f>
        <v/>
      </c>
      <c r="AX504" s="2" t="str">
        <f>IF(Registered!AI504=0,"",Registered!AI504&amp;" BG")</f>
        <v/>
      </c>
      <c r="AY504" s="2" t="str">
        <f>IF(Registered!AG504=0,"",Registered!AG504&amp;" DustMask")</f>
        <v/>
      </c>
    </row>
    <row r="505" spans="1:51" customFormat="1" x14ac:dyDescent="0.25">
      <c r="A505" t="s">
        <v>255</v>
      </c>
      <c r="B505" t="s">
        <v>1078</v>
      </c>
      <c r="C505" t="s">
        <v>6090</v>
      </c>
      <c r="D505" t="s">
        <v>1079</v>
      </c>
      <c r="E505" t="s">
        <v>561</v>
      </c>
      <c r="F505" t="s">
        <v>261</v>
      </c>
      <c r="I505" t="s">
        <v>1080</v>
      </c>
      <c r="J505" t="s">
        <v>37</v>
      </c>
      <c r="K505" t="s">
        <v>32</v>
      </c>
      <c r="L505" t="s">
        <v>35</v>
      </c>
      <c r="S505">
        <v>2</v>
      </c>
      <c r="T505">
        <v>3</v>
      </c>
      <c r="AM505">
        <v>2</v>
      </c>
      <c r="AN505">
        <v>25</v>
      </c>
      <c r="AQ505">
        <v>56</v>
      </c>
      <c r="AR505" s="3">
        <f t="shared" si="21"/>
        <v>10</v>
      </c>
      <c r="AS505" s="3">
        <f t="shared" si="22"/>
        <v>2</v>
      </c>
      <c r="AT505" s="3" t="str">
        <f>IF(OR(Registered!AM505&gt;0,Registered!AO505&gt;0),(IF(Registered!E505=0,"Size Not Specified",Registered!E505)),"")</f>
        <v>2 Mediums</v>
      </c>
      <c r="AU505" s="3" t="str">
        <f>IF(Registered!AE505=0,"",IF(Registered!AE505=1,Registered!AE505&amp;" Bandana",Registered!AE505&amp;" Bandanas"))</f>
        <v/>
      </c>
      <c r="AV505" s="3">
        <f t="shared" si="23"/>
        <v>2</v>
      </c>
      <c r="AW505" s="2" t="str">
        <f>IF(Registered!AV505=0,"",IF(Registered!AV505=1,Registered!AV505&amp;" Meal",Registered!AV505&amp;" Meals"))</f>
        <v>2 Meals</v>
      </c>
      <c r="AX505" s="2" t="str">
        <f>IF(Registered!AI505=0,"",Registered!AI505&amp;" BG")</f>
        <v/>
      </c>
      <c r="AY505" s="2" t="str">
        <f>IF(Registered!AG505=0,"",Registered!AG505&amp;" DustMask")</f>
        <v/>
      </c>
    </row>
    <row r="506" spans="1:51" customFormat="1" x14ac:dyDescent="0.25">
      <c r="A506" t="s">
        <v>100</v>
      </c>
      <c r="B506" t="s">
        <v>4119</v>
      </c>
      <c r="C506" t="s">
        <v>6090</v>
      </c>
      <c r="D506" t="s">
        <v>4120</v>
      </c>
      <c r="F506" t="s">
        <v>261</v>
      </c>
      <c r="I506" t="s">
        <v>4121</v>
      </c>
      <c r="J506" t="s">
        <v>37</v>
      </c>
      <c r="K506" t="s">
        <v>32</v>
      </c>
      <c r="L506" t="s">
        <v>35</v>
      </c>
      <c r="Q506">
        <v>2</v>
      </c>
      <c r="R506">
        <v>3</v>
      </c>
      <c r="AC506">
        <v>1</v>
      </c>
      <c r="AD506">
        <v>10</v>
      </c>
      <c r="AQ506">
        <v>16</v>
      </c>
      <c r="AR506" s="3">
        <f t="shared" si="21"/>
        <v>5</v>
      </c>
      <c r="AS506" s="3">
        <f t="shared" si="22"/>
        <v>0</v>
      </c>
      <c r="AT506" s="3" t="str">
        <f>IF(OR(Registered!AM506&gt;0,Registered!AO506&gt;0),(IF(Registered!E506=0,"Size Not Specified",Registered!E506)),"")</f>
        <v/>
      </c>
      <c r="AU506" s="3" t="str">
        <f>IF(Registered!AE506=0,"",IF(Registered!AE506=1,Registered!AE506&amp;" Bandana",Registered!AE506&amp;" Bandanas"))</f>
        <v/>
      </c>
      <c r="AV506" s="3">
        <f t="shared" si="23"/>
        <v>0</v>
      </c>
      <c r="AW506" s="2" t="str">
        <f>IF(Registered!AV506=0,"",IF(Registered!AV506=1,Registered!AV506&amp;" Meal",Registered!AV506&amp;" Meals"))</f>
        <v/>
      </c>
      <c r="AX506" s="2" t="str">
        <f>IF(Registered!AI506=0,"",Registered!AI506&amp;" BG")</f>
        <v/>
      </c>
      <c r="AY506" s="2" t="str">
        <f>IF(Registered!AG506=0,"",Registered!AG506&amp;" DustMask")</f>
        <v/>
      </c>
    </row>
    <row r="507" spans="1:51" customFormat="1" x14ac:dyDescent="0.25">
      <c r="A507" t="s">
        <v>140</v>
      </c>
      <c r="B507" t="s">
        <v>1081</v>
      </c>
      <c r="C507" t="s">
        <v>6090</v>
      </c>
      <c r="D507" t="s">
        <v>1082</v>
      </c>
      <c r="F507" t="s">
        <v>261</v>
      </c>
      <c r="I507" t="s">
        <v>1083</v>
      </c>
      <c r="J507" t="s">
        <v>37</v>
      </c>
      <c r="K507" t="s">
        <v>32</v>
      </c>
      <c r="L507" t="s">
        <v>35</v>
      </c>
      <c r="S507">
        <v>2</v>
      </c>
      <c r="T507">
        <v>3</v>
      </c>
      <c r="U507">
        <v>1</v>
      </c>
      <c r="V507">
        <v>20</v>
      </c>
      <c r="AQ507">
        <v>26</v>
      </c>
      <c r="AR507" s="3">
        <f t="shared" si="21"/>
        <v>10</v>
      </c>
      <c r="AS507" s="3">
        <f t="shared" si="22"/>
        <v>0</v>
      </c>
      <c r="AT507" s="3" t="str">
        <f>IF(OR(Registered!AM507&gt;0,Registered!AO507&gt;0),(IF(Registered!E507=0,"Size Not Specified",Registered!E507)),"")</f>
        <v/>
      </c>
      <c r="AU507" s="3" t="str">
        <f>IF(Registered!AE507=0,"",IF(Registered!AE507=1,Registered!AE507&amp;" Bandana",Registered!AE507&amp;" Bandanas"))</f>
        <v/>
      </c>
      <c r="AV507" s="3">
        <f t="shared" si="23"/>
        <v>0</v>
      </c>
      <c r="AW507" s="2" t="str">
        <f>IF(Registered!AV507=0,"",IF(Registered!AV507=1,Registered!AV507&amp;" Meal",Registered!AV507&amp;" Meals"))</f>
        <v/>
      </c>
      <c r="AX507" s="2" t="str">
        <f>IF(Registered!AI507=0,"",Registered!AI507&amp;" BG")</f>
        <v/>
      </c>
      <c r="AY507" s="2" t="str">
        <f>IF(Registered!AG507=0,"",Registered!AG507&amp;" DustMask")</f>
        <v/>
      </c>
    </row>
    <row r="508" spans="1:51" customFormat="1" x14ac:dyDescent="0.25">
      <c r="A508" t="s">
        <v>109</v>
      </c>
      <c r="B508" t="s">
        <v>1081</v>
      </c>
      <c r="C508" t="s">
        <v>6090</v>
      </c>
      <c r="F508" t="s">
        <v>261</v>
      </c>
      <c r="I508" t="s">
        <v>1084</v>
      </c>
      <c r="J508" t="s">
        <v>37</v>
      </c>
      <c r="K508" t="s">
        <v>32</v>
      </c>
      <c r="L508" t="s">
        <v>35</v>
      </c>
      <c r="S508">
        <v>2</v>
      </c>
      <c r="T508">
        <v>3</v>
      </c>
      <c r="AK508">
        <v>2</v>
      </c>
      <c r="AL508">
        <v>6</v>
      </c>
      <c r="AQ508">
        <v>18</v>
      </c>
      <c r="AR508" s="3">
        <f t="shared" si="21"/>
        <v>0</v>
      </c>
      <c r="AS508" s="3">
        <f t="shared" si="22"/>
        <v>0</v>
      </c>
      <c r="AT508" s="3" t="str">
        <f>IF(OR(Registered!AM508&gt;0,Registered!AO508&gt;0),(IF(Registered!E508=0,"Size Not Specified",Registered!E508)),"")</f>
        <v/>
      </c>
      <c r="AU508" s="3" t="str">
        <f>IF(Registered!AE508=0,"",IF(Registered!AE508=1,Registered!AE508&amp;" Bandana",Registered!AE508&amp;" Bandanas"))</f>
        <v/>
      </c>
      <c r="AV508" s="3">
        <f t="shared" si="23"/>
        <v>2</v>
      </c>
      <c r="AW508" s="2" t="str">
        <f>IF(Registered!AV508=0,"",IF(Registered!AV508=1,Registered!AV508&amp;" Meal",Registered!AV508&amp;" Meals"))</f>
        <v>2 Meals</v>
      </c>
      <c r="AX508" s="2" t="str">
        <f>IF(Registered!AI508=0,"",Registered!AI508&amp;" BG")</f>
        <v/>
      </c>
      <c r="AY508" s="2" t="str">
        <f>IF(Registered!AG508=0,"",Registered!AG508&amp;" DustMask")</f>
        <v/>
      </c>
    </row>
    <row r="509" spans="1:51" customFormat="1" x14ac:dyDescent="0.25">
      <c r="A509" t="s">
        <v>1085</v>
      </c>
      <c r="B509" t="s">
        <v>1081</v>
      </c>
      <c r="C509" t="s">
        <v>6090</v>
      </c>
      <c r="D509" t="s">
        <v>1086</v>
      </c>
      <c r="F509" t="s">
        <v>261</v>
      </c>
      <c r="I509" t="s">
        <v>1087</v>
      </c>
      <c r="J509" t="s">
        <v>37</v>
      </c>
      <c r="K509" t="s">
        <v>32</v>
      </c>
      <c r="L509" t="s">
        <v>35</v>
      </c>
      <c r="S509">
        <v>1</v>
      </c>
      <c r="T509">
        <v>3</v>
      </c>
      <c r="AA509">
        <v>1</v>
      </c>
      <c r="AB509">
        <v>75</v>
      </c>
      <c r="AQ509">
        <v>78</v>
      </c>
      <c r="AR509" s="3">
        <f t="shared" si="21"/>
        <v>40</v>
      </c>
      <c r="AS509" s="3">
        <f t="shared" si="22"/>
        <v>0</v>
      </c>
      <c r="AT509" s="3" t="str">
        <f>IF(OR(Registered!AM509&gt;0,Registered!AO509&gt;0),(IF(Registered!E509=0,"Size Not Specified",Registered!E509)),"")</f>
        <v/>
      </c>
      <c r="AU509" s="3" t="str">
        <f>IF(Registered!AE509=0,"",IF(Registered!AE509=1,Registered!AE509&amp;" Bandana",Registered!AE509&amp;" Bandanas"))</f>
        <v/>
      </c>
      <c r="AV509" s="3">
        <f t="shared" si="23"/>
        <v>0</v>
      </c>
      <c r="AW509" s="2" t="str">
        <f>IF(Registered!AV509=0,"",IF(Registered!AV509=1,Registered!AV509&amp;" Meal",Registered!AV509&amp;" Meals"))</f>
        <v/>
      </c>
      <c r="AX509" s="2" t="str">
        <f>IF(Registered!AI509=0,"",Registered!AI509&amp;" BG")</f>
        <v/>
      </c>
      <c r="AY509" s="2" t="str">
        <f>IF(Registered!AG509=0,"",Registered!AG509&amp;" DustMask")</f>
        <v/>
      </c>
    </row>
    <row r="510" spans="1:51" customFormat="1" x14ac:dyDescent="0.25">
      <c r="A510" t="s">
        <v>78</v>
      </c>
      <c r="B510" t="s">
        <v>1081</v>
      </c>
      <c r="C510" t="s">
        <v>6090</v>
      </c>
      <c r="D510" t="s">
        <v>57</v>
      </c>
      <c r="F510" t="s">
        <v>261</v>
      </c>
      <c r="I510" t="s">
        <v>4122</v>
      </c>
      <c r="J510" t="s">
        <v>37</v>
      </c>
      <c r="K510" t="s">
        <v>32</v>
      </c>
      <c r="L510" t="s">
        <v>35</v>
      </c>
      <c r="Q510">
        <v>2</v>
      </c>
      <c r="R510">
        <v>3</v>
      </c>
      <c r="AC510">
        <v>1</v>
      </c>
      <c r="AD510">
        <v>10</v>
      </c>
      <c r="AQ510">
        <v>16</v>
      </c>
      <c r="AR510" s="3">
        <f t="shared" si="21"/>
        <v>5</v>
      </c>
      <c r="AS510" s="3">
        <f t="shared" si="22"/>
        <v>0</v>
      </c>
      <c r="AT510" s="3" t="str">
        <f>IF(OR(Registered!AM510&gt;0,Registered!AO510&gt;0),(IF(Registered!E510=0,"Size Not Specified",Registered!E510)),"")</f>
        <v/>
      </c>
      <c r="AU510" s="3" t="str">
        <f>IF(Registered!AE510=0,"",IF(Registered!AE510=1,Registered!AE510&amp;" Bandana",Registered!AE510&amp;" Bandanas"))</f>
        <v/>
      </c>
      <c r="AV510" s="3">
        <f t="shared" si="23"/>
        <v>0</v>
      </c>
      <c r="AW510" s="2" t="str">
        <f>IF(Registered!AV510=0,"",IF(Registered!AV510=1,Registered!AV510&amp;" Meal",Registered!AV510&amp;" Meals"))</f>
        <v/>
      </c>
      <c r="AX510" s="2" t="str">
        <f>IF(Registered!AI510=0,"",Registered!AI510&amp;" BG")</f>
        <v/>
      </c>
      <c r="AY510" s="2" t="str">
        <f>IF(Registered!AG510=0,"",Registered!AG510&amp;" DustMask")</f>
        <v/>
      </c>
    </row>
    <row r="511" spans="1:51" customFormat="1" x14ac:dyDescent="0.25">
      <c r="A511" t="s">
        <v>81</v>
      </c>
      <c r="B511" t="s">
        <v>1081</v>
      </c>
      <c r="C511" t="s">
        <v>6090</v>
      </c>
      <c r="D511" t="s">
        <v>1088</v>
      </c>
      <c r="F511" t="s">
        <v>261</v>
      </c>
      <c r="I511" t="s">
        <v>1089</v>
      </c>
      <c r="J511" t="s">
        <v>37</v>
      </c>
      <c r="K511" t="s">
        <v>32</v>
      </c>
      <c r="L511" t="s">
        <v>35</v>
      </c>
      <c r="S511">
        <v>4</v>
      </c>
      <c r="T511">
        <v>3</v>
      </c>
      <c r="AQ511">
        <v>12</v>
      </c>
      <c r="AR511" s="3">
        <f t="shared" si="21"/>
        <v>0</v>
      </c>
      <c r="AS511" s="3">
        <f t="shared" si="22"/>
        <v>0</v>
      </c>
      <c r="AT511" s="3" t="str">
        <f>IF(OR(Registered!AM511&gt;0,Registered!AO511&gt;0),(IF(Registered!E511=0,"Size Not Specified",Registered!E511)),"")</f>
        <v/>
      </c>
      <c r="AU511" s="3" t="str">
        <f>IF(Registered!AE511=0,"",IF(Registered!AE511=1,Registered!AE511&amp;" Bandana",Registered!AE511&amp;" Bandanas"))</f>
        <v/>
      </c>
      <c r="AV511" s="3">
        <f t="shared" si="23"/>
        <v>0</v>
      </c>
      <c r="AW511" s="2" t="str">
        <f>IF(Registered!AV511=0,"",IF(Registered!AV511=1,Registered!AV511&amp;" Meal",Registered!AV511&amp;" Meals"))</f>
        <v/>
      </c>
      <c r="AX511" s="2" t="str">
        <f>IF(Registered!AI511=0,"",Registered!AI511&amp;" BG")</f>
        <v/>
      </c>
      <c r="AY511" s="2" t="str">
        <f>IF(Registered!AG511=0,"",Registered!AG511&amp;" DustMask")</f>
        <v/>
      </c>
    </row>
    <row r="512" spans="1:51" customFormat="1" x14ac:dyDescent="0.25">
      <c r="A512" t="s">
        <v>192</v>
      </c>
      <c r="B512" t="s">
        <v>1081</v>
      </c>
      <c r="C512" t="s">
        <v>6090</v>
      </c>
      <c r="G512" t="s">
        <v>81</v>
      </c>
      <c r="H512" t="s">
        <v>1081</v>
      </c>
      <c r="I512" t="s">
        <v>1089</v>
      </c>
      <c r="J512" t="s">
        <v>37</v>
      </c>
      <c r="K512" t="s">
        <v>32</v>
      </c>
      <c r="L512" t="s">
        <v>35</v>
      </c>
      <c r="AQ512">
        <v>0</v>
      </c>
      <c r="AR512" s="3">
        <f t="shared" si="21"/>
        <v>0</v>
      </c>
      <c r="AS512" s="3">
        <f t="shared" si="22"/>
        <v>0</v>
      </c>
      <c r="AT512" s="3" t="str">
        <f>IF(OR(Registered!AM512&gt;0,Registered!AO512&gt;0),(IF(Registered!E512=0,"Size Not Specified",Registered!E512)),"")</f>
        <v/>
      </c>
      <c r="AU512" s="3" t="str">
        <f>IF(Registered!AE512=0,"",IF(Registered!AE512=1,Registered!AE512&amp;" Bandana",Registered!AE512&amp;" Bandanas"))</f>
        <v/>
      </c>
      <c r="AV512" s="3">
        <f t="shared" si="23"/>
        <v>0</v>
      </c>
      <c r="AW512" s="2" t="str">
        <f>IF(Registered!AV512=0,"",IF(Registered!AV512=1,Registered!AV512&amp;" Meal",Registered!AV512&amp;" Meals"))</f>
        <v/>
      </c>
      <c r="AX512" s="2" t="str">
        <f>IF(Registered!AI512=0,"",Registered!AI512&amp;" BG")</f>
        <v/>
      </c>
      <c r="AY512" s="2" t="str">
        <f>IF(Registered!AG512=0,"",Registered!AG512&amp;" DustMask")</f>
        <v/>
      </c>
    </row>
    <row r="513" spans="1:51" customFormat="1" x14ac:dyDescent="0.25">
      <c r="A513" t="s">
        <v>397</v>
      </c>
      <c r="B513" t="s">
        <v>1081</v>
      </c>
      <c r="C513" t="s">
        <v>6090</v>
      </c>
      <c r="G513" t="s">
        <v>81</v>
      </c>
      <c r="H513" t="s">
        <v>1081</v>
      </c>
      <c r="I513" t="s">
        <v>1089</v>
      </c>
      <c r="J513" t="s">
        <v>37</v>
      </c>
      <c r="K513" t="s">
        <v>32</v>
      </c>
      <c r="L513" t="s">
        <v>35</v>
      </c>
      <c r="AQ513">
        <v>0</v>
      </c>
      <c r="AR513" s="3">
        <f t="shared" si="21"/>
        <v>0</v>
      </c>
      <c r="AS513" s="3">
        <f t="shared" si="22"/>
        <v>0</v>
      </c>
      <c r="AT513" s="3" t="str">
        <f>IF(OR(Registered!AM513&gt;0,Registered!AO513&gt;0),(IF(Registered!E513=0,"Size Not Specified",Registered!E513)),"")</f>
        <v/>
      </c>
      <c r="AU513" s="3" t="str">
        <f>IF(Registered!AE513=0,"",IF(Registered!AE513=1,Registered!AE513&amp;" Bandana",Registered!AE513&amp;" Bandanas"))</f>
        <v/>
      </c>
      <c r="AV513" s="3">
        <f t="shared" si="23"/>
        <v>0</v>
      </c>
      <c r="AW513" s="2" t="str">
        <f>IF(Registered!AV513=0,"",IF(Registered!AV513=1,Registered!AV513&amp;" Meal",Registered!AV513&amp;" Meals"))</f>
        <v/>
      </c>
      <c r="AX513" s="2" t="str">
        <f>IF(Registered!AI513=0,"",Registered!AI513&amp;" BG")</f>
        <v/>
      </c>
      <c r="AY513" s="2" t="str">
        <f>IF(Registered!AG513=0,"",Registered!AG513&amp;" DustMask")</f>
        <v/>
      </c>
    </row>
    <row r="514" spans="1:51" customFormat="1" x14ac:dyDescent="0.25">
      <c r="A514" t="s">
        <v>220</v>
      </c>
      <c r="B514" t="s">
        <v>3718</v>
      </c>
      <c r="C514" t="s">
        <v>6090</v>
      </c>
      <c r="D514" t="s">
        <v>4123</v>
      </c>
      <c r="F514" t="s">
        <v>261</v>
      </c>
      <c r="I514" t="s">
        <v>3719</v>
      </c>
      <c r="J514" t="s">
        <v>37</v>
      </c>
      <c r="K514" t="s">
        <v>32</v>
      </c>
      <c r="L514" t="s">
        <v>35</v>
      </c>
      <c r="Q514">
        <v>2</v>
      </c>
      <c r="R514">
        <v>3</v>
      </c>
      <c r="AC514">
        <v>2</v>
      </c>
      <c r="AD514">
        <v>10</v>
      </c>
      <c r="AG514">
        <v>1</v>
      </c>
      <c r="AH514">
        <v>1</v>
      </c>
      <c r="AQ514">
        <v>27</v>
      </c>
      <c r="AR514" s="3">
        <f t="shared" ref="AR514:AR577" si="24">IF(ISTEXT(AM514)=TRUE,"",SUM(U514*10,W514*20,Y514*30,AA514*40,AC514*5,AM514*5))</f>
        <v>10</v>
      </c>
      <c r="AS514" s="3">
        <f t="shared" ref="AS514:AS577" si="25">IF(ISTEXT(AM514)=TRUE,"",SUM(AM514,AO514))</f>
        <v>0</v>
      </c>
      <c r="AT514" s="3" t="str">
        <f>IF(OR(Registered!AM514&gt;0,Registered!AO514&gt;0),(IF(Registered!E514=0,"Size Not Specified",Registered!E514)),"")</f>
        <v/>
      </c>
      <c r="AU514" s="3" t="str">
        <f>IF(Registered!AE514=0,"",IF(Registered!AE514=1,Registered!AE514&amp;" Bandana",Registered!AE514&amp;" Bandanas"))</f>
        <v/>
      </c>
      <c r="AV514" s="3">
        <f t="shared" ref="AV514:AV577" si="26">IF(ISTEXT(AM514)=TRUE,"",SUM(AM514,AK514))</f>
        <v>0</v>
      </c>
      <c r="AW514" s="2" t="str">
        <f>IF(Registered!AV514=0,"",IF(Registered!AV514=1,Registered!AV514&amp;" Meal",Registered!AV514&amp;" Meals"))</f>
        <v/>
      </c>
      <c r="AX514" s="2" t="str">
        <f>IF(Registered!AI514=0,"",Registered!AI514&amp;" BG")</f>
        <v/>
      </c>
      <c r="AY514" s="2" t="str">
        <f>IF(Registered!AG514=0,"",Registered!AG514&amp;" DustMask")</f>
        <v>1 DustMask</v>
      </c>
    </row>
    <row r="515" spans="1:51" customFormat="1" x14ac:dyDescent="0.25">
      <c r="A515" t="s">
        <v>4124</v>
      </c>
      <c r="B515" t="s">
        <v>4125</v>
      </c>
      <c r="C515" t="s">
        <v>6090</v>
      </c>
      <c r="G515" t="s">
        <v>2149</v>
      </c>
      <c r="H515" t="s">
        <v>391</v>
      </c>
      <c r="I515" t="s">
        <v>3864</v>
      </c>
      <c r="J515" t="s">
        <v>37</v>
      </c>
      <c r="K515" t="s">
        <v>32</v>
      </c>
      <c r="L515" t="s">
        <v>35</v>
      </c>
      <c r="AQ515">
        <v>0</v>
      </c>
      <c r="AR515" s="3">
        <f t="shared" si="24"/>
        <v>0</v>
      </c>
      <c r="AS515" s="3">
        <f t="shared" si="25"/>
        <v>0</v>
      </c>
      <c r="AT515" s="3" t="str">
        <f>IF(OR(Registered!AM515&gt;0,Registered!AO515&gt;0),(IF(Registered!E515=0,"Size Not Specified",Registered!E515)),"")</f>
        <v/>
      </c>
      <c r="AU515" s="3" t="str">
        <f>IF(Registered!AE515=0,"",IF(Registered!AE515=1,Registered!AE515&amp;" Bandana",Registered!AE515&amp;" Bandanas"))</f>
        <v/>
      </c>
      <c r="AV515" s="3">
        <f t="shared" si="26"/>
        <v>0</v>
      </c>
      <c r="AW515" s="2" t="str">
        <f>IF(Registered!AV515=0,"",IF(Registered!AV515=1,Registered!AV515&amp;" Meal",Registered!AV515&amp;" Meals"))</f>
        <v/>
      </c>
      <c r="AX515" s="2" t="str">
        <f>IF(Registered!AI515=0,"",Registered!AI515&amp;" BG")</f>
        <v/>
      </c>
      <c r="AY515" s="2" t="str">
        <f>IF(Registered!AG515=0,"",Registered!AG515&amp;" DustMask")</f>
        <v/>
      </c>
    </row>
    <row r="516" spans="1:51" customFormat="1" x14ac:dyDescent="0.25">
      <c r="A516" t="s">
        <v>2860</v>
      </c>
      <c r="B516" t="s">
        <v>2861</v>
      </c>
      <c r="C516" t="s">
        <v>6090</v>
      </c>
      <c r="G516" t="s">
        <v>105</v>
      </c>
      <c r="H516" t="s">
        <v>2862</v>
      </c>
      <c r="I516" t="s">
        <v>2863</v>
      </c>
      <c r="J516" t="s">
        <v>37</v>
      </c>
      <c r="K516" t="s">
        <v>32</v>
      </c>
      <c r="L516" t="s">
        <v>35</v>
      </c>
      <c r="AQ516">
        <v>0</v>
      </c>
      <c r="AR516" s="3">
        <f t="shared" si="24"/>
        <v>0</v>
      </c>
      <c r="AS516" s="3">
        <f t="shared" si="25"/>
        <v>0</v>
      </c>
      <c r="AT516" s="3" t="str">
        <f>IF(OR(Registered!AM516&gt;0,Registered!AO516&gt;0),(IF(Registered!E516=0,"Size Not Specified",Registered!E516)),"")</f>
        <v/>
      </c>
      <c r="AU516" s="3" t="str">
        <f>IF(Registered!AE516=0,"",IF(Registered!AE516=1,Registered!AE516&amp;" Bandana",Registered!AE516&amp;" Bandanas"))</f>
        <v/>
      </c>
      <c r="AV516" s="3">
        <f t="shared" si="26"/>
        <v>0</v>
      </c>
      <c r="AW516" s="2" t="str">
        <f>IF(Registered!AV516=0,"",IF(Registered!AV516=1,Registered!AV516&amp;" Meal",Registered!AV516&amp;" Meals"))</f>
        <v/>
      </c>
      <c r="AX516" s="2" t="str">
        <f>IF(Registered!AI516=0,"",Registered!AI516&amp;" BG")</f>
        <v/>
      </c>
      <c r="AY516" s="2" t="str">
        <f>IF(Registered!AG516=0,"",Registered!AG516&amp;" DustMask")</f>
        <v/>
      </c>
    </row>
    <row r="517" spans="1:51" customFormat="1" x14ac:dyDescent="0.25">
      <c r="A517" t="s">
        <v>4129</v>
      </c>
      <c r="B517" t="s">
        <v>4130</v>
      </c>
      <c r="C517" t="s">
        <v>6090</v>
      </c>
      <c r="D517" t="s">
        <v>4131</v>
      </c>
      <c r="F517" t="s">
        <v>261</v>
      </c>
      <c r="I517" t="s">
        <v>4132</v>
      </c>
      <c r="J517" t="s">
        <v>37</v>
      </c>
      <c r="K517" t="s">
        <v>32</v>
      </c>
      <c r="L517" t="s">
        <v>35</v>
      </c>
      <c r="Q517">
        <v>6</v>
      </c>
      <c r="R517">
        <v>3</v>
      </c>
      <c r="W517">
        <v>1</v>
      </c>
      <c r="X517">
        <v>40</v>
      </c>
      <c r="AQ517">
        <v>58</v>
      </c>
      <c r="AR517" s="3">
        <f t="shared" si="24"/>
        <v>20</v>
      </c>
      <c r="AS517" s="3">
        <f t="shared" si="25"/>
        <v>0</v>
      </c>
      <c r="AT517" s="3" t="str">
        <f>IF(OR(Registered!AM517&gt;0,Registered!AO517&gt;0),(IF(Registered!E517=0,"Size Not Specified",Registered!E517)),"")</f>
        <v/>
      </c>
      <c r="AU517" s="3" t="str">
        <f>IF(Registered!AE517=0,"",IF(Registered!AE517=1,Registered!AE517&amp;" Bandana",Registered!AE517&amp;" Bandanas"))</f>
        <v/>
      </c>
      <c r="AV517" s="3">
        <f t="shared" si="26"/>
        <v>0</v>
      </c>
      <c r="AW517" s="2" t="str">
        <f>IF(Registered!AV517=0,"",IF(Registered!AV517=1,Registered!AV517&amp;" Meal",Registered!AV517&amp;" Meals"))</f>
        <v/>
      </c>
      <c r="AX517" s="2" t="str">
        <f>IF(Registered!AI517=0,"",Registered!AI517&amp;" BG")</f>
        <v/>
      </c>
      <c r="AY517" s="2" t="str">
        <f>IF(Registered!AG517=0,"",Registered!AG517&amp;" DustMask")</f>
        <v/>
      </c>
    </row>
    <row r="518" spans="1:51" customFormat="1" x14ac:dyDescent="0.25">
      <c r="A518" t="s">
        <v>2864</v>
      </c>
      <c r="B518" t="s">
        <v>2865</v>
      </c>
      <c r="C518" t="s">
        <v>6090</v>
      </c>
      <c r="F518" t="s">
        <v>261</v>
      </c>
      <c r="I518" t="s">
        <v>2866</v>
      </c>
      <c r="J518" t="s">
        <v>37</v>
      </c>
      <c r="K518" t="s">
        <v>32</v>
      </c>
      <c r="L518" t="s">
        <v>35</v>
      </c>
      <c r="Q518">
        <v>8</v>
      </c>
      <c r="R518">
        <v>3</v>
      </c>
      <c r="AA518">
        <v>1</v>
      </c>
      <c r="AB518">
        <v>75</v>
      </c>
      <c r="AG518">
        <v>2</v>
      </c>
      <c r="AH518">
        <v>1</v>
      </c>
      <c r="AQ518">
        <v>101</v>
      </c>
      <c r="AR518" s="3">
        <f t="shared" si="24"/>
        <v>40</v>
      </c>
      <c r="AS518" s="3">
        <f t="shared" si="25"/>
        <v>0</v>
      </c>
      <c r="AT518" s="3" t="str">
        <f>IF(OR(Registered!AM518&gt;0,Registered!AO518&gt;0),(IF(Registered!E518=0,"Size Not Specified",Registered!E518)),"")</f>
        <v/>
      </c>
      <c r="AU518" s="3" t="str">
        <f>IF(Registered!AE518=0,"",IF(Registered!AE518=1,Registered!AE518&amp;" Bandana",Registered!AE518&amp;" Bandanas"))</f>
        <v/>
      </c>
      <c r="AV518" s="3">
        <f t="shared" si="26"/>
        <v>0</v>
      </c>
      <c r="AW518" s="2" t="str">
        <f>IF(Registered!AV518=0,"",IF(Registered!AV518=1,Registered!AV518&amp;" Meal",Registered!AV518&amp;" Meals"))</f>
        <v/>
      </c>
      <c r="AX518" s="2" t="str">
        <f>IF(Registered!AI518=0,"",Registered!AI518&amp;" BG")</f>
        <v/>
      </c>
      <c r="AY518" s="2" t="str">
        <f>IF(Registered!AG518=0,"",Registered!AG518&amp;" DustMask")</f>
        <v>2 DustMask</v>
      </c>
    </row>
    <row r="519" spans="1:51" customFormat="1" x14ac:dyDescent="0.25">
      <c r="A519" t="s">
        <v>92</v>
      </c>
      <c r="B519" t="s">
        <v>2865</v>
      </c>
      <c r="C519" t="s">
        <v>6090</v>
      </c>
      <c r="G519" t="s">
        <v>2864</v>
      </c>
      <c r="H519" t="s">
        <v>2865</v>
      </c>
      <c r="I519" t="s">
        <v>2866</v>
      </c>
      <c r="J519" t="s">
        <v>37</v>
      </c>
      <c r="K519" t="s">
        <v>32</v>
      </c>
      <c r="L519" t="s">
        <v>35</v>
      </c>
      <c r="AQ519">
        <v>0</v>
      </c>
      <c r="AR519" s="3">
        <f t="shared" si="24"/>
        <v>0</v>
      </c>
      <c r="AS519" s="3">
        <f t="shared" si="25"/>
        <v>0</v>
      </c>
      <c r="AT519" s="3" t="str">
        <f>IF(OR(Registered!AM519&gt;0,Registered!AO519&gt;0),(IF(Registered!E519=0,"Size Not Specified",Registered!E519)),"")</f>
        <v/>
      </c>
      <c r="AU519" s="3" t="str">
        <f>IF(Registered!AE519=0,"",IF(Registered!AE519=1,Registered!AE519&amp;" Bandana",Registered!AE519&amp;" Bandanas"))</f>
        <v/>
      </c>
      <c r="AV519" s="3">
        <f t="shared" si="26"/>
        <v>0</v>
      </c>
      <c r="AW519" s="2" t="str">
        <f>IF(Registered!AV519=0,"",IF(Registered!AV519=1,Registered!AV519&amp;" Meal",Registered!AV519&amp;" Meals"))</f>
        <v/>
      </c>
      <c r="AX519" s="2" t="str">
        <f>IF(Registered!AI519=0,"",Registered!AI519&amp;" BG")</f>
        <v/>
      </c>
      <c r="AY519" s="2" t="str">
        <f>IF(Registered!AG519=0,"",Registered!AG519&amp;" DustMask")</f>
        <v/>
      </c>
    </row>
    <row r="520" spans="1:51" customFormat="1" x14ac:dyDescent="0.25">
      <c r="A520" t="s">
        <v>2867</v>
      </c>
      <c r="B520" t="s">
        <v>2865</v>
      </c>
      <c r="C520" t="s">
        <v>6090</v>
      </c>
      <c r="G520" t="s">
        <v>2864</v>
      </c>
      <c r="H520" t="s">
        <v>2865</v>
      </c>
      <c r="I520" t="s">
        <v>2866</v>
      </c>
      <c r="J520" t="s">
        <v>37</v>
      </c>
      <c r="K520" t="s">
        <v>32</v>
      </c>
      <c r="L520" t="s">
        <v>35</v>
      </c>
      <c r="AQ520">
        <v>0</v>
      </c>
      <c r="AR520" s="3">
        <f t="shared" si="24"/>
        <v>0</v>
      </c>
      <c r="AS520" s="3">
        <f t="shared" si="25"/>
        <v>0</v>
      </c>
      <c r="AT520" s="3" t="str">
        <f>IF(OR(Registered!AM520&gt;0,Registered!AO520&gt;0),(IF(Registered!E520=0,"Size Not Specified",Registered!E520)),"")</f>
        <v/>
      </c>
      <c r="AU520" s="3" t="str">
        <f>IF(Registered!AE520=0,"",IF(Registered!AE520=1,Registered!AE520&amp;" Bandana",Registered!AE520&amp;" Bandanas"))</f>
        <v/>
      </c>
      <c r="AV520" s="3">
        <f t="shared" si="26"/>
        <v>0</v>
      </c>
      <c r="AW520" s="2" t="str">
        <f>IF(Registered!AV520=0,"",IF(Registered!AV520=1,Registered!AV520&amp;" Meal",Registered!AV520&amp;" Meals"))</f>
        <v/>
      </c>
      <c r="AX520" s="2" t="str">
        <f>IF(Registered!AI520=0,"",Registered!AI520&amp;" BG")</f>
        <v/>
      </c>
      <c r="AY520" s="2" t="str">
        <f>IF(Registered!AG520=0,"",Registered!AG520&amp;" DustMask")</f>
        <v/>
      </c>
    </row>
    <row r="521" spans="1:51" customFormat="1" x14ac:dyDescent="0.25">
      <c r="A521" t="s">
        <v>744</v>
      </c>
      <c r="B521" t="s">
        <v>2865</v>
      </c>
      <c r="C521" t="s">
        <v>6090</v>
      </c>
      <c r="G521" t="s">
        <v>2864</v>
      </c>
      <c r="H521" t="s">
        <v>2865</v>
      </c>
      <c r="I521" t="s">
        <v>2866</v>
      </c>
      <c r="J521" t="s">
        <v>37</v>
      </c>
      <c r="K521" t="s">
        <v>32</v>
      </c>
      <c r="L521" t="s">
        <v>35</v>
      </c>
      <c r="AQ521">
        <v>0</v>
      </c>
      <c r="AR521" s="3">
        <f t="shared" si="24"/>
        <v>0</v>
      </c>
      <c r="AS521" s="3">
        <f t="shared" si="25"/>
        <v>0</v>
      </c>
      <c r="AT521" s="3" t="str">
        <f>IF(OR(Registered!AM521&gt;0,Registered!AO521&gt;0),(IF(Registered!E521=0,"Size Not Specified",Registered!E521)),"")</f>
        <v/>
      </c>
      <c r="AU521" s="3" t="str">
        <f>IF(Registered!AE521=0,"",IF(Registered!AE521=1,Registered!AE521&amp;" Bandana",Registered!AE521&amp;" Bandanas"))</f>
        <v/>
      </c>
      <c r="AV521" s="3">
        <f t="shared" si="26"/>
        <v>0</v>
      </c>
      <c r="AW521" s="2" t="str">
        <f>IF(Registered!AV521=0,"",IF(Registered!AV521=1,Registered!AV521&amp;" Meal",Registered!AV521&amp;" Meals"))</f>
        <v/>
      </c>
      <c r="AX521" s="2" t="str">
        <f>IF(Registered!AI521=0,"",Registered!AI521&amp;" BG")</f>
        <v/>
      </c>
      <c r="AY521" s="2" t="str">
        <f>IF(Registered!AG521=0,"",Registered!AG521&amp;" DustMask")</f>
        <v/>
      </c>
    </row>
    <row r="522" spans="1:51" customFormat="1" x14ac:dyDescent="0.25">
      <c r="A522" t="s">
        <v>274</v>
      </c>
      <c r="B522" t="s">
        <v>1090</v>
      </c>
      <c r="C522" t="s">
        <v>6090</v>
      </c>
      <c r="G522" t="s">
        <v>91</v>
      </c>
      <c r="H522" t="s">
        <v>1091</v>
      </c>
      <c r="I522" t="s">
        <v>1092</v>
      </c>
      <c r="J522" t="s">
        <v>37</v>
      </c>
      <c r="K522" t="s">
        <v>32</v>
      </c>
      <c r="L522" t="s">
        <v>35</v>
      </c>
      <c r="AQ522">
        <v>0</v>
      </c>
      <c r="AR522" s="3">
        <f t="shared" si="24"/>
        <v>0</v>
      </c>
      <c r="AS522" s="3">
        <f t="shared" si="25"/>
        <v>0</v>
      </c>
      <c r="AT522" s="3" t="str">
        <f>IF(OR(Registered!AM522&gt;0,Registered!AO522&gt;0),(IF(Registered!E522=0,"Size Not Specified",Registered!E522)),"")</f>
        <v/>
      </c>
      <c r="AU522" s="3" t="str">
        <f>IF(Registered!AE522=0,"",IF(Registered!AE522=1,Registered!AE522&amp;" Bandana",Registered!AE522&amp;" Bandanas"))</f>
        <v/>
      </c>
      <c r="AV522" s="3">
        <f t="shared" si="26"/>
        <v>0</v>
      </c>
      <c r="AW522" s="2" t="str">
        <f>IF(Registered!AV522=0,"",IF(Registered!AV522=1,Registered!AV522&amp;" Meal",Registered!AV522&amp;" Meals"))</f>
        <v/>
      </c>
      <c r="AX522" s="2" t="str">
        <f>IF(Registered!AI522=0,"",Registered!AI522&amp;" BG")</f>
        <v/>
      </c>
      <c r="AY522" s="2" t="str">
        <f>IF(Registered!AG522=0,"",Registered!AG522&amp;" DustMask")</f>
        <v/>
      </c>
    </row>
    <row r="523" spans="1:51" customFormat="1" x14ac:dyDescent="0.25">
      <c r="A523" t="s">
        <v>94</v>
      </c>
      <c r="B523" t="s">
        <v>1090</v>
      </c>
      <c r="C523" t="s">
        <v>6090</v>
      </c>
      <c r="I523" t="s">
        <v>4133</v>
      </c>
      <c r="J523" t="s">
        <v>37</v>
      </c>
      <c r="K523" t="s">
        <v>32</v>
      </c>
      <c r="L523" t="s">
        <v>35</v>
      </c>
      <c r="Q523">
        <v>1</v>
      </c>
      <c r="R523">
        <v>3</v>
      </c>
      <c r="AQ523">
        <v>3</v>
      </c>
      <c r="AR523" s="3">
        <f t="shared" si="24"/>
        <v>0</v>
      </c>
      <c r="AS523" s="3">
        <f t="shared" si="25"/>
        <v>0</v>
      </c>
      <c r="AT523" s="3" t="str">
        <f>IF(OR(Registered!AM523&gt;0,Registered!AO523&gt;0),(IF(Registered!E523=0,"Size Not Specified",Registered!E523)),"")</f>
        <v/>
      </c>
      <c r="AU523" s="3" t="str">
        <f>IF(Registered!AE523=0,"",IF(Registered!AE523=1,Registered!AE523&amp;" Bandana",Registered!AE523&amp;" Bandanas"))</f>
        <v/>
      </c>
      <c r="AV523" s="3">
        <f t="shared" si="26"/>
        <v>0</v>
      </c>
      <c r="AW523" s="2" t="str">
        <f>IF(Registered!AV523=0,"",IF(Registered!AV523=1,Registered!AV523&amp;" Meal",Registered!AV523&amp;" Meals"))</f>
        <v/>
      </c>
      <c r="AX523" s="2" t="str">
        <f>IF(Registered!AI523=0,"",Registered!AI523&amp;" BG")</f>
        <v/>
      </c>
      <c r="AY523" s="2" t="str">
        <f>IF(Registered!AG523=0,"",Registered!AG523&amp;" DustMask")</f>
        <v/>
      </c>
    </row>
    <row r="524" spans="1:51" customFormat="1" x14ac:dyDescent="0.25">
      <c r="A524" t="s">
        <v>4134</v>
      </c>
      <c r="B524" t="s">
        <v>2869</v>
      </c>
      <c r="C524" t="s">
        <v>6090</v>
      </c>
      <c r="D524" t="s">
        <v>4135</v>
      </c>
      <c r="F524" t="s">
        <v>261</v>
      </c>
      <c r="I524" t="s">
        <v>4136</v>
      </c>
      <c r="J524" t="s">
        <v>37</v>
      </c>
      <c r="K524" t="s">
        <v>32</v>
      </c>
      <c r="L524" t="s">
        <v>35</v>
      </c>
      <c r="Q524">
        <v>1</v>
      </c>
      <c r="R524">
        <v>3</v>
      </c>
      <c r="AC524">
        <v>1</v>
      </c>
      <c r="AD524">
        <v>10</v>
      </c>
      <c r="AQ524">
        <v>13</v>
      </c>
      <c r="AR524" s="3">
        <f t="shared" si="24"/>
        <v>5</v>
      </c>
      <c r="AS524" s="3">
        <f t="shared" si="25"/>
        <v>0</v>
      </c>
      <c r="AT524" s="3" t="str">
        <f>IF(OR(Registered!AM524&gt;0,Registered!AO524&gt;0),(IF(Registered!E524=0,"Size Not Specified",Registered!E524)),"")</f>
        <v/>
      </c>
      <c r="AU524" s="3" t="str">
        <f>IF(Registered!AE524=0,"",IF(Registered!AE524=1,Registered!AE524&amp;" Bandana",Registered!AE524&amp;" Bandanas"))</f>
        <v/>
      </c>
      <c r="AV524" s="3">
        <f t="shared" si="26"/>
        <v>0</v>
      </c>
      <c r="AW524" s="2" t="str">
        <f>IF(Registered!AV524=0,"",IF(Registered!AV524=1,Registered!AV524&amp;" Meal",Registered!AV524&amp;" Meals"))</f>
        <v/>
      </c>
      <c r="AX524" s="2" t="str">
        <f>IF(Registered!AI524=0,"",Registered!AI524&amp;" BG")</f>
        <v/>
      </c>
      <c r="AY524" s="2" t="str">
        <f>IF(Registered!AG524=0,"",Registered!AG524&amp;" DustMask")</f>
        <v/>
      </c>
    </row>
    <row r="525" spans="1:51" customFormat="1" x14ac:dyDescent="0.25">
      <c r="A525" t="s">
        <v>2868</v>
      </c>
      <c r="B525" t="s">
        <v>2869</v>
      </c>
      <c r="C525" t="s">
        <v>6090</v>
      </c>
      <c r="D525" t="s">
        <v>2870</v>
      </c>
      <c r="E525" t="s">
        <v>53</v>
      </c>
      <c r="F525" t="s">
        <v>261</v>
      </c>
      <c r="I525" t="s">
        <v>2871</v>
      </c>
      <c r="J525" t="s">
        <v>37</v>
      </c>
      <c r="K525" t="s">
        <v>32</v>
      </c>
      <c r="L525" t="s">
        <v>35</v>
      </c>
      <c r="Q525">
        <v>1</v>
      </c>
      <c r="R525">
        <v>3</v>
      </c>
      <c r="U525">
        <v>1</v>
      </c>
      <c r="V525">
        <v>20</v>
      </c>
      <c r="AO525">
        <v>1</v>
      </c>
      <c r="AP525">
        <v>10</v>
      </c>
      <c r="AQ525">
        <v>33</v>
      </c>
      <c r="AR525" s="3">
        <f t="shared" si="24"/>
        <v>10</v>
      </c>
      <c r="AS525" s="3">
        <f t="shared" si="25"/>
        <v>1</v>
      </c>
      <c r="AT525" s="3" t="str">
        <f>IF(OR(Registered!AM525&gt;0,Registered!AO525&gt;0),(IF(Registered!E525=0,"Size Not Specified",Registered!E525)),"")</f>
        <v>Small</v>
      </c>
      <c r="AU525" s="3" t="str">
        <f>IF(Registered!AE525=0,"",IF(Registered!AE525=1,Registered!AE525&amp;" Bandana",Registered!AE525&amp;" Bandanas"))</f>
        <v/>
      </c>
      <c r="AV525" s="3">
        <f t="shared" si="26"/>
        <v>0</v>
      </c>
      <c r="AW525" s="2" t="str">
        <f>IF(Registered!AV525=0,"",IF(Registered!AV525=1,Registered!AV525&amp;" Meal",Registered!AV525&amp;" Meals"))</f>
        <v/>
      </c>
      <c r="AX525" s="2" t="str">
        <f>IF(Registered!AI525=0,"",Registered!AI525&amp;" BG")</f>
        <v/>
      </c>
      <c r="AY525" s="2" t="str">
        <f>IF(Registered!AG525=0,"",Registered!AG525&amp;" DustMask")</f>
        <v/>
      </c>
    </row>
    <row r="526" spans="1:51" customFormat="1" x14ac:dyDescent="0.25">
      <c r="A526" t="s">
        <v>281</v>
      </c>
      <c r="B526" t="s">
        <v>4137</v>
      </c>
      <c r="C526" t="s">
        <v>6090</v>
      </c>
      <c r="G526" t="s">
        <v>4033</v>
      </c>
      <c r="H526" t="s">
        <v>223</v>
      </c>
      <c r="I526" t="s">
        <v>4034</v>
      </c>
      <c r="J526" t="s">
        <v>37</v>
      </c>
      <c r="K526" t="s">
        <v>32</v>
      </c>
      <c r="L526" t="s">
        <v>35</v>
      </c>
      <c r="AQ526">
        <v>0</v>
      </c>
      <c r="AR526" s="3">
        <f t="shared" si="24"/>
        <v>0</v>
      </c>
      <c r="AS526" s="3">
        <f t="shared" si="25"/>
        <v>0</v>
      </c>
      <c r="AT526" s="3" t="str">
        <f>IF(OR(Registered!AM526&gt;0,Registered!AO526&gt;0),(IF(Registered!E526=0,"Size Not Specified",Registered!E526)),"")</f>
        <v/>
      </c>
      <c r="AU526" s="3" t="str">
        <f>IF(Registered!AE526=0,"",IF(Registered!AE526=1,Registered!AE526&amp;" Bandana",Registered!AE526&amp;" Bandanas"))</f>
        <v/>
      </c>
      <c r="AV526" s="3">
        <f t="shared" si="26"/>
        <v>0</v>
      </c>
      <c r="AW526" s="2" t="str">
        <f>IF(Registered!AV526=0,"",IF(Registered!AV526=1,Registered!AV526&amp;" Meal",Registered!AV526&amp;" Meals"))</f>
        <v/>
      </c>
      <c r="AX526" s="2" t="str">
        <f>IF(Registered!AI526=0,"",Registered!AI526&amp;" BG")</f>
        <v/>
      </c>
      <c r="AY526" s="2" t="str">
        <f>IF(Registered!AG526=0,"",Registered!AG526&amp;" DustMask")</f>
        <v/>
      </c>
    </row>
    <row r="527" spans="1:51" customFormat="1" x14ac:dyDescent="0.25">
      <c r="A527" t="s">
        <v>1093</v>
      </c>
      <c r="B527" t="s">
        <v>1094</v>
      </c>
      <c r="C527" t="s">
        <v>6090</v>
      </c>
      <c r="G527" t="s">
        <v>170</v>
      </c>
      <c r="H527" t="s">
        <v>1095</v>
      </c>
      <c r="I527" t="s">
        <v>1096</v>
      </c>
      <c r="J527" t="s">
        <v>37</v>
      </c>
      <c r="K527" t="s">
        <v>32</v>
      </c>
      <c r="L527" t="s">
        <v>35</v>
      </c>
      <c r="AQ527">
        <v>0</v>
      </c>
      <c r="AR527" s="3">
        <f t="shared" si="24"/>
        <v>0</v>
      </c>
      <c r="AS527" s="3">
        <f t="shared" si="25"/>
        <v>0</v>
      </c>
      <c r="AT527" s="3" t="str">
        <f>IF(OR(Registered!AM527&gt;0,Registered!AO527&gt;0),(IF(Registered!E527=0,"Size Not Specified",Registered!E527)),"")</f>
        <v/>
      </c>
      <c r="AU527" s="3" t="str">
        <f>IF(Registered!AE527=0,"",IF(Registered!AE527=1,Registered!AE527&amp;" Bandana",Registered!AE527&amp;" Bandanas"))</f>
        <v/>
      </c>
      <c r="AV527" s="3">
        <f t="shared" si="26"/>
        <v>0</v>
      </c>
      <c r="AW527" s="2" t="str">
        <f>IF(Registered!AV527=0,"",IF(Registered!AV527=1,Registered!AV527&amp;" Meal",Registered!AV527&amp;" Meals"))</f>
        <v/>
      </c>
      <c r="AX527" s="2" t="str">
        <f>IF(Registered!AI527=0,"",Registered!AI527&amp;" BG")</f>
        <v/>
      </c>
      <c r="AY527" s="2" t="str">
        <f>IF(Registered!AG527=0,"",Registered!AG527&amp;" DustMask")</f>
        <v/>
      </c>
    </row>
    <row r="528" spans="1:51" customFormat="1" x14ac:dyDescent="0.25">
      <c r="A528" t="s">
        <v>401</v>
      </c>
      <c r="B528" t="s">
        <v>225</v>
      </c>
      <c r="C528" t="s">
        <v>6090</v>
      </c>
      <c r="G528" t="s">
        <v>351</v>
      </c>
      <c r="H528" t="s">
        <v>630</v>
      </c>
      <c r="I528" t="s">
        <v>4138</v>
      </c>
      <c r="J528" t="s">
        <v>37</v>
      </c>
      <c r="K528" t="s">
        <v>32</v>
      </c>
      <c r="L528" t="s">
        <v>35</v>
      </c>
      <c r="AQ528">
        <v>0</v>
      </c>
      <c r="AR528" s="3">
        <f t="shared" si="24"/>
        <v>0</v>
      </c>
      <c r="AS528" s="3">
        <f t="shared" si="25"/>
        <v>0</v>
      </c>
      <c r="AT528" s="3" t="str">
        <f>IF(OR(Registered!AM528&gt;0,Registered!AO528&gt;0),(IF(Registered!E528=0,"Size Not Specified",Registered!E528)),"")</f>
        <v/>
      </c>
      <c r="AU528" s="3" t="str">
        <f>IF(Registered!AE528=0,"",IF(Registered!AE528=1,Registered!AE528&amp;" Bandana",Registered!AE528&amp;" Bandanas"))</f>
        <v/>
      </c>
      <c r="AV528" s="3">
        <f t="shared" si="26"/>
        <v>0</v>
      </c>
      <c r="AW528" s="2" t="str">
        <f>IF(Registered!AV528=0,"",IF(Registered!AV528=1,Registered!AV528&amp;" Meal",Registered!AV528&amp;" Meals"))</f>
        <v/>
      </c>
      <c r="AX528" s="2" t="str">
        <f>IF(Registered!AI528=0,"",Registered!AI528&amp;" BG")</f>
        <v/>
      </c>
      <c r="AY528" s="2" t="str">
        <f>IF(Registered!AG528=0,"",Registered!AG528&amp;" DustMask")</f>
        <v/>
      </c>
    </row>
    <row r="529" spans="1:51" customFormat="1" x14ac:dyDescent="0.25">
      <c r="A529" t="s">
        <v>808</v>
      </c>
      <c r="B529" t="s">
        <v>225</v>
      </c>
      <c r="C529" t="s">
        <v>6090</v>
      </c>
      <c r="G529" t="s">
        <v>150</v>
      </c>
      <c r="H529" t="s">
        <v>1054</v>
      </c>
      <c r="I529" t="s">
        <v>1057</v>
      </c>
      <c r="J529" t="s">
        <v>37</v>
      </c>
      <c r="K529" t="s">
        <v>32</v>
      </c>
      <c r="L529" t="s">
        <v>35</v>
      </c>
      <c r="AQ529">
        <v>0</v>
      </c>
      <c r="AR529" s="3">
        <f t="shared" si="24"/>
        <v>0</v>
      </c>
      <c r="AS529" s="3">
        <f t="shared" si="25"/>
        <v>0</v>
      </c>
      <c r="AT529" s="3" t="str">
        <f>IF(OR(Registered!AM529&gt;0,Registered!AO529&gt;0),(IF(Registered!E529=0,"Size Not Specified",Registered!E529)),"")</f>
        <v/>
      </c>
      <c r="AU529" s="3" t="str">
        <f>IF(Registered!AE529=0,"",IF(Registered!AE529=1,Registered!AE529&amp;" Bandana",Registered!AE529&amp;" Bandanas"))</f>
        <v/>
      </c>
      <c r="AV529" s="3">
        <f t="shared" si="26"/>
        <v>0</v>
      </c>
      <c r="AW529" s="2" t="str">
        <f>IF(Registered!AV529=0,"",IF(Registered!AV529=1,Registered!AV529&amp;" Meal",Registered!AV529&amp;" Meals"))</f>
        <v/>
      </c>
      <c r="AX529" s="2" t="str">
        <f>IF(Registered!AI529=0,"",Registered!AI529&amp;" BG")</f>
        <v/>
      </c>
      <c r="AY529" s="2" t="str">
        <f>IF(Registered!AG529=0,"",Registered!AG529&amp;" DustMask")</f>
        <v/>
      </c>
    </row>
    <row r="530" spans="1:51" customFormat="1" x14ac:dyDescent="0.25">
      <c r="A530" t="s">
        <v>208</v>
      </c>
      <c r="B530" t="s">
        <v>225</v>
      </c>
      <c r="C530" t="s">
        <v>6090</v>
      </c>
      <c r="D530" t="s">
        <v>4142</v>
      </c>
      <c r="F530" t="s">
        <v>261</v>
      </c>
      <c r="I530" t="s">
        <v>4143</v>
      </c>
      <c r="J530" t="s">
        <v>37</v>
      </c>
      <c r="K530" t="s">
        <v>32</v>
      </c>
      <c r="L530" t="s">
        <v>35</v>
      </c>
      <c r="Q530">
        <v>1</v>
      </c>
      <c r="R530">
        <v>3</v>
      </c>
      <c r="AC530">
        <v>1</v>
      </c>
      <c r="AD530">
        <v>10</v>
      </c>
      <c r="AK530">
        <v>1</v>
      </c>
      <c r="AL530">
        <v>6</v>
      </c>
      <c r="AQ530">
        <v>19</v>
      </c>
      <c r="AR530" s="3">
        <f t="shared" si="24"/>
        <v>5</v>
      </c>
      <c r="AS530" s="3">
        <f t="shared" si="25"/>
        <v>0</v>
      </c>
      <c r="AT530" s="3" t="str">
        <f>IF(OR(Registered!AM530&gt;0,Registered!AO530&gt;0),(IF(Registered!E530=0,"Size Not Specified",Registered!E530)),"")</f>
        <v/>
      </c>
      <c r="AU530" s="3" t="str">
        <f>IF(Registered!AE530=0,"",IF(Registered!AE530=1,Registered!AE530&amp;" Bandana",Registered!AE530&amp;" Bandanas"))</f>
        <v/>
      </c>
      <c r="AV530" s="3">
        <f t="shared" si="26"/>
        <v>1</v>
      </c>
      <c r="AW530" s="2" t="str">
        <f>IF(Registered!AV530=0,"",IF(Registered!AV530=1,Registered!AV530&amp;" Meal",Registered!AV530&amp;" Meals"))</f>
        <v>1 Meal</v>
      </c>
      <c r="AX530" s="2" t="str">
        <f>IF(Registered!AI530=0,"",Registered!AI530&amp;" BG")</f>
        <v/>
      </c>
      <c r="AY530" s="2" t="str">
        <f>IF(Registered!AG530=0,"",Registered!AG530&amp;" DustMask")</f>
        <v/>
      </c>
    </row>
    <row r="531" spans="1:51" customFormat="1" x14ac:dyDescent="0.25">
      <c r="A531" t="s">
        <v>158</v>
      </c>
      <c r="B531" t="s">
        <v>4144</v>
      </c>
      <c r="C531" t="s">
        <v>6090</v>
      </c>
      <c r="G531" t="s">
        <v>43</v>
      </c>
      <c r="H531" t="s">
        <v>4145</v>
      </c>
      <c r="I531" t="s">
        <v>4146</v>
      </c>
      <c r="J531" t="s">
        <v>37</v>
      </c>
      <c r="K531" t="s">
        <v>32</v>
      </c>
      <c r="L531" t="s">
        <v>35</v>
      </c>
      <c r="AQ531">
        <v>0</v>
      </c>
      <c r="AR531" s="3">
        <f t="shared" si="24"/>
        <v>0</v>
      </c>
      <c r="AS531" s="3">
        <f t="shared" si="25"/>
        <v>0</v>
      </c>
      <c r="AT531" s="3" t="str">
        <f>IF(OR(Registered!AM531&gt;0,Registered!AO531&gt;0),(IF(Registered!E531=0,"Size Not Specified",Registered!E531)),"")</f>
        <v/>
      </c>
      <c r="AU531" s="3" t="str">
        <f>IF(Registered!AE531=0,"",IF(Registered!AE531=1,Registered!AE531&amp;" Bandana",Registered!AE531&amp;" Bandanas"))</f>
        <v/>
      </c>
      <c r="AV531" s="3">
        <f t="shared" si="26"/>
        <v>0</v>
      </c>
      <c r="AW531" s="2" t="str">
        <f>IF(Registered!AV531=0,"",IF(Registered!AV531=1,Registered!AV531&amp;" Meal",Registered!AV531&amp;" Meals"))</f>
        <v/>
      </c>
      <c r="AX531" s="2" t="str">
        <f>IF(Registered!AI531=0,"",Registered!AI531&amp;" BG")</f>
        <v/>
      </c>
      <c r="AY531" s="2" t="str">
        <f>IF(Registered!AG531=0,"",Registered!AG531&amp;" DustMask")</f>
        <v/>
      </c>
    </row>
    <row r="532" spans="1:51" customFormat="1" x14ac:dyDescent="0.25">
      <c r="A532" t="s">
        <v>305</v>
      </c>
      <c r="B532" t="s">
        <v>1097</v>
      </c>
      <c r="C532" t="s">
        <v>6090</v>
      </c>
      <c r="D532" t="s">
        <v>1098</v>
      </c>
      <c r="F532" t="s">
        <v>261</v>
      </c>
      <c r="I532" t="s">
        <v>1099</v>
      </c>
      <c r="J532" t="s">
        <v>37</v>
      </c>
      <c r="K532" t="s">
        <v>32</v>
      </c>
      <c r="L532" t="s">
        <v>35</v>
      </c>
      <c r="S532">
        <v>1</v>
      </c>
      <c r="T532">
        <v>3</v>
      </c>
      <c r="AC532">
        <v>1</v>
      </c>
      <c r="AD532">
        <v>10</v>
      </c>
      <c r="AQ532">
        <v>13</v>
      </c>
      <c r="AR532" s="3">
        <f t="shared" si="24"/>
        <v>5</v>
      </c>
      <c r="AS532" s="3">
        <f t="shared" si="25"/>
        <v>0</v>
      </c>
      <c r="AT532" s="3" t="str">
        <f>IF(OR(Registered!AM532&gt;0,Registered!AO532&gt;0),(IF(Registered!E532=0,"Size Not Specified",Registered!E532)),"")</f>
        <v/>
      </c>
      <c r="AU532" s="3" t="str">
        <f>IF(Registered!AE532=0,"",IF(Registered!AE532=1,Registered!AE532&amp;" Bandana",Registered!AE532&amp;" Bandanas"))</f>
        <v/>
      </c>
      <c r="AV532" s="3">
        <f t="shared" si="26"/>
        <v>0</v>
      </c>
      <c r="AW532" s="2" t="str">
        <f>IF(Registered!AV532=0,"",IF(Registered!AV532=1,Registered!AV532&amp;" Meal",Registered!AV532&amp;" Meals"))</f>
        <v/>
      </c>
      <c r="AX532" s="2" t="str">
        <f>IF(Registered!AI532=0,"",Registered!AI532&amp;" BG")</f>
        <v/>
      </c>
      <c r="AY532" s="2" t="str">
        <f>IF(Registered!AG532=0,"",Registered!AG532&amp;" DustMask")</f>
        <v/>
      </c>
    </row>
    <row r="533" spans="1:51" customFormat="1" x14ac:dyDescent="0.25">
      <c r="A533" t="s">
        <v>4147</v>
      </c>
      <c r="B533" t="s">
        <v>1101</v>
      </c>
      <c r="C533" t="s">
        <v>6090</v>
      </c>
      <c r="G533" t="s">
        <v>3643</v>
      </c>
      <c r="H533" t="s">
        <v>391</v>
      </c>
      <c r="I533" t="s">
        <v>3644</v>
      </c>
      <c r="J533" t="s">
        <v>37</v>
      </c>
      <c r="K533" t="s">
        <v>32</v>
      </c>
      <c r="L533" t="s">
        <v>35</v>
      </c>
      <c r="AQ533">
        <v>0</v>
      </c>
      <c r="AR533" s="3">
        <f t="shared" si="24"/>
        <v>0</v>
      </c>
      <c r="AS533" s="3">
        <f t="shared" si="25"/>
        <v>0</v>
      </c>
      <c r="AT533" s="3" t="str">
        <f>IF(OR(Registered!AM533&gt;0,Registered!AO533&gt;0),(IF(Registered!E533=0,"Size Not Specified",Registered!E533)),"")</f>
        <v/>
      </c>
      <c r="AU533" s="3" t="str">
        <f>IF(Registered!AE533=0,"",IF(Registered!AE533=1,Registered!AE533&amp;" Bandana",Registered!AE533&amp;" Bandanas"))</f>
        <v/>
      </c>
      <c r="AV533" s="3">
        <f t="shared" si="26"/>
        <v>0</v>
      </c>
      <c r="AW533" s="2" t="str">
        <f>IF(Registered!AV533=0,"",IF(Registered!AV533=1,Registered!AV533&amp;" Meal",Registered!AV533&amp;" Meals"))</f>
        <v/>
      </c>
      <c r="AX533" s="2" t="str">
        <f>IF(Registered!AI533=0,"",Registered!AI533&amp;" BG")</f>
        <v/>
      </c>
      <c r="AY533" s="2" t="str">
        <f>IF(Registered!AG533=0,"",Registered!AG533&amp;" DustMask")</f>
        <v/>
      </c>
    </row>
    <row r="534" spans="1:51" customFormat="1" x14ac:dyDescent="0.25">
      <c r="A534" t="s">
        <v>2108</v>
      </c>
      <c r="B534" t="s">
        <v>4148</v>
      </c>
      <c r="C534" t="s">
        <v>6090</v>
      </c>
      <c r="G534" t="s">
        <v>4149</v>
      </c>
      <c r="H534" t="s">
        <v>365</v>
      </c>
      <c r="I534" t="s">
        <v>4150</v>
      </c>
      <c r="J534" t="s">
        <v>37</v>
      </c>
      <c r="K534" t="s">
        <v>32</v>
      </c>
      <c r="L534" t="s">
        <v>35</v>
      </c>
      <c r="AQ534">
        <v>0</v>
      </c>
      <c r="AR534" s="3">
        <f t="shared" si="24"/>
        <v>0</v>
      </c>
      <c r="AS534" s="3">
        <f t="shared" si="25"/>
        <v>0</v>
      </c>
      <c r="AT534" s="3" t="str">
        <f>IF(OR(Registered!AM534&gt;0,Registered!AO534&gt;0),(IF(Registered!E534=0,"Size Not Specified",Registered!E534)),"")</f>
        <v/>
      </c>
      <c r="AU534" s="3" t="str">
        <f>IF(Registered!AE534=0,"",IF(Registered!AE534=1,Registered!AE534&amp;" Bandana",Registered!AE534&amp;" Bandanas"))</f>
        <v/>
      </c>
      <c r="AV534" s="3">
        <f t="shared" si="26"/>
        <v>0</v>
      </c>
      <c r="AW534" s="2" t="str">
        <f>IF(Registered!AV534=0,"",IF(Registered!AV534=1,Registered!AV534&amp;" Meal",Registered!AV534&amp;" Meals"))</f>
        <v/>
      </c>
      <c r="AX534" s="2" t="str">
        <f>IF(Registered!AI534=0,"",Registered!AI534&amp;" BG")</f>
        <v/>
      </c>
      <c r="AY534" s="2" t="str">
        <f>IF(Registered!AG534=0,"",Registered!AG534&amp;" DustMask")</f>
        <v/>
      </c>
    </row>
    <row r="535" spans="1:51" customFormat="1" x14ac:dyDescent="0.25">
      <c r="A535" t="s">
        <v>381</v>
      </c>
      <c r="B535" t="s">
        <v>4151</v>
      </c>
      <c r="C535" t="s">
        <v>6090</v>
      </c>
      <c r="G535" t="s">
        <v>208</v>
      </c>
      <c r="H535" t="s">
        <v>4152</v>
      </c>
      <c r="I535" t="s">
        <v>4153</v>
      </c>
      <c r="J535" t="s">
        <v>37</v>
      </c>
      <c r="K535" t="s">
        <v>32</v>
      </c>
      <c r="L535" t="s">
        <v>35</v>
      </c>
      <c r="AQ535">
        <v>0</v>
      </c>
      <c r="AR535" s="3">
        <f t="shared" si="24"/>
        <v>0</v>
      </c>
      <c r="AS535" s="3">
        <f t="shared" si="25"/>
        <v>0</v>
      </c>
      <c r="AT535" s="3" t="str">
        <f>IF(OR(Registered!AM535&gt;0,Registered!AO535&gt;0),(IF(Registered!E535=0,"Size Not Specified",Registered!E535)),"")</f>
        <v/>
      </c>
      <c r="AU535" s="3" t="str">
        <f>IF(Registered!AE535=0,"",IF(Registered!AE535=1,Registered!AE535&amp;" Bandana",Registered!AE535&amp;" Bandanas"))</f>
        <v/>
      </c>
      <c r="AV535" s="3">
        <f t="shared" si="26"/>
        <v>0</v>
      </c>
      <c r="AW535" s="2" t="str">
        <f>IF(Registered!AV535=0,"",IF(Registered!AV535=1,Registered!AV535&amp;" Meal",Registered!AV535&amp;" Meals"))</f>
        <v/>
      </c>
      <c r="AX535" s="2" t="str">
        <f>IF(Registered!AI535=0,"",Registered!AI535&amp;" BG")</f>
        <v/>
      </c>
      <c r="AY535" s="2" t="str">
        <f>IF(Registered!AG535=0,"",Registered!AG535&amp;" DustMask")</f>
        <v/>
      </c>
    </row>
    <row r="536" spans="1:51" customFormat="1" x14ac:dyDescent="0.25">
      <c r="A536" t="s">
        <v>359</v>
      </c>
      <c r="B536" t="s">
        <v>2872</v>
      </c>
      <c r="C536" t="s">
        <v>6090</v>
      </c>
      <c r="D536" t="s">
        <v>2873</v>
      </c>
      <c r="F536" t="s">
        <v>261</v>
      </c>
      <c r="I536" t="s">
        <v>2874</v>
      </c>
      <c r="J536" t="s">
        <v>37</v>
      </c>
      <c r="K536" t="s">
        <v>32</v>
      </c>
      <c r="L536" t="s">
        <v>35</v>
      </c>
      <c r="Q536">
        <v>2</v>
      </c>
      <c r="R536">
        <v>3</v>
      </c>
      <c r="U536">
        <v>1</v>
      </c>
      <c r="V536">
        <v>20</v>
      </c>
      <c r="AQ536">
        <v>26</v>
      </c>
      <c r="AR536" s="3">
        <f t="shared" si="24"/>
        <v>10</v>
      </c>
      <c r="AS536" s="3">
        <f t="shared" si="25"/>
        <v>0</v>
      </c>
      <c r="AT536" s="3" t="str">
        <f>IF(OR(Registered!AM536&gt;0,Registered!AO536&gt;0),(IF(Registered!E536=0,"Size Not Specified",Registered!E536)),"")</f>
        <v/>
      </c>
      <c r="AU536" s="3" t="str">
        <f>IF(Registered!AE536=0,"",IF(Registered!AE536=1,Registered!AE536&amp;" Bandana",Registered!AE536&amp;" Bandanas"))</f>
        <v/>
      </c>
      <c r="AV536" s="3">
        <f t="shared" si="26"/>
        <v>0</v>
      </c>
      <c r="AW536" s="2" t="str">
        <f>IF(Registered!AV536=0,"",IF(Registered!AV536=1,Registered!AV536&amp;" Meal",Registered!AV536&amp;" Meals"))</f>
        <v/>
      </c>
      <c r="AX536" s="2" t="str">
        <f>IF(Registered!AI536=0,"",Registered!AI536&amp;" BG")</f>
        <v/>
      </c>
      <c r="AY536" s="2" t="str">
        <f>IF(Registered!AG536=0,"",Registered!AG536&amp;" DustMask")</f>
        <v/>
      </c>
    </row>
    <row r="537" spans="1:51" customFormat="1" x14ac:dyDescent="0.25">
      <c r="A537" t="s">
        <v>2875</v>
      </c>
      <c r="B537" t="s">
        <v>1105</v>
      </c>
      <c r="C537" t="s">
        <v>6090</v>
      </c>
      <c r="G537" t="s">
        <v>502</v>
      </c>
      <c r="H537" t="s">
        <v>1105</v>
      </c>
      <c r="I537" t="s">
        <v>2876</v>
      </c>
      <c r="J537" t="s">
        <v>37</v>
      </c>
      <c r="K537" t="s">
        <v>32</v>
      </c>
      <c r="L537" t="s">
        <v>35</v>
      </c>
      <c r="AQ537">
        <v>0</v>
      </c>
      <c r="AR537" s="3">
        <f t="shared" si="24"/>
        <v>0</v>
      </c>
      <c r="AS537" s="3">
        <f t="shared" si="25"/>
        <v>0</v>
      </c>
      <c r="AT537" s="3" t="str">
        <f>IF(OR(Registered!AM537&gt;0,Registered!AO537&gt;0),(IF(Registered!E537=0,"Size Not Specified",Registered!E537)),"")</f>
        <v/>
      </c>
      <c r="AU537" s="3" t="str">
        <f>IF(Registered!AE537=0,"",IF(Registered!AE537=1,Registered!AE537&amp;" Bandana",Registered!AE537&amp;" Bandanas"))</f>
        <v/>
      </c>
      <c r="AV537" s="3">
        <f t="shared" si="26"/>
        <v>0</v>
      </c>
      <c r="AW537" s="2" t="str">
        <f>IF(Registered!AV537=0,"",IF(Registered!AV537=1,Registered!AV537&amp;" Meal",Registered!AV537&amp;" Meals"))</f>
        <v/>
      </c>
      <c r="AX537" s="2" t="str">
        <f>IF(Registered!AI537=0,"",Registered!AI537&amp;" BG")</f>
        <v/>
      </c>
      <c r="AY537" s="2" t="str">
        <f>IF(Registered!AG537=0,"",Registered!AG537&amp;" DustMask")</f>
        <v/>
      </c>
    </row>
    <row r="538" spans="1:51" customFormat="1" x14ac:dyDescent="0.25">
      <c r="A538" t="s">
        <v>1104</v>
      </c>
      <c r="B538" t="s">
        <v>1105</v>
      </c>
      <c r="C538" t="s">
        <v>6090</v>
      </c>
      <c r="D538" t="s">
        <v>1104</v>
      </c>
      <c r="E538" t="s">
        <v>232</v>
      </c>
      <c r="F538" t="s">
        <v>261</v>
      </c>
      <c r="I538" t="s">
        <v>1106</v>
      </c>
      <c r="J538" t="s">
        <v>37</v>
      </c>
      <c r="K538" t="s">
        <v>32</v>
      </c>
      <c r="L538" t="s">
        <v>35</v>
      </c>
      <c r="S538">
        <v>1</v>
      </c>
      <c r="T538">
        <v>3</v>
      </c>
      <c r="AM538">
        <v>1</v>
      </c>
      <c r="AN538">
        <v>25</v>
      </c>
      <c r="AQ538">
        <v>28</v>
      </c>
      <c r="AR538" s="3">
        <f t="shared" si="24"/>
        <v>5</v>
      </c>
      <c r="AS538" s="3">
        <f t="shared" si="25"/>
        <v>1</v>
      </c>
      <c r="AT538" s="3" t="str">
        <f>IF(OR(Registered!AM538&gt;0,Registered!AO538&gt;0),(IF(Registered!E538=0,"Size Not Specified",Registered!E538)),"")</f>
        <v>M</v>
      </c>
      <c r="AU538" s="3" t="str">
        <f>IF(Registered!AE538=0,"",IF(Registered!AE538=1,Registered!AE538&amp;" Bandana",Registered!AE538&amp;" Bandanas"))</f>
        <v/>
      </c>
      <c r="AV538" s="3">
        <f t="shared" si="26"/>
        <v>1</v>
      </c>
      <c r="AW538" s="2" t="str">
        <f>IF(Registered!AV538=0,"",IF(Registered!AV538=1,Registered!AV538&amp;" Meal",Registered!AV538&amp;" Meals"))</f>
        <v>1 Meal</v>
      </c>
      <c r="AX538" s="2" t="str">
        <f>IF(Registered!AI538=0,"",Registered!AI538&amp;" BG")</f>
        <v/>
      </c>
      <c r="AY538" s="2" t="str">
        <f>IF(Registered!AG538=0,"",Registered!AG538&amp;" DustMask")</f>
        <v/>
      </c>
    </row>
    <row r="539" spans="1:51" customFormat="1" x14ac:dyDescent="0.25">
      <c r="A539" t="s">
        <v>502</v>
      </c>
      <c r="B539" t="s">
        <v>1105</v>
      </c>
      <c r="C539" t="s">
        <v>6090</v>
      </c>
      <c r="D539" t="s">
        <v>2877</v>
      </c>
      <c r="F539" t="s">
        <v>261</v>
      </c>
      <c r="I539" t="s">
        <v>2878</v>
      </c>
      <c r="J539" t="s">
        <v>37</v>
      </c>
      <c r="K539" t="s">
        <v>32</v>
      </c>
      <c r="L539" t="s">
        <v>35</v>
      </c>
      <c r="Q539">
        <v>5</v>
      </c>
      <c r="R539">
        <v>3</v>
      </c>
      <c r="AC539">
        <v>4</v>
      </c>
      <c r="AD539">
        <v>10</v>
      </c>
      <c r="AQ539">
        <v>55</v>
      </c>
      <c r="AR539" s="3">
        <f t="shared" si="24"/>
        <v>20</v>
      </c>
      <c r="AS539" s="3">
        <f t="shared" si="25"/>
        <v>0</v>
      </c>
      <c r="AT539" s="3" t="str">
        <f>IF(OR(Registered!AM539&gt;0,Registered!AO539&gt;0),(IF(Registered!E539=0,"Size Not Specified",Registered!E539)),"")</f>
        <v/>
      </c>
      <c r="AU539" s="3" t="str">
        <f>IF(Registered!AE539=0,"",IF(Registered!AE539=1,Registered!AE539&amp;" Bandana",Registered!AE539&amp;" Bandanas"))</f>
        <v/>
      </c>
      <c r="AV539" s="3">
        <f t="shared" si="26"/>
        <v>0</v>
      </c>
      <c r="AW539" s="2" t="str">
        <f>IF(Registered!AV539=0,"",IF(Registered!AV539=1,Registered!AV539&amp;" Meal",Registered!AV539&amp;" Meals"))</f>
        <v/>
      </c>
      <c r="AX539" s="2" t="str">
        <f>IF(Registered!AI539=0,"",Registered!AI539&amp;" BG")</f>
        <v/>
      </c>
      <c r="AY539" s="2" t="str">
        <f>IF(Registered!AG539=0,"",Registered!AG539&amp;" DustMask")</f>
        <v/>
      </c>
    </row>
    <row r="540" spans="1:51" customFormat="1" x14ac:dyDescent="0.25">
      <c r="A540" t="s">
        <v>125</v>
      </c>
      <c r="B540" t="s">
        <v>1105</v>
      </c>
      <c r="C540" t="s">
        <v>6090</v>
      </c>
      <c r="G540" t="s">
        <v>502</v>
      </c>
      <c r="H540" t="s">
        <v>1105</v>
      </c>
      <c r="I540" t="s">
        <v>2876</v>
      </c>
      <c r="J540" t="s">
        <v>37</v>
      </c>
      <c r="K540" t="s">
        <v>32</v>
      </c>
      <c r="L540" t="s">
        <v>35</v>
      </c>
      <c r="AQ540">
        <v>0</v>
      </c>
      <c r="AR540" s="3">
        <f t="shared" si="24"/>
        <v>0</v>
      </c>
      <c r="AS540" s="3">
        <f t="shared" si="25"/>
        <v>0</v>
      </c>
      <c r="AT540" s="3" t="str">
        <f>IF(OR(Registered!AM540&gt;0,Registered!AO540&gt;0),(IF(Registered!E540=0,"Size Not Specified",Registered!E540)),"")</f>
        <v/>
      </c>
      <c r="AU540" s="3" t="str">
        <f>IF(Registered!AE540=0,"",IF(Registered!AE540=1,Registered!AE540&amp;" Bandana",Registered!AE540&amp;" Bandanas"))</f>
        <v/>
      </c>
      <c r="AV540" s="3">
        <f t="shared" si="26"/>
        <v>0</v>
      </c>
      <c r="AW540" s="2" t="str">
        <f>IF(Registered!AV540=0,"",IF(Registered!AV540=1,Registered!AV540&amp;" Meal",Registered!AV540&amp;" Meals"))</f>
        <v/>
      </c>
      <c r="AX540" s="2" t="str">
        <f>IF(Registered!AI540=0,"",Registered!AI540&amp;" BG")</f>
        <v/>
      </c>
      <c r="AY540" s="2" t="str">
        <f>IF(Registered!AG540=0,"",Registered!AG540&amp;" DustMask")</f>
        <v/>
      </c>
    </row>
    <row r="541" spans="1:51" customFormat="1" x14ac:dyDescent="0.25">
      <c r="A541" t="s">
        <v>2879</v>
      </c>
      <c r="B541" t="s">
        <v>1105</v>
      </c>
      <c r="C541" t="s">
        <v>6090</v>
      </c>
      <c r="G541" t="s">
        <v>502</v>
      </c>
      <c r="H541" t="s">
        <v>1105</v>
      </c>
      <c r="I541" t="s">
        <v>2876</v>
      </c>
      <c r="J541" t="s">
        <v>37</v>
      </c>
      <c r="K541" t="s">
        <v>32</v>
      </c>
      <c r="L541" t="s">
        <v>35</v>
      </c>
      <c r="AQ541">
        <v>0</v>
      </c>
      <c r="AR541" s="3">
        <f t="shared" si="24"/>
        <v>0</v>
      </c>
      <c r="AS541" s="3">
        <f t="shared" si="25"/>
        <v>0</v>
      </c>
      <c r="AT541" s="3" t="str">
        <f>IF(OR(Registered!AM541&gt;0,Registered!AO541&gt;0),(IF(Registered!E541=0,"Size Not Specified",Registered!E541)),"")</f>
        <v/>
      </c>
      <c r="AU541" s="3" t="str">
        <f>IF(Registered!AE541=0,"",IF(Registered!AE541=1,Registered!AE541&amp;" Bandana",Registered!AE541&amp;" Bandanas"))</f>
        <v/>
      </c>
      <c r="AV541" s="3">
        <f t="shared" si="26"/>
        <v>0</v>
      </c>
      <c r="AW541" s="2" t="str">
        <f>IF(Registered!AV541=0,"",IF(Registered!AV541=1,Registered!AV541&amp;" Meal",Registered!AV541&amp;" Meals"))</f>
        <v/>
      </c>
      <c r="AX541" s="2" t="str">
        <f>IF(Registered!AI541=0,"",Registered!AI541&amp;" BG")</f>
        <v/>
      </c>
      <c r="AY541" s="2" t="str">
        <f>IF(Registered!AG541=0,"",Registered!AG541&amp;" DustMask")</f>
        <v/>
      </c>
    </row>
    <row r="542" spans="1:51" customFormat="1" x14ac:dyDescent="0.25">
      <c r="A542" t="s">
        <v>4154</v>
      </c>
      <c r="B542" t="s">
        <v>4155</v>
      </c>
      <c r="C542" t="s">
        <v>6090</v>
      </c>
      <c r="G542" t="s">
        <v>3569</v>
      </c>
      <c r="H542" t="s">
        <v>4156</v>
      </c>
      <c r="I542" t="s">
        <v>4157</v>
      </c>
      <c r="J542" t="s">
        <v>37</v>
      </c>
      <c r="K542" t="s">
        <v>32</v>
      </c>
      <c r="L542" t="s">
        <v>35</v>
      </c>
      <c r="AQ542">
        <v>0</v>
      </c>
      <c r="AR542" s="3">
        <f t="shared" si="24"/>
        <v>0</v>
      </c>
      <c r="AS542" s="3">
        <f t="shared" si="25"/>
        <v>0</v>
      </c>
      <c r="AT542" s="3" t="str">
        <f>IF(OR(Registered!AM542&gt;0,Registered!AO542&gt;0),(IF(Registered!E542=0,"Size Not Specified",Registered!E542)),"")</f>
        <v/>
      </c>
      <c r="AU542" s="3" t="str">
        <f>IF(Registered!AE542=0,"",IF(Registered!AE542=1,Registered!AE542&amp;" Bandana",Registered!AE542&amp;" Bandanas"))</f>
        <v/>
      </c>
      <c r="AV542" s="3">
        <f t="shared" si="26"/>
        <v>0</v>
      </c>
      <c r="AW542" s="2" t="str">
        <f>IF(Registered!AV542=0,"",IF(Registered!AV542=1,Registered!AV542&amp;" Meal",Registered!AV542&amp;" Meals"))</f>
        <v/>
      </c>
      <c r="AX542" s="2" t="str">
        <f>IF(Registered!AI542=0,"",Registered!AI542&amp;" BG")</f>
        <v/>
      </c>
      <c r="AY542" s="2" t="str">
        <f>IF(Registered!AG542=0,"",Registered!AG542&amp;" DustMask")</f>
        <v/>
      </c>
    </row>
    <row r="543" spans="1:51" customFormat="1" x14ac:dyDescent="0.25">
      <c r="A543" t="s">
        <v>4158</v>
      </c>
      <c r="B543" t="s">
        <v>4159</v>
      </c>
      <c r="C543" t="s">
        <v>6090</v>
      </c>
      <c r="G543" t="s">
        <v>4160</v>
      </c>
      <c r="H543" t="s">
        <v>4161</v>
      </c>
      <c r="I543" t="s">
        <v>4162</v>
      </c>
      <c r="J543" t="s">
        <v>37</v>
      </c>
      <c r="K543" t="s">
        <v>32</v>
      </c>
      <c r="L543" t="s">
        <v>35</v>
      </c>
      <c r="AQ543">
        <v>0</v>
      </c>
      <c r="AR543" s="3">
        <f t="shared" si="24"/>
        <v>0</v>
      </c>
      <c r="AS543" s="3">
        <f t="shared" si="25"/>
        <v>0</v>
      </c>
      <c r="AT543" s="3" t="str">
        <f>IF(OR(Registered!AM543&gt;0,Registered!AO543&gt;0),(IF(Registered!E543=0,"Size Not Specified",Registered!E543)),"")</f>
        <v/>
      </c>
      <c r="AU543" s="3" t="str">
        <f>IF(Registered!AE543=0,"",IF(Registered!AE543=1,Registered!AE543&amp;" Bandana",Registered!AE543&amp;" Bandanas"))</f>
        <v/>
      </c>
      <c r="AV543" s="3">
        <f t="shared" si="26"/>
        <v>0</v>
      </c>
      <c r="AW543" s="2" t="str">
        <f>IF(Registered!AV543=0,"",IF(Registered!AV543=1,Registered!AV543&amp;" Meal",Registered!AV543&amp;" Meals"))</f>
        <v/>
      </c>
      <c r="AX543" s="2" t="str">
        <f>IF(Registered!AI543=0,"",Registered!AI543&amp;" BG")</f>
        <v/>
      </c>
      <c r="AY543" s="2" t="str">
        <f>IF(Registered!AG543=0,"",Registered!AG543&amp;" DustMask")</f>
        <v/>
      </c>
    </row>
    <row r="544" spans="1:51" customFormat="1" x14ac:dyDescent="0.25">
      <c r="A544" t="s">
        <v>150</v>
      </c>
      <c r="B544" t="s">
        <v>1108</v>
      </c>
      <c r="C544" t="s">
        <v>6090</v>
      </c>
      <c r="G544" t="s">
        <v>1109</v>
      </c>
      <c r="H544" t="s">
        <v>1108</v>
      </c>
      <c r="I544" t="s">
        <v>1110</v>
      </c>
      <c r="J544" t="s">
        <v>37</v>
      </c>
      <c r="K544" t="s">
        <v>32</v>
      </c>
      <c r="L544" t="s">
        <v>35</v>
      </c>
      <c r="AQ544">
        <v>0</v>
      </c>
      <c r="AR544" s="3">
        <f t="shared" si="24"/>
        <v>0</v>
      </c>
      <c r="AS544" s="3">
        <f t="shared" si="25"/>
        <v>0</v>
      </c>
      <c r="AT544" s="3" t="str">
        <f>IF(OR(Registered!AM544&gt;0,Registered!AO544&gt;0),(IF(Registered!E544=0,"Size Not Specified",Registered!E544)),"")</f>
        <v/>
      </c>
      <c r="AU544" s="3" t="str">
        <f>IF(Registered!AE544=0,"",IF(Registered!AE544=1,Registered!AE544&amp;" Bandana",Registered!AE544&amp;" Bandanas"))</f>
        <v/>
      </c>
      <c r="AV544" s="3">
        <f t="shared" si="26"/>
        <v>0</v>
      </c>
      <c r="AW544" s="2" t="str">
        <f>IF(Registered!AV544=0,"",IF(Registered!AV544=1,Registered!AV544&amp;" Meal",Registered!AV544&amp;" Meals"))</f>
        <v/>
      </c>
      <c r="AX544" s="2" t="str">
        <f>IF(Registered!AI544=0,"",Registered!AI544&amp;" BG")</f>
        <v/>
      </c>
      <c r="AY544" s="2" t="str">
        <f>IF(Registered!AG544=0,"",Registered!AG544&amp;" DustMask")</f>
        <v/>
      </c>
    </row>
    <row r="545" spans="1:51" customFormat="1" x14ac:dyDescent="0.25">
      <c r="A545" t="s">
        <v>1109</v>
      </c>
      <c r="B545" t="s">
        <v>1108</v>
      </c>
      <c r="C545" t="s">
        <v>6090</v>
      </c>
      <c r="F545" t="s">
        <v>261</v>
      </c>
      <c r="I545" t="s">
        <v>1110</v>
      </c>
      <c r="J545" t="s">
        <v>37</v>
      </c>
      <c r="K545" t="s">
        <v>32</v>
      </c>
      <c r="L545" t="s">
        <v>35</v>
      </c>
      <c r="S545">
        <v>2</v>
      </c>
      <c r="T545">
        <v>3</v>
      </c>
      <c r="AQ545">
        <v>6</v>
      </c>
      <c r="AR545" s="3">
        <f t="shared" si="24"/>
        <v>0</v>
      </c>
      <c r="AS545" s="3">
        <f t="shared" si="25"/>
        <v>0</v>
      </c>
      <c r="AT545" s="3" t="str">
        <f>IF(OR(Registered!AM545&gt;0,Registered!AO545&gt;0),(IF(Registered!E545=0,"Size Not Specified",Registered!E545)),"")</f>
        <v/>
      </c>
      <c r="AU545" s="3" t="str">
        <f>IF(Registered!AE545=0,"",IF(Registered!AE545=1,Registered!AE545&amp;" Bandana",Registered!AE545&amp;" Bandanas"))</f>
        <v/>
      </c>
      <c r="AV545" s="3">
        <f t="shared" si="26"/>
        <v>0</v>
      </c>
      <c r="AW545" s="2" t="str">
        <f>IF(Registered!AV545=0,"",IF(Registered!AV545=1,Registered!AV545&amp;" Meal",Registered!AV545&amp;" Meals"))</f>
        <v/>
      </c>
      <c r="AX545" s="2" t="str">
        <f>IF(Registered!AI545=0,"",Registered!AI545&amp;" BG")</f>
        <v/>
      </c>
      <c r="AY545" s="2" t="str">
        <f>IF(Registered!AG545=0,"",Registered!AG545&amp;" DustMask")</f>
        <v/>
      </c>
    </row>
    <row r="546" spans="1:51" customFormat="1" x14ac:dyDescent="0.25">
      <c r="A546" t="s">
        <v>1111</v>
      </c>
      <c r="B546" t="s">
        <v>337</v>
      </c>
      <c r="C546" t="s">
        <v>6090</v>
      </c>
      <c r="G546" t="s">
        <v>1112</v>
      </c>
      <c r="H546" t="s">
        <v>337</v>
      </c>
      <c r="I546" t="s">
        <v>1113</v>
      </c>
      <c r="J546" t="s">
        <v>37</v>
      </c>
      <c r="K546" t="s">
        <v>32</v>
      </c>
      <c r="L546" t="s">
        <v>35</v>
      </c>
      <c r="AQ546">
        <v>0</v>
      </c>
      <c r="AR546" s="3">
        <f t="shared" si="24"/>
        <v>0</v>
      </c>
      <c r="AS546" s="3">
        <f t="shared" si="25"/>
        <v>0</v>
      </c>
      <c r="AT546" s="3" t="str">
        <f>IF(OR(Registered!AM546&gt;0,Registered!AO546&gt;0),(IF(Registered!E546=0,"Size Not Specified",Registered!E546)),"")</f>
        <v/>
      </c>
      <c r="AU546" s="3" t="str">
        <f>IF(Registered!AE546=0,"",IF(Registered!AE546=1,Registered!AE546&amp;" Bandana",Registered!AE546&amp;" Bandanas"))</f>
        <v/>
      </c>
      <c r="AV546" s="3">
        <f t="shared" si="26"/>
        <v>0</v>
      </c>
      <c r="AW546" s="2" t="str">
        <f>IF(Registered!AV546=0,"",IF(Registered!AV546=1,Registered!AV546&amp;" Meal",Registered!AV546&amp;" Meals"))</f>
        <v/>
      </c>
      <c r="AX546" s="2" t="str">
        <f>IF(Registered!AI546=0,"",Registered!AI546&amp;" BG")</f>
        <v/>
      </c>
      <c r="AY546" s="2" t="str">
        <f>IF(Registered!AG546=0,"",Registered!AG546&amp;" DustMask")</f>
        <v/>
      </c>
    </row>
    <row r="547" spans="1:51" customFormat="1" x14ac:dyDescent="0.25">
      <c r="A547" t="s">
        <v>727</v>
      </c>
      <c r="B547" t="s">
        <v>337</v>
      </c>
      <c r="C547" t="s">
        <v>6090</v>
      </c>
      <c r="D547" t="s">
        <v>2880</v>
      </c>
      <c r="F547" t="s">
        <v>261</v>
      </c>
      <c r="I547" t="s">
        <v>2881</v>
      </c>
      <c r="J547" t="s">
        <v>37</v>
      </c>
      <c r="K547" t="s">
        <v>32</v>
      </c>
      <c r="L547" t="s">
        <v>35</v>
      </c>
      <c r="Q547">
        <v>2</v>
      </c>
      <c r="R547">
        <v>3</v>
      </c>
      <c r="W547">
        <v>1</v>
      </c>
      <c r="X547">
        <v>40</v>
      </c>
      <c r="AQ547">
        <v>46</v>
      </c>
      <c r="AR547" s="3">
        <f t="shared" si="24"/>
        <v>20</v>
      </c>
      <c r="AS547" s="3">
        <f t="shared" si="25"/>
        <v>0</v>
      </c>
      <c r="AT547" s="3" t="str">
        <f>IF(OR(Registered!AM547&gt;0,Registered!AO547&gt;0),(IF(Registered!E547=0,"Size Not Specified",Registered!E547)),"")</f>
        <v/>
      </c>
      <c r="AU547" s="3" t="str">
        <f>IF(Registered!AE547=0,"",IF(Registered!AE547=1,Registered!AE547&amp;" Bandana",Registered!AE547&amp;" Bandanas"))</f>
        <v/>
      </c>
      <c r="AV547" s="3">
        <f t="shared" si="26"/>
        <v>0</v>
      </c>
      <c r="AW547" s="2" t="str">
        <f>IF(Registered!AV547=0,"",IF(Registered!AV547=1,Registered!AV547&amp;" Meal",Registered!AV547&amp;" Meals"))</f>
        <v/>
      </c>
      <c r="AX547" s="2" t="str">
        <f>IF(Registered!AI547=0,"",Registered!AI547&amp;" BG")</f>
        <v/>
      </c>
      <c r="AY547" s="2" t="str">
        <f>IF(Registered!AG547=0,"",Registered!AG547&amp;" DustMask")</f>
        <v/>
      </c>
    </row>
    <row r="548" spans="1:51" customFormat="1" x14ac:dyDescent="0.25">
      <c r="A548" t="s">
        <v>38</v>
      </c>
      <c r="B548" t="s">
        <v>337</v>
      </c>
      <c r="C548" t="s">
        <v>6090</v>
      </c>
      <c r="F548" t="s">
        <v>261</v>
      </c>
      <c r="I548" t="s">
        <v>4163</v>
      </c>
      <c r="J548" t="s">
        <v>37</v>
      </c>
      <c r="K548" t="s">
        <v>32</v>
      </c>
      <c r="L548" t="s">
        <v>35</v>
      </c>
      <c r="Q548">
        <v>1</v>
      </c>
      <c r="R548">
        <v>3</v>
      </c>
      <c r="AQ548">
        <v>3</v>
      </c>
      <c r="AR548" s="3">
        <f t="shared" si="24"/>
        <v>0</v>
      </c>
      <c r="AS548" s="3">
        <f t="shared" si="25"/>
        <v>0</v>
      </c>
      <c r="AT548" s="3" t="str">
        <f>IF(OR(Registered!AM548&gt;0,Registered!AO548&gt;0),(IF(Registered!E548=0,"Size Not Specified",Registered!E548)),"")</f>
        <v/>
      </c>
      <c r="AU548" s="3" t="str">
        <f>IF(Registered!AE548=0,"",IF(Registered!AE548=1,Registered!AE548&amp;" Bandana",Registered!AE548&amp;" Bandanas"))</f>
        <v/>
      </c>
      <c r="AV548" s="3">
        <f t="shared" si="26"/>
        <v>0</v>
      </c>
      <c r="AW548" s="2" t="str">
        <f>IF(Registered!AV548=0,"",IF(Registered!AV548=1,Registered!AV548&amp;" Meal",Registered!AV548&amp;" Meals"))</f>
        <v/>
      </c>
      <c r="AX548" s="2" t="str">
        <f>IF(Registered!AI548=0,"",Registered!AI548&amp;" BG")</f>
        <v/>
      </c>
      <c r="AY548" s="2" t="str">
        <f>IF(Registered!AG548=0,"",Registered!AG548&amp;" DustMask")</f>
        <v/>
      </c>
    </row>
    <row r="549" spans="1:51" customFormat="1" x14ac:dyDescent="0.25">
      <c r="A549" t="s">
        <v>50</v>
      </c>
      <c r="B549" t="s">
        <v>337</v>
      </c>
      <c r="C549" t="s">
        <v>6090</v>
      </c>
      <c r="G549" t="s">
        <v>1577</v>
      </c>
      <c r="H549" t="s">
        <v>337</v>
      </c>
      <c r="I549" t="s">
        <v>4164</v>
      </c>
      <c r="J549" t="s">
        <v>37</v>
      </c>
      <c r="K549" t="s">
        <v>32</v>
      </c>
      <c r="L549" t="s">
        <v>35</v>
      </c>
      <c r="AQ549">
        <v>0</v>
      </c>
      <c r="AR549" s="3">
        <f t="shared" si="24"/>
        <v>0</v>
      </c>
      <c r="AS549" s="3">
        <f t="shared" si="25"/>
        <v>0</v>
      </c>
      <c r="AT549" s="3" t="str">
        <f>IF(OR(Registered!AM549&gt;0,Registered!AO549&gt;0),(IF(Registered!E549=0,"Size Not Specified",Registered!E549)),"")</f>
        <v/>
      </c>
      <c r="AU549" s="3" t="str">
        <f>IF(Registered!AE549=0,"",IF(Registered!AE549=1,Registered!AE549&amp;" Bandana",Registered!AE549&amp;" Bandanas"))</f>
        <v/>
      </c>
      <c r="AV549" s="3">
        <f t="shared" si="26"/>
        <v>0</v>
      </c>
      <c r="AW549" s="2" t="str">
        <f>IF(Registered!AV549=0,"",IF(Registered!AV549=1,Registered!AV549&amp;" Meal",Registered!AV549&amp;" Meals"))</f>
        <v/>
      </c>
      <c r="AX549" s="2" t="str">
        <f>IF(Registered!AI549=0,"",Registered!AI549&amp;" BG")</f>
        <v/>
      </c>
      <c r="AY549" s="2" t="str">
        <f>IF(Registered!AG549=0,"",Registered!AG549&amp;" DustMask")</f>
        <v/>
      </c>
    </row>
    <row r="550" spans="1:51" customFormat="1" x14ac:dyDescent="0.25">
      <c r="A550" t="s">
        <v>341</v>
      </c>
      <c r="B550" t="s">
        <v>337</v>
      </c>
      <c r="C550" t="s">
        <v>6090</v>
      </c>
      <c r="G550" t="s">
        <v>181</v>
      </c>
      <c r="H550" t="s">
        <v>337</v>
      </c>
      <c r="I550" t="s">
        <v>1115</v>
      </c>
      <c r="J550" t="s">
        <v>37</v>
      </c>
      <c r="K550" t="s">
        <v>32</v>
      </c>
      <c r="L550" t="s">
        <v>35</v>
      </c>
      <c r="AQ550">
        <v>0</v>
      </c>
      <c r="AR550" s="3">
        <f t="shared" si="24"/>
        <v>0</v>
      </c>
      <c r="AS550" s="3">
        <f t="shared" si="25"/>
        <v>0</v>
      </c>
      <c r="AT550" s="3" t="str">
        <f>IF(OR(Registered!AM550&gt;0,Registered!AO550&gt;0),(IF(Registered!E550=0,"Size Not Specified",Registered!E550)),"")</f>
        <v/>
      </c>
      <c r="AU550" s="3" t="str">
        <f>IF(Registered!AE550=0,"",IF(Registered!AE550=1,Registered!AE550&amp;" Bandana",Registered!AE550&amp;" Bandanas"))</f>
        <v/>
      </c>
      <c r="AV550" s="3">
        <f t="shared" si="26"/>
        <v>0</v>
      </c>
      <c r="AW550" s="2" t="str">
        <f>IF(Registered!AV550=0,"",IF(Registered!AV550=1,Registered!AV550&amp;" Meal",Registered!AV550&amp;" Meals"))</f>
        <v/>
      </c>
      <c r="AX550" s="2" t="str">
        <f>IF(Registered!AI550=0,"",Registered!AI550&amp;" BG")</f>
        <v/>
      </c>
      <c r="AY550" s="2" t="str">
        <f>IF(Registered!AG550=0,"",Registered!AG550&amp;" DustMask")</f>
        <v/>
      </c>
    </row>
    <row r="551" spans="1:51" customFormat="1" x14ac:dyDescent="0.25">
      <c r="A551" t="s">
        <v>1577</v>
      </c>
      <c r="B551" t="s">
        <v>337</v>
      </c>
      <c r="C551" t="s">
        <v>6090</v>
      </c>
      <c r="D551" t="s">
        <v>4165</v>
      </c>
      <c r="F551" t="s">
        <v>261</v>
      </c>
      <c r="I551" t="s">
        <v>4166</v>
      </c>
      <c r="J551" t="s">
        <v>37</v>
      </c>
      <c r="K551" t="s">
        <v>32</v>
      </c>
      <c r="L551" t="s">
        <v>35</v>
      </c>
      <c r="Q551">
        <v>5</v>
      </c>
      <c r="R551">
        <v>3</v>
      </c>
      <c r="U551">
        <v>1</v>
      </c>
      <c r="V551">
        <v>20</v>
      </c>
      <c r="AQ551">
        <v>35</v>
      </c>
      <c r="AR551" s="3">
        <f t="shared" si="24"/>
        <v>10</v>
      </c>
      <c r="AS551" s="3">
        <f t="shared" si="25"/>
        <v>0</v>
      </c>
      <c r="AT551" s="3" t="str">
        <f>IF(OR(Registered!AM551&gt;0,Registered!AO551&gt;0),(IF(Registered!E551=0,"Size Not Specified",Registered!E551)),"")</f>
        <v/>
      </c>
      <c r="AU551" s="3" t="str">
        <f>IF(Registered!AE551=0,"",IF(Registered!AE551=1,Registered!AE551&amp;" Bandana",Registered!AE551&amp;" Bandanas"))</f>
        <v/>
      </c>
      <c r="AV551" s="3">
        <f t="shared" si="26"/>
        <v>0</v>
      </c>
      <c r="AW551" s="2" t="str">
        <f>IF(Registered!AV551=0,"",IF(Registered!AV551=1,Registered!AV551&amp;" Meal",Registered!AV551&amp;" Meals"))</f>
        <v/>
      </c>
      <c r="AX551" s="2" t="str">
        <f>IF(Registered!AI551=0,"",Registered!AI551&amp;" BG")</f>
        <v/>
      </c>
      <c r="AY551" s="2" t="str">
        <f>IF(Registered!AG551=0,"",Registered!AG551&amp;" DustMask")</f>
        <v/>
      </c>
    </row>
    <row r="552" spans="1:51" customFormat="1" x14ac:dyDescent="0.25">
      <c r="A552" t="s">
        <v>173</v>
      </c>
      <c r="B552" t="s">
        <v>337</v>
      </c>
      <c r="C552" t="s">
        <v>6090</v>
      </c>
      <c r="G552" t="s">
        <v>56</v>
      </c>
      <c r="H552" t="s">
        <v>101</v>
      </c>
      <c r="I552" t="s">
        <v>613</v>
      </c>
      <c r="J552" t="s">
        <v>37</v>
      </c>
      <c r="K552" t="s">
        <v>32</v>
      </c>
      <c r="L552" t="s">
        <v>35</v>
      </c>
      <c r="AQ552">
        <v>0</v>
      </c>
      <c r="AR552" s="3">
        <f t="shared" si="24"/>
        <v>0</v>
      </c>
      <c r="AS552" s="3">
        <f t="shared" si="25"/>
        <v>0</v>
      </c>
      <c r="AT552" s="3" t="str">
        <f>IF(OR(Registered!AM552&gt;0,Registered!AO552&gt;0),(IF(Registered!E552=0,"Size Not Specified",Registered!E552)),"")</f>
        <v/>
      </c>
      <c r="AU552" s="3" t="str">
        <f>IF(Registered!AE552=0,"",IF(Registered!AE552=1,Registered!AE552&amp;" Bandana",Registered!AE552&amp;" Bandanas"))</f>
        <v/>
      </c>
      <c r="AV552" s="3">
        <f t="shared" si="26"/>
        <v>0</v>
      </c>
      <c r="AW552" s="2" t="str">
        <f>IF(Registered!AV552=0,"",IF(Registered!AV552=1,Registered!AV552&amp;" Meal",Registered!AV552&amp;" Meals"))</f>
        <v/>
      </c>
      <c r="AX552" s="2" t="str">
        <f>IF(Registered!AI552=0,"",Registered!AI552&amp;" BG")</f>
        <v/>
      </c>
      <c r="AY552" s="2" t="str">
        <f>IF(Registered!AG552=0,"",Registered!AG552&amp;" DustMask")</f>
        <v/>
      </c>
    </row>
    <row r="553" spans="1:51" customFormat="1" x14ac:dyDescent="0.25">
      <c r="A553" t="s">
        <v>181</v>
      </c>
      <c r="B553" t="s">
        <v>337</v>
      </c>
      <c r="C553" t="s">
        <v>6090</v>
      </c>
      <c r="D553" t="s">
        <v>1116</v>
      </c>
      <c r="F553" t="s">
        <v>261</v>
      </c>
      <c r="I553" t="s">
        <v>1115</v>
      </c>
      <c r="J553" t="s">
        <v>37</v>
      </c>
      <c r="K553" t="s">
        <v>32</v>
      </c>
      <c r="L553" t="s">
        <v>35</v>
      </c>
      <c r="S553">
        <v>4</v>
      </c>
      <c r="T553">
        <v>3</v>
      </c>
      <c r="AC553">
        <v>2</v>
      </c>
      <c r="AD553">
        <v>10</v>
      </c>
      <c r="AE553">
        <v>2</v>
      </c>
      <c r="AF553">
        <v>6</v>
      </c>
      <c r="AQ553">
        <v>44</v>
      </c>
      <c r="AR553" s="3">
        <f t="shared" si="24"/>
        <v>10</v>
      </c>
      <c r="AS553" s="3">
        <f t="shared" si="25"/>
        <v>0</v>
      </c>
      <c r="AT553" s="3" t="str">
        <f>IF(OR(Registered!AM553&gt;0,Registered!AO553&gt;0),(IF(Registered!E553=0,"Size Not Specified",Registered!E553)),"")</f>
        <v/>
      </c>
      <c r="AU553" s="3" t="str">
        <f>IF(Registered!AE553=0,"",IF(Registered!AE553=1,Registered!AE553&amp;" Bandana",Registered!AE553&amp;" Bandanas"))</f>
        <v>2 Bandanas</v>
      </c>
      <c r="AV553" s="3">
        <f t="shared" si="26"/>
        <v>0</v>
      </c>
      <c r="AW553" s="2" t="str">
        <f>IF(Registered!AV553=0,"",IF(Registered!AV553=1,Registered!AV553&amp;" Meal",Registered!AV553&amp;" Meals"))</f>
        <v/>
      </c>
      <c r="AX553" s="2" t="str">
        <f>IF(Registered!AI553=0,"",Registered!AI553&amp;" BG")</f>
        <v/>
      </c>
      <c r="AY553" s="2" t="str">
        <f>IF(Registered!AG553=0,"",Registered!AG553&amp;" DustMask")</f>
        <v/>
      </c>
    </row>
    <row r="554" spans="1:51" customFormat="1" x14ac:dyDescent="0.25">
      <c r="A554" t="s">
        <v>3111</v>
      </c>
      <c r="B554" t="s">
        <v>337</v>
      </c>
      <c r="C554" t="s">
        <v>6090</v>
      </c>
      <c r="G554" t="s">
        <v>3792</v>
      </c>
      <c r="H554" t="s">
        <v>4167</v>
      </c>
      <c r="I554" t="s">
        <v>4168</v>
      </c>
      <c r="J554" t="s">
        <v>37</v>
      </c>
      <c r="K554" t="s">
        <v>32</v>
      </c>
      <c r="L554" t="s">
        <v>35</v>
      </c>
      <c r="AQ554">
        <v>0</v>
      </c>
      <c r="AR554" s="3">
        <f t="shared" si="24"/>
        <v>0</v>
      </c>
      <c r="AS554" s="3">
        <f t="shared" si="25"/>
        <v>0</v>
      </c>
      <c r="AT554" s="3" t="str">
        <f>IF(OR(Registered!AM554&gt;0,Registered!AO554&gt;0),(IF(Registered!E554=0,"Size Not Specified",Registered!E554)),"")</f>
        <v/>
      </c>
      <c r="AU554" s="3" t="str">
        <f>IF(Registered!AE554=0,"",IF(Registered!AE554=1,Registered!AE554&amp;" Bandana",Registered!AE554&amp;" Bandanas"))</f>
        <v/>
      </c>
      <c r="AV554" s="3">
        <f t="shared" si="26"/>
        <v>0</v>
      </c>
      <c r="AW554" s="2" t="str">
        <f>IF(Registered!AV554=0,"",IF(Registered!AV554=1,Registered!AV554&amp;" Meal",Registered!AV554&amp;" Meals"))</f>
        <v/>
      </c>
      <c r="AX554" s="2" t="str">
        <f>IF(Registered!AI554=0,"",Registered!AI554&amp;" BG")</f>
        <v/>
      </c>
      <c r="AY554" s="2" t="str">
        <f>IF(Registered!AG554=0,"",Registered!AG554&amp;" DustMask")</f>
        <v/>
      </c>
    </row>
    <row r="555" spans="1:51" customFormat="1" x14ac:dyDescent="0.25">
      <c r="A555" t="s">
        <v>2882</v>
      </c>
      <c r="B555" t="s">
        <v>337</v>
      </c>
      <c r="C555" t="s">
        <v>6090</v>
      </c>
      <c r="D555" t="s">
        <v>2883</v>
      </c>
      <c r="E555" t="s">
        <v>76</v>
      </c>
      <c r="F555" t="s">
        <v>261</v>
      </c>
      <c r="I555" t="s">
        <v>2884</v>
      </c>
      <c r="J555" t="s">
        <v>37</v>
      </c>
      <c r="K555" t="s">
        <v>32</v>
      </c>
      <c r="L555" t="s">
        <v>35</v>
      </c>
      <c r="Q555">
        <v>1</v>
      </c>
      <c r="R555">
        <v>3</v>
      </c>
      <c r="AE555">
        <v>1</v>
      </c>
      <c r="AF555">
        <v>6</v>
      </c>
      <c r="AM555">
        <v>1</v>
      </c>
      <c r="AN555">
        <v>25</v>
      </c>
      <c r="AQ555">
        <v>34</v>
      </c>
      <c r="AR555" s="3">
        <f t="shared" si="24"/>
        <v>5</v>
      </c>
      <c r="AS555" s="3">
        <f t="shared" si="25"/>
        <v>1</v>
      </c>
      <c r="AT555" s="3" t="str">
        <f>IF(OR(Registered!AM555&gt;0,Registered!AO555&gt;0),(IF(Registered!E555=0,"Size Not Specified",Registered!E555)),"")</f>
        <v>L</v>
      </c>
      <c r="AU555" s="3" t="str">
        <f>IF(Registered!AE555=0,"",IF(Registered!AE555=1,Registered!AE555&amp;" Bandana",Registered!AE555&amp;" Bandanas"))</f>
        <v>1 Bandana</v>
      </c>
      <c r="AV555" s="3">
        <f t="shared" si="26"/>
        <v>1</v>
      </c>
      <c r="AW555" s="2" t="str">
        <f>IF(Registered!AV555=0,"",IF(Registered!AV555=1,Registered!AV555&amp;" Meal",Registered!AV555&amp;" Meals"))</f>
        <v>1 Meal</v>
      </c>
      <c r="AX555" s="2" t="str">
        <f>IF(Registered!AI555=0,"",Registered!AI555&amp;" BG")</f>
        <v/>
      </c>
      <c r="AY555" s="2" t="str">
        <f>IF(Registered!AG555=0,"",Registered!AG555&amp;" DustMask")</f>
        <v/>
      </c>
    </row>
    <row r="556" spans="1:51" customFormat="1" x14ac:dyDescent="0.25">
      <c r="A556" t="s">
        <v>1112</v>
      </c>
      <c r="B556" t="s">
        <v>337</v>
      </c>
      <c r="C556" t="s">
        <v>6090</v>
      </c>
      <c r="D556" t="s">
        <v>1117</v>
      </c>
      <c r="F556" t="s">
        <v>261</v>
      </c>
      <c r="I556" t="s">
        <v>1113</v>
      </c>
      <c r="J556" t="s">
        <v>37</v>
      </c>
      <c r="K556" t="s">
        <v>32</v>
      </c>
      <c r="L556" t="s">
        <v>35</v>
      </c>
      <c r="Q556">
        <v>2</v>
      </c>
      <c r="R556">
        <v>3</v>
      </c>
      <c r="AC556">
        <v>2</v>
      </c>
      <c r="AD556">
        <v>10</v>
      </c>
      <c r="AK556">
        <v>2</v>
      </c>
      <c r="AL556">
        <v>6</v>
      </c>
      <c r="AQ556">
        <v>38</v>
      </c>
      <c r="AR556" s="3">
        <f t="shared" si="24"/>
        <v>10</v>
      </c>
      <c r="AS556" s="3">
        <f t="shared" si="25"/>
        <v>0</v>
      </c>
      <c r="AT556" s="3" t="str">
        <f>IF(OR(Registered!AM556&gt;0,Registered!AO556&gt;0),(IF(Registered!E556=0,"Size Not Specified",Registered!E556)),"")</f>
        <v/>
      </c>
      <c r="AU556" s="3" t="str">
        <f>IF(Registered!AE556=0,"",IF(Registered!AE556=1,Registered!AE556&amp;" Bandana",Registered!AE556&amp;" Bandanas"))</f>
        <v/>
      </c>
      <c r="AV556" s="3">
        <f t="shared" si="26"/>
        <v>2</v>
      </c>
      <c r="AW556" s="2" t="str">
        <f>IF(Registered!AV556=0,"",IF(Registered!AV556=1,Registered!AV556&amp;" Meal",Registered!AV556&amp;" Meals"))</f>
        <v>2 Meals</v>
      </c>
      <c r="AX556" s="2" t="str">
        <f>IF(Registered!AI556=0,"",Registered!AI556&amp;" BG")</f>
        <v/>
      </c>
      <c r="AY556" s="2" t="str">
        <f>IF(Registered!AG556=0,"",Registered!AG556&amp;" DustMask")</f>
        <v/>
      </c>
    </row>
    <row r="557" spans="1:51" customFormat="1" x14ac:dyDescent="0.25">
      <c r="A557" t="s">
        <v>4169</v>
      </c>
      <c r="B557" t="s">
        <v>337</v>
      </c>
      <c r="C557" t="s">
        <v>6090</v>
      </c>
      <c r="G557" t="s">
        <v>3674</v>
      </c>
      <c r="H557" t="s">
        <v>4170</v>
      </c>
      <c r="I557" t="s">
        <v>4171</v>
      </c>
      <c r="J557" t="s">
        <v>37</v>
      </c>
      <c r="K557" t="s">
        <v>32</v>
      </c>
      <c r="L557" t="s">
        <v>35</v>
      </c>
      <c r="AQ557">
        <v>0</v>
      </c>
      <c r="AR557" s="3">
        <f t="shared" si="24"/>
        <v>0</v>
      </c>
      <c r="AS557" s="3">
        <f t="shared" si="25"/>
        <v>0</v>
      </c>
      <c r="AT557" s="3" t="str">
        <f>IF(OR(Registered!AM557&gt;0,Registered!AO557&gt;0),(IF(Registered!E557=0,"Size Not Specified",Registered!E557)),"")</f>
        <v/>
      </c>
      <c r="AU557" s="3" t="str">
        <f>IF(Registered!AE557=0,"",IF(Registered!AE557=1,Registered!AE557&amp;" Bandana",Registered!AE557&amp;" Bandanas"))</f>
        <v/>
      </c>
      <c r="AV557" s="3">
        <f t="shared" si="26"/>
        <v>0</v>
      </c>
      <c r="AW557" s="2" t="str">
        <f>IF(Registered!AV557=0,"",IF(Registered!AV557=1,Registered!AV557&amp;" Meal",Registered!AV557&amp;" Meals"))</f>
        <v/>
      </c>
      <c r="AX557" s="2" t="str">
        <f>IF(Registered!AI557=0,"",Registered!AI557&amp;" BG")</f>
        <v/>
      </c>
      <c r="AY557" s="2" t="str">
        <f>IF(Registered!AG557=0,"",Registered!AG557&amp;" DustMask")</f>
        <v/>
      </c>
    </row>
    <row r="558" spans="1:51" customFormat="1" x14ac:dyDescent="0.25">
      <c r="A558" t="s">
        <v>140</v>
      </c>
      <c r="B558" t="s">
        <v>777</v>
      </c>
      <c r="C558" t="s">
        <v>6090</v>
      </c>
      <c r="G558" t="s">
        <v>776</v>
      </c>
      <c r="H558" t="s">
        <v>777</v>
      </c>
      <c r="I558" t="s">
        <v>2743</v>
      </c>
      <c r="J558" t="s">
        <v>37</v>
      </c>
      <c r="K558" t="s">
        <v>32</v>
      </c>
      <c r="L558" t="s">
        <v>35</v>
      </c>
      <c r="AQ558">
        <v>0</v>
      </c>
      <c r="AR558" s="3">
        <f t="shared" si="24"/>
        <v>0</v>
      </c>
      <c r="AS558" s="3">
        <f t="shared" si="25"/>
        <v>0</v>
      </c>
      <c r="AT558" s="3" t="str">
        <f>IF(OR(Registered!AM558&gt;0,Registered!AO558&gt;0),(IF(Registered!E558=0,"Size Not Specified",Registered!E558)),"")</f>
        <v/>
      </c>
      <c r="AU558" s="3" t="str">
        <f>IF(Registered!AE558=0,"",IF(Registered!AE558=1,Registered!AE558&amp;" Bandana",Registered!AE558&amp;" Bandanas"))</f>
        <v/>
      </c>
      <c r="AV558" s="3">
        <f t="shared" si="26"/>
        <v>0</v>
      </c>
      <c r="AW558" s="2" t="str">
        <f>IF(Registered!AV558=0,"",IF(Registered!AV558=1,Registered!AV558&amp;" Meal",Registered!AV558&amp;" Meals"))</f>
        <v/>
      </c>
      <c r="AX558" s="2" t="str">
        <f>IF(Registered!AI558=0,"",Registered!AI558&amp;" BG")</f>
        <v/>
      </c>
      <c r="AY558" s="2" t="str">
        <f>IF(Registered!AG558=0,"",Registered!AG558&amp;" DustMask")</f>
        <v/>
      </c>
    </row>
    <row r="559" spans="1:51" customFormat="1" x14ac:dyDescent="0.25">
      <c r="A559" t="s">
        <v>776</v>
      </c>
      <c r="B559" t="s">
        <v>777</v>
      </c>
      <c r="C559" t="s">
        <v>6090</v>
      </c>
      <c r="D559" t="s">
        <v>2885</v>
      </c>
      <c r="E559" t="s">
        <v>2886</v>
      </c>
      <c r="F559" t="s">
        <v>261</v>
      </c>
      <c r="I559" t="s">
        <v>2743</v>
      </c>
      <c r="J559" t="s">
        <v>37</v>
      </c>
      <c r="K559" t="s">
        <v>32</v>
      </c>
      <c r="L559" t="s">
        <v>35</v>
      </c>
      <c r="Q559">
        <v>3</v>
      </c>
      <c r="R559">
        <v>3</v>
      </c>
      <c r="U559">
        <v>1</v>
      </c>
      <c r="V559">
        <v>20</v>
      </c>
      <c r="AM559">
        <v>3</v>
      </c>
      <c r="AN559">
        <v>25</v>
      </c>
      <c r="AQ559">
        <v>104</v>
      </c>
      <c r="AR559" s="3">
        <f t="shared" si="24"/>
        <v>25</v>
      </c>
      <c r="AS559" s="3">
        <f t="shared" si="25"/>
        <v>3</v>
      </c>
      <c r="AT559" s="3" t="str">
        <f>IF(OR(Registered!AM559&gt;0,Registered!AO559&gt;0),(IF(Registered!E559=0,"Size Not Specified",Registered!E559)),"")</f>
        <v>two mediums, one large.</v>
      </c>
      <c r="AU559" s="3" t="str">
        <f>IF(Registered!AE559=0,"",IF(Registered!AE559=1,Registered!AE559&amp;" Bandana",Registered!AE559&amp;" Bandanas"))</f>
        <v/>
      </c>
      <c r="AV559" s="3">
        <f t="shared" si="26"/>
        <v>3</v>
      </c>
      <c r="AW559" s="2" t="str">
        <f>IF(Registered!AV559=0,"",IF(Registered!AV559=1,Registered!AV559&amp;" Meal",Registered!AV559&amp;" Meals"))</f>
        <v>3 Meals</v>
      </c>
      <c r="AX559" s="2" t="str">
        <f>IF(Registered!AI559=0,"",Registered!AI559&amp;" BG")</f>
        <v/>
      </c>
      <c r="AY559" s="2" t="str">
        <f>IF(Registered!AG559=0,"",Registered!AG559&amp;" DustMask")</f>
        <v/>
      </c>
    </row>
    <row r="560" spans="1:51" customFormat="1" x14ac:dyDescent="0.25">
      <c r="A560" t="s">
        <v>1118</v>
      </c>
      <c r="B560" t="s">
        <v>1119</v>
      </c>
      <c r="C560" t="s">
        <v>6090</v>
      </c>
      <c r="D560" t="s">
        <v>1120</v>
      </c>
      <c r="F560" t="s">
        <v>261</v>
      </c>
      <c r="I560" t="s">
        <v>1121</v>
      </c>
      <c r="J560" t="s">
        <v>37</v>
      </c>
      <c r="K560" t="s">
        <v>32</v>
      </c>
      <c r="L560" t="s">
        <v>35</v>
      </c>
      <c r="S560">
        <v>4</v>
      </c>
      <c r="T560">
        <v>3</v>
      </c>
      <c r="AC560">
        <v>1</v>
      </c>
      <c r="AD560">
        <v>10</v>
      </c>
      <c r="AQ560">
        <v>22</v>
      </c>
      <c r="AR560" s="3">
        <f t="shared" si="24"/>
        <v>5</v>
      </c>
      <c r="AS560" s="3">
        <f t="shared" si="25"/>
        <v>0</v>
      </c>
      <c r="AT560" s="3" t="str">
        <f>IF(OR(Registered!AM560&gt;0,Registered!AO560&gt;0),(IF(Registered!E560=0,"Size Not Specified",Registered!E560)),"")</f>
        <v/>
      </c>
      <c r="AU560" s="3" t="str">
        <f>IF(Registered!AE560=0,"",IF(Registered!AE560=1,Registered!AE560&amp;" Bandana",Registered!AE560&amp;" Bandanas"))</f>
        <v/>
      </c>
      <c r="AV560" s="3">
        <f t="shared" si="26"/>
        <v>0</v>
      </c>
      <c r="AW560" s="2" t="str">
        <f>IF(Registered!AV560=0,"",IF(Registered!AV560=1,Registered!AV560&amp;" Meal",Registered!AV560&amp;" Meals"))</f>
        <v/>
      </c>
      <c r="AX560" s="2" t="str">
        <f>IF(Registered!AI560=0,"",Registered!AI560&amp;" BG")</f>
        <v/>
      </c>
      <c r="AY560" s="2" t="str">
        <f>IF(Registered!AG560=0,"",Registered!AG560&amp;" DustMask")</f>
        <v/>
      </c>
    </row>
    <row r="561" spans="1:51" customFormat="1" x14ac:dyDescent="0.25">
      <c r="A561" t="s">
        <v>4172</v>
      </c>
      <c r="B561" t="s">
        <v>1119</v>
      </c>
      <c r="C561" t="s">
        <v>6090</v>
      </c>
      <c r="G561" t="s">
        <v>4173</v>
      </c>
      <c r="H561" t="s">
        <v>4174</v>
      </c>
      <c r="I561" t="s">
        <v>4175</v>
      </c>
      <c r="J561" t="s">
        <v>37</v>
      </c>
      <c r="K561" t="s">
        <v>32</v>
      </c>
      <c r="L561" t="s">
        <v>35</v>
      </c>
      <c r="AQ561">
        <v>0</v>
      </c>
      <c r="AR561" s="3">
        <f t="shared" si="24"/>
        <v>0</v>
      </c>
      <c r="AS561" s="3">
        <f t="shared" si="25"/>
        <v>0</v>
      </c>
      <c r="AT561" s="3" t="str">
        <f>IF(OR(Registered!AM561&gt;0,Registered!AO561&gt;0),(IF(Registered!E561=0,"Size Not Specified",Registered!E561)),"")</f>
        <v/>
      </c>
      <c r="AU561" s="3" t="str">
        <f>IF(Registered!AE561=0,"",IF(Registered!AE561=1,Registered!AE561&amp;" Bandana",Registered!AE561&amp;" Bandanas"))</f>
        <v/>
      </c>
      <c r="AV561" s="3">
        <f t="shared" si="26"/>
        <v>0</v>
      </c>
      <c r="AW561" s="2" t="str">
        <f>IF(Registered!AV561=0,"",IF(Registered!AV561=1,Registered!AV561&amp;" Meal",Registered!AV561&amp;" Meals"))</f>
        <v/>
      </c>
      <c r="AX561" s="2" t="str">
        <f>IF(Registered!AI561=0,"",Registered!AI561&amp;" BG")</f>
        <v/>
      </c>
      <c r="AY561" s="2" t="str">
        <f>IF(Registered!AG561=0,"",Registered!AG561&amp;" DustMask")</f>
        <v/>
      </c>
    </row>
    <row r="562" spans="1:51" customFormat="1" x14ac:dyDescent="0.25">
      <c r="A562" t="s">
        <v>66</v>
      </c>
      <c r="B562" t="s">
        <v>1119</v>
      </c>
      <c r="C562" t="s">
        <v>6090</v>
      </c>
      <c r="D562" t="s">
        <v>70</v>
      </c>
      <c r="F562" t="s">
        <v>261</v>
      </c>
      <c r="I562" t="s">
        <v>4176</v>
      </c>
      <c r="J562" t="s">
        <v>37</v>
      </c>
      <c r="K562" t="s">
        <v>32</v>
      </c>
      <c r="L562" t="s">
        <v>35</v>
      </c>
      <c r="Q562">
        <v>1</v>
      </c>
      <c r="R562">
        <v>3</v>
      </c>
      <c r="AC562">
        <v>1</v>
      </c>
      <c r="AD562">
        <v>10</v>
      </c>
      <c r="AQ562">
        <v>13</v>
      </c>
      <c r="AR562" s="3">
        <f t="shared" si="24"/>
        <v>5</v>
      </c>
      <c r="AS562" s="3">
        <f t="shared" si="25"/>
        <v>0</v>
      </c>
      <c r="AT562" s="3" t="str">
        <f>IF(OR(Registered!AM562&gt;0,Registered!AO562&gt;0),(IF(Registered!E562=0,"Size Not Specified",Registered!E562)),"")</f>
        <v/>
      </c>
      <c r="AU562" s="3" t="str">
        <f>IF(Registered!AE562=0,"",IF(Registered!AE562=1,Registered!AE562&amp;" Bandana",Registered!AE562&amp;" Bandanas"))</f>
        <v/>
      </c>
      <c r="AV562" s="3">
        <f t="shared" si="26"/>
        <v>0</v>
      </c>
      <c r="AW562" s="2" t="str">
        <f>IF(Registered!AV562=0,"",IF(Registered!AV562=1,Registered!AV562&amp;" Meal",Registered!AV562&amp;" Meals"))</f>
        <v/>
      </c>
      <c r="AX562" s="2" t="str">
        <f>IF(Registered!AI562=0,"",Registered!AI562&amp;" BG")</f>
        <v/>
      </c>
      <c r="AY562" s="2" t="str">
        <f>IF(Registered!AG562=0,"",Registered!AG562&amp;" DustMask")</f>
        <v/>
      </c>
    </row>
    <row r="563" spans="1:51" customFormat="1" x14ac:dyDescent="0.25">
      <c r="A563" t="s">
        <v>56</v>
      </c>
      <c r="B563" t="s">
        <v>1014</v>
      </c>
      <c r="C563" t="s">
        <v>6090</v>
      </c>
      <c r="D563" t="s">
        <v>1122</v>
      </c>
      <c r="F563" t="s">
        <v>261</v>
      </c>
      <c r="I563" t="s">
        <v>1015</v>
      </c>
      <c r="J563" t="s">
        <v>37</v>
      </c>
      <c r="K563" t="s">
        <v>32</v>
      </c>
      <c r="L563" t="s">
        <v>35</v>
      </c>
      <c r="S563">
        <v>4</v>
      </c>
      <c r="T563">
        <v>3</v>
      </c>
      <c r="AA563">
        <v>1</v>
      </c>
      <c r="AB563">
        <v>75</v>
      </c>
      <c r="AQ563">
        <v>87</v>
      </c>
      <c r="AR563" s="3">
        <f t="shared" si="24"/>
        <v>40</v>
      </c>
      <c r="AS563" s="3">
        <f t="shared" si="25"/>
        <v>0</v>
      </c>
      <c r="AT563" s="3" t="str">
        <f>IF(OR(Registered!AM563&gt;0,Registered!AO563&gt;0),(IF(Registered!E563=0,"Size Not Specified",Registered!E563)),"")</f>
        <v/>
      </c>
      <c r="AU563" s="3" t="str">
        <f>IF(Registered!AE563=0,"",IF(Registered!AE563=1,Registered!AE563&amp;" Bandana",Registered!AE563&amp;" Bandanas"))</f>
        <v/>
      </c>
      <c r="AV563" s="3">
        <f t="shared" si="26"/>
        <v>0</v>
      </c>
      <c r="AW563" s="2" t="str">
        <f>IF(Registered!AV563=0,"",IF(Registered!AV563=1,Registered!AV563&amp;" Meal",Registered!AV563&amp;" Meals"))</f>
        <v/>
      </c>
      <c r="AX563" s="2" t="str">
        <f>IF(Registered!AI563=0,"",Registered!AI563&amp;" BG")</f>
        <v/>
      </c>
      <c r="AY563" s="2" t="str">
        <f>IF(Registered!AG563=0,"",Registered!AG563&amp;" DustMask")</f>
        <v/>
      </c>
    </row>
    <row r="564" spans="1:51" customFormat="1" x14ac:dyDescent="0.25">
      <c r="A564" t="s">
        <v>563</v>
      </c>
      <c r="B564" t="s">
        <v>4177</v>
      </c>
      <c r="C564" t="s">
        <v>6090</v>
      </c>
      <c r="D564" t="s">
        <v>4178</v>
      </c>
      <c r="F564" t="s">
        <v>261</v>
      </c>
      <c r="I564" t="s">
        <v>4179</v>
      </c>
      <c r="J564" t="s">
        <v>37</v>
      </c>
      <c r="K564" t="s">
        <v>32</v>
      </c>
      <c r="L564" t="s">
        <v>35</v>
      </c>
      <c r="Q564">
        <v>4</v>
      </c>
      <c r="R564">
        <v>3</v>
      </c>
      <c r="U564">
        <v>1</v>
      </c>
      <c r="V564">
        <v>20</v>
      </c>
      <c r="AC564">
        <v>1</v>
      </c>
      <c r="AD564">
        <v>10</v>
      </c>
      <c r="AQ564">
        <v>42</v>
      </c>
      <c r="AR564" s="3">
        <f t="shared" si="24"/>
        <v>15</v>
      </c>
      <c r="AS564" s="3">
        <f t="shared" si="25"/>
        <v>0</v>
      </c>
      <c r="AT564" s="3" t="str">
        <f>IF(OR(Registered!AM564&gt;0,Registered!AO564&gt;0),(IF(Registered!E564=0,"Size Not Specified",Registered!E564)),"")</f>
        <v/>
      </c>
      <c r="AU564" s="3" t="str">
        <f>IF(Registered!AE564=0,"",IF(Registered!AE564=1,Registered!AE564&amp;" Bandana",Registered!AE564&amp;" Bandanas"))</f>
        <v/>
      </c>
      <c r="AV564" s="3">
        <f t="shared" si="26"/>
        <v>0</v>
      </c>
      <c r="AW564" s="2" t="str">
        <f>IF(Registered!AV564=0,"",IF(Registered!AV564=1,Registered!AV564&amp;" Meal",Registered!AV564&amp;" Meals"))</f>
        <v/>
      </c>
      <c r="AX564" s="2" t="str">
        <f>IF(Registered!AI564=0,"",Registered!AI564&amp;" BG")</f>
        <v/>
      </c>
      <c r="AY564" s="2" t="str">
        <f>IF(Registered!AG564=0,"",Registered!AG564&amp;" DustMask")</f>
        <v/>
      </c>
    </row>
    <row r="565" spans="1:51" customFormat="1" x14ac:dyDescent="0.25">
      <c r="A565" t="s">
        <v>229</v>
      </c>
      <c r="B565" t="s">
        <v>4180</v>
      </c>
      <c r="C565" t="s">
        <v>6090</v>
      </c>
      <c r="D565" t="s">
        <v>4181</v>
      </c>
      <c r="F565" t="s">
        <v>261</v>
      </c>
      <c r="I565" t="s">
        <v>4183</v>
      </c>
      <c r="J565" t="s">
        <v>37</v>
      </c>
      <c r="K565" t="s">
        <v>32</v>
      </c>
      <c r="L565" t="s">
        <v>35</v>
      </c>
      <c r="Q565">
        <v>3</v>
      </c>
      <c r="R565">
        <v>3</v>
      </c>
      <c r="AC565">
        <v>1</v>
      </c>
      <c r="AD565">
        <v>10</v>
      </c>
      <c r="AK565">
        <v>3</v>
      </c>
      <c r="AL565">
        <v>6</v>
      </c>
      <c r="AQ565">
        <v>37</v>
      </c>
      <c r="AR565" s="3">
        <f t="shared" si="24"/>
        <v>5</v>
      </c>
      <c r="AS565" s="3">
        <f t="shared" si="25"/>
        <v>0</v>
      </c>
      <c r="AT565" s="3" t="str">
        <f>IF(OR(Registered!AM565&gt;0,Registered!AO565&gt;0),(IF(Registered!E565=0,"Size Not Specified",Registered!E565)),"")</f>
        <v/>
      </c>
      <c r="AU565" s="3" t="str">
        <f>IF(Registered!AE565=0,"",IF(Registered!AE565=1,Registered!AE565&amp;" Bandana",Registered!AE565&amp;" Bandanas"))</f>
        <v/>
      </c>
      <c r="AV565" s="3">
        <f t="shared" si="26"/>
        <v>3</v>
      </c>
      <c r="AW565" s="2" t="str">
        <f>IF(Registered!AV565=0,"",IF(Registered!AV565=1,Registered!AV565&amp;" Meal",Registered!AV565&amp;" Meals"))</f>
        <v>3 Meals</v>
      </c>
      <c r="AX565" s="2" t="str">
        <f>IF(Registered!AI565=0,"",Registered!AI565&amp;" BG")</f>
        <v/>
      </c>
      <c r="AY565" s="2" t="str">
        <f>IF(Registered!AG565=0,"",Registered!AG565&amp;" DustMask")</f>
        <v/>
      </c>
    </row>
    <row r="566" spans="1:51" customFormat="1" x14ac:dyDescent="0.25">
      <c r="A566" t="s">
        <v>93</v>
      </c>
      <c r="B566" t="s">
        <v>4180</v>
      </c>
      <c r="C566" t="s">
        <v>6090</v>
      </c>
      <c r="G566" t="s">
        <v>229</v>
      </c>
      <c r="H566" t="s">
        <v>4180</v>
      </c>
      <c r="I566" t="s">
        <v>4183</v>
      </c>
      <c r="J566" t="s">
        <v>37</v>
      </c>
      <c r="K566" t="s">
        <v>32</v>
      </c>
      <c r="L566" t="s">
        <v>35</v>
      </c>
      <c r="AQ566">
        <v>0</v>
      </c>
      <c r="AR566" s="3">
        <f t="shared" si="24"/>
        <v>0</v>
      </c>
      <c r="AS566" s="3">
        <f t="shared" si="25"/>
        <v>0</v>
      </c>
      <c r="AT566" s="3" t="str">
        <f>IF(OR(Registered!AM566&gt;0,Registered!AO566&gt;0),(IF(Registered!E566=0,"Size Not Specified",Registered!E566)),"")</f>
        <v/>
      </c>
      <c r="AU566" s="3" t="str">
        <f>IF(Registered!AE566=0,"",IF(Registered!AE566=1,Registered!AE566&amp;" Bandana",Registered!AE566&amp;" Bandanas"))</f>
        <v/>
      </c>
      <c r="AV566" s="3">
        <f t="shared" si="26"/>
        <v>0</v>
      </c>
      <c r="AW566" s="2" t="str">
        <f>IF(Registered!AV566=0,"",IF(Registered!AV566=1,Registered!AV566&amp;" Meal",Registered!AV566&amp;" Meals"))</f>
        <v/>
      </c>
      <c r="AX566" s="2" t="str">
        <f>IF(Registered!AI566=0,"",Registered!AI566&amp;" BG")</f>
        <v/>
      </c>
      <c r="AY566" s="2" t="str">
        <f>IF(Registered!AG566=0,"",Registered!AG566&amp;" DustMask")</f>
        <v/>
      </c>
    </row>
    <row r="567" spans="1:51" customFormat="1" x14ac:dyDescent="0.25">
      <c r="A567" t="s">
        <v>248</v>
      </c>
      <c r="B567" t="s">
        <v>2867</v>
      </c>
      <c r="C567" t="s">
        <v>6090</v>
      </c>
      <c r="D567" t="s">
        <v>2887</v>
      </c>
      <c r="F567" t="s">
        <v>261</v>
      </c>
      <c r="I567" t="s">
        <v>2888</v>
      </c>
      <c r="J567" t="s">
        <v>37</v>
      </c>
      <c r="K567" t="s">
        <v>32</v>
      </c>
      <c r="L567" t="s">
        <v>35</v>
      </c>
      <c r="Q567">
        <v>2</v>
      </c>
      <c r="R567">
        <v>3</v>
      </c>
      <c r="AC567">
        <v>6</v>
      </c>
      <c r="AD567">
        <v>10</v>
      </c>
      <c r="AQ567">
        <v>66</v>
      </c>
      <c r="AR567" s="3">
        <f t="shared" si="24"/>
        <v>30</v>
      </c>
      <c r="AS567" s="3">
        <f t="shared" si="25"/>
        <v>0</v>
      </c>
      <c r="AT567" s="3" t="str">
        <f>IF(OR(Registered!AM567&gt;0,Registered!AO567&gt;0),(IF(Registered!E567=0,"Size Not Specified",Registered!E567)),"")</f>
        <v/>
      </c>
      <c r="AU567" s="3" t="str">
        <f>IF(Registered!AE567=0,"",IF(Registered!AE567=1,Registered!AE567&amp;" Bandana",Registered!AE567&amp;" Bandanas"))</f>
        <v/>
      </c>
      <c r="AV567" s="3">
        <f t="shared" si="26"/>
        <v>0</v>
      </c>
      <c r="AW567" s="2" t="str">
        <f>IF(Registered!AV567=0,"",IF(Registered!AV567=1,Registered!AV567&amp;" Meal",Registered!AV567&amp;" Meals"))</f>
        <v/>
      </c>
      <c r="AX567" s="2" t="str">
        <f>IF(Registered!AI567=0,"",Registered!AI567&amp;" BG")</f>
        <v/>
      </c>
      <c r="AY567" s="2" t="str">
        <f>IF(Registered!AG567=0,"",Registered!AG567&amp;" DustMask")</f>
        <v/>
      </c>
    </row>
    <row r="568" spans="1:51" customFormat="1" x14ac:dyDescent="0.25">
      <c r="A568" t="s">
        <v>494</v>
      </c>
      <c r="B568" t="s">
        <v>2889</v>
      </c>
      <c r="C568" t="s">
        <v>6090</v>
      </c>
      <c r="G568" t="s">
        <v>2890</v>
      </c>
      <c r="H568" t="s">
        <v>2891</v>
      </c>
      <c r="I568" t="s">
        <v>2892</v>
      </c>
      <c r="J568" t="s">
        <v>37</v>
      </c>
      <c r="K568" t="s">
        <v>32</v>
      </c>
      <c r="L568" t="s">
        <v>35</v>
      </c>
      <c r="AQ568">
        <v>0</v>
      </c>
      <c r="AR568" s="3">
        <f t="shared" si="24"/>
        <v>0</v>
      </c>
      <c r="AS568" s="3">
        <f t="shared" si="25"/>
        <v>0</v>
      </c>
      <c r="AT568" s="3" t="str">
        <f>IF(OR(Registered!AM568&gt;0,Registered!AO568&gt;0),(IF(Registered!E568=0,"Size Not Specified",Registered!E568)),"")</f>
        <v/>
      </c>
      <c r="AU568" s="3" t="str">
        <f>IF(Registered!AE568=0,"",IF(Registered!AE568=1,Registered!AE568&amp;" Bandana",Registered!AE568&amp;" Bandanas"))</f>
        <v/>
      </c>
      <c r="AV568" s="3">
        <f t="shared" si="26"/>
        <v>0</v>
      </c>
      <c r="AW568" s="2" t="str">
        <f>IF(Registered!AV568=0,"",IF(Registered!AV568=1,Registered!AV568&amp;" Meal",Registered!AV568&amp;" Meals"))</f>
        <v/>
      </c>
      <c r="AX568" s="2" t="str">
        <f>IF(Registered!AI568=0,"",Registered!AI568&amp;" BG")</f>
        <v/>
      </c>
      <c r="AY568" s="2" t="str">
        <f>IF(Registered!AG568=0,"",Registered!AG568&amp;" DustMask")</f>
        <v/>
      </c>
    </row>
    <row r="569" spans="1:51" customFormat="1" x14ac:dyDescent="0.25">
      <c r="A569" t="s">
        <v>3532</v>
      </c>
      <c r="B569" t="s">
        <v>4186</v>
      </c>
      <c r="C569" t="s">
        <v>6090</v>
      </c>
      <c r="D569" t="s">
        <v>57</v>
      </c>
      <c r="E569" t="s">
        <v>4187</v>
      </c>
      <c r="F569" t="s">
        <v>261</v>
      </c>
      <c r="I569" t="s">
        <v>4188</v>
      </c>
      <c r="J569" t="s">
        <v>37</v>
      </c>
      <c r="K569" t="s">
        <v>32</v>
      </c>
      <c r="L569" t="s">
        <v>35</v>
      </c>
      <c r="Q569">
        <v>1</v>
      </c>
      <c r="R569">
        <v>3</v>
      </c>
      <c r="AC569">
        <v>1</v>
      </c>
      <c r="AD569">
        <v>10</v>
      </c>
      <c r="AQ569">
        <v>13</v>
      </c>
      <c r="AR569" s="3">
        <f t="shared" si="24"/>
        <v>5</v>
      </c>
      <c r="AS569" s="3">
        <f t="shared" si="25"/>
        <v>0</v>
      </c>
      <c r="AT569" s="3" t="str">
        <f>IF(OR(Registered!AM569&gt;0,Registered!AO569&gt;0),(IF(Registered!E569=0,"Size Not Specified",Registered!E569)),"")</f>
        <v/>
      </c>
      <c r="AU569" s="3" t="str">
        <f>IF(Registered!AE569=0,"",IF(Registered!AE569=1,Registered!AE569&amp;" Bandana",Registered!AE569&amp;" Bandanas"))</f>
        <v/>
      </c>
      <c r="AV569" s="3">
        <f t="shared" si="26"/>
        <v>0</v>
      </c>
      <c r="AW569" s="2" t="str">
        <f>IF(Registered!AV569=0,"",IF(Registered!AV569=1,Registered!AV569&amp;" Meal",Registered!AV569&amp;" Meals"))</f>
        <v/>
      </c>
      <c r="AX569" s="2" t="str">
        <f>IF(Registered!AI569=0,"",Registered!AI569&amp;" BG")</f>
        <v/>
      </c>
      <c r="AY569" s="2" t="str">
        <f>IF(Registered!AG569=0,"",Registered!AG569&amp;" DustMask")</f>
        <v/>
      </c>
    </row>
    <row r="570" spans="1:51" customFormat="1" x14ac:dyDescent="0.25">
      <c r="A570" t="s">
        <v>263</v>
      </c>
      <c r="B570" t="s">
        <v>4189</v>
      </c>
      <c r="C570" t="s">
        <v>6090</v>
      </c>
      <c r="G570" t="s">
        <v>220</v>
      </c>
      <c r="H570" t="s">
        <v>4190</v>
      </c>
      <c r="I570" t="s">
        <v>4191</v>
      </c>
      <c r="J570" t="s">
        <v>37</v>
      </c>
      <c r="K570" t="s">
        <v>32</v>
      </c>
      <c r="L570" t="s">
        <v>35</v>
      </c>
      <c r="AQ570">
        <v>0</v>
      </c>
      <c r="AR570" s="3">
        <f t="shared" si="24"/>
        <v>0</v>
      </c>
      <c r="AS570" s="3">
        <f t="shared" si="25"/>
        <v>0</v>
      </c>
      <c r="AT570" s="3" t="str">
        <f>IF(OR(Registered!AM570&gt;0,Registered!AO570&gt;0),(IF(Registered!E570=0,"Size Not Specified",Registered!E570)),"")</f>
        <v/>
      </c>
      <c r="AU570" s="3" t="str">
        <f>IF(Registered!AE570=0,"",IF(Registered!AE570=1,Registered!AE570&amp;" Bandana",Registered!AE570&amp;" Bandanas"))</f>
        <v/>
      </c>
      <c r="AV570" s="3">
        <f t="shared" si="26"/>
        <v>0</v>
      </c>
      <c r="AW570" s="2" t="str">
        <f>IF(Registered!AV570=0,"",IF(Registered!AV570=1,Registered!AV570&amp;" Meal",Registered!AV570&amp;" Meals"))</f>
        <v/>
      </c>
      <c r="AX570" s="2" t="str">
        <f>IF(Registered!AI570=0,"",Registered!AI570&amp;" BG")</f>
        <v/>
      </c>
      <c r="AY570" s="2" t="str">
        <f>IF(Registered!AG570=0,"",Registered!AG570&amp;" DustMask")</f>
        <v/>
      </c>
    </row>
    <row r="571" spans="1:51" customFormat="1" x14ac:dyDescent="0.25">
      <c r="A571" t="s">
        <v>4192</v>
      </c>
      <c r="B571" t="s">
        <v>4193</v>
      </c>
      <c r="C571" t="s">
        <v>6090</v>
      </c>
      <c r="G571" t="s">
        <v>220</v>
      </c>
      <c r="H571" t="s">
        <v>4190</v>
      </c>
      <c r="I571" t="s">
        <v>4191</v>
      </c>
      <c r="J571" t="s">
        <v>37</v>
      </c>
      <c r="K571" t="s">
        <v>32</v>
      </c>
      <c r="L571" t="s">
        <v>35</v>
      </c>
      <c r="AQ571">
        <v>0</v>
      </c>
      <c r="AR571" s="3">
        <f t="shared" si="24"/>
        <v>0</v>
      </c>
      <c r="AS571" s="3">
        <f t="shared" si="25"/>
        <v>0</v>
      </c>
      <c r="AT571" s="3" t="str">
        <f>IF(OR(Registered!AM571&gt;0,Registered!AO571&gt;0),(IF(Registered!E571=0,"Size Not Specified",Registered!E571)),"")</f>
        <v/>
      </c>
      <c r="AU571" s="3" t="str">
        <f>IF(Registered!AE571=0,"",IF(Registered!AE571=1,Registered!AE571&amp;" Bandana",Registered!AE571&amp;" Bandanas"))</f>
        <v/>
      </c>
      <c r="AV571" s="3">
        <f t="shared" si="26"/>
        <v>0</v>
      </c>
      <c r="AW571" s="2" t="str">
        <f>IF(Registered!AV571=0,"",IF(Registered!AV571=1,Registered!AV571&amp;" Meal",Registered!AV571&amp;" Meals"))</f>
        <v/>
      </c>
      <c r="AX571" s="2" t="str">
        <f>IF(Registered!AI571=0,"",Registered!AI571&amp;" BG")</f>
        <v/>
      </c>
      <c r="AY571" s="2" t="str">
        <f>IF(Registered!AG571=0,"",Registered!AG571&amp;" DustMask")</f>
        <v/>
      </c>
    </row>
    <row r="572" spans="1:51" customFormat="1" x14ac:dyDescent="0.25">
      <c r="A572" t="s">
        <v>317</v>
      </c>
      <c r="B572" t="s">
        <v>4194</v>
      </c>
      <c r="C572" t="s">
        <v>6090</v>
      </c>
      <c r="D572" t="s">
        <v>57</v>
      </c>
      <c r="F572" t="s">
        <v>261</v>
      </c>
      <c r="I572" t="s">
        <v>4195</v>
      </c>
      <c r="J572" t="s">
        <v>37</v>
      </c>
      <c r="K572" t="s">
        <v>32</v>
      </c>
      <c r="L572" t="s">
        <v>35</v>
      </c>
      <c r="Q572">
        <v>1</v>
      </c>
      <c r="R572">
        <v>3</v>
      </c>
      <c r="AC572">
        <v>1</v>
      </c>
      <c r="AD572">
        <v>10</v>
      </c>
      <c r="AQ572">
        <v>13</v>
      </c>
      <c r="AR572" s="3">
        <f t="shared" si="24"/>
        <v>5</v>
      </c>
      <c r="AS572" s="3">
        <f t="shared" si="25"/>
        <v>0</v>
      </c>
      <c r="AT572" s="3" t="str">
        <f>IF(OR(Registered!AM572&gt;0,Registered!AO572&gt;0),(IF(Registered!E572=0,"Size Not Specified",Registered!E572)),"")</f>
        <v/>
      </c>
      <c r="AU572" s="3" t="str">
        <f>IF(Registered!AE572=0,"",IF(Registered!AE572=1,Registered!AE572&amp;" Bandana",Registered!AE572&amp;" Bandanas"))</f>
        <v/>
      </c>
      <c r="AV572" s="3">
        <f t="shared" si="26"/>
        <v>0</v>
      </c>
      <c r="AW572" s="2" t="str">
        <f>IF(Registered!AV572=0,"",IF(Registered!AV572=1,Registered!AV572&amp;" Meal",Registered!AV572&amp;" Meals"))</f>
        <v/>
      </c>
      <c r="AX572" s="2" t="str">
        <f>IF(Registered!AI572=0,"",Registered!AI572&amp;" BG")</f>
        <v/>
      </c>
      <c r="AY572" s="2" t="str">
        <f>IF(Registered!AG572=0,"",Registered!AG572&amp;" DustMask")</f>
        <v/>
      </c>
    </row>
    <row r="573" spans="1:51" customFormat="1" x14ac:dyDescent="0.25">
      <c r="A573" t="s">
        <v>258</v>
      </c>
      <c r="B573" t="s">
        <v>4196</v>
      </c>
      <c r="C573" t="s">
        <v>6090</v>
      </c>
      <c r="G573" t="s">
        <v>316</v>
      </c>
      <c r="H573" t="s">
        <v>1491</v>
      </c>
      <c r="I573" t="s">
        <v>4197</v>
      </c>
      <c r="J573" t="s">
        <v>37</v>
      </c>
      <c r="K573" t="s">
        <v>32</v>
      </c>
      <c r="L573" t="s">
        <v>35</v>
      </c>
      <c r="AQ573">
        <v>0</v>
      </c>
      <c r="AR573" s="3">
        <f t="shared" si="24"/>
        <v>0</v>
      </c>
      <c r="AS573" s="3">
        <f t="shared" si="25"/>
        <v>0</v>
      </c>
      <c r="AT573" s="3" t="str">
        <f>IF(OR(Registered!AM573&gt;0,Registered!AO573&gt;0),(IF(Registered!E573=0,"Size Not Specified",Registered!E573)),"")</f>
        <v/>
      </c>
      <c r="AU573" s="3" t="str">
        <f>IF(Registered!AE573=0,"",IF(Registered!AE573=1,Registered!AE573&amp;" Bandana",Registered!AE573&amp;" Bandanas"))</f>
        <v/>
      </c>
      <c r="AV573" s="3">
        <f t="shared" si="26"/>
        <v>0</v>
      </c>
      <c r="AW573" s="2" t="str">
        <f>IF(Registered!AV573=0,"",IF(Registered!AV573=1,Registered!AV573&amp;" Meal",Registered!AV573&amp;" Meals"))</f>
        <v/>
      </c>
      <c r="AX573" s="2" t="str">
        <f>IF(Registered!AI573=0,"",Registered!AI573&amp;" BG")</f>
        <v/>
      </c>
      <c r="AY573" s="2" t="str">
        <f>IF(Registered!AG573=0,"",Registered!AG573&amp;" DustMask")</f>
        <v/>
      </c>
    </row>
    <row r="574" spans="1:51" customFormat="1" x14ac:dyDescent="0.25">
      <c r="A574" t="s">
        <v>3501</v>
      </c>
      <c r="B574" t="s">
        <v>4196</v>
      </c>
      <c r="C574" t="s">
        <v>6090</v>
      </c>
      <c r="G574" t="s">
        <v>316</v>
      </c>
      <c r="H574" t="s">
        <v>1491</v>
      </c>
      <c r="I574" t="s">
        <v>4197</v>
      </c>
      <c r="J574" t="s">
        <v>37</v>
      </c>
      <c r="K574" t="s">
        <v>32</v>
      </c>
      <c r="L574" t="s">
        <v>35</v>
      </c>
      <c r="AQ574">
        <v>0</v>
      </c>
      <c r="AR574" s="3">
        <f t="shared" si="24"/>
        <v>0</v>
      </c>
      <c r="AS574" s="3">
        <f t="shared" si="25"/>
        <v>0</v>
      </c>
      <c r="AT574" s="3" t="str">
        <f>IF(OR(Registered!AM574&gt;0,Registered!AO574&gt;0),(IF(Registered!E574=0,"Size Not Specified",Registered!E574)),"")</f>
        <v/>
      </c>
      <c r="AU574" s="3" t="str">
        <f>IF(Registered!AE574=0,"",IF(Registered!AE574=1,Registered!AE574&amp;" Bandana",Registered!AE574&amp;" Bandanas"))</f>
        <v/>
      </c>
      <c r="AV574" s="3">
        <f t="shared" si="26"/>
        <v>0</v>
      </c>
      <c r="AW574" s="2" t="str">
        <f>IF(Registered!AV574=0,"",IF(Registered!AV574=1,Registered!AV574&amp;" Meal",Registered!AV574&amp;" Meals"))</f>
        <v/>
      </c>
      <c r="AX574" s="2" t="str">
        <f>IF(Registered!AI574=0,"",Registered!AI574&amp;" BG")</f>
        <v/>
      </c>
      <c r="AY574" s="2" t="str">
        <f>IF(Registered!AG574=0,"",Registered!AG574&amp;" DustMask")</f>
        <v/>
      </c>
    </row>
    <row r="575" spans="1:51" customFormat="1" x14ac:dyDescent="0.25">
      <c r="A575" t="s">
        <v>4198</v>
      </c>
      <c r="B575" t="s">
        <v>4196</v>
      </c>
      <c r="C575" t="s">
        <v>6090</v>
      </c>
      <c r="G575" t="s">
        <v>316</v>
      </c>
      <c r="H575" t="s">
        <v>1491</v>
      </c>
      <c r="I575" t="s">
        <v>4197</v>
      </c>
      <c r="J575" t="s">
        <v>37</v>
      </c>
      <c r="K575" t="s">
        <v>32</v>
      </c>
      <c r="L575" t="s">
        <v>35</v>
      </c>
      <c r="AQ575">
        <v>0</v>
      </c>
      <c r="AR575" s="3">
        <f t="shared" si="24"/>
        <v>0</v>
      </c>
      <c r="AS575" s="3">
        <f t="shared" si="25"/>
        <v>0</v>
      </c>
      <c r="AT575" s="3" t="str">
        <f>IF(OR(Registered!AM575&gt;0,Registered!AO575&gt;0),(IF(Registered!E575=0,"Size Not Specified",Registered!E575)),"")</f>
        <v/>
      </c>
      <c r="AU575" s="3" t="str">
        <f>IF(Registered!AE575=0,"",IF(Registered!AE575=1,Registered!AE575&amp;" Bandana",Registered!AE575&amp;" Bandanas"))</f>
        <v/>
      </c>
      <c r="AV575" s="3">
        <f t="shared" si="26"/>
        <v>0</v>
      </c>
      <c r="AW575" s="2" t="str">
        <f>IF(Registered!AV575=0,"",IF(Registered!AV575=1,Registered!AV575&amp;" Meal",Registered!AV575&amp;" Meals"))</f>
        <v/>
      </c>
      <c r="AX575" s="2" t="str">
        <f>IF(Registered!AI575=0,"",Registered!AI575&amp;" BG")</f>
        <v/>
      </c>
      <c r="AY575" s="2" t="str">
        <f>IF(Registered!AG575=0,"",Registered!AG575&amp;" DustMask")</f>
        <v/>
      </c>
    </row>
    <row r="576" spans="1:51" customFormat="1" x14ac:dyDescent="0.25">
      <c r="A576" t="s">
        <v>1123</v>
      </c>
      <c r="B576" t="s">
        <v>1124</v>
      </c>
      <c r="C576" t="s">
        <v>6090</v>
      </c>
      <c r="D576" t="s">
        <v>1125</v>
      </c>
      <c r="F576" t="s">
        <v>261</v>
      </c>
      <c r="I576" t="s">
        <v>1126</v>
      </c>
      <c r="J576" t="s">
        <v>37</v>
      </c>
      <c r="K576" t="s">
        <v>32</v>
      </c>
      <c r="L576" t="s">
        <v>35</v>
      </c>
      <c r="S576">
        <v>1</v>
      </c>
      <c r="T576">
        <v>3</v>
      </c>
      <c r="AC576">
        <v>1</v>
      </c>
      <c r="AD576">
        <v>10</v>
      </c>
      <c r="AQ576">
        <v>13</v>
      </c>
      <c r="AR576" s="3">
        <f t="shared" si="24"/>
        <v>5</v>
      </c>
      <c r="AS576" s="3">
        <f t="shared" si="25"/>
        <v>0</v>
      </c>
      <c r="AT576" s="3" t="str">
        <f>IF(OR(Registered!AM576&gt;0,Registered!AO576&gt;0),(IF(Registered!E576=0,"Size Not Specified",Registered!E576)),"")</f>
        <v/>
      </c>
      <c r="AU576" s="3" t="str">
        <f>IF(Registered!AE576=0,"",IF(Registered!AE576=1,Registered!AE576&amp;" Bandana",Registered!AE576&amp;" Bandanas"))</f>
        <v/>
      </c>
      <c r="AV576" s="3">
        <f t="shared" si="26"/>
        <v>0</v>
      </c>
      <c r="AW576" s="2" t="str">
        <f>IF(Registered!AV576=0,"",IF(Registered!AV576=1,Registered!AV576&amp;" Meal",Registered!AV576&amp;" Meals"))</f>
        <v/>
      </c>
      <c r="AX576" s="2" t="str">
        <f>IF(Registered!AI576=0,"",Registered!AI576&amp;" BG")</f>
        <v/>
      </c>
      <c r="AY576" s="2" t="str">
        <f>IF(Registered!AG576=0,"",Registered!AG576&amp;" DustMask")</f>
        <v/>
      </c>
    </row>
    <row r="577" spans="1:51" customFormat="1" x14ac:dyDescent="0.25">
      <c r="A577" t="s">
        <v>4199</v>
      </c>
      <c r="B577" t="s">
        <v>4200</v>
      </c>
      <c r="C577" t="s">
        <v>6090</v>
      </c>
      <c r="G577" t="s">
        <v>90</v>
      </c>
      <c r="H577" t="s">
        <v>313</v>
      </c>
      <c r="I577" t="s">
        <v>3679</v>
      </c>
      <c r="J577" t="s">
        <v>37</v>
      </c>
      <c r="K577" t="s">
        <v>32</v>
      </c>
      <c r="L577" t="s">
        <v>35</v>
      </c>
      <c r="AQ577">
        <v>0</v>
      </c>
      <c r="AR577" s="3">
        <f t="shared" si="24"/>
        <v>0</v>
      </c>
      <c r="AS577" s="3">
        <f t="shared" si="25"/>
        <v>0</v>
      </c>
      <c r="AT577" s="3" t="str">
        <f>IF(OR(Registered!AM577&gt;0,Registered!AO577&gt;0),(IF(Registered!E577=0,"Size Not Specified",Registered!E577)),"")</f>
        <v/>
      </c>
      <c r="AU577" s="3" t="str">
        <f>IF(Registered!AE577=0,"",IF(Registered!AE577=1,Registered!AE577&amp;" Bandana",Registered!AE577&amp;" Bandanas"))</f>
        <v/>
      </c>
      <c r="AV577" s="3">
        <f t="shared" si="26"/>
        <v>0</v>
      </c>
      <c r="AW577" s="2" t="str">
        <f>IF(Registered!AV577=0,"",IF(Registered!AV577=1,Registered!AV577&amp;" Meal",Registered!AV577&amp;" Meals"))</f>
        <v/>
      </c>
      <c r="AX577" s="2" t="str">
        <f>IF(Registered!AI577=0,"",Registered!AI577&amp;" BG")</f>
        <v/>
      </c>
      <c r="AY577" s="2" t="str">
        <f>IF(Registered!AG577=0,"",Registered!AG577&amp;" DustMask")</f>
        <v/>
      </c>
    </row>
    <row r="578" spans="1:51" customFormat="1" x14ac:dyDescent="0.25">
      <c r="A578" t="s">
        <v>4201</v>
      </c>
      <c r="B578" t="s">
        <v>4202</v>
      </c>
      <c r="C578" t="s">
        <v>6090</v>
      </c>
      <c r="D578" t="s">
        <v>4203</v>
      </c>
      <c r="F578" t="s">
        <v>261</v>
      </c>
      <c r="I578" t="s">
        <v>4204</v>
      </c>
      <c r="J578" t="s">
        <v>37</v>
      </c>
      <c r="K578" t="s">
        <v>32</v>
      </c>
      <c r="L578" t="s">
        <v>35</v>
      </c>
      <c r="Q578">
        <v>1</v>
      </c>
      <c r="R578">
        <v>3</v>
      </c>
      <c r="AC578">
        <v>1</v>
      </c>
      <c r="AD578">
        <v>10</v>
      </c>
      <c r="AK578">
        <v>1</v>
      </c>
      <c r="AL578">
        <v>6</v>
      </c>
      <c r="AQ578">
        <v>19</v>
      </c>
      <c r="AR578" s="3">
        <f t="shared" ref="AR578:AR641" si="27">IF(ISTEXT(AM578)=TRUE,"",SUM(U578*10,W578*20,Y578*30,AA578*40,AC578*5,AM578*5))</f>
        <v>5</v>
      </c>
      <c r="AS578" s="3">
        <f t="shared" ref="AS578:AS641" si="28">IF(ISTEXT(AM578)=TRUE,"",SUM(AM578,AO578))</f>
        <v>0</v>
      </c>
      <c r="AT578" s="3" t="str">
        <f>IF(OR(Registered!AM578&gt;0,Registered!AO578&gt;0),(IF(Registered!E578=0,"Size Not Specified",Registered!E578)),"")</f>
        <v/>
      </c>
      <c r="AU578" s="3" t="str">
        <f>IF(Registered!AE578=0,"",IF(Registered!AE578=1,Registered!AE578&amp;" Bandana",Registered!AE578&amp;" Bandanas"))</f>
        <v/>
      </c>
      <c r="AV578" s="3">
        <f t="shared" ref="AV578:AV641" si="29">IF(ISTEXT(AM578)=TRUE,"",SUM(AM578,AK578))</f>
        <v>1</v>
      </c>
      <c r="AW578" s="2" t="str">
        <f>IF(Registered!AV578=0,"",IF(Registered!AV578=1,Registered!AV578&amp;" Meal",Registered!AV578&amp;" Meals"))</f>
        <v>1 Meal</v>
      </c>
      <c r="AX578" s="2" t="str">
        <f>IF(Registered!AI578=0,"",Registered!AI578&amp;" BG")</f>
        <v/>
      </c>
      <c r="AY578" s="2" t="str">
        <f>IF(Registered!AG578=0,"",Registered!AG578&amp;" DustMask")</f>
        <v/>
      </c>
    </row>
    <row r="579" spans="1:51" customFormat="1" x14ac:dyDescent="0.25">
      <c r="A579" t="s">
        <v>454</v>
      </c>
      <c r="B579" t="s">
        <v>4205</v>
      </c>
      <c r="C579" t="s">
        <v>6090</v>
      </c>
      <c r="G579" t="s">
        <v>776</v>
      </c>
      <c r="H579" t="s">
        <v>4206</v>
      </c>
      <c r="I579" t="s">
        <v>4207</v>
      </c>
      <c r="J579" t="s">
        <v>37</v>
      </c>
      <c r="K579" t="s">
        <v>32</v>
      </c>
      <c r="L579" t="s">
        <v>35</v>
      </c>
      <c r="AQ579">
        <v>0</v>
      </c>
      <c r="AR579" s="3">
        <f t="shared" si="27"/>
        <v>0</v>
      </c>
      <c r="AS579" s="3">
        <f t="shared" si="28"/>
        <v>0</v>
      </c>
      <c r="AT579" s="3" t="str">
        <f>IF(OR(Registered!AM579&gt;0,Registered!AO579&gt;0),(IF(Registered!E579=0,"Size Not Specified",Registered!E579)),"")</f>
        <v/>
      </c>
      <c r="AU579" s="3" t="str">
        <f>IF(Registered!AE579=0,"",IF(Registered!AE579=1,Registered!AE579&amp;" Bandana",Registered!AE579&amp;" Bandanas"))</f>
        <v/>
      </c>
      <c r="AV579" s="3">
        <f t="shared" si="29"/>
        <v>0</v>
      </c>
      <c r="AW579" s="2" t="str">
        <f>IF(Registered!AV579=0,"",IF(Registered!AV579=1,Registered!AV579&amp;" Meal",Registered!AV579&amp;" Meals"))</f>
        <v/>
      </c>
      <c r="AX579" s="2" t="str">
        <f>IF(Registered!AI579=0,"",Registered!AI579&amp;" BG")</f>
        <v/>
      </c>
      <c r="AY579" s="2" t="str">
        <f>IF(Registered!AG579=0,"",Registered!AG579&amp;" DustMask")</f>
        <v/>
      </c>
    </row>
    <row r="580" spans="1:51" customFormat="1" x14ac:dyDescent="0.25">
      <c r="A580" t="s">
        <v>390</v>
      </c>
      <c r="B580" t="s">
        <v>2893</v>
      </c>
      <c r="C580" t="s">
        <v>6090</v>
      </c>
      <c r="D580" t="s">
        <v>2894</v>
      </c>
      <c r="F580" t="s">
        <v>261</v>
      </c>
      <c r="I580" t="s">
        <v>2895</v>
      </c>
      <c r="J580" t="s">
        <v>37</v>
      </c>
      <c r="K580" t="s">
        <v>32</v>
      </c>
      <c r="L580" t="s">
        <v>35</v>
      </c>
      <c r="Q580">
        <v>1</v>
      </c>
      <c r="R580">
        <v>3</v>
      </c>
      <c r="AE580">
        <v>1</v>
      </c>
      <c r="AF580">
        <v>6</v>
      </c>
      <c r="AI580">
        <v>1</v>
      </c>
      <c r="AJ580">
        <v>10</v>
      </c>
      <c r="AQ580">
        <v>19</v>
      </c>
      <c r="AR580" s="3">
        <f t="shared" si="27"/>
        <v>0</v>
      </c>
      <c r="AS580" s="3">
        <f t="shared" si="28"/>
        <v>0</v>
      </c>
      <c r="AT580" s="3" t="str">
        <f>IF(OR(Registered!AM580&gt;0,Registered!AO580&gt;0),(IF(Registered!E580=0,"Size Not Specified",Registered!E580)),"")</f>
        <v/>
      </c>
      <c r="AU580" s="3" t="str">
        <f>IF(Registered!AE580=0,"",IF(Registered!AE580=1,Registered!AE580&amp;" Bandana",Registered!AE580&amp;" Bandanas"))</f>
        <v>1 Bandana</v>
      </c>
      <c r="AV580" s="3">
        <f t="shared" si="29"/>
        <v>0</v>
      </c>
      <c r="AW580" s="2" t="str">
        <f>IF(Registered!AV580=0,"",IF(Registered!AV580=1,Registered!AV580&amp;" Meal",Registered!AV580&amp;" Meals"))</f>
        <v/>
      </c>
      <c r="AX580" s="2" t="str">
        <f>IF(Registered!AI580=0,"",Registered!AI580&amp;" BG")</f>
        <v>1 BG</v>
      </c>
      <c r="AY580" s="2" t="str">
        <f>IF(Registered!AG580=0,"",Registered!AG580&amp;" DustMask")</f>
        <v/>
      </c>
    </row>
    <row r="581" spans="1:51" customFormat="1" x14ac:dyDescent="0.25">
      <c r="A581" t="s">
        <v>724</v>
      </c>
      <c r="B581" t="s">
        <v>725</v>
      </c>
      <c r="C581" t="s">
        <v>6090</v>
      </c>
      <c r="D581" t="s">
        <v>1127</v>
      </c>
      <c r="E581" t="s">
        <v>139</v>
      </c>
      <c r="F581" t="s">
        <v>261</v>
      </c>
      <c r="I581" t="s">
        <v>726</v>
      </c>
      <c r="J581" t="s">
        <v>37</v>
      </c>
      <c r="K581" t="s">
        <v>32</v>
      </c>
      <c r="L581" t="s">
        <v>35</v>
      </c>
      <c r="S581">
        <v>2</v>
      </c>
      <c r="T581">
        <v>3</v>
      </c>
      <c r="AC581">
        <v>2</v>
      </c>
      <c r="AD581">
        <v>10</v>
      </c>
      <c r="AQ581">
        <v>26</v>
      </c>
      <c r="AR581" s="3">
        <f t="shared" si="27"/>
        <v>10</v>
      </c>
      <c r="AS581" s="3">
        <f t="shared" si="28"/>
        <v>0</v>
      </c>
      <c r="AT581" s="3" t="str">
        <f>IF(OR(Registered!AM581&gt;0,Registered!AO581&gt;0),(IF(Registered!E581=0,"Size Not Specified",Registered!E581)),"")</f>
        <v/>
      </c>
      <c r="AU581" s="3" t="str">
        <f>IF(Registered!AE581=0,"",IF(Registered!AE581=1,Registered!AE581&amp;" Bandana",Registered!AE581&amp;" Bandanas"))</f>
        <v/>
      </c>
      <c r="AV581" s="3">
        <f t="shared" si="29"/>
        <v>0</v>
      </c>
      <c r="AW581" s="2" t="str">
        <f>IF(Registered!AV581=0,"",IF(Registered!AV581=1,Registered!AV581&amp;" Meal",Registered!AV581&amp;" Meals"))</f>
        <v/>
      </c>
      <c r="AX581" s="2" t="str">
        <f>IF(Registered!AI581=0,"",Registered!AI581&amp;" BG")</f>
        <v/>
      </c>
      <c r="AY581" s="2" t="str">
        <f>IF(Registered!AG581=0,"",Registered!AG581&amp;" DustMask")</f>
        <v/>
      </c>
    </row>
    <row r="582" spans="1:51" customFormat="1" x14ac:dyDescent="0.25">
      <c r="A582" t="s">
        <v>4208</v>
      </c>
      <c r="B582" t="s">
        <v>4209</v>
      </c>
      <c r="C582" t="s">
        <v>6090</v>
      </c>
      <c r="D582" t="s">
        <v>57</v>
      </c>
      <c r="F582" t="s">
        <v>261</v>
      </c>
      <c r="I582" t="s">
        <v>4210</v>
      </c>
      <c r="J582" t="s">
        <v>37</v>
      </c>
      <c r="K582" t="s">
        <v>32</v>
      </c>
      <c r="L582" t="s">
        <v>35</v>
      </c>
      <c r="Q582">
        <v>2</v>
      </c>
      <c r="R582">
        <v>3</v>
      </c>
      <c r="U582">
        <v>1</v>
      </c>
      <c r="V582">
        <v>20</v>
      </c>
      <c r="AQ582">
        <v>26</v>
      </c>
      <c r="AR582" s="3">
        <f t="shared" si="27"/>
        <v>10</v>
      </c>
      <c r="AS582" s="3">
        <f t="shared" si="28"/>
        <v>0</v>
      </c>
      <c r="AT582" s="3" t="str">
        <f>IF(OR(Registered!AM582&gt;0,Registered!AO582&gt;0),(IF(Registered!E582=0,"Size Not Specified",Registered!E582)),"")</f>
        <v/>
      </c>
      <c r="AU582" s="3" t="str">
        <f>IF(Registered!AE582=0,"",IF(Registered!AE582=1,Registered!AE582&amp;" Bandana",Registered!AE582&amp;" Bandanas"))</f>
        <v/>
      </c>
      <c r="AV582" s="3">
        <f t="shared" si="29"/>
        <v>0</v>
      </c>
      <c r="AW582" s="2" t="str">
        <f>IF(Registered!AV582=0,"",IF(Registered!AV582=1,Registered!AV582&amp;" Meal",Registered!AV582&amp;" Meals"))</f>
        <v/>
      </c>
      <c r="AX582" s="2" t="str">
        <f>IF(Registered!AI582=0,"",Registered!AI582&amp;" BG")</f>
        <v/>
      </c>
      <c r="AY582" s="2" t="str">
        <f>IF(Registered!AG582=0,"",Registered!AG582&amp;" DustMask")</f>
        <v/>
      </c>
    </row>
    <row r="583" spans="1:51" customFormat="1" x14ac:dyDescent="0.25">
      <c r="A583" t="s">
        <v>1448</v>
      </c>
      <c r="B583" t="s">
        <v>4211</v>
      </c>
      <c r="C583" t="s">
        <v>6090</v>
      </c>
      <c r="D583" t="s">
        <v>4212</v>
      </c>
      <c r="F583" t="s">
        <v>261</v>
      </c>
      <c r="I583" t="s">
        <v>4213</v>
      </c>
      <c r="J583" t="s">
        <v>37</v>
      </c>
      <c r="K583" t="s">
        <v>32</v>
      </c>
      <c r="L583" t="s">
        <v>35</v>
      </c>
      <c r="Q583">
        <v>1</v>
      </c>
      <c r="R583">
        <v>3</v>
      </c>
      <c r="AC583">
        <v>1</v>
      </c>
      <c r="AD583">
        <v>10</v>
      </c>
      <c r="AQ583">
        <v>13</v>
      </c>
      <c r="AR583" s="3">
        <f t="shared" si="27"/>
        <v>5</v>
      </c>
      <c r="AS583" s="3">
        <f t="shared" si="28"/>
        <v>0</v>
      </c>
      <c r="AT583" s="3" t="str">
        <f>IF(OR(Registered!AM583&gt;0,Registered!AO583&gt;0),(IF(Registered!E583=0,"Size Not Specified",Registered!E583)),"")</f>
        <v/>
      </c>
      <c r="AU583" s="3" t="str">
        <f>IF(Registered!AE583=0,"",IF(Registered!AE583=1,Registered!AE583&amp;" Bandana",Registered!AE583&amp;" Bandanas"))</f>
        <v/>
      </c>
      <c r="AV583" s="3">
        <f t="shared" si="29"/>
        <v>0</v>
      </c>
      <c r="AW583" s="2" t="str">
        <f>IF(Registered!AV583=0,"",IF(Registered!AV583=1,Registered!AV583&amp;" Meal",Registered!AV583&amp;" Meals"))</f>
        <v/>
      </c>
      <c r="AX583" s="2" t="str">
        <f>IF(Registered!AI583=0,"",Registered!AI583&amp;" BG")</f>
        <v/>
      </c>
      <c r="AY583" s="2" t="str">
        <f>IF(Registered!AG583=0,"",Registered!AG583&amp;" DustMask")</f>
        <v/>
      </c>
    </row>
    <row r="584" spans="1:51" customFormat="1" x14ac:dyDescent="0.25">
      <c r="A584" t="s">
        <v>151</v>
      </c>
      <c r="B584" t="s">
        <v>1128</v>
      </c>
      <c r="C584" t="s">
        <v>6090</v>
      </c>
      <c r="D584" t="s">
        <v>1129</v>
      </c>
      <c r="I584" t="s">
        <v>1130</v>
      </c>
      <c r="J584" t="s">
        <v>37</v>
      </c>
      <c r="K584" t="s">
        <v>32</v>
      </c>
      <c r="L584" t="s">
        <v>35</v>
      </c>
      <c r="O584">
        <v>2</v>
      </c>
      <c r="P584">
        <v>3</v>
      </c>
      <c r="U584">
        <v>1</v>
      </c>
      <c r="V584">
        <v>20</v>
      </c>
      <c r="AQ584">
        <v>26</v>
      </c>
      <c r="AR584" s="3">
        <f t="shared" si="27"/>
        <v>10</v>
      </c>
      <c r="AS584" s="3">
        <f t="shared" si="28"/>
        <v>0</v>
      </c>
      <c r="AT584" s="3" t="str">
        <f>IF(OR(Registered!AM584&gt;0,Registered!AO584&gt;0),(IF(Registered!E584=0,"Size Not Specified",Registered!E584)),"")</f>
        <v/>
      </c>
      <c r="AU584" s="3" t="str">
        <f>IF(Registered!AE584=0,"",IF(Registered!AE584=1,Registered!AE584&amp;" Bandana",Registered!AE584&amp;" Bandanas"))</f>
        <v/>
      </c>
      <c r="AV584" s="3">
        <f t="shared" si="29"/>
        <v>0</v>
      </c>
      <c r="AW584" s="2" t="str">
        <f>IF(Registered!AV584=0,"",IF(Registered!AV584=1,Registered!AV584&amp;" Meal",Registered!AV584&amp;" Meals"))</f>
        <v/>
      </c>
      <c r="AX584" s="2" t="str">
        <f>IF(Registered!AI584=0,"",Registered!AI584&amp;" BG")</f>
        <v/>
      </c>
      <c r="AY584" s="2" t="str">
        <f>IF(Registered!AG584=0,"",Registered!AG584&amp;" DustMask")</f>
        <v/>
      </c>
    </row>
    <row r="585" spans="1:51" customFormat="1" x14ac:dyDescent="0.25">
      <c r="A585" t="s">
        <v>141</v>
      </c>
      <c r="B585" t="s">
        <v>1128</v>
      </c>
      <c r="C585" t="s">
        <v>6090</v>
      </c>
      <c r="G585" t="s">
        <v>151</v>
      </c>
      <c r="H585" t="s">
        <v>1128</v>
      </c>
      <c r="I585" t="s">
        <v>1130</v>
      </c>
      <c r="J585" t="s">
        <v>37</v>
      </c>
      <c r="K585" t="s">
        <v>32</v>
      </c>
      <c r="L585" t="s">
        <v>35</v>
      </c>
      <c r="AQ585">
        <v>0</v>
      </c>
      <c r="AR585" s="3">
        <f t="shared" si="27"/>
        <v>0</v>
      </c>
      <c r="AS585" s="3">
        <f t="shared" si="28"/>
        <v>0</v>
      </c>
      <c r="AT585" s="3" t="str">
        <f>IF(OR(Registered!AM585&gt;0,Registered!AO585&gt;0),(IF(Registered!E585=0,"Size Not Specified",Registered!E585)),"")</f>
        <v/>
      </c>
      <c r="AU585" s="3" t="str">
        <f>IF(Registered!AE585=0,"",IF(Registered!AE585=1,Registered!AE585&amp;" Bandana",Registered!AE585&amp;" Bandanas"))</f>
        <v/>
      </c>
      <c r="AV585" s="3">
        <f t="shared" si="29"/>
        <v>0</v>
      </c>
      <c r="AW585" s="2" t="str">
        <f>IF(Registered!AV585=0,"",IF(Registered!AV585=1,Registered!AV585&amp;" Meal",Registered!AV585&amp;" Meals"))</f>
        <v/>
      </c>
      <c r="AX585" s="2" t="str">
        <f>IF(Registered!AI585=0,"",Registered!AI585&amp;" BG")</f>
        <v/>
      </c>
      <c r="AY585" s="2" t="str">
        <f>IF(Registered!AG585=0,"",Registered!AG585&amp;" DustMask")</f>
        <v/>
      </c>
    </row>
    <row r="586" spans="1:51" customFormat="1" x14ac:dyDescent="0.25">
      <c r="A586" t="s">
        <v>2896</v>
      </c>
      <c r="B586" t="s">
        <v>2897</v>
      </c>
      <c r="C586" t="s">
        <v>6090</v>
      </c>
      <c r="D586" t="s">
        <v>2898</v>
      </c>
      <c r="F586" t="s">
        <v>261</v>
      </c>
      <c r="I586" t="s">
        <v>2899</v>
      </c>
      <c r="J586" t="s">
        <v>37</v>
      </c>
      <c r="K586" t="s">
        <v>32</v>
      </c>
      <c r="L586" t="s">
        <v>35</v>
      </c>
      <c r="Q586">
        <v>3</v>
      </c>
      <c r="R586">
        <v>3</v>
      </c>
      <c r="AA586">
        <v>1</v>
      </c>
      <c r="AB586">
        <v>75</v>
      </c>
      <c r="AQ586">
        <v>84</v>
      </c>
      <c r="AR586" s="3">
        <f t="shared" si="27"/>
        <v>40</v>
      </c>
      <c r="AS586" s="3">
        <f t="shared" si="28"/>
        <v>0</v>
      </c>
      <c r="AT586" s="3" t="str">
        <f>IF(OR(Registered!AM586&gt;0,Registered!AO586&gt;0),(IF(Registered!E586=0,"Size Not Specified",Registered!E586)),"")</f>
        <v/>
      </c>
      <c r="AU586" s="3" t="str">
        <f>IF(Registered!AE586=0,"",IF(Registered!AE586=1,Registered!AE586&amp;" Bandana",Registered!AE586&amp;" Bandanas"))</f>
        <v/>
      </c>
      <c r="AV586" s="3">
        <f t="shared" si="29"/>
        <v>0</v>
      </c>
      <c r="AW586" s="2" t="str">
        <f>IF(Registered!AV586=0,"",IF(Registered!AV586=1,Registered!AV586&amp;" Meal",Registered!AV586&amp;" Meals"))</f>
        <v/>
      </c>
      <c r="AX586" s="2" t="str">
        <f>IF(Registered!AI586=0,"",Registered!AI586&amp;" BG")</f>
        <v/>
      </c>
      <c r="AY586" s="2" t="str">
        <f>IF(Registered!AG586=0,"",Registered!AG586&amp;" DustMask")</f>
        <v/>
      </c>
    </row>
    <row r="587" spans="1:51" customFormat="1" x14ac:dyDescent="0.25">
      <c r="A587" t="s">
        <v>258</v>
      </c>
      <c r="B587" t="s">
        <v>1131</v>
      </c>
      <c r="C587" t="s">
        <v>6090</v>
      </c>
      <c r="G587" t="s">
        <v>953</v>
      </c>
      <c r="H587" t="s">
        <v>278</v>
      </c>
      <c r="I587" t="s">
        <v>2807</v>
      </c>
      <c r="J587" t="s">
        <v>37</v>
      </c>
      <c r="K587" t="s">
        <v>32</v>
      </c>
      <c r="L587" t="s">
        <v>35</v>
      </c>
      <c r="AQ587">
        <v>0</v>
      </c>
      <c r="AR587" s="3">
        <f t="shared" si="27"/>
        <v>0</v>
      </c>
      <c r="AS587" s="3">
        <f t="shared" si="28"/>
        <v>0</v>
      </c>
      <c r="AT587" s="3" t="str">
        <f>IF(OR(Registered!AM587&gt;0,Registered!AO587&gt;0),(IF(Registered!E587=0,"Size Not Specified",Registered!E587)),"")</f>
        <v/>
      </c>
      <c r="AU587" s="3" t="str">
        <f>IF(Registered!AE587=0,"",IF(Registered!AE587=1,Registered!AE587&amp;" Bandana",Registered!AE587&amp;" Bandanas"))</f>
        <v/>
      </c>
      <c r="AV587" s="3">
        <f t="shared" si="29"/>
        <v>0</v>
      </c>
      <c r="AW587" s="2" t="str">
        <f>IF(Registered!AV587=0,"",IF(Registered!AV587=1,Registered!AV587&amp;" Meal",Registered!AV587&amp;" Meals"))</f>
        <v/>
      </c>
      <c r="AX587" s="2" t="str">
        <f>IF(Registered!AI587=0,"",Registered!AI587&amp;" BG")</f>
        <v/>
      </c>
      <c r="AY587" s="2" t="str">
        <f>IF(Registered!AG587=0,"",Registered!AG587&amp;" DustMask")</f>
        <v/>
      </c>
    </row>
    <row r="588" spans="1:51" customFormat="1" x14ac:dyDescent="0.25">
      <c r="A588" t="s">
        <v>4214</v>
      </c>
      <c r="B588" t="s">
        <v>4215</v>
      </c>
      <c r="C588" t="s">
        <v>6090</v>
      </c>
      <c r="G588" t="s">
        <v>288</v>
      </c>
      <c r="H588" t="s">
        <v>4216</v>
      </c>
      <c r="I588" t="s">
        <v>4217</v>
      </c>
      <c r="J588" t="s">
        <v>37</v>
      </c>
      <c r="K588" t="s">
        <v>32</v>
      </c>
      <c r="L588" t="s">
        <v>35</v>
      </c>
      <c r="AQ588">
        <v>0</v>
      </c>
      <c r="AR588" s="3">
        <f t="shared" si="27"/>
        <v>0</v>
      </c>
      <c r="AS588" s="3">
        <f t="shared" si="28"/>
        <v>0</v>
      </c>
      <c r="AT588" s="3" t="str">
        <f>IF(OR(Registered!AM588&gt;0,Registered!AO588&gt;0),(IF(Registered!E588=0,"Size Not Specified",Registered!E588)),"")</f>
        <v/>
      </c>
      <c r="AU588" s="3" t="str">
        <f>IF(Registered!AE588=0,"",IF(Registered!AE588=1,Registered!AE588&amp;" Bandana",Registered!AE588&amp;" Bandanas"))</f>
        <v/>
      </c>
      <c r="AV588" s="3">
        <f t="shared" si="29"/>
        <v>0</v>
      </c>
      <c r="AW588" s="2" t="str">
        <f>IF(Registered!AV588=0,"",IF(Registered!AV588=1,Registered!AV588&amp;" Meal",Registered!AV588&amp;" Meals"))</f>
        <v/>
      </c>
      <c r="AX588" s="2" t="str">
        <f>IF(Registered!AI588=0,"",Registered!AI588&amp;" BG")</f>
        <v/>
      </c>
      <c r="AY588" s="2" t="str">
        <f>IF(Registered!AG588=0,"",Registered!AG588&amp;" DustMask")</f>
        <v/>
      </c>
    </row>
    <row r="589" spans="1:51" customFormat="1" x14ac:dyDescent="0.25">
      <c r="A589" t="s">
        <v>1132</v>
      </c>
      <c r="B589" t="s">
        <v>145</v>
      </c>
      <c r="C589" t="s">
        <v>6090</v>
      </c>
      <c r="G589" t="s">
        <v>1133</v>
      </c>
      <c r="H589" t="s">
        <v>1134</v>
      </c>
      <c r="I589" t="s">
        <v>1135</v>
      </c>
      <c r="J589" t="s">
        <v>37</v>
      </c>
      <c r="K589" t="s">
        <v>32</v>
      </c>
      <c r="L589" t="s">
        <v>35</v>
      </c>
      <c r="AQ589">
        <v>0</v>
      </c>
      <c r="AR589" s="3">
        <f t="shared" si="27"/>
        <v>0</v>
      </c>
      <c r="AS589" s="3">
        <f t="shared" si="28"/>
        <v>0</v>
      </c>
      <c r="AT589" s="3" t="str">
        <f>IF(OR(Registered!AM589&gt;0,Registered!AO589&gt;0),(IF(Registered!E589=0,"Size Not Specified",Registered!E589)),"")</f>
        <v/>
      </c>
      <c r="AU589" s="3" t="str">
        <f>IF(Registered!AE589=0,"",IF(Registered!AE589=1,Registered!AE589&amp;" Bandana",Registered!AE589&amp;" Bandanas"))</f>
        <v/>
      </c>
      <c r="AV589" s="3">
        <f t="shared" si="29"/>
        <v>0</v>
      </c>
      <c r="AW589" s="2" t="str">
        <f>IF(Registered!AV589=0,"",IF(Registered!AV589=1,Registered!AV589&amp;" Meal",Registered!AV589&amp;" Meals"))</f>
        <v/>
      </c>
      <c r="AX589" s="2" t="str">
        <f>IF(Registered!AI589=0,"",Registered!AI589&amp;" BG")</f>
        <v/>
      </c>
      <c r="AY589" s="2" t="str">
        <f>IF(Registered!AG589=0,"",Registered!AG589&amp;" DustMask")</f>
        <v/>
      </c>
    </row>
    <row r="590" spans="1:51" customFormat="1" x14ac:dyDescent="0.25">
      <c r="A590" t="s">
        <v>3399</v>
      </c>
      <c r="B590" t="s">
        <v>4218</v>
      </c>
      <c r="C590" t="s">
        <v>6090</v>
      </c>
      <c r="G590" t="s">
        <v>4219</v>
      </c>
      <c r="H590" t="s">
        <v>4220</v>
      </c>
      <c r="I590" t="s">
        <v>4221</v>
      </c>
      <c r="J590" t="s">
        <v>37</v>
      </c>
      <c r="K590" t="s">
        <v>32</v>
      </c>
      <c r="L590" t="s">
        <v>35</v>
      </c>
      <c r="AQ590">
        <v>0</v>
      </c>
      <c r="AR590" s="3">
        <f t="shared" si="27"/>
        <v>0</v>
      </c>
      <c r="AS590" s="3">
        <f t="shared" si="28"/>
        <v>0</v>
      </c>
      <c r="AT590" s="3" t="str">
        <f>IF(OR(Registered!AM590&gt;0,Registered!AO590&gt;0),(IF(Registered!E590=0,"Size Not Specified",Registered!E590)),"")</f>
        <v/>
      </c>
      <c r="AU590" s="3" t="str">
        <f>IF(Registered!AE590=0,"",IF(Registered!AE590=1,Registered!AE590&amp;" Bandana",Registered!AE590&amp;" Bandanas"))</f>
        <v/>
      </c>
      <c r="AV590" s="3">
        <f t="shared" si="29"/>
        <v>0</v>
      </c>
      <c r="AW590" s="2" t="str">
        <f>IF(Registered!AV590=0,"",IF(Registered!AV590=1,Registered!AV590&amp;" Meal",Registered!AV590&amp;" Meals"))</f>
        <v/>
      </c>
      <c r="AX590" s="2" t="str">
        <f>IF(Registered!AI590=0,"",Registered!AI590&amp;" BG")</f>
        <v/>
      </c>
      <c r="AY590" s="2" t="str">
        <f>IF(Registered!AG590=0,"",Registered!AG590&amp;" DustMask")</f>
        <v/>
      </c>
    </row>
    <row r="591" spans="1:51" customFormat="1" x14ac:dyDescent="0.25">
      <c r="A591" t="s">
        <v>398</v>
      </c>
      <c r="B591" t="s">
        <v>1136</v>
      </c>
      <c r="C591" t="s">
        <v>6090</v>
      </c>
      <c r="D591" t="s">
        <v>1137</v>
      </c>
      <c r="I591" t="s">
        <v>1138</v>
      </c>
      <c r="J591" t="s">
        <v>37</v>
      </c>
      <c r="K591" t="s">
        <v>32</v>
      </c>
      <c r="L591" t="s">
        <v>35</v>
      </c>
      <c r="O591">
        <v>2</v>
      </c>
      <c r="P591">
        <v>3</v>
      </c>
      <c r="U591">
        <v>1</v>
      </c>
      <c r="V591">
        <v>20</v>
      </c>
      <c r="AQ591">
        <v>26</v>
      </c>
      <c r="AR591" s="3">
        <f t="shared" si="27"/>
        <v>10</v>
      </c>
      <c r="AS591" s="3">
        <f t="shared" si="28"/>
        <v>0</v>
      </c>
      <c r="AT591" s="3" t="str">
        <f>IF(OR(Registered!AM591&gt;0,Registered!AO591&gt;0),(IF(Registered!E591=0,"Size Not Specified",Registered!E591)),"")</f>
        <v/>
      </c>
      <c r="AU591" s="3" t="str">
        <f>IF(Registered!AE591=0,"",IF(Registered!AE591=1,Registered!AE591&amp;" Bandana",Registered!AE591&amp;" Bandanas"))</f>
        <v/>
      </c>
      <c r="AV591" s="3">
        <f t="shared" si="29"/>
        <v>0</v>
      </c>
      <c r="AW591" s="2" t="str">
        <f>IF(Registered!AV591=0,"",IF(Registered!AV591=1,Registered!AV591&amp;" Meal",Registered!AV591&amp;" Meals"))</f>
        <v/>
      </c>
      <c r="AX591" s="2" t="str">
        <f>IF(Registered!AI591=0,"",Registered!AI591&amp;" BG")</f>
        <v/>
      </c>
      <c r="AY591" s="2" t="str">
        <f>IF(Registered!AG591=0,"",Registered!AG591&amp;" DustMask")</f>
        <v/>
      </c>
    </row>
    <row r="592" spans="1:51" customFormat="1" x14ac:dyDescent="0.25">
      <c r="A592" t="s">
        <v>153</v>
      </c>
      <c r="B592" t="s">
        <v>4222</v>
      </c>
      <c r="C592" t="s">
        <v>6090</v>
      </c>
      <c r="D592" t="s">
        <v>4223</v>
      </c>
      <c r="E592" t="s">
        <v>65</v>
      </c>
      <c r="F592" t="s">
        <v>261</v>
      </c>
      <c r="I592" t="s">
        <v>4224</v>
      </c>
      <c r="J592" t="s">
        <v>37</v>
      </c>
      <c r="K592" t="s">
        <v>32</v>
      </c>
      <c r="L592" t="s">
        <v>35</v>
      </c>
      <c r="Q592">
        <v>1</v>
      </c>
      <c r="R592">
        <v>3</v>
      </c>
      <c r="AQ592">
        <v>3</v>
      </c>
      <c r="AR592" s="3">
        <f t="shared" si="27"/>
        <v>0</v>
      </c>
      <c r="AS592" s="3">
        <f t="shared" si="28"/>
        <v>0</v>
      </c>
      <c r="AT592" s="3" t="str">
        <f>IF(OR(Registered!AM592&gt;0,Registered!AO592&gt;0),(IF(Registered!E592=0,"Size Not Specified",Registered!E592)),"")</f>
        <v/>
      </c>
      <c r="AU592" s="3" t="str">
        <f>IF(Registered!AE592=0,"",IF(Registered!AE592=1,Registered!AE592&amp;" Bandana",Registered!AE592&amp;" Bandanas"))</f>
        <v/>
      </c>
      <c r="AV592" s="3">
        <f t="shared" si="29"/>
        <v>0</v>
      </c>
      <c r="AW592" s="2" t="str">
        <f>IF(Registered!AV592=0,"",IF(Registered!AV592=1,Registered!AV592&amp;" Meal",Registered!AV592&amp;" Meals"))</f>
        <v/>
      </c>
      <c r="AX592" s="2" t="str">
        <f>IF(Registered!AI592=0,"",Registered!AI592&amp;" BG")</f>
        <v/>
      </c>
      <c r="AY592" s="2" t="str">
        <f>IF(Registered!AG592=0,"",Registered!AG592&amp;" DustMask")</f>
        <v/>
      </c>
    </row>
    <row r="593" spans="1:51" customFormat="1" x14ac:dyDescent="0.25">
      <c r="A593" t="s">
        <v>150</v>
      </c>
      <c r="B593" t="s">
        <v>4225</v>
      </c>
      <c r="C593" t="s">
        <v>6090</v>
      </c>
      <c r="G593" t="s">
        <v>4226</v>
      </c>
      <c r="H593" t="s">
        <v>4225</v>
      </c>
      <c r="I593" t="s">
        <v>4227</v>
      </c>
      <c r="J593" t="s">
        <v>37</v>
      </c>
      <c r="K593" t="s">
        <v>32</v>
      </c>
      <c r="L593" t="s">
        <v>35</v>
      </c>
      <c r="AQ593">
        <v>0</v>
      </c>
      <c r="AR593" s="3">
        <f t="shared" si="27"/>
        <v>0</v>
      </c>
      <c r="AS593" s="3">
        <f t="shared" si="28"/>
        <v>0</v>
      </c>
      <c r="AT593" s="3" t="str">
        <f>IF(OR(Registered!AM593&gt;0,Registered!AO593&gt;0),(IF(Registered!E593=0,"Size Not Specified",Registered!E593)),"")</f>
        <v/>
      </c>
      <c r="AU593" s="3" t="str">
        <f>IF(Registered!AE593=0,"",IF(Registered!AE593=1,Registered!AE593&amp;" Bandana",Registered!AE593&amp;" Bandanas"))</f>
        <v/>
      </c>
      <c r="AV593" s="3">
        <f t="shared" si="29"/>
        <v>0</v>
      </c>
      <c r="AW593" s="2" t="str">
        <f>IF(Registered!AV593=0,"",IF(Registered!AV593=1,Registered!AV593&amp;" Meal",Registered!AV593&amp;" Meals"))</f>
        <v/>
      </c>
      <c r="AX593" s="2" t="str">
        <f>IF(Registered!AI593=0,"",Registered!AI593&amp;" BG")</f>
        <v/>
      </c>
      <c r="AY593" s="2" t="str">
        <f>IF(Registered!AG593=0,"",Registered!AG593&amp;" DustMask")</f>
        <v/>
      </c>
    </row>
    <row r="594" spans="1:51" customFormat="1" x14ac:dyDescent="0.25">
      <c r="A594" t="s">
        <v>4226</v>
      </c>
      <c r="B594" t="s">
        <v>4225</v>
      </c>
      <c r="C594" t="s">
        <v>6090</v>
      </c>
      <c r="D594" t="s">
        <v>4228</v>
      </c>
      <c r="F594" t="s">
        <v>261</v>
      </c>
      <c r="I594" t="s">
        <v>4227</v>
      </c>
      <c r="J594" t="s">
        <v>37</v>
      </c>
      <c r="K594" t="s">
        <v>32</v>
      </c>
      <c r="L594" t="s">
        <v>35</v>
      </c>
      <c r="Q594">
        <v>4</v>
      </c>
      <c r="R594">
        <v>3</v>
      </c>
      <c r="Y594">
        <v>1</v>
      </c>
      <c r="Z594">
        <v>60</v>
      </c>
      <c r="AQ594">
        <v>72</v>
      </c>
      <c r="AR594" s="3">
        <f t="shared" si="27"/>
        <v>30</v>
      </c>
      <c r="AS594" s="3">
        <f t="shared" si="28"/>
        <v>0</v>
      </c>
      <c r="AT594" s="3" t="str">
        <f>IF(OR(Registered!AM594&gt;0,Registered!AO594&gt;0),(IF(Registered!E594=0,"Size Not Specified",Registered!E594)),"")</f>
        <v/>
      </c>
      <c r="AU594" s="3" t="str">
        <f>IF(Registered!AE594=0,"",IF(Registered!AE594=1,Registered!AE594&amp;" Bandana",Registered!AE594&amp;" Bandanas"))</f>
        <v/>
      </c>
      <c r="AV594" s="3">
        <f t="shared" si="29"/>
        <v>0</v>
      </c>
      <c r="AW594" s="2" t="str">
        <f>IF(Registered!AV594=0,"",IF(Registered!AV594=1,Registered!AV594&amp;" Meal",Registered!AV594&amp;" Meals"))</f>
        <v/>
      </c>
      <c r="AX594" s="2" t="str">
        <f>IF(Registered!AI594=0,"",Registered!AI594&amp;" BG")</f>
        <v/>
      </c>
      <c r="AY594" s="2" t="str">
        <f>IF(Registered!AG594=0,"",Registered!AG594&amp;" DustMask")</f>
        <v/>
      </c>
    </row>
    <row r="595" spans="1:51" customFormat="1" x14ac:dyDescent="0.25">
      <c r="A595" t="s">
        <v>240</v>
      </c>
      <c r="B595" t="s">
        <v>4229</v>
      </c>
      <c r="C595" t="s">
        <v>6090</v>
      </c>
      <c r="G595" t="s">
        <v>4230</v>
      </c>
      <c r="H595" t="s">
        <v>4231</v>
      </c>
      <c r="I595" t="s">
        <v>4232</v>
      </c>
      <c r="J595" t="s">
        <v>37</v>
      </c>
      <c r="K595" t="s">
        <v>32</v>
      </c>
      <c r="L595" t="s">
        <v>35</v>
      </c>
      <c r="AQ595">
        <v>0</v>
      </c>
      <c r="AR595" s="3">
        <f t="shared" si="27"/>
        <v>0</v>
      </c>
      <c r="AS595" s="3">
        <f t="shared" si="28"/>
        <v>0</v>
      </c>
      <c r="AT595" s="3" t="str">
        <f>IF(OR(Registered!AM595&gt;0,Registered!AO595&gt;0),(IF(Registered!E595=0,"Size Not Specified",Registered!E595)),"")</f>
        <v/>
      </c>
      <c r="AU595" s="3" t="str">
        <f>IF(Registered!AE595=0,"",IF(Registered!AE595=1,Registered!AE595&amp;" Bandana",Registered!AE595&amp;" Bandanas"))</f>
        <v/>
      </c>
      <c r="AV595" s="3">
        <f t="shared" si="29"/>
        <v>0</v>
      </c>
      <c r="AW595" s="2" t="str">
        <f>IF(Registered!AV595=0,"",IF(Registered!AV595=1,Registered!AV595&amp;" Meal",Registered!AV595&amp;" Meals"))</f>
        <v/>
      </c>
      <c r="AX595" s="2" t="str">
        <f>IF(Registered!AI595=0,"",Registered!AI595&amp;" BG")</f>
        <v/>
      </c>
      <c r="AY595" s="2" t="str">
        <f>IF(Registered!AG595=0,"",Registered!AG595&amp;" DustMask")</f>
        <v/>
      </c>
    </row>
    <row r="596" spans="1:51" customFormat="1" x14ac:dyDescent="0.25">
      <c r="A596" t="s">
        <v>98</v>
      </c>
      <c r="B596" t="s">
        <v>4236</v>
      </c>
      <c r="C596" t="s">
        <v>6090</v>
      </c>
      <c r="G596" t="s">
        <v>3986</v>
      </c>
      <c r="H596" t="s">
        <v>1815</v>
      </c>
      <c r="I596" t="s">
        <v>4237</v>
      </c>
      <c r="J596" t="s">
        <v>37</v>
      </c>
      <c r="K596" t="s">
        <v>32</v>
      </c>
      <c r="L596" t="s">
        <v>35</v>
      </c>
      <c r="AQ596">
        <v>0</v>
      </c>
      <c r="AR596" s="3">
        <f t="shared" si="27"/>
        <v>0</v>
      </c>
      <c r="AS596" s="3">
        <f t="shared" si="28"/>
        <v>0</v>
      </c>
      <c r="AT596" s="3" t="str">
        <f>IF(OR(Registered!AM596&gt;0,Registered!AO596&gt;0),(IF(Registered!E596=0,"Size Not Specified",Registered!E596)),"")</f>
        <v/>
      </c>
      <c r="AU596" s="3" t="str">
        <f>IF(Registered!AE596=0,"",IF(Registered!AE596=1,Registered!AE596&amp;" Bandana",Registered!AE596&amp;" Bandanas"))</f>
        <v/>
      </c>
      <c r="AV596" s="3">
        <f t="shared" si="29"/>
        <v>0</v>
      </c>
      <c r="AW596" s="2" t="str">
        <f>IF(Registered!AV596=0,"",IF(Registered!AV596=1,Registered!AV596&amp;" Meal",Registered!AV596&amp;" Meals"))</f>
        <v/>
      </c>
      <c r="AX596" s="2" t="str">
        <f>IF(Registered!AI596=0,"",Registered!AI596&amp;" BG")</f>
        <v/>
      </c>
      <c r="AY596" s="2" t="str">
        <f>IF(Registered!AG596=0,"",Registered!AG596&amp;" DustMask")</f>
        <v/>
      </c>
    </row>
    <row r="597" spans="1:51" customFormat="1" x14ac:dyDescent="0.25">
      <c r="A597" t="s">
        <v>220</v>
      </c>
      <c r="B597" t="s">
        <v>4238</v>
      </c>
      <c r="C597" t="s">
        <v>6090</v>
      </c>
      <c r="D597" t="s">
        <v>4239</v>
      </c>
      <c r="F597" t="s">
        <v>261</v>
      </c>
      <c r="I597" t="s">
        <v>4240</v>
      </c>
      <c r="J597" t="s">
        <v>37</v>
      </c>
      <c r="K597" t="s">
        <v>32</v>
      </c>
      <c r="L597" t="s">
        <v>35</v>
      </c>
      <c r="Q597">
        <v>5</v>
      </c>
      <c r="R597">
        <v>3</v>
      </c>
      <c r="AM597">
        <v>2</v>
      </c>
      <c r="AN597">
        <v>25</v>
      </c>
      <c r="AQ597">
        <v>65</v>
      </c>
      <c r="AR597" s="3">
        <f t="shared" si="27"/>
        <v>10</v>
      </c>
      <c r="AS597" s="3">
        <f t="shared" si="28"/>
        <v>2</v>
      </c>
      <c r="AT597" s="3" t="str">
        <f>IF(OR(Registered!AM597&gt;0,Registered!AO597&gt;0),(IF(Registered!E597=0,"Size Not Specified",Registered!E597)),"")</f>
        <v>Size Not Specified</v>
      </c>
      <c r="AU597" s="3" t="str">
        <f>IF(Registered!AE597=0,"",IF(Registered!AE597=1,Registered!AE597&amp;" Bandana",Registered!AE597&amp;" Bandanas"))</f>
        <v/>
      </c>
      <c r="AV597" s="3">
        <f t="shared" si="29"/>
        <v>2</v>
      </c>
      <c r="AW597" s="2" t="str">
        <f>IF(Registered!AV597=0,"",IF(Registered!AV597=1,Registered!AV597&amp;" Meal",Registered!AV597&amp;" Meals"))</f>
        <v>2 Meals</v>
      </c>
      <c r="AX597" s="2" t="str">
        <f>IF(Registered!AI597=0,"",Registered!AI597&amp;" BG")</f>
        <v/>
      </c>
      <c r="AY597" s="2" t="str">
        <f>IF(Registered!AG597=0,"",Registered!AG597&amp;" DustMask")</f>
        <v/>
      </c>
    </row>
    <row r="598" spans="1:51" customFormat="1" x14ac:dyDescent="0.25">
      <c r="A598" t="s">
        <v>105</v>
      </c>
      <c r="B598" t="s">
        <v>2862</v>
      </c>
      <c r="C598" t="s">
        <v>6090</v>
      </c>
      <c r="D598" t="s">
        <v>105</v>
      </c>
      <c r="F598" t="s">
        <v>261</v>
      </c>
      <c r="I598" t="s">
        <v>2863</v>
      </c>
      <c r="J598" t="s">
        <v>37</v>
      </c>
      <c r="K598" t="s">
        <v>32</v>
      </c>
      <c r="L598" t="s">
        <v>35</v>
      </c>
      <c r="Q598">
        <v>3</v>
      </c>
      <c r="R598">
        <v>3</v>
      </c>
      <c r="U598">
        <v>1</v>
      </c>
      <c r="V598">
        <v>20</v>
      </c>
      <c r="AQ598">
        <v>29</v>
      </c>
      <c r="AR598" s="3">
        <f t="shared" si="27"/>
        <v>10</v>
      </c>
      <c r="AS598" s="3">
        <f t="shared" si="28"/>
        <v>0</v>
      </c>
      <c r="AT598" s="3" t="str">
        <f>IF(OR(Registered!AM598&gt;0,Registered!AO598&gt;0),(IF(Registered!E598=0,"Size Not Specified",Registered!E598)),"")</f>
        <v/>
      </c>
      <c r="AU598" s="3" t="str">
        <f>IF(Registered!AE598=0,"",IF(Registered!AE598=1,Registered!AE598&amp;" Bandana",Registered!AE598&amp;" Bandanas"))</f>
        <v/>
      </c>
      <c r="AV598" s="3">
        <f t="shared" si="29"/>
        <v>0</v>
      </c>
      <c r="AW598" s="2" t="str">
        <f>IF(Registered!AV598=0,"",IF(Registered!AV598=1,Registered!AV598&amp;" Meal",Registered!AV598&amp;" Meals"))</f>
        <v/>
      </c>
      <c r="AX598" s="2" t="str">
        <f>IF(Registered!AI598=0,"",Registered!AI598&amp;" BG")</f>
        <v/>
      </c>
      <c r="AY598" s="2" t="str">
        <f>IF(Registered!AG598=0,"",Registered!AG598&amp;" DustMask")</f>
        <v/>
      </c>
    </row>
    <row r="599" spans="1:51" customFormat="1" x14ac:dyDescent="0.25">
      <c r="A599" t="s">
        <v>107</v>
      </c>
      <c r="B599" t="s">
        <v>4241</v>
      </c>
      <c r="C599" t="s">
        <v>6090</v>
      </c>
      <c r="G599" t="s">
        <v>263</v>
      </c>
      <c r="H599" t="s">
        <v>4241</v>
      </c>
      <c r="I599" t="s">
        <v>4242</v>
      </c>
      <c r="J599" t="s">
        <v>37</v>
      </c>
      <c r="K599" t="s">
        <v>32</v>
      </c>
      <c r="L599" t="s">
        <v>35</v>
      </c>
      <c r="AQ599">
        <v>0</v>
      </c>
      <c r="AR599" s="3">
        <f t="shared" si="27"/>
        <v>0</v>
      </c>
      <c r="AS599" s="3">
        <f t="shared" si="28"/>
        <v>0</v>
      </c>
      <c r="AT599" s="3" t="str">
        <f>IF(OR(Registered!AM599&gt;0,Registered!AO599&gt;0),(IF(Registered!E599=0,"Size Not Specified",Registered!E599)),"")</f>
        <v/>
      </c>
      <c r="AU599" s="3" t="str">
        <f>IF(Registered!AE599=0,"",IF(Registered!AE599=1,Registered!AE599&amp;" Bandana",Registered!AE599&amp;" Bandanas"))</f>
        <v/>
      </c>
      <c r="AV599" s="3">
        <f t="shared" si="29"/>
        <v>0</v>
      </c>
      <c r="AW599" s="2" t="str">
        <f>IF(Registered!AV599=0,"",IF(Registered!AV599=1,Registered!AV599&amp;" Meal",Registered!AV599&amp;" Meals"))</f>
        <v/>
      </c>
      <c r="AX599" s="2" t="str">
        <f>IF(Registered!AI599=0,"",Registered!AI599&amp;" BG")</f>
        <v/>
      </c>
      <c r="AY599" s="2" t="str">
        <f>IF(Registered!AG599=0,"",Registered!AG599&amp;" DustMask")</f>
        <v/>
      </c>
    </row>
    <row r="600" spans="1:51" customFormat="1" x14ac:dyDescent="0.25">
      <c r="A600" t="s">
        <v>263</v>
      </c>
      <c r="B600" t="s">
        <v>4241</v>
      </c>
      <c r="C600" t="s">
        <v>6090</v>
      </c>
      <c r="D600" t="s">
        <v>4243</v>
      </c>
      <c r="E600" t="s">
        <v>67</v>
      </c>
      <c r="F600" t="s">
        <v>261</v>
      </c>
      <c r="I600" t="s">
        <v>4242</v>
      </c>
      <c r="J600" t="s">
        <v>37</v>
      </c>
      <c r="K600" t="s">
        <v>32</v>
      </c>
      <c r="L600" t="s">
        <v>35</v>
      </c>
      <c r="Q600">
        <v>2</v>
      </c>
      <c r="R600">
        <v>3</v>
      </c>
      <c r="AM600">
        <v>2</v>
      </c>
      <c r="AN600">
        <v>25</v>
      </c>
      <c r="AQ600">
        <v>56</v>
      </c>
      <c r="AR600" s="3">
        <f t="shared" si="27"/>
        <v>10</v>
      </c>
      <c r="AS600" s="3">
        <f t="shared" si="28"/>
        <v>2</v>
      </c>
      <c r="AT600" s="3" t="str">
        <f>IF(OR(Registered!AM600&gt;0,Registered!AO600&gt;0),(IF(Registered!E600=0,"Size Not Specified",Registered!E600)),"")</f>
        <v>medium</v>
      </c>
      <c r="AU600" s="3" t="str">
        <f>IF(Registered!AE600=0,"",IF(Registered!AE600=1,Registered!AE600&amp;" Bandana",Registered!AE600&amp;" Bandanas"))</f>
        <v/>
      </c>
      <c r="AV600" s="3">
        <f t="shared" si="29"/>
        <v>2</v>
      </c>
      <c r="AW600" s="2" t="str">
        <f>IF(Registered!AV600=0,"",IF(Registered!AV600=1,Registered!AV600&amp;" Meal",Registered!AV600&amp;" Meals"))</f>
        <v>2 Meals</v>
      </c>
      <c r="AX600" s="2" t="str">
        <f>IF(Registered!AI600=0,"",Registered!AI600&amp;" BG")</f>
        <v/>
      </c>
      <c r="AY600" s="2" t="str">
        <f>IF(Registered!AG600=0,"",Registered!AG600&amp;" DustMask")</f>
        <v/>
      </c>
    </row>
    <row r="601" spans="1:51" customFormat="1" x14ac:dyDescent="0.25">
      <c r="A601" t="s">
        <v>4244</v>
      </c>
      <c r="B601" t="s">
        <v>3466</v>
      </c>
      <c r="C601" t="s">
        <v>6090</v>
      </c>
      <c r="D601" t="s">
        <v>4245</v>
      </c>
      <c r="F601" t="s">
        <v>261</v>
      </c>
      <c r="I601" t="s">
        <v>4246</v>
      </c>
      <c r="J601" t="s">
        <v>37</v>
      </c>
      <c r="K601" t="s">
        <v>32</v>
      </c>
      <c r="L601" t="s">
        <v>35</v>
      </c>
      <c r="Q601">
        <v>2</v>
      </c>
      <c r="R601">
        <v>3</v>
      </c>
      <c r="U601">
        <v>2</v>
      </c>
      <c r="V601">
        <v>20</v>
      </c>
      <c r="AQ601">
        <v>46</v>
      </c>
      <c r="AR601" s="3">
        <f t="shared" si="27"/>
        <v>20</v>
      </c>
      <c r="AS601" s="3">
        <f t="shared" si="28"/>
        <v>0</v>
      </c>
      <c r="AT601" s="3" t="str">
        <f>IF(OR(Registered!AM601&gt;0,Registered!AO601&gt;0),(IF(Registered!E601=0,"Size Not Specified",Registered!E601)),"")</f>
        <v/>
      </c>
      <c r="AU601" s="3" t="str">
        <f>IF(Registered!AE601=0,"",IF(Registered!AE601=1,Registered!AE601&amp;" Bandana",Registered!AE601&amp;" Bandanas"))</f>
        <v/>
      </c>
      <c r="AV601" s="3">
        <f t="shared" si="29"/>
        <v>0</v>
      </c>
      <c r="AW601" s="2" t="str">
        <f>IF(Registered!AV601=0,"",IF(Registered!AV601=1,Registered!AV601&amp;" Meal",Registered!AV601&amp;" Meals"))</f>
        <v/>
      </c>
      <c r="AX601" s="2" t="str">
        <f>IF(Registered!AI601=0,"",Registered!AI601&amp;" BG")</f>
        <v/>
      </c>
      <c r="AY601" s="2" t="str">
        <f>IF(Registered!AG601=0,"",Registered!AG601&amp;" DustMask")</f>
        <v/>
      </c>
    </row>
    <row r="602" spans="1:51" customFormat="1" x14ac:dyDescent="0.25">
      <c r="A602" t="s">
        <v>421</v>
      </c>
      <c r="B602" t="s">
        <v>3466</v>
      </c>
      <c r="C602" t="s">
        <v>6090</v>
      </c>
      <c r="G602" t="s">
        <v>4244</v>
      </c>
      <c r="H602" t="s">
        <v>3466</v>
      </c>
      <c r="I602" t="s">
        <v>4246</v>
      </c>
      <c r="J602" t="s">
        <v>37</v>
      </c>
      <c r="K602" t="s">
        <v>32</v>
      </c>
      <c r="L602" t="s">
        <v>35</v>
      </c>
      <c r="AQ602">
        <v>0</v>
      </c>
      <c r="AR602" s="3">
        <f t="shared" si="27"/>
        <v>0</v>
      </c>
      <c r="AS602" s="3">
        <f t="shared" si="28"/>
        <v>0</v>
      </c>
      <c r="AT602" s="3" t="str">
        <f>IF(OR(Registered!AM602&gt;0,Registered!AO602&gt;0),(IF(Registered!E602=0,"Size Not Specified",Registered!E602)),"")</f>
        <v/>
      </c>
      <c r="AU602" s="3" t="str">
        <f>IF(Registered!AE602=0,"",IF(Registered!AE602=1,Registered!AE602&amp;" Bandana",Registered!AE602&amp;" Bandanas"))</f>
        <v/>
      </c>
      <c r="AV602" s="3">
        <f t="shared" si="29"/>
        <v>0</v>
      </c>
      <c r="AW602" s="2" t="str">
        <f>IF(Registered!AV602=0,"",IF(Registered!AV602=1,Registered!AV602&amp;" Meal",Registered!AV602&amp;" Meals"))</f>
        <v/>
      </c>
      <c r="AX602" s="2" t="str">
        <f>IF(Registered!AI602=0,"",Registered!AI602&amp;" BG")</f>
        <v/>
      </c>
      <c r="AY602" s="2" t="str">
        <f>IF(Registered!AG602=0,"",Registered!AG602&amp;" DustMask")</f>
        <v/>
      </c>
    </row>
    <row r="603" spans="1:51" customFormat="1" x14ac:dyDescent="0.25">
      <c r="A603" t="s">
        <v>4247</v>
      </c>
      <c r="B603" t="s">
        <v>4248</v>
      </c>
      <c r="C603" t="s">
        <v>6090</v>
      </c>
      <c r="D603" t="s">
        <v>4249</v>
      </c>
      <c r="F603" t="s">
        <v>261</v>
      </c>
      <c r="I603" t="s">
        <v>4250</v>
      </c>
      <c r="J603" t="s">
        <v>37</v>
      </c>
      <c r="K603" t="s">
        <v>32</v>
      </c>
      <c r="L603" t="s">
        <v>35</v>
      </c>
      <c r="Q603">
        <v>1</v>
      </c>
      <c r="R603">
        <v>3</v>
      </c>
      <c r="AC603">
        <v>1</v>
      </c>
      <c r="AD603">
        <v>10</v>
      </c>
      <c r="AQ603">
        <v>13</v>
      </c>
      <c r="AR603" s="3">
        <f t="shared" si="27"/>
        <v>5</v>
      </c>
      <c r="AS603" s="3">
        <f t="shared" si="28"/>
        <v>0</v>
      </c>
      <c r="AT603" s="3" t="str">
        <f>IF(OR(Registered!AM603&gt;0,Registered!AO603&gt;0),(IF(Registered!E603=0,"Size Not Specified",Registered!E603)),"")</f>
        <v/>
      </c>
      <c r="AU603" s="3" t="str">
        <f>IF(Registered!AE603=0,"",IF(Registered!AE603=1,Registered!AE603&amp;" Bandana",Registered!AE603&amp;" Bandanas"))</f>
        <v/>
      </c>
      <c r="AV603" s="3">
        <f t="shared" si="29"/>
        <v>0</v>
      </c>
      <c r="AW603" s="2" t="str">
        <f>IF(Registered!AV603=0,"",IF(Registered!AV603=1,Registered!AV603&amp;" Meal",Registered!AV603&amp;" Meals"))</f>
        <v/>
      </c>
      <c r="AX603" s="2" t="str">
        <f>IF(Registered!AI603=0,"",Registered!AI603&amp;" BG")</f>
        <v/>
      </c>
      <c r="AY603" s="2" t="str">
        <f>IF(Registered!AG603=0,"",Registered!AG603&amp;" DustMask")</f>
        <v/>
      </c>
    </row>
    <row r="604" spans="1:51" customFormat="1" x14ac:dyDescent="0.25">
      <c r="A604" t="s">
        <v>776</v>
      </c>
      <c r="B604" t="s">
        <v>4206</v>
      </c>
      <c r="C604" t="s">
        <v>6090</v>
      </c>
      <c r="D604" t="s">
        <v>4251</v>
      </c>
      <c r="F604" t="s">
        <v>261</v>
      </c>
      <c r="I604" t="s">
        <v>4207</v>
      </c>
      <c r="J604" t="s">
        <v>37</v>
      </c>
      <c r="K604" t="s">
        <v>32</v>
      </c>
      <c r="L604" t="s">
        <v>35</v>
      </c>
      <c r="Q604">
        <v>2</v>
      </c>
      <c r="R604">
        <v>3</v>
      </c>
      <c r="U604">
        <v>1</v>
      </c>
      <c r="V604">
        <v>20</v>
      </c>
      <c r="AG604">
        <v>1</v>
      </c>
      <c r="AH604">
        <v>1</v>
      </c>
      <c r="AQ604">
        <v>27</v>
      </c>
      <c r="AR604" s="3">
        <f t="shared" si="27"/>
        <v>10</v>
      </c>
      <c r="AS604" s="3">
        <f t="shared" si="28"/>
        <v>0</v>
      </c>
      <c r="AT604" s="3" t="str">
        <f>IF(OR(Registered!AM604&gt;0,Registered!AO604&gt;0),(IF(Registered!E604=0,"Size Not Specified",Registered!E604)),"")</f>
        <v/>
      </c>
      <c r="AU604" s="3" t="str">
        <f>IF(Registered!AE604=0,"",IF(Registered!AE604=1,Registered!AE604&amp;" Bandana",Registered!AE604&amp;" Bandanas"))</f>
        <v/>
      </c>
      <c r="AV604" s="3">
        <f t="shared" si="29"/>
        <v>0</v>
      </c>
      <c r="AW604" s="2" t="str">
        <f>IF(Registered!AV604=0,"",IF(Registered!AV604=1,Registered!AV604&amp;" Meal",Registered!AV604&amp;" Meals"))</f>
        <v/>
      </c>
      <c r="AX604" s="2" t="str">
        <f>IF(Registered!AI604=0,"",Registered!AI604&amp;" BG")</f>
        <v/>
      </c>
      <c r="AY604" s="2" t="str">
        <f>IF(Registered!AG604=0,"",Registered!AG604&amp;" DustMask")</f>
        <v>1 DustMask</v>
      </c>
    </row>
    <row r="605" spans="1:51" customFormat="1" x14ac:dyDescent="0.25">
      <c r="A605" t="s">
        <v>166</v>
      </c>
      <c r="B605" t="s">
        <v>1140</v>
      </c>
      <c r="C605" t="s">
        <v>6090</v>
      </c>
      <c r="G605" t="s">
        <v>263</v>
      </c>
      <c r="H605" t="s">
        <v>1140</v>
      </c>
      <c r="I605" t="s">
        <v>4252</v>
      </c>
      <c r="J605" t="s">
        <v>37</v>
      </c>
      <c r="K605" t="s">
        <v>32</v>
      </c>
      <c r="L605" t="s">
        <v>35</v>
      </c>
      <c r="AQ605">
        <v>0</v>
      </c>
      <c r="AR605" s="3">
        <f t="shared" si="27"/>
        <v>0</v>
      </c>
      <c r="AS605" s="3">
        <f t="shared" si="28"/>
        <v>0</v>
      </c>
      <c r="AT605" s="3" t="str">
        <f>IF(OR(Registered!AM605&gt;0,Registered!AO605&gt;0),(IF(Registered!E605=0,"Size Not Specified",Registered!E605)),"")</f>
        <v/>
      </c>
      <c r="AU605" s="3" t="str">
        <f>IF(Registered!AE605=0,"",IF(Registered!AE605=1,Registered!AE605&amp;" Bandana",Registered!AE605&amp;" Bandanas"))</f>
        <v/>
      </c>
      <c r="AV605" s="3">
        <f t="shared" si="29"/>
        <v>0</v>
      </c>
      <c r="AW605" s="2" t="str">
        <f>IF(Registered!AV605=0,"",IF(Registered!AV605=1,Registered!AV605&amp;" Meal",Registered!AV605&amp;" Meals"))</f>
        <v/>
      </c>
      <c r="AX605" s="2" t="str">
        <f>IF(Registered!AI605=0,"",Registered!AI605&amp;" BG")</f>
        <v/>
      </c>
      <c r="AY605" s="2" t="str">
        <f>IF(Registered!AG605=0,"",Registered!AG605&amp;" DustMask")</f>
        <v/>
      </c>
    </row>
    <row r="606" spans="1:51" customFormat="1" x14ac:dyDescent="0.25">
      <c r="A606" t="s">
        <v>1139</v>
      </c>
      <c r="B606" t="s">
        <v>1140</v>
      </c>
      <c r="C606" t="s">
        <v>6090</v>
      </c>
      <c r="G606" t="s">
        <v>1141</v>
      </c>
      <c r="H606" t="s">
        <v>1142</v>
      </c>
      <c r="I606" t="s">
        <v>1143</v>
      </c>
      <c r="J606" t="s">
        <v>37</v>
      </c>
      <c r="K606" t="s">
        <v>32</v>
      </c>
      <c r="L606" t="s">
        <v>35</v>
      </c>
      <c r="AQ606">
        <v>0</v>
      </c>
      <c r="AR606" s="3">
        <f t="shared" si="27"/>
        <v>0</v>
      </c>
      <c r="AS606" s="3">
        <f t="shared" si="28"/>
        <v>0</v>
      </c>
      <c r="AT606" s="3" t="str">
        <f>IF(OR(Registered!AM606&gt;0,Registered!AO606&gt;0),(IF(Registered!E606=0,"Size Not Specified",Registered!E606)),"")</f>
        <v/>
      </c>
      <c r="AU606" s="3" t="str">
        <f>IF(Registered!AE606=0,"",IF(Registered!AE606=1,Registered!AE606&amp;" Bandana",Registered!AE606&amp;" Bandanas"))</f>
        <v/>
      </c>
      <c r="AV606" s="3">
        <f t="shared" si="29"/>
        <v>0</v>
      </c>
      <c r="AW606" s="2" t="str">
        <f>IF(Registered!AV606=0,"",IF(Registered!AV606=1,Registered!AV606&amp;" Meal",Registered!AV606&amp;" Meals"))</f>
        <v/>
      </c>
      <c r="AX606" s="2" t="str">
        <f>IF(Registered!AI606=0,"",Registered!AI606&amp;" BG")</f>
        <v/>
      </c>
      <c r="AY606" s="2" t="str">
        <f>IF(Registered!AG606=0,"",Registered!AG606&amp;" DustMask")</f>
        <v/>
      </c>
    </row>
    <row r="607" spans="1:51" customFormat="1" x14ac:dyDescent="0.25">
      <c r="A607" t="s">
        <v>263</v>
      </c>
      <c r="B607" t="s">
        <v>1140</v>
      </c>
      <c r="C607" t="s">
        <v>6090</v>
      </c>
      <c r="D607" t="s">
        <v>4253</v>
      </c>
      <c r="F607" t="s">
        <v>261</v>
      </c>
      <c r="I607" t="s">
        <v>4252</v>
      </c>
      <c r="J607" t="s">
        <v>37</v>
      </c>
      <c r="K607" t="s">
        <v>32</v>
      </c>
      <c r="L607" t="s">
        <v>35</v>
      </c>
      <c r="Q607">
        <v>4</v>
      </c>
      <c r="R607">
        <v>3</v>
      </c>
      <c r="AC607">
        <v>4</v>
      </c>
      <c r="AD607">
        <v>10</v>
      </c>
      <c r="AE607">
        <v>4</v>
      </c>
      <c r="AF607">
        <v>6</v>
      </c>
      <c r="AQ607">
        <v>76</v>
      </c>
      <c r="AR607" s="3">
        <f t="shared" si="27"/>
        <v>20</v>
      </c>
      <c r="AS607" s="3">
        <f t="shared" si="28"/>
        <v>0</v>
      </c>
      <c r="AT607" s="3" t="str">
        <f>IF(OR(Registered!AM607&gt;0,Registered!AO607&gt;0),(IF(Registered!E607=0,"Size Not Specified",Registered!E607)),"")</f>
        <v/>
      </c>
      <c r="AU607" s="3" t="str">
        <f>IF(Registered!AE607=0,"",IF(Registered!AE607=1,Registered!AE607&amp;" Bandana",Registered!AE607&amp;" Bandanas"))</f>
        <v>4 Bandanas</v>
      </c>
      <c r="AV607" s="3">
        <f t="shared" si="29"/>
        <v>0</v>
      </c>
      <c r="AW607" s="2" t="str">
        <f>IF(Registered!AV607=0,"",IF(Registered!AV607=1,Registered!AV607&amp;" Meal",Registered!AV607&amp;" Meals"))</f>
        <v/>
      </c>
      <c r="AX607" s="2" t="str">
        <f>IF(Registered!AI607=0,"",Registered!AI607&amp;" BG")</f>
        <v/>
      </c>
      <c r="AY607" s="2" t="str">
        <f>IF(Registered!AG607=0,"",Registered!AG607&amp;" DustMask")</f>
        <v/>
      </c>
    </row>
    <row r="608" spans="1:51" customFormat="1" x14ac:dyDescent="0.25">
      <c r="A608" t="s">
        <v>317</v>
      </c>
      <c r="B608" t="s">
        <v>4254</v>
      </c>
      <c r="C608" t="s">
        <v>6090</v>
      </c>
      <c r="D608" t="s">
        <v>4255</v>
      </c>
      <c r="F608" t="s">
        <v>907</v>
      </c>
      <c r="I608" t="s">
        <v>4256</v>
      </c>
      <c r="J608" t="s">
        <v>37</v>
      </c>
      <c r="K608" t="s">
        <v>32</v>
      </c>
      <c r="L608" t="s">
        <v>35</v>
      </c>
      <c r="Q608">
        <v>1</v>
      </c>
      <c r="R608">
        <v>3</v>
      </c>
      <c r="AQ608">
        <v>3</v>
      </c>
      <c r="AR608" s="3">
        <f t="shared" si="27"/>
        <v>0</v>
      </c>
      <c r="AS608" s="3">
        <f t="shared" si="28"/>
        <v>0</v>
      </c>
      <c r="AT608" s="3" t="str">
        <f>IF(OR(Registered!AM608&gt;0,Registered!AO608&gt;0),(IF(Registered!E608=0,"Size Not Specified",Registered!E608)),"")</f>
        <v/>
      </c>
      <c r="AU608" s="3" t="str">
        <f>IF(Registered!AE608=0,"",IF(Registered!AE608=1,Registered!AE608&amp;" Bandana",Registered!AE608&amp;" Bandanas"))</f>
        <v/>
      </c>
      <c r="AV608" s="3">
        <f t="shared" si="29"/>
        <v>0</v>
      </c>
      <c r="AW608" s="2" t="str">
        <f>IF(Registered!AV608=0,"",IF(Registered!AV608=1,Registered!AV608&amp;" Meal",Registered!AV608&amp;" Meals"))</f>
        <v/>
      </c>
      <c r="AX608" s="2" t="str">
        <f>IF(Registered!AI608=0,"",Registered!AI608&amp;" BG")</f>
        <v/>
      </c>
      <c r="AY608" s="2" t="str">
        <f>IF(Registered!AG608=0,"",Registered!AG608&amp;" DustMask")</f>
        <v/>
      </c>
    </row>
    <row r="609" spans="1:51" customFormat="1" x14ac:dyDescent="0.25">
      <c r="A609" t="s">
        <v>170</v>
      </c>
      <c r="B609" t="s">
        <v>1095</v>
      </c>
      <c r="C609" t="s">
        <v>6090</v>
      </c>
      <c r="D609" t="s">
        <v>1144</v>
      </c>
      <c r="I609" t="s">
        <v>1096</v>
      </c>
      <c r="J609" t="s">
        <v>37</v>
      </c>
      <c r="K609" t="s">
        <v>32</v>
      </c>
      <c r="L609" t="s">
        <v>35</v>
      </c>
      <c r="S609">
        <v>4</v>
      </c>
      <c r="T609">
        <v>3</v>
      </c>
      <c r="W609">
        <v>1</v>
      </c>
      <c r="X609">
        <v>40</v>
      </c>
      <c r="AQ609">
        <v>52</v>
      </c>
      <c r="AR609" s="3">
        <f t="shared" si="27"/>
        <v>20</v>
      </c>
      <c r="AS609" s="3">
        <f t="shared" si="28"/>
        <v>0</v>
      </c>
      <c r="AT609" s="3" t="str">
        <f>IF(OR(Registered!AM609&gt;0,Registered!AO609&gt;0),(IF(Registered!E609=0,"Size Not Specified",Registered!E609)),"")</f>
        <v/>
      </c>
      <c r="AU609" s="3" t="str">
        <f>IF(Registered!AE609=0,"",IF(Registered!AE609=1,Registered!AE609&amp;" Bandana",Registered!AE609&amp;" Bandanas"))</f>
        <v/>
      </c>
      <c r="AV609" s="3">
        <f t="shared" si="29"/>
        <v>0</v>
      </c>
      <c r="AW609" s="2" t="str">
        <f>IF(Registered!AV609=0,"",IF(Registered!AV609=1,Registered!AV609&amp;" Meal",Registered!AV609&amp;" Meals"))</f>
        <v/>
      </c>
      <c r="AX609" s="2" t="str">
        <f>IF(Registered!AI609=0,"",Registered!AI609&amp;" BG")</f>
        <v/>
      </c>
      <c r="AY609" s="2" t="str">
        <f>IF(Registered!AG609=0,"",Registered!AG609&amp;" DustMask")</f>
        <v/>
      </c>
    </row>
    <row r="610" spans="1:51" customFormat="1" x14ac:dyDescent="0.25">
      <c r="A610" t="s">
        <v>1145</v>
      </c>
      <c r="B610" t="s">
        <v>1095</v>
      </c>
      <c r="C610" t="s">
        <v>6090</v>
      </c>
      <c r="G610" t="s">
        <v>170</v>
      </c>
      <c r="H610" t="s">
        <v>1095</v>
      </c>
      <c r="I610" t="s">
        <v>1096</v>
      </c>
      <c r="J610" t="s">
        <v>37</v>
      </c>
      <c r="K610" t="s">
        <v>32</v>
      </c>
      <c r="L610" t="s">
        <v>35</v>
      </c>
      <c r="AQ610">
        <v>0</v>
      </c>
      <c r="AR610" s="3">
        <f t="shared" si="27"/>
        <v>0</v>
      </c>
      <c r="AS610" s="3">
        <f t="shared" si="28"/>
        <v>0</v>
      </c>
      <c r="AT610" s="3" t="str">
        <f>IF(OR(Registered!AM610&gt;0,Registered!AO610&gt;0),(IF(Registered!E610=0,"Size Not Specified",Registered!E610)),"")</f>
        <v/>
      </c>
      <c r="AU610" s="3" t="str">
        <f>IF(Registered!AE610=0,"",IF(Registered!AE610=1,Registered!AE610&amp;" Bandana",Registered!AE610&amp;" Bandanas"))</f>
        <v/>
      </c>
      <c r="AV610" s="3">
        <f t="shared" si="29"/>
        <v>0</v>
      </c>
      <c r="AW610" s="2" t="str">
        <f>IF(Registered!AV610=0,"",IF(Registered!AV610=1,Registered!AV610&amp;" Meal",Registered!AV610&amp;" Meals"))</f>
        <v/>
      </c>
      <c r="AX610" s="2" t="str">
        <f>IF(Registered!AI610=0,"",Registered!AI610&amp;" BG")</f>
        <v/>
      </c>
      <c r="AY610" s="2" t="str">
        <f>IF(Registered!AG610=0,"",Registered!AG610&amp;" DustMask")</f>
        <v/>
      </c>
    </row>
    <row r="611" spans="1:51" customFormat="1" x14ac:dyDescent="0.25">
      <c r="A611" t="s">
        <v>1146</v>
      </c>
      <c r="B611" t="s">
        <v>1095</v>
      </c>
      <c r="C611" t="s">
        <v>6090</v>
      </c>
      <c r="G611" t="s">
        <v>170</v>
      </c>
      <c r="H611" t="s">
        <v>1095</v>
      </c>
      <c r="I611" t="s">
        <v>1096</v>
      </c>
      <c r="J611" t="s">
        <v>37</v>
      </c>
      <c r="K611" t="s">
        <v>32</v>
      </c>
      <c r="L611" t="s">
        <v>35</v>
      </c>
      <c r="AQ611">
        <v>0</v>
      </c>
      <c r="AR611" s="3">
        <f t="shared" si="27"/>
        <v>0</v>
      </c>
      <c r="AS611" s="3">
        <f t="shared" si="28"/>
        <v>0</v>
      </c>
      <c r="AT611" s="3" t="str">
        <f>IF(OR(Registered!AM611&gt;0,Registered!AO611&gt;0),(IF(Registered!E611=0,"Size Not Specified",Registered!E611)),"")</f>
        <v/>
      </c>
      <c r="AU611" s="3" t="str">
        <f>IF(Registered!AE611=0,"",IF(Registered!AE611=1,Registered!AE611&amp;" Bandana",Registered!AE611&amp;" Bandanas"))</f>
        <v/>
      </c>
      <c r="AV611" s="3">
        <f t="shared" si="29"/>
        <v>0</v>
      </c>
      <c r="AW611" s="2" t="str">
        <f>IF(Registered!AV611=0,"",IF(Registered!AV611=1,Registered!AV611&amp;" Meal",Registered!AV611&amp;" Meals"))</f>
        <v/>
      </c>
      <c r="AX611" s="2" t="str">
        <f>IF(Registered!AI611=0,"",Registered!AI611&amp;" BG")</f>
        <v/>
      </c>
      <c r="AY611" s="2" t="str">
        <f>IF(Registered!AG611=0,"",Registered!AG611&amp;" DustMask")</f>
        <v/>
      </c>
    </row>
    <row r="612" spans="1:51" customFormat="1" x14ac:dyDescent="0.25">
      <c r="A612" t="s">
        <v>288</v>
      </c>
      <c r="B612" t="s">
        <v>4257</v>
      </c>
      <c r="C612" t="s">
        <v>6090</v>
      </c>
      <c r="D612" t="s">
        <v>4258</v>
      </c>
      <c r="E612" t="s">
        <v>65</v>
      </c>
      <c r="F612" t="s">
        <v>261</v>
      </c>
      <c r="I612" t="s">
        <v>4259</v>
      </c>
      <c r="J612" t="s">
        <v>37</v>
      </c>
      <c r="K612" t="s">
        <v>32</v>
      </c>
      <c r="L612" t="s">
        <v>35</v>
      </c>
      <c r="Q612">
        <v>1</v>
      </c>
      <c r="R612">
        <v>3</v>
      </c>
      <c r="AE612">
        <v>1</v>
      </c>
      <c r="AF612">
        <v>6</v>
      </c>
      <c r="AI612">
        <v>1</v>
      </c>
      <c r="AJ612">
        <v>10</v>
      </c>
      <c r="AM612">
        <v>1</v>
      </c>
      <c r="AN612">
        <v>25</v>
      </c>
      <c r="AQ612">
        <v>44</v>
      </c>
      <c r="AR612" s="3">
        <f t="shared" si="27"/>
        <v>5</v>
      </c>
      <c r="AS612" s="3">
        <f t="shared" si="28"/>
        <v>1</v>
      </c>
      <c r="AT612" s="3" t="str">
        <f>IF(OR(Registered!AM612&gt;0,Registered!AO612&gt;0),(IF(Registered!E612=0,"Size Not Specified",Registered!E612)),"")</f>
        <v>Medium</v>
      </c>
      <c r="AU612" s="3" t="str">
        <f>IF(Registered!AE612=0,"",IF(Registered!AE612=1,Registered!AE612&amp;" Bandana",Registered!AE612&amp;" Bandanas"))</f>
        <v>1 Bandana</v>
      </c>
      <c r="AV612" s="3">
        <f t="shared" si="29"/>
        <v>1</v>
      </c>
      <c r="AW612" s="2" t="str">
        <f>IF(Registered!AV612=0,"",IF(Registered!AV612=1,Registered!AV612&amp;" Meal",Registered!AV612&amp;" Meals"))</f>
        <v>1 Meal</v>
      </c>
      <c r="AX612" s="2" t="str">
        <f>IF(Registered!AI612=0,"",Registered!AI612&amp;" BG")</f>
        <v>1 BG</v>
      </c>
      <c r="AY612" s="2" t="str">
        <f>IF(Registered!AG612=0,"",Registered!AG612&amp;" DustMask")</f>
        <v/>
      </c>
    </row>
    <row r="613" spans="1:51" customFormat="1" x14ac:dyDescent="0.25">
      <c r="A613" t="s">
        <v>2055</v>
      </c>
      <c r="B613" t="s">
        <v>4257</v>
      </c>
      <c r="C613" t="s">
        <v>6090</v>
      </c>
      <c r="F613" t="s">
        <v>261</v>
      </c>
      <c r="I613" t="s">
        <v>4260</v>
      </c>
      <c r="J613" t="s">
        <v>37</v>
      </c>
      <c r="K613" t="s">
        <v>32</v>
      </c>
      <c r="L613" t="s">
        <v>35</v>
      </c>
      <c r="Q613">
        <v>1</v>
      </c>
      <c r="R613">
        <v>3</v>
      </c>
      <c r="AE613">
        <v>1</v>
      </c>
      <c r="AF613">
        <v>6</v>
      </c>
      <c r="AK613">
        <v>1</v>
      </c>
      <c r="AL613">
        <v>6</v>
      </c>
      <c r="AQ613">
        <v>15</v>
      </c>
      <c r="AR613" s="3">
        <f t="shared" si="27"/>
        <v>0</v>
      </c>
      <c r="AS613" s="3">
        <f t="shared" si="28"/>
        <v>0</v>
      </c>
      <c r="AT613" s="3" t="str">
        <f>IF(OR(Registered!AM613&gt;0,Registered!AO613&gt;0),(IF(Registered!E613=0,"Size Not Specified",Registered!E613)),"")</f>
        <v/>
      </c>
      <c r="AU613" s="3" t="str">
        <f>IF(Registered!AE613=0,"",IF(Registered!AE613=1,Registered!AE613&amp;" Bandana",Registered!AE613&amp;" Bandanas"))</f>
        <v>1 Bandana</v>
      </c>
      <c r="AV613" s="3">
        <f t="shared" si="29"/>
        <v>1</v>
      </c>
      <c r="AW613" s="2" t="str">
        <f>IF(Registered!AV613=0,"",IF(Registered!AV613=1,Registered!AV613&amp;" Meal",Registered!AV613&amp;" Meals"))</f>
        <v>1 Meal</v>
      </c>
      <c r="AX613" s="2" t="str">
        <f>IF(Registered!AI613=0,"",Registered!AI613&amp;" BG")</f>
        <v/>
      </c>
      <c r="AY613" s="2" t="str">
        <f>IF(Registered!AG613=0,"",Registered!AG613&amp;" DustMask")</f>
        <v/>
      </c>
    </row>
    <row r="614" spans="1:51" customFormat="1" x14ac:dyDescent="0.25">
      <c r="A614" t="s">
        <v>3245</v>
      </c>
      <c r="B614" t="s">
        <v>4261</v>
      </c>
      <c r="C614" t="s">
        <v>6090</v>
      </c>
      <c r="D614" t="s">
        <v>4262</v>
      </c>
      <c r="F614" t="s">
        <v>261</v>
      </c>
      <c r="I614" t="s">
        <v>4263</v>
      </c>
      <c r="J614" t="s">
        <v>37</v>
      </c>
      <c r="K614" t="s">
        <v>32</v>
      </c>
      <c r="L614" t="s">
        <v>35</v>
      </c>
      <c r="Q614">
        <v>1</v>
      </c>
      <c r="R614">
        <v>3</v>
      </c>
      <c r="U614">
        <v>1</v>
      </c>
      <c r="V614">
        <v>20</v>
      </c>
      <c r="AQ614">
        <v>23</v>
      </c>
      <c r="AR614" s="3">
        <f t="shared" si="27"/>
        <v>10</v>
      </c>
      <c r="AS614" s="3">
        <f t="shared" si="28"/>
        <v>0</v>
      </c>
      <c r="AT614" s="3" t="str">
        <f>IF(OR(Registered!AM614&gt;0,Registered!AO614&gt;0),(IF(Registered!E614=0,"Size Not Specified",Registered!E614)),"")</f>
        <v/>
      </c>
      <c r="AU614" s="3" t="str">
        <f>IF(Registered!AE614=0,"",IF(Registered!AE614=1,Registered!AE614&amp;" Bandana",Registered!AE614&amp;" Bandanas"))</f>
        <v/>
      </c>
      <c r="AV614" s="3">
        <f t="shared" si="29"/>
        <v>0</v>
      </c>
      <c r="AW614" s="2" t="str">
        <f>IF(Registered!AV614=0,"",IF(Registered!AV614=1,Registered!AV614&amp;" Meal",Registered!AV614&amp;" Meals"))</f>
        <v/>
      </c>
      <c r="AX614" s="2" t="str">
        <f>IF(Registered!AI614=0,"",Registered!AI614&amp;" BG")</f>
        <v/>
      </c>
      <c r="AY614" s="2" t="str">
        <f>IF(Registered!AG614=0,"",Registered!AG614&amp;" DustMask")</f>
        <v/>
      </c>
    </row>
    <row r="615" spans="1:51" customFormat="1" x14ac:dyDescent="0.25">
      <c r="A615" t="s">
        <v>499</v>
      </c>
      <c r="B615" t="s">
        <v>1150</v>
      </c>
      <c r="C615" t="s">
        <v>6090</v>
      </c>
      <c r="D615" t="s">
        <v>268</v>
      </c>
      <c r="F615" t="s">
        <v>261</v>
      </c>
      <c r="I615" t="s">
        <v>1151</v>
      </c>
      <c r="J615" t="s">
        <v>37</v>
      </c>
      <c r="K615" t="s">
        <v>32</v>
      </c>
      <c r="L615" t="s">
        <v>35</v>
      </c>
      <c r="S615">
        <v>1</v>
      </c>
      <c r="T615">
        <v>3</v>
      </c>
      <c r="U615">
        <v>1</v>
      </c>
      <c r="V615">
        <v>20</v>
      </c>
      <c r="AQ615">
        <v>23</v>
      </c>
      <c r="AR615" s="3">
        <f t="shared" si="27"/>
        <v>10</v>
      </c>
      <c r="AS615" s="3">
        <f t="shared" si="28"/>
        <v>0</v>
      </c>
      <c r="AT615" s="3" t="str">
        <f>IF(OR(Registered!AM615&gt;0,Registered!AO615&gt;0),(IF(Registered!E615=0,"Size Not Specified",Registered!E615)),"")</f>
        <v/>
      </c>
      <c r="AU615" s="3" t="str">
        <f>IF(Registered!AE615=0,"",IF(Registered!AE615=1,Registered!AE615&amp;" Bandana",Registered!AE615&amp;" Bandanas"))</f>
        <v/>
      </c>
      <c r="AV615" s="3">
        <f t="shared" si="29"/>
        <v>0</v>
      </c>
      <c r="AW615" s="2" t="str">
        <f>IF(Registered!AV615=0,"",IF(Registered!AV615=1,Registered!AV615&amp;" Meal",Registered!AV615&amp;" Meals"))</f>
        <v/>
      </c>
      <c r="AX615" s="2" t="str">
        <f>IF(Registered!AI615=0,"",Registered!AI615&amp;" BG")</f>
        <v/>
      </c>
      <c r="AY615" s="2" t="str">
        <f>IF(Registered!AG615=0,"",Registered!AG615&amp;" DustMask")</f>
        <v/>
      </c>
    </row>
    <row r="616" spans="1:51" customFormat="1" x14ac:dyDescent="0.25">
      <c r="A616" t="s">
        <v>341</v>
      </c>
      <c r="B616" t="s">
        <v>4267</v>
      </c>
      <c r="C616" t="s">
        <v>6090</v>
      </c>
      <c r="D616" t="s">
        <v>198</v>
      </c>
      <c r="F616" t="s">
        <v>261</v>
      </c>
      <c r="I616" t="s">
        <v>4268</v>
      </c>
      <c r="J616" t="s">
        <v>37</v>
      </c>
      <c r="K616" t="s">
        <v>32</v>
      </c>
      <c r="L616" t="s">
        <v>35</v>
      </c>
      <c r="Q616">
        <v>1</v>
      </c>
      <c r="R616">
        <v>3</v>
      </c>
      <c r="AQ616">
        <v>3</v>
      </c>
      <c r="AR616" s="3">
        <f t="shared" si="27"/>
        <v>0</v>
      </c>
      <c r="AS616" s="3">
        <f t="shared" si="28"/>
        <v>0</v>
      </c>
      <c r="AT616" s="3" t="str">
        <f>IF(OR(Registered!AM616&gt;0,Registered!AO616&gt;0),(IF(Registered!E616=0,"Size Not Specified",Registered!E616)),"")</f>
        <v/>
      </c>
      <c r="AU616" s="3" t="str">
        <f>IF(Registered!AE616=0,"",IF(Registered!AE616=1,Registered!AE616&amp;" Bandana",Registered!AE616&amp;" Bandanas"))</f>
        <v/>
      </c>
      <c r="AV616" s="3">
        <f t="shared" si="29"/>
        <v>0</v>
      </c>
      <c r="AW616" s="2" t="str">
        <f>IF(Registered!AV616=0,"",IF(Registered!AV616=1,Registered!AV616&amp;" Meal",Registered!AV616&amp;" Meals"))</f>
        <v/>
      </c>
      <c r="AX616" s="2" t="str">
        <f>IF(Registered!AI616=0,"",Registered!AI616&amp;" BG")</f>
        <v/>
      </c>
      <c r="AY616" s="2" t="str">
        <f>IF(Registered!AG616=0,"",Registered!AG616&amp;" DustMask")</f>
        <v/>
      </c>
    </row>
    <row r="617" spans="1:51" customFormat="1" x14ac:dyDescent="0.25">
      <c r="A617" t="s">
        <v>237</v>
      </c>
      <c r="B617" t="s">
        <v>451</v>
      </c>
      <c r="C617" t="s">
        <v>6090</v>
      </c>
      <c r="D617" t="s">
        <v>4269</v>
      </c>
      <c r="F617" t="s">
        <v>261</v>
      </c>
      <c r="I617" t="s">
        <v>4270</v>
      </c>
      <c r="J617" t="s">
        <v>37</v>
      </c>
      <c r="K617" t="s">
        <v>32</v>
      </c>
      <c r="L617" t="s">
        <v>35</v>
      </c>
      <c r="Q617">
        <v>3</v>
      </c>
      <c r="R617">
        <v>3</v>
      </c>
      <c r="U617">
        <v>1</v>
      </c>
      <c r="V617">
        <v>20</v>
      </c>
      <c r="AC617">
        <v>1</v>
      </c>
      <c r="AD617">
        <v>10</v>
      </c>
      <c r="AQ617">
        <v>39</v>
      </c>
      <c r="AR617" s="3">
        <f t="shared" si="27"/>
        <v>15</v>
      </c>
      <c r="AS617" s="3">
        <f t="shared" si="28"/>
        <v>0</v>
      </c>
      <c r="AT617" s="3" t="str">
        <f>IF(OR(Registered!AM617&gt;0,Registered!AO617&gt;0),(IF(Registered!E617=0,"Size Not Specified",Registered!E617)),"")</f>
        <v/>
      </c>
      <c r="AU617" s="3" t="str">
        <f>IF(Registered!AE617=0,"",IF(Registered!AE617=1,Registered!AE617&amp;" Bandana",Registered!AE617&amp;" Bandanas"))</f>
        <v/>
      </c>
      <c r="AV617" s="3">
        <f t="shared" si="29"/>
        <v>0</v>
      </c>
      <c r="AW617" s="2" t="str">
        <f>IF(Registered!AV617=0,"",IF(Registered!AV617=1,Registered!AV617&amp;" Meal",Registered!AV617&amp;" Meals"))</f>
        <v/>
      </c>
      <c r="AX617" s="2" t="str">
        <f>IF(Registered!AI617=0,"",Registered!AI617&amp;" BG")</f>
        <v/>
      </c>
      <c r="AY617" s="2" t="str">
        <f>IF(Registered!AG617=0,"",Registered!AG617&amp;" DustMask")</f>
        <v/>
      </c>
    </row>
    <row r="618" spans="1:51" customFormat="1" x14ac:dyDescent="0.25">
      <c r="A618" t="s">
        <v>112</v>
      </c>
      <c r="B618" t="s">
        <v>451</v>
      </c>
      <c r="C618" t="s">
        <v>6090</v>
      </c>
      <c r="G618" t="s">
        <v>237</v>
      </c>
      <c r="H618" t="s">
        <v>451</v>
      </c>
      <c r="I618" t="s">
        <v>4270</v>
      </c>
      <c r="J618" t="s">
        <v>37</v>
      </c>
      <c r="K618" t="s">
        <v>32</v>
      </c>
      <c r="L618" t="s">
        <v>35</v>
      </c>
      <c r="AQ618">
        <v>0</v>
      </c>
      <c r="AR618" s="3">
        <f t="shared" si="27"/>
        <v>0</v>
      </c>
      <c r="AS618" s="3">
        <f t="shared" si="28"/>
        <v>0</v>
      </c>
      <c r="AT618" s="3" t="str">
        <f>IF(OR(Registered!AM618&gt;0,Registered!AO618&gt;0),(IF(Registered!E618=0,"Size Not Specified",Registered!E618)),"")</f>
        <v/>
      </c>
      <c r="AU618" s="3" t="str">
        <f>IF(Registered!AE618=0,"",IF(Registered!AE618=1,Registered!AE618&amp;" Bandana",Registered!AE618&amp;" Bandanas"))</f>
        <v/>
      </c>
      <c r="AV618" s="3">
        <f t="shared" si="29"/>
        <v>0</v>
      </c>
      <c r="AW618" s="2" t="str">
        <f>IF(Registered!AV618=0,"",IF(Registered!AV618=1,Registered!AV618&amp;" Meal",Registered!AV618&amp;" Meals"))</f>
        <v/>
      </c>
      <c r="AX618" s="2" t="str">
        <f>IF(Registered!AI618=0,"",Registered!AI618&amp;" BG")</f>
        <v/>
      </c>
      <c r="AY618" s="2" t="str">
        <f>IF(Registered!AG618=0,"",Registered!AG618&amp;" DustMask")</f>
        <v/>
      </c>
    </row>
    <row r="619" spans="1:51" customFormat="1" x14ac:dyDescent="0.25">
      <c r="A619" t="s">
        <v>1154</v>
      </c>
      <c r="B619" t="s">
        <v>1155</v>
      </c>
      <c r="C619" t="s">
        <v>6090</v>
      </c>
      <c r="D619" t="s">
        <v>1156</v>
      </c>
      <c r="F619" t="s">
        <v>261</v>
      </c>
      <c r="I619" t="s">
        <v>1157</v>
      </c>
      <c r="J619" t="s">
        <v>37</v>
      </c>
      <c r="K619" t="s">
        <v>32</v>
      </c>
      <c r="L619" t="s">
        <v>35</v>
      </c>
      <c r="Q619">
        <v>2</v>
      </c>
      <c r="R619">
        <v>3</v>
      </c>
      <c r="AC619">
        <v>1</v>
      </c>
      <c r="AD619">
        <v>10</v>
      </c>
      <c r="AQ619">
        <v>16</v>
      </c>
      <c r="AR619" s="3">
        <f t="shared" si="27"/>
        <v>5</v>
      </c>
      <c r="AS619" s="3">
        <f t="shared" si="28"/>
        <v>0</v>
      </c>
      <c r="AT619" s="3" t="str">
        <f>IF(OR(Registered!AM619&gt;0,Registered!AO619&gt;0),(IF(Registered!E619=0,"Size Not Specified",Registered!E619)),"")</f>
        <v/>
      </c>
      <c r="AU619" s="3" t="str">
        <f>IF(Registered!AE619=0,"",IF(Registered!AE619=1,Registered!AE619&amp;" Bandana",Registered!AE619&amp;" Bandanas"))</f>
        <v/>
      </c>
      <c r="AV619" s="3">
        <f t="shared" si="29"/>
        <v>0</v>
      </c>
      <c r="AW619" s="2" t="str">
        <f>IF(Registered!AV619=0,"",IF(Registered!AV619=1,Registered!AV619&amp;" Meal",Registered!AV619&amp;" Meals"))</f>
        <v/>
      </c>
      <c r="AX619" s="2" t="str">
        <f>IF(Registered!AI619=0,"",Registered!AI619&amp;" BG")</f>
        <v/>
      </c>
      <c r="AY619" s="2" t="str">
        <f>IF(Registered!AG619=0,"",Registered!AG619&amp;" DustMask")</f>
        <v/>
      </c>
    </row>
    <row r="620" spans="1:51" customFormat="1" x14ac:dyDescent="0.25">
      <c r="A620" t="s">
        <v>727</v>
      </c>
      <c r="B620" t="s">
        <v>2900</v>
      </c>
      <c r="C620" t="s">
        <v>6090</v>
      </c>
      <c r="D620" t="s">
        <v>2901</v>
      </c>
      <c r="F620" t="s">
        <v>261</v>
      </c>
      <c r="I620" t="s">
        <v>2902</v>
      </c>
      <c r="J620" t="s">
        <v>37</v>
      </c>
      <c r="K620" t="s">
        <v>32</v>
      </c>
      <c r="L620" t="s">
        <v>35</v>
      </c>
      <c r="Q620">
        <v>1</v>
      </c>
      <c r="R620">
        <v>3</v>
      </c>
      <c r="AC620">
        <v>1</v>
      </c>
      <c r="AD620">
        <v>10</v>
      </c>
      <c r="AE620">
        <v>1</v>
      </c>
      <c r="AF620">
        <v>6</v>
      </c>
      <c r="AQ620">
        <v>19</v>
      </c>
      <c r="AR620" s="3">
        <f t="shared" si="27"/>
        <v>5</v>
      </c>
      <c r="AS620" s="3">
        <f t="shared" si="28"/>
        <v>0</v>
      </c>
      <c r="AT620" s="3" t="str">
        <f>IF(OR(Registered!AM620&gt;0,Registered!AO620&gt;0),(IF(Registered!E620=0,"Size Not Specified",Registered!E620)),"")</f>
        <v/>
      </c>
      <c r="AU620" s="3" t="str">
        <f>IF(Registered!AE620=0,"",IF(Registered!AE620=1,Registered!AE620&amp;" Bandana",Registered!AE620&amp;" Bandanas"))</f>
        <v>1 Bandana</v>
      </c>
      <c r="AV620" s="3">
        <f t="shared" si="29"/>
        <v>0</v>
      </c>
      <c r="AW620" s="2" t="str">
        <f>IF(Registered!AV620=0,"",IF(Registered!AV620=1,Registered!AV620&amp;" Meal",Registered!AV620&amp;" Meals"))</f>
        <v/>
      </c>
      <c r="AX620" s="2" t="str">
        <f>IF(Registered!AI620=0,"",Registered!AI620&amp;" BG")</f>
        <v/>
      </c>
      <c r="AY620" s="2" t="str">
        <f>IF(Registered!AG620=0,"",Registered!AG620&amp;" DustMask")</f>
        <v/>
      </c>
    </row>
    <row r="621" spans="1:51" customFormat="1" x14ac:dyDescent="0.25">
      <c r="A621" t="s">
        <v>1158</v>
      </c>
      <c r="B621" t="s">
        <v>1159</v>
      </c>
      <c r="C621" t="s">
        <v>6090</v>
      </c>
      <c r="D621" t="s">
        <v>1160</v>
      </c>
      <c r="F621" t="s">
        <v>261</v>
      </c>
      <c r="I621" t="s">
        <v>1161</v>
      </c>
      <c r="J621" t="s">
        <v>37</v>
      </c>
      <c r="K621" t="s">
        <v>32</v>
      </c>
      <c r="L621" t="s">
        <v>35</v>
      </c>
      <c r="S621">
        <v>1</v>
      </c>
      <c r="T621">
        <v>3</v>
      </c>
      <c r="AC621">
        <v>1</v>
      </c>
      <c r="AD621">
        <v>10</v>
      </c>
      <c r="AK621">
        <v>1</v>
      </c>
      <c r="AL621">
        <v>6</v>
      </c>
      <c r="AQ621">
        <v>19</v>
      </c>
      <c r="AR621" s="3">
        <f t="shared" si="27"/>
        <v>5</v>
      </c>
      <c r="AS621" s="3">
        <f t="shared" si="28"/>
        <v>0</v>
      </c>
      <c r="AT621" s="3" t="str">
        <f>IF(OR(Registered!AM621&gt;0,Registered!AO621&gt;0),(IF(Registered!E621=0,"Size Not Specified",Registered!E621)),"")</f>
        <v/>
      </c>
      <c r="AU621" s="3" t="str">
        <f>IF(Registered!AE621=0,"",IF(Registered!AE621=1,Registered!AE621&amp;" Bandana",Registered!AE621&amp;" Bandanas"))</f>
        <v/>
      </c>
      <c r="AV621" s="3">
        <f t="shared" si="29"/>
        <v>1</v>
      </c>
      <c r="AW621" s="2" t="str">
        <f>IF(Registered!AV621=0,"",IF(Registered!AV621=1,Registered!AV621&amp;" Meal",Registered!AV621&amp;" Meals"))</f>
        <v>1 Meal</v>
      </c>
      <c r="AX621" s="2" t="str">
        <f>IF(Registered!AI621=0,"",Registered!AI621&amp;" BG")</f>
        <v/>
      </c>
      <c r="AY621" s="2" t="str">
        <f>IF(Registered!AG621=0,"",Registered!AG621&amp;" DustMask")</f>
        <v/>
      </c>
    </row>
    <row r="622" spans="1:51" customFormat="1" x14ac:dyDescent="0.25">
      <c r="A622" t="s">
        <v>1024</v>
      </c>
      <c r="B622" t="s">
        <v>2903</v>
      </c>
      <c r="C622" t="s">
        <v>6090</v>
      </c>
      <c r="G622" t="s">
        <v>2904</v>
      </c>
      <c r="H622" t="s">
        <v>2905</v>
      </c>
      <c r="I622" t="s">
        <v>2906</v>
      </c>
      <c r="J622" t="s">
        <v>37</v>
      </c>
      <c r="K622" t="s">
        <v>32</v>
      </c>
      <c r="L622" t="s">
        <v>35</v>
      </c>
      <c r="AQ622">
        <v>0</v>
      </c>
      <c r="AR622" s="3">
        <f t="shared" si="27"/>
        <v>0</v>
      </c>
      <c r="AS622" s="3">
        <f t="shared" si="28"/>
        <v>0</v>
      </c>
      <c r="AT622" s="3" t="str">
        <f>IF(OR(Registered!AM622&gt;0,Registered!AO622&gt;0),(IF(Registered!E622=0,"Size Not Specified",Registered!E622)),"")</f>
        <v/>
      </c>
      <c r="AU622" s="3" t="str">
        <f>IF(Registered!AE622=0,"",IF(Registered!AE622=1,Registered!AE622&amp;" Bandana",Registered!AE622&amp;" Bandanas"))</f>
        <v/>
      </c>
      <c r="AV622" s="3">
        <f t="shared" si="29"/>
        <v>0</v>
      </c>
      <c r="AW622" s="2" t="str">
        <f>IF(Registered!AV622=0,"",IF(Registered!AV622=1,Registered!AV622&amp;" Meal",Registered!AV622&amp;" Meals"))</f>
        <v/>
      </c>
      <c r="AX622" s="2" t="str">
        <f>IF(Registered!AI622=0,"",Registered!AI622&amp;" BG")</f>
        <v/>
      </c>
      <c r="AY622" s="2" t="str">
        <f>IF(Registered!AG622=0,"",Registered!AG622&amp;" DustMask")</f>
        <v/>
      </c>
    </row>
    <row r="623" spans="1:51" customFormat="1" x14ac:dyDescent="0.25">
      <c r="A623" t="s">
        <v>137</v>
      </c>
      <c r="B623" t="s">
        <v>4271</v>
      </c>
      <c r="C623" t="s">
        <v>6090</v>
      </c>
      <c r="D623" t="s">
        <v>137</v>
      </c>
      <c r="E623" t="s">
        <v>67</v>
      </c>
      <c r="F623" t="s">
        <v>261</v>
      </c>
      <c r="I623" t="s">
        <v>4272</v>
      </c>
      <c r="J623" t="s">
        <v>37</v>
      </c>
      <c r="K623" t="s">
        <v>32</v>
      </c>
      <c r="L623" t="s">
        <v>35</v>
      </c>
      <c r="Q623">
        <v>2</v>
      </c>
      <c r="R623">
        <v>3</v>
      </c>
      <c r="W623">
        <v>1</v>
      </c>
      <c r="X623">
        <v>40</v>
      </c>
      <c r="AE623">
        <v>2</v>
      </c>
      <c r="AF623">
        <v>6</v>
      </c>
      <c r="AI623">
        <v>1</v>
      </c>
      <c r="AJ623">
        <v>10</v>
      </c>
      <c r="AK623">
        <v>2</v>
      </c>
      <c r="AL623">
        <v>6</v>
      </c>
      <c r="AQ623">
        <v>80</v>
      </c>
      <c r="AR623" s="3">
        <f t="shared" si="27"/>
        <v>20</v>
      </c>
      <c r="AS623" s="3">
        <f t="shared" si="28"/>
        <v>0</v>
      </c>
      <c r="AT623" s="3" t="str">
        <f>IF(OR(Registered!AM623&gt;0,Registered!AO623&gt;0),(IF(Registered!E623=0,"Size Not Specified",Registered!E623)),"")</f>
        <v/>
      </c>
      <c r="AU623" s="3" t="str">
        <f>IF(Registered!AE623=0,"",IF(Registered!AE623=1,Registered!AE623&amp;" Bandana",Registered!AE623&amp;" Bandanas"))</f>
        <v>2 Bandanas</v>
      </c>
      <c r="AV623" s="3">
        <f t="shared" si="29"/>
        <v>2</v>
      </c>
      <c r="AW623" s="2" t="str">
        <f>IF(Registered!AV623=0,"",IF(Registered!AV623=1,Registered!AV623&amp;" Meal",Registered!AV623&amp;" Meals"))</f>
        <v>2 Meals</v>
      </c>
      <c r="AX623" s="2" t="str">
        <f>IF(Registered!AI623=0,"",Registered!AI623&amp;" BG")</f>
        <v>1 BG</v>
      </c>
      <c r="AY623" s="2" t="str">
        <f>IF(Registered!AG623=0,"",Registered!AG623&amp;" DustMask")</f>
        <v/>
      </c>
    </row>
    <row r="624" spans="1:51" customFormat="1" x14ac:dyDescent="0.25">
      <c r="A624" t="s">
        <v>1104</v>
      </c>
      <c r="B624" t="s">
        <v>1162</v>
      </c>
      <c r="C624" t="s">
        <v>6090</v>
      </c>
      <c r="G624" t="s">
        <v>56</v>
      </c>
      <c r="H624" t="s">
        <v>1162</v>
      </c>
      <c r="I624" t="s">
        <v>1163</v>
      </c>
      <c r="J624" t="s">
        <v>37</v>
      </c>
      <c r="K624" t="s">
        <v>32</v>
      </c>
      <c r="L624" t="s">
        <v>35</v>
      </c>
      <c r="AQ624">
        <v>0</v>
      </c>
      <c r="AR624" s="3">
        <f t="shared" si="27"/>
        <v>0</v>
      </c>
      <c r="AS624" s="3">
        <f t="shared" si="28"/>
        <v>0</v>
      </c>
      <c r="AT624" s="3" t="str">
        <f>IF(OR(Registered!AM624&gt;0,Registered!AO624&gt;0),(IF(Registered!E624=0,"Size Not Specified",Registered!E624)),"")</f>
        <v/>
      </c>
      <c r="AU624" s="3" t="str">
        <f>IF(Registered!AE624=0,"",IF(Registered!AE624=1,Registered!AE624&amp;" Bandana",Registered!AE624&amp;" Bandanas"))</f>
        <v/>
      </c>
      <c r="AV624" s="3">
        <f t="shared" si="29"/>
        <v>0</v>
      </c>
      <c r="AW624" s="2" t="str">
        <f>IF(Registered!AV624=0,"",IF(Registered!AV624=1,Registered!AV624&amp;" Meal",Registered!AV624&amp;" Meals"))</f>
        <v/>
      </c>
      <c r="AX624" s="2" t="str">
        <f>IF(Registered!AI624=0,"",Registered!AI624&amp;" BG")</f>
        <v/>
      </c>
      <c r="AY624" s="2" t="str">
        <f>IF(Registered!AG624=0,"",Registered!AG624&amp;" DustMask")</f>
        <v/>
      </c>
    </row>
    <row r="625" spans="1:51" customFormat="1" x14ac:dyDescent="0.25">
      <c r="A625" t="s">
        <v>1104</v>
      </c>
      <c r="B625" t="s">
        <v>1162</v>
      </c>
      <c r="C625" t="s">
        <v>6090</v>
      </c>
      <c r="G625" t="s">
        <v>56</v>
      </c>
      <c r="H625" t="s">
        <v>1162</v>
      </c>
      <c r="I625" t="s">
        <v>1163</v>
      </c>
      <c r="J625" t="s">
        <v>37</v>
      </c>
      <c r="K625" t="s">
        <v>32</v>
      </c>
      <c r="L625" t="s">
        <v>35</v>
      </c>
      <c r="AQ625">
        <v>0</v>
      </c>
      <c r="AR625" s="3">
        <f t="shared" si="27"/>
        <v>0</v>
      </c>
      <c r="AS625" s="3">
        <f t="shared" si="28"/>
        <v>0</v>
      </c>
      <c r="AT625" s="3" t="str">
        <f>IF(OR(Registered!AM625&gt;0,Registered!AO625&gt;0),(IF(Registered!E625=0,"Size Not Specified",Registered!E625)),"")</f>
        <v/>
      </c>
      <c r="AU625" s="3" t="str">
        <f>IF(Registered!AE625=0,"",IF(Registered!AE625=1,Registered!AE625&amp;" Bandana",Registered!AE625&amp;" Bandanas"))</f>
        <v/>
      </c>
      <c r="AV625" s="3">
        <f t="shared" si="29"/>
        <v>0</v>
      </c>
      <c r="AW625" s="2" t="str">
        <f>IF(Registered!AV625=0,"",IF(Registered!AV625=1,Registered!AV625&amp;" Meal",Registered!AV625&amp;" Meals"))</f>
        <v/>
      </c>
      <c r="AX625" s="2" t="str">
        <f>IF(Registered!AI625=0,"",Registered!AI625&amp;" BG")</f>
        <v/>
      </c>
      <c r="AY625" s="2" t="str">
        <f>IF(Registered!AG625=0,"",Registered!AG625&amp;" DustMask")</f>
        <v/>
      </c>
    </row>
    <row r="626" spans="1:51" customFormat="1" x14ac:dyDescent="0.25">
      <c r="A626" t="s">
        <v>1104</v>
      </c>
      <c r="B626" t="s">
        <v>1162</v>
      </c>
      <c r="C626" t="s">
        <v>6090</v>
      </c>
      <c r="G626" t="s">
        <v>56</v>
      </c>
      <c r="H626" t="s">
        <v>1162</v>
      </c>
      <c r="I626" t="s">
        <v>1163</v>
      </c>
      <c r="J626" t="s">
        <v>37</v>
      </c>
      <c r="K626" t="s">
        <v>32</v>
      </c>
      <c r="L626" t="s">
        <v>35</v>
      </c>
      <c r="AQ626">
        <v>0</v>
      </c>
      <c r="AR626" s="3">
        <f t="shared" si="27"/>
        <v>0</v>
      </c>
      <c r="AS626" s="3">
        <f t="shared" si="28"/>
        <v>0</v>
      </c>
      <c r="AT626" s="3" t="str">
        <f>IF(OR(Registered!AM626&gt;0,Registered!AO626&gt;0),(IF(Registered!E626=0,"Size Not Specified",Registered!E626)),"")</f>
        <v/>
      </c>
      <c r="AU626" s="3" t="str">
        <f>IF(Registered!AE626=0,"",IF(Registered!AE626=1,Registered!AE626&amp;" Bandana",Registered!AE626&amp;" Bandanas"))</f>
        <v/>
      </c>
      <c r="AV626" s="3">
        <f t="shared" si="29"/>
        <v>0</v>
      </c>
      <c r="AW626" s="2" t="str">
        <f>IF(Registered!AV626=0,"",IF(Registered!AV626=1,Registered!AV626&amp;" Meal",Registered!AV626&amp;" Meals"))</f>
        <v/>
      </c>
      <c r="AX626" s="2" t="str">
        <f>IF(Registered!AI626=0,"",Registered!AI626&amp;" BG")</f>
        <v/>
      </c>
      <c r="AY626" s="2" t="str">
        <f>IF(Registered!AG626=0,"",Registered!AG626&amp;" DustMask")</f>
        <v/>
      </c>
    </row>
    <row r="627" spans="1:51" customFormat="1" x14ac:dyDescent="0.25">
      <c r="A627" t="s">
        <v>56</v>
      </c>
      <c r="B627" t="s">
        <v>1162</v>
      </c>
      <c r="C627" t="s">
        <v>6090</v>
      </c>
      <c r="D627" t="s">
        <v>1164</v>
      </c>
      <c r="F627" t="s">
        <v>261</v>
      </c>
      <c r="I627" t="s">
        <v>1163</v>
      </c>
      <c r="J627" t="s">
        <v>37</v>
      </c>
      <c r="K627" t="s">
        <v>32</v>
      </c>
      <c r="L627" t="s">
        <v>35</v>
      </c>
      <c r="S627">
        <v>4</v>
      </c>
      <c r="T627">
        <v>3</v>
      </c>
      <c r="W627">
        <v>1</v>
      </c>
      <c r="X627">
        <v>40</v>
      </c>
      <c r="AQ627">
        <v>52</v>
      </c>
      <c r="AR627" s="3">
        <f t="shared" si="27"/>
        <v>20</v>
      </c>
      <c r="AS627" s="3">
        <f t="shared" si="28"/>
        <v>0</v>
      </c>
      <c r="AT627" s="3" t="str">
        <f>IF(OR(Registered!AM627&gt;0,Registered!AO627&gt;0),(IF(Registered!E627=0,"Size Not Specified",Registered!E627)),"")</f>
        <v/>
      </c>
      <c r="AU627" s="3" t="str">
        <f>IF(Registered!AE627=0,"",IF(Registered!AE627=1,Registered!AE627&amp;" Bandana",Registered!AE627&amp;" Bandanas"))</f>
        <v/>
      </c>
      <c r="AV627" s="3">
        <f t="shared" si="29"/>
        <v>0</v>
      </c>
      <c r="AW627" s="2" t="str">
        <f>IF(Registered!AV627=0,"",IF(Registered!AV627=1,Registered!AV627&amp;" Meal",Registered!AV627&amp;" Meals"))</f>
        <v/>
      </c>
      <c r="AX627" s="2" t="str">
        <f>IF(Registered!AI627=0,"",Registered!AI627&amp;" BG")</f>
        <v/>
      </c>
      <c r="AY627" s="2" t="str">
        <f>IF(Registered!AG627=0,"",Registered!AG627&amp;" DustMask")</f>
        <v/>
      </c>
    </row>
    <row r="628" spans="1:51" customFormat="1" x14ac:dyDescent="0.25">
      <c r="A628" t="s">
        <v>1165</v>
      </c>
      <c r="B628" t="s">
        <v>340</v>
      </c>
      <c r="C628" t="s">
        <v>6090</v>
      </c>
      <c r="D628" t="s">
        <v>1166</v>
      </c>
      <c r="E628" t="s">
        <v>1167</v>
      </c>
      <c r="I628" t="s">
        <v>1168</v>
      </c>
      <c r="J628" t="s">
        <v>37</v>
      </c>
      <c r="K628" t="s">
        <v>32</v>
      </c>
      <c r="L628" t="s">
        <v>35</v>
      </c>
      <c r="S628">
        <v>2</v>
      </c>
      <c r="T628">
        <v>3</v>
      </c>
      <c r="AM628">
        <v>2</v>
      </c>
      <c r="AN628">
        <v>25</v>
      </c>
      <c r="AQ628">
        <v>56</v>
      </c>
      <c r="AR628" s="3">
        <f t="shared" si="27"/>
        <v>10</v>
      </c>
      <c r="AS628" s="3">
        <f t="shared" si="28"/>
        <v>2</v>
      </c>
      <c r="AT628" s="3" t="str">
        <f>IF(OR(Registered!AM628&gt;0,Registered!AO628&gt;0),(IF(Registered!E628=0,"Size Not Specified",Registered!E628)),"")</f>
        <v>one Large and one Medium</v>
      </c>
      <c r="AU628" s="3" t="str">
        <f>IF(Registered!AE628=0,"",IF(Registered!AE628=1,Registered!AE628&amp;" Bandana",Registered!AE628&amp;" Bandanas"))</f>
        <v/>
      </c>
      <c r="AV628" s="3">
        <f t="shared" si="29"/>
        <v>2</v>
      </c>
      <c r="AW628" s="2" t="str">
        <f>IF(Registered!AV628=0,"",IF(Registered!AV628=1,Registered!AV628&amp;" Meal",Registered!AV628&amp;" Meals"))</f>
        <v>2 Meals</v>
      </c>
      <c r="AX628" s="2" t="str">
        <f>IF(Registered!AI628=0,"",Registered!AI628&amp;" BG")</f>
        <v/>
      </c>
      <c r="AY628" s="2" t="str">
        <f>IF(Registered!AG628=0,"",Registered!AG628&amp;" DustMask")</f>
        <v/>
      </c>
    </row>
    <row r="629" spans="1:51" customFormat="1" x14ac:dyDescent="0.25">
      <c r="A629" t="s">
        <v>272</v>
      </c>
      <c r="B629" t="s">
        <v>340</v>
      </c>
      <c r="C629" t="s">
        <v>6090</v>
      </c>
      <c r="G629" t="s">
        <v>90</v>
      </c>
      <c r="H629" t="s">
        <v>933</v>
      </c>
      <c r="I629" t="s">
        <v>4273</v>
      </c>
      <c r="J629" t="s">
        <v>37</v>
      </c>
      <c r="K629" t="s">
        <v>32</v>
      </c>
      <c r="L629" t="s">
        <v>35</v>
      </c>
      <c r="AQ629">
        <v>0</v>
      </c>
      <c r="AR629" s="3">
        <f t="shared" si="27"/>
        <v>0</v>
      </c>
      <c r="AS629" s="3">
        <f t="shared" si="28"/>
        <v>0</v>
      </c>
      <c r="AT629" s="3" t="str">
        <f>IF(OR(Registered!AM629&gt;0,Registered!AO629&gt;0),(IF(Registered!E629=0,"Size Not Specified",Registered!E629)),"")</f>
        <v/>
      </c>
      <c r="AU629" s="3" t="str">
        <f>IF(Registered!AE629=0,"",IF(Registered!AE629=1,Registered!AE629&amp;" Bandana",Registered!AE629&amp;" Bandanas"))</f>
        <v/>
      </c>
      <c r="AV629" s="3">
        <f t="shared" si="29"/>
        <v>0</v>
      </c>
      <c r="AW629" s="2" t="str">
        <f>IF(Registered!AV629=0,"",IF(Registered!AV629=1,Registered!AV629&amp;" Meal",Registered!AV629&amp;" Meals"))</f>
        <v/>
      </c>
      <c r="AX629" s="2" t="str">
        <f>IF(Registered!AI629=0,"",Registered!AI629&amp;" BG")</f>
        <v/>
      </c>
      <c r="AY629" s="2" t="str">
        <f>IF(Registered!AG629=0,"",Registered!AG629&amp;" DustMask")</f>
        <v/>
      </c>
    </row>
    <row r="630" spans="1:51" customFormat="1" x14ac:dyDescent="0.25">
      <c r="A630" t="s">
        <v>61</v>
      </c>
      <c r="B630" t="s">
        <v>4274</v>
      </c>
      <c r="C630" t="s">
        <v>6090</v>
      </c>
      <c r="D630" t="s">
        <v>61</v>
      </c>
      <c r="F630" t="s">
        <v>261</v>
      </c>
      <c r="I630" t="s">
        <v>4275</v>
      </c>
      <c r="J630" t="s">
        <v>37</v>
      </c>
      <c r="K630" t="s">
        <v>32</v>
      </c>
      <c r="L630" t="s">
        <v>35</v>
      </c>
      <c r="Q630">
        <v>1</v>
      </c>
      <c r="R630">
        <v>3</v>
      </c>
      <c r="AC630">
        <v>1</v>
      </c>
      <c r="AD630">
        <v>10</v>
      </c>
      <c r="AQ630">
        <v>13</v>
      </c>
      <c r="AR630" s="3">
        <f t="shared" si="27"/>
        <v>5</v>
      </c>
      <c r="AS630" s="3">
        <f t="shared" si="28"/>
        <v>0</v>
      </c>
      <c r="AT630" s="3" t="str">
        <f>IF(OR(Registered!AM630&gt;0,Registered!AO630&gt;0),(IF(Registered!E630=0,"Size Not Specified",Registered!E630)),"")</f>
        <v/>
      </c>
      <c r="AU630" s="3" t="str">
        <f>IF(Registered!AE630=0,"",IF(Registered!AE630=1,Registered!AE630&amp;" Bandana",Registered!AE630&amp;" Bandanas"))</f>
        <v/>
      </c>
      <c r="AV630" s="3">
        <f t="shared" si="29"/>
        <v>0</v>
      </c>
      <c r="AW630" s="2" t="str">
        <f>IF(Registered!AV630=0,"",IF(Registered!AV630=1,Registered!AV630&amp;" Meal",Registered!AV630&amp;" Meals"))</f>
        <v/>
      </c>
      <c r="AX630" s="2" t="str">
        <f>IF(Registered!AI630=0,"",Registered!AI630&amp;" BG")</f>
        <v/>
      </c>
      <c r="AY630" s="2" t="str">
        <f>IF(Registered!AG630=0,"",Registered!AG630&amp;" DustMask")</f>
        <v/>
      </c>
    </row>
    <row r="631" spans="1:51" customFormat="1" x14ac:dyDescent="0.25">
      <c r="A631" t="s">
        <v>354</v>
      </c>
      <c r="B631" t="s">
        <v>4114</v>
      </c>
      <c r="C631" t="s">
        <v>6090</v>
      </c>
      <c r="D631" t="s">
        <v>4276</v>
      </c>
      <c r="E631" t="s">
        <v>201</v>
      </c>
      <c r="F631" t="s">
        <v>261</v>
      </c>
      <c r="I631" t="s">
        <v>4115</v>
      </c>
      <c r="J631" t="s">
        <v>37</v>
      </c>
      <c r="K631" t="s">
        <v>32</v>
      </c>
      <c r="L631" t="s">
        <v>35</v>
      </c>
      <c r="Q631">
        <v>2</v>
      </c>
      <c r="R631">
        <v>3</v>
      </c>
      <c r="AM631">
        <v>2</v>
      </c>
      <c r="AN631">
        <v>25</v>
      </c>
      <c r="AQ631">
        <v>56</v>
      </c>
      <c r="AR631" s="3">
        <f t="shared" si="27"/>
        <v>10</v>
      </c>
      <c r="AS631" s="3">
        <f t="shared" si="28"/>
        <v>2</v>
      </c>
      <c r="AT631" s="3" t="str">
        <f>IF(OR(Registered!AM631&gt;0,Registered!AO631&gt;0),(IF(Registered!E631=0,"Size Not Specified",Registered!E631)),"")</f>
        <v>XL</v>
      </c>
      <c r="AU631" s="3" t="str">
        <f>IF(Registered!AE631=0,"",IF(Registered!AE631=1,Registered!AE631&amp;" Bandana",Registered!AE631&amp;" Bandanas"))</f>
        <v/>
      </c>
      <c r="AV631" s="3">
        <f t="shared" si="29"/>
        <v>2</v>
      </c>
      <c r="AW631" s="2" t="str">
        <f>IF(Registered!AV631=0,"",IF(Registered!AV631=1,Registered!AV631&amp;" Meal",Registered!AV631&amp;" Meals"))</f>
        <v>2 Meals</v>
      </c>
      <c r="AX631" s="2" t="str">
        <f>IF(Registered!AI631=0,"",Registered!AI631&amp;" BG")</f>
        <v/>
      </c>
      <c r="AY631" s="2" t="str">
        <f>IF(Registered!AG631=0,"",Registered!AG631&amp;" DustMask")</f>
        <v/>
      </c>
    </row>
    <row r="632" spans="1:51" customFormat="1" x14ac:dyDescent="0.25">
      <c r="A632" t="s">
        <v>100</v>
      </c>
      <c r="B632" t="s">
        <v>1169</v>
      </c>
      <c r="C632" t="s">
        <v>6090</v>
      </c>
      <c r="D632" t="s">
        <v>1170</v>
      </c>
      <c r="F632" t="s">
        <v>261</v>
      </c>
      <c r="I632" t="s">
        <v>1171</v>
      </c>
      <c r="J632" t="s">
        <v>37</v>
      </c>
      <c r="K632" t="s">
        <v>32</v>
      </c>
      <c r="L632" t="s">
        <v>35</v>
      </c>
      <c r="S632">
        <v>1</v>
      </c>
      <c r="T632">
        <v>3</v>
      </c>
      <c r="AC632">
        <v>3</v>
      </c>
      <c r="AD632">
        <v>10</v>
      </c>
      <c r="AQ632">
        <v>33</v>
      </c>
      <c r="AR632" s="3">
        <f t="shared" si="27"/>
        <v>15</v>
      </c>
      <c r="AS632" s="3">
        <f t="shared" si="28"/>
        <v>0</v>
      </c>
      <c r="AT632" s="3" t="str">
        <f>IF(OR(Registered!AM632&gt;0,Registered!AO632&gt;0),(IF(Registered!E632=0,"Size Not Specified",Registered!E632)),"")</f>
        <v/>
      </c>
      <c r="AU632" s="3" t="str">
        <f>IF(Registered!AE632=0,"",IF(Registered!AE632=1,Registered!AE632&amp;" Bandana",Registered!AE632&amp;" Bandanas"))</f>
        <v/>
      </c>
      <c r="AV632" s="3">
        <f t="shared" si="29"/>
        <v>0</v>
      </c>
      <c r="AW632" s="2" t="str">
        <f>IF(Registered!AV632=0,"",IF(Registered!AV632=1,Registered!AV632&amp;" Meal",Registered!AV632&amp;" Meals"))</f>
        <v/>
      </c>
      <c r="AX632" s="2" t="str">
        <f>IF(Registered!AI632=0,"",Registered!AI632&amp;" BG")</f>
        <v/>
      </c>
      <c r="AY632" s="2" t="str">
        <f>IF(Registered!AG632=0,"",Registered!AG632&amp;" DustMask")</f>
        <v/>
      </c>
    </row>
    <row r="633" spans="1:51" customFormat="1" x14ac:dyDescent="0.25">
      <c r="A633" t="s">
        <v>78</v>
      </c>
      <c r="B633" t="s">
        <v>1172</v>
      </c>
      <c r="C633" t="s">
        <v>6090</v>
      </c>
      <c r="G633" t="s">
        <v>398</v>
      </c>
      <c r="H633" t="s">
        <v>987</v>
      </c>
      <c r="I633" t="s">
        <v>989</v>
      </c>
      <c r="J633" t="s">
        <v>37</v>
      </c>
      <c r="K633" t="s">
        <v>32</v>
      </c>
      <c r="L633" t="s">
        <v>35</v>
      </c>
      <c r="AQ633">
        <v>0</v>
      </c>
      <c r="AR633" s="3">
        <f t="shared" si="27"/>
        <v>0</v>
      </c>
      <c r="AS633" s="3">
        <f t="shared" si="28"/>
        <v>0</v>
      </c>
      <c r="AT633" s="3" t="str">
        <f>IF(OR(Registered!AM633&gt;0,Registered!AO633&gt;0),(IF(Registered!E633=0,"Size Not Specified",Registered!E633)),"")</f>
        <v/>
      </c>
      <c r="AU633" s="3" t="str">
        <f>IF(Registered!AE633=0,"",IF(Registered!AE633=1,Registered!AE633&amp;" Bandana",Registered!AE633&amp;" Bandanas"))</f>
        <v/>
      </c>
      <c r="AV633" s="3">
        <f t="shared" si="29"/>
        <v>0</v>
      </c>
      <c r="AW633" s="2" t="str">
        <f>IF(Registered!AV633=0,"",IF(Registered!AV633=1,Registered!AV633&amp;" Meal",Registered!AV633&amp;" Meals"))</f>
        <v/>
      </c>
      <c r="AX633" s="2" t="str">
        <f>IF(Registered!AI633=0,"",Registered!AI633&amp;" BG")</f>
        <v/>
      </c>
      <c r="AY633" s="2" t="str">
        <f>IF(Registered!AG633=0,"",Registered!AG633&amp;" DustMask")</f>
        <v/>
      </c>
    </row>
    <row r="634" spans="1:51" customFormat="1" x14ac:dyDescent="0.25">
      <c r="A634" t="s">
        <v>4277</v>
      </c>
      <c r="B634" t="s">
        <v>4278</v>
      </c>
      <c r="C634" t="s">
        <v>6090</v>
      </c>
      <c r="D634" t="s">
        <v>4279</v>
      </c>
      <c r="F634" t="s">
        <v>261</v>
      </c>
      <c r="I634" t="s">
        <v>4280</v>
      </c>
      <c r="J634" t="s">
        <v>37</v>
      </c>
      <c r="K634" t="s">
        <v>32</v>
      </c>
      <c r="L634" t="s">
        <v>35</v>
      </c>
      <c r="Q634">
        <v>1</v>
      </c>
      <c r="R634">
        <v>3</v>
      </c>
      <c r="AC634">
        <v>1</v>
      </c>
      <c r="AD634">
        <v>10</v>
      </c>
      <c r="AQ634">
        <v>13</v>
      </c>
      <c r="AR634" s="3">
        <f t="shared" si="27"/>
        <v>5</v>
      </c>
      <c r="AS634" s="3">
        <f t="shared" si="28"/>
        <v>0</v>
      </c>
      <c r="AT634" s="3" t="str">
        <f>IF(OR(Registered!AM634&gt;0,Registered!AO634&gt;0),(IF(Registered!E634=0,"Size Not Specified",Registered!E634)),"")</f>
        <v/>
      </c>
      <c r="AU634" s="3" t="str">
        <f>IF(Registered!AE634=0,"",IF(Registered!AE634=1,Registered!AE634&amp;" Bandana",Registered!AE634&amp;" Bandanas"))</f>
        <v/>
      </c>
      <c r="AV634" s="3">
        <f t="shared" si="29"/>
        <v>0</v>
      </c>
      <c r="AW634" s="2" t="str">
        <f>IF(Registered!AV634=0,"",IF(Registered!AV634=1,Registered!AV634&amp;" Meal",Registered!AV634&amp;" Meals"))</f>
        <v/>
      </c>
      <c r="AX634" s="2" t="str">
        <f>IF(Registered!AI634=0,"",Registered!AI634&amp;" BG")</f>
        <v/>
      </c>
      <c r="AY634" s="2" t="str">
        <f>IF(Registered!AG634=0,"",Registered!AG634&amp;" DustMask")</f>
        <v/>
      </c>
    </row>
    <row r="635" spans="1:51" customFormat="1" x14ac:dyDescent="0.25">
      <c r="A635" t="s">
        <v>3111</v>
      </c>
      <c r="B635" t="s">
        <v>4281</v>
      </c>
      <c r="C635" t="s">
        <v>6090</v>
      </c>
      <c r="G635" t="s">
        <v>3545</v>
      </c>
      <c r="H635" t="s">
        <v>3546</v>
      </c>
      <c r="I635" t="s">
        <v>3547</v>
      </c>
      <c r="J635" t="s">
        <v>37</v>
      </c>
      <c r="K635" t="s">
        <v>32</v>
      </c>
      <c r="L635" t="s">
        <v>35</v>
      </c>
      <c r="AQ635">
        <v>0</v>
      </c>
      <c r="AR635" s="3">
        <f t="shared" si="27"/>
        <v>0</v>
      </c>
      <c r="AS635" s="3">
        <f t="shared" si="28"/>
        <v>0</v>
      </c>
      <c r="AT635" s="3" t="str">
        <f>IF(OR(Registered!AM635&gt;0,Registered!AO635&gt;0),(IF(Registered!E635=0,"Size Not Specified",Registered!E635)),"")</f>
        <v/>
      </c>
      <c r="AU635" s="3" t="str">
        <f>IF(Registered!AE635=0,"",IF(Registered!AE635=1,Registered!AE635&amp;" Bandana",Registered!AE635&amp;" Bandanas"))</f>
        <v/>
      </c>
      <c r="AV635" s="3">
        <f t="shared" si="29"/>
        <v>0</v>
      </c>
      <c r="AW635" s="2" t="str">
        <f>IF(Registered!AV635=0,"",IF(Registered!AV635=1,Registered!AV635&amp;" Meal",Registered!AV635&amp;" Meals"))</f>
        <v/>
      </c>
      <c r="AX635" s="2" t="str">
        <f>IF(Registered!AI635=0,"",Registered!AI635&amp;" BG")</f>
        <v/>
      </c>
      <c r="AY635" s="2" t="str">
        <f>IF(Registered!AG635=0,"",Registered!AG635&amp;" DustMask")</f>
        <v/>
      </c>
    </row>
    <row r="636" spans="1:51" customFormat="1" x14ac:dyDescent="0.25">
      <c r="A636" t="s">
        <v>185</v>
      </c>
      <c r="B636" t="s">
        <v>4282</v>
      </c>
      <c r="C636" t="s">
        <v>6090</v>
      </c>
      <c r="G636" t="s">
        <v>185</v>
      </c>
      <c r="H636" t="s">
        <v>4282</v>
      </c>
      <c r="I636" t="s">
        <v>4283</v>
      </c>
      <c r="J636" t="s">
        <v>37</v>
      </c>
      <c r="K636" t="s">
        <v>32</v>
      </c>
      <c r="L636" t="s">
        <v>35</v>
      </c>
      <c r="AQ636">
        <v>0</v>
      </c>
      <c r="AR636" s="3">
        <f t="shared" si="27"/>
        <v>0</v>
      </c>
      <c r="AS636" s="3">
        <f t="shared" si="28"/>
        <v>0</v>
      </c>
      <c r="AT636" s="3" t="str">
        <f>IF(OR(Registered!AM636&gt;0,Registered!AO636&gt;0),(IF(Registered!E636=0,"Size Not Specified",Registered!E636)),"")</f>
        <v/>
      </c>
      <c r="AU636" s="3" t="str">
        <f>IF(Registered!AE636=0,"",IF(Registered!AE636=1,Registered!AE636&amp;" Bandana",Registered!AE636&amp;" Bandanas"))</f>
        <v/>
      </c>
      <c r="AV636" s="3">
        <f t="shared" si="29"/>
        <v>0</v>
      </c>
      <c r="AW636" s="2" t="str">
        <f>IF(Registered!AV636=0,"",IF(Registered!AV636=1,Registered!AV636&amp;" Meal",Registered!AV636&amp;" Meals"))</f>
        <v/>
      </c>
      <c r="AX636" s="2" t="str">
        <f>IF(Registered!AI636=0,"",Registered!AI636&amp;" BG")</f>
        <v/>
      </c>
      <c r="AY636" s="2" t="str">
        <f>IF(Registered!AG636=0,"",Registered!AG636&amp;" DustMask")</f>
        <v/>
      </c>
    </row>
    <row r="637" spans="1:51" customFormat="1" x14ac:dyDescent="0.25">
      <c r="A637" t="s">
        <v>185</v>
      </c>
      <c r="B637" t="s">
        <v>4282</v>
      </c>
      <c r="C637" t="s">
        <v>6090</v>
      </c>
      <c r="D637" t="s">
        <v>185</v>
      </c>
      <c r="E637" t="s">
        <v>65</v>
      </c>
      <c r="F637" t="s">
        <v>261</v>
      </c>
      <c r="I637" t="s">
        <v>4283</v>
      </c>
      <c r="J637" t="s">
        <v>37</v>
      </c>
      <c r="K637" t="s">
        <v>32</v>
      </c>
      <c r="L637" t="s">
        <v>35</v>
      </c>
      <c r="Q637">
        <v>3</v>
      </c>
      <c r="R637">
        <v>3</v>
      </c>
      <c r="U637">
        <v>1</v>
      </c>
      <c r="V637">
        <v>20</v>
      </c>
      <c r="AO637">
        <v>1</v>
      </c>
      <c r="AP637">
        <v>10</v>
      </c>
      <c r="AQ637">
        <v>39</v>
      </c>
      <c r="AR637" s="3">
        <f t="shared" si="27"/>
        <v>10</v>
      </c>
      <c r="AS637" s="3">
        <f t="shared" si="28"/>
        <v>1</v>
      </c>
      <c r="AT637" s="3" t="str">
        <f>IF(OR(Registered!AM637&gt;0,Registered!AO637&gt;0),(IF(Registered!E637=0,"Size Not Specified",Registered!E637)),"")</f>
        <v>Medium</v>
      </c>
      <c r="AU637" s="3" t="str">
        <f>IF(Registered!AE637=0,"",IF(Registered!AE637=1,Registered!AE637&amp;" Bandana",Registered!AE637&amp;" Bandanas"))</f>
        <v/>
      </c>
      <c r="AV637" s="3">
        <f t="shared" si="29"/>
        <v>0</v>
      </c>
      <c r="AW637" s="2" t="str">
        <f>IF(Registered!AV637=0,"",IF(Registered!AV637=1,Registered!AV637&amp;" Meal",Registered!AV637&amp;" Meals"))</f>
        <v/>
      </c>
      <c r="AX637" s="2" t="str">
        <f>IF(Registered!AI637=0,"",Registered!AI637&amp;" BG")</f>
        <v/>
      </c>
      <c r="AY637" s="2" t="str">
        <f>IF(Registered!AG637=0,"",Registered!AG637&amp;" DustMask")</f>
        <v/>
      </c>
    </row>
    <row r="638" spans="1:51" customFormat="1" x14ac:dyDescent="0.25">
      <c r="A638" t="s">
        <v>438</v>
      </c>
      <c r="B638" t="s">
        <v>4284</v>
      </c>
      <c r="C638" t="s">
        <v>6090</v>
      </c>
      <c r="G638" t="s">
        <v>3643</v>
      </c>
      <c r="H638" t="s">
        <v>391</v>
      </c>
      <c r="I638" t="s">
        <v>3644</v>
      </c>
      <c r="J638" t="s">
        <v>37</v>
      </c>
      <c r="K638" t="s">
        <v>32</v>
      </c>
      <c r="L638" t="s">
        <v>35</v>
      </c>
      <c r="AQ638">
        <v>0</v>
      </c>
      <c r="AR638" s="3">
        <f t="shared" si="27"/>
        <v>0</v>
      </c>
      <c r="AS638" s="3">
        <f t="shared" si="28"/>
        <v>0</v>
      </c>
      <c r="AT638" s="3" t="str">
        <f>IF(OR(Registered!AM638&gt;0,Registered!AO638&gt;0),(IF(Registered!E638=0,"Size Not Specified",Registered!E638)),"")</f>
        <v/>
      </c>
      <c r="AU638" s="3" t="str">
        <f>IF(Registered!AE638=0,"",IF(Registered!AE638=1,Registered!AE638&amp;" Bandana",Registered!AE638&amp;" Bandanas"))</f>
        <v/>
      </c>
      <c r="AV638" s="3">
        <f t="shared" si="29"/>
        <v>0</v>
      </c>
      <c r="AW638" s="2" t="str">
        <f>IF(Registered!AV638=0,"",IF(Registered!AV638=1,Registered!AV638&amp;" Meal",Registered!AV638&amp;" Meals"))</f>
        <v/>
      </c>
      <c r="AX638" s="2" t="str">
        <f>IF(Registered!AI638=0,"",Registered!AI638&amp;" BG")</f>
        <v/>
      </c>
      <c r="AY638" s="2" t="str">
        <f>IF(Registered!AG638=0,"",Registered!AG638&amp;" DustMask")</f>
        <v/>
      </c>
    </row>
    <row r="639" spans="1:51" customFormat="1" x14ac:dyDescent="0.25">
      <c r="A639" t="s">
        <v>1173</v>
      </c>
      <c r="B639" t="s">
        <v>1174</v>
      </c>
      <c r="C639" t="s">
        <v>6090</v>
      </c>
      <c r="G639" t="s">
        <v>1175</v>
      </c>
      <c r="H639" t="s">
        <v>1176</v>
      </c>
      <c r="I639" t="s">
        <v>1177</v>
      </c>
      <c r="J639" t="s">
        <v>37</v>
      </c>
      <c r="K639" t="s">
        <v>32</v>
      </c>
      <c r="L639" t="s">
        <v>35</v>
      </c>
      <c r="AQ639">
        <v>0</v>
      </c>
      <c r="AR639" s="3">
        <f t="shared" si="27"/>
        <v>0</v>
      </c>
      <c r="AS639" s="3">
        <f t="shared" si="28"/>
        <v>0</v>
      </c>
      <c r="AT639" s="3" t="str">
        <f>IF(OR(Registered!AM639&gt;0,Registered!AO639&gt;0),(IF(Registered!E639=0,"Size Not Specified",Registered!E639)),"")</f>
        <v/>
      </c>
      <c r="AU639" s="3" t="str">
        <f>IF(Registered!AE639=0,"",IF(Registered!AE639=1,Registered!AE639&amp;" Bandana",Registered!AE639&amp;" Bandanas"))</f>
        <v/>
      </c>
      <c r="AV639" s="3">
        <f t="shared" si="29"/>
        <v>0</v>
      </c>
      <c r="AW639" s="2" t="str">
        <f>IF(Registered!AV639=0,"",IF(Registered!AV639=1,Registered!AV639&amp;" Meal",Registered!AV639&amp;" Meals"))</f>
        <v/>
      </c>
      <c r="AX639" s="2" t="str">
        <f>IF(Registered!AI639=0,"",Registered!AI639&amp;" BG")</f>
        <v/>
      </c>
      <c r="AY639" s="2" t="str">
        <f>IF(Registered!AG639=0,"",Registered!AG639&amp;" DustMask")</f>
        <v/>
      </c>
    </row>
    <row r="640" spans="1:51" customFormat="1" x14ac:dyDescent="0.25">
      <c r="A640" t="s">
        <v>4285</v>
      </c>
      <c r="B640" t="s">
        <v>4286</v>
      </c>
      <c r="C640" t="s">
        <v>6090</v>
      </c>
      <c r="G640" t="s">
        <v>215</v>
      </c>
      <c r="H640" t="s">
        <v>477</v>
      </c>
      <c r="I640" t="s">
        <v>4287</v>
      </c>
      <c r="J640" t="s">
        <v>37</v>
      </c>
      <c r="K640" t="s">
        <v>32</v>
      </c>
      <c r="L640" t="s">
        <v>35</v>
      </c>
      <c r="AQ640">
        <v>0</v>
      </c>
      <c r="AR640" s="3">
        <f t="shared" si="27"/>
        <v>0</v>
      </c>
      <c r="AS640" s="3">
        <f t="shared" si="28"/>
        <v>0</v>
      </c>
      <c r="AT640" s="3" t="str">
        <f>IF(OR(Registered!AM640&gt;0,Registered!AO640&gt;0),(IF(Registered!E640=0,"Size Not Specified",Registered!E640)),"")</f>
        <v/>
      </c>
      <c r="AU640" s="3" t="str">
        <f>IF(Registered!AE640=0,"",IF(Registered!AE640=1,Registered!AE640&amp;" Bandana",Registered!AE640&amp;" Bandanas"))</f>
        <v/>
      </c>
      <c r="AV640" s="3">
        <f t="shared" si="29"/>
        <v>0</v>
      </c>
      <c r="AW640" s="2" t="str">
        <f>IF(Registered!AV640=0,"",IF(Registered!AV640=1,Registered!AV640&amp;" Meal",Registered!AV640&amp;" Meals"))</f>
        <v/>
      </c>
      <c r="AX640" s="2" t="str">
        <f>IF(Registered!AI640=0,"",Registered!AI640&amp;" BG")</f>
        <v/>
      </c>
      <c r="AY640" s="2" t="str">
        <f>IF(Registered!AG640=0,"",Registered!AG640&amp;" DustMask")</f>
        <v/>
      </c>
    </row>
    <row r="641" spans="1:51" customFormat="1" x14ac:dyDescent="0.25">
      <c r="A641" t="s">
        <v>2370</v>
      </c>
      <c r="B641" t="s">
        <v>2907</v>
      </c>
      <c r="C641" t="s">
        <v>6090</v>
      </c>
      <c r="G641" t="s">
        <v>2896</v>
      </c>
      <c r="H641" t="s">
        <v>2897</v>
      </c>
      <c r="I641" t="s">
        <v>2899</v>
      </c>
      <c r="J641" t="s">
        <v>37</v>
      </c>
      <c r="K641" t="s">
        <v>32</v>
      </c>
      <c r="L641" t="s">
        <v>35</v>
      </c>
      <c r="AQ641">
        <v>0</v>
      </c>
      <c r="AR641" s="3">
        <f t="shared" si="27"/>
        <v>0</v>
      </c>
      <c r="AS641" s="3">
        <f t="shared" si="28"/>
        <v>0</v>
      </c>
      <c r="AT641" s="3" t="str">
        <f>IF(OR(Registered!AM641&gt;0,Registered!AO641&gt;0),(IF(Registered!E641=0,"Size Not Specified",Registered!E641)),"")</f>
        <v/>
      </c>
      <c r="AU641" s="3" t="str">
        <f>IF(Registered!AE641=0,"",IF(Registered!AE641=1,Registered!AE641&amp;" Bandana",Registered!AE641&amp;" Bandanas"))</f>
        <v/>
      </c>
      <c r="AV641" s="3">
        <f t="shared" si="29"/>
        <v>0</v>
      </c>
      <c r="AW641" s="2" t="str">
        <f>IF(Registered!AV641=0,"",IF(Registered!AV641=1,Registered!AV641&amp;" Meal",Registered!AV641&amp;" Meals"))</f>
        <v/>
      </c>
      <c r="AX641" s="2" t="str">
        <f>IF(Registered!AI641=0,"",Registered!AI641&amp;" BG")</f>
        <v/>
      </c>
      <c r="AY641" s="2" t="str">
        <f>IF(Registered!AG641=0,"",Registered!AG641&amp;" DustMask")</f>
        <v/>
      </c>
    </row>
    <row r="642" spans="1:51" customFormat="1" x14ac:dyDescent="0.25">
      <c r="A642" t="s">
        <v>441</v>
      </c>
      <c r="B642" t="s">
        <v>1178</v>
      </c>
      <c r="C642" t="s">
        <v>6090</v>
      </c>
      <c r="D642" t="s">
        <v>1179</v>
      </c>
      <c r="E642" t="s">
        <v>117</v>
      </c>
      <c r="F642" t="s">
        <v>261</v>
      </c>
      <c r="I642" t="s">
        <v>1180</v>
      </c>
      <c r="J642" t="s">
        <v>37</v>
      </c>
      <c r="K642" t="s">
        <v>32</v>
      </c>
      <c r="L642" t="s">
        <v>35</v>
      </c>
      <c r="S642">
        <v>2</v>
      </c>
      <c r="T642">
        <v>3</v>
      </c>
      <c r="U642">
        <v>1</v>
      </c>
      <c r="V642">
        <v>20</v>
      </c>
      <c r="AQ642">
        <v>26</v>
      </c>
      <c r="AR642" s="3">
        <f t="shared" ref="AR642:AR705" si="30">IF(ISTEXT(AM642)=TRUE,"",SUM(U642*10,W642*20,Y642*30,AA642*40,AC642*5,AM642*5))</f>
        <v>10</v>
      </c>
      <c r="AS642" s="3">
        <f t="shared" ref="AS642:AS705" si="31">IF(ISTEXT(AM642)=TRUE,"",SUM(AM642,AO642))</f>
        <v>0</v>
      </c>
      <c r="AT642" s="3" t="str">
        <f>IF(OR(Registered!AM642&gt;0,Registered!AO642&gt;0),(IF(Registered!E642=0,"Size Not Specified",Registered!E642)),"")</f>
        <v/>
      </c>
      <c r="AU642" s="3" t="str">
        <f>IF(Registered!AE642=0,"",IF(Registered!AE642=1,Registered!AE642&amp;" Bandana",Registered!AE642&amp;" Bandanas"))</f>
        <v/>
      </c>
      <c r="AV642" s="3">
        <f t="shared" ref="AV642:AV705" si="32">IF(ISTEXT(AM642)=TRUE,"",SUM(AM642,AK642))</f>
        <v>0</v>
      </c>
      <c r="AW642" s="2" t="str">
        <f>IF(Registered!AV642=0,"",IF(Registered!AV642=1,Registered!AV642&amp;" Meal",Registered!AV642&amp;" Meals"))</f>
        <v/>
      </c>
      <c r="AX642" s="2" t="str">
        <f>IF(Registered!AI642=0,"",Registered!AI642&amp;" BG")</f>
        <v/>
      </c>
      <c r="AY642" s="2" t="str">
        <f>IF(Registered!AG642=0,"",Registered!AG642&amp;" DustMask")</f>
        <v/>
      </c>
    </row>
    <row r="643" spans="1:51" customFormat="1" x14ac:dyDescent="0.25">
      <c r="A643" t="s">
        <v>4288</v>
      </c>
      <c r="B643" t="s">
        <v>1181</v>
      </c>
      <c r="C643" t="s">
        <v>6090</v>
      </c>
      <c r="D643" t="s">
        <v>4289</v>
      </c>
      <c r="F643" t="s">
        <v>261</v>
      </c>
      <c r="I643" t="s">
        <v>4290</v>
      </c>
      <c r="J643" t="s">
        <v>37</v>
      </c>
      <c r="K643" t="s">
        <v>32</v>
      </c>
      <c r="L643" t="s">
        <v>35</v>
      </c>
      <c r="Q643">
        <v>3</v>
      </c>
      <c r="R643">
        <v>3</v>
      </c>
      <c r="Y643">
        <v>1</v>
      </c>
      <c r="Z643">
        <v>60</v>
      </c>
      <c r="AQ643">
        <v>69</v>
      </c>
      <c r="AR643" s="3">
        <f t="shared" si="30"/>
        <v>30</v>
      </c>
      <c r="AS643" s="3">
        <f t="shared" si="31"/>
        <v>0</v>
      </c>
      <c r="AT643" s="3" t="str">
        <f>IF(OR(Registered!AM643&gt;0,Registered!AO643&gt;0),(IF(Registered!E643=0,"Size Not Specified",Registered!E643)),"")</f>
        <v/>
      </c>
      <c r="AU643" s="3" t="str">
        <f>IF(Registered!AE643=0,"",IF(Registered!AE643=1,Registered!AE643&amp;" Bandana",Registered!AE643&amp;" Bandanas"))</f>
        <v/>
      </c>
      <c r="AV643" s="3">
        <f t="shared" si="32"/>
        <v>0</v>
      </c>
      <c r="AW643" s="2" t="str">
        <f>IF(Registered!AV643=0,"",IF(Registered!AV643=1,Registered!AV643&amp;" Meal",Registered!AV643&amp;" Meals"))</f>
        <v/>
      </c>
      <c r="AX643" s="2" t="str">
        <f>IF(Registered!AI643=0,"",Registered!AI643&amp;" BG")</f>
        <v/>
      </c>
      <c r="AY643" s="2" t="str">
        <f>IF(Registered!AG643=0,"",Registered!AG643&amp;" DustMask")</f>
        <v/>
      </c>
    </row>
    <row r="644" spans="1:51" customFormat="1" x14ac:dyDescent="0.25">
      <c r="A644" t="s">
        <v>497</v>
      </c>
      <c r="B644" t="s">
        <v>1181</v>
      </c>
      <c r="C644" t="s">
        <v>6090</v>
      </c>
      <c r="G644" t="s">
        <v>1182</v>
      </c>
      <c r="H644" t="s">
        <v>745</v>
      </c>
      <c r="I644" t="s">
        <v>1183</v>
      </c>
      <c r="J644" t="s">
        <v>37</v>
      </c>
      <c r="K644" t="s">
        <v>32</v>
      </c>
      <c r="L644" t="s">
        <v>35</v>
      </c>
      <c r="AQ644">
        <v>0</v>
      </c>
      <c r="AR644" s="3">
        <f t="shared" si="30"/>
        <v>0</v>
      </c>
      <c r="AS644" s="3">
        <f t="shared" si="31"/>
        <v>0</v>
      </c>
      <c r="AT644" s="3" t="str">
        <f>IF(OR(Registered!AM644&gt;0,Registered!AO644&gt;0),(IF(Registered!E644=0,"Size Not Specified",Registered!E644)),"")</f>
        <v/>
      </c>
      <c r="AU644" s="3" t="str">
        <f>IF(Registered!AE644=0,"",IF(Registered!AE644=1,Registered!AE644&amp;" Bandana",Registered!AE644&amp;" Bandanas"))</f>
        <v/>
      </c>
      <c r="AV644" s="3">
        <f t="shared" si="32"/>
        <v>0</v>
      </c>
      <c r="AW644" s="2" t="str">
        <f>IF(Registered!AV644=0,"",IF(Registered!AV644=1,Registered!AV644&amp;" Meal",Registered!AV644&amp;" Meals"))</f>
        <v/>
      </c>
      <c r="AX644" s="2" t="str">
        <f>IF(Registered!AI644=0,"",Registered!AI644&amp;" BG")</f>
        <v/>
      </c>
      <c r="AY644" s="2" t="str">
        <f>IF(Registered!AG644=0,"",Registered!AG644&amp;" DustMask")</f>
        <v/>
      </c>
    </row>
    <row r="645" spans="1:51" customFormat="1" x14ac:dyDescent="0.25">
      <c r="A645" t="s">
        <v>42</v>
      </c>
      <c r="B645" t="s">
        <v>2908</v>
      </c>
      <c r="C645" t="s">
        <v>6090</v>
      </c>
      <c r="G645" t="s">
        <v>2268</v>
      </c>
      <c r="H645" t="s">
        <v>2908</v>
      </c>
      <c r="I645" t="s">
        <v>2909</v>
      </c>
      <c r="J645" t="s">
        <v>37</v>
      </c>
      <c r="K645" t="s">
        <v>32</v>
      </c>
      <c r="L645" t="s">
        <v>35</v>
      </c>
      <c r="AQ645">
        <v>0</v>
      </c>
      <c r="AR645" s="3">
        <f t="shared" si="30"/>
        <v>0</v>
      </c>
      <c r="AS645" s="3">
        <f t="shared" si="31"/>
        <v>0</v>
      </c>
      <c r="AT645" s="3" t="str">
        <f>IF(OR(Registered!AM645&gt;0,Registered!AO645&gt;0),(IF(Registered!E645=0,"Size Not Specified",Registered!E645)),"")</f>
        <v/>
      </c>
      <c r="AU645" s="3" t="str">
        <f>IF(Registered!AE645=0,"",IF(Registered!AE645=1,Registered!AE645&amp;" Bandana",Registered!AE645&amp;" Bandanas"))</f>
        <v/>
      </c>
      <c r="AV645" s="3">
        <f t="shared" si="32"/>
        <v>0</v>
      </c>
      <c r="AW645" s="2" t="str">
        <f>IF(Registered!AV645=0,"",IF(Registered!AV645=1,Registered!AV645&amp;" Meal",Registered!AV645&amp;" Meals"))</f>
        <v/>
      </c>
      <c r="AX645" s="2" t="str">
        <f>IF(Registered!AI645=0,"",Registered!AI645&amp;" BG")</f>
        <v/>
      </c>
      <c r="AY645" s="2" t="str">
        <f>IF(Registered!AG645=0,"",Registered!AG645&amp;" DustMask")</f>
        <v/>
      </c>
    </row>
    <row r="646" spans="1:51" customFormat="1" x14ac:dyDescent="0.25">
      <c r="A646" t="s">
        <v>2268</v>
      </c>
      <c r="B646" t="s">
        <v>2908</v>
      </c>
      <c r="C646" t="s">
        <v>6090</v>
      </c>
      <c r="D646" t="s">
        <v>2910</v>
      </c>
      <c r="F646" t="s">
        <v>261</v>
      </c>
      <c r="I646" t="s">
        <v>2909</v>
      </c>
      <c r="J646" t="s">
        <v>37</v>
      </c>
      <c r="K646" t="s">
        <v>32</v>
      </c>
      <c r="L646" t="s">
        <v>35</v>
      </c>
      <c r="Q646">
        <v>2</v>
      </c>
      <c r="R646">
        <v>3</v>
      </c>
      <c r="AC646">
        <v>1</v>
      </c>
      <c r="AD646">
        <v>10</v>
      </c>
      <c r="AK646">
        <v>2</v>
      </c>
      <c r="AL646">
        <v>6</v>
      </c>
      <c r="AQ646">
        <v>28</v>
      </c>
      <c r="AR646" s="3">
        <f t="shared" si="30"/>
        <v>5</v>
      </c>
      <c r="AS646" s="3">
        <f t="shared" si="31"/>
        <v>0</v>
      </c>
      <c r="AT646" s="3" t="str">
        <f>IF(OR(Registered!AM646&gt;0,Registered!AO646&gt;0),(IF(Registered!E646=0,"Size Not Specified",Registered!E646)),"")</f>
        <v/>
      </c>
      <c r="AU646" s="3" t="str">
        <f>IF(Registered!AE646=0,"",IF(Registered!AE646=1,Registered!AE646&amp;" Bandana",Registered!AE646&amp;" Bandanas"))</f>
        <v/>
      </c>
      <c r="AV646" s="3">
        <f t="shared" si="32"/>
        <v>2</v>
      </c>
      <c r="AW646" s="2" t="str">
        <f>IF(Registered!AV646=0,"",IF(Registered!AV646=1,Registered!AV646&amp;" Meal",Registered!AV646&amp;" Meals"))</f>
        <v>2 Meals</v>
      </c>
      <c r="AX646" s="2" t="str">
        <f>IF(Registered!AI646=0,"",Registered!AI646&amp;" BG")</f>
        <v/>
      </c>
      <c r="AY646" s="2" t="str">
        <f>IF(Registered!AG646=0,"",Registered!AG646&amp;" DustMask")</f>
        <v/>
      </c>
    </row>
    <row r="647" spans="1:51" customFormat="1" x14ac:dyDescent="0.25">
      <c r="A647" t="s">
        <v>270</v>
      </c>
      <c r="B647" t="s">
        <v>4291</v>
      </c>
      <c r="C647" t="s">
        <v>6090</v>
      </c>
      <c r="D647" t="s">
        <v>4292</v>
      </c>
      <c r="E647" t="s">
        <v>4293</v>
      </c>
      <c r="F647" t="s">
        <v>261</v>
      </c>
      <c r="I647" t="s">
        <v>4294</v>
      </c>
      <c r="J647" t="s">
        <v>37</v>
      </c>
      <c r="K647" t="s">
        <v>32</v>
      </c>
      <c r="L647" t="s">
        <v>35</v>
      </c>
      <c r="Q647">
        <v>2</v>
      </c>
      <c r="R647">
        <v>3</v>
      </c>
      <c r="AC647">
        <v>1</v>
      </c>
      <c r="AD647">
        <v>10</v>
      </c>
      <c r="AO647">
        <v>2</v>
      </c>
      <c r="AP647">
        <v>10</v>
      </c>
      <c r="AQ647">
        <v>36</v>
      </c>
      <c r="AR647" s="3">
        <f t="shared" si="30"/>
        <v>5</v>
      </c>
      <c r="AS647" s="3">
        <f t="shared" si="31"/>
        <v>2</v>
      </c>
      <c r="AT647" s="3" t="str">
        <f>IF(OR(Registered!AM647&gt;0,Registered!AO647&gt;0),(IF(Registered!E647=0,"Size Not Specified",Registered!E647)),"")</f>
        <v>I bought 2 so one in XLarge and one in Large</v>
      </c>
      <c r="AU647" s="3" t="str">
        <f>IF(Registered!AE647=0,"",IF(Registered!AE647=1,Registered!AE647&amp;" Bandana",Registered!AE647&amp;" Bandanas"))</f>
        <v/>
      </c>
      <c r="AV647" s="3">
        <f t="shared" si="32"/>
        <v>0</v>
      </c>
      <c r="AW647" s="2" t="str">
        <f>IF(Registered!AV647=0,"",IF(Registered!AV647=1,Registered!AV647&amp;" Meal",Registered!AV647&amp;" Meals"))</f>
        <v/>
      </c>
      <c r="AX647" s="2" t="str">
        <f>IF(Registered!AI647=0,"",Registered!AI647&amp;" BG")</f>
        <v/>
      </c>
      <c r="AY647" s="2" t="str">
        <f>IF(Registered!AG647=0,"",Registered!AG647&amp;" DustMask")</f>
        <v/>
      </c>
    </row>
    <row r="648" spans="1:51" customFormat="1" x14ac:dyDescent="0.25">
      <c r="A648" t="s">
        <v>235</v>
      </c>
      <c r="B648" t="s">
        <v>4295</v>
      </c>
      <c r="C648" t="s">
        <v>6090</v>
      </c>
      <c r="G648" t="s">
        <v>131</v>
      </c>
      <c r="H648" t="s">
        <v>3847</v>
      </c>
      <c r="I648" t="s">
        <v>3848</v>
      </c>
      <c r="J648" t="s">
        <v>37</v>
      </c>
      <c r="K648" t="s">
        <v>32</v>
      </c>
      <c r="L648" t="s">
        <v>35</v>
      </c>
      <c r="AQ648">
        <v>0</v>
      </c>
      <c r="AR648" s="3">
        <f t="shared" si="30"/>
        <v>0</v>
      </c>
      <c r="AS648" s="3">
        <f t="shared" si="31"/>
        <v>0</v>
      </c>
      <c r="AT648" s="3" t="str">
        <f>IF(OR(Registered!AM648&gt;0,Registered!AO648&gt;0),(IF(Registered!E648=0,"Size Not Specified",Registered!E648)),"")</f>
        <v/>
      </c>
      <c r="AU648" s="3" t="str">
        <f>IF(Registered!AE648=0,"",IF(Registered!AE648=1,Registered!AE648&amp;" Bandana",Registered!AE648&amp;" Bandanas"))</f>
        <v/>
      </c>
      <c r="AV648" s="3">
        <f t="shared" si="32"/>
        <v>0</v>
      </c>
      <c r="AW648" s="2" t="str">
        <f>IF(Registered!AV648=0,"",IF(Registered!AV648=1,Registered!AV648&amp;" Meal",Registered!AV648&amp;" Meals"))</f>
        <v/>
      </c>
      <c r="AX648" s="2" t="str">
        <f>IF(Registered!AI648=0,"",Registered!AI648&amp;" BG")</f>
        <v/>
      </c>
      <c r="AY648" s="2" t="str">
        <f>IF(Registered!AG648=0,"",Registered!AG648&amp;" DustMask")</f>
        <v/>
      </c>
    </row>
    <row r="649" spans="1:51" customFormat="1" x14ac:dyDescent="0.25">
      <c r="A649" t="s">
        <v>3664</v>
      </c>
      <c r="B649" t="s">
        <v>3665</v>
      </c>
      <c r="C649" t="s">
        <v>6090</v>
      </c>
      <c r="D649" t="s">
        <v>3664</v>
      </c>
      <c r="F649" t="s">
        <v>261</v>
      </c>
      <c r="I649" t="s">
        <v>3666</v>
      </c>
      <c r="J649" t="s">
        <v>37</v>
      </c>
      <c r="K649" t="s">
        <v>32</v>
      </c>
      <c r="L649" t="s">
        <v>35</v>
      </c>
      <c r="Q649">
        <v>3</v>
      </c>
      <c r="R649">
        <v>3</v>
      </c>
      <c r="AC649">
        <v>4</v>
      </c>
      <c r="AD649">
        <v>10</v>
      </c>
      <c r="AQ649">
        <v>49</v>
      </c>
      <c r="AR649" s="3">
        <f t="shared" si="30"/>
        <v>20</v>
      </c>
      <c r="AS649" s="3">
        <f t="shared" si="31"/>
        <v>0</v>
      </c>
      <c r="AT649" s="3" t="str">
        <f>IF(OR(Registered!AM649&gt;0,Registered!AO649&gt;0),(IF(Registered!E649=0,"Size Not Specified",Registered!E649)),"")</f>
        <v/>
      </c>
      <c r="AU649" s="3" t="str">
        <f>IF(Registered!AE649=0,"",IF(Registered!AE649=1,Registered!AE649&amp;" Bandana",Registered!AE649&amp;" Bandanas"))</f>
        <v/>
      </c>
      <c r="AV649" s="3">
        <f t="shared" si="32"/>
        <v>0</v>
      </c>
      <c r="AW649" s="2" t="str">
        <f>IF(Registered!AV649=0,"",IF(Registered!AV649=1,Registered!AV649&amp;" Meal",Registered!AV649&amp;" Meals"))</f>
        <v/>
      </c>
      <c r="AX649" s="2" t="str">
        <f>IF(Registered!AI649=0,"",Registered!AI649&amp;" BG")</f>
        <v/>
      </c>
      <c r="AY649" s="2" t="str">
        <f>IF(Registered!AG649=0,"",Registered!AG649&amp;" DustMask")</f>
        <v/>
      </c>
    </row>
    <row r="650" spans="1:51" customFormat="1" x14ac:dyDescent="0.25">
      <c r="A650" t="s">
        <v>1184</v>
      </c>
      <c r="B650" t="s">
        <v>1185</v>
      </c>
      <c r="C650" t="s">
        <v>6090</v>
      </c>
      <c r="G650" t="s">
        <v>49</v>
      </c>
      <c r="H650" t="s">
        <v>1185</v>
      </c>
      <c r="I650" t="s">
        <v>1186</v>
      </c>
      <c r="J650" t="s">
        <v>37</v>
      </c>
      <c r="K650" t="s">
        <v>32</v>
      </c>
      <c r="L650" t="s">
        <v>35</v>
      </c>
      <c r="AQ650">
        <v>0</v>
      </c>
      <c r="AR650" s="3">
        <f t="shared" si="30"/>
        <v>0</v>
      </c>
      <c r="AS650" s="3">
        <f t="shared" si="31"/>
        <v>0</v>
      </c>
      <c r="AT650" s="3" t="str">
        <f>IF(OR(Registered!AM650&gt;0,Registered!AO650&gt;0),(IF(Registered!E650=0,"Size Not Specified",Registered!E650)),"")</f>
        <v/>
      </c>
      <c r="AU650" s="3" t="str">
        <f>IF(Registered!AE650=0,"",IF(Registered!AE650=1,Registered!AE650&amp;" Bandana",Registered!AE650&amp;" Bandanas"))</f>
        <v/>
      </c>
      <c r="AV650" s="3">
        <f t="shared" si="32"/>
        <v>0</v>
      </c>
      <c r="AW650" s="2" t="str">
        <f>IF(Registered!AV650=0,"",IF(Registered!AV650=1,Registered!AV650&amp;" Meal",Registered!AV650&amp;" Meals"))</f>
        <v/>
      </c>
      <c r="AX650" s="2" t="str">
        <f>IF(Registered!AI650=0,"",Registered!AI650&amp;" BG")</f>
        <v/>
      </c>
      <c r="AY650" s="2" t="str">
        <f>IF(Registered!AG650=0,"",Registered!AG650&amp;" DustMask")</f>
        <v/>
      </c>
    </row>
    <row r="651" spans="1:51" customFormat="1" x14ac:dyDescent="0.25">
      <c r="A651" t="s">
        <v>49</v>
      </c>
      <c r="B651" t="s">
        <v>1185</v>
      </c>
      <c r="C651" t="s">
        <v>6090</v>
      </c>
      <c r="D651" t="s">
        <v>1187</v>
      </c>
      <c r="I651" t="s">
        <v>1186</v>
      </c>
      <c r="J651" t="s">
        <v>37</v>
      </c>
      <c r="K651" t="s">
        <v>32</v>
      </c>
      <c r="L651" t="s">
        <v>35</v>
      </c>
      <c r="S651">
        <v>2</v>
      </c>
      <c r="T651">
        <v>3</v>
      </c>
      <c r="U651">
        <v>1</v>
      </c>
      <c r="V651">
        <v>20</v>
      </c>
      <c r="AQ651">
        <v>26</v>
      </c>
      <c r="AR651" s="3">
        <f t="shared" si="30"/>
        <v>10</v>
      </c>
      <c r="AS651" s="3">
        <f t="shared" si="31"/>
        <v>0</v>
      </c>
      <c r="AT651" s="3" t="str">
        <f>IF(OR(Registered!AM651&gt;0,Registered!AO651&gt;0),(IF(Registered!E651=0,"Size Not Specified",Registered!E651)),"")</f>
        <v/>
      </c>
      <c r="AU651" s="3" t="str">
        <f>IF(Registered!AE651=0,"",IF(Registered!AE651=1,Registered!AE651&amp;" Bandana",Registered!AE651&amp;" Bandanas"))</f>
        <v/>
      </c>
      <c r="AV651" s="3">
        <f t="shared" si="32"/>
        <v>0</v>
      </c>
      <c r="AW651" s="2" t="str">
        <f>IF(Registered!AV651=0,"",IF(Registered!AV651=1,Registered!AV651&amp;" Meal",Registered!AV651&amp;" Meals"))</f>
        <v/>
      </c>
      <c r="AX651" s="2" t="str">
        <f>IF(Registered!AI651=0,"",Registered!AI651&amp;" BG")</f>
        <v/>
      </c>
      <c r="AY651" s="2" t="str">
        <f>IF(Registered!AG651=0,"",Registered!AG651&amp;" DustMask")</f>
        <v/>
      </c>
    </row>
    <row r="652" spans="1:51" customFormat="1" x14ac:dyDescent="0.25">
      <c r="A652" t="s">
        <v>386</v>
      </c>
      <c r="B652" t="s">
        <v>1188</v>
      </c>
      <c r="C652" t="s">
        <v>6090</v>
      </c>
      <c r="G652" t="s">
        <v>90</v>
      </c>
      <c r="H652" t="s">
        <v>1189</v>
      </c>
      <c r="I652" t="s">
        <v>1190</v>
      </c>
      <c r="J652" t="s">
        <v>37</v>
      </c>
      <c r="K652" t="s">
        <v>32</v>
      </c>
      <c r="L652" t="s">
        <v>35</v>
      </c>
      <c r="AQ652">
        <v>0</v>
      </c>
      <c r="AR652" s="3">
        <f t="shared" si="30"/>
        <v>0</v>
      </c>
      <c r="AS652" s="3">
        <f t="shared" si="31"/>
        <v>0</v>
      </c>
      <c r="AT652" s="3" t="str">
        <f>IF(OR(Registered!AM652&gt;0,Registered!AO652&gt;0),(IF(Registered!E652=0,"Size Not Specified",Registered!E652)),"")</f>
        <v/>
      </c>
      <c r="AU652" s="3" t="str">
        <f>IF(Registered!AE652=0,"",IF(Registered!AE652=1,Registered!AE652&amp;" Bandana",Registered!AE652&amp;" Bandanas"))</f>
        <v/>
      </c>
      <c r="AV652" s="3">
        <f t="shared" si="32"/>
        <v>0</v>
      </c>
      <c r="AW652" s="2" t="str">
        <f>IF(Registered!AV652=0,"",IF(Registered!AV652=1,Registered!AV652&amp;" Meal",Registered!AV652&amp;" Meals"))</f>
        <v/>
      </c>
      <c r="AX652" s="2" t="str">
        <f>IF(Registered!AI652=0,"",Registered!AI652&amp;" BG")</f>
        <v/>
      </c>
      <c r="AY652" s="2" t="str">
        <f>IF(Registered!AG652=0,"",Registered!AG652&amp;" DustMask")</f>
        <v/>
      </c>
    </row>
    <row r="653" spans="1:51" customFormat="1" x14ac:dyDescent="0.25">
      <c r="A653" t="s">
        <v>4296</v>
      </c>
      <c r="B653" t="s">
        <v>2911</v>
      </c>
      <c r="C653" t="s">
        <v>6090</v>
      </c>
      <c r="D653" t="s">
        <v>4297</v>
      </c>
      <c r="E653" t="s">
        <v>41</v>
      </c>
      <c r="F653" t="s">
        <v>261</v>
      </c>
      <c r="I653" t="s">
        <v>4298</v>
      </c>
      <c r="J653" t="s">
        <v>37</v>
      </c>
      <c r="K653" t="s">
        <v>32</v>
      </c>
      <c r="L653" t="s">
        <v>35</v>
      </c>
      <c r="Q653">
        <v>1</v>
      </c>
      <c r="R653">
        <v>3</v>
      </c>
      <c r="AM653">
        <v>1</v>
      </c>
      <c r="AN653">
        <v>25</v>
      </c>
      <c r="AQ653">
        <v>28</v>
      </c>
      <c r="AR653" s="3">
        <f t="shared" si="30"/>
        <v>5</v>
      </c>
      <c r="AS653" s="3">
        <f t="shared" si="31"/>
        <v>1</v>
      </c>
      <c r="AT653" s="3" t="str">
        <f>IF(OR(Registered!AM653&gt;0,Registered!AO653&gt;0),(IF(Registered!E653=0,"Size Not Specified",Registered!E653)),"")</f>
        <v>small</v>
      </c>
      <c r="AU653" s="3" t="str">
        <f>IF(Registered!AE653=0,"",IF(Registered!AE653=1,Registered!AE653&amp;" Bandana",Registered!AE653&amp;" Bandanas"))</f>
        <v/>
      </c>
      <c r="AV653" s="3">
        <f t="shared" si="32"/>
        <v>1</v>
      </c>
      <c r="AW653" s="2" t="str">
        <f>IF(Registered!AV653=0,"",IF(Registered!AV653=1,Registered!AV653&amp;" Meal",Registered!AV653&amp;" Meals"))</f>
        <v>1 Meal</v>
      </c>
      <c r="AX653" s="2" t="str">
        <f>IF(Registered!AI653=0,"",Registered!AI653&amp;" BG")</f>
        <v/>
      </c>
      <c r="AY653" s="2" t="str">
        <f>IF(Registered!AG653=0,"",Registered!AG653&amp;" DustMask")</f>
        <v/>
      </c>
    </row>
    <row r="654" spans="1:51" customFormat="1" x14ac:dyDescent="0.25">
      <c r="A654" t="s">
        <v>2830</v>
      </c>
      <c r="B654" t="s">
        <v>2911</v>
      </c>
      <c r="C654" t="s">
        <v>6090</v>
      </c>
      <c r="G654" t="s">
        <v>79</v>
      </c>
      <c r="H654" t="s">
        <v>2912</v>
      </c>
      <c r="I654" t="s">
        <v>2913</v>
      </c>
      <c r="J654" t="s">
        <v>37</v>
      </c>
      <c r="K654" t="s">
        <v>32</v>
      </c>
      <c r="L654" t="s">
        <v>35</v>
      </c>
      <c r="AQ654">
        <v>0</v>
      </c>
      <c r="AR654" s="3">
        <f t="shared" si="30"/>
        <v>0</v>
      </c>
      <c r="AS654" s="3">
        <f t="shared" si="31"/>
        <v>0</v>
      </c>
      <c r="AT654" s="3" t="str">
        <f>IF(OR(Registered!AM654&gt;0,Registered!AO654&gt;0),(IF(Registered!E654=0,"Size Not Specified",Registered!E654)),"")</f>
        <v/>
      </c>
      <c r="AU654" s="3" t="str">
        <f>IF(Registered!AE654=0,"",IF(Registered!AE654=1,Registered!AE654&amp;" Bandana",Registered!AE654&amp;" Bandanas"))</f>
        <v/>
      </c>
      <c r="AV654" s="3">
        <f t="shared" si="32"/>
        <v>0</v>
      </c>
      <c r="AW654" s="2" t="str">
        <f>IF(Registered!AV654=0,"",IF(Registered!AV654=1,Registered!AV654&amp;" Meal",Registered!AV654&amp;" Meals"))</f>
        <v/>
      </c>
      <c r="AX654" s="2" t="str">
        <f>IF(Registered!AI654=0,"",Registered!AI654&amp;" BG")</f>
        <v/>
      </c>
      <c r="AY654" s="2" t="str">
        <f>IF(Registered!AG654=0,"",Registered!AG654&amp;" DustMask")</f>
        <v/>
      </c>
    </row>
    <row r="655" spans="1:51" customFormat="1" x14ac:dyDescent="0.25">
      <c r="A655" t="s">
        <v>2601</v>
      </c>
      <c r="B655" t="s">
        <v>2914</v>
      </c>
      <c r="C655" t="s">
        <v>6090</v>
      </c>
      <c r="G655" t="s">
        <v>324</v>
      </c>
      <c r="H655" t="s">
        <v>1813</v>
      </c>
      <c r="I655" t="s">
        <v>2915</v>
      </c>
      <c r="J655" t="s">
        <v>37</v>
      </c>
      <c r="K655" t="s">
        <v>32</v>
      </c>
      <c r="L655" t="s">
        <v>35</v>
      </c>
      <c r="AQ655">
        <v>0</v>
      </c>
      <c r="AR655" s="3">
        <f t="shared" si="30"/>
        <v>0</v>
      </c>
      <c r="AS655" s="3">
        <f t="shared" si="31"/>
        <v>0</v>
      </c>
      <c r="AT655" s="3" t="str">
        <f>IF(OR(Registered!AM655&gt;0,Registered!AO655&gt;0),(IF(Registered!E655=0,"Size Not Specified",Registered!E655)),"")</f>
        <v/>
      </c>
      <c r="AU655" s="3" t="str">
        <f>IF(Registered!AE655=0,"",IF(Registered!AE655=1,Registered!AE655&amp;" Bandana",Registered!AE655&amp;" Bandanas"))</f>
        <v/>
      </c>
      <c r="AV655" s="3">
        <f t="shared" si="32"/>
        <v>0</v>
      </c>
      <c r="AW655" s="2" t="str">
        <f>IF(Registered!AV655=0,"",IF(Registered!AV655=1,Registered!AV655&amp;" Meal",Registered!AV655&amp;" Meals"))</f>
        <v/>
      </c>
      <c r="AX655" s="2" t="str">
        <f>IF(Registered!AI655=0,"",Registered!AI655&amp;" BG")</f>
        <v/>
      </c>
      <c r="AY655" s="2" t="str">
        <f>IF(Registered!AG655=0,"",Registered!AG655&amp;" DustMask")</f>
        <v/>
      </c>
    </row>
    <row r="656" spans="1:51" customFormat="1" x14ac:dyDescent="0.25">
      <c r="A656" t="s">
        <v>1432</v>
      </c>
      <c r="B656" t="s">
        <v>2914</v>
      </c>
      <c r="C656" t="s">
        <v>6090</v>
      </c>
      <c r="G656" t="s">
        <v>324</v>
      </c>
      <c r="H656" t="s">
        <v>1813</v>
      </c>
      <c r="I656" t="s">
        <v>2915</v>
      </c>
      <c r="J656" t="s">
        <v>37</v>
      </c>
      <c r="K656" t="s">
        <v>32</v>
      </c>
      <c r="L656" t="s">
        <v>35</v>
      </c>
      <c r="AQ656">
        <v>0</v>
      </c>
      <c r="AR656" s="3">
        <f t="shared" si="30"/>
        <v>0</v>
      </c>
      <c r="AS656" s="3">
        <f t="shared" si="31"/>
        <v>0</v>
      </c>
      <c r="AT656" s="3" t="str">
        <f>IF(OR(Registered!AM656&gt;0,Registered!AO656&gt;0),(IF(Registered!E656=0,"Size Not Specified",Registered!E656)),"")</f>
        <v/>
      </c>
      <c r="AU656" s="3" t="str">
        <f>IF(Registered!AE656=0,"",IF(Registered!AE656=1,Registered!AE656&amp;" Bandana",Registered!AE656&amp;" Bandanas"))</f>
        <v/>
      </c>
      <c r="AV656" s="3">
        <f t="shared" si="32"/>
        <v>0</v>
      </c>
      <c r="AW656" s="2" t="str">
        <f>IF(Registered!AV656=0,"",IF(Registered!AV656=1,Registered!AV656&amp;" Meal",Registered!AV656&amp;" Meals"))</f>
        <v/>
      </c>
      <c r="AX656" s="2" t="str">
        <f>IF(Registered!AI656=0,"",Registered!AI656&amp;" BG")</f>
        <v/>
      </c>
      <c r="AY656" s="2" t="str">
        <f>IF(Registered!AG656=0,"",Registered!AG656&amp;" DustMask")</f>
        <v/>
      </c>
    </row>
    <row r="657" spans="1:51" customFormat="1" x14ac:dyDescent="0.25">
      <c r="A657" t="s">
        <v>665</v>
      </c>
      <c r="B657" t="s">
        <v>452</v>
      </c>
      <c r="C657" t="s">
        <v>6090</v>
      </c>
      <c r="D657" t="s">
        <v>1194</v>
      </c>
      <c r="E657" t="s">
        <v>1195</v>
      </c>
      <c r="F657" t="s">
        <v>261</v>
      </c>
      <c r="I657" t="s">
        <v>666</v>
      </c>
      <c r="J657" t="s">
        <v>37</v>
      </c>
      <c r="K657" t="s">
        <v>32</v>
      </c>
      <c r="L657" t="s">
        <v>35</v>
      </c>
      <c r="Q657">
        <v>2</v>
      </c>
      <c r="R657">
        <v>3</v>
      </c>
      <c r="AC657">
        <v>1</v>
      </c>
      <c r="AD657">
        <v>10</v>
      </c>
      <c r="AO657">
        <v>1</v>
      </c>
      <c r="AP657">
        <v>10</v>
      </c>
      <c r="AQ657">
        <v>26</v>
      </c>
      <c r="AR657" s="3">
        <f t="shared" si="30"/>
        <v>5</v>
      </c>
      <c r="AS657" s="3">
        <f t="shared" si="31"/>
        <v>1</v>
      </c>
      <c r="AT657" s="3" t="str">
        <f>IF(OR(Registered!AM657&gt;0,Registered!AO657&gt;0),(IF(Registered!E657=0,"Size Not Specified",Registered!E657)),"")</f>
        <v>2x</v>
      </c>
      <c r="AU657" s="3" t="str">
        <f>IF(Registered!AE657=0,"",IF(Registered!AE657=1,Registered!AE657&amp;" Bandana",Registered!AE657&amp;" Bandanas"))</f>
        <v/>
      </c>
      <c r="AV657" s="3">
        <f t="shared" si="32"/>
        <v>0</v>
      </c>
      <c r="AW657" s="2" t="str">
        <f>IF(Registered!AV657=0,"",IF(Registered!AV657=1,Registered!AV657&amp;" Meal",Registered!AV657&amp;" Meals"))</f>
        <v/>
      </c>
      <c r="AX657" s="2" t="str">
        <f>IF(Registered!AI657=0,"",Registered!AI657&amp;" BG")</f>
        <v/>
      </c>
      <c r="AY657" s="2" t="str">
        <f>IF(Registered!AG657=0,"",Registered!AG657&amp;" DustMask")</f>
        <v/>
      </c>
    </row>
    <row r="658" spans="1:51" customFormat="1" x14ac:dyDescent="0.25">
      <c r="A658" t="s">
        <v>1196</v>
      </c>
      <c r="B658" t="s">
        <v>1197</v>
      </c>
      <c r="C658" t="s">
        <v>6090</v>
      </c>
      <c r="D658" t="s">
        <v>1198</v>
      </c>
      <c r="F658" t="s">
        <v>261</v>
      </c>
      <c r="I658" t="s">
        <v>1199</v>
      </c>
      <c r="J658" t="s">
        <v>37</v>
      </c>
      <c r="K658" t="s">
        <v>32</v>
      </c>
      <c r="L658" t="s">
        <v>35</v>
      </c>
      <c r="Q658">
        <v>1</v>
      </c>
      <c r="R658">
        <v>3</v>
      </c>
      <c r="AC658">
        <v>1</v>
      </c>
      <c r="AD658">
        <v>10</v>
      </c>
      <c r="AQ658">
        <v>13</v>
      </c>
      <c r="AR658" s="3">
        <f t="shared" si="30"/>
        <v>5</v>
      </c>
      <c r="AS658" s="3">
        <f t="shared" si="31"/>
        <v>0</v>
      </c>
      <c r="AT658" s="3" t="str">
        <f>IF(OR(Registered!AM658&gt;0,Registered!AO658&gt;0),(IF(Registered!E658=0,"Size Not Specified",Registered!E658)),"")</f>
        <v/>
      </c>
      <c r="AU658" s="3" t="str">
        <f>IF(Registered!AE658=0,"",IF(Registered!AE658=1,Registered!AE658&amp;" Bandana",Registered!AE658&amp;" Bandanas"))</f>
        <v/>
      </c>
      <c r="AV658" s="3">
        <f t="shared" si="32"/>
        <v>0</v>
      </c>
      <c r="AW658" s="2" t="str">
        <f>IF(Registered!AV658=0,"",IF(Registered!AV658=1,Registered!AV658&amp;" Meal",Registered!AV658&amp;" Meals"))</f>
        <v/>
      </c>
      <c r="AX658" s="2" t="str">
        <f>IF(Registered!AI658=0,"",Registered!AI658&amp;" BG")</f>
        <v/>
      </c>
      <c r="AY658" s="2" t="str">
        <f>IF(Registered!AG658=0,"",Registered!AG658&amp;" DustMask")</f>
        <v/>
      </c>
    </row>
    <row r="659" spans="1:51" customFormat="1" x14ac:dyDescent="0.25">
      <c r="A659" t="s">
        <v>255</v>
      </c>
      <c r="B659" t="s">
        <v>4301</v>
      </c>
      <c r="C659" t="s">
        <v>6090</v>
      </c>
      <c r="D659" t="s">
        <v>4302</v>
      </c>
      <c r="F659" t="s">
        <v>261</v>
      </c>
      <c r="I659" t="s">
        <v>4303</v>
      </c>
      <c r="J659" t="s">
        <v>37</v>
      </c>
      <c r="K659" t="s">
        <v>32</v>
      </c>
      <c r="L659" t="s">
        <v>35</v>
      </c>
      <c r="Q659">
        <v>1</v>
      </c>
      <c r="R659">
        <v>3</v>
      </c>
      <c r="AC659">
        <v>1</v>
      </c>
      <c r="AD659">
        <v>10</v>
      </c>
      <c r="AQ659">
        <v>13</v>
      </c>
      <c r="AR659" s="3">
        <f t="shared" si="30"/>
        <v>5</v>
      </c>
      <c r="AS659" s="3">
        <f t="shared" si="31"/>
        <v>0</v>
      </c>
      <c r="AT659" s="3" t="str">
        <f>IF(OR(Registered!AM659&gt;0,Registered!AO659&gt;0),(IF(Registered!E659=0,"Size Not Specified",Registered!E659)),"")</f>
        <v/>
      </c>
      <c r="AU659" s="3" t="str">
        <f>IF(Registered!AE659=0,"",IF(Registered!AE659=1,Registered!AE659&amp;" Bandana",Registered!AE659&amp;" Bandanas"))</f>
        <v/>
      </c>
      <c r="AV659" s="3">
        <f t="shared" si="32"/>
        <v>0</v>
      </c>
      <c r="AW659" s="2" t="str">
        <f>IF(Registered!AV659=0,"",IF(Registered!AV659=1,Registered!AV659&amp;" Meal",Registered!AV659&amp;" Meals"))</f>
        <v/>
      </c>
      <c r="AX659" s="2" t="str">
        <f>IF(Registered!AI659=0,"",Registered!AI659&amp;" BG")</f>
        <v/>
      </c>
      <c r="AY659" s="2" t="str">
        <f>IF(Registered!AG659=0,"",Registered!AG659&amp;" DustMask")</f>
        <v/>
      </c>
    </row>
    <row r="660" spans="1:51" customFormat="1" x14ac:dyDescent="0.25">
      <c r="A660" t="s">
        <v>389</v>
      </c>
      <c r="B660" t="s">
        <v>1200</v>
      </c>
      <c r="C660" t="s">
        <v>6090</v>
      </c>
      <c r="D660" t="s">
        <v>1201</v>
      </c>
      <c r="F660" t="s">
        <v>261</v>
      </c>
      <c r="I660" t="s">
        <v>1202</v>
      </c>
      <c r="J660" t="s">
        <v>37</v>
      </c>
      <c r="K660" t="s">
        <v>32</v>
      </c>
      <c r="L660" t="s">
        <v>35</v>
      </c>
      <c r="S660">
        <v>4</v>
      </c>
      <c r="T660">
        <v>3</v>
      </c>
      <c r="U660">
        <v>2</v>
      </c>
      <c r="V660">
        <v>20</v>
      </c>
      <c r="AQ660">
        <v>52</v>
      </c>
      <c r="AR660" s="3">
        <f t="shared" si="30"/>
        <v>20</v>
      </c>
      <c r="AS660" s="3">
        <f t="shared" si="31"/>
        <v>0</v>
      </c>
      <c r="AT660" s="3" t="str">
        <f>IF(OR(Registered!AM660&gt;0,Registered!AO660&gt;0),(IF(Registered!E660=0,"Size Not Specified",Registered!E660)),"")</f>
        <v/>
      </c>
      <c r="AU660" s="3" t="str">
        <f>IF(Registered!AE660=0,"",IF(Registered!AE660=1,Registered!AE660&amp;" Bandana",Registered!AE660&amp;" Bandanas"))</f>
        <v/>
      </c>
      <c r="AV660" s="3">
        <f t="shared" si="32"/>
        <v>0</v>
      </c>
      <c r="AW660" s="2" t="str">
        <f>IF(Registered!AV660=0,"",IF(Registered!AV660=1,Registered!AV660&amp;" Meal",Registered!AV660&amp;" Meals"))</f>
        <v/>
      </c>
      <c r="AX660" s="2" t="str">
        <f>IF(Registered!AI660=0,"",Registered!AI660&amp;" BG")</f>
        <v/>
      </c>
      <c r="AY660" s="2" t="str">
        <f>IF(Registered!AG660=0,"",Registered!AG660&amp;" DustMask")</f>
        <v/>
      </c>
    </row>
    <row r="661" spans="1:51" customFormat="1" x14ac:dyDescent="0.25">
      <c r="A661" t="s">
        <v>4304</v>
      </c>
      <c r="B661" t="s">
        <v>4305</v>
      </c>
      <c r="C661" t="s">
        <v>6090</v>
      </c>
      <c r="D661" t="s">
        <v>4304</v>
      </c>
      <c r="F661" t="s">
        <v>907</v>
      </c>
      <c r="I661" t="s">
        <v>4306</v>
      </c>
      <c r="J661" t="s">
        <v>37</v>
      </c>
      <c r="K661" t="s">
        <v>32</v>
      </c>
      <c r="L661" t="s">
        <v>35</v>
      </c>
      <c r="Q661">
        <v>2</v>
      </c>
      <c r="R661">
        <v>3</v>
      </c>
      <c r="AC661">
        <v>1</v>
      </c>
      <c r="AD661">
        <v>10</v>
      </c>
      <c r="AQ661">
        <v>16</v>
      </c>
      <c r="AR661" s="3">
        <f t="shared" si="30"/>
        <v>5</v>
      </c>
      <c r="AS661" s="3">
        <f t="shared" si="31"/>
        <v>0</v>
      </c>
      <c r="AT661" s="3" t="str">
        <f>IF(OR(Registered!AM661&gt;0,Registered!AO661&gt;0),(IF(Registered!E661=0,"Size Not Specified",Registered!E661)),"")</f>
        <v/>
      </c>
      <c r="AU661" s="3" t="str">
        <f>IF(Registered!AE661=0,"",IF(Registered!AE661=1,Registered!AE661&amp;" Bandana",Registered!AE661&amp;" Bandanas"))</f>
        <v/>
      </c>
      <c r="AV661" s="3">
        <f t="shared" si="32"/>
        <v>0</v>
      </c>
      <c r="AW661" s="2" t="str">
        <f>IF(Registered!AV661=0,"",IF(Registered!AV661=1,Registered!AV661&amp;" Meal",Registered!AV661&amp;" Meals"))</f>
        <v/>
      </c>
      <c r="AX661" s="2" t="str">
        <f>IF(Registered!AI661=0,"",Registered!AI661&amp;" BG")</f>
        <v/>
      </c>
      <c r="AY661" s="2" t="str">
        <f>IF(Registered!AG661=0,"",Registered!AG661&amp;" DustMask")</f>
        <v/>
      </c>
    </row>
    <row r="662" spans="1:51" customFormat="1" x14ac:dyDescent="0.25">
      <c r="A662" t="s">
        <v>2916</v>
      </c>
      <c r="B662" t="s">
        <v>1203</v>
      </c>
      <c r="C662" t="s">
        <v>6090</v>
      </c>
      <c r="G662" t="s">
        <v>2917</v>
      </c>
      <c r="H662" t="s">
        <v>460</v>
      </c>
      <c r="I662" t="s">
        <v>2918</v>
      </c>
      <c r="J662" t="s">
        <v>37</v>
      </c>
      <c r="K662" t="s">
        <v>32</v>
      </c>
      <c r="L662" t="s">
        <v>35</v>
      </c>
      <c r="AQ662">
        <v>0</v>
      </c>
      <c r="AR662" s="3">
        <f t="shared" si="30"/>
        <v>0</v>
      </c>
      <c r="AS662" s="3">
        <f t="shared" si="31"/>
        <v>0</v>
      </c>
      <c r="AT662" s="3" t="str">
        <f>IF(OR(Registered!AM662&gt;0,Registered!AO662&gt;0),(IF(Registered!E662=0,"Size Not Specified",Registered!E662)),"")</f>
        <v/>
      </c>
      <c r="AU662" s="3" t="str">
        <f>IF(Registered!AE662=0,"",IF(Registered!AE662=1,Registered!AE662&amp;" Bandana",Registered!AE662&amp;" Bandanas"))</f>
        <v/>
      </c>
      <c r="AV662" s="3">
        <f t="shared" si="32"/>
        <v>0</v>
      </c>
      <c r="AW662" s="2" t="str">
        <f>IF(Registered!AV662=0,"",IF(Registered!AV662=1,Registered!AV662&amp;" Meal",Registered!AV662&amp;" Meals"))</f>
        <v/>
      </c>
      <c r="AX662" s="2" t="str">
        <f>IF(Registered!AI662=0,"",Registered!AI662&amp;" BG")</f>
        <v/>
      </c>
      <c r="AY662" s="2" t="str">
        <f>IF(Registered!AG662=0,"",Registered!AG662&amp;" DustMask")</f>
        <v/>
      </c>
    </row>
    <row r="663" spans="1:51" customFormat="1" x14ac:dyDescent="0.25">
      <c r="A663" t="s">
        <v>4307</v>
      </c>
      <c r="B663" t="s">
        <v>4308</v>
      </c>
      <c r="C663" t="s">
        <v>6090</v>
      </c>
      <c r="G663" t="s">
        <v>4309</v>
      </c>
      <c r="H663" t="s">
        <v>267</v>
      </c>
      <c r="I663" t="s">
        <v>4310</v>
      </c>
      <c r="J663" t="s">
        <v>37</v>
      </c>
      <c r="K663" t="s">
        <v>32</v>
      </c>
      <c r="L663" t="s">
        <v>35</v>
      </c>
      <c r="AQ663">
        <v>0</v>
      </c>
      <c r="AR663" s="3">
        <f t="shared" si="30"/>
        <v>0</v>
      </c>
      <c r="AS663" s="3">
        <f t="shared" si="31"/>
        <v>0</v>
      </c>
      <c r="AT663" s="3" t="str">
        <f>IF(OR(Registered!AM663&gt;0,Registered!AO663&gt;0),(IF(Registered!E663=0,"Size Not Specified",Registered!E663)),"")</f>
        <v/>
      </c>
      <c r="AU663" s="3" t="str">
        <f>IF(Registered!AE663=0,"",IF(Registered!AE663=1,Registered!AE663&amp;" Bandana",Registered!AE663&amp;" Bandanas"))</f>
        <v/>
      </c>
      <c r="AV663" s="3">
        <f t="shared" si="32"/>
        <v>0</v>
      </c>
      <c r="AW663" s="2" t="str">
        <f>IF(Registered!AV663=0,"",IF(Registered!AV663=1,Registered!AV663&amp;" Meal",Registered!AV663&amp;" Meals"))</f>
        <v/>
      </c>
      <c r="AX663" s="2" t="str">
        <f>IF(Registered!AI663=0,"",Registered!AI663&amp;" BG")</f>
        <v/>
      </c>
      <c r="AY663" s="2" t="str">
        <f>IF(Registered!AG663=0,"",Registered!AG663&amp;" DustMask")</f>
        <v/>
      </c>
    </row>
    <row r="664" spans="1:51" customFormat="1" x14ac:dyDescent="0.25">
      <c r="A664" t="s">
        <v>98</v>
      </c>
      <c r="B664" t="s">
        <v>4311</v>
      </c>
      <c r="C664" t="s">
        <v>6090</v>
      </c>
      <c r="G664" t="s">
        <v>4022</v>
      </c>
      <c r="H664" t="s">
        <v>4023</v>
      </c>
      <c r="I664" t="s">
        <v>4024</v>
      </c>
      <c r="J664" t="s">
        <v>37</v>
      </c>
      <c r="K664" t="s">
        <v>32</v>
      </c>
      <c r="L664" t="s">
        <v>35</v>
      </c>
      <c r="AQ664">
        <v>0</v>
      </c>
      <c r="AR664" s="3">
        <f t="shared" si="30"/>
        <v>0</v>
      </c>
      <c r="AS664" s="3">
        <f t="shared" si="31"/>
        <v>0</v>
      </c>
      <c r="AT664" s="3" t="str">
        <f>IF(OR(Registered!AM664&gt;0,Registered!AO664&gt;0),(IF(Registered!E664=0,"Size Not Specified",Registered!E664)),"")</f>
        <v/>
      </c>
      <c r="AU664" s="3" t="str">
        <f>IF(Registered!AE664=0,"",IF(Registered!AE664=1,Registered!AE664&amp;" Bandana",Registered!AE664&amp;" Bandanas"))</f>
        <v/>
      </c>
      <c r="AV664" s="3">
        <f t="shared" si="32"/>
        <v>0</v>
      </c>
      <c r="AW664" s="2" t="str">
        <f>IF(Registered!AV664=0,"",IF(Registered!AV664=1,Registered!AV664&amp;" Meal",Registered!AV664&amp;" Meals"))</f>
        <v/>
      </c>
      <c r="AX664" s="2" t="str">
        <f>IF(Registered!AI664=0,"",Registered!AI664&amp;" BG")</f>
        <v/>
      </c>
      <c r="AY664" s="2" t="str">
        <f>IF(Registered!AG664=0,"",Registered!AG664&amp;" DustMask")</f>
        <v/>
      </c>
    </row>
    <row r="665" spans="1:51" customFormat="1" x14ac:dyDescent="0.25">
      <c r="A665" t="s">
        <v>4312</v>
      </c>
      <c r="B665" t="s">
        <v>4313</v>
      </c>
      <c r="C665" t="s">
        <v>6090</v>
      </c>
      <c r="D665" t="s">
        <v>4314</v>
      </c>
      <c r="F665" t="s">
        <v>261</v>
      </c>
      <c r="I665" t="s">
        <v>4315</v>
      </c>
      <c r="J665" t="s">
        <v>37</v>
      </c>
      <c r="K665" t="s">
        <v>32</v>
      </c>
      <c r="L665" t="s">
        <v>35</v>
      </c>
      <c r="Q665">
        <v>1</v>
      </c>
      <c r="R665">
        <v>3</v>
      </c>
      <c r="AC665">
        <v>1</v>
      </c>
      <c r="AD665">
        <v>10</v>
      </c>
      <c r="AI665">
        <v>1</v>
      </c>
      <c r="AJ665">
        <v>10</v>
      </c>
      <c r="AK665">
        <v>1</v>
      </c>
      <c r="AL665">
        <v>6</v>
      </c>
      <c r="AQ665">
        <v>29</v>
      </c>
      <c r="AR665" s="3">
        <f t="shared" si="30"/>
        <v>5</v>
      </c>
      <c r="AS665" s="3">
        <f t="shared" si="31"/>
        <v>0</v>
      </c>
      <c r="AT665" s="3" t="str">
        <f>IF(OR(Registered!AM665&gt;0,Registered!AO665&gt;0),(IF(Registered!E665=0,"Size Not Specified",Registered!E665)),"")</f>
        <v/>
      </c>
      <c r="AU665" s="3" t="str">
        <f>IF(Registered!AE665=0,"",IF(Registered!AE665=1,Registered!AE665&amp;" Bandana",Registered!AE665&amp;" Bandanas"))</f>
        <v/>
      </c>
      <c r="AV665" s="3">
        <f t="shared" si="32"/>
        <v>1</v>
      </c>
      <c r="AW665" s="2" t="str">
        <f>IF(Registered!AV665=0,"",IF(Registered!AV665=1,Registered!AV665&amp;" Meal",Registered!AV665&amp;" Meals"))</f>
        <v>1 Meal</v>
      </c>
      <c r="AX665" s="2" t="str">
        <f>IF(Registered!AI665=0,"",Registered!AI665&amp;" BG")</f>
        <v>1 BG</v>
      </c>
      <c r="AY665" s="2" t="str">
        <f>IF(Registered!AG665=0,"",Registered!AG665&amp;" DustMask")</f>
        <v/>
      </c>
    </row>
    <row r="666" spans="1:51" customFormat="1" x14ac:dyDescent="0.25">
      <c r="A666" t="s">
        <v>187</v>
      </c>
      <c r="B666" t="s">
        <v>2920</v>
      </c>
      <c r="C666" t="s">
        <v>6090</v>
      </c>
      <c r="D666" t="s">
        <v>4316</v>
      </c>
      <c r="E666" t="s">
        <v>4317</v>
      </c>
      <c r="F666" t="s">
        <v>261</v>
      </c>
      <c r="I666" t="s">
        <v>4318</v>
      </c>
      <c r="J666" t="s">
        <v>37</v>
      </c>
      <c r="K666" t="s">
        <v>32</v>
      </c>
      <c r="L666" t="s">
        <v>35</v>
      </c>
      <c r="Q666">
        <v>2</v>
      </c>
      <c r="R666">
        <v>3</v>
      </c>
      <c r="AE666">
        <v>2</v>
      </c>
      <c r="AF666">
        <v>6</v>
      </c>
      <c r="AM666">
        <v>2</v>
      </c>
      <c r="AN666">
        <v>25</v>
      </c>
      <c r="AQ666">
        <v>68</v>
      </c>
      <c r="AR666" s="3">
        <f t="shared" si="30"/>
        <v>10</v>
      </c>
      <c r="AS666" s="3">
        <f t="shared" si="31"/>
        <v>2</v>
      </c>
      <c r="AT666" s="3" t="str">
        <f>IF(OR(Registered!AM666&gt;0,Registered!AO666&gt;0),(IF(Registered!E666=0,"Size Not Specified",Registered!E666)),"")</f>
        <v>One (1) Extra Large and One (1) Large</v>
      </c>
      <c r="AU666" s="3" t="str">
        <f>IF(Registered!AE666=0,"",IF(Registered!AE666=1,Registered!AE666&amp;" Bandana",Registered!AE666&amp;" Bandanas"))</f>
        <v>2 Bandanas</v>
      </c>
      <c r="AV666" s="3">
        <f t="shared" si="32"/>
        <v>2</v>
      </c>
      <c r="AW666" s="2" t="str">
        <f>IF(Registered!AV666=0,"",IF(Registered!AV666=1,Registered!AV666&amp;" Meal",Registered!AV666&amp;" Meals"))</f>
        <v>2 Meals</v>
      </c>
      <c r="AX666" s="2" t="str">
        <f>IF(Registered!AI666=0,"",Registered!AI666&amp;" BG")</f>
        <v/>
      </c>
      <c r="AY666" s="2" t="str">
        <f>IF(Registered!AG666=0,"",Registered!AG666&amp;" DustMask")</f>
        <v/>
      </c>
    </row>
    <row r="667" spans="1:51" customFormat="1" x14ac:dyDescent="0.25">
      <c r="A667" t="s">
        <v>373</v>
      </c>
      <c r="B667" t="s">
        <v>2920</v>
      </c>
      <c r="C667" t="s">
        <v>6090</v>
      </c>
      <c r="G667" t="s">
        <v>4319</v>
      </c>
      <c r="H667" t="s">
        <v>4320</v>
      </c>
      <c r="I667" t="s">
        <v>4321</v>
      </c>
      <c r="J667" t="s">
        <v>37</v>
      </c>
      <c r="K667" t="s">
        <v>32</v>
      </c>
      <c r="L667" t="s">
        <v>35</v>
      </c>
      <c r="AQ667">
        <v>0</v>
      </c>
      <c r="AR667" s="3">
        <f t="shared" si="30"/>
        <v>0</v>
      </c>
      <c r="AS667" s="3">
        <f t="shared" si="31"/>
        <v>0</v>
      </c>
      <c r="AT667" s="3" t="str">
        <f>IF(OR(Registered!AM667&gt;0,Registered!AO667&gt;0),(IF(Registered!E667=0,"Size Not Specified",Registered!E667)),"")</f>
        <v/>
      </c>
      <c r="AU667" s="3" t="str">
        <f>IF(Registered!AE667=0,"",IF(Registered!AE667=1,Registered!AE667&amp;" Bandana",Registered!AE667&amp;" Bandanas"))</f>
        <v/>
      </c>
      <c r="AV667" s="3">
        <f t="shared" si="32"/>
        <v>0</v>
      </c>
      <c r="AW667" s="2" t="str">
        <f>IF(Registered!AV667=0,"",IF(Registered!AV667=1,Registered!AV667&amp;" Meal",Registered!AV667&amp;" Meals"))</f>
        <v/>
      </c>
      <c r="AX667" s="2" t="str">
        <f>IF(Registered!AI667=0,"",Registered!AI667&amp;" BG")</f>
        <v/>
      </c>
      <c r="AY667" s="2" t="str">
        <f>IF(Registered!AG667=0,"",Registered!AG667&amp;" DustMask")</f>
        <v/>
      </c>
    </row>
    <row r="668" spans="1:51" customFormat="1" x14ac:dyDescent="0.25">
      <c r="A668" t="s">
        <v>175</v>
      </c>
      <c r="B668" t="s">
        <v>2920</v>
      </c>
      <c r="C668" t="s">
        <v>6090</v>
      </c>
      <c r="G668" t="s">
        <v>187</v>
      </c>
      <c r="H668" t="s">
        <v>2920</v>
      </c>
      <c r="I668" t="s">
        <v>4318</v>
      </c>
      <c r="J668" t="s">
        <v>37</v>
      </c>
      <c r="K668" t="s">
        <v>32</v>
      </c>
      <c r="L668" t="s">
        <v>35</v>
      </c>
      <c r="AQ668">
        <v>0</v>
      </c>
      <c r="AR668" s="3">
        <f t="shared" si="30"/>
        <v>0</v>
      </c>
      <c r="AS668" s="3">
        <f t="shared" si="31"/>
        <v>0</v>
      </c>
      <c r="AT668" s="3" t="str">
        <f>IF(OR(Registered!AM668&gt;0,Registered!AO668&gt;0),(IF(Registered!E668=0,"Size Not Specified",Registered!E668)),"")</f>
        <v/>
      </c>
      <c r="AU668" s="3" t="str">
        <f>IF(Registered!AE668=0,"",IF(Registered!AE668=1,Registered!AE668&amp;" Bandana",Registered!AE668&amp;" Bandanas"))</f>
        <v/>
      </c>
      <c r="AV668" s="3">
        <f t="shared" si="32"/>
        <v>0</v>
      </c>
      <c r="AW668" s="2" t="str">
        <f>IF(Registered!AV668=0,"",IF(Registered!AV668=1,Registered!AV668&amp;" Meal",Registered!AV668&amp;" Meals"))</f>
        <v/>
      </c>
      <c r="AX668" s="2" t="str">
        <f>IF(Registered!AI668=0,"",Registered!AI668&amp;" BG")</f>
        <v/>
      </c>
      <c r="AY668" s="2" t="str">
        <f>IF(Registered!AG668=0,"",Registered!AG668&amp;" DustMask")</f>
        <v/>
      </c>
    </row>
    <row r="669" spans="1:51" customFormat="1" x14ac:dyDescent="0.25">
      <c r="A669" t="s">
        <v>127</v>
      </c>
      <c r="B669" t="s">
        <v>2920</v>
      </c>
      <c r="C669" t="s">
        <v>6090</v>
      </c>
      <c r="G669" t="s">
        <v>2904</v>
      </c>
      <c r="H669" t="s">
        <v>2905</v>
      </c>
      <c r="I669" t="s">
        <v>2906</v>
      </c>
      <c r="J669" t="s">
        <v>37</v>
      </c>
      <c r="K669" t="s">
        <v>32</v>
      </c>
      <c r="L669" t="s">
        <v>35</v>
      </c>
      <c r="AQ669">
        <v>0</v>
      </c>
      <c r="AR669" s="3">
        <f t="shared" si="30"/>
        <v>0</v>
      </c>
      <c r="AS669" s="3">
        <f t="shared" si="31"/>
        <v>0</v>
      </c>
      <c r="AT669" s="3" t="str">
        <f>IF(OR(Registered!AM669&gt;0,Registered!AO669&gt;0),(IF(Registered!E669=0,"Size Not Specified",Registered!E669)),"")</f>
        <v/>
      </c>
      <c r="AU669" s="3" t="str">
        <f>IF(Registered!AE669=0,"",IF(Registered!AE669=1,Registered!AE669&amp;" Bandana",Registered!AE669&amp;" Bandanas"))</f>
        <v/>
      </c>
      <c r="AV669" s="3">
        <f t="shared" si="32"/>
        <v>0</v>
      </c>
      <c r="AW669" s="2" t="str">
        <f>IF(Registered!AV669=0,"",IF(Registered!AV669=1,Registered!AV669&amp;" Meal",Registered!AV669&amp;" Meals"))</f>
        <v/>
      </c>
      <c r="AX669" s="2" t="str">
        <f>IF(Registered!AI669=0,"",Registered!AI669&amp;" BG")</f>
        <v/>
      </c>
      <c r="AY669" s="2" t="str">
        <f>IF(Registered!AG669=0,"",Registered!AG669&amp;" DustMask")</f>
        <v/>
      </c>
    </row>
    <row r="670" spans="1:51" customFormat="1" x14ac:dyDescent="0.25">
      <c r="A670" t="s">
        <v>502</v>
      </c>
      <c r="B670" t="s">
        <v>2920</v>
      </c>
      <c r="C670" t="s">
        <v>6090</v>
      </c>
      <c r="F670" t="s">
        <v>261</v>
      </c>
      <c r="I670" t="s">
        <v>2923</v>
      </c>
      <c r="J670" t="s">
        <v>37</v>
      </c>
      <c r="K670" t="s">
        <v>32</v>
      </c>
      <c r="L670" t="s">
        <v>35</v>
      </c>
      <c r="Q670">
        <v>1</v>
      </c>
      <c r="R670">
        <v>3</v>
      </c>
      <c r="AQ670">
        <v>3</v>
      </c>
      <c r="AR670" s="3">
        <f t="shared" si="30"/>
        <v>0</v>
      </c>
      <c r="AS670" s="3">
        <f t="shared" si="31"/>
        <v>0</v>
      </c>
      <c r="AT670" s="3" t="str">
        <f>IF(OR(Registered!AM670&gt;0,Registered!AO670&gt;0),(IF(Registered!E670=0,"Size Not Specified",Registered!E670)),"")</f>
        <v/>
      </c>
      <c r="AU670" s="3" t="str">
        <f>IF(Registered!AE670=0,"",IF(Registered!AE670=1,Registered!AE670&amp;" Bandana",Registered!AE670&amp;" Bandanas"))</f>
        <v/>
      </c>
      <c r="AV670" s="3">
        <f t="shared" si="32"/>
        <v>0</v>
      </c>
      <c r="AW670" s="2" t="str">
        <f>IF(Registered!AV670=0,"",IF(Registered!AV670=1,Registered!AV670&amp;" Meal",Registered!AV670&amp;" Meals"))</f>
        <v/>
      </c>
      <c r="AX670" s="2" t="str">
        <f>IF(Registered!AI670=0,"",Registered!AI670&amp;" BG")</f>
        <v/>
      </c>
      <c r="AY670" s="2" t="str">
        <f>IF(Registered!AG670=0,"",Registered!AG670&amp;" DustMask")</f>
        <v/>
      </c>
    </row>
    <row r="671" spans="1:51" customFormat="1" x14ac:dyDescent="0.25">
      <c r="A671" t="s">
        <v>292</v>
      </c>
      <c r="B671" t="s">
        <v>2920</v>
      </c>
      <c r="C671" t="s">
        <v>6090</v>
      </c>
      <c r="G671" t="s">
        <v>715</v>
      </c>
      <c r="H671" t="s">
        <v>149</v>
      </c>
      <c r="I671" t="s">
        <v>4322</v>
      </c>
      <c r="J671" t="s">
        <v>37</v>
      </c>
      <c r="K671" t="s">
        <v>32</v>
      </c>
      <c r="L671" t="s">
        <v>35</v>
      </c>
      <c r="AQ671">
        <v>0</v>
      </c>
      <c r="AR671" s="3">
        <f t="shared" si="30"/>
        <v>0</v>
      </c>
      <c r="AS671" s="3">
        <f t="shared" si="31"/>
        <v>0</v>
      </c>
      <c r="AT671" s="3" t="str">
        <f>IF(OR(Registered!AM671&gt;0,Registered!AO671&gt;0),(IF(Registered!E671=0,"Size Not Specified",Registered!E671)),"")</f>
        <v/>
      </c>
      <c r="AU671" s="3" t="str">
        <f>IF(Registered!AE671=0,"",IF(Registered!AE671=1,Registered!AE671&amp;" Bandana",Registered!AE671&amp;" Bandanas"))</f>
        <v/>
      </c>
      <c r="AV671" s="3">
        <f t="shared" si="32"/>
        <v>0</v>
      </c>
      <c r="AW671" s="2" t="str">
        <f>IF(Registered!AV671=0,"",IF(Registered!AV671=1,Registered!AV671&amp;" Meal",Registered!AV671&amp;" Meals"))</f>
        <v/>
      </c>
      <c r="AX671" s="2" t="str">
        <f>IF(Registered!AI671=0,"",Registered!AI671&amp;" BG")</f>
        <v/>
      </c>
      <c r="AY671" s="2" t="str">
        <f>IF(Registered!AG671=0,"",Registered!AG671&amp;" DustMask")</f>
        <v/>
      </c>
    </row>
    <row r="672" spans="1:51" customFormat="1" x14ac:dyDescent="0.25">
      <c r="A672" t="s">
        <v>4323</v>
      </c>
      <c r="B672" t="s">
        <v>4324</v>
      </c>
      <c r="C672" t="s">
        <v>6090</v>
      </c>
      <c r="D672" t="s">
        <v>4325</v>
      </c>
      <c r="E672" t="s">
        <v>117</v>
      </c>
      <c r="F672" t="s">
        <v>261</v>
      </c>
      <c r="I672" t="s">
        <v>4326</v>
      </c>
      <c r="J672" t="s">
        <v>37</v>
      </c>
      <c r="K672" t="s">
        <v>32</v>
      </c>
      <c r="L672" t="s">
        <v>35</v>
      </c>
      <c r="Q672">
        <v>5</v>
      </c>
      <c r="R672">
        <v>3</v>
      </c>
      <c r="AA672">
        <v>1</v>
      </c>
      <c r="AB672">
        <v>75</v>
      </c>
      <c r="AE672">
        <v>1</v>
      </c>
      <c r="AF672">
        <v>6</v>
      </c>
      <c r="AO672">
        <v>1</v>
      </c>
      <c r="AP672">
        <v>10</v>
      </c>
      <c r="AQ672">
        <v>106</v>
      </c>
      <c r="AR672" s="3">
        <f t="shared" si="30"/>
        <v>40</v>
      </c>
      <c r="AS672" s="3">
        <f t="shared" si="31"/>
        <v>1</v>
      </c>
      <c r="AT672" s="3" t="str">
        <f>IF(OR(Registered!AM672&gt;0,Registered!AO672&gt;0),(IF(Registered!E672=0,"Size Not Specified",Registered!E672)),"")</f>
        <v>Large</v>
      </c>
      <c r="AU672" s="3" t="str">
        <f>IF(Registered!AE672=0,"",IF(Registered!AE672=1,Registered!AE672&amp;" Bandana",Registered!AE672&amp;" Bandanas"))</f>
        <v>1 Bandana</v>
      </c>
      <c r="AV672" s="3">
        <f t="shared" si="32"/>
        <v>0</v>
      </c>
      <c r="AW672" s="2" t="str">
        <f>IF(Registered!AV672=0,"",IF(Registered!AV672=1,Registered!AV672&amp;" Meal",Registered!AV672&amp;" Meals"))</f>
        <v/>
      </c>
      <c r="AX672" s="2" t="str">
        <f>IF(Registered!AI672=0,"",Registered!AI672&amp;" BG")</f>
        <v/>
      </c>
      <c r="AY672" s="2" t="str">
        <f>IF(Registered!AG672=0,"",Registered!AG672&amp;" DustMask")</f>
        <v/>
      </c>
    </row>
    <row r="673" spans="1:51" customFormat="1" x14ac:dyDescent="0.25">
      <c r="A673" t="s">
        <v>2768</v>
      </c>
      <c r="B673" t="s">
        <v>4327</v>
      </c>
      <c r="C673" t="s">
        <v>6090</v>
      </c>
      <c r="G673" t="s">
        <v>3643</v>
      </c>
      <c r="H673" t="s">
        <v>391</v>
      </c>
      <c r="I673" t="s">
        <v>3644</v>
      </c>
      <c r="J673" t="s">
        <v>37</v>
      </c>
      <c r="K673" t="s">
        <v>32</v>
      </c>
      <c r="L673" t="s">
        <v>35</v>
      </c>
      <c r="AQ673">
        <v>0</v>
      </c>
      <c r="AR673" s="3">
        <f t="shared" si="30"/>
        <v>0</v>
      </c>
      <c r="AS673" s="3">
        <f t="shared" si="31"/>
        <v>0</v>
      </c>
      <c r="AT673" s="3" t="str">
        <f>IF(OR(Registered!AM673&gt;0,Registered!AO673&gt;0),(IF(Registered!E673=0,"Size Not Specified",Registered!E673)),"")</f>
        <v/>
      </c>
      <c r="AU673" s="3" t="str">
        <f>IF(Registered!AE673=0,"",IF(Registered!AE673=1,Registered!AE673&amp;" Bandana",Registered!AE673&amp;" Bandanas"))</f>
        <v/>
      </c>
      <c r="AV673" s="3">
        <f t="shared" si="32"/>
        <v>0</v>
      </c>
      <c r="AW673" s="2" t="str">
        <f>IF(Registered!AV673=0,"",IF(Registered!AV673=1,Registered!AV673&amp;" Meal",Registered!AV673&amp;" Meals"))</f>
        <v/>
      </c>
      <c r="AX673" s="2" t="str">
        <f>IF(Registered!AI673=0,"",Registered!AI673&amp;" BG")</f>
        <v/>
      </c>
      <c r="AY673" s="2" t="str">
        <f>IF(Registered!AG673=0,"",Registered!AG673&amp;" DustMask")</f>
        <v/>
      </c>
    </row>
    <row r="674" spans="1:51" customFormat="1" x14ac:dyDescent="0.25">
      <c r="A674" t="s">
        <v>331</v>
      </c>
      <c r="B674" t="s">
        <v>4328</v>
      </c>
      <c r="C674" t="s">
        <v>6090</v>
      </c>
      <c r="D674" t="s">
        <v>4329</v>
      </c>
      <c r="F674" t="s">
        <v>261</v>
      </c>
      <c r="I674" t="s">
        <v>4330</v>
      </c>
      <c r="J674" t="s">
        <v>37</v>
      </c>
      <c r="K674" t="s">
        <v>32</v>
      </c>
      <c r="L674" t="s">
        <v>35</v>
      </c>
      <c r="Q674">
        <v>2</v>
      </c>
      <c r="R674">
        <v>3</v>
      </c>
      <c r="AQ674">
        <v>6</v>
      </c>
      <c r="AR674" s="3">
        <f t="shared" si="30"/>
        <v>0</v>
      </c>
      <c r="AS674" s="3">
        <f t="shared" si="31"/>
        <v>0</v>
      </c>
      <c r="AT674" s="3" t="str">
        <f>IF(OR(Registered!AM674&gt;0,Registered!AO674&gt;0),(IF(Registered!E674=0,"Size Not Specified",Registered!E674)),"")</f>
        <v/>
      </c>
      <c r="AU674" s="3" t="str">
        <f>IF(Registered!AE674=0,"",IF(Registered!AE674=1,Registered!AE674&amp;" Bandana",Registered!AE674&amp;" Bandanas"))</f>
        <v/>
      </c>
      <c r="AV674" s="3">
        <f t="shared" si="32"/>
        <v>0</v>
      </c>
      <c r="AW674" s="2" t="str">
        <f>IF(Registered!AV674=0,"",IF(Registered!AV674=1,Registered!AV674&amp;" Meal",Registered!AV674&amp;" Meals"))</f>
        <v/>
      </c>
      <c r="AX674" s="2" t="str">
        <f>IF(Registered!AI674=0,"",Registered!AI674&amp;" BG")</f>
        <v/>
      </c>
      <c r="AY674" s="2" t="str">
        <f>IF(Registered!AG674=0,"",Registered!AG674&amp;" DustMask")</f>
        <v/>
      </c>
    </row>
    <row r="675" spans="1:51" customFormat="1" x14ac:dyDescent="0.25">
      <c r="A675" t="s">
        <v>4331</v>
      </c>
      <c r="B675" t="s">
        <v>4332</v>
      </c>
      <c r="C675" t="s">
        <v>6090</v>
      </c>
      <c r="D675" t="s">
        <v>4333</v>
      </c>
      <c r="F675" t="s">
        <v>261</v>
      </c>
      <c r="I675" t="s">
        <v>4334</v>
      </c>
      <c r="J675" t="s">
        <v>37</v>
      </c>
      <c r="K675" t="s">
        <v>32</v>
      </c>
      <c r="L675" t="s">
        <v>35</v>
      </c>
      <c r="Q675">
        <v>1</v>
      </c>
      <c r="R675">
        <v>3</v>
      </c>
      <c r="AC675">
        <v>1</v>
      </c>
      <c r="AD675">
        <v>10</v>
      </c>
      <c r="AQ675">
        <v>13</v>
      </c>
      <c r="AR675" s="3">
        <f t="shared" si="30"/>
        <v>5</v>
      </c>
      <c r="AS675" s="3">
        <f t="shared" si="31"/>
        <v>0</v>
      </c>
      <c r="AT675" s="3" t="str">
        <f>IF(OR(Registered!AM675&gt;0,Registered!AO675&gt;0),(IF(Registered!E675=0,"Size Not Specified",Registered!E675)),"")</f>
        <v/>
      </c>
      <c r="AU675" s="3" t="str">
        <f>IF(Registered!AE675=0,"",IF(Registered!AE675=1,Registered!AE675&amp;" Bandana",Registered!AE675&amp;" Bandanas"))</f>
        <v/>
      </c>
      <c r="AV675" s="3">
        <f t="shared" si="32"/>
        <v>0</v>
      </c>
      <c r="AW675" s="2" t="str">
        <f>IF(Registered!AV675=0,"",IF(Registered!AV675=1,Registered!AV675&amp;" Meal",Registered!AV675&amp;" Meals"))</f>
        <v/>
      </c>
      <c r="AX675" s="2" t="str">
        <f>IF(Registered!AI675=0,"",Registered!AI675&amp;" BG")</f>
        <v/>
      </c>
      <c r="AY675" s="2" t="str">
        <f>IF(Registered!AG675=0,"",Registered!AG675&amp;" DustMask")</f>
        <v/>
      </c>
    </row>
    <row r="676" spans="1:51" customFormat="1" x14ac:dyDescent="0.25">
      <c r="A676" t="s">
        <v>2309</v>
      </c>
      <c r="B676" t="s">
        <v>4335</v>
      </c>
      <c r="C676" t="s">
        <v>6090</v>
      </c>
      <c r="D676" t="s">
        <v>4336</v>
      </c>
      <c r="F676" t="s">
        <v>261</v>
      </c>
      <c r="I676" t="s">
        <v>4337</v>
      </c>
      <c r="J676" t="s">
        <v>37</v>
      </c>
      <c r="K676" t="s">
        <v>32</v>
      </c>
      <c r="L676" t="s">
        <v>35</v>
      </c>
      <c r="Q676">
        <v>2</v>
      </c>
      <c r="R676">
        <v>3</v>
      </c>
      <c r="AC676">
        <v>1</v>
      </c>
      <c r="AD676">
        <v>10</v>
      </c>
      <c r="AQ676">
        <v>16</v>
      </c>
      <c r="AR676" s="3">
        <f t="shared" si="30"/>
        <v>5</v>
      </c>
      <c r="AS676" s="3">
        <f t="shared" si="31"/>
        <v>0</v>
      </c>
      <c r="AT676" s="3" t="str">
        <f>IF(OR(Registered!AM676&gt;0,Registered!AO676&gt;0),(IF(Registered!E676=0,"Size Not Specified",Registered!E676)),"")</f>
        <v/>
      </c>
      <c r="AU676" s="3" t="str">
        <f>IF(Registered!AE676=0,"",IF(Registered!AE676=1,Registered!AE676&amp;" Bandana",Registered!AE676&amp;" Bandanas"))</f>
        <v/>
      </c>
      <c r="AV676" s="3">
        <f t="shared" si="32"/>
        <v>0</v>
      </c>
      <c r="AW676" s="2" t="str">
        <f>IF(Registered!AV676=0,"",IF(Registered!AV676=1,Registered!AV676&amp;" Meal",Registered!AV676&amp;" Meals"))</f>
        <v/>
      </c>
      <c r="AX676" s="2" t="str">
        <f>IF(Registered!AI676=0,"",Registered!AI676&amp;" BG")</f>
        <v/>
      </c>
      <c r="AY676" s="2" t="str">
        <f>IF(Registered!AG676=0,"",Registered!AG676&amp;" DustMask")</f>
        <v/>
      </c>
    </row>
    <row r="677" spans="1:51" customFormat="1" x14ac:dyDescent="0.25">
      <c r="A677" t="s">
        <v>1575</v>
      </c>
      <c r="B677" t="s">
        <v>2925</v>
      </c>
      <c r="C677" t="s">
        <v>6090</v>
      </c>
      <c r="D677" t="s">
        <v>4338</v>
      </c>
      <c r="F677" t="s">
        <v>261</v>
      </c>
      <c r="I677" t="s">
        <v>4339</v>
      </c>
      <c r="J677" t="s">
        <v>37</v>
      </c>
      <c r="K677" t="s">
        <v>32</v>
      </c>
      <c r="L677" t="s">
        <v>35</v>
      </c>
      <c r="Q677">
        <v>1</v>
      </c>
      <c r="R677">
        <v>3</v>
      </c>
      <c r="AC677">
        <v>1</v>
      </c>
      <c r="AD677">
        <v>10</v>
      </c>
      <c r="AQ677">
        <v>13</v>
      </c>
      <c r="AR677" s="3">
        <f t="shared" si="30"/>
        <v>5</v>
      </c>
      <c r="AS677" s="3">
        <f t="shared" si="31"/>
        <v>0</v>
      </c>
      <c r="AT677" s="3" t="str">
        <f>IF(OR(Registered!AM677&gt;0,Registered!AO677&gt;0),(IF(Registered!E677=0,"Size Not Specified",Registered!E677)),"")</f>
        <v/>
      </c>
      <c r="AU677" s="3" t="str">
        <f>IF(Registered!AE677=0,"",IF(Registered!AE677=1,Registered!AE677&amp;" Bandana",Registered!AE677&amp;" Bandanas"))</f>
        <v/>
      </c>
      <c r="AV677" s="3">
        <f t="shared" si="32"/>
        <v>0</v>
      </c>
      <c r="AW677" s="2" t="str">
        <f>IF(Registered!AV677=0,"",IF(Registered!AV677=1,Registered!AV677&amp;" Meal",Registered!AV677&amp;" Meals"))</f>
        <v/>
      </c>
      <c r="AX677" s="2" t="str">
        <f>IF(Registered!AI677=0,"",Registered!AI677&amp;" BG")</f>
        <v/>
      </c>
      <c r="AY677" s="2" t="str">
        <f>IF(Registered!AG677=0,"",Registered!AG677&amp;" DustMask")</f>
        <v/>
      </c>
    </row>
    <row r="678" spans="1:51" customFormat="1" x14ac:dyDescent="0.25">
      <c r="A678" t="s">
        <v>1818</v>
      </c>
      <c r="B678" t="s">
        <v>2925</v>
      </c>
      <c r="C678" t="s">
        <v>6090</v>
      </c>
      <c r="G678" t="s">
        <v>2437</v>
      </c>
      <c r="H678" t="s">
        <v>2926</v>
      </c>
      <c r="I678" t="s">
        <v>2927</v>
      </c>
      <c r="J678" t="s">
        <v>37</v>
      </c>
      <c r="K678" t="s">
        <v>32</v>
      </c>
      <c r="L678" t="s">
        <v>35</v>
      </c>
      <c r="AQ678">
        <v>0</v>
      </c>
      <c r="AR678" s="3">
        <f t="shared" si="30"/>
        <v>0</v>
      </c>
      <c r="AS678" s="3">
        <f t="shared" si="31"/>
        <v>0</v>
      </c>
      <c r="AT678" s="3" t="str">
        <f>IF(OR(Registered!AM678&gt;0,Registered!AO678&gt;0),(IF(Registered!E678=0,"Size Not Specified",Registered!E678)),"")</f>
        <v/>
      </c>
      <c r="AU678" s="3" t="str">
        <f>IF(Registered!AE678=0,"",IF(Registered!AE678=1,Registered!AE678&amp;" Bandana",Registered!AE678&amp;" Bandanas"))</f>
        <v/>
      </c>
      <c r="AV678" s="3">
        <f t="shared" si="32"/>
        <v>0</v>
      </c>
      <c r="AW678" s="2" t="str">
        <f>IF(Registered!AV678=0,"",IF(Registered!AV678=1,Registered!AV678&amp;" Meal",Registered!AV678&amp;" Meals"))</f>
        <v/>
      </c>
      <c r="AX678" s="2" t="str">
        <f>IF(Registered!AI678=0,"",Registered!AI678&amp;" BG")</f>
        <v/>
      </c>
      <c r="AY678" s="2" t="str">
        <f>IF(Registered!AG678=0,"",Registered!AG678&amp;" DustMask")</f>
        <v/>
      </c>
    </row>
    <row r="679" spans="1:51" customFormat="1" x14ac:dyDescent="0.25">
      <c r="A679" t="s">
        <v>502</v>
      </c>
      <c r="B679" t="s">
        <v>679</v>
      </c>
      <c r="C679" t="s">
        <v>6090</v>
      </c>
      <c r="D679" t="s">
        <v>1213</v>
      </c>
      <c r="E679" t="s">
        <v>65</v>
      </c>
      <c r="F679" t="s">
        <v>261</v>
      </c>
      <c r="I679" t="s">
        <v>680</v>
      </c>
      <c r="J679" t="s">
        <v>37</v>
      </c>
      <c r="K679" t="s">
        <v>32</v>
      </c>
      <c r="L679" t="s">
        <v>35</v>
      </c>
      <c r="S679">
        <v>2</v>
      </c>
      <c r="T679">
        <v>3</v>
      </c>
      <c r="U679">
        <v>1</v>
      </c>
      <c r="V679">
        <v>20</v>
      </c>
      <c r="AK679">
        <v>3</v>
      </c>
      <c r="AL679">
        <v>6</v>
      </c>
      <c r="AM679">
        <v>1</v>
      </c>
      <c r="AN679">
        <v>25</v>
      </c>
      <c r="AQ679">
        <v>69</v>
      </c>
      <c r="AR679" s="3">
        <f t="shared" si="30"/>
        <v>15</v>
      </c>
      <c r="AS679" s="3">
        <f t="shared" si="31"/>
        <v>1</v>
      </c>
      <c r="AT679" s="3" t="str">
        <f>IF(OR(Registered!AM679&gt;0,Registered!AO679&gt;0),(IF(Registered!E679=0,"Size Not Specified",Registered!E679)),"")</f>
        <v>Medium</v>
      </c>
      <c r="AU679" s="3" t="str">
        <f>IF(Registered!AE679=0,"",IF(Registered!AE679=1,Registered!AE679&amp;" Bandana",Registered!AE679&amp;" Bandanas"))</f>
        <v/>
      </c>
      <c r="AV679" s="3">
        <f t="shared" si="32"/>
        <v>4</v>
      </c>
      <c r="AW679" s="2" t="str">
        <f>IF(Registered!AV679=0,"",IF(Registered!AV679=1,Registered!AV679&amp;" Meal",Registered!AV679&amp;" Meals"))</f>
        <v>4 Meals</v>
      </c>
      <c r="AX679" s="2" t="str">
        <f>IF(Registered!AI679=0,"",Registered!AI679&amp;" BG")</f>
        <v/>
      </c>
      <c r="AY679" s="2" t="str">
        <f>IF(Registered!AG679=0,"",Registered!AG679&amp;" DustMask")</f>
        <v/>
      </c>
    </row>
    <row r="680" spans="1:51" customFormat="1" x14ac:dyDescent="0.25">
      <c r="A680" t="s">
        <v>4340</v>
      </c>
      <c r="B680" t="s">
        <v>4341</v>
      </c>
      <c r="C680" t="s">
        <v>6090</v>
      </c>
      <c r="D680" t="s">
        <v>4342</v>
      </c>
      <c r="E680" t="s">
        <v>646</v>
      </c>
      <c r="F680" t="s">
        <v>261</v>
      </c>
      <c r="I680" t="s">
        <v>4343</v>
      </c>
      <c r="J680" t="s">
        <v>37</v>
      </c>
      <c r="K680" t="s">
        <v>32</v>
      </c>
      <c r="L680" t="s">
        <v>35</v>
      </c>
      <c r="Q680">
        <v>5</v>
      </c>
      <c r="R680">
        <v>3</v>
      </c>
      <c r="AC680">
        <v>2</v>
      </c>
      <c r="AD680">
        <v>10</v>
      </c>
      <c r="AE680">
        <v>2</v>
      </c>
      <c r="AF680">
        <v>6</v>
      </c>
      <c r="AG680">
        <v>1</v>
      </c>
      <c r="AH680">
        <v>1</v>
      </c>
      <c r="AO680">
        <v>2</v>
      </c>
      <c r="AP680">
        <v>10</v>
      </c>
      <c r="AQ680">
        <v>68</v>
      </c>
      <c r="AR680" s="3">
        <f t="shared" si="30"/>
        <v>10</v>
      </c>
      <c r="AS680" s="3">
        <f t="shared" si="31"/>
        <v>2</v>
      </c>
      <c r="AT680" s="3" t="str">
        <f>IF(OR(Registered!AM680&gt;0,Registered!AO680&gt;0),(IF(Registered!E680=0,"Size Not Specified",Registered!E680)),"")</f>
        <v>2 Large</v>
      </c>
      <c r="AU680" s="3" t="str">
        <f>IF(Registered!AE680=0,"",IF(Registered!AE680=1,Registered!AE680&amp;" Bandana",Registered!AE680&amp;" Bandanas"))</f>
        <v>2 Bandanas</v>
      </c>
      <c r="AV680" s="3">
        <f t="shared" si="32"/>
        <v>0</v>
      </c>
      <c r="AW680" s="2" t="str">
        <f>IF(Registered!AV680=0,"",IF(Registered!AV680=1,Registered!AV680&amp;" Meal",Registered!AV680&amp;" Meals"))</f>
        <v/>
      </c>
      <c r="AX680" s="2" t="str">
        <f>IF(Registered!AI680=0,"",Registered!AI680&amp;" BG")</f>
        <v/>
      </c>
      <c r="AY680" s="2" t="str">
        <f>IF(Registered!AG680=0,"",Registered!AG680&amp;" DustMask")</f>
        <v>1 DustMask</v>
      </c>
    </row>
    <row r="681" spans="1:51" customFormat="1" x14ac:dyDescent="0.25">
      <c r="A681" t="s">
        <v>407</v>
      </c>
      <c r="B681" t="s">
        <v>1214</v>
      </c>
      <c r="C681" t="s">
        <v>6090</v>
      </c>
      <c r="G681" t="s">
        <v>143</v>
      </c>
      <c r="H681" t="s">
        <v>1215</v>
      </c>
      <c r="I681" t="s">
        <v>1216</v>
      </c>
      <c r="J681" t="s">
        <v>37</v>
      </c>
      <c r="K681" t="s">
        <v>32</v>
      </c>
      <c r="L681" t="s">
        <v>35</v>
      </c>
      <c r="AQ681">
        <v>0</v>
      </c>
      <c r="AR681" s="3">
        <f t="shared" si="30"/>
        <v>0</v>
      </c>
      <c r="AS681" s="3">
        <f t="shared" si="31"/>
        <v>0</v>
      </c>
      <c r="AT681" s="3" t="str">
        <f>IF(OR(Registered!AM681&gt;0,Registered!AO681&gt;0),(IF(Registered!E681=0,"Size Not Specified",Registered!E681)),"")</f>
        <v/>
      </c>
      <c r="AU681" s="3" t="str">
        <f>IF(Registered!AE681=0,"",IF(Registered!AE681=1,Registered!AE681&amp;" Bandana",Registered!AE681&amp;" Bandanas"))</f>
        <v/>
      </c>
      <c r="AV681" s="3">
        <f t="shared" si="32"/>
        <v>0</v>
      </c>
      <c r="AW681" s="2" t="str">
        <f>IF(Registered!AV681=0,"",IF(Registered!AV681=1,Registered!AV681&amp;" Meal",Registered!AV681&amp;" Meals"))</f>
        <v/>
      </c>
      <c r="AX681" s="2" t="str">
        <f>IF(Registered!AI681=0,"",Registered!AI681&amp;" BG")</f>
        <v/>
      </c>
      <c r="AY681" s="2" t="str">
        <f>IF(Registered!AG681=0,"",Registered!AG681&amp;" DustMask")</f>
        <v/>
      </c>
    </row>
    <row r="682" spans="1:51" customFormat="1" x14ac:dyDescent="0.25">
      <c r="A682" t="s">
        <v>153</v>
      </c>
      <c r="B682" t="s">
        <v>4344</v>
      </c>
      <c r="C682" t="s">
        <v>6090</v>
      </c>
      <c r="G682" t="s">
        <v>381</v>
      </c>
      <c r="H682" t="s">
        <v>4345</v>
      </c>
      <c r="I682" t="s">
        <v>4346</v>
      </c>
      <c r="J682" t="s">
        <v>37</v>
      </c>
      <c r="K682" t="s">
        <v>32</v>
      </c>
      <c r="L682" t="s">
        <v>35</v>
      </c>
      <c r="AQ682">
        <v>0</v>
      </c>
      <c r="AR682" s="3">
        <f t="shared" si="30"/>
        <v>0</v>
      </c>
      <c r="AS682" s="3">
        <f t="shared" si="31"/>
        <v>0</v>
      </c>
      <c r="AT682" s="3" t="str">
        <f>IF(OR(Registered!AM682&gt;0,Registered!AO682&gt;0),(IF(Registered!E682=0,"Size Not Specified",Registered!E682)),"")</f>
        <v/>
      </c>
      <c r="AU682" s="3" t="str">
        <f>IF(Registered!AE682=0,"",IF(Registered!AE682=1,Registered!AE682&amp;" Bandana",Registered!AE682&amp;" Bandanas"))</f>
        <v/>
      </c>
      <c r="AV682" s="3">
        <f t="shared" si="32"/>
        <v>0</v>
      </c>
      <c r="AW682" s="2" t="str">
        <f>IF(Registered!AV682=0,"",IF(Registered!AV682=1,Registered!AV682&amp;" Meal",Registered!AV682&amp;" Meals"))</f>
        <v/>
      </c>
      <c r="AX682" s="2" t="str">
        <f>IF(Registered!AI682=0,"",Registered!AI682&amp;" BG")</f>
        <v/>
      </c>
      <c r="AY682" s="2" t="str">
        <f>IF(Registered!AG682=0,"",Registered!AG682&amp;" DustMask")</f>
        <v/>
      </c>
    </row>
    <row r="683" spans="1:51" customFormat="1" x14ac:dyDescent="0.25">
      <c r="A683" t="s">
        <v>220</v>
      </c>
      <c r="B683" t="s">
        <v>4344</v>
      </c>
      <c r="C683" t="s">
        <v>6090</v>
      </c>
      <c r="G683" t="s">
        <v>381</v>
      </c>
      <c r="H683" t="s">
        <v>4345</v>
      </c>
      <c r="I683" t="s">
        <v>4346</v>
      </c>
      <c r="J683" t="s">
        <v>37</v>
      </c>
      <c r="K683" t="s">
        <v>32</v>
      </c>
      <c r="L683" t="s">
        <v>35</v>
      </c>
      <c r="AQ683">
        <v>0</v>
      </c>
      <c r="AR683" s="3">
        <f t="shared" si="30"/>
        <v>0</v>
      </c>
      <c r="AS683" s="3">
        <f t="shared" si="31"/>
        <v>0</v>
      </c>
      <c r="AT683" s="3" t="str">
        <f>IF(OR(Registered!AM683&gt;0,Registered!AO683&gt;0),(IF(Registered!E683=0,"Size Not Specified",Registered!E683)),"")</f>
        <v/>
      </c>
      <c r="AU683" s="3" t="str">
        <f>IF(Registered!AE683=0,"",IF(Registered!AE683=1,Registered!AE683&amp;" Bandana",Registered!AE683&amp;" Bandanas"))</f>
        <v/>
      </c>
      <c r="AV683" s="3">
        <f t="shared" si="32"/>
        <v>0</v>
      </c>
      <c r="AW683" s="2" t="str">
        <f>IF(Registered!AV683=0,"",IF(Registered!AV683=1,Registered!AV683&amp;" Meal",Registered!AV683&amp;" Meals"))</f>
        <v/>
      </c>
      <c r="AX683" s="2" t="str">
        <f>IF(Registered!AI683=0,"",Registered!AI683&amp;" BG")</f>
        <v/>
      </c>
      <c r="AY683" s="2" t="str">
        <f>IF(Registered!AG683=0,"",Registered!AG683&amp;" DustMask")</f>
        <v/>
      </c>
    </row>
    <row r="684" spans="1:51" customFormat="1" x14ac:dyDescent="0.25">
      <c r="A684" t="s">
        <v>141</v>
      </c>
      <c r="B684" t="s">
        <v>4344</v>
      </c>
      <c r="C684" t="s">
        <v>6090</v>
      </c>
      <c r="G684" t="s">
        <v>381</v>
      </c>
      <c r="H684" t="s">
        <v>4345</v>
      </c>
      <c r="I684" t="s">
        <v>4346</v>
      </c>
      <c r="J684" t="s">
        <v>37</v>
      </c>
      <c r="K684" t="s">
        <v>32</v>
      </c>
      <c r="L684" t="s">
        <v>35</v>
      </c>
      <c r="AQ684">
        <v>0</v>
      </c>
      <c r="AR684" s="3">
        <f t="shared" si="30"/>
        <v>0</v>
      </c>
      <c r="AS684" s="3">
        <f t="shared" si="31"/>
        <v>0</v>
      </c>
      <c r="AT684" s="3" t="str">
        <f>IF(OR(Registered!AM684&gt;0,Registered!AO684&gt;0),(IF(Registered!E684=0,"Size Not Specified",Registered!E684)),"")</f>
        <v/>
      </c>
      <c r="AU684" s="3" t="str">
        <f>IF(Registered!AE684=0,"",IF(Registered!AE684=1,Registered!AE684&amp;" Bandana",Registered!AE684&amp;" Bandanas"))</f>
        <v/>
      </c>
      <c r="AV684" s="3">
        <f t="shared" si="32"/>
        <v>0</v>
      </c>
      <c r="AW684" s="2" t="str">
        <f>IF(Registered!AV684=0,"",IF(Registered!AV684=1,Registered!AV684&amp;" Meal",Registered!AV684&amp;" Meals"))</f>
        <v/>
      </c>
      <c r="AX684" s="2" t="str">
        <f>IF(Registered!AI684=0,"",Registered!AI684&amp;" BG")</f>
        <v/>
      </c>
      <c r="AY684" s="2" t="str">
        <f>IF(Registered!AG684=0,"",Registered!AG684&amp;" DustMask")</f>
        <v/>
      </c>
    </row>
    <row r="685" spans="1:51" customFormat="1" x14ac:dyDescent="0.25">
      <c r="A685" t="s">
        <v>121</v>
      </c>
      <c r="B685" t="s">
        <v>4347</v>
      </c>
      <c r="C685" t="s">
        <v>6090</v>
      </c>
      <c r="D685" t="s">
        <v>4348</v>
      </c>
      <c r="F685" t="s">
        <v>261</v>
      </c>
      <c r="I685" t="s">
        <v>4349</v>
      </c>
      <c r="J685" t="s">
        <v>37</v>
      </c>
      <c r="K685" t="s">
        <v>32</v>
      </c>
      <c r="L685" t="s">
        <v>35</v>
      </c>
      <c r="Q685">
        <v>1</v>
      </c>
      <c r="R685">
        <v>3</v>
      </c>
      <c r="AC685">
        <v>1</v>
      </c>
      <c r="AD685">
        <v>10</v>
      </c>
      <c r="AQ685">
        <v>13</v>
      </c>
      <c r="AR685" s="3">
        <f t="shared" si="30"/>
        <v>5</v>
      </c>
      <c r="AS685" s="3">
        <f t="shared" si="31"/>
        <v>0</v>
      </c>
      <c r="AT685" s="3" t="str">
        <f>IF(OR(Registered!AM685&gt;0,Registered!AO685&gt;0),(IF(Registered!E685=0,"Size Not Specified",Registered!E685)),"")</f>
        <v/>
      </c>
      <c r="AU685" s="3" t="str">
        <f>IF(Registered!AE685=0,"",IF(Registered!AE685=1,Registered!AE685&amp;" Bandana",Registered!AE685&amp;" Bandanas"))</f>
        <v/>
      </c>
      <c r="AV685" s="3">
        <f t="shared" si="32"/>
        <v>0</v>
      </c>
      <c r="AW685" s="2" t="str">
        <f>IF(Registered!AV685=0,"",IF(Registered!AV685=1,Registered!AV685&amp;" Meal",Registered!AV685&amp;" Meals"))</f>
        <v/>
      </c>
      <c r="AX685" s="2" t="str">
        <f>IF(Registered!AI685=0,"",Registered!AI685&amp;" BG")</f>
        <v/>
      </c>
      <c r="AY685" s="2" t="str">
        <f>IF(Registered!AG685=0,"",Registered!AG685&amp;" DustMask")</f>
        <v/>
      </c>
    </row>
    <row r="686" spans="1:51" customFormat="1" x14ac:dyDescent="0.25">
      <c r="A686" t="s">
        <v>91</v>
      </c>
      <c r="B686" t="s">
        <v>1217</v>
      </c>
      <c r="C686" t="s">
        <v>6090</v>
      </c>
      <c r="G686" t="s">
        <v>85</v>
      </c>
      <c r="H686" t="s">
        <v>223</v>
      </c>
      <c r="I686" t="s">
        <v>1218</v>
      </c>
      <c r="J686" t="s">
        <v>37</v>
      </c>
      <c r="K686" t="s">
        <v>32</v>
      </c>
      <c r="L686" t="s">
        <v>35</v>
      </c>
      <c r="AQ686">
        <v>0</v>
      </c>
      <c r="AR686" s="3">
        <f t="shared" si="30"/>
        <v>0</v>
      </c>
      <c r="AS686" s="3">
        <f t="shared" si="31"/>
        <v>0</v>
      </c>
      <c r="AT686" s="3" t="str">
        <f>IF(OR(Registered!AM686&gt;0,Registered!AO686&gt;0),(IF(Registered!E686=0,"Size Not Specified",Registered!E686)),"")</f>
        <v/>
      </c>
      <c r="AU686" s="3" t="str">
        <f>IF(Registered!AE686=0,"",IF(Registered!AE686=1,Registered!AE686&amp;" Bandana",Registered!AE686&amp;" Bandanas"))</f>
        <v/>
      </c>
      <c r="AV686" s="3">
        <f t="shared" si="32"/>
        <v>0</v>
      </c>
      <c r="AW686" s="2" t="str">
        <f>IF(Registered!AV686=0,"",IF(Registered!AV686=1,Registered!AV686&amp;" Meal",Registered!AV686&amp;" Meals"))</f>
        <v/>
      </c>
      <c r="AX686" s="2" t="str">
        <f>IF(Registered!AI686=0,"",Registered!AI686&amp;" BG")</f>
        <v/>
      </c>
      <c r="AY686" s="2" t="str">
        <f>IF(Registered!AG686=0,"",Registered!AG686&amp;" DustMask")</f>
        <v/>
      </c>
    </row>
    <row r="687" spans="1:51" customFormat="1" x14ac:dyDescent="0.25">
      <c r="A687" t="s">
        <v>150</v>
      </c>
      <c r="B687" t="s">
        <v>1219</v>
      </c>
      <c r="C687" t="s">
        <v>6090</v>
      </c>
      <c r="D687" t="s">
        <v>1220</v>
      </c>
      <c r="E687" t="s">
        <v>65</v>
      </c>
      <c r="I687" t="s">
        <v>1221</v>
      </c>
      <c r="J687" t="s">
        <v>37</v>
      </c>
      <c r="K687" t="s">
        <v>32</v>
      </c>
      <c r="L687" t="s">
        <v>35</v>
      </c>
      <c r="O687">
        <v>1</v>
      </c>
      <c r="P687">
        <v>3</v>
      </c>
      <c r="AC687">
        <v>1</v>
      </c>
      <c r="AD687">
        <v>10</v>
      </c>
      <c r="AM687">
        <v>1</v>
      </c>
      <c r="AN687">
        <v>25</v>
      </c>
      <c r="AQ687">
        <v>38</v>
      </c>
      <c r="AR687" s="3">
        <f t="shared" si="30"/>
        <v>10</v>
      </c>
      <c r="AS687" s="3">
        <f t="shared" si="31"/>
        <v>1</v>
      </c>
      <c r="AT687" s="3" t="str">
        <f>IF(OR(Registered!AM687&gt;0,Registered!AO687&gt;0),(IF(Registered!E687=0,"Size Not Specified",Registered!E687)),"")</f>
        <v>Medium</v>
      </c>
      <c r="AU687" s="3" t="str">
        <f>IF(Registered!AE687=0,"",IF(Registered!AE687=1,Registered!AE687&amp;" Bandana",Registered!AE687&amp;" Bandanas"))</f>
        <v/>
      </c>
      <c r="AV687" s="3">
        <f t="shared" si="32"/>
        <v>1</v>
      </c>
      <c r="AW687" s="2" t="str">
        <f>IF(Registered!AV687=0,"",IF(Registered!AV687=1,Registered!AV687&amp;" Meal",Registered!AV687&amp;" Meals"))</f>
        <v>1 Meal</v>
      </c>
      <c r="AX687" s="2" t="str">
        <f>IF(Registered!AI687=0,"",Registered!AI687&amp;" BG")</f>
        <v/>
      </c>
      <c r="AY687" s="2" t="str">
        <f>IF(Registered!AG687=0,"",Registered!AG687&amp;" DustMask")</f>
        <v/>
      </c>
    </row>
    <row r="688" spans="1:51" customFormat="1" x14ac:dyDescent="0.25">
      <c r="A688" t="s">
        <v>665</v>
      </c>
      <c r="B688" t="s">
        <v>4038</v>
      </c>
      <c r="C688" t="s">
        <v>6090</v>
      </c>
      <c r="D688" t="s">
        <v>665</v>
      </c>
      <c r="F688" t="s">
        <v>261</v>
      </c>
      <c r="I688" t="s">
        <v>4039</v>
      </c>
      <c r="J688" t="s">
        <v>37</v>
      </c>
      <c r="K688" t="s">
        <v>32</v>
      </c>
      <c r="L688" t="s">
        <v>35</v>
      </c>
      <c r="Q688">
        <v>2</v>
      </c>
      <c r="R688">
        <v>3</v>
      </c>
      <c r="AC688">
        <v>1</v>
      </c>
      <c r="AD688">
        <v>10</v>
      </c>
      <c r="AE688">
        <v>2</v>
      </c>
      <c r="AF688">
        <v>6</v>
      </c>
      <c r="AQ688">
        <v>28</v>
      </c>
      <c r="AR688" s="3">
        <f t="shared" si="30"/>
        <v>5</v>
      </c>
      <c r="AS688" s="3">
        <f t="shared" si="31"/>
        <v>0</v>
      </c>
      <c r="AT688" s="3" t="str">
        <f>IF(OR(Registered!AM688&gt;0,Registered!AO688&gt;0),(IF(Registered!E688=0,"Size Not Specified",Registered!E688)),"")</f>
        <v/>
      </c>
      <c r="AU688" s="3" t="str">
        <f>IF(Registered!AE688=0,"",IF(Registered!AE688=1,Registered!AE688&amp;" Bandana",Registered!AE688&amp;" Bandanas"))</f>
        <v>2 Bandanas</v>
      </c>
      <c r="AV688" s="3">
        <f t="shared" si="32"/>
        <v>0</v>
      </c>
      <c r="AW688" s="2" t="str">
        <f>IF(Registered!AV688=0,"",IF(Registered!AV688=1,Registered!AV688&amp;" Meal",Registered!AV688&amp;" Meals"))</f>
        <v/>
      </c>
      <c r="AX688" s="2" t="str">
        <f>IF(Registered!AI688=0,"",Registered!AI688&amp;" BG")</f>
        <v/>
      </c>
      <c r="AY688" s="2" t="str">
        <f>IF(Registered!AG688=0,"",Registered!AG688&amp;" DustMask")</f>
        <v/>
      </c>
    </row>
    <row r="689" spans="1:51" customFormat="1" x14ac:dyDescent="0.25">
      <c r="A689" t="s">
        <v>2928</v>
      </c>
      <c r="B689" t="s">
        <v>2929</v>
      </c>
      <c r="C689" t="s">
        <v>6090</v>
      </c>
      <c r="G689" t="s">
        <v>266</v>
      </c>
      <c r="H689" t="s">
        <v>2802</v>
      </c>
      <c r="I689" t="s">
        <v>2803</v>
      </c>
      <c r="J689" t="s">
        <v>37</v>
      </c>
      <c r="K689" t="s">
        <v>32</v>
      </c>
      <c r="L689" t="s">
        <v>35</v>
      </c>
      <c r="AQ689">
        <v>0</v>
      </c>
      <c r="AR689" s="3">
        <f t="shared" si="30"/>
        <v>0</v>
      </c>
      <c r="AS689" s="3">
        <f t="shared" si="31"/>
        <v>0</v>
      </c>
      <c r="AT689" s="3" t="str">
        <f>IF(OR(Registered!AM689&gt;0,Registered!AO689&gt;0),(IF(Registered!E689=0,"Size Not Specified",Registered!E689)),"")</f>
        <v/>
      </c>
      <c r="AU689" s="3" t="str">
        <f>IF(Registered!AE689=0,"",IF(Registered!AE689=1,Registered!AE689&amp;" Bandana",Registered!AE689&amp;" Bandanas"))</f>
        <v/>
      </c>
      <c r="AV689" s="3">
        <f t="shared" si="32"/>
        <v>0</v>
      </c>
      <c r="AW689" s="2" t="str">
        <f>IF(Registered!AV689=0,"",IF(Registered!AV689=1,Registered!AV689&amp;" Meal",Registered!AV689&amp;" Meals"))</f>
        <v/>
      </c>
      <c r="AX689" s="2" t="str">
        <f>IF(Registered!AI689=0,"",Registered!AI689&amp;" BG")</f>
        <v/>
      </c>
      <c r="AY689" s="2" t="str">
        <f>IF(Registered!AG689=0,"",Registered!AG689&amp;" DustMask")</f>
        <v/>
      </c>
    </row>
    <row r="690" spans="1:51" customFormat="1" x14ac:dyDescent="0.25">
      <c r="A690" t="s">
        <v>381</v>
      </c>
      <c r="B690" t="s">
        <v>1222</v>
      </c>
      <c r="C690" t="s">
        <v>6090</v>
      </c>
      <c r="D690" t="s">
        <v>1223</v>
      </c>
      <c r="F690" t="s">
        <v>261</v>
      </c>
      <c r="I690" t="s">
        <v>1224</v>
      </c>
      <c r="J690" t="s">
        <v>37</v>
      </c>
      <c r="K690" t="s">
        <v>32</v>
      </c>
      <c r="L690" t="s">
        <v>35</v>
      </c>
      <c r="S690">
        <v>1</v>
      </c>
      <c r="T690">
        <v>3</v>
      </c>
      <c r="W690">
        <v>1</v>
      </c>
      <c r="X690">
        <v>40</v>
      </c>
      <c r="AQ690">
        <v>43</v>
      </c>
      <c r="AR690" s="3">
        <f t="shared" si="30"/>
        <v>20</v>
      </c>
      <c r="AS690" s="3">
        <f t="shared" si="31"/>
        <v>0</v>
      </c>
      <c r="AT690" s="3" t="str">
        <f>IF(OR(Registered!AM690&gt;0,Registered!AO690&gt;0),(IF(Registered!E690=0,"Size Not Specified",Registered!E690)),"")</f>
        <v/>
      </c>
      <c r="AU690" s="3" t="str">
        <f>IF(Registered!AE690=0,"",IF(Registered!AE690=1,Registered!AE690&amp;" Bandana",Registered!AE690&amp;" Bandanas"))</f>
        <v/>
      </c>
      <c r="AV690" s="3">
        <f t="shared" si="32"/>
        <v>0</v>
      </c>
      <c r="AW690" s="2" t="str">
        <f>IF(Registered!AV690=0,"",IF(Registered!AV690=1,Registered!AV690&amp;" Meal",Registered!AV690&amp;" Meals"))</f>
        <v/>
      </c>
      <c r="AX690" s="2" t="str">
        <f>IF(Registered!AI690=0,"",Registered!AI690&amp;" BG")</f>
        <v/>
      </c>
      <c r="AY690" s="2" t="str">
        <f>IF(Registered!AG690=0,"",Registered!AG690&amp;" DustMask")</f>
        <v/>
      </c>
    </row>
    <row r="691" spans="1:51" customFormat="1" x14ac:dyDescent="0.25">
      <c r="A691" t="s">
        <v>354</v>
      </c>
      <c r="B691" t="s">
        <v>2930</v>
      </c>
      <c r="C691" t="s">
        <v>6090</v>
      </c>
      <c r="G691" t="s">
        <v>2931</v>
      </c>
      <c r="H691" t="s">
        <v>2930</v>
      </c>
      <c r="I691" t="s">
        <v>2932</v>
      </c>
      <c r="J691" t="s">
        <v>37</v>
      </c>
      <c r="K691" t="s">
        <v>32</v>
      </c>
      <c r="L691" t="s">
        <v>35</v>
      </c>
      <c r="AQ691">
        <v>0</v>
      </c>
      <c r="AR691" s="3">
        <f t="shared" si="30"/>
        <v>0</v>
      </c>
      <c r="AS691" s="3">
        <f t="shared" si="31"/>
        <v>0</v>
      </c>
      <c r="AT691" s="3" t="str">
        <f>IF(OR(Registered!AM691&gt;0,Registered!AO691&gt;0),(IF(Registered!E691=0,"Size Not Specified",Registered!E691)),"")</f>
        <v/>
      </c>
      <c r="AU691" s="3" t="str">
        <f>IF(Registered!AE691=0,"",IF(Registered!AE691=1,Registered!AE691&amp;" Bandana",Registered!AE691&amp;" Bandanas"))</f>
        <v/>
      </c>
      <c r="AV691" s="3">
        <f t="shared" si="32"/>
        <v>0</v>
      </c>
      <c r="AW691" s="2" t="str">
        <f>IF(Registered!AV691=0,"",IF(Registered!AV691=1,Registered!AV691&amp;" Meal",Registered!AV691&amp;" Meals"))</f>
        <v/>
      </c>
      <c r="AX691" s="2" t="str">
        <f>IF(Registered!AI691=0,"",Registered!AI691&amp;" BG")</f>
        <v/>
      </c>
      <c r="AY691" s="2" t="str">
        <f>IF(Registered!AG691=0,"",Registered!AG691&amp;" DustMask")</f>
        <v/>
      </c>
    </row>
    <row r="692" spans="1:51" customFormat="1" x14ac:dyDescent="0.25">
      <c r="A692" t="s">
        <v>2933</v>
      </c>
      <c r="B692" t="s">
        <v>2930</v>
      </c>
      <c r="C692" t="s">
        <v>6090</v>
      </c>
      <c r="G692" t="s">
        <v>2931</v>
      </c>
      <c r="H692" t="s">
        <v>2930</v>
      </c>
      <c r="I692" t="s">
        <v>2932</v>
      </c>
      <c r="J692" t="s">
        <v>37</v>
      </c>
      <c r="K692" t="s">
        <v>32</v>
      </c>
      <c r="L692" t="s">
        <v>35</v>
      </c>
      <c r="AQ692">
        <v>0</v>
      </c>
      <c r="AR692" s="3">
        <f t="shared" si="30"/>
        <v>0</v>
      </c>
      <c r="AS692" s="3">
        <f t="shared" si="31"/>
        <v>0</v>
      </c>
      <c r="AT692" s="3" t="str">
        <f>IF(OR(Registered!AM692&gt;0,Registered!AO692&gt;0),(IF(Registered!E692=0,"Size Not Specified",Registered!E692)),"")</f>
        <v/>
      </c>
      <c r="AU692" s="3" t="str">
        <f>IF(Registered!AE692=0,"",IF(Registered!AE692=1,Registered!AE692&amp;" Bandana",Registered!AE692&amp;" Bandanas"))</f>
        <v/>
      </c>
      <c r="AV692" s="3">
        <f t="shared" si="32"/>
        <v>0</v>
      </c>
      <c r="AW692" s="2" t="str">
        <f>IF(Registered!AV692=0,"",IF(Registered!AV692=1,Registered!AV692&amp;" Meal",Registered!AV692&amp;" Meals"))</f>
        <v/>
      </c>
      <c r="AX692" s="2" t="str">
        <f>IF(Registered!AI692=0,"",Registered!AI692&amp;" BG")</f>
        <v/>
      </c>
      <c r="AY692" s="2" t="str">
        <f>IF(Registered!AG692=0,"",Registered!AG692&amp;" DustMask")</f>
        <v/>
      </c>
    </row>
    <row r="693" spans="1:51" customFormat="1" x14ac:dyDescent="0.25">
      <c r="A693" t="s">
        <v>2931</v>
      </c>
      <c r="B693" t="s">
        <v>2930</v>
      </c>
      <c r="C693" t="s">
        <v>6090</v>
      </c>
      <c r="D693" t="s">
        <v>2934</v>
      </c>
      <c r="F693" t="s">
        <v>261</v>
      </c>
      <c r="I693" t="s">
        <v>2932</v>
      </c>
      <c r="J693" t="s">
        <v>37</v>
      </c>
      <c r="K693" t="s">
        <v>32</v>
      </c>
      <c r="L693" t="s">
        <v>35</v>
      </c>
      <c r="Q693">
        <v>6</v>
      </c>
      <c r="R693">
        <v>3</v>
      </c>
      <c r="W693">
        <v>1</v>
      </c>
      <c r="X693">
        <v>40</v>
      </c>
      <c r="AQ693">
        <v>58</v>
      </c>
      <c r="AR693" s="3">
        <f t="shared" si="30"/>
        <v>20</v>
      </c>
      <c r="AS693" s="3">
        <f t="shared" si="31"/>
        <v>0</v>
      </c>
      <c r="AT693" s="3" t="str">
        <f>IF(OR(Registered!AM693&gt;0,Registered!AO693&gt;0),(IF(Registered!E693=0,"Size Not Specified",Registered!E693)),"")</f>
        <v/>
      </c>
      <c r="AU693" s="3" t="str">
        <f>IF(Registered!AE693=0,"",IF(Registered!AE693=1,Registered!AE693&amp;" Bandana",Registered!AE693&amp;" Bandanas"))</f>
        <v/>
      </c>
      <c r="AV693" s="3">
        <f t="shared" si="32"/>
        <v>0</v>
      </c>
      <c r="AW693" s="2" t="str">
        <f>IF(Registered!AV693=0,"",IF(Registered!AV693=1,Registered!AV693&amp;" Meal",Registered!AV693&amp;" Meals"))</f>
        <v/>
      </c>
      <c r="AX693" s="2" t="str">
        <f>IF(Registered!AI693=0,"",Registered!AI693&amp;" BG")</f>
        <v/>
      </c>
      <c r="AY693" s="2" t="str">
        <f>IF(Registered!AG693=0,"",Registered!AG693&amp;" DustMask")</f>
        <v/>
      </c>
    </row>
    <row r="694" spans="1:51" customFormat="1" x14ac:dyDescent="0.25">
      <c r="A694" t="s">
        <v>91</v>
      </c>
      <c r="B694" t="s">
        <v>2936</v>
      </c>
      <c r="C694" t="s">
        <v>6090</v>
      </c>
      <c r="D694" t="s">
        <v>4350</v>
      </c>
      <c r="F694" t="s">
        <v>261</v>
      </c>
      <c r="I694" t="s">
        <v>3991</v>
      </c>
      <c r="J694" t="s">
        <v>37</v>
      </c>
      <c r="K694" t="s">
        <v>32</v>
      </c>
      <c r="L694" t="s">
        <v>35</v>
      </c>
      <c r="Q694">
        <v>2</v>
      </c>
      <c r="R694">
        <v>3</v>
      </c>
      <c r="AK694">
        <v>2</v>
      </c>
      <c r="AL694">
        <v>6</v>
      </c>
      <c r="AQ694">
        <v>18</v>
      </c>
      <c r="AR694" s="3">
        <f t="shared" si="30"/>
        <v>0</v>
      </c>
      <c r="AS694" s="3">
        <f t="shared" si="31"/>
        <v>0</v>
      </c>
      <c r="AT694" s="3" t="str">
        <f>IF(OR(Registered!AM694&gt;0,Registered!AO694&gt;0),(IF(Registered!E694=0,"Size Not Specified",Registered!E694)),"")</f>
        <v/>
      </c>
      <c r="AU694" s="3" t="str">
        <f>IF(Registered!AE694=0,"",IF(Registered!AE694=1,Registered!AE694&amp;" Bandana",Registered!AE694&amp;" Bandanas"))</f>
        <v/>
      </c>
      <c r="AV694" s="3">
        <f t="shared" si="32"/>
        <v>2</v>
      </c>
      <c r="AW694" s="2" t="str">
        <f>IF(Registered!AV694=0,"",IF(Registered!AV694=1,Registered!AV694&amp;" Meal",Registered!AV694&amp;" Meals"))</f>
        <v>2 Meals</v>
      </c>
      <c r="AX694" s="2" t="str">
        <f>IF(Registered!AI694=0,"",Registered!AI694&amp;" BG")</f>
        <v/>
      </c>
      <c r="AY694" s="2" t="str">
        <f>IF(Registered!AG694=0,"",Registered!AG694&amp;" DustMask")</f>
        <v/>
      </c>
    </row>
    <row r="695" spans="1:51" customFormat="1" x14ac:dyDescent="0.25">
      <c r="A695" t="s">
        <v>2935</v>
      </c>
      <c r="B695" t="s">
        <v>2936</v>
      </c>
      <c r="C695" t="s">
        <v>6090</v>
      </c>
      <c r="G695" t="s">
        <v>2937</v>
      </c>
      <c r="H695" t="s">
        <v>2938</v>
      </c>
      <c r="I695" t="s">
        <v>2939</v>
      </c>
      <c r="J695" t="s">
        <v>37</v>
      </c>
      <c r="K695" t="s">
        <v>32</v>
      </c>
      <c r="L695" t="s">
        <v>35</v>
      </c>
      <c r="AQ695">
        <v>0</v>
      </c>
      <c r="AR695" s="3">
        <f t="shared" si="30"/>
        <v>0</v>
      </c>
      <c r="AS695" s="3">
        <f t="shared" si="31"/>
        <v>0</v>
      </c>
      <c r="AT695" s="3" t="str">
        <f>IF(OR(Registered!AM695&gt;0,Registered!AO695&gt;0),(IF(Registered!E695=0,"Size Not Specified",Registered!E695)),"")</f>
        <v/>
      </c>
      <c r="AU695" s="3" t="str">
        <f>IF(Registered!AE695=0,"",IF(Registered!AE695=1,Registered!AE695&amp;" Bandana",Registered!AE695&amp;" Bandanas"))</f>
        <v/>
      </c>
      <c r="AV695" s="3">
        <f t="shared" si="32"/>
        <v>0</v>
      </c>
      <c r="AW695" s="2" t="str">
        <f>IF(Registered!AV695=0,"",IF(Registered!AV695=1,Registered!AV695&amp;" Meal",Registered!AV695&amp;" Meals"))</f>
        <v/>
      </c>
      <c r="AX695" s="2" t="str">
        <f>IF(Registered!AI695=0,"",Registered!AI695&amp;" BG")</f>
        <v/>
      </c>
      <c r="AY695" s="2" t="str">
        <f>IF(Registered!AG695=0,"",Registered!AG695&amp;" DustMask")</f>
        <v/>
      </c>
    </row>
    <row r="696" spans="1:51" customFormat="1" x14ac:dyDescent="0.25">
      <c r="A696" t="s">
        <v>389</v>
      </c>
      <c r="B696" t="s">
        <v>3755</v>
      </c>
      <c r="C696" t="s">
        <v>6090</v>
      </c>
      <c r="D696" t="s">
        <v>4351</v>
      </c>
      <c r="E696" t="s">
        <v>106</v>
      </c>
      <c r="F696" t="s">
        <v>261</v>
      </c>
      <c r="I696" t="s">
        <v>3756</v>
      </c>
      <c r="J696" t="s">
        <v>37</v>
      </c>
      <c r="K696" t="s">
        <v>32</v>
      </c>
      <c r="L696" t="s">
        <v>35</v>
      </c>
      <c r="Q696">
        <v>2</v>
      </c>
      <c r="R696">
        <v>3</v>
      </c>
      <c r="AM696">
        <v>2</v>
      </c>
      <c r="AN696">
        <v>25</v>
      </c>
      <c r="AQ696">
        <v>56</v>
      </c>
      <c r="AR696" s="3">
        <f t="shared" si="30"/>
        <v>10</v>
      </c>
      <c r="AS696" s="3">
        <f t="shared" si="31"/>
        <v>2</v>
      </c>
      <c r="AT696" s="3" t="str">
        <f>IF(OR(Registered!AM696&gt;0,Registered!AO696&gt;0),(IF(Registered!E696=0,"Size Not Specified",Registered!E696)),"")</f>
        <v>Small and Large</v>
      </c>
      <c r="AU696" s="3" t="str">
        <f>IF(Registered!AE696=0,"",IF(Registered!AE696=1,Registered!AE696&amp;" Bandana",Registered!AE696&amp;" Bandanas"))</f>
        <v/>
      </c>
      <c r="AV696" s="3">
        <f t="shared" si="32"/>
        <v>2</v>
      </c>
      <c r="AW696" s="2" t="str">
        <f>IF(Registered!AV696=0,"",IF(Registered!AV696=1,Registered!AV696&amp;" Meal",Registered!AV696&amp;" Meals"))</f>
        <v>2 Meals</v>
      </c>
      <c r="AX696" s="2" t="str">
        <f>IF(Registered!AI696=0,"",Registered!AI696&amp;" BG")</f>
        <v/>
      </c>
      <c r="AY696" s="2" t="str">
        <f>IF(Registered!AG696=0,"",Registered!AG696&amp;" DustMask")</f>
        <v/>
      </c>
    </row>
    <row r="697" spans="1:51" customFormat="1" x14ac:dyDescent="0.25">
      <c r="A697" t="s">
        <v>839</v>
      </c>
      <c r="B697" t="s">
        <v>4352</v>
      </c>
      <c r="C697" t="s">
        <v>6090</v>
      </c>
      <c r="G697" t="s">
        <v>4353</v>
      </c>
      <c r="H697" t="s">
        <v>99</v>
      </c>
      <c r="I697" t="s">
        <v>4354</v>
      </c>
      <c r="J697" t="s">
        <v>37</v>
      </c>
      <c r="K697" t="s">
        <v>32</v>
      </c>
      <c r="L697" t="s">
        <v>35</v>
      </c>
      <c r="AQ697">
        <v>0</v>
      </c>
      <c r="AR697" s="3">
        <f t="shared" si="30"/>
        <v>0</v>
      </c>
      <c r="AS697" s="3">
        <f t="shared" si="31"/>
        <v>0</v>
      </c>
      <c r="AT697" s="3" t="str">
        <f>IF(OR(Registered!AM697&gt;0,Registered!AO697&gt;0),(IF(Registered!E697=0,"Size Not Specified",Registered!E697)),"")</f>
        <v/>
      </c>
      <c r="AU697" s="3" t="str">
        <f>IF(Registered!AE697=0,"",IF(Registered!AE697=1,Registered!AE697&amp;" Bandana",Registered!AE697&amp;" Bandanas"))</f>
        <v/>
      </c>
      <c r="AV697" s="3">
        <f t="shared" si="32"/>
        <v>0</v>
      </c>
      <c r="AW697" s="2" t="str">
        <f>IF(Registered!AV697=0,"",IF(Registered!AV697=1,Registered!AV697&amp;" Meal",Registered!AV697&amp;" Meals"))</f>
        <v/>
      </c>
      <c r="AX697" s="2" t="str">
        <f>IF(Registered!AI697=0,"",Registered!AI697&amp;" BG")</f>
        <v/>
      </c>
      <c r="AY697" s="2" t="str">
        <f>IF(Registered!AG697=0,"",Registered!AG697&amp;" DustMask")</f>
        <v/>
      </c>
    </row>
    <row r="698" spans="1:51" customFormat="1" x14ac:dyDescent="0.25">
      <c r="A698" t="s">
        <v>79</v>
      </c>
      <c r="B698" t="s">
        <v>4355</v>
      </c>
      <c r="C698" t="s">
        <v>6090</v>
      </c>
      <c r="D698" t="s">
        <v>4356</v>
      </c>
      <c r="F698" t="s">
        <v>261</v>
      </c>
      <c r="I698" t="s">
        <v>4357</v>
      </c>
      <c r="J698" t="s">
        <v>37</v>
      </c>
      <c r="K698" t="s">
        <v>32</v>
      </c>
      <c r="L698" t="s">
        <v>35</v>
      </c>
      <c r="Q698">
        <v>1</v>
      </c>
      <c r="R698">
        <v>3</v>
      </c>
      <c r="AC698">
        <v>1</v>
      </c>
      <c r="AD698">
        <v>10</v>
      </c>
      <c r="AQ698">
        <v>13</v>
      </c>
      <c r="AR698" s="3">
        <f t="shared" si="30"/>
        <v>5</v>
      </c>
      <c r="AS698" s="3">
        <f t="shared" si="31"/>
        <v>0</v>
      </c>
      <c r="AT698" s="3" t="str">
        <f>IF(OR(Registered!AM698&gt;0,Registered!AO698&gt;0),(IF(Registered!E698=0,"Size Not Specified",Registered!E698)),"")</f>
        <v/>
      </c>
      <c r="AU698" s="3" t="str">
        <f>IF(Registered!AE698=0,"",IF(Registered!AE698=1,Registered!AE698&amp;" Bandana",Registered!AE698&amp;" Bandanas"))</f>
        <v/>
      </c>
      <c r="AV698" s="3">
        <f t="shared" si="32"/>
        <v>0</v>
      </c>
      <c r="AW698" s="2" t="str">
        <f>IF(Registered!AV698=0,"",IF(Registered!AV698=1,Registered!AV698&amp;" Meal",Registered!AV698&amp;" Meals"))</f>
        <v/>
      </c>
      <c r="AX698" s="2" t="str">
        <f>IF(Registered!AI698=0,"",Registered!AI698&amp;" BG")</f>
        <v/>
      </c>
      <c r="AY698" s="2" t="str">
        <f>IF(Registered!AG698=0,"",Registered!AG698&amp;" DustMask")</f>
        <v/>
      </c>
    </row>
    <row r="699" spans="1:51" customFormat="1" x14ac:dyDescent="0.25">
      <c r="A699" t="s">
        <v>430</v>
      </c>
      <c r="B699" t="s">
        <v>4355</v>
      </c>
      <c r="C699" t="s">
        <v>6090</v>
      </c>
      <c r="G699" t="s">
        <v>4358</v>
      </c>
      <c r="H699" t="s">
        <v>4359</v>
      </c>
      <c r="I699" t="s">
        <v>4360</v>
      </c>
      <c r="J699" t="s">
        <v>37</v>
      </c>
      <c r="K699" t="s">
        <v>32</v>
      </c>
      <c r="L699" t="s">
        <v>35</v>
      </c>
      <c r="AQ699">
        <v>0</v>
      </c>
      <c r="AR699" s="3">
        <f t="shared" si="30"/>
        <v>0</v>
      </c>
      <c r="AS699" s="3">
        <f t="shared" si="31"/>
        <v>0</v>
      </c>
      <c r="AT699" s="3" t="str">
        <f>IF(OR(Registered!AM699&gt;0,Registered!AO699&gt;0),(IF(Registered!E699=0,"Size Not Specified",Registered!E699)),"")</f>
        <v/>
      </c>
      <c r="AU699" s="3" t="str">
        <f>IF(Registered!AE699=0,"",IF(Registered!AE699=1,Registered!AE699&amp;" Bandana",Registered!AE699&amp;" Bandanas"))</f>
        <v/>
      </c>
      <c r="AV699" s="3">
        <f t="shared" si="32"/>
        <v>0</v>
      </c>
      <c r="AW699" s="2" t="str">
        <f>IF(Registered!AV699=0,"",IF(Registered!AV699=1,Registered!AV699&amp;" Meal",Registered!AV699&amp;" Meals"))</f>
        <v/>
      </c>
      <c r="AX699" s="2" t="str">
        <f>IF(Registered!AI699=0,"",Registered!AI699&amp;" BG")</f>
        <v/>
      </c>
      <c r="AY699" s="2" t="str">
        <f>IF(Registered!AG699=0,"",Registered!AG699&amp;" DustMask")</f>
        <v/>
      </c>
    </row>
    <row r="700" spans="1:51" customFormat="1" x14ac:dyDescent="0.25">
      <c r="A700" t="s">
        <v>4361</v>
      </c>
      <c r="B700" t="s">
        <v>4355</v>
      </c>
      <c r="C700" t="s">
        <v>6090</v>
      </c>
      <c r="G700" t="s">
        <v>4358</v>
      </c>
      <c r="H700" t="s">
        <v>4359</v>
      </c>
      <c r="I700" t="s">
        <v>4360</v>
      </c>
      <c r="J700" t="s">
        <v>37</v>
      </c>
      <c r="K700" t="s">
        <v>32</v>
      </c>
      <c r="L700" t="s">
        <v>35</v>
      </c>
      <c r="AQ700">
        <v>0</v>
      </c>
      <c r="AR700" s="3">
        <f t="shared" si="30"/>
        <v>0</v>
      </c>
      <c r="AS700" s="3">
        <f t="shared" si="31"/>
        <v>0</v>
      </c>
      <c r="AT700" s="3" t="str">
        <f>IF(OR(Registered!AM700&gt;0,Registered!AO700&gt;0),(IF(Registered!E700=0,"Size Not Specified",Registered!E700)),"")</f>
        <v/>
      </c>
      <c r="AU700" s="3" t="str">
        <f>IF(Registered!AE700=0,"",IF(Registered!AE700=1,Registered!AE700&amp;" Bandana",Registered!AE700&amp;" Bandanas"))</f>
        <v/>
      </c>
      <c r="AV700" s="3">
        <f t="shared" si="32"/>
        <v>0</v>
      </c>
      <c r="AW700" s="2" t="str">
        <f>IF(Registered!AV700=0,"",IF(Registered!AV700=1,Registered!AV700&amp;" Meal",Registered!AV700&amp;" Meals"))</f>
        <v/>
      </c>
      <c r="AX700" s="2" t="str">
        <f>IF(Registered!AI700=0,"",Registered!AI700&amp;" BG")</f>
        <v/>
      </c>
      <c r="AY700" s="2" t="str">
        <f>IF(Registered!AG700=0,"",Registered!AG700&amp;" DustMask")</f>
        <v/>
      </c>
    </row>
    <row r="701" spans="1:51" customFormat="1" x14ac:dyDescent="0.25">
      <c r="A701" t="s">
        <v>422</v>
      </c>
      <c r="B701" t="s">
        <v>4355</v>
      </c>
      <c r="C701" t="s">
        <v>6090</v>
      </c>
      <c r="G701" t="s">
        <v>4358</v>
      </c>
      <c r="H701" t="s">
        <v>4359</v>
      </c>
      <c r="I701" t="s">
        <v>4360</v>
      </c>
      <c r="J701" t="s">
        <v>37</v>
      </c>
      <c r="K701" t="s">
        <v>32</v>
      </c>
      <c r="L701" t="s">
        <v>35</v>
      </c>
      <c r="AQ701">
        <v>0</v>
      </c>
      <c r="AR701" s="3">
        <f t="shared" si="30"/>
        <v>0</v>
      </c>
      <c r="AS701" s="3">
        <f t="shared" si="31"/>
        <v>0</v>
      </c>
      <c r="AT701" s="3" t="str">
        <f>IF(OR(Registered!AM701&gt;0,Registered!AO701&gt;0),(IF(Registered!E701=0,"Size Not Specified",Registered!E701)),"")</f>
        <v/>
      </c>
      <c r="AU701" s="3" t="str">
        <f>IF(Registered!AE701=0,"",IF(Registered!AE701=1,Registered!AE701&amp;" Bandana",Registered!AE701&amp;" Bandanas"))</f>
        <v/>
      </c>
      <c r="AV701" s="3">
        <f t="shared" si="32"/>
        <v>0</v>
      </c>
      <c r="AW701" s="2" t="str">
        <f>IF(Registered!AV701=0,"",IF(Registered!AV701=1,Registered!AV701&amp;" Meal",Registered!AV701&amp;" Meals"))</f>
        <v/>
      </c>
      <c r="AX701" s="2" t="str">
        <f>IF(Registered!AI701=0,"",Registered!AI701&amp;" BG")</f>
        <v/>
      </c>
      <c r="AY701" s="2" t="str">
        <f>IF(Registered!AG701=0,"",Registered!AG701&amp;" DustMask")</f>
        <v/>
      </c>
    </row>
    <row r="702" spans="1:51" customFormat="1" x14ac:dyDescent="0.25">
      <c r="A702" t="s">
        <v>217</v>
      </c>
      <c r="B702" t="s">
        <v>4362</v>
      </c>
      <c r="C702" t="s">
        <v>6090</v>
      </c>
      <c r="D702" t="s">
        <v>307</v>
      </c>
      <c r="E702" t="s">
        <v>53</v>
      </c>
      <c r="F702" t="s">
        <v>261</v>
      </c>
      <c r="I702" t="s">
        <v>4363</v>
      </c>
      <c r="J702" t="s">
        <v>37</v>
      </c>
      <c r="K702" t="s">
        <v>32</v>
      </c>
      <c r="L702" t="s">
        <v>35</v>
      </c>
      <c r="Q702">
        <v>1</v>
      </c>
      <c r="R702">
        <v>3</v>
      </c>
      <c r="AQ702">
        <v>3</v>
      </c>
      <c r="AR702" s="3">
        <f t="shared" si="30"/>
        <v>0</v>
      </c>
      <c r="AS702" s="3">
        <f t="shared" si="31"/>
        <v>0</v>
      </c>
      <c r="AT702" s="3" t="str">
        <f>IF(OR(Registered!AM702&gt;0,Registered!AO702&gt;0),(IF(Registered!E702=0,"Size Not Specified",Registered!E702)),"")</f>
        <v/>
      </c>
      <c r="AU702" s="3" t="str">
        <f>IF(Registered!AE702=0,"",IF(Registered!AE702=1,Registered!AE702&amp;" Bandana",Registered!AE702&amp;" Bandanas"))</f>
        <v/>
      </c>
      <c r="AV702" s="3">
        <f t="shared" si="32"/>
        <v>0</v>
      </c>
      <c r="AW702" s="2" t="str">
        <f>IF(Registered!AV702=0,"",IF(Registered!AV702=1,Registered!AV702&amp;" Meal",Registered!AV702&amp;" Meals"))</f>
        <v/>
      </c>
      <c r="AX702" s="2" t="str">
        <f>IF(Registered!AI702=0,"",Registered!AI702&amp;" BG")</f>
        <v/>
      </c>
      <c r="AY702" s="2" t="str">
        <f>IF(Registered!AG702=0,"",Registered!AG702&amp;" DustMask")</f>
        <v/>
      </c>
    </row>
    <row r="703" spans="1:51" customFormat="1" x14ac:dyDescent="0.25">
      <c r="A703" t="s">
        <v>2078</v>
      </c>
      <c r="B703" t="s">
        <v>2940</v>
      </c>
      <c r="C703" t="s">
        <v>6090</v>
      </c>
      <c r="D703" t="s">
        <v>2941</v>
      </c>
      <c r="F703" t="s">
        <v>261</v>
      </c>
      <c r="I703" t="s">
        <v>2942</v>
      </c>
      <c r="J703" t="s">
        <v>37</v>
      </c>
      <c r="K703" t="s">
        <v>32</v>
      </c>
      <c r="L703" t="s">
        <v>35</v>
      </c>
      <c r="Q703">
        <v>2</v>
      </c>
      <c r="R703">
        <v>3</v>
      </c>
      <c r="U703">
        <v>1</v>
      </c>
      <c r="V703">
        <v>20</v>
      </c>
      <c r="AQ703">
        <v>26</v>
      </c>
      <c r="AR703" s="3">
        <f t="shared" si="30"/>
        <v>10</v>
      </c>
      <c r="AS703" s="3">
        <f t="shared" si="31"/>
        <v>0</v>
      </c>
      <c r="AT703" s="3" t="str">
        <f>IF(OR(Registered!AM703&gt;0,Registered!AO703&gt;0),(IF(Registered!E703=0,"Size Not Specified",Registered!E703)),"")</f>
        <v/>
      </c>
      <c r="AU703" s="3" t="str">
        <f>IF(Registered!AE703=0,"",IF(Registered!AE703=1,Registered!AE703&amp;" Bandana",Registered!AE703&amp;" Bandanas"))</f>
        <v/>
      </c>
      <c r="AV703" s="3">
        <f t="shared" si="32"/>
        <v>0</v>
      </c>
      <c r="AW703" s="2" t="str">
        <f>IF(Registered!AV703=0,"",IF(Registered!AV703=1,Registered!AV703&amp;" Meal",Registered!AV703&amp;" Meals"))</f>
        <v/>
      </c>
      <c r="AX703" s="2" t="str">
        <f>IF(Registered!AI703=0,"",Registered!AI703&amp;" BG")</f>
        <v/>
      </c>
      <c r="AY703" s="2" t="str">
        <f>IF(Registered!AG703=0,"",Registered!AG703&amp;" DustMask")</f>
        <v/>
      </c>
    </row>
    <row r="704" spans="1:51" customFormat="1" x14ac:dyDescent="0.25">
      <c r="A704" t="s">
        <v>1225</v>
      </c>
      <c r="B704" t="s">
        <v>1226</v>
      </c>
      <c r="C704" t="s">
        <v>6090</v>
      </c>
      <c r="D704" t="s">
        <v>1225</v>
      </c>
      <c r="E704" t="s">
        <v>65</v>
      </c>
      <c r="F704" t="s">
        <v>261</v>
      </c>
      <c r="I704" t="s">
        <v>1227</v>
      </c>
      <c r="J704" t="s">
        <v>37</v>
      </c>
      <c r="K704" t="s">
        <v>32</v>
      </c>
      <c r="L704" t="s">
        <v>35</v>
      </c>
      <c r="Q704">
        <v>2</v>
      </c>
      <c r="R704">
        <v>3</v>
      </c>
      <c r="AC704">
        <v>1</v>
      </c>
      <c r="AD704">
        <v>10</v>
      </c>
      <c r="AI704">
        <v>1</v>
      </c>
      <c r="AJ704">
        <v>10</v>
      </c>
      <c r="AM704">
        <v>1</v>
      </c>
      <c r="AN704">
        <v>25</v>
      </c>
      <c r="AQ704">
        <v>51</v>
      </c>
      <c r="AR704" s="3">
        <f t="shared" si="30"/>
        <v>10</v>
      </c>
      <c r="AS704" s="3">
        <f t="shared" si="31"/>
        <v>1</v>
      </c>
      <c r="AT704" s="3" t="str">
        <f>IF(OR(Registered!AM704&gt;0,Registered!AO704&gt;0),(IF(Registered!E704=0,"Size Not Specified",Registered!E704)),"")</f>
        <v>Medium</v>
      </c>
      <c r="AU704" s="3" t="str">
        <f>IF(Registered!AE704=0,"",IF(Registered!AE704=1,Registered!AE704&amp;" Bandana",Registered!AE704&amp;" Bandanas"))</f>
        <v/>
      </c>
      <c r="AV704" s="3">
        <f t="shared" si="32"/>
        <v>1</v>
      </c>
      <c r="AW704" s="2" t="str">
        <f>IF(Registered!AV704=0,"",IF(Registered!AV704=1,Registered!AV704&amp;" Meal",Registered!AV704&amp;" Meals"))</f>
        <v>1 Meal</v>
      </c>
      <c r="AX704" s="2" t="str">
        <f>IF(Registered!AI704=0,"",Registered!AI704&amp;" BG")</f>
        <v>1 BG</v>
      </c>
      <c r="AY704" s="2" t="str">
        <f>IF(Registered!AG704=0,"",Registered!AG704&amp;" DustMask")</f>
        <v/>
      </c>
    </row>
    <row r="705" spans="1:51" customFormat="1" x14ac:dyDescent="0.25">
      <c r="A705" t="s">
        <v>111</v>
      </c>
      <c r="B705" t="s">
        <v>1228</v>
      </c>
      <c r="C705" t="s">
        <v>6090</v>
      </c>
      <c r="D705" t="s">
        <v>1229</v>
      </c>
      <c r="I705" t="s">
        <v>1230</v>
      </c>
      <c r="J705" t="s">
        <v>37</v>
      </c>
      <c r="K705" t="s">
        <v>32</v>
      </c>
      <c r="L705" t="s">
        <v>35</v>
      </c>
      <c r="O705">
        <v>1</v>
      </c>
      <c r="P705">
        <v>3</v>
      </c>
      <c r="AC705">
        <v>1</v>
      </c>
      <c r="AD705">
        <v>10</v>
      </c>
      <c r="AK705">
        <v>1</v>
      </c>
      <c r="AL705">
        <v>6</v>
      </c>
      <c r="AQ705">
        <v>19</v>
      </c>
      <c r="AR705" s="3">
        <f t="shared" si="30"/>
        <v>5</v>
      </c>
      <c r="AS705" s="3">
        <f t="shared" si="31"/>
        <v>0</v>
      </c>
      <c r="AT705" s="3" t="str">
        <f>IF(OR(Registered!AM705&gt;0,Registered!AO705&gt;0),(IF(Registered!E705=0,"Size Not Specified",Registered!E705)),"")</f>
        <v/>
      </c>
      <c r="AU705" s="3" t="str">
        <f>IF(Registered!AE705=0,"",IF(Registered!AE705=1,Registered!AE705&amp;" Bandana",Registered!AE705&amp;" Bandanas"))</f>
        <v/>
      </c>
      <c r="AV705" s="3">
        <f t="shared" si="32"/>
        <v>1</v>
      </c>
      <c r="AW705" s="2" t="str">
        <f>IF(Registered!AV705=0,"",IF(Registered!AV705=1,Registered!AV705&amp;" Meal",Registered!AV705&amp;" Meals"))</f>
        <v>1 Meal</v>
      </c>
      <c r="AX705" s="2" t="str">
        <f>IF(Registered!AI705=0,"",Registered!AI705&amp;" BG")</f>
        <v/>
      </c>
      <c r="AY705" s="2" t="str">
        <f>IF(Registered!AG705=0,"",Registered!AG705&amp;" DustMask")</f>
        <v/>
      </c>
    </row>
    <row r="706" spans="1:51" customFormat="1" x14ac:dyDescent="0.25">
      <c r="A706" t="s">
        <v>4367</v>
      </c>
      <c r="B706" t="s">
        <v>4368</v>
      </c>
      <c r="C706" t="s">
        <v>6090</v>
      </c>
      <c r="G706" t="s">
        <v>4101</v>
      </c>
      <c r="H706" t="s">
        <v>129</v>
      </c>
      <c r="I706" t="s">
        <v>4103</v>
      </c>
      <c r="J706" t="s">
        <v>37</v>
      </c>
      <c r="K706" t="s">
        <v>32</v>
      </c>
      <c r="L706" t="s">
        <v>35</v>
      </c>
      <c r="AQ706">
        <v>0</v>
      </c>
      <c r="AR706" s="3">
        <f t="shared" ref="AR706:AR769" si="33">IF(ISTEXT(AM706)=TRUE,"",SUM(U706*10,W706*20,Y706*30,AA706*40,AC706*5,AM706*5))</f>
        <v>0</v>
      </c>
      <c r="AS706" s="3">
        <f t="shared" ref="AS706:AS769" si="34">IF(ISTEXT(AM706)=TRUE,"",SUM(AM706,AO706))</f>
        <v>0</v>
      </c>
      <c r="AT706" s="3" t="str">
        <f>IF(OR(Registered!AM706&gt;0,Registered!AO706&gt;0),(IF(Registered!E706=0,"Size Not Specified",Registered!E706)),"")</f>
        <v/>
      </c>
      <c r="AU706" s="3" t="str">
        <f>IF(Registered!AE706=0,"",IF(Registered!AE706=1,Registered!AE706&amp;" Bandana",Registered!AE706&amp;" Bandanas"))</f>
        <v/>
      </c>
      <c r="AV706" s="3">
        <f t="shared" ref="AV706:AV769" si="35">IF(ISTEXT(AM706)=TRUE,"",SUM(AM706,AK706))</f>
        <v>0</v>
      </c>
      <c r="AW706" s="2" t="str">
        <f>IF(Registered!AV706=0,"",IF(Registered!AV706=1,Registered!AV706&amp;" Meal",Registered!AV706&amp;" Meals"))</f>
        <v/>
      </c>
      <c r="AX706" s="2" t="str">
        <f>IF(Registered!AI706=0,"",Registered!AI706&amp;" BG")</f>
        <v/>
      </c>
      <c r="AY706" s="2" t="str">
        <f>IF(Registered!AG706=0,"",Registered!AG706&amp;" DustMask")</f>
        <v/>
      </c>
    </row>
    <row r="707" spans="1:51" customFormat="1" x14ac:dyDescent="0.25">
      <c r="A707" t="s">
        <v>377</v>
      </c>
      <c r="B707" t="s">
        <v>2943</v>
      </c>
      <c r="C707" t="s">
        <v>6090</v>
      </c>
      <c r="G707" t="s">
        <v>2944</v>
      </c>
      <c r="H707" t="s">
        <v>2945</v>
      </c>
      <c r="I707" t="s">
        <v>2946</v>
      </c>
      <c r="J707" t="s">
        <v>37</v>
      </c>
      <c r="K707" t="s">
        <v>32</v>
      </c>
      <c r="L707" t="s">
        <v>35</v>
      </c>
      <c r="AQ707">
        <v>0</v>
      </c>
      <c r="AR707" s="3">
        <f t="shared" si="33"/>
        <v>0</v>
      </c>
      <c r="AS707" s="3">
        <f t="shared" si="34"/>
        <v>0</v>
      </c>
      <c r="AT707" s="3" t="str">
        <f>IF(OR(Registered!AM707&gt;0,Registered!AO707&gt;0),(IF(Registered!E707=0,"Size Not Specified",Registered!E707)),"")</f>
        <v/>
      </c>
      <c r="AU707" s="3" t="str">
        <f>IF(Registered!AE707=0,"",IF(Registered!AE707=1,Registered!AE707&amp;" Bandana",Registered!AE707&amp;" Bandanas"))</f>
        <v/>
      </c>
      <c r="AV707" s="3">
        <f t="shared" si="35"/>
        <v>0</v>
      </c>
      <c r="AW707" s="2" t="str">
        <f>IF(Registered!AV707=0,"",IF(Registered!AV707=1,Registered!AV707&amp;" Meal",Registered!AV707&amp;" Meals"))</f>
        <v/>
      </c>
      <c r="AX707" s="2" t="str">
        <f>IF(Registered!AI707=0,"",Registered!AI707&amp;" BG")</f>
        <v/>
      </c>
      <c r="AY707" s="2" t="str">
        <f>IF(Registered!AG707=0,"",Registered!AG707&amp;" DustMask")</f>
        <v/>
      </c>
    </row>
    <row r="708" spans="1:51" customFormat="1" x14ac:dyDescent="0.25">
      <c r="A708" t="s">
        <v>151</v>
      </c>
      <c r="B708" t="s">
        <v>2947</v>
      </c>
      <c r="C708" t="s">
        <v>6090</v>
      </c>
      <c r="G708" t="s">
        <v>835</v>
      </c>
      <c r="H708" t="s">
        <v>2840</v>
      </c>
      <c r="I708" t="s">
        <v>2948</v>
      </c>
      <c r="J708" t="s">
        <v>37</v>
      </c>
      <c r="K708" t="s">
        <v>32</v>
      </c>
      <c r="L708" t="s">
        <v>35</v>
      </c>
      <c r="AQ708">
        <v>0</v>
      </c>
      <c r="AR708" s="3">
        <f t="shared" si="33"/>
        <v>0</v>
      </c>
      <c r="AS708" s="3">
        <f t="shared" si="34"/>
        <v>0</v>
      </c>
      <c r="AT708" s="3" t="str">
        <f>IF(OR(Registered!AM708&gt;0,Registered!AO708&gt;0),(IF(Registered!E708=0,"Size Not Specified",Registered!E708)),"")</f>
        <v/>
      </c>
      <c r="AU708" s="3" t="str">
        <f>IF(Registered!AE708=0,"",IF(Registered!AE708=1,Registered!AE708&amp;" Bandana",Registered!AE708&amp;" Bandanas"))</f>
        <v/>
      </c>
      <c r="AV708" s="3">
        <f t="shared" si="35"/>
        <v>0</v>
      </c>
      <c r="AW708" s="2" t="str">
        <f>IF(Registered!AV708=0,"",IF(Registered!AV708=1,Registered!AV708&amp;" Meal",Registered!AV708&amp;" Meals"))</f>
        <v/>
      </c>
      <c r="AX708" s="2" t="str">
        <f>IF(Registered!AI708=0,"",Registered!AI708&amp;" BG")</f>
        <v/>
      </c>
      <c r="AY708" s="2" t="str">
        <f>IF(Registered!AG708=0,"",Registered!AG708&amp;" DustMask")</f>
        <v/>
      </c>
    </row>
    <row r="709" spans="1:51" customFormat="1" x14ac:dyDescent="0.25">
      <c r="A709" t="s">
        <v>94</v>
      </c>
      <c r="B709" t="s">
        <v>4369</v>
      </c>
      <c r="C709" t="s">
        <v>6090</v>
      </c>
      <c r="D709" t="s">
        <v>94</v>
      </c>
      <c r="F709" t="s">
        <v>261</v>
      </c>
      <c r="I709" t="s">
        <v>4370</v>
      </c>
      <c r="J709" t="s">
        <v>37</v>
      </c>
      <c r="K709" t="s">
        <v>32</v>
      </c>
      <c r="L709" t="s">
        <v>35</v>
      </c>
      <c r="Q709">
        <v>2</v>
      </c>
      <c r="R709">
        <v>3</v>
      </c>
      <c r="U709">
        <v>1</v>
      </c>
      <c r="V709">
        <v>20</v>
      </c>
      <c r="AQ709">
        <v>26</v>
      </c>
      <c r="AR709" s="3">
        <f t="shared" si="33"/>
        <v>10</v>
      </c>
      <c r="AS709" s="3">
        <f t="shared" si="34"/>
        <v>0</v>
      </c>
      <c r="AT709" s="3" t="str">
        <f>IF(OR(Registered!AM709&gt;0,Registered!AO709&gt;0),(IF(Registered!E709=0,"Size Not Specified",Registered!E709)),"")</f>
        <v/>
      </c>
      <c r="AU709" s="3" t="str">
        <f>IF(Registered!AE709=0,"",IF(Registered!AE709=1,Registered!AE709&amp;" Bandana",Registered!AE709&amp;" Bandanas"))</f>
        <v/>
      </c>
      <c r="AV709" s="3">
        <f t="shared" si="35"/>
        <v>0</v>
      </c>
      <c r="AW709" s="2" t="str">
        <f>IF(Registered!AV709=0,"",IF(Registered!AV709=1,Registered!AV709&amp;" Meal",Registered!AV709&amp;" Meals"))</f>
        <v/>
      </c>
      <c r="AX709" s="2" t="str">
        <f>IF(Registered!AI709=0,"",Registered!AI709&amp;" BG")</f>
        <v/>
      </c>
      <c r="AY709" s="2" t="str">
        <f>IF(Registered!AG709=0,"",Registered!AG709&amp;" DustMask")</f>
        <v/>
      </c>
    </row>
    <row r="710" spans="1:51" customFormat="1" x14ac:dyDescent="0.25">
      <c r="A710" t="s">
        <v>140</v>
      </c>
      <c r="B710" t="s">
        <v>4371</v>
      </c>
      <c r="C710" t="s">
        <v>6090</v>
      </c>
      <c r="D710" t="s">
        <v>4372</v>
      </c>
      <c r="F710" t="s">
        <v>261</v>
      </c>
      <c r="I710" t="s">
        <v>4373</v>
      </c>
      <c r="J710" t="s">
        <v>37</v>
      </c>
      <c r="K710" t="s">
        <v>32</v>
      </c>
      <c r="L710" t="s">
        <v>35</v>
      </c>
      <c r="Q710">
        <v>2</v>
      </c>
      <c r="R710">
        <v>3</v>
      </c>
      <c r="U710">
        <v>1</v>
      </c>
      <c r="V710">
        <v>20</v>
      </c>
      <c r="AQ710">
        <v>26</v>
      </c>
      <c r="AR710" s="3">
        <f t="shared" si="33"/>
        <v>10</v>
      </c>
      <c r="AS710" s="3">
        <f t="shared" si="34"/>
        <v>0</v>
      </c>
      <c r="AT710" s="3" t="str">
        <f>IF(OR(Registered!AM710&gt;0,Registered!AO710&gt;0),(IF(Registered!E710=0,"Size Not Specified",Registered!E710)),"")</f>
        <v/>
      </c>
      <c r="AU710" s="3" t="str">
        <f>IF(Registered!AE710=0,"",IF(Registered!AE710=1,Registered!AE710&amp;" Bandana",Registered!AE710&amp;" Bandanas"))</f>
        <v/>
      </c>
      <c r="AV710" s="3">
        <f t="shared" si="35"/>
        <v>0</v>
      </c>
      <c r="AW710" s="2" t="str">
        <f>IF(Registered!AV710=0,"",IF(Registered!AV710=1,Registered!AV710&amp;" Meal",Registered!AV710&amp;" Meals"))</f>
        <v/>
      </c>
      <c r="AX710" s="2" t="str">
        <f>IF(Registered!AI710=0,"",Registered!AI710&amp;" BG")</f>
        <v/>
      </c>
      <c r="AY710" s="2" t="str">
        <f>IF(Registered!AG710=0,"",Registered!AG710&amp;" DustMask")</f>
        <v/>
      </c>
    </row>
    <row r="711" spans="1:51" customFormat="1" x14ac:dyDescent="0.25">
      <c r="A711" t="s">
        <v>4374</v>
      </c>
      <c r="B711" t="s">
        <v>4371</v>
      </c>
      <c r="C711" t="s">
        <v>6090</v>
      </c>
      <c r="G711" t="s">
        <v>2338</v>
      </c>
      <c r="H711" t="s">
        <v>4009</v>
      </c>
      <c r="I711" t="s">
        <v>4010</v>
      </c>
      <c r="J711" t="s">
        <v>37</v>
      </c>
      <c r="K711" t="s">
        <v>32</v>
      </c>
      <c r="L711" t="s">
        <v>35</v>
      </c>
      <c r="AQ711">
        <v>0</v>
      </c>
      <c r="AR711" s="3">
        <f t="shared" si="33"/>
        <v>0</v>
      </c>
      <c r="AS711" s="3">
        <f t="shared" si="34"/>
        <v>0</v>
      </c>
      <c r="AT711" s="3" t="str">
        <f>IF(OR(Registered!AM711&gt;0,Registered!AO711&gt;0),(IF(Registered!E711=0,"Size Not Specified",Registered!E711)),"")</f>
        <v/>
      </c>
      <c r="AU711" s="3" t="str">
        <f>IF(Registered!AE711=0,"",IF(Registered!AE711=1,Registered!AE711&amp;" Bandana",Registered!AE711&amp;" Bandanas"))</f>
        <v/>
      </c>
      <c r="AV711" s="3">
        <f t="shared" si="35"/>
        <v>0</v>
      </c>
      <c r="AW711" s="2" t="str">
        <f>IF(Registered!AV711=0,"",IF(Registered!AV711=1,Registered!AV711&amp;" Meal",Registered!AV711&amp;" Meals"))</f>
        <v/>
      </c>
      <c r="AX711" s="2" t="str">
        <f>IF(Registered!AI711=0,"",Registered!AI711&amp;" BG")</f>
        <v/>
      </c>
      <c r="AY711" s="2" t="str">
        <f>IF(Registered!AG711=0,"",Registered!AG711&amp;" DustMask")</f>
        <v/>
      </c>
    </row>
    <row r="712" spans="1:51" customFormat="1" x14ac:dyDescent="0.25">
      <c r="A712" t="s">
        <v>151</v>
      </c>
      <c r="B712" t="s">
        <v>4375</v>
      </c>
      <c r="C712" t="s">
        <v>6090</v>
      </c>
      <c r="G712" t="s">
        <v>390</v>
      </c>
      <c r="H712" t="s">
        <v>3776</v>
      </c>
      <c r="I712" t="s">
        <v>3778</v>
      </c>
      <c r="J712" t="s">
        <v>37</v>
      </c>
      <c r="K712" t="s">
        <v>32</v>
      </c>
      <c r="L712" t="s">
        <v>35</v>
      </c>
      <c r="AQ712">
        <v>0</v>
      </c>
      <c r="AR712" s="3">
        <f t="shared" si="33"/>
        <v>0</v>
      </c>
      <c r="AS712" s="3">
        <f t="shared" si="34"/>
        <v>0</v>
      </c>
      <c r="AT712" s="3" t="str">
        <f>IF(OR(Registered!AM712&gt;0,Registered!AO712&gt;0),(IF(Registered!E712=0,"Size Not Specified",Registered!E712)),"")</f>
        <v/>
      </c>
      <c r="AU712" s="3" t="str">
        <f>IF(Registered!AE712=0,"",IF(Registered!AE712=1,Registered!AE712&amp;" Bandana",Registered!AE712&amp;" Bandanas"))</f>
        <v/>
      </c>
      <c r="AV712" s="3">
        <f t="shared" si="35"/>
        <v>0</v>
      </c>
      <c r="AW712" s="2" t="str">
        <f>IF(Registered!AV712=0,"",IF(Registered!AV712=1,Registered!AV712&amp;" Meal",Registered!AV712&amp;" Meals"))</f>
        <v/>
      </c>
      <c r="AX712" s="2" t="str">
        <f>IF(Registered!AI712=0,"",Registered!AI712&amp;" BG")</f>
        <v/>
      </c>
      <c r="AY712" s="2" t="str">
        <f>IF(Registered!AG712=0,"",Registered!AG712&amp;" DustMask")</f>
        <v/>
      </c>
    </row>
    <row r="713" spans="1:51" customFormat="1" x14ac:dyDescent="0.25">
      <c r="A713" t="s">
        <v>241</v>
      </c>
      <c r="B713" t="s">
        <v>4375</v>
      </c>
      <c r="C713" t="s">
        <v>6090</v>
      </c>
      <c r="G713" t="s">
        <v>390</v>
      </c>
      <c r="H713" t="s">
        <v>3776</v>
      </c>
      <c r="I713" t="s">
        <v>3778</v>
      </c>
      <c r="J713" t="s">
        <v>37</v>
      </c>
      <c r="K713" t="s">
        <v>32</v>
      </c>
      <c r="L713" t="s">
        <v>35</v>
      </c>
      <c r="AQ713">
        <v>0</v>
      </c>
      <c r="AR713" s="3">
        <f t="shared" si="33"/>
        <v>0</v>
      </c>
      <c r="AS713" s="3">
        <f t="shared" si="34"/>
        <v>0</v>
      </c>
      <c r="AT713" s="3" t="str">
        <f>IF(OR(Registered!AM713&gt;0,Registered!AO713&gt;0),(IF(Registered!E713=0,"Size Not Specified",Registered!E713)),"")</f>
        <v/>
      </c>
      <c r="AU713" s="3" t="str">
        <f>IF(Registered!AE713=0,"",IF(Registered!AE713=1,Registered!AE713&amp;" Bandana",Registered!AE713&amp;" Bandanas"))</f>
        <v/>
      </c>
      <c r="AV713" s="3">
        <f t="shared" si="35"/>
        <v>0</v>
      </c>
      <c r="AW713" s="2" t="str">
        <f>IF(Registered!AV713=0,"",IF(Registered!AV713=1,Registered!AV713&amp;" Meal",Registered!AV713&amp;" Meals"))</f>
        <v/>
      </c>
      <c r="AX713" s="2" t="str">
        <f>IF(Registered!AI713=0,"",Registered!AI713&amp;" BG")</f>
        <v/>
      </c>
      <c r="AY713" s="2" t="str">
        <f>IF(Registered!AG713=0,"",Registered!AG713&amp;" DustMask")</f>
        <v/>
      </c>
    </row>
    <row r="714" spans="1:51" customFormat="1" x14ac:dyDescent="0.25">
      <c r="A714" t="s">
        <v>100</v>
      </c>
      <c r="B714" t="s">
        <v>4376</v>
      </c>
      <c r="C714" t="s">
        <v>6090</v>
      </c>
      <c r="F714" t="s">
        <v>261</v>
      </c>
      <c r="I714" t="s">
        <v>4377</v>
      </c>
      <c r="J714" t="s">
        <v>37</v>
      </c>
      <c r="K714" t="s">
        <v>32</v>
      </c>
      <c r="L714" t="s">
        <v>35</v>
      </c>
      <c r="Q714">
        <v>1</v>
      </c>
      <c r="R714">
        <v>3</v>
      </c>
      <c r="AQ714">
        <v>3</v>
      </c>
      <c r="AR714" s="3">
        <f t="shared" si="33"/>
        <v>0</v>
      </c>
      <c r="AS714" s="3">
        <f t="shared" si="34"/>
        <v>0</v>
      </c>
      <c r="AT714" s="3" t="str">
        <f>IF(OR(Registered!AM714&gt;0,Registered!AO714&gt;0),(IF(Registered!E714=0,"Size Not Specified",Registered!E714)),"")</f>
        <v/>
      </c>
      <c r="AU714" s="3" t="str">
        <f>IF(Registered!AE714=0,"",IF(Registered!AE714=1,Registered!AE714&amp;" Bandana",Registered!AE714&amp;" Bandanas"))</f>
        <v/>
      </c>
      <c r="AV714" s="3">
        <f t="shared" si="35"/>
        <v>0</v>
      </c>
      <c r="AW714" s="2" t="str">
        <f>IF(Registered!AV714=0,"",IF(Registered!AV714=1,Registered!AV714&amp;" Meal",Registered!AV714&amp;" Meals"))</f>
        <v/>
      </c>
      <c r="AX714" s="2" t="str">
        <f>IF(Registered!AI714=0,"",Registered!AI714&amp;" BG")</f>
        <v/>
      </c>
      <c r="AY714" s="2" t="str">
        <f>IF(Registered!AG714=0,"",Registered!AG714&amp;" DustMask")</f>
        <v/>
      </c>
    </row>
    <row r="715" spans="1:51" customFormat="1" x14ac:dyDescent="0.25">
      <c r="A715" t="s">
        <v>2338</v>
      </c>
      <c r="B715" t="s">
        <v>4009</v>
      </c>
      <c r="C715" t="s">
        <v>6090</v>
      </c>
      <c r="D715" t="s">
        <v>4378</v>
      </c>
      <c r="F715" t="s">
        <v>261</v>
      </c>
      <c r="I715" t="s">
        <v>4010</v>
      </c>
      <c r="J715" t="s">
        <v>37</v>
      </c>
      <c r="K715" t="s">
        <v>32</v>
      </c>
      <c r="L715" t="s">
        <v>35</v>
      </c>
      <c r="Q715">
        <v>3</v>
      </c>
      <c r="R715">
        <v>3</v>
      </c>
      <c r="W715">
        <v>1</v>
      </c>
      <c r="X715">
        <v>40</v>
      </c>
      <c r="AQ715">
        <v>49</v>
      </c>
      <c r="AR715" s="3">
        <f t="shared" si="33"/>
        <v>20</v>
      </c>
      <c r="AS715" s="3">
        <f t="shared" si="34"/>
        <v>0</v>
      </c>
      <c r="AT715" s="3" t="str">
        <f>IF(OR(Registered!AM715&gt;0,Registered!AO715&gt;0),(IF(Registered!E715=0,"Size Not Specified",Registered!E715)),"")</f>
        <v/>
      </c>
      <c r="AU715" s="3" t="str">
        <f>IF(Registered!AE715=0,"",IF(Registered!AE715=1,Registered!AE715&amp;" Bandana",Registered!AE715&amp;" Bandanas"))</f>
        <v/>
      </c>
      <c r="AV715" s="3">
        <f t="shared" si="35"/>
        <v>0</v>
      </c>
      <c r="AW715" s="2" t="str">
        <f>IF(Registered!AV715=0,"",IF(Registered!AV715=1,Registered!AV715&amp;" Meal",Registered!AV715&amp;" Meals"))</f>
        <v/>
      </c>
      <c r="AX715" s="2" t="str">
        <f>IF(Registered!AI715=0,"",Registered!AI715&amp;" BG")</f>
        <v/>
      </c>
      <c r="AY715" s="2" t="str">
        <f>IF(Registered!AG715=0,"",Registered!AG715&amp;" DustMask")</f>
        <v/>
      </c>
    </row>
    <row r="716" spans="1:51" customFormat="1" x14ac:dyDescent="0.25">
      <c r="A716" t="s">
        <v>1233</v>
      </c>
      <c r="B716" t="s">
        <v>168</v>
      </c>
      <c r="C716" t="s">
        <v>6090</v>
      </c>
      <c r="G716" t="s">
        <v>389</v>
      </c>
      <c r="H716" t="s">
        <v>1200</v>
      </c>
      <c r="I716" t="s">
        <v>1202</v>
      </c>
      <c r="J716" t="s">
        <v>37</v>
      </c>
      <c r="K716" t="s">
        <v>32</v>
      </c>
      <c r="L716" t="s">
        <v>35</v>
      </c>
      <c r="AQ716">
        <v>0</v>
      </c>
      <c r="AR716" s="3">
        <f t="shared" si="33"/>
        <v>0</v>
      </c>
      <c r="AS716" s="3">
        <f t="shared" si="34"/>
        <v>0</v>
      </c>
      <c r="AT716" s="3" t="str">
        <f>IF(OR(Registered!AM716&gt;0,Registered!AO716&gt;0),(IF(Registered!E716=0,"Size Not Specified",Registered!E716)),"")</f>
        <v/>
      </c>
      <c r="AU716" s="3" t="str">
        <f>IF(Registered!AE716=0,"",IF(Registered!AE716=1,Registered!AE716&amp;" Bandana",Registered!AE716&amp;" Bandanas"))</f>
        <v/>
      </c>
      <c r="AV716" s="3">
        <f t="shared" si="35"/>
        <v>0</v>
      </c>
      <c r="AW716" s="2" t="str">
        <f>IF(Registered!AV716=0,"",IF(Registered!AV716=1,Registered!AV716&amp;" Meal",Registered!AV716&amp;" Meals"))</f>
        <v/>
      </c>
      <c r="AX716" s="2" t="str">
        <f>IF(Registered!AI716=0,"",Registered!AI716&amp;" BG")</f>
        <v/>
      </c>
      <c r="AY716" s="2" t="str">
        <f>IF(Registered!AG716=0,"",Registered!AG716&amp;" DustMask")</f>
        <v/>
      </c>
    </row>
    <row r="717" spans="1:51" customFormat="1" x14ac:dyDescent="0.25">
      <c r="A717" t="s">
        <v>184</v>
      </c>
      <c r="B717" t="s">
        <v>1234</v>
      </c>
      <c r="C717" t="s">
        <v>6090</v>
      </c>
      <c r="G717" t="s">
        <v>1235</v>
      </c>
      <c r="H717" t="s">
        <v>1236</v>
      </c>
      <c r="I717" t="s">
        <v>2949</v>
      </c>
      <c r="J717" t="s">
        <v>37</v>
      </c>
      <c r="K717" t="s">
        <v>32</v>
      </c>
      <c r="L717" t="s">
        <v>35</v>
      </c>
      <c r="AQ717">
        <v>0</v>
      </c>
      <c r="AR717" s="3">
        <f t="shared" si="33"/>
        <v>0</v>
      </c>
      <c r="AS717" s="3">
        <f t="shared" si="34"/>
        <v>0</v>
      </c>
      <c r="AT717" s="3" t="str">
        <f>IF(OR(Registered!AM717&gt;0,Registered!AO717&gt;0),(IF(Registered!E717=0,"Size Not Specified",Registered!E717)),"")</f>
        <v/>
      </c>
      <c r="AU717" s="3" t="str">
        <f>IF(Registered!AE717=0,"",IF(Registered!AE717=1,Registered!AE717&amp;" Bandana",Registered!AE717&amp;" Bandanas"))</f>
        <v/>
      </c>
      <c r="AV717" s="3">
        <f t="shared" si="35"/>
        <v>0</v>
      </c>
      <c r="AW717" s="2" t="str">
        <f>IF(Registered!AV717=0,"",IF(Registered!AV717=1,Registered!AV717&amp;" Meal",Registered!AV717&amp;" Meals"))</f>
        <v/>
      </c>
      <c r="AX717" s="2" t="str">
        <f>IF(Registered!AI717=0,"",Registered!AI717&amp;" BG")</f>
        <v/>
      </c>
      <c r="AY717" s="2" t="str">
        <f>IF(Registered!AG717=0,"",Registered!AG717&amp;" DustMask")</f>
        <v/>
      </c>
    </row>
    <row r="718" spans="1:51" customFormat="1" x14ac:dyDescent="0.25">
      <c r="A718" t="s">
        <v>100</v>
      </c>
      <c r="B718" t="s">
        <v>4019</v>
      </c>
      <c r="C718" t="s">
        <v>6090</v>
      </c>
      <c r="D718" t="s">
        <v>4382</v>
      </c>
      <c r="F718" t="s">
        <v>261</v>
      </c>
      <c r="I718" t="s">
        <v>4020</v>
      </c>
      <c r="J718" t="s">
        <v>37</v>
      </c>
      <c r="K718" t="s">
        <v>32</v>
      </c>
      <c r="L718" t="s">
        <v>35</v>
      </c>
      <c r="Q718">
        <v>3</v>
      </c>
      <c r="R718">
        <v>3</v>
      </c>
      <c r="U718">
        <v>1</v>
      </c>
      <c r="V718">
        <v>20</v>
      </c>
      <c r="AQ718">
        <v>29</v>
      </c>
      <c r="AR718" s="3">
        <f t="shared" si="33"/>
        <v>10</v>
      </c>
      <c r="AS718" s="3">
        <f t="shared" si="34"/>
        <v>0</v>
      </c>
      <c r="AT718" s="3" t="str">
        <f>IF(OR(Registered!AM718&gt;0,Registered!AO718&gt;0),(IF(Registered!E718=0,"Size Not Specified",Registered!E718)),"")</f>
        <v/>
      </c>
      <c r="AU718" s="3" t="str">
        <f>IF(Registered!AE718=0,"",IF(Registered!AE718=1,Registered!AE718&amp;" Bandana",Registered!AE718&amp;" Bandanas"))</f>
        <v/>
      </c>
      <c r="AV718" s="3">
        <f t="shared" si="35"/>
        <v>0</v>
      </c>
      <c r="AW718" s="2" t="str">
        <f>IF(Registered!AV718=0,"",IF(Registered!AV718=1,Registered!AV718&amp;" Meal",Registered!AV718&amp;" Meals"))</f>
        <v/>
      </c>
      <c r="AX718" s="2" t="str">
        <f>IF(Registered!AI718=0,"",Registered!AI718&amp;" BG")</f>
        <v/>
      </c>
      <c r="AY718" s="2" t="str">
        <f>IF(Registered!AG718=0,"",Registered!AG718&amp;" DustMask")</f>
        <v/>
      </c>
    </row>
    <row r="719" spans="1:51" customFormat="1" x14ac:dyDescent="0.25">
      <c r="A719" t="s">
        <v>137</v>
      </c>
      <c r="B719" t="s">
        <v>1237</v>
      </c>
      <c r="C719" t="s">
        <v>6090</v>
      </c>
      <c r="F719" t="s">
        <v>261</v>
      </c>
      <c r="I719" t="s">
        <v>1238</v>
      </c>
      <c r="J719" t="s">
        <v>37</v>
      </c>
      <c r="K719" t="s">
        <v>32</v>
      </c>
      <c r="L719" t="s">
        <v>35</v>
      </c>
      <c r="Q719">
        <v>1</v>
      </c>
      <c r="R719">
        <v>3</v>
      </c>
      <c r="AQ719">
        <v>3</v>
      </c>
      <c r="AR719" s="3">
        <f t="shared" si="33"/>
        <v>0</v>
      </c>
      <c r="AS719" s="3">
        <f t="shared" si="34"/>
        <v>0</v>
      </c>
      <c r="AT719" s="3" t="str">
        <f>IF(OR(Registered!AM719&gt;0,Registered!AO719&gt;0),(IF(Registered!E719=0,"Size Not Specified",Registered!E719)),"")</f>
        <v/>
      </c>
      <c r="AU719" s="3" t="str">
        <f>IF(Registered!AE719=0,"",IF(Registered!AE719=1,Registered!AE719&amp;" Bandana",Registered!AE719&amp;" Bandanas"))</f>
        <v/>
      </c>
      <c r="AV719" s="3">
        <f t="shared" si="35"/>
        <v>0</v>
      </c>
      <c r="AW719" s="2" t="str">
        <f>IF(Registered!AV719=0,"",IF(Registered!AV719=1,Registered!AV719&amp;" Meal",Registered!AV719&amp;" Meals"))</f>
        <v/>
      </c>
      <c r="AX719" s="2" t="str">
        <f>IF(Registered!AI719=0,"",Registered!AI719&amp;" BG")</f>
        <v/>
      </c>
      <c r="AY719" s="2" t="str">
        <f>IF(Registered!AG719=0,"",Registered!AG719&amp;" DustMask")</f>
        <v/>
      </c>
    </row>
    <row r="720" spans="1:51" customFormat="1" x14ac:dyDescent="0.25">
      <c r="A720" t="s">
        <v>187</v>
      </c>
      <c r="B720" t="s">
        <v>455</v>
      </c>
      <c r="C720" t="s">
        <v>6090</v>
      </c>
      <c r="G720" t="s">
        <v>81</v>
      </c>
      <c r="H720" t="s">
        <v>455</v>
      </c>
      <c r="I720" t="s">
        <v>4383</v>
      </c>
      <c r="J720" t="s">
        <v>37</v>
      </c>
      <c r="K720" t="s">
        <v>32</v>
      </c>
      <c r="L720" t="s">
        <v>35</v>
      </c>
      <c r="AQ720">
        <v>0</v>
      </c>
      <c r="AR720" s="3">
        <f t="shared" si="33"/>
        <v>0</v>
      </c>
      <c r="AS720" s="3">
        <f t="shared" si="34"/>
        <v>0</v>
      </c>
      <c r="AT720" s="3" t="str">
        <f>IF(OR(Registered!AM720&gt;0,Registered!AO720&gt;0),(IF(Registered!E720=0,"Size Not Specified",Registered!E720)),"")</f>
        <v/>
      </c>
      <c r="AU720" s="3" t="str">
        <f>IF(Registered!AE720=0,"",IF(Registered!AE720=1,Registered!AE720&amp;" Bandana",Registered!AE720&amp;" Bandanas"))</f>
        <v/>
      </c>
      <c r="AV720" s="3">
        <f t="shared" si="35"/>
        <v>0</v>
      </c>
      <c r="AW720" s="2" t="str">
        <f>IF(Registered!AV720=0,"",IF(Registered!AV720=1,Registered!AV720&amp;" Meal",Registered!AV720&amp;" Meals"))</f>
        <v/>
      </c>
      <c r="AX720" s="2" t="str">
        <f>IF(Registered!AI720=0,"",Registered!AI720&amp;" BG")</f>
        <v/>
      </c>
      <c r="AY720" s="2" t="str">
        <f>IF(Registered!AG720=0,"",Registered!AG720&amp;" DustMask")</f>
        <v/>
      </c>
    </row>
    <row r="721" spans="1:51" customFormat="1" x14ac:dyDescent="0.25">
      <c r="A721" t="s">
        <v>457</v>
      </c>
      <c r="B721" t="s">
        <v>455</v>
      </c>
      <c r="C721" t="s">
        <v>6090</v>
      </c>
      <c r="G721" t="s">
        <v>159</v>
      </c>
      <c r="H721" t="s">
        <v>455</v>
      </c>
      <c r="I721" t="s">
        <v>1239</v>
      </c>
      <c r="J721" t="s">
        <v>37</v>
      </c>
      <c r="K721" t="s">
        <v>32</v>
      </c>
      <c r="L721" t="s">
        <v>35</v>
      </c>
      <c r="AQ721">
        <v>0</v>
      </c>
      <c r="AR721" s="3">
        <f t="shared" si="33"/>
        <v>0</v>
      </c>
      <c r="AS721" s="3">
        <f t="shared" si="34"/>
        <v>0</v>
      </c>
      <c r="AT721" s="3" t="str">
        <f>IF(OR(Registered!AM721&gt;0,Registered!AO721&gt;0),(IF(Registered!E721=0,"Size Not Specified",Registered!E721)),"")</f>
        <v/>
      </c>
      <c r="AU721" s="3" t="str">
        <f>IF(Registered!AE721=0,"",IF(Registered!AE721=1,Registered!AE721&amp;" Bandana",Registered!AE721&amp;" Bandanas"))</f>
        <v/>
      </c>
      <c r="AV721" s="3">
        <f t="shared" si="35"/>
        <v>0</v>
      </c>
      <c r="AW721" s="2" t="str">
        <f>IF(Registered!AV721=0,"",IF(Registered!AV721=1,Registered!AV721&amp;" Meal",Registered!AV721&amp;" Meals"))</f>
        <v/>
      </c>
      <c r="AX721" s="2" t="str">
        <f>IF(Registered!AI721=0,"",Registered!AI721&amp;" BG")</f>
        <v/>
      </c>
      <c r="AY721" s="2" t="str">
        <f>IF(Registered!AG721=0,"",Registered!AG721&amp;" DustMask")</f>
        <v/>
      </c>
    </row>
    <row r="722" spans="1:51" customFormat="1" x14ac:dyDescent="0.25">
      <c r="A722" t="s">
        <v>390</v>
      </c>
      <c r="B722" t="s">
        <v>455</v>
      </c>
      <c r="C722" t="s">
        <v>6090</v>
      </c>
      <c r="G722" t="s">
        <v>317</v>
      </c>
      <c r="H722" t="s">
        <v>1240</v>
      </c>
      <c r="I722" t="s">
        <v>1241</v>
      </c>
      <c r="J722" t="s">
        <v>37</v>
      </c>
      <c r="K722" t="s">
        <v>32</v>
      </c>
      <c r="L722" t="s">
        <v>35</v>
      </c>
      <c r="AQ722">
        <v>0</v>
      </c>
      <c r="AR722" s="3">
        <f t="shared" si="33"/>
        <v>0</v>
      </c>
      <c r="AS722" s="3">
        <f t="shared" si="34"/>
        <v>0</v>
      </c>
      <c r="AT722" s="3" t="str">
        <f>IF(OR(Registered!AM722&gt;0,Registered!AO722&gt;0),(IF(Registered!E722=0,"Size Not Specified",Registered!E722)),"")</f>
        <v/>
      </c>
      <c r="AU722" s="3" t="str">
        <f>IF(Registered!AE722=0,"",IF(Registered!AE722=1,Registered!AE722&amp;" Bandana",Registered!AE722&amp;" Bandanas"))</f>
        <v/>
      </c>
      <c r="AV722" s="3">
        <f t="shared" si="35"/>
        <v>0</v>
      </c>
      <c r="AW722" s="2" t="str">
        <f>IF(Registered!AV722=0,"",IF(Registered!AV722=1,Registered!AV722&amp;" Meal",Registered!AV722&amp;" Meals"))</f>
        <v/>
      </c>
      <c r="AX722" s="2" t="str">
        <f>IF(Registered!AI722=0,"",Registered!AI722&amp;" BG")</f>
        <v/>
      </c>
      <c r="AY722" s="2" t="str">
        <f>IF(Registered!AG722=0,"",Registered!AG722&amp;" DustMask")</f>
        <v/>
      </c>
    </row>
    <row r="723" spans="1:51" customFormat="1" x14ac:dyDescent="0.25">
      <c r="A723" t="s">
        <v>130</v>
      </c>
      <c r="B723" t="s">
        <v>455</v>
      </c>
      <c r="C723" t="s">
        <v>6090</v>
      </c>
      <c r="D723" t="s">
        <v>4384</v>
      </c>
      <c r="F723" t="s">
        <v>261</v>
      </c>
      <c r="I723" t="s">
        <v>3769</v>
      </c>
      <c r="J723" t="s">
        <v>37</v>
      </c>
      <c r="K723" t="s">
        <v>32</v>
      </c>
      <c r="L723" t="s">
        <v>35</v>
      </c>
      <c r="Q723">
        <v>2</v>
      </c>
      <c r="R723">
        <v>3</v>
      </c>
      <c r="U723">
        <v>1</v>
      </c>
      <c r="V723">
        <v>20</v>
      </c>
      <c r="AQ723">
        <v>26</v>
      </c>
      <c r="AR723" s="3">
        <f t="shared" si="33"/>
        <v>10</v>
      </c>
      <c r="AS723" s="3">
        <f t="shared" si="34"/>
        <v>0</v>
      </c>
      <c r="AT723" s="3" t="str">
        <f>IF(OR(Registered!AM723&gt;0,Registered!AO723&gt;0),(IF(Registered!E723=0,"Size Not Specified",Registered!E723)),"")</f>
        <v/>
      </c>
      <c r="AU723" s="3" t="str">
        <f>IF(Registered!AE723=0,"",IF(Registered!AE723=1,Registered!AE723&amp;" Bandana",Registered!AE723&amp;" Bandanas"))</f>
        <v/>
      </c>
      <c r="AV723" s="3">
        <f t="shared" si="35"/>
        <v>0</v>
      </c>
      <c r="AW723" s="2" t="str">
        <f>IF(Registered!AV723=0,"",IF(Registered!AV723=1,Registered!AV723&amp;" Meal",Registered!AV723&amp;" Meals"))</f>
        <v/>
      </c>
      <c r="AX723" s="2" t="str">
        <f>IF(Registered!AI723=0,"",Registered!AI723&amp;" BG")</f>
        <v/>
      </c>
      <c r="AY723" s="2" t="str">
        <f>IF(Registered!AG723=0,"",Registered!AG723&amp;" DustMask")</f>
        <v/>
      </c>
    </row>
    <row r="724" spans="1:51" customFormat="1" x14ac:dyDescent="0.25">
      <c r="A724" t="s">
        <v>328</v>
      </c>
      <c r="B724" t="s">
        <v>455</v>
      </c>
      <c r="C724" t="s">
        <v>6090</v>
      </c>
      <c r="G724" t="s">
        <v>81</v>
      </c>
      <c r="H724" t="s">
        <v>455</v>
      </c>
      <c r="I724" t="s">
        <v>4383</v>
      </c>
      <c r="J724" t="s">
        <v>37</v>
      </c>
      <c r="K724" t="s">
        <v>32</v>
      </c>
      <c r="L724" t="s">
        <v>35</v>
      </c>
      <c r="AQ724">
        <v>0</v>
      </c>
      <c r="AR724" s="3">
        <f t="shared" si="33"/>
        <v>0</v>
      </c>
      <c r="AS724" s="3">
        <f t="shared" si="34"/>
        <v>0</v>
      </c>
      <c r="AT724" s="3" t="str">
        <f>IF(OR(Registered!AM724&gt;0,Registered!AO724&gt;0),(IF(Registered!E724=0,"Size Not Specified",Registered!E724)),"")</f>
        <v/>
      </c>
      <c r="AU724" s="3" t="str">
        <f>IF(Registered!AE724=0,"",IF(Registered!AE724=1,Registered!AE724&amp;" Bandana",Registered!AE724&amp;" Bandanas"))</f>
        <v/>
      </c>
      <c r="AV724" s="3">
        <f t="shared" si="35"/>
        <v>0</v>
      </c>
      <c r="AW724" s="2" t="str">
        <f>IF(Registered!AV724=0,"",IF(Registered!AV724=1,Registered!AV724&amp;" Meal",Registered!AV724&amp;" Meals"))</f>
        <v/>
      </c>
      <c r="AX724" s="2" t="str">
        <f>IF(Registered!AI724=0,"",Registered!AI724&amp;" BG")</f>
        <v/>
      </c>
      <c r="AY724" s="2" t="str">
        <f>IF(Registered!AG724=0,"",Registered!AG724&amp;" DustMask")</f>
        <v/>
      </c>
    </row>
    <row r="725" spans="1:51" customFormat="1" x14ac:dyDescent="0.25">
      <c r="A725" t="s">
        <v>81</v>
      </c>
      <c r="B725" t="s">
        <v>455</v>
      </c>
      <c r="C725" t="s">
        <v>6090</v>
      </c>
      <c r="D725" t="s">
        <v>4385</v>
      </c>
      <c r="F725" t="s">
        <v>261</v>
      </c>
      <c r="I725" t="s">
        <v>4383</v>
      </c>
      <c r="J725" t="s">
        <v>37</v>
      </c>
      <c r="K725" t="s">
        <v>32</v>
      </c>
      <c r="L725" t="s">
        <v>35</v>
      </c>
      <c r="Q725">
        <v>3</v>
      </c>
      <c r="R725">
        <v>3</v>
      </c>
      <c r="U725">
        <v>1</v>
      </c>
      <c r="V725">
        <v>20</v>
      </c>
      <c r="AQ725">
        <v>29</v>
      </c>
      <c r="AR725" s="3">
        <f t="shared" si="33"/>
        <v>10</v>
      </c>
      <c r="AS725" s="3">
        <f t="shared" si="34"/>
        <v>0</v>
      </c>
      <c r="AT725" s="3" t="str">
        <f>IF(OR(Registered!AM725&gt;0,Registered!AO725&gt;0),(IF(Registered!E725=0,"Size Not Specified",Registered!E725)),"")</f>
        <v/>
      </c>
      <c r="AU725" s="3" t="str">
        <f>IF(Registered!AE725=0,"",IF(Registered!AE725=1,Registered!AE725&amp;" Bandana",Registered!AE725&amp;" Bandanas"))</f>
        <v/>
      </c>
      <c r="AV725" s="3">
        <f t="shared" si="35"/>
        <v>0</v>
      </c>
      <c r="AW725" s="2" t="str">
        <f>IF(Registered!AV725=0,"",IF(Registered!AV725=1,Registered!AV725&amp;" Meal",Registered!AV725&amp;" Meals"))</f>
        <v/>
      </c>
      <c r="AX725" s="2" t="str">
        <f>IF(Registered!AI725=0,"",Registered!AI725&amp;" BG")</f>
        <v/>
      </c>
      <c r="AY725" s="2" t="str">
        <f>IF(Registered!AG725=0,"",Registered!AG725&amp;" DustMask")</f>
        <v/>
      </c>
    </row>
    <row r="726" spans="1:51" customFormat="1" x14ac:dyDescent="0.25">
      <c r="A726" t="s">
        <v>159</v>
      </c>
      <c r="B726" t="s">
        <v>455</v>
      </c>
      <c r="C726" t="s">
        <v>6090</v>
      </c>
      <c r="F726" t="s">
        <v>261</v>
      </c>
      <c r="I726" t="s">
        <v>1239</v>
      </c>
      <c r="J726" t="s">
        <v>37</v>
      </c>
      <c r="K726" t="s">
        <v>32</v>
      </c>
      <c r="L726" t="s">
        <v>35</v>
      </c>
      <c r="S726">
        <v>2</v>
      </c>
      <c r="T726">
        <v>3</v>
      </c>
      <c r="AQ726">
        <v>6</v>
      </c>
      <c r="AR726" s="3">
        <f t="shared" si="33"/>
        <v>0</v>
      </c>
      <c r="AS726" s="3">
        <f t="shared" si="34"/>
        <v>0</v>
      </c>
      <c r="AT726" s="3" t="str">
        <f>IF(OR(Registered!AM726&gt;0,Registered!AO726&gt;0),(IF(Registered!E726=0,"Size Not Specified",Registered!E726)),"")</f>
        <v/>
      </c>
      <c r="AU726" s="3" t="str">
        <f>IF(Registered!AE726=0,"",IF(Registered!AE726=1,Registered!AE726&amp;" Bandana",Registered!AE726&amp;" Bandanas"))</f>
        <v/>
      </c>
      <c r="AV726" s="3">
        <f t="shared" si="35"/>
        <v>0</v>
      </c>
      <c r="AW726" s="2" t="str">
        <f>IF(Registered!AV726=0,"",IF(Registered!AV726=1,Registered!AV726&amp;" Meal",Registered!AV726&amp;" Meals"))</f>
        <v/>
      </c>
      <c r="AX726" s="2" t="str">
        <f>IF(Registered!AI726=0,"",Registered!AI726&amp;" BG")</f>
        <v/>
      </c>
      <c r="AY726" s="2" t="str">
        <f>IF(Registered!AG726=0,"",Registered!AG726&amp;" DustMask")</f>
        <v/>
      </c>
    </row>
    <row r="727" spans="1:51" customFormat="1" x14ac:dyDescent="0.25">
      <c r="A727" t="s">
        <v>4069</v>
      </c>
      <c r="B727" t="s">
        <v>4070</v>
      </c>
      <c r="C727" t="s">
        <v>6090</v>
      </c>
      <c r="D727" t="s">
        <v>4386</v>
      </c>
      <c r="F727" t="s">
        <v>261</v>
      </c>
      <c r="I727" t="s">
        <v>4071</v>
      </c>
      <c r="J727" t="s">
        <v>37</v>
      </c>
      <c r="K727" t="s">
        <v>32</v>
      </c>
      <c r="L727" t="s">
        <v>35</v>
      </c>
      <c r="Q727">
        <v>3</v>
      </c>
      <c r="R727">
        <v>3</v>
      </c>
      <c r="AC727">
        <v>1</v>
      </c>
      <c r="AD727">
        <v>10</v>
      </c>
      <c r="AQ727">
        <v>19</v>
      </c>
      <c r="AR727" s="3">
        <f t="shared" si="33"/>
        <v>5</v>
      </c>
      <c r="AS727" s="3">
        <f t="shared" si="34"/>
        <v>0</v>
      </c>
      <c r="AT727" s="3" t="str">
        <f>IF(OR(Registered!AM727&gt;0,Registered!AO727&gt;0),(IF(Registered!E727=0,"Size Not Specified",Registered!E727)),"")</f>
        <v/>
      </c>
      <c r="AU727" s="3" t="str">
        <f>IF(Registered!AE727=0,"",IF(Registered!AE727=1,Registered!AE727&amp;" Bandana",Registered!AE727&amp;" Bandanas"))</f>
        <v/>
      </c>
      <c r="AV727" s="3">
        <f t="shared" si="35"/>
        <v>0</v>
      </c>
      <c r="AW727" s="2" t="str">
        <f>IF(Registered!AV727=0,"",IF(Registered!AV727=1,Registered!AV727&amp;" Meal",Registered!AV727&amp;" Meals"))</f>
        <v/>
      </c>
      <c r="AX727" s="2" t="str">
        <f>IF(Registered!AI727=0,"",Registered!AI727&amp;" BG")</f>
        <v/>
      </c>
      <c r="AY727" s="2" t="str">
        <f>IF(Registered!AG727=0,"",Registered!AG727&amp;" DustMask")</f>
        <v/>
      </c>
    </row>
    <row r="728" spans="1:51" customFormat="1" x14ac:dyDescent="0.25">
      <c r="A728" t="s">
        <v>420</v>
      </c>
      <c r="B728" t="s">
        <v>964</v>
      </c>
      <c r="C728" t="s">
        <v>6090</v>
      </c>
      <c r="D728" t="s">
        <v>1243</v>
      </c>
      <c r="E728" t="s">
        <v>1244</v>
      </c>
      <c r="F728" t="s">
        <v>261</v>
      </c>
      <c r="I728" t="s">
        <v>965</v>
      </c>
      <c r="J728" t="s">
        <v>37</v>
      </c>
      <c r="K728" t="s">
        <v>32</v>
      </c>
      <c r="L728" t="s">
        <v>35</v>
      </c>
      <c r="S728">
        <v>2</v>
      </c>
      <c r="T728">
        <v>3</v>
      </c>
      <c r="W728">
        <v>1</v>
      </c>
      <c r="X728">
        <v>40</v>
      </c>
      <c r="AE728">
        <v>2</v>
      </c>
      <c r="AF728">
        <v>6</v>
      </c>
      <c r="AM728">
        <v>2</v>
      </c>
      <c r="AN728">
        <v>25</v>
      </c>
      <c r="AQ728">
        <v>108</v>
      </c>
      <c r="AR728" s="3">
        <f t="shared" si="33"/>
        <v>30</v>
      </c>
      <c r="AS728" s="3">
        <f t="shared" si="34"/>
        <v>2</v>
      </c>
      <c r="AT728" s="3" t="str">
        <f>IF(OR(Registered!AM728&gt;0,Registered!AO728&gt;0),(IF(Registered!E728=0,"Size Not Specified",Registered!E728)),"")</f>
        <v>xl and l</v>
      </c>
      <c r="AU728" s="3" t="str">
        <f>IF(Registered!AE728=0,"",IF(Registered!AE728=1,Registered!AE728&amp;" Bandana",Registered!AE728&amp;" Bandanas"))</f>
        <v>2 Bandanas</v>
      </c>
      <c r="AV728" s="3">
        <f t="shared" si="35"/>
        <v>2</v>
      </c>
      <c r="AW728" s="2" t="str">
        <f>IF(Registered!AV728=0,"",IF(Registered!AV728=1,Registered!AV728&amp;" Meal",Registered!AV728&amp;" Meals"))</f>
        <v>2 Meals</v>
      </c>
      <c r="AX728" s="2" t="str">
        <f>IF(Registered!AI728=0,"",Registered!AI728&amp;" BG")</f>
        <v/>
      </c>
      <c r="AY728" s="2" t="str">
        <f>IF(Registered!AG728=0,"",Registered!AG728&amp;" DustMask")</f>
        <v/>
      </c>
    </row>
    <row r="729" spans="1:51" customFormat="1" x14ac:dyDescent="0.25">
      <c r="A729" t="s">
        <v>294</v>
      </c>
      <c r="B729" t="s">
        <v>4387</v>
      </c>
      <c r="C729" t="s">
        <v>6090</v>
      </c>
      <c r="G729" t="s">
        <v>3245</v>
      </c>
      <c r="H729" t="s">
        <v>1950</v>
      </c>
      <c r="I729" t="s">
        <v>3800</v>
      </c>
      <c r="J729" t="s">
        <v>37</v>
      </c>
      <c r="K729" t="s">
        <v>32</v>
      </c>
      <c r="L729" t="s">
        <v>35</v>
      </c>
      <c r="AQ729">
        <v>0</v>
      </c>
      <c r="AR729" s="3">
        <f t="shared" si="33"/>
        <v>0</v>
      </c>
      <c r="AS729" s="3">
        <f t="shared" si="34"/>
        <v>0</v>
      </c>
      <c r="AT729" s="3" t="str">
        <f>IF(OR(Registered!AM729&gt;0,Registered!AO729&gt;0),(IF(Registered!E729=0,"Size Not Specified",Registered!E729)),"")</f>
        <v/>
      </c>
      <c r="AU729" s="3" t="str">
        <f>IF(Registered!AE729=0,"",IF(Registered!AE729=1,Registered!AE729&amp;" Bandana",Registered!AE729&amp;" Bandanas"))</f>
        <v/>
      </c>
      <c r="AV729" s="3">
        <f t="shared" si="35"/>
        <v>0</v>
      </c>
      <c r="AW729" s="2" t="str">
        <f>IF(Registered!AV729=0,"",IF(Registered!AV729=1,Registered!AV729&amp;" Meal",Registered!AV729&amp;" Meals"))</f>
        <v/>
      </c>
      <c r="AX729" s="2" t="str">
        <f>IF(Registered!AI729=0,"",Registered!AI729&amp;" BG")</f>
        <v/>
      </c>
      <c r="AY729" s="2" t="str">
        <f>IF(Registered!AG729=0,"",Registered!AG729&amp;" DustMask")</f>
        <v/>
      </c>
    </row>
    <row r="730" spans="1:51" customFormat="1" x14ac:dyDescent="0.25">
      <c r="A730" t="s">
        <v>288</v>
      </c>
      <c r="B730" t="s">
        <v>4388</v>
      </c>
      <c r="C730" t="s">
        <v>6090</v>
      </c>
      <c r="G730" t="s">
        <v>142</v>
      </c>
      <c r="H730" t="s">
        <v>4388</v>
      </c>
      <c r="I730" t="s">
        <v>4389</v>
      </c>
      <c r="J730" t="s">
        <v>37</v>
      </c>
      <c r="K730" t="s">
        <v>32</v>
      </c>
      <c r="L730" t="s">
        <v>35</v>
      </c>
      <c r="AQ730">
        <v>0</v>
      </c>
      <c r="AR730" s="3">
        <f t="shared" si="33"/>
        <v>0</v>
      </c>
      <c r="AS730" s="3">
        <f t="shared" si="34"/>
        <v>0</v>
      </c>
      <c r="AT730" s="3" t="str">
        <f>IF(OR(Registered!AM730&gt;0,Registered!AO730&gt;0),(IF(Registered!E730=0,"Size Not Specified",Registered!E730)),"")</f>
        <v/>
      </c>
      <c r="AU730" s="3" t="str">
        <f>IF(Registered!AE730=0,"",IF(Registered!AE730=1,Registered!AE730&amp;" Bandana",Registered!AE730&amp;" Bandanas"))</f>
        <v/>
      </c>
      <c r="AV730" s="3">
        <f t="shared" si="35"/>
        <v>0</v>
      </c>
      <c r="AW730" s="2" t="str">
        <f>IF(Registered!AV730=0,"",IF(Registered!AV730=1,Registered!AV730&amp;" Meal",Registered!AV730&amp;" Meals"))</f>
        <v/>
      </c>
      <c r="AX730" s="2" t="str">
        <f>IF(Registered!AI730=0,"",Registered!AI730&amp;" BG")</f>
        <v/>
      </c>
      <c r="AY730" s="2" t="str">
        <f>IF(Registered!AG730=0,"",Registered!AG730&amp;" DustMask")</f>
        <v/>
      </c>
    </row>
    <row r="731" spans="1:51" customFormat="1" x14ac:dyDescent="0.25">
      <c r="A731" t="s">
        <v>260</v>
      </c>
      <c r="B731" t="s">
        <v>4388</v>
      </c>
      <c r="C731" t="s">
        <v>6090</v>
      </c>
      <c r="G731" t="s">
        <v>142</v>
      </c>
      <c r="H731" t="s">
        <v>4388</v>
      </c>
      <c r="I731" t="s">
        <v>4389</v>
      </c>
      <c r="J731" t="s">
        <v>37</v>
      </c>
      <c r="K731" t="s">
        <v>32</v>
      </c>
      <c r="L731" t="s">
        <v>35</v>
      </c>
      <c r="AQ731">
        <v>0</v>
      </c>
      <c r="AR731" s="3">
        <f t="shared" si="33"/>
        <v>0</v>
      </c>
      <c r="AS731" s="3">
        <f t="shared" si="34"/>
        <v>0</v>
      </c>
      <c r="AT731" s="3" t="str">
        <f>IF(OR(Registered!AM731&gt;0,Registered!AO731&gt;0),(IF(Registered!E731=0,"Size Not Specified",Registered!E731)),"")</f>
        <v/>
      </c>
      <c r="AU731" s="3" t="str">
        <f>IF(Registered!AE731=0,"",IF(Registered!AE731=1,Registered!AE731&amp;" Bandana",Registered!AE731&amp;" Bandanas"))</f>
        <v/>
      </c>
      <c r="AV731" s="3">
        <f t="shared" si="35"/>
        <v>0</v>
      </c>
      <c r="AW731" s="2" t="str">
        <f>IF(Registered!AV731=0,"",IF(Registered!AV731=1,Registered!AV731&amp;" Meal",Registered!AV731&amp;" Meals"))</f>
        <v/>
      </c>
      <c r="AX731" s="2" t="str">
        <f>IF(Registered!AI731=0,"",Registered!AI731&amp;" BG")</f>
        <v/>
      </c>
      <c r="AY731" s="2" t="str">
        <f>IF(Registered!AG731=0,"",Registered!AG731&amp;" DustMask")</f>
        <v/>
      </c>
    </row>
    <row r="732" spans="1:51" customFormat="1" x14ac:dyDescent="0.25">
      <c r="A732" t="s">
        <v>203</v>
      </c>
      <c r="B732" t="s">
        <v>4388</v>
      </c>
      <c r="C732" t="s">
        <v>6090</v>
      </c>
      <c r="G732" t="s">
        <v>142</v>
      </c>
      <c r="H732" t="s">
        <v>4388</v>
      </c>
      <c r="I732" t="s">
        <v>4389</v>
      </c>
      <c r="J732" t="s">
        <v>37</v>
      </c>
      <c r="K732" t="s">
        <v>32</v>
      </c>
      <c r="L732" t="s">
        <v>35</v>
      </c>
      <c r="AQ732">
        <v>0</v>
      </c>
      <c r="AR732" s="3">
        <f t="shared" si="33"/>
        <v>0</v>
      </c>
      <c r="AS732" s="3">
        <f t="shared" si="34"/>
        <v>0</v>
      </c>
      <c r="AT732" s="3" t="str">
        <f>IF(OR(Registered!AM732&gt;0,Registered!AO732&gt;0),(IF(Registered!E732=0,"Size Not Specified",Registered!E732)),"")</f>
        <v/>
      </c>
      <c r="AU732" s="3" t="str">
        <f>IF(Registered!AE732=0,"",IF(Registered!AE732=1,Registered!AE732&amp;" Bandana",Registered!AE732&amp;" Bandanas"))</f>
        <v/>
      </c>
      <c r="AV732" s="3">
        <f t="shared" si="35"/>
        <v>0</v>
      </c>
      <c r="AW732" s="2" t="str">
        <f>IF(Registered!AV732=0,"",IF(Registered!AV732=1,Registered!AV732&amp;" Meal",Registered!AV732&amp;" Meals"))</f>
        <v/>
      </c>
      <c r="AX732" s="2" t="str">
        <f>IF(Registered!AI732=0,"",Registered!AI732&amp;" BG")</f>
        <v/>
      </c>
      <c r="AY732" s="2" t="str">
        <f>IF(Registered!AG732=0,"",Registered!AG732&amp;" DustMask")</f>
        <v/>
      </c>
    </row>
    <row r="733" spans="1:51" customFormat="1" x14ac:dyDescent="0.25">
      <c r="A733" t="s">
        <v>4390</v>
      </c>
      <c r="B733" t="s">
        <v>4388</v>
      </c>
      <c r="C733" t="s">
        <v>6090</v>
      </c>
      <c r="G733" t="s">
        <v>142</v>
      </c>
      <c r="H733" t="s">
        <v>4388</v>
      </c>
      <c r="I733" t="s">
        <v>4389</v>
      </c>
      <c r="J733" t="s">
        <v>37</v>
      </c>
      <c r="K733" t="s">
        <v>32</v>
      </c>
      <c r="L733" t="s">
        <v>35</v>
      </c>
      <c r="AQ733">
        <v>0</v>
      </c>
      <c r="AR733" s="3">
        <f t="shared" si="33"/>
        <v>0</v>
      </c>
      <c r="AS733" s="3">
        <f t="shared" si="34"/>
        <v>0</v>
      </c>
      <c r="AT733" s="3" t="str">
        <f>IF(OR(Registered!AM733&gt;0,Registered!AO733&gt;0),(IF(Registered!E733=0,"Size Not Specified",Registered!E733)),"")</f>
        <v/>
      </c>
      <c r="AU733" s="3" t="str">
        <f>IF(Registered!AE733=0,"",IF(Registered!AE733=1,Registered!AE733&amp;" Bandana",Registered!AE733&amp;" Bandanas"))</f>
        <v/>
      </c>
      <c r="AV733" s="3">
        <f t="shared" si="35"/>
        <v>0</v>
      </c>
      <c r="AW733" s="2" t="str">
        <f>IF(Registered!AV733=0,"",IF(Registered!AV733=1,Registered!AV733&amp;" Meal",Registered!AV733&amp;" Meals"))</f>
        <v/>
      </c>
      <c r="AX733" s="2" t="str">
        <f>IF(Registered!AI733=0,"",Registered!AI733&amp;" BG")</f>
        <v/>
      </c>
      <c r="AY733" s="2" t="str">
        <f>IF(Registered!AG733=0,"",Registered!AG733&amp;" DustMask")</f>
        <v/>
      </c>
    </row>
    <row r="734" spans="1:51" customFormat="1" x14ac:dyDescent="0.25">
      <c r="A734" t="s">
        <v>142</v>
      </c>
      <c r="B734" t="s">
        <v>4388</v>
      </c>
      <c r="C734" t="s">
        <v>6090</v>
      </c>
      <c r="D734" t="s">
        <v>4391</v>
      </c>
      <c r="F734" t="s">
        <v>261</v>
      </c>
      <c r="I734" t="s">
        <v>4389</v>
      </c>
      <c r="J734" t="s">
        <v>37</v>
      </c>
      <c r="K734" t="s">
        <v>32</v>
      </c>
      <c r="L734" t="s">
        <v>35</v>
      </c>
      <c r="Q734">
        <v>5</v>
      </c>
      <c r="R734">
        <v>3</v>
      </c>
      <c r="U734">
        <v>1</v>
      </c>
      <c r="V734">
        <v>20</v>
      </c>
      <c r="AG734">
        <v>2</v>
      </c>
      <c r="AH734">
        <v>1</v>
      </c>
      <c r="AK734">
        <v>7</v>
      </c>
      <c r="AL734">
        <v>6</v>
      </c>
      <c r="AQ734">
        <v>79</v>
      </c>
      <c r="AR734" s="3">
        <f t="shared" si="33"/>
        <v>10</v>
      </c>
      <c r="AS734" s="3">
        <f t="shared" si="34"/>
        <v>0</v>
      </c>
      <c r="AT734" s="3" t="str">
        <f>IF(OR(Registered!AM734&gt;0,Registered!AO734&gt;0),(IF(Registered!E734=0,"Size Not Specified",Registered!E734)),"")</f>
        <v/>
      </c>
      <c r="AU734" s="3" t="str">
        <f>IF(Registered!AE734=0,"",IF(Registered!AE734=1,Registered!AE734&amp;" Bandana",Registered!AE734&amp;" Bandanas"))</f>
        <v/>
      </c>
      <c r="AV734" s="3">
        <f t="shared" si="35"/>
        <v>7</v>
      </c>
      <c r="AW734" s="2" t="str">
        <f>IF(Registered!AV734=0,"",IF(Registered!AV734=1,Registered!AV734&amp;" Meal",Registered!AV734&amp;" Meals"))</f>
        <v>7 Meals</v>
      </c>
      <c r="AX734" s="2" t="str">
        <f>IF(Registered!AI734=0,"",Registered!AI734&amp;" BG")</f>
        <v/>
      </c>
      <c r="AY734" s="2" t="str">
        <f>IF(Registered!AG734=0,"",Registered!AG734&amp;" DustMask")</f>
        <v>2 DustMask</v>
      </c>
    </row>
    <row r="735" spans="1:51" customFormat="1" x14ac:dyDescent="0.25">
      <c r="A735" t="s">
        <v>166</v>
      </c>
      <c r="B735" t="s">
        <v>4395</v>
      </c>
      <c r="C735" t="s">
        <v>6090</v>
      </c>
      <c r="G735" t="s">
        <v>4396</v>
      </c>
      <c r="H735" t="s">
        <v>356</v>
      </c>
      <c r="I735" t="s">
        <v>4397</v>
      </c>
      <c r="J735" t="s">
        <v>37</v>
      </c>
      <c r="K735" t="s">
        <v>32</v>
      </c>
      <c r="L735" t="s">
        <v>35</v>
      </c>
      <c r="AQ735">
        <v>0</v>
      </c>
      <c r="AR735" s="3">
        <f t="shared" si="33"/>
        <v>0</v>
      </c>
      <c r="AS735" s="3">
        <f t="shared" si="34"/>
        <v>0</v>
      </c>
      <c r="AT735" s="3" t="str">
        <f>IF(OR(Registered!AM735&gt;0,Registered!AO735&gt;0),(IF(Registered!E735=0,"Size Not Specified",Registered!E735)),"")</f>
        <v/>
      </c>
      <c r="AU735" s="3" t="str">
        <f>IF(Registered!AE735=0,"",IF(Registered!AE735=1,Registered!AE735&amp;" Bandana",Registered!AE735&amp;" Bandanas"))</f>
        <v/>
      </c>
      <c r="AV735" s="3">
        <f t="shared" si="35"/>
        <v>0</v>
      </c>
      <c r="AW735" s="2" t="str">
        <f>IF(Registered!AV735=0,"",IF(Registered!AV735=1,Registered!AV735&amp;" Meal",Registered!AV735&amp;" Meals"))</f>
        <v/>
      </c>
      <c r="AX735" s="2" t="str">
        <f>IF(Registered!AI735=0,"",Registered!AI735&amp;" BG")</f>
        <v/>
      </c>
      <c r="AY735" s="2" t="str">
        <f>IF(Registered!AG735=0,"",Registered!AG735&amp;" DustMask")</f>
        <v/>
      </c>
    </row>
    <row r="736" spans="1:51" customFormat="1" x14ac:dyDescent="0.25">
      <c r="A736" t="s">
        <v>140</v>
      </c>
      <c r="B736" t="s">
        <v>1245</v>
      </c>
      <c r="C736" t="s">
        <v>6090</v>
      </c>
      <c r="G736" t="s">
        <v>1246</v>
      </c>
      <c r="H736" t="s">
        <v>1247</v>
      </c>
      <c r="I736" t="s">
        <v>4398</v>
      </c>
      <c r="J736" t="s">
        <v>37</v>
      </c>
      <c r="K736" t="s">
        <v>32</v>
      </c>
      <c r="L736" t="s">
        <v>35</v>
      </c>
      <c r="AQ736">
        <v>0</v>
      </c>
      <c r="AR736" s="3">
        <f t="shared" si="33"/>
        <v>0</v>
      </c>
      <c r="AS736" s="3">
        <f t="shared" si="34"/>
        <v>0</v>
      </c>
      <c r="AT736" s="3" t="str">
        <f>IF(OR(Registered!AM736&gt;0,Registered!AO736&gt;0),(IF(Registered!E736=0,"Size Not Specified",Registered!E736)),"")</f>
        <v/>
      </c>
      <c r="AU736" s="3" t="str">
        <f>IF(Registered!AE736=0,"",IF(Registered!AE736=1,Registered!AE736&amp;" Bandana",Registered!AE736&amp;" Bandanas"))</f>
        <v/>
      </c>
      <c r="AV736" s="3">
        <f t="shared" si="35"/>
        <v>0</v>
      </c>
      <c r="AW736" s="2" t="str">
        <f>IF(Registered!AV736=0,"",IF(Registered!AV736=1,Registered!AV736&amp;" Meal",Registered!AV736&amp;" Meals"))</f>
        <v/>
      </c>
      <c r="AX736" s="2" t="str">
        <f>IF(Registered!AI736=0,"",Registered!AI736&amp;" BG")</f>
        <v/>
      </c>
      <c r="AY736" s="2" t="str">
        <f>IF(Registered!AG736=0,"",Registered!AG736&amp;" DustMask")</f>
        <v/>
      </c>
    </row>
    <row r="737" spans="1:51" customFormat="1" x14ac:dyDescent="0.25">
      <c r="A737" t="s">
        <v>1248</v>
      </c>
      <c r="B737" t="s">
        <v>343</v>
      </c>
      <c r="C737" t="s">
        <v>6090</v>
      </c>
      <c r="G737" t="s">
        <v>1249</v>
      </c>
      <c r="H737" t="s">
        <v>154</v>
      </c>
      <c r="I737" t="s">
        <v>1250</v>
      </c>
      <c r="J737" t="s">
        <v>37</v>
      </c>
      <c r="K737" t="s">
        <v>32</v>
      </c>
      <c r="L737" t="s">
        <v>35</v>
      </c>
      <c r="AQ737">
        <v>0</v>
      </c>
      <c r="AR737" s="3">
        <f t="shared" si="33"/>
        <v>0</v>
      </c>
      <c r="AS737" s="3">
        <f t="shared" si="34"/>
        <v>0</v>
      </c>
      <c r="AT737" s="3" t="str">
        <f>IF(OR(Registered!AM737&gt;0,Registered!AO737&gt;0),(IF(Registered!E737=0,"Size Not Specified",Registered!E737)),"")</f>
        <v/>
      </c>
      <c r="AU737" s="3" t="str">
        <f>IF(Registered!AE737=0,"",IF(Registered!AE737=1,Registered!AE737&amp;" Bandana",Registered!AE737&amp;" Bandanas"))</f>
        <v/>
      </c>
      <c r="AV737" s="3">
        <f t="shared" si="35"/>
        <v>0</v>
      </c>
      <c r="AW737" s="2" t="str">
        <f>IF(Registered!AV737=0,"",IF(Registered!AV737=1,Registered!AV737&amp;" Meal",Registered!AV737&amp;" Meals"))</f>
        <v/>
      </c>
      <c r="AX737" s="2" t="str">
        <f>IF(Registered!AI737=0,"",Registered!AI737&amp;" BG")</f>
        <v/>
      </c>
      <c r="AY737" s="2" t="str">
        <f>IF(Registered!AG737=0,"",Registered!AG737&amp;" DustMask")</f>
        <v/>
      </c>
    </row>
    <row r="738" spans="1:51" customFormat="1" x14ac:dyDescent="0.25">
      <c r="A738" t="s">
        <v>295</v>
      </c>
      <c r="B738" t="s">
        <v>1252</v>
      </c>
      <c r="C738" t="s">
        <v>6090</v>
      </c>
      <c r="G738" t="s">
        <v>671</v>
      </c>
      <c r="H738" t="s">
        <v>1252</v>
      </c>
      <c r="I738" t="s">
        <v>2951</v>
      </c>
      <c r="J738" t="s">
        <v>37</v>
      </c>
      <c r="K738" t="s">
        <v>32</v>
      </c>
      <c r="L738" t="s">
        <v>35</v>
      </c>
      <c r="AQ738">
        <v>0</v>
      </c>
      <c r="AR738" s="3">
        <f t="shared" si="33"/>
        <v>0</v>
      </c>
      <c r="AS738" s="3">
        <f t="shared" si="34"/>
        <v>0</v>
      </c>
      <c r="AT738" s="3" t="str">
        <f>IF(OR(Registered!AM738&gt;0,Registered!AO738&gt;0),(IF(Registered!E738=0,"Size Not Specified",Registered!E738)),"")</f>
        <v/>
      </c>
      <c r="AU738" s="3" t="str">
        <f>IF(Registered!AE738=0,"",IF(Registered!AE738=1,Registered!AE738&amp;" Bandana",Registered!AE738&amp;" Bandanas"))</f>
        <v/>
      </c>
      <c r="AV738" s="3">
        <f t="shared" si="35"/>
        <v>0</v>
      </c>
      <c r="AW738" s="2" t="str">
        <f>IF(Registered!AV738=0,"",IF(Registered!AV738=1,Registered!AV738&amp;" Meal",Registered!AV738&amp;" Meals"))</f>
        <v/>
      </c>
      <c r="AX738" s="2" t="str">
        <f>IF(Registered!AI738=0,"",Registered!AI738&amp;" BG")</f>
        <v/>
      </c>
      <c r="AY738" s="2" t="str">
        <f>IF(Registered!AG738=0,"",Registered!AG738&amp;" DustMask")</f>
        <v/>
      </c>
    </row>
    <row r="739" spans="1:51" customFormat="1" x14ac:dyDescent="0.25">
      <c r="A739" t="s">
        <v>140</v>
      </c>
      <c r="B739" t="s">
        <v>1252</v>
      </c>
      <c r="C739" t="s">
        <v>6090</v>
      </c>
      <c r="G739" t="s">
        <v>671</v>
      </c>
      <c r="H739" t="s">
        <v>1252</v>
      </c>
      <c r="I739" t="s">
        <v>2951</v>
      </c>
      <c r="J739" t="s">
        <v>37</v>
      </c>
      <c r="K739" t="s">
        <v>32</v>
      </c>
      <c r="L739" t="s">
        <v>35</v>
      </c>
      <c r="AQ739">
        <v>0</v>
      </c>
      <c r="AR739" s="3">
        <f t="shared" si="33"/>
        <v>0</v>
      </c>
      <c r="AS739" s="3">
        <f t="shared" si="34"/>
        <v>0</v>
      </c>
      <c r="AT739" s="3" t="str">
        <f>IF(OR(Registered!AM739&gt;0,Registered!AO739&gt;0),(IF(Registered!E739=0,"Size Not Specified",Registered!E739)),"")</f>
        <v/>
      </c>
      <c r="AU739" s="3" t="str">
        <f>IF(Registered!AE739=0,"",IF(Registered!AE739=1,Registered!AE739&amp;" Bandana",Registered!AE739&amp;" Bandanas"))</f>
        <v/>
      </c>
      <c r="AV739" s="3">
        <f t="shared" si="35"/>
        <v>0</v>
      </c>
      <c r="AW739" s="2" t="str">
        <f>IF(Registered!AV739=0,"",IF(Registered!AV739=1,Registered!AV739&amp;" Meal",Registered!AV739&amp;" Meals"))</f>
        <v/>
      </c>
      <c r="AX739" s="2" t="str">
        <f>IF(Registered!AI739=0,"",Registered!AI739&amp;" BG")</f>
        <v/>
      </c>
      <c r="AY739" s="2" t="str">
        <f>IF(Registered!AG739=0,"",Registered!AG739&amp;" DustMask")</f>
        <v/>
      </c>
    </row>
    <row r="740" spans="1:51" customFormat="1" x14ac:dyDescent="0.25">
      <c r="A740" t="s">
        <v>671</v>
      </c>
      <c r="B740" t="s">
        <v>1252</v>
      </c>
      <c r="C740" t="s">
        <v>6090</v>
      </c>
      <c r="D740" t="s">
        <v>2952</v>
      </c>
      <c r="E740" t="s">
        <v>2953</v>
      </c>
      <c r="F740" t="s">
        <v>261</v>
      </c>
      <c r="I740" t="s">
        <v>2951</v>
      </c>
      <c r="J740" t="s">
        <v>37</v>
      </c>
      <c r="K740" t="s">
        <v>32</v>
      </c>
      <c r="L740" t="s">
        <v>35</v>
      </c>
      <c r="Q740">
        <v>5</v>
      </c>
      <c r="R740">
        <v>3</v>
      </c>
      <c r="AC740">
        <v>3</v>
      </c>
      <c r="AD740">
        <v>10</v>
      </c>
      <c r="AM740">
        <v>2</v>
      </c>
      <c r="AN740">
        <v>25</v>
      </c>
      <c r="AQ740">
        <v>95</v>
      </c>
      <c r="AR740" s="3">
        <f t="shared" si="33"/>
        <v>25</v>
      </c>
      <c r="AS740" s="3">
        <f t="shared" si="34"/>
        <v>2</v>
      </c>
      <c r="AT740" s="3" t="str">
        <f>IF(OR(Registered!AM740&gt;0,Registered!AO740&gt;0),(IF(Registered!E740=0,"Size Not Specified",Registered!E740)),"")</f>
        <v>S, M</v>
      </c>
      <c r="AU740" s="3" t="str">
        <f>IF(Registered!AE740=0,"",IF(Registered!AE740=1,Registered!AE740&amp;" Bandana",Registered!AE740&amp;" Bandanas"))</f>
        <v/>
      </c>
      <c r="AV740" s="3">
        <f t="shared" si="35"/>
        <v>2</v>
      </c>
      <c r="AW740" s="2" t="str">
        <f>IF(Registered!AV740=0,"",IF(Registered!AV740=1,Registered!AV740&amp;" Meal",Registered!AV740&amp;" Meals"))</f>
        <v>2 Meals</v>
      </c>
      <c r="AX740" s="2" t="str">
        <f>IF(Registered!AI740=0,"",Registered!AI740&amp;" BG")</f>
        <v/>
      </c>
      <c r="AY740" s="2" t="str">
        <f>IF(Registered!AG740=0,"",Registered!AG740&amp;" DustMask")</f>
        <v/>
      </c>
    </row>
    <row r="741" spans="1:51" customFormat="1" x14ac:dyDescent="0.25">
      <c r="A741" t="s">
        <v>103</v>
      </c>
      <c r="B741" t="s">
        <v>1252</v>
      </c>
      <c r="C741" t="s">
        <v>6090</v>
      </c>
      <c r="D741" t="s">
        <v>2952</v>
      </c>
      <c r="F741" t="s">
        <v>261</v>
      </c>
      <c r="I741" t="s">
        <v>4399</v>
      </c>
      <c r="J741" t="s">
        <v>37</v>
      </c>
      <c r="K741" t="s">
        <v>32</v>
      </c>
      <c r="L741" t="s">
        <v>35</v>
      </c>
      <c r="Q741">
        <v>1</v>
      </c>
      <c r="R741">
        <v>3</v>
      </c>
      <c r="AC741">
        <v>1</v>
      </c>
      <c r="AD741">
        <v>10</v>
      </c>
      <c r="AQ741">
        <v>13</v>
      </c>
      <c r="AR741" s="3">
        <f t="shared" si="33"/>
        <v>5</v>
      </c>
      <c r="AS741" s="3">
        <f t="shared" si="34"/>
        <v>0</v>
      </c>
      <c r="AT741" s="3" t="str">
        <f>IF(OR(Registered!AM741&gt;0,Registered!AO741&gt;0),(IF(Registered!E741=0,"Size Not Specified",Registered!E741)),"")</f>
        <v/>
      </c>
      <c r="AU741" s="3" t="str">
        <f>IF(Registered!AE741=0,"",IF(Registered!AE741=1,Registered!AE741&amp;" Bandana",Registered!AE741&amp;" Bandanas"))</f>
        <v/>
      </c>
      <c r="AV741" s="3">
        <f t="shared" si="35"/>
        <v>0</v>
      </c>
      <c r="AW741" s="2" t="str">
        <f>IF(Registered!AV741=0,"",IF(Registered!AV741=1,Registered!AV741&amp;" Meal",Registered!AV741&amp;" Meals"))</f>
        <v/>
      </c>
      <c r="AX741" s="2" t="str">
        <f>IF(Registered!AI741=0,"",Registered!AI741&amp;" BG")</f>
        <v/>
      </c>
      <c r="AY741" s="2" t="str">
        <f>IF(Registered!AG741=0,"",Registered!AG741&amp;" DustMask")</f>
        <v/>
      </c>
    </row>
    <row r="742" spans="1:51" customFormat="1" x14ac:dyDescent="0.25">
      <c r="A742" t="s">
        <v>502</v>
      </c>
      <c r="B742" t="s">
        <v>1252</v>
      </c>
      <c r="C742" t="s">
        <v>6090</v>
      </c>
      <c r="G742" t="s">
        <v>671</v>
      </c>
      <c r="H742" t="s">
        <v>1252</v>
      </c>
      <c r="I742" t="s">
        <v>2951</v>
      </c>
      <c r="J742" t="s">
        <v>37</v>
      </c>
      <c r="K742" t="s">
        <v>32</v>
      </c>
      <c r="L742" t="s">
        <v>35</v>
      </c>
      <c r="AQ742">
        <v>0</v>
      </c>
      <c r="AR742" s="3">
        <f t="shared" si="33"/>
        <v>0</v>
      </c>
      <c r="AS742" s="3">
        <f t="shared" si="34"/>
        <v>0</v>
      </c>
      <c r="AT742" s="3" t="str">
        <f>IF(OR(Registered!AM742&gt;0,Registered!AO742&gt;0),(IF(Registered!E742=0,"Size Not Specified",Registered!E742)),"")</f>
        <v/>
      </c>
      <c r="AU742" s="3" t="str">
        <f>IF(Registered!AE742=0,"",IF(Registered!AE742=1,Registered!AE742&amp;" Bandana",Registered!AE742&amp;" Bandanas"))</f>
        <v/>
      </c>
      <c r="AV742" s="3">
        <f t="shared" si="35"/>
        <v>0</v>
      </c>
      <c r="AW742" s="2" t="str">
        <f>IF(Registered!AV742=0,"",IF(Registered!AV742=1,Registered!AV742&amp;" Meal",Registered!AV742&amp;" Meals"))</f>
        <v/>
      </c>
      <c r="AX742" s="2" t="str">
        <f>IF(Registered!AI742=0,"",Registered!AI742&amp;" BG")</f>
        <v/>
      </c>
      <c r="AY742" s="2" t="str">
        <f>IF(Registered!AG742=0,"",Registered!AG742&amp;" DustMask")</f>
        <v/>
      </c>
    </row>
    <row r="743" spans="1:51" customFormat="1" x14ac:dyDescent="0.25">
      <c r="A743" t="s">
        <v>1251</v>
      </c>
      <c r="B743" t="s">
        <v>1252</v>
      </c>
      <c r="C743" t="s">
        <v>6090</v>
      </c>
      <c r="D743" t="s">
        <v>1253</v>
      </c>
      <c r="F743" t="s">
        <v>261</v>
      </c>
      <c r="I743" t="s">
        <v>1254</v>
      </c>
      <c r="J743" t="s">
        <v>37</v>
      </c>
      <c r="K743" t="s">
        <v>32</v>
      </c>
      <c r="L743" t="s">
        <v>35</v>
      </c>
      <c r="S743">
        <v>4</v>
      </c>
      <c r="T743">
        <v>3</v>
      </c>
      <c r="AC743">
        <v>3</v>
      </c>
      <c r="AD743">
        <v>10</v>
      </c>
      <c r="AQ743">
        <v>42</v>
      </c>
      <c r="AR743" s="3">
        <f t="shared" si="33"/>
        <v>15</v>
      </c>
      <c r="AS743" s="3">
        <f t="shared" si="34"/>
        <v>0</v>
      </c>
      <c r="AT743" s="3" t="str">
        <f>IF(OR(Registered!AM743&gt;0,Registered!AO743&gt;0),(IF(Registered!E743=0,"Size Not Specified",Registered!E743)),"")</f>
        <v/>
      </c>
      <c r="AU743" s="3" t="str">
        <f>IF(Registered!AE743=0,"",IF(Registered!AE743=1,Registered!AE743&amp;" Bandana",Registered!AE743&amp;" Bandanas"))</f>
        <v/>
      </c>
      <c r="AV743" s="3">
        <f t="shared" si="35"/>
        <v>0</v>
      </c>
      <c r="AW743" s="2" t="str">
        <f>IF(Registered!AV743=0,"",IF(Registered!AV743=1,Registered!AV743&amp;" Meal",Registered!AV743&amp;" Meals"))</f>
        <v/>
      </c>
      <c r="AX743" s="2" t="str">
        <f>IF(Registered!AI743=0,"",Registered!AI743&amp;" BG")</f>
        <v/>
      </c>
      <c r="AY743" s="2" t="str">
        <f>IF(Registered!AG743=0,"",Registered!AG743&amp;" DustMask")</f>
        <v/>
      </c>
    </row>
    <row r="744" spans="1:51" customFormat="1" x14ac:dyDescent="0.25">
      <c r="A744" t="s">
        <v>1924</v>
      </c>
      <c r="B744" t="s">
        <v>169</v>
      </c>
      <c r="C744" t="s">
        <v>6090</v>
      </c>
      <c r="G744" t="s">
        <v>3548</v>
      </c>
      <c r="H744" t="s">
        <v>3222</v>
      </c>
      <c r="I744" t="s">
        <v>4400</v>
      </c>
      <c r="J744" t="s">
        <v>37</v>
      </c>
      <c r="K744" t="s">
        <v>32</v>
      </c>
      <c r="L744" t="s">
        <v>35</v>
      </c>
      <c r="AQ744">
        <v>0</v>
      </c>
      <c r="AR744" s="3">
        <f t="shared" si="33"/>
        <v>0</v>
      </c>
      <c r="AS744" s="3">
        <f t="shared" si="34"/>
        <v>0</v>
      </c>
      <c r="AT744" s="3" t="str">
        <f>IF(OR(Registered!AM744&gt;0,Registered!AO744&gt;0),(IF(Registered!E744=0,"Size Not Specified",Registered!E744)),"")</f>
        <v/>
      </c>
      <c r="AU744" s="3" t="str">
        <f>IF(Registered!AE744=0,"",IF(Registered!AE744=1,Registered!AE744&amp;" Bandana",Registered!AE744&amp;" Bandanas"))</f>
        <v/>
      </c>
      <c r="AV744" s="3">
        <f t="shared" si="35"/>
        <v>0</v>
      </c>
      <c r="AW744" s="2" t="str">
        <f>IF(Registered!AV744=0,"",IF(Registered!AV744=1,Registered!AV744&amp;" Meal",Registered!AV744&amp;" Meals"))</f>
        <v/>
      </c>
      <c r="AX744" s="2" t="str">
        <f>IF(Registered!AI744=0,"",Registered!AI744&amp;" BG")</f>
        <v/>
      </c>
      <c r="AY744" s="2" t="str">
        <f>IF(Registered!AG744=0,"",Registered!AG744&amp;" DustMask")</f>
        <v/>
      </c>
    </row>
    <row r="745" spans="1:51" customFormat="1" x14ac:dyDescent="0.25">
      <c r="A745" t="s">
        <v>160</v>
      </c>
      <c r="B745" t="s">
        <v>169</v>
      </c>
      <c r="C745" t="s">
        <v>6090</v>
      </c>
      <c r="G745" t="s">
        <v>1255</v>
      </c>
      <c r="H745" t="s">
        <v>1256</v>
      </c>
      <c r="I745" t="s">
        <v>1257</v>
      </c>
      <c r="J745" t="s">
        <v>37</v>
      </c>
      <c r="K745" t="s">
        <v>32</v>
      </c>
      <c r="L745" t="s">
        <v>35</v>
      </c>
      <c r="AQ745">
        <v>0</v>
      </c>
      <c r="AR745" s="3">
        <f t="shared" si="33"/>
        <v>0</v>
      </c>
      <c r="AS745" s="3">
        <f t="shared" si="34"/>
        <v>0</v>
      </c>
      <c r="AT745" s="3" t="str">
        <f>IF(OR(Registered!AM745&gt;0,Registered!AO745&gt;0),(IF(Registered!E745=0,"Size Not Specified",Registered!E745)),"")</f>
        <v/>
      </c>
      <c r="AU745" s="3" t="str">
        <f>IF(Registered!AE745=0,"",IF(Registered!AE745=1,Registered!AE745&amp;" Bandana",Registered!AE745&amp;" Bandanas"))</f>
        <v/>
      </c>
      <c r="AV745" s="3">
        <f t="shared" si="35"/>
        <v>0</v>
      </c>
      <c r="AW745" s="2" t="str">
        <f>IF(Registered!AV745=0,"",IF(Registered!AV745=1,Registered!AV745&amp;" Meal",Registered!AV745&amp;" Meals"))</f>
        <v/>
      </c>
      <c r="AX745" s="2" t="str">
        <f>IF(Registered!AI745=0,"",Registered!AI745&amp;" BG")</f>
        <v/>
      </c>
      <c r="AY745" s="2" t="str">
        <f>IF(Registered!AG745=0,"",Registered!AG745&amp;" DustMask")</f>
        <v/>
      </c>
    </row>
    <row r="746" spans="1:51" customFormat="1" x14ac:dyDescent="0.25">
      <c r="A746" t="s">
        <v>188</v>
      </c>
      <c r="B746" t="s">
        <v>4401</v>
      </c>
      <c r="C746" t="s">
        <v>6090</v>
      </c>
      <c r="G746" t="s">
        <v>62</v>
      </c>
      <c r="H746" t="s">
        <v>493</v>
      </c>
      <c r="I746" t="s">
        <v>4402</v>
      </c>
      <c r="J746" t="s">
        <v>37</v>
      </c>
      <c r="K746" t="s">
        <v>32</v>
      </c>
      <c r="L746" t="s">
        <v>35</v>
      </c>
      <c r="AQ746">
        <v>0</v>
      </c>
      <c r="AR746" s="3">
        <f t="shared" si="33"/>
        <v>0</v>
      </c>
      <c r="AS746" s="3">
        <f t="shared" si="34"/>
        <v>0</v>
      </c>
      <c r="AT746" s="3" t="str">
        <f>IF(OR(Registered!AM746&gt;0,Registered!AO746&gt;0),(IF(Registered!E746=0,"Size Not Specified",Registered!E746)),"")</f>
        <v/>
      </c>
      <c r="AU746" s="3" t="str">
        <f>IF(Registered!AE746=0,"",IF(Registered!AE746=1,Registered!AE746&amp;" Bandana",Registered!AE746&amp;" Bandanas"))</f>
        <v/>
      </c>
      <c r="AV746" s="3">
        <f t="shared" si="35"/>
        <v>0</v>
      </c>
      <c r="AW746" s="2" t="str">
        <f>IF(Registered!AV746=0,"",IF(Registered!AV746=1,Registered!AV746&amp;" Meal",Registered!AV746&amp;" Meals"))</f>
        <v/>
      </c>
      <c r="AX746" s="2" t="str">
        <f>IF(Registered!AI746=0,"",Registered!AI746&amp;" BG")</f>
        <v/>
      </c>
      <c r="AY746" s="2" t="str">
        <f>IF(Registered!AG746=0,"",Registered!AG746&amp;" DustMask")</f>
        <v/>
      </c>
    </row>
    <row r="747" spans="1:51" customFormat="1" x14ac:dyDescent="0.25">
      <c r="A747" t="s">
        <v>226</v>
      </c>
      <c r="B747" t="s">
        <v>4403</v>
      </c>
      <c r="C747" t="s">
        <v>6090</v>
      </c>
      <c r="D747" t="s">
        <v>4404</v>
      </c>
      <c r="F747" t="s">
        <v>261</v>
      </c>
      <c r="I747" t="s">
        <v>4405</v>
      </c>
      <c r="J747" t="s">
        <v>37</v>
      </c>
      <c r="K747" t="s">
        <v>32</v>
      </c>
      <c r="L747" t="s">
        <v>35</v>
      </c>
      <c r="Q747">
        <v>1</v>
      </c>
      <c r="R747">
        <v>3</v>
      </c>
      <c r="AC747">
        <v>1</v>
      </c>
      <c r="AD747">
        <v>10</v>
      </c>
      <c r="AQ747">
        <v>13</v>
      </c>
      <c r="AR747" s="3">
        <f t="shared" si="33"/>
        <v>5</v>
      </c>
      <c r="AS747" s="3">
        <f t="shared" si="34"/>
        <v>0</v>
      </c>
      <c r="AT747" s="3" t="str">
        <f>IF(OR(Registered!AM747&gt;0,Registered!AO747&gt;0),(IF(Registered!E747=0,"Size Not Specified",Registered!E747)),"")</f>
        <v/>
      </c>
      <c r="AU747" s="3" t="str">
        <f>IF(Registered!AE747=0,"",IF(Registered!AE747=1,Registered!AE747&amp;" Bandana",Registered!AE747&amp;" Bandanas"))</f>
        <v/>
      </c>
      <c r="AV747" s="3">
        <f t="shared" si="35"/>
        <v>0</v>
      </c>
      <c r="AW747" s="2" t="str">
        <f>IF(Registered!AV747=0,"",IF(Registered!AV747=1,Registered!AV747&amp;" Meal",Registered!AV747&amp;" Meals"))</f>
        <v/>
      </c>
      <c r="AX747" s="2" t="str">
        <f>IF(Registered!AI747=0,"",Registered!AI747&amp;" BG")</f>
        <v/>
      </c>
      <c r="AY747" s="2" t="str">
        <f>IF(Registered!AG747=0,"",Registered!AG747&amp;" DustMask")</f>
        <v/>
      </c>
    </row>
    <row r="748" spans="1:51" customFormat="1" x14ac:dyDescent="0.25">
      <c r="A748" t="s">
        <v>4406</v>
      </c>
      <c r="B748" t="s">
        <v>4407</v>
      </c>
      <c r="C748" t="s">
        <v>6090</v>
      </c>
      <c r="G748" t="s">
        <v>75</v>
      </c>
      <c r="H748" t="s">
        <v>4407</v>
      </c>
      <c r="I748" t="s">
        <v>4408</v>
      </c>
      <c r="J748" t="s">
        <v>37</v>
      </c>
      <c r="K748" t="s">
        <v>32</v>
      </c>
      <c r="L748" t="s">
        <v>35</v>
      </c>
      <c r="AQ748">
        <v>0</v>
      </c>
      <c r="AR748" s="3">
        <f t="shared" si="33"/>
        <v>0</v>
      </c>
      <c r="AS748" s="3">
        <f t="shared" si="34"/>
        <v>0</v>
      </c>
      <c r="AT748" s="3" t="str">
        <f>IF(OR(Registered!AM748&gt;0,Registered!AO748&gt;0),(IF(Registered!E748=0,"Size Not Specified",Registered!E748)),"")</f>
        <v/>
      </c>
      <c r="AU748" s="3" t="str">
        <f>IF(Registered!AE748=0,"",IF(Registered!AE748=1,Registered!AE748&amp;" Bandana",Registered!AE748&amp;" Bandanas"))</f>
        <v/>
      </c>
      <c r="AV748" s="3">
        <f t="shared" si="35"/>
        <v>0</v>
      </c>
      <c r="AW748" s="2" t="str">
        <f>IF(Registered!AV748=0,"",IF(Registered!AV748=1,Registered!AV748&amp;" Meal",Registered!AV748&amp;" Meals"))</f>
        <v/>
      </c>
      <c r="AX748" s="2" t="str">
        <f>IF(Registered!AI748=0,"",Registered!AI748&amp;" BG")</f>
        <v/>
      </c>
      <c r="AY748" s="2" t="str">
        <f>IF(Registered!AG748=0,"",Registered!AG748&amp;" DustMask")</f>
        <v/>
      </c>
    </row>
    <row r="749" spans="1:51" customFormat="1" x14ac:dyDescent="0.25">
      <c r="A749" t="s">
        <v>4409</v>
      </c>
      <c r="B749" t="s">
        <v>4407</v>
      </c>
      <c r="C749" t="s">
        <v>6090</v>
      </c>
      <c r="G749" t="s">
        <v>75</v>
      </c>
      <c r="H749" t="s">
        <v>4407</v>
      </c>
      <c r="I749" t="s">
        <v>4408</v>
      </c>
      <c r="J749" t="s">
        <v>37</v>
      </c>
      <c r="K749" t="s">
        <v>32</v>
      </c>
      <c r="L749" t="s">
        <v>35</v>
      </c>
      <c r="AQ749">
        <v>0</v>
      </c>
      <c r="AR749" s="3">
        <f t="shared" si="33"/>
        <v>0</v>
      </c>
      <c r="AS749" s="3">
        <f t="shared" si="34"/>
        <v>0</v>
      </c>
      <c r="AT749" s="3" t="str">
        <f>IF(OR(Registered!AM749&gt;0,Registered!AO749&gt;0),(IF(Registered!E749=0,"Size Not Specified",Registered!E749)),"")</f>
        <v/>
      </c>
      <c r="AU749" s="3" t="str">
        <f>IF(Registered!AE749=0,"",IF(Registered!AE749=1,Registered!AE749&amp;" Bandana",Registered!AE749&amp;" Bandanas"))</f>
        <v/>
      </c>
      <c r="AV749" s="3">
        <f t="shared" si="35"/>
        <v>0</v>
      </c>
      <c r="AW749" s="2" t="str">
        <f>IF(Registered!AV749=0,"",IF(Registered!AV749=1,Registered!AV749&amp;" Meal",Registered!AV749&amp;" Meals"))</f>
        <v/>
      </c>
      <c r="AX749" s="2" t="str">
        <f>IF(Registered!AI749=0,"",Registered!AI749&amp;" BG")</f>
        <v/>
      </c>
      <c r="AY749" s="2" t="str">
        <f>IF(Registered!AG749=0,"",Registered!AG749&amp;" DustMask")</f>
        <v/>
      </c>
    </row>
    <row r="750" spans="1:51" customFormat="1" x14ac:dyDescent="0.25">
      <c r="A750" t="s">
        <v>91</v>
      </c>
      <c r="B750" t="s">
        <v>4407</v>
      </c>
      <c r="C750" t="s">
        <v>6090</v>
      </c>
      <c r="G750" t="s">
        <v>75</v>
      </c>
      <c r="H750" t="s">
        <v>4407</v>
      </c>
      <c r="I750" t="s">
        <v>4408</v>
      </c>
      <c r="J750" t="s">
        <v>37</v>
      </c>
      <c r="K750" t="s">
        <v>32</v>
      </c>
      <c r="L750" t="s">
        <v>35</v>
      </c>
      <c r="AQ750">
        <v>0</v>
      </c>
      <c r="AR750" s="3">
        <f t="shared" si="33"/>
        <v>0</v>
      </c>
      <c r="AS750" s="3">
        <f t="shared" si="34"/>
        <v>0</v>
      </c>
      <c r="AT750" s="3" t="str">
        <f>IF(OR(Registered!AM750&gt;0,Registered!AO750&gt;0),(IF(Registered!E750=0,"Size Not Specified",Registered!E750)),"")</f>
        <v/>
      </c>
      <c r="AU750" s="3" t="str">
        <f>IF(Registered!AE750=0,"",IF(Registered!AE750=1,Registered!AE750&amp;" Bandana",Registered!AE750&amp;" Bandanas"))</f>
        <v/>
      </c>
      <c r="AV750" s="3">
        <f t="shared" si="35"/>
        <v>0</v>
      </c>
      <c r="AW750" s="2" t="str">
        <f>IF(Registered!AV750=0,"",IF(Registered!AV750=1,Registered!AV750&amp;" Meal",Registered!AV750&amp;" Meals"))</f>
        <v/>
      </c>
      <c r="AX750" s="2" t="str">
        <f>IF(Registered!AI750=0,"",Registered!AI750&amp;" BG")</f>
        <v/>
      </c>
      <c r="AY750" s="2" t="str">
        <f>IF(Registered!AG750=0,"",Registered!AG750&amp;" DustMask")</f>
        <v/>
      </c>
    </row>
    <row r="751" spans="1:51" customFormat="1" x14ac:dyDescent="0.25">
      <c r="A751" t="s">
        <v>75</v>
      </c>
      <c r="B751" t="s">
        <v>4407</v>
      </c>
      <c r="C751" t="s">
        <v>6090</v>
      </c>
      <c r="D751" t="s">
        <v>4410</v>
      </c>
      <c r="F751" t="s">
        <v>261</v>
      </c>
      <c r="I751" t="s">
        <v>4408</v>
      </c>
      <c r="J751" t="s">
        <v>37</v>
      </c>
      <c r="K751" t="s">
        <v>32</v>
      </c>
      <c r="L751" t="s">
        <v>35</v>
      </c>
      <c r="Q751">
        <v>5</v>
      </c>
      <c r="R751">
        <v>3</v>
      </c>
      <c r="U751">
        <v>2</v>
      </c>
      <c r="V751">
        <v>20</v>
      </c>
      <c r="AQ751">
        <v>55</v>
      </c>
      <c r="AR751" s="3">
        <f t="shared" si="33"/>
        <v>20</v>
      </c>
      <c r="AS751" s="3">
        <f t="shared" si="34"/>
        <v>0</v>
      </c>
      <c r="AT751" s="3" t="str">
        <f>IF(OR(Registered!AM751&gt;0,Registered!AO751&gt;0),(IF(Registered!E751=0,"Size Not Specified",Registered!E751)),"")</f>
        <v/>
      </c>
      <c r="AU751" s="3" t="str">
        <f>IF(Registered!AE751=0,"",IF(Registered!AE751=1,Registered!AE751&amp;" Bandana",Registered!AE751&amp;" Bandanas"))</f>
        <v/>
      </c>
      <c r="AV751" s="3">
        <f t="shared" si="35"/>
        <v>0</v>
      </c>
      <c r="AW751" s="2" t="str">
        <f>IF(Registered!AV751=0,"",IF(Registered!AV751=1,Registered!AV751&amp;" Meal",Registered!AV751&amp;" Meals"))</f>
        <v/>
      </c>
      <c r="AX751" s="2" t="str">
        <f>IF(Registered!AI751=0,"",Registered!AI751&amp;" BG")</f>
        <v/>
      </c>
      <c r="AY751" s="2" t="str">
        <f>IF(Registered!AG751=0,"",Registered!AG751&amp;" DustMask")</f>
        <v/>
      </c>
    </row>
    <row r="752" spans="1:51" customFormat="1" x14ac:dyDescent="0.25">
      <c r="A752" t="s">
        <v>4411</v>
      </c>
      <c r="B752" t="s">
        <v>4412</v>
      </c>
      <c r="C752" t="s">
        <v>6090</v>
      </c>
      <c r="D752" t="s">
        <v>4411</v>
      </c>
      <c r="F752" t="s">
        <v>261</v>
      </c>
      <c r="I752" t="s">
        <v>4413</v>
      </c>
      <c r="J752" t="s">
        <v>37</v>
      </c>
      <c r="K752" t="s">
        <v>32</v>
      </c>
      <c r="L752" t="s">
        <v>35</v>
      </c>
      <c r="Q752">
        <v>1</v>
      </c>
      <c r="R752">
        <v>3</v>
      </c>
      <c r="AQ752">
        <v>3</v>
      </c>
      <c r="AR752" s="3">
        <f t="shared" si="33"/>
        <v>0</v>
      </c>
      <c r="AS752" s="3">
        <f t="shared" si="34"/>
        <v>0</v>
      </c>
      <c r="AT752" s="3" t="str">
        <f>IF(OR(Registered!AM752&gt;0,Registered!AO752&gt;0),(IF(Registered!E752=0,"Size Not Specified",Registered!E752)),"")</f>
        <v/>
      </c>
      <c r="AU752" s="3" t="str">
        <f>IF(Registered!AE752=0,"",IF(Registered!AE752=1,Registered!AE752&amp;" Bandana",Registered!AE752&amp;" Bandanas"))</f>
        <v/>
      </c>
      <c r="AV752" s="3">
        <f t="shared" si="35"/>
        <v>0</v>
      </c>
      <c r="AW752" s="2" t="str">
        <f>IF(Registered!AV752=0,"",IF(Registered!AV752=1,Registered!AV752&amp;" Meal",Registered!AV752&amp;" Meals"))</f>
        <v/>
      </c>
      <c r="AX752" s="2" t="str">
        <f>IF(Registered!AI752=0,"",Registered!AI752&amp;" BG")</f>
        <v/>
      </c>
      <c r="AY752" s="2" t="str">
        <f>IF(Registered!AG752=0,"",Registered!AG752&amp;" DustMask")</f>
        <v/>
      </c>
    </row>
    <row r="753" spans="1:51" customFormat="1" x14ac:dyDescent="0.25">
      <c r="A753" t="s">
        <v>3548</v>
      </c>
      <c r="B753" t="s">
        <v>1262</v>
      </c>
      <c r="C753" t="s">
        <v>6090</v>
      </c>
      <c r="G753" t="s">
        <v>4414</v>
      </c>
      <c r="H753" t="s">
        <v>4415</v>
      </c>
      <c r="I753" t="s">
        <v>4416</v>
      </c>
      <c r="J753" t="s">
        <v>37</v>
      </c>
      <c r="K753" t="s">
        <v>32</v>
      </c>
      <c r="L753" t="s">
        <v>35</v>
      </c>
      <c r="AQ753">
        <v>0</v>
      </c>
      <c r="AR753" s="3">
        <f t="shared" si="33"/>
        <v>0</v>
      </c>
      <c r="AS753" s="3">
        <f t="shared" si="34"/>
        <v>0</v>
      </c>
      <c r="AT753" s="3" t="str">
        <f>IF(OR(Registered!AM753&gt;0,Registered!AO753&gt;0),(IF(Registered!E753=0,"Size Not Specified",Registered!E753)),"")</f>
        <v/>
      </c>
      <c r="AU753" s="3" t="str">
        <f>IF(Registered!AE753=0,"",IF(Registered!AE753=1,Registered!AE753&amp;" Bandana",Registered!AE753&amp;" Bandanas"))</f>
        <v/>
      </c>
      <c r="AV753" s="3">
        <f t="shared" si="35"/>
        <v>0</v>
      </c>
      <c r="AW753" s="2" t="str">
        <f>IF(Registered!AV753=0,"",IF(Registered!AV753=1,Registered!AV753&amp;" Meal",Registered!AV753&amp;" Meals"))</f>
        <v/>
      </c>
      <c r="AX753" s="2" t="str">
        <f>IF(Registered!AI753=0,"",Registered!AI753&amp;" BG")</f>
        <v/>
      </c>
      <c r="AY753" s="2" t="str">
        <f>IF(Registered!AG753=0,"",Registered!AG753&amp;" DustMask")</f>
        <v/>
      </c>
    </row>
    <row r="754" spans="1:51" customFormat="1" x14ac:dyDescent="0.25">
      <c r="A754" t="s">
        <v>42</v>
      </c>
      <c r="B754" t="s">
        <v>1262</v>
      </c>
      <c r="C754" t="s">
        <v>6090</v>
      </c>
      <c r="D754" t="s">
        <v>1263</v>
      </c>
      <c r="I754" t="s">
        <v>1264</v>
      </c>
      <c r="J754" t="s">
        <v>37</v>
      </c>
      <c r="K754" t="s">
        <v>32</v>
      </c>
      <c r="L754" t="s">
        <v>35</v>
      </c>
      <c r="O754">
        <v>2</v>
      </c>
      <c r="P754">
        <v>3</v>
      </c>
      <c r="W754">
        <v>1</v>
      </c>
      <c r="X754">
        <v>40</v>
      </c>
      <c r="AQ754">
        <v>46</v>
      </c>
      <c r="AR754" s="3">
        <f t="shared" si="33"/>
        <v>20</v>
      </c>
      <c r="AS754" s="3">
        <f t="shared" si="34"/>
        <v>0</v>
      </c>
      <c r="AT754" s="3" t="str">
        <f>IF(OR(Registered!AM754&gt;0,Registered!AO754&gt;0),(IF(Registered!E754=0,"Size Not Specified",Registered!E754)),"")</f>
        <v/>
      </c>
      <c r="AU754" s="3" t="str">
        <f>IF(Registered!AE754=0,"",IF(Registered!AE754=1,Registered!AE754&amp;" Bandana",Registered!AE754&amp;" Bandanas"))</f>
        <v/>
      </c>
      <c r="AV754" s="3">
        <f t="shared" si="35"/>
        <v>0</v>
      </c>
      <c r="AW754" s="2" t="str">
        <f>IF(Registered!AV754=0,"",IF(Registered!AV754=1,Registered!AV754&amp;" Meal",Registered!AV754&amp;" Meals"))</f>
        <v/>
      </c>
      <c r="AX754" s="2" t="str">
        <f>IF(Registered!AI754=0,"",Registered!AI754&amp;" BG")</f>
        <v/>
      </c>
      <c r="AY754" s="2" t="str">
        <f>IF(Registered!AG754=0,"",Registered!AG754&amp;" DustMask")</f>
        <v/>
      </c>
    </row>
    <row r="755" spans="1:51" customFormat="1" x14ac:dyDescent="0.25">
      <c r="A755" t="s">
        <v>1265</v>
      </c>
      <c r="B755" t="s">
        <v>1262</v>
      </c>
      <c r="C755" t="s">
        <v>6090</v>
      </c>
      <c r="D755" t="s">
        <v>1266</v>
      </c>
      <c r="E755" t="s">
        <v>65</v>
      </c>
      <c r="F755" t="s">
        <v>261</v>
      </c>
      <c r="I755" t="s">
        <v>1267</v>
      </c>
      <c r="J755" t="s">
        <v>37</v>
      </c>
      <c r="K755" t="s">
        <v>32</v>
      </c>
      <c r="L755" t="s">
        <v>35</v>
      </c>
      <c r="S755">
        <v>2</v>
      </c>
      <c r="T755">
        <v>3</v>
      </c>
      <c r="AK755">
        <v>1</v>
      </c>
      <c r="AL755">
        <v>6</v>
      </c>
      <c r="AM755">
        <v>1</v>
      </c>
      <c r="AN755">
        <v>25</v>
      </c>
      <c r="AQ755">
        <v>37</v>
      </c>
      <c r="AR755" s="3">
        <f t="shared" si="33"/>
        <v>5</v>
      </c>
      <c r="AS755" s="3">
        <f t="shared" si="34"/>
        <v>1</v>
      </c>
      <c r="AT755" s="3" t="str">
        <f>IF(OR(Registered!AM755&gt;0,Registered!AO755&gt;0),(IF(Registered!E755=0,"Size Not Specified",Registered!E755)),"")</f>
        <v>Medium</v>
      </c>
      <c r="AU755" s="3" t="str">
        <f>IF(Registered!AE755=0,"",IF(Registered!AE755=1,Registered!AE755&amp;" Bandana",Registered!AE755&amp;" Bandanas"))</f>
        <v/>
      </c>
      <c r="AV755" s="3">
        <f t="shared" si="35"/>
        <v>2</v>
      </c>
      <c r="AW755" s="2" t="str">
        <f>IF(Registered!AV755=0,"",IF(Registered!AV755=1,Registered!AV755&amp;" Meal",Registered!AV755&amp;" Meals"))</f>
        <v>2 Meals</v>
      </c>
      <c r="AX755" s="2" t="str">
        <f>IF(Registered!AI755=0,"",Registered!AI755&amp;" BG")</f>
        <v/>
      </c>
      <c r="AY755" s="2" t="str">
        <f>IF(Registered!AG755=0,"",Registered!AG755&amp;" DustMask")</f>
        <v/>
      </c>
    </row>
    <row r="756" spans="1:51" customFormat="1" x14ac:dyDescent="0.25">
      <c r="A756" t="s">
        <v>2944</v>
      </c>
      <c r="B756" t="s">
        <v>2945</v>
      </c>
      <c r="C756" t="s">
        <v>6090</v>
      </c>
      <c r="D756" t="s">
        <v>2954</v>
      </c>
      <c r="F756" t="s">
        <v>261</v>
      </c>
      <c r="I756" t="s">
        <v>2946</v>
      </c>
      <c r="J756" t="s">
        <v>37</v>
      </c>
      <c r="K756" t="s">
        <v>32</v>
      </c>
      <c r="L756" t="s">
        <v>35</v>
      </c>
      <c r="Q756">
        <v>2</v>
      </c>
      <c r="R756">
        <v>3</v>
      </c>
      <c r="W756">
        <v>1</v>
      </c>
      <c r="X756">
        <v>40</v>
      </c>
      <c r="AQ756">
        <v>46</v>
      </c>
      <c r="AR756" s="3">
        <f t="shared" si="33"/>
        <v>20</v>
      </c>
      <c r="AS756" s="3">
        <f t="shared" si="34"/>
        <v>0</v>
      </c>
      <c r="AT756" s="3" t="str">
        <f>IF(OR(Registered!AM756&gt;0,Registered!AO756&gt;0),(IF(Registered!E756=0,"Size Not Specified",Registered!E756)),"")</f>
        <v/>
      </c>
      <c r="AU756" s="3" t="str">
        <f>IF(Registered!AE756=0,"",IF(Registered!AE756=1,Registered!AE756&amp;" Bandana",Registered!AE756&amp;" Bandanas"))</f>
        <v/>
      </c>
      <c r="AV756" s="3">
        <f t="shared" si="35"/>
        <v>0</v>
      </c>
      <c r="AW756" s="2" t="str">
        <f>IF(Registered!AV756=0,"",IF(Registered!AV756=1,Registered!AV756&amp;" Meal",Registered!AV756&amp;" Meals"))</f>
        <v/>
      </c>
      <c r="AX756" s="2" t="str">
        <f>IF(Registered!AI756=0,"",Registered!AI756&amp;" BG")</f>
        <v/>
      </c>
      <c r="AY756" s="2" t="str">
        <f>IF(Registered!AG756=0,"",Registered!AG756&amp;" DustMask")</f>
        <v/>
      </c>
    </row>
    <row r="757" spans="1:51" customFormat="1" x14ac:dyDescent="0.25">
      <c r="A757" t="s">
        <v>4419</v>
      </c>
      <c r="B757" t="s">
        <v>2945</v>
      </c>
      <c r="C757" t="s">
        <v>6090</v>
      </c>
      <c r="D757" t="s">
        <v>4420</v>
      </c>
      <c r="F757" t="s">
        <v>261</v>
      </c>
      <c r="I757" t="s">
        <v>4421</v>
      </c>
      <c r="J757" t="s">
        <v>37</v>
      </c>
      <c r="K757" t="s">
        <v>32</v>
      </c>
      <c r="L757" t="s">
        <v>35</v>
      </c>
      <c r="Q757">
        <v>1</v>
      </c>
      <c r="R757">
        <v>3</v>
      </c>
      <c r="AC757">
        <v>1</v>
      </c>
      <c r="AD757">
        <v>10</v>
      </c>
      <c r="AQ757">
        <v>13</v>
      </c>
      <c r="AR757" s="3">
        <f t="shared" si="33"/>
        <v>5</v>
      </c>
      <c r="AS757" s="3">
        <f t="shared" si="34"/>
        <v>0</v>
      </c>
      <c r="AT757" s="3" t="str">
        <f>IF(OR(Registered!AM757&gt;0,Registered!AO757&gt;0),(IF(Registered!E757=0,"Size Not Specified",Registered!E757)),"")</f>
        <v/>
      </c>
      <c r="AU757" s="3" t="str">
        <f>IF(Registered!AE757=0,"",IF(Registered!AE757=1,Registered!AE757&amp;" Bandana",Registered!AE757&amp;" Bandanas"))</f>
        <v/>
      </c>
      <c r="AV757" s="3">
        <f t="shared" si="35"/>
        <v>0</v>
      </c>
      <c r="AW757" s="2" t="str">
        <f>IF(Registered!AV757=0,"",IF(Registered!AV757=1,Registered!AV757&amp;" Meal",Registered!AV757&amp;" Meals"))</f>
        <v/>
      </c>
      <c r="AX757" s="2" t="str">
        <f>IF(Registered!AI757=0,"",Registered!AI757&amp;" BG")</f>
        <v/>
      </c>
      <c r="AY757" s="2" t="str">
        <f>IF(Registered!AG757=0,"",Registered!AG757&amp;" DustMask")</f>
        <v/>
      </c>
    </row>
    <row r="758" spans="1:51" customFormat="1" x14ac:dyDescent="0.25">
      <c r="A758" t="s">
        <v>453</v>
      </c>
      <c r="B758" t="s">
        <v>4422</v>
      </c>
      <c r="C758" t="s">
        <v>6090</v>
      </c>
      <c r="D758" t="s">
        <v>4423</v>
      </c>
      <c r="F758" t="s">
        <v>261</v>
      </c>
      <c r="I758" t="s">
        <v>4424</v>
      </c>
      <c r="J758" t="s">
        <v>37</v>
      </c>
      <c r="K758" t="s">
        <v>32</v>
      </c>
      <c r="L758" t="s">
        <v>35</v>
      </c>
      <c r="Q758">
        <v>2</v>
      </c>
      <c r="R758">
        <v>3</v>
      </c>
      <c r="AC758">
        <v>1</v>
      </c>
      <c r="AD758">
        <v>10</v>
      </c>
      <c r="AE758">
        <v>2</v>
      </c>
      <c r="AF758">
        <v>6</v>
      </c>
      <c r="AG758">
        <v>1</v>
      </c>
      <c r="AH758">
        <v>1</v>
      </c>
      <c r="AQ758">
        <v>29</v>
      </c>
      <c r="AR758" s="3">
        <f t="shared" si="33"/>
        <v>5</v>
      </c>
      <c r="AS758" s="3">
        <f t="shared" si="34"/>
        <v>0</v>
      </c>
      <c r="AT758" s="3" t="str">
        <f>IF(OR(Registered!AM758&gt;0,Registered!AO758&gt;0),(IF(Registered!E758=0,"Size Not Specified",Registered!E758)),"")</f>
        <v/>
      </c>
      <c r="AU758" s="3" t="str">
        <f>IF(Registered!AE758=0,"",IF(Registered!AE758=1,Registered!AE758&amp;" Bandana",Registered!AE758&amp;" Bandanas"))</f>
        <v>2 Bandanas</v>
      </c>
      <c r="AV758" s="3">
        <f t="shared" si="35"/>
        <v>0</v>
      </c>
      <c r="AW758" s="2" t="str">
        <f>IF(Registered!AV758=0,"",IF(Registered!AV758=1,Registered!AV758&amp;" Meal",Registered!AV758&amp;" Meals"))</f>
        <v/>
      </c>
      <c r="AX758" s="2" t="str">
        <f>IF(Registered!AI758=0,"",Registered!AI758&amp;" BG")</f>
        <v/>
      </c>
      <c r="AY758" s="2" t="str">
        <f>IF(Registered!AG758=0,"",Registered!AG758&amp;" DustMask")</f>
        <v>1 DustMask</v>
      </c>
    </row>
    <row r="759" spans="1:51" customFormat="1" x14ac:dyDescent="0.25">
      <c r="A759" t="s">
        <v>253</v>
      </c>
      <c r="B759" t="s">
        <v>4422</v>
      </c>
      <c r="C759" t="s">
        <v>6090</v>
      </c>
      <c r="G759" t="s">
        <v>453</v>
      </c>
      <c r="H759" t="s">
        <v>4422</v>
      </c>
      <c r="I759" t="s">
        <v>4424</v>
      </c>
      <c r="J759" t="s">
        <v>37</v>
      </c>
      <c r="K759" t="s">
        <v>32</v>
      </c>
      <c r="L759" t="s">
        <v>35</v>
      </c>
      <c r="AQ759">
        <v>0</v>
      </c>
      <c r="AR759" s="3">
        <f t="shared" si="33"/>
        <v>0</v>
      </c>
      <c r="AS759" s="3">
        <f t="shared" si="34"/>
        <v>0</v>
      </c>
      <c r="AT759" s="3" t="str">
        <f>IF(OR(Registered!AM759&gt;0,Registered!AO759&gt;0),(IF(Registered!E759=0,"Size Not Specified",Registered!E759)),"")</f>
        <v/>
      </c>
      <c r="AU759" s="3" t="str">
        <f>IF(Registered!AE759=0,"",IF(Registered!AE759=1,Registered!AE759&amp;" Bandana",Registered!AE759&amp;" Bandanas"))</f>
        <v/>
      </c>
      <c r="AV759" s="3">
        <f t="shared" si="35"/>
        <v>0</v>
      </c>
      <c r="AW759" s="2" t="str">
        <f>IF(Registered!AV759=0,"",IF(Registered!AV759=1,Registered!AV759&amp;" Meal",Registered!AV759&amp;" Meals"))</f>
        <v/>
      </c>
      <c r="AX759" s="2" t="str">
        <f>IF(Registered!AI759=0,"",Registered!AI759&amp;" BG")</f>
        <v/>
      </c>
      <c r="AY759" s="2" t="str">
        <f>IF(Registered!AG759=0,"",Registered!AG759&amp;" DustMask")</f>
        <v/>
      </c>
    </row>
    <row r="760" spans="1:51" customFormat="1" x14ac:dyDescent="0.25">
      <c r="A760" t="s">
        <v>88</v>
      </c>
      <c r="B760" t="s">
        <v>4425</v>
      </c>
      <c r="C760" t="s">
        <v>6090</v>
      </c>
      <c r="D760" t="s">
        <v>4426</v>
      </c>
      <c r="F760" t="s">
        <v>261</v>
      </c>
      <c r="I760" t="s">
        <v>4427</v>
      </c>
      <c r="J760" t="s">
        <v>37</v>
      </c>
      <c r="K760" t="s">
        <v>32</v>
      </c>
      <c r="L760" t="s">
        <v>35</v>
      </c>
      <c r="Q760">
        <v>1</v>
      </c>
      <c r="R760">
        <v>3</v>
      </c>
      <c r="AC760">
        <v>1</v>
      </c>
      <c r="AD760">
        <v>10</v>
      </c>
      <c r="AQ760">
        <v>13</v>
      </c>
      <c r="AR760" s="3">
        <f t="shared" si="33"/>
        <v>5</v>
      </c>
      <c r="AS760" s="3">
        <f t="shared" si="34"/>
        <v>0</v>
      </c>
      <c r="AT760" s="3" t="str">
        <f>IF(OR(Registered!AM760&gt;0,Registered!AO760&gt;0),(IF(Registered!E760=0,"Size Not Specified",Registered!E760)),"")</f>
        <v/>
      </c>
      <c r="AU760" s="3" t="str">
        <f>IF(Registered!AE760=0,"",IF(Registered!AE760=1,Registered!AE760&amp;" Bandana",Registered!AE760&amp;" Bandanas"))</f>
        <v/>
      </c>
      <c r="AV760" s="3">
        <f t="shared" si="35"/>
        <v>0</v>
      </c>
      <c r="AW760" s="2" t="str">
        <f>IF(Registered!AV760=0,"",IF(Registered!AV760=1,Registered!AV760&amp;" Meal",Registered!AV760&amp;" Meals"))</f>
        <v/>
      </c>
      <c r="AX760" s="2" t="str">
        <f>IF(Registered!AI760=0,"",Registered!AI760&amp;" BG")</f>
        <v/>
      </c>
      <c r="AY760" s="2" t="str">
        <f>IF(Registered!AG760=0,"",Registered!AG760&amp;" DustMask")</f>
        <v/>
      </c>
    </row>
    <row r="761" spans="1:51" customFormat="1" x14ac:dyDescent="0.25">
      <c r="A761" t="s">
        <v>424</v>
      </c>
      <c r="B761" t="s">
        <v>1268</v>
      </c>
      <c r="C761" t="s">
        <v>6090</v>
      </c>
      <c r="G761" t="s">
        <v>175</v>
      </c>
      <c r="H761" t="s">
        <v>1269</v>
      </c>
      <c r="I761" t="s">
        <v>1270</v>
      </c>
      <c r="J761" t="s">
        <v>37</v>
      </c>
      <c r="K761" t="s">
        <v>32</v>
      </c>
      <c r="L761" t="s">
        <v>35</v>
      </c>
      <c r="AQ761">
        <v>0</v>
      </c>
      <c r="AR761" s="3">
        <f t="shared" si="33"/>
        <v>0</v>
      </c>
      <c r="AS761" s="3">
        <f t="shared" si="34"/>
        <v>0</v>
      </c>
      <c r="AT761" s="3" t="str">
        <f>IF(OR(Registered!AM761&gt;0,Registered!AO761&gt;0),(IF(Registered!E761=0,"Size Not Specified",Registered!E761)),"")</f>
        <v/>
      </c>
      <c r="AU761" s="3" t="str">
        <f>IF(Registered!AE761=0,"",IF(Registered!AE761=1,Registered!AE761&amp;" Bandana",Registered!AE761&amp;" Bandanas"))</f>
        <v/>
      </c>
      <c r="AV761" s="3">
        <f t="shared" si="35"/>
        <v>0</v>
      </c>
      <c r="AW761" s="2" t="str">
        <f>IF(Registered!AV761=0,"",IF(Registered!AV761=1,Registered!AV761&amp;" Meal",Registered!AV761&amp;" Meals"))</f>
        <v/>
      </c>
      <c r="AX761" s="2" t="str">
        <f>IF(Registered!AI761=0,"",Registered!AI761&amp;" BG")</f>
        <v/>
      </c>
      <c r="AY761" s="2" t="str">
        <f>IF(Registered!AG761=0,"",Registered!AG761&amp;" DustMask")</f>
        <v/>
      </c>
    </row>
    <row r="762" spans="1:51" customFormat="1" x14ac:dyDescent="0.25">
      <c r="A762" t="s">
        <v>299</v>
      </c>
      <c r="B762" t="s">
        <v>1268</v>
      </c>
      <c r="C762" t="s">
        <v>6090</v>
      </c>
      <c r="G762" t="s">
        <v>136</v>
      </c>
      <c r="H762" t="s">
        <v>1406</v>
      </c>
      <c r="I762" t="s">
        <v>4428</v>
      </c>
      <c r="J762" t="s">
        <v>37</v>
      </c>
      <c r="K762" t="s">
        <v>32</v>
      </c>
      <c r="L762" t="s">
        <v>35</v>
      </c>
      <c r="AQ762">
        <v>0</v>
      </c>
      <c r="AR762" s="3">
        <f t="shared" si="33"/>
        <v>0</v>
      </c>
      <c r="AS762" s="3">
        <f t="shared" si="34"/>
        <v>0</v>
      </c>
      <c r="AT762" s="3" t="str">
        <f>IF(OR(Registered!AM762&gt;0,Registered!AO762&gt;0),(IF(Registered!E762=0,"Size Not Specified",Registered!E762)),"")</f>
        <v/>
      </c>
      <c r="AU762" s="3" t="str">
        <f>IF(Registered!AE762=0,"",IF(Registered!AE762=1,Registered!AE762&amp;" Bandana",Registered!AE762&amp;" Bandanas"))</f>
        <v/>
      </c>
      <c r="AV762" s="3">
        <f t="shared" si="35"/>
        <v>0</v>
      </c>
      <c r="AW762" s="2" t="str">
        <f>IF(Registered!AV762=0,"",IF(Registered!AV762=1,Registered!AV762&amp;" Meal",Registered!AV762&amp;" Meals"))</f>
        <v/>
      </c>
      <c r="AX762" s="2" t="str">
        <f>IF(Registered!AI762=0,"",Registered!AI762&amp;" BG")</f>
        <v/>
      </c>
      <c r="AY762" s="2" t="str">
        <f>IF(Registered!AG762=0,"",Registered!AG762&amp;" DustMask")</f>
        <v/>
      </c>
    </row>
    <row r="763" spans="1:51" customFormat="1" x14ac:dyDescent="0.25">
      <c r="A763" t="s">
        <v>166</v>
      </c>
      <c r="B763" t="s">
        <v>4433</v>
      </c>
      <c r="C763" t="s">
        <v>6090</v>
      </c>
      <c r="D763" t="s">
        <v>4434</v>
      </c>
      <c r="F763" t="s">
        <v>261</v>
      </c>
      <c r="I763" t="s">
        <v>4435</v>
      </c>
      <c r="J763" t="s">
        <v>37</v>
      </c>
      <c r="K763" t="s">
        <v>32</v>
      </c>
      <c r="L763" t="s">
        <v>35</v>
      </c>
      <c r="Q763">
        <v>1</v>
      </c>
      <c r="R763">
        <v>3</v>
      </c>
      <c r="AC763">
        <v>1</v>
      </c>
      <c r="AD763">
        <v>10</v>
      </c>
      <c r="AQ763">
        <v>13</v>
      </c>
      <c r="AR763" s="3">
        <f t="shared" si="33"/>
        <v>5</v>
      </c>
      <c r="AS763" s="3">
        <f t="shared" si="34"/>
        <v>0</v>
      </c>
      <c r="AT763" s="3" t="str">
        <f>IF(OR(Registered!AM763&gt;0,Registered!AO763&gt;0),(IF(Registered!E763=0,"Size Not Specified",Registered!E763)),"")</f>
        <v/>
      </c>
      <c r="AU763" s="3" t="str">
        <f>IF(Registered!AE763=0,"",IF(Registered!AE763=1,Registered!AE763&amp;" Bandana",Registered!AE763&amp;" Bandanas"))</f>
        <v/>
      </c>
      <c r="AV763" s="3">
        <f t="shared" si="35"/>
        <v>0</v>
      </c>
      <c r="AW763" s="2" t="str">
        <f>IF(Registered!AV763=0,"",IF(Registered!AV763=1,Registered!AV763&amp;" Meal",Registered!AV763&amp;" Meals"))</f>
        <v/>
      </c>
      <c r="AX763" s="2" t="str">
        <f>IF(Registered!AI763=0,"",Registered!AI763&amp;" BG")</f>
        <v/>
      </c>
      <c r="AY763" s="2" t="str">
        <f>IF(Registered!AG763=0,"",Registered!AG763&amp;" DustMask")</f>
        <v/>
      </c>
    </row>
    <row r="764" spans="1:51" customFormat="1" x14ac:dyDescent="0.25">
      <c r="A764" t="s">
        <v>1271</v>
      </c>
      <c r="B764" t="s">
        <v>1272</v>
      </c>
      <c r="C764" t="s">
        <v>6090</v>
      </c>
      <c r="D764" t="s">
        <v>1271</v>
      </c>
      <c r="F764" t="s">
        <v>261</v>
      </c>
      <c r="I764" t="s">
        <v>1273</v>
      </c>
      <c r="J764" t="s">
        <v>37</v>
      </c>
      <c r="K764" t="s">
        <v>32</v>
      </c>
      <c r="L764" t="s">
        <v>35</v>
      </c>
      <c r="S764">
        <v>1</v>
      </c>
      <c r="T764">
        <v>3</v>
      </c>
      <c r="W764">
        <v>1</v>
      </c>
      <c r="X764">
        <v>40</v>
      </c>
      <c r="AQ764">
        <v>43</v>
      </c>
      <c r="AR764" s="3">
        <f t="shared" si="33"/>
        <v>20</v>
      </c>
      <c r="AS764" s="3">
        <f t="shared" si="34"/>
        <v>0</v>
      </c>
      <c r="AT764" s="3" t="str">
        <f>IF(OR(Registered!AM764&gt;0,Registered!AO764&gt;0),(IF(Registered!E764=0,"Size Not Specified",Registered!E764)),"")</f>
        <v/>
      </c>
      <c r="AU764" s="3" t="str">
        <f>IF(Registered!AE764=0,"",IF(Registered!AE764=1,Registered!AE764&amp;" Bandana",Registered!AE764&amp;" Bandanas"))</f>
        <v/>
      </c>
      <c r="AV764" s="3">
        <f t="shared" si="35"/>
        <v>0</v>
      </c>
      <c r="AW764" s="2" t="str">
        <f>IF(Registered!AV764=0,"",IF(Registered!AV764=1,Registered!AV764&amp;" Meal",Registered!AV764&amp;" Meals"))</f>
        <v/>
      </c>
      <c r="AX764" s="2" t="str">
        <f>IF(Registered!AI764=0,"",Registered!AI764&amp;" BG")</f>
        <v/>
      </c>
      <c r="AY764" s="2" t="str">
        <f>IF(Registered!AG764=0,"",Registered!AG764&amp;" DustMask")</f>
        <v/>
      </c>
    </row>
    <row r="765" spans="1:51" customFormat="1" x14ac:dyDescent="0.25">
      <c r="A765" t="s">
        <v>4436</v>
      </c>
      <c r="B765" t="s">
        <v>1272</v>
      </c>
      <c r="C765" t="s">
        <v>6090</v>
      </c>
      <c r="D765" t="s">
        <v>4437</v>
      </c>
      <c r="F765" t="s">
        <v>261</v>
      </c>
      <c r="I765" t="s">
        <v>4438</v>
      </c>
      <c r="J765" t="s">
        <v>37</v>
      </c>
      <c r="K765" t="s">
        <v>32</v>
      </c>
      <c r="L765" t="s">
        <v>35</v>
      </c>
      <c r="Q765">
        <v>3</v>
      </c>
      <c r="R765">
        <v>3</v>
      </c>
      <c r="W765">
        <v>1</v>
      </c>
      <c r="X765">
        <v>40</v>
      </c>
      <c r="AQ765">
        <v>49</v>
      </c>
      <c r="AR765" s="3">
        <f t="shared" si="33"/>
        <v>20</v>
      </c>
      <c r="AS765" s="3">
        <f t="shared" si="34"/>
        <v>0</v>
      </c>
      <c r="AT765" s="3" t="str">
        <f>IF(OR(Registered!AM765&gt;0,Registered!AO765&gt;0),(IF(Registered!E765=0,"Size Not Specified",Registered!E765)),"")</f>
        <v/>
      </c>
      <c r="AU765" s="3" t="str">
        <f>IF(Registered!AE765=0,"",IF(Registered!AE765=1,Registered!AE765&amp;" Bandana",Registered!AE765&amp;" Bandanas"))</f>
        <v/>
      </c>
      <c r="AV765" s="3">
        <f t="shared" si="35"/>
        <v>0</v>
      </c>
      <c r="AW765" s="2" t="str">
        <f>IF(Registered!AV765=0,"",IF(Registered!AV765=1,Registered!AV765&amp;" Meal",Registered!AV765&amp;" Meals"))</f>
        <v/>
      </c>
      <c r="AX765" s="2" t="str">
        <f>IF(Registered!AI765=0,"",Registered!AI765&amp;" BG")</f>
        <v/>
      </c>
      <c r="AY765" s="2" t="str">
        <f>IF(Registered!AG765=0,"",Registered!AG765&amp;" DustMask")</f>
        <v/>
      </c>
    </row>
    <row r="766" spans="1:51" customFormat="1" x14ac:dyDescent="0.25">
      <c r="A766" t="s">
        <v>715</v>
      </c>
      <c r="B766" t="s">
        <v>1272</v>
      </c>
      <c r="C766" t="s">
        <v>6090</v>
      </c>
      <c r="G766" t="s">
        <v>4436</v>
      </c>
      <c r="H766" t="s">
        <v>1272</v>
      </c>
      <c r="I766" t="s">
        <v>4438</v>
      </c>
      <c r="J766" t="s">
        <v>37</v>
      </c>
      <c r="K766" t="s">
        <v>32</v>
      </c>
      <c r="L766" t="s">
        <v>35</v>
      </c>
      <c r="AQ766">
        <v>0</v>
      </c>
      <c r="AR766" s="3">
        <f t="shared" si="33"/>
        <v>0</v>
      </c>
      <c r="AS766" s="3">
        <f t="shared" si="34"/>
        <v>0</v>
      </c>
      <c r="AT766" s="3" t="str">
        <f>IF(OR(Registered!AM766&gt;0,Registered!AO766&gt;0),(IF(Registered!E766=0,"Size Not Specified",Registered!E766)),"")</f>
        <v/>
      </c>
      <c r="AU766" s="3" t="str">
        <f>IF(Registered!AE766=0,"",IF(Registered!AE766=1,Registered!AE766&amp;" Bandana",Registered!AE766&amp;" Bandanas"))</f>
        <v/>
      </c>
      <c r="AV766" s="3">
        <f t="shared" si="35"/>
        <v>0</v>
      </c>
      <c r="AW766" s="2" t="str">
        <f>IF(Registered!AV766=0,"",IF(Registered!AV766=1,Registered!AV766&amp;" Meal",Registered!AV766&amp;" Meals"))</f>
        <v/>
      </c>
      <c r="AX766" s="2" t="str">
        <f>IF(Registered!AI766=0,"",Registered!AI766&amp;" BG")</f>
        <v/>
      </c>
      <c r="AY766" s="2" t="str">
        <f>IF(Registered!AG766=0,"",Registered!AG766&amp;" DustMask")</f>
        <v/>
      </c>
    </row>
    <row r="767" spans="1:51" customFormat="1" x14ac:dyDescent="0.25">
      <c r="A767" t="s">
        <v>1274</v>
      </c>
      <c r="B767" t="s">
        <v>1275</v>
      </c>
      <c r="C767" t="s">
        <v>6090</v>
      </c>
      <c r="D767" t="s">
        <v>1276</v>
      </c>
      <c r="E767" t="s">
        <v>1277</v>
      </c>
      <c r="F767" t="s">
        <v>261</v>
      </c>
      <c r="I767" t="s">
        <v>1278</v>
      </c>
      <c r="J767" t="s">
        <v>37</v>
      </c>
      <c r="K767" t="s">
        <v>32</v>
      </c>
      <c r="L767" t="s">
        <v>35</v>
      </c>
      <c r="S767">
        <v>2</v>
      </c>
      <c r="T767">
        <v>3</v>
      </c>
      <c r="AC767">
        <v>1</v>
      </c>
      <c r="AD767">
        <v>10</v>
      </c>
      <c r="AM767">
        <v>2</v>
      </c>
      <c r="AN767">
        <v>25</v>
      </c>
      <c r="AQ767">
        <v>66</v>
      </c>
      <c r="AR767" s="3">
        <f t="shared" si="33"/>
        <v>15</v>
      </c>
      <c r="AS767" s="3">
        <f t="shared" si="34"/>
        <v>2</v>
      </c>
      <c r="AT767" s="3" t="str">
        <f>IF(OR(Registered!AM767&gt;0,Registered!AO767&gt;0),(IF(Registered!E767=0,"Size Not Specified",Registered!E767)),"")</f>
        <v>Larges</v>
      </c>
      <c r="AU767" s="3" t="str">
        <f>IF(Registered!AE767=0,"",IF(Registered!AE767=1,Registered!AE767&amp;" Bandana",Registered!AE767&amp;" Bandanas"))</f>
        <v/>
      </c>
      <c r="AV767" s="3">
        <f t="shared" si="35"/>
        <v>2</v>
      </c>
      <c r="AW767" s="2" t="str">
        <f>IF(Registered!AV767=0,"",IF(Registered!AV767=1,Registered!AV767&amp;" Meal",Registered!AV767&amp;" Meals"))</f>
        <v>2 Meals</v>
      </c>
      <c r="AX767" s="2" t="str">
        <f>IF(Registered!AI767=0,"",Registered!AI767&amp;" BG")</f>
        <v/>
      </c>
      <c r="AY767" s="2" t="str">
        <f>IF(Registered!AG767=0,"",Registered!AG767&amp;" DustMask")</f>
        <v/>
      </c>
    </row>
    <row r="768" spans="1:51" customFormat="1" x14ac:dyDescent="0.25">
      <c r="A768" t="s">
        <v>284</v>
      </c>
      <c r="B768" t="s">
        <v>1275</v>
      </c>
      <c r="C768" t="s">
        <v>6090</v>
      </c>
      <c r="G768" t="s">
        <v>4323</v>
      </c>
      <c r="H768" t="s">
        <v>4324</v>
      </c>
      <c r="I768" t="s">
        <v>4326</v>
      </c>
      <c r="J768" t="s">
        <v>37</v>
      </c>
      <c r="K768" t="s">
        <v>32</v>
      </c>
      <c r="L768" t="s">
        <v>35</v>
      </c>
      <c r="AQ768">
        <v>0</v>
      </c>
      <c r="AR768" s="3">
        <f t="shared" si="33"/>
        <v>0</v>
      </c>
      <c r="AS768" s="3">
        <f t="shared" si="34"/>
        <v>0</v>
      </c>
      <c r="AT768" s="3" t="str">
        <f>IF(OR(Registered!AM768&gt;0,Registered!AO768&gt;0),(IF(Registered!E768=0,"Size Not Specified",Registered!E768)),"")</f>
        <v/>
      </c>
      <c r="AU768" s="3" t="str">
        <f>IF(Registered!AE768=0,"",IF(Registered!AE768=1,Registered!AE768&amp;" Bandana",Registered!AE768&amp;" Bandanas"))</f>
        <v/>
      </c>
      <c r="AV768" s="3">
        <f t="shared" si="35"/>
        <v>0</v>
      </c>
      <c r="AW768" s="2" t="str">
        <f>IF(Registered!AV768=0,"",IF(Registered!AV768=1,Registered!AV768&amp;" Meal",Registered!AV768&amp;" Meals"))</f>
        <v/>
      </c>
      <c r="AX768" s="2" t="str">
        <f>IF(Registered!AI768=0,"",Registered!AI768&amp;" BG")</f>
        <v/>
      </c>
      <c r="AY768" s="2" t="str">
        <f>IF(Registered!AG768=0,"",Registered!AG768&amp;" DustMask")</f>
        <v/>
      </c>
    </row>
    <row r="769" spans="1:51" customFormat="1" x14ac:dyDescent="0.25">
      <c r="A769" t="s">
        <v>498</v>
      </c>
      <c r="B769" t="s">
        <v>1275</v>
      </c>
      <c r="C769" t="s">
        <v>6090</v>
      </c>
      <c r="G769" t="s">
        <v>4323</v>
      </c>
      <c r="H769" t="s">
        <v>4324</v>
      </c>
      <c r="I769" t="s">
        <v>4326</v>
      </c>
      <c r="J769" t="s">
        <v>37</v>
      </c>
      <c r="K769" t="s">
        <v>32</v>
      </c>
      <c r="L769" t="s">
        <v>35</v>
      </c>
      <c r="AQ769">
        <v>0</v>
      </c>
      <c r="AR769" s="3">
        <f t="shared" si="33"/>
        <v>0</v>
      </c>
      <c r="AS769" s="3">
        <f t="shared" si="34"/>
        <v>0</v>
      </c>
      <c r="AT769" s="3" t="str">
        <f>IF(OR(Registered!AM769&gt;0,Registered!AO769&gt;0),(IF(Registered!E769=0,"Size Not Specified",Registered!E769)),"")</f>
        <v/>
      </c>
      <c r="AU769" s="3" t="str">
        <f>IF(Registered!AE769=0,"",IF(Registered!AE769=1,Registered!AE769&amp;" Bandana",Registered!AE769&amp;" Bandanas"))</f>
        <v/>
      </c>
      <c r="AV769" s="3">
        <f t="shared" si="35"/>
        <v>0</v>
      </c>
      <c r="AW769" s="2" t="str">
        <f>IF(Registered!AV769=0,"",IF(Registered!AV769=1,Registered!AV769&amp;" Meal",Registered!AV769&amp;" Meals"))</f>
        <v/>
      </c>
      <c r="AX769" s="2" t="str">
        <f>IF(Registered!AI769=0,"",Registered!AI769&amp;" BG")</f>
        <v/>
      </c>
      <c r="AY769" s="2" t="str">
        <f>IF(Registered!AG769=0,"",Registered!AG769&amp;" DustMask")</f>
        <v/>
      </c>
    </row>
    <row r="770" spans="1:51" customFormat="1" x14ac:dyDescent="0.25">
      <c r="A770" t="s">
        <v>253</v>
      </c>
      <c r="B770" t="s">
        <v>1279</v>
      </c>
      <c r="C770" t="s">
        <v>6090</v>
      </c>
      <c r="G770" t="s">
        <v>603</v>
      </c>
      <c r="H770" t="s">
        <v>1280</v>
      </c>
      <c r="I770" t="s">
        <v>1281</v>
      </c>
      <c r="J770" t="s">
        <v>37</v>
      </c>
      <c r="K770" t="s">
        <v>32</v>
      </c>
      <c r="L770" t="s">
        <v>35</v>
      </c>
      <c r="AQ770">
        <v>0</v>
      </c>
      <c r="AR770" s="3">
        <f t="shared" ref="AR770:AR833" si="36">IF(ISTEXT(AM770)=TRUE,"",SUM(U770*10,W770*20,Y770*30,AA770*40,AC770*5,AM770*5))</f>
        <v>0</v>
      </c>
      <c r="AS770" s="3">
        <f t="shared" ref="AS770:AS833" si="37">IF(ISTEXT(AM770)=TRUE,"",SUM(AM770,AO770))</f>
        <v>0</v>
      </c>
      <c r="AT770" s="3" t="str">
        <f>IF(OR(Registered!AM770&gt;0,Registered!AO770&gt;0),(IF(Registered!E770=0,"Size Not Specified",Registered!E770)),"")</f>
        <v/>
      </c>
      <c r="AU770" s="3" t="str">
        <f>IF(Registered!AE770=0,"",IF(Registered!AE770=1,Registered!AE770&amp;" Bandana",Registered!AE770&amp;" Bandanas"))</f>
        <v/>
      </c>
      <c r="AV770" s="3">
        <f t="shared" ref="AV770:AV833" si="38">IF(ISTEXT(AM770)=TRUE,"",SUM(AM770,AK770))</f>
        <v>0</v>
      </c>
      <c r="AW770" s="2" t="str">
        <f>IF(Registered!AV770=0,"",IF(Registered!AV770=1,Registered!AV770&amp;" Meal",Registered!AV770&amp;" Meals"))</f>
        <v/>
      </c>
      <c r="AX770" s="2" t="str">
        <f>IF(Registered!AI770=0,"",Registered!AI770&amp;" BG")</f>
        <v/>
      </c>
      <c r="AY770" s="2" t="str">
        <f>IF(Registered!AG770=0,"",Registered!AG770&amp;" DustMask")</f>
        <v/>
      </c>
    </row>
    <row r="771" spans="1:51" customFormat="1" x14ac:dyDescent="0.25">
      <c r="A771" t="s">
        <v>857</v>
      </c>
      <c r="B771" t="s">
        <v>858</v>
      </c>
      <c r="C771" t="s">
        <v>6090</v>
      </c>
      <c r="D771" t="s">
        <v>1282</v>
      </c>
      <c r="F771" t="s">
        <v>261</v>
      </c>
      <c r="I771" t="s">
        <v>859</v>
      </c>
      <c r="J771" t="s">
        <v>37</v>
      </c>
      <c r="K771" t="s">
        <v>32</v>
      </c>
      <c r="L771" t="s">
        <v>35</v>
      </c>
      <c r="S771">
        <v>2</v>
      </c>
      <c r="T771">
        <v>3</v>
      </c>
      <c r="AC771">
        <v>2</v>
      </c>
      <c r="AD771">
        <v>10</v>
      </c>
      <c r="AQ771">
        <v>26</v>
      </c>
      <c r="AR771" s="3">
        <f t="shared" si="36"/>
        <v>10</v>
      </c>
      <c r="AS771" s="3">
        <f t="shared" si="37"/>
        <v>0</v>
      </c>
      <c r="AT771" s="3" t="str">
        <f>IF(OR(Registered!AM771&gt;0,Registered!AO771&gt;0),(IF(Registered!E771=0,"Size Not Specified",Registered!E771)),"")</f>
        <v/>
      </c>
      <c r="AU771" s="3" t="str">
        <f>IF(Registered!AE771=0,"",IF(Registered!AE771=1,Registered!AE771&amp;" Bandana",Registered!AE771&amp;" Bandanas"))</f>
        <v/>
      </c>
      <c r="AV771" s="3">
        <f t="shared" si="38"/>
        <v>0</v>
      </c>
      <c r="AW771" s="2" t="str">
        <f>IF(Registered!AV771=0,"",IF(Registered!AV771=1,Registered!AV771&amp;" Meal",Registered!AV771&amp;" Meals"))</f>
        <v/>
      </c>
      <c r="AX771" s="2" t="str">
        <f>IF(Registered!AI771=0,"",Registered!AI771&amp;" BG")</f>
        <v/>
      </c>
      <c r="AY771" s="2" t="str">
        <f>IF(Registered!AG771=0,"",Registered!AG771&amp;" DustMask")</f>
        <v/>
      </c>
    </row>
    <row r="772" spans="1:51" customFormat="1" x14ac:dyDescent="0.25">
      <c r="A772" t="s">
        <v>97</v>
      </c>
      <c r="B772" t="s">
        <v>1283</v>
      </c>
      <c r="C772" t="s">
        <v>6090</v>
      </c>
      <c r="D772" t="s">
        <v>1284</v>
      </c>
      <c r="E772" t="s">
        <v>1285</v>
      </c>
      <c r="F772" t="s">
        <v>261</v>
      </c>
      <c r="I772" t="s">
        <v>1286</v>
      </c>
      <c r="J772" t="s">
        <v>37</v>
      </c>
      <c r="K772" t="s">
        <v>32</v>
      </c>
      <c r="L772" t="s">
        <v>35</v>
      </c>
      <c r="Q772">
        <v>2</v>
      </c>
      <c r="R772">
        <v>3</v>
      </c>
      <c r="AC772">
        <v>1</v>
      </c>
      <c r="AD772">
        <v>10</v>
      </c>
      <c r="AQ772">
        <v>16</v>
      </c>
      <c r="AR772" s="3">
        <f t="shared" si="36"/>
        <v>5</v>
      </c>
      <c r="AS772" s="3">
        <f t="shared" si="37"/>
        <v>0</v>
      </c>
      <c r="AT772" s="3" t="str">
        <f>IF(OR(Registered!AM772&gt;0,Registered!AO772&gt;0),(IF(Registered!E772=0,"Size Not Specified",Registered!E772)),"")</f>
        <v/>
      </c>
      <c r="AU772" s="3" t="str">
        <f>IF(Registered!AE772=0,"",IF(Registered!AE772=1,Registered!AE772&amp;" Bandana",Registered!AE772&amp;" Bandanas"))</f>
        <v/>
      </c>
      <c r="AV772" s="3">
        <f t="shared" si="38"/>
        <v>0</v>
      </c>
      <c r="AW772" s="2" t="str">
        <f>IF(Registered!AV772=0,"",IF(Registered!AV772=1,Registered!AV772&amp;" Meal",Registered!AV772&amp;" Meals"))</f>
        <v/>
      </c>
      <c r="AX772" s="2" t="str">
        <f>IF(Registered!AI772=0,"",Registered!AI772&amp;" BG")</f>
        <v/>
      </c>
      <c r="AY772" s="2" t="str">
        <f>IF(Registered!AG772=0,"",Registered!AG772&amp;" DustMask")</f>
        <v/>
      </c>
    </row>
    <row r="773" spans="1:51" customFormat="1" x14ac:dyDescent="0.25">
      <c r="A773" t="s">
        <v>2955</v>
      </c>
      <c r="B773" t="s">
        <v>2956</v>
      </c>
      <c r="C773" t="s">
        <v>6090</v>
      </c>
      <c r="D773" t="s">
        <v>2957</v>
      </c>
      <c r="F773" t="s">
        <v>261</v>
      </c>
      <c r="I773" t="s">
        <v>2958</v>
      </c>
      <c r="J773" t="s">
        <v>37</v>
      </c>
      <c r="K773" t="s">
        <v>32</v>
      </c>
      <c r="L773" t="s">
        <v>35</v>
      </c>
      <c r="Q773">
        <v>1</v>
      </c>
      <c r="R773">
        <v>3</v>
      </c>
      <c r="U773">
        <v>1</v>
      </c>
      <c r="V773">
        <v>20</v>
      </c>
      <c r="AC773">
        <v>1</v>
      </c>
      <c r="AD773">
        <v>10</v>
      </c>
      <c r="AG773">
        <v>2</v>
      </c>
      <c r="AH773">
        <v>1</v>
      </c>
      <c r="AQ773">
        <v>35</v>
      </c>
      <c r="AR773" s="3">
        <f t="shared" si="36"/>
        <v>15</v>
      </c>
      <c r="AS773" s="3">
        <f t="shared" si="37"/>
        <v>0</v>
      </c>
      <c r="AT773" s="3" t="str">
        <f>IF(OR(Registered!AM773&gt;0,Registered!AO773&gt;0),(IF(Registered!E773=0,"Size Not Specified",Registered!E773)),"")</f>
        <v/>
      </c>
      <c r="AU773" s="3" t="str">
        <f>IF(Registered!AE773=0,"",IF(Registered!AE773=1,Registered!AE773&amp;" Bandana",Registered!AE773&amp;" Bandanas"))</f>
        <v/>
      </c>
      <c r="AV773" s="3">
        <f t="shared" si="38"/>
        <v>0</v>
      </c>
      <c r="AW773" s="2" t="str">
        <f>IF(Registered!AV773=0,"",IF(Registered!AV773=1,Registered!AV773&amp;" Meal",Registered!AV773&amp;" Meals"))</f>
        <v/>
      </c>
      <c r="AX773" s="2" t="str">
        <f>IF(Registered!AI773=0,"",Registered!AI773&amp;" BG")</f>
        <v/>
      </c>
      <c r="AY773" s="2" t="str">
        <f>IF(Registered!AG773=0,"",Registered!AG773&amp;" DustMask")</f>
        <v>2 DustMask</v>
      </c>
    </row>
    <row r="774" spans="1:51" customFormat="1" x14ac:dyDescent="0.25">
      <c r="A774" t="s">
        <v>489</v>
      </c>
      <c r="B774" t="s">
        <v>4439</v>
      </c>
      <c r="C774" t="s">
        <v>6090</v>
      </c>
      <c r="G774" t="s">
        <v>3565</v>
      </c>
      <c r="H774" t="s">
        <v>1575</v>
      </c>
      <c r="I774" t="s">
        <v>3566</v>
      </c>
      <c r="J774" t="s">
        <v>37</v>
      </c>
      <c r="K774" t="s">
        <v>32</v>
      </c>
      <c r="L774" t="s">
        <v>35</v>
      </c>
      <c r="AQ774">
        <v>0</v>
      </c>
      <c r="AR774" s="3">
        <f t="shared" si="36"/>
        <v>0</v>
      </c>
      <c r="AS774" s="3">
        <f t="shared" si="37"/>
        <v>0</v>
      </c>
      <c r="AT774" s="3" t="str">
        <f>IF(OR(Registered!AM774&gt;0,Registered!AO774&gt;0),(IF(Registered!E774=0,"Size Not Specified",Registered!E774)),"")</f>
        <v/>
      </c>
      <c r="AU774" s="3" t="str">
        <f>IF(Registered!AE774=0,"",IF(Registered!AE774=1,Registered!AE774&amp;" Bandana",Registered!AE774&amp;" Bandanas"))</f>
        <v/>
      </c>
      <c r="AV774" s="3">
        <f t="shared" si="38"/>
        <v>0</v>
      </c>
      <c r="AW774" s="2" t="str">
        <f>IF(Registered!AV774=0,"",IF(Registered!AV774=1,Registered!AV774&amp;" Meal",Registered!AV774&amp;" Meals"))</f>
        <v/>
      </c>
      <c r="AX774" s="2" t="str">
        <f>IF(Registered!AI774=0,"",Registered!AI774&amp;" BG")</f>
        <v/>
      </c>
      <c r="AY774" s="2" t="str">
        <f>IF(Registered!AG774=0,"",Registered!AG774&amp;" DustMask")</f>
        <v/>
      </c>
    </row>
    <row r="775" spans="1:51" customFormat="1" x14ac:dyDescent="0.25">
      <c r="A775" t="s">
        <v>344</v>
      </c>
      <c r="B775" t="s">
        <v>345</v>
      </c>
      <c r="C775" t="s">
        <v>6090</v>
      </c>
      <c r="D775" t="s">
        <v>1287</v>
      </c>
      <c r="E775" t="s">
        <v>216</v>
      </c>
      <c r="F775" t="s">
        <v>261</v>
      </c>
      <c r="I775" t="s">
        <v>1288</v>
      </c>
      <c r="J775" t="s">
        <v>37</v>
      </c>
      <c r="K775" t="s">
        <v>32</v>
      </c>
      <c r="L775" t="s">
        <v>35</v>
      </c>
      <c r="Q775">
        <v>1</v>
      </c>
      <c r="R775">
        <v>3</v>
      </c>
      <c r="AC775">
        <v>1</v>
      </c>
      <c r="AD775">
        <v>10</v>
      </c>
      <c r="AE775">
        <v>1</v>
      </c>
      <c r="AF775">
        <v>6</v>
      </c>
      <c r="AO775">
        <v>1</v>
      </c>
      <c r="AP775">
        <v>10</v>
      </c>
      <c r="AQ775">
        <v>29</v>
      </c>
      <c r="AR775" s="3">
        <f t="shared" si="36"/>
        <v>5</v>
      </c>
      <c r="AS775" s="3">
        <f t="shared" si="37"/>
        <v>1</v>
      </c>
      <c r="AT775" s="3" t="str">
        <f>IF(OR(Registered!AM775&gt;0,Registered!AO775&gt;0),(IF(Registered!E775=0,"Size Not Specified",Registered!E775)),"")</f>
        <v>large</v>
      </c>
      <c r="AU775" s="3" t="str">
        <f>IF(Registered!AE775=0,"",IF(Registered!AE775=1,Registered!AE775&amp;" Bandana",Registered!AE775&amp;" Bandanas"))</f>
        <v>1 Bandana</v>
      </c>
      <c r="AV775" s="3">
        <f t="shared" si="38"/>
        <v>0</v>
      </c>
      <c r="AW775" s="2" t="str">
        <f>IF(Registered!AV775=0,"",IF(Registered!AV775=1,Registered!AV775&amp;" Meal",Registered!AV775&amp;" Meals"))</f>
        <v/>
      </c>
      <c r="AX775" s="2" t="str">
        <f>IF(Registered!AI775=0,"",Registered!AI775&amp;" BG")</f>
        <v/>
      </c>
      <c r="AY775" s="2" t="str">
        <f>IF(Registered!AG775=0,"",Registered!AG775&amp;" DustMask")</f>
        <v/>
      </c>
    </row>
    <row r="776" spans="1:51" customFormat="1" x14ac:dyDescent="0.25">
      <c r="A776" t="s">
        <v>122</v>
      </c>
      <c r="B776" t="s">
        <v>1289</v>
      </c>
      <c r="C776" t="s">
        <v>6090</v>
      </c>
      <c r="G776" t="s">
        <v>166</v>
      </c>
      <c r="H776" t="s">
        <v>628</v>
      </c>
      <c r="I776" t="s">
        <v>635</v>
      </c>
      <c r="J776" t="s">
        <v>37</v>
      </c>
      <c r="K776" t="s">
        <v>32</v>
      </c>
      <c r="L776" t="s">
        <v>35</v>
      </c>
      <c r="AQ776">
        <v>0</v>
      </c>
      <c r="AR776" s="3">
        <f t="shared" si="36"/>
        <v>0</v>
      </c>
      <c r="AS776" s="3">
        <f t="shared" si="37"/>
        <v>0</v>
      </c>
      <c r="AT776" s="3" t="str">
        <f>IF(OR(Registered!AM776&gt;0,Registered!AO776&gt;0),(IF(Registered!E776=0,"Size Not Specified",Registered!E776)),"")</f>
        <v/>
      </c>
      <c r="AU776" s="3" t="str">
        <f>IF(Registered!AE776=0,"",IF(Registered!AE776=1,Registered!AE776&amp;" Bandana",Registered!AE776&amp;" Bandanas"))</f>
        <v/>
      </c>
      <c r="AV776" s="3">
        <f t="shared" si="38"/>
        <v>0</v>
      </c>
      <c r="AW776" s="2" t="str">
        <f>IF(Registered!AV776=0,"",IF(Registered!AV776=1,Registered!AV776&amp;" Meal",Registered!AV776&amp;" Meals"))</f>
        <v/>
      </c>
      <c r="AX776" s="2" t="str">
        <f>IF(Registered!AI776=0,"",Registered!AI776&amp;" BG")</f>
        <v/>
      </c>
      <c r="AY776" s="2" t="str">
        <f>IF(Registered!AG776=0,"",Registered!AG776&amp;" DustMask")</f>
        <v/>
      </c>
    </row>
    <row r="777" spans="1:51" customFormat="1" x14ac:dyDescent="0.25">
      <c r="A777" t="s">
        <v>317</v>
      </c>
      <c r="B777" t="s">
        <v>4440</v>
      </c>
      <c r="C777" t="s">
        <v>6090</v>
      </c>
      <c r="D777" t="s">
        <v>4441</v>
      </c>
      <c r="F777" t="s">
        <v>261</v>
      </c>
      <c r="I777" t="s">
        <v>4442</v>
      </c>
      <c r="J777" t="s">
        <v>37</v>
      </c>
      <c r="K777" t="s">
        <v>32</v>
      </c>
      <c r="L777" t="s">
        <v>35</v>
      </c>
      <c r="Q777">
        <v>1</v>
      </c>
      <c r="R777">
        <v>3</v>
      </c>
      <c r="AC777">
        <v>1</v>
      </c>
      <c r="AD777">
        <v>10</v>
      </c>
      <c r="AQ777">
        <v>13</v>
      </c>
      <c r="AR777" s="3">
        <f t="shared" si="36"/>
        <v>5</v>
      </c>
      <c r="AS777" s="3">
        <f t="shared" si="37"/>
        <v>0</v>
      </c>
      <c r="AT777" s="3" t="str">
        <f>IF(OR(Registered!AM777&gt;0,Registered!AO777&gt;0),(IF(Registered!E777=0,"Size Not Specified",Registered!E777)),"")</f>
        <v/>
      </c>
      <c r="AU777" s="3" t="str">
        <f>IF(Registered!AE777=0,"",IF(Registered!AE777=1,Registered!AE777&amp;" Bandana",Registered!AE777&amp;" Bandanas"))</f>
        <v/>
      </c>
      <c r="AV777" s="3">
        <f t="shared" si="38"/>
        <v>0</v>
      </c>
      <c r="AW777" s="2" t="str">
        <f>IF(Registered!AV777=0,"",IF(Registered!AV777=1,Registered!AV777&amp;" Meal",Registered!AV777&amp;" Meals"))</f>
        <v/>
      </c>
      <c r="AX777" s="2" t="str">
        <f>IF(Registered!AI777=0,"",Registered!AI777&amp;" BG")</f>
        <v/>
      </c>
      <c r="AY777" s="2" t="str">
        <f>IF(Registered!AG777=0,"",Registered!AG777&amp;" DustMask")</f>
        <v/>
      </c>
    </row>
    <row r="778" spans="1:51" customFormat="1" x14ac:dyDescent="0.25">
      <c r="A778" t="s">
        <v>112</v>
      </c>
      <c r="B778" t="s">
        <v>4440</v>
      </c>
      <c r="C778" t="s">
        <v>6090</v>
      </c>
      <c r="G778" t="s">
        <v>1557</v>
      </c>
      <c r="H778" t="s">
        <v>151</v>
      </c>
      <c r="I778" t="s">
        <v>4443</v>
      </c>
      <c r="J778" t="s">
        <v>37</v>
      </c>
      <c r="K778" t="s">
        <v>32</v>
      </c>
      <c r="L778" t="s">
        <v>35</v>
      </c>
      <c r="AQ778">
        <v>0</v>
      </c>
      <c r="AR778" s="3">
        <f t="shared" si="36"/>
        <v>0</v>
      </c>
      <c r="AS778" s="3">
        <f t="shared" si="37"/>
        <v>0</v>
      </c>
      <c r="AT778" s="3" t="str">
        <f>IF(OR(Registered!AM778&gt;0,Registered!AO778&gt;0),(IF(Registered!E778=0,"Size Not Specified",Registered!E778)),"")</f>
        <v/>
      </c>
      <c r="AU778" s="3" t="str">
        <f>IF(Registered!AE778=0,"",IF(Registered!AE778=1,Registered!AE778&amp;" Bandana",Registered!AE778&amp;" Bandanas"))</f>
        <v/>
      </c>
      <c r="AV778" s="3">
        <f t="shared" si="38"/>
        <v>0</v>
      </c>
      <c r="AW778" s="2" t="str">
        <f>IF(Registered!AV778=0,"",IF(Registered!AV778=1,Registered!AV778&amp;" Meal",Registered!AV778&amp;" Meals"))</f>
        <v/>
      </c>
      <c r="AX778" s="2" t="str">
        <f>IF(Registered!AI778=0,"",Registered!AI778&amp;" BG")</f>
        <v/>
      </c>
      <c r="AY778" s="2" t="str">
        <f>IF(Registered!AG778=0,"",Registered!AG778&amp;" DustMask")</f>
        <v/>
      </c>
    </row>
    <row r="779" spans="1:51" customFormat="1" x14ac:dyDescent="0.25">
      <c r="A779" t="s">
        <v>75</v>
      </c>
      <c r="B779" t="s">
        <v>1290</v>
      </c>
      <c r="C779" t="s">
        <v>6090</v>
      </c>
      <c r="D779" t="s">
        <v>75</v>
      </c>
      <c r="F779" t="s">
        <v>261</v>
      </c>
      <c r="I779" t="s">
        <v>1291</v>
      </c>
      <c r="J779" t="s">
        <v>37</v>
      </c>
      <c r="K779" t="s">
        <v>32</v>
      </c>
      <c r="L779" t="s">
        <v>35</v>
      </c>
      <c r="S779">
        <v>2</v>
      </c>
      <c r="T779">
        <v>3</v>
      </c>
      <c r="AC779">
        <v>1</v>
      </c>
      <c r="AD779">
        <v>10</v>
      </c>
      <c r="AQ779">
        <v>16</v>
      </c>
      <c r="AR779" s="3">
        <f t="shared" si="36"/>
        <v>5</v>
      </c>
      <c r="AS779" s="3">
        <f t="shared" si="37"/>
        <v>0</v>
      </c>
      <c r="AT779" s="3" t="str">
        <f>IF(OR(Registered!AM779&gt;0,Registered!AO779&gt;0),(IF(Registered!E779=0,"Size Not Specified",Registered!E779)),"")</f>
        <v/>
      </c>
      <c r="AU779" s="3" t="str">
        <f>IF(Registered!AE779=0,"",IF(Registered!AE779=1,Registered!AE779&amp;" Bandana",Registered!AE779&amp;" Bandanas"))</f>
        <v/>
      </c>
      <c r="AV779" s="3">
        <f t="shared" si="38"/>
        <v>0</v>
      </c>
      <c r="AW779" s="2" t="str">
        <f>IF(Registered!AV779=0,"",IF(Registered!AV779=1,Registered!AV779&amp;" Meal",Registered!AV779&amp;" Meals"))</f>
        <v/>
      </c>
      <c r="AX779" s="2" t="str">
        <f>IF(Registered!AI779=0,"",Registered!AI779&amp;" BG")</f>
        <v/>
      </c>
      <c r="AY779" s="2" t="str">
        <f>IF(Registered!AG779=0,"",Registered!AG779&amp;" DustMask")</f>
        <v/>
      </c>
    </row>
    <row r="780" spans="1:51" customFormat="1" x14ac:dyDescent="0.25">
      <c r="A780" t="s">
        <v>1292</v>
      </c>
      <c r="B780" t="s">
        <v>1293</v>
      </c>
      <c r="C780" t="s">
        <v>6090</v>
      </c>
      <c r="G780" t="s">
        <v>142</v>
      </c>
      <c r="H780" t="s">
        <v>129</v>
      </c>
      <c r="I780" t="s">
        <v>3978</v>
      </c>
      <c r="J780" t="s">
        <v>37</v>
      </c>
      <c r="K780" t="s">
        <v>32</v>
      </c>
      <c r="L780" t="s">
        <v>35</v>
      </c>
      <c r="AQ780">
        <v>0</v>
      </c>
      <c r="AR780" s="3">
        <f t="shared" si="36"/>
        <v>0</v>
      </c>
      <c r="AS780" s="3">
        <f t="shared" si="37"/>
        <v>0</v>
      </c>
      <c r="AT780" s="3" t="str">
        <f>IF(OR(Registered!AM780&gt;0,Registered!AO780&gt;0),(IF(Registered!E780=0,"Size Not Specified",Registered!E780)),"")</f>
        <v/>
      </c>
      <c r="AU780" s="3" t="str">
        <f>IF(Registered!AE780=0,"",IF(Registered!AE780=1,Registered!AE780&amp;" Bandana",Registered!AE780&amp;" Bandanas"))</f>
        <v/>
      </c>
      <c r="AV780" s="3">
        <f t="shared" si="38"/>
        <v>0</v>
      </c>
      <c r="AW780" s="2" t="str">
        <f>IF(Registered!AV780=0,"",IF(Registered!AV780=1,Registered!AV780&amp;" Meal",Registered!AV780&amp;" Meals"))</f>
        <v/>
      </c>
      <c r="AX780" s="2" t="str">
        <f>IF(Registered!AI780=0,"",Registered!AI780&amp;" BG")</f>
        <v/>
      </c>
      <c r="AY780" s="2" t="str">
        <f>IF(Registered!AG780=0,"",Registered!AG780&amp;" DustMask")</f>
        <v/>
      </c>
    </row>
    <row r="781" spans="1:51" customFormat="1" x14ac:dyDescent="0.25">
      <c r="A781" t="s">
        <v>187</v>
      </c>
      <c r="B781" t="s">
        <v>4444</v>
      </c>
      <c r="C781" t="s">
        <v>6090</v>
      </c>
      <c r="D781" t="s">
        <v>4445</v>
      </c>
      <c r="F781" t="s">
        <v>261</v>
      </c>
      <c r="I781" t="s">
        <v>4446</v>
      </c>
      <c r="J781" t="s">
        <v>37</v>
      </c>
      <c r="K781" t="s">
        <v>32</v>
      </c>
      <c r="L781" t="s">
        <v>35</v>
      </c>
      <c r="Q781">
        <v>1</v>
      </c>
      <c r="R781">
        <v>3</v>
      </c>
      <c r="AC781">
        <v>1</v>
      </c>
      <c r="AD781">
        <v>10</v>
      </c>
      <c r="AE781">
        <v>1</v>
      </c>
      <c r="AF781">
        <v>6</v>
      </c>
      <c r="AQ781">
        <v>19</v>
      </c>
      <c r="AR781" s="3">
        <f t="shared" si="36"/>
        <v>5</v>
      </c>
      <c r="AS781" s="3">
        <f t="shared" si="37"/>
        <v>0</v>
      </c>
      <c r="AT781" s="3" t="str">
        <f>IF(OR(Registered!AM781&gt;0,Registered!AO781&gt;0),(IF(Registered!E781=0,"Size Not Specified",Registered!E781)),"")</f>
        <v/>
      </c>
      <c r="AU781" s="3" t="str">
        <f>IF(Registered!AE781=0,"",IF(Registered!AE781=1,Registered!AE781&amp;" Bandana",Registered!AE781&amp;" Bandanas"))</f>
        <v>1 Bandana</v>
      </c>
      <c r="AV781" s="3">
        <f t="shared" si="38"/>
        <v>0</v>
      </c>
      <c r="AW781" s="2" t="str">
        <f>IF(Registered!AV781=0,"",IF(Registered!AV781=1,Registered!AV781&amp;" Meal",Registered!AV781&amp;" Meals"))</f>
        <v/>
      </c>
      <c r="AX781" s="2" t="str">
        <f>IF(Registered!AI781=0,"",Registered!AI781&amp;" BG")</f>
        <v/>
      </c>
      <c r="AY781" s="2" t="str">
        <f>IF(Registered!AG781=0,"",Registered!AG781&amp;" DustMask")</f>
        <v/>
      </c>
    </row>
    <row r="782" spans="1:51" customFormat="1" x14ac:dyDescent="0.25">
      <c r="A782" t="s">
        <v>272</v>
      </c>
      <c r="B782" t="s">
        <v>4444</v>
      </c>
      <c r="C782" t="s">
        <v>6090</v>
      </c>
      <c r="G782" t="s">
        <v>403</v>
      </c>
      <c r="H782" t="s">
        <v>1175</v>
      </c>
      <c r="I782" t="s">
        <v>4036</v>
      </c>
      <c r="J782" t="s">
        <v>37</v>
      </c>
      <c r="K782" t="s">
        <v>32</v>
      </c>
      <c r="L782" t="s">
        <v>35</v>
      </c>
      <c r="AQ782">
        <v>0</v>
      </c>
      <c r="AR782" s="3">
        <f t="shared" si="36"/>
        <v>0</v>
      </c>
      <c r="AS782" s="3">
        <f t="shared" si="37"/>
        <v>0</v>
      </c>
      <c r="AT782" s="3" t="str">
        <f>IF(OR(Registered!AM782&gt;0,Registered!AO782&gt;0),(IF(Registered!E782=0,"Size Not Specified",Registered!E782)),"")</f>
        <v/>
      </c>
      <c r="AU782" s="3" t="str">
        <f>IF(Registered!AE782=0,"",IF(Registered!AE782=1,Registered!AE782&amp;" Bandana",Registered!AE782&amp;" Bandanas"))</f>
        <v/>
      </c>
      <c r="AV782" s="3">
        <f t="shared" si="38"/>
        <v>0</v>
      </c>
      <c r="AW782" s="2" t="str">
        <f>IF(Registered!AV782=0,"",IF(Registered!AV782=1,Registered!AV782&amp;" Meal",Registered!AV782&amp;" Meals"))</f>
        <v/>
      </c>
      <c r="AX782" s="2" t="str">
        <f>IF(Registered!AI782=0,"",Registered!AI782&amp;" BG")</f>
        <v/>
      </c>
      <c r="AY782" s="2" t="str">
        <f>IF(Registered!AG782=0,"",Registered!AG782&amp;" DustMask")</f>
        <v/>
      </c>
    </row>
    <row r="783" spans="1:51" customFormat="1" x14ac:dyDescent="0.25">
      <c r="A783" t="s">
        <v>1297</v>
      </c>
      <c r="B783" t="s">
        <v>1298</v>
      </c>
      <c r="C783" t="s">
        <v>6090</v>
      </c>
      <c r="G783" t="s">
        <v>264</v>
      </c>
      <c r="H783" t="s">
        <v>427</v>
      </c>
      <c r="I783" t="s">
        <v>568</v>
      </c>
      <c r="J783" t="s">
        <v>37</v>
      </c>
      <c r="K783" t="s">
        <v>32</v>
      </c>
      <c r="L783" t="s">
        <v>35</v>
      </c>
      <c r="AQ783">
        <v>0</v>
      </c>
      <c r="AR783" s="3">
        <f t="shared" si="36"/>
        <v>0</v>
      </c>
      <c r="AS783" s="3">
        <f t="shared" si="37"/>
        <v>0</v>
      </c>
      <c r="AT783" s="3" t="str">
        <f>IF(OR(Registered!AM783&gt;0,Registered!AO783&gt;0),(IF(Registered!E783=0,"Size Not Specified",Registered!E783)),"")</f>
        <v/>
      </c>
      <c r="AU783" s="3" t="str">
        <f>IF(Registered!AE783=0,"",IF(Registered!AE783=1,Registered!AE783&amp;" Bandana",Registered!AE783&amp;" Bandanas"))</f>
        <v/>
      </c>
      <c r="AV783" s="3">
        <f t="shared" si="38"/>
        <v>0</v>
      </c>
      <c r="AW783" s="2" t="str">
        <f>IF(Registered!AV783=0,"",IF(Registered!AV783=1,Registered!AV783&amp;" Meal",Registered!AV783&amp;" Meals"))</f>
        <v/>
      </c>
      <c r="AX783" s="2" t="str">
        <f>IF(Registered!AI783=0,"",Registered!AI783&amp;" BG")</f>
        <v/>
      </c>
      <c r="AY783" s="2" t="str">
        <f>IF(Registered!AG783=0,"",Registered!AG783&amp;" DustMask")</f>
        <v/>
      </c>
    </row>
    <row r="784" spans="1:51" customFormat="1" x14ac:dyDescent="0.25">
      <c r="A784" t="s">
        <v>4447</v>
      </c>
      <c r="B784" t="s">
        <v>4448</v>
      </c>
      <c r="C784" t="s">
        <v>6090</v>
      </c>
      <c r="I784" t="s">
        <v>4449</v>
      </c>
      <c r="J784" t="s">
        <v>37</v>
      </c>
      <c r="K784" t="s">
        <v>32</v>
      </c>
      <c r="L784" t="s">
        <v>35</v>
      </c>
      <c r="Q784">
        <v>4</v>
      </c>
      <c r="R784">
        <v>3</v>
      </c>
      <c r="AQ784">
        <v>12</v>
      </c>
      <c r="AR784" s="3">
        <f t="shared" si="36"/>
        <v>0</v>
      </c>
      <c r="AS784" s="3">
        <f t="shared" si="37"/>
        <v>0</v>
      </c>
      <c r="AT784" s="3" t="str">
        <f>IF(OR(Registered!AM784&gt;0,Registered!AO784&gt;0),(IF(Registered!E784=0,"Size Not Specified",Registered!E784)),"")</f>
        <v/>
      </c>
      <c r="AU784" s="3" t="str">
        <f>IF(Registered!AE784=0,"",IF(Registered!AE784=1,Registered!AE784&amp;" Bandana",Registered!AE784&amp;" Bandanas"))</f>
        <v/>
      </c>
      <c r="AV784" s="3">
        <f t="shared" si="38"/>
        <v>0</v>
      </c>
      <c r="AW784" s="2" t="str">
        <f>IF(Registered!AV784=0,"",IF(Registered!AV784=1,Registered!AV784&amp;" Meal",Registered!AV784&amp;" Meals"))</f>
        <v/>
      </c>
      <c r="AX784" s="2" t="str">
        <f>IF(Registered!AI784=0,"",Registered!AI784&amp;" BG")</f>
        <v/>
      </c>
      <c r="AY784" s="2" t="str">
        <f>IF(Registered!AG784=0,"",Registered!AG784&amp;" DustMask")</f>
        <v/>
      </c>
    </row>
    <row r="785" spans="1:51" customFormat="1" x14ac:dyDescent="0.25">
      <c r="A785" t="s">
        <v>437</v>
      </c>
      <c r="B785" t="s">
        <v>1299</v>
      </c>
      <c r="C785" t="s">
        <v>6090</v>
      </c>
      <c r="G785" t="s">
        <v>3643</v>
      </c>
      <c r="H785" t="s">
        <v>391</v>
      </c>
      <c r="I785" t="s">
        <v>3644</v>
      </c>
      <c r="J785" t="s">
        <v>37</v>
      </c>
      <c r="K785" t="s">
        <v>32</v>
      </c>
      <c r="L785" t="s">
        <v>35</v>
      </c>
      <c r="AQ785">
        <v>0</v>
      </c>
      <c r="AR785" s="3">
        <f t="shared" si="36"/>
        <v>0</v>
      </c>
      <c r="AS785" s="3">
        <f t="shared" si="37"/>
        <v>0</v>
      </c>
      <c r="AT785" s="3" t="str">
        <f>IF(OR(Registered!AM785&gt;0,Registered!AO785&gt;0),(IF(Registered!E785=0,"Size Not Specified",Registered!E785)),"")</f>
        <v/>
      </c>
      <c r="AU785" s="3" t="str">
        <f>IF(Registered!AE785=0,"",IF(Registered!AE785=1,Registered!AE785&amp;" Bandana",Registered!AE785&amp;" Bandanas"))</f>
        <v/>
      </c>
      <c r="AV785" s="3">
        <f t="shared" si="38"/>
        <v>0</v>
      </c>
      <c r="AW785" s="2" t="str">
        <f>IF(Registered!AV785=0,"",IF(Registered!AV785=1,Registered!AV785&amp;" Meal",Registered!AV785&amp;" Meals"))</f>
        <v/>
      </c>
      <c r="AX785" s="2" t="str">
        <f>IF(Registered!AI785=0,"",Registered!AI785&amp;" BG")</f>
        <v/>
      </c>
      <c r="AY785" s="2" t="str">
        <f>IF(Registered!AG785=0,"",Registered!AG785&amp;" DustMask")</f>
        <v/>
      </c>
    </row>
    <row r="786" spans="1:51" customFormat="1" x14ac:dyDescent="0.25">
      <c r="A786" t="s">
        <v>4450</v>
      </c>
      <c r="B786" t="s">
        <v>1299</v>
      </c>
      <c r="C786" t="s">
        <v>6090</v>
      </c>
      <c r="G786" t="s">
        <v>3643</v>
      </c>
      <c r="H786" t="s">
        <v>391</v>
      </c>
      <c r="I786" t="s">
        <v>3644</v>
      </c>
      <c r="J786" t="s">
        <v>37</v>
      </c>
      <c r="K786" t="s">
        <v>32</v>
      </c>
      <c r="L786" t="s">
        <v>35</v>
      </c>
      <c r="AQ786">
        <v>0</v>
      </c>
      <c r="AR786" s="3">
        <f t="shared" si="36"/>
        <v>0</v>
      </c>
      <c r="AS786" s="3">
        <f t="shared" si="37"/>
        <v>0</v>
      </c>
      <c r="AT786" s="3" t="str">
        <f>IF(OR(Registered!AM786&gt;0,Registered!AO786&gt;0),(IF(Registered!E786=0,"Size Not Specified",Registered!E786)),"")</f>
        <v/>
      </c>
      <c r="AU786" s="3" t="str">
        <f>IF(Registered!AE786=0,"",IF(Registered!AE786=1,Registered!AE786&amp;" Bandana",Registered!AE786&amp;" Bandanas"))</f>
        <v/>
      </c>
      <c r="AV786" s="3">
        <f t="shared" si="38"/>
        <v>0</v>
      </c>
      <c r="AW786" s="2" t="str">
        <f>IF(Registered!AV786=0,"",IF(Registered!AV786=1,Registered!AV786&amp;" Meal",Registered!AV786&amp;" Meals"))</f>
        <v/>
      </c>
      <c r="AX786" s="2" t="str">
        <f>IF(Registered!AI786=0,"",Registered!AI786&amp;" BG")</f>
        <v/>
      </c>
      <c r="AY786" s="2" t="str">
        <f>IF(Registered!AG786=0,"",Registered!AG786&amp;" DustMask")</f>
        <v/>
      </c>
    </row>
    <row r="787" spans="1:51" customFormat="1" x14ac:dyDescent="0.25">
      <c r="A787" t="s">
        <v>56</v>
      </c>
      <c r="B787" t="s">
        <v>1299</v>
      </c>
      <c r="C787" t="s">
        <v>6090</v>
      </c>
      <c r="G787" t="s">
        <v>46</v>
      </c>
      <c r="H787" t="s">
        <v>1300</v>
      </c>
      <c r="I787" t="s">
        <v>1301</v>
      </c>
      <c r="J787" t="s">
        <v>37</v>
      </c>
      <c r="K787" t="s">
        <v>32</v>
      </c>
      <c r="L787" t="s">
        <v>35</v>
      </c>
      <c r="AQ787">
        <v>0</v>
      </c>
      <c r="AR787" s="3">
        <f t="shared" si="36"/>
        <v>0</v>
      </c>
      <c r="AS787" s="3">
        <f t="shared" si="37"/>
        <v>0</v>
      </c>
      <c r="AT787" s="3" t="str">
        <f>IF(OR(Registered!AM787&gt;0,Registered!AO787&gt;0),(IF(Registered!E787=0,"Size Not Specified",Registered!E787)),"")</f>
        <v/>
      </c>
      <c r="AU787" s="3" t="str">
        <f>IF(Registered!AE787=0,"",IF(Registered!AE787=1,Registered!AE787&amp;" Bandana",Registered!AE787&amp;" Bandanas"))</f>
        <v/>
      </c>
      <c r="AV787" s="3">
        <f t="shared" si="38"/>
        <v>0</v>
      </c>
      <c r="AW787" s="2" t="str">
        <f>IF(Registered!AV787=0,"",IF(Registered!AV787=1,Registered!AV787&amp;" Meal",Registered!AV787&amp;" Meals"))</f>
        <v/>
      </c>
      <c r="AX787" s="2" t="str">
        <f>IF(Registered!AI787=0,"",Registered!AI787&amp;" BG")</f>
        <v/>
      </c>
      <c r="AY787" s="2" t="str">
        <f>IF(Registered!AG787=0,"",Registered!AG787&amp;" DustMask")</f>
        <v/>
      </c>
    </row>
    <row r="788" spans="1:51" customFormat="1" x14ac:dyDescent="0.25">
      <c r="A788" t="s">
        <v>454</v>
      </c>
      <c r="B788" t="s">
        <v>1304</v>
      </c>
      <c r="C788" t="s">
        <v>6090</v>
      </c>
      <c r="G788" t="s">
        <v>1305</v>
      </c>
      <c r="H788" t="s">
        <v>1304</v>
      </c>
      <c r="I788" t="s">
        <v>1306</v>
      </c>
      <c r="J788" t="s">
        <v>37</v>
      </c>
      <c r="K788" t="s">
        <v>32</v>
      </c>
      <c r="L788" t="s">
        <v>35</v>
      </c>
      <c r="AQ788">
        <v>0</v>
      </c>
      <c r="AR788" s="3">
        <f t="shared" si="36"/>
        <v>0</v>
      </c>
      <c r="AS788" s="3">
        <f t="shared" si="37"/>
        <v>0</v>
      </c>
      <c r="AT788" s="3" t="str">
        <f>IF(OR(Registered!AM788&gt;0,Registered!AO788&gt;0),(IF(Registered!E788=0,"Size Not Specified",Registered!E788)),"")</f>
        <v/>
      </c>
      <c r="AU788" s="3" t="str">
        <f>IF(Registered!AE788=0,"",IF(Registered!AE788=1,Registered!AE788&amp;" Bandana",Registered!AE788&amp;" Bandanas"))</f>
        <v/>
      </c>
      <c r="AV788" s="3">
        <f t="shared" si="38"/>
        <v>0</v>
      </c>
      <c r="AW788" s="2" t="str">
        <f>IF(Registered!AV788=0,"",IF(Registered!AV788=1,Registered!AV788&amp;" Meal",Registered!AV788&amp;" Meals"))</f>
        <v/>
      </c>
      <c r="AX788" s="2" t="str">
        <f>IF(Registered!AI788=0,"",Registered!AI788&amp;" BG")</f>
        <v/>
      </c>
      <c r="AY788" s="2" t="str">
        <f>IF(Registered!AG788=0,"",Registered!AG788&amp;" DustMask")</f>
        <v/>
      </c>
    </row>
    <row r="789" spans="1:51" customFormat="1" x14ac:dyDescent="0.25">
      <c r="A789" t="s">
        <v>1305</v>
      </c>
      <c r="B789" t="s">
        <v>1304</v>
      </c>
      <c r="C789" t="s">
        <v>6090</v>
      </c>
      <c r="G789" t="s">
        <v>320</v>
      </c>
      <c r="H789" t="s">
        <v>321</v>
      </c>
      <c r="I789" t="s">
        <v>1307</v>
      </c>
      <c r="J789" t="s">
        <v>37</v>
      </c>
      <c r="K789" t="s">
        <v>32</v>
      </c>
      <c r="L789" t="s">
        <v>35</v>
      </c>
      <c r="AQ789">
        <v>0</v>
      </c>
      <c r="AR789" s="3">
        <f t="shared" si="36"/>
        <v>0</v>
      </c>
      <c r="AS789" s="3">
        <f t="shared" si="37"/>
        <v>0</v>
      </c>
      <c r="AT789" s="3" t="str">
        <f>IF(OR(Registered!AM789&gt;0,Registered!AO789&gt;0),(IF(Registered!E789=0,"Size Not Specified",Registered!E789)),"")</f>
        <v/>
      </c>
      <c r="AU789" s="3" t="str">
        <f>IF(Registered!AE789=0,"",IF(Registered!AE789=1,Registered!AE789&amp;" Bandana",Registered!AE789&amp;" Bandanas"))</f>
        <v/>
      </c>
      <c r="AV789" s="3">
        <f t="shared" si="38"/>
        <v>0</v>
      </c>
      <c r="AW789" s="2" t="str">
        <f>IF(Registered!AV789=0,"",IF(Registered!AV789=1,Registered!AV789&amp;" Meal",Registered!AV789&amp;" Meals"))</f>
        <v/>
      </c>
      <c r="AX789" s="2" t="str">
        <f>IF(Registered!AI789=0,"",Registered!AI789&amp;" BG")</f>
        <v/>
      </c>
      <c r="AY789" s="2" t="str">
        <f>IF(Registered!AG789=0,"",Registered!AG789&amp;" DustMask")</f>
        <v/>
      </c>
    </row>
    <row r="790" spans="1:51" customFormat="1" x14ac:dyDescent="0.25">
      <c r="A790" t="s">
        <v>1305</v>
      </c>
      <c r="B790" t="s">
        <v>1304</v>
      </c>
      <c r="C790" t="s">
        <v>6090</v>
      </c>
      <c r="D790" t="s">
        <v>1308</v>
      </c>
      <c r="I790" t="s">
        <v>1306</v>
      </c>
      <c r="J790" t="s">
        <v>37</v>
      </c>
      <c r="K790" t="s">
        <v>32</v>
      </c>
      <c r="L790" t="s">
        <v>35</v>
      </c>
      <c r="S790">
        <v>2</v>
      </c>
      <c r="T790">
        <v>3</v>
      </c>
      <c r="AA790">
        <v>1</v>
      </c>
      <c r="AB790">
        <v>75</v>
      </c>
      <c r="AQ790">
        <v>81</v>
      </c>
      <c r="AR790" s="3">
        <f t="shared" si="36"/>
        <v>40</v>
      </c>
      <c r="AS790" s="3">
        <f t="shared" si="37"/>
        <v>0</v>
      </c>
      <c r="AT790" s="3" t="str">
        <f>IF(OR(Registered!AM790&gt;0,Registered!AO790&gt;0),(IF(Registered!E790=0,"Size Not Specified",Registered!E790)),"")</f>
        <v/>
      </c>
      <c r="AU790" s="3" t="str">
        <f>IF(Registered!AE790=0,"",IF(Registered!AE790=1,Registered!AE790&amp;" Bandana",Registered!AE790&amp;" Bandanas"))</f>
        <v/>
      </c>
      <c r="AV790" s="3">
        <f t="shared" si="38"/>
        <v>0</v>
      </c>
      <c r="AW790" s="2" t="str">
        <f>IF(Registered!AV790=0,"",IF(Registered!AV790=1,Registered!AV790&amp;" Meal",Registered!AV790&amp;" Meals"))</f>
        <v/>
      </c>
      <c r="AX790" s="2" t="str">
        <f>IF(Registered!AI790=0,"",Registered!AI790&amp;" BG")</f>
        <v/>
      </c>
      <c r="AY790" s="2" t="str">
        <f>IF(Registered!AG790=0,"",Registered!AG790&amp;" DustMask")</f>
        <v/>
      </c>
    </row>
    <row r="791" spans="1:51" customFormat="1" x14ac:dyDescent="0.25">
      <c r="A791" t="s">
        <v>565</v>
      </c>
      <c r="B791" t="s">
        <v>4451</v>
      </c>
      <c r="C791" t="s">
        <v>6090</v>
      </c>
      <c r="G791" t="s">
        <v>3553</v>
      </c>
      <c r="H791" t="s">
        <v>3552</v>
      </c>
      <c r="I791" t="s">
        <v>3554</v>
      </c>
      <c r="J791" t="s">
        <v>37</v>
      </c>
      <c r="K791" t="s">
        <v>32</v>
      </c>
      <c r="L791" t="s">
        <v>35</v>
      </c>
      <c r="AQ791">
        <v>0</v>
      </c>
      <c r="AR791" s="3">
        <f t="shared" si="36"/>
        <v>0</v>
      </c>
      <c r="AS791" s="3">
        <f t="shared" si="37"/>
        <v>0</v>
      </c>
      <c r="AT791" s="3" t="str">
        <f>IF(OR(Registered!AM791&gt;0,Registered!AO791&gt;0),(IF(Registered!E791=0,"Size Not Specified",Registered!E791)),"")</f>
        <v/>
      </c>
      <c r="AU791" s="3" t="str">
        <f>IF(Registered!AE791=0,"",IF(Registered!AE791=1,Registered!AE791&amp;" Bandana",Registered!AE791&amp;" Bandanas"))</f>
        <v/>
      </c>
      <c r="AV791" s="3">
        <f t="shared" si="38"/>
        <v>0</v>
      </c>
      <c r="AW791" s="2" t="str">
        <f>IF(Registered!AV791=0,"",IF(Registered!AV791=1,Registered!AV791&amp;" Meal",Registered!AV791&amp;" Meals"))</f>
        <v/>
      </c>
      <c r="AX791" s="2" t="str">
        <f>IF(Registered!AI791=0,"",Registered!AI791&amp;" BG")</f>
        <v/>
      </c>
      <c r="AY791" s="2" t="str">
        <f>IF(Registered!AG791=0,"",Registered!AG791&amp;" DustMask")</f>
        <v/>
      </c>
    </row>
    <row r="792" spans="1:51" customFormat="1" x14ac:dyDescent="0.25">
      <c r="A792" t="s">
        <v>2959</v>
      </c>
      <c r="B792" t="s">
        <v>1309</v>
      </c>
      <c r="C792" t="s">
        <v>6090</v>
      </c>
      <c r="D792" t="s">
        <v>2959</v>
      </c>
      <c r="F792" t="s">
        <v>261</v>
      </c>
      <c r="I792" t="s">
        <v>2960</v>
      </c>
      <c r="J792" t="s">
        <v>37</v>
      </c>
      <c r="K792" t="s">
        <v>32</v>
      </c>
      <c r="L792" t="s">
        <v>35</v>
      </c>
      <c r="Q792">
        <v>1</v>
      </c>
      <c r="R792">
        <v>3</v>
      </c>
      <c r="AQ792">
        <v>3</v>
      </c>
      <c r="AR792" s="3">
        <f t="shared" si="36"/>
        <v>0</v>
      </c>
      <c r="AS792" s="3">
        <f t="shared" si="37"/>
        <v>0</v>
      </c>
      <c r="AT792" s="3" t="str">
        <f>IF(OR(Registered!AM792&gt;0,Registered!AO792&gt;0),(IF(Registered!E792=0,"Size Not Specified",Registered!E792)),"")</f>
        <v/>
      </c>
      <c r="AU792" s="3" t="str">
        <f>IF(Registered!AE792=0,"",IF(Registered!AE792=1,Registered!AE792&amp;" Bandana",Registered!AE792&amp;" Bandanas"))</f>
        <v/>
      </c>
      <c r="AV792" s="3">
        <f t="shared" si="38"/>
        <v>0</v>
      </c>
      <c r="AW792" s="2" t="str">
        <f>IF(Registered!AV792=0,"",IF(Registered!AV792=1,Registered!AV792&amp;" Meal",Registered!AV792&amp;" Meals"))</f>
        <v/>
      </c>
      <c r="AX792" s="2" t="str">
        <f>IF(Registered!AI792=0,"",Registered!AI792&amp;" BG")</f>
        <v/>
      </c>
      <c r="AY792" s="2" t="str">
        <f>IF(Registered!AG792=0,"",Registered!AG792&amp;" DustMask")</f>
        <v/>
      </c>
    </row>
    <row r="793" spans="1:51" customFormat="1" x14ac:dyDescent="0.25">
      <c r="A793" t="s">
        <v>258</v>
      </c>
      <c r="B793" t="s">
        <v>1309</v>
      </c>
      <c r="C793" t="s">
        <v>6090</v>
      </c>
      <c r="D793" t="s">
        <v>258</v>
      </c>
      <c r="I793" t="s">
        <v>1310</v>
      </c>
      <c r="J793" t="s">
        <v>37</v>
      </c>
      <c r="K793" t="s">
        <v>32</v>
      </c>
      <c r="L793" t="s">
        <v>35</v>
      </c>
      <c r="O793">
        <v>1</v>
      </c>
      <c r="P793">
        <v>3</v>
      </c>
      <c r="AC793">
        <v>1</v>
      </c>
      <c r="AD793">
        <v>10</v>
      </c>
      <c r="AQ793">
        <v>13</v>
      </c>
      <c r="AR793" s="3">
        <f t="shared" si="36"/>
        <v>5</v>
      </c>
      <c r="AS793" s="3">
        <f t="shared" si="37"/>
        <v>0</v>
      </c>
      <c r="AT793" s="3" t="str">
        <f>IF(OR(Registered!AM793&gt;0,Registered!AO793&gt;0),(IF(Registered!E793=0,"Size Not Specified",Registered!E793)),"")</f>
        <v/>
      </c>
      <c r="AU793" s="3" t="str">
        <f>IF(Registered!AE793=0,"",IF(Registered!AE793=1,Registered!AE793&amp;" Bandana",Registered!AE793&amp;" Bandanas"))</f>
        <v/>
      </c>
      <c r="AV793" s="3">
        <f t="shared" si="38"/>
        <v>0</v>
      </c>
      <c r="AW793" s="2" t="str">
        <f>IF(Registered!AV793=0,"",IF(Registered!AV793=1,Registered!AV793&amp;" Meal",Registered!AV793&amp;" Meals"))</f>
        <v/>
      </c>
      <c r="AX793" s="2" t="str">
        <f>IF(Registered!AI793=0,"",Registered!AI793&amp;" BG")</f>
        <v/>
      </c>
      <c r="AY793" s="2" t="str">
        <f>IF(Registered!AG793=0,"",Registered!AG793&amp;" DustMask")</f>
        <v/>
      </c>
    </row>
    <row r="794" spans="1:51" customFormat="1" x14ac:dyDescent="0.25">
      <c r="A794" t="s">
        <v>56</v>
      </c>
      <c r="B794" t="s">
        <v>1311</v>
      </c>
      <c r="C794" t="s">
        <v>6090</v>
      </c>
      <c r="D794" t="s">
        <v>1312</v>
      </c>
      <c r="E794" t="s">
        <v>1313</v>
      </c>
      <c r="F794" t="s">
        <v>261</v>
      </c>
      <c r="I794" t="s">
        <v>1314</v>
      </c>
      <c r="J794" t="s">
        <v>37</v>
      </c>
      <c r="K794" t="s">
        <v>32</v>
      </c>
      <c r="L794" t="s">
        <v>35</v>
      </c>
      <c r="S794">
        <v>1</v>
      </c>
      <c r="T794">
        <v>3</v>
      </c>
      <c r="U794">
        <v>1</v>
      </c>
      <c r="V794">
        <v>20</v>
      </c>
      <c r="AM794">
        <v>2</v>
      </c>
      <c r="AN794">
        <v>25</v>
      </c>
      <c r="AO794">
        <v>1</v>
      </c>
      <c r="AP794">
        <v>10</v>
      </c>
      <c r="AQ794">
        <v>83</v>
      </c>
      <c r="AR794" s="3">
        <f t="shared" si="36"/>
        <v>20</v>
      </c>
      <c r="AS794" s="3">
        <f t="shared" si="37"/>
        <v>3</v>
      </c>
      <c r="AT794" s="3" t="str">
        <f>IF(OR(Registered!AM794&gt;0,Registered!AO794&gt;0),(IF(Registered!E794=0,"Size Not Specified",Registered!E794)),"")</f>
        <v>Adult Medium, Child Large, Child Medium</v>
      </c>
      <c r="AU794" s="3" t="str">
        <f>IF(Registered!AE794=0,"",IF(Registered!AE794=1,Registered!AE794&amp;" Bandana",Registered!AE794&amp;" Bandanas"))</f>
        <v/>
      </c>
      <c r="AV794" s="3">
        <f t="shared" si="38"/>
        <v>2</v>
      </c>
      <c r="AW794" s="2" t="str">
        <f>IF(Registered!AV794=0,"",IF(Registered!AV794=1,Registered!AV794&amp;" Meal",Registered!AV794&amp;" Meals"))</f>
        <v>2 Meals</v>
      </c>
      <c r="AX794" s="2" t="str">
        <f>IF(Registered!AI794=0,"",Registered!AI794&amp;" BG")</f>
        <v/>
      </c>
      <c r="AY794" s="2" t="str">
        <f>IF(Registered!AG794=0,"",Registered!AG794&amp;" DustMask")</f>
        <v/>
      </c>
    </row>
    <row r="795" spans="1:51" customFormat="1" x14ac:dyDescent="0.25">
      <c r="A795" t="s">
        <v>2961</v>
      </c>
      <c r="B795" t="s">
        <v>2962</v>
      </c>
      <c r="C795" t="s">
        <v>6090</v>
      </c>
      <c r="D795" t="s">
        <v>2963</v>
      </c>
      <c r="F795" t="s">
        <v>261</v>
      </c>
      <c r="I795" t="s">
        <v>2964</v>
      </c>
      <c r="J795" t="s">
        <v>37</v>
      </c>
      <c r="K795" t="s">
        <v>32</v>
      </c>
      <c r="L795" t="s">
        <v>35</v>
      </c>
      <c r="Q795">
        <v>2</v>
      </c>
      <c r="R795">
        <v>3</v>
      </c>
      <c r="AC795">
        <v>2</v>
      </c>
      <c r="AD795">
        <v>10</v>
      </c>
      <c r="AQ795">
        <v>26</v>
      </c>
      <c r="AR795" s="3">
        <f t="shared" si="36"/>
        <v>10</v>
      </c>
      <c r="AS795" s="3">
        <f t="shared" si="37"/>
        <v>0</v>
      </c>
      <c r="AT795" s="3" t="str">
        <f>IF(OR(Registered!AM795&gt;0,Registered!AO795&gt;0),(IF(Registered!E795=0,"Size Not Specified",Registered!E795)),"")</f>
        <v/>
      </c>
      <c r="AU795" s="3" t="str">
        <f>IF(Registered!AE795=0,"",IF(Registered!AE795=1,Registered!AE795&amp;" Bandana",Registered!AE795&amp;" Bandanas"))</f>
        <v/>
      </c>
      <c r="AV795" s="3">
        <f t="shared" si="38"/>
        <v>0</v>
      </c>
      <c r="AW795" s="2" t="str">
        <f>IF(Registered!AV795=0,"",IF(Registered!AV795=1,Registered!AV795&amp;" Meal",Registered!AV795&amp;" Meals"))</f>
        <v/>
      </c>
      <c r="AX795" s="2" t="str">
        <f>IF(Registered!AI795=0,"",Registered!AI795&amp;" BG")</f>
        <v/>
      </c>
      <c r="AY795" s="2" t="str">
        <f>IF(Registered!AG795=0,"",Registered!AG795&amp;" DustMask")</f>
        <v/>
      </c>
    </row>
    <row r="796" spans="1:51" customFormat="1" x14ac:dyDescent="0.25">
      <c r="A796" t="s">
        <v>1315</v>
      </c>
      <c r="B796" t="s">
        <v>1316</v>
      </c>
      <c r="C796" t="s">
        <v>6090</v>
      </c>
      <c r="G796" t="s">
        <v>100</v>
      </c>
      <c r="H796" t="s">
        <v>1317</v>
      </c>
      <c r="I796" t="s">
        <v>1318</v>
      </c>
      <c r="J796" t="s">
        <v>37</v>
      </c>
      <c r="K796" t="s">
        <v>32</v>
      </c>
      <c r="L796" t="s">
        <v>35</v>
      </c>
      <c r="AQ796">
        <v>0</v>
      </c>
      <c r="AR796" s="3">
        <f t="shared" si="36"/>
        <v>0</v>
      </c>
      <c r="AS796" s="3">
        <f t="shared" si="37"/>
        <v>0</v>
      </c>
      <c r="AT796" s="3" t="str">
        <f>IF(OR(Registered!AM796&gt;0,Registered!AO796&gt;0),(IF(Registered!E796=0,"Size Not Specified",Registered!E796)),"")</f>
        <v/>
      </c>
      <c r="AU796" s="3" t="str">
        <f>IF(Registered!AE796=0,"",IF(Registered!AE796=1,Registered!AE796&amp;" Bandana",Registered!AE796&amp;" Bandanas"))</f>
        <v/>
      </c>
      <c r="AV796" s="3">
        <f t="shared" si="38"/>
        <v>0</v>
      </c>
      <c r="AW796" s="2" t="str">
        <f>IF(Registered!AV796=0,"",IF(Registered!AV796=1,Registered!AV796&amp;" Meal",Registered!AV796&amp;" Meals"))</f>
        <v/>
      </c>
      <c r="AX796" s="2" t="str">
        <f>IF(Registered!AI796=0,"",Registered!AI796&amp;" BG")</f>
        <v/>
      </c>
      <c r="AY796" s="2" t="str">
        <f>IF(Registered!AG796=0,"",Registered!AG796&amp;" DustMask")</f>
        <v/>
      </c>
    </row>
    <row r="797" spans="1:51" customFormat="1" x14ac:dyDescent="0.25">
      <c r="A797" t="s">
        <v>193</v>
      </c>
      <c r="B797" t="s">
        <v>1319</v>
      </c>
      <c r="C797" t="s">
        <v>6090</v>
      </c>
      <c r="G797" t="s">
        <v>293</v>
      </c>
      <c r="H797" t="s">
        <v>1320</v>
      </c>
      <c r="I797" t="s">
        <v>1321</v>
      </c>
      <c r="J797" t="s">
        <v>37</v>
      </c>
      <c r="K797" t="s">
        <v>32</v>
      </c>
      <c r="L797" t="s">
        <v>35</v>
      </c>
      <c r="AQ797">
        <v>0</v>
      </c>
      <c r="AR797" s="3">
        <f t="shared" si="36"/>
        <v>0</v>
      </c>
      <c r="AS797" s="3">
        <f t="shared" si="37"/>
        <v>0</v>
      </c>
      <c r="AT797" s="3" t="str">
        <f>IF(OR(Registered!AM797&gt;0,Registered!AO797&gt;0),(IF(Registered!E797=0,"Size Not Specified",Registered!E797)),"")</f>
        <v/>
      </c>
      <c r="AU797" s="3" t="str">
        <f>IF(Registered!AE797=0,"",IF(Registered!AE797=1,Registered!AE797&amp;" Bandana",Registered!AE797&amp;" Bandanas"))</f>
        <v/>
      </c>
      <c r="AV797" s="3">
        <f t="shared" si="38"/>
        <v>0</v>
      </c>
      <c r="AW797" s="2" t="str">
        <f>IF(Registered!AV797=0,"",IF(Registered!AV797=1,Registered!AV797&amp;" Meal",Registered!AV797&amp;" Meals"))</f>
        <v/>
      </c>
      <c r="AX797" s="2" t="str">
        <f>IF(Registered!AI797=0,"",Registered!AI797&amp;" BG")</f>
        <v/>
      </c>
      <c r="AY797" s="2" t="str">
        <f>IF(Registered!AG797=0,"",Registered!AG797&amp;" DustMask")</f>
        <v/>
      </c>
    </row>
    <row r="798" spans="1:51" customFormat="1" x14ac:dyDescent="0.25">
      <c r="A798" t="s">
        <v>266</v>
      </c>
      <c r="B798" t="s">
        <v>4458</v>
      </c>
      <c r="C798" t="s">
        <v>6090</v>
      </c>
      <c r="D798" t="s">
        <v>4459</v>
      </c>
      <c r="F798" t="s">
        <v>261</v>
      </c>
      <c r="I798" t="s">
        <v>4460</v>
      </c>
      <c r="J798" t="s">
        <v>37</v>
      </c>
      <c r="K798" t="s">
        <v>32</v>
      </c>
      <c r="L798" t="s">
        <v>35</v>
      </c>
      <c r="Q798">
        <v>5</v>
      </c>
      <c r="R798">
        <v>3</v>
      </c>
      <c r="Y798">
        <v>1</v>
      </c>
      <c r="Z798">
        <v>60</v>
      </c>
      <c r="AQ798">
        <v>75</v>
      </c>
      <c r="AR798" s="3">
        <f t="shared" si="36"/>
        <v>30</v>
      </c>
      <c r="AS798" s="3">
        <f t="shared" si="37"/>
        <v>0</v>
      </c>
      <c r="AT798" s="3" t="str">
        <f>IF(OR(Registered!AM798&gt;0,Registered!AO798&gt;0),(IF(Registered!E798=0,"Size Not Specified",Registered!E798)),"")</f>
        <v/>
      </c>
      <c r="AU798" s="3" t="str">
        <f>IF(Registered!AE798=0,"",IF(Registered!AE798=1,Registered!AE798&amp;" Bandana",Registered!AE798&amp;" Bandanas"))</f>
        <v/>
      </c>
      <c r="AV798" s="3">
        <f t="shared" si="38"/>
        <v>0</v>
      </c>
      <c r="AW798" s="2" t="str">
        <f>IF(Registered!AV798=0,"",IF(Registered!AV798=1,Registered!AV798&amp;" Meal",Registered!AV798&amp;" Meals"))</f>
        <v/>
      </c>
      <c r="AX798" s="2" t="str">
        <f>IF(Registered!AI798=0,"",Registered!AI798&amp;" BG")</f>
        <v/>
      </c>
      <c r="AY798" s="2" t="str">
        <f>IF(Registered!AG798=0,"",Registered!AG798&amp;" DustMask")</f>
        <v/>
      </c>
    </row>
    <row r="799" spans="1:51" customFormat="1" x14ac:dyDescent="0.25">
      <c r="A799" t="s">
        <v>79</v>
      </c>
      <c r="B799" t="s">
        <v>2965</v>
      </c>
      <c r="C799" t="s">
        <v>6090</v>
      </c>
      <c r="D799" t="s">
        <v>2966</v>
      </c>
      <c r="E799" t="s">
        <v>2967</v>
      </c>
      <c r="F799" t="s">
        <v>261</v>
      </c>
      <c r="I799" t="s">
        <v>2968</v>
      </c>
      <c r="J799" t="s">
        <v>37</v>
      </c>
      <c r="K799" t="s">
        <v>32</v>
      </c>
      <c r="L799" t="s">
        <v>35</v>
      </c>
      <c r="Q799">
        <v>2</v>
      </c>
      <c r="R799">
        <v>3</v>
      </c>
      <c r="U799">
        <v>1</v>
      </c>
      <c r="V799">
        <v>20</v>
      </c>
      <c r="AC799">
        <v>1</v>
      </c>
      <c r="AD799">
        <v>10</v>
      </c>
      <c r="AO799">
        <v>1</v>
      </c>
      <c r="AP799">
        <v>10</v>
      </c>
      <c r="AQ799">
        <v>46</v>
      </c>
      <c r="AR799" s="3">
        <f t="shared" si="36"/>
        <v>15</v>
      </c>
      <c r="AS799" s="3">
        <f t="shared" si="37"/>
        <v>1</v>
      </c>
      <c r="AT799" s="3" t="str">
        <f>IF(OR(Registered!AM799&gt;0,Registered!AO799&gt;0),(IF(Registered!E799=0,"Size Not Specified",Registered!E799)),"")</f>
        <v>1 small</v>
      </c>
      <c r="AU799" s="3" t="str">
        <f>IF(Registered!AE799=0,"",IF(Registered!AE799=1,Registered!AE799&amp;" Bandana",Registered!AE799&amp;" Bandanas"))</f>
        <v/>
      </c>
      <c r="AV799" s="3">
        <f t="shared" si="38"/>
        <v>0</v>
      </c>
      <c r="AW799" s="2" t="str">
        <f>IF(Registered!AV799=0,"",IF(Registered!AV799=1,Registered!AV799&amp;" Meal",Registered!AV799&amp;" Meals"))</f>
        <v/>
      </c>
      <c r="AX799" s="2" t="str">
        <f>IF(Registered!AI799=0,"",Registered!AI799&amp;" BG")</f>
        <v/>
      </c>
      <c r="AY799" s="2" t="str">
        <f>IF(Registered!AG799=0,"",Registered!AG799&amp;" DustMask")</f>
        <v/>
      </c>
    </row>
    <row r="800" spans="1:51" customFormat="1" x14ac:dyDescent="0.25">
      <c r="A800" t="s">
        <v>272</v>
      </c>
      <c r="B800" t="s">
        <v>2965</v>
      </c>
      <c r="C800" t="s">
        <v>6090</v>
      </c>
      <c r="G800" t="s">
        <v>79</v>
      </c>
      <c r="H800" t="s">
        <v>2965</v>
      </c>
      <c r="I800" t="s">
        <v>2968</v>
      </c>
      <c r="J800" t="s">
        <v>37</v>
      </c>
      <c r="K800" t="s">
        <v>32</v>
      </c>
      <c r="L800" t="s">
        <v>35</v>
      </c>
      <c r="AQ800">
        <v>0</v>
      </c>
      <c r="AR800" s="3">
        <f t="shared" si="36"/>
        <v>0</v>
      </c>
      <c r="AS800" s="3">
        <f t="shared" si="37"/>
        <v>0</v>
      </c>
      <c r="AT800" s="3" t="str">
        <f>IF(OR(Registered!AM800&gt;0,Registered!AO800&gt;0),(IF(Registered!E800=0,"Size Not Specified",Registered!E800)),"")</f>
        <v/>
      </c>
      <c r="AU800" s="3" t="str">
        <f>IF(Registered!AE800=0,"",IF(Registered!AE800=1,Registered!AE800&amp;" Bandana",Registered!AE800&amp;" Bandanas"))</f>
        <v/>
      </c>
      <c r="AV800" s="3">
        <f t="shared" si="38"/>
        <v>0</v>
      </c>
      <c r="AW800" s="2" t="str">
        <f>IF(Registered!AV800=0,"",IF(Registered!AV800=1,Registered!AV800&amp;" Meal",Registered!AV800&amp;" Meals"))</f>
        <v/>
      </c>
      <c r="AX800" s="2" t="str">
        <f>IF(Registered!AI800=0,"",Registered!AI800&amp;" BG")</f>
        <v/>
      </c>
      <c r="AY800" s="2" t="str">
        <f>IF(Registered!AG800=0,"",Registered!AG800&amp;" DustMask")</f>
        <v/>
      </c>
    </row>
    <row r="801" spans="1:51" customFormat="1" x14ac:dyDescent="0.25">
      <c r="A801" t="s">
        <v>1322</v>
      </c>
      <c r="B801" t="s">
        <v>176</v>
      </c>
      <c r="C801" t="s">
        <v>6090</v>
      </c>
      <c r="G801" t="s">
        <v>586</v>
      </c>
      <c r="H801" t="s">
        <v>587</v>
      </c>
      <c r="I801" t="s">
        <v>588</v>
      </c>
      <c r="J801" t="s">
        <v>37</v>
      </c>
      <c r="K801" t="s">
        <v>32</v>
      </c>
      <c r="L801" t="s">
        <v>35</v>
      </c>
      <c r="AQ801">
        <v>0</v>
      </c>
      <c r="AR801" s="3">
        <f t="shared" si="36"/>
        <v>0</v>
      </c>
      <c r="AS801" s="3">
        <f t="shared" si="37"/>
        <v>0</v>
      </c>
      <c r="AT801" s="3" t="str">
        <f>IF(OR(Registered!AM801&gt;0,Registered!AO801&gt;0),(IF(Registered!E801=0,"Size Not Specified",Registered!E801)),"")</f>
        <v/>
      </c>
      <c r="AU801" s="3" t="str">
        <f>IF(Registered!AE801=0,"",IF(Registered!AE801=1,Registered!AE801&amp;" Bandana",Registered!AE801&amp;" Bandanas"))</f>
        <v/>
      </c>
      <c r="AV801" s="3">
        <f t="shared" si="38"/>
        <v>0</v>
      </c>
      <c r="AW801" s="2" t="str">
        <f>IF(Registered!AV801=0,"",IF(Registered!AV801=1,Registered!AV801&amp;" Meal",Registered!AV801&amp;" Meals"))</f>
        <v/>
      </c>
      <c r="AX801" s="2" t="str">
        <f>IF(Registered!AI801=0,"",Registered!AI801&amp;" BG")</f>
        <v/>
      </c>
      <c r="AY801" s="2" t="str">
        <f>IF(Registered!AG801=0,"",Registered!AG801&amp;" DustMask")</f>
        <v/>
      </c>
    </row>
    <row r="802" spans="1:51" customFormat="1" x14ac:dyDescent="0.25">
      <c r="A802" t="s">
        <v>50</v>
      </c>
      <c r="B802" t="s">
        <v>176</v>
      </c>
      <c r="C802" t="s">
        <v>6090</v>
      </c>
      <c r="G802" t="s">
        <v>508</v>
      </c>
      <c r="H802" t="s">
        <v>589</v>
      </c>
      <c r="I802" t="s">
        <v>590</v>
      </c>
      <c r="J802" t="s">
        <v>37</v>
      </c>
      <c r="K802" t="s">
        <v>32</v>
      </c>
      <c r="L802" t="s">
        <v>35</v>
      </c>
      <c r="AQ802">
        <v>0</v>
      </c>
      <c r="AR802" s="3">
        <f t="shared" si="36"/>
        <v>0</v>
      </c>
      <c r="AS802" s="3">
        <f t="shared" si="37"/>
        <v>0</v>
      </c>
      <c r="AT802" s="3" t="str">
        <f>IF(OR(Registered!AM802&gt;0,Registered!AO802&gt;0),(IF(Registered!E802=0,"Size Not Specified",Registered!E802)),"")</f>
        <v/>
      </c>
      <c r="AU802" s="3" t="str">
        <f>IF(Registered!AE802=0,"",IF(Registered!AE802=1,Registered!AE802&amp;" Bandana",Registered!AE802&amp;" Bandanas"))</f>
        <v/>
      </c>
      <c r="AV802" s="3">
        <f t="shared" si="38"/>
        <v>0</v>
      </c>
      <c r="AW802" s="2" t="str">
        <f>IF(Registered!AV802=0,"",IF(Registered!AV802=1,Registered!AV802&amp;" Meal",Registered!AV802&amp;" Meals"))</f>
        <v/>
      </c>
      <c r="AX802" s="2" t="str">
        <f>IF(Registered!AI802=0,"",Registered!AI802&amp;" BG")</f>
        <v/>
      </c>
      <c r="AY802" s="2" t="str">
        <f>IF(Registered!AG802=0,"",Registered!AG802&amp;" DustMask")</f>
        <v/>
      </c>
    </row>
    <row r="803" spans="1:51" customFormat="1" x14ac:dyDescent="0.25">
      <c r="A803" t="s">
        <v>639</v>
      </c>
      <c r="B803" t="s">
        <v>176</v>
      </c>
      <c r="C803" t="s">
        <v>6090</v>
      </c>
      <c r="I803" t="s">
        <v>4462</v>
      </c>
      <c r="J803" t="s">
        <v>37</v>
      </c>
      <c r="K803" t="s">
        <v>32</v>
      </c>
      <c r="L803" t="s">
        <v>35</v>
      </c>
      <c r="Q803">
        <v>1</v>
      </c>
      <c r="R803">
        <v>3</v>
      </c>
      <c r="AQ803">
        <v>3</v>
      </c>
      <c r="AR803" s="3">
        <f t="shared" si="36"/>
        <v>0</v>
      </c>
      <c r="AS803" s="3">
        <f t="shared" si="37"/>
        <v>0</v>
      </c>
      <c r="AT803" s="3" t="str">
        <f>IF(OR(Registered!AM803&gt;0,Registered!AO803&gt;0),(IF(Registered!E803=0,"Size Not Specified",Registered!E803)),"")</f>
        <v/>
      </c>
      <c r="AU803" s="3" t="str">
        <f>IF(Registered!AE803=0,"",IF(Registered!AE803=1,Registered!AE803&amp;" Bandana",Registered!AE803&amp;" Bandanas"))</f>
        <v/>
      </c>
      <c r="AV803" s="3">
        <f t="shared" si="38"/>
        <v>0</v>
      </c>
      <c r="AW803" s="2" t="str">
        <f>IF(Registered!AV803=0,"",IF(Registered!AV803=1,Registered!AV803&amp;" Meal",Registered!AV803&amp;" Meals"))</f>
        <v/>
      </c>
      <c r="AX803" s="2" t="str">
        <f>IF(Registered!AI803=0,"",Registered!AI803&amp;" BG")</f>
        <v/>
      </c>
      <c r="AY803" s="2" t="str">
        <f>IF(Registered!AG803=0,"",Registered!AG803&amp;" DustMask")</f>
        <v/>
      </c>
    </row>
    <row r="804" spans="1:51" customFormat="1" x14ac:dyDescent="0.25">
      <c r="A804" t="s">
        <v>155</v>
      </c>
      <c r="B804" t="s">
        <v>176</v>
      </c>
      <c r="C804" t="s">
        <v>6090</v>
      </c>
      <c r="G804" t="s">
        <v>586</v>
      </c>
      <c r="H804" t="s">
        <v>587</v>
      </c>
      <c r="I804" t="s">
        <v>588</v>
      </c>
      <c r="J804" t="s">
        <v>37</v>
      </c>
      <c r="K804" t="s">
        <v>32</v>
      </c>
      <c r="L804" t="s">
        <v>35</v>
      </c>
      <c r="AQ804">
        <v>0</v>
      </c>
      <c r="AR804" s="3">
        <f t="shared" si="36"/>
        <v>0</v>
      </c>
      <c r="AS804" s="3">
        <f t="shared" si="37"/>
        <v>0</v>
      </c>
      <c r="AT804" s="3" t="str">
        <f>IF(OR(Registered!AM804&gt;0,Registered!AO804&gt;0),(IF(Registered!E804=0,"Size Not Specified",Registered!E804)),"")</f>
        <v/>
      </c>
      <c r="AU804" s="3" t="str">
        <f>IF(Registered!AE804=0,"",IF(Registered!AE804=1,Registered!AE804&amp;" Bandana",Registered!AE804&amp;" Bandanas"))</f>
        <v/>
      </c>
      <c r="AV804" s="3">
        <f t="shared" si="38"/>
        <v>0</v>
      </c>
      <c r="AW804" s="2" t="str">
        <f>IF(Registered!AV804=0,"",IF(Registered!AV804=1,Registered!AV804&amp;" Meal",Registered!AV804&amp;" Meals"))</f>
        <v/>
      </c>
      <c r="AX804" s="2" t="str">
        <f>IF(Registered!AI804=0,"",Registered!AI804&amp;" BG")</f>
        <v/>
      </c>
      <c r="AY804" s="2" t="str">
        <f>IF(Registered!AG804=0,"",Registered!AG804&amp;" DustMask")</f>
        <v/>
      </c>
    </row>
    <row r="805" spans="1:51" customFormat="1" x14ac:dyDescent="0.25">
      <c r="A805" t="s">
        <v>102</v>
      </c>
      <c r="B805" t="s">
        <v>176</v>
      </c>
      <c r="C805" t="s">
        <v>6090</v>
      </c>
      <c r="D805" t="s">
        <v>1324</v>
      </c>
      <c r="F805" t="s">
        <v>261</v>
      </c>
      <c r="I805" t="s">
        <v>1325</v>
      </c>
      <c r="J805" t="s">
        <v>37</v>
      </c>
      <c r="K805" t="s">
        <v>32</v>
      </c>
      <c r="L805" t="s">
        <v>35</v>
      </c>
      <c r="S805">
        <v>2</v>
      </c>
      <c r="T805">
        <v>3</v>
      </c>
      <c r="AC805">
        <v>1</v>
      </c>
      <c r="AD805">
        <v>10</v>
      </c>
      <c r="AE805">
        <v>2</v>
      </c>
      <c r="AF805">
        <v>6</v>
      </c>
      <c r="AQ805">
        <v>28</v>
      </c>
      <c r="AR805" s="3">
        <f t="shared" si="36"/>
        <v>5</v>
      </c>
      <c r="AS805" s="3">
        <f t="shared" si="37"/>
        <v>0</v>
      </c>
      <c r="AT805" s="3" t="str">
        <f>IF(OR(Registered!AM805&gt;0,Registered!AO805&gt;0),(IF(Registered!E805=0,"Size Not Specified",Registered!E805)),"")</f>
        <v/>
      </c>
      <c r="AU805" s="3" t="str">
        <f>IF(Registered!AE805=0,"",IF(Registered!AE805=1,Registered!AE805&amp;" Bandana",Registered!AE805&amp;" Bandanas"))</f>
        <v>2 Bandanas</v>
      </c>
      <c r="AV805" s="3">
        <f t="shared" si="38"/>
        <v>0</v>
      </c>
      <c r="AW805" s="2" t="str">
        <f>IF(Registered!AV805=0,"",IF(Registered!AV805=1,Registered!AV805&amp;" Meal",Registered!AV805&amp;" Meals"))</f>
        <v/>
      </c>
      <c r="AX805" s="2" t="str">
        <f>IF(Registered!AI805=0,"",Registered!AI805&amp;" BG")</f>
        <v/>
      </c>
      <c r="AY805" s="2" t="str">
        <f>IF(Registered!AG805=0,"",Registered!AG805&amp;" DustMask")</f>
        <v/>
      </c>
    </row>
    <row r="806" spans="1:51" customFormat="1" x14ac:dyDescent="0.25">
      <c r="A806" t="s">
        <v>492</v>
      </c>
      <c r="B806" t="s">
        <v>1326</v>
      </c>
      <c r="C806" t="s">
        <v>6090</v>
      </c>
      <c r="G806" t="s">
        <v>772</v>
      </c>
      <c r="H806" t="s">
        <v>95</v>
      </c>
      <c r="I806" t="s">
        <v>773</v>
      </c>
      <c r="J806" t="s">
        <v>37</v>
      </c>
      <c r="K806" t="s">
        <v>32</v>
      </c>
      <c r="L806" t="s">
        <v>35</v>
      </c>
      <c r="AQ806">
        <v>0</v>
      </c>
      <c r="AR806" s="3">
        <f t="shared" si="36"/>
        <v>0</v>
      </c>
      <c r="AS806" s="3">
        <f t="shared" si="37"/>
        <v>0</v>
      </c>
      <c r="AT806" s="3" t="str">
        <f>IF(OR(Registered!AM806&gt;0,Registered!AO806&gt;0),(IF(Registered!E806=0,"Size Not Specified",Registered!E806)),"")</f>
        <v/>
      </c>
      <c r="AU806" s="3" t="str">
        <f>IF(Registered!AE806=0,"",IF(Registered!AE806=1,Registered!AE806&amp;" Bandana",Registered!AE806&amp;" Bandanas"))</f>
        <v/>
      </c>
      <c r="AV806" s="3">
        <f t="shared" si="38"/>
        <v>0</v>
      </c>
      <c r="AW806" s="2" t="str">
        <f>IF(Registered!AV806=0,"",IF(Registered!AV806=1,Registered!AV806&amp;" Meal",Registered!AV806&amp;" Meals"))</f>
        <v/>
      </c>
      <c r="AX806" s="2" t="str">
        <f>IF(Registered!AI806=0,"",Registered!AI806&amp;" BG")</f>
        <v/>
      </c>
      <c r="AY806" s="2" t="str">
        <f>IF(Registered!AG806=0,"",Registered!AG806&amp;" DustMask")</f>
        <v/>
      </c>
    </row>
    <row r="807" spans="1:51" customFormat="1" x14ac:dyDescent="0.25">
      <c r="A807" t="s">
        <v>2969</v>
      </c>
      <c r="B807" t="s">
        <v>414</v>
      </c>
      <c r="C807" t="s">
        <v>6090</v>
      </c>
      <c r="D807" t="s">
        <v>2970</v>
      </c>
      <c r="F807" t="s">
        <v>261</v>
      </c>
      <c r="I807" t="s">
        <v>2971</v>
      </c>
      <c r="J807" t="s">
        <v>37</v>
      </c>
      <c r="K807" t="s">
        <v>32</v>
      </c>
      <c r="L807" t="s">
        <v>35</v>
      </c>
      <c r="Q807">
        <v>3</v>
      </c>
      <c r="R807">
        <v>3</v>
      </c>
      <c r="U807">
        <v>3</v>
      </c>
      <c r="V807">
        <v>20</v>
      </c>
      <c r="AQ807">
        <v>69</v>
      </c>
      <c r="AR807" s="3">
        <f t="shared" si="36"/>
        <v>30</v>
      </c>
      <c r="AS807" s="3">
        <f t="shared" si="37"/>
        <v>0</v>
      </c>
      <c r="AT807" s="3" t="str">
        <f>IF(OR(Registered!AM807&gt;0,Registered!AO807&gt;0),(IF(Registered!E807=0,"Size Not Specified",Registered!E807)),"")</f>
        <v/>
      </c>
      <c r="AU807" s="3" t="str">
        <f>IF(Registered!AE807=0,"",IF(Registered!AE807=1,Registered!AE807&amp;" Bandana",Registered!AE807&amp;" Bandanas"))</f>
        <v/>
      </c>
      <c r="AV807" s="3">
        <f t="shared" si="38"/>
        <v>0</v>
      </c>
      <c r="AW807" s="2" t="str">
        <f>IF(Registered!AV807=0,"",IF(Registered!AV807=1,Registered!AV807&amp;" Meal",Registered!AV807&amp;" Meals"))</f>
        <v/>
      </c>
      <c r="AX807" s="2" t="str">
        <f>IF(Registered!AI807=0,"",Registered!AI807&amp;" BG")</f>
        <v/>
      </c>
      <c r="AY807" s="2" t="str">
        <f>IF(Registered!AG807=0,"",Registered!AG807&amp;" DustMask")</f>
        <v/>
      </c>
    </row>
    <row r="808" spans="1:51" customFormat="1" x14ac:dyDescent="0.25">
      <c r="A808" t="s">
        <v>185</v>
      </c>
      <c r="B808" t="s">
        <v>414</v>
      </c>
      <c r="C808" t="s">
        <v>6090</v>
      </c>
      <c r="G808" t="s">
        <v>2969</v>
      </c>
      <c r="H808" t="s">
        <v>414</v>
      </c>
      <c r="I808" t="s">
        <v>2971</v>
      </c>
      <c r="J808" t="s">
        <v>37</v>
      </c>
      <c r="K808" t="s">
        <v>32</v>
      </c>
      <c r="L808" t="s">
        <v>35</v>
      </c>
      <c r="AQ808">
        <v>0</v>
      </c>
      <c r="AR808" s="3">
        <f t="shared" si="36"/>
        <v>0</v>
      </c>
      <c r="AS808" s="3">
        <f t="shared" si="37"/>
        <v>0</v>
      </c>
      <c r="AT808" s="3" t="str">
        <f>IF(OR(Registered!AM808&gt;0,Registered!AO808&gt;0),(IF(Registered!E808=0,"Size Not Specified",Registered!E808)),"")</f>
        <v/>
      </c>
      <c r="AU808" s="3" t="str">
        <f>IF(Registered!AE808=0,"",IF(Registered!AE808=1,Registered!AE808&amp;" Bandana",Registered!AE808&amp;" Bandanas"))</f>
        <v/>
      </c>
      <c r="AV808" s="3">
        <f t="shared" si="38"/>
        <v>0</v>
      </c>
      <c r="AW808" s="2" t="str">
        <f>IF(Registered!AV808=0,"",IF(Registered!AV808=1,Registered!AV808&amp;" Meal",Registered!AV808&amp;" Meals"))</f>
        <v/>
      </c>
      <c r="AX808" s="2" t="str">
        <f>IF(Registered!AI808=0,"",Registered!AI808&amp;" BG")</f>
        <v/>
      </c>
      <c r="AY808" s="2" t="str">
        <f>IF(Registered!AG808=0,"",Registered!AG808&amp;" DustMask")</f>
        <v/>
      </c>
    </row>
    <row r="809" spans="1:51" customFormat="1" x14ac:dyDescent="0.25">
      <c r="A809" t="s">
        <v>88</v>
      </c>
      <c r="B809" t="s">
        <v>414</v>
      </c>
      <c r="C809" t="s">
        <v>6090</v>
      </c>
      <c r="D809" t="s">
        <v>88</v>
      </c>
      <c r="E809" t="s">
        <v>1327</v>
      </c>
      <c r="F809" t="s">
        <v>261</v>
      </c>
      <c r="I809" t="s">
        <v>1328</v>
      </c>
      <c r="J809" t="s">
        <v>37</v>
      </c>
      <c r="K809" t="s">
        <v>32</v>
      </c>
      <c r="L809" t="s">
        <v>35</v>
      </c>
      <c r="S809">
        <v>2</v>
      </c>
      <c r="T809">
        <v>3</v>
      </c>
      <c r="U809">
        <v>1</v>
      </c>
      <c r="V809">
        <v>20</v>
      </c>
      <c r="AK809">
        <v>2</v>
      </c>
      <c r="AL809">
        <v>6</v>
      </c>
      <c r="AQ809">
        <v>38</v>
      </c>
      <c r="AR809" s="3">
        <f t="shared" si="36"/>
        <v>10</v>
      </c>
      <c r="AS809" s="3">
        <f t="shared" si="37"/>
        <v>0</v>
      </c>
      <c r="AT809" s="3" t="str">
        <f>IF(OR(Registered!AM809&gt;0,Registered!AO809&gt;0),(IF(Registered!E809=0,"Size Not Specified",Registered!E809)),"")</f>
        <v/>
      </c>
      <c r="AU809" s="3" t="str">
        <f>IF(Registered!AE809=0,"",IF(Registered!AE809=1,Registered!AE809&amp;" Bandana",Registered!AE809&amp;" Bandanas"))</f>
        <v/>
      </c>
      <c r="AV809" s="3">
        <f t="shared" si="38"/>
        <v>2</v>
      </c>
      <c r="AW809" s="2" t="str">
        <f>IF(Registered!AV809=0,"",IF(Registered!AV809=1,Registered!AV809&amp;" Meal",Registered!AV809&amp;" Meals"))</f>
        <v>2 Meals</v>
      </c>
      <c r="AX809" s="2" t="str">
        <f>IF(Registered!AI809=0,"",Registered!AI809&amp;" BG")</f>
        <v/>
      </c>
      <c r="AY809" s="2" t="str">
        <f>IF(Registered!AG809=0,"",Registered!AG809&amp;" DustMask")</f>
        <v/>
      </c>
    </row>
    <row r="810" spans="1:51" customFormat="1" x14ac:dyDescent="0.25">
      <c r="A810" t="s">
        <v>1329</v>
      </c>
      <c r="B810" t="s">
        <v>414</v>
      </c>
      <c r="C810" t="s">
        <v>6090</v>
      </c>
      <c r="I810" t="s">
        <v>1330</v>
      </c>
      <c r="J810" t="s">
        <v>37</v>
      </c>
      <c r="K810" t="s">
        <v>32</v>
      </c>
      <c r="L810" t="s">
        <v>35</v>
      </c>
      <c r="Q810">
        <v>3</v>
      </c>
      <c r="R810">
        <v>3</v>
      </c>
      <c r="U810">
        <v>1</v>
      </c>
      <c r="V810">
        <v>20</v>
      </c>
      <c r="AQ810">
        <v>29</v>
      </c>
      <c r="AR810" s="3">
        <f t="shared" si="36"/>
        <v>10</v>
      </c>
      <c r="AS810" s="3">
        <f t="shared" si="37"/>
        <v>0</v>
      </c>
      <c r="AT810" s="3" t="str">
        <f>IF(OR(Registered!AM810&gt;0,Registered!AO810&gt;0),(IF(Registered!E810=0,"Size Not Specified",Registered!E810)),"")</f>
        <v/>
      </c>
      <c r="AU810" s="3" t="str">
        <f>IF(Registered!AE810=0,"",IF(Registered!AE810=1,Registered!AE810&amp;" Bandana",Registered!AE810&amp;" Bandanas"))</f>
        <v/>
      </c>
      <c r="AV810" s="3">
        <f t="shared" si="38"/>
        <v>0</v>
      </c>
      <c r="AW810" s="2" t="str">
        <f>IF(Registered!AV810=0,"",IF(Registered!AV810=1,Registered!AV810&amp;" Meal",Registered!AV810&amp;" Meals"))</f>
        <v/>
      </c>
      <c r="AX810" s="2" t="str">
        <f>IF(Registered!AI810=0,"",Registered!AI810&amp;" BG")</f>
        <v/>
      </c>
      <c r="AY810" s="2" t="str">
        <f>IF(Registered!AG810=0,"",Registered!AG810&amp;" DustMask")</f>
        <v/>
      </c>
    </row>
    <row r="811" spans="1:51" customFormat="1" x14ac:dyDescent="0.25">
      <c r="A811" t="s">
        <v>96</v>
      </c>
      <c r="B811" t="s">
        <v>414</v>
      </c>
      <c r="C811" t="s">
        <v>6090</v>
      </c>
      <c r="D811" t="s">
        <v>4466</v>
      </c>
      <c r="F811" t="s">
        <v>261</v>
      </c>
      <c r="I811" t="s">
        <v>3732</v>
      </c>
      <c r="J811" t="s">
        <v>37</v>
      </c>
      <c r="K811" t="s">
        <v>32</v>
      </c>
      <c r="L811" t="s">
        <v>35</v>
      </c>
      <c r="Q811">
        <v>5</v>
      </c>
      <c r="R811">
        <v>3</v>
      </c>
      <c r="AC811">
        <v>3</v>
      </c>
      <c r="AD811">
        <v>10</v>
      </c>
      <c r="AQ811">
        <v>45</v>
      </c>
      <c r="AR811" s="3">
        <f t="shared" si="36"/>
        <v>15</v>
      </c>
      <c r="AS811" s="3">
        <f t="shared" si="37"/>
        <v>0</v>
      </c>
      <c r="AT811" s="3" t="str">
        <f>IF(OR(Registered!AM811&gt;0,Registered!AO811&gt;0),(IF(Registered!E811=0,"Size Not Specified",Registered!E811)),"")</f>
        <v/>
      </c>
      <c r="AU811" s="3" t="str">
        <f>IF(Registered!AE811=0,"",IF(Registered!AE811=1,Registered!AE811&amp;" Bandana",Registered!AE811&amp;" Bandanas"))</f>
        <v/>
      </c>
      <c r="AV811" s="3">
        <f t="shared" si="38"/>
        <v>0</v>
      </c>
      <c r="AW811" s="2" t="str">
        <f>IF(Registered!AV811=0,"",IF(Registered!AV811=1,Registered!AV811&amp;" Meal",Registered!AV811&amp;" Meals"))</f>
        <v/>
      </c>
      <c r="AX811" s="2" t="str">
        <f>IF(Registered!AI811=0,"",Registered!AI811&amp;" BG")</f>
        <v/>
      </c>
      <c r="AY811" s="2" t="str">
        <f>IF(Registered!AG811=0,"",Registered!AG811&amp;" DustMask")</f>
        <v/>
      </c>
    </row>
    <row r="812" spans="1:51" customFormat="1" x14ac:dyDescent="0.25">
      <c r="A812" t="s">
        <v>1331</v>
      </c>
      <c r="B812" t="s">
        <v>1332</v>
      </c>
      <c r="C812" t="s">
        <v>6090</v>
      </c>
      <c r="G812" t="s">
        <v>1333</v>
      </c>
      <c r="H812" t="s">
        <v>466</v>
      </c>
      <c r="I812" t="s">
        <v>1334</v>
      </c>
      <c r="J812" t="s">
        <v>37</v>
      </c>
      <c r="K812" t="s">
        <v>32</v>
      </c>
      <c r="L812" t="s">
        <v>35</v>
      </c>
      <c r="AQ812">
        <v>0</v>
      </c>
      <c r="AR812" s="3">
        <f t="shared" si="36"/>
        <v>0</v>
      </c>
      <c r="AS812" s="3">
        <f t="shared" si="37"/>
        <v>0</v>
      </c>
      <c r="AT812" s="3" t="str">
        <f>IF(OR(Registered!AM812&gt;0,Registered!AO812&gt;0),(IF(Registered!E812=0,"Size Not Specified",Registered!E812)),"")</f>
        <v/>
      </c>
      <c r="AU812" s="3" t="str">
        <f>IF(Registered!AE812=0,"",IF(Registered!AE812=1,Registered!AE812&amp;" Bandana",Registered!AE812&amp;" Bandanas"))</f>
        <v/>
      </c>
      <c r="AV812" s="3">
        <f t="shared" si="38"/>
        <v>0</v>
      </c>
      <c r="AW812" s="2" t="str">
        <f>IF(Registered!AV812=0,"",IF(Registered!AV812=1,Registered!AV812&amp;" Meal",Registered!AV812&amp;" Meals"))</f>
        <v/>
      </c>
      <c r="AX812" s="2" t="str">
        <f>IF(Registered!AI812=0,"",Registered!AI812&amp;" BG")</f>
        <v/>
      </c>
      <c r="AY812" s="2" t="str">
        <f>IF(Registered!AG812=0,"",Registered!AG812&amp;" DustMask")</f>
        <v/>
      </c>
    </row>
    <row r="813" spans="1:51" customFormat="1" x14ac:dyDescent="0.25">
      <c r="A813" t="s">
        <v>4467</v>
      </c>
      <c r="B813" t="s">
        <v>4468</v>
      </c>
      <c r="C813" t="s">
        <v>6090</v>
      </c>
      <c r="D813" t="s">
        <v>4469</v>
      </c>
      <c r="E813" t="s">
        <v>4470</v>
      </c>
      <c r="F813" t="s">
        <v>261</v>
      </c>
      <c r="I813" t="s">
        <v>4471</v>
      </c>
      <c r="J813" t="s">
        <v>37</v>
      </c>
      <c r="K813" t="s">
        <v>32</v>
      </c>
      <c r="L813" t="s">
        <v>35</v>
      </c>
      <c r="Q813">
        <v>6</v>
      </c>
      <c r="R813">
        <v>3</v>
      </c>
      <c r="AM813">
        <v>7</v>
      </c>
      <c r="AN813">
        <v>25</v>
      </c>
      <c r="AQ813">
        <v>193</v>
      </c>
      <c r="AR813" s="3">
        <f t="shared" si="36"/>
        <v>35</v>
      </c>
      <c r="AS813" s="3">
        <f t="shared" si="37"/>
        <v>7</v>
      </c>
      <c r="AT813" s="3" t="str">
        <f>IF(OR(Registered!AM813&gt;0,Registered!AO813&gt;0),(IF(Registered!E813=0,"Size Not Specified",Registered!E813)),"")</f>
        <v>6 large, one small</v>
      </c>
      <c r="AU813" s="3" t="str">
        <f>IF(Registered!AE813=0,"",IF(Registered!AE813=1,Registered!AE813&amp;" Bandana",Registered!AE813&amp;" Bandanas"))</f>
        <v/>
      </c>
      <c r="AV813" s="3">
        <f t="shared" si="38"/>
        <v>7</v>
      </c>
      <c r="AW813" s="2" t="str">
        <f>IF(Registered!AV813=0,"",IF(Registered!AV813=1,Registered!AV813&amp;" Meal",Registered!AV813&amp;" Meals"))</f>
        <v>7 Meals</v>
      </c>
      <c r="AX813" s="2" t="str">
        <f>IF(Registered!AI813=0,"",Registered!AI813&amp;" BG")</f>
        <v/>
      </c>
      <c r="AY813" s="2" t="str">
        <f>IF(Registered!AG813=0,"",Registered!AG813&amp;" DustMask")</f>
        <v/>
      </c>
    </row>
    <row r="814" spans="1:51" customFormat="1" x14ac:dyDescent="0.25">
      <c r="A814" t="s">
        <v>150</v>
      </c>
      <c r="B814" t="s">
        <v>4468</v>
      </c>
      <c r="C814" t="s">
        <v>6090</v>
      </c>
      <c r="G814" t="s">
        <v>4467</v>
      </c>
      <c r="H814" t="s">
        <v>4468</v>
      </c>
      <c r="I814" t="s">
        <v>4471</v>
      </c>
      <c r="J814" t="s">
        <v>37</v>
      </c>
      <c r="K814" t="s">
        <v>32</v>
      </c>
      <c r="L814" t="s">
        <v>35</v>
      </c>
      <c r="AQ814">
        <v>0</v>
      </c>
      <c r="AR814" s="3">
        <f t="shared" si="36"/>
        <v>0</v>
      </c>
      <c r="AS814" s="3">
        <f t="shared" si="37"/>
        <v>0</v>
      </c>
      <c r="AT814" s="3" t="str">
        <f>IF(OR(Registered!AM814&gt;0,Registered!AO814&gt;0),(IF(Registered!E814=0,"Size Not Specified",Registered!E814)),"")</f>
        <v/>
      </c>
      <c r="AU814" s="3" t="str">
        <f>IF(Registered!AE814=0,"",IF(Registered!AE814=1,Registered!AE814&amp;" Bandana",Registered!AE814&amp;" Bandanas"))</f>
        <v/>
      </c>
      <c r="AV814" s="3">
        <f t="shared" si="38"/>
        <v>0</v>
      </c>
      <c r="AW814" s="2" t="str">
        <f>IF(Registered!AV814=0,"",IF(Registered!AV814=1,Registered!AV814&amp;" Meal",Registered!AV814&amp;" Meals"))</f>
        <v/>
      </c>
      <c r="AX814" s="2" t="str">
        <f>IF(Registered!AI814=0,"",Registered!AI814&amp;" BG")</f>
        <v/>
      </c>
      <c r="AY814" s="2" t="str">
        <f>IF(Registered!AG814=0,"",Registered!AG814&amp;" DustMask")</f>
        <v/>
      </c>
    </row>
    <row r="815" spans="1:51" customFormat="1" x14ac:dyDescent="0.25">
      <c r="A815" t="s">
        <v>4472</v>
      </c>
      <c r="B815" t="s">
        <v>4468</v>
      </c>
      <c r="C815" t="s">
        <v>6090</v>
      </c>
      <c r="G815" t="s">
        <v>4467</v>
      </c>
      <c r="H815" t="s">
        <v>4468</v>
      </c>
      <c r="I815" t="s">
        <v>4471</v>
      </c>
      <c r="J815" t="s">
        <v>37</v>
      </c>
      <c r="K815" t="s">
        <v>32</v>
      </c>
      <c r="L815" t="s">
        <v>35</v>
      </c>
      <c r="AQ815">
        <v>0</v>
      </c>
      <c r="AR815" s="3">
        <f t="shared" si="36"/>
        <v>0</v>
      </c>
      <c r="AS815" s="3">
        <f t="shared" si="37"/>
        <v>0</v>
      </c>
      <c r="AT815" s="3" t="str">
        <f>IF(OR(Registered!AM815&gt;0,Registered!AO815&gt;0),(IF(Registered!E815=0,"Size Not Specified",Registered!E815)),"")</f>
        <v/>
      </c>
      <c r="AU815" s="3" t="str">
        <f>IF(Registered!AE815=0,"",IF(Registered!AE815=1,Registered!AE815&amp;" Bandana",Registered!AE815&amp;" Bandanas"))</f>
        <v/>
      </c>
      <c r="AV815" s="3">
        <f t="shared" si="38"/>
        <v>0</v>
      </c>
      <c r="AW815" s="2" t="str">
        <f>IF(Registered!AV815=0,"",IF(Registered!AV815=1,Registered!AV815&amp;" Meal",Registered!AV815&amp;" Meals"))</f>
        <v/>
      </c>
      <c r="AX815" s="2" t="str">
        <f>IF(Registered!AI815=0,"",Registered!AI815&amp;" BG")</f>
        <v/>
      </c>
      <c r="AY815" s="2" t="str">
        <f>IF(Registered!AG815=0,"",Registered!AG815&amp;" DustMask")</f>
        <v/>
      </c>
    </row>
    <row r="816" spans="1:51" customFormat="1" x14ac:dyDescent="0.25">
      <c r="A816" t="s">
        <v>614</v>
      </c>
      <c r="B816" t="s">
        <v>4468</v>
      </c>
      <c r="C816" t="s">
        <v>6090</v>
      </c>
      <c r="G816" t="s">
        <v>4467</v>
      </c>
      <c r="H816" t="s">
        <v>4468</v>
      </c>
      <c r="I816" t="s">
        <v>4471</v>
      </c>
      <c r="J816" t="s">
        <v>37</v>
      </c>
      <c r="K816" t="s">
        <v>32</v>
      </c>
      <c r="L816" t="s">
        <v>35</v>
      </c>
      <c r="AQ816">
        <v>0</v>
      </c>
      <c r="AR816" s="3">
        <f t="shared" si="36"/>
        <v>0</v>
      </c>
      <c r="AS816" s="3">
        <f t="shared" si="37"/>
        <v>0</v>
      </c>
      <c r="AT816" s="3" t="str">
        <f>IF(OR(Registered!AM816&gt;0,Registered!AO816&gt;0),(IF(Registered!E816=0,"Size Not Specified",Registered!E816)),"")</f>
        <v/>
      </c>
      <c r="AU816" s="3" t="str">
        <f>IF(Registered!AE816=0,"",IF(Registered!AE816=1,Registered!AE816&amp;" Bandana",Registered!AE816&amp;" Bandanas"))</f>
        <v/>
      </c>
      <c r="AV816" s="3">
        <f t="shared" si="38"/>
        <v>0</v>
      </c>
      <c r="AW816" s="2" t="str">
        <f>IF(Registered!AV816=0,"",IF(Registered!AV816=1,Registered!AV816&amp;" Meal",Registered!AV816&amp;" Meals"))</f>
        <v/>
      </c>
      <c r="AX816" s="2" t="str">
        <f>IF(Registered!AI816=0,"",Registered!AI816&amp;" BG")</f>
        <v/>
      </c>
      <c r="AY816" s="2" t="str">
        <f>IF(Registered!AG816=0,"",Registered!AG816&amp;" DustMask")</f>
        <v/>
      </c>
    </row>
    <row r="817" spans="1:51" customFormat="1" x14ac:dyDescent="0.25">
      <c r="A817" t="s">
        <v>288</v>
      </c>
      <c r="B817" t="s">
        <v>1335</v>
      </c>
      <c r="C817" t="s">
        <v>6090</v>
      </c>
      <c r="G817" t="s">
        <v>174</v>
      </c>
      <c r="H817" t="s">
        <v>865</v>
      </c>
      <c r="I817" t="s">
        <v>866</v>
      </c>
      <c r="J817" t="s">
        <v>37</v>
      </c>
      <c r="K817" t="s">
        <v>32</v>
      </c>
      <c r="L817" t="s">
        <v>35</v>
      </c>
      <c r="AQ817">
        <v>0</v>
      </c>
      <c r="AR817" s="3">
        <f t="shared" si="36"/>
        <v>0</v>
      </c>
      <c r="AS817" s="3">
        <f t="shared" si="37"/>
        <v>0</v>
      </c>
      <c r="AT817" s="3" t="str">
        <f>IF(OR(Registered!AM817&gt;0,Registered!AO817&gt;0),(IF(Registered!E817=0,"Size Not Specified",Registered!E817)),"")</f>
        <v/>
      </c>
      <c r="AU817" s="3" t="str">
        <f>IF(Registered!AE817=0,"",IF(Registered!AE817=1,Registered!AE817&amp;" Bandana",Registered!AE817&amp;" Bandanas"))</f>
        <v/>
      </c>
      <c r="AV817" s="3">
        <f t="shared" si="38"/>
        <v>0</v>
      </c>
      <c r="AW817" s="2" t="str">
        <f>IF(Registered!AV817=0,"",IF(Registered!AV817=1,Registered!AV817&amp;" Meal",Registered!AV817&amp;" Meals"))</f>
        <v/>
      </c>
      <c r="AX817" s="2" t="str">
        <f>IF(Registered!AI817=0,"",Registered!AI817&amp;" BG")</f>
        <v/>
      </c>
      <c r="AY817" s="2" t="str">
        <f>IF(Registered!AG817=0,"",Registered!AG817&amp;" DustMask")</f>
        <v/>
      </c>
    </row>
    <row r="818" spans="1:51" customFormat="1" x14ac:dyDescent="0.25">
      <c r="A818" t="s">
        <v>3055</v>
      </c>
      <c r="B818" t="s">
        <v>4473</v>
      </c>
      <c r="C818" t="s">
        <v>6090</v>
      </c>
      <c r="G818" t="s">
        <v>62</v>
      </c>
      <c r="H818" t="s">
        <v>4474</v>
      </c>
      <c r="I818" t="s">
        <v>4475</v>
      </c>
      <c r="J818" t="s">
        <v>37</v>
      </c>
      <c r="K818" t="s">
        <v>32</v>
      </c>
      <c r="L818" t="s">
        <v>35</v>
      </c>
      <c r="AQ818">
        <v>0</v>
      </c>
      <c r="AR818" s="3">
        <f t="shared" si="36"/>
        <v>0</v>
      </c>
      <c r="AS818" s="3">
        <f t="shared" si="37"/>
        <v>0</v>
      </c>
      <c r="AT818" s="3" t="str">
        <f>IF(OR(Registered!AM818&gt;0,Registered!AO818&gt;0),(IF(Registered!E818=0,"Size Not Specified",Registered!E818)),"")</f>
        <v/>
      </c>
      <c r="AU818" s="3" t="str">
        <f>IF(Registered!AE818=0,"",IF(Registered!AE818=1,Registered!AE818&amp;" Bandana",Registered!AE818&amp;" Bandanas"))</f>
        <v/>
      </c>
      <c r="AV818" s="3">
        <f t="shared" si="38"/>
        <v>0</v>
      </c>
      <c r="AW818" s="2" t="str">
        <f>IF(Registered!AV818=0,"",IF(Registered!AV818=1,Registered!AV818&amp;" Meal",Registered!AV818&amp;" Meals"))</f>
        <v/>
      </c>
      <c r="AX818" s="2" t="str">
        <f>IF(Registered!AI818=0,"",Registered!AI818&amp;" BG")</f>
        <v/>
      </c>
      <c r="AY818" s="2" t="str">
        <f>IF(Registered!AG818=0,"",Registered!AG818&amp;" DustMask")</f>
        <v/>
      </c>
    </row>
    <row r="819" spans="1:51" customFormat="1" x14ac:dyDescent="0.25">
      <c r="A819" t="s">
        <v>294</v>
      </c>
      <c r="B819" t="s">
        <v>84</v>
      </c>
      <c r="C819" t="s">
        <v>6090</v>
      </c>
      <c r="D819" t="s">
        <v>57</v>
      </c>
      <c r="F819" t="s">
        <v>261</v>
      </c>
      <c r="I819" t="s">
        <v>4476</v>
      </c>
      <c r="J819" t="s">
        <v>37</v>
      </c>
      <c r="K819" t="s">
        <v>32</v>
      </c>
      <c r="L819" t="s">
        <v>35</v>
      </c>
      <c r="Q819">
        <v>1</v>
      </c>
      <c r="R819">
        <v>3</v>
      </c>
      <c r="AC819">
        <v>1</v>
      </c>
      <c r="AD819">
        <v>10</v>
      </c>
      <c r="AQ819">
        <v>13</v>
      </c>
      <c r="AR819" s="3">
        <f t="shared" si="36"/>
        <v>5</v>
      </c>
      <c r="AS819" s="3">
        <f t="shared" si="37"/>
        <v>0</v>
      </c>
      <c r="AT819" s="3" t="str">
        <f>IF(OR(Registered!AM819&gt;0,Registered!AO819&gt;0),(IF(Registered!E819=0,"Size Not Specified",Registered!E819)),"")</f>
        <v/>
      </c>
      <c r="AU819" s="3" t="str">
        <f>IF(Registered!AE819=0,"",IF(Registered!AE819=1,Registered!AE819&amp;" Bandana",Registered!AE819&amp;" Bandanas"))</f>
        <v/>
      </c>
      <c r="AV819" s="3">
        <f t="shared" si="38"/>
        <v>0</v>
      </c>
      <c r="AW819" s="2" t="str">
        <f>IF(Registered!AV819=0,"",IF(Registered!AV819=1,Registered!AV819&amp;" Meal",Registered!AV819&amp;" Meals"))</f>
        <v/>
      </c>
      <c r="AX819" s="2" t="str">
        <f>IF(Registered!AI819=0,"",Registered!AI819&amp;" BG")</f>
        <v/>
      </c>
      <c r="AY819" s="2" t="str">
        <f>IF(Registered!AG819=0,"",Registered!AG819&amp;" DustMask")</f>
        <v/>
      </c>
    </row>
    <row r="820" spans="1:51" customFormat="1" x14ac:dyDescent="0.25">
      <c r="A820" t="s">
        <v>194</v>
      </c>
      <c r="B820" t="s">
        <v>84</v>
      </c>
      <c r="C820" t="s">
        <v>6090</v>
      </c>
      <c r="G820" t="s">
        <v>4477</v>
      </c>
      <c r="H820" t="s">
        <v>4478</v>
      </c>
      <c r="I820" t="s">
        <v>4479</v>
      </c>
      <c r="J820" t="s">
        <v>37</v>
      </c>
      <c r="K820" t="s">
        <v>32</v>
      </c>
      <c r="L820" t="s">
        <v>35</v>
      </c>
      <c r="AQ820">
        <v>0</v>
      </c>
      <c r="AR820" s="3">
        <f t="shared" si="36"/>
        <v>0</v>
      </c>
      <c r="AS820" s="3">
        <f t="shared" si="37"/>
        <v>0</v>
      </c>
      <c r="AT820" s="3" t="str">
        <f>IF(OR(Registered!AM820&gt;0,Registered!AO820&gt;0),(IF(Registered!E820=0,"Size Not Specified",Registered!E820)),"")</f>
        <v/>
      </c>
      <c r="AU820" s="3" t="str">
        <f>IF(Registered!AE820=0,"",IF(Registered!AE820=1,Registered!AE820&amp;" Bandana",Registered!AE820&amp;" Bandanas"))</f>
        <v/>
      </c>
      <c r="AV820" s="3">
        <f t="shared" si="38"/>
        <v>0</v>
      </c>
      <c r="AW820" s="2" t="str">
        <f>IF(Registered!AV820=0,"",IF(Registered!AV820=1,Registered!AV820&amp;" Meal",Registered!AV820&amp;" Meals"))</f>
        <v/>
      </c>
      <c r="AX820" s="2" t="str">
        <f>IF(Registered!AI820=0,"",Registered!AI820&amp;" BG")</f>
        <v/>
      </c>
      <c r="AY820" s="2" t="str">
        <f>IF(Registered!AG820=0,"",Registered!AG820&amp;" DustMask")</f>
        <v/>
      </c>
    </row>
    <row r="821" spans="1:51" customFormat="1" x14ac:dyDescent="0.25">
      <c r="A821" t="s">
        <v>4376</v>
      </c>
      <c r="B821" t="s">
        <v>84</v>
      </c>
      <c r="C821" t="s">
        <v>6090</v>
      </c>
      <c r="D821" t="s">
        <v>4480</v>
      </c>
      <c r="F821" t="s">
        <v>261</v>
      </c>
      <c r="I821" t="s">
        <v>4481</v>
      </c>
      <c r="J821" t="s">
        <v>37</v>
      </c>
      <c r="K821" t="s">
        <v>32</v>
      </c>
      <c r="L821" t="s">
        <v>35</v>
      </c>
      <c r="Q821">
        <v>1</v>
      </c>
      <c r="R821">
        <v>3</v>
      </c>
      <c r="AC821">
        <v>1</v>
      </c>
      <c r="AD821">
        <v>10</v>
      </c>
      <c r="AQ821">
        <v>13</v>
      </c>
      <c r="AR821" s="3">
        <f t="shared" si="36"/>
        <v>5</v>
      </c>
      <c r="AS821" s="3">
        <f t="shared" si="37"/>
        <v>0</v>
      </c>
      <c r="AT821" s="3" t="str">
        <f>IF(OR(Registered!AM821&gt;0,Registered!AO821&gt;0),(IF(Registered!E821=0,"Size Not Specified",Registered!E821)),"")</f>
        <v/>
      </c>
      <c r="AU821" s="3" t="str">
        <f>IF(Registered!AE821=0,"",IF(Registered!AE821=1,Registered!AE821&amp;" Bandana",Registered!AE821&amp;" Bandanas"))</f>
        <v/>
      </c>
      <c r="AV821" s="3">
        <f t="shared" si="38"/>
        <v>0</v>
      </c>
      <c r="AW821" s="2" t="str">
        <f>IF(Registered!AV821=0,"",IF(Registered!AV821=1,Registered!AV821&amp;" Meal",Registered!AV821&amp;" Meals"))</f>
        <v/>
      </c>
      <c r="AX821" s="2" t="str">
        <f>IF(Registered!AI821=0,"",Registered!AI821&amp;" BG")</f>
        <v/>
      </c>
      <c r="AY821" s="2" t="str">
        <f>IF(Registered!AG821=0,"",Registered!AG821&amp;" DustMask")</f>
        <v/>
      </c>
    </row>
    <row r="822" spans="1:51" customFormat="1" x14ac:dyDescent="0.25">
      <c r="A822" t="s">
        <v>395</v>
      </c>
      <c r="B822" t="s">
        <v>84</v>
      </c>
      <c r="C822" t="s">
        <v>6090</v>
      </c>
      <c r="D822" t="s">
        <v>4482</v>
      </c>
      <c r="F822" t="s">
        <v>261</v>
      </c>
      <c r="I822" t="s">
        <v>4483</v>
      </c>
      <c r="J822" t="s">
        <v>37</v>
      </c>
      <c r="K822" t="s">
        <v>32</v>
      </c>
      <c r="L822" t="s">
        <v>35</v>
      </c>
      <c r="Q822">
        <v>2</v>
      </c>
      <c r="R822">
        <v>3</v>
      </c>
      <c r="U822">
        <v>1</v>
      </c>
      <c r="V822">
        <v>20</v>
      </c>
      <c r="AC822">
        <v>1</v>
      </c>
      <c r="AD822">
        <v>10</v>
      </c>
      <c r="AE822">
        <v>2</v>
      </c>
      <c r="AF822">
        <v>6</v>
      </c>
      <c r="AK822">
        <v>2</v>
      </c>
      <c r="AL822">
        <v>6</v>
      </c>
      <c r="AQ822">
        <v>60</v>
      </c>
      <c r="AR822" s="3">
        <f t="shared" si="36"/>
        <v>15</v>
      </c>
      <c r="AS822" s="3">
        <f t="shared" si="37"/>
        <v>0</v>
      </c>
      <c r="AT822" s="3" t="str">
        <f>IF(OR(Registered!AM822&gt;0,Registered!AO822&gt;0),(IF(Registered!E822=0,"Size Not Specified",Registered!E822)),"")</f>
        <v/>
      </c>
      <c r="AU822" s="3" t="str">
        <f>IF(Registered!AE822=0,"",IF(Registered!AE822=1,Registered!AE822&amp;" Bandana",Registered!AE822&amp;" Bandanas"))</f>
        <v>2 Bandanas</v>
      </c>
      <c r="AV822" s="3">
        <f t="shared" si="38"/>
        <v>2</v>
      </c>
      <c r="AW822" s="2" t="str">
        <f>IF(Registered!AV822=0,"",IF(Registered!AV822=1,Registered!AV822&amp;" Meal",Registered!AV822&amp;" Meals"))</f>
        <v>2 Meals</v>
      </c>
      <c r="AX822" s="2" t="str">
        <f>IF(Registered!AI822=0,"",Registered!AI822&amp;" BG")</f>
        <v/>
      </c>
      <c r="AY822" s="2" t="str">
        <f>IF(Registered!AG822=0,"",Registered!AG822&amp;" DustMask")</f>
        <v/>
      </c>
    </row>
    <row r="823" spans="1:51" customFormat="1" x14ac:dyDescent="0.25">
      <c r="A823" t="s">
        <v>494</v>
      </c>
      <c r="B823" t="s">
        <v>84</v>
      </c>
      <c r="C823" t="s">
        <v>6090</v>
      </c>
      <c r="G823" t="s">
        <v>711</v>
      </c>
      <c r="H823" t="s">
        <v>313</v>
      </c>
      <c r="I823" t="s">
        <v>713</v>
      </c>
      <c r="J823" t="s">
        <v>37</v>
      </c>
      <c r="K823" t="s">
        <v>32</v>
      </c>
      <c r="L823" t="s">
        <v>35</v>
      </c>
      <c r="AQ823">
        <v>0</v>
      </c>
      <c r="AR823" s="3">
        <f t="shared" si="36"/>
        <v>0</v>
      </c>
      <c r="AS823" s="3">
        <f t="shared" si="37"/>
        <v>0</v>
      </c>
      <c r="AT823" s="3" t="str">
        <f>IF(OR(Registered!AM823&gt;0,Registered!AO823&gt;0),(IF(Registered!E823=0,"Size Not Specified",Registered!E823)),"")</f>
        <v/>
      </c>
      <c r="AU823" s="3" t="str">
        <f>IF(Registered!AE823=0,"",IF(Registered!AE823=1,Registered!AE823&amp;" Bandana",Registered!AE823&amp;" Bandanas"))</f>
        <v/>
      </c>
      <c r="AV823" s="3">
        <f t="shared" si="38"/>
        <v>0</v>
      </c>
      <c r="AW823" s="2" t="str">
        <f>IF(Registered!AV823=0,"",IF(Registered!AV823=1,Registered!AV823&amp;" Meal",Registered!AV823&amp;" Meals"))</f>
        <v/>
      </c>
      <c r="AX823" s="2" t="str">
        <f>IF(Registered!AI823=0,"",Registered!AI823&amp;" BG")</f>
        <v/>
      </c>
      <c r="AY823" s="2" t="str">
        <f>IF(Registered!AG823=0,"",Registered!AG823&amp;" DustMask")</f>
        <v/>
      </c>
    </row>
    <row r="824" spans="1:51" customFormat="1" x14ac:dyDescent="0.25">
      <c r="A824" t="s">
        <v>166</v>
      </c>
      <c r="B824" t="s">
        <v>1027</v>
      </c>
      <c r="C824" t="s">
        <v>6090</v>
      </c>
      <c r="D824" t="s">
        <v>1336</v>
      </c>
      <c r="F824" t="s">
        <v>261</v>
      </c>
      <c r="I824" t="s">
        <v>1028</v>
      </c>
      <c r="J824" t="s">
        <v>37</v>
      </c>
      <c r="K824" t="s">
        <v>32</v>
      </c>
      <c r="L824" t="s">
        <v>35</v>
      </c>
      <c r="S824">
        <v>2</v>
      </c>
      <c r="T824">
        <v>3</v>
      </c>
      <c r="U824">
        <v>1</v>
      </c>
      <c r="V824">
        <v>20</v>
      </c>
      <c r="AQ824">
        <v>26</v>
      </c>
      <c r="AR824" s="3">
        <f t="shared" si="36"/>
        <v>10</v>
      </c>
      <c r="AS824" s="3">
        <f t="shared" si="37"/>
        <v>0</v>
      </c>
      <c r="AT824" s="3" t="str">
        <f>IF(OR(Registered!AM824&gt;0,Registered!AO824&gt;0),(IF(Registered!E824=0,"Size Not Specified",Registered!E824)),"")</f>
        <v/>
      </c>
      <c r="AU824" s="3" t="str">
        <f>IF(Registered!AE824=0,"",IF(Registered!AE824=1,Registered!AE824&amp;" Bandana",Registered!AE824&amp;" Bandanas"))</f>
        <v/>
      </c>
      <c r="AV824" s="3">
        <f t="shared" si="38"/>
        <v>0</v>
      </c>
      <c r="AW824" s="2" t="str">
        <f>IF(Registered!AV824=0,"",IF(Registered!AV824=1,Registered!AV824&amp;" Meal",Registered!AV824&amp;" Meals"))</f>
        <v/>
      </c>
      <c r="AX824" s="2" t="str">
        <f>IF(Registered!AI824=0,"",Registered!AI824&amp;" BG")</f>
        <v/>
      </c>
      <c r="AY824" s="2" t="str">
        <f>IF(Registered!AG824=0,"",Registered!AG824&amp;" DustMask")</f>
        <v/>
      </c>
    </row>
    <row r="825" spans="1:51" customFormat="1" x14ac:dyDescent="0.25">
      <c r="A825" t="s">
        <v>165</v>
      </c>
      <c r="B825" t="s">
        <v>1337</v>
      </c>
      <c r="C825" t="s">
        <v>6090</v>
      </c>
      <c r="G825" t="s">
        <v>165</v>
      </c>
      <c r="H825" t="s">
        <v>1337</v>
      </c>
      <c r="I825" t="s">
        <v>1338</v>
      </c>
      <c r="J825" t="s">
        <v>37</v>
      </c>
      <c r="K825" t="s">
        <v>32</v>
      </c>
      <c r="L825" t="s">
        <v>35</v>
      </c>
      <c r="AQ825">
        <v>0</v>
      </c>
      <c r="AR825" s="3">
        <f t="shared" si="36"/>
        <v>0</v>
      </c>
      <c r="AS825" s="3">
        <f t="shared" si="37"/>
        <v>0</v>
      </c>
      <c r="AT825" s="3" t="str">
        <f>IF(OR(Registered!AM825&gt;0,Registered!AO825&gt;0),(IF(Registered!E825=0,"Size Not Specified",Registered!E825)),"")</f>
        <v/>
      </c>
      <c r="AU825" s="3" t="str">
        <f>IF(Registered!AE825=0,"",IF(Registered!AE825=1,Registered!AE825&amp;" Bandana",Registered!AE825&amp;" Bandanas"))</f>
        <v/>
      </c>
      <c r="AV825" s="3">
        <f t="shared" si="38"/>
        <v>0</v>
      </c>
      <c r="AW825" s="2" t="str">
        <f>IF(Registered!AV825=0,"",IF(Registered!AV825=1,Registered!AV825&amp;" Meal",Registered!AV825&amp;" Meals"))</f>
        <v/>
      </c>
      <c r="AX825" s="2" t="str">
        <f>IF(Registered!AI825=0,"",Registered!AI825&amp;" BG")</f>
        <v/>
      </c>
      <c r="AY825" s="2" t="str">
        <f>IF(Registered!AG825=0,"",Registered!AG825&amp;" DustMask")</f>
        <v/>
      </c>
    </row>
    <row r="826" spans="1:51" customFormat="1" x14ac:dyDescent="0.25">
      <c r="A826" t="s">
        <v>165</v>
      </c>
      <c r="B826" t="s">
        <v>1337</v>
      </c>
      <c r="C826" t="s">
        <v>6090</v>
      </c>
      <c r="D826" t="s">
        <v>1339</v>
      </c>
      <c r="F826" t="s">
        <v>261</v>
      </c>
      <c r="I826" t="s">
        <v>1338</v>
      </c>
      <c r="J826" t="s">
        <v>37</v>
      </c>
      <c r="K826" t="s">
        <v>32</v>
      </c>
      <c r="L826" t="s">
        <v>35</v>
      </c>
      <c r="S826">
        <v>2</v>
      </c>
      <c r="T826">
        <v>3</v>
      </c>
      <c r="U826">
        <v>1</v>
      </c>
      <c r="V826">
        <v>20</v>
      </c>
      <c r="AQ826">
        <v>26</v>
      </c>
      <c r="AR826" s="3">
        <f t="shared" si="36"/>
        <v>10</v>
      </c>
      <c r="AS826" s="3">
        <f t="shared" si="37"/>
        <v>0</v>
      </c>
      <c r="AT826" s="3" t="str">
        <f>IF(OR(Registered!AM826&gt;0,Registered!AO826&gt;0),(IF(Registered!E826=0,"Size Not Specified",Registered!E826)),"")</f>
        <v/>
      </c>
      <c r="AU826" s="3" t="str">
        <f>IF(Registered!AE826=0,"",IF(Registered!AE826=1,Registered!AE826&amp;" Bandana",Registered!AE826&amp;" Bandanas"))</f>
        <v/>
      </c>
      <c r="AV826" s="3">
        <f t="shared" si="38"/>
        <v>0</v>
      </c>
      <c r="AW826" s="2" t="str">
        <f>IF(Registered!AV826=0,"",IF(Registered!AV826=1,Registered!AV826&amp;" Meal",Registered!AV826&amp;" Meals"))</f>
        <v/>
      </c>
      <c r="AX826" s="2" t="str">
        <f>IF(Registered!AI826=0,"",Registered!AI826&amp;" BG")</f>
        <v/>
      </c>
      <c r="AY826" s="2" t="str">
        <f>IF(Registered!AG826=0,"",Registered!AG826&amp;" DustMask")</f>
        <v/>
      </c>
    </row>
    <row r="827" spans="1:51" customFormat="1" x14ac:dyDescent="0.25">
      <c r="A827" t="s">
        <v>263</v>
      </c>
      <c r="B827" t="s">
        <v>4484</v>
      </c>
      <c r="C827" t="s">
        <v>6090</v>
      </c>
      <c r="G827" t="s">
        <v>4485</v>
      </c>
      <c r="H827" t="s">
        <v>4486</v>
      </c>
      <c r="I827" t="s">
        <v>4487</v>
      </c>
      <c r="J827" t="s">
        <v>37</v>
      </c>
      <c r="K827" t="s">
        <v>32</v>
      </c>
      <c r="L827" t="s">
        <v>35</v>
      </c>
      <c r="AQ827">
        <v>0</v>
      </c>
      <c r="AR827" s="3">
        <f t="shared" si="36"/>
        <v>0</v>
      </c>
      <c r="AS827" s="3">
        <f t="shared" si="37"/>
        <v>0</v>
      </c>
      <c r="AT827" s="3" t="str">
        <f>IF(OR(Registered!AM827&gt;0,Registered!AO827&gt;0),(IF(Registered!E827=0,"Size Not Specified",Registered!E827)),"")</f>
        <v/>
      </c>
      <c r="AU827" s="3" t="str">
        <f>IF(Registered!AE827=0,"",IF(Registered!AE827=1,Registered!AE827&amp;" Bandana",Registered!AE827&amp;" Bandanas"))</f>
        <v/>
      </c>
      <c r="AV827" s="3">
        <f t="shared" si="38"/>
        <v>0</v>
      </c>
      <c r="AW827" s="2" t="str">
        <f>IF(Registered!AV827=0,"",IF(Registered!AV827=1,Registered!AV827&amp;" Meal",Registered!AV827&amp;" Meals"))</f>
        <v/>
      </c>
      <c r="AX827" s="2" t="str">
        <f>IF(Registered!AI827=0,"",Registered!AI827&amp;" BG")</f>
        <v/>
      </c>
      <c r="AY827" s="2" t="str">
        <f>IF(Registered!AG827=0,"",Registered!AG827&amp;" DustMask")</f>
        <v/>
      </c>
    </row>
    <row r="828" spans="1:51" customFormat="1" x14ac:dyDescent="0.25">
      <c r="A828" t="s">
        <v>670</v>
      </c>
      <c r="B828" t="s">
        <v>2972</v>
      </c>
      <c r="C828" t="s">
        <v>6090</v>
      </c>
      <c r="G828" t="s">
        <v>54</v>
      </c>
      <c r="H828" t="s">
        <v>2835</v>
      </c>
      <c r="I828" t="s">
        <v>2837</v>
      </c>
      <c r="J828" t="s">
        <v>37</v>
      </c>
      <c r="K828" t="s">
        <v>32</v>
      </c>
      <c r="L828" t="s">
        <v>35</v>
      </c>
      <c r="AQ828">
        <v>0</v>
      </c>
      <c r="AR828" s="3">
        <f t="shared" si="36"/>
        <v>0</v>
      </c>
      <c r="AS828" s="3">
        <f t="shared" si="37"/>
        <v>0</v>
      </c>
      <c r="AT828" s="3" t="str">
        <f>IF(OR(Registered!AM828&gt;0,Registered!AO828&gt;0),(IF(Registered!E828=0,"Size Not Specified",Registered!E828)),"")</f>
        <v/>
      </c>
      <c r="AU828" s="3" t="str">
        <f>IF(Registered!AE828=0,"",IF(Registered!AE828=1,Registered!AE828&amp;" Bandana",Registered!AE828&amp;" Bandanas"))</f>
        <v/>
      </c>
      <c r="AV828" s="3">
        <f t="shared" si="38"/>
        <v>0</v>
      </c>
      <c r="AW828" s="2" t="str">
        <f>IF(Registered!AV828=0,"",IF(Registered!AV828=1,Registered!AV828&amp;" Meal",Registered!AV828&amp;" Meals"))</f>
        <v/>
      </c>
      <c r="AX828" s="2" t="str">
        <f>IF(Registered!AI828=0,"",Registered!AI828&amp;" BG")</f>
        <v/>
      </c>
      <c r="AY828" s="2" t="str">
        <f>IF(Registered!AG828=0,"",Registered!AG828&amp;" DustMask")</f>
        <v/>
      </c>
    </row>
    <row r="829" spans="1:51" customFormat="1" x14ac:dyDescent="0.25">
      <c r="A829" t="s">
        <v>100</v>
      </c>
      <c r="B829" t="s">
        <v>1317</v>
      </c>
      <c r="C829" t="s">
        <v>6090</v>
      </c>
      <c r="D829" t="s">
        <v>1340</v>
      </c>
      <c r="F829" t="s">
        <v>261</v>
      </c>
      <c r="I829" t="s">
        <v>1318</v>
      </c>
      <c r="J829" t="s">
        <v>37</v>
      </c>
      <c r="K829" t="s">
        <v>32</v>
      </c>
      <c r="L829" t="s">
        <v>35</v>
      </c>
      <c r="S829">
        <v>5</v>
      </c>
      <c r="T829">
        <v>3</v>
      </c>
      <c r="AC829">
        <v>5</v>
      </c>
      <c r="AD829">
        <v>10</v>
      </c>
      <c r="AQ829">
        <v>65</v>
      </c>
      <c r="AR829" s="3">
        <f t="shared" si="36"/>
        <v>25</v>
      </c>
      <c r="AS829" s="3">
        <f t="shared" si="37"/>
        <v>0</v>
      </c>
      <c r="AT829" s="3" t="str">
        <f>IF(OR(Registered!AM829&gt;0,Registered!AO829&gt;0),(IF(Registered!E829=0,"Size Not Specified",Registered!E829)),"")</f>
        <v/>
      </c>
      <c r="AU829" s="3" t="str">
        <f>IF(Registered!AE829=0,"",IF(Registered!AE829=1,Registered!AE829&amp;" Bandana",Registered!AE829&amp;" Bandanas"))</f>
        <v/>
      </c>
      <c r="AV829" s="3">
        <f t="shared" si="38"/>
        <v>0</v>
      </c>
      <c r="AW829" s="2" t="str">
        <f>IF(Registered!AV829=0,"",IF(Registered!AV829=1,Registered!AV829&amp;" Meal",Registered!AV829&amp;" Meals"))</f>
        <v/>
      </c>
      <c r="AX829" s="2" t="str">
        <f>IF(Registered!AI829=0,"",Registered!AI829&amp;" BG")</f>
        <v/>
      </c>
      <c r="AY829" s="2" t="str">
        <f>IF(Registered!AG829=0,"",Registered!AG829&amp;" DustMask")</f>
        <v/>
      </c>
    </row>
    <row r="830" spans="1:51" customFormat="1" x14ac:dyDescent="0.25">
      <c r="A830" t="s">
        <v>279</v>
      </c>
      <c r="B830" t="s">
        <v>1344</v>
      </c>
      <c r="C830" t="s">
        <v>6090</v>
      </c>
      <c r="D830" t="s">
        <v>1345</v>
      </c>
      <c r="E830" t="s">
        <v>65</v>
      </c>
      <c r="F830" t="s">
        <v>261</v>
      </c>
      <c r="I830" t="s">
        <v>1346</v>
      </c>
      <c r="J830" t="s">
        <v>37</v>
      </c>
      <c r="K830" t="s">
        <v>32</v>
      </c>
      <c r="L830" t="s">
        <v>35</v>
      </c>
      <c r="Q830">
        <v>1</v>
      </c>
      <c r="R830">
        <v>3</v>
      </c>
      <c r="AC830">
        <v>1</v>
      </c>
      <c r="AD830">
        <v>10</v>
      </c>
      <c r="AE830">
        <v>1</v>
      </c>
      <c r="AF830">
        <v>6</v>
      </c>
      <c r="AO830">
        <v>1</v>
      </c>
      <c r="AP830">
        <v>10</v>
      </c>
      <c r="AQ830">
        <v>29</v>
      </c>
      <c r="AR830" s="3">
        <f t="shared" si="36"/>
        <v>5</v>
      </c>
      <c r="AS830" s="3">
        <f t="shared" si="37"/>
        <v>1</v>
      </c>
      <c r="AT830" s="3" t="str">
        <f>IF(OR(Registered!AM830&gt;0,Registered!AO830&gt;0),(IF(Registered!E830=0,"Size Not Specified",Registered!E830)),"")</f>
        <v>Medium</v>
      </c>
      <c r="AU830" s="3" t="str">
        <f>IF(Registered!AE830=0,"",IF(Registered!AE830=1,Registered!AE830&amp;" Bandana",Registered!AE830&amp;" Bandanas"))</f>
        <v>1 Bandana</v>
      </c>
      <c r="AV830" s="3">
        <f t="shared" si="38"/>
        <v>0</v>
      </c>
      <c r="AW830" s="2" t="str">
        <f>IF(Registered!AV830=0,"",IF(Registered!AV830=1,Registered!AV830&amp;" Meal",Registered!AV830&amp;" Meals"))</f>
        <v/>
      </c>
      <c r="AX830" s="2" t="str">
        <f>IF(Registered!AI830=0,"",Registered!AI830&amp;" BG")</f>
        <v/>
      </c>
      <c r="AY830" s="2" t="str">
        <f>IF(Registered!AG830=0,"",Registered!AG830&amp;" DustMask")</f>
        <v/>
      </c>
    </row>
    <row r="831" spans="1:51" customFormat="1" x14ac:dyDescent="0.25">
      <c r="A831" t="s">
        <v>1347</v>
      </c>
      <c r="B831" t="s">
        <v>1348</v>
      </c>
      <c r="C831" t="s">
        <v>6090</v>
      </c>
      <c r="D831" t="s">
        <v>1349</v>
      </c>
      <c r="F831" t="s">
        <v>261</v>
      </c>
      <c r="I831" t="s">
        <v>1350</v>
      </c>
      <c r="J831" t="s">
        <v>37</v>
      </c>
      <c r="K831" t="s">
        <v>32</v>
      </c>
      <c r="L831" t="s">
        <v>35</v>
      </c>
      <c r="S831">
        <v>1</v>
      </c>
      <c r="T831">
        <v>3</v>
      </c>
      <c r="AC831">
        <v>1</v>
      </c>
      <c r="AD831">
        <v>10</v>
      </c>
      <c r="AK831">
        <v>1</v>
      </c>
      <c r="AL831">
        <v>6</v>
      </c>
      <c r="AQ831">
        <v>19</v>
      </c>
      <c r="AR831" s="3">
        <f t="shared" si="36"/>
        <v>5</v>
      </c>
      <c r="AS831" s="3">
        <f t="shared" si="37"/>
        <v>0</v>
      </c>
      <c r="AT831" s="3" t="str">
        <f>IF(OR(Registered!AM831&gt;0,Registered!AO831&gt;0),(IF(Registered!E831=0,"Size Not Specified",Registered!E831)),"")</f>
        <v/>
      </c>
      <c r="AU831" s="3" t="str">
        <f>IF(Registered!AE831=0,"",IF(Registered!AE831=1,Registered!AE831&amp;" Bandana",Registered!AE831&amp;" Bandanas"))</f>
        <v/>
      </c>
      <c r="AV831" s="3">
        <f t="shared" si="38"/>
        <v>1</v>
      </c>
      <c r="AW831" s="2" t="str">
        <f>IF(Registered!AV831=0,"",IF(Registered!AV831=1,Registered!AV831&amp;" Meal",Registered!AV831&amp;" Meals"))</f>
        <v>1 Meal</v>
      </c>
      <c r="AX831" s="2" t="str">
        <f>IF(Registered!AI831=0,"",Registered!AI831&amp;" BG")</f>
        <v/>
      </c>
      <c r="AY831" s="2" t="str">
        <f>IF(Registered!AG831=0,"",Registered!AG831&amp;" DustMask")</f>
        <v/>
      </c>
    </row>
    <row r="832" spans="1:51" customFormat="1" x14ac:dyDescent="0.25">
      <c r="A832" t="s">
        <v>125</v>
      </c>
      <c r="B832" t="s">
        <v>4488</v>
      </c>
      <c r="C832" t="s">
        <v>6090</v>
      </c>
      <c r="G832" t="s">
        <v>3653</v>
      </c>
      <c r="H832" t="s">
        <v>3654</v>
      </c>
      <c r="I832" t="s">
        <v>3655</v>
      </c>
      <c r="J832" t="s">
        <v>37</v>
      </c>
      <c r="K832" t="s">
        <v>32</v>
      </c>
      <c r="L832" t="s">
        <v>35</v>
      </c>
      <c r="AQ832">
        <v>0</v>
      </c>
      <c r="AR832" s="3">
        <f t="shared" si="36"/>
        <v>0</v>
      </c>
      <c r="AS832" s="3">
        <f t="shared" si="37"/>
        <v>0</v>
      </c>
      <c r="AT832" s="3" t="str">
        <f>IF(OR(Registered!AM832&gt;0,Registered!AO832&gt;0),(IF(Registered!E832=0,"Size Not Specified",Registered!E832)),"")</f>
        <v/>
      </c>
      <c r="AU832" s="3" t="str">
        <f>IF(Registered!AE832=0,"",IF(Registered!AE832=1,Registered!AE832&amp;" Bandana",Registered!AE832&amp;" Bandanas"))</f>
        <v/>
      </c>
      <c r="AV832" s="3">
        <f t="shared" si="38"/>
        <v>0</v>
      </c>
      <c r="AW832" s="2" t="str">
        <f>IF(Registered!AV832=0,"",IF(Registered!AV832=1,Registered!AV832&amp;" Meal",Registered!AV832&amp;" Meals"))</f>
        <v/>
      </c>
      <c r="AX832" s="2" t="str">
        <f>IF(Registered!AI832=0,"",Registered!AI832&amp;" BG")</f>
        <v/>
      </c>
      <c r="AY832" s="2" t="str">
        <f>IF(Registered!AG832=0,"",Registered!AG832&amp;" DustMask")</f>
        <v/>
      </c>
    </row>
    <row r="833" spans="1:51" customFormat="1" x14ac:dyDescent="0.25">
      <c r="A833" t="s">
        <v>1351</v>
      </c>
      <c r="B833" t="s">
        <v>1352</v>
      </c>
      <c r="C833" t="s">
        <v>6090</v>
      </c>
      <c r="G833" t="s">
        <v>123</v>
      </c>
      <c r="H833" t="s">
        <v>1352</v>
      </c>
      <c r="I833" t="s">
        <v>1353</v>
      </c>
      <c r="J833" t="s">
        <v>37</v>
      </c>
      <c r="K833" t="s">
        <v>32</v>
      </c>
      <c r="L833" t="s">
        <v>35</v>
      </c>
      <c r="AQ833">
        <v>0</v>
      </c>
      <c r="AR833" s="3">
        <f t="shared" si="36"/>
        <v>0</v>
      </c>
      <c r="AS833" s="3">
        <f t="shared" si="37"/>
        <v>0</v>
      </c>
      <c r="AT833" s="3" t="str">
        <f>IF(OR(Registered!AM833&gt;0,Registered!AO833&gt;0),(IF(Registered!E833=0,"Size Not Specified",Registered!E833)),"")</f>
        <v/>
      </c>
      <c r="AU833" s="3" t="str">
        <f>IF(Registered!AE833=0,"",IF(Registered!AE833=1,Registered!AE833&amp;" Bandana",Registered!AE833&amp;" Bandanas"))</f>
        <v/>
      </c>
      <c r="AV833" s="3">
        <f t="shared" si="38"/>
        <v>0</v>
      </c>
      <c r="AW833" s="2" t="str">
        <f>IF(Registered!AV833=0,"",IF(Registered!AV833=1,Registered!AV833&amp;" Meal",Registered!AV833&amp;" Meals"))</f>
        <v/>
      </c>
      <c r="AX833" s="2" t="str">
        <f>IF(Registered!AI833=0,"",Registered!AI833&amp;" BG")</f>
        <v/>
      </c>
      <c r="AY833" s="2" t="str">
        <f>IF(Registered!AG833=0,"",Registered!AG833&amp;" DustMask")</f>
        <v/>
      </c>
    </row>
    <row r="834" spans="1:51" customFormat="1" x14ac:dyDescent="0.25">
      <c r="A834" t="s">
        <v>123</v>
      </c>
      <c r="B834" t="s">
        <v>1352</v>
      </c>
      <c r="C834" t="s">
        <v>6090</v>
      </c>
      <c r="D834" t="s">
        <v>123</v>
      </c>
      <c r="E834" t="s">
        <v>117</v>
      </c>
      <c r="F834" t="s">
        <v>261</v>
      </c>
      <c r="I834" t="s">
        <v>1353</v>
      </c>
      <c r="J834" t="s">
        <v>37</v>
      </c>
      <c r="K834" t="s">
        <v>32</v>
      </c>
      <c r="L834" t="s">
        <v>35</v>
      </c>
      <c r="S834">
        <v>2</v>
      </c>
      <c r="T834">
        <v>3</v>
      </c>
      <c r="AM834">
        <v>2</v>
      </c>
      <c r="AN834">
        <v>25</v>
      </c>
      <c r="AQ834">
        <v>56</v>
      </c>
      <c r="AR834" s="3">
        <f t="shared" ref="AR834:AR897" si="39">IF(ISTEXT(AM834)=TRUE,"",SUM(U834*10,W834*20,Y834*30,AA834*40,AC834*5,AM834*5))</f>
        <v>10</v>
      </c>
      <c r="AS834" s="3">
        <f t="shared" ref="AS834:AS897" si="40">IF(ISTEXT(AM834)=TRUE,"",SUM(AM834,AO834))</f>
        <v>2</v>
      </c>
      <c r="AT834" s="3" t="str">
        <f>IF(OR(Registered!AM834&gt;0,Registered!AO834&gt;0),(IF(Registered!E834=0,"Size Not Specified",Registered!E834)),"")</f>
        <v>Large</v>
      </c>
      <c r="AU834" s="3" t="str">
        <f>IF(Registered!AE834=0,"",IF(Registered!AE834=1,Registered!AE834&amp;" Bandana",Registered!AE834&amp;" Bandanas"))</f>
        <v/>
      </c>
      <c r="AV834" s="3">
        <f t="shared" ref="AV834:AV897" si="41">IF(ISTEXT(AM834)=TRUE,"",SUM(AM834,AK834))</f>
        <v>2</v>
      </c>
      <c r="AW834" s="2" t="str">
        <f>IF(Registered!AV834=0,"",IF(Registered!AV834=1,Registered!AV834&amp;" Meal",Registered!AV834&amp;" Meals"))</f>
        <v>2 Meals</v>
      </c>
      <c r="AX834" s="2" t="str">
        <f>IF(Registered!AI834=0,"",Registered!AI834&amp;" BG")</f>
        <v/>
      </c>
      <c r="AY834" s="2" t="str">
        <f>IF(Registered!AG834=0,"",Registered!AG834&amp;" DustMask")</f>
        <v/>
      </c>
    </row>
    <row r="835" spans="1:51" customFormat="1" x14ac:dyDescent="0.25">
      <c r="A835" t="s">
        <v>719</v>
      </c>
      <c r="B835" t="s">
        <v>1359</v>
      </c>
      <c r="C835" t="s">
        <v>6090</v>
      </c>
      <c r="F835" t="s">
        <v>261</v>
      </c>
      <c r="I835" t="s">
        <v>1360</v>
      </c>
      <c r="J835" t="s">
        <v>37</v>
      </c>
      <c r="K835" t="s">
        <v>32</v>
      </c>
      <c r="L835" t="s">
        <v>35</v>
      </c>
      <c r="S835">
        <v>1</v>
      </c>
      <c r="T835">
        <v>3</v>
      </c>
      <c r="AC835">
        <v>1</v>
      </c>
      <c r="AD835">
        <v>10</v>
      </c>
      <c r="AK835">
        <v>1</v>
      </c>
      <c r="AL835">
        <v>6</v>
      </c>
      <c r="AQ835">
        <v>19</v>
      </c>
      <c r="AR835" s="3">
        <f t="shared" si="39"/>
        <v>5</v>
      </c>
      <c r="AS835" s="3">
        <f t="shared" si="40"/>
        <v>0</v>
      </c>
      <c r="AT835" s="3" t="str">
        <f>IF(OR(Registered!AM835&gt;0,Registered!AO835&gt;0),(IF(Registered!E835=0,"Size Not Specified",Registered!E835)),"")</f>
        <v/>
      </c>
      <c r="AU835" s="3" t="str">
        <f>IF(Registered!AE835=0,"",IF(Registered!AE835=1,Registered!AE835&amp;" Bandana",Registered!AE835&amp;" Bandanas"))</f>
        <v/>
      </c>
      <c r="AV835" s="3">
        <f t="shared" si="41"/>
        <v>1</v>
      </c>
      <c r="AW835" s="2" t="str">
        <f>IF(Registered!AV835=0,"",IF(Registered!AV835=1,Registered!AV835&amp;" Meal",Registered!AV835&amp;" Meals"))</f>
        <v>1 Meal</v>
      </c>
      <c r="AX835" s="2" t="str">
        <f>IF(Registered!AI835=0,"",Registered!AI835&amp;" BG")</f>
        <v/>
      </c>
      <c r="AY835" s="2" t="str">
        <f>IF(Registered!AG835=0,"",Registered!AG835&amp;" DustMask")</f>
        <v/>
      </c>
    </row>
    <row r="836" spans="1:51" customFormat="1" x14ac:dyDescent="0.25">
      <c r="A836" t="s">
        <v>177</v>
      </c>
      <c r="B836" t="s">
        <v>1361</v>
      </c>
      <c r="C836" t="s">
        <v>6090</v>
      </c>
      <c r="G836" t="s">
        <v>1362</v>
      </c>
      <c r="H836" t="s">
        <v>1361</v>
      </c>
      <c r="I836" t="s">
        <v>1363</v>
      </c>
      <c r="J836" t="s">
        <v>37</v>
      </c>
      <c r="K836" t="s">
        <v>32</v>
      </c>
      <c r="L836" t="s">
        <v>35</v>
      </c>
      <c r="AQ836">
        <v>0</v>
      </c>
      <c r="AR836" s="3">
        <f t="shared" si="39"/>
        <v>0</v>
      </c>
      <c r="AS836" s="3">
        <f t="shared" si="40"/>
        <v>0</v>
      </c>
      <c r="AT836" s="3" t="str">
        <f>IF(OR(Registered!AM836&gt;0,Registered!AO836&gt;0),(IF(Registered!E836=0,"Size Not Specified",Registered!E836)),"")</f>
        <v/>
      </c>
      <c r="AU836" s="3" t="str">
        <f>IF(Registered!AE836=0,"",IF(Registered!AE836=1,Registered!AE836&amp;" Bandana",Registered!AE836&amp;" Bandanas"))</f>
        <v/>
      </c>
      <c r="AV836" s="3">
        <f t="shared" si="41"/>
        <v>0</v>
      </c>
      <c r="AW836" s="2" t="str">
        <f>IF(Registered!AV836=0,"",IF(Registered!AV836=1,Registered!AV836&amp;" Meal",Registered!AV836&amp;" Meals"))</f>
        <v/>
      </c>
      <c r="AX836" s="2" t="str">
        <f>IF(Registered!AI836=0,"",Registered!AI836&amp;" BG")</f>
        <v/>
      </c>
      <c r="AY836" s="2" t="str">
        <f>IF(Registered!AG836=0,"",Registered!AG836&amp;" DustMask")</f>
        <v/>
      </c>
    </row>
    <row r="837" spans="1:51" customFormat="1" x14ac:dyDescent="0.25">
      <c r="A837" t="s">
        <v>1362</v>
      </c>
      <c r="B837" t="s">
        <v>1361</v>
      </c>
      <c r="C837" t="s">
        <v>6090</v>
      </c>
      <c r="D837" t="s">
        <v>1362</v>
      </c>
      <c r="I837" t="s">
        <v>1363</v>
      </c>
      <c r="J837" t="s">
        <v>37</v>
      </c>
      <c r="K837" t="s">
        <v>32</v>
      </c>
      <c r="L837" t="s">
        <v>35</v>
      </c>
      <c r="O837">
        <v>2</v>
      </c>
      <c r="P837">
        <v>3</v>
      </c>
      <c r="U837">
        <v>1</v>
      </c>
      <c r="V837">
        <v>20</v>
      </c>
      <c r="AQ837">
        <v>26</v>
      </c>
      <c r="AR837" s="3">
        <f t="shared" si="39"/>
        <v>10</v>
      </c>
      <c r="AS837" s="3">
        <f t="shared" si="40"/>
        <v>0</v>
      </c>
      <c r="AT837" s="3" t="str">
        <f>IF(OR(Registered!AM837&gt;0,Registered!AO837&gt;0),(IF(Registered!E837=0,"Size Not Specified",Registered!E837)),"")</f>
        <v/>
      </c>
      <c r="AU837" s="3" t="str">
        <f>IF(Registered!AE837=0,"",IF(Registered!AE837=1,Registered!AE837&amp;" Bandana",Registered!AE837&amp;" Bandanas"))</f>
        <v/>
      </c>
      <c r="AV837" s="3">
        <f t="shared" si="41"/>
        <v>0</v>
      </c>
      <c r="AW837" s="2" t="str">
        <f>IF(Registered!AV837=0,"",IF(Registered!AV837=1,Registered!AV837&amp;" Meal",Registered!AV837&amp;" Meals"))</f>
        <v/>
      </c>
      <c r="AX837" s="2" t="str">
        <f>IF(Registered!AI837=0,"",Registered!AI837&amp;" BG")</f>
        <v/>
      </c>
      <c r="AY837" s="2" t="str">
        <f>IF(Registered!AG837=0,"",Registered!AG837&amp;" DustMask")</f>
        <v/>
      </c>
    </row>
    <row r="838" spans="1:51" customFormat="1" x14ac:dyDescent="0.25">
      <c r="A838" t="s">
        <v>4492</v>
      </c>
      <c r="B838" t="s">
        <v>4493</v>
      </c>
      <c r="C838" t="s">
        <v>6090</v>
      </c>
      <c r="G838" t="s">
        <v>431</v>
      </c>
      <c r="H838" t="s">
        <v>4494</v>
      </c>
      <c r="I838" t="s">
        <v>4495</v>
      </c>
      <c r="J838" t="s">
        <v>37</v>
      </c>
      <c r="K838" t="s">
        <v>32</v>
      </c>
      <c r="L838" t="s">
        <v>35</v>
      </c>
      <c r="AQ838">
        <v>0</v>
      </c>
      <c r="AR838" s="3">
        <f t="shared" si="39"/>
        <v>0</v>
      </c>
      <c r="AS838" s="3">
        <f t="shared" si="40"/>
        <v>0</v>
      </c>
      <c r="AT838" s="3" t="str">
        <f>IF(OR(Registered!AM838&gt;0,Registered!AO838&gt;0),(IF(Registered!E838=0,"Size Not Specified",Registered!E838)),"")</f>
        <v/>
      </c>
      <c r="AU838" s="3" t="str">
        <f>IF(Registered!AE838=0,"",IF(Registered!AE838=1,Registered!AE838&amp;" Bandana",Registered!AE838&amp;" Bandanas"))</f>
        <v/>
      </c>
      <c r="AV838" s="3">
        <f t="shared" si="41"/>
        <v>0</v>
      </c>
      <c r="AW838" s="2" t="str">
        <f>IF(Registered!AV838=0,"",IF(Registered!AV838=1,Registered!AV838&amp;" Meal",Registered!AV838&amp;" Meals"))</f>
        <v/>
      </c>
      <c r="AX838" s="2" t="str">
        <f>IF(Registered!AI838=0,"",Registered!AI838&amp;" BG")</f>
        <v/>
      </c>
      <c r="AY838" s="2" t="str">
        <f>IF(Registered!AG838=0,"",Registered!AG838&amp;" DustMask")</f>
        <v/>
      </c>
    </row>
    <row r="839" spans="1:51" customFormat="1" x14ac:dyDescent="0.25">
      <c r="A839" t="s">
        <v>64</v>
      </c>
      <c r="B839" t="s">
        <v>4496</v>
      </c>
      <c r="C839" t="s">
        <v>6090</v>
      </c>
      <c r="D839" t="s">
        <v>4497</v>
      </c>
      <c r="F839" t="s">
        <v>261</v>
      </c>
      <c r="I839" t="s">
        <v>4498</v>
      </c>
      <c r="J839" t="s">
        <v>37</v>
      </c>
      <c r="K839" t="s">
        <v>32</v>
      </c>
      <c r="L839" t="s">
        <v>35</v>
      </c>
      <c r="Q839">
        <v>3</v>
      </c>
      <c r="R839">
        <v>3</v>
      </c>
      <c r="U839">
        <v>1</v>
      </c>
      <c r="V839">
        <v>20</v>
      </c>
      <c r="AQ839">
        <v>29</v>
      </c>
      <c r="AR839" s="3">
        <f t="shared" si="39"/>
        <v>10</v>
      </c>
      <c r="AS839" s="3">
        <f t="shared" si="40"/>
        <v>0</v>
      </c>
      <c r="AT839" s="3" t="str">
        <f>IF(OR(Registered!AM839&gt;0,Registered!AO839&gt;0),(IF(Registered!E839=0,"Size Not Specified",Registered!E839)),"")</f>
        <v/>
      </c>
      <c r="AU839" s="3" t="str">
        <f>IF(Registered!AE839=0,"",IF(Registered!AE839=1,Registered!AE839&amp;" Bandana",Registered!AE839&amp;" Bandanas"))</f>
        <v/>
      </c>
      <c r="AV839" s="3">
        <f t="shared" si="41"/>
        <v>0</v>
      </c>
      <c r="AW839" s="2" t="str">
        <f>IF(Registered!AV839=0,"",IF(Registered!AV839=1,Registered!AV839&amp;" Meal",Registered!AV839&amp;" Meals"))</f>
        <v/>
      </c>
      <c r="AX839" s="2" t="str">
        <f>IF(Registered!AI839=0,"",Registered!AI839&amp;" BG")</f>
        <v/>
      </c>
      <c r="AY839" s="2" t="str">
        <f>IF(Registered!AG839=0,"",Registered!AG839&amp;" DustMask")</f>
        <v/>
      </c>
    </row>
    <row r="840" spans="1:51" customFormat="1" x14ac:dyDescent="0.25">
      <c r="A840" t="s">
        <v>157</v>
      </c>
      <c r="B840" t="s">
        <v>1037</v>
      </c>
      <c r="C840" t="s">
        <v>6090</v>
      </c>
      <c r="D840" t="s">
        <v>157</v>
      </c>
      <c r="E840" t="s">
        <v>201</v>
      </c>
      <c r="F840" t="s">
        <v>261</v>
      </c>
      <c r="I840" t="s">
        <v>1367</v>
      </c>
      <c r="J840" t="s">
        <v>37</v>
      </c>
      <c r="K840" t="s">
        <v>32</v>
      </c>
      <c r="L840" t="s">
        <v>35</v>
      </c>
      <c r="S840">
        <v>2</v>
      </c>
      <c r="T840">
        <v>3</v>
      </c>
      <c r="AE840">
        <v>2</v>
      </c>
      <c r="AF840">
        <v>6</v>
      </c>
      <c r="AM840">
        <v>2</v>
      </c>
      <c r="AN840">
        <v>25</v>
      </c>
      <c r="AQ840">
        <v>68</v>
      </c>
      <c r="AR840" s="3">
        <f t="shared" si="39"/>
        <v>10</v>
      </c>
      <c r="AS840" s="3">
        <f t="shared" si="40"/>
        <v>2</v>
      </c>
      <c r="AT840" s="3" t="str">
        <f>IF(OR(Registered!AM840&gt;0,Registered!AO840&gt;0),(IF(Registered!E840=0,"Size Not Specified",Registered!E840)),"")</f>
        <v>XL</v>
      </c>
      <c r="AU840" s="3" t="str">
        <f>IF(Registered!AE840=0,"",IF(Registered!AE840=1,Registered!AE840&amp;" Bandana",Registered!AE840&amp;" Bandanas"))</f>
        <v>2 Bandanas</v>
      </c>
      <c r="AV840" s="3">
        <f t="shared" si="41"/>
        <v>2</v>
      </c>
      <c r="AW840" s="2" t="str">
        <f>IF(Registered!AV840=0,"",IF(Registered!AV840=1,Registered!AV840&amp;" Meal",Registered!AV840&amp;" Meals"))</f>
        <v>2 Meals</v>
      </c>
      <c r="AX840" s="2" t="str">
        <f>IF(Registered!AI840=0,"",Registered!AI840&amp;" BG")</f>
        <v/>
      </c>
      <c r="AY840" s="2" t="str">
        <f>IF(Registered!AG840=0,"",Registered!AG840&amp;" DustMask")</f>
        <v/>
      </c>
    </row>
    <row r="841" spans="1:51" customFormat="1" x14ac:dyDescent="0.25">
      <c r="A841" t="s">
        <v>91</v>
      </c>
      <c r="B841" t="s">
        <v>1037</v>
      </c>
      <c r="C841" t="s">
        <v>6090</v>
      </c>
      <c r="D841" t="s">
        <v>1368</v>
      </c>
      <c r="E841" t="s">
        <v>1369</v>
      </c>
      <c r="F841" t="s">
        <v>261</v>
      </c>
      <c r="I841" t="s">
        <v>1370</v>
      </c>
      <c r="J841" t="s">
        <v>37</v>
      </c>
      <c r="K841" t="s">
        <v>32</v>
      </c>
      <c r="L841" t="s">
        <v>35</v>
      </c>
      <c r="S841">
        <v>2</v>
      </c>
      <c r="T841">
        <v>3</v>
      </c>
      <c r="U841">
        <v>1</v>
      </c>
      <c r="V841">
        <v>20</v>
      </c>
      <c r="AQ841">
        <v>26</v>
      </c>
      <c r="AR841" s="3">
        <f t="shared" si="39"/>
        <v>10</v>
      </c>
      <c r="AS841" s="3">
        <f t="shared" si="40"/>
        <v>0</v>
      </c>
      <c r="AT841" s="3" t="str">
        <f>IF(OR(Registered!AM841&gt;0,Registered!AO841&gt;0),(IF(Registered!E841=0,"Size Not Specified",Registered!E841)),"")</f>
        <v/>
      </c>
      <c r="AU841" s="3" t="str">
        <f>IF(Registered!AE841=0,"",IF(Registered!AE841=1,Registered!AE841&amp;" Bandana",Registered!AE841&amp;" Bandanas"))</f>
        <v/>
      </c>
      <c r="AV841" s="3">
        <f t="shared" si="41"/>
        <v>0</v>
      </c>
      <c r="AW841" s="2" t="str">
        <f>IF(Registered!AV841=0,"",IF(Registered!AV841=1,Registered!AV841&amp;" Meal",Registered!AV841&amp;" Meals"))</f>
        <v/>
      </c>
      <c r="AX841" s="2" t="str">
        <f>IF(Registered!AI841=0,"",Registered!AI841&amp;" BG")</f>
        <v/>
      </c>
      <c r="AY841" s="2" t="str">
        <f>IF(Registered!AG841=0,"",Registered!AG841&amp;" DustMask")</f>
        <v/>
      </c>
    </row>
    <row r="842" spans="1:51" customFormat="1" x14ac:dyDescent="0.25">
      <c r="A842" t="s">
        <v>412</v>
      </c>
      <c r="B842" t="s">
        <v>1037</v>
      </c>
      <c r="C842" t="s">
        <v>6090</v>
      </c>
      <c r="D842" t="s">
        <v>4499</v>
      </c>
      <c r="F842" t="s">
        <v>261</v>
      </c>
      <c r="I842" t="s">
        <v>3651</v>
      </c>
      <c r="J842" t="s">
        <v>37</v>
      </c>
      <c r="K842" t="s">
        <v>32</v>
      </c>
      <c r="L842" t="s">
        <v>35</v>
      </c>
      <c r="Q842">
        <v>2</v>
      </c>
      <c r="R842">
        <v>3</v>
      </c>
      <c r="AM842">
        <v>2</v>
      </c>
      <c r="AN842">
        <v>25</v>
      </c>
      <c r="AQ842">
        <v>56</v>
      </c>
      <c r="AR842" s="3">
        <f t="shared" si="39"/>
        <v>10</v>
      </c>
      <c r="AS842" s="3">
        <f t="shared" si="40"/>
        <v>2</v>
      </c>
      <c r="AT842" s="3" t="str">
        <f>IF(OR(Registered!AM842&gt;0,Registered!AO842&gt;0),(IF(Registered!E842=0,"Size Not Specified",Registered!E842)),"")</f>
        <v>Size Not Specified</v>
      </c>
      <c r="AU842" s="3" t="str">
        <f>IF(Registered!AE842=0,"",IF(Registered!AE842=1,Registered!AE842&amp;" Bandana",Registered!AE842&amp;" Bandanas"))</f>
        <v/>
      </c>
      <c r="AV842" s="3">
        <f t="shared" si="41"/>
        <v>2</v>
      </c>
      <c r="AW842" s="2" t="str">
        <f>IF(Registered!AV842=0,"",IF(Registered!AV842=1,Registered!AV842&amp;" Meal",Registered!AV842&amp;" Meals"))</f>
        <v>2 Meals</v>
      </c>
      <c r="AX842" s="2" t="str">
        <f>IF(Registered!AI842=0,"",Registered!AI842&amp;" BG")</f>
        <v/>
      </c>
      <c r="AY842" s="2" t="str">
        <f>IF(Registered!AG842=0,"",Registered!AG842&amp;" DustMask")</f>
        <v/>
      </c>
    </row>
    <row r="843" spans="1:51" customFormat="1" x14ac:dyDescent="0.25">
      <c r="A843" t="s">
        <v>1371</v>
      </c>
      <c r="B843" t="s">
        <v>1037</v>
      </c>
      <c r="C843" t="s">
        <v>6090</v>
      </c>
      <c r="G843" t="s">
        <v>178</v>
      </c>
      <c r="H843" t="s">
        <v>1037</v>
      </c>
      <c r="I843" t="s">
        <v>1038</v>
      </c>
      <c r="J843" t="s">
        <v>37</v>
      </c>
      <c r="K843" t="s">
        <v>32</v>
      </c>
      <c r="L843" t="s">
        <v>35</v>
      </c>
      <c r="AQ843">
        <v>0</v>
      </c>
      <c r="AR843" s="3">
        <f t="shared" si="39"/>
        <v>0</v>
      </c>
      <c r="AS843" s="3">
        <f t="shared" si="40"/>
        <v>0</v>
      </c>
      <c r="AT843" s="3" t="str">
        <f>IF(OR(Registered!AM843&gt;0,Registered!AO843&gt;0),(IF(Registered!E843=0,"Size Not Specified",Registered!E843)),"")</f>
        <v/>
      </c>
      <c r="AU843" s="3" t="str">
        <f>IF(Registered!AE843=0,"",IF(Registered!AE843=1,Registered!AE843&amp;" Bandana",Registered!AE843&amp;" Bandanas"))</f>
        <v/>
      </c>
      <c r="AV843" s="3">
        <f t="shared" si="41"/>
        <v>0</v>
      </c>
      <c r="AW843" s="2" t="str">
        <f>IF(Registered!AV843=0,"",IF(Registered!AV843=1,Registered!AV843&amp;" Meal",Registered!AV843&amp;" Meals"))</f>
        <v/>
      </c>
      <c r="AX843" s="2" t="str">
        <f>IF(Registered!AI843=0,"",Registered!AI843&amp;" BG")</f>
        <v/>
      </c>
      <c r="AY843" s="2" t="str">
        <f>IF(Registered!AG843=0,"",Registered!AG843&amp;" DustMask")</f>
        <v/>
      </c>
    </row>
    <row r="844" spans="1:51" customFormat="1" x14ac:dyDescent="0.25">
      <c r="A844" t="s">
        <v>178</v>
      </c>
      <c r="B844" t="s">
        <v>1037</v>
      </c>
      <c r="C844" t="s">
        <v>6090</v>
      </c>
      <c r="D844" t="s">
        <v>1372</v>
      </c>
      <c r="F844" t="s">
        <v>261</v>
      </c>
      <c r="I844" t="s">
        <v>1038</v>
      </c>
      <c r="J844" t="s">
        <v>37</v>
      </c>
      <c r="K844" t="s">
        <v>32</v>
      </c>
      <c r="L844" t="s">
        <v>35</v>
      </c>
      <c r="Q844">
        <v>4</v>
      </c>
      <c r="R844">
        <v>3</v>
      </c>
      <c r="U844">
        <v>1</v>
      </c>
      <c r="V844">
        <v>20</v>
      </c>
      <c r="AQ844">
        <v>32</v>
      </c>
      <c r="AR844" s="3">
        <f t="shared" si="39"/>
        <v>10</v>
      </c>
      <c r="AS844" s="3">
        <f t="shared" si="40"/>
        <v>0</v>
      </c>
      <c r="AT844" s="3" t="str">
        <f>IF(OR(Registered!AM844&gt;0,Registered!AO844&gt;0),(IF(Registered!E844=0,"Size Not Specified",Registered!E844)),"")</f>
        <v/>
      </c>
      <c r="AU844" s="3" t="str">
        <f>IF(Registered!AE844=0,"",IF(Registered!AE844=1,Registered!AE844&amp;" Bandana",Registered!AE844&amp;" Bandanas"))</f>
        <v/>
      </c>
      <c r="AV844" s="3">
        <f t="shared" si="41"/>
        <v>0</v>
      </c>
      <c r="AW844" s="2" t="str">
        <f>IF(Registered!AV844=0,"",IF(Registered!AV844=1,Registered!AV844&amp;" Meal",Registered!AV844&amp;" Meals"))</f>
        <v/>
      </c>
      <c r="AX844" s="2" t="str">
        <f>IF(Registered!AI844=0,"",Registered!AI844&amp;" BG")</f>
        <v/>
      </c>
      <c r="AY844" s="2" t="str">
        <f>IF(Registered!AG844=0,"",Registered!AG844&amp;" DustMask")</f>
        <v/>
      </c>
    </row>
    <row r="845" spans="1:51" customFormat="1" x14ac:dyDescent="0.25">
      <c r="A845" t="s">
        <v>85</v>
      </c>
      <c r="B845" t="s">
        <v>1037</v>
      </c>
      <c r="C845" t="s">
        <v>6090</v>
      </c>
      <c r="G845" t="s">
        <v>1373</v>
      </c>
      <c r="H845" t="s">
        <v>1374</v>
      </c>
      <c r="I845" t="s">
        <v>1375</v>
      </c>
      <c r="J845" t="s">
        <v>37</v>
      </c>
      <c r="K845" t="s">
        <v>32</v>
      </c>
      <c r="L845" t="s">
        <v>35</v>
      </c>
      <c r="AQ845">
        <v>0</v>
      </c>
      <c r="AR845" s="3">
        <f t="shared" si="39"/>
        <v>0</v>
      </c>
      <c r="AS845" s="3">
        <f t="shared" si="40"/>
        <v>0</v>
      </c>
      <c r="AT845" s="3" t="str">
        <f>IF(OR(Registered!AM845&gt;0,Registered!AO845&gt;0),(IF(Registered!E845=0,"Size Not Specified",Registered!E845)),"")</f>
        <v/>
      </c>
      <c r="AU845" s="3" t="str">
        <f>IF(Registered!AE845=0,"",IF(Registered!AE845=1,Registered!AE845&amp;" Bandana",Registered!AE845&amp;" Bandanas"))</f>
        <v/>
      </c>
      <c r="AV845" s="3">
        <f t="shared" si="41"/>
        <v>0</v>
      </c>
      <c r="AW845" s="2" t="str">
        <f>IF(Registered!AV845=0,"",IF(Registered!AV845=1,Registered!AV845&amp;" Meal",Registered!AV845&amp;" Meals"))</f>
        <v/>
      </c>
      <c r="AX845" s="2" t="str">
        <f>IF(Registered!AI845=0,"",Registered!AI845&amp;" BG")</f>
        <v/>
      </c>
      <c r="AY845" s="2" t="str">
        <f>IF(Registered!AG845=0,"",Registered!AG845&amp;" DustMask")</f>
        <v/>
      </c>
    </row>
    <row r="846" spans="1:51" customFormat="1" x14ac:dyDescent="0.25">
      <c r="A846" t="s">
        <v>292</v>
      </c>
      <c r="B846" t="s">
        <v>1037</v>
      </c>
      <c r="C846" t="s">
        <v>6090</v>
      </c>
      <c r="G846" t="s">
        <v>178</v>
      </c>
      <c r="H846" t="s">
        <v>1037</v>
      </c>
      <c r="I846" t="s">
        <v>1038</v>
      </c>
      <c r="J846" t="s">
        <v>37</v>
      </c>
      <c r="K846" t="s">
        <v>32</v>
      </c>
      <c r="L846" t="s">
        <v>35</v>
      </c>
      <c r="AQ846">
        <v>0</v>
      </c>
      <c r="AR846" s="3">
        <f t="shared" si="39"/>
        <v>0</v>
      </c>
      <c r="AS846" s="3">
        <f t="shared" si="40"/>
        <v>0</v>
      </c>
      <c r="AT846" s="3" t="str">
        <f>IF(OR(Registered!AM846&gt;0,Registered!AO846&gt;0),(IF(Registered!E846=0,"Size Not Specified",Registered!E846)),"")</f>
        <v/>
      </c>
      <c r="AU846" s="3" t="str">
        <f>IF(Registered!AE846=0,"",IF(Registered!AE846=1,Registered!AE846&amp;" Bandana",Registered!AE846&amp;" Bandanas"))</f>
        <v/>
      </c>
      <c r="AV846" s="3">
        <f t="shared" si="41"/>
        <v>0</v>
      </c>
      <c r="AW846" s="2" t="str">
        <f>IF(Registered!AV846=0,"",IF(Registered!AV846=1,Registered!AV846&amp;" Meal",Registered!AV846&amp;" Meals"))</f>
        <v/>
      </c>
      <c r="AX846" s="2" t="str">
        <f>IF(Registered!AI846=0,"",Registered!AI846&amp;" BG")</f>
        <v/>
      </c>
      <c r="AY846" s="2" t="str">
        <f>IF(Registered!AG846=0,"",Registered!AG846&amp;" DustMask")</f>
        <v/>
      </c>
    </row>
    <row r="847" spans="1:51" customFormat="1" x14ac:dyDescent="0.25">
      <c r="A847" t="s">
        <v>265</v>
      </c>
      <c r="B847" t="s">
        <v>2976</v>
      </c>
      <c r="C847" t="s">
        <v>6090</v>
      </c>
      <c r="F847" t="s">
        <v>261</v>
      </c>
      <c r="I847" t="s">
        <v>4500</v>
      </c>
      <c r="J847" t="s">
        <v>37</v>
      </c>
      <c r="K847" t="s">
        <v>32</v>
      </c>
      <c r="L847" t="s">
        <v>35</v>
      </c>
      <c r="Q847">
        <v>1</v>
      </c>
      <c r="R847">
        <v>3</v>
      </c>
      <c r="AQ847">
        <v>3</v>
      </c>
      <c r="AR847" s="3">
        <f t="shared" si="39"/>
        <v>0</v>
      </c>
      <c r="AS847" s="3">
        <f t="shared" si="40"/>
        <v>0</v>
      </c>
      <c r="AT847" s="3" t="str">
        <f>IF(OR(Registered!AM847&gt;0,Registered!AO847&gt;0),(IF(Registered!E847=0,"Size Not Specified",Registered!E847)),"")</f>
        <v/>
      </c>
      <c r="AU847" s="3" t="str">
        <f>IF(Registered!AE847=0,"",IF(Registered!AE847=1,Registered!AE847&amp;" Bandana",Registered!AE847&amp;" Bandanas"))</f>
        <v/>
      </c>
      <c r="AV847" s="3">
        <f t="shared" si="41"/>
        <v>0</v>
      </c>
      <c r="AW847" s="2" t="str">
        <f>IF(Registered!AV847=0,"",IF(Registered!AV847=1,Registered!AV847&amp;" Meal",Registered!AV847&amp;" Meals"))</f>
        <v/>
      </c>
      <c r="AX847" s="2" t="str">
        <f>IF(Registered!AI847=0,"",Registered!AI847&amp;" BG")</f>
        <v/>
      </c>
      <c r="AY847" s="2" t="str">
        <f>IF(Registered!AG847=0,"",Registered!AG847&amp;" DustMask")</f>
        <v/>
      </c>
    </row>
    <row r="848" spans="1:51" customFormat="1" x14ac:dyDescent="0.25">
      <c r="A848" t="s">
        <v>384</v>
      </c>
      <c r="B848" t="s">
        <v>2976</v>
      </c>
      <c r="C848" t="s">
        <v>6090</v>
      </c>
      <c r="G848" t="s">
        <v>2977</v>
      </c>
      <c r="H848" t="s">
        <v>2978</v>
      </c>
      <c r="I848" t="s">
        <v>2979</v>
      </c>
      <c r="J848" t="s">
        <v>37</v>
      </c>
      <c r="K848" t="s">
        <v>32</v>
      </c>
      <c r="L848" t="s">
        <v>35</v>
      </c>
      <c r="AQ848">
        <v>0</v>
      </c>
      <c r="AR848" s="3">
        <f t="shared" si="39"/>
        <v>0</v>
      </c>
      <c r="AS848" s="3">
        <f t="shared" si="40"/>
        <v>0</v>
      </c>
      <c r="AT848" s="3" t="str">
        <f>IF(OR(Registered!AM848&gt;0,Registered!AO848&gt;0),(IF(Registered!E848=0,"Size Not Specified",Registered!E848)),"")</f>
        <v/>
      </c>
      <c r="AU848" s="3" t="str">
        <f>IF(Registered!AE848=0,"",IF(Registered!AE848=1,Registered!AE848&amp;" Bandana",Registered!AE848&amp;" Bandanas"))</f>
        <v/>
      </c>
      <c r="AV848" s="3">
        <f t="shared" si="41"/>
        <v>0</v>
      </c>
      <c r="AW848" s="2" t="str">
        <f>IF(Registered!AV848=0,"",IF(Registered!AV848=1,Registered!AV848&amp;" Meal",Registered!AV848&amp;" Meals"))</f>
        <v/>
      </c>
      <c r="AX848" s="2" t="str">
        <f>IF(Registered!AI848=0,"",Registered!AI848&amp;" BG")</f>
        <v/>
      </c>
      <c r="AY848" s="2" t="str">
        <f>IF(Registered!AG848=0,"",Registered!AG848&amp;" DustMask")</f>
        <v/>
      </c>
    </row>
    <row r="849" spans="1:51" customFormat="1" x14ac:dyDescent="0.25">
      <c r="A849" t="s">
        <v>252</v>
      </c>
      <c r="B849" t="s">
        <v>2976</v>
      </c>
      <c r="C849" t="s">
        <v>6090</v>
      </c>
      <c r="G849" t="s">
        <v>2977</v>
      </c>
      <c r="H849" t="s">
        <v>2978</v>
      </c>
      <c r="I849" t="s">
        <v>2980</v>
      </c>
      <c r="J849" t="s">
        <v>37</v>
      </c>
      <c r="K849" t="s">
        <v>32</v>
      </c>
      <c r="L849" t="s">
        <v>35</v>
      </c>
      <c r="AQ849">
        <v>0</v>
      </c>
      <c r="AR849" s="3">
        <f t="shared" si="39"/>
        <v>0</v>
      </c>
      <c r="AS849" s="3">
        <f t="shared" si="40"/>
        <v>0</v>
      </c>
      <c r="AT849" s="3" t="str">
        <f>IF(OR(Registered!AM849&gt;0,Registered!AO849&gt;0),(IF(Registered!E849=0,"Size Not Specified",Registered!E849)),"")</f>
        <v/>
      </c>
      <c r="AU849" s="3" t="str">
        <f>IF(Registered!AE849=0,"",IF(Registered!AE849=1,Registered!AE849&amp;" Bandana",Registered!AE849&amp;" Bandanas"))</f>
        <v/>
      </c>
      <c r="AV849" s="3">
        <f t="shared" si="41"/>
        <v>0</v>
      </c>
      <c r="AW849" s="2" t="str">
        <f>IF(Registered!AV849=0,"",IF(Registered!AV849=1,Registered!AV849&amp;" Meal",Registered!AV849&amp;" Meals"))</f>
        <v/>
      </c>
      <c r="AX849" s="2" t="str">
        <f>IF(Registered!AI849=0,"",Registered!AI849&amp;" BG")</f>
        <v/>
      </c>
      <c r="AY849" s="2" t="str">
        <f>IF(Registered!AG849=0,"",Registered!AG849&amp;" DustMask")</f>
        <v/>
      </c>
    </row>
    <row r="850" spans="1:51" customFormat="1" x14ac:dyDescent="0.25">
      <c r="A850" t="s">
        <v>71</v>
      </c>
      <c r="B850" t="s">
        <v>4501</v>
      </c>
      <c r="C850" t="s">
        <v>6090</v>
      </c>
      <c r="G850" t="s">
        <v>62</v>
      </c>
      <c r="H850" t="s">
        <v>4474</v>
      </c>
      <c r="I850" t="s">
        <v>4475</v>
      </c>
      <c r="J850" t="s">
        <v>37</v>
      </c>
      <c r="K850" t="s">
        <v>32</v>
      </c>
      <c r="L850" t="s">
        <v>35</v>
      </c>
      <c r="AQ850">
        <v>0</v>
      </c>
      <c r="AR850" s="3">
        <f t="shared" si="39"/>
        <v>0</v>
      </c>
      <c r="AS850" s="3">
        <f t="shared" si="40"/>
        <v>0</v>
      </c>
      <c r="AT850" s="3" t="str">
        <f>IF(OR(Registered!AM850&gt;0,Registered!AO850&gt;0),(IF(Registered!E850=0,"Size Not Specified",Registered!E850)),"")</f>
        <v/>
      </c>
      <c r="AU850" s="3" t="str">
        <f>IF(Registered!AE850=0,"",IF(Registered!AE850=1,Registered!AE850&amp;" Bandana",Registered!AE850&amp;" Bandanas"))</f>
        <v/>
      </c>
      <c r="AV850" s="3">
        <f t="shared" si="41"/>
        <v>0</v>
      </c>
      <c r="AW850" s="2" t="str">
        <f>IF(Registered!AV850=0,"",IF(Registered!AV850=1,Registered!AV850&amp;" Meal",Registered!AV850&amp;" Meals"))</f>
        <v/>
      </c>
      <c r="AX850" s="2" t="str">
        <f>IF(Registered!AI850=0,"",Registered!AI850&amp;" BG")</f>
        <v/>
      </c>
      <c r="AY850" s="2" t="str">
        <f>IF(Registered!AG850=0,"",Registered!AG850&amp;" DustMask")</f>
        <v/>
      </c>
    </row>
    <row r="851" spans="1:51" customFormat="1" x14ac:dyDescent="0.25">
      <c r="A851" t="s">
        <v>122</v>
      </c>
      <c r="B851" t="s">
        <v>2981</v>
      </c>
      <c r="C851" t="s">
        <v>6090</v>
      </c>
      <c r="G851" t="s">
        <v>2982</v>
      </c>
      <c r="H851" t="s">
        <v>218</v>
      </c>
      <c r="I851" t="s">
        <v>2983</v>
      </c>
      <c r="J851" t="s">
        <v>37</v>
      </c>
      <c r="K851" t="s">
        <v>32</v>
      </c>
      <c r="L851" t="s">
        <v>35</v>
      </c>
      <c r="AQ851">
        <v>0</v>
      </c>
      <c r="AR851" s="3">
        <f t="shared" si="39"/>
        <v>0</v>
      </c>
      <c r="AS851" s="3">
        <f t="shared" si="40"/>
        <v>0</v>
      </c>
      <c r="AT851" s="3" t="str">
        <f>IF(OR(Registered!AM851&gt;0,Registered!AO851&gt;0),(IF(Registered!E851=0,"Size Not Specified",Registered!E851)),"")</f>
        <v/>
      </c>
      <c r="AU851" s="3" t="str">
        <f>IF(Registered!AE851=0,"",IF(Registered!AE851=1,Registered!AE851&amp;" Bandana",Registered!AE851&amp;" Bandanas"))</f>
        <v/>
      </c>
      <c r="AV851" s="3">
        <f t="shared" si="41"/>
        <v>0</v>
      </c>
      <c r="AW851" s="2" t="str">
        <f>IF(Registered!AV851=0,"",IF(Registered!AV851=1,Registered!AV851&amp;" Meal",Registered!AV851&amp;" Meals"))</f>
        <v/>
      </c>
      <c r="AX851" s="2" t="str">
        <f>IF(Registered!AI851=0,"",Registered!AI851&amp;" BG")</f>
        <v/>
      </c>
      <c r="AY851" s="2" t="str">
        <f>IF(Registered!AG851=0,"",Registered!AG851&amp;" DustMask")</f>
        <v/>
      </c>
    </row>
    <row r="852" spans="1:51" customFormat="1" x14ac:dyDescent="0.25">
      <c r="A852" t="s">
        <v>429</v>
      </c>
      <c r="B852" t="s">
        <v>2981</v>
      </c>
      <c r="C852" t="s">
        <v>6090</v>
      </c>
      <c r="G852" t="s">
        <v>2982</v>
      </c>
      <c r="H852" t="s">
        <v>218</v>
      </c>
      <c r="I852" t="s">
        <v>2983</v>
      </c>
      <c r="J852" t="s">
        <v>37</v>
      </c>
      <c r="K852" t="s">
        <v>32</v>
      </c>
      <c r="L852" t="s">
        <v>35</v>
      </c>
      <c r="AQ852">
        <v>0</v>
      </c>
      <c r="AR852" s="3">
        <f t="shared" si="39"/>
        <v>0</v>
      </c>
      <c r="AS852" s="3">
        <f t="shared" si="40"/>
        <v>0</v>
      </c>
      <c r="AT852" s="3" t="str">
        <f>IF(OR(Registered!AM852&gt;0,Registered!AO852&gt;0),(IF(Registered!E852=0,"Size Not Specified",Registered!E852)),"")</f>
        <v/>
      </c>
      <c r="AU852" s="3" t="str">
        <f>IF(Registered!AE852=0,"",IF(Registered!AE852=1,Registered!AE852&amp;" Bandana",Registered!AE852&amp;" Bandanas"))</f>
        <v/>
      </c>
      <c r="AV852" s="3">
        <f t="shared" si="41"/>
        <v>0</v>
      </c>
      <c r="AW852" s="2" t="str">
        <f>IF(Registered!AV852=0,"",IF(Registered!AV852=1,Registered!AV852&amp;" Meal",Registered!AV852&amp;" Meals"))</f>
        <v/>
      </c>
      <c r="AX852" s="2" t="str">
        <f>IF(Registered!AI852=0,"",Registered!AI852&amp;" BG")</f>
        <v/>
      </c>
      <c r="AY852" s="2" t="str">
        <f>IF(Registered!AG852=0,"",Registered!AG852&amp;" DustMask")</f>
        <v/>
      </c>
    </row>
    <row r="853" spans="1:51" customFormat="1" x14ac:dyDescent="0.25">
      <c r="A853" t="s">
        <v>1818</v>
      </c>
      <c r="B853" t="s">
        <v>4502</v>
      </c>
      <c r="C853" t="s">
        <v>6090</v>
      </c>
      <c r="D853" t="s">
        <v>4503</v>
      </c>
      <c r="F853" t="s">
        <v>261</v>
      </c>
      <c r="I853" t="s">
        <v>4504</v>
      </c>
      <c r="J853" t="s">
        <v>37</v>
      </c>
      <c r="K853" t="s">
        <v>32</v>
      </c>
      <c r="L853" t="s">
        <v>35</v>
      </c>
      <c r="Q853">
        <v>1</v>
      </c>
      <c r="R853">
        <v>3</v>
      </c>
      <c r="AC853">
        <v>1</v>
      </c>
      <c r="AD853">
        <v>10</v>
      </c>
      <c r="AQ853">
        <v>13</v>
      </c>
      <c r="AR853" s="3">
        <f t="shared" si="39"/>
        <v>5</v>
      </c>
      <c r="AS853" s="3">
        <f t="shared" si="40"/>
        <v>0</v>
      </c>
      <c r="AT853" s="3" t="str">
        <f>IF(OR(Registered!AM853&gt;0,Registered!AO853&gt;0),(IF(Registered!E853=0,"Size Not Specified",Registered!E853)),"")</f>
        <v/>
      </c>
      <c r="AU853" s="3" t="str">
        <f>IF(Registered!AE853=0,"",IF(Registered!AE853=1,Registered!AE853&amp;" Bandana",Registered!AE853&amp;" Bandanas"))</f>
        <v/>
      </c>
      <c r="AV853" s="3">
        <f t="shared" si="41"/>
        <v>0</v>
      </c>
      <c r="AW853" s="2" t="str">
        <f>IF(Registered!AV853=0,"",IF(Registered!AV853=1,Registered!AV853&amp;" Meal",Registered!AV853&amp;" Meals"))</f>
        <v/>
      </c>
      <c r="AX853" s="2" t="str">
        <f>IF(Registered!AI853=0,"",Registered!AI853&amp;" BG")</f>
        <v/>
      </c>
      <c r="AY853" s="2" t="str">
        <f>IF(Registered!AG853=0,"",Registered!AG853&amp;" DustMask")</f>
        <v/>
      </c>
    </row>
    <row r="854" spans="1:51" customFormat="1" x14ac:dyDescent="0.25">
      <c r="A854" t="s">
        <v>4505</v>
      </c>
      <c r="B854" t="s">
        <v>4506</v>
      </c>
      <c r="C854" t="s">
        <v>6090</v>
      </c>
      <c r="G854" t="s">
        <v>2309</v>
      </c>
      <c r="H854" t="s">
        <v>4335</v>
      </c>
      <c r="I854" t="s">
        <v>4337</v>
      </c>
      <c r="J854" t="s">
        <v>37</v>
      </c>
      <c r="K854" t="s">
        <v>32</v>
      </c>
      <c r="L854" t="s">
        <v>35</v>
      </c>
      <c r="AQ854">
        <v>0</v>
      </c>
      <c r="AR854" s="3">
        <f t="shared" si="39"/>
        <v>0</v>
      </c>
      <c r="AS854" s="3">
        <f t="shared" si="40"/>
        <v>0</v>
      </c>
      <c r="AT854" s="3" t="str">
        <f>IF(OR(Registered!AM854&gt;0,Registered!AO854&gt;0),(IF(Registered!E854=0,"Size Not Specified",Registered!E854)),"")</f>
        <v/>
      </c>
      <c r="AU854" s="3" t="str">
        <f>IF(Registered!AE854=0,"",IF(Registered!AE854=1,Registered!AE854&amp;" Bandana",Registered!AE854&amp;" Bandanas"))</f>
        <v/>
      </c>
      <c r="AV854" s="3">
        <f t="shared" si="41"/>
        <v>0</v>
      </c>
      <c r="AW854" s="2" t="str">
        <f>IF(Registered!AV854=0,"",IF(Registered!AV854=1,Registered!AV854&amp;" Meal",Registered!AV854&amp;" Meals"))</f>
        <v/>
      </c>
      <c r="AX854" s="2" t="str">
        <f>IF(Registered!AI854=0,"",Registered!AI854&amp;" BG")</f>
        <v/>
      </c>
      <c r="AY854" s="2" t="str">
        <f>IF(Registered!AG854=0,"",Registered!AG854&amp;" DustMask")</f>
        <v/>
      </c>
    </row>
    <row r="855" spans="1:51" customFormat="1" x14ac:dyDescent="0.25">
      <c r="A855" t="s">
        <v>184</v>
      </c>
      <c r="B855" t="s">
        <v>1376</v>
      </c>
      <c r="C855" t="s">
        <v>6090</v>
      </c>
      <c r="G855" t="s">
        <v>3960</v>
      </c>
      <c r="H855" t="s">
        <v>630</v>
      </c>
      <c r="I855" t="s">
        <v>3961</v>
      </c>
      <c r="J855" t="s">
        <v>37</v>
      </c>
      <c r="K855" t="s">
        <v>32</v>
      </c>
      <c r="L855" t="s">
        <v>35</v>
      </c>
      <c r="AQ855">
        <v>0</v>
      </c>
      <c r="AR855" s="3">
        <f t="shared" si="39"/>
        <v>0</v>
      </c>
      <c r="AS855" s="3">
        <f t="shared" si="40"/>
        <v>0</v>
      </c>
      <c r="AT855" s="3" t="str">
        <f>IF(OR(Registered!AM855&gt;0,Registered!AO855&gt;0),(IF(Registered!E855=0,"Size Not Specified",Registered!E855)),"")</f>
        <v/>
      </c>
      <c r="AU855" s="3" t="str">
        <f>IF(Registered!AE855=0,"",IF(Registered!AE855=1,Registered!AE855&amp;" Bandana",Registered!AE855&amp;" Bandanas"))</f>
        <v/>
      </c>
      <c r="AV855" s="3">
        <f t="shared" si="41"/>
        <v>0</v>
      </c>
      <c r="AW855" s="2" t="str">
        <f>IF(Registered!AV855=0,"",IF(Registered!AV855=1,Registered!AV855&amp;" Meal",Registered!AV855&amp;" Meals"))</f>
        <v/>
      </c>
      <c r="AX855" s="2" t="str">
        <f>IF(Registered!AI855=0,"",Registered!AI855&amp;" BG")</f>
        <v/>
      </c>
      <c r="AY855" s="2" t="str">
        <f>IF(Registered!AG855=0,"",Registered!AG855&amp;" DustMask")</f>
        <v/>
      </c>
    </row>
    <row r="856" spans="1:51" customFormat="1" x14ac:dyDescent="0.25">
      <c r="A856" t="s">
        <v>502</v>
      </c>
      <c r="B856" t="s">
        <v>1376</v>
      </c>
      <c r="C856" t="s">
        <v>6090</v>
      </c>
      <c r="D856" t="s">
        <v>1377</v>
      </c>
      <c r="I856" t="s">
        <v>1378</v>
      </c>
      <c r="J856" t="s">
        <v>37</v>
      </c>
      <c r="K856" t="s">
        <v>32</v>
      </c>
      <c r="L856" t="s">
        <v>35</v>
      </c>
      <c r="S856">
        <v>2</v>
      </c>
      <c r="T856">
        <v>3</v>
      </c>
      <c r="AC856">
        <v>2</v>
      </c>
      <c r="AD856">
        <v>10</v>
      </c>
      <c r="AE856">
        <v>2</v>
      </c>
      <c r="AF856">
        <v>6</v>
      </c>
      <c r="AK856">
        <v>2</v>
      </c>
      <c r="AL856">
        <v>6</v>
      </c>
      <c r="AQ856">
        <v>50</v>
      </c>
      <c r="AR856" s="3">
        <f t="shared" si="39"/>
        <v>10</v>
      </c>
      <c r="AS856" s="3">
        <f t="shared" si="40"/>
        <v>0</v>
      </c>
      <c r="AT856" s="3" t="str">
        <f>IF(OR(Registered!AM856&gt;0,Registered!AO856&gt;0),(IF(Registered!E856=0,"Size Not Specified",Registered!E856)),"")</f>
        <v/>
      </c>
      <c r="AU856" s="3" t="str">
        <f>IF(Registered!AE856=0,"",IF(Registered!AE856=1,Registered!AE856&amp;" Bandana",Registered!AE856&amp;" Bandanas"))</f>
        <v>2 Bandanas</v>
      </c>
      <c r="AV856" s="3">
        <f t="shared" si="41"/>
        <v>2</v>
      </c>
      <c r="AW856" s="2" t="str">
        <f>IF(Registered!AV856=0,"",IF(Registered!AV856=1,Registered!AV856&amp;" Meal",Registered!AV856&amp;" Meals"))</f>
        <v>2 Meals</v>
      </c>
      <c r="AX856" s="2" t="str">
        <f>IF(Registered!AI856=0,"",Registered!AI856&amp;" BG")</f>
        <v/>
      </c>
      <c r="AY856" s="2" t="str">
        <f>IF(Registered!AG856=0,"",Registered!AG856&amp;" DustMask")</f>
        <v/>
      </c>
    </row>
    <row r="857" spans="1:51" customFormat="1" x14ac:dyDescent="0.25">
      <c r="A857" t="s">
        <v>4511</v>
      </c>
      <c r="B857" t="s">
        <v>4512</v>
      </c>
      <c r="C857" t="s">
        <v>6090</v>
      </c>
      <c r="D857" t="s">
        <v>4513</v>
      </c>
      <c r="F857" t="s">
        <v>261</v>
      </c>
      <c r="I857" t="s">
        <v>4514</v>
      </c>
      <c r="J857" t="s">
        <v>37</v>
      </c>
      <c r="K857" t="s">
        <v>32</v>
      </c>
      <c r="L857" t="s">
        <v>35</v>
      </c>
      <c r="Q857">
        <v>2</v>
      </c>
      <c r="R857">
        <v>3</v>
      </c>
      <c r="U857">
        <v>1</v>
      </c>
      <c r="V857">
        <v>20</v>
      </c>
      <c r="AQ857">
        <v>26</v>
      </c>
      <c r="AR857" s="3">
        <f t="shared" si="39"/>
        <v>10</v>
      </c>
      <c r="AS857" s="3">
        <f t="shared" si="40"/>
        <v>0</v>
      </c>
      <c r="AT857" s="3" t="str">
        <f>IF(OR(Registered!AM857&gt;0,Registered!AO857&gt;0),(IF(Registered!E857=0,"Size Not Specified",Registered!E857)),"")</f>
        <v/>
      </c>
      <c r="AU857" s="3" t="str">
        <f>IF(Registered!AE857=0,"",IF(Registered!AE857=1,Registered!AE857&amp;" Bandana",Registered!AE857&amp;" Bandanas"))</f>
        <v/>
      </c>
      <c r="AV857" s="3">
        <f t="shared" si="41"/>
        <v>0</v>
      </c>
      <c r="AW857" s="2" t="str">
        <f>IF(Registered!AV857=0,"",IF(Registered!AV857=1,Registered!AV857&amp;" Meal",Registered!AV857&amp;" Meals"))</f>
        <v/>
      </c>
      <c r="AX857" s="2" t="str">
        <f>IF(Registered!AI857=0,"",Registered!AI857&amp;" BG")</f>
        <v/>
      </c>
      <c r="AY857" s="2" t="str">
        <f>IF(Registered!AG857=0,"",Registered!AG857&amp;" DustMask")</f>
        <v/>
      </c>
    </row>
    <row r="858" spans="1:51" customFormat="1" x14ac:dyDescent="0.25">
      <c r="A858" t="s">
        <v>258</v>
      </c>
      <c r="B858" t="s">
        <v>1383</v>
      </c>
      <c r="C858" t="s">
        <v>6090</v>
      </c>
      <c r="G858" t="s">
        <v>109</v>
      </c>
      <c r="H858" t="s">
        <v>1081</v>
      </c>
      <c r="I858" t="s">
        <v>1084</v>
      </c>
      <c r="J858" t="s">
        <v>37</v>
      </c>
      <c r="K858" t="s">
        <v>32</v>
      </c>
      <c r="L858" t="s">
        <v>35</v>
      </c>
      <c r="AQ858">
        <v>0</v>
      </c>
      <c r="AR858" s="3">
        <f t="shared" si="39"/>
        <v>0</v>
      </c>
      <c r="AS858" s="3">
        <f t="shared" si="40"/>
        <v>0</v>
      </c>
      <c r="AT858" s="3" t="str">
        <f>IF(OR(Registered!AM858&gt;0,Registered!AO858&gt;0),(IF(Registered!E858=0,"Size Not Specified",Registered!E858)),"")</f>
        <v/>
      </c>
      <c r="AU858" s="3" t="str">
        <f>IF(Registered!AE858=0,"",IF(Registered!AE858=1,Registered!AE858&amp;" Bandana",Registered!AE858&amp;" Bandanas"))</f>
        <v/>
      </c>
      <c r="AV858" s="3">
        <f t="shared" si="41"/>
        <v>0</v>
      </c>
      <c r="AW858" s="2" t="str">
        <f>IF(Registered!AV858=0,"",IF(Registered!AV858=1,Registered!AV858&amp;" Meal",Registered!AV858&amp;" Meals"))</f>
        <v/>
      </c>
      <c r="AX858" s="2" t="str">
        <f>IF(Registered!AI858=0,"",Registered!AI858&amp;" BG")</f>
        <v/>
      </c>
      <c r="AY858" s="2" t="str">
        <f>IF(Registered!AG858=0,"",Registered!AG858&amp;" DustMask")</f>
        <v/>
      </c>
    </row>
    <row r="859" spans="1:51" customFormat="1" x14ac:dyDescent="0.25">
      <c r="A859" t="s">
        <v>813</v>
      </c>
      <c r="B859" t="s">
        <v>4515</v>
      </c>
      <c r="C859" t="s">
        <v>6090</v>
      </c>
      <c r="G859" t="s">
        <v>188</v>
      </c>
      <c r="H859" t="s">
        <v>3422</v>
      </c>
      <c r="I859" t="s">
        <v>4516</v>
      </c>
      <c r="J859" t="s">
        <v>37</v>
      </c>
      <c r="K859" t="s">
        <v>32</v>
      </c>
      <c r="L859" t="s">
        <v>35</v>
      </c>
      <c r="AQ859">
        <v>0</v>
      </c>
      <c r="AR859" s="3">
        <f t="shared" si="39"/>
        <v>0</v>
      </c>
      <c r="AS859" s="3">
        <f t="shared" si="40"/>
        <v>0</v>
      </c>
      <c r="AT859" s="3" t="str">
        <f>IF(OR(Registered!AM859&gt;0,Registered!AO859&gt;0),(IF(Registered!E859=0,"Size Not Specified",Registered!E859)),"")</f>
        <v/>
      </c>
      <c r="AU859" s="3" t="str">
        <f>IF(Registered!AE859=0,"",IF(Registered!AE859=1,Registered!AE859&amp;" Bandana",Registered!AE859&amp;" Bandanas"))</f>
        <v/>
      </c>
      <c r="AV859" s="3">
        <f t="shared" si="41"/>
        <v>0</v>
      </c>
      <c r="AW859" s="2" t="str">
        <f>IF(Registered!AV859=0,"",IF(Registered!AV859=1,Registered!AV859&amp;" Meal",Registered!AV859&amp;" Meals"))</f>
        <v/>
      </c>
      <c r="AX859" s="2" t="str">
        <f>IF(Registered!AI859=0,"",Registered!AI859&amp;" BG")</f>
        <v/>
      </c>
      <c r="AY859" s="2" t="str">
        <f>IF(Registered!AG859=0,"",Registered!AG859&amp;" DustMask")</f>
        <v/>
      </c>
    </row>
    <row r="860" spans="1:51" customFormat="1" x14ac:dyDescent="0.25">
      <c r="A860" t="s">
        <v>96</v>
      </c>
      <c r="B860" t="s">
        <v>4517</v>
      </c>
      <c r="C860" t="s">
        <v>6090</v>
      </c>
      <c r="G860" t="s">
        <v>2413</v>
      </c>
      <c r="H860" t="s">
        <v>4518</v>
      </c>
      <c r="I860" t="s">
        <v>4519</v>
      </c>
      <c r="J860" t="s">
        <v>37</v>
      </c>
      <c r="K860" t="s">
        <v>32</v>
      </c>
      <c r="L860" t="s">
        <v>35</v>
      </c>
      <c r="AQ860">
        <v>0</v>
      </c>
      <c r="AR860" s="3">
        <f t="shared" si="39"/>
        <v>0</v>
      </c>
      <c r="AS860" s="3">
        <f t="shared" si="40"/>
        <v>0</v>
      </c>
      <c r="AT860" s="3" t="str">
        <f>IF(OR(Registered!AM860&gt;0,Registered!AO860&gt;0),(IF(Registered!E860=0,"Size Not Specified",Registered!E860)),"")</f>
        <v/>
      </c>
      <c r="AU860" s="3" t="str">
        <f>IF(Registered!AE860=0,"",IF(Registered!AE860=1,Registered!AE860&amp;" Bandana",Registered!AE860&amp;" Bandanas"))</f>
        <v/>
      </c>
      <c r="AV860" s="3">
        <f t="shared" si="41"/>
        <v>0</v>
      </c>
      <c r="AW860" s="2" t="str">
        <f>IF(Registered!AV860=0,"",IF(Registered!AV860=1,Registered!AV860&amp;" Meal",Registered!AV860&amp;" Meals"))</f>
        <v/>
      </c>
      <c r="AX860" s="2" t="str">
        <f>IF(Registered!AI860=0,"",Registered!AI860&amp;" BG")</f>
        <v/>
      </c>
      <c r="AY860" s="2" t="str">
        <f>IF(Registered!AG860=0,"",Registered!AG860&amp;" DustMask")</f>
        <v/>
      </c>
    </row>
    <row r="861" spans="1:51" customFormat="1" x14ac:dyDescent="0.25">
      <c r="A861" t="s">
        <v>94</v>
      </c>
      <c r="B861" t="s">
        <v>4520</v>
      </c>
      <c r="C861" t="s">
        <v>6090</v>
      </c>
      <c r="D861" t="s">
        <v>94</v>
      </c>
      <c r="E861" t="s">
        <v>4521</v>
      </c>
      <c r="F861" t="s">
        <v>261</v>
      </c>
      <c r="I861" t="s">
        <v>4522</v>
      </c>
      <c r="J861" t="s">
        <v>37</v>
      </c>
      <c r="K861" t="s">
        <v>32</v>
      </c>
      <c r="L861" t="s">
        <v>35</v>
      </c>
      <c r="Q861">
        <v>1</v>
      </c>
      <c r="R861">
        <v>3</v>
      </c>
      <c r="AC861">
        <v>1</v>
      </c>
      <c r="AD861">
        <v>10</v>
      </c>
      <c r="AG861">
        <v>1</v>
      </c>
      <c r="AH861">
        <v>1</v>
      </c>
      <c r="AO861">
        <v>1</v>
      </c>
      <c r="AP861">
        <v>10</v>
      </c>
      <c r="AQ861">
        <v>24</v>
      </c>
      <c r="AR861" s="3">
        <f t="shared" si="39"/>
        <v>5</v>
      </c>
      <c r="AS861" s="3">
        <f t="shared" si="40"/>
        <v>1</v>
      </c>
      <c r="AT861" s="3" t="str">
        <f>IF(OR(Registered!AM861&gt;0,Registered!AO861&gt;0),(IF(Registered!E861=0,"Size Not Specified",Registered!E861)),"")</f>
        <v>Extra Large</v>
      </c>
      <c r="AU861" s="3" t="str">
        <f>IF(Registered!AE861=0,"",IF(Registered!AE861=1,Registered!AE861&amp;" Bandana",Registered!AE861&amp;" Bandanas"))</f>
        <v/>
      </c>
      <c r="AV861" s="3">
        <f t="shared" si="41"/>
        <v>0</v>
      </c>
      <c r="AW861" s="2" t="str">
        <f>IF(Registered!AV861=0,"",IF(Registered!AV861=1,Registered!AV861&amp;" Meal",Registered!AV861&amp;" Meals"))</f>
        <v/>
      </c>
      <c r="AX861" s="2" t="str">
        <f>IF(Registered!AI861=0,"",Registered!AI861&amp;" BG")</f>
        <v/>
      </c>
      <c r="AY861" s="2" t="str">
        <f>IF(Registered!AG861=0,"",Registered!AG861&amp;" DustMask")</f>
        <v>1 DustMask</v>
      </c>
    </row>
    <row r="862" spans="1:51" customFormat="1" x14ac:dyDescent="0.25">
      <c r="A862" t="s">
        <v>140</v>
      </c>
      <c r="B862" t="s">
        <v>1384</v>
      </c>
      <c r="C862" t="s">
        <v>6090</v>
      </c>
      <c r="D862" t="s">
        <v>1385</v>
      </c>
      <c r="I862" t="s">
        <v>1386</v>
      </c>
      <c r="J862" t="s">
        <v>37</v>
      </c>
      <c r="K862" t="s">
        <v>32</v>
      </c>
      <c r="L862" t="s">
        <v>35</v>
      </c>
      <c r="O862">
        <v>2</v>
      </c>
      <c r="P862">
        <v>3</v>
      </c>
      <c r="AQ862">
        <v>6</v>
      </c>
      <c r="AR862" s="3">
        <f t="shared" si="39"/>
        <v>0</v>
      </c>
      <c r="AS862" s="3">
        <f t="shared" si="40"/>
        <v>0</v>
      </c>
      <c r="AT862" s="3" t="str">
        <f>IF(OR(Registered!AM862&gt;0,Registered!AO862&gt;0),(IF(Registered!E862=0,"Size Not Specified",Registered!E862)),"")</f>
        <v/>
      </c>
      <c r="AU862" s="3" t="str">
        <f>IF(Registered!AE862=0,"",IF(Registered!AE862=1,Registered!AE862&amp;" Bandana",Registered!AE862&amp;" Bandanas"))</f>
        <v/>
      </c>
      <c r="AV862" s="3">
        <f t="shared" si="41"/>
        <v>0</v>
      </c>
      <c r="AW862" s="2" t="str">
        <f>IF(Registered!AV862=0,"",IF(Registered!AV862=1,Registered!AV862&amp;" Meal",Registered!AV862&amp;" Meals"))</f>
        <v/>
      </c>
      <c r="AX862" s="2" t="str">
        <f>IF(Registered!AI862=0,"",Registered!AI862&amp;" BG")</f>
        <v/>
      </c>
      <c r="AY862" s="2" t="str">
        <f>IF(Registered!AG862=0,"",Registered!AG862&amp;" DustMask")</f>
        <v/>
      </c>
    </row>
    <row r="863" spans="1:51" customFormat="1" x14ac:dyDescent="0.25">
      <c r="A863" t="s">
        <v>4523</v>
      </c>
      <c r="B863" t="s">
        <v>4524</v>
      </c>
      <c r="C863" t="s">
        <v>6090</v>
      </c>
      <c r="D863" t="s">
        <v>4525</v>
      </c>
      <c r="E863" t="s">
        <v>2234</v>
      </c>
      <c r="F863" t="s">
        <v>261</v>
      </c>
      <c r="I863" t="s">
        <v>4526</v>
      </c>
      <c r="J863" t="s">
        <v>37</v>
      </c>
      <c r="K863" t="s">
        <v>32</v>
      </c>
      <c r="L863" t="s">
        <v>35</v>
      </c>
      <c r="Q863">
        <v>2</v>
      </c>
      <c r="R863">
        <v>3</v>
      </c>
      <c r="AC863">
        <v>2</v>
      </c>
      <c r="AD863">
        <v>10</v>
      </c>
      <c r="AO863">
        <v>1</v>
      </c>
      <c r="AP863">
        <v>10</v>
      </c>
      <c r="AQ863">
        <v>36</v>
      </c>
      <c r="AR863" s="3">
        <f t="shared" si="39"/>
        <v>10</v>
      </c>
      <c r="AS863" s="3">
        <f t="shared" si="40"/>
        <v>1</v>
      </c>
      <c r="AT863" s="3" t="str">
        <f>IF(OR(Registered!AM863&gt;0,Registered!AO863&gt;0),(IF(Registered!E863=0,"Size Not Specified",Registered!E863)),"")</f>
        <v>s</v>
      </c>
      <c r="AU863" s="3" t="str">
        <f>IF(Registered!AE863=0,"",IF(Registered!AE863=1,Registered!AE863&amp;" Bandana",Registered!AE863&amp;" Bandanas"))</f>
        <v/>
      </c>
      <c r="AV863" s="3">
        <f t="shared" si="41"/>
        <v>0</v>
      </c>
      <c r="AW863" s="2" t="str">
        <f>IF(Registered!AV863=0,"",IF(Registered!AV863=1,Registered!AV863&amp;" Meal",Registered!AV863&amp;" Meals"))</f>
        <v/>
      </c>
      <c r="AX863" s="2" t="str">
        <f>IF(Registered!AI863=0,"",Registered!AI863&amp;" BG")</f>
        <v/>
      </c>
      <c r="AY863" s="2" t="str">
        <f>IF(Registered!AG863=0,"",Registered!AG863&amp;" DustMask")</f>
        <v/>
      </c>
    </row>
    <row r="864" spans="1:51" customFormat="1" x14ac:dyDescent="0.25">
      <c r="A864" t="s">
        <v>1387</v>
      </c>
      <c r="B864" t="s">
        <v>1388</v>
      </c>
      <c r="C864" t="s">
        <v>6090</v>
      </c>
      <c r="D864" t="s">
        <v>1389</v>
      </c>
      <c r="E864" t="s">
        <v>1390</v>
      </c>
      <c r="F864" t="s">
        <v>261</v>
      </c>
      <c r="I864" t="s">
        <v>1391</v>
      </c>
      <c r="J864" t="s">
        <v>37</v>
      </c>
      <c r="K864" t="s">
        <v>32</v>
      </c>
      <c r="L864" t="s">
        <v>35</v>
      </c>
      <c r="S864">
        <v>1</v>
      </c>
      <c r="T864">
        <v>3</v>
      </c>
      <c r="AK864">
        <v>2</v>
      </c>
      <c r="AL864">
        <v>6</v>
      </c>
      <c r="AM864">
        <v>2</v>
      </c>
      <c r="AN864">
        <v>25</v>
      </c>
      <c r="AQ864">
        <v>65</v>
      </c>
      <c r="AR864" s="3">
        <f t="shared" si="39"/>
        <v>10</v>
      </c>
      <c r="AS864" s="3">
        <f t="shared" si="40"/>
        <v>2</v>
      </c>
      <c r="AT864" s="3" t="str">
        <f>IF(OR(Registered!AM864&gt;0,Registered!AO864&gt;0),(IF(Registered!E864=0,"Size Not Specified",Registered!E864)),"")</f>
        <v>Small and Medium</v>
      </c>
      <c r="AU864" s="3" t="str">
        <f>IF(Registered!AE864=0,"",IF(Registered!AE864=1,Registered!AE864&amp;" Bandana",Registered!AE864&amp;" Bandanas"))</f>
        <v/>
      </c>
      <c r="AV864" s="3">
        <f t="shared" si="41"/>
        <v>4</v>
      </c>
      <c r="AW864" s="2" t="str">
        <f>IF(Registered!AV864=0,"",IF(Registered!AV864=1,Registered!AV864&amp;" Meal",Registered!AV864&amp;" Meals"))</f>
        <v>4 Meals</v>
      </c>
      <c r="AX864" s="2" t="str">
        <f>IF(Registered!AI864=0,"",Registered!AI864&amp;" BG")</f>
        <v/>
      </c>
      <c r="AY864" s="2" t="str">
        <f>IF(Registered!AG864=0,"",Registered!AG864&amp;" DustMask")</f>
        <v/>
      </c>
    </row>
    <row r="865" spans="1:51" customFormat="1" x14ac:dyDescent="0.25">
      <c r="A865" t="s">
        <v>258</v>
      </c>
      <c r="B865" t="s">
        <v>2984</v>
      </c>
      <c r="C865" t="s">
        <v>6090</v>
      </c>
      <c r="D865" t="s">
        <v>258</v>
      </c>
      <c r="F865" t="s">
        <v>261</v>
      </c>
      <c r="I865" t="s">
        <v>2985</v>
      </c>
      <c r="J865" t="s">
        <v>37</v>
      </c>
      <c r="K865" t="s">
        <v>32</v>
      </c>
      <c r="L865" t="s">
        <v>35</v>
      </c>
      <c r="Q865">
        <v>1</v>
      </c>
      <c r="R865">
        <v>3</v>
      </c>
      <c r="U865">
        <v>1</v>
      </c>
      <c r="V865">
        <v>20</v>
      </c>
      <c r="AQ865">
        <v>23</v>
      </c>
      <c r="AR865" s="3">
        <f t="shared" si="39"/>
        <v>10</v>
      </c>
      <c r="AS865" s="3">
        <f t="shared" si="40"/>
        <v>0</v>
      </c>
      <c r="AT865" s="3" t="str">
        <f>IF(OR(Registered!AM865&gt;0,Registered!AO865&gt;0),(IF(Registered!E865=0,"Size Not Specified",Registered!E865)),"")</f>
        <v/>
      </c>
      <c r="AU865" s="3" t="str">
        <f>IF(Registered!AE865=0,"",IF(Registered!AE865=1,Registered!AE865&amp;" Bandana",Registered!AE865&amp;" Bandanas"))</f>
        <v/>
      </c>
      <c r="AV865" s="3">
        <f t="shared" si="41"/>
        <v>0</v>
      </c>
      <c r="AW865" s="2" t="str">
        <f>IF(Registered!AV865=0,"",IF(Registered!AV865=1,Registered!AV865&amp;" Meal",Registered!AV865&amp;" Meals"))</f>
        <v/>
      </c>
      <c r="AX865" s="2" t="str">
        <f>IF(Registered!AI865=0,"",Registered!AI865&amp;" BG")</f>
        <v/>
      </c>
      <c r="AY865" s="2" t="str">
        <f>IF(Registered!AG865=0,"",Registered!AG865&amp;" DustMask")</f>
        <v/>
      </c>
    </row>
    <row r="866" spans="1:51" customFormat="1" x14ac:dyDescent="0.25">
      <c r="A866" t="s">
        <v>4527</v>
      </c>
      <c r="B866" t="s">
        <v>2984</v>
      </c>
      <c r="C866" t="s">
        <v>6090</v>
      </c>
      <c r="D866" t="s">
        <v>4528</v>
      </c>
      <c r="F866" t="s">
        <v>261</v>
      </c>
      <c r="I866" t="s">
        <v>4529</v>
      </c>
      <c r="J866" t="s">
        <v>37</v>
      </c>
      <c r="K866" t="s">
        <v>32</v>
      </c>
      <c r="L866" t="s">
        <v>35</v>
      </c>
      <c r="Q866">
        <v>4</v>
      </c>
      <c r="R866">
        <v>3</v>
      </c>
      <c r="AC866">
        <v>1</v>
      </c>
      <c r="AD866">
        <v>10</v>
      </c>
      <c r="AQ866">
        <v>22</v>
      </c>
      <c r="AR866" s="3">
        <f t="shared" si="39"/>
        <v>5</v>
      </c>
      <c r="AS866" s="3">
        <f t="shared" si="40"/>
        <v>0</v>
      </c>
      <c r="AT866" s="3" t="str">
        <f>IF(OR(Registered!AM866&gt;0,Registered!AO866&gt;0),(IF(Registered!E866=0,"Size Not Specified",Registered!E866)),"")</f>
        <v/>
      </c>
      <c r="AU866" s="3" t="str">
        <f>IF(Registered!AE866=0,"",IF(Registered!AE866=1,Registered!AE866&amp;" Bandana",Registered!AE866&amp;" Bandanas"))</f>
        <v/>
      </c>
      <c r="AV866" s="3">
        <f t="shared" si="41"/>
        <v>0</v>
      </c>
      <c r="AW866" s="2" t="str">
        <f>IF(Registered!AV866=0,"",IF(Registered!AV866=1,Registered!AV866&amp;" Meal",Registered!AV866&amp;" Meals"))</f>
        <v/>
      </c>
      <c r="AX866" s="2" t="str">
        <f>IF(Registered!AI866=0,"",Registered!AI866&amp;" BG")</f>
        <v/>
      </c>
      <c r="AY866" s="2" t="str">
        <f>IF(Registered!AG866=0,"",Registered!AG866&amp;" DustMask")</f>
        <v/>
      </c>
    </row>
    <row r="867" spans="1:51" customFormat="1" x14ac:dyDescent="0.25">
      <c r="A867" t="s">
        <v>764</v>
      </c>
      <c r="B867" t="s">
        <v>2984</v>
      </c>
      <c r="C867" t="s">
        <v>6090</v>
      </c>
      <c r="G867" t="s">
        <v>4527</v>
      </c>
      <c r="H867" t="s">
        <v>2984</v>
      </c>
      <c r="I867" t="s">
        <v>4529</v>
      </c>
      <c r="J867" t="s">
        <v>37</v>
      </c>
      <c r="K867" t="s">
        <v>32</v>
      </c>
      <c r="L867" t="s">
        <v>35</v>
      </c>
      <c r="AQ867">
        <v>0</v>
      </c>
      <c r="AR867" s="3">
        <f t="shared" si="39"/>
        <v>0</v>
      </c>
      <c r="AS867" s="3">
        <f t="shared" si="40"/>
        <v>0</v>
      </c>
      <c r="AT867" s="3" t="str">
        <f>IF(OR(Registered!AM867&gt;0,Registered!AO867&gt;0),(IF(Registered!E867=0,"Size Not Specified",Registered!E867)),"")</f>
        <v/>
      </c>
      <c r="AU867" s="3" t="str">
        <f>IF(Registered!AE867=0,"",IF(Registered!AE867=1,Registered!AE867&amp;" Bandana",Registered!AE867&amp;" Bandanas"))</f>
        <v/>
      </c>
      <c r="AV867" s="3">
        <f t="shared" si="41"/>
        <v>0</v>
      </c>
      <c r="AW867" s="2" t="str">
        <f>IF(Registered!AV867=0,"",IF(Registered!AV867=1,Registered!AV867&amp;" Meal",Registered!AV867&amp;" Meals"))</f>
        <v/>
      </c>
      <c r="AX867" s="2" t="str">
        <f>IF(Registered!AI867=0,"",Registered!AI867&amp;" BG")</f>
        <v/>
      </c>
      <c r="AY867" s="2" t="str">
        <f>IF(Registered!AG867=0,"",Registered!AG867&amp;" DustMask")</f>
        <v/>
      </c>
    </row>
    <row r="868" spans="1:51" customFormat="1" x14ac:dyDescent="0.25">
      <c r="A868" t="s">
        <v>4530</v>
      </c>
      <c r="B868" t="s">
        <v>4531</v>
      </c>
      <c r="C868" t="s">
        <v>6090</v>
      </c>
      <c r="G868" t="s">
        <v>3545</v>
      </c>
      <c r="H868" t="s">
        <v>3546</v>
      </c>
      <c r="I868" t="s">
        <v>3547</v>
      </c>
      <c r="J868" t="s">
        <v>37</v>
      </c>
      <c r="K868" t="s">
        <v>32</v>
      </c>
      <c r="L868" t="s">
        <v>35</v>
      </c>
      <c r="AQ868">
        <v>0</v>
      </c>
      <c r="AR868" s="3">
        <f t="shared" si="39"/>
        <v>0</v>
      </c>
      <c r="AS868" s="3">
        <f t="shared" si="40"/>
        <v>0</v>
      </c>
      <c r="AT868" s="3" t="str">
        <f>IF(OR(Registered!AM868&gt;0,Registered!AO868&gt;0),(IF(Registered!E868=0,"Size Not Specified",Registered!E868)),"")</f>
        <v/>
      </c>
      <c r="AU868" s="3" t="str">
        <f>IF(Registered!AE868=0,"",IF(Registered!AE868=1,Registered!AE868&amp;" Bandana",Registered!AE868&amp;" Bandanas"))</f>
        <v/>
      </c>
      <c r="AV868" s="3">
        <f t="shared" si="41"/>
        <v>0</v>
      </c>
      <c r="AW868" s="2" t="str">
        <f>IF(Registered!AV868=0,"",IF(Registered!AV868=1,Registered!AV868&amp;" Meal",Registered!AV868&amp;" Meals"))</f>
        <v/>
      </c>
      <c r="AX868" s="2" t="str">
        <f>IF(Registered!AI868=0,"",Registered!AI868&amp;" BG")</f>
        <v/>
      </c>
      <c r="AY868" s="2" t="str">
        <f>IF(Registered!AG868=0,"",Registered!AG868&amp;" DustMask")</f>
        <v/>
      </c>
    </row>
    <row r="869" spans="1:51" customFormat="1" x14ac:dyDescent="0.25">
      <c r="A869" t="s">
        <v>1392</v>
      </c>
      <c r="B869" t="s">
        <v>350</v>
      </c>
      <c r="C869" t="s">
        <v>6090</v>
      </c>
      <c r="G869" t="s">
        <v>185</v>
      </c>
      <c r="H869" t="s">
        <v>259</v>
      </c>
      <c r="I869" t="s">
        <v>677</v>
      </c>
      <c r="J869" t="s">
        <v>37</v>
      </c>
      <c r="K869" t="s">
        <v>32</v>
      </c>
      <c r="L869" t="s">
        <v>35</v>
      </c>
      <c r="AQ869">
        <v>0</v>
      </c>
      <c r="AR869" s="3">
        <f t="shared" si="39"/>
        <v>0</v>
      </c>
      <c r="AS869" s="3">
        <f t="shared" si="40"/>
        <v>0</v>
      </c>
      <c r="AT869" s="3" t="str">
        <f>IF(OR(Registered!AM869&gt;0,Registered!AO869&gt;0),(IF(Registered!E869=0,"Size Not Specified",Registered!E869)),"")</f>
        <v/>
      </c>
      <c r="AU869" s="3" t="str">
        <f>IF(Registered!AE869=0,"",IF(Registered!AE869=1,Registered!AE869&amp;" Bandana",Registered!AE869&amp;" Bandanas"))</f>
        <v/>
      </c>
      <c r="AV869" s="3">
        <f t="shared" si="41"/>
        <v>0</v>
      </c>
      <c r="AW869" s="2" t="str">
        <f>IF(Registered!AV869=0,"",IF(Registered!AV869=1,Registered!AV869&amp;" Meal",Registered!AV869&amp;" Meals"))</f>
        <v/>
      </c>
      <c r="AX869" s="2" t="str">
        <f>IF(Registered!AI869=0,"",Registered!AI869&amp;" BG")</f>
        <v/>
      </c>
      <c r="AY869" s="2" t="str">
        <f>IF(Registered!AG869=0,"",Registered!AG869&amp;" DustMask")</f>
        <v/>
      </c>
    </row>
    <row r="870" spans="1:51" customFormat="1" x14ac:dyDescent="0.25">
      <c r="A870" t="s">
        <v>47</v>
      </c>
      <c r="B870" t="s">
        <v>1399</v>
      </c>
      <c r="C870" t="s">
        <v>6090</v>
      </c>
      <c r="D870" t="s">
        <v>1400</v>
      </c>
      <c r="F870" t="s">
        <v>261</v>
      </c>
      <c r="I870" t="s">
        <v>1401</v>
      </c>
      <c r="J870" t="s">
        <v>37</v>
      </c>
      <c r="K870" t="s">
        <v>32</v>
      </c>
      <c r="L870" t="s">
        <v>35</v>
      </c>
      <c r="S870">
        <v>2</v>
      </c>
      <c r="T870">
        <v>3</v>
      </c>
      <c r="AC870">
        <v>1</v>
      </c>
      <c r="AD870">
        <v>10</v>
      </c>
      <c r="AQ870">
        <v>16</v>
      </c>
      <c r="AR870" s="3">
        <f t="shared" si="39"/>
        <v>5</v>
      </c>
      <c r="AS870" s="3">
        <f t="shared" si="40"/>
        <v>0</v>
      </c>
      <c r="AT870" s="3" t="str">
        <f>IF(OR(Registered!AM870&gt;0,Registered!AO870&gt;0),(IF(Registered!E870=0,"Size Not Specified",Registered!E870)),"")</f>
        <v/>
      </c>
      <c r="AU870" s="3" t="str">
        <f>IF(Registered!AE870=0,"",IF(Registered!AE870=1,Registered!AE870&amp;" Bandana",Registered!AE870&amp;" Bandanas"))</f>
        <v/>
      </c>
      <c r="AV870" s="3">
        <f t="shared" si="41"/>
        <v>0</v>
      </c>
      <c r="AW870" s="2" t="str">
        <f>IF(Registered!AV870=0,"",IF(Registered!AV870=1,Registered!AV870&amp;" Meal",Registered!AV870&amp;" Meals"))</f>
        <v/>
      </c>
      <c r="AX870" s="2" t="str">
        <f>IF(Registered!AI870=0,"",Registered!AI870&amp;" BG")</f>
        <v/>
      </c>
      <c r="AY870" s="2" t="str">
        <f>IF(Registered!AG870=0,"",Registered!AG870&amp;" DustMask")</f>
        <v/>
      </c>
    </row>
    <row r="871" spans="1:51" customFormat="1" x14ac:dyDescent="0.25">
      <c r="A871" t="s">
        <v>4532</v>
      </c>
      <c r="B871" t="s">
        <v>4533</v>
      </c>
      <c r="C871" t="s">
        <v>6090</v>
      </c>
      <c r="D871" t="s">
        <v>4532</v>
      </c>
      <c r="F871" t="s">
        <v>261</v>
      </c>
      <c r="I871" t="s">
        <v>4534</v>
      </c>
      <c r="J871" t="s">
        <v>37</v>
      </c>
      <c r="K871" t="s">
        <v>32</v>
      </c>
      <c r="L871" t="s">
        <v>35</v>
      </c>
      <c r="Q871">
        <v>1</v>
      </c>
      <c r="R871">
        <v>3</v>
      </c>
      <c r="AC871">
        <v>1</v>
      </c>
      <c r="AD871">
        <v>10</v>
      </c>
      <c r="AQ871">
        <v>13</v>
      </c>
      <c r="AR871" s="3">
        <f t="shared" si="39"/>
        <v>5</v>
      </c>
      <c r="AS871" s="3">
        <f t="shared" si="40"/>
        <v>0</v>
      </c>
      <c r="AT871" s="3" t="str">
        <f>IF(OR(Registered!AM871&gt;0,Registered!AO871&gt;0),(IF(Registered!E871=0,"Size Not Specified",Registered!E871)),"")</f>
        <v/>
      </c>
      <c r="AU871" s="3" t="str">
        <f>IF(Registered!AE871=0,"",IF(Registered!AE871=1,Registered!AE871&amp;" Bandana",Registered!AE871&amp;" Bandanas"))</f>
        <v/>
      </c>
      <c r="AV871" s="3">
        <f t="shared" si="41"/>
        <v>0</v>
      </c>
      <c r="AW871" s="2" t="str">
        <f>IF(Registered!AV871=0,"",IF(Registered!AV871=1,Registered!AV871&amp;" Meal",Registered!AV871&amp;" Meals"))</f>
        <v/>
      </c>
      <c r="AX871" s="2" t="str">
        <f>IF(Registered!AI871=0,"",Registered!AI871&amp;" BG")</f>
        <v/>
      </c>
      <c r="AY871" s="2" t="str">
        <f>IF(Registered!AG871=0,"",Registered!AG871&amp;" DustMask")</f>
        <v/>
      </c>
    </row>
    <row r="872" spans="1:51" customFormat="1" x14ac:dyDescent="0.25">
      <c r="A872" t="s">
        <v>50</v>
      </c>
      <c r="B872" t="s">
        <v>3595</v>
      </c>
      <c r="C872" t="s">
        <v>6090</v>
      </c>
      <c r="D872" t="s">
        <v>4535</v>
      </c>
      <c r="F872" t="s">
        <v>261</v>
      </c>
      <c r="I872" t="s">
        <v>3709</v>
      </c>
      <c r="J872" t="s">
        <v>37</v>
      </c>
      <c r="K872" t="s">
        <v>32</v>
      </c>
      <c r="L872" t="s">
        <v>35</v>
      </c>
      <c r="Q872">
        <v>2</v>
      </c>
      <c r="R872">
        <v>3</v>
      </c>
      <c r="AC872">
        <v>1</v>
      </c>
      <c r="AD872">
        <v>10</v>
      </c>
      <c r="AQ872">
        <v>16</v>
      </c>
      <c r="AR872" s="3">
        <f t="shared" si="39"/>
        <v>5</v>
      </c>
      <c r="AS872" s="3">
        <f t="shared" si="40"/>
        <v>0</v>
      </c>
      <c r="AT872" s="3" t="str">
        <f>IF(OR(Registered!AM872&gt;0,Registered!AO872&gt;0),(IF(Registered!E872=0,"Size Not Specified",Registered!E872)),"")</f>
        <v/>
      </c>
      <c r="AU872" s="3" t="str">
        <f>IF(Registered!AE872=0,"",IF(Registered!AE872=1,Registered!AE872&amp;" Bandana",Registered!AE872&amp;" Bandanas"))</f>
        <v/>
      </c>
      <c r="AV872" s="3">
        <f t="shared" si="41"/>
        <v>0</v>
      </c>
      <c r="AW872" s="2" t="str">
        <f>IF(Registered!AV872=0,"",IF(Registered!AV872=1,Registered!AV872&amp;" Meal",Registered!AV872&amp;" Meals"))</f>
        <v/>
      </c>
      <c r="AX872" s="2" t="str">
        <f>IF(Registered!AI872=0,"",Registered!AI872&amp;" BG")</f>
        <v/>
      </c>
      <c r="AY872" s="2" t="str">
        <f>IF(Registered!AG872=0,"",Registered!AG872&amp;" DustMask")</f>
        <v/>
      </c>
    </row>
    <row r="873" spans="1:51" customFormat="1" x14ac:dyDescent="0.25">
      <c r="A873" t="s">
        <v>1225</v>
      </c>
      <c r="B873" t="s">
        <v>3595</v>
      </c>
      <c r="C873" t="s">
        <v>6090</v>
      </c>
      <c r="G873" t="s">
        <v>3594</v>
      </c>
      <c r="H873" t="s">
        <v>3595</v>
      </c>
      <c r="I873" t="s">
        <v>3596</v>
      </c>
      <c r="J873" t="s">
        <v>37</v>
      </c>
      <c r="K873" t="s">
        <v>32</v>
      </c>
      <c r="L873" t="s">
        <v>35</v>
      </c>
      <c r="AQ873">
        <v>0</v>
      </c>
      <c r="AR873" s="3">
        <f t="shared" si="39"/>
        <v>0</v>
      </c>
      <c r="AS873" s="3">
        <f t="shared" si="40"/>
        <v>0</v>
      </c>
      <c r="AT873" s="3" t="str">
        <f>IF(OR(Registered!AM873&gt;0,Registered!AO873&gt;0),(IF(Registered!E873=0,"Size Not Specified",Registered!E873)),"")</f>
        <v/>
      </c>
      <c r="AU873" s="3" t="str">
        <f>IF(Registered!AE873=0,"",IF(Registered!AE873=1,Registered!AE873&amp;" Bandana",Registered!AE873&amp;" Bandanas"))</f>
        <v/>
      </c>
      <c r="AV873" s="3">
        <f t="shared" si="41"/>
        <v>0</v>
      </c>
      <c r="AW873" s="2" t="str">
        <f>IF(Registered!AV873=0,"",IF(Registered!AV873=1,Registered!AV873&amp;" Meal",Registered!AV873&amp;" Meals"))</f>
        <v/>
      </c>
      <c r="AX873" s="2" t="str">
        <f>IF(Registered!AI873=0,"",Registered!AI873&amp;" BG")</f>
        <v/>
      </c>
      <c r="AY873" s="2" t="str">
        <f>IF(Registered!AG873=0,"",Registered!AG873&amp;" DustMask")</f>
        <v/>
      </c>
    </row>
    <row r="874" spans="1:51" customFormat="1" x14ac:dyDescent="0.25">
      <c r="A874" t="s">
        <v>3594</v>
      </c>
      <c r="B874" t="s">
        <v>3595</v>
      </c>
      <c r="C874" t="s">
        <v>6090</v>
      </c>
      <c r="D874" t="s">
        <v>3594</v>
      </c>
      <c r="F874" t="s">
        <v>261</v>
      </c>
      <c r="I874" t="s">
        <v>3596</v>
      </c>
      <c r="J874" t="s">
        <v>37</v>
      </c>
      <c r="K874" t="s">
        <v>32</v>
      </c>
      <c r="L874" t="s">
        <v>35</v>
      </c>
      <c r="Q874">
        <v>5</v>
      </c>
      <c r="R874">
        <v>3</v>
      </c>
      <c r="Y874">
        <v>1</v>
      </c>
      <c r="Z874">
        <v>60</v>
      </c>
      <c r="AK874">
        <v>4</v>
      </c>
      <c r="AL874">
        <v>6</v>
      </c>
      <c r="AQ874">
        <v>99</v>
      </c>
      <c r="AR874" s="3">
        <f t="shared" si="39"/>
        <v>30</v>
      </c>
      <c r="AS874" s="3">
        <f t="shared" si="40"/>
        <v>0</v>
      </c>
      <c r="AT874" s="3" t="str">
        <f>IF(OR(Registered!AM874&gt;0,Registered!AO874&gt;0),(IF(Registered!E874=0,"Size Not Specified",Registered!E874)),"")</f>
        <v/>
      </c>
      <c r="AU874" s="3" t="str">
        <f>IF(Registered!AE874=0,"",IF(Registered!AE874=1,Registered!AE874&amp;" Bandana",Registered!AE874&amp;" Bandanas"))</f>
        <v/>
      </c>
      <c r="AV874" s="3">
        <f t="shared" si="41"/>
        <v>4</v>
      </c>
      <c r="AW874" s="2" t="str">
        <f>IF(Registered!AV874=0,"",IF(Registered!AV874=1,Registered!AV874&amp;" Meal",Registered!AV874&amp;" Meals"))</f>
        <v>4 Meals</v>
      </c>
      <c r="AX874" s="2" t="str">
        <f>IF(Registered!AI874=0,"",Registered!AI874&amp;" BG")</f>
        <v/>
      </c>
      <c r="AY874" s="2" t="str">
        <f>IF(Registered!AG874=0,"",Registered!AG874&amp;" DustMask")</f>
        <v/>
      </c>
    </row>
    <row r="875" spans="1:51" customFormat="1" x14ac:dyDescent="0.25">
      <c r="A875" t="s">
        <v>4536</v>
      </c>
      <c r="B875" t="s">
        <v>3595</v>
      </c>
      <c r="C875" t="s">
        <v>6090</v>
      </c>
      <c r="G875" t="s">
        <v>3594</v>
      </c>
      <c r="H875" t="s">
        <v>3595</v>
      </c>
      <c r="I875" t="s">
        <v>3596</v>
      </c>
      <c r="J875" t="s">
        <v>37</v>
      </c>
      <c r="K875" t="s">
        <v>32</v>
      </c>
      <c r="L875" t="s">
        <v>35</v>
      </c>
      <c r="AQ875">
        <v>0</v>
      </c>
      <c r="AR875" s="3">
        <f t="shared" si="39"/>
        <v>0</v>
      </c>
      <c r="AS875" s="3">
        <f t="shared" si="40"/>
        <v>0</v>
      </c>
      <c r="AT875" s="3" t="str">
        <f>IF(OR(Registered!AM875&gt;0,Registered!AO875&gt;0),(IF(Registered!E875=0,"Size Not Specified",Registered!E875)),"")</f>
        <v/>
      </c>
      <c r="AU875" s="3" t="str">
        <f>IF(Registered!AE875=0,"",IF(Registered!AE875=1,Registered!AE875&amp;" Bandana",Registered!AE875&amp;" Bandanas"))</f>
        <v/>
      </c>
      <c r="AV875" s="3">
        <f t="shared" si="41"/>
        <v>0</v>
      </c>
      <c r="AW875" s="2" t="str">
        <f>IF(Registered!AV875=0,"",IF(Registered!AV875=1,Registered!AV875&amp;" Meal",Registered!AV875&amp;" Meals"))</f>
        <v/>
      </c>
      <c r="AX875" s="2" t="str">
        <f>IF(Registered!AI875=0,"",Registered!AI875&amp;" BG")</f>
        <v/>
      </c>
      <c r="AY875" s="2" t="str">
        <f>IF(Registered!AG875=0,"",Registered!AG875&amp;" DustMask")</f>
        <v/>
      </c>
    </row>
    <row r="876" spans="1:51" customFormat="1" x14ac:dyDescent="0.25">
      <c r="A876" t="s">
        <v>1371</v>
      </c>
      <c r="B876" t="s">
        <v>1402</v>
      </c>
      <c r="C876" t="s">
        <v>6090</v>
      </c>
      <c r="G876" t="s">
        <v>91</v>
      </c>
      <c r="H876" t="s">
        <v>1037</v>
      </c>
      <c r="I876" t="s">
        <v>1370</v>
      </c>
      <c r="J876" t="s">
        <v>37</v>
      </c>
      <c r="K876" t="s">
        <v>32</v>
      </c>
      <c r="L876" t="s">
        <v>35</v>
      </c>
      <c r="AQ876">
        <v>0</v>
      </c>
      <c r="AR876" s="3">
        <f t="shared" si="39"/>
        <v>0</v>
      </c>
      <c r="AS876" s="3">
        <f t="shared" si="40"/>
        <v>0</v>
      </c>
      <c r="AT876" s="3" t="str">
        <f>IF(OR(Registered!AM876&gt;0,Registered!AO876&gt;0),(IF(Registered!E876=0,"Size Not Specified",Registered!E876)),"")</f>
        <v/>
      </c>
      <c r="AU876" s="3" t="str">
        <f>IF(Registered!AE876=0,"",IF(Registered!AE876=1,Registered!AE876&amp;" Bandana",Registered!AE876&amp;" Bandanas"))</f>
        <v/>
      </c>
      <c r="AV876" s="3">
        <f t="shared" si="41"/>
        <v>0</v>
      </c>
      <c r="AW876" s="2" t="str">
        <f>IF(Registered!AV876=0,"",IF(Registered!AV876=1,Registered!AV876&amp;" Meal",Registered!AV876&amp;" Meals"))</f>
        <v/>
      </c>
      <c r="AX876" s="2" t="str">
        <f>IF(Registered!AI876=0,"",Registered!AI876&amp;" BG")</f>
        <v/>
      </c>
      <c r="AY876" s="2" t="str">
        <f>IF(Registered!AG876=0,"",Registered!AG876&amp;" DustMask")</f>
        <v/>
      </c>
    </row>
    <row r="877" spans="1:51" customFormat="1" x14ac:dyDescent="0.25">
      <c r="A877" t="s">
        <v>4539</v>
      </c>
      <c r="B877" t="s">
        <v>4540</v>
      </c>
      <c r="C877" t="s">
        <v>6090</v>
      </c>
      <c r="G877" t="s">
        <v>3430</v>
      </c>
      <c r="H877" t="s">
        <v>4541</v>
      </c>
      <c r="I877" t="s">
        <v>4542</v>
      </c>
      <c r="J877" t="s">
        <v>37</v>
      </c>
      <c r="K877" t="s">
        <v>32</v>
      </c>
      <c r="L877" t="s">
        <v>35</v>
      </c>
      <c r="AQ877">
        <v>0</v>
      </c>
      <c r="AR877" s="3">
        <f t="shared" si="39"/>
        <v>0</v>
      </c>
      <c r="AS877" s="3">
        <f t="shared" si="40"/>
        <v>0</v>
      </c>
      <c r="AT877" s="3" t="str">
        <f>IF(OR(Registered!AM877&gt;0,Registered!AO877&gt;0),(IF(Registered!E877=0,"Size Not Specified",Registered!E877)),"")</f>
        <v/>
      </c>
      <c r="AU877" s="3" t="str">
        <f>IF(Registered!AE877=0,"",IF(Registered!AE877=1,Registered!AE877&amp;" Bandana",Registered!AE877&amp;" Bandanas"))</f>
        <v/>
      </c>
      <c r="AV877" s="3">
        <f t="shared" si="41"/>
        <v>0</v>
      </c>
      <c r="AW877" s="2" t="str">
        <f>IF(Registered!AV877=0,"",IF(Registered!AV877=1,Registered!AV877&amp;" Meal",Registered!AV877&amp;" Meals"))</f>
        <v/>
      </c>
      <c r="AX877" s="2" t="str">
        <f>IF(Registered!AI877=0,"",Registered!AI877&amp;" BG")</f>
        <v/>
      </c>
      <c r="AY877" s="2" t="str">
        <f>IF(Registered!AG877=0,"",Registered!AG877&amp;" DustMask")</f>
        <v/>
      </c>
    </row>
    <row r="878" spans="1:51" customFormat="1" x14ac:dyDescent="0.25">
      <c r="A878" t="s">
        <v>4550</v>
      </c>
      <c r="B878" t="s">
        <v>4551</v>
      </c>
      <c r="C878" t="s">
        <v>6090</v>
      </c>
      <c r="G878" t="s">
        <v>3739</v>
      </c>
      <c r="H878" t="s">
        <v>3740</v>
      </c>
      <c r="I878" t="s">
        <v>3742</v>
      </c>
      <c r="J878" t="s">
        <v>37</v>
      </c>
      <c r="K878" t="s">
        <v>32</v>
      </c>
      <c r="L878" t="s">
        <v>35</v>
      </c>
      <c r="AQ878">
        <v>0</v>
      </c>
      <c r="AR878" s="3">
        <f t="shared" si="39"/>
        <v>0</v>
      </c>
      <c r="AS878" s="3">
        <f t="shared" si="40"/>
        <v>0</v>
      </c>
      <c r="AT878" s="3" t="str">
        <f>IF(OR(Registered!AM878&gt;0,Registered!AO878&gt;0),(IF(Registered!E878=0,"Size Not Specified",Registered!E878)),"")</f>
        <v/>
      </c>
      <c r="AU878" s="3" t="str">
        <f>IF(Registered!AE878=0,"",IF(Registered!AE878=1,Registered!AE878&amp;" Bandana",Registered!AE878&amp;" Bandanas"))</f>
        <v/>
      </c>
      <c r="AV878" s="3">
        <f t="shared" si="41"/>
        <v>0</v>
      </c>
      <c r="AW878" s="2" t="str">
        <f>IF(Registered!AV878=0,"",IF(Registered!AV878=1,Registered!AV878&amp;" Meal",Registered!AV878&amp;" Meals"))</f>
        <v/>
      </c>
      <c r="AX878" s="2" t="str">
        <f>IF(Registered!AI878=0,"",Registered!AI878&amp;" BG")</f>
        <v/>
      </c>
      <c r="AY878" s="2" t="str">
        <f>IF(Registered!AG878=0,"",Registered!AG878&amp;" DustMask")</f>
        <v/>
      </c>
    </row>
    <row r="879" spans="1:51" customFormat="1" x14ac:dyDescent="0.25">
      <c r="A879" t="s">
        <v>208</v>
      </c>
      <c r="B879" t="s">
        <v>1403</v>
      </c>
      <c r="C879" t="s">
        <v>6090</v>
      </c>
      <c r="G879" t="s">
        <v>42</v>
      </c>
      <c r="H879" t="s">
        <v>404</v>
      </c>
      <c r="I879" t="s">
        <v>1404</v>
      </c>
      <c r="J879" t="s">
        <v>37</v>
      </c>
      <c r="K879" t="s">
        <v>32</v>
      </c>
      <c r="L879" t="s">
        <v>35</v>
      </c>
      <c r="AQ879">
        <v>0</v>
      </c>
      <c r="AR879" s="3">
        <f t="shared" si="39"/>
        <v>0</v>
      </c>
      <c r="AS879" s="3">
        <f t="shared" si="40"/>
        <v>0</v>
      </c>
      <c r="AT879" s="3" t="str">
        <f>IF(OR(Registered!AM879&gt;0,Registered!AO879&gt;0),(IF(Registered!E879=0,"Size Not Specified",Registered!E879)),"")</f>
        <v/>
      </c>
      <c r="AU879" s="3" t="str">
        <f>IF(Registered!AE879=0,"",IF(Registered!AE879=1,Registered!AE879&amp;" Bandana",Registered!AE879&amp;" Bandanas"))</f>
        <v/>
      </c>
      <c r="AV879" s="3">
        <f t="shared" si="41"/>
        <v>0</v>
      </c>
      <c r="AW879" s="2" t="str">
        <f>IF(Registered!AV879=0,"",IF(Registered!AV879=1,Registered!AV879&amp;" Meal",Registered!AV879&amp;" Meals"))</f>
        <v/>
      </c>
      <c r="AX879" s="2" t="str">
        <f>IF(Registered!AI879=0,"",Registered!AI879&amp;" BG")</f>
        <v/>
      </c>
      <c r="AY879" s="2" t="str">
        <f>IF(Registered!AG879=0,"",Registered!AG879&amp;" DustMask")</f>
        <v/>
      </c>
    </row>
    <row r="880" spans="1:51" customFormat="1" x14ac:dyDescent="0.25">
      <c r="A880" t="s">
        <v>393</v>
      </c>
      <c r="B880" t="s">
        <v>421</v>
      </c>
      <c r="C880" t="s">
        <v>6090</v>
      </c>
      <c r="G880" t="s">
        <v>166</v>
      </c>
      <c r="H880" t="s">
        <v>421</v>
      </c>
      <c r="I880" t="s">
        <v>4552</v>
      </c>
      <c r="J880" t="s">
        <v>37</v>
      </c>
      <c r="K880" t="s">
        <v>32</v>
      </c>
      <c r="L880" t="s">
        <v>35</v>
      </c>
      <c r="AQ880">
        <v>0</v>
      </c>
      <c r="AR880" s="3">
        <f t="shared" si="39"/>
        <v>0</v>
      </c>
      <c r="AS880" s="3">
        <f t="shared" si="40"/>
        <v>0</v>
      </c>
      <c r="AT880" s="3" t="str">
        <f>IF(OR(Registered!AM880&gt;0,Registered!AO880&gt;0),(IF(Registered!E880=0,"Size Not Specified",Registered!E880)),"")</f>
        <v/>
      </c>
      <c r="AU880" s="3" t="str">
        <f>IF(Registered!AE880=0,"",IF(Registered!AE880=1,Registered!AE880&amp;" Bandana",Registered!AE880&amp;" Bandanas"))</f>
        <v/>
      </c>
      <c r="AV880" s="3">
        <f t="shared" si="41"/>
        <v>0</v>
      </c>
      <c r="AW880" s="2" t="str">
        <f>IF(Registered!AV880=0,"",IF(Registered!AV880=1,Registered!AV880&amp;" Meal",Registered!AV880&amp;" Meals"))</f>
        <v/>
      </c>
      <c r="AX880" s="2" t="str">
        <f>IF(Registered!AI880=0,"",Registered!AI880&amp;" BG")</f>
        <v/>
      </c>
      <c r="AY880" s="2" t="str">
        <f>IF(Registered!AG880=0,"",Registered!AG880&amp;" DustMask")</f>
        <v/>
      </c>
    </row>
    <row r="881" spans="1:51" customFormat="1" x14ac:dyDescent="0.25">
      <c r="A881" t="s">
        <v>166</v>
      </c>
      <c r="B881" t="s">
        <v>421</v>
      </c>
      <c r="C881" t="s">
        <v>6090</v>
      </c>
      <c r="D881" t="s">
        <v>166</v>
      </c>
      <c r="F881" t="s">
        <v>261</v>
      </c>
      <c r="I881" t="s">
        <v>4553</v>
      </c>
      <c r="J881" t="s">
        <v>37</v>
      </c>
      <c r="K881" t="s">
        <v>32</v>
      </c>
      <c r="L881" t="s">
        <v>35</v>
      </c>
      <c r="Q881">
        <v>3</v>
      </c>
      <c r="R881">
        <v>3</v>
      </c>
      <c r="W881">
        <v>1</v>
      </c>
      <c r="X881">
        <v>40</v>
      </c>
      <c r="AQ881">
        <v>49</v>
      </c>
      <c r="AR881" s="3">
        <f t="shared" si="39"/>
        <v>20</v>
      </c>
      <c r="AS881" s="3">
        <f t="shared" si="40"/>
        <v>0</v>
      </c>
      <c r="AT881" s="3" t="str">
        <f>IF(OR(Registered!AM881&gt;0,Registered!AO881&gt;0),(IF(Registered!E881=0,"Size Not Specified",Registered!E881)),"")</f>
        <v/>
      </c>
      <c r="AU881" s="3" t="str">
        <f>IF(Registered!AE881=0,"",IF(Registered!AE881=1,Registered!AE881&amp;" Bandana",Registered!AE881&amp;" Bandanas"))</f>
        <v/>
      </c>
      <c r="AV881" s="3">
        <f t="shared" si="41"/>
        <v>0</v>
      </c>
      <c r="AW881" s="2" t="str">
        <f>IF(Registered!AV881=0,"",IF(Registered!AV881=1,Registered!AV881&amp;" Meal",Registered!AV881&amp;" Meals"))</f>
        <v/>
      </c>
      <c r="AX881" s="2" t="str">
        <f>IF(Registered!AI881=0,"",Registered!AI881&amp;" BG")</f>
        <v/>
      </c>
      <c r="AY881" s="2" t="str">
        <f>IF(Registered!AG881=0,"",Registered!AG881&amp;" DustMask")</f>
        <v/>
      </c>
    </row>
    <row r="882" spans="1:51" customFormat="1" x14ac:dyDescent="0.25">
      <c r="A882" t="s">
        <v>125</v>
      </c>
      <c r="B882" t="s">
        <v>421</v>
      </c>
      <c r="C882" t="s">
        <v>6090</v>
      </c>
      <c r="G882" t="s">
        <v>792</v>
      </c>
      <c r="H882" t="s">
        <v>793</v>
      </c>
      <c r="I882" t="s">
        <v>794</v>
      </c>
      <c r="J882" t="s">
        <v>37</v>
      </c>
      <c r="K882" t="s">
        <v>32</v>
      </c>
      <c r="L882" t="s">
        <v>35</v>
      </c>
      <c r="AQ882">
        <v>0</v>
      </c>
      <c r="AR882" s="3">
        <f t="shared" si="39"/>
        <v>0</v>
      </c>
      <c r="AS882" s="3">
        <f t="shared" si="40"/>
        <v>0</v>
      </c>
      <c r="AT882" s="3" t="str">
        <f>IF(OR(Registered!AM882&gt;0,Registered!AO882&gt;0),(IF(Registered!E882=0,"Size Not Specified",Registered!E882)),"")</f>
        <v/>
      </c>
      <c r="AU882" s="3" t="str">
        <f>IF(Registered!AE882=0,"",IF(Registered!AE882=1,Registered!AE882&amp;" Bandana",Registered!AE882&amp;" Bandanas"))</f>
        <v/>
      </c>
      <c r="AV882" s="3">
        <f t="shared" si="41"/>
        <v>0</v>
      </c>
      <c r="AW882" s="2" t="str">
        <f>IF(Registered!AV882=0,"",IF(Registered!AV882=1,Registered!AV882&amp;" Meal",Registered!AV882&amp;" Meals"))</f>
        <v/>
      </c>
      <c r="AX882" s="2" t="str">
        <f>IF(Registered!AI882=0,"",Registered!AI882&amp;" BG")</f>
        <v/>
      </c>
      <c r="AY882" s="2" t="str">
        <f>IF(Registered!AG882=0,"",Registered!AG882&amp;" DustMask")</f>
        <v/>
      </c>
    </row>
    <row r="883" spans="1:51" customFormat="1" x14ac:dyDescent="0.25">
      <c r="A883" t="s">
        <v>81</v>
      </c>
      <c r="B883" t="s">
        <v>4558</v>
      </c>
      <c r="C883" t="s">
        <v>6090</v>
      </c>
      <c r="D883" t="s">
        <v>4559</v>
      </c>
      <c r="F883" t="s">
        <v>261</v>
      </c>
      <c r="I883" t="s">
        <v>4560</v>
      </c>
      <c r="J883" t="s">
        <v>37</v>
      </c>
      <c r="K883" t="s">
        <v>32</v>
      </c>
      <c r="L883" t="s">
        <v>35</v>
      </c>
      <c r="Q883">
        <v>1</v>
      </c>
      <c r="R883">
        <v>3</v>
      </c>
      <c r="AC883">
        <v>1</v>
      </c>
      <c r="AD883">
        <v>10</v>
      </c>
      <c r="AQ883">
        <v>13</v>
      </c>
      <c r="AR883" s="3">
        <f t="shared" si="39"/>
        <v>5</v>
      </c>
      <c r="AS883" s="3">
        <f t="shared" si="40"/>
        <v>0</v>
      </c>
      <c r="AT883" s="3" t="str">
        <f>IF(OR(Registered!AM883&gt;0,Registered!AO883&gt;0),(IF(Registered!E883=0,"Size Not Specified",Registered!E883)),"")</f>
        <v/>
      </c>
      <c r="AU883" s="3" t="str">
        <f>IF(Registered!AE883=0,"",IF(Registered!AE883=1,Registered!AE883&amp;" Bandana",Registered!AE883&amp;" Bandanas"))</f>
        <v/>
      </c>
      <c r="AV883" s="3">
        <f t="shared" si="41"/>
        <v>0</v>
      </c>
      <c r="AW883" s="2" t="str">
        <f>IF(Registered!AV883=0,"",IF(Registered!AV883=1,Registered!AV883&amp;" Meal",Registered!AV883&amp;" Meals"))</f>
        <v/>
      </c>
      <c r="AX883" s="2" t="str">
        <f>IF(Registered!AI883=0,"",Registered!AI883&amp;" BG")</f>
        <v/>
      </c>
      <c r="AY883" s="2" t="str">
        <f>IF(Registered!AG883=0,"",Registered!AG883&amp;" DustMask")</f>
        <v/>
      </c>
    </row>
    <row r="884" spans="1:51" customFormat="1" x14ac:dyDescent="0.25">
      <c r="A884" t="s">
        <v>203</v>
      </c>
      <c r="B884" t="s">
        <v>4561</v>
      </c>
      <c r="C884" t="s">
        <v>6090</v>
      </c>
      <c r="G884" t="s">
        <v>2582</v>
      </c>
      <c r="H884" t="s">
        <v>4562</v>
      </c>
      <c r="I884" t="s">
        <v>4563</v>
      </c>
      <c r="J884" t="s">
        <v>37</v>
      </c>
      <c r="K884" t="s">
        <v>32</v>
      </c>
      <c r="L884" t="s">
        <v>35</v>
      </c>
      <c r="AQ884">
        <v>0</v>
      </c>
      <c r="AR884" s="3">
        <f t="shared" si="39"/>
        <v>0</v>
      </c>
      <c r="AS884" s="3">
        <f t="shared" si="40"/>
        <v>0</v>
      </c>
      <c r="AT884" s="3" t="str">
        <f>IF(OR(Registered!AM884&gt;0,Registered!AO884&gt;0),(IF(Registered!E884=0,"Size Not Specified",Registered!E884)),"")</f>
        <v/>
      </c>
      <c r="AU884" s="3" t="str">
        <f>IF(Registered!AE884=0,"",IF(Registered!AE884=1,Registered!AE884&amp;" Bandana",Registered!AE884&amp;" Bandanas"))</f>
        <v/>
      </c>
      <c r="AV884" s="3">
        <f t="shared" si="41"/>
        <v>0</v>
      </c>
      <c r="AW884" s="2" t="str">
        <f>IF(Registered!AV884=0,"",IF(Registered!AV884=1,Registered!AV884&amp;" Meal",Registered!AV884&amp;" Meals"))</f>
        <v/>
      </c>
      <c r="AX884" s="2" t="str">
        <f>IF(Registered!AI884=0,"",Registered!AI884&amp;" BG")</f>
        <v/>
      </c>
      <c r="AY884" s="2" t="str">
        <f>IF(Registered!AG884=0,"",Registered!AG884&amp;" DustMask")</f>
        <v/>
      </c>
    </row>
    <row r="885" spans="1:51" customFormat="1" x14ac:dyDescent="0.25">
      <c r="A885" t="s">
        <v>2582</v>
      </c>
      <c r="B885" t="s">
        <v>4562</v>
      </c>
      <c r="C885" t="s">
        <v>6090</v>
      </c>
      <c r="D885" t="s">
        <v>4564</v>
      </c>
      <c r="E885" t="s">
        <v>4565</v>
      </c>
      <c r="F885" t="s">
        <v>261</v>
      </c>
      <c r="I885" t="s">
        <v>4563</v>
      </c>
      <c r="J885" t="s">
        <v>37</v>
      </c>
      <c r="K885" t="s">
        <v>32</v>
      </c>
      <c r="L885" t="s">
        <v>35</v>
      </c>
      <c r="Q885">
        <v>5</v>
      </c>
      <c r="R885">
        <v>3</v>
      </c>
      <c r="W885">
        <v>1</v>
      </c>
      <c r="X885">
        <v>40</v>
      </c>
      <c r="AO885">
        <v>4</v>
      </c>
      <c r="AP885">
        <v>10</v>
      </c>
      <c r="AQ885">
        <v>95</v>
      </c>
      <c r="AR885" s="3">
        <f t="shared" si="39"/>
        <v>20</v>
      </c>
      <c r="AS885" s="3">
        <f t="shared" si="40"/>
        <v>4</v>
      </c>
      <c r="AT885" s="3" t="str">
        <f>IF(OR(Registered!AM885&gt;0,Registered!AO885&gt;0),(IF(Registered!E885=0,"Size Not Specified",Registered!E885)),"")</f>
        <v>1 XL, 1 Large, 2 Medium</v>
      </c>
      <c r="AU885" s="3" t="str">
        <f>IF(Registered!AE885=0,"",IF(Registered!AE885=1,Registered!AE885&amp;" Bandana",Registered!AE885&amp;" Bandanas"))</f>
        <v/>
      </c>
      <c r="AV885" s="3">
        <f t="shared" si="41"/>
        <v>0</v>
      </c>
      <c r="AW885" s="2" t="str">
        <f>IF(Registered!AV885=0,"",IF(Registered!AV885=1,Registered!AV885&amp;" Meal",Registered!AV885&amp;" Meals"))</f>
        <v/>
      </c>
      <c r="AX885" s="2" t="str">
        <f>IF(Registered!AI885=0,"",Registered!AI885&amp;" BG")</f>
        <v/>
      </c>
      <c r="AY885" s="2" t="str">
        <f>IF(Registered!AG885=0,"",Registered!AG885&amp;" DustMask")</f>
        <v/>
      </c>
    </row>
    <row r="886" spans="1:51" customFormat="1" x14ac:dyDescent="0.25">
      <c r="A886" t="s">
        <v>1405</v>
      </c>
      <c r="B886" t="s">
        <v>1406</v>
      </c>
      <c r="C886" t="s">
        <v>6090</v>
      </c>
      <c r="D886" t="s">
        <v>1405</v>
      </c>
      <c r="F886" t="s">
        <v>261</v>
      </c>
      <c r="I886" t="s">
        <v>1407</v>
      </c>
      <c r="J886" t="s">
        <v>37</v>
      </c>
      <c r="K886" t="s">
        <v>32</v>
      </c>
      <c r="L886" t="s">
        <v>35</v>
      </c>
      <c r="Q886">
        <v>2</v>
      </c>
      <c r="R886">
        <v>3</v>
      </c>
      <c r="U886">
        <v>1</v>
      </c>
      <c r="V886">
        <v>20</v>
      </c>
      <c r="AE886">
        <v>1</v>
      </c>
      <c r="AF886">
        <v>6</v>
      </c>
      <c r="AQ886">
        <v>32</v>
      </c>
      <c r="AR886" s="3">
        <f t="shared" si="39"/>
        <v>10</v>
      </c>
      <c r="AS886" s="3">
        <f t="shared" si="40"/>
        <v>0</v>
      </c>
      <c r="AT886" s="3" t="str">
        <f>IF(OR(Registered!AM886&gt;0,Registered!AO886&gt;0),(IF(Registered!E886=0,"Size Not Specified",Registered!E886)),"")</f>
        <v/>
      </c>
      <c r="AU886" s="3" t="str">
        <f>IF(Registered!AE886=0,"",IF(Registered!AE886=1,Registered!AE886&amp;" Bandana",Registered!AE886&amp;" Bandanas"))</f>
        <v>1 Bandana</v>
      </c>
      <c r="AV886" s="3">
        <f t="shared" si="41"/>
        <v>0</v>
      </c>
      <c r="AW886" s="2" t="str">
        <f>IF(Registered!AV886=0,"",IF(Registered!AV886=1,Registered!AV886&amp;" Meal",Registered!AV886&amp;" Meals"))</f>
        <v/>
      </c>
      <c r="AX886" s="2" t="str">
        <f>IF(Registered!AI886=0,"",Registered!AI886&amp;" BG")</f>
        <v/>
      </c>
      <c r="AY886" s="2" t="str">
        <f>IF(Registered!AG886=0,"",Registered!AG886&amp;" DustMask")</f>
        <v/>
      </c>
    </row>
    <row r="887" spans="1:51" customFormat="1" x14ac:dyDescent="0.25">
      <c r="A887" t="s">
        <v>1408</v>
      </c>
      <c r="B887" t="s">
        <v>1406</v>
      </c>
      <c r="C887" t="s">
        <v>6090</v>
      </c>
      <c r="F887" t="s">
        <v>261</v>
      </c>
      <c r="I887" t="s">
        <v>1409</v>
      </c>
      <c r="J887" t="s">
        <v>37</v>
      </c>
      <c r="K887" t="s">
        <v>32</v>
      </c>
      <c r="L887" t="s">
        <v>35</v>
      </c>
      <c r="S887">
        <v>3</v>
      </c>
      <c r="T887">
        <v>3</v>
      </c>
      <c r="AC887">
        <v>1</v>
      </c>
      <c r="AD887">
        <v>10</v>
      </c>
      <c r="AQ887">
        <v>19</v>
      </c>
      <c r="AR887" s="3">
        <f t="shared" si="39"/>
        <v>5</v>
      </c>
      <c r="AS887" s="3">
        <f t="shared" si="40"/>
        <v>0</v>
      </c>
      <c r="AT887" s="3" t="str">
        <f>IF(OR(Registered!AM887&gt;0,Registered!AO887&gt;0),(IF(Registered!E887=0,"Size Not Specified",Registered!E887)),"")</f>
        <v/>
      </c>
      <c r="AU887" s="3" t="str">
        <f>IF(Registered!AE887=0,"",IF(Registered!AE887=1,Registered!AE887&amp;" Bandana",Registered!AE887&amp;" Bandanas"))</f>
        <v/>
      </c>
      <c r="AV887" s="3">
        <f t="shared" si="41"/>
        <v>0</v>
      </c>
      <c r="AW887" s="2" t="str">
        <f>IF(Registered!AV887=0,"",IF(Registered!AV887=1,Registered!AV887&amp;" Meal",Registered!AV887&amp;" Meals"))</f>
        <v/>
      </c>
      <c r="AX887" s="2" t="str">
        <f>IF(Registered!AI887=0,"",Registered!AI887&amp;" BG")</f>
        <v/>
      </c>
      <c r="AY887" s="2" t="str">
        <f>IF(Registered!AG887=0,"",Registered!AG887&amp;" DustMask")</f>
        <v/>
      </c>
    </row>
    <row r="888" spans="1:51" customFormat="1" x14ac:dyDescent="0.25">
      <c r="A888" t="s">
        <v>1410</v>
      </c>
      <c r="B888" t="s">
        <v>1406</v>
      </c>
      <c r="C888" t="s">
        <v>6090</v>
      </c>
      <c r="G888" t="s">
        <v>1405</v>
      </c>
      <c r="H888" t="s">
        <v>1406</v>
      </c>
      <c r="I888" t="s">
        <v>1407</v>
      </c>
      <c r="J888" t="s">
        <v>37</v>
      </c>
      <c r="K888" t="s">
        <v>32</v>
      </c>
      <c r="L888" t="s">
        <v>35</v>
      </c>
      <c r="AQ888">
        <v>0</v>
      </c>
      <c r="AR888" s="3">
        <f t="shared" si="39"/>
        <v>0</v>
      </c>
      <c r="AS888" s="3">
        <f t="shared" si="40"/>
        <v>0</v>
      </c>
      <c r="AT888" s="3" t="str">
        <f>IF(OR(Registered!AM888&gt;0,Registered!AO888&gt;0),(IF(Registered!E888=0,"Size Not Specified",Registered!E888)),"")</f>
        <v/>
      </c>
      <c r="AU888" s="3" t="str">
        <f>IF(Registered!AE888=0,"",IF(Registered!AE888=1,Registered!AE888&amp;" Bandana",Registered!AE888&amp;" Bandanas"))</f>
        <v/>
      </c>
      <c r="AV888" s="3">
        <f t="shared" si="41"/>
        <v>0</v>
      </c>
      <c r="AW888" s="2" t="str">
        <f>IF(Registered!AV888=0,"",IF(Registered!AV888=1,Registered!AV888&amp;" Meal",Registered!AV888&amp;" Meals"))</f>
        <v/>
      </c>
      <c r="AX888" s="2" t="str">
        <f>IF(Registered!AI888=0,"",Registered!AI888&amp;" BG")</f>
        <v/>
      </c>
      <c r="AY888" s="2" t="str">
        <f>IF(Registered!AG888=0,"",Registered!AG888&amp;" DustMask")</f>
        <v/>
      </c>
    </row>
    <row r="889" spans="1:51" customFormat="1" x14ac:dyDescent="0.25">
      <c r="A889" t="s">
        <v>60</v>
      </c>
      <c r="B889" t="s">
        <v>1406</v>
      </c>
      <c r="C889" t="s">
        <v>6090</v>
      </c>
      <c r="G889" t="s">
        <v>94</v>
      </c>
      <c r="H889" t="s">
        <v>1406</v>
      </c>
      <c r="I889" t="s">
        <v>4566</v>
      </c>
      <c r="J889" t="s">
        <v>37</v>
      </c>
      <c r="K889" t="s">
        <v>32</v>
      </c>
      <c r="L889" t="s">
        <v>35</v>
      </c>
      <c r="AQ889">
        <v>0</v>
      </c>
      <c r="AR889" s="3">
        <f t="shared" si="39"/>
        <v>0</v>
      </c>
      <c r="AS889" s="3">
        <f t="shared" si="40"/>
        <v>0</v>
      </c>
      <c r="AT889" s="3" t="str">
        <f>IF(OR(Registered!AM889&gt;0,Registered!AO889&gt;0),(IF(Registered!E889=0,"Size Not Specified",Registered!E889)),"")</f>
        <v/>
      </c>
      <c r="AU889" s="3" t="str">
        <f>IF(Registered!AE889=0,"",IF(Registered!AE889=1,Registered!AE889&amp;" Bandana",Registered!AE889&amp;" Bandanas"))</f>
        <v/>
      </c>
      <c r="AV889" s="3">
        <f t="shared" si="41"/>
        <v>0</v>
      </c>
      <c r="AW889" s="2" t="str">
        <f>IF(Registered!AV889=0,"",IF(Registered!AV889=1,Registered!AV889&amp;" Meal",Registered!AV889&amp;" Meals"))</f>
        <v/>
      </c>
      <c r="AX889" s="2" t="str">
        <f>IF(Registered!AI889=0,"",Registered!AI889&amp;" BG")</f>
        <v/>
      </c>
      <c r="AY889" s="2" t="str">
        <f>IF(Registered!AG889=0,"",Registered!AG889&amp;" DustMask")</f>
        <v/>
      </c>
    </row>
    <row r="890" spans="1:51" customFormat="1" x14ac:dyDescent="0.25">
      <c r="A890" t="s">
        <v>263</v>
      </c>
      <c r="B890" t="s">
        <v>1406</v>
      </c>
      <c r="C890" t="s">
        <v>6090</v>
      </c>
      <c r="G890" t="s">
        <v>4467</v>
      </c>
      <c r="H890" t="s">
        <v>4468</v>
      </c>
      <c r="I890" t="s">
        <v>4471</v>
      </c>
      <c r="J890" t="s">
        <v>37</v>
      </c>
      <c r="K890" t="s">
        <v>32</v>
      </c>
      <c r="L890" t="s">
        <v>35</v>
      </c>
      <c r="AQ890">
        <v>0</v>
      </c>
      <c r="AR890" s="3">
        <f t="shared" si="39"/>
        <v>0</v>
      </c>
      <c r="AS890" s="3">
        <f t="shared" si="40"/>
        <v>0</v>
      </c>
      <c r="AT890" s="3" t="str">
        <f>IF(OR(Registered!AM890&gt;0,Registered!AO890&gt;0),(IF(Registered!E890=0,"Size Not Specified",Registered!E890)),"")</f>
        <v/>
      </c>
      <c r="AU890" s="3" t="str">
        <f>IF(Registered!AE890=0,"",IF(Registered!AE890=1,Registered!AE890&amp;" Bandana",Registered!AE890&amp;" Bandanas"))</f>
        <v/>
      </c>
      <c r="AV890" s="3">
        <f t="shared" si="41"/>
        <v>0</v>
      </c>
      <c r="AW890" s="2" t="str">
        <f>IF(Registered!AV890=0,"",IF(Registered!AV890=1,Registered!AV890&amp;" Meal",Registered!AV890&amp;" Meals"))</f>
        <v/>
      </c>
      <c r="AX890" s="2" t="str">
        <f>IF(Registered!AI890=0,"",Registered!AI890&amp;" BG")</f>
        <v/>
      </c>
      <c r="AY890" s="2" t="str">
        <f>IF(Registered!AG890=0,"",Registered!AG890&amp;" DustMask")</f>
        <v/>
      </c>
    </row>
    <row r="891" spans="1:51" customFormat="1" x14ac:dyDescent="0.25">
      <c r="A891" t="s">
        <v>94</v>
      </c>
      <c r="B891" t="s">
        <v>1406</v>
      </c>
      <c r="C891" t="s">
        <v>6090</v>
      </c>
      <c r="D891" t="s">
        <v>4567</v>
      </c>
      <c r="F891" t="s">
        <v>261</v>
      </c>
      <c r="I891" t="s">
        <v>4566</v>
      </c>
      <c r="J891" t="s">
        <v>37</v>
      </c>
      <c r="K891" t="s">
        <v>32</v>
      </c>
      <c r="L891" t="s">
        <v>35</v>
      </c>
      <c r="Q891">
        <v>2</v>
      </c>
      <c r="R891">
        <v>3</v>
      </c>
      <c r="U891">
        <v>1</v>
      </c>
      <c r="V891">
        <v>20</v>
      </c>
      <c r="AQ891">
        <v>26</v>
      </c>
      <c r="AR891" s="3">
        <f t="shared" si="39"/>
        <v>10</v>
      </c>
      <c r="AS891" s="3">
        <f t="shared" si="40"/>
        <v>0</v>
      </c>
      <c r="AT891" s="3" t="str">
        <f>IF(OR(Registered!AM891&gt;0,Registered!AO891&gt;0),(IF(Registered!E891=0,"Size Not Specified",Registered!E891)),"")</f>
        <v/>
      </c>
      <c r="AU891" s="3" t="str">
        <f>IF(Registered!AE891=0,"",IF(Registered!AE891=1,Registered!AE891&amp;" Bandana",Registered!AE891&amp;" Bandanas"))</f>
        <v/>
      </c>
      <c r="AV891" s="3">
        <f t="shared" si="41"/>
        <v>0</v>
      </c>
      <c r="AW891" s="2" t="str">
        <f>IF(Registered!AV891=0,"",IF(Registered!AV891=1,Registered!AV891&amp;" Meal",Registered!AV891&amp;" Meals"))</f>
        <v/>
      </c>
      <c r="AX891" s="2" t="str">
        <f>IF(Registered!AI891=0,"",Registered!AI891&amp;" BG")</f>
        <v/>
      </c>
      <c r="AY891" s="2" t="str">
        <f>IF(Registered!AG891=0,"",Registered!AG891&amp;" DustMask")</f>
        <v/>
      </c>
    </row>
    <row r="892" spans="1:51" customFormat="1" x14ac:dyDescent="0.25">
      <c r="A892" t="s">
        <v>136</v>
      </c>
      <c r="B892" t="s">
        <v>1406</v>
      </c>
      <c r="C892" t="s">
        <v>6090</v>
      </c>
      <c r="D892" t="s">
        <v>4568</v>
      </c>
      <c r="F892" t="s">
        <v>261</v>
      </c>
      <c r="I892" t="s">
        <v>4428</v>
      </c>
      <c r="J892" t="s">
        <v>37</v>
      </c>
      <c r="K892" t="s">
        <v>32</v>
      </c>
      <c r="L892" t="s">
        <v>35</v>
      </c>
      <c r="Q892">
        <v>2</v>
      </c>
      <c r="R892">
        <v>3</v>
      </c>
      <c r="U892">
        <v>1</v>
      </c>
      <c r="V892">
        <v>20</v>
      </c>
      <c r="AQ892">
        <v>26</v>
      </c>
      <c r="AR892" s="3">
        <f t="shared" si="39"/>
        <v>10</v>
      </c>
      <c r="AS892" s="3">
        <f t="shared" si="40"/>
        <v>0</v>
      </c>
      <c r="AT892" s="3" t="str">
        <f>IF(OR(Registered!AM892&gt;0,Registered!AO892&gt;0),(IF(Registered!E892=0,"Size Not Specified",Registered!E892)),"")</f>
        <v/>
      </c>
      <c r="AU892" s="3" t="str">
        <f>IF(Registered!AE892=0,"",IF(Registered!AE892=1,Registered!AE892&amp;" Bandana",Registered!AE892&amp;" Bandanas"))</f>
        <v/>
      </c>
      <c r="AV892" s="3">
        <f t="shared" si="41"/>
        <v>0</v>
      </c>
      <c r="AW892" s="2" t="str">
        <f>IF(Registered!AV892=0,"",IF(Registered!AV892=1,Registered!AV892&amp;" Meal",Registered!AV892&amp;" Meals"))</f>
        <v/>
      </c>
      <c r="AX892" s="2" t="str">
        <f>IF(Registered!AI892=0,"",Registered!AI892&amp;" BG")</f>
        <v/>
      </c>
      <c r="AY892" s="2" t="str">
        <f>IF(Registered!AG892=0,"",Registered!AG892&amp;" DustMask")</f>
        <v/>
      </c>
    </row>
    <row r="893" spans="1:51" customFormat="1" x14ac:dyDescent="0.25">
      <c r="A893" t="s">
        <v>770</v>
      </c>
      <c r="B893" t="s">
        <v>1406</v>
      </c>
      <c r="C893" t="s">
        <v>6090</v>
      </c>
      <c r="G893" t="s">
        <v>4467</v>
      </c>
      <c r="H893" t="s">
        <v>4468</v>
      </c>
      <c r="I893" t="s">
        <v>4471</v>
      </c>
      <c r="J893" t="s">
        <v>37</v>
      </c>
      <c r="K893" t="s">
        <v>32</v>
      </c>
      <c r="L893" t="s">
        <v>35</v>
      </c>
      <c r="AQ893">
        <v>0</v>
      </c>
      <c r="AR893" s="3">
        <f t="shared" si="39"/>
        <v>0</v>
      </c>
      <c r="AS893" s="3">
        <f t="shared" si="40"/>
        <v>0</v>
      </c>
      <c r="AT893" s="3" t="str">
        <f>IF(OR(Registered!AM893&gt;0,Registered!AO893&gt;0),(IF(Registered!E893=0,"Size Not Specified",Registered!E893)),"")</f>
        <v/>
      </c>
      <c r="AU893" s="3" t="str">
        <f>IF(Registered!AE893=0,"",IF(Registered!AE893=1,Registered!AE893&amp;" Bandana",Registered!AE893&amp;" Bandanas"))</f>
        <v/>
      </c>
      <c r="AV893" s="3">
        <f t="shared" si="41"/>
        <v>0</v>
      </c>
      <c r="AW893" s="2" t="str">
        <f>IF(Registered!AV893=0,"",IF(Registered!AV893=1,Registered!AV893&amp;" Meal",Registered!AV893&amp;" Meals"))</f>
        <v/>
      </c>
      <c r="AX893" s="2" t="str">
        <f>IF(Registered!AI893=0,"",Registered!AI893&amp;" BG")</f>
        <v/>
      </c>
      <c r="AY893" s="2" t="str">
        <f>IF(Registered!AG893=0,"",Registered!AG893&amp;" DustMask")</f>
        <v/>
      </c>
    </row>
    <row r="894" spans="1:51" customFormat="1" x14ac:dyDescent="0.25">
      <c r="A894" t="s">
        <v>413</v>
      </c>
      <c r="B894" t="s">
        <v>186</v>
      </c>
      <c r="C894" t="s">
        <v>6090</v>
      </c>
      <c r="G894" t="s">
        <v>141</v>
      </c>
      <c r="H894" t="s">
        <v>843</v>
      </c>
      <c r="I894" t="s">
        <v>844</v>
      </c>
      <c r="J894" t="s">
        <v>37</v>
      </c>
      <c r="K894" t="s">
        <v>32</v>
      </c>
      <c r="L894" t="s">
        <v>35</v>
      </c>
      <c r="AQ894">
        <v>0</v>
      </c>
      <c r="AR894" s="3">
        <f t="shared" si="39"/>
        <v>0</v>
      </c>
      <c r="AS894" s="3">
        <f t="shared" si="40"/>
        <v>0</v>
      </c>
      <c r="AT894" s="3" t="str">
        <f>IF(OR(Registered!AM894&gt;0,Registered!AO894&gt;0),(IF(Registered!E894=0,"Size Not Specified",Registered!E894)),"")</f>
        <v/>
      </c>
      <c r="AU894" s="3" t="str">
        <f>IF(Registered!AE894=0,"",IF(Registered!AE894=1,Registered!AE894&amp;" Bandana",Registered!AE894&amp;" Bandanas"))</f>
        <v/>
      </c>
      <c r="AV894" s="3">
        <f t="shared" si="41"/>
        <v>0</v>
      </c>
      <c r="AW894" s="2" t="str">
        <f>IF(Registered!AV894=0,"",IF(Registered!AV894=1,Registered!AV894&amp;" Meal",Registered!AV894&amp;" Meals"))</f>
        <v/>
      </c>
      <c r="AX894" s="2" t="str">
        <f>IF(Registered!AI894=0,"",Registered!AI894&amp;" BG")</f>
        <v/>
      </c>
      <c r="AY894" s="2" t="str">
        <f>IF(Registered!AG894=0,"",Registered!AG894&amp;" DustMask")</f>
        <v/>
      </c>
    </row>
    <row r="895" spans="1:51" customFormat="1" x14ac:dyDescent="0.25">
      <c r="A895" t="s">
        <v>2987</v>
      </c>
      <c r="B895" t="s">
        <v>186</v>
      </c>
      <c r="C895" t="s">
        <v>6090</v>
      </c>
      <c r="D895" t="s">
        <v>57</v>
      </c>
      <c r="F895" t="s">
        <v>261</v>
      </c>
      <c r="I895" t="s">
        <v>2988</v>
      </c>
      <c r="J895" t="s">
        <v>37</v>
      </c>
      <c r="K895" t="s">
        <v>32</v>
      </c>
      <c r="L895" t="s">
        <v>35</v>
      </c>
      <c r="Q895">
        <v>1</v>
      </c>
      <c r="R895">
        <v>3</v>
      </c>
      <c r="AC895">
        <v>1</v>
      </c>
      <c r="AD895">
        <v>10</v>
      </c>
      <c r="AQ895">
        <v>13</v>
      </c>
      <c r="AR895" s="3">
        <f t="shared" si="39"/>
        <v>5</v>
      </c>
      <c r="AS895" s="3">
        <f t="shared" si="40"/>
        <v>0</v>
      </c>
      <c r="AT895" s="3" t="str">
        <f>IF(OR(Registered!AM895&gt;0,Registered!AO895&gt;0),(IF(Registered!E895=0,"Size Not Specified",Registered!E895)),"")</f>
        <v/>
      </c>
      <c r="AU895" s="3" t="str">
        <f>IF(Registered!AE895=0,"",IF(Registered!AE895=1,Registered!AE895&amp;" Bandana",Registered!AE895&amp;" Bandanas"))</f>
        <v/>
      </c>
      <c r="AV895" s="3">
        <f t="shared" si="41"/>
        <v>0</v>
      </c>
      <c r="AW895" s="2" t="str">
        <f>IF(Registered!AV895=0,"",IF(Registered!AV895=1,Registered!AV895&amp;" Meal",Registered!AV895&amp;" Meals"))</f>
        <v/>
      </c>
      <c r="AX895" s="2" t="str">
        <f>IF(Registered!AI895=0,"",Registered!AI895&amp;" BG")</f>
        <v/>
      </c>
      <c r="AY895" s="2" t="str">
        <f>IF(Registered!AG895=0,"",Registered!AG895&amp;" DustMask")</f>
        <v/>
      </c>
    </row>
    <row r="896" spans="1:51" customFormat="1" x14ac:dyDescent="0.25">
      <c r="A896" t="s">
        <v>138</v>
      </c>
      <c r="B896" t="s">
        <v>186</v>
      </c>
      <c r="C896" t="s">
        <v>6090</v>
      </c>
      <c r="G896" t="s">
        <v>4569</v>
      </c>
      <c r="H896" t="s">
        <v>4570</v>
      </c>
      <c r="I896" t="s">
        <v>4571</v>
      </c>
      <c r="J896" t="s">
        <v>37</v>
      </c>
      <c r="K896" t="s">
        <v>32</v>
      </c>
      <c r="L896" t="s">
        <v>35</v>
      </c>
      <c r="AQ896">
        <v>0</v>
      </c>
      <c r="AR896" s="3">
        <f t="shared" si="39"/>
        <v>0</v>
      </c>
      <c r="AS896" s="3">
        <f t="shared" si="40"/>
        <v>0</v>
      </c>
      <c r="AT896" s="3" t="str">
        <f>IF(OR(Registered!AM896&gt;0,Registered!AO896&gt;0),(IF(Registered!E896=0,"Size Not Specified",Registered!E896)),"")</f>
        <v/>
      </c>
      <c r="AU896" s="3" t="str">
        <f>IF(Registered!AE896=0,"",IF(Registered!AE896=1,Registered!AE896&amp;" Bandana",Registered!AE896&amp;" Bandanas"))</f>
        <v/>
      </c>
      <c r="AV896" s="3">
        <f t="shared" si="41"/>
        <v>0</v>
      </c>
      <c r="AW896" s="2" t="str">
        <f>IF(Registered!AV896=0,"",IF(Registered!AV896=1,Registered!AV896&amp;" Meal",Registered!AV896&amp;" Meals"))</f>
        <v/>
      </c>
      <c r="AX896" s="2" t="str">
        <f>IF(Registered!AI896=0,"",Registered!AI896&amp;" BG")</f>
        <v/>
      </c>
      <c r="AY896" s="2" t="str">
        <f>IF(Registered!AG896=0,"",Registered!AG896&amp;" DustMask")</f>
        <v/>
      </c>
    </row>
    <row r="897" spans="1:51" customFormat="1" x14ac:dyDescent="0.25">
      <c r="A897" t="s">
        <v>2418</v>
      </c>
      <c r="B897" t="s">
        <v>4572</v>
      </c>
      <c r="C897" t="s">
        <v>6090</v>
      </c>
      <c r="G897" t="s">
        <v>1698</v>
      </c>
      <c r="H897" t="s">
        <v>4573</v>
      </c>
      <c r="I897" t="s">
        <v>4574</v>
      </c>
      <c r="J897" t="s">
        <v>37</v>
      </c>
      <c r="K897" t="s">
        <v>32</v>
      </c>
      <c r="L897" t="s">
        <v>35</v>
      </c>
      <c r="AQ897">
        <v>0</v>
      </c>
      <c r="AR897" s="3">
        <f t="shared" si="39"/>
        <v>0</v>
      </c>
      <c r="AS897" s="3">
        <f t="shared" si="40"/>
        <v>0</v>
      </c>
      <c r="AT897" s="3" t="str">
        <f>IF(OR(Registered!AM897&gt;0,Registered!AO897&gt;0),(IF(Registered!E897=0,"Size Not Specified",Registered!E897)),"")</f>
        <v/>
      </c>
      <c r="AU897" s="3" t="str">
        <f>IF(Registered!AE897=0,"",IF(Registered!AE897=1,Registered!AE897&amp;" Bandana",Registered!AE897&amp;" Bandanas"))</f>
        <v/>
      </c>
      <c r="AV897" s="3">
        <f t="shared" si="41"/>
        <v>0</v>
      </c>
      <c r="AW897" s="2" t="str">
        <f>IF(Registered!AV897=0,"",IF(Registered!AV897=1,Registered!AV897&amp;" Meal",Registered!AV897&amp;" Meals"))</f>
        <v/>
      </c>
      <c r="AX897" s="2" t="str">
        <f>IF(Registered!AI897=0,"",Registered!AI897&amp;" BG")</f>
        <v/>
      </c>
      <c r="AY897" s="2" t="str">
        <f>IF(Registered!AG897=0,"",Registered!AG897&amp;" DustMask")</f>
        <v/>
      </c>
    </row>
    <row r="898" spans="1:51" customFormat="1" x14ac:dyDescent="0.25">
      <c r="A898" t="s">
        <v>3586</v>
      </c>
      <c r="B898" t="s">
        <v>4575</v>
      </c>
      <c r="C898" t="s">
        <v>6090</v>
      </c>
      <c r="G898" t="s">
        <v>100</v>
      </c>
      <c r="H898" t="s">
        <v>4119</v>
      </c>
      <c r="I898" t="s">
        <v>4121</v>
      </c>
      <c r="J898" t="s">
        <v>37</v>
      </c>
      <c r="K898" t="s">
        <v>32</v>
      </c>
      <c r="L898" t="s">
        <v>35</v>
      </c>
      <c r="AQ898">
        <v>0</v>
      </c>
      <c r="AR898" s="3">
        <f t="shared" ref="AR898:AR961" si="42">IF(ISTEXT(AM898)=TRUE,"",SUM(U898*10,W898*20,Y898*30,AA898*40,AC898*5,AM898*5))</f>
        <v>0</v>
      </c>
      <c r="AS898" s="3">
        <f t="shared" ref="AS898:AS961" si="43">IF(ISTEXT(AM898)=TRUE,"",SUM(AM898,AO898))</f>
        <v>0</v>
      </c>
      <c r="AT898" s="3" t="str">
        <f>IF(OR(Registered!AM898&gt;0,Registered!AO898&gt;0),(IF(Registered!E898=0,"Size Not Specified",Registered!E898)),"")</f>
        <v/>
      </c>
      <c r="AU898" s="3" t="str">
        <f>IF(Registered!AE898=0,"",IF(Registered!AE898=1,Registered!AE898&amp;" Bandana",Registered!AE898&amp;" Bandanas"))</f>
        <v/>
      </c>
      <c r="AV898" s="3">
        <f t="shared" ref="AV898:AV961" si="44">IF(ISTEXT(AM898)=TRUE,"",SUM(AM898,AK898))</f>
        <v>0</v>
      </c>
      <c r="AW898" s="2" t="str">
        <f>IF(Registered!AV898=0,"",IF(Registered!AV898=1,Registered!AV898&amp;" Meal",Registered!AV898&amp;" Meals"))</f>
        <v/>
      </c>
      <c r="AX898" s="2" t="str">
        <f>IF(Registered!AI898=0,"",Registered!AI898&amp;" BG")</f>
        <v/>
      </c>
      <c r="AY898" s="2" t="str">
        <f>IF(Registered!AG898=0,"",Registered!AG898&amp;" DustMask")</f>
        <v/>
      </c>
    </row>
    <row r="899" spans="1:51" customFormat="1" x14ac:dyDescent="0.25">
      <c r="A899" t="s">
        <v>4219</v>
      </c>
      <c r="B899" t="s">
        <v>4220</v>
      </c>
      <c r="C899" t="s">
        <v>6090</v>
      </c>
      <c r="D899" t="s">
        <v>2567</v>
      </c>
      <c r="F899" t="s">
        <v>261</v>
      </c>
      <c r="I899" t="s">
        <v>4221</v>
      </c>
      <c r="J899" t="s">
        <v>37</v>
      </c>
      <c r="K899" t="s">
        <v>32</v>
      </c>
      <c r="L899" t="s">
        <v>35</v>
      </c>
      <c r="Q899">
        <v>2</v>
      </c>
      <c r="R899">
        <v>3</v>
      </c>
      <c r="AC899">
        <v>2</v>
      </c>
      <c r="AD899">
        <v>10</v>
      </c>
      <c r="AQ899">
        <v>26</v>
      </c>
      <c r="AR899" s="3">
        <f t="shared" si="42"/>
        <v>10</v>
      </c>
      <c r="AS899" s="3">
        <f t="shared" si="43"/>
        <v>0</v>
      </c>
      <c r="AT899" s="3" t="str">
        <f>IF(OR(Registered!AM899&gt;0,Registered!AO899&gt;0),(IF(Registered!E899=0,"Size Not Specified",Registered!E899)),"")</f>
        <v/>
      </c>
      <c r="AU899" s="3" t="str">
        <f>IF(Registered!AE899=0,"",IF(Registered!AE899=1,Registered!AE899&amp;" Bandana",Registered!AE899&amp;" Bandanas"))</f>
        <v/>
      </c>
      <c r="AV899" s="3">
        <f t="shared" si="44"/>
        <v>0</v>
      </c>
      <c r="AW899" s="2" t="str">
        <f>IF(Registered!AV899=0,"",IF(Registered!AV899=1,Registered!AV899&amp;" Meal",Registered!AV899&amp;" Meals"))</f>
        <v/>
      </c>
      <c r="AX899" s="2" t="str">
        <f>IF(Registered!AI899=0,"",Registered!AI899&amp;" BG")</f>
        <v/>
      </c>
      <c r="AY899" s="2" t="str">
        <f>IF(Registered!AG899=0,"",Registered!AG899&amp;" DustMask")</f>
        <v/>
      </c>
    </row>
    <row r="900" spans="1:51" customFormat="1" x14ac:dyDescent="0.25">
      <c r="A900" t="s">
        <v>501</v>
      </c>
      <c r="B900" t="s">
        <v>3793</v>
      </c>
      <c r="C900" t="s">
        <v>6090</v>
      </c>
      <c r="G900" t="s">
        <v>3792</v>
      </c>
      <c r="H900" t="s">
        <v>3793</v>
      </c>
      <c r="I900" t="s">
        <v>3794</v>
      </c>
      <c r="J900" t="s">
        <v>37</v>
      </c>
      <c r="K900" t="s">
        <v>32</v>
      </c>
      <c r="L900" t="s">
        <v>35</v>
      </c>
      <c r="AQ900">
        <v>0</v>
      </c>
      <c r="AR900" s="3">
        <f t="shared" si="42"/>
        <v>0</v>
      </c>
      <c r="AS900" s="3">
        <f t="shared" si="43"/>
        <v>0</v>
      </c>
      <c r="AT900" s="3" t="str">
        <f>IF(OR(Registered!AM900&gt;0,Registered!AO900&gt;0),(IF(Registered!E900=0,"Size Not Specified",Registered!E900)),"")</f>
        <v/>
      </c>
      <c r="AU900" s="3" t="str">
        <f>IF(Registered!AE900=0,"",IF(Registered!AE900=1,Registered!AE900&amp;" Bandana",Registered!AE900&amp;" Bandanas"))</f>
        <v/>
      </c>
      <c r="AV900" s="3">
        <f t="shared" si="44"/>
        <v>0</v>
      </c>
      <c r="AW900" s="2" t="str">
        <f>IF(Registered!AV900=0,"",IF(Registered!AV900=1,Registered!AV900&amp;" Meal",Registered!AV900&amp;" Meals"))</f>
        <v/>
      </c>
      <c r="AX900" s="2" t="str">
        <f>IF(Registered!AI900=0,"",Registered!AI900&amp;" BG")</f>
        <v/>
      </c>
      <c r="AY900" s="2" t="str">
        <f>IF(Registered!AG900=0,"",Registered!AG900&amp;" DustMask")</f>
        <v/>
      </c>
    </row>
    <row r="901" spans="1:51" customFormat="1" x14ac:dyDescent="0.25">
      <c r="A901" t="s">
        <v>3792</v>
      </c>
      <c r="B901" t="s">
        <v>3793</v>
      </c>
      <c r="C901" t="s">
        <v>6090</v>
      </c>
      <c r="D901" t="s">
        <v>4576</v>
      </c>
      <c r="F901" t="s">
        <v>261</v>
      </c>
      <c r="I901" t="s">
        <v>3794</v>
      </c>
      <c r="J901" t="s">
        <v>37</v>
      </c>
      <c r="K901" t="s">
        <v>32</v>
      </c>
      <c r="L901" t="s">
        <v>35</v>
      </c>
      <c r="Q901">
        <v>4</v>
      </c>
      <c r="R901">
        <v>3</v>
      </c>
      <c r="W901">
        <v>1</v>
      </c>
      <c r="X901">
        <v>40</v>
      </c>
      <c r="AK901">
        <v>4</v>
      </c>
      <c r="AL901">
        <v>6</v>
      </c>
      <c r="AQ901">
        <v>76</v>
      </c>
      <c r="AR901" s="3">
        <f t="shared" si="42"/>
        <v>20</v>
      </c>
      <c r="AS901" s="3">
        <f t="shared" si="43"/>
        <v>0</v>
      </c>
      <c r="AT901" s="3" t="str">
        <f>IF(OR(Registered!AM901&gt;0,Registered!AO901&gt;0),(IF(Registered!E901=0,"Size Not Specified",Registered!E901)),"")</f>
        <v/>
      </c>
      <c r="AU901" s="3" t="str">
        <f>IF(Registered!AE901=0,"",IF(Registered!AE901=1,Registered!AE901&amp;" Bandana",Registered!AE901&amp;" Bandanas"))</f>
        <v/>
      </c>
      <c r="AV901" s="3">
        <f t="shared" si="44"/>
        <v>4</v>
      </c>
      <c r="AW901" s="2" t="str">
        <f>IF(Registered!AV901=0,"",IF(Registered!AV901=1,Registered!AV901&amp;" Meal",Registered!AV901&amp;" Meals"))</f>
        <v>4 Meals</v>
      </c>
      <c r="AX901" s="2" t="str">
        <f>IF(Registered!AI901=0,"",Registered!AI901&amp;" BG")</f>
        <v/>
      </c>
      <c r="AY901" s="2" t="str">
        <f>IF(Registered!AG901=0,"",Registered!AG901&amp;" DustMask")</f>
        <v/>
      </c>
    </row>
    <row r="902" spans="1:51" customFormat="1" x14ac:dyDescent="0.25">
      <c r="A902" t="s">
        <v>2989</v>
      </c>
      <c r="B902" t="s">
        <v>2990</v>
      </c>
      <c r="C902" t="s">
        <v>6090</v>
      </c>
      <c r="D902" t="s">
        <v>2989</v>
      </c>
      <c r="F902" t="s">
        <v>261</v>
      </c>
      <c r="I902" t="s">
        <v>2991</v>
      </c>
      <c r="J902" t="s">
        <v>37</v>
      </c>
      <c r="K902" t="s">
        <v>32</v>
      </c>
      <c r="L902" t="s">
        <v>35</v>
      </c>
      <c r="Q902">
        <v>1</v>
      </c>
      <c r="R902">
        <v>3</v>
      </c>
      <c r="U902">
        <v>1</v>
      </c>
      <c r="V902">
        <v>20</v>
      </c>
      <c r="AQ902">
        <v>23</v>
      </c>
      <c r="AR902" s="3">
        <f t="shared" si="42"/>
        <v>10</v>
      </c>
      <c r="AS902" s="3">
        <f t="shared" si="43"/>
        <v>0</v>
      </c>
      <c r="AT902" s="3" t="str">
        <f>IF(OR(Registered!AM902&gt;0,Registered!AO902&gt;0),(IF(Registered!E902=0,"Size Not Specified",Registered!E902)),"")</f>
        <v/>
      </c>
      <c r="AU902" s="3" t="str">
        <f>IF(Registered!AE902=0,"",IF(Registered!AE902=1,Registered!AE902&amp;" Bandana",Registered!AE902&amp;" Bandanas"))</f>
        <v/>
      </c>
      <c r="AV902" s="3">
        <f t="shared" si="44"/>
        <v>0</v>
      </c>
      <c r="AW902" s="2" t="str">
        <f>IF(Registered!AV902=0,"",IF(Registered!AV902=1,Registered!AV902&amp;" Meal",Registered!AV902&amp;" Meals"))</f>
        <v/>
      </c>
      <c r="AX902" s="2" t="str">
        <f>IF(Registered!AI902=0,"",Registered!AI902&amp;" BG")</f>
        <v/>
      </c>
      <c r="AY902" s="2" t="str">
        <f>IF(Registered!AG902=0,"",Registered!AG902&amp;" DustMask")</f>
        <v/>
      </c>
    </row>
    <row r="903" spans="1:51" customFormat="1" x14ac:dyDescent="0.25">
      <c r="A903" t="s">
        <v>258</v>
      </c>
      <c r="B903" t="s">
        <v>4577</v>
      </c>
      <c r="C903" t="s">
        <v>6090</v>
      </c>
      <c r="G903" t="s">
        <v>90</v>
      </c>
      <c r="H903" t="s">
        <v>313</v>
      </c>
      <c r="I903" t="s">
        <v>3679</v>
      </c>
      <c r="J903" t="s">
        <v>37</v>
      </c>
      <c r="K903" t="s">
        <v>32</v>
      </c>
      <c r="L903" t="s">
        <v>35</v>
      </c>
      <c r="AQ903">
        <v>0</v>
      </c>
      <c r="AR903" s="3">
        <f t="shared" si="42"/>
        <v>0</v>
      </c>
      <c r="AS903" s="3">
        <f t="shared" si="43"/>
        <v>0</v>
      </c>
      <c r="AT903" s="3" t="str">
        <f>IF(OR(Registered!AM903&gt;0,Registered!AO903&gt;0),(IF(Registered!E903=0,"Size Not Specified",Registered!E903)),"")</f>
        <v/>
      </c>
      <c r="AU903" s="3" t="str">
        <f>IF(Registered!AE903=0,"",IF(Registered!AE903=1,Registered!AE903&amp;" Bandana",Registered!AE903&amp;" Bandanas"))</f>
        <v/>
      </c>
      <c r="AV903" s="3">
        <f t="shared" si="44"/>
        <v>0</v>
      </c>
      <c r="AW903" s="2" t="str">
        <f>IF(Registered!AV903=0,"",IF(Registered!AV903=1,Registered!AV903&amp;" Meal",Registered!AV903&amp;" Meals"))</f>
        <v/>
      </c>
      <c r="AX903" s="2" t="str">
        <f>IF(Registered!AI903=0,"",Registered!AI903&amp;" BG")</f>
        <v/>
      </c>
      <c r="AY903" s="2" t="str">
        <f>IF(Registered!AG903=0,"",Registered!AG903&amp;" DustMask")</f>
        <v/>
      </c>
    </row>
    <row r="904" spans="1:51" customFormat="1" x14ac:dyDescent="0.25">
      <c r="A904" t="s">
        <v>279</v>
      </c>
      <c r="B904" t="s">
        <v>457</v>
      </c>
      <c r="C904" t="s">
        <v>6090</v>
      </c>
      <c r="G904" t="s">
        <v>107</v>
      </c>
      <c r="H904" t="s">
        <v>4109</v>
      </c>
      <c r="I904" t="s">
        <v>4111</v>
      </c>
      <c r="J904" t="s">
        <v>37</v>
      </c>
      <c r="K904" t="s">
        <v>32</v>
      </c>
      <c r="L904" t="s">
        <v>35</v>
      </c>
      <c r="AQ904">
        <v>0</v>
      </c>
      <c r="AR904" s="3">
        <f t="shared" si="42"/>
        <v>0</v>
      </c>
      <c r="AS904" s="3">
        <f t="shared" si="43"/>
        <v>0</v>
      </c>
      <c r="AT904" s="3" t="str">
        <f>IF(OR(Registered!AM904&gt;0,Registered!AO904&gt;0),(IF(Registered!E904=0,"Size Not Specified",Registered!E904)),"")</f>
        <v/>
      </c>
      <c r="AU904" s="3" t="str">
        <f>IF(Registered!AE904=0,"",IF(Registered!AE904=1,Registered!AE904&amp;" Bandana",Registered!AE904&amp;" Bandanas"))</f>
        <v/>
      </c>
      <c r="AV904" s="3">
        <f t="shared" si="44"/>
        <v>0</v>
      </c>
      <c r="AW904" s="2" t="str">
        <f>IF(Registered!AV904=0,"",IF(Registered!AV904=1,Registered!AV904&amp;" Meal",Registered!AV904&amp;" Meals"))</f>
        <v/>
      </c>
      <c r="AX904" s="2" t="str">
        <f>IF(Registered!AI904=0,"",Registered!AI904&amp;" BG")</f>
        <v/>
      </c>
      <c r="AY904" s="2" t="str">
        <f>IF(Registered!AG904=0,"",Registered!AG904&amp;" DustMask")</f>
        <v/>
      </c>
    </row>
    <row r="905" spans="1:51" customFormat="1" x14ac:dyDescent="0.25">
      <c r="A905" t="s">
        <v>2832</v>
      </c>
      <c r="B905" t="s">
        <v>2833</v>
      </c>
      <c r="C905" t="s">
        <v>6090</v>
      </c>
      <c r="D905" t="s">
        <v>2832</v>
      </c>
      <c r="F905" t="s">
        <v>261</v>
      </c>
      <c r="I905" t="s">
        <v>2834</v>
      </c>
      <c r="J905" t="s">
        <v>37</v>
      </c>
      <c r="K905" t="s">
        <v>32</v>
      </c>
      <c r="L905" t="s">
        <v>35</v>
      </c>
      <c r="Q905">
        <v>6</v>
      </c>
      <c r="R905">
        <v>3</v>
      </c>
      <c r="AC905">
        <v>1</v>
      </c>
      <c r="AD905">
        <v>10</v>
      </c>
      <c r="AQ905">
        <v>28</v>
      </c>
      <c r="AR905" s="3">
        <f t="shared" si="42"/>
        <v>5</v>
      </c>
      <c r="AS905" s="3">
        <f t="shared" si="43"/>
        <v>0</v>
      </c>
      <c r="AT905" s="3" t="str">
        <f>IF(OR(Registered!AM905&gt;0,Registered!AO905&gt;0),(IF(Registered!E905=0,"Size Not Specified",Registered!E905)),"")</f>
        <v/>
      </c>
      <c r="AU905" s="3" t="str">
        <f>IF(Registered!AE905=0,"",IF(Registered!AE905=1,Registered!AE905&amp;" Bandana",Registered!AE905&amp;" Bandanas"))</f>
        <v/>
      </c>
      <c r="AV905" s="3">
        <f t="shared" si="44"/>
        <v>0</v>
      </c>
      <c r="AW905" s="2" t="str">
        <f>IF(Registered!AV905=0,"",IF(Registered!AV905=1,Registered!AV905&amp;" Meal",Registered!AV905&amp;" Meals"))</f>
        <v/>
      </c>
      <c r="AX905" s="2" t="str">
        <f>IF(Registered!AI905=0,"",Registered!AI905&amp;" BG")</f>
        <v/>
      </c>
      <c r="AY905" s="2" t="str">
        <f>IF(Registered!AG905=0,"",Registered!AG905&amp;" DustMask")</f>
        <v/>
      </c>
    </row>
    <row r="906" spans="1:51" customFormat="1" x14ac:dyDescent="0.25">
      <c r="A906" t="s">
        <v>328</v>
      </c>
      <c r="B906" t="s">
        <v>2833</v>
      </c>
      <c r="C906" t="s">
        <v>6090</v>
      </c>
      <c r="G906" t="s">
        <v>2832</v>
      </c>
      <c r="H906" t="s">
        <v>2833</v>
      </c>
      <c r="I906" t="s">
        <v>2834</v>
      </c>
      <c r="J906" t="s">
        <v>37</v>
      </c>
      <c r="K906" t="s">
        <v>32</v>
      </c>
      <c r="L906" t="s">
        <v>35</v>
      </c>
      <c r="AQ906">
        <v>0</v>
      </c>
      <c r="AR906" s="3">
        <f t="shared" si="42"/>
        <v>0</v>
      </c>
      <c r="AS906" s="3">
        <f t="shared" si="43"/>
        <v>0</v>
      </c>
      <c r="AT906" s="3" t="str">
        <f>IF(OR(Registered!AM906&gt;0,Registered!AO906&gt;0),(IF(Registered!E906=0,"Size Not Specified",Registered!E906)),"")</f>
        <v/>
      </c>
      <c r="AU906" s="3" t="str">
        <f>IF(Registered!AE906=0,"",IF(Registered!AE906=1,Registered!AE906&amp;" Bandana",Registered!AE906&amp;" Bandanas"))</f>
        <v/>
      </c>
      <c r="AV906" s="3">
        <f t="shared" si="44"/>
        <v>0</v>
      </c>
      <c r="AW906" s="2" t="str">
        <f>IF(Registered!AV906=0,"",IF(Registered!AV906=1,Registered!AV906&amp;" Meal",Registered!AV906&amp;" Meals"))</f>
        <v/>
      </c>
      <c r="AX906" s="2" t="str">
        <f>IF(Registered!AI906=0,"",Registered!AI906&amp;" BG")</f>
        <v/>
      </c>
      <c r="AY906" s="2" t="str">
        <f>IF(Registered!AG906=0,"",Registered!AG906&amp;" DustMask")</f>
        <v/>
      </c>
    </row>
    <row r="907" spans="1:51" customFormat="1" x14ac:dyDescent="0.25">
      <c r="A907" t="s">
        <v>1411</v>
      </c>
      <c r="B907" t="s">
        <v>1412</v>
      </c>
      <c r="C907" t="s">
        <v>6090</v>
      </c>
      <c r="G907" t="s">
        <v>772</v>
      </c>
      <c r="H907" t="s">
        <v>95</v>
      </c>
      <c r="I907" t="s">
        <v>773</v>
      </c>
      <c r="J907" t="s">
        <v>37</v>
      </c>
      <c r="K907" t="s">
        <v>32</v>
      </c>
      <c r="L907" t="s">
        <v>35</v>
      </c>
      <c r="AQ907">
        <v>0</v>
      </c>
      <c r="AR907" s="3">
        <f t="shared" si="42"/>
        <v>0</v>
      </c>
      <c r="AS907" s="3">
        <f t="shared" si="43"/>
        <v>0</v>
      </c>
      <c r="AT907" s="3" t="str">
        <f>IF(OR(Registered!AM907&gt;0,Registered!AO907&gt;0),(IF(Registered!E907=0,"Size Not Specified",Registered!E907)),"")</f>
        <v/>
      </c>
      <c r="AU907" s="3" t="str">
        <f>IF(Registered!AE907=0,"",IF(Registered!AE907=1,Registered!AE907&amp;" Bandana",Registered!AE907&amp;" Bandanas"))</f>
        <v/>
      </c>
      <c r="AV907" s="3">
        <f t="shared" si="44"/>
        <v>0</v>
      </c>
      <c r="AW907" s="2" t="str">
        <f>IF(Registered!AV907=0,"",IF(Registered!AV907=1,Registered!AV907&amp;" Meal",Registered!AV907&amp;" Meals"))</f>
        <v/>
      </c>
      <c r="AX907" s="2" t="str">
        <f>IF(Registered!AI907=0,"",Registered!AI907&amp;" BG")</f>
        <v/>
      </c>
      <c r="AY907" s="2" t="str">
        <f>IF(Registered!AG907=0,"",Registered!AG907&amp;" DustMask")</f>
        <v/>
      </c>
    </row>
    <row r="908" spans="1:51" customFormat="1" x14ac:dyDescent="0.25">
      <c r="A908" t="s">
        <v>144</v>
      </c>
      <c r="B908" t="s">
        <v>458</v>
      </c>
      <c r="C908" t="s">
        <v>6090</v>
      </c>
      <c r="D908" t="s">
        <v>1413</v>
      </c>
      <c r="E908" t="s">
        <v>1414</v>
      </c>
      <c r="I908" t="s">
        <v>1415</v>
      </c>
      <c r="J908" t="s">
        <v>37</v>
      </c>
      <c r="K908" t="s">
        <v>32</v>
      </c>
      <c r="L908" t="s">
        <v>35</v>
      </c>
      <c r="S908">
        <v>4</v>
      </c>
      <c r="T908">
        <v>3</v>
      </c>
      <c r="AA908">
        <v>1</v>
      </c>
      <c r="AB908">
        <v>75</v>
      </c>
      <c r="AE908">
        <v>4</v>
      </c>
      <c r="AF908">
        <v>6</v>
      </c>
      <c r="AO908">
        <v>4</v>
      </c>
      <c r="AP908">
        <v>10</v>
      </c>
      <c r="AQ908">
        <v>151</v>
      </c>
      <c r="AR908" s="3">
        <f t="shared" si="42"/>
        <v>40</v>
      </c>
      <c r="AS908" s="3">
        <f t="shared" si="43"/>
        <v>4</v>
      </c>
      <c r="AT908" s="3" t="str">
        <f>IF(OR(Registered!AM908&gt;0,Registered!AO908&gt;0),(IF(Registered!E908=0,"Size Not Specified",Registered!E908)),"")</f>
        <v>3 mediums, 1 small</v>
      </c>
      <c r="AU908" s="3" t="str">
        <f>IF(Registered!AE908=0,"",IF(Registered!AE908=1,Registered!AE908&amp;" Bandana",Registered!AE908&amp;" Bandanas"))</f>
        <v>4 Bandanas</v>
      </c>
      <c r="AV908" s="3">
        <f t="shared" si="44"/>
        <v>0</v>
      </c>
      <c r="AW908" s="2" t="str">
        <f>IF(Registered!AV908=0,"",IF(Registered!AV908=1,Registered!AV908&amp;" Meal",Registered!AV908&amp;" Meals"))</f>
        <v/>
      </c>
      <c r="AX908" s="2" t="str">
        <f>IF(Registered!AI908=0,"",Registered!AI908&amp;" BG")</f>
        <v/>
      </c>
      <c r="AY908" s="2" t="str">
        <f>IF(Registered!AG908=0,"",Registered!AG908&amp;" DustMask")</f>
        <v/>
      </c>
    </row>
    <row r="909" spans="1:51" customFormat="1" x14ac:dyDescent="0.25">
      <c r="A909" t="s">
        <v>471</v>
      </c>
      <c r="B909" t="s">
        <v>458</v>
      </c>
      <c r="C909" t="s">
        <v>6090</v>
      </c>
      <c r="G909" t="s">
        <v>3881</v>
      </c>
      <c r="H909" t="s">
        <v>3882</v>
      </c>
      <c r="I909" t="s">
        <v>3884</v>
      </c>
      <c r="J909" t="s">
        <v>37</v>
      </c>
      <c r="K909" t="s">
        <v>32</v>
      </c>
      <c r="L909" t="s">
        <v>35</v>
      </c>
      <c r="AQ909">
        <v>0</v>
      </c>
      <c r="AR909" s="3">
        <f t="shared" si="42"/>
        <v>0</v>
      </c>
      <c r="AS909" s="3">
        <f t="shared" si="43"/>
        <v>0</v>
      </c>
      <c r="AT909" s="3" t="str">
        <f>IF(OR(Registered!AM909&gt;0,Registered!AO909&gt;0),(IF(Registered!E909=0,"Size Not Specified",Registered!E909)),"")</f>
        <v/>
      </c>
      <c r="AU909" s="3" t="str">
        <f>IF(Registered!AE909=0,"",IF(Registered!AE909=1,Registered!AE909&amp;" Bandana",Registered!AE909&amp;" Bandanas"))</f>
        <v/>
      </c>
      <c r="AV909" s="3">
        <f t="shared" si="44"/>
        <v>0</v>
      </c>
      <c r="AW909" s="2" t="str">
        <f>IF(Registered!AV909=0,"",IF(Registered!AV909=1,Registered!AV909&amp;" Meal",Registered!AV909&amp;" Meals"))</f>
        <v/>
      </c>
      <c r="AX909" s="2" t="str">
        <f>IF(Registered!AI909=0,"",Registered!AI909&amp;" BG")</f>
        <v/>
      </c>
      <c r="AY909" s="2" t="str">
        <f>IF(Registered!AG909=0,"",Registered!AG909&amp;" DustMask")</f>
        <v/>
      </c>
    </row>
    <row r="910" spans="1:51" customFormat="1" x14ac:dyDescent="0.25">
      <c r="A910" t="s">
        <v>64</v>
      </c>
      <c r="B910" t="s">
        <v>1416</v>
      </c>
      <c r="C910" t="s">
        <v>6090</v>
      </c>
      <c r="D910" t="s">
        <v>1417</v>
      </c>
      <c r="E910" t="s">
        <v>1418</v>
      </c>
      <c r="F910" t="s">
        <v>261</v>
      </c>
      <c r="I910" t="s">
        <v>1419</v>
      </c>
      <c r="J910" t="s">
        <v>37</v>
      </c>
      <c r="K910" t="s">
        <v>32</v>
      </c>
      <c r="L910" t="s">
        <v>35</v>
      </c>
      <c r="S910">
        <v>2</v>
      </c>
      <c r="T910">
        <v>3</v>
      </c>
      <c r="U910">
        <v>1</v>
      </c>
      <c r="V910">
        <v>20</v>
      </c>
      <c r="W910">
        <v>1</v>
      </c>
      <c r="X910">
        <v>40</v>
      </c>
      <c r="AC910">
        <v>1</v>
      </c>
      <c r="AD910">
        <v>10</v>
      </c>
      <c r="AE910">
        <v>1</v>
      </c>
      <c r="AF910">
        <v>6</v>
      </c>
      <c r="AO910">
        <v>1</v>
      </c>
      <c r="AP910">
        <v>10</v>
      </c>
      <c r="AQ910">
        <v>92</v>
      </c>
      <c r="AR910" s="3">
        <f t="shared" si="42"/>
        <v>35</v>
      </c>
      <c r="AS910" s="3">
        <f t="shared" si="43"/>
        <v>1</v>
      </c>
      <c r="AT910" s="3" t="str">
        <f>IF(OR(Registered!AM910&gt;0,Registered!AO910&gt;0),(IF(Registered!E910=0,"Size Not Specified",Registered!E910)),"")</f>
        <v>lg</v>
      </c>
      <c r="AU910" s="3" t="str">
        <f>IF(Registered!AE910=0,"",IF(Registered!AE910=1,Registered!AE910&amp;" Bandana",Registered!AE910&amp;" Bandanas"))</f>
        <v>1 Bandana</v>
      </c>
      <c r="AV910" s="3">
        <f t="shared" si="44"/>
        <v>0</v>
      </c>
      <c r="AW910" s="2" t="str">
        <f>IF(Registered!AV910=0,"",IF(Registered!AV910=1,Registered!AV910&amp;" Meal",Registered!AV910&amp;" Meals"))</f>
        <v/>
      </c>
      <c r="AX910" s="2" t="str">
        <f>IF(Registered!AI910=0,"",Registered!AI910&amp;" BG")</f>
        <v/>
      </c>
      <c r="AY910" s="2" t="str">
        <f>IF(Registered!AG910=0,"",Registered!AG910&amp;" DustMask")</f>
        <v/>
      </c>
    </row>
    <row r="911" spans="1:51" customFormat="1" x14ac:dyDescent="0.25">
      <c r="A911" t="s">
        <v>295</v>
      </c>
      <c r="B911" t="s">
        <v>4578</v>
      </c>
      <c r="C911" t="s">
        <v>6090</v>
      </c>
      <c r="D911" t="s">
        <v>4579</v>
      </c>
      <c r="F911" t="s">
        <v>261</v>
      </c>
      <c r="I911" t="s">
        <v>4580</v>
      </c>
      <c r="J911" t="s">
        <v>37</v>
      </c>
      <c r="K911" t="s">
        <v>32</v>
      </c>
      <c r="L911" t="s">
        <v>35</v>
      </c>
      <c r="Q911">
        <v>1</v>
      </c>
      <c r="R911">
        <v>3</v>
      </c>
      <c r="AC911">
        <v>1</v>
      </c>
      <c r="AD911">
        <v>10</v>
      </c>
      <c r="AQ911">
        <v>13</v>
      </c>
      <c r="AR911" s="3">
        <f t="shared" si="42"/>
        <v>5</v>
      </c>
      <c r="AS911" s="3">
        <f t="shared" si="43"/>
        <v>0</v>
      </c>
      <c r="AT911" s="3" t="str">
        <f>IF(OR(Registered!AM911&gt;0,Registered!AO911&gt;0),(IF(Registered!E911=0,"Size Not Specified",Registered!E911)),"")</f>
        <v/>
      </c>
      <c r="AU911" s="3" t="str">
        <f>IF(Registered!AE911=0,"",IF(Registered!AE911=1,Registered!AE911&amp;" Bandana",Registered!AE911&amp;" Bandanas"))</f>
        <v/>
      </c>
      <c r="AV911" s="3">
        <f t="shared" si="44"/>
        <v>0</v>
      </c>
      <c r="AW911" s="2" t="str">
        <f>IF(Registered!AV911=0,"",IF(Registered!AV911=1,Registered!AV911&amp;" Meal",Registered!AV911&amp;" Meals"))</f>
        <v/>
      </c>
      <c r="AX911" s="2" t="str">
        <f>IF(Registered!AI911=0,"",Registered!AI911&amp;" BG")</f>
        <v/>
      </c>
      <c r="AY911" s="2" t="str">
        <f>IF(Registered!AG911=0,"",Registered!AG911&amp;" DustMask")</f>
        <v/>
      </c>
    </row>
    <row r="912" spans="1:51" customFormat="1" x14ac:dyDescent="0.25">
      <c r="A912" t="s">
        <v>335</v>
      </c>
      <c r="B912" t="s">
        <v>3649</v>
      </c>
      <c r="C912" t="s">
        <v>6090</v>
      </c>
      <c r="D912" t="s">
        <v>4581</v>
      </c>
      <c r="F912" t="s">
        <v>261</v>
      </c>
      <c r="I912" t="s">
        <v>3650</v>
      </c>
      <c r="J912" t="s">
        <v>37</v>
      </c>
      <c r="K912" t="s">
        <v>32</v>
      </c>
      <c r="L912" t="s">
        <v>35</v>
      </c>
      <c r="Q912">
        <v>3</v>
      </c>
      <c r="R912">
        <v>3</v>
      </c>
      <c r="AC912">
        <v>3</v>
      </c>
      <c r="AD912">
        <v>10</v>
      </c>
      <c r="AQ912">
        <v>39</v>
      </c>
      <c r="AR912" s="3">
        <f t="shared" si="42"/>
        <v>15</v>
      </c>
      <c r="AS912" s="3">
        <f t="shared" si="43"/>
        <v>0</v>
      </c>
      <c r="AT912" s="3" t="str">
        <f>IF(OR(Registered!AM912&gt;0,Registered!AO912&gt;0),(IF(Registered!E912=0,"Size Not Specified",Registered!E912)),"")</f>
        <v/>
      </c>
      <c r="AU912" s="3" t="str">
        <f>IF(Registered!AE912=0,"",IF(Registered!AE912=1,Registered!AE912&amp;" Bandana",Registered!AE912&amp;" Bandanas"))</f>
        <v/>
      </c>
      <c r="AV912" s="3">
        <f t="shared" si="44"/>
        <v>0</v>
      </c>
      <c r="AW912" s="2" t="str">
        <f>IF(Registered!AV912=0,"",IF(Registered!AV912=1,Registered!AV912&amp;" Meal",Registered!AV912&amp;" Meals"))</f>
        <v/>
      </c>
      <c r="AX912" s="2" t="str">
        <f>IF(Registered!AI912=0,"",Registered!AI912&amp;" BG")</f>
        <v/>
      </c>
      <c r="AY912" s="2" t="str">
        <f>IF(Registered!AG912=0,"",Registered!AG912&amp;" DustMask")</f>
        <v/>
      </c>
    </row>
    <row r="913" spans="1:51" customFormat="1" x14ac:dyDescent="0.25">
      <c r="A913" t="s">
        <v>670</v>
      </c>
      <c r="B913" t="s">
        <v>6022</v>
      </c>
      <c r="C913" t="s">
        <v>6090</v>
      </c>
      <c r="G913" t="s">
        <v>266</v>
      </c>
      <c r="H913" t="s">
        <v>4458</v>
      </c>
      <c r="I913" t="s">
        <v>4460</v>
      </c>
      <c r="J913" t="s">
        <v>37</v>
      </c>
      <c r="K913" t="s">
        <v>32</v>
      </c>
      <c r="L913" t="s">
        <v>35</v>
      </c>
      <c r="AQ913">
        <v>0</v>
      </c>
      <c r="AR913" s="3">
        <f t="shared" si="42"/>
        <v>0</v>
      </c>
      <c r="AS913" s="3">
        <f t="shared" si="43"/>
        <v>0</v>
      </c>
      <c r="AT913" s="3" t="str">
        <f>IF(OR(Registered!AM913&gt;0,Registered!AO913&gt;0),(IF(Registered!E913=0,"Size Not Specified",Registered!E913)),"")</f>
        <v/>
      </c>
      <c r="AU913" s="3" t="str">
        <f>IF(Registered!AE913=0,"",IF(Registered!AE913=1,Registered!AE913&amp;" Bandana",Registered!AE913&amp;" Bandanas"))</f>
        <v/>
      </c>
      <c r="AV913" s="3">
        <f t="shared" si="44"/>
        <v>0</v>
      </c>
      <c r="AW913" s="2" t="str">
        <f>IF(Registered!AV913=0,"",IF(Registered!AV913=1,Registered!AV913&amp;" Meal",Registered!AV913&amp;" Meals"))</f>
        <v/>
      </c>
      <c r="AX913" s="2" t="str">
        <f>IF(Registered!AI913=0,"",Registered!AI913&amp;" BG")</f>
        <v/>
      </c>
      <c r="AY913" s="2" t="str">
        <f>IF(Registered!AG913=0,"",Registered!AG913&amp;" DustMask")</f>
        <v/>
      </c>
    </row>
    <row r="914" spans="1:51" customFormat="1" x14ac:dyDescent="0.25">
      <c r="A914" t="s">
        <v>187</v>
      </c>
      <c r="B914" t="s">
        <v>6023</v>
      </c>
      <c r="C914" t="s">
        <v>6090</v>
      </c>
      <c r="G914" t="s">
        <v>2992</v>
      </c>
      <c r="H914" t="s">
        <v>2993</v>
      </c>
      <c r="I914" t="s">
        <v>2994</v>
      </c>
      <c r="J914" t="s">
        <v>37</v>
      </c>
      <c r="K914" t="s">
        <v>32</v>
      </c>
      <c r="L914" t="s">
        <v>35</v>
      </c>
      <c r="AQ914">
        <v>0</v>
      </c>
      <c r="AR914" s="3">
        <f t="shared" si="42"/>
        <v>0</v>
      </c>
      <c r="AS914" s="3">
        <f t="shared" si="43"/>
        <v>0</v>
      </c>
      <c r="AT914" s="3" t="str">
        <f>IF(OR(Registered!AM914&gt;0,Registered!AO914&gt;0),(IF(Registered!E914=0,"Size Not Specified",Registered!E914)),"")</f>
        <v/>
      </c>
      <c r="AU914" s="3" t="str">
        <f>IF(Registered!AE914=0,"",IF(Registered!AE914=1,Registered!AE914&amp;" Bandana",Registered!AE914&amp;" Bandanas"))</f>
        <v/>
      </c>
      <c r="AV914" s="3">
        <f t="shared" si="44"/>
        <v>0</v>
      </c>
      <c r="AW914" s="2" t="str">
        <f>IF(Registered!AV914=0,"",IF(Registered!AV914=1,Registered!AV914&amp;" Meal",Registered!AV914&amp;" Meals"))</f>
        <v/>
      </c>
      <c r="AX914" s="2" t="str">
        <f>IF(Registered!AI914=0,"",Registered!AI914&amp;" BG")</f>
        <v/>
      </c>
      <c r="AY914" s="2" t="str">
        <f>IF(Registered!AG914=0,"",Registered!AG914&amp;" DustMask")</f>
        <v/>
      </c>
    </row>
    <row r="915" spans="1:51" customFormat="1" x14ac:dyDescent="0.25">
      <c r="A915" t="s">
        <v>1421</v>
      </c>
      <c r="B915" t="s">
        <v>6025</v>
      </c>
      <c r="C915" t="s">
        <v>6090</v>
      </c>
      <c r="G915" t="s">
        <v>2998</v>
      </c>
      <c r="H915" t="s">
        <v>2999</v>
      </c>
      <c r="I915" t="s">
        <v>3000</v>
      </c>
      <c r="J915" t="s">
        <v>37</v>
      </c>
      <c r="K915" t="s">
        <v>32</v>
      </c>
      <c r="L915" t="s">
        <v>35</v>
      </c>
      <c r="AQ915">
        <v>0</v>
      </c>
      <c r="AR915" s="3">
        <f t="shared" si="42"/>
        <v>0</v>
      </c>
      <c r="AS915" s="3">
        <f t="shared" si="43"/>
        <v>0</v>
      </c>
      <c r="AT915" s="3" t="str">
        <f>IF(OR(Registered!AM915&gt;0,Registered!AO915&gt;0),(IF(Registered!E915=0,"Size Not Specified",Registered!E915)),"")</f>
        <v/>
      </c>
      <c r="AU915" s="3" t="str">
        <f>IF(Registered!AE915=0,"",IF(Registered!AE915=1,Registered!AE915&amp;" Bandana",Registered!AE915&amp;" Bandanas"))</f>
        <v/>
      </c>
      <c r="AV915" s="3">
        <f t="shared" si="44"/>
        <v>0</v>
      </c>
      <c r="AW915" s="2" t="str">
        <f>IF(Registered!AV915=0,"",IF(Registered!AV915=1,Registered!AV915&amp;" Meal",Registered!AV915&amp;" Meals"))</f>
        <v/>
      </c>
      <c r="AX915" s="2" t="str">
        <f>IF(Registered!AI915=0,"",Registered!AI915&amp;" BG")</f>
        <v/>
      </c>
      <c r="AY915" s="2" t="str">
        <f>IF(Registered!AG915=0,"",Registered!AG915&amp;" DustMask")</f>
        <v/>
      </c>
    </row>
    <row r="916" spans="1:51" customFormat="1" x14ac:dyDescent="0.25">
      <c r="A916" t="s">
        <v>1421</v>
      </c>
      <c r="B916" t="s">
        <v>6026</v>
      </c>
      <c r="C916" t="s">
        <v>6090</v>
      </c>
      <c r="G916" t="s">
        <v>3001</v>
      </c>
      <c r="H916" t="s">
        <v>3002</v>
      </c>
      <c r="I916" t="s">
        <v>3003</v>
      </c>
      <c r="J916" t="s">
        <v>37</v>
      </c>
      <c r="K916" t="s">
        <v>32</v>
      </c>
      <c r="L916" t="s">
        <v>35</v>
      </c>
      <c r="AQ916">
        <v>0</v>
      </c>
      <c r="AR916" s="3">
        <f t="shared" si="42"/>
        <v>0</v>
      </c>
      <c r="AS916" s="3">
        <f t="shared" si="43"/>
        <v>0</v>
      </c>
      <c r="AT916" s="3" t="str">
        <f>IF(OR(Registered!AM916&gt;0,Registered!AO916&gt;0),(IF(Registered!E916=0,"Size Not Specified",Registered!E916)),"")</f>
        <v/>
      </c>
      <c r="AU916" s="3" t="str">
        <f>IF(Registered!AE916=0,"",IF(Registered!AE916=1,Registered!AE916&amp;" Bandana",Registered!AE916&amp;" Bandanas"))</f>
        <v/>
      </c>
      <c r="AV916" s="3">
        <f t="shared" si="44"/>
        <v>0</v>
      </c>
      <c r="AW916" s="2" t="str">
        <f>IF(Registered!AV916=0,"",IF(Registered!AV916=1,Registered!AV916&amp;" Meal",Registered!AV916&amp;" Meals"))</f>
        <v/>
      </c>
      <c r="AX916" s="2" t="str">
        <f>IF(Registered!AI916=0,"",Registered!AI916&amp;" BG")</f>
        <v/>
      </c>
      <c r="AY916" s="2" t="str">
        <f>IF(Registered!AG916=0,"",Registered!AG916&amp;" DustMask")</f>
        <v/>
      </c>
    </row>
    <row r="917" spans="1:51" customFormat="1" x14ac:dyDescent="0.25">
      <c r="A917" t="s">
        <v>1421</v>
      </c>
      <c r="B917" t="s">
        <v>6027</v>
      </c>
      <c r="C917" t="s">
        <v>6090</v>
      </c>
      <c r="G917" t="s">
        <v>199</v>
      </c>
      <c r="H917" t="s">
        <v>2407</v>
      </c>
      <c r="I917" t="s">
        <v>3006</v>
      </c>
      <c r="J917" t="s">
        <v>37</v>
      </c>
      <c r="K917" t="s">
        <v>32</v>
      </c>
      <c r="L917" t="s">
        <v>35</v>
      </c>
      <c r="AQ917">
        <v>0</v>
      </c>
      <c r="AR917" s="3">
        <f t="shared" si="42"/>
        <v>0</v>
      </c>
      <c r="AS917" s="3">
        <f t="shared" si="43"/>
        <v>0</v>
      </c>
      <c r="AT917" s="3" t="str">
        <f>IF(OR(Registered!AM917&gt;0,Registered!AO917&gt;0),(IF(Registered!E917=0,"Size Not Specified",Registered!E917)),"")</f>
        <v/>
      </c>
      <c r="AU917" s="3" t="str">
        <f>IF(Registered!AE917=0,"",IF(Registered!AE917=1,Registered!AE917&amp;" Bandana",Registered!AE917&amp;" Bandanas"))</f>
        <v/>
      </c>
      <c r="AV917" s="3">
        <f t="shared" si="44"/>
        <v>0</v>
      </c>
      <c r="AW917" s="2" t="str">
        <f>IF(Registered!AV917=0,"",IF(Registered!AV917=1,Registered!AV917&amp;" Meal",Registered!AV917&amp;" Meals"))</f>
        <v/>
      </c>
      <c r="AX917" s="2" t="str">
        <f>IF(Registered!AI917=0,"",Registered!AI917&amp;" BG")</f>
        <v/>
      </c>
      <c r="AY917" s="2" t="str">
        <f>IF(Registered!AG917=0,"",Registered!AG917&amp;" DustMask")</f>
        <v/>
      </c>
    </row>
    <row r="918" spans="1:51" customFormat="1" x14ac:dyDescent="0.25">
      <c r="A918" t="s">
        <v>1421</v>
      </c>
      <c r="B918" t="s">
        <v>6028</v>
      </c>
      <c r="C918" t="s">
        <v>6090</v>
      </c>
      <c r="G918" t="s">
        <v>56</v>
      </c>
      <c r="H918" t="s">
        <v>3842</v>
      </c>
      <c r="I918" t="s">
        <v>3843</v>
      </c>
      <c r="J918" t="s">
        <v>37</v>
      </c>
      <c r="K918" t="s">
        <v>32</v>
      </c>
      <c r="L918" t="s">
        <v>35</v>
      </c>
      <c r="AQ918">
        <v>0</v>
      </c>
      <c r="AR918" s="3">
        <f t="shared" si="42"/>
        <v>0</v>
      </c>
      <c r="AS918" s="3">
        <f t="shared" si="43"/>
        <v>0</v>
      </c>
      <c r="AT918" s="3" t="str">
        <f>IF(OR(Registered!AM918&gt;0,Registered!AO918&gt;0),(IF(Registered!E918=0,"Size Not Specified",Registered!E918)),"")</f>
        <v/>
      </c>
      <c r="AU918" s="3" t="str">
        <f>IF(Registered!AE918=0,"",IF(Registered!AE918=1,Registered!AE918&amp;" Bandana",Registered!AE918&amp;" Bandanas"))</f>
        <v/>
      </c>
      <c r="AV918" s="3">
        <f t="shared" si="44"/>
        <v>0</v>
      </c>
      <c r="AW918" s="2" t="str">
        <f>IF(Registered!AV918=0,"",IF(Registered!AV918=1,Registered!AV918&amp;" Meal",Registered!AV918&amp;" Meals"))</f>
        <v/>
      </c>
      <c r="AX918" s="2" t="str">
        <f>IF(Registered!AI918=0,"",Registered!AI918&amp;" BG")</f>
        <v/>
      </c>
      <c r="AY918" s="2" t="str">
        <f>IF(Registered!AG918=0,"",Registered!AG918&amp;" DustMask")</f>
        <v/>
      </c>
    </row>
    <row r="919" spans="1:51" customFormat="1" x14ac:dyDescent="0.25">
      <c r="A919" t="s">
        <v>1421</v>
      </c>
      <c r="B919" t="s">
        <v>6029</v>
      </c>
      <c r="C919" t="s">
        <v>6090</v>
      </c>
      <c r="G919" t="s">
        <v>4584</v>
      </c>
      <c r="H919" t="s">
        <v>4585</v>
      </c>
      <c r="I919" t="s">
        <v>4586</v>
      </c>
      <c r="J919" t="s">
        <v>37</v>
      </c>
      <c r="K919" t="s">
        <v>32</v>
      </c>
      <c r="L919" t="s">
        <v>35</v>
      </c>
      <c r="AQ919">
        <v>0</v>
      </c>
      <c r="AR919" s="3">
        <f t="shared" si="42"/>
        <v>0</v>
      </c>
      <c r="AS919" s="3">
        <f t="shared" si="43"/>
        <v>0</v>
      </c>
      <c r="AT919" s="3" t="str">
        <f>IF(OR(Registered!AM919&gt;0,Registered!AO919&gt;0),(IF(Registered!E919=0,"Size Not Specified",Registered!E919)),"")</f>
        <v/>
      </c>
      <c r="AU919" s="3" t="str">
        <f>IF(Registered!AE919=0,"",IF(Registered!AE919=1,Registered!AE919&amp;" Bandana",Registered!AE919&amp;" Bandanas"))</f>
        <v/>
      </c>
      <c r="AV919" s="3">
        <f t="shared" si="44"/>
        <v>0</v>
      </c>
      <c r="AW919" s="2" t="str">
        <f>IF(Registered!AV919=0,"",IF(Registered!AV919=1,Registered!AV919&amp;" Meal",Registered!AV919&amp;" Meals"))</f>
        <v/>
      </c>
      <c r="AX919" s="2" t="str">
        <f>IF(Registered!AI919=0,"",Registered!AI919&amp;" BG")</f>
        <v/>
      </c>
      <c r="AY919" s="2" t="str">
        <f>IF(Registered!AG919=0,"",Registered!AG919&amp;" DustMask")</f>
        <v/>
      </c>
    </row>
    <row r="920" spans="1:51" customFormat="1" x14ac:dyDescent="0.25">
      <c r="A920" t="s">
        <v>1421</v>
      </c>
      <c r="B920" t="s">
        <v>6030</v>
      </c>
      <c r="C920" t="s">
        <v>6090</v>
      </c>
      <c r="G920" t="s">
        <v>434</v>
      </c>
      <c r="H920" t="s">
        <v>4590</v>
      </c>
      <c r="I920" t="s">
        <v>4591</v>
      </c>
      <c r="J920" t="s">
        <v>37</v>
      </c>
      <c r="K920" t="s">
        <v>32</v>
      </c>
      <c r="L920" t="s">
        <v>35</v>
      </c>
      <c r="AQ920">
        <v>0</v>
      </c>
      <c r="AR920" s="3">
        <f t="shared" si="42"/>
        <v>0</v>
      </c>
      <c r="AS920" s="3">
        <f t="shared" si="43"/>
        <v>0</v>
      </c>
      <c r="AT920" s="3" t="str">
        <f>IF(OR(Registered!AM920&gt;0,Registered!AO920&gt;0),(IF(Registered!E920=0,"Size Not Specified",Registered!E920)),"")</f>
        <v/>
      </c>
      <c r="AU920" s="3" t="str">
        <f>IF(Registered!AE920=0,"",IF(Registered!AE920=1,Registered!AE920&amp;" Bandana",Registered!AE920&amp;" Bandanas"))</f>
        <v/>
      </c>
      <c r="AV920" s="3">
        <f t="shared" si="44"/>
        <v>0</v>
      </c>
      <c r="AW920" s="2" t="str">
        <f>IF(Registered!AV920=0,"",IF(Registered!AV920=1,Registered!AV920&amp;" Meal",Registered!AV920&amp;" Meals"))</f>
        <v/>
      </c>
      <c r="AX920" s="2" t="str">
        <f>IF(Registered!AI920=0,"",Registered!AI920&amp;" BG")</f>
        <v/>
      </c>
      <c r="AY920" s="2" t="str">
        <f>IF(Registered!AG920=0,"",Registered!AG920&amp;" DustMask")</f>
        <v/>
      </c>
    </row>
    <row r="921" spans="1:51" customFormat="1" x14ac:dyDescent="0.25">
      <c r="A921" t="s">
        <v>1421</v>
      </c>
      <c r="B921" t="s">
        <v>6031</v>
      </c>
      <c r="C921" t="s">
        <v>6090</v>
      </c>
      <c r="G921" t="s">
        <v>255</v>
      </c>
      <c r="H921" t="s">
        <v>1423</v>
      </c>
      <c r="I921" t="s">
        <v>1424</v>
      </c>
      <c r="J921" t="s">
        <v>37</v>
      </c>
      <c r="K921" t="s">
        <v>32</v>
      </c>
      <c r="L921" t="s">
        <v>35</v>
      </c>
      <c r="AQ921">
        <v>0</v>
      </c>
      <c r="AR921" s="3">
        <f t="shared" si="42"/>
        <v>0</v>
      </c>
      <c r="AS921" s="3">
        <f t="shared" si="43"/>
        <v>0</v>
      </c>
      <c r="AT921" s="3" t="str">
        <f>IF(OR(Registered!AM921&gt;0,Registered!AO921&gt;0),(IF(Registered!E921=0,"Size Not Specified",Registered!E921)),"")</f>
        <v/>
      </c>
      <c r="AU921" s="3" t="str">
        <f>IF(Registered!AE921=0,"",IF(Registered!AE921=1,Registered!AE921&amp;" Bandana",Registered!AE921&amp;" Bandanas"))</f>
        <v/>
      </c>
      <c r="AV921" s="3">
        <f t="shared" si="44"/>
        <v>0</v>
      </c>
      <c r="AW921" s="2" t="str">
        <f>IF(Registered!AV921=0,"",IF(Registered!AV921=1,Registered!AV921&amp;" Meal",Registered!AV921&amp;" Meals"))</f>
        <v/>
      </c>
      <c r="AX921" s="2" t="str">
        <f>IF(Registered!AI921=0,"",Registered!AI921&amp;" BG")</f>
        <v/>
      </c>
      <c r="AY921" s="2" t="str">
        <f>IF(Registered!AG921=0,"",Registered!AG921&amp;" DustMask")</f>
        <v/>
      </c>
    </row>
    <row r="922" spans="1:51" customFormat="1" x14ac:dyDescent="0.25">
      <c r="A922" t="s">
        <v>1421</v>
      </c>
      <c r="B922" t="s">
        <v>6032</v>
      </c>
      <c r="C922" t="s">
        <v>6090</v>
      </c>
      <c r="G922" t="s">
        <v>798</v>
      </c>
      <c r="H922" t="s">
        <v>799</v>
      </c>
      <c r="I922" t="s">
        <v>1425</v>
      </c>
      <c r="J922" t="s">
        <v>37</v>
      </c>
      <c r="K922" t="s">
        <v>32</v>
      </c>
      <c r="L922" t="s">
        <v>35</v>
      </c>
      <c r="AQ922">
        <v>0</v>
      </c>
      <c r="AR922" s="3">
        <f t="shared" si="42"/>
        <v>0</v>
      </c>
      <c r="AS922" s="3">
        <f t="shared" si="43"/>
        <v>0</v>
      </c>
      <c r="AT922" s="3" t="str">
        <f>IF(OR(Registered!AM922&gt;0,Registered!AO922&gt;0),(IF(Registered!E922=0,"Size Not Specified",Registered!E922)),"")</f>
        <v/>
      </c>
      <c r="AU922" s="3" t="str">
        <f>IF(Registered!AE922=0,"",IF(Registered!AE922=1,Registered!AE922&amp;" Bandana",Registered!AE922&amp;" Bandanas"))</f>
        <v/>
      </c>
      <c r="AV922" s="3">
        <f t="shared" si="44"/>
        <v>0</v>
      </c>
      <c r="AW922" s="2" t="str">
        <f>IF(Registered!AV922=0,"",IF(Registered!AV922=1,Registered!AV922&amp;" Meal",Registered!AV922&amp;" Meals"))</f>
        <v/>
      </c>
      <c r="AX922" s="2" t="str">
        <f>IF(Registered!AI922=0,"",Registered!AI922&amp;" BG")</f>
        <v/>
      </c>
      <c r="AY922" s="2" t="str">
        <f>IF(Registered!AG922=0,"",Registered!AG922&amp;" DustMask")</f>
        <v/>
      </c>
    </row>
    <row r="923" spans="1:51" customFormat="1" x14ac:dyDescent="0.25">
      <c r="A923" t="s">
        <v>1421</v>
      </c>
      <c r="B923" t="s">
        <v>6033</v>
      </c>
      <c r="C923" t="s">
        <v>6090</v>
      </c>
      <c r="G923" t="s">
        <v>1430</v>
      </c>
      <c r="H923" t="s">
        <v>945</v>
      </c>
      <c r="I923" t="s">
        <v>1431</v>
      </c>
      <c r="J923" t="s">
        <v>37</v>
      </c>
      <c r="K923" t="s">
        <v>32</v>
      </c>
      <c r="L923" t="s">
        <v>35</v>
      </c>
      <c r="AQ923">
        <v>0</v>
      </c>
      <c r="AR923" s="3">
        <f t="shared" si="42"/>
        <v>0</v>
      </c>
      <c r="AS923" s="3">
        <f t="shared" si="43"/>
        <v>0</v>
      </c>
      <c r="AT923" s="3" t="str">
        <f>IF(OR(Registered!AM923&gt;0,Registered!AO923&gt;0),(IF(Registered!E923=0,"Size Not Specified",Registered!E923)),"")</f>
        <v/>
      </c>
      <c r="AU923" s="3" t="str">
        <f>IF(Registered!AE923=0,"",IF(Registered!AE923=1,Registered!AE923&amp;" Bandana",Registered!AE923&amp;" Bandanas"))</f>
        <v/>
      </c>
      <c r="AV923" s="3">
        <f t="shared" si="44"/>
        <v>0</v>
      </c>
      <c r="AW923" s="2" t="str">
        <f>IF(Registered!AV923=0,"",IF(Registered!AV923=1,Registered!AV923&amp;" Meal",Registered!AV923&amp;" Meals"))</f>
        <v/>
      </c>
      <c r="AX923" s="2" t="str">
        <f>IF(Registered!AI923=0,"",Registered!AI923&amp;" BG")</f>
        <v/>
      </c>
      <c r="AY923" s="2" t="str">
        <f>IF(Registered!AG923=0,"",Registered!AG923&amp;" DustMask")</f>
        <v/>
      </c>
    </row>
    <row r="924" spans="1:51" customFormat="1" x14ac:dyDescent="0.25">
      <c r="A924" t="s">
        <v>1421</v>
      </c>
      <c r="B924" t="s">
        <v>6034</v>
      </c>
      <c r="C924" t="s">
        <v>6090</v>
      </c>
      <c r="G924" t="s">
        <v>1432</v>
      </c>
      <c r="H924" t="s">
        <v>1433</v>
      </c>
      <c r="I924" t="s">
        <v>1434</v>
      </c>
      <c r="J924" t="s">
        <v>37</v>
      </c>
      <c r="K924" t="s">
        <v>32</v>
      </c>
      <c r="L924" t="s">
        <v>35</v>
      </c>
      <c r="AQ924">
        <v>0</v>
      </c>
      <c r="AR924" s="3">
        <f t="shared" si="42"/>
        <v>0</v>
      </c>
      <c r="AS924" s="3">
        <f t="shared" si="43"/>
        <v>0</v>
      </c>
      <c r="AT924" s="3" t="str">
        <f>IF(OR(Registered!AM924&gt;0,Registered!AO924&gt;0),(IF(Registered!E924=0,"Size Not Specified",Registered!E924)),"")</f>
        <v/>
      </c>
      <c r="AU924" s="3" t="str">
        <f>IF(Registered!AE924=0,"",IF(Registered!AE924=1,Registered!AE924&amp;" Bandana",Registered!AE924&amp;" Bandanas"))</f>
        <v/>
      </c>
      <c r="AV924" s="3">
        <f t="shared" si="44"/>
        <v>0</v>
      </c>
      <c r="AW924" s="2" t="str">
        <f>IF(Registered!AV924=0,"",IF(Registered!AV924=1,Registered!AV924&amp;" Meal",Registered!AV924&amp;" Meals"))</f>
        <v/>
      </c>
      <c r="AX924" s="2" t="str">
        <f>IF(Registered!AI924=0,"",Registered!AI924&amp;" BG")</f>
        <v/>
      </c>
      <c r="AY924" s="2" t="str">
        <f>IF(Registered!AG924=0,"",Registered!AG924&amp;" DustMask")</f>
        <v/>
      </c>
    </row>
    <row r="925" spans="1:51" customFormat="1" x14ac:dyDescent="0.25">
      <c r="A925" t="s">
        <v>335</v>
      </c>
      <c r="B925" t="s">
        <v>6035</v>
      </c>
      <c r="C925" t="s">
        <v>6090</v>
      </c>
      <c r="G925" t="s">
        <v>178</v>
      </c>
      <c r="H925" t="s">
        <v>671</v>
      </c>
      <c r="I925" t="s">
        <v>672</v>
      </c>
      <c r="J925" t="s">
        <v>37</v>
      </c>
      <c r="K925" t="s">
        <v>32</v>
      </c>
      <c r="L925" t="s">
        <v>35</v>
      </c>
      <c r="AQ925">
        <v>0</v>
      </c>
      <c r="AR925" s="3">
        <f t="shared" si="42"/>
        <v>0</v>
      </c>
      <c r="AS925" s="3">
        <f t="shared" si="43"/>
        <v>0</v>
      </c>
      <c r="AT925" s="3" t="str">
        <f>IF(OR(Registered!AM925&gt;0,Registered!AO925&gt;0),(IF(Registered!E925=0,"Size Not Specified",Registered!E925)),"")</f>
        <v/>
      </c>
      <c r="AU925" s="3" t="str">
        <f>IF(Registered!AE925=0,"",IF(Registered!AE925=1,Registered!AE925&amp;" Bandana",Registered!AE925&amp;" Bandanas"))</f>
        <v/>
      </c>
      <c r="AV925" s="3">
        <f t="shared" si="44"/>
        <v>0</v>
      </c>
      <c r="AW925" s="2" t="str">
        <f>IF(Registered!AV925=0,"",IF(Registered!AV925=1,Registered!AV925&amp;" Meal",Registered!AV925&amp;" Meals"))</f>
        <v/>
      </c>
      <c r="AX925" s="2" t="str">
        <f>IF(Registered!AI925=0,"",Registered!AI925&amp;" BG")</f>
        <v/>
      </c>
      <c r="AY925" s="2" t="str">
        <f>IF(Registered!AG925=0,"",Registered!AG925&amp;" DustMask")</f>
        <v/>
      </c>
    </row>
    <row r="926" spans="1:51" customFormat="1" x14ac:dyDescent="0.25">
      <c r="A926" t="s">
        <v>100</v>
      </c>
      <c r="B926" t="s">
        <v>6036</v>
      </c>
      <c r="C926" t="s">
        <v>6090</v>
      </c>
      <c r="G926" t="s">
        <v>3599</v>
      </c>
      <c r="H926" t="s">
        <v>628</v>
      </c>
      <c r="I926" t="s">
        <v>3600</v>
      </c>
      <c r="J926" t="s">
        <v>37</v>
      </c>
      <c r="K926" t="s">
        <v>32</v>
      </c>
      <c r="L926" t="s">
        <v>35</v>
      </c>
      <c r="AQ926">
        <v>0</v>
      </c>
      <c r="AR926" s="3">
        <f t="shared" si="42"/>
        <v>0</v>
      </c>
      <c r="AS926" s="3">
        <f t="shared" si="43"/>
        <v>0</v>
      </c>
      <c r="AT926" s="3" t="str">
        <f>IF(OR(Registered!AM926&gt;0,Registered!AO926&gt;0),(IF(Registered!E926=0,"Size Not Specified",Registered!E926)),"")</f>
        <v/>
      </c>
      <c r="AU926" s="3" t="str">
        <f>IF(Registered!AE926=0,"",IF(Registered!AE926=1,Registered!AE926&amp;" Bandana",Registered!AE926&amp;" Bandanas"))</f>
        <v/>
      </c>
      <c r="AV926" s="3">
        <f t="shared" si="44"/>
        <v>0</v>
      </c>
      <c r="AW926" s="2" t="str">
        <f>IF(Registered!AV926=0,"",IF(Registered!AV926=1,Registered!AV926&amp;" Meal",Registered!AV926&amp;" Meals"))</f>
        <v/>
      </c>
      <c r="AX926" s="2" t="str">
        <f>IF(Registered!AI926=0,"",Registered!AI926&amp;" BG")</f>
        <v/>
      </c>
      <c r="AY926" s="2" t="str">
        <f>IF(Registered!AG926=0,"",Registered!AG926&amp;" DustMask")</f>
        <v/>
      </c>
    </row>
    <row r="927" spans="1:51" customFormat="1" x14ac:dyDescent="0.25">
      <c r="A927" t="s">
        <v>253</v>
      </c>
      <c r="B927" t="s">
        <v>6037</v>
      </c>
      <c r="C927" t="s">
        <v>6090</v>
      </c>
      <c r="G927" t="s">
        <v>121</v>
      </c>
      <c r="H927" t="s">
        <v>380</v>
      </c>
      <c r="I927" t="s">
        <v>4593</v>
      </c>
      <c r="J927" t="s">
        <v>37</v>
      </c>
      <c r="K927" t="s">
        <v>32</v>
      </c>
      <c r="L927" t="s">
        <v>35</v>
      </c>
      <c r="AQ927">
        <v>0</v>
      </c>
      <c r="AR927" s="3">
        <f t="shared" si="42"/>
        <v>0</v>
      </c>
      <c r="AS927" s="3">
        <f t="shared" si="43"/>
        <v>0</v>
      </c>
      <c r="AT927" s="3" t="str">
        <f>IF(OR(Registered!AM927&gt;0,Registered!AO927&gt;0),(IF(Registered!E927=0,"Size Not Specified",Registered!E927)),"")</f>
        <v/>
      </c>
      <c r="AU927" s="3" t="str">
        <f>IF(Registered!AE927=0,"",IF(Registered!AE927=1,Registered!AE927&amp;" Bandana",Registered!AE927&amp;" Bandanas"))</f>
        <v/>
      </c>
      <c r="AV927" s="3">
        <f t="shared" si="44"/>
        <v>0</v>
      </c>
      <c r="AW927" s="2" t="str">
        <f>IF(Registered!AV927=0,"",IF(Registered!AV927=1,Registered!AV927&amp;" Meal",Registered!AV927&amp;" Meals"))</f>
        <v/>
      </c>
      <c r="AX927" s="2" t="str">
        <f>IF(Registered!AI927=0,"",Registered!AI927&amp;" BG")</f>
        <v/>
      </c>
      <c r="AY927" s="2" t="str">
        <f>IF(Registered!AG927=0,"",Registered!AG927&amp;" DustMask")</f>
        <v/>
      </c>
    </row>
    <row r="928" spans="1:51" customFormat="1" x14ac:dyDescent="0.25">
      <c r="A928" t="s">
        <v>1438</v>
      </c>
      <c r="B928" t="s">
        <v>6026</v>
      </c>
      <c r="C928" t="s">
        <v>6090</v>
      </c>
      <c r="G928" t="s">
        <v>3001</v>
      </c>
      <c r="H928" t="s">
        <v>3002</v>
      </c>
      <c r="I928" t="s">
        <v>3003</v>
      </c>
      <c r="J928" t="s">
        <v>37</v>
      </c>
      <c r="K928" t="s">
        <v>32</v>
      </c>
      <c r="L928" t="s">
        <v>35</v>
      </c>
      <c r="AQ928">
        <v>0</v>
      </c>
      <c r="AR928" s="3">
        <f t="shared" si="42"/>
        <v>0</v>
      </c>
      <c r="AS928" s="3">
        <f t="shared" si="43"/>
        <v>0</v>
      </c>
      <c r="AT928" s="3" t="str">
        <f>IF(OR(Registered!AM928&gt;0,Registered!AO928&gt;0),(IF(Registered!E928=0,"Size Not Specified",Registered!E928)),"")</f>
        <v/>
      </c>
      <c r="AU928" s="3" t="str">
        <f>IF(Registered!AE928=0,"",IF(Registered!AE928=1,Registered!AE928&amp;" Bandana",Registered!AE928&amp;" Bandanas"))</f>
        <v/>
      </c>
      <c r="AV928" s="3">
        <f t="shared" si="44"/>
        <v>0</v>
      </c>
      <c r="AW928" s="2" t="str">
        <f>IF(Registered!AV928=0,"",IF(Registered!AV928=1,Registered!AV928&amp;" Meal",Registered!AV928&amp;" Meals"))</f>
        <v/>
      </c>
      <c r="AX928" s="2" t="str">
        <f>IF(Registered!AI928=0,"",Registered!AI928&amp;" BG")</f>
        <v/>
      </c>
      <c r="AY928" s="2" t="str">
        <f>IF(Registered!AG928=0,"",Registered!AG928&amp;" DustMask")</f>
        <v/>
      </c>
    </row>
    <row r="929" spans="1:51" customFormat="1" x14ac:dyDescent="0.25">
      <c r="A929" t="s">
        <v>1438</v>
      </c>
      <c r="B929" t="s">
        <v>6029</v>
      </c>
      <c r="C929" t="s">
        <v>6090</v>
      </c>
      <c r="G929" t="s">
        <v>4584</v>
      </c>
      <c r="H929" t="s">
        <v>4585</v>
      </c>
      <c r="I929" t="s">
        <v>4586</v>
      </c>
      <c r="J929" t="s">
        <v>37</v>
      </c>
      <c r="K929" t="s">
        <v>32</v>
      </c>
      <c r="L929" t="s">
        <v>35</v>
      </c>
      <c r="AQ929">
        <v>0</v>
      </c>
      <c r="AR929" s="3">
        <f t="shared" si="42"/>
        <v>0</v>
      </c>
      <c r="AS929" s="3">
        <f t="shared" si="43"/>
        <v>0</v>
      </c>
      <c r="AT929" s="3" t="str">
        <f>IF(OR(Registered!AM929&gt;0,Registered!AO929&gt;0),(IF(Registered!E929=0,"Size Not Specified",Registered!E929)),"")</f>
        <v/>
      </c>
      <c r="AU929" s="3" t="str">
        <f>IF(Registered!AE929=0,"",IF(Registered!AE929=1,Registered!AE929&amp;" Bandana",Registered!AE929&amp;" Bandanas"))</f>
        <v/>
      </c>
      <c r="AV929" s="3">
        <f t="shared" si="44"/>
        <v>0</v>
      </c>
      <c r="AW929" s="2" t="str">
        <f>IF(Registered!AV929=0,"",IF(Registered!AV929=1,Registered!AV929&amp;" Meal",Registered!AV929&amp;" Meals"))</f>
        <v/>
      </c>
      <c r="AX929" s="2" t="str">
        <f>IF(Registered!AI929=0,"",Registered!AI929&amp;" BG")</f>
        <v/>
      </c>
      <c r="AY929" s="2" t="str">
        <f>IF(Registered!AG929=0,"",Registered!AG929&amp;" DustMask")</f>
        <v/>
      </c>
    </row>
    <row r="930" spans="1:51" customFormat="1" x14ac:dyDescent="0.25">
      <c r="A930" t="s">
        <v>1438</v>
      </c>
      <c r="B930" t="s">
        <v>6038</v>
      </c>
      <c r="C930" t="s">
        <v>6090</v>
      </c>
      <c r="G930" t="s">
        <v>3514</v>
      </c>
      <c r="H930" t="s">
        <v>4594</v>
      </c>
      <c r="I930" t="s">
        <v>4595</v>
      </c>
      <c r="J930" t="s">
        <v>37</v>
      </c>
      <c r="K930" t="s">
        <v>32</v>
      </c>
      <c r="L930" t="s">
        <v>35</v>
      </c>
      <c r="AQ930">
        <v>0</v>
      </c>
      <c r="AR930" s="3">
        <f t="shared" si="42"/>
        <v>0</v>
      </c>
      <c r="AS930" s="3">
        <f t="shared" si="43"/>
        <v>0</v>
      </c>
      <c r="AT930" s="3" t="str">
        <f>IF(OR(Registered!AM930&gt;0,Registered!AO930&gt;0),(IF(Registered!E930=0,"Size Not Specified",Registered!E930)),"")</f>
        <v/>
      </c>
      <c r="AU930" s="3" t="str">
        <f>IF(Registered!AE930=0,"",IF(Registered!AE930=1,Registered!AE930&amp;" Bandana",Registered!AE930&amp;" Bandanas"))</f>
        <v/>
      </c>
      <c r="AV930" s="3">
        <f t="shared" si="44"/>
        <v>0</v>
      </c>
      <c r="AW930" s="2" t="str">
        <f>IF(Registered!AV930=0,"",IF(Registered!AV930=1,Registered!AV930&amp;" Meal",Registered!AV930&amp;" Meals"))</f>
        <v/>
      </c>
      <c r="AX930" s="2" t="str">
        <f>IF(Registered!AI930=0,"",Registered!AI930&amp;" BG")</f>
        <v/>
      </c>
      <c r="AY930" s="2" t="str">
        <f>IF(Registered!AG930=0,"",Registered!AG930&amp;" DustMask")</f>
        <v/>
      </c>
    </row>
    <row r="931" spans="1:51" customFormat="1" x14ac:dyDescent="0.25">
      <c r="A931" t="s">
        <v>1438</v>
      </c>
      <c r="B931" t="s">
        <v>6039</v>
      </c>
      <c r="C931" t="s">
        <v>6090</v>
      </c>
      <c r="G931" t="s">
        <v>90</v>
      </c>
      <c r="H931" t="s">
        <v>4596</v>
      </c>
      <c r="I931" t="s">
        <v>4343</v>
      </c>
      <c r="J931" t="s">
        <v>37</v>
      </c>
      <c r="K931" t="s">
        <v>32</v>
      </c>
      <c r="L931" t="s">
        <v>35</v>
      </c>
      <c r="AQ931">
        <v>0</v>
      </c>
      <c r="AR931" s="3">
        <f t="shared" si="42"/>
        <v>0</v>
      </c>
      <c r="AS931" s="3">
        <f t="shared" si="43"/>
        <v>0</v>
      </c>
      <c r="AT931" s="3" t="str">
        <f>IF(OR(Registered!AM931&gt;0,Registered!AO931&gt;0),(IF(Registered!E931=0,"Size Not Specified",Registered!E931)),"")</f>
        <v/>
      </c>
      <c r="AU931" s="3" t="str">
        <f>IF(Registered!AE931=0,"",IF(Registered!AE931=1,Registered!AE931&amp;" Bandana",Registered!AE931&amp;" Bandanas"))</f>
        <v/>
      </c>
      <c r="AV931" s="3">
        <f t="shared" si="44"/>
        <v>0</v>
      </c>
      <c r="AW931" s="2" t="str">
        <f>IF(Registered!AV931=0,"",IF(Registered!AV931=1,Registered!AV931&amp;" Meal",Registered!AV931&amp;" Meals"))</f>
        <v/>
      </c>
      <c r="AX931" s="2" t="str">
        <f>IF(Registered!AI931=0,"",Registered!AI931&amp;" BG")</f>
        <v/>
      </c>
      <c r="AY931" s="2" t="str">
        <f>IF(Registered!AG931=0,"",Registered!AG931&amp;" DustMask")</f>
        <v/>
      </c>
    </row>
    <row r="932" spans="1:51" customFormat="1" x14ac:dyDescent="0.25">
      <c r="A932" t="s">
        <v>281</v>
      </c>
      <c r="B932" t="s">
        <v>6040</v>
      </c>
      <c r="C932" t="s">
        <v>6090</v>
      </c>
      <c r="G932" t="s">
        <v>1430</v>
      </c>
      <c r="H932" t="s">
        <v>376</v>
      </c>
      <c r="I932" t="s">
        <v>1440</v>
      </c>
      <c r="J932" t="s">
        <v>37</v>
      </c>
      <c r="K932" t="s">
        <v>32</v>
      </c>
      <c r="L932" t="s">
        <v>35</v>
      </c>
      <c r="AQ932">
        <v>0</v>
      </c>
      <c r="AR932" s="3">
        <f t="shared" si="42"/>
        <v>0</v>
      </c>
      <c r="AS932" s="3">
        <f t="shared" si="43"/>
        <v>0</v>
      </c>
      <c r="AT932" s="3" t="str">
        <f>IF(OR(Registered!AM932&gt;0,Registered!AO932&gt;0),(IF(Registered!E932=0,"Size Not Specified",Registered!E932)),"")</f>
        <v/>
      </c>
      <c r="AU932" s="3" t="str">
        <f>IF(Registered!AE932=0,"",IF(Registered!AE932=1,Registered!AE932&amp;" Bandana",Registered!AE932&amp;" Bandanas"))</f>
        <v/>
      </c>
      <c r="AV932" s="3">
        <f t="shared" si="44"/>
        <v>0</v>
      </c>
      <c r="AW932" s="2" t="str">
        <f>IF(Registered!AV932=0,"",IF(Registered!AV932=1,Registered!AV932&amp;" Meal",Registered!AV932&amp;" Meals"))</f>
        <v/>
      </c>
      <c r="AX932" s="2" t="str">
        <f>IF(Registered!AI932=0,"",Registered!AI932&amp;" BG")</f>
        <v/>
      </c>
      <c r="AY932" s="2" t="str">
        <f>IF(Registered!AG932=0,"",Registered!AG932&amp;" DustMask")</f>
        <v/>
      </c>
    </row>
    <row r="933" spans="1:51" customFormat="1" x14ac:dyDescent="0.25">
      <c r="A933" t="s">
        <v>4597</v>
      </c>
      <c r="B933" t="s">
        <v>6036</v>
      </c>
      <c r="C933" t="s">
        <v>6090</v>
      </c>
      <c r="G933" t="s">
        <v>3599</v>
      </c>
      <c r="H933" t="s">
        <v>628</v>
      </c>
      <c r="I933" t="s">
        <v>3600</v>
      </c>
      <c r="J933" t="s">
        <v>37</v>
      </c>
      <c r="K933" t="s">
        <v>32</v>
      </c>
      <c r="L933" t="s">
        <v>35</v>
      </c>
      <c r="AQ933">
        <v>0</v>
      </c>
      <c r="AR933" s="3">
        <f t="shared" si="42"/>
        <v>0</v>
      </c>
      <c r="AS933" s="3">
        <f t="shared" si="43"/>
        <v>0</v>
      </c>
      <c r="AT933" s="3" t="str">
        <f>IF(OR(Registered!AM933&gt;0,Registered!AO933&gt;0),(IF(Registered!E933=0,"Size Not Specified",Registered!E933)),"")</f>
        <v/>
      </c>
      <c r="AU933" s="3" t="str">
        <f>IF(Registered!AE933=0,"",IF(Registered!AE933=1,Registered!AE933&amp;" Bandana",Registered!AE933&amp;" Bandanas"))</f>
        <v/>
      </c>
      <c r="AV933" s="3">
        <f t="shared" si="44"/>
        <v>0</v>
      </c>
      <c r="AW933" s="2" t="str">
        <f>IF(Registered!AV933=0,"",IF(Registered!AV933=1,Registered!AV933&amp;" Meal",Registered!AV933&amp;" Meals"))</f>
        <v/>
      </c>
      <c r="AX933" s="2" t="str">
        <f>IF(Registered!AI933=0,"",Registered!AI933&amp;" BG")</f>
        <v/>
      </c>
      <c r="AY933" s="2" t="str">
        <f>IF(Registered!AG933=0,"",Registered!AG933&amp;" DustMask")</f>
        <v/>
      </c>
    </row>
    <row r="934" spans="1:51" customFormat="1" x14ac:dyDescent="0.25">
      <c r="A934" t="s">
        <v>163</v>
      </c>
      <c r="B934" t="s">
        <v>6023</v>
      </c>
      <c r="C934" t="s">
        <v>6090</v>
      </c>
      <c r="G934" t="s">
        <v>2992</v>
      </c>
      <c r="H934" t="s">
        <v>2993</v>
      </c>
      <c r="I934" t="s">
        <v>2994</v>
      </c>
      <c r="J934" t="s">
        <v>37</v>
      </c>
      <c r="K934" t="s">
        <v>32</v>
      </c>
      <c r="L934" t="s">
        <v>35</v>
      </c>
      <c r="AQ934">
        <v>0</v>
      </c>
      <c r="AR934" s="3">
        <f t="shared" si="42"/>
        <v>0</v>
      </c>
      <c r="AS934" s="3">
        <f t="shared" si="43"/>
        <v>0</v>
      </c>
      <c r="AT934" s="3" t="str">
        <f>IF(OR(Registered!AM934&gt;0,Registered!AO934&gt;0),(IF(Registered!E934=0,"Size Not Specified",Registered!E934)),"")</f>
        <v/>
      </c>
      <c r="AU934" s="3" t="str">
        <f>IF(Registered!AE934=0,"",IF(Registered!AE934=1,Registered!AE934&amp;" Bandana",Registered!AE934&amp;" Bandanas"))</f>
        <v/>
      </c>
      <c r="AV934" s="3">
        <f t="shared" si="44"/>
        <v>0</v>
      </c>
      <c r="AW934" s="2" t="str">
        <f>IF(Registered!AV934=0,"",IF(Registered!AV934=1,Registered!AV934&amp;" Meal",Registered!AV934&amp;" Meals"))</f>
        <v/>
      </c>
      <c r="AX934" s="2" t="str">
        <f>IF(Registered!AI934=0,"",Registered!AI934&amp;" BG")</f>
        <v/>
      </c>
      <c r="AY934" s="2" t="str">
        <f>IF(Registered!AG934=0,"",Registered!AG934&amp;" DustMask")</f>
        <v/>
      </c>
    </row>
    <row r="935" spans="1:51" customFormat="1" x14ac:dyDescent="0.25">
      <c r="A935" t="s">
        <v>4598</v>
      </c>
      <c r="B935" t="s">
        <v>6037</v>
      </c>
      <c r="C935" t="s">
        <v>6090</v>
      </c>
      <c r="G935" t="s">
        <v>121</v>
      </c>
      <c r="H935" t="s">
        <v>380</v>
      </c>
      <c r="I935" t="s">
        <v>4593</v>
      </c>
      <c r="J935" t="s">
        <v>37</v>
      </c>
      <c r="K935" t="s">
        <v>32</v>
      </c>
      <c r="L935" t="s">
        <v>35</v>
      </c>
      <c r="AQ935">
        <v>0</v>
      </c>
      <c r="AR935" s="3">
        <f t="shared" si="42"/>
        <v>0</v>
      </c>
      <c r="AS935" s="3">
        <f t="shared" si="43"/>
        <v>0</v>
      </c>
      <c r="AT935" s="3" t="str">
        <f>IF(OR(Registered!AM935&gt;0,Registered!AO935&gt;0),(IF(Registered!E935=0,"Size Not Specified",Registered!E935)),"")</f>
        <v/>
      </c>
      <c r="AU935" s="3" t="str">
        <f>IF(Registered!AE935=0,"",IF(Registered!AE935=1,Registered!AE935&amp;" Bandana",Registered!AE935&amp;" Bandanas"))</f>
        <v/>
      </c>
      <c r="AV935" s="3">
        <f t="shared" si="44"/>
        <v>0</v>
      </c>
      <c r="AW935" s="2" t="str">
        <f>IF(Registered!AV935=0,"",IF(Registered!AV935=1,Registered!AV935&amp;" Meal",Registered!AV935&amp;" Meals"))</f>
        <v/>
      </c>
      <c r="AX935" s="2" t="str">
        <f>IF(Registered!AI935=0,"",Registered!AI935&amp;" BG")</f>
        <v/>
      </c>
      <c r="AY935" s="2" t="str">
        <f>IF(Registered!AG935=0,"",Registered!AG935&amp;" DustMask")</f>
        <v/>
      </c>
    </row>
    <row r="936" spans="1:51" customFormat="1" x14ac:dyDescent="0.25">
      <c r="A936" t="s">
        <v>1441</v>
      </c>
      <c r="B936" t="s">
        <v>6035</v>
      </c>
      <c r="C936" t="s">
        <v>6090</v>
      </c>
      <c r="G936" t="s">
        <v>178</v>
      </c>
      <c r="H936" t="s">
        <v>671</v>
      </c>
      <c r="I936" t="s">
        <v>672</v>
      </c>
      <c r="J936" t="s">
        <v>37</v>
      </c>
      <c r="K936" t="s">
        <v>32</v>
      </c>
      <c r="L936" t="s">
        <v>35</v>
      </c>
      <c r="AQ936">
        <v>0</v>
      </c>
      <c r="AR936" s="3">
        <f t="shared" si="42"/>
        <v>0</v>
      </c>
      <c r="AS936" s="3">
        <f t="shared" si="43"/>
        <v>0</v>
      </c>
      <c r="AT936" s="3" t="str">
        <f>IF(OR(Registered!AM936&gt;0,Registered!AO936&gt;0),(IF(Registered!E936=0,"Size Not Specified",Registered!E936)),"")</f>
        <v/>
      </c>
      <c r="AU936" s="3" t="str">
        <f>IF(Registered!AE936=0,"",IF(Registered!AE936=1,Registered!AE936&amp;" Bandana",Registered!AE936&amp;" Bandanas"))</f>
        <v/>
      </c>
      <c r="AV936" s="3">
        <f t="shared" si="44"/>
        <v>0</v>
      </c>
      <c r="AW936" s="2" t="str">
        <f>IF(Registered!AV936=0,"",IF(Registered!AV936=1,Registered!AV936&amp;" Meal",Registered!AV936&amp;" Meals"))</f>
        <v/>
      </c>
      <c r="AX936" s="2" t="str">
        <f>IF(Registered!AI936=0,"",Registered!AI936&amp;" BG")</f>
        <v/>
      </c>
      <c r="AY936" s="2" t="str">
        <f>IF(Registered!AG936=0,"",Registered!AG936&amp;" DustMask")</f>
        <v/>
      </c>
    </row>
    <row r="937" spans="1:51" customFormat="1" x14ac:dyDescent="0.25">
      <c r="A937" t="s">
        <v>4599</v>
      </c>
      <c r="B937" t="s">
        <v>6022</v>
      </c>
      <c r="C937" t="s">
        <v>6090</v>
      </c>
      <c r="G937" t="s">
        <v>266</v>
      </c>
      <c r="H937" t="s">
        <v>4458</v>
      </c>
      <c r="I937" t="s">
        <v>4460</v>
      </c>
      <c r="J937" t="s">
        <v>37</v>
      </c>
      <c r="K937" t="s">
        <v>32</v>
      </c>
      <c r="L937" t="s">
        <v>35</v>
      </c>
      <c r="AQ937">
        <v>0</v>
      </c>
      <c r="AR937" s="3">
        <f t="shared" si="42"/>
        <v>0</v>
      </c>
      <c r="AS937" s="3">
        <f t="shared" si="43"/>
        <v>0</v>
      </c>
      <c r="AT937" s="3" t="str">
        <f>IF(OR(Registered!AM937&gt;0,Registered!AO937&gt;0),(IF(Registered!E937=0,"Size Not Specified",Registered!E937)),"")</f>
        <v/>
      </c>
      <c r="AU937" s="3" t="str">
        <f>IF(Registered!AE937=0,"",IF(Registered!AE937=1,Registered!AE937&amp;" Bandana",Registered!AE937&amp;" Bandanas"))</f>
        <v/>
      </c>
      <c r="AV937" s="3">
        <f t="shared" si="44"/>
        <v>0</v>
      </c>
      <c r="AW937" s="2" t="str">
        <f>IF(Registered!AV937=0,"",IF(Registered!AV937=1,Registered!AV937&amp;" Meal",Registered!AV937&amp;" Meals"))</f>
        <v/>
      </c>
      <c r="AX937" s="2" t="str">
        <f>IF(Registered!AI937=0,"",Registered!AI937&amp;" BG")</f>
        <v/>
      </c>
      <c r="AY937" s="2" t="str">
        <f>IF(Registered!AG937=0,"",Registered!AG937&amp;" DustMask")</f>
        <v/>
      </c>
    </row>
    <row r="938" spans="1:51" customFormat="1" x14ac:dyDescent="0.25">
      <c r="A938" t="s">
        <v>4600</v>
      </c>
      <c r="B938" t="s">
        <v>6024</v>
      </c>
      <c r="C938" t="s">
        <v>6090</v>
      </c>
      <c r="G938" t="s">
        <v>165</v>
      </c>
      <c r="H938" t="s">
        <v>4072</v>
      </c>
      <c r="I938" t="s">
        <v>4601</v>
      </c>
      <c r="J938" t="s">
        <v>37</v>
      </c>
      <c r="K938" t="s">
        <v>32</v>
      </c>
      <c r="L938" t="s">
        <v>35</v>
      </c>
      <c r="AQ938">
        <v>0</v>
      </c>
      <c r="AR938" s="3">
        <f t="shared" si="42"/>
        <v>0</v>
      </c>
      <c r="AS938" s="3">
        <f t="shared" si="43"/>
        <v>0</v>
      </c>
      <c r="AT938" s="3" t="str">
        <f>IF(OR(Registered!AM938&gt;0,Registered!AO938&gt;0),(IF(Registered!E938=0,"Size Not Specified",Registered!E938)),"")</f>
        <v/>
      </c>
      <c r="AU938" s="3" t="str">
        <f>IF(Registered!AE938=0,"",IF(Registered!AE938=1,Registered!AE938&amp;" Bandana",Registered!AE938&amp;" Bandanas"))</f>
        <v/>
      </c>
      <c r="AV938" s="3">
        <f t="shared" si="44"/>
        <v>0</v>
      </c>
      <c r="AW938" s="2" t="str">
        <f>IF(Registered!AV938=0,"",IF(Registered!AV938=1,Registered!AV938&amp;" Meal",Registered!AV938&amp;" Meals"))</f>
        <v/>
      </c>
      <c r="AX938" s="2" t="str">
        <f>IF(Registered!AI938=0,"",Registered!AI938&amp;" BG")</f>
        <v/>
      </c>
      <c r="AY938" s="2" t="str">
        <f>IF(Registered!AG938=0,"",Registered!AG938&amp;" DustMask")</f>
        <v/>
      </c>
    </row>
    <row r="939" spans="1:51" customFormat="1" x14ac:dyDescent="0.25">
      <c r="A939" t="s">
        <v>1251</v>
      </c>
      <c r="B939" t="s">
        <v>1262</v>
      </c>
      <c r="C939" t="s">
        <v>6090</v>
      </c>
      <c r="G939" t="s">
        <v>250</v>
      </c>
      <c r="H939" t="s">
        <v>1003</v>
      </c>
      <c r="I939" t="s">
        <v>1442</v>
      </c>
      <c r="J939" t="s">
        <v>37</v>
      </c>
      <c r="K939" t="s">
        <v>32</v>
      </c>
      <c r="L939" t="s">
        <v>35</v>
      </c>
      <c r="AQ939">
        <v>0</v>
      </c>
      <c r="AR939" s="3">
        <f t="shared" si="42"/>
        <v>0</v>
      </c>
      <c r="AS939" s="3">
        <f t="shared" si="43"/>
        <v>0</v>
      </c>
      <c r="AT939" s="3" t="str">
        <f>IF(OR(Registered!AM939&gt;0,Registered!AO939&gt;0),(IF(Registered!E939=0,"Size Not Specified",Registered!E939)),"")</f>
        <v/>
      </c>
      <c r="AU939" s="3" t="str">
        <f>IF(Registered!AE939=0,"",IF(Registered!AE939=1,Registered!AE939&amp;" Bandana",Registered!AE939&amp;" Bandanas"))</f>
        <v/>
      </c>
      <c r="AV939" s="3">
        <f t="shared" si="44"/>
        <v>0</v>
      </c>
      <c r="AW939" s="2" t="str">
        <f>IF(Registered!AV939=0,"",IF(Registered!AV939=1,Registered!AV939&amp;" Meal",Registered!AV939&amp;" Meals"))</f>
        <v/>
      </c>
      <c r="AX939" s="2" t="str">
        <f>IF(Registered!AI939=0,"",Registered!AI939&amp;" BG")</f>
        <v/>
      </c>
      <c r="AY939" s="2" t="str">
        <f>IF(Registered!AG939=0,"",Registered!AG939&amp;" DustMask")</f>
        <v/>
      </c>
    </row>
    <row r="940" spans="1:51" customFormat="1" x14ac:dyDescent="0.25">
      <c r="A940" t="s">
        <v>4169</v>
      </c>
      <c r="B940" t="s">
        <v>6041</v>
      </c>
      <c r="C940" t="s">
        <v>6090</v>
      </c>
      <c r="G940" t="s">
        <v>4602</v>
      </c>
      <c r="H940" t="s">
        <v>4603</v>
      </c>
      <c r="I940" t="s">
        <v>4604</v>
      </c>
      <c r="J940" t="s">
        <v>37</v>
      </c>
      <c r="K940" t="s">
        <v>32</v>
      </c>
      <c r="L940" t="s">
        <v>35</v>
      </c>
      <c r="AQ940">
        <v>0</v>
      </c>
      <c r="AR940" s="3">
        <f t="shared" si="42"/>
        <v>0</v>
      </c>
      <c r="AS940" s="3">
        <f t="shared" si="43"/>
        <v>0</v>
      </c>
      <c r="AT940" s="3" t="str">
        <f>IF(OR(Registered!AM940&gt;0,Registered!AO940&gt;0),(IF(Registered!E940=0,"Size Not Specified",Registered!E940)),"")</f>
        <v/>
      </c>
      <c r="AU940" s="3" t="str">
        <f>IF(Registered!AE940=0,"",IF(Registered!AE940=1,Registered!AE940&amp;" Bandana",Registered!AE940&amp;" Bandanas"))</f>
        <v/>
      </c>
      <c r="AV940" s="3">
        <f t="shared" si="44"/>
        <v>0</v>
      </c>
      <c r="AW940" s="2" t="str">
        <f>IF(Registered!AV940=0,"",IF(Registered!AV940=1,Registered!AV940&amp;" Meal",Registered!AV940&amp;" Meals"))</f>
        <v/>
      </c>
      <c r="AX940" s="2" t="str">
        <f>IF(Registered!AI940=0,"",Registered!AI940&amp;" BG")</f>
        <v/>
      </c>
      <c r="AY940" s="2" t="str">
        <f>IF(Registered!AG940=0,"",Registered!AG940&amp;" DustMask")</f>
        <v/>
      </c>
    </row>
    <row r="941" spans="1:51" customFormat="1" x14ac:dyDescent="0.25">
      <c r="A941" t="s">
        <v>563</v>
      </c>
      <c r="B941" t="s">
        <v>6024</v>
      </c>
      <c r="C941" t="s">
        <v>6090</v>
      </c>
      <c r="G941" t="s">
        <v>165</v>
      </c>
      <c r="H941" t="s">
        <v>4072</v>
      </c>
      <c r="I941" t="s">
        <v>4601</v>
      </c>
      <c r="J941" t="s">
        <v>37</v>
      </c>
      <c r="K941" t="s">
        <v>32</v>
      </c>
      <c r="L941" t="s">
        <v>35</v>
      </c>
      <c r="AQ941">
        <v>0</v>
      </c>
      <c r="AR941" s="3">
        <f t="shared" si="42"/>
        <v>0</v>
      </c>
      <c r="AS941" s="3">
        <f t="shared" si="43"/>
        <v>0</v>
      </c>
      <c r="AT941" s="3" t="str">
        <f>IF(OR(Registered!AM941&gt;0,Registered!AO941&gt;0),(IF(Registered!E941=0,"Size Not Specified",Registered!E941)),"")</f>
        <v/>
      </c>
      <c r="AU941" s="3" t="str">
        <f>IF(Registered!AE941=0,"",IF(Registered!AE941=1,Registered!AE941&amp;" Bandana",Registered!AE941&amp;" Bandanas"))</f>
        <v/>
      </c>
      <c r="AV941" s="3">
        <f t="shared" si="44"/>
        <v>0</v>
      </c>
      <c r="AW941" s="2" t="str">
        <f>IF(Registered!AV941=0,"",IF(Registered!AV941=1,Registered!AV941&amp;" Meal",Registered!AV941&amp;" Meals"))</f>
        <v/>
      </c>
      <c r="AX941" s="2" t="str">
        <f>IF(Registered!AI941=0,"",Registered!AI941&amp;" BG")</f>
        <v/>
      </c>
      <c r="AY941" s="2" t="str">
        <f>IF(Registered!AG941=0,"",Registered!AG941&amp;" DustMask")</f>
        <v/>
      </c>
    </row>
    <row r="942" spans="1:51" customFormat="1" x14ac:dyDescent="0.25">
      <c r="A942" t="s">
        <v>194</v>
      </c>
      <c r="B942" t="s">
        <v>6042</v>
      </c>
      <c r="C942" t="s">
        <v>6090</v>
      </c>
      <c r="G942" t="s">
        <v>4340</v>
      </c>
      <c r="H942" t="s">
        <v>4341</v>
      </c>
      <c r="I942" t="s">
        <v>4343</v>
      </c>
      <c r="J942" t="s">
        <v>37</v>
      </c>
      <c r="K942" t="s">
        <v>32</v>
      </c>
      <c r="L942" t="s">
        <v>35</v>
      </c>
      <c r="AQ942">
        <v>0</v>
      </c>
      <c r="AR942" s="3">
        <f t="shared" si="42"/>
        <v>0</v>
      </c>
      <c r="AS942" s="3">
        <f t="shared" si="43"/>
        <v>0</v>
      </c>
      <c r="AT942" s="3" t="str">
        <f>IF(OR(Registered!AM942&gt;0,Registered!AO942&gt;0),(IF(Registered!E942=0,"Size Not Specified",Registered!E942)),"")</f>
        <v/>
      </c>
      <c r="AU942" s="3" t="str">
        <f>IF(Registered!AE942=0,"",IF(Registered!AE942=1,Registered!AE942&amp;" Bandana",Registered!AE942&amp;" Bandanas"))</f>
        <v/>
      </c>
      <c r="AV942" s="3">
        <f t="shared" si="44"/>
        <v>0</v>
      </c>
      <c r="AW942" s="2" t="str">
        <f>IF(Registered!AV942=0,"",IF(Registered!AV942=1,Registered!AV942&amp;" Meal",Registered!AV942&amp;" Meals"))</f>
        <v/>
      </c>
      <c r="AX942" s="2" t="str">
        <f>IF(Registered!AI942=0,"",Registered!AI942&amp;" BG")</f>
        <v/>
      </c>
      <c r="AY942" s="2" t="str">
        <f>IF(Registered!AG942=0,"",Registered!AG942&amp;" DustMask")</f>
        <v/>
      </c>
    </row>
    <row r="943" spans="1:51" customFormat="1" x14ac:dyDescent="0.25">
      <c r="A943" t="s">
        <v>167</v>
      </c>
      <c r="B943" t="s">
        <v>6043</v>
      </c>
      <c r="C943" t="s">
        <v>6090</v>
      </c>
      <c r="G943" t="s">
        <v>170</v>
      </c>
      <c r="H943" t="s">
        <v>1445</v>
      </c>
      <c r="I943" t="s">
        <v>1446</v>
      </c>
      <c r="J943" t="s">
        <v>37</v>
      </c>
      <c r="K943" t="s">
        <v>32</v>
      </c>
      <c r="L943" t="s">
        <v>35</v>
      </c>
      <c r="AQ943">
        <v>0</v>
      </c>
      <c r="AR943" s="3">
        <f t="shared" si="42"/>
        <v>0</v>
      </c>
      <c r="AS943" s="3">
        <f t="shared" si="43"/>
        <v>0</v>
      </c>
      <c r="AT943" s="3" t="str">
        <f>IF(OR(Registered!AM943&gt;0,Registered!AO943&gt;0),(IF(Registered!E943=0,"Size Not Specified",Registered!E943)),"")</f>
        <v/>
      </c>
      <c r="AU943" s="3" t="str">
        <f>IF(Registered!AE943=0,"",IF(Registered!AE943=1,Registered!AE943&amp;" Bandana",Registered!AE943&amp;" Bandanas"))</f>
        <v/>
      </c>
      <c r="AV943" s="3">
        <f t="shared" si="44"/>
        <v>0</v>
      </c>
      <c r="AW943" s="2" t="str">
        <f>IF(Registered!AV943=0,"",IF(Registered!AV943=1,Registered!AV943&amp;" Meal",Registered!AV943&amp;" Meals"))</f>
        <v/>
      </c>
      <c r="AX943" s="2" t="str">
        <f>IF(Registered!AI943=0,"",Registered!AI943&amp;" BG")</f>
        <v/>
      </c>
      <c r="AY943" s="2" t="str">
        <f>IF(Registered!AG943=0,"",Registered!AG943&amp;" DustMask")</f>
        <v/>
      </c>
    </row>
    <row r="944" spans="1:51" customFormat="1" x14ac:dyDescent="0.25">
      <c r="A944" t="s">
        <v>1444</v>
      </c>
      <c r="B944" t="s">
        <v>2725</v>
      </c>
      <c r="C944" t="s">
        <v>6090</v>
      </c>
      <c r="G944" t="s">
        <v>60</v>
      </c>
      <c r="H944" t="s">
        <v>2725</v>
      </c>
      <c r="I944" t="s">
        <v>2726</v>
      </c>
      <c r="J944" t="s">
        <v>37</v>
      </c>
      <c r="K944" t="s">
        <v>32</v>
      </c>
      <c r="L944" t="s">
        <v>35</v>
      </c>
      <c r="AQ944">
        <v>0</v>
      </c>
      <c r="AR944" s="3">
        <f t="shared" si="42"/>
        <v>0</v>
      </c>
      <c r="AS944" s="3">
        <f t="shared" si="43"/>
        <v>0</v>
      </c>
      <c r="AT944" s="3" t="str">
        <f>IF(OR(Registered!AM944&gt;0,Registered!AO944&gt;0),(IF(Registered!E944=0,"Size Not Specified",Registered!E944)),"")</f>
        <v/>
      </c>
      <c r="AU944" s="3" t="str">
        <f>IF(Registered!AE944=0,"",IF(Registered!AE944=1,Registered!AE944&amp;" Bandana",Registered!AE944&amp;" Bandanas"))</f>
        <v/>
      </c>
      <c r="AV944" s="3">
        <f t="shared" si="44"/>
        <v>0</v>
      </c>
      <c r="AW944" s="2" t="str">
        <f>IF(Registered!AV944=0,"",IF(Registered!AV944=1,Registered!AV944&amp;" Meal",Registered!AV944&amp;" Meals"))</f>
        <v/>
      </c>
      <c r="AX944" s="2" t="str">
        <f>IF(Registered!AI944=0,"",Registered!AI944&amp;" BG")</f>
        <v/>
      </c>
      <c r="AY944" s="2" t="str">
        <f>IF(Registered!AG944=0,"",Registered!AG944&amp;" DustMask")</f>
        <v/>
      </c>
    </row>
    <row r="945" spans="1:51" customFormat="1" x14ac:dyDescent="0.25">
      <c r="A945" t="s">
        <v>1444</v>
      </c>
      <c r="B945" t="s">
        <v>426</v>
      </c>
      <c r="C945" t="s">
        <v>6090</v>
      </c>
      <c r="G945" t="s">
        <v>38</v>
      </c>
      <c r="H945" t="s">
        <v>426</v>
      </c>
      <c r="I945" t="s">
        <v>645</v>
      </c>
      <c r="J945" t="s">
        <v>37</v>
      </c>
      <c r="K945" t="s">
        <v>32</v>
      </c>
      <c r="L945" t="s">
        <v>35</v>
      </c>
      <c r="AQ945">
        <v>0</v>
      </c>
      <c r="AR945" s="3">
        <f t="shared" si="42"/>
        <v>0</v>
      </c>
      <c r="AS945" s="3">
        <f t="shared" si="43"/>
        <v>0</v>
      </c>
      <c r="AT945" s="3" t="str">
        <f>IF(OR(Registered!AM945&gt;0,Registered!AO945&gt;0),(IF(Registered!E945=0,"Size Not Specified",Registered!E945)),"")</f>
        <v/>
      </c>
      <c r="AU945" s="3" t="str">
        <f>IF(Registered!AE945=0,"",IF(Registered!AE945=1,Registered!AE945&amp;" Bandana",Registered!AE945&amp;" Bandanas"))</f>
        <v/>
      </c>
      <c r="AV945" s="3">
        <f t="shared" si="44"/>
        <v>0</v>
      </c>
      <c r="AW945" s="2" t="str">
        <f>IF(Registered!AV945=0,"",IF(Registered!AV945=1,Registered!AV945&amp;" Meal",Registered!AV945&amp;" Meals"))</f>
        <v/>
      </c>
      <c r="AX945" s="2" t="str">
        <f>IF(Registered!AI945=0,"",Registered!AI945&amp;" BG")</f>
        <v/>
      </c>
      <c r="AY945" s="2" t="str">
        <f>IF(Registered!AG945=0,"",Registered!AG945&amp;" DustMask")</f>
        <v/>
      </c>
    </row>
    <row r="946" spans="1:51" customFormat="1" x14ac:dyDescent="0.25">
      <c r="A946" t="s">
        <v>1444</v>
      </c>
      <c r="B946" t="s">
        <v>6026</v>
      </c>
      <c r="C946" t="s">
        <v>6090</v>
      </c>
      <c r="G946" t="s">
        <v>3001</v>
      </c>
      <c r="H946" t="s">
        <v>3002</v>
      </c>
      <c r="I946" t="s">
        <v>3003</v>
      </c>
      <c r="J946" t="s">
        <v>37</v>
      </c>
      <c r="K946" t="s">
        <v>32</v>
      </c>
      <c r="L946" t="s">
        <v>35</v>
      </c>
      <c r="AQ946">
        <v>0</v>
      </c>
      <c r="AR946" s="3">
        <f t="shared" si="42"/>
        <v>0</v>
      </c>
      <c r="AS946" s="3">
        <f t="shared" si="43"/>
        <v>0</v>
      </c>
      <c r="AT946" s="3" t="str">
        <f>IF(OR(Registered!AM946&gt;0,Registered!AO946&gt;0),(IF(Registered!E946=0,"Size Not Specified",Registered!E946)),"")</f>
        <v/>
      </c>
      <c r="AU946" s="3" t="str">
        <f>IF(Registered!AE946=0,"",IF(Registered!AE946=1,Registered!AE946&amp;" Bandana",Registered!AE946&amp;" Bandanas"))</f>
        <v/>
      </c>
      <c r="AV946" s="3">
        <f t="shared" si="44"/>
        <v>0</v>
      </c>
      <c r="AW946" s="2" t="str">
        <f>IF(Registered!AV946=0,"",IF(Registered!AV946=1,Registered!AV946&amp;" Meal",Registered!AV946&amp;" Meals"))</f>
        <v/>
      </c>
      <c r="AX946" s="2" t="str">
        <f>IF(Registered!AI946=0,"",Registered!AI946&amp;" BG")</f>
        <v/>
      </c>
      <c r="AY946" s="2" t="str">
        <f>IF(Registered!AG946=0,"",Registered!AG946&amp;" DustMask")</f>
        <v/>
      </c>
    </row>
    <row r="947" spans="1:51" customFormat="1" x14ac:dyDescent="0.25">
      <c r="A947" t="s">
        <v>1444</v>
      </c>
      <c r="B947" t="s">
        <v>6029</v>
      </c>
      <c r="C947" t="s">
        <v>6090</v>
      </c>
      <c r="G947" t="s">
        <v>4584</v>
      </c>
      <c r="H947" t="s">
        <v>4585</v>
      </c>
      <c r="I947" t="s">
        <v>4586</v>
      </c>
      <c r="J947" t="s">
        <v>37</v>
      </c>
      <c r="K947" t="s">
        <v>32</v>
      </c>
      <c r="L947" t="s">
        <v>35</v>
      </c>
      <c r="AQ947">
        <v>0</v>
      </c>
      <c r="AR947" s="3">
        <f t="shared" si="42"/>
        <v>0</v>
      </c>
      <c r="AS947" s="3">
        <f t="shared" si="43"/>
        <v>0</v>
      </c>
      <c r="AT947" s="3" t="str">
        <f>IF(OR(Registered!AM947&gt;0,Registered!AO947&gt;0),(IF(Registered!E947=0,"Size Not Specified",Registered!E947)),"")</f>
        <v/>
      </c>
      <c r="AU947" s="3" t="str">
        <f>IF(Registered!AE947=0,"",IF(Registered!AE947=1,Registered!AE947&amp;" Bandana",Registered!AE947&amp;" Bandanas"))</f>
        <v/>
      </c>
      <c r="AV947" s="3">
        <f t="shared" si="44"/>
        <v>0</v>
      </c>
      <c r="AW947" s="2" t="str">
        <f>IF(Registered!AV947=0,"",IF(Registered!AV947=1,Registered!AV947&amp;" Meal",Registered!AV947&amp;" Meals"))</f>
        <v/>
      </c>
      <c r="AX947" s="2" t="str">
        <f>IF(Registered!AI947=0,"",Registered!AI947&amp;" BG")</f>
        <v/>
      </c>
      <c r="AY947" s="2" t="str">
        <f>IF(Registered!AG947=0,"",Registered!AG947&amp;" DustMask")</f>
        <v/>
      </c>
    </row>
    <row r="948" spans="1:51" customFormat="1" x14ac:dyDescent="0.25">
      <c r="A948" t="s">
        <v>4605</v>
      </c>
      <c r="B948" t="s">
        <v>6036</v>
      </c>
      <c r="C948" t="s">
        <v>6090</v>
      </c>
      <c r="G948" t="s">
        <v>3599</v>
      </c>
      <c r="H948" t="s">
        <v>628</v>
      </c>
      <c r="I948" t="s">
        <v>3600</v>
      </c>
      <c r="J948" t="s">
        <v>37</v>
      </c>
      <c r="K948" t="s">
        <v>32</v>
      </c>
      <c r="L948" t="s">
        <v>35</v>
      </c>
      <c r="AQ948">
        <v>0</v>
      </c>
      <c r="AR948" s="3">
        <f t="shared" si="42"/>
        <v>0</v>
      </c>
      <c r="AS948" s="3">
        <f t="shared" si="43"/>
        <v>0</v>
      </c>
      <c r="AT948" s="3" t="str">
        <f>IF(OR(Registered!AM948&gt;0,Registered!AO948&gt;0),(IF(Registered!E948=0,"Size Not Specified",Registered!E948)),"")</f>
        <v/>
      </c>
      <c r="AU948" s="3" t="str">
        <f>IF(Registered!AE948=0,"",IF(Registered!AE948=1,Registered!AE948&amp;" Bandana",Registered!AE948&amp;" Bandanas"))</f>
        <v/>
      </c>
      <c r="AV948" s="3">
        <f t="shared" si="44"/>
        <v>0</v>
      </c>
      <c r="AW948" s="2" t="str">
        <f>IF(Registered!AV948=0,"",IF(Registered!AV948=1,Registered!AV948&amp;" Meal",Registered!AV948&amp;" Meals"))</f>
        <v/>
      </c>
      <c r="AX948" s="2" t="str">
        <f>IF(Registered!AI948=0,"",Registered!AI948&amp;" BG")</f>
        <v/>
      </c>
      <c r="AY948" s="2" t="str">
        <f>IF(Registered!AG948=0,"",Registered!AG948&amp;" DustMask")</f>
        <v/>
      </c>
    </row>
    <row r="949" spans="1:51" customFormat="1" x14ac:dyDescent="0.25">
      <c r="A949" t="s">
        <v>111</v>
      </c>
      <c r="B949" t="s">
        <v>6035</v>
      </c>
      <c r="C949" t="s">
        <v>6090</v>
      </c>
      <c r="G949" t="s">
        <v>178</v>
      </c>
      <c r="H949" t="s">
        <v>671</v>
      </c>
      <c r="I949" t="s">
        <v>672</v>
      </c>
      <c r="J949" t="s">
        <v>37</v>
      </c>
      <c r="K949" t="s">
        <v>32</v>
      </c>
      <c r="L949" t="s">
        <v>35</v>
      </c>
      <c r="AQ949">
        <v>0</v>
      </c>
      <c r="AR949" s="3">
        <f t="shared" si="42"/>
        <v>0</v>
      </c>
      <c r="AS949" s="3">
        <f t="shared" si="43"/>
        <v>0</v>
      </c>
      <c r="AT949" s="3" t="str">
        <f>IF(OR(Registered!AM949&gt;0,Registered!AO949&gt;0),(IF(Registered!E949=0,"Size Not Specified",Registered!E949)),"")</f>
        <v/>
      </c>
      <c r="AU949" s="3" t="str">
        <f>IF(Registered!AE949=0,"",IF(Registered!AE949=1,Registered!AE949&amp;" Bandana",Registered!AE949&amp;" Bandanas"))</f>
        <v/>
      </c>
      <c r="AV949" s="3">
        <f t="shared" si="44"/>
        <v>0</v>
      </c>
      <c r="AW949" s="2" t="str">
        <f>IF(Registered!AV949=0,"",IF(Registered!AV949=1,Registered!AV949&amp;" Meal",Registered!AV949&amp;" Meals"))</f>
        <v/>
      </c>
      <c r="AX949" s="2" t="str">
        <f>IF(Registered!AI949=0,"",Registered!AI949&amp;" BG")</f>
        <v/>
      </c>
      <c r="AY949" s="2" t="str">
        <f>IF(Registered!AG949=0,"",Registered!AG949&amp;" DustMask")</f>
        <v/>
      </c>
    </row>
    <row r="950" spans="1:51" customFormat="1" x14ac:dyDescent="0.25">
      <c r="A950" t="s">
        <v>4607</v>
      </c>
      <c r="B950" t="s">
        <v>6022</v>
      </c>
      <c r="C950" t="s">
        <v>6090</v>
      </c>
      <c r="G950" t="s">
        <v>266</v>
      </c>
      <c r="H950" t="s">
        <v>4458</v>
      </c>
      <c r="I950" t="s">
        <v>4460</v>
      </c>
      <c r="J950" t="s">
        <v>37</v>
      </c>
      <c r="K950" t="s">
        <v>32</v>
      </c>
      <c r="L950" t="s">
        <v>35</v>
      </c>
      <c r="AQ950">
        <v>0</v>
      </c>
      <c r="AR950" s="3">
        <f t="shared" si="42"/>
        <v>0</v>
      </c>
      <c r="AS950" s="3">
        <f t="shared" si="43"/>
        <v>0</v>
      </c>
      <c r="AT950" s="3" t="str">
        <f>IF(OR(Registered!AM950&gt;0,Registered!AO950&gt;0),(IF(Registered!E950=0,"Size Not Specified",Registered!E950)),"")</f>
        <v/>
      </c>
      <c r="AU950" s="3" t="str">
        <f>IF(Registered!AE950=0,"",IF(Registered!AE950=1,Registered!AE950&amp;" Bandana",Registered!AE950&amp;" Bandanas"))</f>
        <v/>
      </c>
      <c r="AV950" s="3">
        <f t="shared" si="44"/>
        <v>0</v>
      </c>
      <c r="AW950" s="2" t="str">
        <f>IF(Registered!AV950=0,"",IF(Registered!AV950=1,Registered!AV950&amp;" Meal",Registered!AV950&amp;" Meals"))</f>
        <v/>
      </c>
      <c r="AX950" s="2" t="str">
        <f>IF(Registered!AI950=0,"",Registered!AI950&amp;" BG")</f>
        <v/>
      </c>
      <c r="AY950" s="2" t="str">
        <f>IF(Registered!AG950=0,"",Registered!AG950&amp;" DustMask")</f>
        <v/>
      </c>
    </row>
    <row r="951" spans="1:51" customFormat="1" x14ac:dyDescent="0.25">
      <c r="A951" t="s">
        <v>213</v>
      </c>
      <c r="B951" t="s">
        <v>6023</v>
      </c>
      <c r="C951" t="s">
        <v>6090</v>
      </c>
      <c r="G951" t="s">
        <v>2992</v>
      </c>
      <c r="H951" t="s">
        <v>2993</v>
      </c>
      <c r="I951" t="s">
        <v>2994</v>
      </c>
      <c r="J951" t="s">
        <v>37</v>
      </c>
      <c r="K951" t="s">
        <v>32</v>
      </c>
      <c r="L951" t="s">
        <v>35</v>
      </c>
      <c r="AQ951">
        <v>0</v>
      </c>
      <c r="AR951" s="3">
        <f t="shared" si="42"/>
        <v>0</v>
      </c>
      <c r="AS951" s="3">
        <f t="shared" si="43"/>
        <v>0</v>
      </c>
      <c r="AT951" s="3" t="str">
        <f>IF(OR(Registered!AM951&gt;0,Registered!AO951&gt;0),(IF(Registered!E951=0,"Size Not Specified",Registered!E951)),"")</f>
        <v/>
      </c>
      <c r="AU951" s="3" t="str">
        <f>IF(Registered!AE951=0,"",IF(Registered!AE951=1,Registered!AE951&amp;" Bandana",Registered!AE951&amp;" Bandanas"))</f>
        <v/>
      </c>
      <c r="AV951" s="3">
        <f t="shared" si="44"/>
        <v>0</v>
      </c>
      <c r="AW951" s="2" t="str">
        <f>IF(Registered!AV951=0,"",IF(Registered!AV951=1,Registered!AV951&amp;" Meal",Registered!AV951&amp;" Meals"))</f>
        <v/>
      </c>
      <c r="AX951" s="2" t="str">
        <f>IF(Registered!AI951=0,"",Registered!AI951&amp;" BG")</f>
        <v/>
      </c>
      <c r="AY951" s="2" t="str">
        <f>IF(Registered!AG951=0,"",Registered!AG951&amp;" DustMask")</f>
        <v/>
      </c>
    </row>
    <row r="952" spans="1:51" customFormat="1" x14ac:dyDescent="0.25">
      <c r="A952" t="s">
        <v>4608</v>
      </c>
      <c r="B952" t="s">
        <v>630</v>
      </c>
      <c r="C952" t="s">
        <v>6090</v>
      </c>
      <c r="G952" t="s">
        <v>351</v>
      </c>
      <c r="H952" t="s">
        <v>630</v>
      </c>
      <c r="I952" t="s">
        <v>4138</v>
      </c>
      <c r="J952" t="s">
        <v>37</v>
      </c>
      <c r="K952" t="s">
        <v>32</v>
      </c>
      <c r="L952" t="s">
        <v>35</v>
      </c>
      <c r="AQ952">
        <v>0</v>
      </c>
      <c r="AR952" s="3">
        <f t="shared" si="42"/>
        <v>0</v>
      </c>
      <c r="AS952" s="3">
        <f t="shared" si="43"/>
        <v>0</v>
      </c>
      <c r="AT952" s="3" t="str">
        <f>IF(OR(Registered!AM952&gt;0,Registered!AO952&gt;0),(IF(Registered!E952=0,"Size Not Specified",Registered!E952)),"")</f>
        <v/>
      </c>
      <c r="AU952" s="3" t="str">
        <f>IF(Registered!AE952=0,"",IF(Registered!AE952=1,Registered!AE952&amp;" Bandana",Registered!AE952&amp;" Bandanas"))</f>
        <v/>
      </c>
      <c r="AV952" s="3">
        <f t="shared" si="44"/>
        <v>0</v>
      </c>
      <c r="AW952" s="2" t="str">
        <f>IF(Registered!AV952=0,"",IF(Registered!AV952=1,Registered!AV952&amp;" Meal",Registered!AV952&amp;" Meals"))</f>
        <v/>
      </c>
      <c r="AX952" s="2" t="str">
        <f>IF(Registered!AI952=0,"",Registered!AI952&amp;" BG")</f>
        <v/>
      </c>
      <c r="AY952" s="2" t="str">
        <f>IF(Registered!AG952=0,"",Registered!AG952&amp;" DustMask")</f>
        <v/>
      </c>
    </row>
    <row r="953" spans="1:51" customFormat="1" x14ac:dyDescent="0.25">
      <c r="A953" t="s">
        <v>1035</v>
      </c>
      <c r="B953" t="s">
        <v>745</v>
      </c>
      <c r="C953" t="s">
        <v>6090</v>
      </c>
      <c r="G953" t="s">
        <v>1182</v>
      </c>
      <c r="H953" t="s">
        <v>745</v>
      </c>
      <c r="I953" t="s">
        <v>1183</v>
      </c>
      <c r="J953" t="s">
        <v>37</v>
      </c>
      <c r="K953" t="s">
        <v>32</v>
      </c>
      <c r="L953" t="s">
        <v>35</v>
      </c>
      <c r="AQ953">
        <v>0</v>
      </c>
      <c r="AR953" s="3">
        <f t="shared" si="42"/>
        <v>0</v>
      </c>
      <c r="AS953" s="3">
        <f t="shared" si="43"/>
        <v>0</v>
      </c>
      <c r="AT953" s="3" t="str">
        <f>IF(OR(Registered!AM953&gt;0,Registered!AO953&gt;0),(IF(Registered!E953=0,"Size Not Specified",Registered!E953)),"")</f>
        <v/>
      </c>
      <c r="AU953" s="3" t="str">
        <f>IF(Registered!AE953=0,"",IF(Registered!AE953=1,Registered!AE953&amp;" Bandana",Registered!AE953&amp;" Bandanas"))</f>
        <v/>
      </c>
      <c r="AV953" s="3">
        <f t="shared" si="44"/>
        <v>0</v>
      </c>
      <c r="AW953" s="2" t="str">
        <f>IF(Registered!AV953=0,"",IF(Registered!AV953=1,Registered!AV953&amp;" Meal",Registered!AV953&amp;" Meals"))</f>
        <v/>
      </c>
      <c r="AX953" s="2" t="str">
        <f>IF(Registered!AI953=0,"",Registered!AI953&amp;" BG")</f>
        <v/>
      </c>
      <c r="AY953" s="2" t="str">
        <f>IF(Registered!AG953=0,"",Registered!AG953&amp;" DustMask")</f>
        <v/>
      </c>
    </row>
    <row r="954" spans="1:51" customFormat="1" x14ac:dyDescent="0.25">
      <c r="A954" t="s">
        <v>336</v>
      </c>
      <c r="B954" t="s">
        <v>6043</v>
      </c>
      <c r="C954" t="s">
        <v>6090</v>
      </c>
      <c r="G954" t="s">
        <v>170</v>
      </c>
      <c r="H954" t="s">
        <v>1445</v>
      </c>
      <c r="I954" t="s">
        <v>1446</v>
      </c>
      <c r="J954" t="s">
        <v>37</v>
      </c>
      <c r="K954" t="s">
        <v>32</v>
      </c>
      <c r="L954" t="s">
        <v>35</v>
      </c>
      <c r="AQ954">
        <v>0</v>
      </c>
      <c r="AR954" s="3">
        <f t="shared" si="42"/>
        <v>0</v>
      </c>
      <c r="AS954" s="3">
        <f t="shared" si="43"/>
        <v>0</v>
      </c>
      <c r="AT954" s="3" t="str">
        <f>IF(OR(Registered!AM954&gt;0,Registered!AO954&gt;0),(IF(Registered!E954=0,"Size Not Specified",Registered!E954)),"")</f>
        <v/>
      </c>
      <c r="AU954" s="3" t="str">
        <f>IF(Registered!AE954=0,"",IF(Registered!AE954=1,Registered!AE954&amp;" Bandana",Registered!AE954&amp;" Bandanas"))</f>
        <v/>
      </c>
      <c r="AV954" s="3">
        <f t="shared" si="44"/>
        <v>0</v>
      </c>
      <c r="AW954" s="2" t="str">
        <f>IF(Registered!AV954=0,"",IF(Registered!AV954=1,Registered!AV954&amp;" Meal",Registered!AV954&amp;" Meals"))</f>
        <v/>
      </c>
      <c r="AX954" s="2" t="str">
        <f>IF(Registered!AI954=0,"",Registered!AI954&amp;" BG")</f>
        <v/>
      </c>
      <c r="AY954" s="2" t="str">
        <f>IF(Registered!AG954=0,"",Registered!AG954&amp;" DustMask")</f>
        <v/>
      </c>
    </row>
    <row r="955" spans="1:51" customFormat="1" x14ac:dyDescent="0.25">
      <c r="A955" t="s">
        <v>1452</v>
      </c>
      <c r="B955" t="s">
        <v>6026</v>
      </c>
      <c r="C955" t="s">
        <v>6090</v>
      </c>
      <c r="G955" t="s">
        <v>3001</v>
      </c>
      <c r="H955" t="s">
        <v>3002</v>
      </c>
      <c r="I955" t="s">
        <v>3003</v>
      </c>
      <c r="J955" t="s">
        <v>37</v>
      </c>
      <c r="K955" t="s">
        <v>32</v>
      </c>
      <c r="L955" t="s">
        <v>35</v>
      </c>
      <c r="AQ955">
        <v>0</v>
      </c>
      <c r="AR955" s="3">
        <f t="shared" si="42"/>
        <v>0</v>
      </c>
      <c r="AS955" s="3">
        <f t="shared" si="43"/>
        <v>0</v>
      </c>
      <c r="AT955" s="3" t="str">
        <f>IF(OR(Registered!AM955&gt;0,Registered!AO955&gt;0),(IF(Registered!E955=0,"Size Not Specified",Registered!E955)),"")</f>
        <v/>
      </c>
      <c r="AU955" s="3" t="str">
        <f>IF(Registered!AE955=0,"",IF(Registered!AE955=1,Registered!AE955&amp;" Bandana",Registered!AE955&amp;" Bandanas"))</f>
        <v/>
      </c>
      <c r="AV955" s="3">
        <f t="shared" si="44"/>
        <v>0</v>
      </c>
      <c r="AW955" s="2" t="str">
        <f>IF(Registered!AV955=0,"",IF(Registered!AV955=1,Registered!AV955&amp;" Meal",Registered!AV955&amp;" Meals"))</f>
        <v/>
      </c>
      <c r="AX955" s="2" t="str">
        <f>IF(Registered!AI955=0,"",Registered!AI955&amp;" BG")</f>
        <v/>
      </c>
      <c r="AY955" s="2" t="str">
        <f>IF(Registered!AG955=0,"",Registered!AG955&amp;" DustMask")</f>
        <v/>
      </c>
    </row>
    <row r="956" spans="1:51" customFormat="1" x14ac:dyDescent="0.25">
      <c r="A956" t="s">
        <v>1452</v>
      </c>
      <c r="B956" t="s">
        <v>6042</v>
      </c>
      <c r="C956" t="s">
        <v>6090</v>
      </c>
      <c r="G956" t="s">
        <v>4340</v>
      </c>
      <c r="H956" t="s">
        <v>4341</v>
      </c>
      <c r="I956" t="s">
        <v>4343</v>
      </c>
      <c r="J956" t="s">
        <v>37</v>
      </c>
      <c r="K956" t="s">
        <v>32</v>
      </c>
      <c r="L956" t="s">
        <v>35</v>
      </c>
      <c r="AQ956">
        <v>0</v>
      </c>
      <c r="AR956" s="3">
        <f t="shared" si="42"/>
        <v>0</v>
      </c>
      <c r="AS956" s="3">
        <f t="shared" si="43"/>
        <v>0</v>
      </c>
      <c r="AT956" s="3" t="str">
        <f>IF(OR(Registered!AM956&gt;0,Registered!AO956&gt;0),(IF(Registered!E956=0,"Size Not Specified",Registered!E956)),"")</f>
        <v/>
      </c>
      <c r="AU956" s="3" t="str">
        <f>IF(Registered!AE956=0,"",IF(Registered!AE956=1,Registered!AE956&amp;" Bandana",Registered!AE956&amp;" Bandanas"))</f>
        <v/>
      </c>
      <c r="AV956" s="3">
        <f t="shared" si="44"/>
        <v>0</v>
      </c>
      <c r="AW956" s="2" t="str">
        <f>IF(Registered!AV956=0,"",IF(Registered!AV956=1,Registered!AV956&amp;" Meal",Registered!AV956&amp;" Meals"))</f>
        <v/>
      </c>
      <c r="AX956" s="2" t="str">
        <f>IF(Registered!AI956=0,"",Registered!AI956&amp;" BG")</f>
        <v/>
      </c>
      <c r="AY956" s="2" t="str">
        <f>IF(Registered!AG956=0,"",Registered!AG956&amp;" DustMask")</f>
        <v/>
      </c>
    </row>
    <row r="957" spans="1:51" customFormat="1" x14ac:dyDescent="0.25">
      <c r="A957" t="s">
        <v>1452</v>
      </c>
      <c r="B957" t="s">
        <v>321</v>
      </c>
      <c r="C957" t="s">
        <v>6090</v>
      </c>
      <c r="G957" t="s">
        <v>320</v>
      </c>
      <c r="H957" t="s">
        <v>321</v>
      </c>
      <c r="I957" t="s">
        <v>1307</v>
      </c>
      <c r="J957" t="s">
        <v>37</v>
      </c>
      <c r="K957" t="s">
        <v>32</v>
      </c>
      <c r="L957" t="s">
        <v>35</v>
      </c>
      <c r="AQ957">
        <v>0</v>
      </c>
      <c r="AR957" s="3">
        <f t="shared" si="42"/>
        <v>0</v>
      </c>
      <c r="AS957" s="3">
        <f t="shared" si="43"/>
        <v>0</v>
      </c>
      <c r="AT957" s="3" t="str">
        <f>IF(OR(Registered!AM957&gt;0,Registered!AO957&gt;0),(IF(Registered!E957=0,"Size Not Specified",Registered!E957)),"")</f>
        <v/>
      </c>
      <c r="AU957" s="3" t="str">
        <f>IF(Registered!AE957=0,"",IF(Registered!AE957=1,Registered!AE957&amp;" Bandana",Registered!AE957&amp;" Bandanas"))</f>
        <v/>
      </c>
      <c r="AV957" s="3">
        <f t="shared" si="44"/>
        <v>0</v>
      </c>
      <c r="AW957" s="2" t="str">
        <f>IF(Registered!AV957=0,"",IF(Registered!AV957=1,Registered!AV957&amp;" Meal",Registered!AV957&amp;" Meals"))</f>
        <v/>
      </c>
      <c r="AX957" s="2" t="str">
        <f>IF(Registered!AI957=0,"",Registered!AI957&amp;" BG")</f>
        <v/>
      </c>
      <c r="AY957" s="2" t="str">
        <f>IF(Registered!AG957=0,"",Registered!AG957&amp;" DustMask")</f>
        <v/>
      </c>
    </row>
    <row r="958" spans="1:51" customFormat="1" x14ac:dyDescent="0.25">
      <c r="A958" t="s">
        <v>91</v>
      </c>
      <c r="B958" t="s">
        <v>6035</v>
      </c>
      <c r="C958" t="s">
        <v>6090</v>
      </c>
      <c r="G958" t="s">
        <v>178</v>
      </c>
      <c r="H958" t="s">
        <v>671</v>
      </c>
      <c r="I958" t="s">
        <v>672</v>
      </c>
      <c r="J958" t="s">
        <v>37</v>
      </c>
      <c r="K958" t="s">
        <v>32</v>
      </c>
      <c r="L958" t="s">
        <v>35</v>
      </c>
      <c r="AQ958">
        <v>0</v>
      </c>
      <c r="AR958" s="3">
        <f t="shared" si="42"/>
        <v>0</v>
      </c>
      <c r="AS958" s="3">
        <f t="shared" si="43"/>
        <v>0</v>
      </c>
      <c r="AT958" s="3" t="str">
        <f>IF(OR(Registered!AM958&gt;0,Registered!AO958&gt;0),(IF(Registered!E958=0,"Size Not Specified",Registered!E958)),"")</f>
        <v/>
      </c>
      <c r="AU958" s="3" t="str">
        <f>IF(Registered!AE958=0,"",IF(Registered!AE958=1,Registered!AE958&amp;" Bandana",Registered!AE958&amp;" Bandanas"))</f>
        <v/>
      </c>
      <c r="AV958" s="3">
        <f t="shared" si="44"/>
        <v>0</v>
      </c>
      <c r="AW958" s="2" t="str">
        <f>IF(Registered!AV958=0,"",IF(Registered!AV958=1,Registered!AV958&amp;" Meal",Registered!AV958&amp;" Meals"))</f>
        <v/>
      </c>
      <c r="AX958" s="2" t="str">
        <f>IF(Registered!AI958=0,"",Registered!AI958&amp;" BG")</f>
        <v/>
      </c>
      <c r="AY958" s="2" t="str">
        <f>IF(Registered!AG958=0,"",Registered!AG958&amp;" DustMask")</f>
        <v/>
      </c>
    </row>
    <row r="959" spans="1:51" customFormat="1" x14ac:dyDescent="0.25">
      <c r="A959" t="s">
        <v>4609</v>
      </c>
      <c r="B959" t="s">
        <v>6022</v>
      </c>
      <c r="C959" t="s">
        <v>6090</v>
      </c>
      <c r="G959" t="s">
        <v>266</v>
      </c>
      <c r="H959" t="s">
        <v>4458</v>
      </c>
      <c r="I959" t="s">
        <v>4460</v>
      </c>
      <c r="J959" t="s">
        <v>37</v>
      </c>
      <c r="K959" t="s">
        <v>32</v>
      </c>
      <c r="L959" t="s">
        <v>35</v>
      </c>
      <c r="AQ959">
        <v>0</v>
      </c>
      <c r="AR959" s="3">
        <f t="shared" si="42"/>
        <v>0</v>
      </c>
      <c r="AS959" s="3">
        <f t="shared" si="43"/>
        <v>0</v>
      </c>
      <c r="AT959" s="3" t="str">
        <f>IF(OR(Registered!AM959&gt;0,Registered!AO959&gt;0),(IF(Registered!E959=0,"Size Not Specified",Registered!E959)),"")</f>
        <v/>
      </c>
      <c r="AU959" s="3" t="str">
        <f>IF(Registered!AE959=0,"",IF(Registered!AE959=1,Registered!AE959&amp;" Bandana",Registered!AE959&amp;" Bandanas"))</f>
        <v/>
      </c>
      <c r="AV959" s="3">
        <f t="shared" si="44"/>
        <v>0</v>
      </c>
      <c r="AW959" s="2" t="str">
        <f>IF(Registered!AV959=0,"",IF(Registered!AV959=1,Registered!AV959&amp;" Meal",Registered!AV959&amp;" Meals"))</f>
        <v/>
      </c>
      <c r="AX959" s="2" t="str">
        <f>IF(Registered!AI959=0,"",Registered!AI959&amp;" BG")</f>
        <v/>
      </c>
      <c r="AY959" s="2" t="str">
        <f>IF(Registered!AG959=0,"",Registered!AG959&amp;" DustMask")</f>
        <v/>
      </c>
    </row>
    <row r="960" spans="1:51" customFormat="1" x14ac:dyDescent="0.25">
      <c r="A960" t="s">
        <v>4610</v>
      </c>
      <c r="B960" t="s">
        <v>6036</v>
      </c>
      <c r="C960" t="s">
        <v>6090</v>
      </c>
      <c r="G960" t="s">
        <v>3599</v>
      </c>
      <c r="H960" t="s">
        <v>628</v>
      </c>
      <c r="I960" t="s">
        <v>3600</v>
      </c>
      <c r="J960" t="s">
        <v>37</v>
      </c>
      <c r="K960" t="s">
        <v>32</v>
      </c>
      <c r="L960" t="s">
        <v>35</v>
      </c>
      <c r="AQ960">
        <v>0</v>
      </c>
      <c r="AR960" s="3">
        <f t="shared" si="42"/>
        <v>0</v>
      </c>
      <c r="AS960" s="3">
        <f t="shared" si="43"/>
        <v>0</v>
      </c>
      <c r="AT960" s="3" t="str">
        <f>IF(OR(Registered!AM960&gt;0,Registered!AO960&gt;0),(IF(Registered!E960=0,"Size Not Specified",Registered!E960)),"")</f>
        <v/>
      </c>
      <c r="AU960" s="3" t="str">
        <f>IF(Registered!AE960=0,"",IF(Registered!AE960=1,Registered!AE960&amp;" Bandana",Registered!AE960&amp;" Bandanas"))</f>
        <v/>
      </c>
      <c r="AV960" s="3">
        <f t="shared" si="44"/>
        <v>0</v>
      </c>
      <c r="AW960" s="2" t="str">
        <f>IF(Registered!AV960=0,"",IF(Registered!AV960=1,Registered!AV960&amp;" Meal",Registered!AV960&amp;" Meals"))</f>
        <v/>
      </c>
      <c r="AX960" s="2" t="str">
        <f>IF(Registered!AI960=0,"",Registered!AI960&amp;" BG")</f>
        <v/>
      </c>
      <c r="AY960" s="2" t="str">
        <f>IF(Registered!AG960=0,"",Registered!AG960&amp;" DustMask")</f>
        <v/>
      </c>
    </row>
    <row r="961" spans="1:51" customFormat="1" x14ac:dyDescent="0.25">
      <c r="A961" t="s">
        <v>1455</v>
      </c>
      <c r="B961" t="s">
        <v>4611</v>
      </c>
      <c r="C961" t="s">
        <v>6090</v>
      </c>
      <c r="G961" t="s">
        <v>3803</v>
      </c>
      <c r="H961" t="s">
        <v>4611</v>
      </c>
      <c r="I961" t="s">
        <v>4612</v>
      </c>
      <c r="J961" t="s">
        <v>37</v>
      </c>
      <c r="K961" t="s">
        <v>32</v>
      </c>
      <c r="L961" t="s">
        <v>35</v>
      </c>
      <c r="AQ961">
        <v>0</v>
      </c>
      <c r="AR961" s="3">
        <f t="shared" si="42"/>
        <v>0</v>
      </c>
      <c r="AS961" s="3">
        <f t="shared" si="43"/>
        <v>0</v>
      </c>
      <c r="AT961" s="3" t="str">
        <f>IF(OR(Registered!AM961&gt;0,Registered!AO961&gt;0),(IF(Registered!E961=0,"Size Not Specified",Registered!E961)),"")</f>
        <v/>
      </c>
      <c r="AU961" s="3" t="str">
        <f>IF(Registered!AE961=0,"",IF(Registered!AE961=1,Registered!AE961&amp;" Bandana",Registered!AE961&amp;" Bandanas"))</f>
        <v/>
      </c>
      <c r="AV961" s="3">
        <f t="shared" si="44"/>
        <v>0</v>
      </c>
      <c r="AW961" s="2" t="str">
        <f>IF(Registered!AV961=0,"",IF(Registered!AV961=1,Registered!AV961&amp;" Meal",Registered!AV961&amp;" Meals"))</f>
        <v/>
      </c>
      <c r="AX961" s="2" t="str">
        <f>IF(Registered!AI961=0,"",Registered!AI961&amp;" BG")</f>
        <v/>
      </c>
      <c r="AY961" s="2" t="str">
        <f>IF(Registered!AG961=0,"",Registered!AG961&amp;" DustMask")</f>
        <v/>
      </c>
    </row>
    <row r="962" spans="1:51" customFormat="1" x14ac:dyDescent="0.25">
      <c r="A962" t="s">
        <v>1455</v>
      </c>
      <c r="B962" t="s">
        <v>1456</v>
      </c>
      <c r="C962" t="s">
        <v>6090</v>
      </c>
      <c r="G962" t="s">
        <v>180</v>
      </c>
      <c r="H962" t="s">
        <v>1456</v>
      </c>
      <c r="I962" t="s">
        <v>1457</v>
      </c>
      <c r="J962" t="s">
        <v>37</v>
      </c>
      <c r="K962" t="s">
        <v>32</v>
      </c>
      <c r="L962" t="s">
        <v>35</v>
      </c>
      <c r="AQ962">
        <v>0</v>
      </c>
      <c r="AR962" s="3">
        <f t="shared" ref="AR962:AR1025" si="45">IF(ISTEXT(AM962)=TRUE,"",SUM(U962*10,W962*20,Y962*30,AA962*40,AC962*5,AM962*5))</f>
        <v>0</v>
      </c>
      <c r="AS962" s="3">
        <f t="shared" ref="AS962:AS1025" si="46">IF(ISTEXT(AM962)=TRUE,"",SUM(AM962,AO962))</f>
        <v>0</v>
      </c>
      <c r="AT962" s="3" t="str">
        <f>IF(OR(Registered!AM962&gt;0,Registered!AO962&gt;0),(IF(Registered!E962=0,"Size Not Specified",Registered!E962)),"")</f>
        <v/>
      </c>
      <c r="AU962" s="3" t="str">
        <f>IF(Registered!AE962=0,"",IF(Registered!AE962=1,Registered!AE962&amp;" Bandana",Registered!AE962&amp;" Bandanas"))</f>
        <v/>
      </c>
      <c r="AV962" s="3">
        <f t="shared" ref="AV962:AV1025" si="47">IF(ISTEXT(AM962)=TRUE,"",SUM(AM962,AK962))</f>
        <v>0</v>
      </c>
      <c r="AW962" s="2" t="str">
        <f>IF(Registered!AV962=0,"",IF(Registered!AV962=1,Registered!AV962&amp;" Meal",Registered!AV962&amp;" Meals"))</f>
        <v/>
      </c>
      <c r="AX962" s="2" t="str">
        <f>IF(Registered!AI962=0,"",Registered!AI962&amp;" BG")</f>
        <v/>
      </c>
      <c r="AY962" s="2" t="str">
        <f>IF(Registered!AG962=0,"",Registered!AG962&amp;" DustMask")</f>
        <v/>
      </c>
    </row>
    <row r="963" spans="1:51" customFormat="1" x14ac:dyDescent="0.25">
      <c r="A963" t="s">
        <v>1455</v>
      </c>
      <c r="B963" t="s">
        <v>6026</v>
      </c>
      <c r="C963" t="s">
        <v>6090</v>
      </c>
      <c r="G963" t="s">
        <v>3001</v>
      </c>
      <c r="H963" t="s">
        <v>3002</v>
      </c>
      <c r="I963" t="s">
        <v>3003</v>
      </c>
      <c r="J963" t="s">
        <v>37</v>
      </c>
      <c r="K963" t="s">
        <v>32</v>
      </c>
      <c r="L963" t="s">
        <v>35</v>
      </c>
      <c r="AQ963">
        <v>0</v>
      </c>
      <c r="AR963" s="3">
        <f t="shared" si="45"/>
        <v>0</v>
      </c>
      <c r="AS963" s="3">
        <f t="shared" si="46"/>
        <v>0</v>
      </c>
      <c r="AT963" s="3" t="str">
        <f>IF(OR(Registered!AM963&gt;0,Registered!AO963&gt;0),(IF(Registered!E963=0,"Size Not Specified",Registered!E963)),"")</f>
        <v/>
      </c>
      <c r="AU963" s="3" t="str">
        <f>IF(Registered!AE963=0,"",IF(Registered!AE963=1,Registered!AE963&amp;" Bandana",Registered!AE963&amp;" Bandanas"))</f>
        <v/>
      </c>
      <c r="AV963" s="3">
        <f t="shared" si="47"/>
        <v>0</v>
      </c>
      <c r="AW963" s="2" t="str">
        <f>IF(Registered!AV963=0,"",IF(Registered!AV963=1,Registered!AV963&amp;" Meal",Registered!AV963&amp;" Meals"))</f>
        <v/>
      </c>
      <c r="AX963" s="2" t="str">
        <f>IF(Registered!AI963=0,"",Registered!AI963&amp;" BG")</f>
        <v/>
      </c>
      <c r="AY963" s="2" t="str">
        <f>IF(Registered!AG963=0,"",Registered!AG963&amp;" DustMask")</f>
        <v/>
      </c>
    </row>
    <row r="964" spans="1:51" customFormat="1" x14ac:dyDescent="0.25">
      <c r="A964" t="s">
        <v>1455</v>
      </c>
      <c r="B964" t="s">
        <v>321</v>
      </c>
      <c r="C964" t="s">
        <v>6090</v>
      </c>
      <c r="G964" t="s">
        <v>320</v>
      </c>
      <c r="H964" t="s">
        <v>321</v>
      </c>
      <c r="I964" t="s">
        <v>1307</v>
      </c>
      <c r="J964" t="s">
        <v>37</v>
      </c>
      <c r="K964" t="s">
        <v>32</v>
      </c>
      <c r="L964" t="s">
        <v>35</v>
      </c>
      <c r="AQ964">
        <v>0</v>
      </c>
      <c r="AR964" s="3">
        <f t="shared" si="45"/>
        <v>0</v>
      </c>
      <c r="AS964" s="3">
        <f t="shared" si="46"/>
        <v>0</v>
      </c>
      <c r="AT964" s="3" t="str">
        <f>IF(OR(Registered!AM964&gt;0,Registered!AO964&gt;0),(IF(Registered!E964=0,"Size Not Specified",Registered!E964)),"")</f>
        <v/>
      </c>
      <c r="AU964" s="3" t="str">
        <f>IF(Registered!AE964=0,"",IF(Registered!AE964=1,Registered!AE964&amp;" Bandana",Registered!AE964&amp;" Bandanas"))</f>
        <v/>
      </c>
      <c r="AV964" s="3">
        <f t="shared" si="47"/>
        <v>0</v>
      </c>
      <c r="AW964" s="2" t="str">
        <f>IF(Registered!AV964=0,"",IF(Registered!AV964=1,Registered!AV964&amp;" Meal",Registered!AV964&amp;" Meals"))</f>
        <v/>
      </c>
      <c r="AX964" s="2" t="str">
        <f>IF(Registered!AI964=0,"",Registered!AI964&amp;" BG")</f>
        <v/>
      </c>
      <c r="AY964" s="2" t="str">
        <f>IF(Registered!AG964=0,"",Registered!AG964&amp;" DustMask")</f>
        <v/>
      </c>
    </row>
    <row r="965" spans="1:51" customFormat="1" x14ac:dyDescent="0.25">
      <c r="A965" t="s">
        <v>3012</v>
      </c>
      <c r="B965" t="s">
        <v>3014</v>
      </c>
      <c r="C965" t="s">
        <v>6090</v>
      </c>
      <c r="G965" t="s">
        <v>3013</v>
      </c>
      <c r="H965" t="s">
        <v>3014</v>
      </c>
      <c r="I965" t="s">
        <v>3015</v>
      </c>
      <c r="J965" t="s">
        <v>37</v>
      </c>
      <c r="K965" t="s">
        <v>32</v>
      </c>
      <c r="L965" t="s">
        <v>35</v>
      </c>
      <c r="AQ965">
        <v>0</v>
      </c>
      <c r="AR965" s="3">
        <f t="shared" si="45"/>
        <v>0</v>
      </c>
      <c r="AS965" s="3">
        <f t="shared" si="46"/>
        <v>0</v>
      </c>
      <c r="AT965" s="3" t="str">
        <f>IF(OR(Registered!AM965&gt;0,Registered!AO965&gt;0),(IF(Registered!E965=0,"Size Not Specified",Registered!E965)),"")</f>
        <v/>
      </c>
      <c r="AU965" s="3" t="str">
        <f>IF(Registered!AE965=0,"",IF(Registered!AE965=1,Registered!AE965&amp;" Bandana",Registered!AE965&amp;" Bandanas"))</f>
        <v/>
      </c>
      <c r="AV965" s="3">
        <f t="shared" si="47"/>
        <v>0</v>
      </c>
      <c r="AW965" s="2" t="str">
        <f>IF(Registered!AV965=0,"",IF(Registered!AV965=1,Registered!AV965&amp;" Meal",Registered!AV965&amp;" Meals"))</f>
        <v/>
      </c>
      <c r="AX965" s="2" t="str">
        <f>IF(Registered!AI965=0,"",Registered!AI965&amp;" BG")</f>
        <v/>
      </c>
      <c r="AY965" s="2" t="str">
        <f>IF(Registered!AG965=0,"",Registered!AG965&amp;" DustMask")</f>
        <v/>
      </c>
    </row>
    <row r="966" spans="1:51" customFormat="1" x14ac:dyDescent="0.25">
      <c r="A966" t="s">
        <v>361</v>
      </c>
      <c r="B966" t="s">
        <v>6035</v>
      </c>
      <c r="C966" t="s">
        <v>6090</v>
      </c>
      <c r="G966" t="s">
        <v>178</v>
      </c>
      <c r="H966" t="s">
        <v>671</v>
      </c>
      <c r="I966" t="s">
        <v>672</v>
      </c>
      <c r="J966" t="s">
        <v>37</v>
      </c>
      <c r="K966" t="s">
        <v>32</v>
      </c>
      <c r="L966" t="s">
        <v>35</v>
      </c>
      <c r="AQ966">
        <v>0</v>
      </c>
      <c r="AR966" s="3">
        <f t="shared" si="45"/>
        <v>0</v>
      </c>
      <c r="AS966" s="3">
        <f t="shared" si="46"/>
        <v>0</v>
      </c>
      <c r="AT966" s="3" t="str">
        <f>IF(OR(Registered!AM966&gt;0,Registered!AO966&gt;0),(IF(Registered!E966=0,"Size Not Specified",Registered!E966)),"")</f>
        <v/>
      </c>
      <c r="AU966" s="3" t="str">
        <f>IF(Registered!AE966=0,"",IF(Registered!AE966=1,Registered!AE966&amp;" Bandana",Registered!AE966&amp;" Bandanas"))</f>
        <v/>
      </c>
      <c r="AV966" s="3">
        <f t="shared" si="47"/>
        <v>0</v>
      </c>
      <c r="AW966" s="2" t="str">
        <f>IF(Registered!AV966=0,"",IF(Registered!AV966=1,Registered!AV966&amp;" Meal",Registered!AV966&amp;" Meals"))</f>
        <v/>
      </c>
      <c r="AX966" s="2" t="str">
        <f>IF(Registered!AI966=0,"",Registered!AI966&amp;" BG")</f>
        <v/>
      </c>
      <c r="AY966" s="2" t="str">
        <f>IF(Registered!AG966=0,"",Registered!AG966&amp;" DustMask")</f>
        <v/>
      </c>
    </row>
    <row r="967" spans="1:51" customFormat="1" x14ac:dyDescent="0.25">
      <c r="A967" t="s">
        <v>4613</v>
      </c>
      <c r="B967" t="s">
        <v>6036</v>
      </c>
      <c r="C967" t="s">
        <v>6090</v>
      </c>
      <c r="G967" t="s">
        <v>3599</v>
      </c>
      <c r="H967" t="s">
        <v>628</v>
      </c>
      <c r="I967" t="s">
        <v>3600</v>
      </c>
      <c r="J967" t="s">
        <v>37</v>
      </c>
      <c r="K967" t="s">
        <v>32</v>
      </c>
      <c r="L967" t="s">
        <v>35</v>
      </c>
      <c r="AQ967">
        <v>0</v>
      </c>
      <c r="AR967" s="3">
        <f t="shared" si="45"/>
        <v>0</v>
      </c>
      <c r="AS967" s="3">
        <f t="shared" si="46"/>
        <v>0</v>
      </c>
      <c r="AT967" s="3" t="str">
        <f>IF(OR(Registered!AM967&gt;0,Registered!AO967&gt;0),(IF(Registered!E967=0,"Size Not Specified",Registered!E967)),"")</f>
        <v/>
      </c>
      <c r="AU967" s="3" t="str">
        <f>IF(Registered!AE967=0,"",IF(Registered!AE967=1,Registered!AE967&amp;" Bandana",Registered!AE967&amp;" Bandanas"))</f>
        <v/>
      </c>
      <c r="AV967" s="3">
        <f t="shared" si="47"/>
        <v>0</v>
      </c>
      <c r="AW967" s="2" t="str">
        <f>IF(Registered!AV967=0,"",IF(Registered!AV967=1,Registered!AV967&amp;" Meal",Registered!AV967&amp;" Meals"))</f>
        <v/>
      </c>
      <c r="AX967" s="2" t="str">
        <f>IF(Registered!AI967=0,"",Registered!AI967&amp;" BG")</f>
        <v/>
      </c>
      <c r="AY967" s="2" t="str">
        <f>IF(Registered!AG967=0,"",Registered!AG967&amp;" DustMask")</f>
        <v/>
      </c>
    </row>
    <row r="968" spans="1:51" customFormat="1" x14ac:dyDescent="0.25">
      <c r="A968" t="s">
        <v>1459</v>
      </c>
      <c r="B968" t="s">
        <v>6026</v>
      </c>
      <c r="C968" t="s">
        <v>6090</v>
      </c>
      <c r="G968" t="s">
        <v>3001</v>
      </c>
      <c r="H968" t="s">
        <v>3002</v>
      </c>
      <c r="I968" t="s">
        <v>3003</v>
      </c>
      <c r="J968" t="s">
        <v>37</v>
      </c>
      <c r="K968" t="s">
        <v>32</v>
      </c>
      <c r="L968" t="s">
        <v>35</v>
      </c>
      <c r="AQ968">
        <v>0</v>
      </c>
      <c r="AR968" s="3">
        <f t="shared" si="45"/>
        <v>0</v>
      </c>
      <c r="AS968" s="3">
        <f t="shared" si="46"/>
        <v>0</v>
      </c>
      <c r="AT968" s="3" t="str">
        <f>IF(OR(Registered!AM968&gt;0,Registered!AO968&gt;0),(IF(Registered!E968=0,"Size Not Specified",Registered!E968)),"")</f>
        <v/>
      </c>
      <c r="AU968" s="3" t="str">
        <f>IF(Registered!AE968=0,"",IF(Registered!AE968=1,Registered!AE968&amp;" Bandana",Registered!AE968&amp;" Bandanas"))</f>
        <v/>
      </c>
      <c r="AV968" s="3">
        <f t="shared" si="47"/>
        <v>0</v>
      </c>
      <c r="AW968" s="2" t="str">
        <f>IF(Registered!AV968=0,"",IF(Registered!AV968=1,Registered!AV968&amp;" Meal",Registered!AV968&amp;" Meals"))</f>
        <v/>
      </c>
      <c r="AX968" s="2" t="str">
        <f>IF(Registered!AI968=0,"",Registered!AI968&amp;" BG")</f>
        <v/>
      </c>
      <c r="AY968" s="2" t="str">
        <f>IF(Registered!AG968=0,"",Registered!AG968&amp;" DustMask")</f>
        <v/>
      </c>
    </row>
    <row r="969" spans="1:51" customFormat="1" x14ac:dyDescent="0.25">
      <c r="A969" t="s">
        <v>1461</v>
      </c>
      <c r="B969" t="s">
        <v>6026</v>
      </c>
      <c r="C969" t="s">
        <v>6090</v>
      </c>
      <c r="G969" t="s">
        <v>3001</v>
      </c>
      <c r="H969" t="s">
        <v>3002</v>
      </c>
      <c r="I969" t="s">
        <v>3003</v>
      </c>
      <c r="J969" t="s">
        <v>37</v>
      </c>
      <c r="K969" t="s">
        <v>32</v>
      </c>
      <c r="L969" t="s">
        <v>35</v>
      </c>
      <c r="AQ969">
        <v>0</v>
      </c>
      <c r="AR969" s="3">
        <f t="shared" si="45"/>
        <v>0</v>
      </c>
      <c r="AS969" s="3">
        <f t="shared" si="46"/>
        <v>0</v>
      </c>
      <c r="AT969" s="3" t="str">
        <f>IF(OR(Registered!AM969&gt;0,Registered!AO969&gt;0),(IF(Registered!E969=0,"Size Not Specified",Registered!E969)),"")</f>
        <v/>
      </c>
      <c r="AU969" s="3" t="str">
        <f>IF(Registered!AE969=0,"",IF(Registered!AE969=1,Registered!AE969&amp;" Bandana",Registered!AE969&amp;" Bandanas"))</f>
        <v/>
      </c>
      <c r="AV969" s="3">
        <f t="shared" si="47"/>
        <v>0</v>
      </c>
      <c r="AW969" s="2" t="str">
        <f>IF(Registered!AV969=0,"",IF(Registered!AV969=1,Registered!AV969&amp;" Meal",Registered!AV969&amp;" Meals"))</f>
        <v/>
      </c>
      <c r="AX969" s="2" t="str">
        <f>IF(Registered!AI969=0,"",Registered!AI969&amp;" BG")</f>
        <v/>
      </c>
      <c r="AY969" s="2" t="str">
        <f>IF(Registered!AG969=0,"",Registered!AG969&amp;" DustMask")</f>
        <v/>
      </c>
    </row>
    <row r="970" spans="1:51" customFormat="1" x14ac:dyDescent="0.25">
      <c r="A970" t="s">
        <v>1463</v>
      </c>
      <c r="B970" t="s">
        <v>6026</v>
      </c>
      <c r="C970" t="s">
        <v>6090</v>
      </c>
      <c r="G970" t="s">
        <v>3001</v>
      </c>
      <c r="H970" t="s">
        <v>3002</v>
      </c>
      <c r="I970" t="s">
        <v>3003</v>
      </c>
      <c r="J970" t="s">
        <v>37</v>
      </c>
      <c r="K970" t="s">
        <v>32</v>
      </c>
      <c r="L970" t="s">
        <v>35</v>
      </c>
      <c r="AQ970">
        <v>0</v>
      </c>
      <c r="AR970" s="3">
        <f t="shared" si="45"/>
        <v>0</v>
      </c>
      <c r="AS970" s="3">
        <f t="shared" si="46"/>
        <v>0</v>
      </c>
      <c r="AT970" s="3" t="str">
        <f>IF(OR(Registered!AM970&gt;0,Registered!AO970&gt;0),(IF(Registered!E970=0,"Size Not Specified",Registered!E970)),"")</f>
        <v/>
      </c>
      <c r="AU970" s="3" t="str">
        <f>IF(Registered!AE970=0,"",IF(Registered!AE970=1,Registered!AE970&amp;" Bandana",Registered!AE970&amp;" Bandanas"))</f>
        <v/>
      </c>
      <c r="AV970" s="3">
        <f t="shared" si="47"/>
        <v>0</v>
      </c>
      <c r="AW970" s="2" t="str">
        <f>IF(Registered!AV970=0,"",IF(Registered!AV970=1,Registered!AV970&amp;" Meal",Registered!AV970&amp;" Meals"))</f>
        <v/>
      </c>
      <c r="AX970" s="2" t="str">
        <f>IF(Registered!AI970=0,"",Registered!AI970&amp;" BG")</f>
        <v/>
      </c>
      <c r="AY970" s="2" t="str">
        <f>IF(Registered!AG970=0,"",Registered!AG970&amp;" DustMask")</f>
        <v/>
      </c>
    </row>
    <row r="971" spans="1:51" customFormat="1" x14ac:dyDescent="0.25">
      <c r="A971" t="s">
        <v>319</v>
      </c>
      <c r="B971" t="s">
        <v>1465</v>
      </c>
      <c r="C971" t="s">
        <v>6090</v>
      </c>
      <c r="G971" t="s">
        <v>170</v>
      </c>
      <c r="H971" t="s">
        <v>1445</v>
      </c>
      <c r="I971" t="s">
        <v>1446</v>
      </c>
      <c r="J971" t="s">
        <v>37</v>
      </c>
      <c r="K971" t="s">
        <v>32</v>
      </c>
      <c r="L971" t="s">
        <v>35</v>
      </c>
      <c r="AQ971">
        <v>0</v>
      </c>
      <c r="AR971" s="3">
        <f t="shared" si="45"/>
        <v>0</v>
      </c>
      <c r="AS971" s="3">
        <f t="shared" si="46"/>
        <v>0</v>
      </c>
      <c r="AT971" s="3" t="str">
        <f>IF(OR(Registered!AM971&gt;0,Registered!AO971&gt;0),(IF(Registered!E971=0,"Size Not Specified",Registered!E971)),"")</f>
        <v/>
      </c>
      <c r="AU971" s="3" t="str">
        <f>IF(Registered!AE971=0,"",IF(Registered!AE971=1,Registered!AE971&amp;" Bandana",Registered!AE971&amp;" Bandanas"))</f>
        <v/>
      </c>
      <c r="AV971" s="3">
        <f t="shared" si="47"/>
        <v>0</v>
      </c>
      <c r="AW971" s="2" t="str">
        <f>IF(Registered!AV971=0,"",IF(Registered!AV971=1,Registered!AV971&amp;" Meal",Registered!AV971&amp;" Meals"))</f>
        <v/>
      </c>
      <c r="AX971" s="2" t="str">
        <f>IF(Registered!AI971=0,"",Registered!AI971&amp;" BG")</f>
        <v/>
      </c>
      <c r="AY971" s="2" t="str">
        <f>IF(Registered!AG971=0,"",Registered!AG971&amp;" DustMask")</f>
        <v/>
      </c>
    </row>
    <row r="972" spans="1:51" customFormat="1" x14ac:dyDescent="0.25">
      <c r="A972" t="s">
        <v>292</v>
      </c>
      <c r="B972" t="s">
        <v>4614</v>
      </c>
      <c r="C972" t="s">
        <v>6090</v>
      </c>
      <c r="G972" t="s">
        <v>1354</v>
      </c>
      <c r="H972" t="s">
        <v>3062</v>
      </c>
      <c r="I972" t="s">
        <v>3940</v>
      </c>
      <c r="J972" t="s">
        <v>37</v>
      </c>
      <c r="K972" t="s">
        <v>32</v>
      </c>
      <c r="L972" t="s">
        <v>35</v>
      </c>
      <c r="AQ972">
        <v>0</v>
      </c>
      <c r="AR972" s="3">
        <f t="shared" si="45"/>
        <v>0</v>
      </c>
      <c r="AS972" s="3">
        <f t="shared" si="46"/>
        <v>0</v>
      </c>
      <c r="AT972" s="3" t="str">
        <f>IF(OR(Registered!AM972&gt;0,Registered!AO972&gt;0),(IF(Registered!E972=0,"Size Not Specified",Registered!E972)),"")</f>
        <v/>
      </c>
      <c r="AU972" s="3" t="str">
        <f>IF(Registered!AE972=0,"",IF(Registered!AE972=1,Registered!AE972&amp;" Bandana",Registered!AE972&amp;" Bandanas"))</f>
        <v/>
      </c>
      <c r="AV972" s="3">
        <f t="shared" si="47"/>
        <v>0</v>
      </c>
      <c r="AW972" s="2" t="str">
        <f>IF(Registered!AV972=0,"",IF(Registered!AV972=1,Registered!AV972&amp;" Meal",Registered!AV972&amp;" Meals"))</f>
        <v/>
      </c>
      <c r="AX972" s="2" t="str">
        <f>IF(Registered!AI972=0,"",Registered!AI972&amp;" BG")</f>
        <v/>
      </c>
      <c r="AY972" s="2" t="str">
        <f>IF(Registered!AG972=0,"",Registered!AG972&amp;" DustMask")</f>
        <v/>
      </c>
    </row>
    <row r="973" spans="1:51" customFormat="1" x14ac:dyDescent="0.25">
      <c r="A973" t="s">
        <v>4319</v>
      </c>
      <c r="B973" t="s">
        <v>4320</v>
      </c>
      <c r="C973" t="s">
        <v>6090</v>
      </c>
      <c r="D973" t="s">
        <v>4615</v>
      </c>
      <c r="F973" t="s">
        <v>261</v>
      </c>
      <c r="I973" t="s">
        <v>4321</v>
      </c>
      <c r="J973" t="s">
        <v>37</v>
      </c>
      <c r="K973" t="s">
        <v>32</v>
      </c>
      <c r="L973" t="s">
        <v>35</v>
      </c>
      <c r="Q973">
        <v>2</v>
      </c>
      <c r="R973">
        <v>3</v>
      </c>
      <c r="U973">
        <v>1</v>
      </c>
      <c r="V973">
        <v>20</v>
      </c>
      <c r="AE973">
        <v>2</v>
      </c>
      <c r="AF973">
        <v>6</v>
      </c>
      <c r="AK973">
        <v>1</v>
      </c>
      <c r="AL973">
        <v>6</v>
      </c>
      <c r="AQ973">
        <v>44</v>
      </c>
      <c r="AR973" s="3">
        <f t="shared" si="45"/>
        <v>10</v>
      </c>
      <c r="AS973" s="3">
        <f t="shared" si="46"/>
        <v>0</v>
      </c>
      <c r="AT973" s="3" t="str">
        <f>IF(OR(Registered!AM973&gt;0,Registered!AO973&gt;0),(IF(Registered!E973=0,"Size Not Specified",Registered!E973)),"")</f>
        <v/>
      </c>
      <c r="AU973" s="3" t="str">
        <f>IF(Registered!AE973=0,"",IF(Registered!AE973=1,Registered!AE973&amp;" Bandana",Registered!AE973&amp;" Bandanas"))</f>
        <v>2 Bandanas</v>
      </c>
      <c r="AV973" s="3">
        <f t="shared" si="47"/>
        <v>1</v>
      </c>
      <c r="AW973" s="2" t="str">
        <f>IF(Registered!AV973=0,"",IF(Registered!AV973=1,Registered!AV973&amp;" Meal",Registered!AV973&amp;" Meals"))</f>
        <v>1 Meal</v>
      </c>
      <c r="AX973" s="2" t="str">
        <f>IF(Registered!AI973=0,"",Registered!AI973&amp;" BG")</f>
        <v/>
      </c>
      <c r="AY973" s="2" t="str">
        <f>IF(Registered!AG973=0,"",Registered!AG973&amp;" DustMask")</f>
        <v/>
      </c>
    </row>
    <row r="974" spans="1:51" customFormat="1" x14ac:dyDescent="0.25">
      <c r="A974" t="s">
        <v>180</v>
      </c>
      <c r="B974" t="s">
        <v>1466</v>
      </c>
      <c r="C974" t="s">
        <v>6090</v>
      </c>
      <c r="D974" t="s">
        <v>1467</v>
      </c>
      <c r="F974" t="s">
        <v>261</v>
      </c>
      <c r="I974" t="s">
        <v>1468</v>
      </c>
      <c r="J974" t="s">
        <v>37</v>
      </c>
      <c r="K974" t="s">
        <v>32</v>
      </c>
      <c r="L974" t="s">
        <v>35</v>
      </c>
      <c r="S974">
        <v>1</v>
      </c>
      <c r="T974">
        <v>3</v>
      </c>
      <c r="AC974">
        <v>1</v>
      </c>
      <c r="AD974">
        <v>10</v>
      </c>
      <c r="AK974">
        <v>1</v>
      </c>
      <c r="AL974">
        <v>6</v>
      </c>
      <c r="AQ974">
        <v>19</v>
      </c>
      <c r="AR974" s="3">
        <f t="shared" si="45"/>
        <v>5</v>
      </c>
      <c r="AS974" s="3">
        <f t="shared" si="46"/>
        <v>0</v>
      </c>
      <c r="AT974" s="3" t="str">
        <f>IF(OR(Registered!AM974&gt;0,Registered!AO974&gt;0),(IF(Registered!E974=0,"Size Not Specified",Registered!E974)),"")</f>
        <v/>
      </c>
      <c r="AU974" s="3" t="str">
        <f>IF(Registered!AE974=0,"",IF(Registered!AE974=1,Registered!AE974&amp;" Bandana",Registered!AE974&amp;" Bandanas"))</f>
        <v/>
      </c>
      <c r="AV974" s="3">
        <f t="shared" si="47"/>
        <v>1</v>
      </c>
      <c r="AW974" s="2" t="str">
        <f>IF(Registered!AV974=0,"",IF(Registered!AV974=1,Registered!AV974&amp;" Meal",Registered!AV974&amp;" Meals"))</f>
        <v>1 Meal</v>
      </c>
      <c r="AX974" s="2" t="str">
        <f>IF(Registered!AI974=0,"",Registered!AI974&amp;" BG")</f>
        <v/>
      </c>
      <c r="AY974" s="2" t="str">
        <f>IF(Registered!AG974=0,"",Registered!AG974&amp;" DustMask")</f>
        <v/>
      </c>
    </row>
    <row r="975" spans="1:51" customFormat="1" x14ac:dyDescent="0.25">
      <c r="A975" t="s">
        <v>184</v>
      </c>
      <c r="B975" t="s">
        <v>334</v>
      </c>
      <c r="C975" t="s">
        <v>6090</v>
      </c>
      <c r="G975" t="s">
        <v>292</v>
      </c>
      <c r="H975" t="s">
        <v>3017</v>
      </c>
      <c r="I975" t="s">
        <v>3615</v>
      </c>
      <c r="J975" t="s">
        <v>37</v>
      </c>
      <c r="K975" t="s">
        <v>32</v>
      </c>
      <c r="L975" t="s">
        <v>35</v>
      </c>
      <c r="AQ975">
        <v>0</v>
      </c>
      <c r="AR975" s="3">
        <f t="shared" si="45"/>
        <v>0</v>
      </c>
      <c r="AS975" s="3">
        <f t="shared" si="46"/>
        <v>0</v>
      </c>
      <c r="AT975" s="3" t="str">
        <f>IF(OR(Registered!AM975&gt;0,Registered!AO975&gt;0),(IF(Registered!E975=0,"Size Not Specified",Registered!E975)),"")</f>
        <v/>
      </c>
      <c r="AU975" s="3" t="str">
        <f>IF(Registered!AE975=0,"",IF(Registered!AE975=1,Registered!AE975&amp;" Bandana",Registered!AE975&amp;" Bandanas"))</f>
        <v/>
      </c>
      <c r="AV975" s="3">
        <f t="shared" si="47"/>
        <v>0</v>
      </c>
      <c r="AW975" s="2" t="str">
        <f>IF(Registered!AV975=0,"",IF(Registered!AV975=1,Registered!AV975&amp;" Meal",Registered!AV975&amp;" Meals"))</f>
        <v/>
      </c>
      <c r="AX975" s="2" t="str">
        <f>IF(Registered!AI975=0,"",Registered!AI975&amp;" BG")</f>
        <v/>
      </c>
      <c r="AY975" s="2" t="str">
        <f>IF(Registered!AG975=0,"",Registered!AG975&amp;" DustMask")</f>
        <v/>
      </c>
    </row>
    <row r="976" spans="1:51" customFormat="1" x14ac:dyDescent="0.25">
      <c r="A976" t="s">
        <v>393</v>
      </c>
      <c r="B976" t="s">
        <v>1472</v>
      </c>
      <c r="C976" t="s">
        <v>6090</v>
      </c>
      <c r="D976" t="s">
        <v>1473</v>
      </c>
      <c r="F976" t="s">
        <v>261</v>
      </c>
      <c r="I976" t="s">
        <v>1474</v>
      </c>
      <c r="J976" t="s">
        <v>37</v>
      </c>
      <c r="K976" t="s">
        <v>32</v>
      </c>
      <c r="L976" t="s">
        <v>35</v>
      </c>
      <c r="S976">
        <v>1</v>
      </c>
      <c r="T976">
        <v>3</v>
      </c>
      <c r="AC976">
        <v>1</v>
      </c>
      <c r="AD976">
        <v>10</v>
      </c>
      <c r="AQ976">
        <v>13</v>
      </c>
      <c r="AR976" s="3">
        <f t="shared" si="45"/>
        <v>5</v>
      </c>
      <c r="AS976" s="3">
        <f t="shared" si="46"/>
        <v>0</v>
      </c>
      <c r="AT976" s="3" t="str">
        <f>IF(OR(Registered!AM976&gt;0,Registered!AO976&gt;0),(IF(Registered!E976=0,"Size Not Specified",Registered!E976)),"")</f>
        <v/>
      </c>
      <c r="AU976" s="3" t="str">
        <f>IF(Registered!AE976=0,"",IF(Registered!AE976=1,Registered!AE976&amp;" Bandana",Registered!AE976&amp;" Bandanas"))</f>
        <v/>
      </c>
      <c r="AV976" s="3">
        <f t="shared" si="47"/>
        <v>0</v>
      </c>
      <c r="AW976" s="2" t="str">
        <f>IF(Registered!AV976=0,"",IF(Registered!AV976=1,Registered!AV976&amp;" Meal",Registered!AV976&amp;" Meals"))</f>
        <v/>
      </c>
      <c r="AX976" s="2" t="str">
        <f>IF(Registered!AI976=0,"",Registered!AI976&amp;" BG")</f>
        <v/>
      </c>
      <c r="AY976" s="2" t="str">
        <f>IF(Registered!AG976=0,"",Registered!AG976&amp;" DustMask")</f>
        <v/>
      </c>
    </row>
    <row r="977" spans="1:51" customFormat="1" x14ac:dyDescent="0.25">
      <c r="A977" t="s">
        <v>93</v>
      </c>
      <c r="B977" t="s">
        <v>1475</v>
      </c>
      <c r="C977" t="s">
        <v>6090</v>
      </c>
      <c r="D977" t="s">
        <v>1476</v>
      </c>
      <c r="F977" t="s">
        <v>261</v>
      </c>
      <c r="I977" t="s">
        <v>1477</v>
      </c>
      <c r="J977" t="s">
        <v>37</v>
      </c>
      <c r="K977" t="s">
        <v>32</v>
      </c>
      <c r="L977" t="s">
        <v>35</v>
      </c>
      <c r="S977">
        <v>1</v>
      </c>
      <c r="T977">
        <v>3</v>
      </c>
      <c r="AC977">
        <v>1</v>
      </c>
      <c r="AD977">
        <v>10</v>
      </c>
      <c r="AQ977">
        <v>13</v>
      </c>
      <c r="AR977" s="3">
        <f t="shared" si="45"/>
        <v>5</v>
      </c>
      <c r="AS977" s="3">
        <f t="shared" si="46"/>
        <v>0</v>
      </c>
      <c r="AT977" s="3" t="str">
        <f>IF(OR(Registered!AM977&gt;0,Registered!AO977&gt;0),(IF(Registered!E977=0,"Size Not Specified",Registered!E977)),"")</f>
        <v/>
      </c>
      <c r="AU977" s="3" t="str">
        <f>IF(Registered!AE977=0,"",IF(Registered!AE977=1,Registered!AE977&amp;" Bandana",Registered!AE977&amp;" Bandanas"))</f>
        <v/>
      </c>
      <c r="AV977" s="3">
        <f t="shared" si="47"/>
        <v>0</v>
      </c>
      <c r="AW977" s="2" t="str">
        <f>IF(Registered!AV977=0,"",IF(Registered!AV977=1,Registered!AV977&amp;" Meal",Registered!AV977&amp;" Meals"))</f>
        <v/>
      </c>
      <c r="AX977" s="2" t="str">
        <f>IF(Registered!AI977=0,"",Registered!AI977&amp;" BG")</f>
        <v/>
      </c>
      <c r="AY977" s="2" t="str">
        <f>IF(Registered!AG977=0,"",Registered!AG977&amp;" DustMask")</f>
        <v/>
      </c>
    </row>
    <row r="978" spans="1:51" customFormat="1" x14ac:dyDescent="0.25">
      <c r="A978" t="s">
        <v>1478</v>
      </c>
      <c r="B978" t="s">
        <v>1479</v>
      </c>
      <c r="C978" t="s">
        <v>6090</v>
      </c>
      <c r="D978" t="s">
        <v>1480</v>
      </c>
      <c r="F978" t="s">
        <v>261</v>
      </c>
      <c r="I978" t="s">
        <v>1481</v>
      </c>
      <c r="J978" t="s">
        <v>37</v>
      </c>
      <c r="K978" t="s">
        <v>32</v>
      </c>
      <c r="L978" t="s">
        <v>35</v>
      </c>
      <c r="S978">
        <v>1</v>
      </c>
      <c r="T978">
        <v>3</v>
      </c>
      <c r="U978">
        <v>1</v>
      </c>
      <c r="V978">
        <v>20</v>
      </c>
      <c r="AQ978">
        <v>23</v>
      </c>
      <c r="AR978" s="3">
        <f t="shared" si="45"/>
        <v>10</v>
      </c>
      <c r="AS978" s="3">
        <f t="shared" si="46"/>
        <v>0</v>
      </c>
      <c r="AT978" s="3" t="str">
        <f>IF(OR(Registered!AM978&gt;0,Registered!AO978&gt;0),(IF(Registered!E978=0,"Size Not Specified",Registered!E978)),"")</f>
        <v/>
      </c>
      <c r="AU978" s="3" t="str">
        <f>IF(Registered!AE978=0,"",IF(Registered!AE978=1,Registered!AE978&amp;" Bandana",Registered!AE978&amp;" Bandanas"))</f>
        <v/>
      </c>
      <c r="AV978" s="3">
        <f t="shared" si="47"/>
        <v>0</v>
      </c>
      <c r="AW978" s="2" t="str">
        <f>IF(Registered!AV978=0,"",IF(Registered!AV978=1,Registered!AV978&amp;" Meal",Registered!AV978&amp;" Meals"))</f>
        <v/>
      </c>
      <c r="AX978" s="2" t="str">
        <f>IF(Registered!AI978=0,"",Registered!AI978&amp;" BG")</f>
        <v/>
      </c>
      <c r="AY978" s="2" t="str">
        <f>IF(Registered!AG978=0,"",Registered!AG978&amp;" DustMask")</f>
        <v/>
      </c>
    </row>
    <row r="979" spans="1:51" customFormat="1" x14ac:dyDescent="0.25">
      <c r="A979" t="s">
        <v>141</v>
      </c>
      <c r="B979" t="s">
        <v>1479</v>
      </c>
      <c r="C979" t="s">
        <v>6090</v>
      </c>
      <c r="G979" t="s">
        <v>292</v>
      </c>
      <c r="H979" t="s">
        <v>1482</v>
      </c>
      <c r="I979" t="s">
        <v>1483</v>
      </c>
      <c r="J979" t="s">
        <v>37</v>
      </c>
      <c r="K979" t="s">
        <v>32</v>
      </c>
      <c r="L979" t="s">
        <v>35</v>
      </c>
      <c r="AQ979">
        <v>0</v>
      </c>
      <c r="AR979" s="3">
        <f t="shared" si="45"/>
        <v>0</v>
      </c>
      <c r="AS979" s="3">
        <f t="shared" si="46"/>
        <v>0</v>
      </c>
      <c r="AT979" s="3" t="str">
        <f>IF(OR(Registered!AM979&gt;0,Registered!AO979&gt;0),(IF(Registered!E979=0,"Size Not Specified",Registered!E979)),"")</f>
        <v/>
      </c>
      <c r="AU979" s="3" t="str">
        <f>IF(Registered!AE979=0,"",IF(Registered!AE979=1,Registered!AE979&amp;" Bandana",Registered!AE979&amp;" Bandanas"))</f>
        <v/>
      </c>
      <c r="AV979" s="3">
        <f t="shared" si="47"/>
        <v>0</v>
      </c>
      <c r="AW979" s="2" t="str">
        <f>IF(Registered!AV979=0,"",IF(Registered!AV979=1,Registered!AV979&amp;" Meal",Registered!AV979&amp;" Meals"))</f>
        <v/>
      </c>
      <c r="AX979" s="2" t="str">
        <f>IF(Registered!AI979=0,"",Registered!AI979&amp;" BG")</f>
        <v/>
      </c>
      <c r="AY979" s="2" t="str">
        <f>IF(Registered!AG979=0,"",Registered!AG979&amp;" DustMask")</f>
        <v/>
      </c>
    </row>
    <row r="980" spans="1:51" customFormat="1" x14ac:dyDescent="0.25">
      <c r="A980" t="s">
        <v>3589</v>
      </c>
      <c r="B980" t="s">
        <v>4616</v>
      </c>
      <c r="C980" t="s">
        <v>6090</v>
      </c>
      <c r="G980" t="s">
        <v>4129</v>
      </c>
      <c r="H980" t="s">
        <v>4130</v>
      </c>
      <c r="I980" t="s">
        <v>4132</v>
      </c>
      <c r="J980" t="s">
        <v>37</v>
      </c>
      <c r="K980" t="s">
        <v>32</v>
      </c>
      <c r="L980" t="s">
        <v>35</v>
      </c>
      <c r="AQ980">
        <v>0</v>
      </c>
      <c r="AR980" s="3">
        <f t="shared" si="45"/>
        <v>0</v>
      </c>
      <c r="AS980" s="3">
        <f t="shared" si="46"/>
        <v>0</v>
      </c>
      <c r="AT980" s="3" t="str">
        <f>IF(OR(Registered!AM980&gt;0,Registered!AO980&gt;0),(IF(Registered!E980=0,"Size Not Specified",Registered!E980)),"")</f>
        <v/>
      </c>
      <c r="AU980" s="3" t="str">
        <f>IF(Registered!AE980=0,"",IF(Registered!AE980=1,Registered!AE980&amp;" Bandana",Registered!AE980&amp;" Bandanas"))</f>
        <v/>
      </c>
      <c r="AV980" s="3">
        <f t="shared" si="47"/>
        <v>0</v>
      </c>
      <c r="AW980" s="2" t="str">
        <f>IF(Registered!AV980=0,"",IF(Registered!AV980=1,Registered!AV980&amp;" Meal",Registered!AV980&amp;" Meals"))</f>
        <v/>
      </c>
      <c r="AX980" s="2" t="str">
        <f>IF(Registered!AI980=0,"",Registered!AI980&amp;" BG")</f>
        <v/>
      </c>
      <c r="AY980" s="2" t="str">
        <f>IF(Registered!AG980=0,"",Registered!AG980&amp;" DustMask")</f>
        <v/>
      </c>
    </row>
    <row r="981" spans="1:51" customFormat="1" x14ac:dyDescent="0.25">
      <c r="A981" t="s">
        <v>813</v>
      </c>
      <c r="B981" t="s">
        <v>1484</v>
      </c>
      <c r="C981" t="s">
        <v>6090</v>
      </c>
      <c r="G981" t="s">
        <v>107</v>
      </c>
      <c r="H981" t="s">
        <v>1485</v>
      </c>
      <c r="I981" t="s">
        <v>1486</v>
      </c>
      <c r="J981" t="s">
        <v>37</v>
      </c>
      <c r="K981" t="s">
        <v>32</v>
      </c>
      <c r="L981" t="s">
        <v>35</v>
      </c>
      <c r="AQ981">
        <v>0</v>
      </c>
      <c r="AR981" s="3">
        <f t="shared" si="45"/>
        <v>0</v>
      </c>
      <c r="AS981" s="3">
        <f t="shared" si="46"/>
        <v>0</v>
      </c>
      <c r="AT981" s="3" t="str">
        <f>IF(OR(Registered!AM981&gt;0,Registered!AO981&gt;0),(IF(Registered!E981=0,"Size Not Specified",Registered!E981)),"")</f>
        <v/>
      </c>
      <c r="AU981" s="3" t="str">
        <f>IF(Registered!AE981=0,"",IF(Registered!AE981=1,Registered!AE981&amp;" Bandana",Registered!AE981&amp;" Bandanas"))</f>
        <v/>
      </c>
      <c r="AV981" s="3">
        <f t="shared" si="47"/>
        <v>0</v>
      </c>
      <c r="AW981" s="2" t="str">
        <f>IF(Registered!AV981=0,"",IF(Registered!AV981=1,Registered!AV981&amp;" Meal",Registered!AV981&amp;" Meals"))</f>
        <v/>
      </c>
      <c r="AX981" s="2" t="str">
        <f>IF(Registered!AI981=0,"",Registered!AI981&amp;" BG")</f>
        <v/>
      </c>
      <c r="AY981" s="2" t="str">
        <f>IF(Registered!AG981=0,"",Registered!AG981&amp;" DustMask")</f>
        <v/>
      </c>
    </row>
    <row r="982" spans="1:51" customFormat="1" x14ac:dyDescent="0.25">
      <c r="A982" t="s">
        <v>4617</v>
      </c>
      <c r="B982" t="s">
        <v>4618</v>
      </c>
      <c r="C982" t="s">
        <v>6090</v>
      </c>
      <c r="D982" t="s">
        <v>4619</v>
      </c>
      <c r="F982" t="s">
        <v>261</v>
      </c>
      <c r="I982" t="s">
        <v>4620</v>
      </c>
      <c r="J982" t="s">
        <v>37</v>
      </c>
      <c r="K982" t="s">
        <v>32</v>
      </c>
      <c r="L982" t="s">
        <v>35</v>
      </c>
      <c r="Q982">
        <v>3</v>
      </c>
      <c r="R982">
        <v>3</v>
      </c>
      <c r="AC982">
        <v>1</v>
      </c>
      <c r="AD982">
        <v>10</v>
      </c>
      <c r="AQ982">
        <v>19</v>
      </c>
      <c r="AR982" s="3">
        <f t="shared" si="45"/>
        <v>5</v>
      </c>
      <c r="AS982" s="3">
        <f t="shared" si="46"/>
        <v>0</v>
      </c>
      <c r="AT982" s="3" t="str">
        <f>IF(OR(Registered!AM982&gt;0,Registered!AO982&gt;0),(IF(Registered!E982=0,"Size Not Specified",Registered!E982)),"")</f>
        <v/>
      </c>
      <c r="AU982" s="3" t="str">
        <f>IF(Registered!AE982=0,"",IF(Registered!AE982=1,Registered!AE982&amp;" Bandana",Registered!AE982&amp;" Bandanas"))</f>
        <v/>
      </c>
      <c r="AV982" s="3">
        <f t="shared" si="47"/>
        <v>0</v>
      </c>
      <c r="AW982" s="2" t="str">
        <f>IF(Registered!AV982=0,"",IF(Registered!AV982=1,Registered!AV982&amp;" Meal",Registered!AV982&amp;" Meals"))</f>
        <v/>
      </c>
      <c r="AX982" s="2" t="str">
        <f>IF(Registered!AI982=0,"",Registered!AI982&amp;" BG")</f>
        <v/>
      </c>
      <c r="AY982" s="2" t="str">
        <f>IF(Registered!AG982=0,"",Registered!AG982&amp;" DustMask")</f>
        <v/>
      </c>
    </row>
    <row r="983" spans="1:51" customFormat="1" x14ac:dyDescent="0.25">
      <c r="A983" t="s">
        <v>305</v>
      </c>
      <c r="B983" t="s">
        <v>4618</v>
      </c>
      <c r="C983" t="s">
        <v>6090</v>
      </c>
      <c r="G983" t="s">
        <v>4617</v>
      </c>
      <c r="H983" t="s">
        <v>4618</v>
      </c>
      <c r="I983" t="s">
        <v>4620</v>
      </c>
      <c r="J983" t="s">
        <v>37</v>
      </c>
      <c r="K983" t="s">
        <v>32</v>
      </c>
      <c r="L983" t="s">
        <v>35</v>
      </c>
      <c r="AQ983">
        <v>0</v>
      </c>
      <c r="AR983" s="3">
        <f t="shared" si="45"/>
        <v>0</v>
      </c>
      <c r="AS983" s="3">
        <f t="shared" si="46"/>
        <v>0</v>
      </c>
      <c r="AT983" s="3" t="str">
        <f>IF(OR(Registered!AM983&gt;0,Registered!AO983&gt;0),(IF(Registered!E983=0,"Size Not Specified",Registered!E983)),"")</f>
        <v/>
      </c>
      <c r="AU983" s="3" t="str">
        <f>IF(Registered!AE983=0,"",IF(Registered!AE983=1,Registered!AE983&amp;" Bandana",Registered!AE983&amp;" Bandanas"))</f>
        <v/>
      </c>
      <c r="AV983" s="3">
        <f t="shared" si="47"/>
        <v>0</v>
      </c>
      <c r="AW983" s="2" t="str">
        <f>IF(Registered!AV983=0,"",IF(Registered!AV983=1,Registered!AV983&amp;" Meal",Registered!AV983&amp;" Meals"))</f>
        <v/>
      </c>
      <c r="AX983" s="2" t="str">
        <f>IF(Registered!AI983=0,"",Registered!AI983&amp;" BG")</f>
        <v/>
      </c>
      <c r="AY983" s="2" t="str">
        <f>IF(Registered!AG983=0,"",Registered!AG983&amp;" DustMask")</f>
        <v/>
      </c>
    </row>
    <row r="984" spans="1:51" customFormat="1" x14ac:dyDescent="0.25">
      <c r="A984" t="s">
        <v>1988</v>
      </c>
      <c r="B984" t="s">
        <v>4618</v>
      </c>
      <c r="C984" t="s">
        <v>6090</v>
      </c>
      <c r="G984" t="s">
        <v>4617</v>
      </c>
      <c r="H984" t="s">
        <v>4618</v>
      </c>
      <c r="I984" t="s">
        <v>4620</v>
      </c>
      <c r="J984" t="s">
        <v>37</v>
      </c>
      <c r="K984" t="s">
        <v>32</v>
      </c>
      <c r="L984" t="s">
        <v>35</v>
      </c>
      <c r="AQ984">
        <v>0</v>
      </c>
      <c r="AR984" s="3">
        <f t="shared" si="45"/>
        <v>0</v>
      </c>
      <c r="AS984" s="3">
        <f t="shared" si="46"/>
        <v>0</v>
      </c>
      <c r="AT984" s="3" t="str">
        <f>IF(OR(Registered!AM984&gt;0,Registered!AO984&gt;0),(IF(Registered!E984=0,"Size Not Specified",Registered!E984)),"")</f>
        <v/>
      </c>
      <c r="AU984" s="3" t="str">
        <f>IF(Registered!AE984=0,"",IF(Registered!AE984=1,Registered!AE984&amp;" Bandana",Registered!AE984&amp;" Bandanas"))</f>
        <v/>
      </c>
      <c r="AV984" s="3">
        <f t="shared" si="47"/>
        <v>0</v>
      </c>
      <c r="AW984" s="2" t="str">
        <f>IF(Registered!AV984=0,"",IF(Registered!AV984=1,Registered!AV984&amp;" Meal",Registered!AV984&amp;" Meals"))</f>
        <v/>
      </c>
      <c r="AX984" s="2" t="str">
        <f>IF(Registered!AI984=0,"",Registered!AI984&amp;" BG")</f>
        <v/>
      </c>
      <c r="AY984" s="2" t="str">
        <f>IF(Registered!AG984=0,"",Registered!AG984&amp;" DustMask")</f>
        <v/>
      </c>
    </row>
    <row r="985" spans="1:51" customFormat="1" x14ac:dyDescent="0.25">
      <c r="A985" t="s">
        <v>2539</v>
      </c>
      <c r="B985" t="s">
        <v>2538</v>
      </c>
      <c r="C985" t="s">
        <v>6090</v>
      </c>
      <c r="D985" t="s">
        <v>2540</v>
      </c>
      <c r="E985" t="s">
        <v>3018</v>
      </c>
      <c r="F985" t="s">
        <v>261</v>
      </c>
      <c r="I985" t="s">
        <v>3019</v>
      </c>
      <c r="J985" t="s">
        <v>37</v>
      </c>
      <c r="K985" t="s">
        <v>32</v>
      </c>
      <c r="L985" t="s">
        <v>35</v>
      </c>
      <c r="S985">
        <v>1</v>
      </c>
      <c r="T985">
        <v>3</v>
      </c>
      <c r="AM985">
        <v>1</v>
      </c>
      <c r="AN985">
        <v>25</v>
      </c>
      <c r="AQ985">
        <v>28</v>
      </c>
      <c r="AR985" s="3">
        <f t="shared" si="45"/>
        <v>5</v>
      </c>
      <c r="AS985" s="3">
        <f t="shared" si="46"/>
        <v>1</v>
      </c>
      <c r="AT985" s="3" t="str">
        <f>IF(OR(Registered!AM985&gt;0,Registered!AO985&gt;0),(IF(Registered!E985=0,"Size Not Specified",Registered!E985)),"")</f>
        <v>Men - Small</v>
      </c>
      <c r="AU985" s="3" t="str">
        <f>IF(Registered!AE985=0,"",IF(Registered!AE985=1,Registered!AE985&amp;" Bandana",Registered!AE985&amp;" Bandanas"))</f>
        <v/>
      </c>
      <c r="AV985" s="3">
        <f t="shared" si="47"/>
        <v>1</v>
      </c>
      <c r="AW985" s="2" t="str">
        <f>IF(Registered!AV985=0,"",IF(Registered!AV985=1,Registered!AV985&amp;" Meal",Registered!AV985&amp;" Meals"))</f>
        <v>1 Meal</v>
      </c>
      <c r="AX985" s="2" t="str">
        <f>IF(Registered!AI985=0,"",Registered!AI985&amp;" BG")</f>
        <v/>
      </c>
      <c r="AY985" s="2" t="str">
        <f>IF(Registered!AG985=0,"",Registered!AG985&amp;" DustMask")</f>
        <v/>
      </c>
    </row>
    <row r="986" spans="1:51" customFormat="1" x14ac:dyDescent="0.25">
      <c r="A986" t="s">
        <v>185</v>
      </c>
      <c r="B986" t="s">
        <v>3020</v>
      </c>
      <c r="C986" t="s">
        <v>6090</v>
      </c>
      <c r="G986" t="s">
        <v>94</v>
      </c>
      <c r="H986" t="s">
        <v>1091</v>
      </c>
      <c r="I986" t="s">
        <v>3021</v>
      </c>
      <c r="J986" t="s">
        <v>37</v>
      </c>
      <c r="K986" t="s">
        <v>32</v>
      </c>
      <c r="L986" t="s">
        <v>35</v>
      </c>
      <c r="AQ986">
        <v>0</v>
      </c>
      <c r="AR986" s="3">
        <f t="shared" si="45"/>
        <v>0</v>
      </c>
      <c r="AS986" s="3">
        <f t="shared" si="46"/>
        <v>0</v>
      </c>
      <c r="AT986" s="3" t="str">
        <f>IF(OR(Registered!AM986&gt;0,Registered!AO986&gt;0),(IF(Registered!E986=0,"Size Not Specified",Registered!E986)),"")</f>
        <v/>
      </c>
      <c r="AU986" s="3" t="str">
        <f>IF(Registered!AE986=0,"",IF(Registered!AE986=1,Registered!AE986&amp;" Bandana",Registered!AE986&amp;" Bandanas"))</f>
        <v/>
      </c>
      <c r="AV986" s="3">
        <f t="shared" si="47"/>
        <v>0</v>
      </c>
      <c r="AW986" s="2" t="str">
        <f>IF(Registered!AV986=0,"",IF(Registered!AV986=1,Registered!AV986&amp;" Meal",Registered!AV986&amp;" Meals"))</f>
        <v/>
      </c>
      <c r="AX986" s="2" t="str">
        <f>IF(Registered!AI986=0,"",Registered!AI986&amp;" BG")</f>
        <v/>
      </c>
      <c r="AY986" s="2" t="str">
        <f>IF(Registered!AG986=0,"",Registered!AG986&amp;" DustMask")</f>
        <v/>
      </c>
    </row>
    <row r="987" spans="1:51" customFormat="1" x14ac:dyDescent="0.25">
      <c r="A987" t="s">
        <v>4621</v>
      </c>
      <c r="B987" t="s">
        <v>4622</v>
      </c>
      <c r="C987" t="s">
        <v>6090</v>
      </c>
      <c r="G987" t="s">
        <v>4623</v>
      </c>
      <c r="H987" t="s">
        <v>4624</v>
      </c>
      <c r="I987" t="s">
        <v>4625</v>
      </c>
      <c r="J987" t="s">
        <v>37</v>
      </c>
      <c r="K987" t="s">
        <v>32</v>
      </c>
      <c r="L987" t="s">
        <v>35</v>
      </c>
      <c r="AQ987">
        <v>0</v>
      </c>
      <c r="AR987" s="3">
        <f t="shared" si="45"/>
        <v>0</v>
      </c>
      <c r="AS987" s="3">
        <f t="shared" si="46"/>
        <v>0</v>
      </c>
      <c r="AT987" s="3" t="str">
        <f>IF(OR(Registered!AM987&gt;0,Registered!AO987&gt;0),(IF(Registered!E987=0,"Size Not Specified",Registered!E987)),"")</f>
        <v/>
      </c>
      <c r="AU987" s="3" t="str">
        <f>IF(Registered!AE987=0,"",IF(Registered!AE987=1,Registered!AE987&amp;" Bandana",Registered!AE987&amp;" Bandanas"))</f>
        <v/>
      </c>
      <c r="AV987" s="3">
        <f t="shared" si="47"/>
        <v>0</v>
      </c>
      <c r="AW987" s="2" t="str">
        <f>IF(Registered!AV987=0,"",IF(Registered!AV987=1,Registered!AV987&amp;" Meal",Registered!AV987&amp;" Meals"))</f>
        <v/>
      </c>
      <c r="AX987" s="2" t="str">
        <f>IF(Registered!AI987=0,"",Registered!AI987&amp;" BG")</f>
        <v/>
      </c>
      <c r="AY987" s="2" t="str">
        <f>IF(Registered!AG987=0,"",Registered!AG987&amp;" DustMask")</f>
        <v/>
      </c>
    </row>
    <row r="988" spans="1:51" customFormat="1" x14ac:dyDescent="0.25">
      <c r="A988" t="s">
        <v>61</v>
      </c>
      <c r="B988" t="s">
        <v>3023</v>
      </c>
      <c r="C988" t="s">
        <v>6090</v>
      </c>
      <c r="D988" t="s">
        <v>4626</v>
      </c>
      <c r="F988" t="s">
        <v>261</v>
      </c>
      <c r="I988" t="s">
        <v>3691</v>
      </c>
      <c r="J988" t="s">
        <v>37</v>
      </c>
      <c r="K988" t="s">
        <v>32</v>
      </c>
      <c r="L988" t="s">
        <v>35</v>
      </c>
      <c r="Q988">
        <v>2</v>
      </c>
      <c r="R988">
        <v>3</v>
      </c>
      <c r="U988">
        <v>1</v>
      </c>
      <c r="V988">
        <v>20</v>
      </c>
      <c r="AQ988">
        <v>26</v>
      </c>
      <c r="AR988" s="3">
        <f t="shared" si="45"/>
        <v>10</v>
      </c>
      <c r="AS988" s="3">
        <f t="shared" si="46"/>
        <v>0</v>
      </c>
      <c r="AT988" s="3" t="str">
        <f>IF(OR(Registered!AM988&gt;0,Registered!AO988&gt;0),(IF(Registered!E988=0,"Size Not Specified",Registered!E988)),"")</f>
        <v/>
      </c>
      <c r="AU988" s="3" t="str">
        <f>IF(Registered!AE988=0,"",IF(Registered!AE988=1,Registered!AE988&amp;" Bandana",Registered!AE988&amp;" Bandanas"))</f>
        <v/>
      </c>
      <c r="AV988" s="3">
        <f t="shared" si="47"/>
        <v>0</v>
      </c>
      <c r="AW988" s="2" t="str">
        <f>IF(Registered!AV988=0,"",IF(Registered!AV988=1,Registered!AV988&amp;" Meal",Registered!AV988&amp;" Meals"))</f>
        <v/>
      </c>
      <c r="AX988" s="2" t="str">
        <f>IF(Registered!AI988=0,"",Registered!AI988&amp;" BG")</f>
        <v/>
      </c>
      <c r="AY988" s="2" t="str">
        <f>IF(Registered!AG988=0,"",Registered!AG988&amp;" DustMask")</f>
        <v/>
      </c>
    </row>
    <row r="989" spans="1:51" customFormat="1" x14ac:dyDescent="0.25">
      <c r="A989" t="s">
        <v>3022</v>
      </c>
      <c r="B989" t="s">
        <v>3023</v>
      </c>
      <c r="C989" t="s">
        <v>6090</v>
      </c>
      <c r="G989" t="s">
        <v>2931</v>
      </c>
      <c r="H989" t="s">
        <v>2930</v>
      </c>
      <c r="I989" t="s">
        <v>2932</v>
      </c>
      <c r="J989" t="s">
        <v>37</v>
      </c>
      <c r="K989" t="s">
        <v>32</v>
      </c>
      <c r="L989" t="s">
        <v>35</v>
      </c>
      <c r="AQ989">
        <v>0</v>
      </c>
      <c r="AR989" s="3">
        <f t="shared" si="45"/>
        <v>0</v>
      </c>
      <c r="AS989" s="3">
        <f t="shared" si="46"/>
        <v>0</v>
      </c>
      <c r="AT989" s="3" t="str">
        <f>IF(OR(Registered!AM989&gt;0,Registered!AO989&gt;0),(IF(Registered!E989=0,"Size Not Specified",Registered!E989)),"")</f>
        <v/>
      </c>
      <c r="AU989" s="3" t="str">
        <f>IF(Registered!AE989=0,"",IF(Registered!AE989=1,Registered!AE989&amp;" Bandana",Registered!AE989&amp;" Bandanas"))</f>
        <v/>
      </c>
      <c r="AV989" s="3">
        <f t="shared" si="47"/>
        <v>0</v>
      </c>
      <c r="AW989" s="2" t="str">
        <f>IF(Registered!AV989=0,"",IF(Registered!AV989=1,Registered!AV989&amp;" Meal",Registered!AV989&amp;" Meals"))</f>
        <v/>
      </c>
      <c r="AX989" s="2" t="str">
        <f>IF(Registered!AI989=0,"",Registered!AI989&amp;" BG")</f>
        <v/>
      </c>
      <c r="AY989" s="2" t="str">
        <f>IF(Registered!AG989=0,"",Registered!AG989&amp;" DustMask")</f>
        <v/>
      </c>
    </row>
    <row r="990" spans="1:51" customFormat="1" x14ac:dyDescent="0.25">
      <c r="A990" t="s">
        <v>3569</v>
      </c>
      <c r="B990" t="s">
        <v>1487</v>
      </c>
      <c r="C990" t="s">
        <v>6090</v>
      </c>
      <c r="D990" t="s">
        <v>4627</v>
      </c>
      <c r="F990" t="s">
        <v>261</v>
      </c>
      <c r="I990" t="s">
        <v>3697</v>
      </c>
      <c r="J990" t="s">
        <v>37</v>
      </c>
      <c r="K990" t="s">
        <v>32</v>
      </c>
      <c r="L990" t="s">
        <v>35</v>
      </c>
      <c r="Q990">
        <v>3</v>
      </c>
      <c r="R990">
        <v>3</v>
      </c>
      <c r="U990">
        <v>1</v>
      </c>
      <c r="V990">
        <v>20</v>
      </c>
      <c r="AC990">
        <v>1</v>
      </c>
      <c r="AD990">
        <v>10</v>
      </c>
      <c r="AQ990">
        <v>39</v>
      </c>
      <c r="AR990" s="3">
        <f t="shared" si="45"/>
        <v>15</v>
      </c>
      <c r="AS990" s="3">
        <f t="shared" si="46"/>
        <v>0</v>
      </c>
      <c r="AT990" s="3" t="str">
        <f>IF(OR(Registered!AM990&gt;0,Registered!AO990&gt;0),(IF(Registered!E990=0,"Size Not Specified",Registered!E990)),"")</f>
        <v/>
      </c>
      <c r="AU990" s="3" t="str">
        <f>IF(Registered!AE990=0,"",IF(Registered!AE990=1,Registered!AE990&amp;" Bandana",Registered!AE990&amp;" Bandanas"))</f>
        <v/>
      </c>
      <c r="AV990" s="3">
        <f t="shared" si="47"/>
        <v>0</v>
      </c>
      <c r="AW990" s="2" t="str">
        <f>IF(Registered!AV990=0,"",IF(Registered!AV990=1,Registered!AV990&amp;" Meal",Registered!AV990&amp;" Meals"))</f>
        <v/>
      </c>
      <c r="AX990" s="2" t="str">
        <f>IF(Registered!AI990=0,"",Registered!AI990&amp;" BG")</f>
        <v/>
      </c>
      <c r="AY990" s="2" t="str">
        <f>IF(Registered!AG990=0,"",Registered!AG990&amp;" DustMask")</f>
        <v/>
      </c>
    </row>
    <row r="991" spans="1:51" customFormat="1" x14ac:dyDescent="0.25">
      <c r="A991" t="s">
        <v>434</v>
      </c>
      <c r="B991" t="s">
        <v>1487</v>
      </c>
      <c r="C991" t="s">
        <v>6090</v>
      </c>
      <c r="F991" t="s">
        <v>261</v>
      </c>
      <c r="I991" t="s">
        <v>1488</v>
      </c>
      <c r="J991" t="s">
        <v>37</v>
      </c>
      <c r="K991" t="s">
        <v>32</v>
      </c>
      <c r="L991" t="s">
        <v>35</v>
      </c>
      <c r="S991">
        <v>1</v>
      </c>
      <c r="T991">
        <v>3</v>
      </c>
      <c r="AQ991">
        <v>3</v>
      </c>
      <c r="AR991" s="3">
        <f t="shared" si="45"/>
        <v>0</v>
      </c>
      <c r="AS991" s="3">
        <f t="shared" si="46"/>
        <v>0</v>
      </c>
      <c r="AT991" s="3" t="str">
        <f>IF(OR(Registered!AM991&gt;0,Registered!AO991&gt;0),(IF(Registered!E991=0,"Size Not Specified",Registered!E991)),"")</f>
        <v/>
      </c>
      <c r="AU991" s="3" t="str">
        <f>IF(Registered!AE991=0,"",IF(Registered!AE991=1,Registered!AE991&amp;" Bandana",Registered!AE991&amp;" Bandanas"))</f>
        <v/>
      </c>
      <c r="AV991" s="3">
        <f t="shared" si="47"/>
        <v>0</v>
      </c>
      <c r="AW991" s="2" t="str">
        <f>IF(Registered!AV991=0,"",IF(Registered!AV991=1,Registered!AV991&amp;" Meal",Registered!AV991&amp;" Meals"))</f>
        <v/>
      </c>
      <c r="AX991" s="2" t="str">
        <f>IF(Registered!AI991=0,"",Registered!AI991&amp;" BG")</f>
        <v/>
      </c>
      <c r="AY991" s="2" t="str">
        <f>IF(Registered!AG991=0,"",Registered!AG991&amp;" DustMask")</f>
        <v/>
      </c>
    </row>
    <row r="992" spans="1:51" customFormat="1" x14ac:dyDescent="0.25">
      <c r="A992" t="s">
        <v>253</v>
      </c>
      <c r="B992" t="s">
        <v>1487</v>
      </c>
      <c r="C992" t="s">
        <v>6090</v>
      </c>
      <c r="G992" t="s">
        <v>3659</v>
      </c>
      <c r="H992" t="s">
        <v>312</v>
      </c>
      <c r="I992" t="s">
        <v>3661</v>
      </c>
      <c r="J992" t="s">
        <v>37</v>
      </c>
      <c r="K992" t="s">
        <v>32</v>
      </c>
      <c r="L992" t="s">
        <v>35</v>
      </c>
      <c r="AQ992">
        <v>0</v>
      </c>
      <c r="AR992" s="3">
        <f t="shared" si="45"/>
        <v>0</v>
      </c>
      <c r="AS992" s="3">
        <f t="shared" si="46"/>
        <v>0</v>
      </c>
      <c r="AT992" s="3" t="str">
        <f>IF(OR(Registered!AM992&gt;0,Registered!AO992&gt;0),(IF(Registered!E992=0,"Size Not Specified",Registered!E992)),"")</f>
        <v/>
      </c>
      <c r="AU992" s="3" t="str">
        <f>IF(Registered!AE992=0,"",IF(Registered!AE992=1,Registered!AE992&amp;" Bandana",Registered!AE992&amp;" Bandanas"))</f>
        <v/>
      </c>
      <c r="AV992" s="3">
        <f t="shared" si="47"/>
        <v>0</v>
      </c>
      <c r="AW992" s="2" t="str">
        <f>IF(Registered!AV992=0,"",IF(Registered!AV992=1,Registered!AV992&amp;" Meal",Registered!AV992&amp;" Meals"))</f>
        <v/>
      </c>
      <c r="AX992" s="2" t="str">
        <f>IF(Registered!AI992=0,"",Registered!AI992&amp;" BG")</f>
        <v/>
      </c>
      <c r="AY992" s="2" t="str">
        <f>IF(Registered!AG992=0,"",Registered!AG992&amp;" DustMask")</f>
        <v/>
      </c>
    </row>
    <row r="993" spans="1:51" customFormat="1" x14ac:dyDescent="0.25">
      <c r="A993" t="s">
        <v>744</v>
      </c>
      <c r="B993" t="s">
        <v>745</v>
      </c>
      <c r="C993" t="s">
        <v>6090</v>
      </c>
      <c r="D993" t="s">
        <v>744</v>
      </c>
      <c r="F993" t="s">
        <v>261</v>
      </c>
      <c r="I993" t="s">
        <v>747</v>
      </c>
      <c r="J993" t="s">
        <v>37</v>
      </c>
      <c r="K993" t="s">
        <v>32</v>
      </c>
      <c r="L993" t="s">
        <v>35</v>
      </c>
      <c r="Q993">
        <v>2</v>
      </c>
      <c r="R993">
        <v>3</v>
      </c>
      <c r="AC993">
        <v>2</v>
      </c>
      <c r="AD993">
        <v>10</v>
      </c>
      <c r="AK993">
        <v>2</v>
      </c>
      <c r="AL993">
        <v>6</v>
      </c>
      <c r="AQ993">
        <v>38</v>
      </c>
      <c r="AR993" s="3">
        <f t="shared" si="45"/>
        <v>10</v>
      </c>
      <c r="AS993" s="3">
        <f t="shared" si="46"/>
        <v>0</v>
      </c>
      <c r="AT993" s="3" t="str">
        <f>IF(OR(Registered!AM993&gt;0,Registered!AO993&gt;0),(IF(Registered!E993=0,"Size Not Specified",Registered!E993)),"")</f>
        <v/>
      </c>
      <c r="AU993" s="3" t="str">
        <f>IF(Registered!AE993=0,"",IF(Registered!AE993=1,Registered!AE993&amp;" Bandana",Registered!AE993&amp;" Bandanas"))</f>
        <v/>
      </c>
      <c r="AV993" s="3">
        <f t="shared" si="47"/>
        <v>2</v>
      </c>
      <c r="AW993" s="2" t="str">
        <f>IF(Registered!AV993=0,"",IF(Registered!AV993=1,Registered!AV993&amp;" Meal",Registered!AV993&amp;" Meals"))</f>
        <v>2 Meals</v>
      </c>
      <c r="AX993" s="2" t="str">
        <f>IF(Registered!AI993=0,"",Registered!AI993&amp;" BG")</f>
        <v/>
      </c>
      <c r="AY993" s="2" t="str">
        <f>IF(Registered!AG993=0,"",Registered!AG993&amp;" DustMask")</f>
        <v/>
      </c>
    </row>
    <row r="994" spans="1:51" customFormat="1" x14ac:dyDescent="0.25">
      <c r="A994" t="s">
        <v>1182</v>
      </c>
      <c r="B994" t="s">
        <v>745</v>
      </c>
      <c r="C994" t="s">
        <v>6090</v>
      </c>
      <c r="D994" t="s">
        <v>1489</v>
      </c>
      <c r="F994" t="s">
        <v>261</v>
      </c>
      <c r="I994" t="s">
        <v>1183</v>
      </c>
      <c r="J994" t="s">
        <v>37</v>
      </c>
      <c r="K994" t="s">
        <v>32</v>
      </c>
      <c r="L994" t="s">
        <v>35</v>
      </c>
      <c r="S994">
        <v>6</v>
      </c>
      <c r="T994">
        <v>3</v>
      </c>
      <c r="W994">
        <v>1</v>
      </c>
      <c r="X994">
        <v>40</v>
      </c>
      <c r="AE994">
        <v>1</v>
      </c>
      <c r="AF994">
        <v>6</v>
      </c>
      <c r="AQ994">
        <v>64</v>
      </c>
      <c r="AR994" s="3">
        <f t="shared" si="45"/>
        <v>20</v>
      </c>
      <c r="AS994" s="3">
        <f t="shared" si="46"/>
        <v>0</v>
      </c>
      <c r="AT994" s="3" t="str">
        <f>IF(OR(Registered!AM994&gt;0,Registered!AO994&gt;0),(IF(Registered!E994=0,"Size Not Specified",Registered!E994)),"")</f>
        <v/>
      </c>
      <c r="AU994" s="3" t="str">
        <f>IF(Registered!AE994=0,"",IF(Registered!AE994=1,Registered!AE994&amp;" Bandana",Registered!AE994&amp;" Bandanas"))</f>
        <v>1 Bandana</v>
      </c>
      <c r="AV994" s="3">
        <f t="shared" si="47"/>
        <v>0</v>
      </c>
      <c r="AW994" s="2" t="str">
        <f>IF(Registered!AV994=0,"",IF(Registered!AV994=1,Registered!AV994&amp;" Meal",Registered!AV994&amp;" Meals"))</f>
        <v/>
      </c>
      <c r="AX994" s="2" t="str">
        <f>IF(Registered!AI994=0,"",Registered!AI994&amp;" BG")</f>
        <v/>
      </c>
      <c r="AY994" s="2" t="str">
        <f>IF(Registered!AG994=0,"",Registered!AG994&amp;" DustMask")</f>
        <v/>
      </c>
    </row>
    <row r="995" spans="1:51" customFormat="1" x14ac:dyDescent="0.25">
      <c r="A995" t="s">
        <v>253</v>
      </c>
      <c r="B995" t="s">
        <v>745</v>
      </c>
      <c r="C995" t="s">
        <v>6090</v>
      </c>
      <c r="D995" t="s">
        <v>253</v>
      </c>
      <c r="F995" t="s">
        <v>261</v>
      </c>
      <c r="I995" t="s">
        <v>1490</v>
      </c>
      <c r="J995" t="s">
        <v>37</v>
      </c>
      <c r="K995" t="s">
        <v>32</v>
      </c>
      <c r="L995" t="s">
        <v>35</v>
      </c>
      <c r="S995">
        <v>1</v>
      </c>
      <c r="T995">
        <v>3</v>
      </c>
      <c r="AC995">
        <v>1</v>
      </c>
      <c r="AD995">
        <v>10</v>
      </c>
      <c r="AK995">
        <v>1</v>
      </c>
      <c r="AL995">
        <v>6</v>
      </c>
      <c r="AQ995">
        <v>19</v>
      </c>
      <c r="AR995" s="3">
        <f t="shared" si="45"/>
        <v>5</v>
      </c>
      <c r="AS995" s="3">
        <f t="shared" si="46"/>
        <v>0</v>
      </c>
      <c r="AT995" s="3" t="str">
        <f>IF(OR(Registered!AM995&gt;0,Registered!AO995&gt;0),(IF(Registered!E995=0,"Size Not Specified",Registered!E995)),"")</f>
        <v/>
      </c>
      <c r="AU995" s="3" t="str">
        <f>IF(Registered!AE995=0,"",IF(Registered!AE995=1,Registered!AE995&amp;" Bandana",Registered!AE995&amp;" Bandanas"))</f>
        <v/>
      </c>
      <c r="AV995" s="3">
        <f t="shared" si="47"/>
        <v>1</v>
      </c>
      <c r="AW995" s="2" t="str">
        <f>IF(Registered!AV995=0,"",IF(Registered!AV995=1,Registered!AV995&amp;" Meal",Registered!AV995&amp;" Meals"))</f>
        <v>1 Meal</v>
      </c>
      <c r="AX995" s="2" t="str">
        <f>IF(Registered!AI995=0,"",Registered!AI995&amp;" BG")</f>
        <v/>
      </c>
      <c r="AY995" s="2" t="str">
        <f>IF(Registered!AG995=0,"",Registered!AG995&amp;" DustMask")</f>
        <v/>
      </c>
    </row>
    <row r="996" spans="1:51" customFormat="1" x14ac:dyDescent="0.25">
      <c r="A996" t="s">
        <v>316</v>
      </c>
      <c r="B996" t="s">
        <v>1491</v>
      </c>
      <c r="C996" t="s">
        <v>6090</v>
      </c>
      <c r="D996" t="s">
        <v>4630</v>
      </c>
      <c r="F996" t="s">
        <v>261</v>
      </c>
      <c r="I996" t="s">
        <v>4197</v>
      </c>
      <c r="J996" t="s">
        <v>37</v>
      </c>
      <c r="K996" t="s">
        <v>32</v>
      </c>
      <c r="L996" t="s">
        <v>35</v>
      </c>
      <c r="Q996">
        <v>6</v>
      </c>
      <c r="R996">
        <v>3</v>
      </c>
      <c r="AA996">
        <v>1</v>
      </c>
      <c r="AB996">
        <v>75</v>
      </c>
      <c r="AQ996">
        <v>93</v>
      </c>
      <c r="AR996" s="3">
        <f t="shared" si="45"/>
        <v>40</v>
      </c>
      <c r="AS996" s="3">
        <f t="shared" si="46"/>
        <v>0</v>
      </c>
      <c r="AT996" s="3" t="str">
        <f>IF(OR(Registered!AM996&gt;0,Registered!AO996&gt;0),(IF(Registered!E996=0,"Size Not Specified",Registered!E996)),"")</f>
        <v/>
      </c>
      <c r="AU996" s="3" t="str">
        <f>IF(Registered!AE996=0,"",IF(Registered!AE996=1,Registered!AE996&amp;" Bandana",Registered!AE996&amp;" Bandanas"))</f>
        <v/>
      </c>
      <c r="AV996" s="3">
        <f t="shared" si="47"/>
        <v>0</v>
      </c>
      <c r="AW996" s="2" t="str">
        <f>IF(Registered!AV996=0,"",IF(Registered!AV996=1,Registered!AV996&amp;" Meal",Registered!AV996&amp;" Meals"))</f>
        <v/>
      </c>
      <c r="AX996" s="2" t="str">
        <f>IF(Registered!AI996=0,"",Registered!AI996&amp;" BG")</f>
        <v/>
      </c>
      <c r="AY996" s="2" t="str">
        <f>IF(Registered!AG996=0,"",Registered!AG996&amp;" DustMask")</f>
        <v/>
      </c>
    </row>
    <row r="997" spans="1:51" customFormat="1" x14ac:dyDescent="0.25">
      <c r="A997" t="s">
        <v>4631</v>
      </c>
      <c r="B997" t="s">
        <v>1491</v>
      </c>
      <c r="C997" t="s">
        <v>6090</v>
      </c>
      <c r="G997" t="s">
        <v>316</v>
      </c>
      <c r="H997" t="s">
        <v>1491</v>
      </c>
      <c r="I997" t="s">
        <v>4197</v>
      </c>
      <c r="J997" t="s">
        <v>37</v>
      </c>
      <c r="K997" t="s">
        <v>32</v>
      </c>
      <c r="L997" t="s">
        <v>35</v>
      </c>
      <c r="AQ997">
        <v>0</v>
      </c>
      <c r="AR997" s="3">
        <f t="shared" si="45"/>
        <v>0</v>
      </c>
      <c r="AS997" s="3">
        <f t="shared" si="46"/>
        <v>0</v>
      </c>
      <c r="AT997" s="3" t="str">
        <f>IF(OR(Registered!AM997&gt;0,Registered!AO997&gt;0),(IF(Registered!E997=0,"Size Not Specified",Registered!E997)),"")</f>
        <v/>
      </c>
      <c r="AU997" s="3" t="str">
        <f>IF(Registered!AE997=0,"",IF(Registered!AE997=1,Registered!AE997&amp;" Bandana",Registered!AE997&amp;" Bandanas"))</f>
        <v/>
      </c>
      <c r="AV997" s="3">
        <f t="shared" si="47"/>
        <v>0</v>
      </c>
      <c r="AW997" s="2" t="str">
        <f>IF(Registered!AV997=0,"",IF(Registered!AV997=1,Registered!AV997&amp;" Meal",Registered!AV997&amp;" Meals"))</f>
        <v/>
      </c>
      <c r="AX997" s="2" t="str">
        <f>IF(Registered!AI997=0,"",Registered!AI997&amp;" BG")</f>
        <v/>
      </c>
      <c r="AY997" s="2" t="str">
        <f>IF(Registered!AG997=0,"",Registered!AG997&amp;" DustMask")</f>
        <v/>
      </c>
    </row>
    <row r="998" spans="1:51" customFormat="1" x14ac:dyDescent="0.25">
      <c r="A998" t="s">
        <v>100</v>
      </c>
      <c r="B998" t="s">
        <v>1491</v>
      </c>
      <c r="C998" t="s">
        <v>6090</v>
      </c>
      <c r="F998" t="s">
        <v>261</v>
      </c>
      <c r="I998" t="s">
        <v>1492</v>
      </c>
      <c r="J998" t="s">
        <v>37</v>
      </c>
      <c r="K998" t="s">
        <v>32</v>
      </c>
      <c r="L998" t="s">
        <v>35</v>
      </c>
      <c r="S998">
        <v>1</v>
      </c>
      <c r="T998">
        <v>3</v>
      </c>
      <c r="AQ998">
        <v>3</v>
      </c>
      <c r="AR998" s="3">
        <f t="shared" si="45"/>
        <v>0</v>
      </c>
      <c r="AS998" s="3">
        <f t="shared" si="46"/>
        <v>0</v>
      </c>
      <c r="AT998" s="3" t="str">
        <f>IF(OR(Registered!AM998&gt;0,Registered!AO998&gt;0),(IF(Registered!E998=0,"Size Not Specified",Registered!E998)),"")</f>
        <v/>
      </c>
      <c r="AU998" s="3" t="str">
        <f>IF(Registered!AE998=0,"",IF(Registered!AE998=1,Registered!AE998&amp;" Bandana",Registered!AE998&amp;" Bandanas"))</f>
        <v/>
      </c>
      <c r="AV998" s="3">
        <f t="shared" si="47"/>
        <v>0</v>
      </c>
      <c r="AW998" s="2" t="str">
        <f>IF(Registered!AV998=0,"",IF(Registered!AV998=1,Registered!AV998&amp;" Meal",Registered!AV998&amp;" Meals"))</f>
        <v/>
      </c>
      <c r="AX998" s="2" t="str">
        <f>IF(Registered!AI998=0,"",Registered!AI998&amp;" BG")</f>
        <v/>
      </c>
      <c r="AY998" s="2" t="str">
        <f>IF(Registered!AG998=0,"",Registered!AG998&amp;" DustMask")</f>
        <v/>
      </c>
    </row>
    <row r="999" spans="1:51" customFormat="1" x14ac:dyDescent="0.25">
      <c r="A999" t="s">
        <v>4632</v>
      </c>
      <c r="B999" t="s">
        <v>4633</v>
      </c>
      <c r="C999" t="s">
        <v>6090</v>
      </c>
      <c r="D999" t="s">
        <v>4634</v>
      </c>
      <c r="F999" t="s">
        <v>261</v>
      </c>
      <c r="I999" t="s">
        <v>4635</v>
      </c>
      <c r="J999" t="s">
        <v>37</v>
      </c>
      <c r="K999" t="s">
        <v>32</v>
      </c>
      <c r="L999" t="s">
        <v>35</v>
      </c>
      <c r="Q999">
        <v>1</v>
      </c>
      <c r="R999">
        <v>3</v>
      </c>
      <c r="AC999">
        <v>1</v>
      </c>
      <c r="AD999">
        <v>10</v>
      </c>
      <c r="AQ999">
        <v>13</v>
      </c>
      <c r="AR999" s="3">
        <f t="shared" si="45"/>
        <v>5</v>
      </c>
      <c r="AS999" s="3">
        <f t="shared" si="46"/>
        <v>0</v>
      </c>
      <c r="AT999" s="3" t="str">
        <f>IF(OR(Registered!AM999&gt;0,Registered!AO999&gt;0),(IF(Registered!E999=0,"Size Not Specified",Registered!E999)),"")</f>
        <v/>
      </c>
      <c r="AU999" s="3" t="str">
        <f>IF(Registered!AE999=0,"",IF(Registered!AE999=1,Registered!AE999&amp;" Bandana",Registered!AE999&amp;" Bandanas"))</f>
        <v/>
      </c>
      <c r="AV999" s="3">
        <f t="shared" si="47"/>
        <v>0</v>
      </c>
      <c r="AW999" s="2" t="str">
        <f>IF(Registered!AV999=0,"",IF(Registered!AV999=1,Registered!AV999&amp;" Meal",Registered!AV999&amp;" Meals"))</f>
        <v/>
      </c>
      <c r="AX999" s="2" t="str">
        <f>IF(Registered!AI999=0,"",Registered!AI999&amp;" BG")</f>
        <v/>
      </c>
      <c r="AY999" s="2" t="str">
        <f>IF(Registered!AG999=0,"",Registered!AG999&amp;" DustMask")</f>
        <v/>
      </c>
    </row>
    <row r="1000" spans="1:51" customFormat="1" x14ac:dyDescent="0.25">
      <c r="A1000" t="s">
        <v>1743</v>
      </c>
      <c r="B1000" t="s">
        <v>4636</v>
      </c>
      <c r="C1000" t="s">
        <v>6090</v>
      </c>
      <c r="D1000" t="s">
        <v>1743</v>
      </c>
      <c r="F1000" t="s">
        <v>261</v>
      </c>
      <c r="I1000" t="s">
        <v>4637</v>
      </c>
      <c r="J1000" t="s">
        <v>37</v>
      </c>
      <c r="K1000" t="s">
        <v>32</v>
      </c>
      <c r="L1000" t="s">
        <v>35</v>
      </c>
      <c r="Q1000">
        <v>1</v>
      </c>
      <c r="R1000">
        <v>3</v>
      </c>
      <c r="AE1000">
        <v>1</v>
      </c>
      <c r="AF1000">
        <v>6</v>
      </c>
      <c r="AQ1000">
        <v>9</v>
      </c>
      <c r="AR1000" s="3">
        <f t="shared" si="45"/>
        <v>0</v>
      </c>
      <c r="AS1000" s="3">
        <f t="shared" si="46"/>
        <v>0</v>
      </c>
      <c r="AT1000" s="3" t="str">
        <f>IF(OR(Registered!AM1000&gt;0,Registered!AO1000&gt;0),(IF(Registered!E1000=0,"Size Not Specified",Registered!E1000)),"")</f>
        <v/>
      </c>
      <c r="AU1000" s="3" t="str">
        <f>IF(Registered!AE1000=0,"",IF(Registered!AE1000=1,Registered!AE1000&amp;" Bandana",Registered!AE1000&amp;" Bandanas"))</f>
        <v>1 Bandana</v>
      </c>
      <c r="AV1000" s="3">
        <f t="shared" si="47"/>
        <v>0</v>
      </c>
      <c r="AW1000" s="2" t="str">
        <f>IF(Registered!AV1000=0,"",IF(Registered!AV1000=1,Registered!AV1000&amp;" Meal",Registered!AV1000&amp;" Meals"))</f>
        <v/>
      </c>
      <c r="AX1000" s="2" t="str">
        <f>IF(Registered!AI1000=0,"",Registered!AI1000&amp;" BG")</f>
        <v/>
      </c>
      <c r="AY1000" s="2" t="str">
        <f>IF(Registered!AG1000=0,"",Registered!AG1000&amp;" DustMask")</f>
        <v/>
      </c>
    </row>
    <row r="1001" spans="1:51" customFormat="1" x14ac:dyDescent="0.25">
      <c r="A1001" t="s">
        <v>812</v>
      </c>
      <c r="B1001" t="s">
        <v>1493</v>
      </c>
      <c r="C1001" t="s">
        <v>6090</v>
      </c>
      <c r="D1001" t="s">
        <v>1494</v>
      </c>
      <c r="F1001" t="s">
        <v>261</v>
      </c>
      <c r="I1001" t="s">
        <v>1495</v>
      </c>
      <c r="J1001" t="s">
        <v>37</v>
      </c>
      <c r="K1001" t="s">
        <v>32</v>
      </c>
      <c r="L1001" t="s">
        <v>35</v>
      </c>
      <c r="S1001">
        <v>1</v>
      </c>
      <c r="T1001">
        <v>3</v>
      </c>
      <c r="AC1001">
        <v>1</v>
      </c>
      <c r="AD1001">
        <v>10</v>
      </c>
      <c r="AQ1001">
        <v>13</v>
      </c>
      <c r="AR1001" s="3">
        <f t="shared" si="45"/>
        <v>5</v>
      </c>
      <c r="AS1001" s="3">
        <f t="shared" si="46"/>
        <v>0</v>
      </c>
      <c r="AT1001" s="3" t="str">
        <f>IF(OR(Registered!AM1001&gt;0,Registered!AO1001&gt;0),(IF(Registered!E1001=0,"Size Not Specified",Registered!E1001)),"")</f>
        <v/>
      </c>
      <c r="AU1001" s="3" t="str">
        <f>IF(Registered!AE1001=0,"",IF(Registered!AE1001=1,Registered!AE1001&amp;" Bandana",Registered!AE1001&amp;" Bandanas"))</f>
        <v/>
      </c>
      <c r="AV1001" s="3">
        <f t="shared" si="47"/>
        <v>0</v>
      </c>
      <c r="AW1001" s="2" t="str">
        <f>IF(Registered!AV1001=0,"",IF(Registered!AV1001=1,Registered!AV1001&amp;" Meal",Registered!AV1001&amp;" Meals"))</f>
        <v/>
      </c>
      <c r="AX1001" s="2" t="str">
        <f>IF(Registered!AI1001=0,"",Registered!AI1001&amp;" BG")</f>
        <v/>
      </c>
      <c r="AY1001" s="2" t="str">
        <f>IF(Registered!AG1001=0,"",Registered!AG1001&amp;" DustMask")</f>
        <v/>
      </c>
    </row>
    <row r="1002" spans="1:51" customFormat="1" x14ac:dyDescent="0.25">
      <c r="A1002" t="s">
        <v>46</v>
      </c>
      <c r="B1002" t="s">
        <v>1493</v>
      </c>
      <c r="C1002" t="s">
        <v>6090</v>
      </c>
      <c r="D1002" t="s">
        <v>46</v>
      </c>
      <c r="E1002" t="s">
        <v>65</v>
      </c>
      <c r="F1002" t="s">
        <v>261</v>
      </c>
      <c r="I1002" t="s">
        <v>3024</v>
      </c>
      <c r="J1002" t="s">
        <v>37</v>
      </c>
      <c r="K1002" t="s">
        <v>32</v>
      </c>
      <c r="L1002" t="s">
        <v>35</v>
      </c>
      <c r="Q1002">
        <v>1</v>
      </c>
      <c r="R1002">
        <v>3</v>
      </c>
      <c r="AC1002">
        <v>1</v>
      </c>
      <c r="AD1002">
        <v>10</v>
      </c>
      <c r="AO1002">
        <v>1</v>
      </c>
      <c r="AP1002">
        <v>10</v>
      </c>
      <c r="AQ1002">
        <v>23</v>
      </c>
      <c r="AR1002" s="3">
        <f t="shared" si="45"/>
        <v>5</v>
      </c>
      <c r="AS1002" s="3">
        <f t="shared" si="46"/>
        <v>1</v>
      </c>
      <c r="AT1002" s="3" t="str">
        <f>IF(OR(Registered!AM1002&gt;0,Registered!AO1002&gt;0),(IF(Registered!E1002=0,"Size Not Specified",Registered!E1002)),"")</f>
        <v>Medium</v>
      </c>
      <c r="AU1002" s="3" t="str">
        <f>IF(Registered!AE1002=0,"",IF(Registered!AE1002=1,Registered!AE1002&amp;" Bandana",Registered!AE1002&amp;" Bandanas"))</f>
        <v/>
      </c>
      <c r="AV1002" s="3">
        <f t="shared" si="47"/>
        <v>0</v>
      </c>
      <c r="AW1002" s="2" t="str">
        <f>IF(Registered!AV1002=0,"",IF(Registered!AV1002=1,Registered!AV1002&amp;" Meal",Registered!AV1002&amp;" Meals"))</f>
        <v/>
      </c>
      <c r="AX1002" s="2" t="str">
        <f>IF(Registered!AI1002=0,"",Registered!AI1002&amp;" BG")</f>
        <v/>
      </c>
      <c r="AY1002" s="2" t="str">
        <f>IF(Registered!AG1002=0,"",Registered!AG1002&amp;" DustMask")</f>
        <v/>
      </c>
    </row>
    <row r="1003" spans="1:51" customFormat="1" x14ac:dyDescent="0.25">
      <c r="A1003" t="s">
        <v>2232</v>
      </c>
      <c r="B1003" t="s">
        <v>4638</v>
      </c>
      <c r="C1003" t="s">
        <v>6090</v>
      </c>
      <c r="D1003" t="s">
        <v>4639</v>
      </c>
      <c r="F1003" t="s">
        <v>261</v>
      </c>
      <c r="I1003" t="s">
        <v>4640</v>
      </c>
      <c r="J1003" t="s">
        <v>37</v>
      </c>
      <c r="K1003" t="s">
        <v>32</v>
      </c>
      <c r="L1003" t="s">
        <v>35</v>
      </c>
      <c r="Q1003">
        <v>1</v>
      </c>
      <c r="R1003">
        <v>3</v>
      </c>
      <c r="AC1003">
        <v>1</v>
      </c>
      <c r="AD1003">
        <v>10</v>
      </c>
      <c r="AQ1003">
        <v>13</v>
      </c>
      <c r="AR1003" s="3">
        <f t="shared" si="45"/>
        <v>5</v>
      </c>
      <c r="AS1003" s="3">
        <f t="shared" si="46"/>
        <v>0</v>
      </c>
      <c r="AT1003" s="3" t="str">
        <f>IF(OR(Registered!AM1003&gt;0,Registered!AO1003&gt;0),(IF(Registered!E1003=0,"Size Not Specified",Registered!E1003)),"")</f>
        <v/>
      </c>
      <c r="AU1003" s="3" t="str">
        <f>IF(Registered!AE1003=0,"",IF(Registered!AE1003=1,Registered!AE1003&amp;" Bandana",Registered!AE1003&amp;" Bandanas"))</f>
        <v/>
      </c>
      <c r="AV1003" s="3">
        <f t="shared" si="47"/>
        <v>0</v>
      </c>
      <c r="AW1003" s="2" t="str">
        <f>IF(Registered!AV1003=0,"",IF(Registered!AV1003=1,Registered!AV1003&amp;" Meal",Registered!AV1003&amp;" Meals"))</f>
        <v/>
      </c>
      <c r="AX1003" s="2" t="str">
        <f>IF(Registered!AI1003=0,"",Registered!AI1003&amp;" BG")</f>
        <v/>
      </c>
      <c r="AY1003" s="2" t="str">
        <f>IF(Registered!AG1003=0,"",Registered!AG1003&amp;" DustMask")</f>
        <v/>
      </c>
    </row>
    <row r="1004" spans="1:51" customFormat="1" x14ac:dyDescent="0.25">
      <c r="A1004" t="s">
        <v>431</v>
      </c>
      <c r="B1004" t="s">
        <v>460</v>
      </c>
      <c r="C1004" t="s">
        <v>6090</v>
      </c>
      <c r="D1004" t="s">
        <v>1496</v>
      </c>
      <c r="I1004" t="s">
        <v>607</v>
      </c>
      <c r="J1004" t="s">
        <v>37</v>
      </c>
      <c r="K1004" t="s">
        <v>32</v>
      </c>
      <c r="L1004" t="s">
        <v>35</v>
      </c>
      <c r="O1004">
        <v>2</v>
      </c>
      <c r="P1004">
        <v>3</v>
      </c>
      <c r="W1004">
        <v>1</v>
      </c>
      <c r="X1004">
        <v>40</v>
      </c>
      <c r="AQ1004">
        <v>46</v>
      </c>
      <c r="AR1004" s="3">
        <f t="shared" si="45"/>
        <v>20</v>
      </c>
      <c r="AS1004" s="3">
        <f t="shared" si="46"/>
        <v>0</v>
      </c>
      <c r="AT1004" s="3" t="str">
        <f>IF(OR(Registered!AM1004&gt;0,Registered!AO1004&gt;0),(IF(Registered!E1004=0,"Size Not Specified",Registered!E1004)),"")</f>
        <v/>
      </c>
      <c r="AU1004" s="3" t="str">
        <f>IF(Registered!AE1004=0,"",IF(Registered!AE1004=1,Registered!AE1004&amp;" Bandana",Registered!AE1004&amp;" Bandanas"))</f>
        <v/>
      </c>
      <c r="AV1004" s="3">
        <f t="shared" si="47"/>
        <v>0</v>
      </c>
      <c r="AW1004" s="2" t="str">
        <f>IF(Registered!AV1004=0,"",IF(Registered!AV1004=1,Registered!AV1004&amp;" Meal",Registered!AV1004&amp;" Meals"))</f>
        <v/>
      </c>
      <c r="AX1004" s="2" t="str">
        <f>IF(Registered!AI1004=0,"",Registered!AI1004&amp;" BG")</f>
        <v/>
      </c>
      <c r="AY1004" s="2" t="str">
        <f>IF(Registered!AG1004=0,"",Registered!AG1004&amp;" DustMask")</f>
        <v/>
      </c>
    </row>
    <row r="1005" spans="1:51" customFormat="1" x14ac:dyDescent="0.25">
      <c r="A1005" t="s">
        <v>75</v>
      </c>
      <c r="B1005" t="s">
        <v>460</v>
      </c>
      <c r="C1005" t="s">
        <v>6090</v>
      </c>
      <c r="G1005" t="s">
        <v>2917</v>
      </c>
      <c r="H1005" t="s">
        <v>460</v>
      </c>
      <c r="I1005" t="s">
        <v>2918</v>
      </c>
      <c r="J1005" t="s">
        <v>37</v>
      </c>
      <c r="K1005" t="s">
        <v>32</v>
      </c>
      <c r="L1005" t="s">
        <v>35</v>
      </c>
      <c r="AQ1005">
        <v>0</v>
      </c>
      <c r="AR1005" s="3">
        <f t="shared" si="45"/>
        <v>0</v>
      </c>
      <c r="AS1005" s="3">
        <f t="shared" si="46"/>
        <v>0</v>
      </c>
      <c r="AT1005" s="3" t="str">
        <f>IF(OR(Registered!AM1005&gt;0,Registered!AO1005&gt;0),(IF(Registered!E1005=0,"Size Not Specified",Registered!E1005)),"")</f>
        <v/>
      </c>
      <c r="AU1005" s="3" t="str">
        <f>IF(Registered!AE1005=0,"",IF(Registered!AE1005=1,Registered!AE1005&amp;" Bandana",Registered!AE1005&amp;" Bandanas"))</f>
        <v/>
      </c>
      <c r="AV1005" s="3">
        <f t="shared" si="47"/>
        <v>0</v>
      </c>
      <c r="AW1005" s="2" t="str">
        <f>IF(Registered!AV1005=0,"",IF(Registered!AV1005=1,Registered!AV1005&amp;" Meal",Registered!AV1005&amp;" Meals"))</f>
        <v/>
      </c>
      <c r="AX1005" s="2" t="str">
        <f>IF(Registered!AI1005=0,"",Registered!AI1005&amp;" BG")</f>
        <v/>
      </c>
      <c r="AY1005" s="2" t="str">
        <f>IF(Registered!AG1005=0,"",Registered!AG1005&amp;" DustMask")</f>
        <v/>
      </c>
    </row>
    <row r="1006" spans="1:51" customFormat="1" x14ac:dyDescent="0.25">
      <c r="A1006" t="s">
        <v>2917</v>
      </c>
      <c r="B1006" t="s">
        <v>460</v>
      </c>
      <c r="C1006" t="s">
        <v>6090</v>
      </c>
      <c r="D1006" t="s">
        <v>3025</v>
      </c>
      <c r="F1006" t="s">
        <v>261</v>
      </c>
      <c r="I1006" t="s">
        <v>2918</v>
      </c>
      <c r="J1006" t="s">
        <v>37</v>
      </c>
      <c r="K1006" t="s">
        <v>32</v>
      </c>
      <c r="L1006" t="s">
        <v>35</v>
      </c>
      <c r="Q1006">
        <v>9</v>
      </c>
      <c r="R1006">
        <v>3</v>
      </c>
      <c r="AA1006">
        <v>1</v>
      </c>
      <c r="AB1006">
        <v>75</v>
      </c>
      <c r="AQ1006">
        <v>102</v>
      </c>
      <c r="AR1006" s="3">
        <f t="shared" si="45"/>
        <v>40</v>
      </c>
      <c r="AS1006" s="3">
        <f t="shared" si="46"/>
        <v>0</v>
      </c>
      <c r="AT1006" s="3" t="str">
        <f>IF(OR(Registered!AM1006&gt;0,Registered!AO1006&gt;0),(IF(Registered!E1006=0,"Size Not Specified",Registered!E1006)),"")</f>
        <v/>
      </c>
      <c r="AU1006" s="3" t="str">
        <f>IF(Registered!AE1006=0,"",IF(Registered!AE1006=1,Registered!AE1006&amp;" Bandana",Registered!AE1006&amp;" Bandanas"))</f>
        <v/>
      </c>
      <c r="AV1006" s="3">
        <f t="shared" si="47"/>
        <v>0</v>
      </c>
      <c r="AW1006" s="2" t="str">
        <f>IF(Registered!AV1006=0,"",IF(Registered!AV1006=1,Registered!AV1006&amp;" Meal",Registered!AV1006&amp;" Meals"))</f>
        <v/>
      </c>
      <c r="AX1006" s="2" t="str">
        <f>IF(Registered!AI1006=0,"",Registered!AI1006&amp;" BG")</f>
        <v/>
      </c>
      <c r="AY1006" s="2" t="str">
        <f>IF(Registered!AG1006=0,"",Registered!AG1006&amp;" DustMask")</f>
        <v/>
      </c>
    </row>
    <row r="1007" spans="1:51" customFormat="1" x14ac:dyDescent="0.25">
      <c r="A1007" t="s">
        <v>2856</v>
      </c>
      <c r="B1007" t="s">
        <v>3984</v>
      </c>
      <c r="C1007" t="s">
        <v>6090</v>
      </c>
      <c r="D1007" t="s">
        <v>2856</v>
      </c>
      <c r="F1007" t="s">
        <v>261</v>
      </c>
      <c r="I1007" t="s">
        <v>3985</v>
      </c>
      <c r="J1007" t="s">
        <v>37</v>
      </c>
      <c r="K1007" t="s">
        <v>32</v>
      </c>
      <c r="L1007" t="s">
        <v>35</v>
      </c>
      <c r="Q1007">
        <v>4</v>
      </c>
      <c r="R1007">
        <v>3</v>
      </c>
      <c r="U1007">
        <v>1</v>
      </c>
      <c r="V1007">
        <v>20</v>
      </c>
      <c r="AQ1007">
        <v>32</v>
      </c>
      <c r="AR1007" s="3">
        <f t="shared" si="45"/>
        <v>10</v>
      </c>
      <c r="AS1007" s="3">
        <f t="shared" si="46"/>
        <v>0</v>
      </c>
      <c r="AT1007" s="3" t="str">
        <f>IF(OR(Registered!AM1007&gt;0,Registered!AO1007&gt;0),(IF(Registered!E1007=0,"Size Not Specified",Registered!E1007)),"")</f>
        <v/>
      </c>
      <c r="AU1007" s="3" t="str">
        <f>IF(Registered!AE1007=0,"",IF(Registered!AE1007=1,Registered!AE1007&amp;" Bandana",Registered!AE1007&amp;" Bandanas"))</f>
        <v/>
      </c>
      <c r="AV1007" s="3">
        <f t="shared" si="47"/>
        <v>0</v>
      </c>
      <c r="AW1007" s="2" t="str">
        <f>IF(Registered!AV1007=0,"",IF(Registered!AV1007=1,Registered!AV1007&amp;" Meal",Registered!AV1007&amp;" Meals"))</f>
        <v/>
      </c>
      <c r="AX1007" s="2" t="str">
        <f>IF(Registered!AI1007=0,"",Registered!AI1007&amp;" BG")</f>
        <v/>
      </c>
      <c r="AY1007" s="2" t="str">
        <f>IF(Registered!AG1007=0,"",Registered!AG1007&amp;" DustMask")</f>
        <v/>
      </c>
    </row>
    <row r="1008" spans="1:51" customFormat="1" x14ac:dyDescent="0.25">
      <c r="A1008" t="s">
        <v>395</v>
      </c>
      <c r="B1008" t="s">
        <v>1497</v>
      </c>
      <c r="C1008" t="s">
        <v>6090</v>
      </c>
      <c r="G1008" t="s">
        <v>207</v>
      </c>
      <c r="H1008" t="s">
        <v>1498</v>
      </c>
      <c r="I1008" t="s">
        <v>1499</v>
      </c>
      <c r="J1008" t="s">
        <v>37</v>
      </c>
      <c r="K1008" t="s">
        <v>32</v>
      </c>
      <c r="L1008" t="s">
        <v>35</v>
      </c>
      <c r="AQ1008">
        <v>0</v>
      </c>
      <c r="AR1008" s="3">
        <f t="shared" si="45"/>
        <v>0</v>
      </c>
      <c r="AS1008" s="3">
        <f t="shared" si="46"/>
        <v>0</v>
      </c>
      <c r="AT1008" s="3" t="str">
        <f>IF(OR(Registered!AM1008&gt;0,Registered!AO1008&gt;0),(IF(Registered!E1008=0,"Size Not Specified",Registered!E1008)),"")</f>
        <v/>
      </c>
      <c r="AU1008" s="3" t="str">
        <f>IF(Registered!AE1008=0,"",IF(Registered!AE1008=1,Registered!AE1008&amp;" Bandana",Registered!AE1008&amp;" Bandanas"))</f>
        <v/>
      </c>
      <c r="AV1008" s="3">
        <f t="shared" si="47"/>
        <v>0</v>
      </c>
      <c r="AW1008" s="2" t="str">
        <f>IF(Registered!AV1008=0,"",IF(Registered!AV1008=1,Registered!AV1008&amp;" Meal",Registered!AV1008&amp;" Meals"))</f>
        <v/>
      </c>
      <c r="AX1008" s="2" t="str">
        <f>IF(Registered!AI1008=0,"",Registered!AI1008&amp;" BG")</f>
        <v/>
      </c>
      <c r="AY1008" s="2" t="str">
        <f>IF(Registered!AG1008=0,"",Registered!AG1008&amp;" DustMask")</f>
        <v/>
      </c>
    </row>
    <row r="1009" spans="1:51" customFormat="1" x14ac:dyDescent="0.25">
      <c r="A1009" t="s">
        <v>2437</v>
      </c>
      <c r="B1009" t="s">
        <v>2926</v>
      </c>
      <c r="C1009" t="s">
        <v>6090</v>
      </c>
      <c r="D1009" t="s">
        <v>3026</v>
      </c>
      <c r="F1009" t="s">
        <v>261</v>
      </c>
      <c r="I1009" t="s">
        <v>2927</v>
      </c>
      <c r="J1009" t="s">
        <v>37</v>
      </c>
      <c r="K1009" t="s">
        <v>32</v>
      </c>
      <c r="L1009" t="s">
        <v>35</v>
      </c>
      <c r="Q1009">
        <v>3</v>
      </c>
      <c r="R1009">
        <v>3</v>
      </c>
      <c r="U1009">
        <v>1</v>
      </c>
      <c r="V1009">
        <v>20</v>
      </c>
      <c r="AC1009">
        <v>1</v>
      </c>
      <c r="AD1009">
        <v>10</v>
      </c>
      <c r="AQ1009">
        <v>39</v>
      </c>
      <c r="AR1009" s="3">
        <f t="shared" si="45"/>
        <v>15</v>
      </c>
      <c r="AS1009" s="3">
        <f t="shared" si="46"/>
        <v>0</v>
      </c>
      <c r="AT1009" s="3" t="str">
        <f>IF(OR(Registered!AM1009&gt;0,Registered!AO1009&gt;0),(IF(Registered!E1009=0,"Size Not Specified",Registered!E1009)),"")</f>
        <v/>
      </c>
      <c r="AU1009" s="3" t="str">
        <f>IF(Registered!AE1009=0,"",IF(Registered!AE1009=1,Registered!AE1009&amp;" Bandana",Registered!AE1009&amp;" Bandanas"))</f>
        <v/>
      </c>
      <c r="AV1009" s="3">
        <f t="shared" si="47"/>
        <v>0</v>
      </c>
      <c r="AW1009" s="2" t="str">
        <f>IF(Registered!AV1009=0,"",IF(Registered!AV1009=1,Registered!AV1009&amp;" Meal",Registered!AV1009&amp;" Meals"))</f>
        <v/>
      </c>
      <c r="AX1009" s="2" t="str">
        <f>IF(Registered!AI1009=0,"",Registered!AI1009&amp;" BG")</f>
        <v/>
      </c>
      <c r="AY1009" s="2" t="str">
        <f>IF(Registered!AG1009=0,"",Registered!AG1009&amp;" DustMask")</f>
        <v/>
      </c>
    </row>
    <row r="1010" spans="1:51" customFormat="1" x14ac:dyDescent="0.25">
      <c r="A1010" t="s">
        <v>354</v>
      </c>
      <c r="B1010" t="s">
        <v>1500</v>
      </c>
      <c r="C1010" t="s">
        <v>6090</v>
      </c>
      <c r="D1010" t="s">
        <v>1501</v>
      </c>
      <c r="E1010" t="s">
        <v>1502</v>
      </c>
      <c r="F1010" t="s">
        <v>261</v>
      </c>
      <c r="I1010" t="s">
        <v>1503</v>
      </c>
      <c r="J1010" t="s">
        <v>37</v>
      </c>
      <c r="K1010" t="s">
        <v>32</v>
      </c>
      <c r="L1010" t="s">
        <v>35</v>
      </c>
      <c r="S1010">
        <v>2</v>
      </c>
      <c r="T1010">
        <v>3</v>
      </c>
      <c r="U1010">
        <v>1</v>
      </c>
      <c r="V1010">
        <v>20</v>
      </c>
      <c r="AO1010">
        <v>2</v>
      </c>
      <c r="AP1010">
        <v>10</v>
      </c>
      <c r="AQ1010">
        <v>46</v>
      </c>
      <c r="AR1010" s="3">
        <f t="shared" si="45"/>
        <v>10</v>
      </c>
      <c r="AS1010" s="3">
        <f t="shared" si="46"/>
        <v>2</v>
      </c>
      <c r="AT1010" s="3" t="str">
        <f>IF(OR(Registered!AM1010&gt;0,Registered!AO1010&gt;0),(IF(Registered!E1010=0,"Size Not Specified",Registered!E1010)),"")</f>
        <v>(2) adult small</v>
      </c>
      <c r="AU1010" s="3" t="str">
        <f>IF(Registered!AE1010=0,"",IF(Registered!AE1010=1,Registered!AE1010&amp;" Bandana",Registered!AE1010&amp;" Bandanas"))</f>
        <v/>
      </c>
      <c r="AV1010" s="3">
        <f t="shared" si="47"/>
        <v>0</v>
      </c>
      <c r="AW1010" s="2" t="str">
        <f>IF(Registered!AV1010=0,"",IF(Registered!AV1010=1,Registered!AV1010&amp;" Meal",Registered!AV1010&amp;" Meals"))</f>
        <v/>
      </c>
      <c r="AX1010" s="2" t="str">
        <f>IF(Registered!AI1010=0,"",Registered!AI1010&amp;" BG")</f>
        <v/>
      </c>
      <c r="AY1010" s="2" t="str">
        <f>IF(Registered!AG1010=0,"",Registered!AG1010&amp;" DustMask")</f>
        <v/>
      </c>
    </row>
    <row r="1011" spans="1:51" customFormat="1" x14ac:dyDescent="0.25">
      <c r="A1011" t="s">
        <v>4646</v>
      </c>
      <c r="B1011" t="s">
        <v>504</v>
      </c>
      <c r="C1011" t="s">
        <v>6090</v>
      </c>
      <c r="G1011" t="s">
        <v>3553</v>
      </c>
      <c r="H1011" t="s">
        <v>3552</v>
      </c>
      <c r="I1011" t="s">
        <v>3554</v>
      </c>
      <c r="J1011" t="s">
        <v>37</v>
      </c>
      <c r="K1011" t="s">
        <v>32</v>
      </c>
      <c r="L1011" t="s">
        <v>35</v>
      </c>
      <c r="AQ1011">
        <v>0</v>
      </c>
      <c r="AR1011" s="3">
        <f t="shared" si="45"/>
        <v>0</v>
      </c>
      <c r="AS1011" s="3">
        <f t="shared" si="46"/>
        <v>0</v>
      </c>
      <c r="AT1011" s="3" t="str">
        <f>IF(OR(Registered!AM1011&gt;0,Registered!AO1011&gt;0),(IF(Registered!E1011=0,"Size Not Specified",Registered!E1011)),"")</f>
        <v/>
      </c>
      <c r="AU1011" s="3" t="str">
        <f>IF(Registered!AE1011=0,"",IF(Registered!AE1011=1,Registered!AE1011&amp;" Bandana",Registered!AE1011&amp;" Bandanas"))</f>
        <v/>
      </c>
      <c r="AV1011" s="3">
        <f t="shared" si="47"/>
        <v>0</v>
      </c>
      <c r="AW1011" s="2" t="str">
        <f>IF(Registered!AV1011=0,"",IF(Registered!AV1011=1,Registered!AV1011&amp;" Meal",Registered!AV1011&amp;" Meals"))</f>
        <v/>
      </c>
      <c r="AX1011" s="2" t="str">
        <f>IF(Registered!AI1011=0,"",Registered!AI1011&amp;" BG")</f>
        <v/>
      </c>
      <c r="AY1011" s="2" t="str">
        <f>IF(Registered!AG1011=0,"",Registered!AG1011&amp;" DustMask")</f>
        <v/>
      </c>
    </row>
    <row r="1012" spans="1:51" customFormat="1" x14ac:dyDescent="0.25">
      <c r="A1012" t="s">
        <v>233</v>
      </c>
      <c r="B1012" t="s">
        <v>504</v>
      </c>
      <c r="C1012" t="s">
        <v>6090</v>
      </c>
      <c r="D1012" t="s">
        <v>1504</v>
      </c>
      <c r="E1012" t="s">
        <v>1390</v>
      </c>
      <c r="F1012" t="s">
        <v>261</v>
      </c>
      <c r="I1012" t="s">
        <v>1505</v>
      </c>
      <c r="J1012" t="s">
        <v>37</v>
      </c>
      <c r="K1012" t="s">
        <v>32</v>
      </c>
      <c r="L1012" t="s">
        <v>35</v>
      </c>
      <c r="S1012">
        <v>2</v>
      </c>
      <c r="T1012">
        <v>3</v>
      </c>
      <c r="W1012">
        <v>1</v>
      </c>
      <c r="X1012">
        <v>40</v>
      </c>
      <c r="AE1012">
        <v>1</v>
      </c>
      <c r="AF1012">
        <v>6</v>
      </c>
      <c r="AQ1012">
        <v>52</v>
      </c>
      <c r="AR1012" s="3">
        <f t="shared" si="45"/>
        <v>20</v>
      </c>
      <c r="AS1012" s="3">
        <f t="shared" si="46"/>
        <v>0</v>
      </c>
      <c r="AT1012" s="3" t="str">
        <f>IF(OR(Registered!AM1012&gt;0,Registered!AO1012&gt;0),(IF(Registered!E1012=0,"Size Not Specified",Registered!E1012)),"")</f>
        <v/>
      </c>
      <c r="AU1012" s="3" t="str">
        <f>IF(Registered!AE1012=0,"",IF(Registered!AE1012=1,Registered!AE1012&amp;" Bandana",Registered!AE1012&amp;" Bandanas"))</f>
        <v>1 Bandana</v>
      </c>
      <c r="AV1012" s="3">
        <f t="shared" si="47"/>
        <v>0</v>
      </c>
      <c r="AW1012" s="2" t="str">
        <f>IF(Registered!AV1012=0,"",IF(Registered!AV1012=1,Registered!AV1012&amp;" Meal",Registered!AV1012&amp;" Meals"))</f>
        <v/>
      </c>
      <c r="AX1012" s="2" t="str">
        <f>IF(Registered!AI1012=0,"",Registered!AI1012&amp;" BG")</f>
        <v/>
      </c>
      <c r="AY1012" s="2" t="str">
        <f>IF(Registered!AG1012=0,"",Registered!AG1012&amp;" DustMask")</f>
        <v/>
      </c>
    </row>
    <row r="1013" spans="1:51" customFormat="1" x14ac:dyDescent="0.25">
      <c r="A1013" t="s">
        <v>3027</v>
      </c>
      <c r="B1013" t="s">
        <v>504</v>
      </c>
      <c r="C1013" t="s">
        <v>6090</v>
      </c>
      <c r="D1013" t="s">
        <v>3027</v>
      </c>
      <c r="E1013" t="s">
        <v>232</v>
      </c>
      <c r="F1013" t="s">
        <v>261</v>
      </c>
      <c r="I1013" t="s">
        <v>3028</v>
      </c>
      <c r="J1013" t="s">
        <v>37</v>
      </c>
      <c r="K1013" t="s">
        <v>32</v>
      </c>
      <c r="L1013" t="s">
        <v>35</v>
      </c>
      <c r="Q1013">
        <v>1</v>
      </c>
      <c r="R1013">
        <v>3</v>
      </c>
      <c r="AM1013">
        <v>1</v>
      </c>
      <c r="AN1013">
        <v>25</v>
      </c>
      <c r="AQ1013">
        <v>28</v>
      </c>
      <c r="AR1013" s="3">
        <f t="shared" si="45"/>
        <v>5</v>
      </c>
      <c r="AS1013" s="3">
        <f t="shared" si="46"/>
        <v>1</v>
      </c>
      <c r="AT1013" s="3" t="str">
        <f>IF(OR(Registered!AM1013&gt;0,Registered!AO1013&gt;0),(IF(Registered!E1013=0,"Size Not Specified",Registered!E1013)),"")</f>
        <v>M</v>
      </c>
      <c r="AU1013" s="3" t="str">
        <f>IF(Registered!AE1013=0,"",IF(Registered!AE1013=1,Registered!AE1013&amp;" Bandana",Registered!AE1013&amp;" Bandanas"))</f>
        <v/>
      </c>
      <c r="AV1013" s="3">
        <f t="shared" si="47"/>
        <v>1</v>
      </c>
      <c r="AW1013" s="2" t="str">
        <f>IF(Registered!AV1013=0,"",IF(Registered!AV1013=1,Registered!AV1013&amp;" Meal",Registered!AV1013&amp;" Meals"))</f>
        <v>1 Meal</v>
      </c>
      <c r="AX1013" s="2" t="str">
        <f>IF(Registered!AI1013=0,"",Registered!AI1013&amp;" BG")</f>
        <v/>
      </c>
      <c r="AY1013" s="2" t="str">
        <f>IF(Registered!AG1013=0,"",Registered!AG1013&amp;" DustMask")</f>
        <v/>
      </c>
    </row>
    <row r="1014" spans="1:51" customFormat="1" x14ac:dyDescent="0.25">
      <c r="A1014" t="s">
        <v>349</v>
      </c>
      <c r="B1014" t="s">
        <v>504</v>
      </c>
      <c r="C1014" t="s">
        <v>6090</v>
      </c>
      <c r="G1014" t="s">
        <v>508</v>
      </c>
      <c r="H1014" t="s">
        <v>589</v>
      </c>
      <c r="I1014" t="s">
        <v>590</v>
      </c>
      <c r="J1014" t="s">
        <v>37</v>
      </c>
      <c r="K1014" t="s">
        <v>32</v>
      </c>
      <c r="L1014" t="s">
        <v>35</v>
      </c>
      <c r="AQ1014">
        <v>0</v>
      </c>
      <c r="AR1014" s="3">
        <f t="shared" si="45"/>
        <v>0</v>
      </c>
      <c r="AS1014" s="3">
        <f t="shared" si="46"/>
        <v>0</v>
      </c>
      <c r="AT1014" s="3" t="str">
        <f>IF(OR(Registered!AM1014&gt;0,Registered!AO1014&gt;0),(IF(Registered!E1014=0,"Size Not Specified",Registered!E1014)),"")</f>
        <v/>
      </c>
      <c r="AU1014" s="3" t="str">
        <f>IF(Registered!AE1014=0,"",IF(Registered!AE1014=1,Registered!AE1014&amp;" Bandana",Registered!AE1014&amp;" Bandanas"))</f>
        <v/>
      </c>
      <c r="AV1014" s="3">
        <f t="shared" si="47"/>
        <v>0</v>
      </c>
      <c r="AW1014" s="2" t="str">
        <f>IF(Registered!AV1014=0,"",IF(Registered!AV1014=1,Registered!AV1014&amp;" Meal",Registered!AV1014&amp;" Meals"))</f>
        <v/>
      </c>
      <c r="AX1014" s="2" t="str">
        <f>IF(Registered!AI1014=0,"",Registered!AI1014&amp;" BG")</f>
        <v/>
      </c>
      <c r="AY1014" s="2" t="str">
        <f>IF(Registered!AG1014=0,"",Registered!AG1014&amp;" DustMask")</f>
        <v/>
      </c>
    </row>
    <row r="1015" spans="1:51" customFormat="1" x14ac:dyDescent="0.25">
      <c r="A1015" t="s">
        <v>4647</v>
      </c>
      <c r="B1015" t="s">
        <v>504</v>
      </c>
      <c r="C1015" t="s">
        <v>6090</v>
      </c>
      <c r="G1015" t="s">
        <v>2605</v>
      </c>
      <c r="H1015" t="s">
        <v>3993</v>
      </c>
      <c r="I1015" t="s">
        <v>3994</v>
      </c>
      <c r="J1015" t="s">
        <v>37</v>
      </c>
      <c r="K1015" t="s">
        <v>32</v>
      </c>
      <c r="L1015" t="s">
        <v>35</v>
      </c>
      <c r="AQ1015">
        <v>0</v>
      </c>
      <c r="AR1015" s="3">
        <f t="shared" si="45"/>
        <v>0</v>
      </c>
      <c r="AS1015" s="3">
        <f t="shared" si="46"/>
        <v>0</v>
      </c>
      <c r="AT1015" s="3" t="str">
        <f>IF(OR(Registered!AM1015&gt;0,Registered!AO1015&gt;0),(IF(Registered!E1015=0,"Size Not Specified",Registered!E1015)),"")</f>
        <v/>
      </c>
      <c r="AU1015" s="3" t="str">
        <f>IF(Registered!AE1015=0,"",IF(Registered!AE1015=1,Registered!AE1015&amp;" Bandana",Registered!AE1015&amp;" Bandanas"))</f>
        <v/>
      </c>
      <c r="AV1015" s="3">
        <f t="shared" si="47"/>
        <v>0</v>
      </c>
      <c r="AW1015" s="2" t="str">
        <f>IF(Registered!AV1015=0,"",IF(Registered!AV1015=1,Registered!AV1015&amp;" Meal",Registered!AV1015&amp;" Meals"))</f>
        <v/>
      </c>
      <c r="AX1015" s="2" t="str">
        <f>IF(Registered!AI1015=0,"",Registered!AI1015&amp;" BG")</f>
        <v/>
      </c>
      <c r="AY1015" s="2" t="str">
        <f>IF(Registered!AG1015=0,"",Registered!AG1015&amp;" DustMask")</f>
        <v/>
      </c>
    </row>
    <row r="1016" spans="1:51" customFormat="1" x14ac:dyDescent="0.25">
      <c r="A1016" t="s">
        <v>481</v>
      </c>
      <c r="B1016" t="s">
        <v>504</v>
      </c>
      <c r="C1016" t="s">
        <v>6090</v>
      </c>
      <c r="G1016" t="s">
        <v>1506</v>
      </c>
      <c r="H1016" t="s">
        <v>504</v>
      </c>
      <c r="I1016" t="s">
        <v>1507</v>
      </c>
      <c r="J1016" t="s">
        <v>37</v>
      </c>
      <c r="K1016" t="s">
        <v>32</v>
      </c>
      <c r="L1016" t="s">
        <v>35</v>
      </c>
      <c r="AQ1016">
        <v>0</v>
      </c>
      <c r="AR1016" s="3">
        <f t="shared" si="45"/>
        <v>0</v>
      </c>
      <c r="AS1016" s="3">
        <f t="shared" si="46"/>
        <v>0</v>
      </c>
      <c r="AT1016" s="3" t="str">
        <f>IF(OR(Registered!AM1016&gt;0,Registered!AO1016&gt;0),(IF(Registered!E1016=0,"Size Not Specified",Registered!E1016)),"")</f>
        <v/>
      </c>
      <c r="AU1016" s="3" t="str">
        <f>IF(Registered!AE1016=0,"",IF(Registered!AE1016=1,Registered!AE1016&amp;" Bandana",Registered!AE1016&amp;" Bandanas"))</f>
        <v/>
      </c>
      <c r="AV1016" s="3">
        <f t="shared" si="47"/>
        <v>0</v>
      </c>
      <c r="AW1016" s="2" t="str">
        <f>IF(Registered!AV1016=0,"",IF(Registered!AV1016=1,Registered!AV1016&amp;" Meal",Registered!AV1016&amp;" Meals"))</f>
        <v/>
      </c>
      <c r="AX1016" s="2" t="str">
        <f>IF(Registered!AI1016=0,"",Registered!AI1016&amp;" BG")</f>
        <v/>
      </c>
      <c r="AY1016" s="2" t="str">
        <f>IF(Registered!AG1016=0,"",Registered!AG1016&amp;" DustMask")</f>
        <v/>
      </c>
    </row>
    <row r="1017" spans="1:51" customFormat="1" x14ac:dyDescent="0.25">
      <c r="A1017" t="s">
        <v>1508</v>
      </c>
      <c r="B1017" t="s">
        <v>504</v>
      </c>
      <c r="C1017" t="s">
        <v>6090</v>
      </c>
      <c r="G1017" t="s">
        <v>222</v>
      </c>
      <c r="H1017" t="s">
        <v>592</v>
      </c>
      <c r="I1017" t="s">
        <v>593</v>
      </c>
      <c r="J1017" t="s">
        <v>37</v>
      </c>
      <c r="K1017" t="s">
        <v>32</v>
      </c>
      <c r="L1017" t="s">
        <v>35</v>
      </c>
      <c r="AQ1017">
        <v>0</v>
      </c>
      <c r="AR1017" s="3">
        <f t="shared" si="45"/>
        <v>0</v>
      </c>
      <c r="AS1017" s="3">
        <f t="shared" si="46"/>
        <v>0</v>
      </c>
      <c r="AT1017" s="3" t="str">
        <f>IF(OR(Registered!AM1017&gt;0,Registered!AO1017&gt;0),(IF(Registered!E1017=0,"Size Not Specified",Registered!E1017)),"")</f>
        <v/>
      </c>
      <c r="AU1017" s="3" t="str">
        <f>IF(Registered!AE1017=0,"",IF(Registered!AE1017=1,Registered!AE1017&amp;" Bandana",Registered!AE1017&amp;" Bandanas"))</f>
        <v/>
      </c>
      <c r="AV1017" s="3">
        <f t="shared" si="47"/>
        <v>0</v>
      </c>
      <c r="AW1017" s="2" t="str">
        <f>IF(Registered!AV1017=0,"",IF(Registered!AV1017=1,Registered!AV1017&amp;" Meal",Registered!AV1017&amp;" Meals"))</f>
        <v/>
      </c>
      <c r="AX1017" s="2" t="str">
        <f>IF(Registered!AI1017=0,"",Registered!AI1017&amp;" BG")</f>
        <v/>
      </c>
      <c r="AY1017" s="2" t="str">
        <f>IF(Registered!AG1017=0,"",Registered!AG1017&amp;" DustMask")</f>
        <v/>
      </c>
    </row>
    <row r="1018" spans="1:51" customFormat="1" x14ac:dyDescent="0.25">
      <c r="A1018" t="s">
        <v>1506</v>
      </c>
      <c r="B1018" t="s">
        <v>504</v>
      </c>
      <c r="C1018" t="s">
        <v>6090</v>
      </c>
      <c r="D1018" t="s">
        <v>1506</v>
      </c>
      <c r="I1018" t="s">
        <v>1507</v>
      </c>
      <c r="J1018" t="s">
        <v>37</v>
      </c>
      <c r="K1018" t="s">
        <v>32</v>
      </c>
      <c r="L1018" t="s">
        <v>35</v>
      </c>
      <c r="O1018">
        <v>2</v>
      </c>
      <c r="P1018">
        <v>3</v>
      </c>
      <c r="AC1018">
        <v>1</v>
      </c>
      <c r="AD1018">
        <v>10</v>
      </c>
      <c r="AQ1018">
        <v>16</v>
      </c>
      <c r="AR1018" s="3">
        <f t="shared" si="45"/>
        <v>5</v>
      </c>
      <c r="AS1018" s="3">
        <f t="shared" si="46"/>
        <v>0</v>
      </c>
      <c r="AT1018" s="3" t="str">
        <f>IF(OR(Registered!AM1018&gt;0,Registered!AO1018&gt;0),(IF(Registered!E1018=0,"Size Not Specified",Registered!E1018)),"")</f>
        <v/>
      </c>
      <c r="AU1018" s="3" t="str">
        <f>IF(Registered!AE1018=0,"",IF(Registered!AE1018=1,Registered!AE1018&amp;" Bandana",Registered!AE1018&amp;" Bandanas"))</f>
        <v/>
      </c>
      <c r="AV1018" s="3">
        <f t="shared" si="47"/>
        <v>0</v>
      </c>
      <c r="AW1018" s="2" t="str">
        <f>IF(Registered!AV1018=0,"",IF(Registered!AV1018=1,Registered!AV1018&amp;" Meal",Registered!AV1018&amp;" Meals"))</f>
        <v/>
      </c>
      <c r="AX1018" s="2" t="str">
        <f>IF(Registered!AI1018=0,"",Registered!AI1018&amp;" BG")</f>
        <v/>
      </c>
      <c r="AY1018" s="2" t="str">
        <f>IF(Registered!AG1018=0,"",Registered!AG1018&amp;" DustMask")</f>
        <v/>
      </c>
    </row>
    <row r="1019" spans="1:51" customFormat="1" x14ac:dyDescent="0.25">
      <c r="A1019" t="s">
        <v>4648</v>
      </c>
      <c r="B1019" t="s">
        <v>504</v>
      </c>
      <c r="C1019" t="s">
        <v>6090</v>
      </c>
      <c r="G1019" t="s">
        <v>4649</v>
      </c>
      <c r="H1019" t="s">
        <v>223</v>
      </c>
      <c r="I1019" t="s">
        <v>4650</v>
      </c>
      <c r="J1019" t="s">
        <v>37</v>
      </c>
      <c r="K1019" t="s">
        <v>32</v>
      </c>
      <c r="L1019" t="s">
        <v>35</v>
      </c>
      <c r="AQ1019">
        <v>0</v>
      </c>
      <c r="AR1019" s="3">
        <f t="shared" si="45"/>
        <v>0</v>
      </c>
      <c r="AS1019" s="3">
        <f t="shared" si="46"/>
        <v>0</v>
      </c>
      <c r="AT1019" s="3" t="str">
        <f>IF(OR(Registered!AM1019&gt;0,Registered!AO1019&gt;0),(IF(Registered!E1019=0,"Size Not Specified",Registered!E1019)),"")</f>
        <v/>
      </c>
      <c r="AU1019" s="3" t="str">
        <f>IF(Registered!AE1019=0,"",IF(Registered!AE1019=1,Registered!AE1019&amp;" Bandana",Registered!AE1019&amp;" Bandanas"))</f>
        <v/>
      </c>
      <c r="AV1019" s="3">
        <f t="shared" si="47"/>
        <v>0</v>
      </c>
      <c r="AW1019" s="2" t="str">
        <f>IF(Registered!AV1019=0,"",IF(Registered!AV1019=1,Registered!AV1019&amp;" Meal",Registered!AV1019&amp;" Meals"))</f>
        <v/>
      </c>
      <c r="AX1019" s="2" t="str">
        <f>IF(Registered!AI1019=0,"",Registered!AI1019&amp;" BG")</f>
        <v/>
      </c>
      <c r="AY1019" s="2" t="str">
        <f>IF(Registered!AG1019=0,"",Registered!AG1019&amp;" DustMask")</f>
        <v/>
      </c>
    </row>
    <row r="1020" spans="1:51" customFormat="1" x14ac:dyDescent="0.25">
      <c r="A1020" t="s">
        <v>485</v>
      </c>
      <c r="B1020" t="s">
        <v>504</v>
      </c>
      <c r="C1020" t="s">
        <v>6090</v>
      </c>
      <c r="D1020" t="s">
        <v>1509</v>
      </c>
      <c r="F1020" t="s">
        <v>261</v>
      </c>
      <c r="I1020" t="s">
        <v>1510</v>
      </c>
      <c r="J1020" t="s">
        <v>37</v>
      </c>
      <c r="K1020" t="s">
        <v>32</v>
      </c>
      <c r="L1020" t="s">
        <v>35</v>
      </c>
      <c r="S1020">
        <v>1</v>
      </c>
      <c r="T1020">
        <v>3</v>
      </c>
      <c r="AQ1020">
        <v>23</v>
      </c>
      <c r="AR1020" s="3">
        <f t="shared" si="45"/>
        <v>0</v>
      </c>
      <c r="AS1020" s="3">
        <f t="shared" si="46"/>
        <v>0</v>
      </c>
      <c r="AT1020" s="3" t="str">
        <f>IF(OR(Registered!AM1020&gt;0,Registered!AO1020&gt;0),(IF(Registered!E1020=0,"Size Not Specified",Registered!E1020)),"")</f>
        <v/>
      </c>
      <c r="AU1020" s="3" t="str">
        <f>IF(Registered!AE1020=0,"",IF(Registered!AE1020=1,Registered!AE1020&amp;" Bandana",Registered!AE1020&amp;" Bandanas"))</f>
        <v/>
      </c>
      <c r="AV1020" s="3">
        <f t="shared" si="47"/>
        <v>0</v>
      </c>
      <c r="AW1020" s="2" t="str">
        <f>IF(Registered!AV1020=0,"",IF(Registered!AV1020=1,Registered!AV1020&amp;" Meal",Registered!AV1020&amp;" Meals"))</f>
        <v/>
      </c>
      <c r="AX1020" s="2" t="str">
        <f>IF(Registered!AI1020=0,"",Registered!AI1020&amp;" BG")</f>
        <v/>
      </c>
      <c r="AY1020" s="2" t="str">
        <f>IF(Registered!AG1020=0,"",Registered!AG1020&amp;" DustMask")</f>
        <v/>
      </c>
    </row>
    <row r="1021" spans="1:51" customFormat="1" x14ac:dyDescent="0.25">
      <c r="A1021" t="s">
        <v>3792</v>
      </c>
      <c r="B1021" t="s">
        <v>462</v>
      </c>
      <c r="C1021" t="s">
        <v>6090</v>
      </c>
      <c r="D1021" t="s">
        <v>4651</v>
      </c>
      <c r="F1021" t="s">
        <v>261</v>
      </c>
      <c r="I1021" t="s">
        <v>4652</v>
      </c>
      <c r="J1021" t="s">
        <v>37</v>
      </c>
      <c r="K1021" t="s">
        <v>32</v>
      </c>
      <c r="L1021" t="s">
        <v>35</v>
      </c>
      <c r="Q1021">
        <v>2</v>
      </c>
      <c r="R1021">
        <v>3</v>
      </c>
      <c r="AC1021">
        <v>1</v>
      </c>
      <c r="AD1021">
        <v>10</v>
      </c>
      <c r="AQ1021">
        <v>16</v>
      </c>
      <c r="AR1021" s="3">
        <f t="shared" si="45"/>
        <v>5</v>
      </c>
      <c r="AS1021" s="3">
        <f t="shared" si="46"/>
        <v>0</v>
      </c>
      <c r="AT1021" s="3" t="str">
        <f>IF(OR(Registered!AM1021&gt;0,Registered!AO1021&gt;0),(IF(Registered!E1021=0,"Size Not Specified",Registered!E1021)),"")</f>
        <v/>
      </c>
      <c r="AU1021" s="3" t="str">
        <f>IF(Registered!AE1021=0,"",IF(Registered!AE1021=1,Registered!AE1021&amp;" Bandana",Registered!AE1021&amp;" Bandanas"))</f>
        <v/>
      </c>
      <c r="AV1021" s="3">
        <f t="shared" si="47"/>
        <v>0</v>
      </c>
      <c r="AW1021" s="2" t="str">
        <f>IF(Registered!AV1021=0,"",IF(Registered!AV1021=1,Registered!AV1021&amp;" Meal",Registered!AV1021&amp;" Meals"))</f>
        <v/>
      </c>
      <c r="AX1021" s="2" t="str">
        <f>IF(Registered!AI1021=0,"",Registered!AI1021&amp;" BG")</f>
        <v/>
      </c>
      <c r="AY1021" s="2" t="str">
        <f>IF(Registered!AG1021=0,"",Registered!AG1021&amp;" DustMask")</f>
        <v/>
      </c>
    </row>
    <row r="1022" spans="1:51" customFormat="1" x14ac:dyDescent="0.25">
      <c r="A1022" t="s">
        <v>96</v>
      </c>
      <c r="B1022" t="s">
        <v>1512</v>
      </c>
      <c r="C1022" t="s">
        <v>6090</v>
      </c>
      <c r="G1022" t="s">
        <v>189</v>
      </c>
      <c r="H1022" t="s">
        <v>759</v>
      </c>
      <c r="I1022" t="s">
        <v>760</v>
      </c>
      <c r="J1022" t="s">
        <v>37</v>
      </c>
      <c r="K1022" t="s">
        <v>32</v>
      </c>
      <c r="L1022" t="s">
        <v>35</v>
      </c>
      <c r="AQ1022">
        <v>0</v>
      </c>
      <c r="AR1022" s="3">
        <f t="shared" si="45"/>
        <v>0</v>
      </c>
      <c r="AS1022" s="3">
        <f t="shared" si="46"/>
        <v>0</v>
      </c>
      <c r="AT1022" s="3" t="str">
        <f>IF(OR(Registered!AM1022&gt;0,Registered!AO1022&gt;0),(IF(Registered!E1022=0,"Size Not Specified",Registered!E1022)),"")</f>
        <v/>
      </c>
      <c r="AU1022" s="3" t="str">
        <f>IF(Registered!AE1022=0,"",IF(Registered!AE1022=1,Registered!AE1022&amp;" Bandana",Registered!AE1022&amp;" Bandanas"))</f>
        <v/>
      </c>
      <c r="AV1022" s="3">
        <f t="shared" si="47"/>
        <v>0</v>
      </c>
      <c r="AW1022" s="2" t="str">
        <f>IF(Registered!AV1022=0,"",IF(Registered!AV1022=1,Registered!AV1022&amp;" Meal",Registered!AV1022&amp;" Meals"))</f>
        <v/>
      </c>
      <c r="AX1022" s="2" t="str">
        <f>IF(Registered!AI1022=0,"",Registered!AI1022&amp;" BG")</f>
        <v/>
      </c>
      <c r="AY1022" s="2" t="str">
        <f>IF(Registered!AG1022=0,"",Registered!AG1022&amp;" DustMask")</f>
        <v/>
      </c>
    </row>
    <row r="1023" spans="1:51" customFormat="1" x14ac:dyDescent="0.25">
      <c r="A1023" t="s">
        <v>3029</v>
      </c>
      <c r="B1023" t="s">
        <v>3030</v>
      </c>
      <c r="C1023" t="s">
        <v>6090</v>
      </c>
      <c r="G1023" t="s">
        <v>2904</v>
      </c>
      <c r="H1023" t="s">
        <v>2905</v>
      </c>
      <c r="I1023" t="s">
        <v>2906</v>
      </c>
      <c r="J1023" t="s">
        <v>37</v>
      </c>
      <c r="K1023" t="s">
        <v>32</v>
      </c>
      <c r="L1023" t="s">
        <v>35</v>
      </c>
      <c r="AQ1023">
        <v>0</v>
      </c>
      <c r="AR1023" s="3">
        <f t="shared" si="45"/>
        <v>0</v>
      </c>
      <c r="AS1023" s="3">
        <f t="shared" si="46"/>
        <v>0</v>
      </c>
      <c r="AT1023" s="3" t="str">
        <f>IF(OR(Registered!AM1023&gt;0,Registered!AO1023&gt;0),(IF(Registered!E1023=0,"Size Not Specified",Registered!E1023)),"")</f>
        <v/>
      </c>
      <c r="AU1023" s="3" t="str">
        <f>IF(Registered!AE1023=0,"",IF(Registered!AE1023=1,Registered!AE1023&amp;" Bandana",Registered!AE1023&amp;" Bandanas"))</f>
        <v/>
      </c>
      <c r="AV1023" s="3">
        <f t="shared" si="47"/>
        <v>0</v>
      </c>
      <c r="AW1023" s="2" t="str">
        <f>IF(Registered!AV1023=0,"",IF(Registered!AV1023=1,Registered!AV1023&amp;" Meal",Registered!AV1023&amp;" Meals"))</f>
        <v/>
      </c>
      <c r="AX1023" s="2" t="str">
        <f>IF(Registered!AI1023=0,"",Registered!AI1023&amp;" BG")</f>
        <v/>
      </c>
      <c r="AY1023" s="2" t="str">
        <f>IF(Registered!AG1023=0,"",Registered!AG1023&amp;" DustMask")</f>
        <v/>
      </c>
    </row>
    <row r="1024" spans="1:51" customFormat="1" x14ac:dyDescent="0.25">
      <c r="A1024" t="s">
        <v>4653</v>
      </c>
      <c r="B1024" t="s">
        <v>4654</v>
      </c>
      <c r="C1024" t="s">
        <v>6090</v>
      </c>
      <c r="D1024" t="s">
        <v>4655</v>
      </c>
      <c r="F1024" t="s">
        <v>261</v>
      </c>
      <c r="I1024" t="s">
        <v>4656</v>
      </c>
      <c r="J1024" t="s">
        <v>37</v>
      </c>
      <c r="K1024" t="s">
        <v>32</v>
      </c>
      <c r="L1024" t="s">
        <v>35</v>
      </c>
      <c r="Q1024">
        <v>1</v>
      </c>
      <c r="R1024">
        <v>3</v>
      </c>
      <c r="U1024">
        <v>1</v>
      </c>
      <c r="V1024">
        <v>20</v>
      </c>
      <c r="AQ1024">
        <v>23</v>
      </c>
      <c r="AR1024" s="3">
        <f t="shared" si="45"/>
        <v>10</v>
      </c>
      <c r="AS1024" s="3">
        <f t="shared" si="46"/>
        <v>0</v>
      </c>
      <c r="AT1024" s="3" t="str">
        <f>IF(OR(Registered!AM1024&gt;0,Registered!AO1024&gt;0),(IF(Registered!E1024=0,"Size Not Specified",Registered!E1024)),"")</f>
        <v/>
      </c>
      <c r="AU1024" s="3" t="str">
        <f>IF(Registered!AE1024=0,"",IF(Registered!AE1024=1,Registered!AE1024&amp;" Bandana",Registered!AE1024&amp;" Bandanas"))</f>
        <v/>
      </c>
      <c r="AV1024" s="3">
        <f t="shared" si="47"/>
        <v>0</v>
      </c>
      <c r="AW1024" s="2" t="str">
        <f>IF(Registered!AV1024=0,"",IF(Registered!AV1024=1,Registered!AV1024&amp;" Meal",Registered!AV1024&amp;" Meals"))</f>
        <v/>
      </c>
      <c r="AX1024" s="2" t="str">
        <f>IF(Registered!AI1024=0,"",Registered!AI1024&amp;" BG")</f>
        <v/>
      </c>
      <c r="AY1024" s="2" t="str">
        <f>IF(Registered!AG1024=0,"",Registered!AG1024&amp;" DustMask")</f>
        <v/>
      </c>
    </row>
    <row r="1025" spans="1:51" customFormat="1" x14ac:dyDescent="0.25">
      <c r="A1025" t="s">
        <v>431</v>
      </c>
      <c r="B1025" t="s">
        <v>4654</v>
      </c>
      <c r="C1025" t="s">
        <v>6090</v>
      </c>
      <c r="G1025" t="s">
        <v>3653</v>
      </c>
      <c r="H1025" t="s">
        <v>3654</v>
      </c>
      <c r="I1025" t="s">
        <v>3655</v>
      </c>
      <c r="J1025" t="s">
        <v>37</v>
      </c>
      <c r="K1025" t="s">
        <v>32</v>
      </c>
      <c r="L1025" t="s">
        <v>35</v>
      </c>
      <c r="AQ1025">
        <v>0</v>
      </c>
      <c r="AR1025" s="3">
        <f t="shared" si="45"/>
        <v>0</v>
      </c>
      <c r="AS1025" s="3">
        <f t="shared" si="46"/>
        <v>0</v>
      </c>
      <c r="AT1025" s="3" t="str">
        <f>IF(OR(Registered!AM1025&gt;0,Registered!AO1025&gt;0),(IF(Registered!E1025=0,"Size Not Specified",Registered!E1025)),"")</f>
        <v/>
      </c>
      <c r="AU1025" s="3" t="str">
        <f>IF(Registered!AE1025=0,"",IF(Registered!AE1025=1,Registered!AE1025&amp;" Bandana",Registered!AE1025&amp;" Bandanas"))</f>
        <v/>
      </c>
      <c r="AV1025" s="3">
        <f t="shared" si="47"/>
        <v>0</v>
      </c>
      <c r="AW1025" s="2" t="str">
        <f>IF(Registered!AV1025=0,"",IF(Registered!AV1025=1,Registered!AV1025&amp;" Meal",Registered!AV1025&amp;" Meals"))</f>
        <v/>
      </c>
      <c r="AX1025" s="2" t="str">
        <f>IF(Registered!AI1025=0,"",Registered!AI1025&amp;" BG")</f>
        <v/>
      </c>
      <c r="AY1025" s="2" t="str">
        <f>IF(Registered!AG1025=0,"",Registered!AG1025&amp;" DustMask")</f>
        <v/>
      </c>
    </row>
    <row r="1026" spans="1:51" customFormat="1" x14ac:dyDescent="0.25">
      <c r="A1026" t="s">
        <v>501</v>
      </c>
      <c r="B1026" t="s">
        <v>1513</v>
      </c>
      <c r="C1026" t="s">
        <v>6090</v>
      </c>
      <c r="G1026" t="s">
        <v>136</v>
      </c>
      <c r="H1026" t="s">
        <v>1514</v>
      </c>
      <c r="I1026" t="s">
        <v>1515</v>
      </c>
      <c r="J1026" t="s">
        <v>37</v>
      </c>
      <c r="K1026" t="s">
        <v>32</v>
      </c>
      <c r="L1026" t="s">
        <v>35</v>
      </c>
      <c r="AQ1026">
        <v>0</v>
      </c>
      <c r="AR1026" s="3">
        <f t="shared" ref="AR1026:AR1089" si="48">IF(ISTEXT(AM1026)=TRUE,"",SUM(U1026*10,W1026*20,Y1026*30,AA1026*40,AC1026*5,AM1026*5))</f>
        <v>0</v>
      </c>
      <c r="AS1026" s="3">
        <f t="shared" ref="AS1026:AS1089" si="49">IF(ISTEXT(AM1026)=TRUE,"",SUM(AM1026,AO1026))</f>
        <v>0</v>
      </c>
      <c r="AT1026" s="3" t="str">
        <f>IF(OR(Registered!AM1026&gt;0,Registered!AO1026&gt;0),(IF(Registered!E1026=0,"Size Not Specified",Registered!E1026)),"")</f>
        <v/>
      </c>
      <c r="AU1026" s="3" t="str">
        <f>IF(Registered!AE1026=0,"",IF(Registered!AE1026=1,Registered!AE1026&amp;" Bandana",Registered!AE1026&amp;" Bandanas"))</f>
        <v/>
      </c>
      <c r="AV1026" s="3">
        <f t="shared" ref="AV1026:AV1089" si="50">IF(ISTEXT(AM1026)=TRUE,"",SUM(AM1026,AK1026))</f>
        <v>0</v>
      </c>
      <c r="AW1026" s="2" t="str">
        <f>IF(Registered!AV1026=0,"",IF(Registered!AV1026=1,Registered!AV1026&amp;" Meal",Registered!AV1026&amp;" Meals"))</f>
        <v/>
      </c>
      <c r="AX1026" s="2" t="str">
        <f>IF(Registered!AI1026=0,"",Registered!AI1026&amp;" BG")</f>
        <v/>
      </c>
      <c r="AY1026" s="2" t="str">
        <f>IF(Registered!AG1026=0,"",Registered!AG1026&amp;" DustMask")</f>
        <v/>
      </c>
    </row>
    <row r="1027" spans="1:51" customFormat="1" x14ac:dyDescent="0.25">
      <c r="A1027" t="s">
        <v>253</v>
      </c>
      <c r="B1027" t="s">
        <v>1513</v>
      </c>
      <c r="C1027" t="s">
        <v>6090</v>
      </c>
      <c r="G1027" t="s">
        <v>263</v>
      </c>
      <c r="H1027" t="s">
        <v>149</v>
      </c>
      <c r="I1027" t="s">
        <v>4657</v>
      </c>
      <c r="J1027" t="s">
        <v>37</v>
      </c>
      <c r="K1027" t="s">
        <v>32</v>
      </c>
      <c r="L1027" t="s">
        <v>35</v>
      </c>
      <c r="AQ1027">
        <v>0</v>
      </c>
      <c r="AR1027" s="3">
        <f t="shared" si="48"/>
        <v>0</v>
      </c>
      <c r="AS1027" s="3">
        <f t="shared" si="49"/>
        <v>0</v>
      </c>
      <c r="AT1027" s="3" t="str">
        <f>IF(OR(Registered!AM1027&gt;0,Registered!AO1027&gt;0),(IF(Registered!E1027=0,"Size Not Specified",Registered!E1027)),"")</f>
        <v/>
      </c>
      <c r="AU1027" s="3" t="str">
        <f>IF(Registered!AE1027=0,"",IF(Registered!AE1027=1,Registered!AE1027&amp;" Bandana",Registered!AE1027&amp;" Bandanas"))</f>
        <v/>
      </c>
      <c r="AV1027" s="3">
        <f t="shared" si="50"/>
        <v>0</v>
      </c>
      <c r="AW1027" s="2" t="str">
        <f>IF(Registered!AV1027=0,"",IF(Registered!AV1027=1,Registered!AV1027&amp;" Meal",Registered!AV1027&amp;" Meals"))</f>
        <v/>
      </c>
      <c r="AX1027" s="2" t="str">
        <f>IF(Registered!AI1027=0,"",Registered!AI1027&amp;" BG")</f>
        <v/>
      </c>
      <c r="AY1027" s="2" t="str">
        <f>IF(Registered!AG1027=0,"",Registered!AG1027&amp;" DustMask")</f>
        <v/>
      </c>
    </row>
    <row r="1028" spans="1:51" customFormat="1" x14ac:dyDescent="0.25">
      <c r="A1028" t="s">
        <v>4658</v>
      </c>
      <c r="B1028" t="s">
        <v>4659</v>
      </c>
      <c r="C1028" t="s">
        <v>6090</v>
      </c>
      <c r="D1028" t="s">
        <v>4660</v>
      </c>
      <c r="F1028" t="s">
        <v>261</v>
      </c>
      <c r="I1028" t="s">
        <v>4661</v>
      </c>
      <c r="J1028" t="s">
        <v>37</v>
      </c>
      <c r="K1028" t="s">
        <v>32</v>
      </c>
      <c r="L1028" t="s">
        <v>35</v>
      </c>
      <c r="Q1028">
        <v>1</v>
      </c>
      <c r="R1028">
        <v>3</v>
      </c>
      <c r="AC1028">
        <v>1</v>
      </c>
      <c r="AD1028">
        <v>10</v>
      </c>
      <c r="AQ1028">
        <v>13</v>
      </c>
      <c r="AR1028" s="3">
        <f t="shared" si="48"/>
        <v>5</v>
      </c>
      <c r="AS1028" s="3">
        <f t="shared" si="49"/>
        <v>0</v>
      </c>
      <c r="AT1028" s="3" t="str">
        <f>IF(OR(Registered!AM1028&gt;0,Registered!AO1028&gt;0),(IF(Registered!E1028=0,"Size Not Specified",Registered!E1028)),"")</f>
        <v/>
      </c>
      <c r="AU1028" s="3" t="str">
        <f>IF(Registered!AE1028=0,"",IF(Registered!AE1028=1,Registered!AE1028&amp;" Bandana",Registered!AE1028&amp;" Bandanas"))</f>
        <v/>
      </c>
      <c r="AV1028" s="3">
        <f t="shared" si="50"/>
        <v>0</v>
      </c>
      <c r="AW1028" s="2" t="str">
        <f>IF(Registered!AV1028=0,"",IF(Registered!AV1028=1,Registered!AV1028&amp;" Meal",Registered!AV1028&amp;" Meals"))</f>
        <v/>
      </c>
      <c r="AX1028" s="2" t="str">
        <f>IF(Registered!AI1028=0,"",Registered!AI1028&amp;" BG")</f>
        <v/>
      </c>
      <c r="AY1028" s="2" t="str">
        <f>IF(Registered!AG1028=0,"",Registered!AG1028&amp;" DustMask")</f>
        <v/>
      </c>
    </row>
    <row r="1029" spans="1:51" customFormat="1" x14ac:dyDescent="0.25">
      <c r="A1029" t="s">
        <v>4662</v>
      </c>
      <c r="B1029" t="s">
        <v>4663</v>
      </c>
      <c r="C1029" t="s">
        <v>6090</v>
      </c>
      <c r="G1029" t="s">
        <v>3792</v>
      </c>
      <c r="H1029" t="s">
        <v>462</v>
      </c>
      <c r="I1029" t="s">
        <v>4652</v>
      </c>
      <c r="J1029" t="s">
        <v>37</v>
      </c>
      <c r="K1029" t="s">
        <v>32</v>
      </c>
      <c r="L1029" t="s">
        <v>35</v>
      </c>
      <c r="AQ1029">
        <v>0</v>
      </c>
      <c r="AR1029" s="3">
        <f t="shared" si="48"/>
        <v>0</v>
      </c>
      <c r="AS1029" s="3">
        <f t="shared" si="49"/>
        <v>0</v>
      </c>
      <c r="AT1029" s="3" t="str">
        <f>IF(OR(Registered!AM1029&gt;0,Registered!AO1029&gt;0),(IF(Registered!E1029=0,"Size Not Specified",Registered!E1029)),"")</f>
        <v/>
      </c>
      <c r="AU1029" s="3" t="str">
        <f>IF(Registered!AE1029=0,"",IF(Registered!AE1029=1,Registered!AE1029&amp;" Bandana",Registered!AE1029&amp;" Bandanas"))</f>
        <v/>
      </c>
      <c r="AV1029" s="3">
        <f t="shared" si="50"/>
        <v>0</v>
      </c>
      <c r="AW1029" s="2" t="str">
        <f>IF(Registered!AV1029=0,"",IF(Registered!AV1029=1,Registered!AV1029&amp;" Meal",Registered!AV1029&amp;" Meals"))</f>
        <v/>
      </c>
      <c r="AX1029" s="2" t="str">
        <f>IF(Registered!AI1029=0,"",Registered!AI1029&amp;" BG")</f>
        <v/>
      </c>
      <c r="AY1029" s="2" t="str">
        <f>IF(Registered!AG1029=0,"",Registered!AG1029&amp;" DustMask")</f>
        <v/>
      </c>
    </row>
    <row r="1030" spans="1:51" customFormat="1" x14ac:dyDescent="0.25">
      <c r="A1030" t="s">
        <v>130</v>
      </c>
      <c r="B1030" t="s">
        <v>1516</v>
      </c>
      <c r="C1030" t="s">
        <v>6090</v>
      </c>
      <c r="D1030" t="s">
        <v>1517</v>
      </c>
      <c r="E1030" t="s">
        <v>65</v>
      </c>
      <c r="F1030" t="s">
        <v>261</v>
      </c>
      <c r="I1030" t="s">
        <v>1518</v>
      </c>
      <c r="J1030" t="s">
        <v>37</v>
      </c>
      <c r="K1030" t="s">
        <v>32</v>
      </c>
      <c r="L1030" t="s">
        <v>35</v>
      </c>
      <c r="S1030">
        <v>1</v>
      </c>
      <c r="T1030">
        <v>3</v>
      </c>
      <c r="W1030">
        <v>1</v>
      </c>
      <c r="X1030">
        <v>40</v>
      </c>
      <c r="AQ1030">
        <v>43</v>
      </c>
      <c r="AR1030" s="3">
        <f t="shared" si="48"/>
        <v>20</v>
      </c>
      <c r="AS1030" s="3">
        <f t="shared" si="49"/>
        <v>0</v>
      </c>
      <c r="AT1030" s="3" t="str">
        <f>IF(OR(Registered!AM1030&gt;0,Registered!AO1030&gt;0),(IF(Registered!E1030=0,"Size Not Specified",Registered!E1030)),"")</f>
        <v/>
      </c>
      <c r="AU1030" s="3" t="str">
        <f>IF(Registered!AE1030=0,"",IF(Registered!AE1030=1,Registered!AE1030&amp;" Bandana",Registered!AE1030&amp;" Bandanas"))</f>
        <v/>
      </c>
      <c r="AV1030" s="3">
        <f t="shared" si="50"/>
        <v>0</v>
      </c>
      <c r="AW1030" s="2" t="str">
        <f>IF(Registered!AV1030=0,"",IF(Registered!AV1030=1,Registered!AV1030&amp;" Meal",Registered!AV1030&amp;" Meals"))</f>
        <v/>
      </c>
      <c r="AX1030" s="2" t="str">
        <f>IF(Registered!AI1030=0,"",Registered!AI1030&amp;" BG")</f>
        <v/>
      </c>
      <c r="AY1030" s="2" t="str">
        <f>IF(Registered!AG1030=0,"",Registered!AG1030&amp;" DustMask")</f>
        <v/>
      </c>
    </row>
    <row r="1031" spans="1:51" customFormat="1" x14ac:dyDescent="0.25">
      <c r="A1031" t="s">
        <v>187</v>
      </c>
      <c r="B1031" t="s">
        <v>1519</v>
      </c>
      <c r="C1031" t="s">
        <v>6090</v>
      </c>
      <c r="G1031" t="s">
        <v>1251</v>
      </c>
      <c r="H1031" t="s">
        <v>1252</v>
      </c>
      <c r="I1031" t="s">
        <v>1254</v>
      </c>
      <c r="J1031" t="s">
        <v>37</v>
      </c>
      <c r="K1031" t="s">
        <v>32</v>
      </c>
      <c r="L1031" t="s">
        <v>35</v>
      </c>
      <c r="AQ1031">
        <v>0</v>
      </c>
      <c r="AR1031" s="3">
        <f t="shared" si="48"/>
        <v>0</v>
      </c>
      <c r="AS1031" s="3">
        <f t="shared" si="49"/>
        <v>0</v>
      </c>
      <c r="AT1031" s="3" t="str">
        <f>IF(OR(Registered!AM1031&gt;0,Registered!AO1031&gt;0),(IF(Registered!E1031=0,"Size Not Specified",Registered!E1031)),"")</f>
        <v/>
      </c>
      <c r="AU1031" s="3" t="str">
        <f>IF(Registered!AE1031=0,"",IF(Registered!AE1031=1,Registered!AE1031&amp;" Bandana",Registered!AE1031&amp;" Bandanas"))</f>
        <v/>
      </c>
      <c r="AV1031" s="3">
        <f t="shared" si="50"/>
        <v>0</v>
      </c>
      <c r="AW1031" s="2" t="str">
        <f>IF(Registered!AV1031=0,"",IF(Registered!AV1031=1,Registered!AV1031&amp;" Meal",Registered!AV1031&amp;" Meals"))</f>
        <v/>
      </c>
      <c r="AX1031" s="2" t="str">
        <f>IF(Registered!AI1031=0,"",Registered!AI1031&amp;" BG")</f>
        <v/>
      </c>
      <c r="AY1031" s="2" t="str">
        <f>IF(Registered!AG1031=0,"",Registered!AG1031&amp;" DustMask")</f>
        <v/>
      </c>
    </row>
    <row r="1032" spans="1:51" customFormat="1" x14ac:dyDescent="0.25">
      <c r="A1032" t="s">
        <v>386</v>
      </c>
      <c r="B1032" t="s">
        <v>3032</v>
      </c>
      <c r="C1032" t="s">
        <v>6090</v>
      </c>
      <c r="G1032" t="s">
        <v>3033</v>
      </c>
      <c r="H1032" t="s">
        <v>3032</v>
      </c>
      <c r="I1032" t="s">
        <v>3034</v>
      </c>
      <c r="J1032" t="s">
        <v>37</v>
      </c>
      <c r="K1032" t="s">
        <v>32</v>
      </c>
      <c r="L1032" t="s">
        <v>35</v>
      </c>
      <c r="AQ1032">
        <v>0</v>
      </c>
      <c r="AR1032" s="3">
        <f t="shared" si="48"/>
        <v>0</v>
      </c>
      <c r="AS1032" s="3">
        <f t="shared" si="49"/>
        <v>0</v>
      </c>
      <c r="AT1032" s="3" t="str">
        <f>IF(OR(Registered!AM1032&gt;0,Registered!AO1032&gt;0),(IF(Registered!E1032=0,"Size Not Specified",Registered!E1032)),"")</f>
        <v/>
      </c>
      <c r="AU1032" s="3" t="str">
        <f>IF(Registered!AE1032=0,"",IF(Registered!AE1032=1,Registered!AE1032&amp;" Bandana",Registered!AE1032&amp;" Bandanas"))</f>
        <v/>
      </c>
      <c r="AV1032" s="3">
        <f t="shared" si="50"/>
        <v>0</v>
      </c>
      <c r="AW1032" s="2" t="str">
        <f>IF(Registered!AV1032=0,"",IF(Registered!AV1032=1,Registered!AV1032&amp;" Meal",Registered!AV1032&amp;" Meals"))</f>
        <v/>
      </c>
      <c r="AX1032" s="2" t="str">
        <f>IF(Registered!AI1032=0,"",Registered!AI1032&amp;" BG")</f>
        <v/>
      </c>
      <c r="AY1032" s="2" t="str">
        <f>IF(Registered!AG1032=0,"",Registered!AG1032&amp;" DustMask")</f>
        <v/>
      </c>
    </row>
    <row r="1033" spans="1:51" customFormat="1" x14ac:dyDescent="0.25">
      <c r="A1033" t="s">
        <v>203</v>
      </c>
      <c r="B1033" t="s">
        <v>3032</v>
      </c>
      <c r="C1033" t="s">
        <v>6090</v>
      </c>
      <c r="G1033" t="s">
        <v>3033</v>
      </c>
      <c r="H1033" t="s">
        <v>3032</v>
      </c>
      <c r="I1033" t="s">
        <v>3034</v>
      </c>
      <c r="J1033" t="s">
        <v>37</v>
      </c>
      <c r="K1033" t="s">
        <v>32</v>
      </c>
      <c r="L1033" t="s">
        <v>35</v>
      </c>
      <c r="AQ1033">
        <v>0</v>
      </c>
      <c r="AR1033" s="3">
        <f t="shared" si="48"/>
        <v>0</v>
      </c>
      <c r="AS1033" s="3">
        <f t="shared" si="49"/>
        <v>0</v>
      </c>
      <c r="AT1033" s="3" t="str">
        <f>IF(OR(Registered!AM1033&gt;0,Registered!AO1033&gt;0),(IF(Registered!E1033=0,"Size Not Specified",Registered!E1033)),"")</f>
        <v/>
      </c>
      <c r="AU1033" s="3" t="str">
        <f>IF(Registered!AE1033=0,"",IF(Registered!AE1033=1,Registered!AE1033&amp;" Bandana",Registered!AE1033&amp;" Bandanas"))</f>
        <v/>
      </c>
      <c r="AV1033" s="3">
        <f t="shared" si="50"/>
        <v>0</v>
      </c>
      <c r="AW1033" s="2" t="str">
        <f>IF(Registered!AV1033=0,"",IF(Registered!AV1033=1,Registered!AV1033&amp;" Meal",Registered!AV1033&amp;" Meals"))</f>
        <v/>
      </c>
      <c r="AX1033" s="2" t="str">
        <f>IF(Registered!AI1033=0,"",Registered!AI1033&amp;" BG")</f>
        <v/>
      </c>
      <c r="AY1033" s="2" t="str">
        <f>IF(Registered!AG1033=0,"",Registered!AG1033&amp;" DustMask")</f>
        <v/>
      </c>
    </row>
    <row r="1034" spans="1:51" customFormat="1" x14ac:dyDescent="0.25">
      <c r="A1034" t="s">
        <v>4452</v>
      </c>
      <c r="B1034" t="s">
        <v>3032</v>
      </c>
      <c r="C1034" t="s">
        <v>6090</v>
      </c>
      <c r="D1034" t="s">
        <v>4452</v>
      </c>
      <c r="F1034" t="s">
        <v>261</v>
      </c>
      <c r="I1034" t="s">
        <v>4664</v>
      </c>
      <c r="J1034" t="s">
        <v>37</v>
      </c>
      <c r="K1034" t="s">
        <v>32</v>
      </c>
      <c r="L1034" t="s">
        <v>35</v>
      </c>
      <c r="Q1034">
        <v>1</v>
      </c>
      <c r="R1034">
        <v>3</v>
      </c>
      <c r="AC1034">
        <v>1</v>
      </c>
      <c r="AD1034">
        <v>10</v>
      </c>
      <c r="AQ1034">
        <v>13</v>
      </c>
      <c r="AR1034" s="3">
        <f t="shared" si="48"/>
        <v>5</v>
      </c>
      <c r="AS1034" s="3">
        <f t="shared" si="49"/>
        <v>0</v>
      </c>
      <c r="AT1034" s="3" t="str">
        <f>IF(OR(Registered!AM1034&gt;0,Registered!AO1034&gt;0),(IF(Registered!E1034=0,"Size Not Specified",Registered!E1034)),"")</f>
        <v/>
      </c>
      <c r="AU1034" s="3" t="str">
        <f>IF(Registered!AE1034=0,"",IF(Registered!AE1034=1,Registered!AE1034&amp;" Bandana",Registered!AE1034&amp;" Bandanas"))</f>
        <v/>
      </c>
      <c r="AV1034" s="3">
        <f t="shared" si="50"/>
        <v>0</v>
      </c>
      <c r="AW1034" s="2" t="str">
        <f>IF(Registered!AV1034=0,"",IF(Registered!AV1034=1,Registered!AV1034&amp;" Meal",Registered!AV1034&amp;" Meals"))</f>
        <v/>
      </c>
      <c r="AX1034" s="2" t="str">
        <f>IF(Registered!AI1034=0,"",Registered!AI1034&amp;" BG")</f>
        <v/>
      </c>
      <c r="AY1034" s="2" t="str">
        <f>IF(Registered!AG1034=0,"",Registered!AG1034&amp;" DustMask")</f>
        <v/>
      </c>
    </row>
    <row r="1035" spans="1:51" customFormat="1" x14ac:dyDescent="0.25">
      <c r="A1035" t="s">
        <v>91</v>
      </c>
      <c r="B1035" t="s">
        <v>3032</v>
      </c>
      <c r="C1035" t="s">
        <v>6090</v>
      </c>
      <c r="G1035" t="s">
        <v>3033</v>
      </c>
      <c r="H1035" t="s">
        <v>3032</v>
      </c>
      <c r="I1035" t="s">
        <v>3034</v>
      </c>
      <c r="J1035" t="s">
        <v>37</v>
      </c>
      <c r="K1035" t="s">
        <v>32</v>
      </c>
      <c r="L1035" t="s">
        <v>35</v>
      </c>
      <c r="AQ1035">
        <v>0</v>
      </c>
      <c r="AR1035" s="3">
        <f t="shared" si="48"/>
        <v>0</v>
      </c>
      <c r="AS1035" s="3">
        <f t="shared" si="49"/>
        <v>0</v>
      </c>
      <c r="AT1035" s="3" t="str">
        <f>IF(OR(Registered!AM1035&gt;0,Registered!AO1035&gt;0),(IF(Registered!E1035=0,"Size Not Specified",Registered!E1035)),"")</f>
        <v/>
      </c>
      <c r="AU1035" s="3" t="str">
        <f>IF(Registered!AE1035=0,"",IF(Registered!AE1035=1,Registered!AE1035&amp;" Bandana",Registered!AE1035&amp;" Bandanas"))</f>
        <v/>
      </c>
      <c r="AV1035" s="3">
        <f t="shared" si="50"/>
        <v>0</v>
      </c>
      <c r="AW1035" s="2" t="str">
        <f>IF(Registered!AV1035=0,"",IF(Registered!AV1035=1,Registered!AV1035&amp;" Meal",Registered!AV1035&amp;" Meals"))</f>
        <v/>
      </c>
      <c r="AX1035" s="2" t="str">
        <f>IF(Registered!AI1035=0,"",Registered!AI1035&amp;" BG")</f>
        <v/>
      </c>
      <c r="AY1035" s="2" t="str">
        <f>IF(Registered!AG1035=0,"",Registered!AG1035&amp;" DustMask")</f>
        <v/>
      </c>
    </row>
    <row r="1036" spans="1:51" customFormat="1" x14ac:dyDescent="0.25">
      <c r="A1036" t="s">
        <v>3033</v>
      </c>
      <c r="B1036" t="s">
        <v>3032</v>
      </c>
      <c r="C1036" t="s">
        <v>6090</v>
      </c>
      <c r="D1036" t="s">
        <v>3035</v>
      </c>
      <c r="F1036" t="s">
        <v>261</v>
      </c>
      <c r="I1036" t="s">
        <v>3036</v>
      </c>
      <c r="J1036" t="s">
        <v>37</v>
      </c>
      <c r="K1036" t="s">
        <v>32</v>
      </c>
      <c r="L1036" t="s">
        <v>35</v>
      </c>
      <c r="Q1036">
        <v>5</v>
      </c>
      <c r="R1036">
        <v>3</v>
      </c>
      <c r="AA1036">
        <v>1</v>
      </c>
      <c r="AB1036">
        <v>75</v>
      </c>
      <c r="AG1036">
        <v>1</v>
      </c>
      <c r="AH1036">
        <v>1</v>
      </c>
      <c r="AQ1036">
        <v>91</v>
      </c>
      <c r="AR1036" s="3">
        <f t="shared" si="48"/>
        <v>40</v>
      </c>
      <c r="AS1036" s="3">
        <f t="shared" si="49"/>
        <v>0</v>
      </c>
      <c r="AT1036" s="3" t="str">
        <f>IF(OR(Registered!AM1036&gt;0,Registered!AO1036&gt;0),(IF(Registered!E1036=0,"Size Not Specified",Registered!E1036)),"")</f>
        <v/>
      </c>
      <c r="AU1036" s="3" t="str">
        <f>IF(Registered!AE1036=0,"",IF(Registered!AE1036=1,Registered!AE1036&amp;" Bandana",Registered!AE1036&amp;" Bandanas"))</f>
        <v/>
      </c>
      <c r="AV1036" s="3">
        <f t="shared" si="50"/>
        <v>0</v>
      </c>
      <c r="AW1036" s="2" t="str">
        <f>IF(Registered!AV1036=0,"",IF(Registered!AV1036=1,Registered!AV1036&amp;" Meal",Registered!AV1036&amp;" Meals"))</f>
        <v/>
      </c>
      <c r="AX1036" s="2" t="str">
        <f>IF(Registered!AI1036=0,"",Registered!AI1036&amp;" BG")</f>
        <v/>
      </c>
      <c r="AY1036" s="2" t="str">
        <f>IF(Registered!AG1036=0,"",Registered!AG1036&amp;" DustMask")</f>
        <v>1 DustMask</v>
      </c>
    </row>
    <row r="1037" spans="1:51" customFormat="1" x14ac:dyDescent="0.25">
      <c r="A1037" t="s">
        <v>90</v>
      </c>
      <c r="B1037" t="s">
        <v>3032</v>
      </c>
      <c r="C1037" t="s">
        <v>6090</v>
      </c>
      <c r="G1037" t="s">
        <v>3033</v>
      </c>
      <c r="H1037" t="s">
        <v>3032</v>
      </c>
      <c r="I1037" t="s">
        <v>3034</v>
      </c>
      <c r="J1037" t="s">
        <v>37</v>
      </c>
      <c r="K1037" t="s">
        <v>32</v>
      </c>
      <c r="L1037" t="s">
        <v>35</v>
      </c>
      <c r="AQ1037">
        <v>0</v>
      </c>
      <c r="AR1037" s="3">
        <f t="shared" si="48"/>
        <v>0</v>
      </c>
      <c r="AS1037" s="3">
        <f t="shared" si="49"/>
        <v>0</v>
      </c>
      <c r="AT1037" s="3" t="str">
        <f>IF(OR(Registered!AM1037&gt;0,Registered!AO1037&gt;0),(IF(Registered!E1037=0,"Size Not Specified",Registered!E1037)),"")</f>
        <v/>
      </c>
      <c r="AU1037" s="3" t="str">
        <f>IF(Registered!AE1037=0,"",IF(Registered!AE1037=1,Registered!AE1037&amp;" Bandana",Registered!AE1037&amp;" Bandanas"))</f>
        <v/>
      </c>
      <c r="AV1037" s="3">
        <f t="shared" si="50"/>
        <v>0</v>
      </c>
      <c r="AW1037" s="2" t="str">
        <f>IF(Registered!AV1037=0,"",IF(Registered!AV1037=1,Registered!AV1037&amp;" Meal",Registered!AV1037&amp;" Meals"))</f>
        <v/>
      </c>
      <c r="AX1037" s="2" t="str">
        <f>IF(Registered!AI1037=0,"",Registered!AI1037&amp;" BG")</f>
        <v/>
      </c>
      <c r="AY1037" s="2" t="str">
        <f>IF(Registered!AG1037=0,"",Registered!AG1037&amp;" DustMask")</f>
        <v/>
      </c>
    </row>
    <row r="1038" spans="1:51" customFormat="1" x14ac:dyDescent="0.25">
      <c r="A1038" t="s">
        <v>253</v>
      </c>
      <c r="B1038" t="s">
        <v>3032</v>
      </c>
      <c r="C1038" t="s">
        <v>6090</v>
      </c>
      <c r="G1038" t="s">
        <v>1030</v>
      </c>
      <c r="H1038" t="s">
        <v>218</v>
      </c>
      <c r="I1038" t="s">
        <v>4665</v>
      </c>
      <c r="J1038" t="s">
        <v>37</v>
      </c>
      <c r="K1038" t="s">
        <v>32</v>
      </c>
      <c r="L1038" t="s">
        <v>35</v>
      </c>
      <c r="AQ1038">
        <v>0</v>
      </c>
      <c r="AR1038" s="3">
        <f t="shared" si="48"/>
        <v>0</v>
      </c>
      <c r="AS1038" s="3">
        <f t="shared" si="49"/>
        <v>0</v>
      </c>
      <c r="AT1038" s="3" t="str">
        <f>IF(OR(Registered!AM1038&gt;0,Registered!AO1038&gt;0),(IF(Registered!E1038=0,"Size Not Specified",Registered!E1038)),"")</f>
        <v/>
      </c>
      <c r="AU1038" s="3" t="str">
        <f>IF(Registered!AE1038=0,"",IF(Registered!AE1038=1,Registered!AE1038&amp;" Bandana",Registered!AE1038&amp;" Bandanas"))</f>
        <v/>
      </c>
      <c r="AV1038" s="3">
        <f t="shared" si="50"/>
        <v>0</v>
      </c>
      <c r="AW1038" s="2" t="str">
        <f>IF(Registered!AV1038=0,"",IF(Registered!AV1038=1,Registered!AV1038&amp;" Meal",Registered!AV1038&amp;" Meals"))</f>
        <v/>
      </c>
      <c r="AX1038" s="2" t="str">
        <f>IF(Registered!AI1038=0,"",Registered!AI1038&amp;" BG")</f>
        <v/>
      </c>
      <c r="AY1038" s="2" t="str">
        <f>IF(Registered!AG1038=0,"",Registered!AG1038&amp;" DustMask")</f>
        <v/>
      </c>
    </row>
    <row r="1039" spans="1:51" customFormat="1" x14ac:dyDescent="0.25">
      <c r="A1039" t="s">
        <v>468</v>
      </c>
      <c r="B1039" t="s">
        <v>4026</v>
      </c>
      <c r="C1039" t="s">
        <v>6090</v>
      </c>
      <c r="G1039" t="s">
        <v>281</v>
      </c>
      <c r="H1039" t="s">
        <v>4026</v>
      </c>
      <c r="I1039" t="s">
        <v>4027</v>
      </c>
      <c r="J1039" t="s">
        <v>37</v>
      </c>
      <c r="K1039" t="s">
        <v>32</v>
      </c>
      <c r="L1039" t="s">
        <v>35</v>
      </c>
      <c r="AQ1039">
        <v>0</v>
      </c>
      <c r="AR1039" s="3">
        <f t="shared" si="48"/>
        <v>0</v>
      </c>
      <c r="AS1039" s="3">
        <f t="shared" si="49"/>
        <v>0</v>
      </c>
      <c r="AT1039" s="3" t="str">
        <f>IF(OR(Registered!AM1039&gt;0,Registered!AO1039&gt;0),(IF(Registered!E1039=0,"Size Not Specified",Registered!E1039)),"")</f>
        <v/>
      </c>
      <c r="AU1039" s="3" t="str">
        <f>IF(Registered!AE1039=0,"",IF(Registered!AE1039=1,Registered!AE1039&amp;" Bandana",Registered!AE1039&amp;" Bandanas"))</f>
        <v/>
      </c>
      <c r="AV1039" s="3">
        <f t="shared" si="50"/>
        <v>0</v>
      </c>
      <c r="AW1039" s="2" t="str">
        <f>IF(Registered!AV1039=0,"",IF(Registered!AV1039=1,Registered!AV1039&amp;" Meal",Registered!AV1039&amp;" Meals"))</f>
        <v/>
      </c>
      <c r="AX1039" s="2" t="str">
        <f>IF(Registered!AI1039=0,"",Registered!AI1039&amp;" BG")</f>
        <v/>
      </c>
      <c r="AY1039" s="2" t="str">
        <f>IF(Registered!AG1039=0,"",Registered!AG1039&amp;" DustMask")</f>
        <v/>
      </c>
    </row>
    <row r="1040" spans="1:51" customFormat="1" x14ac:dyDescent="0.25">
      <c r="A1040" t="s">
        <v>281</v>
      </c>
      <c r="B1040" t="s">
        <v>4026</v>
      </c>
      <c r="C1040" t="s">
        <v>6090</v>
      </c>
      <c r="D1040" t="s">
        <v>4666</v>
      </c>
      <c r="F1040" t="s">
        <v>261</v>
      </c>
      <c r="I1040" t="s">
        <v>4027</v>
      </c>
      <c r="J1040" t="s">
        <v>37</v>
      </c>
      <c r="K1040" t="s">
        <v>32</v>
      </c>
      <c r="L1040" t="s">
        <v>35</v>
      </c>
      <c r="Q1040">
        <v>7</v>
      </c>
      <c r="R1040">
        <v>3</v>
      </c>
      <c r="AA1040">
        <v>1</v>
      </c>
      <c r="AB1040">
        <v>75</v>
      </c>
      <c r="AQ1040">
        <v>96</v>
      </c>
      <c r="AR1040" s="3">
        <f t="shared" si="48"/>
        <v>40</v>
      </c>
      <c r="AS1040" s="3">
        <f t="shared" si="49"/>
        <v>0</v>
      </c>
      <c r="AT1040" s="3" t="str">
        <f>IF(OR(Registered!AM1040&gt;0,Registered!AO1040&gt;0),(IF(Registered!E1040=0,"Size Not Specified",Registered!E1040)),"")</f>
        <v/>
      </c>
      <c r="AU1040" s="3" t="str">
        <f>IF(Registered!AE1040=0,"",IF(Registered!AE1040=1,Registered!AE1040&amp;" Bandana",Registered!AE1040&amp;" Bandanas"))</f>
        <v/>
      </c>
      <c r="AV1040" s="3">
        <f t="shared" si="50"/>
        <v>0</v>
      </c>
      <c r="AW1040" s="2" t="str">
        <f>IF(Registered!AV1040=0,"",IF(Registered!AV1040=1,Registered!AV1040&amp;" Meal",Registered!AV1040&amp;" Meals"))</f>
        <v/>
      </c>
      <c r="AX1040" s="2" t="str">
        <f>IF(Registered!AI1040=0,"",Registered!AI1040&amp;" BG")</f>
        <v/>
      </c>
      <c r="AY1040" s="2" t="str">
        <f>IF(Registered!AG1040=0,"",Registered!AG1040&amp;" DustMask")</f>
        <v/>
      </c>
    </row>
    <row r="1041" spans="1:51" customFormat="1" x14ac:dyDescent="0.25">
      <c r="A1041" t="s">
        <v>4667</v>
      </c>
      <c r="B1041" t="s">
        <v>4026</v>
      </c>
      <c r="C1041" t="s">
        <v>6090</v>
      </c>
      <c r="G1041" t="s">
        <v>281</v>
      </c>
      <c r="H1041" t="s">
        <v>4026</v>
      </c>
      <c r="I1041" t="s">
        <v>4027</v>
      </c>
      <c r="J1041" t="s">
        <v>37</v>
      </c>
      <c r="K1041" t="s">
        <v>32</v>
      </c>
      <c r="L1041" t="s">
        <v>35</v>
      </c>
      <c r="AQ1041">
        <v>0</v>
      </c>
      <c r="AR1041" s="3">
        <f t="shared" si="48"/>
        <v>0</v>
      </c>
      <c r="AS1041" s="3">
        <f t="shared" si="49"/>
        <v>0</v>
      </c>
      <c r="AT1041" s="3" t="str">
        <f>IF(OR(Registered!AM1041&gt;0,Registered!AO1041&gt;0),(IF(Registered!E1041=0,"Size Not Specified",Registered!E1041)),"")</f>
        <v/>
      </c>
      <c r="AU1041" s="3" t="str">
        <f>IF(Registered!AE1041=0,"",IF(Registered!AE1041=1,Registered!AE1041&amp;" Bandana",Registered!AE1041&amp;" Bandanas"))</f>
        <v/>
      </c>
      <c r="AV1041" s="3">
        <f t="shared" si="50"/>
        <v>0</v>
      </c>
      <c r="AW1041" s="2" t="str">
        <f>IF(Registered!AV1041=0,"",IF(Registered!AV1041=1,Registered!AV1041&amp;" Meal",Registered!AV1041&amp;" Meals"))</f>
        <v/>
      </c>
      <c r="AX1041" s="2" t="str">
        <f>IF(Registered!AI1041=0,"",Registered!AI1041&amp;" BG")</f>
        <v/>
      </c>
      <c r="AY1041" s="2" t="str">
        <f>IF(Registered!AG1041=0,"",Registered!AG1041&amp;" DustMask")</f>
        <v/>
      </c>
    </row>
    <row r="1042" spans="1:51" customFormat="1" x14ac:dyDescent="0.25">
      <c r="A1042" t="s">
        <v>194</v>
      </c>
      <c r="B1042" t="s">
        <v>355</v>
      </c>
      <c r="C1042" t="s">
        <v>6090</v>
      </c>
      <c r="F1042" t="s">
        <v>261</v>
      </c>
      <c r="I1042" t="s">
        <v>4668</v>
      </c>
      <c r="J1042" t="s">
        <v>37</v>
      </c>
      <c r="K1042" t="s">
        <v>32</v>
      </c>
      <c r="L1042" t="s">
        <v>35</v>
      </c>
      <c r="S1042">
        <v>1</v>
      </c>
      <c r="T1042">
        <v>3</v>
      </c>
      <c r="AK1042">
        <v>1</v>
      </c>
      <c r="AL1042">
        <v>6</v>
      </c>
      <c r="AQ1042">
        <v>9</v>
      </c>
      <c r="AR1042" s="3">
        <f t="shared" si="48"/>
        <v>0</v>
      </c>
      <c r="AS1042" s="3">
        <f t="shared" si="49"/>
        <v>0</v>
      </c>
      <c r="AT1042" s="3" t="str">
        <f>IF(OR(Registered!AM1042&gt;0,Registered!AO1042&gt;0),(IF(Registered!E1042=0,"Size Not Specified",Registered!E1042)),"")</f>
        <v/>
      </c>
      <c r="AU1042" s="3" t="str">
        <f>IF(Registered!AE1042=0,"",IF(Registered!AE1042=1,Registered!AE1042&amp;" Bandana",Registered!AE1042&amp;" Bandanas"))</f>
        <v/>
      </c>
      <c r="AV1042" s="3">
        <f t="shared" si="50"/>
        <v>1</v>
      </c>
      <c r="AW1042" s="2" t="str">
        <f>IF(Registered!AV1042=0,"",IF(Registered!AV1042=1,Registered!AV1042&amp;" Meal",Registered!AV1042&amp;" Meals"))</f>
        <v>1 Meal</v>
      </c>
      <c r="AX1042" s="2" t="str">
        <f>IF(Registered!AI1042=0,"",Registered!AI1042&amp;" BG")</f>
        <v/>
      </c>
      <c r="AY1042" s="2" t="str">
        <f>IF(Registered!AG1042=0,"",Registered!AG1042&amp;" DustMask")</f>
        <v/>
      </c>
    </row>
    <row r="1043" spans="1:51" customFormat="1" x14ac:dyDescent="0.25">
      <c r="A1043" t="s">
        <v>1520</v>
      </c>
      <c r="B1043" t="s">
        <v>355</v>
      </c>
      <c r="C1043" t="s">
        <v>6090</v>
      </c>
      <c r="D1043" t="s">
        <v>1521</v>
      </c>
      <c r="F1043" t="s">
        <v>261</v>
      </c>
      <c r="I1043" t="s">
        <v>1522</v>
      </c>
      <c r="J1043" t="s">
        <v>37</v>
      </c>
      <c r="K1043" t="s">
        <v>32</v>
      </c>
      <c r="L1043" t="s">
        <v>35</v>
      </c>
      <c r="S1043">
        <v>1</v>
      </c>
      <c r="T1043">
        <v>3</v>
      </c>
      <c r="AC1043">
        <v>1</v>
      </c>
      <c r="AD1043">
        <v>10</v>
      </c>
      <c r="AQ1043">
        <v>13</v>
      </c>
      <c r="AR1043" s="3">
        <f t="shared" si="48"/>
        <v>5</v>
      </c>
      <c r="AS1043" s="3">
        <f t="shared" si="49"/>
        <v>0</v>
      </c>
      <c r="AT1043" s="3" t="str">
        <f>IF(OR(Registered!AM1043&gt;0,Registered!AO1043&gt;0),(IF(Registered!E1043=0,"Size Not Specified",Registered!E1043)),"")</f>
        <v/>
      </c>
      <c r="AU1043" s="3" t="str">
        <f>IF(Registered!AE1043=0,"",IF(Registered!AE1043=1,Registered!AE1043&amp;" Bandana",Registered!AE1043&amp;" Bandanas"))</f>
        <v/>
      </c>
      <c r="AV1043" s="3">
        <f t="shared" si="50"/>
        <v>0</v>
      </c>
      <c r="AW1043" s="2" t="str">
        <f>IF(Registered!AV1043=0,"",IF(Registered!AV1043=1,Registered!AV1043&amp;" Meal",Registered!AV1043&amp;" Meals"))</f>
        <v/>
      </c>
      <c r="AX1043" s="2" t="str">
        <f>IF(Registered!AI1043=0,"",Registered!AI1043&amp;" BG")</f>
        <v/>
      </c>
      <c r="AY1043" s="2" t="str">
        <f>IF(Registered!AG1043=0,"",Registered!AG1043&amp;" DustMask")</f>
        <v/>
      </c>
    </row>
    <row r="1044" spans="1:51" customFormat="1" x14ac:dyDescent="0.25">
      <c r="A1044" t="s">
        <v>1523</v>
      </c>
      <c r="B1044" t="s">
        <v>355</v>
      </c>
      <c r="C1044" t="s">
        <v>6090</v>
      </c>
      <c r="D1044" t="s">
        <v>1524</v>
      </c>
      <c r="F1044" t="s">
        <v>261</v>
      </c>
      <c r="I1044" t="s">
        <v>1525</v>
      </c>
      <c r="J1044" t="s">
        <v>37</v>
      </c>
      <c r="K1044" t="s">
        <v>32</v>
      </c>
      <c r="L1044" t="s">
        <v>35</v>
      </c>
      <c r="S1044">
        <v>1</v>
      </c>
      <c r="T1044">
        <v>3</v>
      </c>
      <c r="AC1044">
        <v>1</v>
      </c>
      <c r="AD1044">
        <v>10</v>
      </c>
      <c r="AE1044">
        <v>1</v>
      </c>
      <c r="AF1044">
        <v>6</v>
      </c>
      <c r="AQ1044">
        <v>19</v>
      </c>
      <c r="AR1044" s="3">
        <f t="shared" si="48"/>
        <v>5</v>
      </c>
      <c r="AS1044" s="3">
        <f t="shared" si="49"/>
        <v>0</v>
      </c>
      <c r="AT1044" s="3" t="str">
        <f>IF(OR(Registered!AM1044&gt;0,Registered!AO1044&gt;0),(IF(Registered!E1044=0,"Size Not Specified",Registered!E1044)),"")</f>
        <v/>
      </c>
      <c r="AU1044" s="3" t="str">
        <f>IF(Registered!AE1044=0,"",IF(Registered!AE1044=1,Registered!AE1044&amp;" Bandana",Registered!AE1044&amp;" Bandanas"))</f>
        <v>1 Bandana</v>
      </c>
      <c r="AV1044" s="3">
        <f t="shared" si="50"/>
        <v>0</v>
      </c>
      <c r="AW1044" s="2" t="str">
        <f>IF(Registered!AV1044=0,"",IF(Registered!AV1044=1,Registered!AV1044&amp;" Meal",Registered!AV1044&amp;" Meals"))</f>
        <v/>
      </c>
      <c r="AX1044" s="2" t="str">
        <f>IF(Registered!AI1044=0,"",Registered!AI1044&amp;" BG")</f>
        <v/>
      </c>
      <c r="AY1044" s="2" t="str">
        <f>IF(Registered!AG1044=0,"",Registered!AG1044&amp;" DustMask")</f>
        <v/>
      </c>
    </row>
    <row r="1045" spans="1:51" customFormat="1" x14ac:dyDescent="0.25">
      <c r="A1045" t="s">
        <v>727</v>
      </c>
      <c r="B1045" t="s">
        <v>510</v>
      </c>
      <c r="C1045" t="s">
        <v>6090</v>
      </c>
      <c r="D1045" t="s">
        <v>4669</v>
      </c>
      <c r="F1045" t="s">
        <v>261</v>
      </c>
      <c r="I1045" t="s">
        <v>4670</v>
      </c>
      <c r="J1045" t="s">
        <v>37</v>
      </c>
      <c r="K1045" t="s">
        <v>32</v>
      </c>
      <c r="L1045" t="s">
        <v>35</v>
      </c>
      <c r="Q1045">
        <v>2</v>
      </c>
      <c r="R1045">
        <v>3</v>
      </c>
      <c r="AC1045">
        <v>1</v>
      </c>
      <c r="AD1045">
        <v>10</v>
      </c>
      <c r="AQ1045">
        <v>16</v>
      </c>
      <c r="AR1045" s="3">
        <f t="shared" si="48"/>
        <v>5</v>
      </c>
      <c r="AS1045" s="3">
        <f t="shared" si="49"/>
        <v>0</v>
      </c>
      <c r="AT1045" s="3" t="str">
        <f>IF(OR(Registered!AM1045&gt;0,Registered!AO1045&gt;0),(IF(Registered!E1045=0,"Size Not Specified",Registered!E1045)),"")</f>
        <v/>
      </c>
      <c r="AU1045" s="3" t="str">
        <f>IF(Registered!AE1045=0,"",IF(Registered!AE1045=1,Registered!AE1045&amp;" Bandana",Registered!AE1045&amp;" Bandanas"))</f>
        <v/>
      </c>
      <c r="AV1045" s="3">
        <f t="shared" si="50"/>
        <v>0</v>
      </c>
      <c r="AW1045" s="2" t="str">
        <f>IF(Registered!AV1045=0,"",IF(Registered!AV1045=1,Registered!AV1045&amp;" Meal",Registered!AV1045&amp;" Meals"))</f>
        <v/>
      </c>
      <c r="AX1045" s="2" t="str">
        <f>IF(Registered!AI1045=0,"",Registered!AI1045&amp;" BG")</f>
        <v/>
      </c>
      <c r="AY1045" s="2" t="str">
        <f>IF(Registered!AG1045=0,"",Registered!AG1045&amp;" DustMask")</f>
        <v/>
      </c>
    </row>
    <row r="1046" spans="1:51" customFormat="1" x14ac:dyDescent="0.25">
      <c r="A1046" t="s">
        <v>4671</v>
      </c>
      <c r="B1046" t="s">
        <v>510</v>
      </c>
      <c r="C1046" t="s">
        <v>6090</v>
      </c>
      <c r="G1046" t="s">
        <v>727</v>
      </c>
      <c r="H1046" t="s">
        <v>510</v>
      </c>
      <c r="I1046" t="s">
        <v>4670</v>
      </c>
      <c r="J1046" t="s">
        <v>37</v>
      </c>
      <c r="K1046" t="s">
        <v>32</v>
      </c>
      <c r="L1046" t="s">
        <v>35</v>
      </c>
      <c r="AQ1046">
        <v>0</v>
      </c>
      <c r="AR1046" s="3">
        <f t="shared" si="48"/>
        <v>0</v>
      </c>
      <c r="AS1046" s="3">
        <f t="shared" si="49"/>
        <v>0</v>
      </c>
      <c r="AT1046" s="3" t="str">
        <f>IF(OR(Registered!AM1046&gt;0,Registered!AO1046&gt;0),(IF(Registered!E1046=0,"Size Not Specified",Registered!E1046)),"")</f>
        <v/>
      </c>
      <c r="AU1046" s="3" t="str">
        <f>IF(Registered!AE1046=0,"",IF(Registered!AE1046=1,Registered!AE1046&amp;" Bandana",Registered!AE1046&amp;" Bandanas"))</f>
        <v/>
      </c>
      <c r="AV1046" s="3">
        <f t="shared" si="50"/>
        <v>0</v>
      </c>
      <c r="AW1046" s="2" t="str">
        <f>IF(Registered!AV1046=0,"",IF(Registered!AV1046=1,Registered!AV1046&amp;" Meal",Registered!AV1046&amp;" Meals"))</f>
        <v/>
      </c>
      <c r="AX1046" s="2" t="str">
        <f>IF(Registered!AI1046=0,"",Registered!AI1046&amp;" BG")</f>
        <v/>
      </c>
      <c r="AY1046" s="2" t="str">
        <f>IF(Registered!AG1046=0,"",Registered!AG1046&amp;" DustMask")</f>
        <v/>
      </c>
    </row>
    <row r="1047" spans="1:51" customFormat="1" x14ac:dyDescent="0.25">
      <c r="A1047" t="s">
        <v>94</v>
      </c>
      <c r="B1047" t="s">
        <v>510</v>
      </c>
      <c r="C1047" t="s">
        <v>6090</v>
      </c>
      <c r="G1047" t="s">
        <v>3960</v>
      </c>
      <c r="H1047" t="s">
        <v>630</v>
      </c>
      <c r="I1047" t="s">
        <v>3961</v>
      </c>
      <c r="J1047" t="s">
        <v>37</v>
      </c>
      <c r="K1047" t="s">
        <v>32</v>
      </c>
      <c r="L1047" t="s">
        <v>35</v>
      </c>
      <c r="AQ1047">
        <v>0</v>
      </c>
      <c r="AR1047" s="3">
        <f t="shared" si="48"/>
        <v>0</v>
      </c>
      <c r="AS1047" s="3">
        <f t="shared" si="49"/>
        <v>0</v>
      </c>
      <c r="AT1047" s="3" t="str">
        <f>IF(OR(Registered!AM1047&gt;0,Registered!AO1047&gt;0),(IF(Registered!E1047=0,"Size Not Specified",Registered!E1047)),"")</f>
        <v/>
      </c>
      <c r="AU1047" s="3" t="str">
        <f>IF(Registered!AE1047=0,"",IF(Registered!AE1047=1,Registered!AE1047&amp;" Bandana",Registered!AE1047&amp;" Bandanas"))</f>
        <v/>
      </c>
      <c r="AV1047" s="3">
        <f t="shared" si="50"/>
        <v>0</v>
      </c>
      <c r="AW1047" s="2" t="str">
        <f>IF(Registered!AV1047=0,"",IF(Registered!AV1047=1,Registered!AV1047&amp;" Meal",Registered!AV1047&amp;" Meals"))</f>
        <v/>
      </c>
      <c r="AX1047" s="2" t="str">
        <f>IF(Registered!AI1047=0,"",Registered!AI1047&amp;" BG")</f>
        <v/>
      </c>
      <c r="AY1047" s="2" t="str">
        <f>IF(Registered!AG1047=0,"",Registered!AG1047&amp;" DustMask")</f>
        <v/>
      </c>
    </row>
    <row r="1048" spans="1:51" customFormat="1" x14ac:dyDescent="0.25">
      <c r="A1048" t="s">
        <v>770</v>
      </c>
      <c r="B1048" t="s">
        <v>510</v>
      </c>
      <c r="C1048" t="s">
        <v>6090</v>
      </c>
      <c r="D1048" t="s">
        <v>4672</v>
      </c>
      <c r="E1048" t="s">
        <v>117</v>
      </c>
      <c r="F1048" t="s">
        <v>261</v>
      </c>
      <c r="I1048" t="s">
        <v>4673</v>
      </c>
      <c r="J1048" t="s">
        <v>37</v>
      </c>
      <c r="K1048" t="s">
        <v>32</v>
      </c>
      <c r="L1048" t="s">
        <v>35</v>
      </c>
      <c r="Q1048">
        <v>1</v>
      </c>
      <c r="R1048">
        <v>3</v>
      </c>
      <c r="AC1048">
        <v>1</v>
      </c>
      <c r="AD1048">
        <v>10</v>
      </c>
      <c r="AQ1048">
        <v>13</v>
      </c>
      <c r="AR1048" s="3">
        <f t="shared" si="48"/>
        <v>5</v>
      </c>
      <c r="AS1048" s="3">
        <f t="shared" si="49"/>
        <v>0</v>
      </c>
      <c r="AT1048" s="3" t="str">
        <f>IF(OR(Registered!AM1048&gt;0,Registered!AO1048&gt;0),(IF(Registered!E1048=0,"Size Not Specified",Registered!E1048)),"")</f>
        <v/>
      </c>
      <c r="AU1048" s="3" t="str">
        <f>IF(Registered!AE1048=0,"",IF(Registered!AE1048=1,Registered!AE1048&amp;" Bandana",Registered!AE1048&amp;" Bandanas"))</f>
        <v/>
      </c>
      <c r="AV1048" s="3">
        <f t="shared" si="50"/>
        <v>0</v>
      </c>
      <c r="AW1048" s="2" t="str">
        <f>IF(Registered!AV1048=0,"",IF(Registered!AV1048=1,Registered!AV1048&amp;" Meal",Registered!AV1048&amp;" Meals"))</f>
        <v/>
      </c>
      <c r="AX1048" s="2" t="str">
        <f>IF(Registered!AI1048=0,"",Registered!AI1048&amp;" BG")</f>
        <v/>
      </c>
      <c r="AY1048" s="2" t="str">
        <f>IF(Registered!AG1048=0,"",Registered!AG1048&amp;" DustMask")</f>
        <v/>
      </c>
    </row>
    <row r="1049" spans="1:51" customFormat="1" x14ac:dyDescent="0.25">
      <c r="A1049" t="s">
        <v>253</v>
      </c>
      <c r="B1049" t="s">
        <v>510</v>
      </c>
      <c r="C1049" t="s">
        <v>6090</v>
      </c>
      <c r="G1049" t="s">
        <v>357</v>
      </c>
      <c r="H1049" t="s">
        <v>1526</v>
      </c>
      <c r="I1049" t="s">
        <v>3039</v>
      </c>
      <c r="J1049" t="s">
        <v>37</v>
      </c>
      <c r="K1049" t="s">
        <v>32</v>
      </c>
      <c r="L1049" t="s">
        <v>35</v>
      </c>
      <c r="AQ1049">
        <v>0</v>
      </c>
      <c r="AR1049" s="3">
        <f t="shared" si="48"/>
        <v>0</v>
      </c>
      <c r="AS1049" s="3">
        <f t="shared" si="49"/>
        <v>0</v>
      </c>
      <c r="AT1049" s="3" t="str">
        <f>IF(OR(Registered!AM1049&gt;0,Registered!AO1049&gt;0),(IF(Registered!E1049=0,"Size Not Specified",Registered!E1049)),"")</f>
        <v/>
      </c>
      <c r="AU1049" s="3" t="str">
        <f>IF(Registered!AE1049=0,"",IF(Registered!AE1049=1,Registered!AE1049&amp;" Bandana",Registered!AE1049&amp;" Bandanas"))</f>
        <v/>
      </c>
      <c r="AV1049" s="3">
        <f t="shared" si="50"/>
        <v>0</v>
      </c>
      <c r="AW1049" s="2" t="str">
        <f>IF(Registered!AV1049=0,"",IF(Registered!AV1049=1,Registered!AV1049&amp;" Meal",Registered!AV1049&amp;" Meals"))</f>
        <v/>
      </c>
      <c r="AX1049" s="2" t="str">
        <f>IF(Registered!AI1049=0,"",Registered!AI1049&amp;" BG")</f>
        <v/>
      </c>
      <c r="AY1049" s="2" t="str">
        <f>IF(Registered!AG1049=0,"",Registered!AG1049&amp;" DustMask")</f>
        <v/>
      </c>
    </row>
    <row r="1050" spans="1:51" customFormat="1" x14ac:dyDescent="0.25">
      <c r="A1050" t="s">
        <v>149</v>
      </c>
      <c r="B1050" t="s">
        <v>191</v>
      </c>
      <c r="C1050" t="s">
        <v>6090</v>
      </c>
      <c r="D1050" t="s">
        <v>198</v>
      </c>
      <c r="E1050" t="s">
        <v>117</v>
      </c>
      <c r="I1050" t="s">
        <v>1527</v>
      </c>
      <c r="J1050" t="s">
        <v>37</v>
      </c>
      <c r="K1050" t="s">
        <v>32</v>
      </c>
      <c r="L1050" t="s">
        <v>35</v>
      </c>
      <c r="O1050">
        <v>1</v>
      </c>
      <c r="P1050">
        <v>3</v>
      </c>
      <c r="AC1050">
        <v>1</v>
      </c>
      <c r="AD1050">
        <v>10</v>
      </c>
      <c r="AE1050">
        <v>1</v>
      </c>
      <c r="AF1050">
        <v>6</v>
      </c>
      <c r="AQ1050">
        <v>19</v>
      </c>
      <c r="AR1050" s="3">
        <f t="shared" si="48"/>
        <v>5</v>
      </c>
      <c r="AS1050" s="3">
        <f t="shared" si="49"/>
        <v>0</v>
      </c>
      <c r="AT1050" s="3" t="str">
        <f>IF(OR(Registered!AM1050&gt;0,Registered!AO1050&gt;0),(IF(Registered!E1050=0,"Size Not Specified",Registered!E1050)),"")</f>
        <v/>
      </c>
      <c r="AU1050" s="3" t="str">
        <f>IF(Registered!AE1050=0,"",IF(Registered!AE1050=1,Registered!AE1050&amp;" Bandana",Registered!AE1050&amp;" Bandanas"))</f>
        <v>1 Bandana</v>
      </c>
      <c r="AV1050" s="3">
        <f t="shared" si="50"/>
        <v>0</v>
      </c>
      <c r="AW1050" s="2" t="str">
        <f>IF(Registered!AV1050=0,"",IF(Registered!AV1050=1,Registered!AV1050&amp;" Meal",Registered!AV1050&amp;" Meals"))</f>
        <v/>
      </c>
      <c r="AX1050" s="2" t="str">
        <f>IF(Registered!AI1050=0,"",Registered!AI1050&amp;" BG")</f>
        <v/>
      </c>
      <c r="AY1050" s="2" t="str">
        <f>IF(Registered!AG1050=0,"",Registered!AG1050&amp;" DustMask")</f>
        <v/>
      </c>
    </row>
    <row r="1051" spans="1:51" customFormat="1" x14ac:dyDescent="0.25">
      <c r="A1051" t="s">
        <v>1508</v>
      </c>
      <c r="B1051" t="s">
        <v>191</v>
      </c>
      <c r="C1051" t="s">
        <v>6090</v>
      </c>
      <c r="D1051" t="s">
        <v>1528</v>
      </c>
      <c r="E1051" t="s">
        <v>686</v>
      </c>
      <c r="F1051" t="s">
        <v>261</v>
      </c>
      <c r="I1051" t="s">
        <v>1529</v>
      </c>
      <c r="J1051" t="s">
        <v>37</v>
      </c>
      <c r="K1051" t="s">
        <v>32</v>
      </c>
      <c r="L1051" t="s">
        <v>35</v>
      </c>
      <c r="S1051">
        <v>1</v>
      </c>
      <c r="T1051">
        <v>3</v>
      </c>
      <c r="AC1051">
        <v>1</v>
      </c>
      <c r="AD1051">
        <v>10</v>
      </c>
      <c r="AQ1051">
        <v>13</v>
      </c>
      <c r="AR1051" s="3">
        <f t="shared" si="48"/>
        <v>5</v>
      </c>
      <c r="AS1051" s="3">
        <f t="shared" si="49"/>
        <v>0</v>
      </c>
      <c r="AT1051" s="3" t="str">
        <f>IF(OR(Registered!AM1051&gt;0,Registered!AO1051&gt;0),(IF(Registered!E1051=0,"Size Not Specified",Registered!E1051)),"")</f>
        <v/>
      </c>
      <c r="AU1051" s="3" t="str">
        <f>IF(Registered!AE1051=0,"",IF(Registered!AE1051=1,Registered!AE1051&amp;" Bandana",Registered!AE1051&amp;" Bandanas"))</f>
        <v/>
      </c>
      <c r="AV1051" s="3">
        <f t="shared" si="50"/>
        <v>0</v>
      </c>
      <c r="AW1051" s="2" t="str">
        <f>IF(Registered!AV1051=0,"",IF(Registered!AV1051=1,Registered!AV1051&amp;" Meal",Registered!AV1051&amp;" Meals"))</f>
        <v/>
      </c>
      <c r="AX1051" s="2" t="str">
        <f>IF(Registered!AI1051=0,"",Registered!AI1051&amp;" BG")</f>
        <v/>
      </c>
      <c r="AY1051" s="2" t="str">
        <f>IF(Registered!AG1051=0,"",Registered!AG1051&amp;" DustMask")</f>
        <v/>
      </c>
    </row>
    <row r="1052" spans="1:51" customFormat="1" x14ac:dyDescent="0.25">
      <c r="A1052" t="s">
        <v>4674</v>
      </c>
      <c r="B1052" t="s">
        <v>4675</v>
      </c>
      <c r="C1052" t="s">
        <v>6090</v>
      </c>
      <c r="G1052" t="s">
        <v>180</v>
      </c>
      <c r="H1052" t="s">
        <v>4676</v>
      </c>
      <c r="I1052" t="s">
        <v>4677</v>
      </c>
      <c r="J1052" t="s">
        <v>37</v>
      </c>
      <c r="K1052" t="s">
        <v>32</v>
      </c>
      <c r="L1052" t="s">
        <v>35</v>
      </c>
      <c r="AQ1052">
        <v>0</v>
      </c>
      <c r="AR1052" s="3">
        <f t="shared" si="48"/>
        <v>0</v>
      </c>
      <c r="AS1052" s="3">
        <f t="shared" si="49"/>
        <v>0</v>
      </c>
      <c r="AT1052" s="3" t="str">
        <f>IF(OR(Registered!AM1052&gt;0,Registered!AO1052&gt;0),(IF(Registered!E1052=0,"Size Not Specified",Registered!E1052)),"")</f>
        <v/>
      </c>
      <c r="AU1052" s="3" t="str">
        <f>IF(Registered!AE1052=0,"",IF(Registered!AE1052=1,Registered!AE1052&amp;" Bandana",Registered!AE1052&amp;" Bandanas"))</f>
        <v/>
      </c>
      <c r="AV1052" s="3">
        <f t="shared" si="50"/>
        <v>0</v>
      </c>
      <c r="AW1052" s="2" t="str">
        <f>IF(Registered!AV1052=0,"",IF(Registered!AV1052=1,Registered!AV1052&amp;" Meal",Registered!AV1052&amp;" Meals"))</f>
        <v/>
      </c>
      <c r="AX1052" s="2" t="str">
        <f>IF(Registered!AI1052=0,"",Registered!AI1052&amp;" BG")</f>
        <v/>
      </c>
      <c r="AY1052" s="2" t="str">
        <f>IF(Registered!AG1052=0,"",Registered!AG1052&amp;" DustMask")</f>
        <v/>
      </c>
    </row>
    <row r="1053" spans="1:51" customFormat="1" x14ac:dyDescent="0.25">
      <c r="A1053" t="s">
        <v>4678</v>
      </c>
      <c r="B1053" t="s">
        <v>4675</v>
      </c>
      <c r="C1053" t="s">
        <v>6090</v>
      </c>
      <c r="G1053" t="s">
        <v>180</v>
      </c>
      <c r="H1053" t="s">
        <v>4676</v>
      </c>
      <c r="I1053" t="s">
        <v>4677</v>
      </c>
      <c r="J1053" t="s">
        <v>37</v>
      </c>
      <c r="K1053" t="s">
        <v>32</v>
      </c>
      <c r="L1053" t="s">
        <v>35</v>
      </c>
      <c r="AQ1053">
        <v>0</v>
      </c>
      <c r="AR1053" s="3">
        <f t="shared" si="48"/>
        <v>0</v>
      </c>
      <c r="AS1053" s="3">
        <f t="shared" si="49"/>
        <v>0</v>
      </c>
      <c r="AT1053" s="3" t="str">
        <f>IF(OR(Registered!AM1053&gt;0,Registered!AO1053&gt;0),(IF(Registered!E1053=0,"Size Not Specified",Registered!E1053)),"")</f>
        <v/>
      </c>
      <c r="AU1053" s="3" t="str">
        <f>IF(Registered!AE1053=0,"",IF(Registered!AE1053=1,Registered!AE1053&amp;" Bandana",Registered!AE1053&amp;" Bandanas"))</f>
        <v/>
      </c>
      <c r="AV1053" s="3">
        <f t="shared" si="50"/>
        <v>0</v>
      </c>
      <c r="AW1053" s="2" t="str">
        <f>IF(Registered!AV1053=0,"",IF(Registered!AV1053=1,Registered!AV1053&amp;" Meal",Registered!AV1053&amp;" Meals"))</f>
        <v/>
      </c>
      <c r="AX1053" s="2" t="str">
        <f>IF(Registered!AI1053=0,"",Registered!AI1053&amp;" BG")</f>
        <v/>
      </c>
      <c r="AY1053" s="2" t="str">
        <f>IF(Registered!AG1053=0,"",Registered!AG1053&amp;" DustMask")</f>
        <v/>
      </c>
    </row>
    <row r="1054" spans="1:51" customFormat="1" x14ac:dyDescent="0.25">
      <c r="A1054" t="s">
        <v>258</v>
      </c>
      <c r="B1054" t="s">
        <v>4675</v>
      </c>
      <c r="C1054" t="s">
        <v>6090</v>
      </c>
      <c r="G1054" t="s">
        <v>180</v>
      </c>
      <c r="H1054" t="s">
        <v>4676</v>
      </c>
      <c r="I1054" t="s">
        <v>4677</v>
      </c>
      <c r="J1054" t="s">
        <v>37</v>
      </c>
      <c r="K1054" t="s">
        <v>32</v>
      </c>
      <c r="L1054" t="s">
        <v>35</v>
      </c>
      <c r="AQ1054">
        <v>0</v>
      </c>
      <c r="AR1054" s="3">
        <f t="shared" si="48"/>
        <v>0</v>
      </c>
      <c r="AS1054" s="3">
        <f t="shared" si="49"/>
        <v>0</v>
      </c>
      <c r="AT1054" s="3" t="str">
        <f>IF(OR(Registered!AM1054&gt;0,Registered!AO1054&gt;0),(IF(Registered!E1054=0,"Size Not Specified",Registered!E1054)),"")</f>
        <v/>
      </c>
      <c r="AU1054" s="3" t="str">
        <f>IF(Registered!AE1054=0,"",IF(Registered!AE1054=1,Registered!AE1054&amp;" Bandana",Registered!AE1054&amp;" Bandanas"))</f>
        <v/>
      </c>
      <c r="AV1054" s="3">
        <f t="shared" si="50"/>
        <v>0</v>
      </c>
      <c r="AW1054" s="2" t="str">
        <f>IF(Registered!AV1054=0,"",IF(Registered!AV1054=1,Registered!AV1054&amp;" Meal",Registered!AV1054&amp;" Meals"))</f>
        <v/>
      </c>
      <c r="AX1054" s="2" t="str">
        <f>IF(Registered!AI1054=0,"",Registered!AI1054&amp;" BG")</f>
        <v/>
      </c>
      <c r="AY1054" s="2" t="str">
        <f>IF(Registered!AG1054=0,"",Registered!AG1054&amp;" DustMask")</f>
        <v/>
      </c>
    </row>
    <row r="1055" spans="1:51" customFormat="1" x14ac:dyDescent="0.25">
      <c r="A1055" t="s">
        <v>90</v>
      </c>
      <c r="B1055" t="s">
        <v>4675</v>
      </c>
      <c r="C1055" t="s">
        <v>6090</v>
      </c>
      <c r="G1055" t="s">
        <v>4679</v>
      </c>
      <c r="H1055" t="s">
        <v>4680</v>
      </c>
      <c r="I1055" t="s">
        <v>4681</v>
      </c>
      <c r="J1055" t="s">
        <v>37</v>
      </c>
      <c r="K1055" t="s">
        <v>32</v>
      </c>
      <c r="L1055" t="s">
        <v>35</v>
      </c>
      <c r="AQ1055">
        <v>0</v>
      </c>
      <c r="AR1055" s="3">
        <f t="shared" si="48"/>
        <v>0</v>
      </c>
      <c r="AS1055" s="3">
        <f t="shared" si="49"/>
        <v>0</v>
      </c>
      <c r="AT1055" s="3" t="str">
        <f>IF(OR(Registered!AM1055&gt;0,Registered!AO1055&gt;0),(IF(Registered!E1055=0,"Size Not Specified",Registered!E1055)),"")</f>
        <v/>
      </c>
      <c r="AU1055" s="3" t="str">
        <f>IF(Registered!AE1055=0,"",IF(Registered!AE1055=1,Registered!AE1055&amp;" Bandana",Registered!AE1055&amp;" Bandanas"))</f>
        <v/>
      </c>
      <c r="AV1055" s="3">
        <f t="shared" si="50"/>
        <v>0</v>
      </c>
      <c r="AW1055" s="2" t="str">
        <f>IF(Registered!AV1055=0,"",IF(Registered!AV1055=1,Registered!AV1055&amp;" Meal",Registered!AV1055&amp;" Meals"))</f>
        <v/>
      </c>
      <c r="AX1055" s="2" t="str">
        <f>IF(Registered!AI1055=0,"",Registered!AI1055&amp;" BG")</f>
        <v/>
      </c>
      <c r="AY1055" s="2" t="str">
        <f>IF(Registered!AG1055=0,"",Registered!AG1055&amp;" DustMask")</f>
        <v/>
      </c>
    </row>
    <row r="1056" spans="1:51" customFormat="1" x14ac:dyDescent="0.25">
      <c r="A1056" t="s">
        <v>379</v>
      </c>
      <c r="B1056" t="s">
        <v>4682</v>
      </c>
      <c r="C1056" t="s">
        <v>6090</v>
      </c>
      <c r="G1056" t="s">
        <v>229</v>
      </c>
      <c r="H1056" t="s">
        <v>4682</v>
      </c>
      <c r="I1056" t="s">
        <v>4683</v>
      </c>
      <c r="J1056" t="s">
        <v>37</v>
      </c>
      <c r="K1056" t="s">
        <v>32</v>
      </c>
      <c r="L1056" t="s">
        <v>35</v>
      </c>
      <c r="AQ1056">
        <v>0</v>
      </c>
      <c r="AR1056" s="3">
        <f t="shared" si="48"/>
        <v>0</v>
      </c>
      <c r="AS1056" s="3">
        <f t="shared" si="49"/>
        <v>0</v>
      </c>
      <c r="AT1056" s="3" t="str">
        <f>IF(OR(Registered!AM1056&gt;0,Registered!AO1056&gt;0),(IF(Registered!E1056=0,"Size Not Specified",Registered!E1056)),"")</f>
        <v/>
      </c>
      <c r="AU1056" s="3" t="str">
        <f>IF(Registered!AE1056=0,"",IF(Registered!AE1056=1,Registered!AE1056&amp;" Bandana",Registered!AE1056&amp;" Bandanas"))</f>
        <v/>
      </c>
      <c r="AV1056" s="3">
        <f t="shared" si="50"/>
        <v>0</v>
      </c>
      <c r="AW1056" s="2" t="str">
        <f>IF(Registered!AV1056=0,"",IF(Registered!AV1056=1,Registered!AV1056&amp;" Meal",Registered!AV1056&amp;" Meals"))</f>
        <v/>
      </c>
      <c r="AX1056" s="2" t="str">
        <f>IF(Registered!AI1056=0,"",Registered!AI1056&amp;" BG")</f>
        <v/>
      </c>
      <c r="AY1056" s="2" t="str">
        <f>IF(Registered!AG1056=0,"",Registered!AG1056&amp;" DustMask")</f>
        <v/>
      </c>
    </row>
    <row r="1057" spans="1:51" customFormat="1" x14ac:dyDescent="0.25">
      <c r="A1057" t="s">
        <v>229</v>
      </c>
      <c r="B1057" t="s">
        <v>4682</v>
      </c>
      <c r="C1057" t="s">
        <v>6090</v>
      </c>
      <c r="D1057" t="s">
        <v>4684</v>
      </c>
      <c r="F1057" t="s">
        <v>261</v>
      </c>
      <c r="I1057" t="s">
        <v>4683</v>
      </c>
      <c r="J1057" t="s">
        <v>37</v>
      </c>
      <c r="K1057" t="s">
        <v>32</v>
      </c>
      <c r="L1057" t="s">
        <v>35</v>
      </c>
      <c r="Q1057">
        <v>3</v>
      </c>
      <c r="R1057">
        <v>3</v>
      </c>
      <c r="AC1057">
        <v>1</v>
      </c>
      <c r="AD1057">
        <v>10</v>
      </c>
      <c r="AQ1057">
        <v>19</v>
      </c>
      <c r="AR1057" s="3">
        <f t="shared" si="48"/>
        <v>5</v>
      </c>
      <c r="AS1057" s="3">
        <f t="shared" si="49"/>
        <v>0</v>
      </c>
      <c r="AT1057" s="3" t="str">
        <f>IF(OR(Registered!AM1057&gt;0,Registered!AO1057&gt;0),(IF(Registered!E1057=0,"Size Not Specified",Registered!E1057)),"")</f>
        <v/>
      </c>
      <c r="AU1057" s="3" t="str">
        <f>IF(Registered!AE1057=0,"",IF(Registered!AE1057=1,Registered!AE1057&amp;" Bandana",Registered!AE1057&amp;" Bandanas"))</f>
        <v/>
      </c>
      <c r="AV1057" s="3">
        <f t="shared" si="50"/>
        <v>0</v>
      </c>
      <c r="AW1057" s="2" t="str">
        <f>IF(Registered!AV1057=0,"",IF(Registered!AV1057=1,Registered!AV1057&amp;" Meal",Registered!AV1057&amp;" Meals"))</f>
        <v/>
      </c>
      <c r="AX1057" s="2" t="str">
        <f>IF(Registered!AI1057=0,"",Registered!AI1057&amp;" BG")</f>
        <v/>
      </c>
      <c r="AY1057" s="2" t="str">
        <f>IF(Registered!AG1057=0,"",Registered!AG1057&amp;" DustMask")</f>
        <v/>
      </c>
    </row>
    <row r="1058" spans="1:51" customFormat="1" x14ac:dyDescent="0.25">
      <c r="A1058" t="s">
        <v>202</v>
      </c>
      <c r="B1058" t="s">
        <v>4682</v>
      </c>
      <c r="C1058" t="s">
        <v>6090</v>
      </c>
      <c r="D1058" t="s">
        <v>4685</v>
      </c>
      <c r="F1058" t="s">
        <v>261</v>
      </c>
      <c r="I1058" t="s">
        <v>4686</v>
      </c>
      <c r="J1058" t="s">
        <v>37</v>
      </c>
      <c r="K1058" t="s">
        <v>32</v>
      </c>
      <c r="L1058" t="s">
        <v>35</v>
      </c>
      <c r="Q1058">
        <v>1</v>
      </c>
      <c r="R1058">
        <v>3</v>
      </c>
      <c r="AC1058">
        <v>1</v>
      </c>
      <c r="AD1058">
        <v>10</v>
      </c>
      <c r="AQ1058">
        <v>13</v>
      </c>
      <c r="AR1058" s="3">
        <f t="shared" si="48"/>
        <v>5</v>
      </c>
      <c r="AS1058" s="3">
        <f t="shared" si="49"/>
        <v>0</v>
      </c>
      <c r="AT1058" s="3" t="str">
        <f>IF(OR(Registered!AM1058&gt;0,Registered!AO1058&gt;0),(IF(Registered!E1058=0,"Size Not Specified",Registered!E1058)),"")</f>
        <v/>
      </c>
      <c r="AU1058" s="3" t="str">
        <f>IF(Registered!AE1058=0,"",IF(Registered!AE1058=1,Registered!AE1058&amp;" Bandana",Registered!AE1058&amp;" Bandanas"))</f>
        <v/>
      </c>
      <c r="AV1058" s="3">
        <f t="shared" si="50"/>
        <v>0</v>
      </c>
      <c r="AW1058" s="2" t="str">
        <f>IF(Registered!AV1058=0,"",IF(Registered!AV1058=1,Registered!AV1058&amp;" Meal",Registered!AV1058&amp;" Meals"))</f>
        <v/>
      </c>
      <c r="AX1058" s="2" t="str">
        <f>IF(Registered!AI1058=0,"",Registered!AI1058&amp;" BG")</f>
        <v/>
      </c>
      <c r="AY1058" s="2" t="str">
        <f>IF(Registered!AG1058=0,"",Registered!AG1058&amp;" DustMask")</f>
        <v/>
      </c>
    </row>
    <row r="1059" spans="1:51" customFormat="1" x14ac:dyDescent="0.25">
      <c r="A1059" t="s">
        <v>4687</v>
      </c>
      <c r="B1059" t="s">
        <v>4688</v>
      </c>
      <c r="C1059" t="s">
        <v>6090</v>
      </c>
      <c r="D1059" t="s">
        <v>4689</v>
      </c>
      <c r="E1059" t="s">
        <v>53</v>
      </c>
      <c r="F1059" t="s">
        <v>261</v>
      </c>
      <c r="I1059" t="s">
        <v>4690</v>
      </c>
      <c r="J1059" t="s">
        <v>37</v>
      </c>
      <c r="K1059" t="s">
        <v>32</v>
      </c>
      <c r="L1059" t="s">
        <v>35</v>
      </c>
      <c r="Q1059">
        <v>2</v>
      </c>
      <c r="R1059">
        <v>3</v>
      </c>
      <c r="AC1059">
        <v>1</v>
      </c>
      <c r="AD1059">
        <v>10</v>
      </c>
      <c r="AQ1059">
        <v>16</v>
      </c>
      <c r="AR1059" s="3">
        <f t="shared" si="48"/>
        <v>5</v>
      </c>
      <c r="AS1059" s="3">
        <f t="shared" si="49"/>
        <v>0</v>
      </c>
      <c r="AT1059" s="3" t="str">
        <f>IF(OR(Registered!AM1059&gt;0,Registered!AO1059&gt;0),(IF(Registered!E1059=0,"Size Not Specified",Registered!E1059)),"")</f>
        <v/>
      </c>
      <c r="AU1059" s="3" t="str">
        <f>IF(Registered!AE1059=0,"",IF(Registered!AE1059=1,Registered!AE1059&amp;" Bandana",Registered!AE1059&amp;" Bandanas"))</f>
        <v/>
      </c>
      <c r="AV1059" s="3">
        <f t="shared" si="50"/>
        <v>0</v>
      </c>
      <c r="AW1059" s="2" t="str">
        <f>IF(Registered!AV1059=0,"",IF(Registered!AV1059=1,Registered!AV1059&amp;" Meal",Registered!AV1059&amp;" Meals"))</f>
        <v/>
      </c>
      <c r="AX1059" s="2" t="str">
        <f>IF(Registered!AI1059=0,"",Registered!AI1059&amp;" BG")</f>
        <v/>
      </c>
      <c r="AY1059" s="2" t="str">
        <f>IF(Registered!AG1059=0,"",Registered!AG1059&amp;" DustMask")</f>
        <v/>
      </c>
    </row>
    <row r="1060" spans="1:51" customFormat="1" x14ac:dyDescent="0.25">
      <c r="A1060" t="s">
        <v>94</v>
      </c>
      <c r="B1060" t="s">
        <v>4691</v>
      </c>
      <c r="C1060" t="s">
        <v>6090</v>
      </c>
      <c r="F1060" t="s">
        <v>261</v>
      </c>
      <c r="I1060" t="s">
        <v>4692</v>
      </c>
      <c r="J1060" t="s">
        <v>37</v>
      </c>
      <c r="K1060" t="s">
        <v>32</v>
      </c>
      <c r="L1060" t="s">
        <v>35</v>
      </c>
      <c r="Q1060">
        <v>2</v>
      </c>
      <c r="R1060">
        <v>3</v>
      </c>
      <c r="AC1060">
        <v>1</v>
      </c>
      <c r="AD1060">
        <v>10</v>
      </c>
      <c r="AQ1060">
        <v>16</v>
      </c>
      <c r="AR1060" s="3">
        <f t="shared" si="48"/>
        <v>5</v>
      </c>
      <c r="AS1060" s="3">
        <f t="shared" si="49"/>
        <v>0</v>
      </c>
      <c r="AT1060" s="3" t="str">
        <f>IF(OR(Registered!AM1060&gt;0,Registered!AO1060&gt;0),(IF(Registered!E1060=0,"Size Not Specified",Registered!E1060)),"")</f>
        <v/>
      </c>
      <c r="AU1060" s="3" t="str">
        <f>IF(Registered!AE1060=0,"",IF(Registered!AE1060=1,Registered!AE1060&amp;" Bandana",Registered!AE1060&amp;" Bandanas"))</f>
        <v/>
      </c>
      <c r="AV1060" s="3">
        <f t="shared" si="50"/>
        <v>0</v>
      </c>
      <c r="AW1060" s="2" t="str">
        <f>IF(Registered!AV1060=0,"",IF(Registered!AV1060=1,Registered!AV1060&amp;" Meal",Registered!AV1060&amp;" Meals"))</f>
        <v/>
      </c>
      <c r="AX1060" s="2" t="str">
        <f>IF(Registered!AI1060=0,"",Registered!AI1060&amp;" BG")</f>
        <v/>
      </c>
      <c r="AY1060" s="2" t="str">
        <f>IF(Registered!AG1060=0,"",Registered!AG1060&amp;" DustMask")</f>
        <v/>
      </c>
    </row>
    <row r="1061" spans="1:51" customFormat="1" x14ac:dyDescent="0.25">
      <c r="A1061" t="s">
        <v>122</v>
      </c>
      <c r="B1061" t="s">
        <v>4694</v>
      </c>
      <c r="C1061" t="s">
        <v>6090</v>
      </c>
      <c r="D1061" t="s">
        <v>57</v>
      </c>
      <c r="F1061" t="s">
        <v>261</v>
      </c>
      <c r="I1061" t="s">
        <v>4697</v>
      </c>
      <c r="J1061" t="s">
        <v>37</v>
      </c>
      <c r="K1061" t="s">
        <v>32</v>
      </c>
      <c r="L1061" t="s">
        <v>35</v>
      </c>
      <c r="Q1061">
        <v>1</v>
      </c>
      <c r="R1061">
        <v>3</v>
      </c>
      <c r="U1061">
        <v>1</v>
      </c>
      <c r="V1061">
        <v>20</v>
      </c>
      <c r="AE1061">
        <v>1</v>
      </c>
      <c r="AF1061">
        <v>6</v>
      </c>
      <c r="AQ1061">
        <v>29</v>
      </c>
      <c r="AR1061" s="3">
        <f t="shared" si="48"/>
        <v>10</v>
      </c>
      <c r="AS1061" s="3">
        <f t="shared" si="49"/>
        <v>0</v>
      </c>
      <c r="AT1061" s="3" t="str">
        <f>IF(OR(Registered!AM1061&gt;0,Registered!AO1061&gt;0),(IF(Registered!E1061=0,"Size Not Specified",Registered!E1061)),"")</f>
        <v/>
      </c>
      <c r="AU1061" s="3" t="str">
        <f>IF(Registered!AE1061=0,"",IF(Registered!AE1061=1,Registered!AE1061&amp;" Bandana",Registered!AE1061&amp;" Bandanas"))</f>
        <v>1 Bandana</v>
      </c>
      <c r="AV1061" s="3">
        <f t="shared" si="50"/>
        <v>0</v>
      </c>
      <c r="AW1061" s="2" t="str">
        <f>IF(Registered!AV1061=0,"",IF(Registered!AV1061=1,Registered!AV1061&amp;" Meal",Registered!AV1061&amp;" Meals"))</f>
        <v/>
      </c>
      <c r="AX1061" s="2" t="str">
        <f>IF(Registered!AI1061=0,"",Registered!AI1061&amp;" BG")</f>
        <v/>
      </c>
      <c r="AY1061" s="2" t="str">
        <f>IF(Registered!AG1061=0,"",Registered!AG1061&amp;" DustMask")</f>
        <v/>
      </c>
    </row>
    <row r="1062" spans="1:51" customFormat="1" x14ac:dyDescent="0.25">
      <c r="A1062" t="s">
        <v>358</v>
      </c>
      <c r="B1062" t="s">
        <v>601</v>
      </c>
      <c r="C1062" t="s">
        <v>6090</v>
      </c>
      <c r="D1062" t="s">
        <v>1530</v>
      </c>
      <c r="E1062" t="s">
        <v>67</v>
      </c>
      <c r="F1062" t="s">
        <v>261</v>
      </c>
      <c r="I1062" t="s">
        <v>602</v>
      </c>
      <c r="J1062" t="s">
        <v>37</v>
      </c>
      <c r="K1062" t="s">
        <v>32</v>
      </c>
      <c r="L1062" t="s">
        <v>35</v>
      </c>
      <c r="S1062">
        <v>2</v>
      </c>
      <c r="T1062">
        <v>3</v>
      </c>
      <c r="W1062">
        <v>1</v>
      </c>
      <c r="X1062">
        <v>40</v>
      </c>
      <c r="AQ1062">
        <v>46</v>
      </c>
      <c r="AR1062" s="3">
        <f t="shared" si="48"/>
        <v>20</v>
      </c>
      <c r="AS1062" s="3">
        <f t="shared" si="49"/>
        <v>0</v>
      </c>
      <c r="AT1062" s="3" t="str">
        <f>IF(OR(Registered!AM1062&gt;0,Registered!AO1062&gt;0),(IF(Registered!E1062=0,"Size Not Specified",Registered!E1062)),"")</f>
        <v/>
      </c>
      <c r="AU1062" s="3" t="str">
        <f>IF(Registered!AE1062=0,"",IF(Registered!AE1062=1,Registered!AE1062&amp;" Bandana",Registered!AE1062&amp;" Bandanas"))</f>
        <v/>
      </c>
      <c r="AV1062" s="3">
        <f t="shared" si="50"/>
        <v>0</v>
      </c>
      <c r="AW1062" s="2" t="str">
        <f>IF(Registered!AV1062=0,"",IF(Registered!AV1062=1,Registered!AV1062&amp;" Meal",Registered!AV1062&amp;" Meals"))</f>
        <v/>
      </c>
      <c r="AX1062" s="2" t="str">
        <f>IF(Registered!AI1062=0,"",Registered!AI1062&amp;" BG")</f>
        <v/>
      </c>
      <c r="AY1062" s="2" t="str">
        <f>IF(Registered!AG1062=0,"",Registered!AG1062&amp;" DustMask")</f>
        <v/>
      </c>
    </row>
    <row r="1063" spans="1:51" customFormat="1" x14ac:dyDescent="0.25">
      <c r="A1063" t="s">
        <v>1531</v>
      </c>
      <c r="B1063" t="s">
        <v>601</v>
      </c>
      <c r="C1063" t="s">
        <v>6090</v>
      </c>
      <c r="D1063" t="s">
        <v>4698</v>
      </c>
      <c r="F1063" t="s">
        <v>261</v>
      </c>
      <c r="I1063" t="s">
        <v>4699</v>
      </c>
      <c r="J1063" t="s">
        <v>37</v>
      </c>
      <c r="K1063" t="s">
        <v>32</v>
      </c>
      <c r="L1063" t="s">
        <v>35</v>
      </c>
      <c r="Q1063">
        <v>1</v>
      </c>
      <c r="R1063">
        <v>3</v>
      </c>
      <c r="AC1063">
        <v>1</v>
      </c>
      <c r="AD1063">
        <v>10</v>
      </c>
      <c r="AQ1063">
        <v>13</v>
      </c>
      <c r="AR1063" s="3">
        <f t="shared" si="48"/>
        <v>5</v>
      </c>
      <c r="AS1063" s="3">
        <f t="shared" si="49"/>
        <v>0</v>
      </c>
      <c r="AT1063" s="3" t="str">
        <f>IF(OR(Registered!AM1063&gt;0,Registered!AO1063&gt;0),(IF(Registered!E1063=0,"Size Not Specified",Registered!E1063)),"")</f>
        <v/>
      </c>
      <c r="AU1063" s="3" t="str">
        <f>IF(Registered!AE1063=0,"",IF(Registered!AE1063=1,Registered!AE1063&amp;" Bandana",Registered!AE1063&amp;" Bandanas"))</f>
        <v/>
      </c>
      <c r="AV1063" s="3">
        <f t="shared" si="50"/>
        <v>0</v>
      </c>
      <c r="AW1063" s="2" t="str">
        <f>IF(Registered!AV1063=0,"",IF(Registered!AV1063=1,Registered!AV1063&amp;" Meal",Registered!AV1063&amp;" Meals"))</f>
        <v/>
      </c>
      <c r="AX1063" s="2" t="str">
        <f>IF(Registered!AI1063=0,"",Registered!AI1063&amp;" BG")</f>
        <v/>
      </c>
      <c r="AY1063" s="2" t="str">
        <f>IF(Registered!AG1063=0,"",Registered!AG1063&amp;" DustMask")</f>
        <v/>
      </c>
    </row>
    <row r="1064" spans="1:51" customFormat="1" x14ac:dyDescent="0.25">
      <c r="A1064" t="s">
        <v>165</v>
      </c>
      <c r="B1064" t="s">
        <v>4700</v>
      </c>
      <c r="C1064" t="s">
        <v>6090</v>
      </c>
      <c r="G1064" t="s">
        <v>4701</v>
      </c>
      <c r="H1064" t="s">
        <v>4700</v>
      </c>
      <c r="I1064" t="s">
        <v>4702</v>
      </c>
      <c r="J1064" t="s">
        <v>37</v>
      </c>
      <c r="K1064" t="s">
        <v>32</v>
      </c>
      <c r="L1064" t="s">
        <v>35</v>
      </c>
      <c r="AQ1064">
        <v>0</v>
      </c>
      <c r="AR1064" s="3">
        <f t="shared" si="48"/>
        <v>0</v>
      </c>
      <c r="AS1064" s="3">
        <f t="shared" si="49"/>
        <v>0</v>
      </c>
      <c r="AT1064" s="3" t="str">
        <f>IF(OR(Registered!AM1064&gt;0,Registered!AO1064&gt;0),(IF(Registered!E1064=0,"Size Not Specified",Registered!E1064)),"")</f>
        <v/>
      </c>
      <c r="AU1064" s="3" t="str">
        <f>IF(Registered!AE1064=0,"",IF(Registered!AE1064=1,Registered!AE1064&amp;" Bandana",Registered!AE1064&amp;" Bandanas"))</f>
        <v/>
      </c>
      <c r="AV1064" s="3">
        <f t="shared" si="50"/>
        <v>0</v>
      </c>
      <c r="AW1064" s="2" t="str">
        <f>IF(Registered!AV1064=0,"",IF(Registered!AV1064=1,Registered!AV1064&amp;" Meal",Registered!AV1064&amp;" Meals"))</f>
        <v/>
      </c>
      <c r="AX1064" s="2" t="str">
        <f>IF(Registered!AI1064=0,"",Registered!AI1064&amp;" BG")</f>
        <v/>
      </c>
      <c r="AY1064" s="2" t="str">
        <f>IF(Registered!AG1064=0,"",Registered!AG1064&amp;" DustMask")</f>
        <v/>
      </c>
    </row>
    <row r="1065" spans="1:51" customFormat="1" x14ac:dyDescent="0.25">
      <c r="A1065" t="s">
        <v>4701</v>
      </c>
      <c r="B1065" t="s">
        <v>4700</v>
      </c>
      <c r="C1065" t="s">
        <v>6090</v>
      </c>
      <c r="D1065" t="s">
        <v>4701</v>
      </c>
      <c r="F1065" t="s">
        <v>261</v>
      </c>
      <c r="I1065" t="s">
        <v>4702</v>
      </c>
      <c r="J1065" t="s">
        <v>37</v>
      </c>
      <c r="K1065" t="s">
        <v>32</v>
      </c>
      <c r="L1065" t="s">
        <v>35</v>
      </c>
      <c r="Q1065">
        <v>2</v>
      </c>
      <c r="R1065">
        <v>3</v>
      </c>
      <c r="AC1065">
        <v>1</v>
      </c>
      <c r="AD1065">
        <v>10</v>
      </c>
      <c r="AQ1065">
        <v>16</v>
      </c>
      <c r="AR1065" s="3">
        <f t="shared" si="48"/>
        <v>5</v>
      </c>
      <c r="AS1065" s="3">
        <f t="shared" si="49"/>
        <v>0</v>
      </c>
      <c r="AT1065" s="3" t="str">
        <f>IF(OR(Registered!AM1065&gt;0,Registered!AO1065&gt;0),(IF(Registered!E1065=0,"Size Not Specified",Registered!E1065)),"")</f>
        <v/>
      </c>
      <c r="AU1065" s="3" t="str">
        <f>IF(Registered!AE1065=0,"",IF(Registered!AE1065=1,Registered!AE1065&amp;" Bandana",Registered!AE1065&amp;" Bandanas"))</f>
        <v/>
      </c>
      <c r="AV1065" s="3">
        <f t="shared" si="50"/>
        <v>0</v>
      </c>
      <c r="AW1065" s="2" t="str">
        <f>IF(Registered!AV1065=0,"",IF(Registered!AV1065=1,Registered!AV1065&amp;" Meal",Registered!AV1065&amp;" Meals"))</f>
        <v/>
      </c>
      <c r="AX1065" s="2" t="str">
        <f>IF(Registered!AI1065=0,"",Registered!AI1065&amp;" BG")</f>
        <v/>
      </c>
      <c r="AY1065" s="2" t="str">
        <f>IF(Registered!AG1065=0,"",Registered!AG1065&amp;" DustMask")</f>
        <v/>
      </c>
    </row>
    <row r="1066" spans="1:51" customFormat="1" x14ac:dyDescent="0.25">
      <c r="A1066" t="s">
        <v>42</v>
      </c>
      <c r="B1066" t="s">
        <v>356</v>
      </c>
      <c r="C1066" t="s">
        <v>6090</v>
      </c>
      <c r="G1066" t="s">
        <v>4033</v>
      </c>
      <c r="H1066" t="s">
        <v>223</v>
      </c>
      <c r="I1066" t="s">
        <v>4034</v>
      </c>
      <c r="J1066" t="s">
        <v>37</v>
      </c>
      <c r="K1066" t="s">
        <v>32</v>
      </c>
      <c r="L1066" t="s">
        <v>35</v>
      </c>
      <c r="AQ1066">
        <v>0</v>
      </c>
      <c r="AR1066" s="3">
        <f t="shared" si="48"/>
        <v>0</v>
      </c>
      <c r="AS1066" s="3">
        <f t="shared" si="49"/>
        <v>0</v>
      </c>
      <c r="AT1066" s="3" t="str">
        <f>IF(OR(Registered!AM1066&gt;0,Registered!AO1066&gt;0),(IF(Registered!E1066=0,"Size Not Specified",Registered!E1066)),"")</f>
        <v/>
      </c>
      <c r="AU1066" s="3" t="str">
        <f>IF(Registered!AE1066=0,"",IF(Registered!AE1066=1,Registered!AE1066&amp;" Bandana",Registered!AE1066&amp;" Bandanas"))</f>
        <v/>
      </c>
      <c r="AV1066" s="3">
        <f t="shared" si="50"/>
        <v>0</v>
      </c>
      <c r="AW1066" s="2" t="str">
        <f>IF(Registered!AV1066=0,"",IF(Registered!AV1066=1,Registered!AV1066&amp;" Meal",Registered!AV1066&amp;" Meals"))</f>
        <v/>
      </c>
      <c r="AX1066" s="2" t="str">
        <f>IF(Registered!AI1066=0,"",Registered!AI1066&amp;" BG")</f>
        <v/>
      </c>
      <c r="AY1066" s="2" t="str">
        <f>IF(Registered!AG1066=0,"",Registered!AG1066&amp;" DustMask")</f>
        <v/>
      </c>
    </row>
    <row r="1067" spans="1:51" customFormat="1" x14ac:dyDescent="0.25">
      <c r="A1067" t="s">
        <v>1532</v>
      </c>
      <c r="B1067" t="s">
        <v>356</v>
      </c>
      <c r="C1067" t="s">
        <v>6090</v>
      </c>
      <c r="G1067" t="s">
        <v>1533</v>
      </c>
      <c r="H1067" t="s">
        <v>356</v>
      </c>
      <c r="I1067" t="s">
        <v>1534</v>
      </c>
      <c r="J1067" t="s">
        <v>37</v>
      </c>
      <c r="K1067" t="s">
        <v>32</v>
      </c>
      <c r="L1067" t="s">
        <v>35</v>
      </c>
      <c r="AQ1067">
        <v>0</v>
      </c>
      <c r="AR1067" s="3">
        <f t="shared" si="48"/>
        <v>0</v>
      </c>
      <c r="AS1067" s="3">
        <f t="shared" si="49"/>
        <v>0</v>
      </c>
      <c r="AT1067" s="3" t="str">
        <f>IF(OR(Registered!AM1067&gt;0,Registered!AO1067&gt;0),(IF(Registered!E1067=0,"Size Not Specified",Registered!E1067)),"")</f>
        <v/>
      </c>
      <c r="AU1067" s="3" t="str">
        <f>IF(Registered!AE1067=0,"",IF(Registered!AE1067=1,Registered!AE1067&amp;" Bandana",Registered!AE1067&amp;" Bandanas"))</f>
        <v/>
      </c>
      <c r="AV1067" s="3">
        <f t="shared" si="50"/>
        <v>0</v>
      </c>
      <c r="AW1067" s="2" t="str">
        <f>IF(Registered!AV1067=0,"",IF(Registered!AV1067=1,Registered!AV1067&amp;" Meal",Registered!AV1067&amp;" Meals"))</f>
        <v/>
      </c>
      <c r="AX1067" s="2" t="str">
        <f>IF(Registered!AI1067=0,"",Registered!AI1067&amp;" BG")</f>
        <v/>
      </c>
      <c r="AY1067" s="2" t="str">
        <f>IF(Registered!AG1067=0,"",Registered!AG1067&amp;" DustMask")</f>
        <v/>
      </c>
    </row>
    <row r="1068" spans="1:51" customFormat="1" x14ac:dyDescent="0.25">
      <c r="A1068" t="s">
        <v>1533</v>
      </c>
      <c r="B1068" t="s">
        <v>356</v>
      </c>
      <c r="C1068" t="s">
        <v>6090</v>
      </c>
      <c r="D1068" t="s">
        <v>198</v>
      </c>
      <c r="F1068" t="s">
        <v>261</v>
      </c>
      <c r="I1068" t="s">
        <v>1534</v>
      </c>
      <c r="J1068" t="s">
        <v>37</v>
      </c>
      <c r="K1068" t="s">
        <v>32</v>
      </c>
      <c r="L1068" t="s">
        <v>35</v>
      </c>
      <c r="S1068">
        <v>2</v>
      </c>
      <c r="T1068">
        <v>3</v>
      </c>
      <c r="AC1068">
        <v>1</v>
      </c>
      <c r="AD1068">
        <v>10</v>
      </c>
      <c r="AQ1068">
        <v>16</v>
      </c>
      <c r="AR1068" s="3">
        <f t="shared" si="48"/>
        <v>5</v>
      </c>
      <c r="AS1068" s="3">
        <f t="shared" si="49"/>
        <v>0</v>
      </c>
      <c r="AT1068" s="3" t="str">
        <f>IF(OR(Registered!AM1068&gt;0,Registered!AO1068&gt;0),(IF(Registered!E1068=0,"Size Not Specified",Registered!E1068)),"")</f>
        <v/>
      </c>
      <c r="AU1068" s="3" t="str">
        <f>IF(Registered!AE1068=0,"",IF(Registered!AE1068=1,Registered!AE1068&amp;" Bandana",Registered!AE1068&amp;" Bandanas"))</f>
        <v/>
      </c>
      <c r="AV1068" s="3">
        <f t="shared" si="50"/>
        <v>0</v>
      </c>
      <c r="AW1068" s="2" t="str">
        <f>IF(Registered!AV1068=0,"",IF(Registered!AV1068=1,Registered!AV1068&amp;" Meal",Registered!AV1068&amp;" Meals"))</f>
        <v/>
      </c>
      <c r="AX1068" s="2" t="str">
        <f>IF(Registered!AI1068=0,"",Registered!AI1068&amp;" BG")</f>
        <v/>
      </c>
      <c r="AY1068" s="2" t="str">
        <f>IF(Registered!AG1068=0,"",Registered!AG1068&amp;" DustMask")</f>
        <v/>
      </c>
    </row>
    <row r="1069" spans="1:51" customFormat="1" x14ac:dyDescent="0.25">
      <c r="A1069" t="s">
        <v>1634</v>
      </c>
      <c r="B1069" t="s">
        <v>356</v>
      </c>
      <c r="C1069" t="s">
        <v>6090</v>
      </c>
      <c r="D1069" t="s">
        <v>4703</v>
      </c>
      <c r="F1069" t="s">
        <v>261</v>
      </c>
      <c r="I1069" t="s">
        <v>4704</v>
      </c>
      <c r="J1069" t="s">
        <v>37</v>
      </c>
      <c r="K1069" t="s">
        <v>32</v>
      </c>
      <c r="L1069" t="s">
        <v>35</v>
      </c>
      <c r="Q1069">
        <v>1</v>
      </c>
      <c r="R1069">
        <v>3</v>
      </c>
      <c r="AC1069">
        <v>1</v>
      </c>
      <c r="AD1069">
        <v>10</v>
      </c>
      <c r="AQ1069">
        <v>13</v>
      </c>
      <c r="AR1069" s="3">
        <f t="shared" si="48"/>
        <v>5</v>
      </c>
      <c r="AS1069" s="3">
        <f t="shared" si="49"/>
        <v>0</v>
      </c>
      <c r="AT1069" s="3" t="str">
        <f>IF(OR(Registered!AM1069&gt;0,Registered!AO1069&gt;0),(IF(Registered!E1069=0,"Size Not Specified",Registered!E1069)),"")</f>
        <v/>
      </c>
      <c r="AU1069" s="3" t="str">
        <f>IF(Registered!AE1069=0,"",IF(Registered!AE1069=1,Registered!AE1069&amp;" Bandana",Registered!AE1069&amp;" Bandanas"))</f>
        <v/>
      </c>
      <c r="AV1069" s="3">
        <f t="shared" si="50"/>
        <v>0</v>
      </c>
      <c r="AW1069" s="2" t="str">
        <f>IF(Registered!AV1069=0,"",IF(Registered!AV1069=1,Registered!AV1069&amp;" Meal",Registered!AV1069&amp;" Meals"))</f>
        <v/>
      </c>
      <c r="AX1069" s="2" t="str">
        <f>IF(Registered!AI1069=0,"",Registered!AI1069&amp;" BG")</f>
        <v/>
      </c>
      <c r="AY1069" s="2" t="str">
        <f>IF(Registered!AG1069=0,"",Registered!AG1069&amp;" DustMask")</f>
        <v/>
      </c>
    </row>
    <row r="1070" spans="1:51" customFormat="1" x14ac:dyDescent="0.25">
      <c r="A1070" t="s">
        <v>4396</v>
      </c>
      <c r="B1070" t="s">
        <v>356</v>
      </c>
      <c r="C1070" t="s">
        <v>6090</v>
      </c>
      <c r="D1070" t="s">
        <v>4705</v>
      </c>
      <c r="F1070" t="s">
        <v>261</v>
      </c>
      <c r="I1070" t="s">
        <v>4397</v>
      </c>
      <c r="J1070" t="s">
        <v>37</v>
      </c>
      <c r="K1070" t="s">
        <v>32</v>
      </c>
      <c r="L1070" t="s">
        <v>35</v>
      </c>
      <c r="Q1070">
        <v>2</v>
      </c>
      <c r="R1070">
        <v>3</v>
      </c>
      <c r="AC1070">
        <v>2</v>
      </c>
      <c r="AD1070">
        <v>10</v>
      </c>
      <c r="AQ1070">
        <v>26</v>
      </c>
      <c r="AR1070" s="3">
        <f t="shared" si="48"/>
        <v>10</v>
      </c>
      <c r="AS1070" s="3">
        <f t="shared" si="49"/>
        <v>0</v>
      </c>
      <c r="AT1070" s="3" t="str">
        <f>IF(OR(Registered!AM1070&gt;0,Registered!AO1070&gt;0),(IF(Registered!E1070=0,"Size Not Specified",Registered!E1070)),"")</f>
        <v/>
      </c>
      <c r="AU1070" s="3" t="str">
        <f>IF(Registered!AE1070=0,"",IF(Registered!AE1070=1,Registered!AE1070&amp;" Bandana",Registered!AE1070&amp;" Bandanas"))</f>
        <v/>
      </c>
      <c r="AV1070" s="3">
        <f t="shared" si="50"/>
        <v>0</v>
      </c>
      <c r="AW1070" s="2" t="str">
        <f>IF(Registered!AV1070=0,"",IF(Registered!AV1070=1,Registered!AV1070&amp;" Meal",Registered!AV1070&amp;" Meals"))</f>
        <v/>
      </c>
      <c r="AX1070" s="2" t="str">
        <f>IF(Registered!AI1070=0,"",Registered!AI1070&amp;" BG")</f>
        <v/>
      </c>
      <c r="AY1070" s="2" t="str">
        <f>IF(Registered!AG1070=0,"",Registered!AG1070&amp;" DustMask")</f>
        <v/>
      </c>
    </row>
    <row r="1071" spans="1:51" customFormat="1" x14ac:dyDescent="0.25">
      <c r="A1071" t="s">
        <v>3653</v>
      </c>
      <c r="B1071" t="s">
        <v>3654</v>
      </c>
      <c r="C1071" t="s">
        <v>6090</v>
      </c>
      <c r="D1071" t="s">
        <v>3653</v>
      </c>
      <c r="F1071" t="s">
        <v>261</v>
      </c>
      <c r="I1071" t="s">
        <v>3655</v>
      </c>
      <c r="J1071" t="s">
        <v>37</v>
      </c>
      <c r="K1071" t="s">
        <v>32</v>
      </c>
      <c r="L1071" t="s">
        <v>35</v>
      </c>
      <c r="Q1071">
        <v>5</v>
      </c>
      <c r="R1071">
        <v>3</v>
      </c>
      <c r="W1071">
        <v>1</v>
      </c>
      <c r="X1071">
        <v>40</v>
      </c>
      <c r="AQ1071">
        <v>55</v>
      </c>
      <c r="AR1071" s="3">
        <f t="shared" si="48"/>
        <v>20</v>
      </c>
      <c r="AS1071" s="3">
        <f t="shared" si="49"/>
        <v>0</v>
      </c>
      <c r="AT1071" s="3" t="str">
        <f>IF(OR(Registered!AM1071&gt;0,Registered!AO1071&gt;0),(IF(Registered!E1071=0,"Size Not Specified",Registered!E1071)),"")</f>
        <v/>
      </c>
      <c r="AU1071" s="3" t="str">
        <f>IF(Registered!AE1071=0,"",IF(Registered!AE1071=1,Registered!AE1071&amp;" Bandana",Registered!AE1071&amp;" Bandanas"))</f>
        <v/>
      </c>
      <c r="AV1071" s="3">
        <f t="shared" si="50"/>
        <v>0</v>
      </c>
      <c r="AW1071" s="2" t="str">
        <f>IF(Registered!AV1071=0,"",IF(Registered!AV1071=1,Registered!AV1071&amp;" Meal",Registered!AV1071&amp;" Meals"))</f>
        <v/>
      </c>
      <c r="AX1071" s="2" t="str">
        <f>IF(Registered!AI1071=0,"",Registered!AI1071&amp;" BG")</f>
        <v/>
      </c>
      <c r="AY1071" s="2" t="str">
        <f>IF(Registered!AG1071=0,"",Registered!AG1071&amp;" DustMask")</f>
        <v/>
      </c>
    </row>
    <row r="1072" spans="1:51" customFormat="1" x14ac:dyDescent="0.25">
      <c r="A1072" t="s">
        <v>434</v>
      </c>
      <c r="B1072" t="s">
        <v>4708</v>
      </c>
      <c r="C1072" t="s">
        <v>6090</v>
      </c>
      <c r="G1072" t="s">
        <v>351</v>
      </c>
      <c r="H1072" t="s">
        <v>630</v>
      </c>
      <c r="I1072" t="s">
        <v>4138</v>
      </c>
      <c r="J1072" t="s">
        <v>37</v>
      </c>
      <c r="K1072" t="s">
        <v>32</v>
      </c>
      <c r="L1072" t="s">
        <v>35</v>
      </c>
      <c r="AQ1072">
        <v>0</v>
      </c>
      <c r="AR1072" s="3">
        <f t="shared" si="48"/>
        <v>0</v>
      </c>
      <c r="AS1072" s="3">
        <f t="shared" si="49"/>
        <v>0</v>
      </c>
      <c r="AT1072" s="3" t="str">
        <f>IF(OR(Registered!AM1072&gt;0,Registered!AO1072&gt;0),(IF(Registered!E1072=0,"Size Not Specified",Registered!E1072)),"")</f>
        <v/>
      </c>
      <c r="AU1072" s="3" t="str">
        <f>IF(Registered!AE1072=0,"",IF(Registered!AE1072=1,Registered!AE1072&amp;" Bandana",Registered!AE1072&amp;" Bandanas"))</f>
        <v/>
      </c>
      <c r="AV1072" s="3">
        <f t="shared" si="50"/>
        <v>0</v>
      </c>
      <c r="AW1072" s="2" t="str">
        <f>IF(Registered!AV1072=0,"",IF(Registered!AV1072=1,Registered!AV1072&amp;" Meal",Registered!AV1072&amp;" Meals"))</f>
        <v/>
      </c>
      <c r="AX1072" s="2" t="str">
        <f>IF(Registered!AI1072=0,"",Registered!AI1072&amp;" BG")</f>
        <v/>
      </c>
      <c r="AY1072" s="2" t="str">
        <f>IF(Registered!AG1072=0,"",Registered!AG1072&amp;" DustMask")</f>
        <v/>
      </c>
    </row>
    <row r="1073" spans="1:51" customFormat="1" x14ac:dyDescent="0.25">
      <c r="A1073" t="s">
        <v>4069</v>
      </c>
      <c r="B1073" t="s">
        <v>1535</v>
      </c>
      <c r="C1073" t="s">
        <v>6090</v>
      </c>
      <c r="D1073" t="s">
        <v>4709</v>
      </c>
      <c r="F1073" t="s">
        <v>261</v>
      </c>
      <c r="I1073" t="s">
        <v>4710</v>
      </c>
      <c r="J1073" t="s">
        <v>37</v>
      </c>
      <c r="K1073" t="s">
        <v>32</v>
      </c>
      <c r="L1073" t="s">
        <v>35</v>
      </c>
      <c r="Q1073">
        <v>2</v>
      </c>
      <c r="R1073">
        <v>3</v>
      </c>
      <c r="U1073">
        <v>2</v>
      </c>
      <c r="V1073">
        <v>20</v>
      </c>
      <c r="AQ1073">
        <v>46</v>
      </c>
      <c r="AR1073" s="3">
        <f t="shared" si="48"/>
        <v>20</v>
      </c>
      <c r="AS1073" s="3">
        <f t="shared" si="49"/>
        <v>0</v>
      </c>
      <c r="AT1073" s="3" t="str">
        <f>IF(OR(Registered!AM1073&gt;0,Registered!AO1073&gt;0),(IF(Registered!E1073=0,"Size Not Specified",Registered!E1073)),"")</f>
        <v/>
      </c>
      <c r="AU1073" s="3" t="str">
        <f>IF(Registered!AE1073=0,"",IF(Registered!AE1073=1,Registered!AE1073&amp;" Bandana",Registered!AE1073&amp;" Bandanas"))</f>
        <v/>
      </c>
      <c r="AV1073" s="3">
        <f t="shared" si="50"/>
        <v>0</v>
      </c>
      <c r="AW1073" s="2" t="str">
        <f>IF(Registered!AV1073=0,"",IF(Registered!AV1073=1,Registered!AV1073&amp;" Meal",Registered!AV1073&amp;" Meals"))</f>
        <v/>
      </c>
      <c r="AX1073" s="2" t="str">
        <f>IF(Registered!AI1073=0,"",Registered!AI1073&amp;" BG")</f>
        <v/>
      </c>
      <c r="AY1073" s="2" t="str">
        <f>IF(Registered!AG1073=0,"",Registered!AG1073&amp;" DustMask")</f>
        <v/>
      </c>
    </row>
    <row r="1074" spans="1:51" customFormat="1" x14ac:dyDescent="0.25">
      <c r="A1074" t="s">
        <v>1030</v>
      </c>
      <c r="B1074" t="s">
        <v>1535</v>
      </c>
      <c r="C1074" t="s">
        <v>6090</v>
      </c>
      <c r="G1074" t="s">
        <v>112</v>
      </c>
      <c r="H1074" t="s">
        <v>1535</v>
      </c>
      <c r="I1074" t="s">
        <v>1536</v>
      </c>
      <c r="J1074" t="s">
        <v>37</v>
      </c>
      <c r="K1074" t="s">
        <v>32</v>
      </c>
      <c r="L1074" t="s">
        <v>35</v>
      </c>
      <c r="AQ1074">
        <v>0</v>
      </c>
      <c r="AR1074" s="3">
        <f t="shared" si="48"/>
        <v>0</v>
      </c>
      <c r="AS1074" s="3">
        <f t="shared" si="49"/>
        <v>0</v>
      </c>
      <c r="AT1074" s="3" t="str">
        <f>IF(OR(Registered!AM1074&gt;0,Registered!AO1074&gt;0),(IF(Registered!E1074=0,"Size Not Specified",Registered!E1074)),"")</f>
        <v/>
      </c>
      <c r="AU1074" s="3" t="str">
        <f>IF(Registered!AE1074=0,"",IF(Registered!AE1074=1,Registered!AE1074&amp;" Bandana",Registered!AE1074&amp;" Bandanas"))</f>
        <v/>
      </c>
      <c r="AV1074" s="3">
        <f t="shared" si="50"/>
        <v>0</v>
      </c>
      <c r="AW1074" s="2" t="str">
        <f>IF(Registered!AV1074=0,"",IF(Registered!AV1074=1,Registered!AV1074&amp;" Meal",Registered!AV1074&amp;" Meals"))</f>
        <v/>
      </c>
      <c r="AX1074" s="2" t="str">
        <f>IF(Registered!AI1074=0,"",Registered!AI1074&amp;" BG")</f>
        <v/>
      </c>
      <c r="AY1074" s="2" t="str">
        <f>IF(Registered!AG1074=0,"",Registered!AG1074&amp;" DustMask")</f>
        <v/>
      </c>
    </row>
    <row r="1075" spans="1:51" customFormat="1" x14ac:dyDescent="0.25">
      <c r="A1075" t="s">
        <v>112</v>
      </c>
      <c r="B1075" t="s">
        <v>1535</v>
      </c>
      <c r="C1075" t="s">
        <v>6090</v>
      </c>
      <c r="D1075" t="s">
        <v>112</v>
      </c>
      <c r="F1075" t="s">
        <v>261</v>
      </c>
      <c r="I1075" t="s">
        <v>1536</v>
      </c>
      <c r="J1075" t="s">
        <v>37</v>
      </c>
      <c r="K1075" t="s">
        <v>32</v>
      </c>
      <c r="L1075" t="s">
        <v>35</v>
      </c>
      <c r="S1075">
        <v>4</v>
      </c>
      <c r="T1075">
        <v>3</v>
      </c>
      <c r="U1075">
        <v>1</v>
      </c>
      <c r="V1075">
        <v>20</v>
      </c>
      <c r="AQ1075">
        <v>32</v>
      </c>
      <c r="AR1075" s="3">
        <f t="shared" si="48"/>
        <v>10</v>
      </c>
      <c r="AS1075" s="3">
        <f t="shared" si="49"/>
        <v>0</v>
      </c>
      <c r="AT1075" s="3" t="str">
        <f>IF(OR(Registered!AM1075&gt;0,Registered!AO1075&gt;0),(IF(Registered!E1075=0,"Size Not Specified",Registered!E1075)),"")</f>
        <v/>
      </c>
      <c r="AU1075" s="3" t="str">
        <f>IF(Registered!AE1075=0,"",IF(Registered!AE1075=1,Registered!AE1075&amp;" Bandana",Registered!AE1075&amp;" Bandanas"))</f>
        <v/>
      </c>
      <c r="AV1075" s="3">
        <f t="shared" si="50"/>
        <v>0</v>
      </c>
      <c r="AW1075" s="2" t="str">
        <f>IF(Registered!AV1075=0,"",IF(Registered!AV1075=1,Registered!AV1075&amp;" Meal",Registered!AV1075&amp;" Meals"))</f>
        <v/>
      </c>
      <c r="AX1075" s="2" t="str">
        <f>IF(Registered!AI1075=0,"",Registered!AI1075&amp;" BG")</f>
        <v/>
      </c>
      <c r="AY1075" s="2" t="str">
        <f>IF(Registered!AG1075=0,"",Registered!AG1075&amp;" DustMask")</f>
        <v/>
      </c>
    </row>
    <row r="1076" spans="1:51" customFormat="1" x14ac:dyDescent="0.25">
      <c r="A1076" t="s">
        <v>335</v>
      </c>
      <c r="B1076" t="s">
        <v>1535</v>
      </c>
      <c r="C1076" t="s">
        <v>6090</v>
      </c>
      <c r="G1076" t="s">
        <v>112</v>
      </c>
      <c r="H1076" t="s">
        <v>1535</v>
      </c>
      <c r="I1076" t="s">
        <v>1537</v>
      </c>
      <c r="J1076" t="s">
        <v>37</v>
      </c>
      <c r="K1076" t="s">
        <v>32</v>
      </c>
      <c r="L1076" t="s">
        <v>35</v>
      </c>
      <c r="AQ1076">
        <v>0</v>
      </c>
      <c r="AR1076" s="3">
        <f t="shared" si="48"/>
        <v>0</v>
      </c>
      <c r="AS1076" s="3">
        <f t="shared" si="49"/>
        <v>0</v>
      </c>
      <c r="AT1076" s="3" t="str">
        <f>IF(OR(Registered!AM1076&gt;0,Registered!AO1076&gt;0),(IF(Registered!E1076=0,"Size Not Specified",Registered!E1076)),"")</f>
        <v/>
      </c>
      <c r="AU1076" s="3" t="str">
        <f>IF(Registered!AE1076=0,"",IF(Registered!AE1076=1,Registered!AE1076&amp;" Bandana",Registered!AE1076&amp;" Bandanas"))</f>
        <v/>
      </c>
      <c r="AV1076" s="3">
        <f t="shared" si="50"/>
        <v>0</v>
      </c>
      <c r="AW1076" s="2" t="str">
        <f>IF(Registered!AV1076=0,"",IF(Registered!AV1076=1,Registered!AV1076&amp;" Meal",Registered!AV1076&amp;" Meals"))</f>
        <v/>
      </c>
      <c r="AX1076" s="2" t="str">
        <f>IF(Registered!AI1076=0,"",Registered!AI1076&amp;" BG")</f>
        <v/>
      </c>
      <c r="AY1076" s="2" t="str">
        <f>IF(Registered!AG1076=0,"",Registered!AG1076&amp;" DustMask")</f>
        <v/>
      </c>
    </row>
    <row r="1077" spans="1:51" customFormat="1" x14ac:dyDescent="0.25">
      <c r="A1077" t="s">
        <v>335</v>
      </c>
      <c r="B1077" t="s">
        <v>1535</v>
      </c>
      <c r="C1077" t="s">
        <v>6090</v>
      </c>
      <c r="G1077" t="s">
        <v>112</v>
      </c>
      <c r="H1077" t="s">
        <v>1535</v>
      </c>
      <c r="I1077" t="s">
        <v>1537</v>
      </c>
      <c r="J1077" t="s">
        <v>37</v>
      </c>
      <c r="K1077" t="s">
        <v>32</v>
      </c>
      <c r="L1077" t="s">
        <v>35</v>
      </c>
      <c r="AQ1077">
        <v>0</v>
      </c>
      <c r="AR1077" s="3">
        <f t="shared" si="48"/>
        <v>0</v>
      </c>
      <c r="AS1077" s="3">
        <f t="shared" si="49"/>
        <v>0</v>
      </c>
      <c r="AT1077" s="3" t="str">
        <f>IF(OR(Registered!AM1077&gt;0,Registered!AO1077&gt;0),(IF(Registered!E1077=0,"Size Not Specified",Registered!E1077)),"")</f>
        <v/>
      </c>
      <c r="AU1077" s="3" t="str">
        <f>IF(Registered!AE1077=0,"",IF(Registered!AE1077=1,Registered!AE1077&amp;" Bandana",Registered!AE1077&amp;" Bandanas"))</f>
        <v/>
      </c>
      <c r="AV1077" s="3">
        <f t="shared" si="50"/>
        <v>0</v>
      </c>
      <c r="AW1077" s="2" t="str">
        <f>IF(Registered!AV1077=0,"",IF(Registered!AV1077=1,Registered!AV1077&amp;" Meal",Registered!AV1077&amp;" Meals"))</f>
        <v/>
      </c>
      <c r="AX1077" s="2" t="str">
        <f>IF(Registered!AI1077=0,"",Registered!AI1077&amp;" BG")</f>
        <v/>
      </c>
      <c r="AY1077" s="2" t="str">
        <f>IF(Registered!AG1077=0,"",Registered!AG1077&amp;" DustMask")</f>
        <v/>
      </c>
    </row>
    <row r="1078" spans="1:51" customFormat="1" x14ac:dyDescent="0.25">
      <c r="A1078" t="s">
        <v>93</v>
      </c>
      <c r="B1078" t="s">
        <v>1535</v>
      </c>
      <c r="C1078" t="s">
        <v>6090</v>
      </c>
      <c r="D1078" t="s">
        <v>1538</v>
      </c>
      <c r="F1078" t="s">
        <v>261</v>
      </c>
      <c r="I1078" t="s">
        <v>1539</v>
      </c>
      <c r="J1078" t="s">
        <v>37</v>
      </c>
      <c r="K1078" t="s">
        <v>32</v>
      </c>
      <c r="L1078" t="s">
        <v>35</v>
      </c>
      <c r="S1078">
        <v>1</v>
      </c>
      <c r="T1078">
        <v>3</v>
      </c>
      <c r="AC1078">
        <v>1</v>
      </c>
      <c r="AD1078">
        <v>10</v>
      </c>
      <c r="AQ1078">
        <v>13</v>
      </c>
      <c r="AR1078" s="3">
        <f t="shared" si="48"/>
        <v>5</v>
      </c>
      <c r="AS1078" s="3">
        <f t="shared" si="49"/>
        <v>0</v>
      </c>
      <c r="AT1078" s="3" t="str">
        <f>IF(OR(Registered!AM1078&gt;0,Registered!AO1078&gt;0),(IF(Registered!E1078=0,"Size Not Specified",Registered!E1078)),"")</f>
        <v/>
      </c>
      <c r="AU1078" s="3" t="str">
        <f>IF(Registered!AE1078=0,"",IF(Registered!AE1078=1,Registered!AE1078&amp;" Bandana",Registered!AE1078&amp;" Bandanas"))</f>
        <v/>
      </c>
      <c r="AV1078" s="3">
        <f t="shared" si="50"/>
        <v>0</v>
      </c>
      <c r="AW1078" s="2" t="str">
        <f>IF(Registered!AV1078=0,"",IF(Registered!AV1078=1,Registered!AV1078&amp;" Meal",Registered!AV1078&amp;" Meals"))</f>
        <v/>
      </c>
      <c r="AX1078" s="2" t="str">
        <f>IF(Registered!AI1078=0,"",Registered!AI1078&amp;" BG")</f>
        <v/>
      </c>
      <c r="AY1078" s="2" t="str">
        <f>IF(Registered!AG1078=0,"",Registered!AG1078&amp;" DustMask")</f>
        <v/>
      </c>
    </row>
    <row r="1079" spans="1:51" customFormat="1" x14ac:dyDescent="0.25">
      <c r="A1079" t="s">
        <v>258</v>
      </c>
      <c r="B1079" t="s">
        <v>1545</v>
      </c>
      <c r="C1079" t="s">
        <v>6090</v>
      </c>
      <c r="G1079" t="s">
        <v>116</v>
      </c>
      <c r="H1079" t="s">
        <v>1546</v>
      </c>
      <c r="I1079" t="s">
        <v>1547</v>
      </c>
      <c r="J1079" t="s">
        <v>37</v>
      </c>
      <c r="K1079" t="s">
        <v>32</v>
      </c>
      <c r="L1079" t="s">
        <v>35</v>
      </c>
      <c r="AQ1079">
        <v>0</v>
      </c>
      <c r="AR1079" s="3">
        <f t="shared" si="48"/>
        <v>0</v>
      </c>
      <c r="AS1079" s="3">
        <f t="shared" si="49"/>
        <v>0</v>
      </c>
      <c r="AT1079" s="3" t="str">
        <f>IF(OR(Registered!AM1079&gt;0,Registered!AO1079&gt;0),(IF(Registered!E1079=0,"Size Not Specified",Registered!E1079)),"")</f>
        <v/>
      </c>
      <c r="AU1079" s="3" t="str">
        <f>IF(Registered!AE1079=0,"",IF(Registered!AE1079=1,Registered!AE1079&amp;" Bandana",Registered!AE1079&amp;" Bandanas"))</f>
        <v/>
      </c>
      <c r="AV1079" s="3">
        <f t="shared" si="50"/>
        <v>0</v>
      </c>
      <c r="AW1079" s="2" t="str">
        <f>IF(Registered!AV1079=0,"",IF(Registered!AV1079=1,Registered!AV1079&amp;" Meal",Registered!AV1079&amp;" Meals"))</f>
        <v/>
      </c>
      <c r="AX1079" s="2" t="str">
        <f>IF(Registered!AI1079=0,"",Registered!AI1079&amp;" BG")</f>
        <v/>
      </c>
      <c r="AY1079" s="2" t="str">
        <f>IF(Registered!AG1079=0,"",Registered!AG1079&amp;" DustMask")</f>
        <v/>
      </c>
    </row>
    <row r="1080" spans="1:51" customFormat="1" x14ac:dyDescent="0.25">
      <c r="A1080" t="s">
        <v>3040</v>
      </c>
      <c r="B1080" t="s">
        <v>3041</v>
      </c>
      <c r="C1080" t="s">
        <v>6090</v>
      </c>
      <c r="D1080" t="s">
        <v>3040</v>
      </c>
      <c r="F1080" t="s">
        <v>261</v>
      </c>
      <c r="I1080" t="s">
        <v>3042</v>
      </c>
      <c r="J1080" t="s">
        <v>37</v>
      </c>
      <c r="K1080" t="s">
        <v>32</v>
      </c>
      <c r="L1080" t="s">
        <v>35</v>
      </c>
      <c r="Q1080">
        <v>2</v>
      </c>
      <c r="R1080">
        <v>3</v>
      </c>
      <c r="U1080">
        <v>1</v>
      </c>
      <c r="V1080">
        <v>20</v>
      </c>
      <c r="AK1080">
        <v>2</v>
      </c>
      <c r="AL1080">
        <v>6</v>
      </c>
      <c r="AQ1080">
        <v>38</v>
      </c>
      <c r="AR1080" s="3">
        <f t="shared" si="48"/>
        <v>10</v>
      </c>
      <c r="AS1080" s="3">
        <f t="shared" si="49"/>
        <v>0</v>
      </c>
      <c r="AT1080" s="3" t="str">
        <f>IF(OR(Registered!AM1080&gt;0,Registered!AO1080&gt;0),(IF(Registered!E1080=0,"Size Not Specified",Registered!E1080)),"")</f>
        <v/>
      </c>
      <c r="AU1080" s="3" t="str">
        <f>IF(Registered!AE1080=0,"",IF(Registered!AE1080=1,Registered!AE1080&amp;" Bandana",Registered!AE1080&amp;" Bandanas"))</f>
        <v/>
      </c>
      <c r="AV1080" s="3">
        <f t="shared" si="50"/>
        <v>2</v>
      </c>
      <c r="AW1080" s="2" t="str">
        <f>IF(Registered!AV1080=0,"",IF(Registered!AV1080=1,Registered!AV1080&amp;" Meal",Registered!AV1080&amp;" Meals"))</f>
        <v>2 Meals</v>
      </c>
      <c r="AX1080" s="2" t="str">
        <f>IF(Registered!AI1080=0,"",Registered!AI1080&amp;" BG")</f>
        <v/>
      </c>
      <c r="AY1080" s="2" t="str">
        <f>IF(Registered!AG1080=0,"",Registered!AG1080&amp;" DustMask")</f>
        <v/>
      </c>
    </row>
    <row r="1081" spans="1:51" customFormat="1" x14ac:dyDescent="0.25">
      <c r="A1081" t="s">
        <v>4711</v>
      </c>
      <c r="B1081" t="s">
        <v>4712</v>
      </c>
      <c r="C1081" t="s">
        <v>6090</v>
      </c>
      <c r="G1081" t="s">
        <v>79</v>
      </c>
      <c r="H1081" t="s">
        <v>3840</v>
      </c>
      <c r="I1081" t="s">
        <v>3841</v>
      </c>
      <c r="J1081" t="s">
        <v>37</v>
      </c>
      <c r="K1081" t="s">
        <v>32</v>
      </c>
      <c r="L1081" t="s">
        <v>35</v>
      </c>
      <c r="AQ1081">
        <v>0</v>
      </c>
      <c r="AR1081" s="3">
        <f t="shared" si="48"/>
        <v>0</v>
      </c>
      <c r="AS1081" s="3">
        <f t="shared" si="49"/>
        <v>0</v>
      </c>
      <c r="AT1081" s="3" t="str">
        <f>IF(OR(Registered!AM1081&gt;0,Registered!AO1081&gt;0),(IF(Registered!E1081=0,"Size Not Specified",Registered!E1081)),"")</f>
        <v/>
      </c>
      <c r="AU1081" s="3" t="str">
        <f>IF(Registered!AE1081=0,"",IF(Registered!AE1081=1,Registered!AE1081&amp;" Bandana",Registered!AE1081&amp;" Bandanas"))</f>
        <v/>
      </c>
      <c r="AV1081" s="3">
        <f t="shared" si="50"/>
        <v>0</v>
      </c>
      <c r="AW1081" s="2" t="str">
        <f>IF(Registered!AV1081=0,"",IF(Registered!AV1081=1,Registered!AV1081&amp;" Meal",Registered!AV1081&amp;" Meals"))</f>
        <v/>
      </c>
      <c r="AX1081" s="2" t="str">
        <f>IF(Registered!AI1081=0,"",Registered!AI1081&amp;" BG")</f>
        <v/>
      </c>
      <c r="AY1081" s="2" t="str">
        <f>IF(Registered!AG1081=0,"",Registered!AG1081&amp;" DustMask")</f>
        <v/>
      </c>
    </row>
    <row r="1082" spans="1:51" customFormat="1" x14ac:dyDescent="0.25">
      <c r="A1082" t="s">
        <v>118</v>
      </c>
      <c r="B1082" t="s">
        <v>1548</v>
      </c>
      <c r="C1082" t="s">
        <v>6090</v>
      </c>
      <c r="G1082" t="s">
        <v>42</v>
      </c>
      <c r="H1082" t="s">
        <v>1262</v>
      </c>
      <c r="I1082" t="s">
        <v>1264</v>
      </c>
      <c r="J1082" t="s">
        <v>37</v>
      </c>
      <c r="K1082" t="s">
        <v>32</v>
      </c>
      <c r="L1082" t="s">
        <v>35</v>
      </c>
      <c r="AQ1082">
        <v>0</v>
      </c>
      <c r="AR1082" s="3">
        <f t="shared" si="48"/>
        <v>0</v>
      </c>
      <c r="AS1082" s="3">
        <f t="shared" si="49"/>
        <v>0</v>
      </c>
      <c r="AT1082" s="3" t="str">
        <f>IF(OR(Registered!AM1082&gt;0,Registered!AO1082&gt;0),(IF(Registered!E1082=0,"Size Not Specified",Registered!E1082)),"")</f>
        <v/>
      </c>
      <c r="AU1082" s="3" t="str">
        <f>IF(Registered!AE1082=0,"",IF(Registered!AE1082=1,Registered!AE1082&amp;" Bandana",Registered!AE1082&amp;" Bandanas"))</f>
        <v/>
      </c>
      <c r="AV1082" s="3">
        <f t="shared" si="50"/>
        <v>0</v>
      </c>
      <c r="AW1082" s="2" t="str">
        <f>IF(Registered!AV1082=0,"",IF(Registered!AV1082=1,Registered!AV1082&amp;" Meal",Registered!AV1082&amp;" Meals"))</f>
        <v/>
      </c>
      <c r="AX1082" s="2" t="str">
        <f>IF(Registered!AI1082=0,"",Registered!AI1082&amp;" BG")</f>
        <v/>
      </c>
      <c r="AY1082" s="2" t="str">
        <f>IF(Registered!AG1082=0,"",Registered!AG1082&amp;" DustMask")</f>
        <v/>
      </c>
    </row>
    <row r="1083" spans="1:51" customFormat="1" x14ac:dyDescent="0.25">
      <c r="A1083" t="s">
        <v>3710</v>
      </c>
      <c r="B1083" t="s">
        <v>3711</v>
      </c>
      <c r="C1083" t="s">
        <v>6090</v>
      </c>
      <c r="D1083" t="s">
        <v>4713</v>
      </c>
      <c r="F1083" t="s">
        <v>261</v>
      </c>
      <c r="I1083" t="s">
        <v>3712</v>
      </c>
      <c r="J1083" t="s">
        <v>37</v>
      </c>
      <c r="K1083" t="s">
        <v>32</v>
      </c>
      <c r="L1083" t="s">
        <v>35</v>
      </c>
      <c r="Q1083">
        <v>2</v>
      </c>
      <c r="R1083">
        <v>3</v>
      </c>
      <c r="AC1083">
        <v>1</v>
      </c>
      <c r="AD1083">
        <v>10</v>
      </c>
      <c r="AQ1083">
        <v>16</v>
      </c>
      <c r="AR1083" s="3">
        <f t="shared" si="48"/>
        <v>5</v>
      </c>
      <c r="AS1083" s="3">
        <f t="shared" si="49"/>
        <v>0</v>
      </c>
      <c r="AT1083" s="3" t="str">
        <f>IF(OR(Registered!AM1083&gt;0,Registered!AO1083&gt;0),(IF(Registered!E1083=0,"Size Not Specified",Registered!E1083)),"")</f>
        <v/>
      </c>
      <c r="AU1083" s="3" t="str">
        <f>IF(Registered!AE1083=0,"",IF(Registered!AE1083=1,Registered!AE1083&amp;" Bandana",Registered!AE1083&amp;" Bandanas"))</f>
        <v/>
      </c>
      <c r="AV1083" s="3">
        <f t="shared" si="50"/>
        <v>0</v>
      </c>
      <c r="AW1083" s="2" t="str">
        <f>IF(Registered!AV1083=0,"",IF(Registered!AV1083=1,Registered!AV1083&amp;" Meal",Registered!AV1083&amp;" Meals"))</f>
        <v/>
      </c>
      <c r="AX1083" s="2" t="str">
        <f>IF(Registered!AI1083=0,"",Registered!AI1083&amp;" BG")</f>
        <v/>
      </c>
      <c r="AY1083" s="2" t="str">
        <f>IF(Registered!AG1083=0,"",Registered!AG1083&amp;" DustMask")</f>
        <v/>
      </c>
    </row>
    <row r="1084" spans="1:51" customFormat="1" x14ac:dyDescent="0.25">
      <c r="A1084" t="s">
        <v>357</v>
      </c>
      <c r="B1084" t="s">
        <v>3043</v>
      </c>
      <c r="C1084" t="s">
        <v>6090</v>
      </c>
      <c r="D1084" t="s">
        <v>3044</v>
      </c>
      <c r="F1084" t="s">
        <v>261</v>
      </c>
      <c r="I1084" t="s">
        <v>3045</v>
      </c>
      <c r="J1084" t="s">
        <v>37</v>
      </c>
      <c r="K1084" t="s">
        <v>32</v>
      </c>
      <c r="L1084" t="s">
        <v>35</v>
      </c>
      <c r="Q1084">
        <v>1</v>
      </c>
      <c r="R1084">
        <v>3</v>
      </c>
      <c r="AK1084">
        <v>1</v>
      </c>
      <c r="AL1084">
        <v>6</v>
      </c>
      <c r="AQ1084">
        <v>9</v>
      </c>
      <c r="AR1084" s="3">
        <f t="shared" si="48"/>
        <v>0</v>
      </c>
      <c r="AS1084" s="3">
        <f t="shared" si="49"/>
        <v>0</v>
      </c>
      <c r="AT1084" s="3" t="str">
        <f>IF(OR(Registered!AM1084&gt;0,Registered!AO1084&gt;0),(IF(Registered!E1084=0,"Size Not Specified",Registered!E1084)),"")</f>
        <v/>
      </c>
      <c r="AU1084" s="3" t="str">
        <f>IF(Registered!AE1084=0,"",IF(Registered!AE1084=1,Registered!AE1084&amp;" Bandana",Registered!AE1084&amp;" Bandanas"))</f>
        <v/>
      </c>
      <c r="AV1084" s="3">
        <f t="shared" si="50"/>
        <v>1</v>
      </c>
      <c r="AW1084" s="2" t="str">
        <f>IF(Registered!AV1084=0,"",IF(Registered!AV1084=1,Registered!AV1084&amp;" Meal",Registered!AV1084&amp;" Meals"))</f>
        <v>1 Meal</v>
      </c>
      <c r="AX1084" s="2" t="str">
        <f>IF(Registered!AI1084=0,"",Registered!AI1084&amp;" BG")</f>
        <v/>
      </c>
      <c r="AY1084" s="2" t="str">
        <f>IF(Registered!AG1084=0,"",Registered!AG1084&amp;" DustMask")</f>
        <v/>
      </c>
    </row>
    <row r="1085" spans="1:51" customFormat="1" x14ac:dyDescent="0.25">
      <c r="A1085" t="s">
        <v>2768</v>
      </c>
      <c r="B1085" t="s">
        <v>4714</v>
      </c>
      <c r="C1085" t="s">
        <v>6090</v>
      </c>
      <c r="D1085" t="s">
        <v>2768</v>
      </c>
      <c r="E1085" t="s">
        <v>65</v>
      </c>
      <c r="F1085" t="s">
        <v>261</v>
      </c>
      <c r="I1085" t="s">
        <v>4715</v>
      </c>
      <c r="J1085" t="s">
        <v>37</v>
      </c>
      <c r="K1085" t="s">
        <v>32</v>
      </c>
      <c r="L1085" t="s">
        <v>35</v>
      </c>
      <c r="Q1085">
        <v>1</v>
      </c>
      <c r="R1085">
        <v>3</v>
      </c>
      <c r="AC1085">
        <v>1</v>
      </c>
      <c r="AD1085">
        <v>10</v>
      </c>
      <c r="AO1085">
        <v>1</v>
      </c>
      <c r="AP1085">
        <v>10</v>
      </c>
      <c r="AQ1085">
        <v>23</v>
      </c>
      <c r="AR1085" s="3">
        <f t="shared" si="48"/>
        <v>5</v>
      </c>
      <c r="AS1085" s="3">
        <f t="shared" si="49"/>
        <v>1</v>
      </c>
      <c r="AT1085" s="3" t="str">
        <f>IF(OR(Registered!AM1085&gt;0,Registered!AO1085&gt;0),(IF(Registered!E1085=0,"Size Not Specified",Registered!E1085)),"")</f>
        <v>Medium</v>
      </c>
      <c r="AU1085" s="3" t="str">
        <f>IF(Registered!AE1085=0,"",IF(Registered!AE1085=1,Registered!AE1085&amp;" Bandana",Registered!AE1085&amp;" Bandanas"))</f>
        <v/>
      </c>
      <c r="AV1085" s="3">
        <f t="shared" si="50"/>
        <v>0</v>
      </c>
      <c r="AW1085" s="2" t="str">
        <f>IF(Registered!AV1085=0,"",IF(Registered!AV1085=1,Registered!AV1085&amp;" Meal",Registered!AV1085&amp;" Meals"))</f>
        <v/>
      </c>
      <c r="AX1085" s="2" t="str">
        <f>IF(Registered!AI1085=0,"",Registered!AI1085&amp;" BG")</f>
        <v/>
      </c>
      <c r="AY1085" s="2" t="str">
        <f>IF(Registered!AG1085=0,"",Registered!AG1085&amp;" DustMask")</f>
        <v/>
      </c>
    </row>
    <row r="1086" spans="1:51" customFormat="1" x14ac:dyDescent="0.25">
      <c r="A1086" t="s">
        <v>1549</v>
      </c>
      <c r="B1086" t="s">
        <v>1550</v>
      </c>
      <c r="C1086" t="s">
        <v>6090</v>
      </c>
      <c r="D1086" t="s">
        <v>1551</v>
      </c>
      <c r="F1086" t="s">
        <v>261</v>
      </c>
      <c r="I1086" t="s">
        <v>1552</v>
      </c>
      <c r="J1086" t="s">
        <v>37</v>
      </c>
      <c r="K1086" t="s">
        <v>32</v>
      </c>
      <c r="L1086" t="s">
        <v>35</v>
      </c>
      <c r="S1086">
        <v>1</v>
      </c>
      <c r="T1086">
        <v>3</v>
      </c>
      <c r="AA1086">
        <v>1</v>
      </c>
      <c r="AB1086">
        <v>75</v>
      </c>
      <c r="AQ1086">
        <v>78</v>
      </c>
      <c r="AR1086" s="3">
        <f t="shared" si="48"/>
        <v>40</v>
      </c>
      <c r="AS1086" s="3">
        <f t="shared" si="49"/>
        <v>0</v>
      </c>
      <c r="AT1086" s="3" t="str">
        <f>IF(OR(Registered!AM1086&gt;0,Registered!AO1086&gt;0),(IF(Registered!E1086=0,"Size Not Specified",Registered!E1086)),"")</f>
        <v/>
      </c>
      <c r="AU1086" s="3" t="str">
        <f>IF(Registered!AE1086=0,"",IF(Registered!AE1086=1,Registered!AE1086&amp;" Bandana",Registered!AE1086&amp;" Bandanas"))</f>
        <v/>
      </c>
      <c r="AV1086" s="3">
        <f t="shared" si="50"/>
        <v>0</v>
      </c>
      <c r="AW1086" s="2" t="str">
        <f>IF(Registered!AV1086=0,"",IF(Registered!AV1086=1,Registered!AV1086&amp;" Meal",Registered!AV1086&amp;" Meals"))</f>
        <v/>
      </c>
      <c r="AX1086" s="2" t="str">
        <f>IF(Registered!AI1086=0,"",Registered!AI1086&amp;" BG")</f>
        <v/>
      </c>
      <c r="AY1086" s="2" t="str">
        <f>IF(Registered!AG1086=0,"",Registered!AG1086&amp;" DustMask")</f>
        <v/>
      </c>
    </row>
    <row r="1087" spans="1:51" customFormat="1" x14ac:dyDescent="0.25">
      <c r="A1087" t="s">
        <v>90</v>
      </c>
      <c r="B1087" t="s">
        <v>1189</v>
      </c>
      <c r="C1087" t="s">
        <v>6090</v>
      </c>
      <c r="D1087" t="s">
        <v>1553</v>
      </c>
      <c r="F1087" t="s">
        <v>261</v>
      </c>
      <c r="I1087" t="s">
        <v>1190</v>
      </c>
      <c r="J1087" t="s">
        <v>37</v>
      </c>
      <c r="K1087" t="s">
        <v>32</v>
      </c>
      <c r="L1087" t="s">
        <v>35</v>
      </c>
      <c r="S1087">
        <v>3</v>
      </c>
      <c r="T1087">
        <v>3</v>
      </c>
      <c r="AQ1087">
        <v>9</v>
      </c>
      <c r="AR1087" s="3">
        <f t="shared" si="48"/>
        <v>0</v>
      </c>
      <c r="AS1087" s="3">
        <f t="shared" si="49"/>
        <v>0</v>
      </c>
      <c r="AT1087" s="3" t="str">
        <f>IF(OR(Registered!AM1087&gt;0,Registered!AO1087&gt;0),(IF(Registered!E1087=0,"Size Not Specified",Registered!E1087)),"")</f>
        <v/>
      </c>
      <c r="AU1087" s="3" t="str">
        <f>IF(Registered!AE1087=0,"",IF(Registered!AE1087=1,Registered!AE1087&amp;" Bandana",Registered!AE1087&amp;" Bandanas"))</f>
        <v/>
      </c>
      <c r="AV1087" s="3">
        <f t="shared" si="50"/>
        <v>0</v>
      </c>
      <c r="AW1087" s="2" t="str">
        <f>IF(Registered!AV1087=0,"",IF(Registered!AV1087=1,Registered!AV1087&amp;" Meal",Registered!AV1087&amp;" Meals"))</f>
        <v/>
      </c>
      <c r="AX1087" s="2" t="str">
        <f>IF(Registered!AI1087=0,"",Registered!AI1087&amp;" BG")</f>
        <v/>
      </c>
      <c r="AY1087" s="2" t="str">
        <f>IF(Registered!AG1087=0,"",Registered!AG1087&amp;" DustMask")</f>
        <v/>
      </c>
    </row>
    <row r="1088" spans="1:51" customFormat="1" x14ac:dyDescent="0.25">
      <c r="A1088" t="s">
        <v>3420</v>
      </c>
      <c r="B1088" t="s">
        <v>4716</v>
      </c>
      <c r="C1088" t="s">
        <v>6090</v>
      </c>
      <c r="D1088" t="s">
        <v>3420</v>
      </c>
      <c r="F1088" t="s">
        <v>261</v>
      </c>
      <c r="I1088" t="s">
        <v>4717</v>
      </c>
      <c r="J1088" t="s">
        <v>37</v>
      </c>
      <c r="K1088" t="s">
        <v>32</v>
      </c>
      <c r="L1088" t="s">
        <v>35</v>
      </c>
      <c r="Q1088">
        <v>2</v>
      </c>
      <c r="R1088">
        <v>3</v>
      </c>
      <c r="U1088">
        <v>1</v>
      </c>
      <c r="V1088">
        <v>20</v>
      </c>
      <c r="AC1088">
        <v>1</v>
      </c>
      <c r="AD1088">
        <v>10</v>
      </c>
      <c r="AQ1088">
        <v>36</v>
      </c>
      <c r="AR1088" s="3">
        <f t="shared" si="48"/>
        <v>15</v>
      </c>
      <c r="AS1088" s="3">
        <f t="shared" si="49"/>
        <v>0</v>
      </c>
      <c r="AT1088" s="3" t="str">
        <f>IF(OR(Registered!AM1088&gt;0,Registered!AO1088&gt;0),(IF(Registered!E1088=0,"Size Not Specified",Registered!E1088)),"")</f>
        <v/>
      </c>
      <c r="AU1088" s="3" t="str">
        <f>IF(Registered!AE1088=0,"",IF(Registered!AE1088=1,Registered!AE1088&amp;" Bandana",Registered!AE1088&amp;" Bandanas"))</f>
        <v/>
      </c>
      <c r="AV1088" s="3">
        <f t="shared" si="50"/>
        <v>0</v>
      </c>
      <c r="AW1088" s="2" t="str">
        <f>IF(Registered!AV1088=0,"",IF(Registered!AV1088=1,Registered!AV1088&amp;" Meal",Registered!AV1088&amp;" Meals"))</f>
        <v/>
      </c>
      <c r="AX1088" s="2" t="str">
        <f>IF(Registered!AI1088=0,"",Registered!AI1088&amp;" BG")</f>
        <v/>
      </c>
      <c r="AY1088" s="2" t="str">
        <f>IF(Registered!AG1088=0,"",Registered!AG1088&amp;" DustMask")</f>
        <v/>
      </c>
    </row>
    <row r="1089" spans="1:51" customFormat="1" x14ac:dyDescent="0.25">
      <c r="A1089" t="s">
        <v>131</v>
      </c>
      <c r="B1089" t="s">
        <v>4718</v>
      </c>
      <c r="C1089" t="s">
        <v>6090</v>
      </c>
      <c r="G1089" t="s">
        <v>151</v>
      </c>
      <c r="H1089" t="s">
        <v>4719</v>
      </c>
      <c r="I1089" t="s">
        <v>4720</v>
      </c>
      <c r="J1089" t="s">
        <v>37</v>
      </c>
      <c r="K1089" t="s">
        <v>32</v>
      </c>
      <c r="L1089" t="s">
        <v>35</v>
      </c>
      <c r="AQ1089">
        <v>0</v>
      </c>
      <c r="AR1089" s="3">
        <f t="shared" si="48"/>
        <v>0</v>
      </c>
      <c r="AS1089" s="3">
        <f t="shared" si="49"/>
        <v>0</v>
      </c>
      <c r="AT1089" s="3" t="str">
        <f>IF(OR(Registered!AM1089&gt;0,Registered!AO1089&gt;0),(IF(Registered!E1089=0,"Size Not Specified",Registered!E1089)),"")</f>
        <v/>
      </c>
      <c r="AU1089" s="3" t="str">
        <f>IF(Registered!AE1089=0,"",IF(Registered!AE1089=1,Registered!AE1089&amp;" Bandana",Registered!AE1089&amp;" Bandanas"))</f>
        <v/>
      </c>
      <c r="AV1089" s="3">
        <f t="shared" si="50"/>
        <v>0</v>
      </c>
      <c r="AW1089" s="2" t="str">
        <f>IF(Registered!AV1089=0,"",IF(Registered!AV1089=1,Registered!AV1089&amp;" Meal",Registered!AV1089&amp;" Meals"))</f>
        <v/>
      </c>
      <c r="AX1089" s="2" t="str">
        <f>IF(Registered!AI1089=0,"",Registered!AI1089&amp;" BG")</f>
        <v/>
      </c>
      <c r="AY1089" s="2" t="str">
        <f>IF(Registered!AG1089=0,"",Registered!AG1089&amp;" DustMask")</f>
        <v/>
      </c>
    </row>
    <row r="1090" spans="1:51" customFormat="1" x14ac:dyDescent="0.25">
      <c r="A1090" t="s">
        <v>2605</v>
      </c>
      <c r="B1090" t="s">
        <v>3993</v>
      </c>
      <c r="C1090" t="s">
        <v>6090</v>
      </c>
      <c r="D1090" t="s">
        <v>4721</v>
      </c>
      <c r="F1090" t="s">
        <v>261</v>
      </c>
      <c r="I1090" t="s">
        <v>3994</v>
      </c>
      <c r="J1090" t="s">
        <v>37</v>
      </c>
      <c r="K1090" t="s">
        <v>32</v>
      </c>
      <c r="L1090" t="s">
        <v>35</v>
      </c>
      <c r="Q1090">
        <v>4</v>
      </c>
      <c r="R1090">
        <v>3</v>
      </c>
      <c r="W1090">
        <v>1</v>
      </c>
      <c r="X1090">
        <v>40</v>
      </c>
      <c r="AQ1090">
        <v>52</v>
      </c>
      <c r="AR1090" s="3">
        <f t="shared" ref="AR1090:AR1153" si="51">IF(ISTEXT(AM1090)=TRUE,"",SUM(U1090*10,W1090*20,Y1090*30,AA1090*40,AC1090*5,AM1090*5))</f>
        <v>20</v>
      </c>
      <c r="AS1090" s="3">
        <f t="shared" ref="AS1090:AS1153" si="52">IF(ISTEXT(AM1090)=TRUE,"",SUM(AM1090,AO1090))</f>
        <v>0</v>
      </c>
      <c r="AT1090" s="3" t="str">
        <f>IF(OR(Registered!AM1090&gt;0,Registered!AO1090&gt;0),(IF(Registered!E1090=0,"Size Not Specified",Registered!E1090)),"")</f>
        <v/>
      </c>
      <c r="AU1090" s="3" t="str">
        <f>IF(Registered!AE1090=0,"",IF(Registered!AE1090=1,Registered!AE1090&amp;" Bandana",Registered!AE1090&amp;" Bandanas"))</f>
        <v/>
      </c>
      <c r="AV1090" s="3">
        <f t="shared" ref="AV1090:AV1153" si="53">IF(ISTEXT(AM1090)=TRUE,"",SUM(AM1090,AK1090))</f>
        <v>0</v>
      </c>
      <c r="AW1090" s="2" t="str">
        <f>IF(Registered!AV1090=0,"",IF(Registered!AV1090=1,Registered!AV1090&amp;" Meal",Registered!AV1090&amp;" Meals"))</f>
        <v/>
      </c>
      <c r="AX1090" s="2" t="str">
        <f>IF(Registered!AI1090=0,"",Registered!AI1090&amp;" BG")</f>
        <v/>
      </c>
      <c r="AY1090" s="2" t="str">
        <f>IF(Registered!AG1090=0,"",Registered!AG1090&amp;" DustMask")</f>
        <v/>
      </c>
    </row>
    <row r="1091" spans="1:51" customFormat="1" x14ac:dyDescent="0.25">
      <c r="A1091" t="s">
        <v>471</v>
      </c>
      <c r="B1091" t="s">
        <v>3993</v>
      </c>
      <c r="C1091" t="s">
        <v>6090</v>
      </c>
      <c r="G1091" t="s">
        <v>2605</v>
      </c>
      <c r="H1091" t="s">
        <v>3993</v>
      </c>
      <c r="I1091" t="s">
        <v>3994</v>
      </c>
      <c r="J1091" t="s">
        <v>37</v>
      </c>
      <c r="K1091" t="s">
        <v>32</v>
      </c>
      <c r="L1091" t="s">
        <v>35</v>
      </c>
      <c r="AQ1091">
        <v>0</v>
      </c>
      <c r="AR1091" s="3">
        <f t="shared" si="51"/>
        <v>0</v>
      </c>
      <c r="AS1091" s="3">
        <f t="shared" si="52"/>
        <v>0</v>
      </c>
      <c r="AT1091" s="3" t="str">
        <f>IF(OR(Registered!AM1091&gt;0,Registered!AO1091&gt;0),(IF(Registered!E1091=0,"Size Not Specified",Registered!E1091)),"")</f>
        <v/>
      </c>
      <c r="AU1091" s="3" t="str">
        <f>IF(Registered!AE1091=0,"",IF(Registered!AE1091=1,Registered!AE1091&amp;" Bandana",Registered!AE1091&amp;" Bandanas"))</f>
        <v/>
      </c>
      <c r="AV1091" s="3">
        <f t="shared" si="53"/>
        <v>0</v>
      </c>
      <c r="AW1091" s="2" t="str">
        <f>IF(Registered!AV1091=0,"",IF(Registered!AV1091=1,Registered!AV1091&amp;" Meal",Registered!AV1091&amp;" Meals"))</f>
        <v/>
      </c>
      <c r="AX1091" s="2" t="str">
        <f>IF(Registered!AI1091=0,"",Registered!AI1091&amp;" BG")</f>
        <v/>
      </c>
      <c r="AY1091" s="2" t="str">
        <f>IF(Registered!AG1091=0,"",Registered!AG1091&amp;" DustMask")</f>
        <v/>
      </c>
    </row>
    <row r="1092" spans="1:51" customFormat="1" x14ac:dyDescent="0.25">
      <c r="A1092" t="s">
        <v>3562</v>
      </c>
      <c r="B1092" t="s">
        <v>4722</v>
      </c>
      <c r="C1092" t="s">
        <v>6090</v>
      </c>
      <c r="G1092" t="s">
        <v>4687</v>
      </c>
      <c r="H1092" t="s">
        <v>4688</v>
      </c>
      <c r="I1092" t="s">
        <v>4690</v>
      </c>
      <c r="J1092" t="s">
        <v>37</v>
      </c>
      <c r="K1092" t="s">
        <v>32</v>
      </c>
      <c r="L1092" t="s">
        <v>35</v>
      </c>
      <c r="AQ1092">
        <v>0</v>
      </c>
      <c r="AR1092" s="3">
        <f t="shared" si="51"/>
        <v>0</v>
      </c>
      <c r="AS1092" s="3">
        <f t="shared" si="52"/>
        <v>0</v>
      </c>
      <c r="AT1092" s="3" t="str">
        <f>IF(OR(Registered!AM1092&gt;0,Registered!AO1092&gt;0),(IF(Registered!E1092=0,"Size Not Specified",Registered!E1092)),"")</f>
        <v/>
      </c>
      <c r="AU1092" s="3" t="str">
        <f>IF(Registered!AE1092=0,"",IF(Registered!AE1092=1,Registered!AE1092&amp;" Bandana",Registered!AE1092&amp;" Bandanas"))</f>
        <v/>
      </c>
      <c r="AV1092" s="3">
        <f t="shared" si="53"/>
        <v>0</v>
      </c>
      <c r="AW1092" s="2" t="str">
        <f>IF(Registered!AV1092=0,"",IF(Registered!AV1092=1,Registered!AV1092&amp;" Meal",Registered!AV1092&amp;" Meals"))</f>
        <v/>
      </c>
      <c r="AX1092" s="2" t="str">
        <f>IF(Registered!AI1092=0,"",Registered!AI1092&amp;" BG")</f>
        <v/>
      </c>
      <c r="AY1092" s="2" t="str">
        <f>IF(Registered!AG1092=0,"",Registered!AG1092&amp;" DustMask")</f>
        <v/>
      </c>
    </row>
    <row r="1093" spans="1:51" customFormat="1" x14ac:dyDescent="0.25">
      <c r="A1093" t="s">
        <v>146</v>
      </c>
      <c r="B1093" t="s">
        <v>1554</v>
      </c>
      <c r="C1093" t="s">
        <v>6090</v>
      </c>
      <c r="D1093" t="s">
        <v>1555</v>
      </c>
      <c r="E1093" t="s">
        <v>53</v>
      </c>
      <c r="F1093" t="s">
        <v>261</v>
      </c>
      <c r="I1093" t="s">
        <v>1556</v>
      </c>
      <c r="J1093" t="s">
        <v>37</v>
      </c>
      <c r="K1093" t="s">
        <v>32</v>
      </c>
      <c r="L1093" t="s">
        <v>35</v>
      </c>
      <c r="S1093">
        <v>1</v>
      </c>
      <c r="T1093">
        <v>3</v>
      </c>
      <c r="AE1093">
        <v>1</v>
      </c>
      <c r="AF1093">
        <v>6</v>
      </c>
      <c r="AM1093">
        <v>1</v>
      </c>
      <c r="AN1093">
        <v>25</v>
      </c>
      <c r="AQ1093">
        <v>34</v>
      </c>
      <c r="AR1093" s="3">
        <f t="shared" si="51"/>
        <v>5</v>
      </c>
      <c r="AS1093" s="3">
        <f t="shared" si="52"/>
        <v>1</v>
      </c>
      <c r="AT1093" s="3" t="str">
        <f>IF(OR(Registered!AM1093&gt;0,Registered!AO1093&gt;0),(IF(Registered!E1093=0,"Size Not Specified",Registered!E1093)),"")</f>
        <v>Small</v>
      </c>
      <c r="AU1093" s="3" t="str">
        <f>IF(Registered!AE1093=0,"",IF(Registered!AE1093=1,Registered!AE1093&amp;" Bandana",Registered!AE1093&amp;" Bandanas"))</f>
        <v>1 Bandana</v>
      </c>
      <c r="AV1093" s="3">
        <f t="shared" si="53"/>
        <v>1</v>
      </c>
      <c r="AW1093" s="2" t="str">
        <f>IF(Registered!AV1093=0,"",IF(Registered!AV1093=1,Registered!AV1093&amp;" Meal",Registered!AV1093&amp;" Meals"))</f>
        <v>1 Meal</v>
      </c>
      <c r="AX1093" s="2" t="str">
        <f>IF(Registered!AI1093=0,"",Registered!AI1093&amp;" BG")</f>
        <v/>
      </c>
      <c r="AY1093" s="2" t="str">
        <f>IF(Registered!AG1093=0,"",Registered!AG1093&amp;" DustMask")</f>
        <v/>
      </c>
    </row>
    <row r="1094" spans="1:51" customFormat="1" x14ac:dyDescent="0.25">
      <c r="A1094" t="s">
        <v>1557</v>
      </c>
      <c r="B1094" t="s">
        <v>1558</v>
      </c>
      <c r="C1094" t="s">
        <v>6090</v>
      </c>
      <c r="D1094" t="s">
        <v>1559</v>
      </c>
      <c r="F1094" t="s">
        <v>261</v>
      </c>
      <c r="I1094" t="s">
        <v>1560</v>
      </c>
      <c r="J1094" t="s">
        <v>37</v>
      </c>
      <c r="K1094" t="s">
        <v>32</v>
      </c>
      <c r="L1094" t="s">
        <v>35</v>
      </c>
      <c r="S1094">
        <v>1</v>
      </c>
      <c r="T1094">
        <v>3</v>
      </c>
      <c r="AQ1094">
        <v>3</v>
      </c>
      <c r="AR1094" s="3">
        <f t="shared" si="51"/>
        <v>0</v>
      </c>
      <c r="AS1094" s="3">
        <f t="shared" si="52"/>
        <v>0</v>
      </c>
      <c r="AT1094" s="3" t="str">
        <f>IF(OR(Registered!AM1094&gt;0,Registered!AO1094&gt;0),(IF(Registered!E1094=0,"Size Not Specified",Registered!E1094)),"")</f>
        <v/>
      </c>
      <c r="AU1094" s="3" t="str">
        <f>IF(Registered!AE1094=0,"",IF(Registered!AE1094=1,Registered!AE1094&amp;" Bandana",Registered!AE1094&amp;" Bandanas"))</f>
        <v/>
      </c>
      <c r="AV1094" s="3">
        <f t="shared" si="53"/>
        <v>0</v>
      </c>
      <c r="AW1094" s="2" t="str">
        <f>IF(Registered!AV1094=0,"",IF(Registered!AV1094=1,Registered!AV1094&amp;" Meal",Registered!AV1094&amp;" Meals"))</f>
        <v/>
      </c>
      <c r="AX1094" s="2" t="str">
        <f>IF(Registered!AI1094=0,"",Registered!AI1094&amp;" BG")</f>
        <v/>
      </c>
      <c r="AY1094" s="2" t="str">
        <f>IF(Registered!AG1094=0,"",Registered!AG1094&amp;" DustMask")</f>
        <v/>
      </c>
    </row>
    <row r="1095" spans="1:51" customFormat="1" x14ac:dyDescent="0.25">
      <c r="A1095" t="s">
        <v>79</v>
      </c>
      <c r="B1095" t="s">
        <v>4723</v>
      </c>
      <c r="C1095" t="s">
        <v>6090</v>
      </c>
      <c r="D1095" t="s">
        <v>4724</v>
      </c>
      <c r="E1095" t="s">
        <v>4725</v>
      </c>
      <c r="F1095" t="s">
        <v>261</v>
      </c>
      <c r="I1095" t="s">
        <v>4726</v>
      </c>
      <c r="J1095" t="s">
        <v>37</v>
      </c>
      <c r="K1095" t="s">
        <v>32</v>
      </c>
      <c r="L1095" t="s">
        <v>35</v>
      </c>
      <c r="Q1095">
        <v>1</v>
      </c>
      <c r="R1095">
        <v>3</v>
      </c>
      <c r="AC1095">
        <v>1</v>
      </c>
      <c r="AD1095">
        <v>10</v>
      </c>
      <c r="AM1095">
        <v>1</v>
      </c>
      <c r="AN1095">
        <v>25</v>
      </c>
      <c r="AQ1095">
        <v>38</v>
      </c>
      <c r="AR1095" s="3">
        <f t="shared" si="51"/>
        <v>10</v>
      </c>
      <c r="AS1095" s="3">
        <f t="shared" si="52"/>
        <v>1</v>
      </c>
      <c r="AT1095" s="3" t="str">
        <f>IF(OR(Registered!AM1095&gt;0,Registered!AO1095&gt;0),(IF(Registered!E1095=0,"Size Not Specified",Registered!E1095)),"")</f>
        <v>Extra large</v>
      </c>
      <c r="AU1095" s="3" t="str">
        <f>IF(Registered!AE1095=0,"",IF(Registered!AE1095=1,Registered!AE1095&amp;" Bandana",Registered!AE1095&amp;" Bandanas"))</f>
        <v/>
      </c>
      <c r="AV1095" s="3">
        <f t="shared" si="53"/>
        <v>1</v>
      </c>
      <c r="AW1095" s="2" t="str">
        <f>IF(Registered!AV1095=0,"",IF(Registered!AV1095=1,Registered!AV1095&amp;" Meal",Registered!AV1095&amp;" Meals"))</f>
        <v>1 Meal</v>
      </c>
      <c r="AX1095" s="2" t="str">
        <f>IF(Registered!AI1095=0,"",Registered!AI1095&amp;" BG")</f>
        <v/>
      </c>
      <c r="AY1095" s="2" t="str">
        <f>IF(Registered!AG1095=0,"",Registered!AG1095&amp;" DustMask")</f>
        <v/>
      </c>
    </row>
    <row r="1096" spans="1:51" customFormat="1" x14ac:dyDescent="0.25">
      <c r="A1096" t="s">
        <v>215</v>
      </c>
      <c r="B1096" t="s">
        <v>4723</v>
      </c>
      <c r="C1096" t="s">
        <v>6090</v>
      </c>
      <c r="G1096" t="s">
        <v>92</v>
      </c>
      <c r="H1096" t="s">
        <v>2292</v>
      </c>
      <c r="I1096" t="s">
        <v>4727</v>
      </c>
      <c r="J1096" t="s">
        <v>37</v>
      </c>
      <c r="K1096" t="s">
        <v>32</v>
      </c>
      <c r="L1096" t="s">
        <v>35</v>
      </c>
      <c r="AQ1096">
        <v>0</v>
      </c>
      <c r="AR1096" s="3">
        <f t="shared" si="51"/>
        <v>0</v>
      </c>
      <c r="AS1096" s="3">
        <f t="shared" si="52"/>
        <v>0</v>
      </c>
      <c r="AT1096" s="3" t="str">
        <f>IF(OR(Registered!AM1096&gt;0,Registered!AO1096&gt;0),(IF(Registered!E1096=0,"Size Not Specified",Registered!E1096)),"")</f>
        <v/>
      </c>
      <c r="AU1096" s="3" t="str">
        <f>IF(Registered!AE1096=0,"",IF(Registered!AE1096=1,Registered!AE1096&amp;" Bandana",Registered!AE1096&amp;" Bandanas"))</f>
        <v/>
      </c>
      <c r="AV1096" s="3">
        <f t="shared" si="53"/>
        <v>0</v>
      </c>
      <c r="AW1096" s="2" t="str">
        <f>IF(Registered!AV1096=0,"",IF(Registered!AV1096=1,Registered!AV1096&amp;" Meal",Registered!AV1096&amp;" Meals"))</f>
        <v/>
      </c>
      <c r="AX1096" s="2" t="str">
        <f>IF(Registered!AI1096=0,"",Registered!AI1096&amp;" BG")</f>
        <v/>
      </c>
      <c r="AY1096" s="2" t="str">
        <f>IF(Registered!AG1096=0,"",Registered!AG1096&amp;" DustMask")</f>
        <v/>
      </c>
    </row>
    <row r="1097" spans="1:51" customFormat="1" x14ac:dyDescent="0.25">
      <c r="A1097" t="s">
        <v>79</v>
      </c>
      <c r="B1097" t="s">
        <v>3840</v>
      </c>
      <c r="C1097" t="s">
        <v>6090</v>
      </c>
      <c r="D1097" t="s">
        <v>4728</v>
      </c>
      <c r="F1097" t="s">
        <v>261</v>
      </c>
      <c r="I1097" t="s">
        <v>3841</v>
      </c>
      <c r="J1097" t="s">
        <v>37</v>
      </c>
      <c r="K1097" t="s">
        <v>32</v>
      </c>
      <c r="L1097" t="s">
        <v>35</v>
      </c>
      <c r="Q1097">
        <v>4</v>
      </c>
      <c r="R1097">
        <v>3</v>
      </c>
      <c r="U1097">
        <v>1</v>
      </c>
      <c r="V1097">
        <v>20</v>
      </c>
      <c r="W1097">
        <v>1</v>
      </c>
      <c r="X1097">
        <v>40</v>
      </c>
      <c r="AQ1097">
        <v>72</v>
      </c>
      <c r="AR1097" s="3">
        <f t="shared" si="51"/>
        <v>30</v>
      </c>
      <c r="AS1097" s="3">
        <f t="shared" si="52"/>
        <v>0</v>
      </c>
      <c r="AT1097" s="3" t="str">
        <f>IF(OR(Registered!AM1097&gt;0,Registered!AO1097&gt;0),(IF(Registered!E1097=0,"Size Not Specified",Registered!E1097)),"")</f>
        <v/>
      </c>
      <c r="AU1097" s="3" t="str">
        <f>IF(Registered!AE1097=0,"",IF(Registered!AE1097=1,Registered!AE1097&amp;" Bandana",Registered!AE1097&amp;" Bandanas"))</f>
        <v/>
      </c>
      <c r="AV1097" s="3">
        <f t="shared" si="53"/>
        <v>0</v>
      </c>
      <c r="AW1097" s="2" t="str">
        <f>IF(Registered!AV1097=0,"",IF(Registered!AV1097=1,Registered!AV1097&amp;" Meal",Registered!AV1097&amp;" Meals"))</f>
        <v/>
      </c>
      <c r="AX1097" s="2" t="str">
        <f>IF(Registered!AI1097=0,"",Registered!AI1097&amp;" BG")</f>
        <v/>
      </c>
      <c r="AY1097" s="2" t="str">
        <f>IF(Registered!AG1097=0,"",Registered!AG1097&amp;" DustMask")</f>
        <v/>
      </c>
    </row>
    <row r="1098" spans="1:51" customFormat="1" x14ac:dyDescent="0.25">
      <c r="A1098" t="s">
        <v>180</v>
      </c>
      <c r="B1098" t="s">
        <v>1561</v>
      </c>
      <c r="C1098" t="s">
        <v>6090</v>
      </c>
      <c r="G1098" t="s">
        <v>317</v>
      </c>
      <c r="H1098" t="s">
        <v>209</v>
      </c>
      <c r="I1098" t="s">
        <v>1562</v>
      </c>
      <c r="J1098" t="s">
        <v>37</v>
      </c>
      <c r="K1098" t="s">
        <v>32</v>
      </c>
      <c r="L1098" t="s">
        <v>35</v>
      </c>
      <c r="AQ1098">
        <v>0</v>
      </c>
      <c r="AR1098" s="3">
        <f t="shared" si="51"/>
        <v>0</v>
      </c>
      <c r="AS1098" s="3">
        <f t="shared" si="52"/>
        <v>0</v>
      </c>
      <c r="AT1098" s="3" t="str">
        <f>IF(OR(Registered!AM1098&gt;0,Registered!AO1098&gt;0),(IF(Registered!E1098=0,"Size Not Specified",Registered!E1098)),"")</f>
        <v/>
      </c>
      <c r="AU1098" s="3" t="str">
        <f>IF(Registered!AE1098=0,"",IF(Registered!AE1098=1,Registered!AE1098&amp;" Bandana",Registered!AE1098&amp;" Bandanas"))</f>
        <v/>
      </c>
      <c r="AV1098" s="3">
        <f t="shared" si="53"/>
        <v>0</v>
      </c>
      <c r="AW1098" s="2" t="str">
        <f>IF(Registered!AV1098=0,"",IF(Registered!AV1098=1,Registered!AV1098&amp;" Meal",Registered!AV1098&amp;" Meals"))</f>
        <v/>
      </c>
      <c r="AX1098" s="2" t="str">
        <f>IF(Registered!AI1098=0,"",Registered!AI1098&amp;" BG")</f>
        <v/>
      </c>
      <c r="AY1098" s="2" t="str">
        <f>IF(Registered!AG1098=0,"",Registered!AG1098&amp;" DustMask")</f>
        <v/>
      </c>
    </row>
    <row r="1099" spans="1:51" customFormat="1" x14ac:dyDescent="0.25">
      <c r="A1099" t="s">
        <v>4729</v>
      </c>
      <c r="B1099" t="s">
        <v>4730</v>
      </c>
      <c r="C1099" t="s">
        <v>6090</v>
      </c>
      <c r="G1099" t="s">
        <v>335</v>
      </c>
      <c r="H1099" t="s">
        <v>3649</v>
      </c>
      <c r="I1099" t="s">
        <v>3650</v>
      </c>
      <c r="J1099" t="s">
        <v>37</v>
      </c>
      <c r="K1099" t="s">
        <v>32</v>
      </c>
      <c r="L1099" t="s">
        <v>35</v>
      </c>
      <c r="AQ1099">
        <v>0</v>
      </c>
      <c r="AR1099" s="3">
        <f t="shared" si="51"/>
        <v>0</v>
      </c>
      <c r="AS1099" s="3">
        <f t="shared" si="52"/>
        <v>0</v>
      </c>
      <c r="AT1099" s="3" t="str">
        <f>IF(OR(Registered!AM1099&gt;0,Registered!AO1099&gt;0),(IF(Registered!E1099=0,"Size Not Specified",Registered!E1099)),"")</f>
        <v/>
      </c>
      <c r="AU1099" s="3" t="str">
        <f>IF(Registered!AE1099=0,"",IF(Registered!AE1099=1,Registered!AE1099&amp;" Bandana",Registered!AE1099&amp;" Bandanas"))</f>
        <v/>
      </c>
      <c r="AV1099" s="3">
        <f t="shared" si="53"/>
        <v>0</v>
      </c>
      <c r="AW1099" s="2" t="str">
        <f>IF(Registered!AV1099=0,"",IF(Registered!AV1099=1,Registered!AV1099&amp;" Meal",Registered!AV1099&amp;" Meals"))</f>
        <v/>
      </c>
      <c r="AX1099" s="2" t="str">
        <f>IF(Registered!AI1099=0,"",Registered!AI1099&amp;" BG")</f>
        <v/>
      </c>
      <c r="AY1099" s="2" t="str">
        <f>IF(Registered!AG1099=0,"",Registered!AG1099&amp;" DustMask")</f>
        <v/>
      </c>
    </row>
    <row r="1100" spans="1:51" customFormat="1" x14ac:dyDescent="0.25">
      <c r="A1100" t="s">
        <v>2248</v>
      </c>
      <c r="B1100" t="s">
        <v>420</v>
      </c>
      <c r="C1100" t="s">
        <v>6090</v>
      </c>
      <c r="G1100" t="s">
        <v>2611</v>
      </c>
      <c r="H1100" t="s">
        <v>1735</v>
      </c>
      <c r="I1100" t="s">
        <v>4731</v>
      </c>
      <c r="J1100" t="s">
        <v>37</v>
      </c>
      <c r="K1100" t="s">
        <v>32</v>
      </c>
      <c r="L1100" t="s">
        <v>35</v>
      </c>
      <c r="AQ1100">
        <v>0</v>
      </c>
      <c r="AR1100" s="3">
        <f t="shared" si="51"/>
        <v>0</v>
      </c>
      <c r="AS1100" s="3">
        <f t="shared" si="52"/>
        <v>0</v>
      </c>
      <c r="AT1100" s="3" t="str">
        <f>IF(OR(Registered!AM1100&gt;0,Registered!AO1100&gt;0),(IF(Registered!E1100=0,"Size Not Specified",Registered!E1100)),"")</f>
        <v/>
      </c>
      <c r="AU1100" s="3" t="str">
        <f>IF(Registered!AE1100=0,"",IF(Registered!AE1100=1,Registered!AE1100&amp;" Bandana",Registered!AE1100&amp;" Bandanas"))</f>
        <v/>
      </c>
      <c r="AV1100" s="3">
        <f t="shared" si="53"/>
        <v>0</v>
      </c>
      <c r="AW1100" s="2" t="str">
        <f>IF(Registered!AV1100=0,"",IF(Registered!AV1100=1,Registered!AV1100&amp;" Meal",Registered!AV1100&amp;" Meals"))</f>
        <v/>
      </c>
      <c r="AX1100" s="2" t="str">
        <f>IF(Registered!AI1100=0,"",Registered!AI1100&amp;" BG")</f>
        <v/>
      </c>
      <c r="AY1100" s="2" t="str">
        <f>IF(Registered!AG1100=0,"",Registered!AG1100&amp;" DustMask")</f>
        <v/>
      </c>
    </row>
    <row r="1101" spans="1:51" customFormat="1" x14ac:dyDescent="0.25">
      <c r="A1101" t="s">
        <v>296</v>
      </c>
      <c r="B1101" t="s">
        <v>4732</v>
      </c>
      <c r="C1101" t="s">
        <v>6090</v>
      </c>
      <c r="D1101" t="s">
        <v>4733</v>
      </c>
      <c r="E1101" t="s">
        <v>4521</v>
      </c>
      <c r="F1101" t="s">
        <v>261</v>
      </c>
      <c r="I1101" t="s">
        <v>4734</v>
      </c>
      <c r="J1101" t="s">
        <v>37</v>
      </c>
      <c r="K1101" t="s">
        <v>32</v>
      </c>
      <c r="L1101" t="s">
        <v>35</v>
      </c>
      <c r="Q1101">
        <v>1</v>
      </c>
      <c r="R1101">
        <v>3</v>
      </c>
      <c r="AM1101">
        <v>1</v>
      </c>
      <c r="AN1101">
        <v>25</v>
      </c>
      <c r="AQ1101">
        <v>28</v>
      </c>
      <c r="AR1101" s="3">
        <f t="shared" si="51"/>
        <v>5</v>
      </c>
      <c r="AS1101" s="3">
        <f t="shared" si="52"/>
        <v>1</v>
      </c>
      <c r="AT1101" s="3" t="str">
        <f>IF(OR(Registered!AM1101&gt;0,Registered!AO1101&gt;0),(IF(Registered!E1101=0,"Size Not Specified",Registered!E1101)),"")</f>
        <v>Extra Large</v>
      </c>
      <c r="AU1101" s="3" t="str">
        <f>IF(Registered!AE1101=0,"",IF(Registered!AE1101=1,Registered!AE1101&amp;" Bandana",Registered!AE1101&amp;" Bandanas"))</f>
        <v/>
      </c>
      <c r="AV1101" s="3">
        <f t="shared" si="53"/>
        <v>1</v>
      </c>
      <c r="AW1101" s="2" t="str">
        <f>IF(Registered!AV1101=0,"",IF(Registered!AV1101=1,Registered!AV1101&amp;" Meal",Registered!AV1101&amp;" Meals"))</f>
        <v>1 Meal</v>
      </c>
      <c r="AX1101" s="2" t="str">
        <f>IF(Registered!AI1101=0,"",Registered!AI1101&amp;" BG")</f>
        <v/>
      </c>
      <c r="AY1101" s="2" t="str">
        <f>IF(Registered!AG1101=0,"",Registered!AG1101&amp;" DustMask")</f>
        <v/>
      </c>
    </row>
    <row r="1102" spans="1:51" customFormat="1" x14ac:dyDescent="0.25">
      <c r="A1102" t="s">
        <v>157</v>
      </c>
      <c r="B1102" t="s">
        <v>1563</v>
      </c>
      <c r="C1102" t="s">
        <v>6090</v>
      </c>
      <c r="D1102" t="s">
        <v>1564</v>
      </c>
      <c r="I1102" t="s">
        <v>1565</v>
      </c>
      <c r="J1102" t="s">
        <v>37</v>
      </c>
      <c r="K1102" t="s">
        <v>32</v>
      </c>
      <c r="L1102" t="s">
        <v>35</v>
      </c>
      <c r="S1102">
        <v>3</v>
      </c>
      <c r="T1102">
        <v>3</v>
      </c>
      <c r="AC1102">
        <v>3</v>
      </c>
      <c r="AD1102">
        <v>10</v>
      </c>
      <c r="AK1102">
        <v>4</v>
      </c>
      <c r="AL1102">
        <v>6</v>
      </c>
      <c r="AQ1102">
        <v>63</v>
      </c>
      <c r="AR1102" s="3">
        <f t="shared" si="51"/>
        <v>15</v>
      </c>
      <c r="AS1102" s="3">
        <f t="shared" si="52"/>
        <v>0</v>
      </c>
      <c r="AT1102" s="3" t="str">
        <f>IF(OR(Registered!AM1102&gt;0,Registered!AO1102&gt;0),(IF(Registered!E1102=0,"Size Not Specified",Registered!E1102)),"")</f>
        <v/>
      </c>
      <c r="AU1102" s="3" t="str">
        <f>IF(Registered!AE1102=0,"",IF(Registered!AE1102=1,Registered!AE1102&amp;" Bandana",Registered!AE1102&amp;" Bandanas"))</f>
        <v/>
      </c>
      <c r="AV1102" s="3">
        <f t="shared" si="53"/>
        <v>4</v>
      </c>
      <c r="AW1102" s="2" t="str">
        <f>IF(Registered!AV1102=0,"",IF(Registered!AV1102=1,Registered!AV1102&amp;" Meal",Registered!AV1102&amp;" Meals"))</f>
        <v>4 Meals</v>
      </c>
      <c r="AX1102" s="2" t="str">
        <f>IF(Registered!AI1102=0,"",Registered!AI1102&amp;" BG")</f>
        <v/>
      </c>
      <c r="AY1102" s="2" t="str">
        <f>IF(Registered!AG1102=0,"",Registered!AG1102&amp;" DustMask")</f>
        <v/>
      </c>
    </row>
    <row r="1103" spans="1:51" customFormat="1" x14ac:dyDescent="0.25">
      <c r="A1103" t="s">
        <v>1566</v>
      </c>
      <c r="B1103" t="s">
        <v>1563</v>
      </c>
      <c r="C1103" t="s">
        <v>6090</v>
      </c>
      <c r="G1103" t="s">
        <v>157</v>
      </c>
      <c r="H1103" t="s">
        <v>1563</v>
      </c>
      <c r="I1103" t="s">
        <v>1565</v>
      </c>
      <c r="J1103" t="s">
        <v>37</v>
      </c>
      <c r="K1103" t="s">
        <v>32</v>
      </c>
      <c r="L1103" t="s">
        <v>35</v>
      </c>
      <c r="AQ1103">
        <v>0</v>
      </c>
      <c r="AR1103" s="3">
        <f t="shared" si="51"/>
        <v>0</v>
      </c>
      <c r="AS1103" s="3">
        <f t="shared" si="52"/>
        <v>0</v>
      </c>
      <c r="AT1103" s="3" t="str">
        <f>IF(OR(Registered!AM1103&gt;0,Registered!AO1103&gt;0),(IF(Registered!E1103=0,"Size Not Specified",Registered!E1103)),"")</f>
        <v/>
      </c>
      <c r="AU1103" s="3" t="str">
        <f>IF(Registered!AE1103=0,"",IF(Registered!AE1103=1,Registered!AE1103&amp;" Bandana",Registered!AE1103&amp;" Bandanas"))</f>
        <v/>
      </c>
      <c r="AV1103" s="3">
        <f t="shared" si="53"/>
        <v>0</v>
      </c>
      <c r="AW1103" s="2" t="str">
        <f>IF(Registered!AV1103=0,"",IF(Registered!AV1103=1,Registered!AV1103&amp;" Meal",Registered!AV1103&amp;" Meals"))</f>
        <v/>
      </c>
      <c r="AX1103" s="2" t="str">
        <f>IF(Registered!AI1103=0,"",Registered!AI1103&amp;" BG")</f>
        <v/>
      </c>
      <c r="AY1103" s="2" t="str">
        <f>IF(Registered!AG1103=0,"",Registered!AG1103&amp;" DustMask")</f>
        <v/>
      </c>
    </row>
    <row r="1104" spans="1:51" customFormat="1" x14ac:dyDescent="0.25">
      <c r="A1104" t="s">
        <v>1567</v>
      </c>
      <c r="B1104" t="s">
        <v>1568</v>
      </c>
      <c r="C1104" t="s">
        <v>6090</v>
      </c>
      <c r="G1104" t="s">
        <v>398</v>
      </c>
      <c r="H1104" t="s">
        <v>1136</v>
      </c>
      <c r="I1104" t="s">
        <v>1138</v>
      </c>
      <c r="J1104" t="s">
        <v>37</v>
      </c>
      <c r="K1104" t="s">
        <v>32</v>
      </c>
      <c r="L1104" t="s">
        <v>35</v>
      </c>
      <c r="AQ1104">
        <v>0</v>
      </c>
      <c r="AR1104" s="3">
        <f t="shared" si="51"/>
        <v>0</v>
      </c>
      <c r="AS1104" s="3">
        <f t="shared" si="52"/>
        <v>0</v>
      </c>
      <c r="AT1104" s="3" t="str">
        <f>IF(OR(Registered!AM1104&gt;0,Registered!AO1104&gt;0),(IF(Registered!E1104=0,"Size Not Specified",Registered!E1104)),"")</f>
        <v/>
      </c>
      <c r="AU1104" s="3" t="str">
        <f>IF(Registered!AE1104=0,"",IF(Registered!AE1104=1,Registered!AE1104&amp;" Bandana",Registered!AE1104&amp;" Bandanas"))</f>
        <v/>
      </c>
      <c r="AV1104" s="3">
        <f t="shared" si="53"/>
        <v>0</v>
      </c>
      <c r="AW1104" s="2" t="str">
        <f>IF(Registered!AV1104=0,"",IF(Registered!AV1104=1,Registered!AV1104&amp;" Meal",Registered!AV1104&amp;" Meals"))</f>
        <v/>
      </c>
      <c r="AX1104" s="2" t="str">
        <f>IF(Registered!AI1104=0,"",Registered!AI1104&amp;" BG")</f>
        <v/>
      </c>
      <c r="AY1104" s="2" t="str">
        <f>IF(Registered!AG1104=0,"",Registered!AG1104&amp;" DustMask")</f>
        <v/>
      </c>
    </row>
    <row r="1105" spans="1:51" customFormat="1" x14ac:dyDescent="0.25">
      <c r="A1105" t="s">
        <v>79</v>
      </c>
      <c r="B1105" t="s">
        <v>2912</v>
      </c>
      <c r="C1105" t="s">
        <v>6090</v>
      </c>
      <c r="D1105" t="s">
        <v>3046</v>
      </c>
      <c r="F1105" t="s">
        <v>261</v>
      </c>
      <c r="I1105" t="s">
        <v>2913</v>
      </c>
      <c r="J1105" t="s">
        <v>37</v>
      </c>
      <c r="K1105" t="s">
        <v>32</v>
      </c>
      <c r="L1105" t="s">
        <v>35</v>
      </c>
      <c r="Q1105">
        <v>2</v>
      </c>
      <c r="R1105">
        <v>3</v>
      </c>
      <c r="Y1105">
        <v>1</v>
      </c>
      <c r="Z1105">
        <v>60</v>
      </c>
      <c r="AQ1105">
        <v>66</v>
      </c>
      <c r="AR1105" s="3">
        <f t="shared" si="51"/>
        <v>30</v>
      </c>
      <c r="AS1105" s="3">
        <f t="shared" si="52"/>
        <v>0</v>
      </c>
      <c r="AT1105" s="3" t="str">
        <f>IF(OR(Registered!AM1105&gt;0,Registered!AO1105&gt;0),(IF(Registered!E1105=0,"Size Not Specified",Registered!E1105)),"")</f>
        <v/>
      </c>
      <c r="AU1105" s="3" t="str">
        <f>IF(Registered!AE1105=0,"",IF(Registered!AE1105=1,Registered!AE1105&amp;" Bandana",Registered!AE1105&amp;" Bandanas"))</f>
        <v/>
      </c>
      <c r="AV1105" s="3">
        <f t="shared" si="53"/>
        <v>0</v>
      </c>
      <c r="AW1105" s="2" t="str">
        <f>IF(Registered!AV1105=0,"",IF(Registered!AV1105=1,Registered!AV1105&amp;" Meal",Registered!AV1105&amp;" Meals"))</f>
        <v/>
      </c>
      <c r="AX1105" s="2" t="str">
        <f>IF(Registered!AI1105=0,"",Registered!AI1105&amp;" BG")</f>
        <v/>
      </c>
      <c r="AY1105" s="2" t="str">
        <f>IF(Registered!AG1105=0,"",Registered!AG1105&amp;" DustMask")</f>
        <v/>
      </c>
    </row>
    <row r="1106" spans="1:51" customFormat="1" x14ac:dyDescent="0.25">
      <c r="A1106" t="s">
        <v>93</v>
      </c>
      <c r="B1106" t="s">
        <v>3047</v>
      </c>
      <c r="C1106" t="s">
        <v>6090</v>
      </c>
      <c r="D1106" t="s">
        <v>3048</v>
      </c>
      <c r="F1106" t="s">
        <v>261</v>
      </c>
      <c r="I1106" t="s">
        <v>3049</v>
      </c>
      <c r="J1106" t="s">
        <v>37</v>
      </c>
      <c r="K1106" t="s">
        <v>32</v>
      </c>
      <c r="L1106" t="s">
        <v>35</v>
      </c>
      <c r="Q1106">
        <v>1</v>
      </c>
      <c r="R1106">
        <v>3</v>
      </c>
      <c r="Y1106">
        <v>1</v>
      </c>
      <c r="Z1106">
        <v>60</v>
      </c>
      <c r="AG1106">
        <v>2</v>
      </c>
      <c r="AH1106">
        <v>1</v>
      </c>
      <c r="AQ1106">
        <v>65</v>
      </c>
      <c r="AR1106" s="3">
        <f t="shared" si="51"/>
        <v>30</v>
      </c>
      <c r="AS1106" s="3">
        <f t="shared" si="52"/>
        <v>0</v>
      </c>
      <c r="AT1106" s="3" t="str">
        <f>IF(OR(Registered!AM1106&gt;0,Registered!AO1106&gt;0),(IF(Registered!E1106=0,"Size Not Specified",Registered!E1106)),"")</f>
        <v/>
      </c>
      <c r="AU1106" s="3" t="str">
        <f>IF(Registered!AE1106=0,"",IF(Registered!AE1106=1,Registered!AE1106&amp;" Bandana",Registered!AE1106&amp;" Bandanas"))</f>
        <v/>
      </c>
      <c r="AV1106" s="3">
        <f t="shared" si="53"/>
        <v>0</v>
      </c>
      <c r="AW1106" s="2" t="str">
        <f>IF(Registered!AV1106=0,"",IF(Registered!AV1106=1,Registered!AV1106&amp;" Meal",Registered!AV1106&amp;" Meals"))</f>
        <v/>
      </c>
      <c r="AX1106" s="2" t="str">
        <f>IF(Registered!AI1106=0,"",Registered!AI1106&amp;" BG")</f>
        <v/>
      </c>
      <c r="AY1106" s="2" t="str">
        <f>IF(Registered!AG1106=0,"",Registered!AG1106&amp;" DustMask")</f>
        <v>2 DustMask</v>
      </c>
    </row>
    <row r="1107" spans="1:51" customFormat="1" x14ac:dyDescent="0.25">
      <c r="A1107" t="s">
        <v>199</v>
      </c>
      <c r="B1107" t="s">
        <v>3877</v>
      </c>
      <c r="C1107" t="s">
        <v>6090</v>
      </c>
      <c r="D1107" t="s">
        <v>4735</v>
      </c>
      <c r="E1107" t="s">
        <v>67</v>
      </c>
      <c r="F1107" t="s">
        <v>261</v>
      </c>
      <c r="I1107" t="s">
        <v>3878</v>
      </c>
      <c r="J1107" t="s">
        <v>37</v>
      </c>
      <c r="K1107" t="s">
        <v>32</v>
      </c>
      <c r="L1107" t="s">
        <v>35</v>
      </c>
      <c r="Q1107">
        <v>2</v>
      </c>
      <c r="R1107">
        <v>3</v>
      </c>
      <c r="AE1107">
        <v>2</v>
      </c>
      <c r="AF1107">
        <v>6</v>
      </c>
      <c r="AM1107">
        <v>1</v>
      </c>
      <c r="AN1107">
        <v>25</v>
      </c>
      <c r="AO1107">
        <v>1</v>
      </c>
      <c r="AP1107">
        <v>10</v>
      </c>
      <c r="AQ1107">
        <v>53</v>
      </c>
      <c r="AR1107" s="3">
        <f t="shared" si="51"/>
        <v>5</v>
      </c>
      <c r="AS1107" s="3">
        <f t="shared" si="52"/>
        <v>2</v>
      </c>
      <c r="AT1107" s="3" t="str">
        <f>IF(OR(Registered!AM1107&gt;0,Registered!AO1107&gt;0),(IF(Registered!E1107=0,"Size Not Specified",Registered!E1107)),"")</f>
        <v>medium</v>
      </c>
      <c r="AU1107" s="3" t="str">
        <f>IF(Registered!AE1107=0,"",IF(Registered!AE1107=1,Registered!AE1107&amp;" Bandana",Registered!AE1107&amp;" Bandanas"))</f>
        <v>2 Bandanas</v>
      </c>
      <c r="AV1107" s="3">
        <f t="shared" si="53"/>
        <v>1</v>
      </c>
      <c r="AW1107" s="2" t="str">
        <f>IF(Registered!AV1107=0,"",IF(Registered!AV1107=1,Registered!AV1107&amp;" Meal",Registered!AV1107&amp;" Meals"))</f>
        <v>1 Meal</v>
      </c>
      <c r="AX1107" s="2" t="str">
        <f>IF(Registered!AI1107=0,"",Registered!AI1107&amp;" BG")</f>
        <v/>
      </c>
      <c r="AY1107" s="2" t="str">
        <f>IF(Registered!AG1107=0,"",Registered!AG1107&amp;" DustMask")</f>
        <v/>
      </c>
    </row>
    <row r="1108" spans="1:51" customFormat="1" x14ac:dyDescent="0.25">
      <c r="A1108" t="s">
        <v>78</v>
      </c>
      <c r="B1108" t="s">
        <v>4736</v>
      </c>
      <c r="C1108" t="s">
        <v>6090</v>
      </c>
      <c r="D1108" t="s">
        <v>4737</v>
      </c>
      <c r="F1108" t="s">
        <v>261</v>
      </c>
      <c r="I1108" t="s">
        <v>4738</v>
      </c>
      <c r="J1108" t="s">
        <v>37</v>
      </c>
      <c r="K1108" t="s">
        <v>32</v>
      </c>
      <c r="L1108" t="s">
        <v>35</v>
      </c>
      <c r="Q1108">
        <v>1</v>
      </c>
      <c r="R1108">
        <v>3</v>
      </c>
      <c r="AQ1108">
        <v>3</v>
      </c>
      <c r="AR1108" s="3">
        <f t="shared" si="51"/>
        <v>0</v>
      </c>
      <c r="AS1108" s="3">
        <f t="shared" si="52"/>
        <v>0</v>
      </c>
      <c r="AT1108" s="3" t="str">
        <f>IF(OR(Registered!AM1108&gt;0,Registered!AO1108&gt;0),(IF(Registered!E1108=0,"Size Not Specified",Registered!E1108)),"")</f>
        <v/>
      </c>
      <c r="AU1108" s="3" t="str">
        <f>IF(Registered!AE1108=0,"",IF(Registered!AE1108=1,Registered!AE1108&amp;" Bandana",Registered!AE1108&amp;" Bandanas"))</f>
        <v/>
      </c>
      <c r="AV1108" s="3">
        <f t="shared" si="53"/>
        <v>0</v>
      </c>
      <c r="AW1108" s="2" t="str">
        <f>IF(Registered!AV1108=0,"",IF(Registered!AV1108=1,Registered!AV1108&amp;" Meal",Registered!AV1108&amp;" Meals"))</f>
        <v/>
      </c>
      <c r="AX1108" s="2" t="str">
        <f>IF(Registered!AI1108=0,"",Registered!AI1108&amp;" BG")</f>
        <v/>
      </c>
      <c r="AY1108" s="2" t="str">
        <f>IF(Registered!AG1108=0,"",Registered!AG1108&amp;" DustMask")</f>
        <v/>
      </c>
    </row>
    <row r="1109" spans="1:51" customFormat="1" x14ac:dyDescent="0.25">
      <c r="A1109" t="s">
        <v>226</v>
      </c>
      <c r="B1109" t="s">
        <v>1569</v>
      </c>
      <c r="C1109" t="s">
        <v>6090</v>
      </c>
      <c r="G1109" t="s">
        <v>56</v>
      </c>
      <c r="H1109" t="s">
        <v>735</v>
      </c>
      <c r="I1109" t="s">
        <v>736</v>
      </c>
      <c r="J1109" t="s">
        <v>37</v>
      </c>
      <c r="K1109" t="s">
        <v>32</v>
      </c>
      <c r="L1109" t="s">
        <v>35</v>
      </c>
      <c r="AQ1109">
        <v>0</v>
      </c>
      <c r="AR1109" s="3">
        <f t="shared" si="51"/>
        <v>0</v>
      </c>
      <c r="AS1109" s="3">
        <f t="shared" si="52"/>
        <v>0</v>
      </c>
      <c r="AT1109" s="3" t="str">
        <f>IF(OR(Registered!AM1109&gt;0,Registered!AO1109&gt;0),(IF(Registered!E1109=0,"Size Not Specified",Registered!E1109)),"")</f>
        <v/>
      </c>
      <c r="AU1109" s="3" t="str">
        <f>IF(Registered!AE1109=0,"",IF(Registered!AE1109=1,Registered!AE1109&amp;" Bandana",Registered!AE1109&amp;" Bandanas"))</f>
        <v/>
      </c>
      <c r="AV1109" s="3">
        <f t="shared" si="53"/>
        <v>0</v>
      </c>
      <c r="AW1109" s="2" t="str">
        <f>IF(Registered!AV1109=0,"",IF(Registered!AV1109=1,Registered!AV1109&amp;" Meal",Registered!AV1109&amp;" Meals"))</f>
        <v/>
      </c>
      <c r="AX1109" s="2" t="str">
        <f>IF(Registered!AI1109=0,"",Registered!AI1109&amp;" BG")</f>
        <v/>
      </c>
      <c r="AY1109" s="2" t="str">
        <f>IF(Registered!AG1109=0,"",Registered!AG1109&amp;" DustMask")</f>
        <v/>
      </c>
    </row>
    <row r="1110" spans="1:51" customFormat="1" x14ac:dyDescent="0.25">
      <c r="A1110" t="s">
        <v>3050</v>
      </c>
      <c r="B1110" t="s">
        <v>3051</v>
      </c>
      <c r="C1110" t="s">
        <v>6090</v>
      </c>
      <c r="D1110" t="s">
        <v>57</v>
      </c>
      <c r="E1110" t="s">
        <v>1056</v>
      </c>
      <c r="F1110" t="s">
        <v>261</v>
      </c>
      <c r="I1110" t="s">
        <v>3052</v>
      </c>
      <c r="J1110" t="s">
        <v>37</v>
      </c>
      <c r="K1110" t="s">
        <v>32</v>
      </c>
      <c r="L1110" t="s">
        <v>35</v>
      </c>
      <c r="Q1110">
        <v>1</v>
      </c>
      <c r="R1110">
        <v>3</v>
      </c>
      <c r="AC1110">
        <v>1</v>
      </c>
      <c r="AD1110">
        <v>10</v>
      </c>
      <c r="AO1110">
        <v>1</v>
      </c>
      <c r="AP1110">
        <v>10</v>
      </c>
      <c r="AQ1110">
        <v>23</v>
      </c>
      <c r="AR1110" s="3">
        <f t="shared" si="51"/>
        <v>5</v>
      </c>
      <c r="AS1110" s="3">
        <f t="shared" si="52"/>
        <v>1</v>
      </c>
      <c r="AT1110" s="3" t="str">
        <f>IF(OR(Registered!AM1110&gt;0,Registered!AO1110&gt;0),(IF(Registered!E1110=0,"Size Not Specified",Registered!E1110)),"")</f>
        <v>Adult Small</v>
      </c>
      <c r="AU1110" s="3" t="str">
        <f>IF(Registered!AE1110=0,"",IF(Registered!AE1110=1,Registered!AE1110&amp;" Bandana",Registered!AE1110&amp;" Bandanas"))</f>
        <v/>
      </c>
      <c r="AV1110" s="3">
        <f t="shared" si="53"/>
        <v>0</v>
      </c>
      <c r="AW1110" s="2" t="str">
        <f>IF(Registered!AV1110=0,"",IF(Registered!AV1110=1,Registered!AV1110&amp;" Meal",Registered!AV1110&amp;" Meals"))</f>
        <v/>
      </c>
      <c r="AX1110" s="2" t="str">
        <f>IF(Registered!AI1110=0,"",Registered!AI1110&amp;" BG")</f>
        <v/>
      </c>
      <c r="AY1110" s="2" t="str">
        <f>IF(Registered!AG1110=0,"",Registered!AG1110&amp;" DustMask")</f>
        <v/>
      </c>
    </row>
    <row r="1111" spans="1:51" customFormat="1" x14ac:dyDescent="0.25">
      <c r="A1111" t="s">
        <v>3053</v>
      </c>
      <c r="B1111" t="s">
        <v>3051</v>
      </c>
      <c r="C1111" t="s">
        <v>6090</v>
      </c>
      <c r="G1111" t="s">
        <v>2055</v>
      </c>
      <c r="H1111" t="s">
        <v>362</v>
      </c>
      <c r="I1111" t="s">
        <v>3054</v>
      </c>
      <c r="J1111" t="s">
        <v>37</v>
      </c>
      <c r="K1111" t="s">
        <v>32</v>
      </c>
      <c r="L1111" t="s">
        <v>35</v>
      </c>
      <c r="AQ1111">
        <v>0</v>
      </c>
      <c r="AR1111" s="3">
        <f t="shared" si="51"/>
        <v>0</v>
      </c>
      <c r="AS1111" s="3">
        <f t="shared" si="52"/>
        <v>0</v>
      </c>
      <c r="AT1111" s="3" t="str">
        <f>IF(OR(Registered!AM1111&gt;0,Registered!AO1111&gt;0),(IF(Registered!E1111=0,"Size Not Specified",Registered!E1111)),"")</f>
        <v/>
      </c>
      <c r="AU1111" s="3" t="str">
        <f>IF(Registered!AE1111=0,"",IF(Registered!AE1111=1,Registered!AE1111&amp;" Bandana",Registered!AE1111&amp;" Bandanas"))</f>
        <v/>
      </c>
      <c r="AV1111" s="3">
        <f t="shared" si="53"/>
        <v>0</v>
      </c>
      <c r="AW1111" s="2" t="str">
        <f>IF(Registered!AV1111=0,"",IF(Registered!AV1111=1,Registered!AV1111&amp;" Meal",Registered!AV1111&amp;" Meals"))</f>
        <v/>
      </c>
      <c r="AX1111" s="2" t="str">
        <f>IF(Registered!AI1111=0,"",Registered!AI1111&amp;" BG")</f>
        <v/>
      </c>
      <c r="AY1111" s="2" t="str">
        <f>IF(Registered!AG1111=0,"",Registered!AG1111&amp;" DustMask")</f>
        <v/>
      </c>
    </row>
    <row r="1112" spans="1:51" customFormat="1" x14ac:dyDescent="0.25">
      <c r="A1112" t="s">
        <v>62</v>
      </c>
      <c r="B1112" t="s">
        <v>4474</v>
      </c>
      <c r="C1112" t="s">
        <v>6090</v>
      </c>
      <c r="D1112" t="s">
        <v>4739</v>
      </c>
      <c r="F1112" t="s">
        <v>261</v>
      </c>
      <c r="I1112" t="s">
        <v>4475</v>
      </c>
      <c r="J1112" t="s">
        <v>37</v>
      </c>
      <c r="K1112" t="s">
        <v>32</v>
      </c>
      <c r="L1112" t="s">
        <v>35</v>
      </c>
      <c r="Q1112">
        <v>3</v>
      </c>
      <c r="R1112">
        <v>3</v>
      </c>
      <c r="U1112">
        <v>1</v>
      </c>
      <c r="V1112">
        <v>20</v>
      </c>
      <c r="AK1112">
        <v>2</v>
      </c>
      <c r="AL1112">
        <v>6</v>
      </c>
      <c r="AQ1112">
        <v>41</v>
      </c>
      <c r="AR1112" s="3">
        <f t="shared" si="51"/>
        <v>10</v>
      </c>
      <c r="AS1112" s="3">
        <f t="shared" si="52"/>
        <v>0</v>
      </c>
      <c r="AT1112" s="3" t="str">
        <f>IF(OR(Registered!AM1112&gt;0,Registered!AO1112&gt;0),(IF(Registered!E1112=0,"Size Not Specified",Registered!E1112)),"")</f>
        <v/>
      </c>
      <c r="AU1112" s="3" t="str">
        <f>IF(Registered!AE1112=0,"",IF(Registered!AE1112=1,Registered!AE1112&amp;" Bandana",Registered!AE1112&amp;" Bandanas"))</f>
        <v/>
      </c>
      <c r="AV1112" s="3">
        <f t="shared" si="53"/>
        <v>2</v>
      </c>
      <c r="AW1112" s="2" t="str">
        <f>IF(Registered!AV1112=0,"",IF(Registered!AV1112=1,Registered!AV1112&amp;" Meal",Registered!AV1112&amp;" Meals"))</f>
        <v>2 Meals</v>
      </c>
      <c r="AX1112" s="2" t="str">
        <f>IF(Registered!AI1112=0,"",Registered!AI1112&amp;" BG")</f>
        <v/>
      </c>
      <c r="AY1112" s="2" t="str">
        <f>IF(Registered!AG1112=0,"",Registered!AG1112&amp;" DustMask")</f>
        <v/>
      </c>
    </row>
    <row r="1113" spans="1:51" customFormat="1" x14ac:dyDescent="0.25">
      <c r="A1113" t="s">
        <v>1570</v>
      </c>
      <c r="B1113" t="s">
        <v>1571</v>
      </c>
      <c r="C1113" t="s">
        <v>6090</v>
      </c>
      <c r="D1113" t="s">
        <v>1572</v>
      </c>
      <c r="E1113" t="s">
        <v>1573</v>
      </c>
      <c r="F1113" t="s">
        <v>261</v>
      </c>
      <c r="I1113" t="s">
        <v>1574</v>
      </c>
      <c r="J1113" t="s">
        <v>37</v>
      </c>
      <c r="K1113" t="s">
        <v>32</v>
      </c>
      <c r="L1113" t="s">
        <v>35</v>
      </c>
      <c r="S1113">
        <v>1</v>
      </c>
      <c r="T1113">
        <v>3</v>
      </c>
      <c r="AE1113">
        <v>1</v>
      </c>
      <c r="AF1113">
        <v>6</v>
      </c>
      <c r="AM1113">
        <v>1</v>
      </c>
      <c r="AN1113">
        <v>25</v>
      </c>
      <c r="AQ1113">
        <v>34</v>
      </c>
      <c r="AR1113" s="3">
        <f t="shared" si="51"/>
        <v>5</v>
      </c>
      <c r="AS1113" s="3">
        <f t="shared" si="52"/>
        <v>1</v>
      </c>
      <c r="AT1113" s="3" t="str">
        <f>IF(OR(Registered!AM1113&gt;0,Registered!AO1113&gt;0),(IF(Registered!E1113=0,"Size Not Specified",Registered!E1113)),"")</f>
        <v>Large (mens)</v>
      </c>
      <c r="AU1113" s="3" t="str">
        <f>IF(Registered!AE1113=0,"",IF(Registered!AE1113=1,Registered!AE1113&amp;" Bandana",Registered!AE1113&amp;" Bandanas"))</f>
        <v>1 Bandana</v>
      </c>
      <c r="AV1113" s="3">
        <f t="shared" si="53"/>
        <v>1</v>
      </c>
      <c r="AW1113" s="2" t="str">
        <f>IF(Registered!AV1113=0,"",IF(Registered!AV1113=1,Registered!AV1113&amp;" Meal",Registered!AV1113&amp;" Meals"))</f>
        <v>1 Meal</v>
      </c>
      <c r="AX1113" s="2" t="str">
        <f>IF(Registered!AI1113=0,"",Registered!AI1113&amp;" BG")</f>
        <v/>
      </c>
      <c r="AY1113" s="2" t="str">
        <f>IF(Registered!AG1113=0,"",Registered!AG1113&amp;" DustMask")</f>
        <v/>
      </c>
    </row>
    <row r="1114" spans="1:51" customFormat="1" x14ac:dyDescent="0.25">
      <c r="A1114" t="s">
        <v>79</v>
      </c>
      <c r="B1114" t="s">
        <v>4740</v>
      </c>
      <c r="C1114" t="s">
        <v>6090</v>
      </c>
      <c r="D1114" t="s">
        <v>4741</v>
      </c>
      <c r="F1114" t="s">
        <v>261</v>
      </c>
      <c r="I1114" t="s">
        <v>4742</v>
      </c>
      <c r="J1114" t="s">
        <v>37</v>
      </c>
      <c r="K1114" t="s">
        <v>32</v>
      </c>
      <c r="L1114" t="s">
        <v>35</v>
      </c>
      <c r="Q1114">
        <v>2</v>
      </c>
      <c r="R1114">
        <v>3</v>
      </c>
      <c r="U1114">
        <v>1</v>
      </c>
      <c r="V1114">
        <v>20</v>
      </c>
      <c r="AC1114">
        <v>1</v>
      </c>
      <c r="AD1114">
        <v>10</v>
      </c>
      <c r="AQ1114">
        <v>36</v>
      </c>
      <c r="AR1114" s="3">
        <f t="shared" si="51"/>
        <v>15</v>
      </c>
      <c r="AS1114" s="3">
        <f t="shared" si="52"/>
        <v>0</v>
      </c>
      <c r="AT1114" s="3" t="str">
        <f>IF(OR(Registered!AM1114&gt;0,Registered!AO1114&gt;0),(IF(Registered!E1114=0,"Size Not Specified",Registered!E1114)),"")</f>
        <v/>
      </c>
      <c r="AU1114" s="3" t="str">
        <f>IF(Registered!AE1114=0,"",IF(Registered!AE1114=1,Registered!AE1114&amp;" Bandana",Registered!AE1114&amp;" Bandanas"))</f>
        <v/>
      </c>
      <c r="AV1114" s="3">
        <f t="shared" si="53"/>
        <v>0</v>
      </c>
      <c r="AW1114" s="2" t="str">
        <f>IF(Registered!AV1114=0,"",IF(Registered!AV1114=1,Registered!AV1114&amp;" Meal",Registered!AV1114&amp;" Meals"))</f>
        <v/>
      </c>
      <c r="AX1114" s="2" t="str">
        <f>IF(Registered!AI1114=0,"",Registered!AI1114&amp;" BG")</f>
        <v/>
      </c>
      <c r="AY1114" s="2" t="str">
        <f>IF(Registered!AG1114=0,"",Registered!AG1114&amp;" DustMask")</f>
        <v/>
      </c>
    </row>
    <row r="1115" spans="1:51" customFormat="1" x14ac:dyDescent="0.25">
      <c r="A1115" t="s">
        <v>2959</v>
      </c>
      <c r="B1115" t="s">
        <v>4740</v>
      </c>
      <c r="C1115" t="s">
        <v>6090</v>
      </c>
      <c r="G1115" t="s">
        <v>3766</v>
      </c>
      <c r="H1115" t="s">
        <v>3767</v>
      </c>
      <c r="I1115" t="s">
        <v>3768</v>
      </c>
      <c r="J1115" t="s">
        <v>37</v>
      </c>
      <c r="K1115" t="s">
        <v>32</v>
      </c>
      <c r="L1115" t="s">
        <v>35</v>
      </c>
      <c r="AQ1115">
        <v>0</v>
      </c>
      <c r="AR1115" s="3">
        <f t="shared" si="51"/>
        <v>0</v>
      </c>
      <c r="AS1115" s="3">
        <f t="shared" si="52"/>
        <v>0</v>
      </c>
      <c r="AT1115" s="3" t="str">
        <f>IF(OR(Registered!AM1115&gt;0,Registered!AO1115&gt;0),(IF(Registered!E1115=0,"Size Not Specified",Registered!E1115)),"")</f>
        <v/>
      </c>
      <c r="AU1115" s="3" t="str">
        <f>IF(Registered!AE1115=0,"",IF(Registered!AE1115=1,Registered!AE1115&amp;" Bandana",Registered!AE1115&amp;" Bandanas"))</f>
        <v/>
      </c>
      <c r="AV1115" s="3">
        <f t="shared" si="53"/>
        <v>0</v>
      </c>
      <c r="AW1115" s="2" t="str">
        <f>IF(Registered!AV1115=0,"",IF(Registered!AV1115=1,Registered!AV1115&amp;" Meal",Registered!AV1115&amp;" Meals"))</f>
        <v/>
      </c>
      <c r="AX1115" s="2" t="str">
        <f>IF(Registered!AI1115=0,"",Registered!AI1115&amp;" BG")</f>
        <v/>
      </c>
      <c r="AY1115" s="2" t="str">
        <f>IF(Registered!AG1115=0,"",Registered!AG1115&amp;" DustMask")</f>
        <v/>
      </c>
    </row>
    <row r="1116" spans="1:51" customFormat="1" x14ac:dyDescent="0.25">
      <c r="A1116" t="s">
        <v>3055</v>
      </c>
      <c r="B1116" t="s">
        <v>3056</v>
      </c>
      <c r="C1116" t="s">
        <v>6090</v>
      </c>
      <c r="I1116" t="s">
        <v>3057</v>
      </c>
      <c r="J1116" t="s">
        <v>37</v>
      </c>
      <c r="K1116" t="s">
        <v>32</v>
      </c>
      <c r="L1116" t="s">
        <v>35</v>
      </c>
      <c r="Q1116">
        <v>2</v>
      </c>
      <c r="R1116">
        <v>3</v>
      </c>
      <c r="AC1116">
        <v>2</v>
      </c>
      <c r="AD1116">
        <v>10</v>
      </c>
      <c r="AQ1116">
        <v>26</v>
      </c>
      <c r="AR1116" s="3">
        <f t="shared" si="51"/>
        <v>10</v>
      </c>
      <c r="AS1116" s="3">
        <f t="shared" si="52"/>
        <v>0</v>
      </c>
      <c r="AT1116" s="3" t="str">
        <f>IF(OR(Registered!AM1116&gt;0,Registered!AO1116&gt;0),(IF(Registered!E1116=0,"Size Not Specified",Registered!E1116)),"")</f>
        <v/>
      </c>
      <c r="AU1116" s="3" t="str">
        <f>IF(Registered!AE1116=0,"",IF(Registered!AE1116=1,Registered!AE1116&amp;" Bandana",Registered!AE1116&amp;" Bandanas"))</f>
        <v/>
      </c>
      <c r="AV1116" s="3">
        <f t="shared" si="53"/>
        <v>0</v>
      </c>
      <c r="AW1116" s="2" t="str">
        <f>IF(Registered!AV1116=0,"",IF(Registered!AV1116=1,Registered!AV1116&amp;" Meal",Registered!AV1116&amp;" Meals"))</f>
        <v/>
      </c>
      <c r="AX1116" s="2" t="str">
        <f>IF(Registered!AI1116=0,"",Registered!AI1116&amp;" BG")</f>
        <v/>
      </c>
      <c r="AY1116" s="2" t="str">
        <f>IF(Registered!AG1116=0,"",Registered!AG1116&amp;" DustMask")</f>
        <v/>
      </c>
    </row>
    <row r="1117" spans="1:51" customFormat="1" x14ac:dyDescent="0.25">
      <c r="A1117" t="s">
        <v>1575</v>
      </c>
      <c r="B1117" t="s">
        <v>1576</v>
      </c>
      <c r="C1117" t="s">
        <v>6090</v>
      </c>
      <c r="G1117" t="s">
        <v>100</v>
      </c>
      <c r="H1117" t="s">
        <v>1317</v>
      </c>
      <c r="I1117" t="s">
        <v>1318</v>
      </c>
      <c r="J1117" t="s">
        <v>37</v>
      </c>
      <c r="K1117" t="s">
        <v>32</v>
      </c>
      <c r="L1117" t="s">
        <v>35</v>
      </c>
      <c r="AQ1117">
        <v>0</v>
      </c>
      <c r="AR1117" s="3">
        <f t="shared" si="51"/>
        <v>0</v>
      </c>
      <c r="AS1117" s="3">
        <f t="shared" si="52"/>
        <v>0</v>
      </c>
      <c r="AT1117" s="3" t="str">
        <f>IF(OR(Registered!AM1117&gt;0,Registered!AO1117&gt;0),(IF(Registered!E1117=0,"Size Not Specified",Registered!E1117)),"")</f>
        <v/>
      </c>
      <c r="AU1117" s="3" t="str">
        <f>IF(Registered!AE1117=0,"",IF(Registered!AE1117=1,Registered!AE1117&amp;" Bandana",Registered!AE1117&amp;" Bandanas"))</f>
        <v/>
      </c>
      <c r="AV1117" s="3">
        <f t="shared" si="53"/>
        <v>0</v>
      </c>
      <c r="AW1117" s="2" t="str">
        <f>IF(Registered!AV1117=0,"",IF(Registered!AV1117=1,Registered!AV1117&amp;" Meal",Registered!AV1117&amp;" Meals"))</f>
        <v/>
      </c>
      <c r="AX1117" s="2" t="str">
        <f>IF(Registered!AI1117=0,"",Registered!AI1117&amp;" BG")</f>
        <v/>
      </c>
      <c r="AY1117" s="2" t="str">
        <f>IF(Registered!AG1117=0,"",Registered!AG1117&amp;" DustMask")</f>
        <v/>
      </c>
    </row>
    <row r="1118" spans="1:51" customFormat="1" x14ac:dyDescent="0.25">
      <c r="A1118" t="s">
        <v>3659</v>
      </c>
      <c r="B1118" t="s">
        <v>1456</v>
      </c>
      <c r="C1118" t="s">
        <v>6090</v>
      </c>
      <c r="D1118" t="s">
        <v>4746</v>
      </c>
      <c r="F1118" t="s">
        <v>261</v>
      </c>
      <c r="I1118" t="s">
        <v>3669</v>
      </c>
      <c r="J1118" t="s">
        <v>37</v>
      </c>
      <c r="K1118" t="s">
        <v>32</v>
      </c>
      <c r="L1118" t="s">
        <v>35</v>
      </c>
      <c r="Q1118">
        <v>3</v>
      </c>
      <c r="R1118">
        <v>3</v>
      </c>
      <c r="AC1118">
        <v>1</v>
      </c>
      <c r="AD1118">
        <v>10</v>
      </c>
      <c r="AQ1118">
        <v>19</v>
      </c>
      <c r="AR1118" s="3">
        <f t="shared" si="51"/>
        <v>5</v>
      </c>
      <c r="AS1118" s="3">
        <f t="shared" si="52"/>
        <v>0</v>
      </c>
      <c r="AT1118" s="3" t="str">
        <f>IF(OR(Registered!AM1118&gt;0,Registered!AO1118&gt;0),(IF(Registered!E1118=0,"Size Not Specified",Registered!E1118)),"")</f>
        <v/>
      </c>
      <c r="AU1118" s="3" t="str">
        <f>IF(Registered!AE1118=0,"",IF(Registered!AE1118=1,Registered!AE1118&amp;" Bandana",Registered!AE1118&amp;" Bandanas"))</f>
        <v/>
      </c>
      <c r="AV1118" s="3">
        <f t="shared" si="53"/>
        <v>0</v>
      </c>
      <c r="AW1118" s="2" t="str">
        <f>IF(Registered!AV1118=0,"",IF(Registered!AV1118=1,Registered!AV1118&amp;" Meal",Registered!AV1118&amp;" Meals"))</f>
        <v/>
      </c>
      <c r="AX1118" s="2" t="str">
        <f>IF(Registered!AI1118=0,"",Registered!AI1118&amp;" BG")</f>
        <v/>
      </c>
      <c r="AY1118" s="2" t="str">
        <f>IF(Registered!AG1118=0,"",Registered!AG1118&amp;" DustMask")</f>
        <v/>
      </c>
    </row>
    <row r="1119" spans="1:51" customFormat="1" x14ac:dyDescent="0.25">
      <c r="A1119" t="s">
        <v>203</v>
      </c>
      <c r="B1119" t="s">
        <v>1456</v>
      </c>
      <c r="C1119" t="s">
        <v>6090</v>
      </c>
      <c r="D1119" t="s">
        <v>203</v>
      </c>
      <c r="F1119" t="s">
        <v>261</v>
      </c>
      <c r="I1119" t="s">
        <v>4747</v>
      </c>
      <c r="J1119" t="s">
        <v>37</v>
      </c>
      <c r="K1119" t="s">
        <v>32</v>
      </c>
      <c r="L1119" t="s">
        <v>35</v>
      </c>
      <c r="Q1119">
        <v>1</v>
      </c>
      <c r="R1119">
        <v>3</v>
      </c>
      <c r="U1119">
        <v>1</v>
      </c>
      <c r="V1119">
        <v>20</v>
      </c>
      <c r="AQ1119">
        <v>23</v>
      </c>
      <c r="AR1119" s="3">
        <f t="shared" si="51"/>
        <v>10</v>
      </c>
      <c r="AS1119" s="3">
        <f t="shared" si="52"/>
        <v>0</v>
      </c>
      <c r="AT1119" s="3" t="str">
        <f>IF(OR(Registered!AM1119&gt;0,Registered!AO1119&gt;0),(IF(Registered!E1119=0,"Size Not Specified",Registered!E1119)),"")</f>
        <v/>
      </c>
      <c r="AU1119" s="3" t="str">
        <f>IF(Registered!AE1119=0,"",IF(Registered!AE1119=1,Registered!AE1119&amp;" Bandana",Registered!AE1119&amp;" Bandanas"))</f>
        <v/>
      </c>
      <c r="AV1119" s="3">
        <f t="shared" si="53"/>
        <v>0</v>
      </c>
      <c r="AW1119" s="2" t="str">
        <f>IF(Registered!AV1119=0,"",IF(Registered!AV1119=1,Registered!AV1119&amp;" Meal",Registered!AV1119&amp;" Meals"))</f>
        <v/>
      </c>
      <c r="AX1119" s="2" t="str">
        <f>IF(Registered!AI1119=0,"",Registered!AI1119&amp;" BG")</f>
        <v/>
      </c>
      <c r="AY1119" s="2" t="str">
        <f>IF(Registered!AG1119=0,"",Registered!AG1119&amp;" DustMask")</f>
        <v/>
      </c>
    </row>
    <row r="1120" spans="1:51" customFormat="1" x14ac:dyDescent="0.25">
      <c r="A1120" t="s">
        <v>263</v>
      </c>
      <c r="B1120" t="s">
        <v>1456</v>
      </c>
      <c r="C1120" t="s">
        <v>6090</v>
      </c>
      <c r="G1120" t="s">
        <v>789</v>
      </c>
      <c r="H1120" t="s">
        <v>2704</v>
      </c>
      <c r="I1120" t="s">
        <v>2705</v>
      </c>
      <c r="J1120" t="s">
        <v>37</v>
      </c>
      <c r="K1120" t="s">
        <v>32</v>
      </c>
      <c r="L1120" t="s">
        <v>35</v>
      </c>
      <c r="AQ1120">
        <v>0</v>
      </c>
      <c r="AR1120" s="3">
        <f t="shared" si="51"/>
        <v>0</v>
      </c>
      <c r="AS1120" s="3">
        <f t="shared" si="52"/>
        <v>0</v>
      </c>
      <c r="AT1120" s="3" t="str">
        <f>IF(OR(Registered!AM1120&gt;0,Registered!AO1120&gt;0),(IF(Registered!E1120=0,"Size Not Specified",Registered!E1120)),"")</f>
        <v/>
      </c>
      <c r="AU1120" s="3" t="str">
        <f>IF(Registered!AE1120=0,"",IF(Registered!AE1120=1,Registered!AE1120&amp;" Bandana",Registered!AE1120&amp;" Bandanas"))</f>
        <v/>
      </c>
      <c r="AV1120" s="3">
        <f t="shared" si="53"/>
        <v>0</v>
      </c>
      <c r="AW1120" s="2" t="str">
        <f>IF(Registered!AV1120=0,"",IF(Registered!AV1120=1,Registered!AV1120&amp;" Meal",Registered!AV1120&amp;" Meals"))</f>
        <v/>
      </c>
      <c r="AX1120" s="2" t="str">
        <f>IF(Registered!AI1120=0,"",Registered!AI1120&amp;" BG")</f>
        <v/>
      </c>
      <c r="AY1120" s="2" t="str">
        <f>IF(Registered!AG1120=0,"",Registered!AG1120&amp;" DustMask")</f>
        <v/>
      </c>
    </row>
    <row r="1121" spans="1:51" customFormat="1" x14ac:dyDescent="0.25">
      <c r="A1121" t="s">
        <v>1577</v>
      </c>
      <c r="B1121" t="s">
        <v>1456</v>
      </c>
      <c r="C1121" t="s">
        <v>6090</v>
      </c>
      <c r="G1121" t="s">
        <v>1578</v>
      </c>
      <c r="H1121" t="s">
        <v>363</v>
      </c>
      <c r="I1121" t="s">
        <v>1579</v>
      </c>
      <c r="J1121" t="s">
        <v>37</v>
      </c>
      <c r="K1121" t="s">
        <v>32</v>
      </c>
      <c r="L1121" t="s">
        <v>35</v>
      </c>
      <c r="AQ1121">
        <v>0</v>
      </c>
      <c r="AR1121" s="3">
        <f t="shared" si="51"/>
        <v>0</v>
      </c>
      <c r="AS1121" s="3">
        <f t="shared" si="52"/>
        <v>0</v>
      </c>
      <c r="AT1121" s="3" t="str">
        <f>IF(OR(Registered!AM1121&gt;0,Registered!AO1121&gt;0),(IF(Registered!E1121=0,"Size Not Specified",Registered!E1121)),"")</f>
        <v/>
      </c>
      <c r="AU1121" s="3" t="str">
        <f>IF(Registered!AE1121=0,"",IF(Registered!AE1121=1,Registered!AE1121&amp;" Bandana",Registered!AE1121&amp;" Bandanas"))</f>
        <v/>
      </c>
      <c r="AV1121" s="3">
        <f t="shared" si="53"/>
        <v>0</v>
      </c>
      <c r="AW1121" s="2" t="str">
        <f>IF(Registered!AV1121=0,"",IF(Registered!AV1121=1,Registered!AV1121&amp;" Meal",Registered!AV1121&amp;" Meals"))</f>
        <v/>
      </c>
      <c r="AX1121" s="2" t="str">
        <f>IF(Registered!AI1121=0,"",Registered!AI1121&amp;" BG")</f>
        <v/>
      </c>
      <c r="AY1121" s="2" t="str">
        <f>IF(Registered!AG1121=0,"",Registered!AG1121&amp;" DustMask")</f>
        <v/>
      </c>
    </row>
    <row r="1122" spans="1:51" customFormat="1" x14ac:dyDescent="0.25">
      <c r="A1122" t="s">
        <v>180</v>
      </c>
      <c r="B1122" t="s">
        <v>1456</v>
      </c>
      <c r="C1122" t="s">
        <v>6090</v>
      </c>
      <c r="D1122" t="s">
        <v>1580</v>
      </c>
      <c r="F1122" t="s">
        <v>261</v>
      </c>
      <c r="I1122" t="s">
        <v>1457</v>
      </c>
      <c r="J1122" t="s">
        <v>37</v>
      </c>
      <c r="K1122" t="s">
        <v>32</v>
      </c>
      <c r="L1122" t="s">
        <v>35</v>
      </c>
      <c r="Q1122">
        <v>6</v>
      </c>
      <c r="R1122">
        <v>3</v>
      </c>
      <c r="U1122">
        <v>5</v>
      </c>
      <c r="V1122">
        <v>20</v>
      </c>
      <c r="AQ1122">
        <v>118</v>
      </c>
      <c r="AR1122" s="3">
        <f t="shared" si="51"/>
        <v>50</v>
      </c>
      <c r="AS1122" s="3">
        <f t="shared" si="52"/>
        <v>0</v>
      </c>
      <c r="AT1122" s="3" t="str">
        <f>IF(OR(Registered!AM1122&gt;0,Registered!AO1122&gt;0),(IF(Registered!E1122=0,"Size Not Specified",Registered!E1122)),"")</f>
        <v/>
      </c>
      <c r="AU1122" s="3" t="str">
        <f>IF(Registered!AE1122=0,"",IF(Registered!AE1122=1,Registered!AE1122&amp;" Bandana",Registered!AE1122&amp;" Bandanas"))</f>
        <v/>
      </c>
      <c r="AV1122" s="3">
        <f t="shared" si="53"/>
        <v>0</v>
      </c>
      <c r="AW1122" s="2" t="str">
        <f>IF(Registered!AV1122=0,"",IF(Registered!AV1122=1,Registered!AV1122&amp;" Meal",Registered!AV1122&amp;" Meals"))</f>
        <v/>
      </c>
      <c r="AX1122" s="2" t="str">
        <f>IF(Registered!AI1122=0,"",Registered!AI1122&amp;" BG")</f>
        <v/>
      </c>
      <c r="AY1122" s="2" t="str">
        <f>IF(Registered!AG1122=0,"",Registered!AG1122&amp;" DustMask")</f>
        <v/>
      </c>
    </row>
    <row r="1123" spans="1:51" customFormat="1" x14ac:dyDescent="0.25">
      <c r="A1123" t="s">
        <v>171</v>
      </c>
      <c r="B1123" t="s">
        <v>1456</v>
      </c>
      <c r="C1123" t="s">
        <v>6090</v>
      </c>
      <c r="G1123" t="s">
        <v>180</v>
      </c>
      <c r="H1123" t="s">
        <v>1456</v>
      </c>
      <c r="I1123" t="s">
        <v>1457</v>
      </c>
      <c r="J1123" t="s">
        <v>37</v>
      </c>
      <c r="K1123" t="s">
        <v>32</v>
      </c>
      <c r="L1123" t="s">
        <v>35</v>
      </c>
      <c r="AQ1123">
        <v>0</v>
      </c>
      <c r="AR1123" s="3">
        <f t="shared" si="51"/>
        <v>0</v>
      </c>
      <c r="AS1123" s="3">
        <f t="shared" si="52"/>
        <v>0</v>
      </c>
      <c r="AT1123" s="3" t="str">
        <f>IF(OR(Registered!AM1123&gt;0,Registered!AO1123&gt;0),(IF(Registered!E1123=0,"Size Not Specified",Registered!E1123)),"")</f>
        <v/>
      </c>
      <c r="AU1123" s="3" t="str">
        <f>IF(Registered!AE1123=0,"",IF(Registered!AE1123=1,Registered!AE1123&amp;" Bandana",Registered!AE1123&amp;" Bandanas"))</f>
        <v/>
      </c>
      <c r="AV1123" s="3">
        <f t="shared" si="53"/>
        <v>0</v>
      </c>
      <c r="AW1123" s="2" t="str">
        <f>IF(Registered!AV1123=0,"",IF(Registered!AV1123=1,Registered!AV1123&amp;" Meal",Registered!AV1123&amp;" Meals"))</f>
        <v/>
      </c>
      <c r="AX1123" s="2" t="str">
        <f>IF(Registered!AI1123=0,"",Registered!AI1123&amp;" BG")</f>
        <v/>
      </c>
      <c r="AY1123" s="2" t="str">
        <f>IF(Registered!AG1123=0,"",Registered!AG1123&amp;" DustMask")</f>
        <v/>
      </c>
    </row>
    <row r="1124" spans="1:51" customFormat="1" x14ac:dyDescent="0.25">
      <c r="A1124" t="s">
        <v>93</v>
      </c>
      <c r="B1124" t="s">
        <v>1456</v>
      </c>
      <c r="C1124" t="s">
        <v>6090</v>
      </c>
      <c r="D1124" t="s">
        <v>686</v>
      </c>
      <c r="E1124" t="s">
        <v>1581</v>
      </c>
      <c r="F1124" t="s">
        <v>261</v>
      </c>
      <c r="I1124" t="s">
        <v>1582</v>
      </c>
      <c r="J1124" t="s">
        <v>37</v>
      </c>
      <c r="K1124" t="s">
        <v>32</v>
      </c>
      <c r="L1124" t="s">
        <v>35</v>
      </c>
      <c r="S1124">
        <v>1</v>
      </c>
      <c r="T1124">
        <v>3</v>
      </c>
      <c r="AQ1124">
        <v>3</v>
      </c>
      <c r="AR1124" s="3">
        <f t="shared" si="51"/>
        <v>0</v>
      </c>
      <c r="AS1124" s="3">
        <f t="shared" si="52"/>
        <v>0</v>
      </c>
      <c r="AT1124" s="3" t="str">
        <f>IF(OR(Registered!AM1124&gt;0,Registered!AO1124&gt;0),(IF(Registered!E1124=0,"Size Not Specified",Registered!E1124)),"")</f>
        <v/>
      </c>
      <c r="AU1124" s="3" t="str">
        <f>IF(Registered!AE1124=0,"",IF(Registered!AE1124=1,Registered!AE1124&amp;" Bandana",Registered!AE1124&amp;" Bandanas"))</f>
        <v/>
      </c>
      <c r="AV1124" s="3">
        <f t="shared" si="53"/>
        <v>0</v>
      </c>
      <c r="AW1124" s="2" t="str">
        <f>IF(Registered!AV1124=0,"",IF(Registered!AV1124=1,Registered!AV1124&amp;" Meal",Registered!AV1124&amp;" Meals"))</f>
        <v/>
      </c>
      <c r="AX1124" s="2" t="str">
        <f>IF(Registered!AI1124=0,"",Registered!AI1124&amp;" BG")</f>
        <v/>
      </c>
      <c r="AY1124" s="2" t="str">
        <f>IF(Registered!AG1124=0,"",Registered!AG1124&amp;" DustMask")</f>
        <v/>
      </c>
    </row>
    <row r="1125" spans="1:51" customFormat="1" x14ac:dyDescent="0.25">
      <c r="A1125" t="s">
        <v>3674</v>
      </c>
      <c r="B1125" t="s">
        <v>4170</v>
      </c>
      <c r="C1125" t="s">
        <v>6090</v>
      </c>
      <c r="D1125" t="s">
        <v>3674</v>
      </c>
      <c r="F1125" t="s">
        <v>261</v>
      </c>
      <c r="I1125" t="s">
        <v>4171</v>
      </c>
      <c r="J1125" t="s">
        <v>37</v>
      </c>
      <c r="K1125" t="s">
        <v>32</v>
      </c>
      <c r="L1125" t="s">
        <v>35</v>
      </c>
      <c r="Q1125">
        <v>2</v>
      </c>
      <c r="R1125">
        <v>3</v>
      </c>
      <c r="AC1125">
        <v>1</v>
      </c>
      <c r="AD1125">
        <v>10</v>
      </c>
      <c r="AQ1125">
        <v>16</v>
      </c>
      <c r="AR1125" s="3">
        <f t="shared" si="51"/>
        <v>5</v>
      </c>
      <c r="AS1125" s="3">
        <f t="shared" si="52"/>
        <v>0</v>
      </c>
      <c r="AT1125" s="3" t="str">
        <f>IF(OR(Registered!AM1125&gt;0,Registered!AO1125&gt;0),(IF(Registered!E1125=0,"Size Not Specified",Registered!E1125)),"")</f>
        <v/>
      </c>
      <c r="AU1125" s="3" t="str">
        <f>IF(Registered!AE1125=0,"",IF(Registered!AE1125=1,Registered!AE1125&amp;" Bandana",Registered!AE1125&amp;" Bandanas"))</f>
        <v/>
      </c>
      <c r="AV1125" s="3">
        <f t="shared" si="53"/>
        <v>0</v>
      </c>
      <c r="AW1125" s="2" t="str">
        <f>IF(Registered!AV1125=0,"",IF(Registered!AV1125=1,Registered!AV1125&amp;" Meal",Registered!AV1125&amp;" Meals"))</f>
        <v/>
      </c>
      <c r="AX1125" s="2" t="str">
        <f>IF(Registered!AI1125=0,"",Registered!AI1125&amp;" BG")</f>
        <v/>
      </c>
      <c r="AY1125" s="2" t="str">
        <f>IF(Registered!AG1125=0,"",Registered!AG1125&amp;" DustMask")</f>
        <v/>
      </c>
    </row>
    <row r="1126" spans="1:51" customFormat="1" x14ac:dyDescent="0.25">
      <c r="A1126" t="s">
        <v>258</v>
      </c>
      <c r="B1126" t="s">
        <v>1583</v>
      </c>
      <c r="C1126" t="s">
        <v>6090</v>
      </c>
      <c r="D1126" t="s">
        <v>57</v>
      </c>
      <c r="E1126" t="s">
        <v>1584</v>
      </c>
      <c r="F1126" t="s">
        <v>261</v>
      </c>
      <c r="I1126" t="s">
        <v>1585</v>
      </c>
      <c r="J1126" t="s">
        <v>37</v>
      </c>
      <c r="K1126" t="s">
        <v>32</v>
      </c>
      <c r="L1126" t="s">
        <v>35</v>
      </c>
      <c r="S1126">
        <v>1</v>
      </c>
      <c r="T1126">
        <v>3</v>
      </c>
      <c r="AM1126">
        <v>3</v>
      </c>
      <c r="AN1126">
        <v>25</v>
      </c>
      <c r="AQ1126">
        <v>78</v>
      </c>
      <c r="AR1126" s="3">
        <f t="shared" si="51"/>
        <v>15</v>
      </c>
      <c r="AS1126" s="3">
        <f t="shared" si="52"/>
        <v>3</v>
      </c>
      <c r="AT1126" s="3" t="str">
        <f>IF(OR(Registered!AM1126&gt;0,Registered!AO1126&gt;0),(IF(Registered!E1126=0,"Size Not Specified",Registered!E1126)),"")</f>
        <v>2 small 1 medium</v>
      </c>
      <c r="AU1126" s="3" t="str">
        <f>IF(Registered!AE1126=0,"",IF(Registered!AE1126=1,Registered!AE1126&amp;" Bandana",Registered!AE1126&amp;" Bandanas"))</f>
        <v/>
      </c>
      <c r="AV1126" s="3">
        <f t="shared" si="53"/>
        <v>3</v>
      </c>
      <c r="AW1126" s="2" t="str">
        <f>IF(Registered!AV1126=0,"",IF(Registered!AV1126=1,Registered!AV1126&amp;" Meal",Registered!AV1126&amp;" Meals"))</f>
        <v>3 Meals</v>
      </c>
      <c r="AX1126" s="2" t="str">
        <f>IF(Registered!AI1126=0,"",Registered!AI1126&amp;" BG")</f>
        <v/>
      </c>
      <c r="AY1126" s="2" t="str">
        <f>IF(Registered!AG1126=0,"",Registered!AG1126&amp;" DustMask")</f>
        <v/>
      </c>
    </row>
    <row r="1127" spans="1:51" customFormat="1" x14ac:dyDescent="0.25">
      <c r="A1127" t="s">
        <v>3059</v>
      </c>
      <c r="B1127" t="s">
        <v>3060</v>
      </c>
      <c r="C1127" t="s">
        <v>6090</v>
      </c>
      <c r="G1127" t="s">
        <v>94</v>
      </c>
      <c r="H1127" t="s">
        <v>1091</v>
      </c>
      <c r="I1127" t="s">
        <v>3021</v>
      </c>
      <c r="J1127" t="s">
        <v>37</v>
      </c>
      <c r="K1127" t="s">
        <v>32</v>
      </c>
      <c r="L1127" t="s">
        <v>35</v>
      </c>
      <c r="AQ1127">
        <v>0</v>
      </c>
      <c r="AR1127" s="3">
        <f t="shared" si="51"/>
        <v>0</v>
      </c>
      <c r="AS1127" s="3">
        <f t="shared" si="52"/>
        <v>0</v>
      </c>
      <c r="AT1127" s="3" t="str">
        <f>IF(OR(Registered!AM1127&gt;0,Registered!AO1127&gt;0),(IF(Registered!E1127=0,"Size Not Specified",Registered!E1127)),"")</f>
        <v/>
      </c>
      <c r="AU1127" s="3" t="str">
        <f>IF(Registered!AE1127=0,"",IF(Registered!AE1127=1,Registered!AE1127&amp;" Bandana",Registered!AE1127&amp;" Bandanas"))</f>
        <v/>
      </c>
      <c r="AV1127" s="3">
        <f t="shared" si="53"/>
        <v>0</v>
      </c>
      <c r="AW1127" s="2" t="str">
        <f>IF(Registered!AV1127=0,"",IF(Registered!AV1127=1,Registered!AV1127&amp;" Meal",Registered!AV1127&amp;" Meals"))</f>
        <v/>
      </c>
      <c r="AX1127" s="2" t="str">
        <f>IF(Registered!AI1127=0,"",Registered!AI1127&amp;" BG")</f>
        <v/>
      </c>
      <c r="AY1127" s="2" t="str">
        <f>IF(Registered!AG1127=0,"",Registered!AG1127&amp;" DustMask")</f>
        <v/>
      </c>
    </row>
    <row r="1128" spans="1:51" customFormat="1" x14ac:dyDescent="0.25">
      <c r="A1128" t="s">
        <v>501</v>
      </c>
      <c r="B1128" t="s">
        <v>4750</v>
      </c>
      <c r="C1128" t="s">
        <v>6090</v>
      </c>
      <c r="D1128" t="s">
        <v>4751</v>
      </c>
      <c r="F1128" t="s">
        <v>261</v>
      </c>
      <c r="I1128" t="s">
        <v>4752</v>
      </c>
      <c r="J1128" t="s">
        <v>37</v>
      </c>
      <c r="K1128" t="s">
        <v>32</v>
      </c>
      <c r="L1128" t="s">
        <v>35</v>
      </c>
      <c r="Q1128">
        <v>1</v>
      </c>
      <c r="R1128">
        <v>3</v>
      </c>
      <c r="AQ1128">
        <v>3</v>
      </c>
      <c r="AR1128" s="3">
        <f t="shared" si="51"/>
        <v>0</v>
      </c>
      <c r="AS1128" s="3">
        <f t="shared" si="52"/>
        <v>0</v>
      </c>
      <c r="AT1128" s="3" t="str">
        <f>IF(OR(Registered!AM1128&gt;0,Registered!AO1128&gt;0),(IF(Registered!E1128=0,"Size Not Specified",Registered!E1128)),"")</f>
        <v/>
      </c>
      <c r="AU1128" s="3" t="str">
        <f>IF(Registered!AE1128=0,"",IF(Registered!AE1128=1,Registered!AE1128&amp;" Bandana",Registered!AE1128&amp;" Bandanas"))</f>
        <v/>
      </c>
      <c r="AV1128" s="3">
        <f t="shared" si="53"/>
        <v>0</v>
      </c>
      <c r="AW1128" s="2" t="str">
        <f>IF(Registered!AV1128=0,"",IF(Registered!AV1128=1,Registered!AV1128&amp;" Meal",Registered!AV1128&amp;" Meals"))</f>
        <v/>
      </c>
      <c r="AX1128" s="2" t="str">
        <f>IF(Registered!AI1128=0,"",Registered!AI1128&amp;" BG")</f>
        <v/>
      </c>
      <c r="AY1128" s="2" t="str">
        <f>IF(Registered!AG1128=0,"",Registered!AG1128&amp;" DustMask")</f>
        <v/>
      </c>
    </row>
    <row r="1129" spans="1:51" customFormat="1" x14ac:dyDescent="0.25">
      <c r="A1129" t="s">
        <v>4753</v>
      </c>
      <c r="B1129" t="s">
        <v>4750</v>
      </c>
      <c r="C1129" t="s">
        <v>6090</v>
      </c>
      <c r="G1129" t="s">
        <v>131</v>
      </c>
      <c r="H1129" t="s">
        <v>391</v>
      </c>
      <c r="I1129" t="s">
        <v>4754</v>
      </c>
      <c r="J1129" t="s">
        <v>37</v>
      </c>
      <c r="K1129" t="s">
        <v>32</v>
      </c>
      <c r="L1129" t="s">
        <v>35</v>
      </c>
      <c r="AQ1129">
        <v>0</v>
      </c>
      <c r="AR1129" s="3">
        <f t="shared" si="51"/>
        <v>0</v>
      </c>
      <c r="AS1129" s="3">
        <f t="shared" si="52"/>
        <v>0</v>
      </c>
      <c r="AT1129" s="3" t="str">
        <f>IF(OR(Registered!AM1129&gt;0,Registered!AO1129&gt;0),(IF(Registered!E1129=0,"Size Not Specified",Registered!E1129)),"")</f>
        <v/>
      </c>
      <c r="AU1129" s="3" t="str">
        <f>IF(Registered!AE1129=0,"",IF(Registered!AE1129=1,Registered!AE1129&amp;" Bandana",Registered!AE1129&amp;" Bandanas"))</f>
        <v/>
      </c>
      <c r="AV1129" s="3">
        <f t="shared" si="53"/>
        <v>0</v>
      </c>
      <c r="AW1129" s="2" t="str">
        <f>IF(Registered!AV1129=0,"",IF(Registered!AV1129=1,Registered!AV1129&amp;" Meal",Registered!AV1129&amp;" Meals"))</f>
        <v/>
      </c>
      <c r="AX1129" s="2" t="str">
        <f>IF(Registered!AI1129=0,"",Registered!AI1129&amp;" BG")</f>
        <v/>
      </c>
      <c r="AY1129" s="2" t="str">
        <f>IF(Registered!AG1129=0,"",Registered!AG1129&amp;" DustMask")</f>
        <v/>
      </c>
    </row>
    <row r="1130" spans="1:51" customFormat="1" x14ac:dyDescent="0.25">
      <c r="A1130" t="s">
        <v>2214</v>
      </c>
      <c r="B1130" t="s">
        <v>4755</v>
      </c>
      <c r="C1130" t="s">
        <v>6090</v>
      </c>
      <c r="D1130" t="s">
        <v>762</v>
      </c>
      <c r="F1130" t="s">
        <v>261</v>
      </c>
      <c r="I1130" t="s">
        <v>4756</v>
      </c>
      <c r="J1130" t="s">
        <v>37</v>
      </c>
      <c r="K1130" t="s">
        <v>32</v>
      </c>
      <c r="L1130" t="s">
        <v>35</v>
      </c>
      <c r="Q1130">
        <v>1</v>
      </c>
      <c r="R1130">
        <v>3</v>
      </c>
      <c r="AC1130">
        <v>1</v>
      </c>
      <c r="AD1130">
        <v>10</v>
      </c>
      <c r="AQ1130">
        <v>13</v>
      </c>
      <c r="AR1130" s="3">
        <f t="shared" si="51"/>
        <v>5</v>
      </c>
      <c r="AS1130" s="3">
        <f t="shared" si="52"/>
        <v>0</v>
      </c>
      <c r="AT1130" s="3" t="str">
        <f>IF(OR(Registered!AM1130&gt;0,Registered!AO1130&gt;0),(IF(Registered!E1130=0,"Size Not Specified",Registered!E1130)),"")</f>
        <v/>
      </c>
      <c r="AU1130" s="3" t="str">
        <f>IF(Registered!AE1130=0,"",IF(Registered!AE1130=1,Registered!AE1130&amp;" Bandana",Registered!AE1130&amp;" Bandanas"))</f>
        <v/>
      </c>
      <c r="AV1130" s="3">
        <f t="shared" si="53"/>
        <v>0</v>
      </c>
      <c r="AW1130" s="2" t="str">
        <f>IF(Registered!AV1130=0,"",IF(Registered!AV1130=1,Registered!AV1130&amp;" Meal",Registered!AV1130&amp;" Meals"))</f>
        <v/>
      </c>
      <c r="AX1130" s="2" t="str">
        <f>IF(Registered!AI1130=0,"",Registered!AI1130&amp;" BG")</f>
        <v/>
      </c>
      <c r="AY1130" s="2" t="str">
        <f>IF(Registered!AG1130=0,"",Registered!AG1130&amp;" DustMask")</f>
        <v/>
      </c>
    </row>
    <row r="1131" spans="1:51" customFormat="1" x14ac:dyDescent="0.25">
      <c r="A1131" t="s">
        <v>122</v>
      </c>
      <c r="B1131" t="s">
        <v>2849</v>
      </c>
      <c r="C1131" t="s">
        <v>6090</v>
      </c>
      <c r="D1131" t="s">
        <v>122</v>
      </c>
      <c r="F1131" t="s">
        <v>261</v>
      </c>
      <c r="I1131" t="s">
        <v>2850</v>
      </c>
      <c r="J1131" t="s">
        <v>37</v>
      </c>
      <c r="K1131" t="s">
        <v>32</v>
      </c>
      <c r="L1131" t="s">
        <v>35</v>
      </c>
      <c r="Q1131">
        <v>2</v>
      </c>
      <c r="R1131">
        <v>3</v>
      </c>
      <c r="AQ1131">
        <v>6</v>
      </c>
      <c r="AR1131" s="3">
        <f t="shared" si="51"/>
        <v>0</v>
      </c>
      <c r="AS1131" s="3">
        <f t="shared" si="52"/>
        <v>0</v>
      </c>
      <c r="AT1131" s="3" t="str">
        <f>IF(OR(Registered!AM1131&gt;0,Registered!AO1131&gt;0),(IF(Registered!E1131=0,"Size Not Specified",Registered!E1131)),"")</f>
        <v/>
      </c>
      <c r="AU1131" s="3" t="str">
        <f>IF(Registered!AE1131=0,"",IF(Registered!AE1131=1,Registered!AE1131&amp;" Bandana",Registered!AE1131&amp;" Bandanas"))</f>
        <v/>
      </c>
      <c r="AV1131" s="3">
        <f t="shared" si="53"/>
        <v>0</v>
      </c>
      <c r="AW1131" s="2" t="str">
        <f>IF(Registered!AV1131=0,"",IF(Registered!AV1131=1,Registered!AV1131&amp;" Meal",Registered!AV1131&amp;" Meals"))</f>
        <v/>
      </c>
      <c r="AX1131" s="2" t="str">
        <f>IF(Registered!AI1131=0,"",Registered!AI1131&amp;" BG")</f>
        <v/>
      </c>
      <c r="AY1131" s="2" t="str">
        <f>IF(Registered!AG1131=0,"",Registered!AG1131&amp;" DustMask")</f>
        <v/>
      </c>
    </row>
    <row r="1132" spans="1:51" customFormat="1" x14ac:dyDescent="0.25">
      <c r="A1132" t="s">
        <v>4757</v>
      </c>
      <c r="B1132" t="s">
        <v>195</v>
      </c>
      <c r="C1132" t="s">
        <v>6090</v>
      </c>
      <c r="D1132" t="s">
        <v>4757</v>
      </c>
      <c r="F1132" t="s">
        <v>261</v>
      </c>
      <c r="I1132" t="s">
        <v>4758</v>
      </c>
      <c r="J1132" t="s">
        <v>37</v>
      </c>
      <c r="K1132" t="s">
        <v>32</v>
      </c>
      <c r="L1132" t="s">
        <v>35</v>
      </c>
      <c r="Q1132">
        <v>1</v>
      </c>
      <c r="R1132">
        <v>3</v>
      </c>
      <c r="AC1132">
        <v>1</v>
      </c>
      <c r="AD1132">
        <v>10</v>
      </c>
      <c r="AQ1132">
        <v>13</v>
      </c>
      <c r="AR1132" s="3">
        <f t="shared" si="51"/>
        <v>5</v>
      </c>
      <c r="AS1132" s="3">
        <f t="shared" si="52"/>
        <v>0</v>
      </c>
      <c r="AT1132" s="3" t="str">
        <f>IF(OR(Registered!AM1132&gt;0,Registered!AO1132&gt;0),(IF(Registered!E1132=0,"Size Not Specified",Registered!E1132)),"")</f>
        <v/>
      </c>
      <c r="AU1132" s="3" t="str">
        <f>IF(Registered!AE1132=0,"",IF(Registered!AE1132=1,Registered!AE1132&amp;" Bandana",Registered!AE1132&amp;" Bandanas"))</f>
        <v/>
      </c>
      <c r="AV1132" s="3">
        <f t="shared" si="53"/>
        <v>0</v>
      </c>
      <c r="AW1132" s="2" t="str">
        <f>IF(Registered!AV1132=0,"",IF(Registered!AV1132=1,Registered!AV1132&amp;" Meal",Registered!AV1132&amp;" Meals"))</f>
        <v/>
      </c>
      <c r="AX1132" s="2" t="str">
        <f>IF(Registered!AI1132=0,"",Registered!AI1132&amp;" BG")</f>
        <v/>
      </c>
      <c r="AY1132" s="2" t="str">
        <f>IF(Registered!AG1132=0,"",Registered!AG1132&amp;" DustMask")</f>
        <v/>
      </c>
    </row>
    <row r="1133" spans="1:51" customFormat="1" x14ac:dyDescent="0.25">
      <c r="A1133" t="s">
        <v>2055</v>
      </c>
      <c r="B1133" t="s">
        <v>3868</v>
      </c>
      <c r="C1133" t="s">
        <v>6090</v>
      </c>
      <c r="D1133" t="s">
        <v>4759</v>
      </c>
      <c r="F1133" t="s">
        <v>261</v>
      </c>
      <c r="I1133" t="s">
        <v>3869</v>
      </c>
      <c r="J1133" t="s">
        <v>37</v>
      </c>
      <c r="K1133" t="s">
        <v>32</v>
      </c>
      <c r="L1133" t="s">
        <v>35</v>
      </c>
      <c r="Q1133">
        <v>3</v>
      </c>
      <c r="R1133">
        <v>3</v>
      </c>
      <c r="AC1133">
        <v>1</v>
      </c>
      <c r="AD1133">
        <v>10</v>
      </c>
      <c r="AQ1133">
        <v>19</v>
      </c>
      <c r="AR1133" s="3">
        <f t="shared" si="51"/>
        <v>5</v>
      </c>
      <c r="AS1133" s="3">
        <f t="shared" si="52"/>
        <v>0</v>
      </c>
      <c r="AT1133" s="3" t="str">
        <f>IF(OR(Registered!AM1133&gt;0,Registered!AO1133&gt;0),(IF(Registered!E1133=0,"Size Not Specified",Registered!E1133)),"")</f>
        <v/>
      </c>
      <c r="AU1133" s="3" t="str">
        <f>IF(Registered!AE1133=0,"",IF(Registered!AE1133=1,Registered!AE1133&amp;" Bandana",Registered!AE1133&amp;" Bandanas"))</f>
        <v/>
      </c>
      <c r="AV1133" s="3">
        <f t="shared" si="53"/>
        <v>0</v>
      </c>
      <c r="AW1133" s="2" t="str">
        <f>IF(Registered!AV1133=0,"",IF(Registered!AV1133=1,Registered!AV1133&amp;" Meal",Registered!AV1133&amp;" Meals"))</f>
        <v/>
      </c>
      <c r="AX1133" s="2" t="str">
        <f>IF(Registered!AI1133=0,"",Registered!AI1133&amp;" BG")</f>
        <v/>
      </c>
      <c r="AY1133" s="2" t="str">
        <f>IF(Registered!AG1133=0,"",Registered!AG1133&amp;" DustMask")</f>
        <v/>
      </c>
    </row>
    <row r="1134" spans="1:51" customFormat="1" x14ac:dyDescent="0.25">
      <c r="A1134" t="s">
        <v>4760</v>
      </c>
      <c r="B1134" t="s">
        <v>4761</v>
      </c>
      <c r="C1134" t="s">
        <v>6090</v>
      </c>
      <c r="G1134" t="s">
        <v>3622</v>
      </c>
      <c r="H1134" t="s">
        <v>3621</v>
      </c>
      <c r="I1134" t="s">
        <v>3623</v>
      </c>
      <c r="J1134" t="s">
        <v>37</v>
      </c>
      <c r="K1134" t="s">
        <v>32</v>
      </c>
      <c r="L1134" t="s">
        <v>35</v>
      </c>
      <c r="AQ1134">
        <v>0</v>
      </c>
      <c r="AR1134" s="3">
        <f t="shared" si="51"/>
        <v>0</v>
      </c>
      <c r="AS1134" s="3">
        <f t="shared" si="52"/>
        <v>0</v>
      </c>
      <c r="AT1134" s="3" t="str">
        <f>IF(OR(Registered!AM1134&gt;0,Registered!AO1134&gt;0),(IF(Registered!E1134=0,"Size Not Specified",Registered!E1134)),"")</f>
        <v/>
      </c>
      <c r="AU1134" s="3" t="str">
        <f>IF(Registered!AE1134=0,"",IF(Registered!AE1134=1,Registered!AE1134&amp;" Bandana",Registered!AE1134&amp;" Bandanas"))</f>
        <v/>
      </c>
      <c r="AV1134" s="3">
        <f t="shared" si="53"/>
        <v>0</v>
      </c>
      <c r="AW1134" s="2" t="str">
        <f>IF(Registered!AV1134=0,"",IF(Registered!AV1134=1,Registered!AV1134&amp;" Meal",Registered!AV1134&amp;" Meals"))</f>
        <v/>
      </c>
      <c r="AX1134" s="2" t="str">
        <f>IF(Registered!AI1134=0,"",Registered!AI1134&amp;" BG")</f>
        <v/>
      </c>
      <c r="AY1134" s="2" t="str">
        <f>IF(Registered!AG1134=0,"",Registered!AG1134&amp;" DustMask")</f>
        <v/>
      </c>
    </row>
    <row r="1135" spans="1:51" customFormat="1" x14ac:dyDescent="0.25">
      <c r="A1135" t="s">
        <v>131</v>
      </c>
      <c r="B1135" t="s">
        <v>4762</v>
      </c>
      <c r="C1135" t="s">
        <v>6090</v>
      </c>
      <c r="G1135" t="s">
        <v>3622</v>
      </c>
      <c r="H1135" t="s">
        <v>3621</v>
      </c>
      <c r="I1135" t="s">
        <v>3623</v>
      </c>
      <c r="J1135" t="s">
        <v>37</v>
      </c>
      <c r="K1135" t="s">
        <v>32</v>
      </c>
      <c r="L1135" t="s">
        <v>35</v>
      </c>
      <c r="AQ1135">
        <v>0</v>
      </c>
      <c r="AR1135" s="3">
        <f t="shared" si="51"/>
        <v>0</v>
      </c>
      <c r="AS1135" s="3">
        <f t="shared" si="52"/>
        <v>0</v>
      </c>
      <c r="AT1135" s="3" t="str">
        <f>IF(OR(Registered!AM1135&gt;0,Registered!AO1135&gt;0),(IF(Registered!E1135=0,"Size Not Specified",Registered!E1135)),"")</f>
        <v/>
      </c>
      <c r="AU1135" s="3" t="str">
        <f>IF(Registered!AE1135=0,"",IF(Registered!AE1135=1,Registered!AE1135&amp;" Bandana",Registered!AE1135&amp;" Bandanas"))</f>
        <v/>
      </c>
      <c r="AV1135" s="3">
        <f t="shared" si="53"/>
        <v>0</v>
      </c>
      <c r="AW1135" s="2" t="str">
        <f>IF(Registered!AV1135=0,"",IF(Registered!AV1135=1,Registered!AV1135&amp;" Meal",Registered!AV1135&amp;" Meals"))</f>
        <v/>
      </c>
      <c r="AX1135" s="2" t="str">
        <f>IF(Registered!AI1135=0,"",Registered!AI1135&amp;" BG")</f>
        <v/>
      </c>
      <c r="AY1135" s="2" t="str">
        <f>IF(Registered!AG1135=0,"",Registered!AG1135&amp;" DustMask")</f>
        <v/>
      </c>
    </row>
    <row r="1136" spans="1:51" customFormat="1" x14ac:dyDescent="0.25">
      <c r="A1136" t="s">
        <v>1588</v>
      </c>
      <c r="B1136" t="s">
        <v>1589</v>
      </c>
      <c r="C1136" t="s">
        <v>6090</v>
      </c>
      <c r="D1136" t="s">
        <v>1590</v>
      </c>
      <c r="F1136" t="s">
        <v>261</v>
      </c>
      <c r="I1136" t="s">
        <v>1591</v>
      </c>
      <c r="J1136" t="s">
        <v>37</v>
      </c>
      <c r="K1136" t="s">
        <v>32</v>
      </c>
      <c r="L1136" t="s">
        <v>35</v>
      </c>
      <c r="S1136">
        <v>1</v>
      </c>
      <c r="T1136">
        <v>3</v>
      </c>
      <c r="U1136">
        <v>1</v>
      </c>
      <c r="V1136">
        <v>20</v>
      </c>
      <c r="AQ1136">
        <v>23</v>
      </c>
      <c r="AR1136" s="3">
        <f t="shared" si="51"/>
        <v>10</v>
      </c>
      <c r="AS1136" s="3">
        <f t="shared" si="52"/>
        <v>0</v>
      </c>
      <c r="AT1136" s="3" t="str">
        <f>IF(OR(Registered!AM1136&gt;0,Registered!AO1136&gt;0),(IF(Registered!E1136=0,"Size Not Specified",Registered!E1136)),"")</f>
        <v/>
      </c>
      <c r="AU1136" s="3" t="str">
        <f>IF(Registered!AE1136=0,"",IF(Registered!AE1136=1,Registered!AE1136&amp;" Bandana",Registered!AE1136&amp;" Bandanas"))</f>
        <v/>
      </c>
      <c r="AV1136" s="3">
        <f t="shared" si="53"/>
        <v>0</v>
      </c>
      <c r="AW1136" s="2" t="str">
        <f>IF(Registered!AV1136=0,"",IF(Registered!AV1136=1,Registered!AV1136&amp;" Meal",Registered!AV1136&amp;" Meals"))</f>
        <v/>
      </c>
      <c r="AX1136" s="2" t="str">
        <f>IF(Registered!AI1136=0,"",Registered!AI1136&amp;" BG")</f>
        <v/>
      </c>
      <c r="AY1136" s="2" t="str">
        <f>IF(Registered!AG1136=0,"",Registered!AG1136&amp;" DustMask")</f>
        <v/>
      </c>
    </row>
    <row r="1137" spans="1:51" customFormat="1" x14ac:dyDescent="0.25">
      <c r="A1137" t="s">
        <v>50</v>
      </c>
      <c r="B1137" t="s">
        <v>1589</v>
      </c>
      <c r="C1137" t="s">
        <v>6090</v>
      </c>
      <c r="G1137" t="s">
        <v>4763</v>
      </c>
      <c r="H1137" t="s">
        <v>1589</v>
      </c>
      <c r="I1137" t="s">
        <v>4764</v>
      </c>
      <c r="J1137" t="s">
        <v>37</v>
      </c>
      <c r="K1137" t="s">
        <v>32</v>
      </c>
      <c r="L1137" t="s">
        <v>35</v>
      </c>
      <c r="AQ1137">
        <v>0</v>
      </c>
      <c r="AR1137" s="3">
        <f t="shared" si="51"/>
        <v>0</v>
      </c>
      <c r="AS1137" s="3">
        <f t="shared" si="52"/>
        <v>0</v>
      </c>
      <c r="AT1137" s="3" t="str">
        <f>IF(OR(Registered!AM1137&gt;0,Registered!AO1137&gt;0),(IF(Registered!E1137=0,"Size Not Specified",Registered!E1137)),"")</f>
        <v/>
      </c>
      <c r="AU1137" s="3" t="str">
        <f>IF(Registered!AE1137=0,"",IF(Registered!AE1137=1,Registered!AE1137&amp;" Bandana",Registered!AE1137&amp;" Bandanas"))</f>
        <v/>
      </c>
      <c r="AV1137" s="3">
        <f t="shared" si="53"/>
        <v>0</v>
      </c>
      <c r="AW1137" s="2" t="str">
        <f>IF(Registered!AV1137=0,"",IF(Registered!AV1137=1,Registered!AV1137&amp;" Meal",Registered!AV1137&amp;" Meals"))</f>
        <v/>
      </c>
      <c r="AX1137" s="2" t="str">
        <f>IF(Registered!AI1137=0,"",Registered!AI1137&amp;" BG")</f>
        <v/>
      </c>
      <c r="AY1137" s="2" t="str">
        <f>IF(Registered!AG1137=0,"",Registered!AG1137&amp;" DustMask")</f>
        <v/>
      </c>
    </row>
    <row r="1138" spans="1:51" customFormat="1" x14ac:dyDescent="0.25">
      <c r="A1138" t="s">
        <v>153</v>
      </c>
      <c r="B1138" t="s">
        <v>1589</v>
      </c>
      <c r="C1138" t="s">
        <v>6090</v>
      </c>
      <c r="D1138" t="s">
        <v>3969</v>
      </c>
      <c r="F1138" t="s">
        <v>261</v>
      </c>
      <c r="I1138" t="s">
        <v>4767</v>
      </c>
      <c r="J1138" t="s">
        <v>37</v>
      </c>
      <c r="K1138" t="s">
        <v>32</v>
      </c>
      <c r="L1138" t="s">
        <v>35</v>
      </c>
      <c r="Q1138">
        <v>1</v>
      </c>
      <c r="R1138">
        <v>3</v>
      </c>
      <c r="AQ1138">
        <v>3</v>
      </c>
      <c r="AR1138" s="3">
        <f t="shared" si="51"/>
        <v>0</v>
      </c>
      <c r="AS1138" s="3">
        <f t="shared" si="52"/>
        <v>0</v>
      </c>
      <c r="AT1138" s="3" t="str">
        <f>IF(OR(Registered!AM1138&gt;0,Registered!AO1138&gt;0),(IF(Registered!E1138=0,"Size Not Specified",Registered!E1138)),"")</f>
        <v/>
      </c>
      <c r="AU1138" s="3" t="str">
        <f>IF(Registered!AE1138=0,"",IF(Registered!AE1138=1,Registered!AE1138&amp;" Bandana",Registered!AE1138&amp;" Bandanas"))</f>
        <v/>
      </c>
      <c r="AV1138" s="3">
        <f t="shared" si="53"/>
        <v>0</v>
      </c>
      <c r="AW1138" s="2" t="str">
        <f>IF(Registered!AV1138=0,"",IF(Registered!AV1138=1,Registered!AV1138&amp;" Meal",Registered!AV1138&amp;" Meals"))</f>
        <v/>
      </c>
      <c r="AX1138" s="2" t="str">
        <f>IF(Registered!AI1138=0,"",Registered!AI1138&amp;" BG")</f>
        <v/>
      </c>
      <c r="AY1138" s="2" t="str">
        <f>IF(Registered!AG1138=0,"",Registered!AG1138&amp;" DustMask")</f>
        <v/>
      </c>
    </row>
    <row r="1139" spans="1:51" customFormat="1" x14ac:dyDescent="0.25">
      <c r="A1139" t="s">
        <v>4763</v>
      </c>
      <c r="B1139" t="s">
        <v>1589</v>
      </c>
      <c r="C1139" t="s">
        <v>6090</v>
      </c>
      <c r="D1139" t="s">
        <v>4765</v>
      </c>
      <c r="F1139" t="s">
        <v>261</v>
      </c>
      <c r="I1139" t="s">
        <v>4764</v>
      </c>
      <c r="J1139" t="s">
        <v>37</v>
      </c>
      <c r="K1139" t="s">
        <v>32</v>
      </c>
      <c r="L1139" t="s">
        <v>35</v>
      </c>
      <c r="Q1139">
        <v>2</v>
      </c>
      <c r="R1139">
        <v>3</v>
      </c>
      <c r="U1139">
        <v>1</v>
      </c>
      <c r="V1139">
        <v>20</v>
      </c>
      <c r="AQ1139">
        <v>26</v>
      </c>
      <c r="AR1139" s="3">
        <f t="shared" si="51"/>
        <v>10</v>
      </c>
      <c r="AS1139" s="3">
        <f t="shared" si="52"/>
        <v>0</v>
      </c>
      <c r="AT1139" s="3" t="str">
        <f>IF(OR(Registered!AM1139&gt;0,Registered!AO1139&gt;0),(IF(Registered!E1139=0,"Size Not Specified",Registered!E1139)),"")</f>
        <v/>
      </c>
      <c r="AU1139" s="3" t="str">
        <f>IF(Registered!AE1139=0,"",IF(Registered!AE1139=1,Registered!AE1139&amp;" Bandana",Registered!AE1139&amp;" Bandanas"))</f>
        <v/>
      </c>
      <c r="AV1139" s="3">
        <f t="shared" si="53"/>
        <v>0</v>
      </c>
      <c r="AW1139" s="2" t="str">
        <f>IF(Registered!AV1139=0,"",IF(Registered!AV1139=1,Registered!AV1139&amp;" Meal",Registered!AV1139&amp;" Meals"))</f>
        <v/>
      </c>
      <c r="AX1139" s="2" t="str">
        <f>IF(Registered!AI1139=0,"",Registered!AI1139&amp;" BG")</f>
        <v/>
      </c>
      <c r="AY1139" s="2" t="str">
        <f>IF(Registered!AG1139=0,"",Registered!AG1139&amp;" DustMask")</f>
        <v/>
      </c>
    </row>
    <row r="1140" spans="1:51" customFormat="1" x14ac:dyDescent="0.25">
      <c r="A1140" t="s">
        <v>1592</v>
      </c>
      <c r="B1140" t="s">
        <v>1593</v>
      </c>
      <c r="C1140" t="s">
        <v>6090</v>
      </c>
      <c r="G1140" t="s">
        <v>324</v>
      </c>
      <c r="H1140" t="s">
        <v>1593</v>
      </c>
      <c r="I1140" t="s">
        <v>1594</v>
      </c>
      <c r="J1140" t="s">
        <v>37</v>
      </c>
      <c r="K1140" t="s">
        <v>32</v>
      </c>
      <c r="L1140" t="s">
        <v>35</v>
      </c>
      <c r="AQ1140">
        <v>0</v>
      </c>
      <c r="AR1140" s="3">
        <f t="shared" si="51"/>
        <v>0</v>
      </c>
      <c r="AS1140" s="3">
        <f t="shared" si="52"/>
        <v>0</v>
      </c>
      <c r="AT1140" s="3" t="str">
        <f>IF(OR(Registered!AM1140&gt;0,Registered!AO1140&gt;0),(IF(Registered!E1140=0,"Size Not Specified",Registered!E1140)),"")</f>
        <v/>
      </c>
      <c r="AU1140" s="3" t="str">
        <f>IF(Registered!AE1140=0,"",IF(Registered!AE1140=1,Registered!AE1140&amp;" Bandana",Registered!AE1140&amp;" Bandanas"))</f>
        <v/>
      </c>
      <c r="AV1140" s="3">
        <f t="shared" si="53"/>
        <v>0</v>
      </c>
      <c r="AW1140" s="2" t="str">
        <f>IF(Registered!AV1140=0,"",IF(Registered!AV1140=1,Registered!AV1140&amp;" Meal",Registered!AV1140&amp;" Meals"))</f>
        <v/>
      </c>
      <c r="AX1140" s="2" t="str">
        <f>IF(Registered!AI1140=0,"",Registered!AI1140&amp;" BG")</f>
        <v/>
      </c>
      <c r="AY1140" s="2" t="str">
        <f>IF(Registered!AG1140=0,"",Registered!AG1140&amp;" DustMask")</f>
        <v/>
      </c>
    </row>
    <row r="1141" spans="1:51" customFormat="1" x14ac:dyDescent="0.25">
      <c r="A1141" t="s">
        <v>324</v>
      </c>
      <c r="B1141" t="s">
        <v>1593</v>
      </c>
      <c r="C1141" t="s">
        <v>6090</v>
      </c>
      <c r="D1141" t="s">
        <v>1595</v>
      </c>
      <c r="E1141" t="s">
        <v>1596</v>
      </c>
      <c r="F1141" t="s">
        <v>261</v>
      </c>
      <c r="I1141" t="s">
        <v>1597</v>
      </c>
      <c r="J1141" t="s">
        <v>37</v>
      </c>
      <c r="K1141" t="s">
        <v>32</v>
      </c>
      <c r="L1141" t="s">
        <v>35</v>
      </c>
      <c r="Q1141">
        <v>2</v>
      </c>
      <c r="R1141">
        <v>3</v>
      </c>
      <c r="U1141">
        <v>1</v>
      </c>
      <c r="V1141">
        <v>20</v>
      </c>
      <c r="AE1141">
        <v>2</v>
      </c>
      <c r="AF1141">
        <v>6</v>
      </c>
      <c r="AM1141">
        <v>2</v>
      </c>
      <c r="AN1141">
        <v>25</v>
      </c>
      <c r="AO1141">
        <v>2</v>
      </c>
      <c r="AP1141">
        <v>10</v>
      </c>
      <c r="AQ1141">
        <v>108</v>
      </c>
      <c r="AR1141" s="3">
        <f t="shared" si="51"/>
        <v>20</v>
      </c>
      <c r="AS1141" s="3">
        <f t="shared" si="52"/>
        <v>4</v>
      </c>
      <c r="AT1141" s="3" t="str">
        <f>IF(OR(Registered!AM1141&gt;0,Registered!AO1141&gt;0),(IF(Registered!E1141=0,"Size Not Specified",Registered!E1141)),"")</f>
        <v>Adult Small and Adult Large</v>
      </c>
      <c r="AU1141" s="3" t="str">
        <f>IF(Registered!AE1141=0,"",IF(Registered!AE1141=1,Registered!AE1141&amp;" Bandana",Registered!AE1141&amp;" Bandanas"))</f>
        <v>2 Bandanas</v>
      </c>
      <c r="AV1141" s="3">
        <f t="shared" si="53"/>
        <v>2</v>
      </c>
      <c r="AW1141" s="2" t="str">
        <f>IF(Registered!AV1141=0,"",IF(Registered!AV1141=1,Registered!AV1141&amp;" Meal",Registered!AV1141&amp;" Meals"))</f>
        <v>2 Meals</v>
      </c>
      <c r="AX1141" s="2" t="str">
        <f>IF(Registered!AI1141=0,"",Registered!AI1141&amp;" BG")</f>
        <v/>
      </c>
      <c r="AY1141" s="2" t="str">
        <f>IF(Registered!AG1141=0,"",Registered!AG1141&amp;" DustMask")</f>
        <v/>
      </c>
    </row>
    <row r="1142" spans="1:51" customFormat="1" x14ac:dyDescent="0.25">
      <c r="A1142" t="s">
        <v>272</v>
      </c>
      <c r="B1142" t="s">
        <v>4768</v>
      </c>
      <c r="C1142" t="s">
        <v>6090</v>
      </c>
      <c r="D1142" t="s">
        <v>4770</v>
      </c>
      <c r="E1142" t="s">
        <v>4771</v>
      </c>
      <c r="F1142" t="s">
        <v>261</v>
      </c>
      <c r="I1142" t="s">
        <v>4772</v>
      </c>
      <c r="J1142" t="s">
        <v>37</v>
      </c>
      <c r="K1142" t="s">
        <v>32</v>
      </c>
      <c r="L1142" t="s">
        <v>35</v>
      </c>
      <c r="Q1142">
        <v>2</v>
      </c>
      <c r="R1142">
        <v>3</v>
      </c>
      <c r="AM1142">
        <v>2</v>
      </c>
      <c r="AN1142">
        <v>25</v>
      </c>
      <c r="AQ1142">
        <v>56</v>
      </c>
      <c r="AR1142" s="3">
        <f t="shared" si="51"/>
        <v>10</v>
      </c>
      <c r="AS1142" s="3">
        <f t="shared" si="52"/>
        <v>2</v>
      </c>
      <c r="AT1142" s="3" t="str">
        <f>IF(OR(Registered!AM1142&gt;0,Registered!AO1142&gt;0),(IF(Registered!E1142=0,"Size Not Specified",Registered!E1142)),"")</f>
        <v>XL and L</v>
      </c>
      <c r="AU1142" s="3" t="str">
        <f>IF(Registered!AE1142=0,"",IF(Registered!AE1142=1,Registered!AE1142&amp;" Bandana",Registered!AE1142&amp;" Bandanas"))</f>
        <v/>
      </c>
      <c r="AV1142" s="3">
        <f t="shared" si="53"/>
        <v>2</v>
      </c>
      <c r="AW1142" s="2" t="str">
        <f>IF(Registered!AV1142=0,"",IF(Registered!AV1142=1,Registered!AV1142&amp;" Meal",Registered!AV1142&amp;" Meals"))</f>
        <v>2 Meals</v>
      </c>
      <c r="AX1142" s="2" t="str">
        <f>IF(Registered!AI1142=0,"",Registered!AI1142&amp;" BG")</f>
        <v/>
      </c>
      <c r="AY1142" s="2" t="str">
        <f>IF(Registered!AG1142=0,"",Registered!AG1142&amp;" DustMask")</f>
        <v/>
      </c>
    </row>
    <row r="1143" spans="1:51" customFormat="1" x14ac:dyDescent="0.25">
      <c r="A1143" t="s">
        <v>4154</v>
      </c>
      <c r="B1143" t="s">
        <v>4768</v>
      </c>
      <c r="C1143" t="s">
        <v>6090</v>
      </c>
      <c r="G1143" t="s">
        <v>272</v>
      </c>
      <c r="H1143" t="s">
        <v>4768</v>
      </c>
      <c r="I1143" t="s">
        <v>4772</v>
      </c>
      <c r="J1143" t="s">
        <v>37</v>
      </c>
      <c r="K1143" t="s">
        <v>32</v>
      </c>
      <c r="L1143" t="s">
        <v>35</v>
      </c>
      <c r="AQ1143">
        <v>0</v>
      </c>
      <c r="AR1143" s="3">
        <f t="shared" si="51"/>
        <v>0</v>
      </c>
      <c r="AS1143" s="3">
        <f t="shared" si="52"/>
        <v>0</v>
      </c>
      <c r="AT1143" s="3" t="str">
        <f>IF(OR(Registered!AM1143&gt;0,Registered!AO1143&gt;0),(IF(Registered!E1143=0,"Size Not Specified",Registered!E1143)),"")</f>
        <v/>
      </c>
      <c r="AU1143" s="3" t="str">
        <f>IF(Registered!AE1143=0,"",IF(Registered!AE1143=1,Registered!AE1143&amp;" Bandana",Registered!AE1143&amp;" Bandanas"))</f>
        <v/>
      </c>
      <c r="AV1143" s="3">
        <f t="shared" si="53"/>
        <v>0</v>
      </c>
      <c r="AW1143" s="2" t="str">
        <f>IF(Registered!AV1143=0,"",IF(Registered!AV1143=1,Registered!AV1143&amp;" Meal",Registered!AV1143&amp;" Meals"))</f>
        <v/>
      </c>
      <c r="AX1143" s="2" t="str">
        <f>IF(Registered!AI1143=0,"",Registered!AI1143&amp;" BG")</f>
        <v/>
      </c>
      <c r="AY1143" s="2" t="str">
        <f>IF(Registered!AG1143=0,"",Registered!AG1143&amp;" DustMask")</f>
        <v/>
      </c>
    </row>
    <row r="1144" spans="1:51" customFormat="1" x14ac:dyDescent="0.25">
      <c r="A1144" t="s">
        <v>163</v>
      </c>
      <c r="B1144" t="s">
        <v>1598</v>
      </c>
      <c r="C1144" t="s">
        <v>6090</v>
      </c>
      <c r="D1144" t="s">
        <v>1599</v>
      </c>
      <c r="F1144" t="s">
        <v>261</v>
      </c>
      <c r="I1144" t="s">
        <v>1600</v>
      </c>
      <c r="J1144" t="s">
        <v>37</v>
      </c>
      <c r="K1144" t="s">
        <v>32</v>
      </c>
      <c r="L1144" t="s">
        <v>35</v>
      </c>
      <c r="S1144">
        <v>3</v>
      </c>
      <c r="T1144">
        <v>3</v>
      </c>
      <c r="U1144">
        <v>1</v>
      </c>
      <c r="V1144">
        <v>20</v>
      </c>
      <c r="AC1144">
        <v>1</v>
      </c>
      <c r="AD1144">
        <v>10</v>
      </c>
      <c r="AQ1144">
        <v>39</v>
      </c>
      <c r="AR1144" s="3">
        <f t="shared" si="51"/>
        <v>15</v>
      </c>
      <c r="AS1144" s="3">
        <f t="shared" si="52"/>
        <v>0</v>
      </c>
      <c r="AT1144" s="3" t="str">
        <f>IF(OR(Registered!AM1144&gt;0,Registered!AO1144&gt;0),(IF(Registered!E1144=0,"Size Not Specified",Registered!E1144)),"")</f>
        <v/>
      </c>
      <c r="AU1144" s="3" t="str">
        <f>IF(Registered!AE1144=0,"",IF(Registered!AE1144=1,Registered!AE1144&amp;" Bandana",Registered!AE1144&amp;" Bandanas"))</f>
        <v/>
      </c>
      <c r="AV1144" s="3">
        <f t="shared" si="53"/>
        <v>0</v>
      </c>
      <c r="AW1144" s="2" t="str">
        <f>IF(Registered!AV1144=0,"",IF(Registered!AV1144=1,Registered!AV1144&amp;" Meal",Registered!AV1144&amp;" Meals"))</f>
        <v/>
      </c>
      <c r="AX1144" s="2" t="str">
        <f>IF(Registered!AI1144=0,"",Registered!AI1144&amp;" BG")</f>
        <v/>
      </c>
      <c r="AY1144" s="2" t="str">
        <f>IF(Registered!AG1144=0,"",Registered!AG1144&amp;" DustMask")</f>
        <v/>
      </c>
    </row>
    <row r="1145" spans="1:51" customFormat="1" x14ac:dyDescent="0.25">
      <c r="A1145" t="s">
        <v>157</v>
      </c>
      <c r="B1145" t="s">
        <v>4775</v>
      </c>
      <c r="C1145" t="s">
        <v>6090</v>
      </c>
      <c r="D1145" t="s">
        <v>4776</v>
      </c>
      <c r="F1145" t="s">
        <v>261</v>
      </c>
      <c r="I1145" t="s">
        <v>4777</v>
      </c>
      <c r="J1145" t="s">
        <v>37</v>
      </c>
      <c r="K1145" t="s">
        <v>32</v>
      </c>
      <c r="L1145" t="s">
        <v>35</v>
      </c>
      <c r="Q1145">
        <v>2</v>
      </c>
      <c r="R1145">
        <v>3</v>
      </c>
      <c r="AC1145">
        <v>2</v>
      </c>
      <c r="AD1145">
        <v>10</v>
      </c>
      <c r="AQ1145">
        <v>26</v>
      </c>
      <c r="AR1145" s="3">
        <f t="shared" si="51"/>
        <v>10</v>
      </c>
      <c r="AS1145" s="3">
        <f t="shared" si="52"/>
        <v>0</v>
      </c>
      <c r="AT1145" s="3" t="str">
        <f>IF(OR(Registered!AM1145&gt;0,Registered!AO1145&gt;0),(IF(Registered!E1145=0,"Size Not Specified",Registered!E1145)),"")</f>
        <v/>
      </c>
      <c r="AU1145" s="3" t="str">
        <f>IF(Registered!AE1145=0,"",IF(Registered!AE1145=1,Registered!AE1145&amp;" Bandana",Registered!AE1145&amp;" Bandanas"))</f>
        <v/>
      </c>
      <c r="AV1145" s="3">
        <f t="shared" si="53"/>
        <v>0</v>
      </c>
      <c r="AW1145" s="2" t="str">
        <f>IF(Registered!AV1145=0,"",IF(Registered!AV1145=1,Registered!AV1145&amp;" Meal",Registered!AV1145&amp;" Meals"))</f>
        <v/>
      </c>
      <c r="AX1145" s="2" t="str">
        <f>IF(Registered!AI1145=0,"",Registered!AI1145&amp;" BG")</f>
        <v/>
      </c>
      <c r="AY1145" s="2" t="str">
        <f>IF(Registered!AG1145=0,"",Registered!AG1145&amp;" DustMask")</f>
        <v/>
      </c>
    </row>
    <row r="1146" spans="1:51" customFormat="1" x14ac:dyDescent="0.25">
      <c r="A1146" t="s">
        <v>4778</v>
      </c>
      <c r="B1146" t="s">
        <v>4775</v>
      </c>
      <c r="C1146" t="s">
        <v>6090</v>
      </c>
      <c r="G1146" t="s">
        <v>157</v>
      </c>
      <c r="H1146" t="s">
        <v>4775</v>
      </c>
      <c r="I1146" t="s">
        <v>4777</v>
      </c>
      <c r="J1146" t="s">
        <v>37</v>
      </c>
      <c r="K1146" t="s">
        <v>32</v>
      </c>
      <c r="L1146" t="s">
        <v>35</v>
      </c>
      <c r="AQ1146">
        <v>0</v>
      </c>
      <c r="AR1146" s="3">
        <f t="shared" si="51"/>
        <v>0</v>
      </c>
      <c r="AS1146" s="3">
        <f t="shared" si="52"/>
        <v>0</v>
      </c>
      <c r="AT1146" s="3" t="str">
        <f>IF(OR(Registered!AM1146&gt;0,Registered!AO1146&gt;0),(IF(Registered!E1146=0,"Size Not Specified",Registered!E1146)),"")</f>
        <v/>
      </c>
      <c r="AU1146" s="3" t="str">
        <f>IF(Registered!AE1146=0,"",IF(Registered!AE1146=1,Registered!AE1146&amp;" Bandana",Registered!AE1146&amp;" Bandanas"))</f>
        <v/>
      </c>
      <c r="AV1146" s="3">
        <f t="shared" si="53"/>
        <v>0</v>
      </c>
      <c r="AW1146" s="2" t="str">
        <f>IF(Registered!AV1146=0,"",IF(Registered!AV1146=1,Registered!AV1146&amp;" Meal",Registered!AV1146&amp;" Meals"))</f>
        <v/>
      </c>
      <c r="AX1146" s="2" t="str">
        <f>IF(Registered!AI1146=0,"",Registered!AI1146&amp;" BG")</f>
        <v/>
      </c>
      <c r="AY1146" s="2" t="str">
        <f>IF(Registered!AG1146=0,"",Registered!AG1146&amp;" DustMask")</f>
        <v/>
      </c>
    </row>
    <row r="1147" spans="1:51" customFormat="1" x14ac:dyDescent="0.25">
      <c r="A1147" t="s">
        <v>1601</v>
      </c>
      <c r="B1147" t="s">
        <v>1602</v>
      </c>
      <c r="C1147" t="s">
        <v>6090</v>
      </c>
      <c r="G1147" t="s">
        <v>1246</v>
      </c>
      <c r="H1147" t="s">
        <v>1247</v>
      </c>
      <c r="I1147" t="s">
        <v>4398</v>
      </c>
      <c r="J1147" t="s">
        <v>37</v>
      </c>
      <c r="K1147" t="s">
        <v>32</v>
      </c>
      <c r="L1147" t="s">
        <v>35</v>
      </c>
      <c r="AQ1147">
        <v>0</v>
      </c>
      <c r="AR1147" s="3">
        <f t="shared" si="51"/>
        <v>0</v>
      </c>
      <c r="AS1147" s="3">
        <f t="shared" si="52"/>
        <v>0</v>
      </c>
      <c r="AT1147" s="3" t="str">
        <f>IF(OR(Registered!AM1147&gt;0,Registered!AO1147&gt;0),(IF(Registered!E1147=0,"Size Not Specified",Registered!E1147)),"")</f>
        <v/>
      </c>
      <c r="AU1147" s="3" t="str">
        <f>IF(Registered!AE1147=0,"",IF(Registered!AE1147=1,Registered!AE1147&amp;" Bandana",Registered!AE1147&amp;" Bandanas"))</f>
        <v/>
      </c>
      <c r="AV1147" s="3">
        <f t="shared" si="53"/>
        <v>0</v>
      </c>
      <c r="AW1147" s="2" t="str">
        <f>IF(Registered!AV1147=0,"",IF(Registered!AV1147=1,Registered!AV1147&amp;" Meal",Registered!AV1147&amp;" Meals"))</f>
        <v/>
      </c>
      <c r="AX1147" s="2" t="str">
        <f>IF(Registered!AI1147=0,"",Registered!AI1147&amp;" BG")</f>
        <v/>
      </c>
      <c r="AY1147" s="2" t="str">
        <f>IF(Registered!AG1147=0,"",Registered!AG1147&amp;" DustMask")</f>
        <v/>
      </c>
    </row>
    <row r="1148" spans="1:51" customFormat="1" x14ac:dyDescent="0.25">
      <c r="A1148" t="s">
        <v>1104</v>
      </c>
      <c r="B1148" t="s">
        <v>4779</v>
      </c>
      <c r="C1148" t="s">
        <v>6090</v>
      </c>
      <c r="G1148" t="s">
        <v>1158</v>
      </c>
      <c r="H1148" t="s">
        <v>4779</v>
      </c>
      <c r="I1148" t="s">
        <v>4780</v>
      </c>
      <c r="J1148" t="s">
        <v>37</v>
      </c>
      <c r="K1148" t="s">
        <v>32</v>
      </c>
      <c r="L1148" t="s">
        <v>35</v>
      </c>
      <c r="AQ1148">
        <v>0</v>
      </c>
      <c r="AR1148" s="3">
        <f t="shared" si="51"/>
        <v>0</v>
      </c>
      <c r="AS1148" s="3">
        <f t="shared" si="52"/>
        <v>0</v>
      </c>
      <c r="AT1148" s="3" t="str">
        <f>IF(OR(Registered!AM1148&gt;0,Registered!AO1148&gt;0),(IF(Registered!E1148=0,"Size Not Specified",Registered!E1148)),"")</f>
        <v/>
      </c>
      <c r="AU1148" s="3" t="str">
        <f>IF(Registered!AE1148=0,"",IF(Registered!AE1148=1,Registered!AE1148&amp;" Bandana",Registered!AE1148&amp;" Bandanas"))</f>
        <v/>
      </c>
      <c r="AV1148" s="3">
        <f t="shared" si="53"/>
        <v>0</v>
      </c>
      <c r="AW1148" s="2" t="str">
        <f>IF(Registered!AV1148=0,"",IF(Registered!AV1148=1,Registered!AV1148&amp;" Meal",Registered!AV1148&amp;" Meals"))</f>
        <v/>
      </c>
      <c r="AX1148" s="2" t="str">
        <f>IF(Registered!AI1148=0,"",Registered!AI1148&amp;" BG")</f>
        <v/>
      </c>
      <c r="AY1148" s="2" t="str">
        <f>IF(Registered!AG1148=0,"",Registered!AG1148&amp;" DustMask")</f>
        <v/>
      </c>
    </row>
    <row r="1149" spans="1:51" customFormat="1" x14ac:dyDescent="0.25">
      <c r="A1149" t="s">
        <v>1158</v>
      </c>
      <c r="B1149" t="s">
        <v>4779</v>
      </c>
      <c r="C1149" t="s">
        <v>6090</v>
      </c>
      <c r="D1149" t="s">
        <v>4781</v>
      </c>
      <c r="F1149" t="s">
        <v>261</v>
      </c>
      <c r="I1149" t="s">
        <v>4780</v>
      </c>
      <c r="J1149" t="s">
        <v>37</v>
      </c>
      <c r="K1149" t="s">
        <v>32</v>
      </c>
      <c r="L1149" t="s">
        <v>35</v>
      </c>
      <c r="Q1149">
        <v>4</v>
      </c>
      <c r="R1149">
        <v>3</v>
      </c>
      <c r="AC1149">
        <v>2</v>
      </c>
      <c r="AD1149">
        <v>10</v>
      </c>
      <c r="AK1149">
        <v>4</v>
      </c>
      <c r="AL1149">
        <v>6</v>
      </c>
      <c r="AQ1149">
        <v>56</v>
      </c>
      <c r="AR1149" s="3">
        <f t="shared" si="51"/>
        <v>10</v>
      </c>
      <c r="AS1149" s="3">
        <f t="shared" si="52"/>
        <v>0</v>
      </c>
      <c r="AT1149" s="3" t="str">
        <f>IF(OR(Registered!AM1149&gt;0,Registered!AO1149&gt;0),(IF(Registered!E1149=0,"Size Not Specified",Registered!E1149)),"")</f>
        <v/>
      </c>
      <c r="AU1149" s="3" t="str">
        <f>IF(Registered!AE1149=0,"",IF(Registered!AE1149=1,Registered!AE1149&amp;" Bandana",Registered!AE1149&amp;" Bandanas"))</f>
        <v/>
      </c>
      <c r="AV1149" s="3">
        <f t="shared" si="53"/>
        <v>4</v>
      </c>
      <c r="AW1149" s="2" t="str">
        <f>IF(Registered!AV1149=0,"",IF(Registered!AV1149=1,Registered!AV1149&amp;" Meal",Registered!AV1149&amp;" Meals"))</f>
        <v>4 Meals</v>
      </c>
      <c r="AX1149" s="2" t="str">
        <f>IF(Registered!AI1149=0,"",Registered!AI1149&amp;" BG")</f>
        <v/>
      </c>
      <c r="AY1149" s="2" t="str">
        <f>IF(Registered!AG1149=0,"",Registered!AG1149&amp;" DustMask")</f>
        <v/>
      </c>
    </row>
    <row r="1150" spans="1:51" customFormat="1" x14ac:dyDescent="0.25">
      <c r="A1150" t="s">
        <v>75</v>
      </c>
      <c r="B1150" t="s">
        <v>4779</v>
      </c>
      <c r="C1150" t="s">
        <v>6090</v>
      </c>
      <c r="G1150" t="s">
        <v>1158</v>
      </c>
      <c r="H1150" t="s">
        <v>4779</v>
      </c>
      <c r="I1150" t="s">
        <v>4780</v>
      </c>
      <c r="J1150" t="s">
        <v>37</v>
      </c>
      <c r="K1150" t="s">
        <v>32</v>
      </c>
      <c r="L1150" t="s">
        <v>35</v>
      </c>
      <c r="AQ1150">
        <v>0</v>
      </c>
      <c r="AR1150" s="3">
        <f t="shared" si="51"/>
        <v>0</v>
      </c>
      <c r="AS1150" s="3">
        <f t="shared" si="52"/>
        <v>0</v>
      </c>
      <c r="AT1150" s="3" t="str">
        <f>IF(OR(Registered!AM1150&gt;0,Registered!AO1150&gt;0),(IF(Registered!E1150=0,"Size Not Specified",Registered!E1150)),"")</f>
        <v/>
      </c>
      <c r="AU1150" s="3" t="str">
        <f>IF(Registered!AE1150=0,"",IF(Registered!AE1150=1,Registered!AE1150&amp;" Bandana",Registered!AE1150&amp;" Bandanas"))</f>
        <v/>
      </c>
      <c r="AV1150" s="3">
        <f t="shared" si="53"/>
        <v>0</v>
      </c>
      <c r="AW1150" s="2" t="str">
        <f>IF(Registered!AV1150=0,"",IF(Registered!AV1150=1,Registered!AV1150&amp;" Meal",Registered!AV1150&amp;" Meals"))</f>
        <v/>
      </c>
      <c r="AX1150" s="2" t="str">
        <f>IF(Registered!AI1150=0,"",Registered!AI1150&amp;" BG")</f>
        <v/>
      </c>
      <c r="AY1150" s="2" t="str">
        <f>IF(Registered!AG1150=0,"",Registered!AG1150&amp;" DustMask")</f>
        <v/>
      </c>
    </row>
    <row r="1151" spans="1:51" customFormat="1" x14ac:dyDescent="0.25">
      <c r="A1151" t="s">
        <v>3747</v>
      </c>
      <c r="B1151" t="s">
        <v>4782</v>
      </c>
      <c r="C1151" t="s">
        <v>6090</v>
      </c>
      <c r="G1151" t="s">
        <v>3971</v>
      </c>
      <c r="H1151" t="s">
        <v>1651</v>
      </c>
      <c r="I1151" t="s">
        <v>3972</v>
      </c>
      <c r="J1151" t="s">
        <v>37</v>
      </c>
      <c r="K1151" t="s">
        <v>32</v>
      </c>
      <c r="L1151" t="s">
        <v>35</v>
      </c>
      <c r="AQ1151">
        <v>0</v>
      </c>
      <c r="AR1151" s="3">
        <f t="shared" si="51"/>
        <v>0</v>
      </c>
      <c r="AS1151" s="3">
        <f t="shared" si="52"/>
        <v>0</v>
      </c>
      <c r="AT1151" s="3" t="str">
        <f>IF(OR(Registered!AM1151&gt;0,Registered!AO1151&gt;0),(IF(Registered!E1151=0,"Size Not Specified",Registered!E1151)),"")</f>
        <v/>
      </c>
      <c r="AU1151" s="3" t="str">
        <f>IF(Registered!AE1151=0,"",IF(Registered!AE1151=1,Registered!AE1151&amp;" Bandana",Registered!AE1151&amp;" Bandanas"))</f>
        <v/>
      </c>
      <c r="AV1151" s="3">
        <f t="shared" si="53"/>
        <v>0</v>
      </c>
      <c r="AW1151" s="2" t="str">
        <f>IF(Registered!AV1151=0,"",IF(Registered!AV1151=1,Registered!AV1151&amp;" Meal",Registered!AV1151&amp;" Meals"))</f>
        <v/>
      </c>
      <c r="AX1151" s="2" t="str">
        <f>IF(Registered!AI1151=0,"",Registered!AI1151&amp;" BG")</f>
        <v/>
      </c>
      <c r="AY1151" s="2" t="str">
        <f>IF(Registered!AG1151=0,"",Registered!AG1151&amp;" DustMask")</f>
        <v/>
      </c>
    </row>
    <row r="1152" spans="1:51" customFormat="1" x14ac:dyDescent="0.25">
      <c r="A1152" t="s">
        <v>1354</v>
      </c>
      <c r="B1152" t="s">
        <v>3062</v>
      </c>
      <c r="C1152" t="s">
        <v>6090</v>
      </c>
      <c r="D1152" t="s">
        <v>4783</v>
      </c>
      <c r="F1152" t="s">
        <v>261</v>
      </c>
      <c r="I1152" t="s">
        <v>3940</v>
      </c>
      <c r="J1152" t="s">
        <v>37</v>
      </c>
      <c r="K1152" t="s">
        <v>32</v>
      </c>
      <c r="L1152" t="s">
        <v>35</v>
      </c>
      <c r="Q1152">
        <v>3</v>
      </c>
      <c r="R1152">
        <v>3</v>
      </c>
      <c r="AC1152">
        <v>3</v>
      </c>
      <c r="AD1152">
        <v>10</v>
      </c>
      <c r="AQ1152">
        <v>39</v>
      </c>
      <c r="AR1152" s="3">
        <f t="shared" si="51"/>
        <v>15</v>
      </c>
      <c r="AS1152" s="3">
        <f t="shared" si="52"/>
        <v>0</v>
      </c>
      <c r="AT1152" s="3" t="str">
        <f>IF(OR(Registered!AM1152&gt;0,Registered!AO1152&gt;0),(IF(Registered!E1152=0,"Size Not Specified",Registered!E1152)),"")</f>
        <v/>
      </c>
      <c r="AU1152" s="3" t="str">
        <f>IF(Registered!AE1152=0,"",IF(Registered!AE1152=1,Registered!AE1152&amp;" Bandana",Registered!AE1152&amp;" Bandanas"))</f>
        <v/>
      </c>
      <c r="AV1152" s="3">
        <f t="shared" si="53"/>
        <v>0</v>
      </c>
      <c r="AW1152" s="2" t="str">
        <f>IF(Registered!AV1152=0,"",IF(Registered!AV1152=1,Registered!AV1152&amp;" Meal",Registered!AV1152&amp;" Meals"))</f>
        <v/>
      </c>
      <c r="AX1152" s="2" t="str">
        <f>IF(Registered!AI1152=0,"",Registered!AI1152&amp;" BG")</f>
        <v/>
      </c>
      <c r="AY1152" s="2" t="str">
        <f>IF(Registered!AG1152=0,"",Registered!AG1152&amp;" DustMask")</f>
        <v/>
      </c>
    </row>
    <row r="1153" spans="1:51" customFormat="1" x14ac:dyDescent="0.25">
      <c r="A1153" t="s">
        <v>4784</v>
      </c>
      <c r="B1153" t="s">
        <v>3062</v>
      </c>
      <c r="C1153" t="s">
        <v>6090</v>
      </c>
      <c r="G1153" t="s">
        <v>4785</v>
      </c>
      <c r="H1153" t="s">
        <v>3062</v>
      </c>
      <c r="I1153" t="s">
        <v>4786</v>
      </c>
      <c r="J1153" t="s">
        <v>37</v>
      </c>
      <c r="K1153" t="s">
        <v>32</v>
      </c>
      <c r="L1153" t="s">
        <v>35</v>
      </c>
      <c r="AQ1153">
        <v>0</v>
      </c>
      <c r="AR1153" s="3">
        <f t="shared" si="51"/>
        <v>0</v>
      </c>
      <c r="AS1153" s="3">
        <f t="shared" si="52"/>
        <v>0</v>
      </c>
      <c r="AT1153" s="3" t="str">
        <f>IF(OR(Registered!AM1153&gt;0,Registered!AO1153&gt;0),(IF(Registered!E1153=0,"Size Not Specified",Registered!E1153)),"")</f>
        <v/>
      </c>
      <c r="AU1153" s="3" t="str">
        <f>IF(Registered!AE1153=0,"",IF(Registered!AE1153=1,Registered!AE1153&amp;" Bandana",Registered!AE1153&amp;" Bandanas"))</f>
        <v/>
      </c>
      <c r="AV1153" s="3">
        <f t="shared" si="53"/>
        <v>0</v>
      </c>
      <c r="AW1153" s="2" t="str">
        <f>IF(Registered!AV1153=0,"",IF(Registered!AV1153=1,Registered!AV1153&amp;" Meal",Registered!AV1153&amp;" Meals"))</f>
        <v/>
      </c>
      <c r="AX1153" s="2" t="str">
        <f>IF(Registered!AI1153=0,"",Registered!AI1153&amp;" BG")</f>
        <v/>
      </c>
      <c r="AY1153" s="2" t="str">
        <f>IF(Registered!AG1153=0,"",Registered!AG1153&amp;" DustMask")</f>
        <v/>
      </c>
    </row>
    <row r="1154" spans="1:51" customFormat="1" x14ac:dyDescent="0.25">
      <c r="A1154" t="s">
        <v>367</v>
      </c>
      <c r="B1154" t="s">
        <v>3062</v>
      </c>
      <c r="C1154" t="s">
        <v>6090</v>
      </c>
      <c r="G1154" t="s">
        <v>4787</v>
      </c>
      <c r="H1154" t="s">
        <v>4788</v>
      </c>
      <c r="I1154" t="s">
        <v>4789</v>
      </c>
      <c r="J1154" t="s">
        <v>37</v>
      </c>
      <c r="K1154" t="s">
        <v>32</v>
      </c>
      <c r="L1154" t="s">
        <v>35</v>
      </c>
      <c r="AQ1154">
        <v>0</v>
      </c>
      <c r="AR1154" s="3">
        <f t="shared" ref="AR1154:AR1217" si="54">IF(ISTEXT(AM1154)=TRUE,"",SUM(U1154*10,W1154*20,Y1154*30,AA1154*40,AC1154*5,AM1154*5))</f>
        <v>0</v>
      </c>
      <c r="AS1154" s="3">
        <f t="shared" ref="AS1154:AS1217" si="55">IF(ISTEXT(AM1154)=TRUE,"",SUM(AM1154,AO1154))</f>
        <v>0</v>
      </c>
      <c r="AT1154" s="3" t="str">
        <f>IF(OR(Registered!AM1154&gt;0,Registered!AO1154&gt;0),(IF(Registered!E1154=0,"Size Not Specified",Registered!E1154)),"")</f>
        <v/>
      </c>
      <c r="AU1154" s="3" t="str">
        <f>IF(Registered!AE1154=0,"",IF(Registered!AE1154=1,Registered!AE1154&amp;" Bandana",Registered!AE1154&amp;" Bandanas"))</f>
        <v/>
      </c>
      <c r="AV1154" s="3">
        <f t="shared" ref="AV1154:AV1217" si="56">IF(ISTEXT(AM1154)=TRUE,"",SUM(AM1154,AK1154))</f>
        <v>0</v>
      </c>
      <c r="AW1154" s="2" t="str">
        <f>IF(Registered!AV1154=0,"",IF(Registered!AV1154=1,Registered!AV1154&amp;" Meal",Registered!AV1154&amp;" Meals"))</f>
        <v/>
      </c>
      <c r="AX1154" s="2" t="str">
        <f>IF(Registered!AI1154=0,"",Registered!AI1154&amp;" BG")</f>
        <v/>
      </c>
      <c r="AY1154" s="2" t="str">
        <f>IF(Registered!AG1154=0,"",Registered!AG1154&amp;" DustMask")</f>
        <v/>
      </c>
    </row>
    <row r="1155" spans="1:51" customFormat="1" x14ac:dyDescent="0.25">
      <c r="A1155" t="s">
        <v>4785</v>
      </c>
      <c r="B1155" t="s">
        <v>3062</v>
      </c>
      <c r="C1155" t="s">
        <v>6090</v>
      </c>
      <c r="D1155" t="s">
        <v>4790</v>
      </c>
      <c r="F1155" t="s">
        <v>261</v>
      </c>
      <c r="I1155" t="s">
        <v>4786</v>
      </c>
      <c r="J1155" t="s">
        <v>37</v>
      </c>
      <c r="K1155" t="s">
        <v>32</v>
      </c>
      <c r="L1155" t="s">
        <v>35</v>
      </c>
      <c r="Q1155">
        <v>3</v>
      </c>
      <c r="R1155">
        <v>3</v>
      </c>
      <c r="AC1155">
        <v>2</v>
      </c>
      <c r="AD1155">
        <v>10</v>
      </c>
      <c r="AQ1155">
        <v>29</v>
      </c>
      <c r="AR1155" s="3">
        <f t="shared" si="54"/>
        <v>10</v>
      </c>
      <c r="AS1155" s="3">
        <f t="shared" si="55"/>
        <v>0</v>
      </c>
      <c r="AT1155" s="3" t="str">
        <f>IF(OR(Registered!AM1155&gt;0,Registered!AO1155&gt;0),(IF(Registered!E1155=0,"Size Not Specified",Registered!E1155)),"")</f>
        <v/>
      </c>
      <c r="AU1155" s="3" t="str">
        <f>IF(Registered!AE1155=0,"",IF(Registered!AE1155=1,Registered!AE1155&amp;" Bandana",Registered!AE1155&amp;" Bandanas"))</f>
        <v/>
      </c>
      <c r="AV1155" s="3">
        <f t="shared" si="56"/>
        <v>0</v>
      </c>
      <c r="AW1155" s="2" t="str">
        <f>IF(Registered!AV1155=0,"",IF(Registered!AV1155=1,Registered!AV1155&amp;" Meal",Registered!AV1155&amp;" Meals"))</f>
        <v/>
      </c>
      <c r="AX1155" s="2" t="str">
        <f>IF(Registered!AI1155=0,"",Registered!AI1155&amp;" BG")</f>
        <v/>
      </c>
      <c r="AY1155" s="2" t="str">
        <f>IF(Registered!AG1155=0,"",Registered!AG1155&amp;" DustMask")</f>
        <v/>
      </c>
    </row>
    <row r="1156" spans="1:51" customFormat="1" x14ac:dyDescent="0.25">
      <c r="A1156" t="s">
        <v>403</v>
      </c>
      <c r="B1156" t="s">
        <v>3062</v>
      </c>
      <c r="C1156" t="s">
        <v>6090</v>
      </c>
      <c r="G1156" t="s">
        <v>4785</v>
      </c>
      <c r="H1156" t="s">
        <v>3062</v>
      </c>
      <c r="I1156" t="s">
        <v>4786</v>
      </c>
      <c r="J1156" t="s">
        <v>37</v>
      </c>
      <c r="K1156" t="s">
        <v>32</v>
      </c>
      <c r="L1156" t="s">
        <v>35</v>
      </c>
      <c r="AQ1156">
        <v>0</v>
      </c>
      <c r="AR1156" s="3">
        <f t="shared" si="54"/>
        <v>0</v>
      </c>
      <c r="AS1156" s="3">
        <f t="shared" si="55"/>
        <v>0</v>
      </c>
      <c r="AT1156" s="3" t="str">
        <f>IF(OR(Registered!AM1156&gt;0,Registered!AO1156&gt;0),(IF(Registered!E1156=0,"Size Not Specified",Registered!E1156)),"")</f>
        <v/>
      </c>
      <c r="AU1156" s="3" t="str">
        <f>IF(Registered!AE1156=0,"",IF(Registered!AE1156=1,Registered!AE1156&amp;" Bandana",Registered!AE1156&amp;" Bandanas"))</f>
        <v/>
      </c>
      <c r="AV1156" s="3">
        <f t="shared" si="56"/>
        <v>0</v>
      </c>
      <c r="AW1156" s="2" t="str">
        <f>IF(Registered!AV1156=0,"",IF(Registered!AV1156=1,Registered!AV1156&amp;" Meal",Registered!AV1156&amp;" Meals"))</f>
        <v/>
      </c>
      <c r="AX1156" s="2" t="str">
        <f>IF(Registered!AI1156=0,"",Registered!AI1156&amp;" BG")</f>
        <v/>
      </c>
      <c r="AY1156" s="2" t="str">
        <f>IF(Registered!AG1156=0,"",Registered!AG1156&amp;" DustMask")</f>
        <v/>
      </c>
    </row>
    <row r="1157" spans="1:51" customFormat="1" x14ac:dyDescent="0.25">
      <c r="A1157" t="s">
        <v>739</v>
      </c>
      <c r="B1157" t="s">
        <v>740</v>
      </c>
      <c r="C1157" t="s">
        <v>6090</v>
      </c>
      <c r="F1157" t="s">
        <v>261</v>
      </c>
      <c r="I1157" t="s">
        <v>741</v>
      </c>
      <c r="J1157" t="s">
        <v>37</v>
      </c>
      <c r="K1157" t="s">
        <v>32</v>
      </c>
      <c r="L1157" t="s">
        <v>35</v>
      </c>
      <c r="S1157">
        <v>3</v>
      </c>
      <c r="T1157">
        <v>3</v>
      </c>
      <c r="AQ1157">
        <v>9</v>
      </c>
      <c r="AR1157" s="3">
        <f t="shared" si="54"/>
        <v>0</v>
      </c>
      <c r="AS1157" s="3">
        <f t="shared" si="55"/>
        <v>0</v>
      </c>
      <c r="AT1157" s="3" t="str">
        <f>IF(OR(Registered!AM1157&gt;0,Registered!AO1157&gt;0),(IF(Registered!E1157=0,"Size Not Specified",Registered!E1157)),"")</f>
        <v/>
      </c>
      <c r="AU1157" s="3" t="str">
        <f>IF(Registered!AE1157=0,"",IF(Registered!AE1157=1,Registered!AE1157&amp;" Bandana",Registered!AE1157&amp;" Bandanas"))</f>
        <v/>
      </c>
      <c r="AV1157" s="3">
        <f t="shared" si="56"/>
        <v>0</v>
      </c>
      <c r="AW1157" s="2" t="str">
        <f>IF(Registered!AV1157=0,"",IF(Registered!AV1157=1,Registered!AV1157&amp;" Meal",Registered!AV1157&amp;" Meals"))</f>
        <v/>
      </c>
      <c r="AX1157" s="2" t="str">
        <f>IF(Registered!AI1157=0,"",Registered!AI1157&amp;" BG")</f>
        <v/>
      </c>
      <c r="AY1157" s="2" t="str">
        <f>IF(Registered!AG1157=0,"",Registered!AG1157&amp;" DustMask")</f>
        <v/>
      </c>
    </row>
    <row r="1158" spans="1:51" customFormat="1" x14ac:dyDescent="0.25">
      <c r="A1158" t="s">
        <v>260</v>
      </c>
      <c r="B1158" t="s">
        <v>740</v>
      </c>
      <c r="C1158" t="s">
        <v>6090</v>
      </c>
      <c r="G1158" t="s">
        <v>3653</v>
      </c>
      <c r="H1158" t="s">
        <v>3654</v>
      </c>
      <c r="I1158" t="s">
        <v>3655</v>
      </c>
      <c r="J1158" t="s">
        <v>37</v>
      </c>
      <c r="K1158" t="s">
        <v>32</v>
      </c>
      <c r="L1158" t="s">
        <v>35</v>
      </c>
      <c r="AQ1158">
        <v>0</v>
      </c>
      <c r="AR1158" s="3">
        <f t="shared" si="54"/>
        <v>0</v>
      </c>
      <c r="AS1158" s="3">
        <f t="shared" si="55"/>
        <v>0</v>
      </c>
      <c r="AT1158" s="3" t="str">
        <f>IF(OR(Registered!AM1158&gt;0,Registered!AO1158&gt;0),(IF(Registered!E1158=0,"Size Not Specified",Registered!E1158)),"")</f>
        <v/>
      </c>
      <c r="AU1158" s="3" t="str">
        <f>IF(Registered!AE1158=0,"",IF(Registered!AE1158=1,Registered!AE1158&amp;" Bandana",Registered!AE1158&amp;" Bandanas"))</f>
        <v/>
      </c>
      <c r="AV1158" s="3">
        <f t="shared" si="56"/>
        <v>0</v>
      </c>
      <c r="AW1158" s="2" t="str">
        <f>IF(Registered!AV1158=0,"",IF(Registered!AV1158=1,Registered!AV1158&amp;" Meal",Registered!AV1158&amp;" Meals"))</f>
        <v/>
      </c>
      <c r="AX1158" s="2" t="str">
        <f>IF(Registered!AI1158=0,"",Registered!AI1158&amp;" BG")</f>
        <v/>
      </c>
      <c r="AY1158" s="2" t="str">
        <f>IF(Registered!AG1158=0,"",Registered!AG1158&amp;" DustMask")</f>
        <v/>
      </c>
    </row>
    <row r="1159" spans="1:51" customFormat="1" x14ac:dyDescent="0.25">
      <c r="A1159" t="s">
        <v>1603</v>
      </c>
      <c r="B1159" t="s">
        <v>1604</v>
      </c>
      <c r="C1159" t="s">
        <v>6090</v>
      </c>
      <c r="D1159" t="s">
        <v>1603</v>
      </c>
      <c r="E1159" t="s">
        <v>216</v>
      </c>
      <c r="I1159" t="s">
        <v>1605</v>
      </c>
      <c r="J1159" t="s">
        <v>37</v>
      </c>
      <c r="K1159" t="s">
        <v>32</v>
      </c>
      <c r="L1159" t="s">
        <v>35</v>
      </c>
      <c r="O1159">
        <v>4</v>
      </c>
      <c r="P1159">
        <v>3</v>
      </c>
      <c r="AC1159">
        <v>1</v>
      </c>
      <c r="AD1159">
        <v>10</v>
      </c>
      <c r="AK1159">
        <v>4</v>
      </c>
      <c r="AL1159">
        <v>6</v>
      </c>
      <c r="AQ1159">
        <v>46</v>
      </c>
      <c r="AR1159" s="3">
        <f t="shared" si="54"/>
        <v>5</v>
      </c>
      <c r="AS1159" s="3">
        <f t="shared" si="55"/>
        <v>0</v>
      </c>
      <c r="AT1159" s="3" t="str">
        <f>IF(OR(Registered!AM1159&gt;0,Registered!AO1159&gt;0),(IF(Registered!E1159=0,"Size Not Specified",Registered!E1159)),"")</f>
        <v/>
      </c>
      <c r="AU1159" s="3" t="str">
        <f>IF(Registered!AE1159=0,"",IF(Registered!AE1159=1,Registered!AE1159&amp;" Bandana",Registered!AE1159&amp;" Bandanas"))</f>
        <v/>
      </c>
      <c r="AV1159" s="3">
        <f t="shared" si="56"/>
        <v>4</v>
      </c>
      <c r="AW1159" s="2" t="str">
        <f>IF(Registered!AV1159=0,"",IF(Registered!AV1159=1,Registered!AV1159&amp;" Meal",Registered!AV1159&amp;" Meals"))</f>
        <v>4 Meals</v>
      </c>
      <c r="AX1159" s="2" t="str">
        <f>IF(Registered!AI1159=0,"",Registered!AI1159&amp;" BG")</f>
        <v/>
      </c>
      <c r="AY1159" s="2" t="str">
        <f>IF(Registered!AG1159=0,"",Registered!AG1159&amp;" DustMask")</f>
        <v/>
      </c>
    </row>
    <row r="1160" spans="1:51" customFormat="1" x14ac:dyDescent="0.25">
      <c r="A1160" t="s">
        <v>1818</v>
      </c>
      <c r="B1160" t="s">
        <v>1604</v>
      </c>
      <c r="C1160" t="s">
        <v>6090</v>
      </c>
      <c r="D1160" t="s">
        <v>4794</v>
      </c>
      <c r="F1160" t="s">
        <v>907</v>
      </c>
      <c r="I1160" t="s">
        <v>4795</v>
      </c>
      <c r="J1160" t="s">
        <v>37</v>
      </c>
      <c r="K1160" t="s">
        <v>32</v>
      </c>
      <c r="L1160" t="s">
        <v>35</v>
      </c>
      <c r="Q1160">
        <v>5</v>
      </c>
      <c r="R1160">
        <v>3</v>
      </c>
      <c r="AC1160">
        <v>5</v>
      </c>
      <c r="AD1160">
        <v>10</v>
      </c>
      <c r="AQ1160">
        <v>65</v>
      </c>
      <c r="AR1160" s="3">
        <f t="shared" si="54"/>
        <v>25</v>
      </c>
      <c r="AS1160" s="3">
        <f t="shared" si="55"/>
        <v>0</v>
      </c>
      <c r="AT1160" s="3" t="str">
        <f>IF(OR(Registered!AM1160&gt;0,Registered!AO1160&gt;0),(IF(Registered!E1160=0,"Size Not Specified",Registered!E1160)),"")</f>
        <v/>
      </c>
      <c r="AU1160" s="3" t="str">
        <f>IF(Registered!AE1160=0,"",IF(Registered!AE1160=1,Registered!AE1160&amp;" Bandana",Registered!AE1160&amp;" Bandanas"))</f>
        <v/>
      </c>
      <c r="AV1160" s="3">
        <f t="shared" si="56"/>
        <v>0</v>
      </c>
      <c r="AW1160" s="2" t="str">
        <f>IF(Registered!AV1160=0,"",IF(Registered!AV1160=1,Registered!AV1160&amp;" Meal",Registered!AV1160&amp;" Meals"))</f>
        <v/>
      </c>
      <c r="AX1160" s="2" t="str">
        <f>IF(Registered!AI1160=0,"",Registered!AI1160&amp;" BG")</f>
        <v/>
      </c>
      <c r="AY1160" s="2" t="str">
        <f>IF(Registered!AG1160=0,"",Registered!AG1160&amp;" DustMask")</f>
        <v/>
      </c>
    </row>
    <row r="1161" spans="1:51" customFormat="1" x14ac:dyDescent="0.25">
      <c r="A1161" t="s">
        <v>4796</v>
      </c>
      <c r="B1161" t="s">
        <v>1604</v>
      </c>
      <c r="C1161" t="s">
        <v>6090</v>
      </c>
      <c r="G1161" t="s">
        <v>1818</v>
      </c>
      <c r="H1161" t="s">
        <v>1604</v>
      </c>
      <c r="I1161" t="s">
        <v>4795</v>
      </c>
      <c r="J1161" t="s">
        <v>37</v>
      </c>
      <c r="K1161" t="s">
        <v>32</v>
      </c>
      <c r="L1161" t="s">
        <v>35</v>
      </c>
      <c r="AQ1161">
        <v>0</v>
      </c>
      <c r="AR1161" s="3">
        <f t="shared" si="54"/>
        <v>0</v>
      </c>
      <c r="AS1161" s="3">
        <f t="shared" si="55"/>
        <v>0</v>
      </c>
      <c r="AT1161" s="3" t="str">
        <f>IF(OR(Registered!AM1161&gt;0,Registered!AO1161&gt;0),(IF(Registered!E1161=0,"Size Not Specified",Registered!E1161)),"")</f>
        <v/>
      </c>
      <c r="AU1161" s="3" t="str">
        <f>IF(Registered!AE1161=0,"",IF(Registered!AE1161=1,Registered!AE1161&amp;" Bandana",Registered!AE1161&amp;" Bandanas"))</f>
        <v/>
      </c>
      <c r="AV1161" s="3">
        <f t="shared" si="56"/>
        <v>0</v>
      </c>
      <c r="AW1161" s="2" t="str">
        <f>IF(Registered!AV1161=0,"",IF(Registered!AV1161=1,Registered!AV1161&amp;" Meal",Registered!AV1161&amp;" Meals"))</f>
        <v/>
      </c>
      <c r="AX1161" s="2" t="str">
        <f>IF(Registered!AI1161=0,"",Registered!AI1161&amp;" BG")</f>
        <v/>
      </c>
      <c r="AY1161" s="2" t="str">
        <f>IF(Registered!AG1161=0,"",Registered!AG1161&amp;" DustMask")</f>
        <v/>
      </c>
    </row>
    <row r="1162" spans="1:51" customFormat="1" x14ac:dyDescent="0.25">
      <c r="A1162" t="s">
        <v>1606</v>
      </c>
      <c r="B1162" t="s">
        <v>1604</v>
      </c>
      <c r="C1162" t="s">
        <v>6090</v>
      </c>
      <c r="G1162" t="s">
        <v>143</v>
      </c>
      <c r="H1162" t="s">
        <v>1215</v>
      </c>
      <c r="I1162" t="s">
        <v>1607</v>
      </c>
      <c r="J1162" t="s">
        <v>37</v>
      </c>
      <c r="K1162" t="s">
        <v>32</v>
      </c>
      <c r="L1162" t="s">
        <v>35</v>
      </c>
      <c r="AQ1162">
        <v>0</v>
      </c>
      <c r="AR1162" s="3">
        <f t="shared" si="54"/>
        <v>0</v>
      </c>
      <c r="AS1162" s="3">
        <f t="shared" si="55"/>
        <v>0</v>
      </c>
      <c r="AT1162" s="3" t="str">
        <f>IF(OR(Registered!AM1162&gt;0,Registered!AO1162&gt;0),(IF(Registered!E1162=0,"Size Not Specified",Registered!E1162)),"")</f>
        <v/>
      </c>
      <c r="AU1162" s="3" t="str">
        <f>IF(Registered!AE1162=0,"",IF(Registered!AE1162=1,Registered!AE1162&amp;" Bandana",Registered!AE1162&amp;" Bandanas"))</f>
        <v/>
      </c>
      <c r="AV1162" s="3">
        <f t="shared" si="56"/>
        <v>0</v>
      </c>
      <c r="AW1162" s="2" t="str">
        <f>IF(Registered!AV1162=0,"",IF(Registered!AV1162=1,Registered!AV1162&amp;" Meal",Registered!AV1162&amp;" Meals"))</f>
        <v/>
      </c>
      <c r="AX1162" s="2" t="str">
        <f>IF(Registered!AI1162=0,"",Registered!AI1162&amp;" BG")</f>
        <v/>
      </c>
      <c r="AY1162" s="2" t="str">
        <f>IF(Registered!AG1162=0,"",Registered!AG1162&amp;" DustMask")</f>
        <v/>
      </c>
    </row>
    <row r="1163" spans="1:51" customFormat="1" x14ac:dyDescent="0.25">
      <c r="A1163" t="s">
        <v>100</v>
      </c>
      <c r="B1163" t="s">
        <v>1604</v>
      </c>
      <c r="C1163" t="s">
        <v>6090</v>
      </c>
      <c r="G1163" t="s">
        <v>143</v>
      </c>
      <c r="H1163" t="s">
        <v>1215</v>
      </c>
      <c r="I1163" t="s">
        <v>1216</v>
      </c>
      <c r="J1163" t="s">
        <v>37</v>
      </c>
      <c r="K1163" t="s">
        <v>32</v>
      </c>
      <c r="L1163" t="s">
        <v>35</v>
      </c>
      <c r="AQ1163">
        <v>0</v>
      </c>
      <c r="AR1163" s="3">
        <f t="shared" si="54"/>
        <v>0</v>
      </c>
      <c r="AS1163" s="3">
        <f t="shared" si="55"/>
        <v>0</v>
      </c>
      <c r="AT1163" s="3" t="str">
        <f>IF(OR(Registered!AM1163&gt;0,Registered!AO1163&gt;0),(IF(Registered!E1163=0,"Size Not Specified",Registered!E1163)),"")</f>
        <v/>
      </c>
      <c r="AU1163" s="3" t="str">
        <f>IF(Registered!AE1163=0,"",IF(Registered!AE1163=1,Registered!AE1163&amp;" Bandana",Registered!AE1163&amp;" Bandanas"))</f>
        <v/>
      </c>
      <c r="AV1163" s="3">
        <f t="shared" si="56"/>
        <v>0</v>
      </c>
      <c r="AW1163" s="2" t="str">
        <f>IF(Registered!AV1163=0,"",IF(Registered!AV1163=1,Registered!AV1163&amp;" Meal",Registered!AV1163&amp;" Meals"))</f>
        <v/>
      </c>
      <c r="AX1163" s="2" t="str">
        <f>IF(Registered!AI1163=0,"",Registered!AI1163&amp;" BG")</f>
        <v/>
      </c>
      <c r="AY1163" s="2" t="str">
        <f>IF(Registered!AG1163=0,"",Registered!AG1163&amp;" DustMask")</f>
        <v/>
      </c>
    </row>
    <row r="1164" spans="1:51" customFormat="1" x14ac:dyDescent="0.25">
      <c r="A1164" t="s">
        <v>4797</v>
      </c>
      <c r="B1164" t="s">
        <v>4798</v>
      </c>
      <c r="C1164" t="s">
        <v>6090</v>
      </c>
      <c r="G1164" t="s">
        <v>152</v>
      </c>
      <c r="H1164" t="s">
        <v>630</v>
      </c>
      <c r="I1164" t="s">
        <v>4799</v>
      </c>
      <c r="J1164" t="s">
        <v>37</v>
      </c>
      <c r="K1164" t="s">
        <v>32</v>
      </c>
      <c r="L1164" t="s">
        <v>35</v>
      </c>
      <c r="AQ1164">
        <v>0</v>
      </c>
      <c r="AR1164" s="3">
        <f t="shared" si="54"/>
        <v>0</v>
      </c>
      <c r="AS1164" s="3">
        <f t="shared" si="55"/>
        <v>0</v>
      </c>
      <c r="AT1164" s="3" t="str">
        <f>IF(OR(Registered!AM1164&gt;0,Registered!AO1164&gt;0),(IF(Registered!E1164=0,"Size Not Specified",Registered!E1164)),"")</f>
        <v/>
      </c>
      <c r="AU1164" s="3" t="str">
        <f>IF(Registered!AE1164=0,"",IF(Registered!AE1164=1,Registered!AE1164&amp;" Bandana",Registered!AE1164&amp;" Bandanas"))</f>
        <v/>
      </c>
      <c r="AV1164" s="3">
        <f t="shared" si="56"/>
        <v>0</v>
      </c>
      <c r="AW1164" s="2" t="str">
        <f>IF(Registered!AV1164=0,"",IF(Registered!AV1164=1,Registered!AV1164&amp;" Meal",Registered!AV1164&amp;" Meals"))</f>
        <v/>
      </c>
      <c r="AX1164" s="2" t="str">
        <f>IF(Registered!AI1164=0,"",Registered!AI1164&amp;" BG")</f>
        <v/>
      </c>
      <c r="AY1164" s="2" t="str">
        <f>IF(Registered!AG1164=0,"",Registered!AG1164&amp;" DustMask")</f>
        <v/>
      </c>
    </row>
    <row r="1165" spans="1:51" customFormat="1" x14ac:dyDescent="0.25">
      <c r="A1165" t="s">
        <v>103</v>
      </c>
      <c r="B1165" t="s">
        <v>4800</v>
      </c>
      <c r="C1165" t="s">
        <v>6090</v>
      </c>
      <c r="D1165" t="s">
        <v>103</v>
      </c>
      <c r="F1165" t="s">
        <v>261</v>
      </c>
      <c r="I1165" t="s">
        <v>4801</v>
      </c>
      <c r="J1165" t="s">
        <v>37</v>
      </c>
      <c r="K1165" t="s">
        <v>32</v>
      </c>
      <c r="L1165" t="s">
        <v>35</v>
      </c>
      <c r="Q1165">
        <v>2</v>
      </c>
      <c r="R1165">
        <v>3</v>
      </c>
      <c r="U1165">
        <v>1</v>
      </c>
      <c r="V1165">
        <v>20</v>
      </c>
      <c r="AQ1165">
        <v>26</v>
      </c>
      <c r="AR1165" s="3">
        <f t="shared" si="54"/>
        <v>10</v>
      </c>
      <c r="AS1165" s="3">
        <f t="shared" si="55"/>
        <v>0</v>
      </c>
      <c r="AT1165" s="3" t="str">
        <f>IF(OR(Registered!AM1165&gt;0,Registered!AO1165&gt;0),(IF(Registered!E1165=0,"Size Not Specified",Registered!E1165)),"")</f>
        <v/>
      </c>
      <c r="AU1165" s="3" t="str">
        <f>IF(Registered!AE1165=0,"",IF(Registered!AE1165=1,Registered!AE1165&amp;" Bandana",Registered!AE1165&amp;" Bandanas"))</f>
        <v/>
      </c>
      <c r="AV1165" s="3">
        <f t="shared" si="56"/>
        <v>0</v>
      </c>
      <c r="AW1165" s="2" t="str">
        <f>IF(Registered!AV1165=0,"",IF(Registered!AV1165=1,Registered!AV1165&amp;" Meal",Registered!AV1165&amp;" Meals"))</f>
        <v/>
      </c>
      <c r="AX1165" s="2" t="str">
        <f>IF(Registered!AI1165=0,"",Registered!AI1165&amp;" BG")</f>
        <v/>
      </c>
      <c r="AY1165" s="2" t="str">
        <f>IF(Registered!AG1165=0,"",Registered!AG1165&amp;" DustMask")</f>
        <v/>
      </c>
    </row>
    <row r="1166" spans="1:51" customFormat="1" x14ac:dyDescent="0.25">
      <c r="A1166" t="s">
        <v>69</v>
      </c>
      <c r="B1166" t="s">
        <v>574</v>
      </c>
      <c r="C1166" t="s">
        <v>6090</v>
      </c>
      <c r="G1166" t="s">
        <v>2917</v>
      </c>
      <c r="H1166" t="s">
        <v>460</v>
      </c>
      <c r="I1166" t="s">
        <v>2918</v>
      </c>
      <c r="J1166" t="s">
        <v>37</v>
      </c>
      <c r="K1166" t="s">
        <v>32</v>
      </c>
      <c r="L1166" t="s">
        <v>35</v>
      </c>
      <c r="AQ1166">
        <v>0</v>
      </c>
      <c r="AR1166" s="3">
        <f t="shared" si="54"/>
        <v>0</v>
      </c>
      <c r="AS1166" s="3">
        <f t="shared" si="55"/>
        <v>0</v>
      </c>
      <c r="AT1166" s="3" t="str">
        <f>IF(OR(Registered!AM1166&gt;0,Registered!AO1166&gt;0),(IF(Registered!E1166=0,"Size Not Specified",Registered!E1166)),"")</f>
        <v/>
      </c>
      <c r="AU1166" s="3" t="str">
        <f>IF(Registered!AE1166=0,"",IF(Registered!AE1166=1,Registered!AE1166&amp;" Bandana",Registered!AE1166&amp;" Bandanas"))</f>
        <v/>
      </c>
      <c r="AV1166" s="3">
        <f t="shared" si="56"/>
        <v>0</v>
      </c>
      <c r="AW1166" s="2" t="str">
        <f>IF(Registered!AV1166=0,"",IF(Registered!AV1166=1,Registered!AV1166&amp;" Meal",Registered!AV1166&amp;" Meals"))</f>
        <v/>
      </c>
      <c r="AX1166" s="2" t="str">
        <f>IF(Registered!AI1166=0,"",Registered!AI1166&amp;" BG")</f>
        <v/>
      </c>
      <c r="AY1166" s="2" t="str">
        <f>IF(Registered!AG1166=0,"",Registered!AG1166&amp;" DustMask")</f>
        <v/>
      </c>
    </row>
    <row r="1167" spans="1:51" customFormat="1" x14ac:dyDescent="0.25">
      <c r="A1167" t="s">
        <v>407</v>
      </c>
      <c r="B1167" t="s">
        <v>574</v>
      </c>
      <c r="C1167" t="s">
        <v>6090</v>
      </c>
      <c r="G1167" t="s">
        <v>167</v>
      </c>
      <c r="H1167" t="s">
        <v>3723</v>
      </c>
      <c r="I1167" t="s">
        <v>3726</v>
      </c>
      <c r="J1167" t="s">
        <v>37</v>
      </c>
      <c r="K1167" t="s">
        <v>32</v>
      </c>
      <c r="L1167" t="s">
        <v>35</v>
      </c>
      <c r="AQ1167">
        <v>0</v>
      </c>
      <c r="AR1167" s="3">
        <f t="shared" si="54"/>
        <v>0</v>
      </c>
      <c r="AS1167" s="3">
        <f t="shared" si="55"/>
        <v>0</v>
      </c>
      <c r="AT1167" s="3" t="str">
        <f>IF(OR(Registered!AM1167&gt;0,Registered!AO1167&gt;0),(IF(Registered!E1167=0,"Size Not Specified",Registered!E1167)),"")</f>
        <v/>
      </c>
      <c r="AU1167" s="3" t="str">
        <f>IF(Registered!AE1167=0,"",IF(Registered!AE1167=1,Registered!AE1167&amp;" Bandana",Registered!AE1167&amp;" Bandanas"))</f>
        <v/>
      </c>
      <c r="AV1167" s="3">
        <f t="shared" si="56"/>
        <v>0</v>
      </c>
      <c r="AW1167" s="2" t="str">
        <f>IF(Registered!AV1167=0,"",IF(Registered!AV1167=1,Registered!AV1167&amp;" Meal",Registered!AV1167&amp;" Meals"))</f>
        <v/>
      </c>
      <c r="AX1167" s="2" t="str">
        <f>IF(Registered!AI1167=0,"",Registered!AI1167&amp;" BG")</f>
        <v/>
      </c>
      <c r="AY1167" s="2" t="str">
        <f>IF(Registered!AG1167=0,"",Registered!AG1167&amp;" DustMask")</f>
        <v/>
      </c>
    </row>
    <row r="1168" spans="1:51" customFormat="1" x14ac:dyDescent="0.25">
      <c r="A1168" t="s">
        <v>136</v>
      </c>
      <c r="B1168" t="s">
        <v>574</v>
      </c>
      <c r="C1168" t="s">
        <v>6090</v>
      </c>
      <c r="D1168" t="s">
        <v>1610</v>
      </c>
      <c r="F1168" t="s">
        <v>261</v>
      </c>
      <c r="I1168" t="s">
        <v>575</v>
      </c>
      <c r="J1168" t="s">
        <v>37</v>
      </c>
      <c r="K1168" t="s">
        <v>32</v>
      </c>
      <c r="L1168" t="s">
        <v>35</v>
      </c>
      <c r="S1168">
        <v>2</v>
      </c>
      <c r="T1168">
        <v>3</v>
      </c>
      <c r="AC1168">
        <v>2</v>
      </c>
      <c r="AD1168">
        <v>10</v>
      </c>
      <c r="AK1168">
        <v>2</v>
      </c>
      <c r="AL1168">
        <v>6</v>
      </c>
      <c r="AQ1168">
        <v>38</v>
      </c>
      <c r="AR1168" s="3">
        <f t="shared" si="54"/>
        <v>10</v>
      </c>
      <c r="AS1168" s="3">
        <f t="shared" si="55"/>
        <v>0</v>
      </c>
      <c r="AT1168" s="3" t="str">
        <f>IF(OR(Registered!AM1168&gt;0,Registered!AO1168&gt;0),(IF(Registered!E1168=0,"Size Not Specified",Registered!E1168)),"")</f>
        <v/>
      </c>
      <c r="AU1168" s="3" t="str">
        <f>IF(Registered!AE1168=0,"",IF(Registered!AE1168=1,Registered!AE1168&amp;" Bandana",Registered!AE1168&amp;" Bandanas"))</f>
        <v/>
      </c>
      <c r="AV1168" s="3">
        <f t="shared" si="56"/>
        <v>2</v>
      </c>
      <c r="AW1168" s="2" t="str">
        <f>IF(Registered!AV1168=0,"",IF(Registered!AV1168=1,Registered!AV1168&amp;" Meal",Registered!AV1168&amp;" Meals"))</f>
        <v>2 Meals</v>
      </c>
      <c r="AX1168" s="2" t="str">
        <f>IF(Registered!AI1168=0,"",Registered!AI1168&amp;" BG")</f>
        <v/>
      </c>
      <c r="AY1168" s="2" t="str">
        <f>IF(Registered!AG1168=0,"",Registered!AG1168&amp;" DustMask")</f>
        <v/>
      </c>
    </row>
    <row r="1169" spans="1:51" customFormat="1" x14ac:dyDescent="0.25">
      <c r="A1169" t="s">
        <v>4805</v>
      </c>
      <c r="B1169" t="s">
        <v>4806</v>
      </c>
      <c r="C1169" t="s">
        <v>6090</v>
      </c>
      <c r="D1169" t="s">
        <v>4807</v>
      </c>
      <c r="F1169" t="s">
        <v>261</v>
      </c>
      <c r="I1169" t="s">
        <v>4808</v>
      </c>
      <c r="J1169" t="s">
        <v>37</v>
      </c>
      <c r="K1169" t="s">
        <v>32</v>
      </c>
      <c r="L1169" t="s">
        <v>35</v>
      </c>
      <c r="Q1169">
        <v>2</v>
      </c>
      <c r="R1169">
        <v>3</v>
      </c>
      <c r="U1169">
        <v>1</v>
      </c>
      <c r="V1169">
        <v>20</v>
      </c>
      <c r="AQ1169">
        <v>26</v>
      </c>
      <c r="AR1169" s="3">
        <f t="shared" si="54"/>
        <v>10</v>
      </c>
      <c r="AS1169" s="3">
        <f t="shared" si="55"/>
        <v>0</v>
      </c>
      <c r="AT1169" s="3" t="str">
        <f>IF(OR(Registered!AM1169&gt;0,Registered!AO1169&gt;0),(IF(Registered!E1169=0,"Size Not Specified",Registered!E1169)),"")</f>
        <v/>
      </c>
      <c r="AU1169" s="3" t="str">
        <f>IF(Registered!AE1169=0,"",IF(Registered!AE1169=1,Registered!AE1169&amp;" Bandana",Registered!AE1169&amp;" Bandanas"))</f>
        <v/>
      </c>
      <c r="AV1169" s="3">
        <f t="shared" si="56"/>
        <v>0</v>
      </c>
      <c r="AW1169" s="2" t="str">
        <f>IF(Registered!AV1169=0,"",IF(Registered!AV1169=1,Registered!AV1169&amp;" Meal",Registered!AV1169&amp;" Meals"))</f>
        <v/>
      </c>
      <c r="AX1169" s="2" t="str">
        <f>IF(Registered!AI1169=0,"",Registered!AI1169&amp;" BG")</f>
        <v/>
      </c>
      <c r="AY1169" s="2" t="str">
        <f>IF(Registered!AG1169=0,"",Registered!AG1169&amp;" DustMask")</f>
        <v/>
      </c>
    </row>
    <row r="1170" spans="1:51" customFormat="1" x14ac:dyDescent="0.25">
      <c r="A1170" t="s">
        <v>141</v>
      </c>
      <c r="B1170" t="s">
        <v>1543</v>
      </c>
      <c r="C1170" t="s">
        <v>6090</v>
      </c>
      <c r="G1170" t="s">
        <v>148</v>
      </c>
      <c r="H1170" t="s">
        <v>477</v>
      </c>
      <c r="I1170" t="s">
        <v>4809</v>
      </c>
      <c r="J1170" t="s">
        <v>37</v>
      </c>
      <c r="K1170" t="s">
        <v>32</v>
      </c>
      <c r="L1170" t="s">
        <v>35</v>
      </c>
      <c r="AQ1170">
        <v>0</v>
      </c>
      <c r="AR1170" s="3">
        <f t="shared" si="54"/>
        <v>0</v>
      </c>
      <c r="AS1170" s="3">
        <f t="shared" si="55"/>
        <v>0</v>
      </c>
      <c r="AT1170" s="3" t="str">
        <f>IF(OR(Registered!AM1170&gt;0,Registered!AO1170&gt;0),(IF(Registered!E1170=0,"Size Not Specified",Registered!E1170)),"")</f>
        <v/>
      </c>
      <c r="AU1170" s="3" t="str">
        <f>IF(Registered!AE1170=0,"",IF(Registered!AE1170=1,Registered!AE1170&amp;" Bandana",Registered!AE1170&amp;" Bandanas"))</f>
        <v/>
      </c>
      <c r="AV1170" s="3">
        <f t="shared" si="56"/>
        <v>0</v>
      </c>
      <c r="AW1170" s="2" t="str">
        <f>IF(Registered!AV1170=0,"",IF(Registered!AV1170=1,Registered!AV1170&amp;" Meal",Registered!AV1170&amp;" Meals"))</f>
        <v/>
      </c>
      <c r="AX1170" s="2" t="str">
        <f>IF(Registered!AI1170=0,"",Registered!AI1170&amp;" BG")</f>
        <v/>
      </c>
      <c r="AY1170" s="2" t="str">
        <f>IF(Registered!AG1170=0,"",Registered!AG1170&amp;" DustMask")</f>
        <v/>
      </c>
    </row>
    <row r="1171" spans="1:51" customFormat="1" x14ac:dyDescent="0.25">
      <c r="A1171" t="s">
        <v>127</v>
      </c>
      <c r="B1171" t="s">
        <v>3065</v>
      </c>
      <c r="C1171" t="s">
        <v>6090</v>
      </c>
      <c r="D1171" t="s">
        <v>3066</v>
      </c>
      <c r="F1171" t="s">
        <v>261</v>
      </c>
      <c r="I1171" t="s">
        <v>3067</v>
      </c>
      <c r="J1171" t="s">
        <v>37</v>
      </c>
      <c r="K1171" t="s">
        <v>32</v>
      </c>
      <c r="L1171" t="s">
        <v>35</v>
      </c>
      <c r="Q1171">
        <v>2</v>
      </c>
      <c r="R1171">
        <v>3</v>
      </c>
      <c r="AC1171">
        <v>1</v>
      </c>
      <c r="AD1171">
        <v>10</v>
      </c>
      <c r="AQ1171">
        <v>16</v>
      </c>
      <c r="AR1171" s="3">
        <f t="shared" si="54"/>
        <v>5</v>
      </c>
      <c r="AS1171" s="3">
        <f t="shared" si="55"/>
        <v>0</v>
      </c>
      <c r="AT1171" s="3" t="str">
        <f>IF(OR(Registered!AM1171&gt;0,Registered!AO1171&gt;0),(IF(Registered!E1171=0,"Size Not Specified",Registered!E1171)),"")</f>
        <v/>
      </c>
      <c r="AU1171" s="3" t="str">
        <f>IF(Registered!AE1171=0,"",IF(Registered!AE1171=1,Registered!AE1171&amp;" Bandana",Registered!AE1171&amp;" Bandanas"))</f>
        <v/>
      </c>
      <c r="AV1171" s="3">
        <f t="shared" si="56"/>
        <v>0</v>
      </c>
      <c r="AW1171" s="2" t="str">
        <f>IF(Registered!AV1171=0,"",IF(Registered!AV1171=1,Registered!AV1171&amp;" Meal",Registered!AV1171&amp;" Meals"))</f>
        <v/>
      </c>
      <c r="AX1171" s="2" t="str">
        <f>IF(Registered!AI1171=0,"",Registered!AI1171&amp;" BG")</f>
        <v/>
      </c>
      <c r="AY1171" s="2" t="str">
        <f>IF(Registered!AG1171=0,"",Registered!AG1171&amp;" DustMask")</f>
        <v/>
      </c>
    </row>
    <row r="1172" spans="1:51" customFormat="1" x14ac:dyDescent="0.25">
      <c r="A1172" t="s">
        <v>4810</v>
      </c>
      <c r="B1172" t="s">
        <v>4811</v>
      </c>
      <c r="C1172" t="s">
        <v>6090</v>
      </c>
      <c r="G1172" t="s">
        <v>188</v>
      </c>
      <c r="H1172" t="s">
        <v>3422</v>
      </c>
      <c r="I1172" t="s">
        <v>4516</v>
      </c>
      <c r="J1172" t="s">
        <v>37</v>
      </c>
      <c r="K1172" t="s">
        <v>32</v>
      </c>
      <c r="L1172" t="s">
        <v>35</v>
      </c>
      <c r="AQ1172">
        <v>0</v>
      </c>
      <c r="AR1172" s="3">
        <f t="shared" si="54"/>
        <v>0</v>
      </c>
      <c r="AS1172" s="3">
        <f t="shared" si="55"/>
        <v>0</v>
      </c>
      <c r="AT1172" s="3" t="str">
        <f>IF(OR(Registered!AM1172&gt;0,Registered!AO1172&gt;0),(IF(Registered!E1172=0,"Size Not Specified",Registered!E1172)),"")</f>
        <v/>
      </c>
      <c r="AU1172" s="3" t="str">
        <f>IF(Registered!AE1172=0,"",IF(Registered!AE1172=1,Registered!AE1172&amp;" Bandana",Registered!AE1172&amp;" Bandanas"))</f>
        <v/>
      </c>
      <c r="AV1172" s="3">
        <f t="shared" si="56"/>
        <v>0</v>
      </c>
      <c r="AW1172" s="2" t="str">
        <f>IF(Registered!AV1172=0,"",IF(Registered!AV1172=1,Registered!AV1172&amp;" Meal",Registered!AV1172&amp;" Meals"))</f>
        <v/>
      </c>
      <c r="AX1172" s="2" t="str">
        <f>IF(Registered!AI1172=0,"",Registered!AI1172&amp;" BG")</f>
        <v/>
      </c>
      <c r="AY1172" s="2" t="str">
        <f>IF(Registered!AG1172=0,"",Registered!AG1172&amp;" DustMask")</f>
        <v/>
      </c>
    </row>
    <row r="1173" spans="1:51" customFormat="1" x14ac:dyDescent="0.25">
      <c r="A1173" t="s">
        <v>4812</v>
      </c>
      <c r="B1173" t="s">
        <v>4811</v>
      </c>
      <c r="C1173" t="s">
        <v>6090</v>
      </c>
      <c r="G1173" t="s">
        <v>188</v>
      </c>
      <c r="H1173" t="s">
        <v>3422</v>
      </c>
      <c r="I1173" t="s">
        <v>4516</v>
      </c>
      <c r="J1173" t="s">
        <v>37</v>
      </c>
      <c r="K1173" t="s">
        <v>32</v>
      </c>
      <c r="L1173" t="s">
        <v>35</v>
      </c>
      <c r="AQ1173">
        <v>0</v>
      </c>
      <c r="AR1173" s="3">
        <f t="shared" si="54"/>
        <v>0</v>
      </c>
      <c r="AS1173" s="3">
        <f t="shared" si="55"/>
        <v>0</v>
      </c>
      <c r="AT1173" s="3" t="str">
        <f>IF(OR(Registered!AM1173&gt;0,Registered!AO1173&gt;0),(IF(Registered!E1173=0,"Size Not Specified",Registered!E1173)),"")</f>
        <v/>
      </c>
      <c r="AU1173" s="3" t="str">
        <f>IF(Registered!AE1173=0,"",IF(Registered!AE1173=1,Registered!AE1173&amp;" Bandana",Registered!AE1173&amp;" Bandanas"))</f>
        <v/>
      </c>
      <c r="AV1173" s="3">
        <f t="shared" si="56"/>
        <v>0</v>
      </c>
      <c r="AW1173" s="2" t="str">
        <f>IF(Registered!AV1173=0,"",IF(Registered!AV1173=1,Registered!AV1173&amp;" Meal",Registered!AV1173&amp;" Meals"))</f>
        <v/>
      </c>
      <c r="AX1173" s="2" t="str">
        <f>IF(Registered!AI1173=0,"",Registered!AI1173&amp;" BG")</f>
        <v/>
      </c>
      <c r="AY1173" s="2" t="str">
        <f>IF(Registered!AG1173=0,"",Registered!AG1173&amp;" DustMask")</f>
        <v/>
      </c>
    </row>
    <row r="1174" spans="1:51" customFormat="1" x14ac:dyDescent="0.25">
      <c r="A1174" t="s">
        <v>210</v>
      </c>
      <c r="B1174" t="s">
        <v>4813</v>
      </c>
      <c r="C1174" t="s">
        <v>6090</v>
      </c>
      <c r="G1174" t="s">
        <v>4814</v>
      </c>
      <c r="H1174" t="s">
        <v>4815</v>
      </c>
      <c r="I1174" t="s">
        <v>4816</v>
      </c>
      <c r="J1174" t="s">
        <v>37</v>
      </c>
      <c r="K1174" t="s">
        <v>32</v>
      </c>
      <c r="L1174" t="s">
        <v>35</v>
      </c>
      <c r="AQ1174">
        <v>0</v>
      </c>
      <c r="AR1174" s="3">
        <f t="shared" si="54"/>
        <v>0</v>
      </c>
      <c r="AS1174" s="3">
        <f t="shared" si="55"/>
        <v>0</v>
      </c>
      <c r="AT1174" s="3" t="str">
        <f>IF(OR(Registered!AM1174&gt;0,Registered!AO1174&gt;0),(IF(Registered!E1174=0,"Size Not Specified",Registered!E1174)),"")</f>
        <v/>
      </c>
      <c r="AU1174" s="3" t="str">
        <f>IF(Registered!AE1174=0,"",IF(Registered!AE1174=1,Registered!AE1174&amp;" Bandana",Registered!AE1174&amp;" Bandanas"))</f>
        <v/>
      </c>
      <c r="AV1174" s="3">
        <f t="shared" si="56"/>
        <v>0</v>
      </c>
      <c r="AW1174" s="2" t="str">
        <f>IF(Registered!AV1174=0,"",IF(Registered!AV1174=1,Registered!AV1174&amp;" Meal",Registered!AV1174&amp;" Meals"))</f>
        <v/>
      </c>
      <c r="AX1174" s="2" t="str">
        <f>IF(Registered!AI1174=0,"",Registered!AI1174&amp;" BG")</f>
        <v/>
      </c>
      <c r="AY1174" s="2" t="str">
        <f>IF(Registered!AG1174=0,"",Registered!AG1174&amp;" DustMask")</f>
        <v/>
      </c>
    </row>
    <row r="1175" spans="1:51" customFormat="1" x14ac:dyDescent="0.25">
      <c r="A1175" t="s">
        <v>3068</v>
      </c>
      <c r="B1175" t="s">
        <v>3069</v>
      </c>
      <c r="C1175" t="s">
        <v>6090</v>
      </c>
      <c r="D1175" t="s">
        <v>3070</v>
      </c>
      <c r="F1175" t="s">
        <v>261</v>
      </c>
      <c r="I1175" t="s">
        <v>3071</v>
      </c>
      <c r="J1175" t="s">
        <v>37</v>
      </c>
      <c r="K1175" t="s">
        <v>32</v>
      </c>
      <c r="L1175" t="s">
        <v>35</v>
      </c>
      <c r="Q1175">
        <v>2</v>
      </c>
      <c r="R1175">
        <v>3</v>
      </c>
      <c r="U1175">
        <v>2</v>
      </c>
      <c r="V1175">
        <v>20</v>
      </c>
      <c r="AE1175">
        <v>2</v>
      </c>
      <c r="AF1175">
        <v>6</v>
      </c>
      <c r="AK1175">
        <v>2</v>
      </c>
      <c r="AL1175">
        <v>6</v>
      </c>
      <c r="AQ1175">
        <v>70</v>
      </c>
      <c r="AR1175" s="3">
        <f t="shared" si="54"/>
        <v>20</v>
      </c>
      <c r="AS1175" s="3">
        <f t="shared" si="55"/>
        <v>0</v>
      </c>
      <c r="AT1175" s="3" t="str">
        <f>IF(OR(Registered!AM1175&gt;0,Registered!AO1175&gt;0),(IF(Registered!E1175=0,"Size Not Specified",Registered!E1175)),"")</f>
        <v/>
      </c>
      <c r="AU1175" s="3" t="str">
        <f>IF(Registered!AE1175=0,"",IF(Registered!AE1175=1,Registered!AE1175&amp;" Bandana",Registered!AE1175&amp;" Bandanas"))</f>
        <v>2 Bandanas</v>
      </c>
      <c r="AV1175" s="3">
        <f t="shared" si="56"/>
        <v>2</v>
      </c>
      <c r="AW1175" s="2" t="str">
        <f>IF(Registered!AV1175=0,"",IF(Registered!AV1175=1,Registered!AV1175&amp;" Meal",Registered!AV1175&amp;" Meals"))</f>
        <v>2 Meals</v>
      </c>
      <c r="AX1175" s="2" t="str">
        <f>IF(Registered!AI1175=0,"",Registered!AI1175&amp;" BG")</f>
        <v/>
      </c>
      <c r="AY1175" s="2" t="str">
        <f>IF(Registered!AG1175=0,"",Registered!AG1175&amp;" DustMask")</f>
        <v/>
      </c>
    </row>
    <row r="1176" spans="1:51" customFormat="1" x14ac:dyDescent="0.25">
      <c r="A1176" t="s">
        <v>1432</v>
      </c>
      <c r="B1176" t="s">
        <v>1433</v>
      </c>
      <c r="C1176" t="s">
        <v>6090</v>
      </c>
      <c r="G1176" t="s">
        <v>75</v>
      </c>
      <c r="H1176" t="s">
        <v>4407</v>
      </c>
      <c r="I1176" t="s">
        <v>4408</v>
      </c>
      <c r="J1176" t="s">
        <v>37</v>
      </c>
      <c r="K1176" t="s">
        <v>32</v>
      </c>
      <c r="L1176" t="s">
        <v>35</v>
      </c>
      <c r="AQ1176">
        <v>0</v>
      </c>
      <c r="AR1176" s="3">
        <f t="shared" si="54"/>
        <v>0</v>
      </c>
      <c r="AS1176" s="3">
        <f t="shared" si="55"/>
        <v>0</v>
      </c>
      <c r="AT1176" s="3" t="str">
        <f>IF(OR(Registered!AM1176&gt;0,Registered!AO1176&gt;0),(IF(Registered!E1176=0,"Size Not Specified",Registered!E1176)),"")</f>
        <v/>
      </c>
      <c r="AU1176" s="3" t="str">
        <f>IF(Registered!AE1176=0,"",IF(Registered!AE1176=1,Registered!AE1176&amp;" Bandana",Registered!AE1176&amp;" Bandanas"))</f>
        <v/>
      </c>
      <c r="AV1176" s="3">
        <f t="shared" si="56"/>
        <v>0</v>
      </c>
      <c r="AW1176" s="2" t="str">
        <f>IF(Registered!AV1176=0,"",IF(Registered!AV1176=1,Registered!AV1176&amp;" Meal",Registered!AV1176&amp;" Meals"))</f>
        <v/>
      </c>
      <c r="AX1176" s="2" t="str">
        <f>IF(Registered!AI1176=0,"",Registered!AI1176&amp;" BG")</f>
        <v/>
      </c>
      <c r="AY1176" s="2" t="str">
        <f>IF(Registered!AG1176=0,"",Registered!AG1176&amp;" DustMask")</f>
        <v/>
      </c>
    </row>
    <row r="1177" spans="1:51" customFormat="1" x14ac:dyDescent="0.25">
      <c r="A1177" t="s">
        <v>1432</v>
      </c>
      <c r="B1177" t="s">
        <v>1433</v>
      </c>
      <c r="C1177" t="s">
        <v>6090</v>
      </c>
      <c r="D1177" t="s">
        <v>1615</v>
      </c>
      <c r="F1177" t="s">
        <v>261</v>
      </c>
      <c r="I1177" t="s">
        <v>1434</v>
      </c>
      <c r="J1177" t="s">
        <v>37</v>
      </c>
      <c r="K1177" t="s">
        <v>32</v>
      </c>
      <c r="L1177" t="s">
        <v>35</v>
      </c>
      <c r="S1177">
        <v>2</v>
      </c>
      <c r="T1177">
        <v>3</v>
      </c>
      <c r="AC1177">
        <v>1</v>
      </c>
      <c r="AD1177">
        <v>10</v>
      </c>
      <c r="AK1177">
        <v>1</v>
      </c>
      <c r="AL1177">
        <v>6</v>
      </c>
      <c r="AQ1177">
        <v>22</v>
      </c>
      <c r="AR1177" s="3">
        <f t="shared" si="54"/>
        <v>5</v>
      </c>
      <c r="AS1177" s="3">
        <f t="shared" si="55"/>
        <v>0</v>
      </c>
      <c r="AT1177" s="3" t="str">
        <f>IF(OR(Registered!AM1177&gt;0,Registered!AO1177&gt;0),(IF(Registered!E1177=0,"Size Not Specified",Registered!E1177)),"")</f>
        <v/>
      </c>
      <c r="AU1177" s="3" t="str">
        <f>IF(Registered!AE1177=0,"",IF(Registered!AE1177=1,Registered!AE1177&amp;" Bandana",Registered!AE1177&amp;" Bandanas"))</f>
        <v/>
      </c>
      <c r="AV1177" s="3">
        <f t="shared" si="56"/>
        <v>1</v>
      </c>
      <c r="AW1177" s="2" t="str">
        <f>IF(Registered!AV1177=0,"",IF(Registered!AV1177=1,Registered!AV1177&amp;" Meal",Registered!AV1177&amp;" Meals"))</f>
        <v>1 Meal</v>
      </c>
      <c r="AX1177" s="2" t="str">
        <f>IF(Registered!AI1177=0,"",Registered!AI1177&amp;" BG")</f>
        <v/>
      </c>
      <c r="AY1177" s="2" t="str">
        <f>IF(Registered!AG1177=0,"",Registered!AG1177&amp;" DustMask")</f>
        <v/>
      </c>
    </row>
    <row r="1178" spans="1:51" customFormat="1" x14ac:dyDescent="0.25">
      <c r="A1178" t="s">
        <v>784</v>
      </c>
      <c r="B1178" t="s">
        <v>785</v>
      </c>
      <c r="C1178" t="s">
        <v>6090</v>
      </c>
      <c r="D1178" t="s">
        <v>1616</v>
      </c>
      <c r="I1178" t="s">
        <v>786</v>
      </c>
      <c r="J1178" t="s">
        <v>37</v>
      </c>
      <c r="K1178" t="s">
        <v>32</v>
      </c>
      <c r="L1178" t="s">
        <v>35</v>
      </c>
      <c r="S1178">
        <v>2</v>
      </c>
      <c r="T1178">
        <v>3</v>
      </c>
      <c r="U1178">
        <v>1</v>
      </c>
      <c r="V1178">
        <v>20</v>
      </c>
      <c r="AQ1178">
        <v>26</v>
      </c>
      <c r="AR1178" s="3">
        <f t="shared" si="54"/>
        <v>10</v>
      </c>
      <c r="AS1178" s="3">
        <f t="shared" si="55"/>
        <v>0</v>
      </c>
      <c r="AT1178" s="3" t="str">
        <f>IF(OR(Registered!AM1178&gt;0,Registered!AO1178&gt;0),(IF(Registered!E1178=0,"Size Not Specified",Registered!E1178)),"")</f>
        <v/>
      </c>
      <c r="AU1178" s="3" t="str">
        <f>IF(Registered!AE1178=0,"",IF(Registered!AE1178=1,Registered!AE1178&amp;" Bandana",Registered!AE1178&amp;" Bandanas"))</f>
        <v/>
      </c>
      <c r="AV1178" s="3">
        <f t="shared" si="56"/>
        <v>0</v>
      </c>
      <c r="AW1178" s="2" t="str">
        <f>IF(Registered!AV1178=0,"",IF(Registered!AV1178=1,Registered!AV1178&amp;" Meal",Registered!AV1178&amp;" Meals"))</f>
        <v/>
      </c>
      <c r="AX1178" s="2" t="str">
        <f>IF(Registered!AI1178=0,"",Registered!AI1178&amp;" BG")</f>
        <v/>
      </c>
      <c r="AY1178" s="2" t="str">
        <f>IF(Registered!AG1178=0,"",Registered!AG1178&amp;" DustMask")</f>
        <v/>
      </c>
    </row>
    <row r="1179" spans="1:51" customFormat="1" x14ac:dyDescent="0.25">
      <c r="A1179" t="s">
        <v>61</v>
      </c>
      <c r="B1179" t="s">
        <v>1617</v>
      </c>
      <c r="C1179" t="s">
        <v>6090</v>
      </c>
      <c r="G1179" t="s">
        <v>54</v>
      </c>
      <c r="H1179" t="s">
        <v>1617</v>
      </c>
      <c r="I1179" t="s">
        <v>1618</v>
      </c>
      <c r="J1179" t="s">
        <v>37</v>
      </c>
      <c r="K1179" t="s">
        <v>32</v>
      </c>
      <c r="L1179" t="s">
        <v>35</v>
      </c>
      <c r="AQ1179">
        <v>0</v>
      </c>
      <c r="AR1179" s="3">
        <f t="shared" si="54"/>
        <v>0</v>
      </c>
      <c r="AS1179" s="3">
        <f t="shared" si="55"/>
        <v>0</v>
      </c>
      <c r="AT1179" s="3" t="str">
        <f>IF(OR(Registered!AM1179&gt;0,Registered!AO1179&gt;0),(IF(Registered!E1179=0,"Size Not Specified",Registered!E1179)),"")</f>
        <v/>
      </c>
      <c r="AU1179" s="3" t="str">
        <f>IF(Registered!AE1179=0,"",IF(Registered!AE1179=1,Registered!AE1179&amp;" Bandana",Registered!AE1179&amp;" Bandanas"))</f>
        <v/>
      </c>
      <c r="AV1179" s="3">
        <f t="shared" si="56"/>
        <v>0</v>
      </c>
      <c r="AW1179" s="2" t="str">
        <f>IF(Registered!AV1179=0,"",IF(Registered!AV1179=1,Registered!AV1179&amp;" Meal",Registered!AV1179&amp;" Meals"))</f>
        <v/>
      </c>
      <c r="AX1179" s="2" t="str">
        <f>IF(Registered!AI1179=0,"",Registered!AI1179&amp;" BG")</f>
        <v/>
      </c>
      <c r="AY1179" s="2" t="str">
        <f>IF(Registered!AG1179=0,"",Registered!AG1179&amp;" DustMask")</f>
        <v/>
      </c>
    </row>
    <row r="1180" spans="1:51" customFormat="1" x14ac:dyDescent="0.25">
      <c r="A1180" t="s">
        <v>54</v>
      </c>
      <c r="B1180" t="s">
        <v>1617</v>
      </c>
      <c r="C1180" t="s">
        <v>6090</v>
      </c>
      <c r="F1180" t="s">
        <v>261</v>
      </c>
      <c r="I1180" t="s">
        <v>1618</v>
      </c>
      <c r="J1180" t="s">
        <v>37</v>
      </c>
      <c r="K1180" t="s">
        <v>32</v>
      </c>
      <c r="L1180" t="s">
        <v>35</v>
      </c>
      <c r="S1180">
        <v>2</v>
      </c>
      <c r="T1180">
        <v>3</v>
      </c>
      <c r="AQ1180">
        <v>6</v>
      </c>
      <c r="AR1180" s="3">
        <f t="shared" si="54"/>
        <v>0</v>
      </c>
      <c r="AS1180" s="3">
        <f t="shared" si="55"/>
        <v>0</v>
      </c>
      <c r="AT1180" s="3" t="str">
        <f>IF(OR(Registered!AM1180&gt;0,Registered!AO1180&gt;0),(IF(Registered!E1180=0,"Size Not Specified",Registered!E1180)),"")</f>
        <v/>
      </c>
      <c r="AU1180" s="3" t="str">
        <f>IF(Registered!AE1180=0,"",IF(Registered!AE1180=1,Registered!AE1180&amp;" Bandana",Registered!AE1180&amp;" Bandanas"))</f>
        <v/>
      </c>
      <c r="AV1180" s="3">
        <f t="shared" si="56"/>
        <v>0</v>
      </c>
      <c r="AW1180" s="2" t="str">
        <f>IF(Registered!AV1180=0,"",IF(Registered!AV1180=1,Registered!AV1180&amp;" Meal",Registered!AV1180&amp;" Meals"))</f>
        <v/>
      </c>
      <c r="AX1180" s="2" t="str">
        <f>IF(Registered!AI1180=0,"",Registered!AI1180&amp;" BG")</f>
        <v/>
      </c>
      <c r="AY1180" s="2" t="str">
        <f>IF(Registered!AG1180=0,"",Registered!AG1180&amp;" DustMask")</f>
        <v/>
      </c>
    </row>
    <row r="1181" spans="1:51" customFormat="1" x14ac:dyDescent="0.25">
      <c r="A1181" t="s">
        <v>136</v>
      </c>
      <c r="B1181" t="s">
        <v>3072</v>
      </c>
      <c r="C1181" t="s">
        <v>6090</v>
      </c>
      <c r="D1181" t="s">
        <v>3073</v>
      </c>
      <c r="E1181" t="s">
        <v>686</v>
      </c>
      <c r="F1181" t="s">
        <v>261</v>
      </c>
      <c r="I1181" t="s">
        <v>3074</v>
      </c>
      <c r="J1181" t="s">
        <v>37</v>
      </c>
      <c r="K1181" t="s">
        <v>32</v>
      </c>
      <c r="L1181" t="s">
        <v>35</v>
      </c>
      <c r="Q1181">
        <v>2</v>
      </c>
      <c r="R1181">
        <v>3</v>
      </c>
      <c r="AC1181">
        <v>1</v>
      </c>
      <c r="AD1181">
        <v>10</v>
      </c>
      <c r="AK1181">
        <v>2</v>
      </c>
      <c r="AL1181">
        <v>6</v>
      </c>
      <c r="AQ1181">
        <v>28</v>
      </c>
      <c r="AR1181" s="3">
        <f t="shared" si="54"/>
        <v>5</v>
      </c>
      <c r="AS1181" s="3">
        <f t="shared" si="55"/>
        <v>0</v>
      </c>
      <c r="AT1181" s="3" t="str">
        <f>IF(OR(Registered!AM1181&gt;0,Registered!AO1181&gt;0),(IF(Registered!E1181=0,"Size Not Specified",Registered!E1181)),"")</f>
        <v/>
      </c>
      <c r="AU1181" s="3" t="str">
        <f>IF(Registered!AE1181=0,"",IF(Registered!AE1181=1,Registered!AE1181&amp;" Bandana",Registered!AE1181&amp;" Bandanas"))</f>
        <v/>
      </c>
      <c r="AV1181" s="3">
        <f t="shared" si="56"/>
        <v>2</v>
      </c>
      <c r="AW1181" s="2" t="str">
        <f>IF(Registered!AV1181=0,"",IF(Registered!AV1181=1,Registered!AV1181&amp;" Meal",Registered!AV1181&amp;" Meals"))</f>
        <v>2 Meals</v>
      </c>
      <c r="AX1181" s="2" t="str">
        <f>IF(Registered!AI1181=0,"",Registered!AI1181&amp;" BG")</f>
        <v/>
      </c>
      <c r="AY1181" s="2" t="str">
        <f>IF(Registered!AG1181=0,"",Registered!AG1181&amp;" DustMask")</f>
        <v/>
      </c>
    </row>
    <row r="1182" spans="1:51" customFormat="1" x14ac:dyDescent="0.25">
      <c r="A1182" t="s">
        <v>465</v>
      </c>
      <c r="B1182" t="s">
        <v>4817</v>
      </c>
      <c r="C1182" t="s">
        <v>6090</v>
      </c>
      <c r="G1182" t="s">
        <v>4818</v>
      </c>
      <c r="H1182" t="s">
        <v>204</v>
      </c>
      <c r="I1182" t="s">
        <v>4819</v>
      </c>
      <c r="J1182" t="s">
        <v>37</v>
      </c>
      <c r="K1182" t="s">
        <v>32</v>
      </c>
      <c r="L1182" t="s">
        <v>35</v>
      </c>
      <c r="AQ1182">
        <v>0</v>
      </c>
      <c r="AR1182" s="3">
        <f t="shared" si="54"/>
        <v>0</v>
      </c>
      <c r="AS1182" s="3">
        <f t="shared" si="55"/>
        <v>0</v>
      </c>
      <c r="AT1182" s="3" t="str">
        <f>IF(OR(Registered!AM1182&gt;0,Registered!AO1182&gt;0),(IF(Registered!E1182=0,"Size Not Specified",Registered!E1182)),"")</f>
        <v/>
      </c>
      <c r="AU1182" s="3" t="str">
        <f>IF(Registered!AE1182=0,"",IF(Registered!AE1182=1,Registered!AE1182&amp;" Bandana",Registered!AE1182&amp;" Bandanas"))</f>
        <v/>
      </c>
      <c r="AV1182" s="3">
        <f t="shared" si="56"/>
        <v>0</v>
      </c>
      <c r="AW1182" s="2" t="str">
        <f>IF(Registered!AV1182=0,"",IF(Registered!AV1182=1,Registered!AV1182&amp;" Meal",Registered!AV1182&amp;" Meals"))</f>
        <v/>
      </c>
      <c r="AX1182" s="2" t="str">
        <f>IF(Registered!AI1182=0,"",Registered!AI1182&amp;" BG")</f>
        <v/>
      </c>
      <c r="AY1182" s="2" t="str">
        <f>IF(Registered!AG1182=0,"",Registered!AG1182&amp;" DustMask")</f>
        <v/>
      </c>
    </row>
    <row r="1183" spans="1:51" customFormat="1" x14ac:dyDescent="0.25">
      <c r="A1183" t="s">
        <v>256</v>
      </c>
      <c r="B1183" t="s">
        <v>4817</v>
      </c>
      <c r="C1183" t="s">
        <v>6090</v>
      </c>
      <c r="G1183" t="s">
        <v>3710</v>
      </c>
      <c r="H1183" t="s">
        <v>4820</v>
      </c>
      <c r="I1183" t="s">
        <v>4821</v>
      </c>
      <c r="J1183" t="s">
        <v>37</v>
      </c>
      <c r="K1183" t="s">
        <v>32</v>
      </c>
      <c r="L1183" t="s">
        <v>35</v>
      </c>
      <c r="AQ1183">
        <v>0</v>
      </c>
      <c r="AR1183" s="3">
        <f t="shared" si="54"/>
        <v>0</v>
      </c>
      <c r="AS1183" s="3">
        <f t="shared" si="55"/>
        <v>0</v>
      </c>
      <c r="AT1183" s="3" t="str">
        <f>IF(OR(Registered!AM1183&gt;0,Registered!AO1183&gt;0),(IF(Registered!E1183=0,"Size Not Specified",Registered!E1183)),"")</f>
        <v/>
      </c>
      <c r="AU1183" s="3" t="str">
        <f>IF(Registered!AE1183=0,"",IF(Registered!AE1183=1,Registered!AE1183&amp;" Bandana",Registered!AE1183&amp;" Bandanas"))</f>
        <v/>
      </c>
      <c r="AV1183" s="3">
        <f t="shared" si="56"/>
        <v>0</v>
      </c>
      <c r="AW1183" s="2" t="str">
        <f>IF(Registered!AV1183=0,"",IF(Registered!AV1183=1,Registered!AV1183&amp;" Meal",Registered!AV1183&amp;" Meals"))</f>
        <v/>
      </c>
      <c r="AX1183" s="2" t="str">
        <f>IF(Registered!AI1183=0,"",Registered!AI1183&amp;" BG")</f>
        <v/>
      </c>
      <c r="AY1183" s="2" t="str">
        <f>IF(Registered!AG1183=0,"",Registered!AG1183&amp;" DustMask")</f>
        <v/>
      </c>
    </row>
    <row r="1184" spans="1:51" customFormat="1" x14ac:dyDescent="0.25">
      <c r="A1184" t="s">
        <v>109</v>
      </c>
      <c r="B1184" t="s">
        <v>4822</v>
      </c>
      <c r="C1184" t="s">
        <v>6090</v>
      </c>
      <c r="G1184" t="s">
        <v>4527</v>
      </c>
      <c r="H1184" t="s">
        <v>2984</v>
      </c>
      <c r="I1184" t="s">
        <v>4529</v>
      </c>
      <c r="J1184" t="s">
        <v>37</v>
      </c>
      <c r="K1184" t="s">
        <v>32</v>
      </c>
      <c r="L1184" t="s">
        <v>35</v>
      </c>
      <c r="AQ1184">
        <v>0</v>
      </c>
      <c r="AR1184" s="3">
        <f t="shared" si="54"/>
        <v>0</v>
      </c>
      <c r="AS1184" s="3">
        <f t="shared" si="55"/>
        <v>0</v>
      </c>
      <c r="AT1184" s="3" t="str">
        <f>IF(OR(Registered!AM1184&gt;0,Registered!AO1184&gt;0),(IF(Registered!E1184=0,"Size Not Specified",Registered!E1184)),"")</f>
        <v/>
      </c>
      <c r="AU1184" s="3" t="str">
        <f>IF(Registered!AE1184=0,"",IF(Registered!AE1184=1,Registered!AE1184&amp;" Bandana",Registered!AE1184&amp;" Bandanas"))</f>
        <v/>
      </c>
      <c r="AV1184" s="3">
        <f t="shared" si="56"/>
        <v>0</v>
      </c>
      <c r="AW1184" s="2" t="str">
        <f>IF(Registered!AV1184=0,"",IF(Registered!AV1184=1,Registered!AV1184&amp;" Meal",Registered!AV1184&amp;" Meals"))</f>
        <v/>
      </c>
      <c r="AX1184" s="2" t="str">
        <f>IF(Registered!AI1184=0,"",Registered!AI1184&amp;" BG")</f>
        <v/>
      </c>
      <c r="AY1184" s="2" t="str">
        <f>IF(Registered!AG1184=0,"",Registered!AG1184&amp;" DustMask")</f>
        <v/>
      </c>
    </row>
    <row r="1185" spans="1:51" customFormat="1" x14ac:dyDescent="0.25">
      <c r="A1185" t="s">
        <v>3055</v>
      </c>
      <c r="B1185" t="s">
        <v>3075</v>
      </c>
      <c r="C1185" t="s">
        <v>6090</v>
      </c>
      <c r="G1185" t="s">
        <v>3076</v>
      </c>
      <c r="H1185" t="s">
        <v>302</v>
      </c>
      <c r="I1185" t="s">
        <v>3077</v>
      </c>
      <c r="J1185" t="s">
        <v>37</v>
      </c>
      <c r="K1185" t="s">
        <v>32</v>
      </c>
      <c r="L1185" t="s">
        <v>35</v>
      </c>
      <c r="AQ1185">
        <v>0</v>
      </c>
      <c r="AR1185" s="3">
        <f t="shared" si="54"/>
        <v>0</v>
      </c>
      <c r="AS1185" s="3">
        <f t="shared" si="55"/>
        <v>0</v>
      </c>
      <c r="AT1185" s="3" t="str">
        <f>IF(OR(Registered!AM1185&gt;0,Registered!AO1185&gt;0),(IF(Registered!E1185=0,"Size Not Specified",Registered!E1185)),"")</f>
        <v/>
      </c>
      <c r="AU1185" s="3" t="str">
        <f>IF(Registered!AE1185=0,"",IF(Registered!AE1185=1,Registered!AE1185&amp;" Bandana",Registered!AE1185&amp;" Bandanas"))</f>
        <v/>
      </c>
      <c r="AV1185" s="3">
        <f t="shared" si="56"/>
        <v>0</v>
      </c>
      <c r="AW1185" s="2" t="str">
        <f>IF(Registered!AV1185=0,"",IF(Registered!AV1185=1,Registered!AV1185&amp;" Meal",Registered!AV1185&amp;" Meals"))</f>
        <v/>
      </c>
      <c r="AX1185" s="2" t="str">
        <f>IF(Registered!AI1185=0,"",Registered!AI1185&amp;" BG")</f>
        <v/>
      </c>
      <c r="AY1185" s="2" t="str">
        <f>IF(Registered!AG1185=0,"",Registered!AG1185&amp;" DustMask")</f>
        <v/>
      </c>
    </row>
    <row r="1186" spans="1:51" customFormat="1" x14ac:dyDescent="0.25">
      <c r="A1186" t="s">
        <v>869</v>
      </c>
      <c r="B1186" t="s">
        <v>1620</v>
      </c>
      <c r="C1186" t="s">
        <v>6090</v>
      </c>
      <c r="D1186" t="s">
        <v>1621</v>
      </c>
      <c r="F1186" t="s">
        <v>261</v>
      </c>
      <c r="I1186" t="s">
        <v>1622</v>
      </c>
      <c r="J1186" t="s">
        <v>37</v>
      </c>
      <c r="K1186" t="s">
        <v>32</v>
      </c>
      <c r="L1186" t="s">
        <v>35</v>
      </c>
      <c r="S1186">
        <v>2</v>
      </c>
      <c r="T1186">
        <v>3</v>
      </c>
      <c r="U1186">
        <v>1</v>
      </c>
      <c r="V1186">
        <v>20</v>
      </c>
      <c r="AQ1186">
        <v>26</v>
      </c>
      <c r="AR1186" s="3">
        <f t="shared" si="54"/>
        <v>10</v>
      </c>
      <c r="AS1186" s="3">
        <f t="shared" si="55"/>
        <v>0</v>
      </c>
      <c r="AT1186" s="3" t="str">
        <f>IF(OR(Registered!AM1186&gt;0,Registered!AO1186&gt;0),(IF(Registered!E1186=0,"Size Not Specified",Registered!E1186)),"")</f>
        <v/>
      </c>
      <c r="AU1186" s="3" t="str">
        <f>IF(Registered!AE1186=0,"",IF(Registered!AE1186=1,Registered!AE1186&amp;" Bandana",Registered!AE1186&amp;" Bandanas"))</f>
        <v/>
      </c>
      <c r="AV1186" s="3">
        <f t="shared" si="56"/>
        <v>0</v>
      </c>
      <c r="AW1186" s="2" t="str">
        <f>IF(Registered!AV1186=0,"",IF(Registered!AV1186=1,Registered!AV1186&amp;" Meal",Registered!AV1186&amp;" Meals"))</f>
        <v/>
      </c>
      <c r="AX1186" s="2" t="str">
        <f>IF(Registered!AI1186=0,"",Registered!AI1186&amp;" BG")</f>
        <v/>
      </c>
      <c r="AY1186" s="2" t="str">
        <f>IF(Registered!AG1186=0,"",Registered!AG1186&amp;" DustMask")</f>
        <v/>
      </c>
    </row>
    <row r="1187" spans="1:51" customFormat="1" x14ac:dyDescent="0.25">
      <c r="A1187" t="s">
        <v>296</v>
      </c>
      <c r="B1187" t="s">
        <v>2840</v>
      </c>
      <c r="C1187" t="s">
        <v>6090</v>
      </c>
      <c r="G1187" t="s">
        <v>4823</v>
      </c>
      <c r="H1187" t="s">
        <v>4824</v>
      </c>
      <c r="I1187" t="s">
        <v>4825</v>
      </c>
      <c r="J1187" t="s">
        <v>37</v>
      </c>
      <c r="K1187" t="s">
        <v>32</v>
      </c>
      <c r="L1187" t="s">
        <v>35</v>
      </c>
      <c r="AQ1187">
        <v>0</v>
      </c>
      <c r="AR1187" s="3">
        <f t="shared" si="54"/>
        <v>0</v>
      </c>
      <c r="AS1187" s="3">
        <f t="shared" si="55"/>
        <v>0</v>
      </c>
      <c r="AT1187" s="3" t="str">
        <f>IF(OR(Registered!AM1187&gt;0,Registered!AO1187&gt;0),(IF(Registered!E1187=0,"Size Not Specified",Registered!E1187)),"")</f>
        <v/>
      </c>
      <c r="AU1187" s="3" t="str">
        <f>IF(Registered!AE1187=0,"",IF(Registered!AE1187=1,Registered!AE1187&amp;" Bandana",Registered!AE1187&amp;" Bandanas"))</f>
        <v/>
      </c>
      <c r="AV1187" s="3">
        <f t="shared" si="56"/>
        <v>0</v>
      </c>
      <c r="AW1187" s="2" t="str">
        <f>IF(Registered!AV1187=0,"",IF(Registered!AV1187=1,Registered!AV1187&amp;" Meal",Registered!AV1187&amp;" Meals"))</f>
        <v/>
      </c>
      <c r="AX1187" s="2" t="str">
        <f>IF(Registered!AI1187=0,"",Registered!AI1187&amp;" BG")</f>
        <v/>
      </c>
      <c r="AY1187" s="2" t="str">
        <f>IF(Registered!AG1187=0,"",Registered!AG1187&amp;" DustMask")</f>
        <v/>
      </c>
    </row>
    <row r="1188" spans="1:51" customFormat="1" x14ac:dyDescent="0.25">
      <c r="A1188" t="s">
        <v>3078</v>
      </c>
      <c r="B1188" t="s">
        <v>2840</v>
      </c>
      <c r="C1188" t="s">
        <v>6090</v>
      </c>
      <c r="G1188" t="s">
        <v>91</v>
      </c>
      <c r="H1188" t="s">
        <v>2840</v>
      </c>
      <c r="I1188" t="s">
        <v>2841</v>
      </c>
      <c r="J1188" t="s">
        <v>37</v>
      </c>
      <c r="K1188" t="s">
        <v>32</v>
      </c>
      <c r="L1188" t="s">
        <v>35</v>
      </c>
      <c r="AQ1188">
        <v>0</v>
      </c>
      <c r="AR1188" s="3">
        <f t="shared" si="54"/>
        <v>0</v>
      </c>
      <c r="AS1188" s="3">
        <f t="shared" si="55"/>
        <v>0</v>
      </c>
      <c r="AT1188" s="3" t="str">
        <f>IF(OR(Registered!AM1188&gt;0,Registered!AO1188&gt;0),(IF(Registered!E1188=0,"Size Not Specified",Registered!E1188)),"")</f>
        <v/>
      </c>
      <c r="AU1188" s="3" t="str">
        <f>IF(Registered!AE1188=0,"",IF(Registered!AE1188=1,Registered!AE1188&amp;" Bandana",Registered!AE1188&amp;" Bandanas"))</f>
        <v/>
      </c>
      <c r="AV1188" s="3">
        <f t="shared" si="56"/>
        <v>0</v>
      </c>
      <c r="AW1188" s="2" t="str">
        <f>IF(Registered!AV1188=0,"",IF(Registered!AV1188=1,Registered!AV1188&amp;" Meal",Registered!AV1188&amp;" Meals"))</f>
        <v/>
      </c>
      <c r="AX1188" s="2" t="str">
        <f>IF(Registered!AI1188=0,"",Registered!AI1188&amp;" BG")</f>
        <v/>
      </c>
      <c r="AY1188" s="2" t="str">
        <f>IF(Registered!AG1188=0,"",Registered!AG1188&amp;" DustMask")</f>
        <v/>
      </c>
    </row>
    <row r="1189" spans="1:51" customFormat="1" x14ac:dyDescent="0.25">
      <c r="A1189" t="s">
        <v>91</v>
      </c>
      <c r="B1189" t="s">
        <v>2840</v>
      </c>
      <c r="C1189" t="s">
        <v>6090</v>
      </c>
      <c r="D1189" t="s">
        <v>3079</v>
      </c>
      <c r="F1189" t="s">
        <v>261</v>
      </c>
      <c r="I1189" t="s">
        <v>2841</v>
      </c>
      <c r="J1189" t="s">
        <v>37</v>
      </c>
      <c r="K1189" t="s">
        <v>32</v>
      </c>
      <c r="L1189" t="s">
        <v>35</v>
      </c>
      <c r="Q1189">
        <v>4</v>
      </c>
      <c r="R1189">
        <v>3</v>
      </c>
      <c r="AC1189">
        <v>6</v>
      </c>
      <c r="AD1189">
        <v>10</v>
      </c>
      <c r="AQ1189">
        <v>72</v>
      </c>
      <c r="AR1189" s="3">
        <f t="shared" si="54"/>
        <v>30</v>
      </c>
      <c r="AS1189" s="3">
        <f t="shared" si="55"/>
        <v>0</v>
      </c>
      <c r="AT1189" s="3" t="str">
        <f>IF(OR(Registered!AM1189&gt;0,Registered!AO1189&gt;0),(IF(Registered!E1189=0,"Size Not Specified",Registered!E1189)),"")</f>
        <v/>
      </c>
      <c r="AU1189" s="3" t="str">
        <f>IF(Registered!AE1189=0,"",IF(Registered!AE1189=1,Registered!AE1189&amp;" Bandana",Registered!AE1189&amp;" Bandanas"))</f>
        <v/>
      </c>
      <c r="AV1189" s="3">
        <f t="shared" si="56"/>
        <v>0</v>
      </c>
      <c r="AW1189" s="2" t="str">
        <f>IF(Registered!AV1189=0,"",IF(Registered!AV1189=1,Registered!AV1189&amp;" Meal",Registered!AV1189&amp;" Meals"))</f>
        <v/>
      </c>
      <c r="AX1189" s="2" t="str">
        <f>IF(Registered!AI1189=0,"",Registered!AI1189&amp;" BG")</f>
        <v/>
      </c>
      <c r="AY1189" s="2" t="str">
        <f>IF(Registered!AG1189=0,"",Registered!AG1189&amp;" DustMask")</f>
        <v/>
      </c>
    </row>
    <row r="1190" spans="1:51" customFormat="1" x14ac:dyDescent="0.25">
      <c r="A1190" t="s">
        <v>835</v>
      </c>
      <c r="B1190" t="s">
        <v>2840</v>
      </c>
      <c r="C1190" t="s">
        <v>6090</v>
      </c>
      <c r="D1190" t="s">
        <v>3080</v>
      </c>
      <c r="F1190" t="s">
        <v>261</v>
      </c>
      <c r="I1190" t="s">
        <v>2948</v>
      </c>
      <c r="J1190" t="s">
        <v>37</v>
      </c>
      <c r="K1190" t="s">
        <v>32</v>
      </c>
      <c r="L1190" t="s">
        <v>35</v>
      </c>
      <c r="Q1190">
        <v>2</v>
      </c>
      <c r="R1190">
        <v>3</v>
      </c>
      <c r="U1190">
        <v>1</v>
      </c>
      <c r="V1190">
        <v>20</v>
      </c>
      <c r="AC1190">
        <v>1</v>
      </c>
      <c r="AD1190">
        <v>10</v>
      </c>
      <c r="AQ1190">
        <v>36</v>
      </c>
      <c r="AR1190" s="3">
        <f t="shared" si="54"/>
        <v>15</v>
      </c>
      <c r="AS1190" s="3">
        <f t="shared" si="55"/>
        <v>0</v>
      </c>
      <c r="AT1190" s="3" t="str">
        <f>IF(OR(Registered!AM1190&gt;0,Registered!AO1190&gt;0),(IF(Registered!E1190=0,"Size Not Specified",Registered!E1190)),"")</f>
        <v/>
      </c>
      <c r="AU1190" s="3" t="str">
        <f>IF(Registered!AE1190=0,"",IF(Registered!AE1190=1,Registered!AE1190&amp;" Bandana",Registered!AE1190&amp;" Bandanas"))</f>
        <v/>
      </c>
      <c r="AV1190" s="3">
        <f t="shared" si="56"/>
        <v>0</v>
      </c>
      <c r="AW1190" s="2" t="str">
        <f>IF(Registered!AV1190=0,"",IF(Registered!AV1190=1,Registered!AV1190&amp;" Meal",Registered!AV1190&amp;" Meals"))</f>
        <v/>
      </c>
      <c r="AX1190" s="2" t="str">
        <f>IF(Registered!AI1190=0,"",Registered!AI1190&amp;" BG")</f>
        <v/>
      </c>
      <c r="AY1190" s="2" t="str">
        <f>IF(Registered!AG1190=0,"",Registered!AG1190&amp;" DustMask")</f>
        <v/>
      </c>
    </row>
    <row r="1191" spans="1:51" customFormat="1" x14ac:dyDescent="0.25">
      <c r="A1191" t="s">
        <v>359</v>
      </c>
      <c r="B1191" t="s">
        <v>468</v>
      </c>
      <c r="C1191" t="s">
        <v>6090</v>
      </c>
      <c r="G1191" t="s">
        <v>465</v>
      </c>
      <c r="H1191" t="s">
        <v>1623</v>
      </c>
      <c r="I1191" t="s">
        <v>1624</v>
      </c>
      <c r="J1191" t="s">
        <v>37</v>
      </c>
      <c r="K1191" t="s">
        <v>32</v>
      </c>
      <c r="L1191" t="s">
        <v>35</v>
      </c>
      <c r="AQ1191">
        <v>0</v>
      </c>
      <c r="AR1191" s="3">
        <f t="shared" si="54"/>
        <v>0</v>
      </c>
      <c r="AS1191" s="3">
        <f t="shared" si="55"/>
        <v>0</v>
      </c>
      <c r="AT1191" s="3" t="str">
        <f>IF(OR(Registered!AM1191&gt;0,Registered!AO1191&gt;0),(IF(Registered!E1191=0,"Size Not Specified",Registered!E1191)),"")</f>
        <v/>
      </c>
      <c r="AU1191" s="3" t="str">
        <f>IF(Registered!AE1191=0,"",IF(Registered!AE1191=1,Registered!AE1191&amp;" Bandana",Registered!AE1191&amp;" Bandanas"))</f>
        <v/>
      </c>
      <c r="AV1191" s="3">
        <f t="shared" si="56"/>
        <v>0</v>
      </c>
      <c r="AW1191" s="2" t="str">
        <f>IF(Registered!AV1191=0,"",IF(Registered!AV1191=1,Registered!AV1191&amp;" Meal",Registered!AV1191&amp;" Meals"))</f>
        <v/>
      </c>
      <c r="AX1191" s="2" t="str">
        <f>IF(Registered!AI1191=0,"",Registered!AI1191&amp;" BG")</f>
        <v/>
      </c>
      <c r="AY1191" s="2" t="str">
        <f>IF(Registered!AG1191=0,"",Registered!AG1191&amp;" DustMask")</f>
        <v/>
      </c>
    </row>
    <row r="1192" spans="1:51" customFormat="1" x14ac:dyDescent="0.25">
      <c r="A1192" t="s">
        <v>132</v>
      </c>
      <c r="B1192" t="s">
        <v>468</v>
      </c>
      <c r="C1192" t="s">
        <v>6090</v>
      </c>
      <c r="G1192" t="s">
        <v>465</v>
      </c>
      <c r="H1192" t="s">
        <v>1623</v>
      </c>
      <c r="I1192" t="s">
        <v>1624</v>
      </c>
      <c r="J1192" t="s">
        <v>37</v>
      </c>
      <c r="K1192" t="s">
        <v>32</v>
      </c>
      <c r="L1192" t="s">
        <v>35</v>
      </c>
      <c r="AQ1192">
        <v>0</v>
      </c>
      <c r="AR1192" s="3">
        <f t="shared" si="54"/>
        <v>0</v>
      </c>
      <c r="AS1192" s="3">
        <f t="shared" si="55"/>
        <v>0</v>
      </c>
      <c r="AT1192" s="3" t="str">
        <f>IF(OR(Registered!AM1192&gt;0,Registered!AO1192&gt;0),(IF(Registered!E1192=0,"Size Not Specified",Registered!E1192)),"")</f>
        <v/>
      </c>
      <c r="AU1192" s="3" t="str">
        <f>IF(Registered!AE1192=0,"",IF(Registered!AE1192=1,Registered!AE1192&amp;" Bandana",Registered!AE1192&amp;" Bandanas"))</f>
        <v/>
      </c>
      <c r="AV1192" s="3">
        <f t="shared" si="56"/>
        <v>0</v>
      </c>
      <c r="AW1192" s="2" t="str">
        <f>IF(Registered!AV1192=0,"",IF(Registered!AV1192=1,Registered!AV1192&amp;" Meal",Registered!AV1192&amp;" Meals"))</f>
        <v/>
      </c>
      <c r="AX1192" s="2" t="str">
        <f>IF(Registered!AI1192=0,"",Registered!AI1192&amp;" BG")</f>
        <v/>
      </c>
      <c r="AY1192" s="2" t="str">
        <f>IF(Registered!AG1192=0,"",Registered!AG1192&amp;" DustMask")</f>
        <v/>
      </c>
    </row>
    <row r="1193" spans="1:51" customFormat="1" x14ac:dyDescent="0.25">
      <c r="A1193" t="s">
        <v>3081</v>
      </c>
      <c r="B1193" t="s">
        <v>468</v>
      </c>
      <c r="C1193" t="s">
        <v>6090</v>
      </c>
      <c r="D1193" t="s">
        <v>3082</v>
      </c>
      <c r="F1193" t="s">
        <v>261</v>
      </c>
      <c r="I1193" t="s">
        <v>3083</v>
      </c>
      <c r="J1193" t="s">
        <v>37</v>
      </c>
      <c r="K1193" t="s">
        <v>32</v>
      </c>
      <c r="L1193" t="s">
        <v>35</v>
      </c>
      <c r="Q1193">
        <v>1</v>
      </c>
      <c r="R1193">
        <v>3</v>
      </c>
      <c r="AC1193">
        <v>1</v>
      </c>
      <c r="AD1193">
        <v>10</v>
      </c>
      <c r="AQ1193">
        <v>13</v>
      </c>
      <c r="AR1193" s="3">
        <f t="shared" si="54"/>
        <v>5</v>
      </c>
      <c r="AS1193" s="3">
        <f t="shared" si="55"/>
        <v>0</v>
      </c>
      <c r="AT1193" s="3" t="str">
        <f>IF(OR(Registered!AM1193&gt;0,Registered!AO1193&gt;0),(IF(Registered!E1193=0,"Size Not Specified",Registered!E1193)),"")</f>
        <v/>
      </c>
      <c r="AU1193" s="3" t="str">
        <f>IF(Registered!AE1193=0,"",IF(Registered!AE1193=1,Registered!AE1193&amp;" Bandana",Registered!AE1193&amp;" Bandanas"))</f>
        <v/>
      </c>
      <c r="AV1193" s="3">
        <f t="shared" si="56"/>
        <v>0</v>
      </c>
      <c r="AW1193" s="2" t="str">
        <f>IF(Registered!AV1193=0,"",IF(Registered!AV1193=1,Registered!AV1193&amp;" Meal",Registered!AV1193&amp;" Meals"))</f>
        <v/>
      </c>
      <c r="AX1193" s="2" t="str">
        <f>IF(Registered!AI1193=0,"",Registered!AI1193&amp;" BG")</f>
        <v/>
      </c>
      <c r="AY1193" s="2" t="str">
        <f>IF(Registered!AG1193=0,"",Registered!AG1193&amp;" DustMask")</f>
        <v/>
      </c>
    </row>
    <row r="1194" spans="1:51" customFormat="1" x14ac:dyDescent="0.25">
      <c r="A1194" t="s">
        <v>670</v>
      </c>
      <c r="B1194" t="s">
        <v>4826</v>
      </c>
      <c r="C1194" t="s">
        <v>6090</v>
      </c>
      <c r="D1194" t="s">
        <v>670</v>
      </c>
      <c r="F1194" t="s">
        <v>261</v>
      </c>
      <c r="I1194" t="s">
        <v>4827</v>
      </c>
      <c r="J1194" t="s">
        <v>37</v>
      </c>
      <c r="K1194" t="s">
        <v>32</v>
      </c>
      <c r="L1194" t="s">
        <v>35</v>
      </c>
      <c r="Q1194">
        <v>1</v>
      </c>
      <c r="R1194">
        <v>3</v>
      </c>
      <c r="AC1194">
        <v>1</v>
      </c>
      <c r="AD1194">
        <v>10</v>
      </c>
      <c r="AQ1194">
        <v>13</v>
      </c>
      <c r="AR1194" s="3">
        <f t="shared" si="54"/>
        <v>5</v>
      </c>
      <c r="AS1194" s="3">
        <f t="shared" si="55"/>
        <v>0</v>
      </c>
      <c r="AT1194" s="3" t="str">
        <f>IF(OR(Registered!AM1194&gt;0,Registered!AO1194&gt;0),(IF(Registered!E1194=0,"Size Not Specified",Registered!E1194)),"")</f>
        <v/>
      </c>
      <c r="AU1194" s="3" t="str">
        <f>IF(Registered!AE1194=0,"",IF(Registered!AE1194=1,Registered!AE1194&amp;" Bandana",Registered!AE1194&amp;" Bandanas"))</f>
        <v/>
      </c>
      <c r="AV1194" s="3">
        <f t="shared" si="56"/>
        <v>0</v>
      </c>
      <c r="AW1194" s="2" t="str">
        <f>IF(Registered!AV1194=0,"",IF(Registered!AV1194=1,Registered!AV1194&amp;" Meal",Registered!AV1194&amp;" Meals"))</f>
        <v/>
      </c>
      <c r="AX1194" s="2" t="str">
        <f>IF(Registered!AI1194=0,"",Registered!AI1194&amp;" BG")</f>
        <v/>
      </c>
      <c r="AY1194" s="2" t="str">
        <f>IF(Registered!AG1194=0,"",Registered!AG1194&amp;" DustMask")</f>
        <v/>
      </c>
    </row>
    <row r="1195" spans="1:51" customFormat="1" x14ac:dyDescent="0.25">
      <c r="A1195" t="s">
        <v>1625</v>
      </c>
      <c r="B1195" t="s">
        <v>1626</v>
      </c>
      <c r="C1195" t="s">
        <v>6090</v>
      </c>
      <c r="G1195" t="s">
        <v>1627</v>
      </c>
      <c r="H1195" t="s">
        <v>1628</v>
      </c>
      <c r="I1195" t="s">
        <v>1629</v>
      </c>
      <c r="J1195" t="s">
        <v>37</v>
      </c>
      <c r="K1195" t="s">
        <v>32</v>
      </c>
      <c r="L1195" t="s">
        <v>35</v>
      </c>
      <c r="AQ1195">
        <v>0</v>
      </c>
      <c r="AR1195" s="3">
        <f t="shared" si="54"/>
        <v>0</v>
      </c>
      <c r="AS1195" s="3">
        <f t="shared" si="55"/>
        <v>0</v>
      </c>
      <c r="AT1195" s="3" t="str">
        <f>IF(OR(Registered!AM1195&gt;0,Registered!AO1195&gt;0),(IF(Registered!E1195=0,"Size Not Specified",Registered!E1195)),"")</f>
        <v/>
      </c>
      <c r="AU1195" s="3" t="str">
        <f>IF(Registered!AE1195=0,"",IF(Registered!AE1195=1,Registered!AE1195&amp;" Bandana",Registered!AE1195&amp;" Bandanas"))</f>
        <v/>
      </c>
      <c r="AV1195" s="3">
        <f t="shared" si="56"/>
        <v>0</v>
      </c>
      <c r="AW1195" s="2" t="str">
        <f>IF(Registered!AV1195=0,"",IF(Registered!AV1195=1,Registered!AV1195&amp;" Meal",Registered!AV1195&amp;" Meals"))</f>
        <v/>
      </c>
      <c r="AX1195" s="2" t="str">
        <f>IF(Registered!AI1195=0,"",Registered!AI1195&amp;" BG")</f>
        <v/>
      </c>
      <c r="AY1195" s="2" t="str">
        <f>IF(Registered!AG1195=0,"",Registered!AG1195&amp;" DustMask")</f>
        <v/>
      </c>
    </row>
    <row r="1196" spans="1:51" customFormat="1" x14ac:dyDescent="0.25">
      <c r="A1196" t="s">
        <v>1630</v>
      </c>
      <c r="B1196" t="s">
        <v>1626</v>
      </c>
      <c r="C1196" t="s">
        <v>6090</v>
      </c>
      <c r="G1196" t="s">
        <v>1627</v>
      </c>
      <c r="H1196" t="s">
        <v>1628</v>
      </c>
      <c r="I1196" t="s">
        <v>1629</v>
      </c>
      <c r="J1196" t="s">
        <v>37</v>
      </c>
      <c r="K1196" t="s">
        <v>32</v>
      </c>
      <c r="L1196" t="s">
        <v>35</v>
      </c>
      <c r="AQ1196">
        <v>0</v>
      </c>
      <c r="AR1196" s="3">
        <f t="shared" si="54"/>
        <v>0</v>
      </c>
      <c r="AS1196" s="3">
        <f t="shared" si="55"/>
        <v>0</v>
      </c>
      <c r="AT1196" s="3" t="str">
        <f>IF(OR(Registered!AM1196&gt;0,Registered!AO1196&gt;0),(IF(Registered!E1196=0,"Size Not Specified",Registered!E1196)),"")</f>
        <v/>
      </c>
      <c r="AU1196" s="3" t="str">
        <f>IF(Registered!AE1196=0,"",IF(Registered!AE1196=1,Registered!AE1196&amp;" Bandana",Registered!AE1196&amp;" Bandanas"))</f>
        <v/>
      </c>
      <c r="AV1196" s="3">
        <f t="shared" si="56"/>
        <v>0</v>
      </c>
      <c r="AW1196" s="2" t="str">
        <f>IF(Registered!AV1196=0,"",IF(Registered!AV1196=1,Registered!AV1196&amp;" Meal",Registered!AV1196&amp;" Meals"))</f>
        <v/>
      </c>
      <c r="AX1196" s="2" t="str">
        <f>IF(Registered!AI1196=0,"",Registered!AI1196&amp;" BG")</f>
        <v/>
      </c>
      <c r="AY1196" s="2" t="str">
        <f>IF(Registered!AG1196=0,"",Registered!AG1196&amp;" DustMask")</f>
        <v/>
      </c>
    </row>
    <row r="1197" spans="1:51" customFormat="1" x14ac:dyDescent="0.25">
      <c r="A1197" t="s">
        <v>110</v>
      </c>
      <c r="B1197" t="s">
        <v>4828</v>
      </c>
      <c r="C1197" t="s">
        <v>6090</v>
      </c>
      <c r="D1197" t="s">
        <v>110</v>
      </c>
      <c r="F1197" t="s">
        <v>261</v>
      </c>
      <c r="I1197" t="s">
        <v>4829</v>
      </c>
      <c r="J1197" t="s">
        <v>37</v>
      </c>
      <c r="K1197" t="s">
        <v>32</v>
      </c>
      <c r="L1197" t="s">
        <v>35</v>
      </c>
      <c r="Q1197">
        <v>1</v>
      </c>
      <c r="R1197">
        <v>3</v>
      </c>
      <c r="AQ1197">
        <v>3</v>
      </c>
      <c r="AR1197" s="3">
        <f t="shared" si="54"/>
        <v>0</v>
      </c>
      <c r="AS1197" s="3">
        <f t="shared" si="55"/>
        <v>0</v>
      </c>
      <c r="AT1197" s="3" t="str">
        <f>IF(OR(Registered!AM1197&gt;0,Registered!AO1197&gt;0),(IF(Registered!E1197=0,"Size Not Specified",Registered!E1197)),"")</f>
        <v/>
      </c>
      <c r="AU1197" s="3" t="str">
        <f>IF(Registered!AE1197=0,"",IF(Registered!AE1197=1,Registered!AE1197&amp;" Bandana",Registered!AE1197&amp;" Bandanas"))</f>
        <v/>
      </c>
      <c r="AV1197" s="3">
        <f t="shared" si="56"/>
        <v>0</v>
      </c>
      <c r="AW1197" s="2" t="str">
        <f>IF(Registered!AV1197=0,"",IF(Registered!AV1197=1,Registered!AV1197&amp;" Meal",Registered!AV1197&amp;" Meals"))</f>
        <v/>
      </c>
      <c r="AX1197" s="2" t="str">
        <f>IF(Registered!AI1197=0,"",Registered!AI1197&amp;" BG")</f>
        <v/>
      </c>
      <c r="AY1197" s="2" t="str">
        <f>IF(Registered!AG1197=0,"",Registered!AG1197&amp;" DustMask")</f>
        <v/>
      </c>
    </row>
    <row r="1198" spans="1:51" customFormat="1" x14ac:dyDescent="0.25">
      <c r="A1198" t="s">
        <v>96</v>
      </c>
      <c r="B1198" t="s">
        <v>876</v>
      </c>
      <c r="C1198" t="s">
        <v>6090</v>
      </c>
      <c r="D1198" t="s">
        <v>1631</v>
      </c>
      <c r="F1198" t="s">
        <v>261</v>
      </c>
      <c r="I1198" t="s">
        <v>877</v>
      </c>
      <c r="J1198" t="s">
        <v>37</v>
      </c>
      <c r="K1198" t="s">
        <v>32</v>
      </c>
      <c r="L1198" t="s">
        <v>35</v>
      </c>
      <c r="S1198">
        <v>2</v>
      </c>
      <c r="T1198">
        <v>3</v>
      </c>
      <c r="U1198">
        <v>1</v>
      </c>
      <c r="V1198">
        <v>20</v>
      </c>
      <c r="AQ1198">
        <v>26</v>
      </c>
      <c r="AR1198" s="3">
        <f t="shared" si="54"/>
        <v>10</v>
      </c>
      <c r="AS1198" s="3">
        <f t="shared" si="55"/>
        <v>0</v>
      </c>
      <c r="AT1198" s="3" t="str">
        <f>IF(OR(Registered!AM1198&gt;0,Registered!AO1198&gt;0),(IF(Registered!E1198=0,"Size Not Specified",Registered!E1198)),"")</f>
        <v/>
      </c>
      <c r="AU1198" s="3" t="str">
        <f>IF(Registered!AE1198=0,"",IF(Registered!AE1198=1,Registered!AE1198&amp;" Bandana",Registered!AE1198&amp;" Bandanas"))</f>
        <v/>
      </c>
      <c r="AV1198" s="3">
        <f t="shared" si="56"/>
        <v>0</v>
      </c>
      <c r="AW1198" s="2" t="str">
        <f>IF(Registered!AV1198=0,"",IF(Registered!AV1198=1,Registered!AV1198&amp;" Meal",Registered!AV1198&amp;" Meals"))</f>
        <v/>
      </c>
      <c r="AX1198" s="2" t="str">
        <f>IF(Registered!AI1198=0,"",Registered!AI1198&amp;" BG")</f>
        <v/>
      </c>
      <c r="AY1198" s="2" t="str">
        <f>IF(Registered!AG1198=0,"",Registered!AG1198&amp;" DustMask")</f>
        <v/>
      </c>
    </row>
    <row r="1199" spans="1:51" customFormat="1" x14ac:dyDescent="0.25">
      <c r="A1199" t="s">
        <v>1632</v>
      </c>
      <c r="B1199" t="s">
        <v>1633</v>
      </c>
      <c r="C1199" t="s">
        <v>6090</v>
      </c>
      <c r="G1199" t="s">
        <v>108</v>
      </c>
      <c r="H1199" t="s">
        <v>802</v>
      </c>
      <c r="I1199" t="s">
        <v>804</v>
      </c>
      <c r="J1199" t="s">
        <v>37</v>
      </c>
      <c r="K1199" t="s">
        <v>32</v>
      </c>
      <c r="L1199" t="s">
        <v>35</v>
      </c>
      <c r="AQ1199">
        <v>0</v>
      </c>
      <c r="AR1199" s="3">
        <f t="shared" si="54"/>
        <v>0</v>
      </c>
      <c r="AS1199" s="3">
        <f t="shared" si="55"/>
        <v>0</v>
      </c>
      <c r="AT1199" s="3" t="str">
        <f>IF(OR(Registered!AM1199&gt;0,Registered!AO1199&gt;0),(IF(Registered!E1199=0,"Size Not Specified",Registered!E1199)),"")</f>
        <v/>
      </c>
      <c r="AU1199" s="3" t="str">
        <f>IF(Registered!AE1199=0,"",IF(Registered!AE1199=1,Registered!AE1199&amp;" Bandana",Registered!AE1199&amp;" Bandanas"))</f>
        <v/>
      </c>
      <c r="AV1199" s="3">
        <f t="shared" si="56"/>
        <v>0</v>
      </c>
      <c r="AW1199" s="2" t="str">
        <f>IF(Registered!AV1199=0,"",IF(Registered!AV1199=1,Registered!AV1199&amp;" Meal",Registered!AV1199&amp;" Meals"))</f>
        <v/>
      </c>
      <c r="AX1199" s="2" t="str">
        <f>IF(Registered!AI1199=0,"",Registered!AI1199&amp;" BG")</f>
        <v/>
      </c>
      <c r="AY1199" s="2" t="str">
        <f>IF(Registered!AG1199=0,"",Registered!AG1199&amp;" DustMask")</f>
        <v/>
      </c>
    </row>
    <row r="1200" spans="1:51" customFormat="1" x14ac:dyDescent="0.25">
      <c r="A1200" t="s">
        <v>91</v>
      </c>
      <c r="B1200" t="s">
        <v>1633</v>
      </c>
      <c r="C1200" t="s">
        <v>6090</v>
      </c>
      <c r="G1200" t="s">
        <v>108</v>
      </c>
      <c r="H1200" t="s">
        <v>802</v>
      </c>
      <c r="I1200" t="s">
        <v>804</v>
      </c>
      <c r="J1200" t="s">
        <v>37</v>
      </c>
      <c r="K1200" t="s">
        <v>32</v>
      </c>
      <c r="L1200" t="s">
        <v>35</v>
      </c>
      <c r="AQ1200">
        <v>0</v>
      </c>
      <c r="AR1200" s="3">
        <f t="shared" si="54"/>
        <v>0</v>
      </c>
      <c r="AS1200" s="3">
        <f t="shared" si="55"/>
        <v>0</v>
      </c>
      <c r="AT1200" s="3" t="str">
        <f>IF(OR(Registered!AM1200&gt;0,Registered!AO1200&gt;0),(IF(Registered!E1200=0,"Size Not Specified",Registered!E1200)),"")</f>
        <v/>
      </c>
      <c r="AU1200" s="3" t="str">
        <f>IF(Registered!AE1200=0,"",IF(Registered!AE1200=1,Registered!AE1200&amp;" Bandana",Registered!AE1200&amp;" Bandanas"))</f>
        <v/>
      </c>
      <c r="AV1200" s="3">
        <f t="shared" si="56"/>
        <v>0</v>
      </c>
      <c r="AW1200" s="2" t="str">
        <f>IF(Registered!AV1200=0,"",IF(Registered!AV1200=1,Registered!AV1200&amp;" Meal",Registered!AV1200&amp;" Meals"))</f>
        <v/>
      </c>
      <c r="AX1200" s="2" t="str">
        <f>IF(Registered!AI1200=0,"",Registered!AI1200&amp;" BG")</f>
        <v/>
      </c>
      <c r="AY1200" s="2" t="str">
        <f>IF(Registered!AG1200=0,"",Registered!AG1200&amp;" DustMask")</f>
        <v/>
      </c>
    </row>
    <row r="1201" spans="1:51" customFormat="1" x14ac:dyDescent="0.25">
      <c r="A1201" t="s">
        <v>1634</v>
      </c>
      <c r="B1201" t="s">
        <v>1633</v>
      </c>
      <c r="C1201" t="s">
        <v>6090</v>
      </c>
      <c r="G1201" t="s">
        <v>1635</v>
      </c>
      <c r="H1201" t="s">
        <v>1633</v>
      </c>
      <c r="I1201" t="s">
        <v>1636</v>
      </c>
      <c r="J1201" t="s">
        <v>37</v>
      </c>
      <c r="K1201" t="s">
        <v>32</v>
      </c>
      <c r="L1201" t="s">
        <v>35</v>
      </c>
      <c r="AQ1201">
        <v>0</v>
      </c>
      <c r="AR1201" s="3">
        <f t="shared" si="54"/>
        <v>0</v>
      </c>
      <c r="AS1201" s="3">
        <f t="shared" si="55"/>
        <v>0</v>
      </c>
      <c r="AT1201" s="3" t="str">
        <f>IF(OR(Registered!AM1201&gt;0,Registered!AO1201&gt;0),(IF(Registered!E1201=0,"Size Not Specified",Registered!E1201)),"")</f>
        <v/>
      </c>
      <c r="AU1201" s="3" t="str">
        <f>IF(Registered!AE1201=0,"",IF(Registered!AE1201=1,Registered!AE1201&amp;" Bandana",Registered!AE1201&amp;" Bandanas"))</f>
        <v/>
      </c>
      <c r="AV1201" s="3">
        <f t="shared" si="56"/>
        <v>0</v>
      </c>
      <c r="AW1201" s="2" t="str">
        <f>IF(Registered!AV1201=0,"",IF(Registered!AV1201=1,Registered!AV1201&amp;" Meal",Registered!AV1201&amp;" Meals"))</f>
        <v/>
      </c>
      <c r="AX1201" s="2" t="str">
        <f>IF(Registered!AI1201=0,"",Registered!AI1201&amp;" BG")</f>
        <v/>
      </c>
      <c r="AY1201" s="2" t="str">
        <f>IF(Registered!AG1201=0,"",Registered!AG1201&amp;" DustMask")</f>
        <v/>
      </c>
    </row>
    <row r="1202" spans="1:51" customFormat="1" x14ac:dyDescent="0.25">
      <c r="A1202" t="s">
        <v>1635</v>
      </c>
      <c r="B1202" t="s">
        <v>1633</v>
      </c>
      <c r="C1202" t="s">
        <v>6090</v>
      </c>
      <c r="D1202" t="s">
        <v>1637</v>
      </c>
      <c r="F1202" t="s">
        <v>261</v>
      </c>
      <c r="I1202" t="s">
        <v>1636</v>
      </c>
      <c r="J1202" t="s">
        <v>37</v>
      </c>
      <c r="K1202" t="s">
        <v>32</v>
      </c>
      <c r="L1202" t="s">
        <v>35</v>
      </c>
      <c r="S1202">
        <v>3</v>
      </c>
      <c r="T1202">
        <v>3</v>
      </c>
      <c r="AC1202">
        <v>3</v>
      </c>
      <c r="AD1202">
        <v>10</v>
      </c>
      <c r="AQ1202">
        <v>39</v>
      </c>
      <c r="AR1202" s="3">
        <f t="shared" si="54"/>
        <v>15</v>
      </c>
      <c r="AS1202" s="3">
        <f t="shared" si="55"/>
        <v>0</v>
      </c>
      <c r="AT1202" s="3" t="str">
        <f>IF(OR(Registered!AM1202&gt;0,Registered!AO1202&gt;0),(IF(Registered!E1202=0,"Size Not Specified",Registered!E1202)),"")</f>
        <v/>
      </c>
      <c r="AU1202" s="3" t="str">
        <f>IF(Registered!AE1202=0,"",IF(Registered!AE1202=1,Registered!AE1202&amp;" Bandana",Registered!AE1202&amp;" Bandanas"))</f>
        <v/>
      </c>
      <c r="AV1202" s="3">
        <f t="shared" si="56"/>
        <v>0</v>
      </c>
      <c r="AW1202" s="2" t="str">
        <f>IF(Registered!AV1202=0,"",IF(Registered!AV1202=1,Registered!AV1202&amp;" Meal",Registered!AV1202&amp;" Meals"))</f>
        <v/>
      </c>
      <c r="AX1202" s="2" t="str">
        <f>IF(Registered!AI1202=0,"",Registered!AI1202&amp;" BG")</f>
        <v/>
      </c>
      <c r="AY1202" s="2" t="str">
        <f>IF(Registered!AG1202=0,"",Registered!AG1202&amp;" DustMask")</f>
        <v/>
      </c>
    </row>
    <row r="1203" spans="1:51" customFormat="1" x14ac:dyDescent="0.25">
      <c r="A1203" t="s">
        <v>3747</v>
      </c>
      <c r="B1203" t="s">
        <v>4833</v>
      </c>
      <c r="C1203" t="s">
        <v>6090</v>
      </c>
      <c r="G1203" t="s">
        <v>4523</v>
      </c>
      <c r="H1203" t="s">
        <v>4524</v>
      </c>
      <c r="I1203" t="s">
        <v>4526</v>
      </c>
      <c r="J1203" t="s">
        <v>37</v>
      </c>
      <c r="K1203" t="s">
        <v>32</v>
      </c>
      <c r="L1203" t="s">
        <v>35</v>
      </c>
      <c r="AQ1203">
        <v>0</v>
      </c>
      <c r="AR1203" s="3">
        <f t="shared" si="54"/>
        <v>0</v>
      </c>
      <c r="AS1203" s="3">
        <f t="shared" si="55"/>
        <v>0</v>
      </c>
      <c r="AT1203" s="3" t="str">
        <f>IF(OR(Registered!AM1203&gt;0,Registered!AO1203&gt;0),(IF(Registered!E1203=0,"Size Not Specified",Registered!E1203)),"")</f>
        <v/>
      </c>
      <c r="AU1203" s="3" t="str">
        <f>IF(Registered!AE1203=0,"",IF(Registered!AE1203=1,Registered!AE1203&amp;" Bandana",Registered!AE1203&amp;" Bandanas"))</f>
        <v/>
      </c>
      <c r="AV1203" s="3">
        <f t="shared" si="56"/>
        <v>0</v>
      </c>
      <c r="AW1203" s="2" t="str">
        <f>IF(Registered!AV1203=0,"",IF(Registered!AV1203=1,Registered!AV1203&amp;" Meal",Registered!AV1203&amp;" Meals"))</f>
        <v/>
      </c>
      <c r="AX1203" s="2" t="str">
        <f>IF(Registered!AI1203=0,"",Registered!AI1203&amp;" BG")</f>
        <v/>
      </c>
      <c r="AY1203" s="2" t="str">
        <f>IF(Registered!AG1203=0,"",Registered!AG1203&amp;" DustMask")</f>
        <v/>
      </c>
    </row>
    <row r="1204" spans="1:51" customFormat="1" x14ac:dyDescent="0.25">
      <c r="A1204" t="s">
        <v>3659</v>
      </c>
      <c r="B1204" t="s">
        <v>4833</v>
      </c>
      <c r="C1204" t="s">
        <v>6090</v>
      </c>
      <c r="G1204" t="s">
        <v>220</v>
      </c>
      <c r="H1204" t="s">
        <v>4190</v>
      </c>
      <c r="I1204" t="s">
        <v>4191</v>
      </c>
      <c r="J1204" t="s">
        <v>37</v>
      </c>
      <c r="K1204" t="s">
        <v>32</v>
      </c>
      <c r="L1204" t="s">
        <v>35</v>
      </c>
      <c r="AQ1204">
        <v>0</v>
      </c>
      <c r="AR1204" s="3">
        <f t="shared" si="54"/>
        <v>0</v>
      </c>
      <c r="AS1204" s="3">
        <f t="shared" si="55"/>
        <v>0</v>
      </c>
      <c r="AT1204" s="3" t="str">
        <f>IF(OR(Registered!AM1204&gt;0,Registered!AO1204&gt;0),(IF(Registered!E1204=0,"Size Not Specified",Registered!E1204)),"")</f>
        <v/>
      </c>
      <c r="AU1204" s="3" t="str">
        <f>IF(Registered!AE1204=0,"",IF(Registered!AE1204=1,Registered!AE1204&amp;" Bandana",Registered!AE1204&amp;" Bandanas"))</f>
        <v/>
      </c>
      <c r="AV1204" s="3">
        <f t="shared" si="56"/>
        <v>0</v>
      </c>
      <c r="AW1204" s="2" t="str">
        <f>IF(Registered!AV1204=0,"",IF(Registered!AV1204=1,Registered!AV1204&amp;" Meal",Registered!AV1204&amp;" Meals"))</f>
        <v/>
      </c>
      <c r="AX1204" s="2" t="str">
        <f>IF(Registered!AI1204=0,"",Registered!AI1204&amp;" BG")</f>
        <v/>
      </c>
      <c r="AY1204" s="2" t="str">
        <f>IF(Registered!AG1204=0,"",Registered!AG1204&amp;" DustMask")</f>
        <v/>
      </c>
    </row>
    <row r="1205" spans="1:51" customFormat="1" x14ac:dyDescent="0.25">
      <c r="A1205" t="s">
        <v>789</v>
      </c>
      <c r="B1205" t="s">
        <v>2704</v>
      </c>
      <c r="C1205" t="s">
        <v>6090</v>
      </c>
      <c r="D1205" t="s">
        <v>3084</v>
      </c>
      <c r="F1205" t="s">
        <v>261</v>
      </c>
      <c r="I1205" t="s">
        <v>2705</v>
      </c>
      <c r="J1205" t="s">
        <v>37</v>
      </c>
      <c r="K1205" t="s">
        <v>32</v>
      </c>
      <c r="L1205" t="s">
        <v>35</v>
      </c>
      <c r="Q1205">
        <v>3</v>
      </c>
      <c r="R1205">
        <v>3</v>
      </c>
      <c r="U1205">
        <v>1</v>
      </c>
      <c r="V1205">
        <v>20</v>
      </c>
      <c r="AG1205">
        <v>1</v>
      </c>
      <c r="AH1205">
        <v>1</v>
      </c>
      <c r="AQ1205">
        <v>30</v>
      </c>
      <c r="AR1205" s="3">
        <f t="shared" si="54"/>
        <v>10</v>
      </c>
      <c r="AS1205" s="3">
        <f t="shared" si="55"/>
        <v>0</v>
      </c>
      <c r="AT1205" s="3" t="str">
        <f>IF(OR(Registered!AM1205&gt;0,Registered!AO1205&gt;0),(IF(Registered!E1205=0,"Size Not Specified",Registered!E1205)),"")</f>
        <v/>
      </c>
      <c r="AU1205" s="3" t="str">
        <f>IF(Registered!AE1205=0,"",IF(Registered!AE1205=1,Registered!AE1205&amp;" Bandana",Registered!AE1205&amp;" Bandanas"))</f>
        <v/>
      </c>
      <c r="AV1205" s="3">
        <f t="shared" si="56"/>
        <v>0</v>
      </c>
      <c r="AW1205" s="2" t="str">
        <f>IF(Registered!AV1205=0,"",IF(Registered!AV1205=1,Registered!AV1205&amp;" Meal",Registered!AV1205&amp;" Meals"))</f>
        <v/>
      </c>
      <c r="AX1205" s="2" t="str">
        <f>IF(Registered!AI1205=0,"",Registered!AI1205&amp;" BG")</f>
        <v/>
      </c>
      <c r="AY1205" s="2" t="str">
        <f>IF(Registered!AG1205=0,"",Registered!AG1205&amp;" DustMask")</f>
        <v>1 DustMask</v>
      </c>
    </row>
    <row r="1206" spans="1:51" customFormat="1" x14ac:dyDescent="0.25">
      <c r="A1206" t="s">
        <v>78</v>
      </c>
      <c r="B1206" t="s">
        <v>4834</v>
      </c>
      <c r="C1206" t="s">
        <v>6090</v>
      </c>
      <c r="D1206" t="s">
        <v>4835</v>
      </c>
      <c r="F1206" t="s">
        <v>261</v>
      </c>
      <c r="I1206" t="s">
        <v>4836</v>
      </c>
      <c r="J1206" t="s">
        <v>37</v>
      </c>
      <c r="K1206" t="s">
        <v>32</v>
      </c>
      <c r="L1206" t="s">
        <v>35</v>
      </c>
      <c r="Q1206">
        <v>1</v>
      </c>
      <c r="R1206">
        <v>3</v>
      </c>
      <c r="AC1206">
        <v>1</v>
      </c>
      <c r="AD1206">
        <v>10</v>
      </c>
      <c r="AQ1206">
        <v>13</v>
      </c>
      <c r="AR1206" s="3">
        <f t="shared" si="54"/>
        <v>5</v>
      </c>
      <c r="AS1206" s="3">
        <f t="shared" si="55"/>
        <v>0</v>
      </c>
      <c r="AT1206" s="3" t="str">
        <f>IF(OR(Registered!AM1206&gt;0,Registered!AO1206&gt;0),(IF(Registered!E1206=0,"Size Not Specified",Registered!E1206)),"")</f>
        <v/>
      </c>
      <c r="AU1206" s="3" t="str">
        <f>IF(Registered!AE1206=0,"",IF(Registered!AE1206=1,Registered!AE1206&amp;" Bandana",Registered!AE1206&amp;" Bandanas"))</f>
        <v/>
      </c>
      <c r="AV1206" s="3">
        <f t="shared" si="56"/>
        <v>0</v>
      </c>
      <c r="AW1206" s="2" t="str">
        <f>IF(Registered!AV1206=0,"",IF(Registered!AV1206=1,Registered!AV1206&amp;" Meal",Registered!AV1206&amp;" Meals"))</f>
        <v/>
      </c>
      <c r="AX1206" s="2" t="str">
        <f>IF(Registered!AI1206=0,"",Registered!AI1206&amp;" BG")</f>
        <v/>
      </c>
      <c r="AY1206" s="2" t="str">
        <f>IF(Registered!AG1206=0,"",Registered!AG1206&amp;" DustMask")</f>
        <v/>
      </c>
    </row>
    <row r="1207" spans="1:51" customFormat="1" x14ac:dyDescent="0.25">
      <c r="A1207" t="s">
        <v>4837</v>
      </c>
      <c r="B1207" t="s">
        <v>4838</v>
      </c>
      <c r="C1207" t="s">
        <v>6090</v>
      </c>
      <c r="D1207" t="s">
        <v>4839</v>
      </c>
      <c r="F1207" t="s">
        <v>261</v>
      </c>
      <c r="I1207" t="s">
        <v>4840</v>
      </c>
      <c r="J1207" t="s">
        <v>37</v>
      </c>
      <c r="K1207" t="s">
        <v>32</v>
      </c>
      <c r="L1207" t="s">
        <v>35</v>
      </c>
      <c r="Q1207">
        <v>1</v>
      </c>
      <c r="R1207">
        <v>3</v>
      </c>
      <c r="AC1207">
        <v>1</v>
      </c>
      <c r="AD1207">
        <v>10</v>
      </c>
      <c r="AQ1207">
        <v>13</v>
      </c>
      <c r="AR1207" s="3">
        <f t="shared" si="54"/>
        <v>5</v>
      </c>
      <c r="AS1207" s="3">
        <f t="shared" si="55"/>
        <v>0</v>
      </c>
      <c r="AT1207" s="3" t="str">
        <f>IF(OR(Registered!AM1207&gt;0,Registered!AO1207&gt;0),(IF(Registered!E1207=0,"Size Not Specified",Registered!E1207)),"")</f>
        <v/>
      </c>
      <c r="AU1207" s="3" t="str">
        <f>IF(Registered!AE1207=0,"",IF(Registered!AE1207=1,Registered!AE1207&amp;" Bandana",Registered!AE1207&amp;" Bandanas"))</f>
        <v/>
      </c>
      <c r="AV1207" s="3">
        <f t="shared" si="56"/>
        <v>0</v>
      </c>
      <c r="AW1207" s="2" t="str">
        <f>IF(Registered!AV1207=0,"",IF(Registered!AV1207=1,Registered!AV1207&amp;" Meal",Registered!AV1207&amp;" Meals"))</f>
        <v/>
      </c>
      <c r="AX1207" s="2" t="str">
        <f>IF(Registered!AI1207=0,"",Registered!AI1207&amp;" BG")</f>
        <v/>
      </c>
      <c r="AY1207" s="2" t="str">
        <f>IF(Registered!AG1207=0,"",Registered!AG1207&amp;" DustMask")</f>
        <v/>
      </c>
    </row>
    <row r="1208" spans="1:51" customFormat="1" x14ac:dyDescent="0.25">
      <c r="A1208" t="s">
        <v>4841</v>
      </c>
      <c r="B1208" t="s">
        <v>4842</v>
      </c>
      <c r="C1208" t="s">
        <v>6090</v>
      </c>
      <c r="G1208" t="s">
        <v>3986</v>
      </c>
      <c r="H1208" t="s">
        <v>1815</v>
      </c>
      <c r="I1208" t="s">
        <v>4237</v>
      </c>
      <c r="J1208" t="s">
        <v>37</v>
      </c>
      <c r="K1208" t="s">
        <v>32</v>
      </c>
      <c r="L1208" t="s">
        <v>35</v>
      </c>
      <c r="AQ1208">
        <v>0</v>
      </c>
      <c r="AR1208" s="3">
        <f t="shared" si="54"/>
        <v>0</v>
      </c>
      <c r="AS1208" s="3">
        <f t="shared" si="55"/>
        <v>0</v>
      </c>
      <c r="AT1208" s="3" t="str">
        <f>IF(OR(Registered!AM1208&gt;0,Registered!AO1208&gt;0),(IF(Registered!E1208=0,"Size Not Specified",Registered!E1208)),"")</f>
        <v/>
      </c>
      <c r="AU1208" s="3" t="str">
        <f>IF(Registered!AE1208=0,"",IF(Registered!AE1208=1,Registered!AE1208&amp;" Bandana",Registered!AE1208&amp;" Bandanas"))</f>
        <v/>
      </c>
      <c r="AV1208" s="3">
        <f t="shared" si="56"/>
        <v>0</v>
      </c>
      <c r="AW1208" s="2" t="str">
        <f>IF(Registered!AV1208=0,"",IF(Registered!AV1208=1,Registered!AV1208&amp;" Meal",Registered!AV1208&amp;" Meals"))</f>
        <v/>
      </c>
      <c r="AX1208" s="2" t="str">
        <f>IF(Registered!AI1208=0,"",Registered!AI1208&amp;" BG")</f>
        <v/>
      </c>
      <c r="AY1208" s="2" t="str">
        <f>IF(Registered!AG1208=0,"",Registered!AG1208&amp;" DustMask")</f>
        <v/>
      </c>
    </row>
    <row r="1209" spans="1:51" customFormat="1" x14ac:dyDescent="0.25">
      <c r="A1209" t="s">
        <v>3085</v>
      </c>
      <c r="B1209" t="s">
        <v>3086</v>
      </c>
      <c r="C1209" t="s">
        <v>6090</v>
      </c>
      <c r="G1209" t="s">
        <v>3087</v>
      </c>
      <c r="H1209" t="s">
        <v>3088</v>
      </c>
      <c r="I1209" t="s">
        <v>3089</v>
      </c>
      <c r="J1209" t="s">
        <v>37</v>
      </c>
      <c r="K1209" t="s">
        <v>32</v>
      </c>
      <c r="L1209" t="s">
        <v>35</v>
      </c>
      <c r="AQ1209">
        <v>0</v>
      </c>
      <c r="AR1209" s="3">
        <f t="shared" si="54"/>
        <v>0</v>
      </c>
      <c r="AS1209" s="3">
        <f t="shared" si="55"/>
        <v>0</v>
      </c>
      <c r="AT1209" s="3" t="str">
        <f>IF(OR(Registered!AM1209&gt;0,Registered!AO1209&gt;0),(IF(Registered!E1209=0,"Size Not Specified",Registered!E1209)),"")</f>
        <v/>
      </c>
      <c r="AU1209" s="3" t="str">
        <f>IF(Registered!AE1209=0,"",IF(Registered!AE1209=1,Registered!AE1209&amp;" Bandana",Registered!AE1209&amp;" Bandanas"))</f>
        <v/>
      </c>
      <c r="AV1209" s="3">
        <f t="shared" si="56"/>
        <v>0</v>
      </c>
      <c r="AW1209" s="2" t="str">
        <f>IF(Registered!AV1209=0,"",IF(Registered!AV1209=1,Registered!AV1209&amp;" Meal",Registered!AV1209&amp;" Meals"))</f>
        <v/>
      </c>
      <c r="AX1209" s="2" t="str">
        <f>IF(Registered!AI1209=0,"",Registered!AI1209&amp;" BG")</f>
        <v/>
      </c>
      <c r="AY1209" s="2" t="str">
        <f>IF(Registered!AG1209=0,"",Registered!AG1209&amp;" DustMask")</f>
        <v/>
      </c>
    </row>
    <row r="1210" spans="1:51" customFormat="1" x14ac:dyDescent="0.25">
      <c r="A1210" t="s">
        <v>61</v>
      </c>
      <c r="B1210" t="s">
        <v>4843</v>
      </c>
      <c r="C1210" t="s">
        <v>6090</v>
      </c>
      <c r="D1210" t="s">
        <v>4844</v>
      </c>
      <c r="F1210" t="s">
        <v>261</v>
      </c>
      <c r="I1210" t="s">
        <v>4845</v>
      </c>
      <c r="J1210" t="s">
        <v>37</v>
      </c>
      <c r="K1210" t="s">
        <v>32</v>
      </c>
      <c r="L1210" t="s">
        <v>35</v>
      </c>
      <c r="Q1210">
        <v>1</v>
      </c>
      <c r="R1210">
        <v>3</v>
      </c>
      <c r="AC1210">
        <v>1</v>
      </c>
      <c r="AD1210">
        <v>10</v>
      </c>
      <c r="AK1210">
        <v>1</v>
      </c>
      <c r="AL1210">
        <v>6</v>
      </c>
      <c r="AQ1210">
        <v>19</v>
      </c>
      <c r="AR1210" s="3">
        <f t="shared" si="54"/>
        <v>5</v>
      </c>
      <c r="AS1210" s="3">
        <f t="shared" si="55"/>
        <v>0</v>
      </c>
      <c r="AT1210" s="3" t="str">
        <f>IF(OR(Registered!AM1210&gt;0,Registered!AO1210&gt;0),(IF(Registered!E1210=0,"Size Not Specified",Registered!E1210)),"")</f>
        <v/>
      </c>
      <c r="AU1210" s="3" t="str">
        <f>IF(Registered!AE1210=0,"",IF(Registered!AE1210=1,Registered!AE1210&amp;" Bandana",Registered!AE1210&amp;" Bandanas"))</f>
        <v/>
      </c>
      <c r="AV1210" s="3">
        <f t="shared" si="56"/>
        <v>1</v>
      </c>
      <c r="AW1210" s="2" t="str">
        <f>IF(Registered!AV1210=0,"",IF(Registered!AV1210=1,Registered!AV1210&amp;" Meal",Registered!AV1210&amp;" Meals"))</f>
        <v>1 Meal</v>
      </c>
      <c r="AX1210" s="2" t="str">
        <f>IF(Registered!AI1210=0,"",Registered!AI1210&amp;" BG")</f>
        <v/>
      </c>
      <c r="AY1210" s="2" t="str">
        <f>IF(Registered!AG1210=0,"",Registered!AG1210&amp;" DustMask")</f>
        <v/>
      </c>
    </row>
    <row r="1211" spans="1:51" customFormat="1" x14ac:dyDescent="0.25">
      <c r="A1211" t="s">
        <v>4846</v>
      </c>
      <c r="B1211" t="s">
        <v>4847</v>
      </c>
      <c r="C1211" t="s">
        <v>6090</v>
      </c>
      <c r="E1211" t="s">
        <v>247</v>
      </c>
      <c r="F1211" t="s">
        <v>261</v>
      </c>
      <c r="I1211" t="s">
        <v>4848</v>
      </c>
      <c r="J1211" t="s">
        <v>37</v>
      </c>
      <c r="K1211" t="s">
        <v>32</v>
      </c>
      <c r="L1211" t="s">
        <v>35</v>
      </c>
      <c r="Q1211">
        <v>1</v>
      </c>
      <c r="R1211">
        <v>3</v>
      </c>
      <c r="U1211">
        <v>1</v>
      </c>
      <c r="V1211">
        <v>20</v>
      </c>
      <c r="AO1211">
        <v>1</v>
      </c>
      <c r="AP1211">
        <v>10</v>
      </c>
      <c r="AQ1211">
        <v>33</v>
      </c>
      <c r="AR1211" s="3">
        <f t="shared" si="54"/>
        <v>10</v>
      </c>
      <c r="AS1211" s="3">
        <f t="shared" si="55"/>
        <v>1</v>
      </c>
      <c r="AT1211" s="3" t="str">
        <f>IF(OR(Registered!AM1211&gt;0,Registered!AO1211&gt;0),(IF(Registered!E1211=0,"Size Not Specified",Registered!E1211)),"")</f>
        <v>S</v>
      </c>
      <c r="AU1211" s="3" t="str">
        <f>IF(Registered!AE1211=0,"",IF(Registered!AE1211=1,Registered!AE1211&amp;" Bandana",Registered!AE1211&amp;" Bandanas"))</f>
        <v/>
      </c>
      <c r="AV1211" s="3">
        <f t="shared" si="56"/>
        <v>0</v>
      </c>
      <c r="AW1211" s="2" t="str">
        <f>IF(Registered!AV1211=0,"",IF(Registered!AV1211=1,Registered!AV1211&amp;" Meal",Registered!AV1211&amp;" Meals"))</f>
        <v/>
      </c>
      <c r="AX1211" s="2" t="str">
        <f>IF(Registered!AI1211=0,"",Registered!AI1211&amp;" BG")</f>
        <v/>
      </c>
      <c r="AY1211" s="2" t="str">
        <f>IF(Registered!AG1211=0,"",Registered!AG1211&amp;" DustMask")</f>
        <v/>
      </c>
    </row>
    <row r="1212" spans="1:51" customFormat="1" x14ac:dyDescent="0.25">
      <c r="A1212" t="s">
        <v>4849</v>
      </c>
      <c r="B1212" t="s">
        <v>4850</v>
      </c>
      <c r="C1212" t="s">
        <v>6090</v>
      </c>
      <c r="D1212" t="s">
        <v>4851</v>
      </c>
      <c r="F1212" t="s">
        <v>261</v>
      </c>
      <c r="I1212" t="s">
        <v>4852</v>
      </c>
      <c r="J1212" t="s">
        <v>37</v>
      </c>
      <c r="K1212" t="s">
        <v>32</v>
      </c>
      <c r="L1212" t="s">
        <v>35</v>
      </c>
      <c r="Q1212">
        <v>1</v>
      </c>
      <c r="R1212">
        <v>3</v>
      </c>
      <c r="AQ1212">
        <v>3</v>
      </c>
      <c r="AR1212" s="3">
        <f t="shared" si="54"/>
        <v>0</v>
      </c>
      <c r="AS1212" s="3">
        <f t="shared" si="55"/>
        <v>0</v>
      </c>
      <c r="AT1212" s="3" t="str">
        <f>IF(OR(Registered!AM1212&gt;0,Registered!AO1212&gt;0),(IF(Registered!E1212=0,"Size Not Specified",Registered!E1212)),"")</f>
        <v/>
      </c>
      <c r="AU1212" s="3" t="str">
        <f>IF(Registered!AE1212=0,"",IF(Registered!AE1212=1,Registered!AE1212&amp;" Bandana",Registered!AE1212&amp;" Bandanas"))</f>
        <v/>
      </c>
      <c r="AV1212" s="3">
        <f t="shared" si="56"/>
        <v>0</v>
      </c>
      <c r="AW1212" s="2" t="str">
        <f>IF(Registered!AV1212=0,"",IF(Registered!AV1212=1,Registered!AV1212&amp;" Meal",Registered!AV1212&amp;" Meals"))</f>
        <v/>
      </c>
      <c r="AX1212" s="2" t="str">
        <f>IF(Registered!AI1212=0,"",Registered!AI1212&amp;" BG")</f>
        <v/>
      </c>
      <c r="AY1212" s="2" t="str">
        <f>IF(Registered!AG1212=0,"",Registered!AG1212&amp;" DustMask")</f>
        <v/>
      </c>
    </row>
    <row r="1213" spans="1:51" customFormat="1" x14ac:dyDescent="0.25">
      <c r="A1213" t="s">
        <v>202</v>
      </c>
      <c r="B1213" t="s">
        <v>348</v>
      </c>
      <c r="C1213" t="s">
        <v>6090</v>
      </c>
      <c r="D1213" t="s">
        <v>1644</v>
      </c>
      <c r="F1213" t="s">
        <v>261</v>
      </c>
      <c r="I1213" t="s">
        <v>1645</v>
      </c>
      <c r="J1213" t="s">
        <v>37</v>
      </c>
      <c r="K1213" t="s">
        <v>32</v>
      </c>
      <c r="L1213" t="s">
        <v>35</v>
      </c>
      <c r="S1213">
        <v>2</v>
      </c>
      <c r="T1213">
        <v>3</v>
      </c>
      <c r="AC1213">
        <v>2</v>
      </c>
      <c r="AD1213">
        <v>10</v>
      </c>
      <c r="AQ1213">
        <v>26</v>
      </c>
      <c r="AR1213" s="3">
        <f t="shared" si="54"/>
        <v>10</v>
      </c>
      <c r="AS1213" s="3">
        <f t="shared" si="55"/>
        <v>0</v>
      </c>
      <c r="AT1213" s="3" t="str">
        <f>IF(OR(Registered!AM1213&gt;0,Registered!AO1213&gt;0),(IF(Registered!E1213=0,"Size Not Specified",Registered!E1213)),"")</f>
        <v/>
      </c>
      <c r="AU1213" s="3" t="str">
        <f>IF(Registered!AE1213=0,"",IF(Registered!AE1213=1,Registered!AE1213&amp;" Bandana",Registered!AE1213&amp;" Bandanas"))</f>
        <v/>
      </c>
      <c r="AV1213" s="3">
        <f t="shared" si="56"/>
        <v>0</v>
      </c>
      <c r="AW1213" s="2" t="str">
        <f>IF(Registered!AV1213=0,"",IF(Registered!AV1213=1,Registered!AV1213&amp;" Meal",Registered!AV1213&amp;" Meals"))</f>
        <v/>
      </c>
      <c r="AX1213" s="2" t="str">
        <f>IF(Registered!AI1213=0,"",Registered!AI1213&amp;" BG")</f>
        <v/>
      </c>
      <c r="AY1213" s="2" t="str">
        <f>IF(Registered!AG1213=0,"",Registered!AG1213&amp;" DustMask")</f>
        <v/>
      </c>
    </row>
    <row r="1214" spans="1:51" customFormat="1" x14ac:dyDescent="0.25">
      <c r="A1214" t="s">
        <v>163</v>
      </c>
      <c r="B1214" t="s">
        <v>3090</v>
      </c>
      <c r="C1214" t="s">
        <v>6090</v>
      </c>
      <c r="G1214" t="s">
        <v>2969</v>
      </c>
      <c r="H1214" t="s">
        <v>414</v>
      </c>
      <c r="I1214" t="s">
        <v>2971</v>
      </c>
      <c r="J1214" t="s">
        <v>37</v>
      </c>
      <c r="K1214" t="s">
        <v>32</v>
      </c>
      <c r="L1214" t="s">
        <v>35</v>
      </c>
      <c r="AQ1214">
        <v>0</v>
      </c>
      <c r="AR1214" s="3">
        <f t="shared" si="54"/>
        <v>0</v>
      </c>
      <c r="AS1214" s="3">
        <f t="shared" si="55"/>
        <v>0</v>
      </c>
      <c r="AT1214" s="3" t="str">
        <f>IF(OR(Registered!AM1214&gt;0,Registered!AO1214&gt;0),(IF(Registered!E1214=0,"Size Not Specified",Registered!E1214)),"")</f>
        <v/>
      </c>
      <c r="AU1214" s="3" t="str">
        <f>IF(Registered!AE1214=0,"",IF(Registered!AE1214=1,Registered!AE1214&amp;" Bandana",Registered!AE1214&amp;" Bandanas"))</f>
        <v/>
      </c>
      <c r="AV1214" s="3">
        <f t="shared" si="56"/>
        <v>0</v>
      </c>
      <c r="AW1214" s="2" t="str">
        <f>IF(Registered!AV1214=0,"",IF(Registered!AV1214=1,Registered!AV1214&amp;" Meal",Registered!AV1214&amp;" Meals"))</f>
        <v/>
      </c>
      <c r="AX1214" s="2" t="str">
        <f>IF(Registered!AI1214=0,"",Registered!AI1214&amp;" BG")</f>
        <v/>
      </c>
      <c r="AY1214" s="2" t="str">
        <f>IF(Registered!AG1214=0,"",Registered!AG1214&amp;" DustMask")</f>
        <v/>
      </c>
    </row>
    <row r="1215" spans="1:51" customFormat="1" x14ac:dyDescent="0.25">
      <c r="A1215" t="s">
        <v>384</v>
      </c>
      <c r="B1215" t="s">
        <v>3091</v>
      </c>
      <c r="C1215" t="s">
        <v>6090</v>
      </c>
      <c r="D1215" t="s">
        <v>3092</v>
      </c>
      <c r="F1215" t="s">
        <v>261</v>
      </c>
      <c r="I1215" t="s">
        <v>3093</v>
      </c>
      <c r="J1215" t="s">
        <v>37</v>
      </c>
      <c r="K1215" t="s">
        <v>32</v>
      </c>
      <c r="L1215" t="s">
        <v>35</v>
      </c>
      <c r="Q1215">
        <v>1</v>
      </c>
      <c r="R1215">
        <v>3</v>
      </c>
      <c r="AC1215">
        <v>1</v>
      </c>
      <c r="AD1215">
        <v>10</v>
      </c>
      <c r="AQ1215">
        <v>13</v>
      </c>
      <c r="AR1215" s="3">
        <f t="shared" si="54"/>
        <v>5</v>
      </c>
      <c r="AS1215" s="3">
        <f t="shared" si="55"/>
        <v>0</v>
      </c>
      <c r="AT1215" s="3" t="str">
        <f>IF(OR(Registered!AM1215&gt;0,Registered!AO1215&gt;0),(IF(Registered!E1215=0,"Size Not Specified",Registered!E1215)),"")</f>
        <v/>
      </c>
      <c r="AU1215" s="3" t="str">
        <f>IF(Registered!AE1215=0,"",IF(Registered!AE1215=1,Registered!AE1215&amp;" Bandana",Registered!AE1215&amp;" Bandanas"))</f>
        <v/>
      </c>
      <c r="AV1215" s="3">
        <f t="shared" si="56"/>
        <v>0</v>
      </c>
      <c r="AW1215" s="2" t="str">
        <f>IF(Registered!AV1215=0,"",IF(Registered!AV1215=1,Registered!AV1215&amp;" Meal",Registered!AV1215&amp;" Meals"))</f>
        <v/>
      </c>
      <c r="AX1215" s="2" t="str">
        <f>IF(Registered!AI1215=0,"",Registered!AI1215&amp;" BG")</f>
        <v/>
      </c>
      <c r="AY1215" s="2" t="str">
        <f>IF(Registered!AG1215=0,"",Registered!AG1215&amp;" DustMask")</f>
        <v/>
      </c>
    </row>
    <row r="1216" spans="1:51" customFormat="1" x14ac:dyDescent="0.25">
      <c r="A1216" t="s">
        <v>3094</v>
      </c>
      <c r="B1216" t="s">
        <v>3095</v>
      </c>
      <c r="C1216" t="s">
        <v>6090</v>
      </c>
      <c r="G1216" t="s">
        <v>2904</v>
      </c>
      <c r="H1216" t="s">
        <v>2905</v>
      </c>
      <c r="I1216" t="s">
        <v>2906</v>
      </c>
      <c r="J1216" t="s">
        <v>37</v>
      </c>
      <c r="K1216" t="s">
        <v>32</v>
      </c>
      <c r="L1216" t="s">
        <v>35</v>
      </c>
      <c r="AQ1216">
        <v>0</v>
      </c>
      <c r="AR1216" s="3">
        <f t="shared" si="54"/>
        <v>0</v>
      </c>
      <c r="AS1216" s="3">
        <f t="shared" si="55"/>
        <v>0</v>
      </c>
      <c r="AT1216" s="3" t="str">
        <f>IF(OR(Registered!AM1216&gt;0,Registered!AO1216&gt;0),(IF(Registered!E1216=0,"Size Not Specified",Registered!E1216)),"")</f>
        <v/>
      </c>
      <c r="AU1216" s="3" t="str">
        <f>IF(Registered!AE1216=0,"",IF(Registered!AE1216=1,Registered!AE1216&amp;" Bandana",Registered!AE1216&amp;" Bandanas"))</f>
        <v/>
      </c>
      <c r="AV1216" s="3">
        <f t="shared" si="56"/>
        <v>0</v>
      </c>
      <c r="AW1216" s="2" t="str">
        <f>IF(Registered!AV1216=0,"",IF(Registered!AV1216=1,Registered!AV1216&amp;" Meal",Registered!AV1216&amp;" Meals"))</f>
        <v/>
      </c>
      <c r="AX1216" s="2" t="str">
        <f>IF(Registered!AI1216=0,"",Registered!AI1216&amp;" BG")</f>
        <v/>
      </c>
      <c r="AY1216" s="2" t="str">
        <f>IF(Registered!AG1216=0,"",Registered!AG1216&amp;" DustMask")</f>
        <v/>
      </c>
    </row>
    <row r="1217" spans="1:51" customFormat="1" x14ac:dyDescent="0.25">
      <c r="A1217" t="s">
        <v>434</v>
      </c>
      <c r="B1217" t="s">
        <v>4853</v>
      </c>
      <c r="C1217" t="s">
        <v>6090</v>
      </c>
      <c r="D1217" t="s">
        <v>4854</v>
      </c>
      <c r="F1217" t="s">
        <v>261</v>
      </c>
      <c r="I1217" t="s">
        <v>4855</v>
      </c>
      <c r="J1217" t="s">
        <v>37</v>
      </c>
      <c r="K1217" t="s">
        <v>32</v>
      </c>
      <c r="L1217" t="s">
        <v>35</v>
      </c>
      <c r="Q1217">
        <v>1</v>
      </c>
      <c r="R1217">
        <v>3</v>
      </c>
      <c r="AC1217">
        <v>1</v>
      </c>
      <c r="AD1217">
        <v>10</v>
      </c>
      <c r="AK1217">
        <v>1</v>
      </c>
      <c r="AL1217">
        <v>6</v>
      </c>
      <c r="AQ1217">
        <v>19</v>
      </c>
      <c r="AR1217" s="3">
        <f t="shared" si="54"/>
        <v>5</v>
      </c>
      <c r="AS1217" s="3">
        <f t="shared" si="55"/>
        <v>0</v>
      </c>
      <c r="AT1217" s="3" t="str">
        <f>IF(OR(Registered!AM1217&gt;0,Registered!AO1217&gt;0),(IF(Registered!E1217=0,"Size Not Specified",Registered!E1217)),"")</f>
        <v/>
      </c>
      <c r="AU1217" s="3" t="str">
        <f>IF(Registered!AE1217=0,"",IF(Registered!AE1217=1,Registered!AE1217&amp;" Bandana",Registered!AE1217&amp;" Bandanas"))</f>
        <v/>
      </c>
      <c r="AV1217" s="3">
        <f t="shared" si="56"/>
        <v>1</v>
      </c>
      <c r="AW1217" s="2" t="str">
        <f>IF(Registered!AV1217=0,"",IF(Registered!AV1217=1,Registered!AV1217&amp;" Meal",Registered!AV1217&amp;" Meals"))</f>
        <v>1 Meal</v>
      </c>
      <c r="AX1217" s="2" t="str">
        <f>IF(Registered!AI1217=0,"",Registered!AI1217&amp;" BG")</f>
        <v/>
      </c>
      <c r="AY1217" s="2" t="str">
        <f>IF(Registered!AG1217=0,"",Registered!AG1217&amp;" DustMask")</f>
        <v/>
      </c>
    </row>
    <row r="1218" spans="1:51" customFormat="1" x14ac:dyDescent="0.25">
      <c r="A1218" t="s">
        <v>1557</v>
      </c>
      <c r="B1218" t="s">
        <v>151</v>
      </c>
      <c r="C1218" t="s">
        <v>6090</v>
      </c>
      <c r="D1218" t="s">
        <v>4856</v>
      </c>
      <c r="F1218" t="s">
        <v>261</v>
      </c>
      <c r="I1218" t="s">
        <v>4443</v>
      </c>
      <c r="J1218" t="s">
        <v>37</v>
      </c>
      <c r="K1218" t="s">
        <v>32</v>
      </c>
      <c r="L1218" t="s">
        <v>35</v>
      </c>
      <c r="Q1218">
        <v>6</v>
      </c>
      <c r="R1218">
        <v>3</v>
      </c>
      <c r="U1218">
        <v>1</v>
      </c>
      <c r="V1218">
        <v>20</v>
      </c>
      <c r="AC1218">
        <v>1</v>
      </c>
      <c r="AD1218">
        <v>10</v>
      </c>
      <c r="AQ1218">
        <v>48</v>
      </c>
      <c r="AR1218" s="3">
        <f t="shared" ref="AR1218:AR1281" si="57">IF(ISTEXT(AM1218)=TRUE,"",SUM(U1218*10,W1218*20,Y1218*30,AA1218*40,AC1218*5,AM1218*5))</f>
        <v>15</v>
      </c>
      <c r="AS1218" s="3">
        <f t="shared" ref="AS1218:AS1281" si="58">IF(ISTEXT(AM1218)=TRUE,"",SUM(AM1218,AO1218))</f>
        <v>0</v>
      </c>
      <c r="AT1218" s="3" t="str">
        <f>IF(OR(Registered!AM1218&gt;0,Registered!AO1218&gt;0),(IF(Registered!E1218=0,"Size Not Specified",Registered!E1218)),"")</f>
        <v/>
      </c>
      <c r="AU1218" s="3" t="str">
        <f>IF(Registered!AE1218=0,"",IF(Registered!AE1218=1,Registered!AE1218&amp;" Bandana",Registered!AE1218&amp;" Bandanas"))</f>
        <v/>
      </c>
      <c r="AV1218" s="3">
        <f t="shared" ref="AV1218:AV1281" si="59">IF(ISTEXT(AM1218)=TRUE,"",SUM(AM1218,AK1218))</f>
        <v>0</v>
      </c>
      <c r="AW1218" s="2" t="str">
        <f>IF(Registered!AV1218=0,"",IF(Registered!AV1218=1,Registered!AV1218&amp;" Meal",Registered!AV1218&amp;" Meals"))</f>
        <v/>
      </c>
      <c r="AX1218" s="2" t="str">
        <f>IF(Registered!AI1218=0,"",Registered!AI1218&amp;" BG")</f>
        <v/>
      </c>
      <c r="AY1218" s="2" t="str">
        <f>IF(Registered!AG1218=0,"",Registered!AG1218&amp;" DustMask")</f>
        <v/>
      </c>
    </row>
    <row r="1219" spans="1:51" customFormat="1" x14ac:dyDescent="0.25">
      <c r="A1219" t="s">
        <v>258</v>
      </c>
      <c r="B1219" t="s">
        <v>3096</v>
      </c>
      <c r="C1219" t="s">
        <v>6090</v>
      </c>
      <c r="F1219" t="s">
        <v>261</v>
      </c>
      <c r="I1219" t="s">
        <v>3097</v>
      </c>
      <c r="J1219" t="s">
        <v>37</v>
      </c>
      <c r="K1219" t="s">
        <v>32</v>
      </c>
      <c r="L1219" t="s">
        <v>35</v>
      </c>
      <c r="Q1219">
        <v>2</v>
      </c>
      <c r="R1219">
        <v>3</v>
      </c>
      <c r="AQ1219">
        <v>6</v>
      </c>
      <c r="AR1219" s="3">
        <f t="shared" si="57"/>
        <v>0</v>
      </c>
      <c r="AS1219" s="3">
        <f t="shared" si="58"/>
        <v>0</v>
      </c>
      <c r="AT1219" s="3" t="str">
        <f>IF(OR(Registered!AM1219&gt;0,Registered!AO1219&gt;0),(IF(Registered!E1219=0,"Size Not Specified",Registered!E1219)),"")</f>
        <v/>
      </c>
      <c r="AU1219" s="3" t="str">
        <f>IF(Registered!AE1219=0,"",IF(Registered!AE1219=1,Registered!AE1219&amp;" Bandana",Registered!AE1219&amp;" Bandanas"))</f>
        <v/>
      </c>
      <c r="AV1219" s="3">
        <f t="shared" si="59"/>
        <v>0</v>
      </c>
      <c r="AW1219" s="2" t="str">
        <f>IF(Registered!AV1219=0,"",IF(Registered!AV1219=1,Registered!AV1219&amp;" Meal",Registered!AV1219&amp;" Meals"))</f>
        <v/>
      </c>
      <c r="AX1219" s="2" t="str">
        <f>IF(Registered!AI1219=0,"",Registered!AI1219&amp;" BG")</f>
        <v/>
      </c>
      <c r="AY1219" s="2" t="str">
        <f>IF(Registered!AG1219=0,"",Registered!AG1219&amp;" DustMask")</f>
        <v/>
      </c>
    </row>
    <row r="1220" spans="1:51" customFormat="1" x14ac:dyDescent="0.25">
      <c r="A1220" t="s">
        <v>4608</v>
      </c>
      <c r="B1220" t="s">
        <v>4857</v>
      </c>
      <c r="C1220" t="s">
        <v>6090</v>
      </c>
      <c r="D1220" t="s">
        <v>4858</v>
      </c>
      <c r="F1220" t="s">
        <v>261</v>
      </c>
      <c r="I1220" t="s">
        <v>4859</v>
      </c>
      <c r="J1220" t="s">
        <v>37</v>
      </c>
      <c r="K1220" t="s">
        <v>32</v>
      </c>
      <c r="L1220" t="s">
        <v>35</v>
      </c>
      <c r="Q1220">
        <v>1</v>
      </c>
      <c r="R1220">
        <v>3</v>
      </c>
      <c r="AC1220">
        <v>1</v>
      </c>
      <c r="AD1220">
        <v>10</v>
      </c>
      <c r="AQ1220">
        <v>13</v>
      </c>
      <c r="AR1220" s="3">
        <f t="shared" si="57"/>
        <v>5</v>
      </c>
      <c r="AS1220" s="3">
        <f t="shared" si="58"/>
        <v>0</v>
      </c>
      <c r="AT1220" s="3" t="str">
        <f>IF(OR(Registered!AM1220&gt;0,Registered!AO1220&gt;0),(IF(Registered!E1220=0,"Size Not Specified",Registered!E1220)),"")</f>
        <v/>
      </c>
      <c r="AU1220" s="3" t="str">
        <f>IF(Registered!AE1220=0,"",IF(Registered!AE1220=1,Registered!AE1220&amp;" Bandana",Registered!AE1220&amp;" Bandanas"))</f>
        <v/>
      </c>
      <c r="AV1220" s="3">
        <f t="shared" si="59"/>
        <v>0</v>
      </c>
      <c r="AW1220" s="2" t="str">
        <f>IF(Registered!AV1220=0,"",IF(Registered!AV1220=1,Registered!AV1220&amp;" Meal",Registered!AV1220&amp;" Meals"))</f>
        <v/>
      </c>
      <c r="AX1220" s="2" t="str">
        <f>IF(Registered!AI1220=0,"",Registered!AI1220&amp;" BG")</f>
        <v/>
      </c>
      <c r="AY1220" s="2" t="str">
        <f>IF(Registered!AG1220=0,"",Registered!AG1220&amp;" DustMask")</f>
        <v/>
      </c>
    </row>
    <row r="1221" spans="1:51" customFormat="1" x14ac:dyDescent="0.25">
      <c r="A1221" t="s">
        <v>883</v>
      </c>
      <c r="B1221" t="s">
        <v>1646</v>
      </c>
      <c r="C1221" t="s">
        <v>6090</v>
      </c>
      <c r="G1221" t="s">
        <v>1104</v>
      </c>
      <c r="H1221" t="s">
        <v>477</v>
      </c>
      <c r="I1221" t="s">
        <v>1647</v>
      </c>
      <c r="J1221" t="s">
        <v>37</v>
      </c>
      <c r="K1221" t="s">
        <v>32</v>
      </c>
      <c r="L1221" t="s">
        <v>35</v>
      </c>
      <c r="AQ1221">
        <v>0</v>
      </c>
      <c r="AR1221" s="3">
        <f t="shared" si="57"/>
        <v>0</v>
      </c>
      <c r="AS1221" s="3">
        <f t="shared" si="58"/>
        <v>0</v>
      </c>
      <c r="AT1221" s="3" t="str">
        <f>IF(OR(Registered!AM1221&gt;0,Registered!AO1221&gt;0),(IF(Registered!E1221=0,"Size Not Specified",Registered!E1221)),"")</f>
        <v/>
      </c>
      <c r="AU1221" s="3" t="str">
        <f>IF(Registered!AE1221=0,"",IF(Registered!AE1221=1,Registered!AE1221&amp;" Bandana",Registered!AE1221&amp;" Bandanas"))</f>
        <v/>
      </c>
      <c r="AV1221" s="3">
        <f t="shared" si="59"/>
        <v>0</v>
      </c>
      <c r="AW1221" s="2" t="str">
        <f>IF(Registered!AV1221=0,"",IF(Registered!AV1221=1,Registered!AV1221&amp;" Meal",Registered!AV1221&amp;" Meals"))</f>
        <v/>
      </c>
      <c r="AX1221" s="2" t="str">
        <f>IF(Registered!AI1221=0,"",Registered!AI1221&amp;" BG")</f>
        <v/>
      </c>
      <c r="AY1221" s="2" t="str">
        <f>IF(Registered!AG1221=0,"",Registered!AG1221&amp;" DustMask")</f>
        <v/>
      </c>
    </row>
    <row r="1222" spans="1:51" customFormat="1" x14ac:dyDescent="0.25">
      <c r="A1222" t="s">
        <v>1648</v>
      </c>
      <c r="B1222" t="s">
        <v>43</v>
      </c>
      <c r="C1222" t="s">
        <v>6090</v>
      </c>
      <c r="G1222" t="s">
        <v>1635</v>
      </c>
      <c r="H1222" t="s">
        <v>43</v>
      </c>
      <c r="I1222" t="s">
        <v>1649</v>
      </c>
      <c r="J1222" t="s">
        <v>37</v>
      </c>
      <c r="K1222" t="s">
        <v>32</v>
      </c>
      <c r="L1222" t="s">
        <v>35</v>
      </c>
      <c r="AQ1222">
        <v>0</v>
      </c>
      <c r="AR1222" s="3">
        <f t="shared" si="57"/>
        <v>0</v>
      </c>
      <c r="AS1222" s="3">
        <f t="shared" si="58"/>
        <v>0</v>
      </c>
      <c r="AT1222" s="3" t="str">
        <f>IF(OR(Registered!AM1222&gt;0,Registered!AO1222&gt;0),(IF(Registered!E1222=0,"Size Not Specified",Registered!E1222)),"")</f>
        <v/>
      </c>
      <c r="AU1222" s="3" t="str">
        <f>IF(Registered!AE1222=0,"",IF(Registered!AE1222=1,Registered!AE1222&amp;" Bandana",Registered!AE1222&amp;" Bandanas"))</f>
        <v/>
      </c>
      <c r="AV1222" s="3">
        <f t="shared" si="59"/>
        <v>0</v>
      </c>
      <c r="AW1222" s="2" t="str">
        <f>IF(Registered!AV1222=0,"",IF(Registered!AV1222=1,Registered!AV1222&amp;" Meal",Registered!AV1222&amp;" Meals"))</f>
        <v/>
      </c>
      <c r="AX1222" s="2" t="str">
        <f>IF(Registered!AI1222=0,"",Registered!AI1222&amp;" BG")</f>
        <v/>
      </c>
      <c r="AY1222" s="2" t="str">
        <f>IF(Registered!AG1222=0,"",Registered!AG1222&amp;" DustMask")</f>
        <v/>
      </c>
    </row>
    <row r="1223" spans="1:51" customFormat="1" x14ac:dyDescent="0.25">
      <c r="A1223" t="s">
        <v>1635</v>
      </c>
      <c r="B1223" t="s">
        <v>43</v>
      </c>
      <c r="C1223" t="s">
        <v>6090</v>
      </c>
      <c r="D1223" t="s">
        <v>1650</v>
      </c>
      <c r="I1223" t="s">
        <v>1649</v>
      </c>
      <c r="J1223" t="s">
        <v>37</v>
      </c>
      <c r="K1223" t="s">
        <v>32</v>
      </c>
      <c r="L1223" t="s">
        <v>35</v>
      </c>
      <c r="S1223">
        <v>2</v>
      </c>
      <c r="T1223">
        <v>3</v>
      </c>
      <c r="U1223">
        <v>1</v>
      </c>
      <c r="V1223">
        <v>20</v>
      </c>
      <c r="AQ1223">
        <v>26</v>
      </c>
      <c r="AR1223" s="3">
        <f t="shared" si="57"/>
        <v>10</v>
      </c>
      <c r="AS1223" s="3">
        <f t="shared" si="58"/>
        <v>0</v>
      </c>
      <c r="AT1223" s="3" t="str">
        <f>IF(OR(Registered!AM1223&gt;0,Registered!AO1223&gt;0),(IF(Registered!E1223=0,"Size Not Specified",Registered!E1223)),"")</f>
        <v/>
      </c>
      <c r="AU1223" s="3" t="str">
        <f>IF(Registered!AE1223=0,"",IF(Registered!AE1223=1,Registered!AE1223&amp;" Bandana",Registered!AE1223&amp;" Bandanas"))</f>
        <v/>
      </c>
      <c r="AV1223" s="3">
        <f t="shared" si="59"/>
        <v>0</v>
      </c>
      <c r="AW1223" s="2" t="str">
        <f>IF(Registered!AV1223=0,"",IF(Registered!AV1223=1,Registered!AV1223&amp;" Meal",Registered!AV1223&amp;" Meals"))</f>
        <v/>
      </c>
      <c r="AX1223" s="2" t="str">
        <f>IF(Registered!AI1223=0,"",Registered!AI1223&amp;" BG")</f>
        <v/>
      </c>
      <c r="AY1223" s="2" t="str">
        <f>IF(Registered!AG1223=0,"",Registered!AG1223&amp;" DustMask")</f>
        <v/>
      </c>
    </row>
    <row r="1224" spans="1:51" customFormat="1" x14ac:dyDescent="0.25">
      <c r="A1224" t="s">
        <v>79</v>
      </c>
      <c r="B1224" t="s">
        <v>1651</v>
      </c>
      <c r="C1224" t="s">
        <v>6090</v>
      </c>
      <c r="D1224" t="s">
        <v>1652</v>
      </c>
      <c r="F1224" t="s">
        <v>261</v>
      </c>
      <c r="I1224" t="s">
        <v>1653</v>
      </c>
      <c r="J1224" t="s">
        <v>37</v>
      </c>
      <c r="K1224" t="s">
        <v>32</v>
      </c>
      <c r="L1224" t="s">
        <v>35</v>
      </c>
      <c r="S1224">
        <v>1</v>
      </c>
      <c r="T1224">
        <v>3</v>
      </c>
      <c r="AC1224">
        <v>1</v>
      </c>
      <c r="AD1224">
        <v>10</v>
      </c>
      <c r="AQ1224">
        <v>13</v>
      </c>
      <c r="AR1224" s="3">
        <f t="shared" si="57"/>
        <v>5</v>
      </c>
      <c r="AS1224" s="3">
        <f t="shared" si="58"/>
        <v>0</v>
      </c>
      <c r="AT1224" s="3" t="str">
        <f>IF(OR(Registered!AM1224&gt;0,Registered!AO1224&gt;0),(IF(Registered!E1224=0,"Size Not Specified",Registered!E1224)),"")</f>
        <v/>
      </c>
      <c r="AU1224" s="3" t="str">
        <f>IF(Registered!AE1224=0,"",IF(Registered!AE1224=1,Registered!AE1224&amp;" Bandana",Registered!AE1224&amp;" Bandanas"))</f>
        <v/>
      </c>
      <c r="AV1224" s="3">
        <f t="shared" si="59"/>
        <v>0</v>
      </c>
      <c r="AW1224" s="2" t="str">
        <f>IF(Registered!AV1224=0,"",IF(Registered!AV1224=1,Registered!AV1224&amp;" Meal",Registered!AV1224&amp;" Meals"))</f>
        <v/>
      </c>
      <c r="AX1224" s="2" t="str">
        <f>IF(Registered!AI1224=0,"",Registered!AI1224&amp;" BG")</f>
        <v/>
      </c>
      <c r="AY1224" s="2" t="str">
        <f>IF(Registered!AG1224=0,"",Registered!AG1224&amp;" DustMask")</f>
        <v/>
      </c>
    </row>
    <row r="1225" spans="1:51" customFormat="1" x14ac:dyDescent="0.25">
      <c r="A1225" t="s">
        <v>386</v>
      </c>
      <c r="B1225" t="s">
        <v>1651</v>
      </c>
      <c r="C1225" t="s">
        <v>6090</v>
      </c>
      <c r="G1225" t="s">
        <v>4860</v>
      </c>
      <c r="H1225" t="s">
        <v>4861</v>
      </c>
      <c r="I1225" t="s">
        <v>4862</v>
      </c>
      <c r="J1225" t="s">
        <v>37</v>
      </c>
      <c r="K1225" t="s">
        <v>32</v>
      </c>
      <c r="L1225" t="s">
        <v>35</v>
      </c>
      <c r="AQ1225">
        <v>0</v>
      </c>
      <c r="AR1225" s="3">
        <f t="shared" si="57"/>
        <v>0</v>
      </c>
      <c r="AS1225" s="3">
        <f t="shared" si="58"/>
        <v>0</v>
      </c>
      <c r="AT1225" s="3" t="str">
        <f>IF(OR(Registered!AM1225&gt;0,Registered!AO1225&gt;0),(IF(Registered!E1225=0,"Size Not Specified",Registered!E1225)),"")</f>
        <v/>
      </c>
      <c r="AU1225" s="3" t="str">
        <f>IF(Registered!AE1225=0,"",IF(Registered!AE1225=1,Registered!AE1225&amp;" Bandana",Registered!AE1225&amp;" Bandanas"))</f>
        <v/>
      </c>
      <c r="AV1225" s="3">
        <f t="shared" si="59"/>
        <v>0</v>
      </c>
      <c r="AW1225" s="2" t="str">
        <f>IF(Registered!AV1225=0,"",IF(Registered!AV1225=1,Registered!AV1225&amp;" Meal",Registered!AV1225&amp;" Meals"))</f>
        <v/>
      </c>
      <c r="AX1225" s="2" t="str">
        <f>IF(Registered!AI1225=0,"",Registered!AI1225&amp;" BG")</f>
        <v/>
      </c>
      <c r="AY1225" s="2" t="str">
        <f>IF(Registered!AG1225=0,"",Registered!AG1225&amp;" DustMask")</f>
        <v/>
      </c>
    </row>
    <row r="1226" spans="1:51" customFormat="1" x14ac:dyDescent="0.25">
      <c r="A1226" t="s">
        <v>3971</v>
      </c>
      <c r="B1226" t="s">
        <v>1651</v>
      </c>
      <c r="C1226" t="s">
        <v>6090</v>
      </c>
      <c r="D1226" t="s">
        <v>4863</v>
      </c>
      <c r="F1226" t="s">
        <v>261</v>
      </c>
      <c r="I1226" t="s">
        <v>3972</v>
      </c>
      <c r="J1226" t="s">
        <v>37</v>
      </c>
      <c r="K1226" t="s">
        <v>32</v>
      </c>
      <c r="L1226" t="s">
        <v>35</v>
      </c>
      <c r="Q1226">
        <v>4</v>
      </c>
      <c r="R1226">
        <v>3</v>
      </c>
      <c r="W1226">
        <v>1</v>
      </c>
      <c r="X1226">
        <v>40</v>
      </c>
      <c r="AQ1226">
        <v>52</v>
      </c>
      <c r="AR1226" s="3">
        <f t="shared" si="57"/>
        <v>20</v>
      </c>
      <c r="AS1226" s="3">
        <f t="shared" si="58"/>
        <v>0</v>
      </c>
      <c r="AT1226" s="3" t="str">
        <f>IF(OR(Registered!AM1226&gt;0,Registered!AO1226&gt;0),(IF(Registered!E1226=0,"Size Not Specified",Registered!E1226)),"")</f>
        <v/>
      </c>
      <c r="AU1226" s="3" t="str">
        <f>IF(Registered!AE1226=0,"",IF(Registered!AE1226=1,Registered!AE1226&amp;" Bandana",Registered!AE1226&amp;" Bandanas"))</f>
        <v/>
      </c>
      <c r="AV1226" s="3">
        <f t="shared" si="59"/>
        <v>0</v>
      </c>
      <c r="AW1226" s="2" t="str">
        <f>IF(Registered!AV1226=0,"",IF(Registered!AV1226=1,Registered!AV1226&amp;" Meal",Registered!AV1226&amp;" Meals"))</f>
        <v/>
      </c>
      <c r="AX1226" s="2" t="str">
        <f>IF(Registered!AI1226=0,"",Registered!AI1226&amp;" BG")</f>
        <v/>
      </c>
      <c r="AY1226" s="2" t="str">
        <f>IF(Registered!AG1226=0,"",Registered!AG1226&amp;" DustMask")</f>
        <v/>
      </c>
    </row>
    <row r="1227" spans="1:51" customFormat="1" x14ac:dyDescent="0.25">
      <c r="A1227" t="s">
        <v>3418</v>
      </c>
      <c r="B1227" t="s">
        <v>1651</v>
      </c>
      <c r="C1227" t="s">
        <v>6090</v>
      </c>
      <c r="G1227" t="s">
        <v>4617</v>
      </c>
      <c r="H1227" t="s">
        <v>4864</v>
      </c>
      <c r="I1227" t="s">
        <v>4865</v>
      </c>
      <c r="J1227" t="s">
        <v>37</v>
      </c>
      <c r="K1227" t="s">
        <v>32</v>
      </c>
      <c r="L1227" t="s">
        <v>35</v>
      </c>
      <c r="AQ1227">
        <v>0</v>
      </c>
      <c r="AR1227" s="3">
        <f t="shared" si="57"/>
        <v>0</v>
      </c>
      <c r="AS1227" s="3">
        <f t="shared" si="58"/>
        <v>0</v>
      </c>
      <c r="AT1227" s="3" t="str">
        <f>IF(OR(Registered!AM1227&gt;0,Registered!AO1227&gt;0),(IF(Registered!E1227=0,"Size Not Specified",Registered!E1227)),"")</f>
        <v/>
      </c>
      <c r="AU1227" s="3" t="str">
        <f>IF(Registered!AE1227=0,"",IF(Registered!AE1227=1,Registered!AE1227&amp;" Bandana",Registered!AE1227&amp;" Bandanas"))</f>
        <v/>
      </c>
      <c r="AV1227" s="3">
        <f t="shared" si="59"/>
        <v>0</v>
      </c>
      <c r="AW1227" s="2" t="str">
        <f>IF(Registered!AV1227=0,"",IF(Registered!AV1227=1,Registered!AV1227&amp;" Meal",Registered!AV1227&amp;" Meals"))</f>
        <v/>
      </c>
      <c r="AX1227" s="2" t="str">
        <f>IF(Registered!AI1227=0,"",Registered!AI1227&amp;" BG")</f>
        <v/>
      </c>
      <c r="AY1227" s="2" t="str">
        <f>IF(Registered!AG1227=0,"",Registered!AG1227&amp;" DustMask")</f>
        <v/>
      </c>
    </row>
    <row r="1228" spans="1:51" customFormat="1" x14ac:dyDescent="0.25">
      <c r="A1228" t="s">
        <v>1654</v>
      </c>
      <c r="B1228" t="s">
        <v>1651</v>
      </c>
      <c r="C1228" t="s">
        <v>6090</v>
      </c>
      <c r="G1228" t="s">
        <v>461</v>
      </c>
      <c r="H1228" t="s">
        <v>1655</v>
      </c>
      <c r="I1228" t="s">
        <v>1656</v>
      </c>
      <c r="J1228" t="s">
        <v>37</v>
      </c>
      <c r="K1228" t="s">
        <v>32</v>
      </c>
      <c r="L1228" t="s">
        <v>35</v>
      </c>
      <c r="AQ1228">
        <v>0</v>
      </c>
      <c r="AR1228" s="3">
        <f t="shared" si="57"/>
        <v>0</v>
      </c>
      <c r="AS1228" s="3">
        <f t="shared" si="58"/>
        <v>0</v>
      </c>
      <c r="AT1228" s="3" t="str">
        <f>IF(OR(Registered!AM1228&gt;0,Registered!AO1228&gt;0),(IF(Registered!E1228=0,"Size Not Specified",Registered!E1228)),"")</f>
        <v/>
      </c>
      <c r="AU1228" s="3" t="str">
        <f>IF(Registered!AE1228=0,"",IF(Registered!AE1228=1,Registered!AE1228&amp;" Bandana",Registered!AE1228&amp;" Bandanas"))</f>
        <v/>
      </c>
      <c r="AV1228" s="3">
        <f t="shared" si="59"/>
        <v>0</v>
      </c>
      <c r="AW1228" s="2" t="str">
        <f>IF(Registered!AV1228=0,"",IF(Registered!AV1228=1,Registered!AV1228&amp;" Meal",Registered!AV1228&amp;" Meals"))</f>
        <v/>
      </c>
      <c r="AX1228" s="2" t="str">
        <f>IF(Registered!AI1228=0,"",Registered!AI1228&amp;" BG")</f>
        <v/>
      </c>
      <c r="AY1228" s="2" t="str">
        <f>IF(Registered!AG1228=0,"",Registered!AG1228&amp;" DustMask")</f>
        <v/>
      </c>
    </row>
    <row r="1229" spans="1:51" customFormat="1" x14ac:dyDescent="0.25">
      <c r="A1229" t="s">
        <v>4866</v>
      </c>
      <c r="B1229" t="s">
        <v>1651</v>
      </c>
      <c r="C1229" t="s">
        <v>6090</v>
      </c>
      <c r="G1229" t="s">
        <v>3792</v>
      </c>
      <c r="H1229" t="s">
        <v>3793</v>
      </c>
      <c r="I1229" t="s">
        <v>3794</v>
      </c>
      <c r="J1229" t="s">
        <v>37</v>
      </c>
      <c r="K1229" t="s">
        <v>32</v>
      </c>
      <c r="L1229" t="s">
        <v>35</v>
      </c>
      <c r="AQ1229">
        <v>0</v>
      </c>
      <c r="AR1229" s="3">
        <f t="shared" si="57"/>
        <v>0</v>
      </c>
      <c r="AS1229" s="3">
        <f t="shared" si="58"/>
        <v>0</v>
      </c>
      <c r="AT1229" s="3" t="str">
        <f>IF(OR(Registered!AM1229&gt;0,Registered!AO1229&gt;0),(IF(Registered!E1229=0,"Size Not Specified",Registered!E1229)),"")</f>
        <v/>
      </c>
      <c r="AU1229" s="3" t="str">
        <f>IF(Registered!AE1229=0,"",IF(Registered!AE1229=1,Registered!AE1229&amp;" Bandana",Registered!AE1229&amp;" Bandanas"))</f>
        <v/>
      </c>
      <c r="AV1229" s="3">
        <f t="shared" si="59"/>
        <v>0</v>
      </c>
      <c r="AW1229" s="2" t="str">
        <f>IF(Registered!AV1229=0,"",IF(Registered!AV1229=1,Registered!AV1229&amp;" Meal",Registered!AV1229&amp;" Meals"))</f>
        <v/>
      </c>
      <c r="AX1229" s="2" t="str">
        <f>IF(Registered!AI1229=0,"",Registered!AI1229&amp;" BG")</f>
        <v/>
      </c>
      <c r="AY1229" s="2" t="str">
        <f>IF(Registered!AG1229=0,"",Registered!AG1229&amp;" DustMask")</f>
        <v/>
      </c>
    </row>
    <row r="1230" spans="1:51" customFormat="1" x14ac:dyDescent="0.25">
      <c r="A1230" t="s">
        <v>4867</v>
      </c>
      <c r="B1230" t="s">
        <v>1651</v>
      </c>
      <c r="C1230" t="s">
        <v>6090</v>
      </c>
      <c r="D1230" t="s">
        <v>4867</v>
      </c>
      <c r="F1230" t="s">
        <v>261</v>
      </c>
      <c r="I1230" t="s">
        <v>4868</v>
      </c>
      <c r="J1230" t="s">
        <v>37</v>
      </c>
      <c r="K1230" t="s">
        <v>32</v>
      </c>
      <c r="L1230" t="s">
        <v>35</v>
      </c>
      <c r="Q1230">
        <v>1</v>
      </c>
      <c r="R1230">
        <v>3</v>
      </c>
      <c r="AC1230">
        <v>1</v>
      </c>
      <c r="AD1230">
        <v>10</v>
      </c>
      <c r="AG1230">
        <v>1</v>
      </c>
      <c r="AH1230">
        <v>1</v>
      </c>
      <c r="AQ1230">
        <v>14</v>
      </c>
      <c r="AR1230" s="3">
        <f t="shared" si="57"/>
        <v>5</v>
      </c>
      <c r="AS1230" s="3">
        <f t="shared" si="58"/>
        <v>0</v>
      </c>
      <c r="AT1230" s="3" t="str">
        <f>IF(OR(Registered!AM1230&gt;0,Registered!AO1230&gt;0),(IF(Registered!E1230=0,"Size Not Specified",Registered!E1230)),"")</f>
        <v/>
      </c>
      <c r="AU1230" s="3" t="str">
        <f>IF(Registered!AE1230=0,"",IF(Registered!AE1230=1,Registered!AE1230&amp;" Bandana",Registered!AE1230&amp;" Bandanas"))</f>
        <v/>
      </c>
      <c r="AV1230" s="3">
        <f t="shared" si="59"/>
        <v>0</v>
      </c>
      <c r="AW1230" s="2" t="str">
        <f>IF(Registered!AV1230=0,"",IF(Registered!AV1230=1,Registered!AV1230&amp;" Meal",Registered!AV1230&amp;" Meals"))</f>
        <v/>
      </c>
      <c r="AX1230" s="2" t="str">
        <f>IF(Registered!AI1230=0,"",Registered!AI1230&amp;" BG")</f>
        <v/>
      </c>
      <c r="AY1230" s="2" t="str">
        <f>IF(Registered!AG1230=0,"",Registered!AG1230&amp;" DustMask")</f>
        <v>1 DustMask</v>
      </c>
    </row>
    <row r="1231" spans="1:51" customFormat="1" x14ac:dyDescent="0.25">
      <c r="A1231" t="s">
        <v>1577</v>
      </c>
      <c r="B1231" t="s">
        <v>1651</v>
      </c>
      <c r="C1231" t="s">
        <v>6090</v>
      </c>
      <c r="D1231" t="s">
        <v>1577</v>
      </c>
      <c r="F1231" t="s">
        <v>261</v>
      </c>
      <c r="I1231" t="s">
        <v>1657</v>
      </c>
      <c r="J1231" t="s">
        <v>37</v>
      </c>
      <c r="K1231" t="s">
        <v>32</v>
      </c>
      <c r="L1231" t="s">
        <v>35</v>
      </c>
      <c r="S1231">
        <v>1</v>
      </c>
      <c r="T1231">
        <v>3</v>
      </c>
      <c r="AC1231">
        <v>1</v>
      </c>
      <c r="AD1231">
        <v>10</v>
      </c>
      <c r="AK1231">
        <v>1</v>
      </c>
      <c r="AL1231">
        <v>6</v>
      </c>
      <c r="AQ1231">
        <v>19</v>
      </c>
      <c r="AR1231" s="3">
        <f t="shared" si="57"/>
        <v>5</v>
      </c>
      <c r="AS1231" s="3">
        <f t="shared" si="58"/>
        <v>0</v>
      </c>
      <c r="AT1231" s="3" t="str">
        <f>IF(OR(Registered!AM1231&gt;0,Registered!AO1231&gt;0),(IF(Registered!E1231=0,"Size Not Specified",Registered!E1231)),"")</f>
        <v/>
      </c>
      <c r="AU1231" s="3" t="str">
        <f>IF(Registered!AE1231=0,"",IF(Registered!AE1231=1,Registered!AE1231&amp;" Bandana",Registered!AE1231&amp;" Bandanas"))</f>
        <v/>
      </c>
      <c r="AV1231" s="3">
        <f t="shared" si="59"/>
        <v>1</v>
      </c>
      <c r="AW1231" s="2" t="str">
        <f>IF(Registered!AV1231=0,"",IF(Registered!AV1231=1,Registered!AV1231&amp;" Meal",Registered!AV1231&amp;" Meals"))</f>
        <v>1 Meal</v>
      </c>
      <c r="AX1231" s="2" t="str">
        <f>IF(Registered!AI1231=0,"",Registered!AI1231&amp;" BG")</f>
        <v/>
      </c>
      <c r="AY1231" s="2" t="str">
        <f>IF(Registered!AG1231=0,"",Registered!AG1231&amp;" DustMask")</f>
        <v/>
      </c>
    </row>
    <row r="1232" spans="1:51" customFormat="1" x14ac:dyDescent="0.25">
      <c r="A1232" t="s">
        <v>4869</v>
      </c>
      <c r="B1232" t="s">
        <v>1651</v>
      </c>
      <c r="C1232" t="s">
        <v>6090</v>
      </c>
      <c r="G1232" t="s">
        <v>187</v>
      </c>
      <c r="H1232" t="s">
        <v>1506</v>
      </c>
      <c r="I1232" t="s">
        <v>4870</v>
      </c>
      <c r="J1232" t="s">
        <v>37</v>
      </c>
      <c r="K1232" t="s">
        <v>32</v>
      </c>
      <c r="L1232" t="s">
        <v>35</v>
      </c>
      <c r="AQ1232">
        <v>0</v>
      </c>
      <c r="AR1232" s="3">
        <f t="shared" si="57"/>
        <v>0</v>
      </c>
      <c r="AS1232" s="3">
        <f t="shared" si="58"/>
        <v>0</v>
      </c>
      <c r="AT1232" s="3" t="str">
        <f>IF(OR(Registered!AM1232&gt;0,Registered!AO1232&gt;0),(IF(Registered!E1232=0,"Size Not Specified",Registered!E1232)),"")</f>
        <v/>
      </c>
      <c r="AU1232" s="3" t="str">
        <f>IF(Registered!AE1232=0,"",IF(Registered!AE1232=1,Registered!AE1232&amp;" Bandana",Registered!AE1232&amp;" Bandanas"))</f>
        <v/>
      </c>
      <c r="AV1232" s="3">
        <f t="shared" si="59"/>
        <v>0</v>
      </c>
      <c r="AW1232" s="2" t="str">
        <f>IF(Registered!AV1232=0,"",IF(Registered!AV1232=1,Registered!AV1232&amp;" Meal",Registered!AV1232&amp;" Meals"))</f>
        <v/>
      </c>
      <c r="AX1232" s="2" t="str">
        <f>IF(Registered!AI1232=0,"",Registered!AI1232&amp;" BG")</f>
        <v/>
      </c>
      <c r="AY1232" s="2" t="str">
        <f>IF(Registered!AG1232=0,"",Registered!AG1232&amp;" DustMask")</f>
        <v/>
      </c>
    </row>
    <row r="1233" spans="1:51" customFormat="1" x14ac:dyDescent="0.25">
      <c r="A1233" t="s">
        <v>4871</v>
      </c>
      <c r="B1233" t="s">
        <v>1651</v>
      </c>
      <c r="C1233" t="s">
        <v>6090</v>
      </c>
      <c r="G1233" t="s">
        <v>3971</v>
      </c>
      <c r="H1233" t="s">
        <v>1651</v>
      </c>
      <c r="I1233" t="s">
        <v>3972</v>
      </c>
      <c r="J1233" t="s">
        <v>37</v>
      </c>
      <c r="K1233" t="s">
        <v>32</v>
      </c>
      <c r="L1233" t="s">
        <v>35</v>
      </c>
      <c r="AQ1233">
        <v>0</v>
      </c>
      <c r="AR1233" s="3">
        <f t="shared" si="57"/>
        <v>0</v>
      </c>
      <c r="AS1233" s="3">
        <f t="shared" si="58"/>
        <v>0</v>
      </c>
      <c r="AT1233" s="3" t="str">
        <f>IF(OR(Registered!AM1233&gt;0,Registered!AO1233&gt;0),(IF(Registered!E1233=0,"Size Not Specified",Registered!E1233)),"")</f>
        <v/>
      </c>
      <c r="AU1233" s="3" t="str">
        <f>IF(Registered!AE1233=0,"",IF(Registered!AE1233=1,Registered!AE1233&amp;" Bandana",Registered!AE1233&amp;" Bandanas"))</f>
        <v/>
      </c>
      <c r="AV1233" s="3">
        <f t="shared" si="59"/>
        <v>0</v>
      </c>
      <c r="AW1233" s="2" t="str">
        <f>IF(Registered!AV1233=0,"",IF(Registered!AV1233=1,Registered!AV1233&amp;" Meal",Registered!AV1233&amp;" Meals"))</f>
        <v/>
      </c>
      <c r="AX1233" s="2" t="str">
        <f>IF(Registered!AI1233=0,"",Registered!AI1233&amp;" BG")</f>
        <v/>
      </c>
      <c r="AY1233" s="2" t="str">
        <f>IF(Registered!AG1233=0,"",Registered!AG1233&amp;" DustMask")</f>
        <v/>
      </c>
    </row>
    <row r="1234" spans="1:51" customFormat="1" x14ac:dyDescent="0.25">
      <c r="A1234" t="s">
        <v>4872</v>
      </c>
      <c r="B1234" t="s">
        <v>1651</v>
      </c>
      <c r="C1234" t="s">
        <v>6090</v>
      </c>
      <c r="D1234" t="s">
        <v>4873</v>
      </c>
      <c r="F1234" t="s">
        <v>261</v>
      </c>
      <c r="I1234" t="s">
        <v>4874</v>
      </c>
      <c r="J1234" t="s">
        <v>37</v>
      </c>
      <c r="K1234" t="s">
        <v>32</v>
      </c>
      <c r="L1234" t="s">
        <v>35</v>
      </c>
      <c r="Q1234">
        <v>1</v>
      </c>
      <c r="R1234">
        <v>3</v>
      </c>
      <c r="AC1234">
        <v>1</v>
      </c>
      <c r="AD1234">
        <v>10</v>
      </c>
      <c r="AQ1234">
        <v>13</v>
      </c>
      <c r="AR1234" s="3">
        <f t="shared" si="57"/>
        <v>5</v>
      </c>
      <c r="AS1234" s="3">
        <f t="shared" si="58"/>
        <v>0</v>
      </c>
      <c r="AT1234" s="3" t="str">
        <f>IF(OR(Registered!AM1234&gt;0,Registered!AO1234&gt;0),(IF(Registered!E1234=0,"Size Not Specified",Registered!E1234)),"")</f>
        <v/>
      </c>
      <c r="AU1234" s="3" t="str">
        <f>IF(Registered!AE1234=0,"",IF(Registered!AE1234=1,Registered!AE1234&amp;" Bandana",Registered!AE1234&amp;" Bandanas"))</f>
        <v/>
      </c>
      <c r="AV1234" s="3">
        <f t="shared" si="59"/>
        <v>0</v>
      </c>
      <c r="AW1234" s="2" t="str">
        <f>IF(Registered!AV1234=0,"",IF(Registered!AV1234=1,Registered!AV1234&amp;" Meal",Registered!AV1234&amp;" Meals"))</f>
        <v/>
      </c>
      <c r="AX1234" s="2" t="str">
        <f>IF(Registered!AI1234=0,"",Registered!AI1234&amp;" BG")</f>
        <v/>
      </c>
      <c r="AY1234" s="2" t="str">
        <f>IF(Registered!AG1234=0,"",Registered!AG1234&amp;" DustMask")</f>
        <v/>
      </c>
    </row>
    <row r="1235" spans="1:51" customFormat="1" x14ac:dyDescent="0.25">
      <c r="A1235" t="s">
        <v>121</v>
      </c>
      <c r="B1235" t="s">
        <v>3098</v>
      </c>
      <c r="C1235" t="s">
        <v>6090</v>
      </c>
      <c r="G1235" t="s">
        <v>252</v>
      </c>
      <c r="H1235" t="s">
        <v>2784</v>
      </c>
      <c r="I1235" t="s">
        <v>2786</v>
      </c>
      <c r="J1235" t="s">
        <v>37</v>
      </c>
      <c r="K1235" t="s">
        <v>32</v>
      </c>
      <c r="L1235" t="s">
        <v>35</v>
      </c>
      <c r="AQ1235">
        <v>0</v>
      </c>
      <c r="AR1235" s="3">
        <f t="shared" si="57"/>
        <v>0</v>
      </c>
      <c r="AS1235" s="3">
        <f t="shared" si="58"/>
        <v>0</v>
      </c>
      <c r="AT1235" s="3" t="str">
        <f>IF(OR(Registered!AM1235&gt;0,Registered!AO1235&gt;0),(IF(Registered!E1235=0,"Size Not Specified",Registered!E1235)),"")</f>
        <v/>
      </c>
      <c r="AU1235" s="3" t="str">
        <f>IF(Registered!AE1235=0,"",IF(Registered!AE1235=1,Registered!AE1235&amp;" Bandana",Registered!AE1235&amp;" Bandanas"))</f>
        <v/>
      </c>
      <c r="AV1235" s="3">
        <f t="shared" si="59"/>
        <v>0</v>
      </c>
      <c r="AW1235" s="2" t="str">
        <f>IF(Registered!AV1235=0,"",IF(Registered!AV1235=1,Registered!AV1235&amp;" Meal",Registered!AV1235&amp;" Meals"))</f>
        <v/>
      </c>
      <c r="AX1235" s="2" t="str">
        <f>IF(Registered!AI1235=0,"",Registered!AI1235&amp;" BG")</f>
        <v/>
      </c>
      <c r="AY1235" s="2" t="str">
        <f>IF(Registered!AG1235=0,"",Registered!AG1235&amp;" DustMask")</f>
        <v/>
      </c>
    </row>
    <row r="1236" spans="1:51" customFormat="1" x14ac:dyDescent="0.25">
      <c r="A1236" t="s">
        <v>211</v>
      </c>
      <c r="B1236" t="s">
        <v>3099</v>
      </c>
      <c r="C1236" t="s">
        <v>6090</v>
      </c>
      <c r="G1236" t="s">
        <v>2794</v>
      </c>
      <c r="H1236" t="s">
        <v>493</v>
      </c>
      <c r="I1236" t="s">
        <v>3100</v>
      </c>
      <c r="J1236" t="s">
        <v>37</v>
      </c>
      <c r="K1236" t="s">
        <v>32</v>
      </c>
      <c r="L1236" t="s">
        <v>35</v>
      </c>
      <c r="AQ1236">
        <v>0</v>
      </c>
      <c r="AR1236" s="3">
        <f t="shared" si="57"/>
        <v>0</v>
      </c>
      <c r="AS1236" s="3">
        <f t="shared" si="58"/>
        <v>0</v>
      </c>
      <c r="AT1236" s="3" t="str">
        <f>IF(OR(Registered!AM1236&gt;0,Registered!AO1236&gt;0),(IF(Registered!E1236=0,"Size Not Specified",Registered!E1236)),"")</f>
        <v/>
      </c>
      <c r="AU1236" s="3" t="str">
        <f>IF(Registered!AE1236=0,"",IF(Registered!AE1236=1,Registered!AE1236&amp;" Bandana",Registered!AE1236&amp;" Bandanas"))</f>
        <v/>
      </c>
      <c r="AV1236" s="3">
        <f t="shared" si="59"/>
        <v>0</v>
      </c>
      <c r="AW1236" s="2" t="str">
        <f>IF(Registered!AV1236=0,"",IF(Registered!AV1236=1,Registered!AV1236&amp;" Meal",Registered!AV1236&amp;" Meals"))</f>
        <v/>
      </c>
      <c r="AX1236" s="2" t="str">
        <f>IF(Registered!AI1236=0,"",Registered!AI1236&amp;" BG")</f>
        <v/>
      </c>
      <c r="AY1236" s="2" t="str">
        <f>IF(Registered!AG1236=0,"",Registered!AG1236&amp;" DustMask")</f>
        <v/>
      </c>
    </row>
    <row r="1237" spans="1:51" customFormat="1" x14ac:dyDescent="0.25">
      <c r="A1237" t="s">
        <v>501</v>
      </c>
      <c r="B1237" t="s">
        <v>3099</v>
      </c>
      <c r="C1237" t="s">
        <v>6090</v>
      </c>
      <c r="G1237" t="s">
        <v>2794</v>
      </c>
      <c r="H1237" t="s">
        <v>493</v>
      </c>
      <c r="I1237" t="s">
        <v>3100</v>
      </c>
      <c r="J1237" t="s">
        <v>37</v>
      </c>
      <c r="K1237" t="s">
        <v>32</v>
      </c>
      <c r="L1237" t="s">
        <v>35</v>
      </c>
      <c r="AQ1237">
        <v>0</v>
      </c>
      <c r="AR1237" s="3">
        <f t="shared" si="57"/>
        <v>0</v>
      </c>
      <c r="AS1237" s="3">
        <f t="shared" si="58"/>
        <v>0</v>
      </c>
      <c r="AT1237" s="3" t="str">
        <f>IF(OR(Registered!AM1237&gt;0,Registered!AO1237&gt;0),(IF(Registered!E1237=0,"Size Not Specified",Registered!E1237)),"")</f>
        <v/>
      </c>
      <c r="AU1237" s="3" t="str">
        <f>IF(Registered!AE1237=0,"",IF(Registered!AE1237=1,Registered!AE1237&amp;" Bandana",Registered!AE1237&amp;" Bandanas"))</f>
        <v/>
      </c>
      <c r="AV1237" s="3">
        <f t="shared" si="59"/>
        <v>0</v>
      </c>
      <c r="AW1237" s="2" t="str">
        <f>IF(Registered!AV1237=0,"",IF(Registered!AV1237=1,Registered!AV1237&amp;" Meal",Registered!AV1237&amp;" Meals"))</f>
        <v/>
      </c>
      <c r="AX1237" s="2" t="str">
        <f>IF(Registered!AI1237=0,"",Registered!AI1237&amp;" BG")</f>
        <v/>
      </c>
      <c r="AY1237" s="2" t="str">
        <f>IF(Registered!AG1237=0,"",Registered!AG1237&amp;" DustMask")</f>
        <v/>
      </c>
    </row>
    <row r="1238" spans="1:51" customFormat="1" x14ac:dyDescent="0.25">
      <c r="A1238" t="s">
        <v>244</v>
      </c>
      <c r="B1238" t="s">
        <v>1658</v>
      </c>
      <c r="C1238" t="s">
        <v>6090</v>
      </c>
      <c r="D1238" t="s">
        <v>1659</v>
      </c>
      <c r="F1238" t="s">
        <v>261</v>
      </c>
      <c r="I1238" t="s">
        <v>1660</v>
      </c>
      <c r="J1238" t="s">
        <v>37</v>
      </c>
      <c r="K1238" t="s">
        <v>32</v>
      </c>
      <c r="L1238" t="s">
        <v>35</v>
      </c>
      <c r="Q1238">
        <v>1</v>
      </c>
      <c r="R1238">
        <v>3</v>
      </c>
      <c r="AC1238">
        <v>1</v>
      </c>
      <c r="AD1238">
        <v>10</v>
      </c>
      <c r="AQ1238">
        <v>13</v>
      </c>
      <c r="AR1238" s="3">
        <f t="shared" si="57"/>
        <v>5</v>
      </c>
      <c r="AS1238" s="3">
        <f t="shared" si="58"/>
        <v>0</v>
      </c>
      <c r="AT1238" s="3" t="str">
        <f>IF(OR(Registered!AM1238&gt;0,Registered!AO1238&gt;0),(IF(Registered!E1238=0,"Size Not Specified",Registered!E1238)),"")</f>
        <v/>
      </c>
      <c r="AU1238" s="3" t="str">
        <f>IF(Registered!AE1238=0,"",IF(Registered!AE1238=1,Registered!AE1238&amp;" Bandana",Registered!AE1238&amp;" Bandanas"))</f>
        <v/>
      </c>
      <c r="AV1238" s="3">
        <f t="shared" si="59"/>
        <v>0</v>
      </c>
      <c r="AW1238" s="2" t="str">
        <f>IF(Registered!AV1238=0,"",IF(Registered!AV1238=1,Registered!AV1238&amp;" Meal",Registered!AV1238&amp;" Meals"))</f>
        <v/>
      </c>
      <c r="AX1238" s="2" t="str">
        <f>IF(Registered!AI1238=0,"",Registered!AI1238&amp;" BG")</f>
        <v/>
      </c>
      <c r="AY1238" s="2" t="str">
        <f>IF(Registered!AG1238=0,"",Registered!AG1238&amp;" DustMask")</f>
        <v/>
      </c>
    </row>
    <row r="1239" spans="1:51" customFormat="1" x14ac:dyDescent="0.25">
      <c r="A1239" t="s">
        <v>1661</v>
      </c>
      <c r="B1239" t="s">
        <v>1662</v>
      </c>
      <c r="C1239" t="s">
        <v>6090</v>
      </c>
      <c r="D1239" t="s">
        <v>1663</v>
      </c>
      <c r="E1239" t="s">
        <v>41</v>
      </c>
      <c r="I1239" t="s">
        <v>1664</v>
      </c>
      <c r="J1239" t="s">
        <v>37</v>
      </c>
      <c r="K1239" t="s">
        <v>32</v>
      </c>
      <c r="L1239" t="s">
        <v>35</v>
      </c>
      <c r="O1239">
        <v>1</v>
      </c>
      <c r="P1239">
        <v>3</v>
      </c>
      <c r="AC1239">
        <v>1</v>
      </c>
      <c r="AD1239">
        <v>10</v>
      </c>
      <c r="AO1239">
        <v>1</v>
      </c>
      <c r="AP1239">
        <v>10</v>
      </c>
      <c r="AQ1239">
        <v>23</v>
      </c>
      <c r="AR1239" s="3">
        <f t="shared" si="57"/>
        <v>5</v>
      </c>
      <c r="AS1239" s="3">
        <f t="shared" si="58"/>
        <v>1</v>
      </c>
      <c r="AT1239" s="3" t="str">
        <f>IF(OR(Registered!AM1239&gt;0,Registered!AO1239&gt;0),(IF(Registered!E1239=0,"Size Not Specified",Registered!E1239)),"")</f>
        <v>small</v>
      </c>
      <c r="AU1239" s="3" t="str">
        <f>IF(Registered!AE1239=0,"",IF(Registered!AE1239=1,Registered!AE1239&amp;" Bandana",Registered!AE1239&amp;" Bandanas"))</f>
        <v/>
      </c>
      <c r="AV1239" s="3">
        <f t="shared" si="59"/>
        <v>0</v>
      </c>
      <c r="AW1239" s="2" t="str">
        <f>IF(Registered!AV1239=0,"",IF(Registered!AV1239=1,Registered!AV1239&amp;" Meal",Registered!AV1239&amp;" Meals"))</f>
        <v/>
      </c>
      <c r="AX1239" s="2" t="str">
        <f>IF(Registered!AI1239=0,"",Registered!AI1239&amp;" BG")</f>
        <v/>
      </c>
      <c r="AY1239" s="2" t="str">
        <f>IF(Registered!AG1239=0,"",Registered!AG1239&amp;" DustMask")</f>
        <v/>
      </c>
    </row>
    <row r="1240" spans="1:51" customFormat="1" x14ac:dyDescent="0.25">
      <c r="A1240" t="s">
        <v>1665</v>
      </c>
      <c r="B1240" t="s">
        <v>1666</v>
      </c>
      <c r="C1240" t="s">
        <v>6090</v>
      </c>
      <c r="G1240" t="s">
        <v>1667</v>
      </c>
      <c r="H1240" t="s">
        <v>1666</v>
      </c>
      <c r="I1240" t="s">
        <v>1668</v>
      </c>
      <c r="J1240" t="s">
        <v>37</v>
      </c>
      <c r="K1240" t="s">
        <v>32</v>
      </c>
      <c r="L1240" t="s">
        <v>35</v>
      </c>
      <c r="AQ1240">
        <v>0</v>
      </c>
      <c r="AR1240" s="3">
        <f t="shared" si="57"/>
        <v>0</v>
      </c>
      <c r="AS1240" s="3">
        <f t="shared" si="58"/>
        <v>0</v>
      </c>
      <c r="AT1240" s="3" t="str">
        <f>IF(OR(Registered!AM1240&gt;0,Registered!AO1240&gt;0),(IF(Registered!E1240=0,"Size Not Specified",Registered!E1240)),"")</f>
        <v/>
      </c>
      <c r="AU1240" s="3" t="str">
        <f>IF(Registered!AE1240=0,"",IF(Registered!AE1240=1,Registered!AE1240&amp;" Bandana",Registered!AE1240&amp;" Bandanas"))</f>
        <v/>
      </c>
      <c r="AV1240" s="3">
        <f t="shared" si="59"/>
        <v>0</v>
      </c>
      <c r="AW1240" s="2" t="str">
        <f>IF(Registered!AV1240=0,"",IF(Registered!AV1240=1,Registered!AV1240&amp;" Meal",Registered!AV1240&amp;" Meals"))</f>
        <v/>
      </c>
      <c r="AX1240" s="2" t="str">
        <f>IF(Registered!AI1240=0,"",Registered!AI1240&amp;" BG")</f>
        <v/>
      </c>
      <c r="AY1240" s="2" t="str">
        <f>IF(Registered!AG1240=0,"",Registered!AG1240&amp;" DustMask")</f>
        <v/>
      </c>
    </row>
    <row r="1241" spans="1:51" customFormat="1" x14ac:dyDescent="0.25">
      <c r="A1241" t="s">
        <v>1667</v>
      </c>
      <c r="B1241" t="s">
        <v>1666</v>
      </c>
      <c r="C1241" t="s">
        <v>6090</v>
      </c>
      <c r="D1241" t="s">
        <v>1669</v>
      </c>
      <c r="F1241" t="s">
        <v>261</v>
      </c>
      <c r="I1241" t="s">
        <v>1668</v>
      </c>
      <c r="J1241" t="s">
        <v>37</v>
      </c>
      <c r="K1241" t="s">
        <v>32</v>
      </c>
      <c r="L1241" t="s">
        <v>35</v>
      </c>
      <c r="S1241">
        <v>2</v>
      </c>
      <c r="T1241">
        <v>3</v>
      </c>
      <c r="AQ1241">
        <v>6</v>
      </c>
      <c r="AR1241" s="3">
        <f t="shared" si="57"/>
        <v>0</v>
      </c>
      <c r="AS1241" s="3">
        <f t="shared" si="58"/>
        <v>0</v>
      </c>
      <c r="AT1241" s="3" t="str">
        <f>IF(OR(Registered!AM1241&gt;0,Registered!AO1241&gt;0),(IF(Registered!E1241=0,"Size Not Specified",Registered!E1241)),"")</f>
        <v/>
      </c>
      <c r="AU1241" s="3" t="str">
        <f>IF(Registered!AE1241=0,"",IF(Registered!AE1241=1,Registered!AE1241&amp;" Bandana",Registered!AE1241&amp;" Bandanas"))</f>
        <v/>
      </c>
      <c r="AV1241" s="3">
        <f t="shared" si="59"/>
        <v>0</v>
      </c>
      <c r="AW1241" s="2" t="str">
        <f>IF(Registered!AV1241=0,"",IF(Registered!AV1241=1,Registered!AV1241&amp;" Meal",Registered!AV1241&amp;" Meals"))</f>
        <v/>
      </c>
      <c r="AX1241" s="2" t="str">
        <f>IF(Registered!AI1241=0,"",Registered!AI1241&amp;" BG")</f>
        <v/>
      </c>
      <c r="AY1241" s="2" t="str">
        <f>IF(Registered!AG1241=0,"",Registered!AG1241&amp;" DustMask")</f>
        <v/>
      </c>
    </row>
    <row r="1242" spans="1:51" customFormat="1" x14ac:dyDescent="0.25">
      <c r="A1242" t="s">
        <v>4882</v>
      </c>
      <c r="B1242" t="s">
        <v>4883</v>
      </c>
      <c r="C1242" t="s">
        <v>6090</v>
      </c>
      <c r="G1242" t="s">
        <v>4884</v>
      </c>
      <c r="H1242" t="s">
        <v>4885</v>
      </c>
      <c r="I1242" t="s">
        <v>4886</v>
      </c>
      <c r="J1242" t="s">
        <v>37</v>
      </c>
      <c r="K1242" t="s">
        <v>32</v>
      </c>
      <c r="L1242" t="s">
        <v>35</v>
      </c>
      <c r="AQ1242">
        <v>0</v>
      </c>
      <c r="AR1242" s="3">
        <f t="shared" si="57"/>
        <v>0</v>
      </c>
      <c r="AS1242" s="3">
        <f t="shared" si="58"/>
        <v>0</v>
      </c>
      <c r="AT1242" s="3" t="str">
        <f>IF(OR(Registered!AM1242&gt;0,Registered!AO1242&gt;0),(IF(Registered!E1242=0,"Size Not Specified",Registered!E1242)),"")</f>
        <v/>
      </c>
      <c r="AU1242" s="3" t="str">
        <f>IF(Registered!AE1242=0,"",IF(Registered!AE1242=1,Registered!AE1242&amp;" Bandana",Registered!AE1242&amp;" Bandanas"))</f>
        <v/>
      </c>
      <c r="AV1242" s="3">
        <f t="shared" si="59"/>
        <v>0</v>
      </c>
      <c r="AW1242" s="2" t="str">
        <f>IF(Registered!AV1242=0,"",IF(Registered!AV1242=1,Registered!AV1242&amp;" Meal",Registered!AV1242&amp;" Meals"))</f>
        <v/>
      </c>
      <c r="AX1242" s="2" t="str">
        <f>IF(Registered!AI1242=0,"",Registered!AI1242&amp;" BG")</f>
        <v/>
      </c>
      <c r="AY1242" s="2" t="str">
        <f>IF(Registered!AG1242=0,"",Registered!AG1242&amp;" DustMask")</f>
        <v/>
      </c>
    </row>
    <row r="1243" spans="1:51" customFormat="1" x14ac:dyDescent="0.25">
      <c r="A1243" t="s">
        <v>166</v>
      </c>
      <c r="B1243" t="s">
        <v>3101</v>
      </c>
      <c r="C1243" t="s">
        <v>6090</v>
      </c>
      <c r="G1243" t="s">
        <v>2917</v>
      </c>
      <c r="H1243" t="s">
        <v>460</v>
      </c>
      <c r="I1243" t="s">
        <v>2918</v>
      </c>
      <c r="J1243" t="s">
        <v>37</v>
      </c>
      <c r="K1243" t="s">
        <v>32</v>
      </c>
      <c r="L1243" t="s">
        <v>35</v>
      </c>
      <c r="AQ1243">
        <v>0</v>
      </c>
      <c r="AR1243" s="3">
        <f t="shared" si="57"/>
        <v>0</v>
      </c>
      <c r="AS1243" s="3">
        <f t="shared" si="58"/>
        <v>0</v>
      </c>
      <c r="AT1243" s="3" t="str">
        <f>IF(OR(Registered!AM1243&gt;0,Registered!AO1243&gt;0),(IF(Registered!E1243=0,"Size Not Specified",Registered!E1243)),"")</f>
        <v/>
      </c>
      <c r="AU1243" s="3" t="str">
        <f>IF(Registered!AE1243=0,"",IF(Registered!AE1243=1,Registered!AE1243&amp;" Bandana",Registered!AE1243&amp;" Bandanas"))</f>
        <v/>
      </c>
      <c r="AV1243" s="3">
        <f t="shared" si="59"/>
        <v>0</v>
      </c>
      <c r="AW1243" s="2" t="str">
        <f>IF(Registered!AV1243=0,"",IF(Registered!AV1243=1,Registered!AV1243&amp;" Meal",Registered!AV1243&amp;" Meals"))</f>
        <v/>
      </c>
      <c r="AX1243" s="2" t="str">
        <f>IF(Registered!AI1243=0,"",Registered!AI1243&amp;" BG")</f>
        <v/>
      </c>
      <c r="AY1243" s="2" t="str">
        <f>IF(Registered!AG1243=0,"",Registered!AG1243&amp;" DustMask")</f>
        <v/>
      </c>
    </row>
    <row r="1244" spans="1:51" customFormat="1" x14ac:dyDescent="0.25">
      <c r="A1244" t="s">
        <v>3055</v>
      </c>
      <c r="B1244" t="s">
        <v>3101</v>
      </c>
      <c r="C1244" t="s">
        <v>6090</v>
      </c>
      <c r="G1244" t="s">
        <v>2917</v>
      </c>
      <c r="H1244" t="s">
        <v>460</v>
      </c>
      <c r="I1244" t="s">
        <v>2918</v>
      </c>
      <c r="J1244" t="s">
        <v>37</v>
      </c>
      <c r="K1244" t="s">
        <v>32</v>
      </c>
      <c r="L1244" t="s">
        <v>35</v>
      </c>
      <c r="AQ1244">
        <v>0</v>
      </c>
      <c r="AR1244" s="3">
        <f t="shared" si="57"/>
        <v>0</v>
      </c>
      <c r="AS1244" s="3">
        <f t="shared" si="58"/>
        <v>0</v>
      </c>
      <c r="AT1244" s="3" t="str">
        <f>IF(OR(Registered!AM1244&gt;0,Registered!AO1244&gt;0),(IF(Registered!E1244=0,"Size Not Specified",Registered!E1244)),"")</f>
        <v/>
      </c>
      <c r="AU1244" s="3" t="str">
        <f>IF(Registered!AE1244=0,"",IF(Registered!AE1244=1,Registered!AE1244&amp;" Bandana",Registered!AE1244&amp;" Bandanas"))</f>
        <v/>
      </c>
      <c r="AV1244" s="3">
        <f t="shared" si="59"/>
        <v>0</v>
      </c>
      <c r="AW1244" s="2" t="str">
        <f>IF(Registered!AV1244=0,"",IF(Registered!AV1244=1,Registered!AV1244&amp;" Meal",Registered!AV1244&amp;" Meals"))</f>
        <v/>
      </c>
      <c r="AX1244" s="2" t="str">
        <f>IF(Registered!AI1244=0,"",Registered!AI1244&amp;" BG")</f>
        <v/>
      </c>
      <c r="AY1244" s="2" t="str">
        <f>IF(Registered!AG1244=0,"",Registered!AG1244&amp;" DustMask")</f>
        <v/>
      </c>
    </row>
    <row r="1245" spans="1:51" customFormat="1" x14ac:dyDescent="0.25">
      <c r="A1245" t="s">
        <v>3102</v>
      </c>
      <c r="B1245" t="s">
        <v>3101</v>
      </c>
      <c r="C1245" t="s">
        <v>6090</v>
      </c>
      <c r="G1245" t="s">
        <v>2917</v>
      </c>
      <c r="H1245" t="s">
        <v>460</v>
      </c>
      <c r="I1245" t="s">
        <v>2918</v>
      </c>
      <c r="J1245" t="s">
        <v>37</v>
      </c>
      <c r="K1245" t="s">
        <v>32</v>
      </c>
      <c r="L1245" t="s">
        <v>35</v>
      </c>
      <c r="AQ1245">
        <v>0</v>
      </c>
      <c r="AR1245" s="3">
        <f t="shared" si="57"/>
        <v>0</v>
      </c>
      <c r="AS1245" s="3">
        <f t="shared" si="58"/>
        <v>0</v>
      </c>
      <c r="AT1245" s="3" t="str">
        <f>IF(OR(Registered!AM1245&gt;0,Registered!AO1245&gt;0),(IF(Registered!E1245=0,"Size Not Specified",Registered!E1245)),"")</f>
        <v/>
      </c>
      <c r="AU1245" s="3" t="str">
        <f>IF(Registered!AE1245=0,"",IF(Registered!AE1245=1,Registered!AE1245&amp;" Bandana",Registered!AE1245&amp;" Bandanas"))</f>
        <v/>
      </c>
      <c r="AV1245" s="3">
        <f t="shared" si="59"/>
        <v>0</v>
      </c>
      <c r="AW1245" s="2" t="str">
        <f>IF(Registered!AV1245=0,"",IF(Registered!AV1245=1,Registered!AV1245&amp;" Meal",Registered!AV1245&amp;" Meals"))</f>
        <v/>
      </c>
      <c r="AX1245" s="2" t="str">
        <f>IF(Registered!AI1245=0,"",Registered!AI1245&amp;" BG")</f>
        <v/>
      </c>
      <c r="AY1245" s="2" t="str">
        <f>IF(Registered!AG1245=0,"",Registered!AG1245&amp;" DustMask")</f>
        <v/>
      </c>
    </row>
    <row r="1246" spans="1:51" customFormat="1" x14ac:dyDescent="0.25">
      <c r="A1246" t="s">
        <v>3103</v>
      </c>
      <c r="B1246" t="s">
        <v>3101</v>
      </c>
      <c r="C1246" t="s">
        <v>6090</v>
      </c>
      <c r="G1246" t="s">
        <v>2917</v>
      </c>
      <c r="H1246" t="s">
        <v>460</v>
      </c>
      <c r="I1246" t="s">
        <v>2918</v>
      </c>
      <c r="J1246" t="s">
        <v>37</v>
      </c>
      <c r="K1246" t="s">
        <v>32</v>
      </c>
      <c r="L1246" t="s">
        <v>35</v>
      </c>
      <c r="AQ1246">
        <v>0</v>
      </c>
      <c r="AR1246" s="3">
        <f t="shared" si="57"/>
        <v>0</v>
      </c>
      <c r="AS1246" s="3">
        <f t="shared" si="58"/>
        <v>0</v>
      </c>
      <c r="AT1246" s="3" t="str">
        <f>IF(OR(Registered!AM1246&gt;0,Registered!AO1246&gt;0),(IF(Registered!E1246=0,"Size Not Specified",Registered!E1246)),"")</f>
        <v/>
      </c>
      <c r="AU1246" s="3" t="str">
        <f>IF(Registered!AE1246=0,"",IF(Registered!AE1246=1,Registered!AE1246&amp;" Bandana",Registered!AE1246&amp;" Bandanas"))</f>
        <v/>
      </c>
      <c r="AV1246" s="3">
        <f t="shared" si="59"/>
        <v>0</v>
      </c>
      <c r="AW1246" s="2" t="str">
        <f>IF(Registered!AV1246=0,"",IF(Registered!AV1246=1,Registered!AV1246&amp;" Meal",Registered!AV1246&amp;" Meals"))</f>
        <v/>
      </c>
      <c r="AX1246" s="2" t="str">
        <f>IF(Registered!AI1246=0,"",Registered!AI1246&amp;" BG")</f>
        <v/>
      </c>
      <c r="AY1246" s="2" t="str">
        <f>IF(Registered!AG1246=0,"",Registered!AG1246&amp;" DustMask")</f>
        <v/>
      </c>
    </row>
    <row r="1247" spans="1:51" customFormat="1" x14ac:dyDescent="0.25">
      <c r="A1247" t="s">
        <v>1333</v>
      </c>
      <c r="B1247" t="s">
        <v>466</v>
      </c>
      <c r="C1247" t="s">
        <v>6090</v>
      </c>
      <c r="D1247" t="s">
        <v>1333</v>
      </c>
      <c r="E1247" t="s">
        <v>1670</v>
      </c>
      <c r="F1247" t="s">
        <v>261</v>
      </c>
      <c r="I1247" t="s">
        <v>1334</v>
      </c>
      <c r="J1247" t="s">
        <v>37</v>
      </c>
      <c r="K1247" t="s">
        <v>32</v>
      </c>
      <c r="L1247" t="s">
        <v>35</v>
      </c>
      <c r="S1247">
        <v>2</v>
      </c>
      <c r="T1247">
        <v>3</v>
      </c>
      <c r="U1247">
        <v>1</v>
      </c>
      <c r="V1247">
        <v>20</v>
      </c>
      <c r="AE1247">
        <v>2</v>
      </c>
      <c r="AF1247">
        <v>6</v>
      </c>
      <c r="AM1247">
        <v>2</v>
      </c>
      <c r="AN1247">
        <v>25</v>
      </c>
      <c r="AQ1247">
        <v>88</v>
      </c>
      <c r="AR1247" s="3">
        <f t="shared" si="57"/>
        <v>20</v>
      </c>
      <c r="AS1247" s="3">
        <f t="shared" si="58"/>
        <v>2</v>
      </c>
      <c r="AT1247" s="3" t="str">
        <f>IF(OR(Registered!AM1247&gt;0,Registered!AO1247&gt;0),(IF(Registered!E1247=0,"Size Not Specified",Registered!E1247)),"")</f>
        <v>1 Small and 1 X small</v>
      </c>
      <c r="AU1247" s="3" t="str">
        <f>IF(Registered!AE1247=0,"",IF(Registered!AE1247=1,Registered!AE1247&amp;" Bandana",Registered!AE1247&amp;" Bandanas"))</f>
        <v>2 Bandanas</v>
      </c>
      <c r="AV1247" s="3">
        <f t="shared" si="59"/>
        <v>2</v>
      </c>
      <c r="AW1247" s="2" t="str">
        <f>IF(Registered!AV1247=0,"",IF(Registered!AV1247=1,Registered!AV1247&amp;" Meal",Registered!AV1247&amp;" Meals"))</f>
        <v>2 Meals</v>
      </c>
      <c r="AX1247" s="2" t="str">
        <f>IF(Registered!AI1247=0,"",Registered!AI1247&amp;" BG")</f>
        <v/>
      </c>
      <c r="AY1247" s="2" t="str">
        <f>IF(Registered!AG1247=0,"",Registered!AG1247&amp;" DustMask")</f>
        <v/>
      </c>
    </row>
    <row r="1248" spans="1:51" customFormat="1" x14ac:dyDescent="0.25">
      <c r="A1248" t="s">
        <v>141</v>
      </c>
      <c r="B1248" t="s">
        <v>4887</v>
      </c>
      <c r="C1248" t="s">
        <v>6090</v>
      </c>
      <c r="G1248" t="s">
        <v>776</v>
      </c>
      <c r="H1248" t="s">
        <v>4888</v>
      </c>
      <c r="I1248" t="s">
        <v>4889</v>
      </c>
      <c r="J1248" t="s">
        <v>37</v>
      </c>
      <c r="K1248" t="s">
        <v>32</v>
      </c>
      <c r="L1248" t="s">
        <v>35</v>
      </c>
      <c r="AQ1248">
        <v>0</v>
      </c>
      <c r="AR1248" s="3">
        <f t="shared" si="57"/>
        <v>0</v>
      </c>
      <c r="AS1248" s="3">
        <f t="shared" si="58"/>
        <v>0</v>
      </c>
      <c r="AT1248" s="3" t="str">
        <f>IF(OR(Registered!AM1248&gt;0,Registered!AO1248&gt;0),(IF(Registered!E1248=0,"Size Not Specified",Registered!E1248)),"")</f>
        <v/>
      </c>
      <c r="AU1248" s="3" t="str">
        <f>IF(Registered!AE1248=0,"",IF(Registered!AE1248=1,Registered!AE1248&amp;" Bandana",Registered!AE1248&amp;" Bandanas"))</f>
        <v/>
      </c>
      <c r="AV1248" s="3">
        <f t="shared" si="59"/>
        <v>0</v>
      </c>
      <c r="AW1248" s="2" t="str">
        <f>IF(Registered!AV1248=0,"",IF(Registered!AV1248=1,Registered!AV1248&amp;" Meal",Registered!AV1248&amp;" Meals"))</f>
        <v/>
      </c>
      <c r="AX1248" s="2" t="str">
        <f>IF(Registered!AI1248=0,"",Registered!AI1248&amp;" BG")</f>
        <v/>
      </c>
      <c r="AY1248" s="2" t="str">
        <f>IF(Registered!AG1248=0,"",Registered!AG1248&amp;" DustMask")</f>
        <v/>
      </c>
    </row>
    <row r="1249" spans="1:51" customFormat="1" x14ac:dyDescent="0.25">
      <c r="A1249" t="s">
        <v>1671</v>
      </c>
      <c r="B1249" t="s">
        <v>362</v>
      </c>
      <c r="C1249" t="s">
        <v>6090</v>
      </c>
      <c r="D1249" t="s">
        <v>1671</v>
      </c>
      <c r="F1249" t="s">
        <v>261</v>
      </c>
      <c r="I1249" t="s">
        <v>1672</v>
      </c>
      <c r="J1249" t="s">
        <v>37</v>
      </c>
      <c r="K1249" t="s">
        <v>32</v>
      </c>
      <c r="L1249" t="s">
        <v>35</v>
      </c>
      <c r="S1249">
        <v>2</v>
      </c>
      <c r="T1249">
        <v>3</v>
      </c>
      <c r="U1249">
        <v>1</v>
      </c>
      <c r="V1249">
        <v>20</v>
      </c>
      <c r="AE1249">
        <v>2</v>
      </c>
      <c r="AF1249">
        <v>6</v>
      </c>
      <c r="AK1249">
        <v>2</v>
      </c>
      <c r="AL1249">
        <v>6</v>
      </c>
      <c r="AQ1249">
        <v>50</v>
      </c>
      <c r="AR1249" s="3">
        <f t="shared" si="57"/>
        <v>10</v>
      </c>
      <c r="AS1249" s="3">
        <f t="shared" si="58"/>
        <v>0</v>
      </c>
      <c r="AT1249" s="3" t="str">
        <f>IF(OR(Registered!AM1249&gt;0,Registered!AO1249&gt;0),(IF(Registered!E1249=0,"Size Not Specified",Registered!E1249)),"")</f>
        <v/>
      </c>
      <c r="AU1249" s="3" t="str">
        <f>IF(Registered!AE1249=0,"",IF(Registered!AE1249=1,Registered!AE1249&amp;" Bandana",Registered!AE1249&amp;" Bandanas"))</f>
        <v>2 Bandanas</v>
      </c>
      <c r="AV1249" s="3">
        <f t="shared" si="59"/>
        <v>2</v>
      </c>
      <c r="AW1249" s="2" t="str">
        <f>IF(Registered!AV1249=0,"",IF(Registered!AV1249=1,Registered!AV1249&amp;" Meal",Registered!AV1249&amp;" Meals"))</f>
        <v>2 Meals</v>
      </c>
      <c r="AX1249" s="2" t="str">
        <f>IF(Registered!AI1249=0,"",Registered!AI1249&amp;" BG")</f>
        <v/>
      </c>
      <c r="AY1249" s="2" t="str">
        <f>IF(Registered!AG1249=0,"",Registered!AG1249&amp;" DustMask")</f>
        <v/>
      </c>
    </row>
    <row r="1250" spans="1:51" customFormat="1" x14ac:dyDescent="0.25">
      <c r="A1250" t="s">
        <v>417</v>
      </c>
      <c r="B1250" t="s">
        <v>362</v>
      </c>
      <c r="C1250" t="s">
        <v>6090</v>
      </c>
      <c r="G1250" t="s">
        <v>107</v>
      </c>
      <c r="H1250" t="s">
        <v>362</v>
      </c>
      <c r="I1250" t="s">
        <v>1673</v>
      </c>
      <c r="J1250" t="s">
        <v>37</v>
      </c>
      <c r="K1250" t="s">
        <v>32</v>
      </c>
      <c r="L1250" t="s">
        <v>35</v>
      </c>
      <c r="AQ1250">
        <v>0</v>
      </c>
      <c r="AR1250" s="3">
        <f t="shared" si="57"/>
        <v>0</v>
      </c>
      <c r="AS1250" s="3">
        <f t="shared" si="58"/>
        <v>0</v>
      </c>
      <c r="AT1250" s="3" t="str">
        <f>IF(OR(Registered!AM1250&gt;0,Registered!AO1250&gt;0),(IF(Registered!E1250=0,"Size Not Specified",Registered!E1250)),"")</f>
        <v/>
      </c>
      <c r="AU1250" s="3" t="str">
        <f>IF(Registered!AE1250=0,"",IF(Registered!AE1250=1,Registered!AE1250&amp;" Bandana",Registered!AE1250&amp;" Bandanas"))</f>
        <v/>
      </c>
      <c r="AV1250" s="3">
        <f t="shared" si="59"/>
        <v>0</v>
      </c>
      <c r="AW1250" s="2" t="str">
        <f>IF(Registered!AV1250=0,"",IF(Registered!AV1250=1,Registered!AV1250&amp;" Meal",Registered!AV1250&amp;" Meals"))</f>
        <v/>
      </c>
      <c r="AX1250" s="2" t="str">
        <f>IF(Registered!AI1250=0,"",Registered!AI1250&amp;" BG")</f>
        <v/>
      </c>
      <c r="AY1250" s="2" t="str">
        <f>IF(Registered!AG1250=0,"",Registered!AG1250&amp;" DustMask")</f>
        <v/>
      </c>
    </row>
    <row r="1251" spans="1:51" customFormat="1" x14ac:dyDescent="0.25">
      <c r="A1251" t="s">
        <v>107</v>
      </c>
      <c r="B1251" t="s">
        <v>362</v>
      </c>
      <c r="C1251" t="s">
        <v>6090</v>
      </c>
      <c r="D1251" t="s">
        <v>1674</v>
      </c>
      <c r="F1251" t="s">
        <v>261</v>
      </c>
      <c r="I1251" t="s">
        <v>1673</v>
      </c>
      <c r="J1251" t="s">
        <v>37</v>
      </c>
      <c r="K1251" t="s">
        <v>32</v>
      </c>
      <c r="L1251" t="s">
        <v>35</v>
      </c>
      <c r="S1251">
        <v>3</v>
      </c>
      <c r="T1251">
        <v>3</v>
      </c>
      <c r="AE1251">
        <v>2</v>
      </c>
      <c r="AF1251">
        <v>6</v>
      </c>
      <c r="AQ1251">
        <v>21</v>
      </c>
      <c r="AR1251" s="3">
        <f t="shared" si="57"/>
        <v>0</v>
      </c>
      <c r="AS1251" s="3">
        <f t="shared" si="58"/>
        <v>0</v>
      </c>
      <c r="AT1251" s="3" t="str">
        <f>IF(OR(Registered!AM1251&gt;0,Registered!AO1251&gt;0),(IF(Registered!E1251=0,"Size Not Specified",Registered!E1251)),"")</f>
        <v/>
      </c>
      <c r="AU1251" s="3" t="str">
        <f>IF(Registered!AE1251=0,"",IF(Registered!AE1251=1,Registered!AE1251&amp;" Bandana",Registered!AE1251&amp;" Bandanas"))</f>
        <v>2 Bandanas</v>
      </c>
      <c r="AV1251" s="3">
        <f t="shared" si="59"/>
        <v>0</v>
      </c>
      <c r="AW1251" s="2" t="str">
        <f>IF(Registered!AV1251=0,"",IF(Registered!AV1251=1,Registered!AV1251&amp;" Meal",Registered!AV1251&amp;" Meals"))</f>
        <v/>
      </c>
      <c r="AX1251" s="2" t="str">
        <f>IF(Registered!AI1251=0,"",Registered!AI1251&amp;" BG")</f>
        <v/>
      </c>
      <c r="AY1251" s="2" t="str">
        <f>IF(Registered!AG1251=0,"",Registered!AG1251&amp;" DustMask")</f>
        <v/>
      </c>
    </row>
    <row r="1252" spans="1:51" customFormat="1" x14ac:dyDescent="0.25">
      <c r="A1252" t="s">
        <v>2959</v>
      </c>
      <c r="B1252" t="s">
        <v>362</v>
      </c>
      <c r="C1252" t="s">
        <v>6090</v>
      </c>
      <c r="F1252" t="s">
        <v>261</v>
      </c>
      <c r="I1252" t="s">
        <v>4892</v>
      </c>
      <c r="J1252" t="s">
        <v>37</v>
      </c>
      <c r="K1252" t="s">
        <v>32</v>
      </c>
      <c r="L1252" t="s">
        <v>35</v>
      </c>
      <c r="Q1252">
        <v>3</v>
      </c>
      <c r="R1252">
        <v>3</v>
      </c>
      <c r="AQ1252">
        <v>9</v>
      </c>
      <c r="AR1252" s="3">
        <f t="shared" si="57"/>
        <v>0</v>
      </c>
      <c r="AS1252" s="3">
        <f t="shared" si="58"/>
        <v>0</v>
      </c>
      <c r="AT1252" s="3" t="str">
        <f>IF(OR(Registered!AM1252&gt;0,Registered!AO1252&gt;0),(IF(Registered!E1252=0,"Size Not Specified",Registered!E1252)),"")</f>
        <v/>
      </c>
      <c r="AU1252" s="3" t="str">
        <f>IF(Registered!AE1252=0,"",IF(Registered!AE1252=1,Registered!AE1252&amp;" Bandana",Registered!AE1252&amp;" Bandanas"))</f>
        <v/>
      </c>
      <c r="AV1252" s="3">
        <f t="shared" si="59"/>
        <v>0</v>
      </c>
      <c r="AW1252" s="2" t="str">
        <f>IF(Registered!AV1252=0,"",IF(Registered!AV1252=1,Registered!AV1252&amp;" Meal",Registered!AV1252&amp;" Meals"))</f>
        <v/>
      </c>
      <c r="AX1252" s="2" t="str">
        <f>IF(Registered!AI1252=0,"",Registered!AI1252&amp;" BG")</f>
        <v/>
      </c>
      <c r="AY1252" s="2" t="str">
        <f>IF(Registered!AG1252=0,"",Registered!AG1252&amp;" DustMask")</f>
        <v/>
      </c>
    </row>
    <row r="1253" spans="1:51" customFormat="1" x14ac:dyDescent="0.25">
      <c r="A1253" t="s">
        <v>114</v>
      </c>
      <c r="B1253" t="s">
        <v>362</v>
      </c>
      <c r="C1253" t="s">
        <v>6090</v>
      </c>
      <c r="G1253" t="s">
        <v>642</v>
      </c>
      <c r="H1253" t="s">
        <v>4893</v>
      </c>
      <c r="I1253" t="s">
        <v>4894</v>
      </c>
      <c r="J1253" t="s">
        <v>37</v>
      </c>
      <c r="K1253" t="s">
        <v>32</v>
      </c>
      <c r="L1253" t="s">
        <v>35</v>
      </c>
      <c r="AQ1253">
        <v>0</v>
      </c>
      <c r="AR1253" s="3">
        <f t="shared" si="57"/>
        <v>0</v>
      </c>
      <c r="AS1253" s="3">
        <f t="shared" si="58"/>
        <v>0</v>
      </c>
      <c r="AT1253" s="3" t="str">
        <f>IF(OR(Registered!AM1253&gt;0,Registered!AO1253&gt;0),(IF(Registered!E1253=0,"Size Not Specified",Registered!E1253)),"")</f>
        <v/>
      </c>
      <c r="AU1253" s="3" t="str">
        <f>IF(Registered!AE1253=0,"",IF(Registered!AE1253=1,Registered!AE1253&amp;" Bandana",Registered!AE1253&amp;" Bandanas"))</f>
        <v/>
      </c>
      <c r="AV1253" s="3">
        <f t="shared" si="59"/>
        <v>0</v>
      </c>
      <c r="AW1253" s="2" t="str">
        <f>IF(Registered!AV1253=0,"",IF(Registered!AV1253=1,Registered!AV1253&amp;" Meal",Registered!AV1253&amp;" Meals"))</f>
        <v/>
      </c>
      <c r="AX1253" s="2" t="str">
        <f>IF(Registered!AI1253=0,"",Registered!AI1253&amp;" BG")</f>
        <v/>
      </c>
      <c r="AY1253" s="2" t="str">
        <f>IF(Registered!AG1253=0,"",Registered!AG1253&amp;" DustMask")</f>
        <v/>
      </c>
    </row>
    <row r="1254" spans="1:51" customFormat="1" x14ac:dyDescent="0.25">
      <c r="A1254" t="s">
        <v>91</v>
      </c>
      <c r="B1254" t="s">
        <v>362</v>
      </c>
      <c r="C1254" t="s">
        <v>6090</v>
      </c>
      <c r="G1254" t="s">
        <v>1441</v>
      </c>
      <c r="H1254" t="s">
        <v>3529</v>
      </c>
      <c r="I1254" t="s">
        <v>3531</v>
      </c>
      <c r="J1254" t="s">
        <v>37</v>
      </c>
      <c r="K1254" t="s">
        <v>32</v>
      </c>
      <c r="L1254" t="s">
        <v>35</v>
      </c>
      <c r="AQ1254">
        <v>0</v>
      </c>
      <c r="AR1254" s="3">
        <f t="shared" si="57"/>
        <v>0</v>
      </c>
      <c r="AS1254" s="3">
        <f t="shared" si="58"/>
        <v>0</v>
      </c>
      <c r="AT1254" s="3" t="str">
        <f>IF(OR(Registered!AM1254&gt;0,Registered!AO1254&gt;0),(IF(Registered!E1254=0,"Size Not Specified",Registered!E1254)),"")</f>
        <v/>
      </c>
      <c r="AU1254" s="3" t="str">
        <f>IF(Registered!AE1254=0,"",IF(Registered!AE1254=1,Registered!AE1254&amp;" Bandana",Registered!AE1254&amp;" Bandanas"))</f>
        <v/>
      </c>
      <c r="AV1254" s="3">
        <f t="shared" si="59"/>
        <v>0</v>
      </c>
      <c r="AW1254" s="2" t="str">
        <f>IF(Registered!AV1254=0,"",IF(Registered!AV1254=1,Registered!AV1254&amp;" Meal",Registered!AV1254&amp;" Meals"))</f>
        <v/>
      </c>
      <c r="AX1254" s="2" t="str">
        <f>IF(Registered!AI1254=0,"",Registered!AI1254&amp;" BG")</f>
        <v/>
      </c>
      <c r="AY1254" s="2" t="str">
        <f>IF(Registered!AG1254=0,"",Registered!AG1254&amp;" DustMask")</f>
        <v/>
      </c>
    </row>
    <row r="1255" spans="1:51" customFormat="1" x14ac:dyDescent="0.25">
      <c r="A1255" t="s">
        <v>4895</v>
      </c>
      <c r="B1255" t="s">
        <v>362</v>
      </c>
      <c r="C1255" t="s">
        <v>6090</v>
      </c>
      <c r="G1255" t="s">
        <v>2582</v>
      </c>
      <c r="H1255" t="s">
        <v>4562</v>
      </c>
      <c r="I1255" t="s">
        <v>4563</v>
      </c>
      <c r="J1255" t="s">
        <v>37</v>
      </c>
      <c r="K1255" t="s">
        <v>32</v>
      </c>
      <c r="L1255" t="s">
        <v>35</v>
      </c>
      <c r="AQ1255">
        <v>0</v>
      </c>
      <c r="AR1255" s="3">
        <f t="shared" si="57"/>
        <v>0</v>
      </c>
      <c r="AS1255" s="3">
        <f t="shared" si="58"/>
        <v>0</v>
      </c>
      <c r="AT1255" s="3" t="str">
        <f>IF(OR(Registered!AM1255&gt;0,Registered!AO1255&gt;0),(IF(Registered!E1255=0,"Size Not Specified",Registered!E1255)),"")</f>
        <v/>
      </c>
      <c r="AU1255" s="3" t="str">
        <f>IF(Registered!AE1255=0,"",IF(Registered!AE1255=1,Registered!AE1255&amp;" Bandana",Registered!AE1255&amp;" Bandanas"))</f>
        <v/>
      </c>
      <c r="AV1255" s="3">
        <f t="shared" si="59"/>
        <v>0</v>
      </c>
      <c r="AW1255" s="2" t="str">
        <f>IF(Registered!AV1255=0,"",IF(Registered!AV1255=1,Registered!AV1255&amp;" Meal",Registered!AV1255&amp;" Meals"))</f>
        <v/>
      </c>
      <c r="AX1255" s="2" t="str">
        <f>IF(Registered!AI1255=0,"",Registered!AI1255&amp;" BG")</f>
        <v/>
      </c>
      <c r="AY1255" s="2" t="str">
        <f>IF(Registered!AG1255=0,"",Registered!AG1255&amp;" DustMask")</f>
        <v/>
      </c>
    </row>
    <row r="1256" spans="1:51" customFormat="1" x14ac:dyDescent="0.25">
      <c r="A1256" t="s">
        <v>4896</v>
      </c>
      <c r="B1256" t="s">
        <v>362</v>
      </c>
      <c r="C1256" t="s">
        <v>6090</v>
      </c>
      <c r="G1256" t="s">
        <v>78</v>
      </c>
      <c r="H1256" t="s">
        <v>1081</v>
      </c>
      <c r="I1256" t="s">
        <v>4122</v>
      </c>
      <c r="J1256" t="s">
        <v>37</v>
      </c>
      <c r="K1256" t="s">
        <v>32</v>
      </c>
      <c r="L1256" t="s">
        <v>35</v>
      </c>
      <c r="AQ1256">
        <v>0</v>
      </c>
      <c r="AR1256" s="3">
        <f t="shared" si="57"/>
        <v>0</v>
      </c>
      <c r="AS1256" s="3">
        <f t="shared" si="58"/>
        <v>0</v>
      </c>
      <c r="AT1256" s="3" t="str">
        <f>IF(OR(Registered!AM1256&gt;0,Registered!AO1256&gt;0),(IF(Registered!E1256=0,"Size Not Specified",Registered!E1256)),"")</f>
        <v/>
      </c>
      <c r="AU1256" s="3" t="str">
        <f>IF(Registered!AE1256=0,"",IF(Registered!AE1256=1,Registered!AE1256&amp;" Bandana",Registered!AE1256&amp;" Bandanas"))</f>
        <v/>
      </c>
      <c r="AV1256" s="3">
        <f t="shared" si="59"/>
        <v>0</v>
      </c>
      <c r="AW1256" s="2" t="str">
        <f>IF(Registered!AV1256=0,"",IF(Registered!AV1256=1,Registered!AV1256&amp;" Meal",Registered!AV1256&amp;" Meals"))</f>
        <v/>
      </c>
      <c r="AX1256" s="2" t="str">
        <f>IF(Registered!AI1256=0,"",Registered!AI1256&amp;" BG")</f>
        <v/>
      </c>
      <c r="AY1256" s="2" t="str">
        <f>IF(Registered!AG1256=0,"",Registered!AG1256&amp;" DustMask")</f>
        <v/>
      </c>
    </row>
    <row r="1257" spans="1:51" customFormat="1" x14ac:dyDescent="0.25">
      <c r="A1257" t="s">
        <v>1675</v>
      </c>
      <c r="B1257" t="s">
        <v>362</v>
      </c>
      <c r="C1257" t="s">
        <v>6090</v>
      </c>
      <c r="D1257" t="s">
        <v>1676</v>
      </c>
      <c r="F1257" t="s">
        <v>261</v>
      </c>
      <c r="I1257" t="s">
        <v>1677</v>
      </c>
      <c r="J1257" t="s">
        <v>37</v>
      </c>
      <c r="K1257" t="s">
        <v>32</v>
      </c>
      <c r="L1257" t="s">
        <v>35</v>
      </c>
      <c r="S1257">
        <v>1</v>
      </c>
      <c r="T1257">
        <v>3</v>
      </c>
      <c r="AC1257">
        <v>1</v>
      </c>
      <c r="AD1257">
        <v>10</v>
      </c>
      <c r="AQ1257">
        <v>13</v>
      </c>
      <c r="AR1257" s="3">
        <f t="shared" si="57"/>
        <v>5</v>
      </c>
      <c r="AS1257" s="3">
        <f t="shared" si="58"/>
        <v>0</v>
      </c>
      <c r="AT1257" s="3" t="str">
        <f>IF(OR(Registered!AM1257&gt;0,Registered!AO1257&gt;0),(IF(Registered!E1257=0,"Size Not Specified",Registered!E1257)),"")</f>
        <v/>
      </c>
      <c r="AU1257" s="3" t="str">
        <f>IF(Registered!AE1257=0,"",IF(Registered!AE1257=1,Registered!AE1257&amp;" Bandana",Registered!AE1257&amp;" Bandanas"))</f>
        <v/>
      </c>
      <c r="AV1257" s="3">
        <f t="shared" si="59"/>
        <v>0</v>
      </c>
      <c r="AW1257" s="2" t="str">
        <f>IF(Registered!AV1257=0,"",IF(Registered!AV1257=1,Registered!AV1257&amp;" Meal",Registered!AV1257&amp;" Meals"))</f>
        <v/>
      </c>
      <c r="AX1257" s="2" t="str">
        <f>IF(Registered!AI1257=0,"",Registered!AI1257&amp;" BG")</f>
        <v/>
      </c>
      <c r="AY1257" s="2" t="str">
        <f>IF(Registered!AG1257=0,"",Registered!AG1257&amp;" DustMask")</f>
        <v/>
      </c>
    </row>
    <row r="1258" spans="1:51" customFormat="1" x14ac:dyDescent="0.25">
      <c r="A1258" t="s">
        <v>3104</v>
      </c>
      <c r="B1258" t="s">
        <v>362</v>
      </c>
      <c r="C1258" t="s">
        <v>6090</v>
      </c>
      <c r="D1258" t="s">
        <v>3105</v>
      </c>
      <c r="F1258" t="s">
        <v>261</v>
      </c>
      <c r="I1258" t="s">
        <v>3106</v>
      </c>
      <c r="J1258" t="s">
        <v>37</v>
      </c>
      <c r="K1258" t="s">
        <v>32</v>
      </c>
      <c r="L1258" t="s">
        <v>35</v>
      </c>
      <c r="Q1258">
        <v>1</v>
      </c>
      <c r="R1258">
        <v>3</v>
      </c>
      <c r="AC1258">
        <v>1</v>
      </c>
      <c r="AD1258">
        <v>10</v>
      </c>
      <c r="AQ1258">
        <v>13</v>
      </c>
      <c r="AR1258" s="3">
        <f t="shared" si="57"/>
        <v>5</v>
      </c>
      <c r="AS1258" s="3">
        <f t="shared" si="58"/>
        <v>0</v>
      </c>
      <c r="AT1258" s="3" t="str">
        <f>IF(OR(Registered!AM1258&gt;0,Registered!AO1258&gt;0),(IF(Registered!E1258=0,"Size Not Specified",Registered!E1258)),"")</f>
        <v/>
      </c>
      <c r="AU1258" s="3" t="str">
        <f>IF(Registered!AE1258=0,"",IF(Registered!AE1258=1,Registered!AE1258&amp;" Bandana",Registered!AE1258&amp;" Bandanas"))</f>
        <v/>
      </c>
      <c r="AV1258" s="3">
        <f t="shared" si="59"/>
        <v>0</v>
      </c>
      <c r="AW1258" s="2" t="str">
        <f>IF(Registered!AV1258=0,"",IF(Registered!AV1258=1,Registered!AV1258&amp;" Meal",Registered!AV1258&amp;" Meals"))</f>
        <v/>
      </c>
      <c r="AX1258" s="2" t="str">
        <f>IF(Registered!AI1258=0,"",Registered!AI1258&amp;" BG")</f>
        <v/>
      </c>
      <c r="AY1258" s="2" t="str">
        <f>IF(Registered!AG1258=0,"",Registered!AG1258&amp;" DustMask")</f>
        <v/>
      </c>
    </row>
    <row r="1259" spans="1:51" customFormat="1" x14ac:dyDescent="0.25">
      <c r="A1259" t="s">
        <v>737</v>
      </c>
      <c r="B1259" t="s">
        <v>362</v>
      </c>
      <c r="C1259" t="s">
        <v>6090</v>
      </c>
      <c r="G1259" t="s">
        <v>229</v>
      </c>
      <c r="H1259" t="s">
        <v>4682</v>
      </c>
      <c r="I1259" t="s">
        <v>4683</v>
      </c>
      <c r="J1259" t="s">
        <v>37</v>
      </c>
      <c r="K1259" t="s">
        <v>32</v>
      </c>
      <c r="L1259" t="s">
        <v>35</v>
      </c>
      <c r="AQ1259">
        <v>0</v>
      </c>
      <c r="AR1259" s="3">
        <f t="shared" si="57"/>
        <v>0</v>
      </c>
      <c r="AS1259" s="3">
        <f t="shared" si="58"/>
        <v>0</v>
      </c>
      <c r="AT1259" s="3" t="str">
        <f>IF(OR(Registered!AM1259&gt;0,Registered!AO1259&gt;0),(IF(Registered!E1259=0,"Size Not Specified",Registered!E1259)),"")</f>
        <v/>
      </c>
      <c r="AU1259" s="3" t="str">
        <f>IF(Registered!AE1259=0,"",IF(Registered!AE1259=1,Registered!AE1259&amp;" Bandana",Registered!AE1259&amp;" Bandanas"))</f>
        <v/>
      </c>
      <c r="AV1259" s="3">
        <f t="shared" si="59"/>
        <v>0</v>
      </c>
      <c r="AW1259" s="2" t="str">
        <f>IF(Registered!AV1259=0,"",IF(Registered!AV1259=1,Registered!AV1259&amp;" Meal",Registered!AV1259&amp;" Meals"))</f>
        <v/>
      </c>
      <c r="AX1259" s="2" t="str">
        <f>IF(Registered!AI1259=0,"",Registered!AI1259&amp;" BG")</f>
        <v/>
      </c>
      <c r="AY1259" s="2" t="str">
        <f>IF(Registered!AG1259=0,"",Registered!AG1259&amp;" DustMask")</f>
        <v/>
      </c>
    </row>
    <row r="1260" spans="1:51" customFormat="1" x14ac:dyDescent="0.25">
      <c r="A1260" t="s">
        <v>240</v>
      </c>
      <c r="B1260" t="s">
        <v>362</v>
      </c>
      <c r="C1260" t="s">
        <v>6090</v>
      </c>
      <c r="D1260" t="s">
        <v>4903</v>
      </c>
      <c r="F1260" t="s">
        <v>261</v>
      </c>
      <c r="I1260" t="s">
        <v>4904</v>
      </c>
      <c r="J1260" t="s">
        <v>37</v>
      </c>
      <c r="K1260" t="s">
        <v>32</v>
      </c>
      <c r="L1260" t="s">
        <v>35</v>
      </c>
      <c r="Q1260">
        <v>1</v>
      </c>
      <c r="R1260">
        <v>3</v>
      </c>
      <c r="AC1260">
        <v>1</v>
      </c>
      <c r="AD1260">
        <v>10</v>
      </c>
      <c r="AQ1260">
        <v>13</v>
      </c>
      <c r="AR1260" s="3">
        <f t="shared" si="57"/>
        <v>5</v>
      </c>
      <c r="AS1260" s="3">
        <f t="shared" si="58"/>
        <v>0</v>
      </c>
      <c r="AT1260" s="3" t="str">
        <f>IF(OR(Registered!AM1260&gt;0,Registered!AO1260&gt;0),(IF(Registered!E1260=0,"Size Not Specified",Registered!E1260)),"")</f>
        <v/>
      </c>
      <c r="AU1260" s="3" t="str">
        <f>IF(Registered!AE1260=0,"",IF(Registered!AE1260=1,Registered!AE1260&amp;" Bandana",Registered!AE1260&amp;" Bandanas"))</f>
        <v/>
      </c>
      <c r="AV1260" s="3">
        <f t="shared" si="59"/>
        <v>0</v>
      </c>
      <c r="AW1260" s="2" t="str">
        <f>IF(Registered!AV1260=0,"",IF(Registered!AV1260=1,Registered!AV1260&amp;" Meal",Registered!AV1260&amp;" Meals"))</f>
        <v/>
      </c>
      <c r="AX1260" s="2" t="str">
        <f>IF(Registered!AI1260=0,"",Registered!AI1260&amp;" BG")</f>
        <v/>
      </c>
      <c r="AY1260" s="2" t="str">
        <f>IF(Registered!AG1260=0,"",Registered!AG1260&amp;" DustMask")</f>
        <v/>
      </c>
    </row>
    <row r="1261" spans="1:51" customFormat="1" x14ac:dyDescent="0.25">
      <c r="A1261" t="s">
        <v>4905</v>
      </c>
      <c r="B1261" t="s">
        <v>362</v>
      </c>
      <c r="C1261" t="s">
        <v>6090</v>
      </c>
      <c r="G1261" t="s">
        <v>642</v>
      </c>
      <c r="H1261" t="s">
        <v>4893</v>
      </c>
      <c r="I1261" t="s">
        <v>4894</v>
      </c>
      <c r="J1261" t="s">
        <v>37</v>
      </c>
      <c r="K1261" t="s">
        <v>32</v>
      </c>
      <c r="L1261" t="s">
        <v>35</v>
      </c>
      <c r="AQ1261">
        <v>0</v>
      </c>
      <c r="AR1261" s="3">
        <f t="shared" si="57"/>
        <v>0</v>
      </c>
      <c r="AS1261" s="3">
        <f t="shared" si="58"/>
        <v>0</v>
      </c>
      <c r="AT1261" s="3" t="str">
        <f>IF(OR(Registered!AM1261&gt;0,Registered!AO1261&gt;0),(IF(Registered!E1261=0,"Size Not Specified",Registered!E1261)),"")</f>
        <v/>
      </c>
      <c r="AU1261" s="3" t="str">
        <f>IF(Registered!AE1261=0,"",IF(Registered!AE1261=1,Registered!AE1261&amp;" Bandana",Registered!AE1261&amp;" Bandanas"))</f>
        <v/>
      </c>
      <c r="AV1261" s="3">
        <f t="shared" si="59"/>
        <v>0</v>
      </c>
      <c r="AW1261" s="2" t="str">
        <f>IF(Registered!AV1261=0,"",IF(Registered!AV1261=1,Registered!AV1261&amp;" Meal",Registered!AV1261&amp;" Meals"))</f>
        <v/>
      </c>
      <c r="AX1261" s="2" t="str">
        <f>IF(Registered!AI1261=0,"",Registered!AI1261&amp;" BG")</f>
        <v/>
      </c>
      <c r="AY1261" s="2" t="str">
        <f>IF(Registered!AG1261=0,"",Registered!AG1261&amp;" DustMask")</f>
        <v/>
      </c>
    </row>
    <row r="1262" spans="1:51" customFormat="1" x14ac:dyDescent="0.25">
      <c r="A1262" t="s">
        <v>121</v>
      </c>
      <c r="B1262" t="s">
        <v>362</v>
      </c>
      <c r="C1262" t="s">
        <v>6090</v>
      </c>
      <c r="G1262" t="s">
        <v>2959</v>
      </c>
      <c r="H1262" t="s">
        <v>362</v>
      </c>
      <c r="I1262" t="s">
        <v>4892</v>
      </c>
      <c r="J1262" t="s">
        <v>37</v>
      </c>
      <c r="K1262" t="s">
        <v>32</v>
      </c>
      <c r="L1262" t="s">
        <v>35</v>
      </c>
      <c r="AQ1262">
        <v>0</v>
      </c>
      <c r="AR1262" s="3">
        <f t="shared" si="57"/>
        <v>0</v>
      </c>
      <c r="AS1262" s="3">
        <f t="shared" si="58"/>
        <v>0</v>
      </c>
      <c r="AT1262" s="3" t="str">
        <f>IF(OR(Registered!AM1262&gt;0,Registered!AO1262&gt;0),(IF(Registered!E1262=0,"Size Not Specified",Registered!E1262)),"")</f>
        <v/>
      </c>
      <c r="AU1262" s="3" t="str">
        <f>IF(Registered!AE1262=0,"",IF(Registered!AE1262=1,Registered!AE1262&amp;" Bandana",Registered!AE1262&amp;" Bandanas"))</f>
        <v/>
      </c>
      <c r="AV1262" s="3">
        <f t="shared" si="59"/>
        <v>0</v>
      </c>
      <c r="AW1262" s="2" t="str">
        <f>IF(Registered!AV1262=0,"",IF(Registered!AV1262=1,Registered!AV1262&amp;" Meal",Registered!AV1262&amp;" Meals"))</f>
        <v/>
      </c>
      <c r="AX1262" s="2" t="str">
        <f>IF(Registered!AI1262=0,"",Registered!AI1262&amp;" BG")</f>
        <v/>
      </c>
      <c r="AY1262" s="2" t="str">
        <f>IF(Registered!AG1262=0,"",Registered!AG1262&amp;" DustMask")</f>
        <v/>
      </c>
    </row>
    <row r="1263" spans="1:51" customFormat="1" x14ac:dyDescent="0.25">
      <c r="A1263" t="s">
        <v>284</v>
      </c>
      <c r="B1263" t="s">
        <v>362</v>
      </c>
      <c r="C1263" t="s">
        <v>6090</v>
      </c>
      <c r="G1263" t="s">
        <v>255</v>
      </c>
      <c r="H1263" t="s">
        <v>1078</v>
      </c>
      <c r="I1263" t="s">
        <v>1678</v>
      </c>
      <c r="J1263" t="s">
        <v>37</v>
      </c>
      <c r="K1263" t="s">
        <v>32</v>
      </c>
      <c r="L1263" t="s">
        <v>35</v>
      </c>
      <c r="AQ1263">
        <v>0</v>
      </c>
      <c r="AR1263" s="3">
        <f t="shared" si="57"/>
        <v>0</v>
      </c>
      <c r="AS1263" s="3">
        <f t="shared" si="58"/>
        <v>0</v>
      </c>
      <c r="AT1263" s="3" t="str">
        <f>IF(OR(Registered!AM1263&gt;0,Registered!AO1263&gt;0),(IF(Registered!E1263=0,"Size Not Specified",Registered!E1263)),"")</f>
        <v/>
      </c>
      <c r="AU1263" s="3" t="str">
        <f>IF(Registered!AE1263=0,"",IF(Registered!AE1263=1,Registered!AE1263&amp;" Bandana",Registered!AE1263&amp;" Bandanas"))</f>
        <v/>
      </c>
      <c r="AV1263" s="3">
        <f t="shared" si="59"/>
        <v>0</v>
      </c>
      <c r="AW1263" s="2" t="str">
        <f>IF(Registered!AV1263=0,"",IF(Registered!AV1263=1,Registered!AV1263&amp;" Meal",Registered!AV1263&amp;" Meals"))</f>
        <v/>
      </c>
      <c r="AX1263" s="2" t="str">
        <f>IF(Registered!AI1263=0,"",Registered!AI1263&amp;" BG")</f>
        <v/>
      </c>
      <c r="AY1263" s="2" t="str">
        <f>IF(Registered!AG1263=0,"",Registered!AG1263&amp;" DustMask")</f>
        <v/>
      </c>
    </row>
    <row r="1264" spans="1:51" customFormat="1" x14ac:dyDescent="0.25">
      <c r="A1264" t="s">
        <v>4208</v>
      </c>
      <c r="B1264" t="s">
        <v>362</v>
      </c>
      <c r="C1264" t="s">
        <v>6090</v>
      </c>
      <c r="G1264" t="s">
        <v>2582</v>
      </c>
      <c r="H1264" t="s">
        <v>4562</v>
      </c>
      <c r="I1264" t="s">
        <v>4563</v>
      </c>
      <c r="J1264" t="s">
        <v>37</v>
      </c>
      <c r="K1264" t="s">
        <v>32</v>
      </c>
      <c r="L1264" t="s">
        <v>35</v>
      </c>
      <c r="AQ1264">
        <v>0</v>
      </c>
      <c r="AR1264" s="3">
        <f t="shared" si="57"/>
        <v>0</v>
      </c>
      <c r="AS1264" s="3">
        <f t="shared" si="58"/>
        <v>0</v>
      </c>
      <c r="AT1264" s="3" t="str">
        <f>IF(OR(Registered!AM1264&gt;0,Registered!AO1264&gt;0),(IF(Registered!E1264=0,"Size Not Specified",Registered!E1264)),"")</f>
        <v/>
      </c>
      <c r="AU1264" s="3" t="str">
        <f>IF(Registered!AE1264=0,"",IF(Registered!AE1264=1,Registered!AE1264&amp;" Bandana",Registered!AE1264&amp;" Bandanas"))</f>
        <v/>
      </c>
      <c r="AV1264" s="3">
        <f t="shared" si="59"/>
        <v>0</v>
      </c>
      <c r="AW1264" s="2" t="str">
        <f>IF(Registered!AV1264=0,"",IF(Registered!AV1264=1,Registered!AV1264&amp;" Meal",Registered!AV1264&amp;" Meals"))</f>
        <v/>
      </c>
      <c r="AX1264" s="2" t="str">
        <f>IF(Registered!AI1264=0,"",Registered!AI1264&amp;" BG")</f>
        <v/>
      </c>
      <c r="AY1264" s="2" t="str">
        <f>IF(Registered!AG1264=0,"",Registered!AG1264&amp;" DustMask")</f>
        <v/>
      </c>
    </row>
    <row r="1265" spans="1:51" customFormat="1" x14ac:dyDescent="0.25">
      <c r="A1265" t="s">
        <v>1679</v>
      </c>
      <c r="B1265" t="s">
        <v>362</v>
      </c>
      <c r="C1265" t="s">
        <v>6090</v>
      </c>
      <c r="F1265" t="s">
        <v>261</v>
      </c>
      <c r="I1265" t="s">
        <v>1680</v>
      </c>
      <c r="J1265" t="s">
        <v>37</v>
      </c>
      <c r="K1265" t="s">
        <v>32</v>
      </c>
      <c r="L1265" t="s">
        <v>35</v>
      </c>
      <c r="S1265">
        <v>1</v>
      </c>
      <c r="T1265">
        <v>3</v>
      </c>
      <c r="AC1265">
        <v>1</v>
      </c>
      <c r="AD1265">
        <v>10</v>
      </c>
      <c r="AQ1265">
        <v>13</v>
      </c>
      <c r="AR1265" s="3">
        <f t="shared" si="57"/>
        <v>5</v>
      </c>
      <c r="AS1265" s="3">
        <f t="shared" si="58"/>
        <v>0</v>
      </c>
      <c r="AT1265" s="3" t="str">
        <f>IF(OR(Registered!AM1265&gt;0,Registered!AO1265&gt;0),(IF(Registered!E1265=0,"Size Not Specified",Registered!E1265)),"")</f>
        <v/>
      </c>
      <c r="AU1265" s="3" t="str">
        <f>IF(Registered!AE1265=0,"",IF(Registered!AE1265=1,Registered!AE1265&amp;" Bandana",Registered!AE1265&amp;" Bandanas"))</f>
        <v/>
      </c>
      <c r="AV1265" s="3">
        <f t="shared" si="59"/>
        <v>0</v>
      </c>
      <c r="AW1265" s="2" t="str">
        <f>IF(Registered!AV1265=0,"",IF(Registered!AV1265=1,Registered!AV1265&amp;" Meal",Registered!AV1265&amp;" Meals"))</f>
        <v/>
      </c>
      <c r="AX1265" s="2" t="str">
        <f>IF(Registered!AI1265=0,"",Registered!AI1265&amp;" BG")</f>
        <v/>
      </c>
      <c r="AY1265" s="2" t="str">
        <f>IF(Registered!AG1265=0,"",Registered!AG1265&amp;" DustMask")</f>
        <v/>
      </c>
    </row>
    <row r="1266" spans="1:51" customFormat="1" x14ac:dyDescent="0.25">
      <c r="A1266" t="s">
        <v>770</v>
      </c>
      <c r="B1266" t="s">
        <v>362</v>
      </c>
      <c r="C1266" t="s">
        <v>6090</v>
      </c>
      <c r="D1266" t="s">
        <v>4906</v>
      </c>
      <c r="E1266" t="s">
        <v>201</v>
      </c>
      <c r="F1266" t="s">
        <v>261</v>
      </c>
      <c r="I1266" t="s">
        <v>4907</v>
      </c>
      <c r="J1266" t="s">
        <v>37</v>
      </c>
      <c r="K1266" t="s">
        <v>32</v>
      </c>
      <c r="L1266" t="s">
        <v>35</v>
      </c>
      <c r="Q1266">
        <v>1</v>
      </c>
      <c r="R1266">
        <v>3</v>
      </c>
      <c r="AC1266">
        <v>1</v>
      </c>
      <c r="AD1266">
        <v>10</v>
      </c>
      <c r="AE1266">
        <v>1</v>
      </c>
      <c r="AF1266">
        <v>6</v>
      </c>
      <c r="AI1266">
        <v>1</v>
      </c>
      <c r="AJ1266">
        <v>10</v>
      </c>
      <c r="AO1266">
        <v>1</v>
      </c>
      <c r="AP1266">
        <v>10</v>
      </c>
      <c r="AQ1266">
        <v>39</v>
      </c>
      <c r="AR1266" s="3">
        <f t="shared" si="57"/>
        <v>5</v>
      </c>
      <c r="AS1266" s="3">
        <f t="shared" si="58"/>
        <v>1</v>
      </c>
      <c r="AT1266" s="3" t="str">
        <f>IF(OR(Registered!AM1266&gt;0,Registered!AO1266&gt;0),(IF(Registered!E1266=0,"Size Not Specified",Registered!E1266)),"")</f>
        <v>XL</v>
      </c>
      <c r="AU1266" s="3" t="str">
        <f>IF(Registered!AE1266=0,"",IF(Registered!AE1266=1,Registered!AE1266&amp;" Bandana",Registered!AE1266&amp;" Bandanas"))</f>
        <v>1 Bandana</v>
      </c>
      <c r="AV1266" s="3">
        <f t="shared" si="59"/>
        <v>0</v>
      </c>
      <c r="AW1266" s="2" t="str">
        <f>IF(Registered!AV1266=0,"",IF(Registered!AV1266=1,Registered!AV1266&amp;" Meal",Registered!AV1266&amp;" Meals"))</f>
        <v/>
      </c>
      <c r="AX1266" s="2" t="str">
        <f>IF(Registered!AI1266=0,"",Registered!AI1266&amp;" BG")</f>
        <v>1 BG</v>
      </c>
      <c r="AY1266" s="2" t="str">
        <f>IF(Registered!AG1266=0,"",Registered!AG1266&amp;" DustMask")</f>
        <v/>
      </c>
    </row>
    <row r="1267" spans="1:51" customFormat="1" x14ac:dyDescent="0.25">
      <c r="A1267" t="s">
        <v>1437</v>
      </c>
      <c r="B1267" t="s">
        <v>362</v>
      </c>
      <c r="C1267" t="s">
        <v>6090</v>
      </c>
      <c r="G1267" t="s">
        <v>357</v>
      </c>
      <c r="H1267" t="s">
        <v>470</v>
      </c>
      <c r="I1267" t="s">
        <v>4908</v>
      </c>
      <c r="J1267" t="s">
        <v>37</v>
      </c>
      <c r="K1267" t="s">
        <v>32</v>
      </c>
      <c r="L1267" t="s">
        <v>35</v>
      </c>
      <c r="AQ1267">
        <v>0</v>
      </c>
      <c r="AR1267" s="3">
        <f t="shared" si="57"/>
        <v>0</v>
      </c>
      <c r="AS1267" s="3">
        <f t="shared" si="58"/>
        <v>0</v>
      </c>
      <c r="AT1267" s="3" t="str">
        <f>IF(OR(Registered!AM1267&gt;0,Registered!AO1267&gt;0),(IF(Registered!E1267=0,"Size Not Specified",Registered!E1267)),"")</f>
        <v/>
      </c>
      <c r="AU1267" s="3" t="str">
        <f>IF(Registered!AE1267=0,"",IF(Registered!AE1267=1,Registered!AE1267&amp;" Bandana",Registered!AE1267&amp;" Bandanas"))</f>
        <v/>
      </c>
      <c r="AV1267" s="3">
        <f t="shared" si="59"/>
        <v>0</v>
      </c>
      <c r="AW1267" s="2" t="str">
        <f>IF(Registered!AV1267=0,"",IF(Registered!AV1267=1,Registered!AV1267&amp;" Meal",Registered!AV1267&amp;" Meals"))</f>
        <v/>
      </c>
      <c r="AX1267" s="2" t="str">
        <f>IF(Registered!AI1267=0,"",Registered!AI1267&amp;" BG")</f>
        <v/>
      </c>
      <c r="AY1267" s="2" t="str">
        <f>IF(Registered!AG1267=0,"",Registered!AG1267&amp;" DustMask")</f>
        <v/>
      </c>
    </row>
    <row r="1268" spans="1:51" customFormat="1" x14ac:dyDescent="0.25">
      <c r="A1268" t="s">
        <v>253</v>
      </c>
      <c r="B1268" t="s">
        <v>362</v>
      </c>
      <c r="C1268" t="s">
        <v>6090</v>
      </c>
      <c r="G1268" t="s">
        <v>107</v>
      </c>
      <c r="H1268" t="s">
        <v>362</v>
      </c>
      <c r="I1268" t="s">
        <v>1673</v>
      </c>
      <c r="J1268" t="s">
        <v>37</v>
      </c>
      <c r="K1268" t="s">
        <v>32</v>
      </c>
      <c r="L1268" t="s">
        <v>35</v>
      </c>
      <c r="AQ1268">
        <v>0</v>
      </c>
      <c r="AR1268" s="3">
        <f t="shared" si="57"/>
        <v>0</v>
      </c>
      <c r="AS1268" s="3">
        <f t="shared" si="58"/>
        <v>0</v>
      </c>
      <c r="AT1268" s="3" t="str">
        <f>IF(OR(Registered!AM1268&gt;0,Registered!AO1268&gt;0),(IF(Registered!E1268=0,"Size Not Specified",Registered!E1268)),"")</f>
        <v/>
      </c>
      <c r="AU1268" s="3" t="str">
        <f>IF(Registered!AE1268=0,"",IF(Registered!AE1268=1,Registered!AE1268&amp;" Bandana",Registered!AE1268&amp;" Bandanas"))</f>
        <v/>
      </c>
      <c r="AV1268" s="3">
        <f t="shared" si="59"/>
        <v>0</v>
      </c>
      <c r="AW1268" s="2" t="str">
        <f>IF(Registered!AV1268=0,"",IF(Registered!AV1268=1,Registered!AV1268&amp;" Meal",Registered!AV1268&amp;" Meals"))</f>
        <v/>
      </c>
      <c r="AX1268" s="2" t="str">
        <f>IF(Registered!AI1268=0,"",Registered!AI1268&amp;" BG")</f>
        <v/>
      </c>
      <c r="AY1268" s="2" t="str">
        <f>IF(Registered!AG1268=0,"",Registered!AG1268&amp;" DustMask")</f>
        <v/>
      </c>
    </row>
    <row r="1269" spans="1:51" customFormat="1" x14ac:dyDescent="0.25">
      <c r="A1269" t="s">
        <v>3107</v>
      </c>
      <c r="B1269" t="s">
        <v>362</v>
      </c>
      <c r="C1269" t="s">
        <v>6090</v>
      </c>
      <c r="D1269" t="s">
        <v>3108</v>
      </c>
      <c r="E1269" t="s">
        <v>65</v>
      </c>
      <c r="F1269" t="s">
        <v>261</v>
      </c>
      <c r="I1269" t="s">
        <v>3109</v>
      </c>
      <c r="J1269" t="s">
        <v>37</v>
      </c>
      <c r="K1269" t="s">
        <v>32</v>
      </c>
      <c r="L1269" t="s">
        <v>35</v>
      </c>
      <c r="Q1269">
        <v>1</v>
      </c>
      <c r="R1269">
        <v>3</v>
      </c>
      <c r="AC1269">
        <v>1</v>
      </c>
      <c r="AD1269">
        <v>10</v>
      </c>
      <c r="AK1269">
        <v>1</v>
      </c>
      <c r="AL1269">
        <v>6</v>
      </c>
      <c r="AQ1269">
        <v>19</v>
      </c>
      <c r="AR1269" s="3">
        <f t="shared" si="57"/>
        <v>5</v>
      </c>
      <c r="AS1269" s="3">
        <f t="shared" si="58"/>
        <v>0</v>
      </c>
      <c r="AT1269" s="3" t="str">
        <f>IF(OR(Registered!AM1269&gt;0,Registered!AO1269&gt;0),(IF(Registered!E1269=0,"Size Not Specified",Registered!E1269)),"")</f>
        <v/>
      </c>
      <c r="AU1269" s="3" t="str">
        <f>IF(Registered!AE1269=0,"",IF(Registered!AE1269=1,Registered!AE1269&amp;" Bandana",Registered!AE1269&amp;" Bandanas"))</f>
        <v/>
      </c>
      <c r="AV1269" s="3">
        <f t="shared" si="59"/>
        <v>1</v>
      </c>
      <c r="AW1269" s="2" t="str">
        <f>IF(Registered!AV1269=0,"",IF(Registered!AV1269=1,Registered!AV1269&amp;" Meal",Registered!AV1269&amp;" Meals"))</f>
        <v>1 Meal</v>
      </c>
      <c r="AX1269" s="2" t="str">
        <f>IF(Registered!AI1269=0,"",Registered!AI1269&amp;" BG")</f>
        <v/>
      </c>
      <c r="AY1269" s="2" t="str">
        <f>IF(Registered!AG1269=0,"",Registered!AG1269&amp;" DustMask")</f>
        <v/>
      </c>
    </row>
    <row r="1270" spans="1:51" customFormat="1" x14ac:dyDescent="0.25">
      <c r="A1270" t="s">
        <v>2055</v>
      </c>
      <c r="B1270" t="s">
        <v>362</v>
      </c>
      <c r="C1270" t="s">
        <v>6090</v>
      </c>
      <c r="D1270" t="s">
        <v>3110</v>
      </c>
      <c r="F1270" t="s">
        <v>261</v>
      </c>
      <c r="I1270" t="s">
        <v>3054</v>
      </c>
      <c r="J1270" t="s">
        <v>37</v>
      </c>
      <c r="K1270" t="s">
        <v>32</v>
      </c>
      <c r="L1270" t="s">
        <v>35</v>
      </c>
      <c r="Q1270">
        <v>2</v>
      </c>
      <c r="R1270">
        <v>3</v>
      </c>
      <c r="U1270">
        <v>1</v>
      </c>
      <c r="V1270">
        <v>20</v>
      </c>
      <c r="AG1270">
        <v>3</v>
      </c>
      <c r="AH1270">
        <v>1</v>
      </c>
      <c r="AQ1270">
        <v>29</v>
      </c>
      <c r="AR1270" s="3">
        <f t="shared" si="57"/>
        <v>10</v>
      </c>
      <c r="AS1270" s="3">
        <f t="shared" si="58"/>
        <v>0</v>
      </c>
      <c r="AT1270" s="3" t="str">
        <f>IF(OR(Registered!AM1270&gt;0,Registered!AO1270&gt;0),(IF(Registered!E1270=0,"Size Not Specified",Registered!E1270)),"")</f>
        <v/>
      </c>
      <c r="AU1270" s="3" t="str">
        <f>IF(Registered!AE1270=0,"",IF(Registered!AE1270=1,Registered!AE1270&amp;" Bandana",Registered!AE1270&amp;" Bandanas"))</f>
        <v/>
      </c>
      <c r="AV1270" s="3">
        <f t="shared" si="59"/>
        <v>0</v>
      </c>
      <c r="AW1270" s="2" t="str">
        <f>IF(Registered!AV1270=0,"",IF(Registered!AV1270=1,Registered!AV1270&amp;" Meal",Registered!AV1270&amp;" Meals"))</f>
        <v/>
      </c>
      <c r="AX1270" s="2" t="str">
        <f>IF(Registered!AI1270=0,"",Registered!AI1270&amp;" BG")</f>
        <v/>
      </c>
      <c r="AY1270" s="2" t="str">
        <f>IF(Registered!AG1270=0,"",Registered!AG1270&amp;" DustMask")</f>
        <v>3 DustMask</v>
      </c>
    </row>
    <row r="1271" spans="1:51" customFormat="1" x14ac:dyDescent="0.25">
      <c r="A1271" t="s">
        <v>62</v>
      </c>
      <c r="B1271" t="s">
        <v>4909</v>
      </c>
      <c r="C1271" t="s">
        <v>6090</v>
      </c>
      <c r="G1271" t="s">
        <v>563</v>
      </c>
      <c r="H1271" t="s">
        <v>4177</v>
      </c>
      <c r="I1271" t="s">
        <v>4179</v>
      </c>
      <c r="J1271" t="s">
        <v>37</v>
      </c>
      <c r="K1271" t="s">
        <v>32</v>
      </c>
      <c r="L1271" t="s">
        <v>35</v>
      </c>
      <c r="AQ1271">
        <v>0</v>
      </c>
      <c r="AR1271" s="3">
        <f t="shared" si="57"/>
        <v>0</v>
      </c>
      <c r="AS1271" s="3">
        <f t="shared" si="58"/>
        <v>0</v>
      </c>
      <c r="AT1271" s="3" t="str">
        <f>IF(OR(Registered!AM1271&gt;0,Registered!AO1271&gt;0),(IF(Registered!E1271=0,"Size Not Specified",Registered!E1271)),"")</f>
        <v/>
      </c>
      <c r="AU1271" s="3" t="str">
        <f>IF(Registered!AE1271=0,"",IF(Registered!AE1271=1,Registered!AE1271&amp;" Bandana",Registered!AE1271&amp;" Bandanas"))</f>
        <v/>
      </c>
      <c r="AV1271" s="3">
        <f t="shared" si="59"/>
        <v>0</v>
      </c>
      <c r="AW1271" s="2" t="str">
        <f>IF(Registered!AV1271=0,"",IF(Registered!AV1271=1,Registered!AV1271&amp;" Meal",Registered!AV1271&amp;" Meals"))</f>
        <v/>
      </c>
      <c r="AX1271" s="2" t="str">
        <f>IF(Registered!AI1271=0,"",Registered!AI1271&amp;" BG")</f>
        <v/>
      </c>
      <c r="AY1271" s="2" t="str">
        <f>IF(Registered!AG1271=0,"",Registered!AG1271&amp;" DustMask")</f>
        <v/>
      </c>
    </row>
    <row r="1272" spans="1:51" customFormat="1" x14ac:dyDescent="0.25">
      <c r="A1272" t="s">
        <v>403</v>
      </c>
      <c r="B1272" t="s">
        <v>4909</v>
      </c>
      <c r="C1272" t="s">
        <v>6090</v>
      </c>
      <c r="D1272" t="s">
        <v>4910</v>
      </c>
      <c r="E1272" t="s">
        <v>65</v>
      </c>
      <c r="F1272" t="s">
        <v>261</v>
      </c>
      <c r="I1272" t="s">
        <v>4911</v>
      </c>
      <c r="J1272" t="s">
        <v>37</v>
      </c>
      <c r="K1272" t="s">
        <v>32</v>
      </c>
      <c r="L1272" t="s">
        <v>35</v>
      </c>
      <c r="Q1272">
        <v>1</v>
      </c>
      <c r="R1272">
        <v>3</v>
      </c>
      <c r="U1272">
        <v>1</v>
      </c>
      <c r="V1272">
        <v>20</v>
      </c>
      <c r="AG1272">
        <v>1</v>
      </c>
      <c r="AH1272">
        <v>1</v>
      </c>
      <c r="AK1272">
        <v>1</v>
      </c>
      <c r="AL1272">
        <v>6</v>
      </c>
      <c r="AQ1272">
        <v>30</v>
      </c>
      <c r="AR1272" s="3">
        <f t="shared" si="57"/>
        <v>10</v>
      </c>
      <c r="AS1272" s="3">
        <f t="shared" si="58"/>
        <v>0</v>
      </c>
      <c r="AT1272" s="3" t="str">
        <f>IF(OR(Registered!AM1272&gt;0,Registered!AO1272&gt;0),(IF(Registered!E1272=0,"Size Not Specified",Registered!E1272)),"")</f>
        <v/>
      </c>
      <c r="AU1272" s="3" t="str">
        <f>IF(Registered!AE1272=0,"",IF(Registered!AE1272=1,Registered!AE1272&amp;" Bandana",Registered!AE1272&amp;" Bandanas"))</f>
        <v/>
      </c>
      <c r="AV1272" s="3">
        <f t="shared" si="59"/>
        <v>1</v>
      </c>
      <c r="AW1272" s="2" t="str">
        <f>IF(Registered!AV1272=0,"",IF(Registered!AV1272=1,Registered!AV1272&amp;" Meal",Registered!AV1272&amp;" Meals"))</f>
        <v>1 Meal</v>
      </c>
      <c r="AX1272" s="2" t="str">
        <f>IF(Registered!AI1272=0,"",Registered!AI1272&amp;" BG")</f>
        <v/>
      </c>
      <c r="AY1272" s="2" t="str">
        <f>IF(Registered!AG1272=0,"",Registered!AG1272&amp;" DustMask")</f>
        <v>1 DustMask</v>
      </c>
    </row>
    <row r="1273" spans="1:51" customFormat="1" x14ac:dyDescent="0.25">
      <c r="A1273" t="s">
        <v>1681</v>
      </c>
      <c r="B1273" t="s">
        <v>1682</v>
      </c>
      <c r="C1273" t="s">
        <v>6090</v>
      </c>
      <c r="G1273" t="s">
        <v>357</v>
      </c>
      <c r="H1273" t="s">
        <v>913</v>
      </c>
      <c r="I1273" t="s">
        <v>915</v>
      </c>
      <c r="J1273" t="s">
        <v>37</v>
      </c>
      <c r="K1273" t="s">
        <v>32</v>
      </c>
      <c r="L1273" t="s">
        <v>35</v>
      </c>
      <c r="AQ1273">
        <v>0</v>
      </c>
      <c r="AR1273" s="3">
        <f t="shared" si="57"/>
        <v>0</v>
      </c>
      <c r="AS1273" s="3">
        <f t="shared" si="58"/>
        <v>0</v>
      </c>
      <c r="AT1273" s="3" t="str">
        <f>IF(OR(Registered!AM1273&gt;0,Registered!AO1273&gt;0),(IF(Registered!E1273=0,"Size Not Specified",Registered!E1273)),"")</f>
        <v/>
      </c>
      <c r="AU1273" s="3" t="str">
        <f>IF(Registered!AE1273=0,"",IF(Registered!AE1273=1,Registered!AE1273&amp;" Bandana",Registered!AE1273&amp;" Bandanas"))</f>
        <v/>
      </c>
      <c r="AV1273" s="3">
        <f t="shared" si="59"/>
        <v>0</v>
      </c>
      <c r="AW1273" s="2" t="str">
        <f>IF(Registered!AV1273=0,"",IF(Registered!AV1273=1,Registered!AV1273&amp;" Meal",Registered!AV1273&amp;" Meals"))</f>
        <v/>
      </c>
      <c r="AX1273" s="2" t="str">
        <f>IF(Registered!AI1273=0,"",Registered!AI1273&amp;" BG")</f>
        <v/>
      </c>
      <c r="AY1273" s="2" t="str">
        <f>IF(Registered!AG1273=0,"",Registered!AG1273&amp;" DustMask")</f>
        <v/>
      </c>
    </row>
    <row r="1274" spans="1:51" customFormat="1" x14ac:dyDescent="0.25">
      <c r="A1274" t="s">
        <v>233</v>
      </c>
      <c r="B1274" t="s">
        <v>1682</v>
      </c>
      <c r="C1274" t="s">
        <v>6090</v>
      </c>
      <c r="G1274" t="s">
        <v>131</v>
      </c>
      <c r="H1274" t="s">
        <v>1142</v>
      </c>
      <c r="I1274" t="s">
        <v>1683</v>
      </c>
      <c r="J1274" t="s">
        <v>37</v>
      </c>
      <c r="K1274" t="s">
        <v>32</v>
      </c>
      <c r="L1274" t="s">
        <v>35</v>
      </c>
      <c r="AQ1274">
        <v>0</v>
      </c>
      <c r="AR1274" s="3">
        <f t="shared" si="57"/>
        <v>0</v>
      </c>
      <c r="AS1274" s="3">
        <f t="shared" si="58"/>
        <v>0</v>
      </c>
      <c r="AT1274" s="3" t="str">
        <f>IF(OR(Registered!AM1274&gt;0,Registered!AO1274&gt;0),(IF(Registered!E1274=0,"Size Not Specified",Registered!E1274)),"")</f>
        <v/>
      </c>
      <c r="AU1274" s="3" t="str">
        <f>IF(Registered!AE1274=0,"",IF(Registered!AE1274=1,Registered!AE1274&amp;" Bandana",Registered!AE1274&amp;" Bandanas"))</f>
        <v/>
      </c>
      <c r="AV1274" s="3">
        <f t="shared" si="59"/>
        <v>0</v>
      </c>
      <c r="AW1274" s="2" t="str">
        <f>IF(Registered!AV1274=0,"",IF(Registered!AV1274=1,Registered!AV1274&amp;" Meal",Registered!AV1274&amp;" Meals"))</f>
        <v/>
      </c>
      <c r="AX1274" s="2" t="str">
        <f>IF(Registered!AI1274=0,"",Registered!AI1274&amp;" BG")</f>
        <v/>
      </c>
      <c r="AY1274" s="2" t="str">
        <f>IF(Registered!AG1274=0,"",Registered!AG1274&amp;" DustMask")</f>
        <v/>
      </c>
    </row>
    <row r="1275" spans="1:51" customFormat="1" x14ac:dyDescent="0.25">
      <c r="A1275" t="s">
        <v>317</v>
      </c>
      <c r="B1275" t="s">
        <v>209</v>
      </c>
      <c r="C1275" t="s">
        <v>6090</v>
      </c>
      <c r="D1275" t="s">
        <v>1684</v>
      </c>
      <c r="F1275" t="s">
        <v>261</v>
      </c>
      <c r="I1275" t="s">
        <v>1562</v>
      </c>
      <c r="J1275" t="s">
        <v>37</v>
      </c>
      <c r="K1275" t="s">
        <v>32</v>
      </c>
      <c r="L1275" t="s">
        <v>35</v>
      </c>
      <c r="S1275">
        <v>2</v>
      </c>
      <c r="T1275">
        <v>3</v>
      </c>
      <c r="AC1275">
        <v>2</v>
      </c>
      <c r="AD1275">
        <v>10</v>
      </c>
      <c r="AQ1275">
        <v>26</v>
      </c>
      <c r="AR1275" s="3">
        <f t="shared" si="57"/>
        <v>10</v>
      </c>
      <c r="AS1275" s="3">
        <f t="shared" si="58"/>
        <v>0</v>
      </c>
      <c r="AT1275" s="3" t="str">
        <f>IF(OR(Registered!AM1275&gt;0,Registered!AO1275&gt;0),(IF(Registered!E1275=0,"Size Not Specified",Registered!E1275)),"")</f>
        <v/>
      </c>
      <c r="AU1275" s="3" t="str">
        <f>IF(Registered!AE1275=0,"",IF(Registered!AE1275=1,Registered!AE1275&amp;" Bandana",Registered!AE1275&amp;" Bandanas"))</f>
        <v/>
      </c>
      <c r="AV1275" s="3">
        <f t="shared" si="59"/>
        <v>0</v>
      </c>
      <c r="AW1275" s="2" t="str">
        <f>IF(Registered!AV1275=0,"",IF(Registered!AV1275=1,Registered!AV1275&amp;" Meal",Registered!AV1275&amp;" Meals"))</f>
        <v/>
      </c>
      <c r="AX1275" s="2" t="str">
        <f>IF(Registered!AI1275=0,"",Registered!AI1275&amp;" BG")</f>
        <v/>
      </c>
      <c r="AY1275" s="2" t="str">
        <f>IF(Registered!AG1275=0,"",Registered!AG1275&amp;" DustMask")</f>
        <v/>
      </c>
    </row>
    <row r="1276" spans="1:51" customFormat="1" x14ac:dyDescent="0.25">
      <c r="A1276" t="s">
        <v>464</v>
      </c>
      <c r="B1276" t="s">
        <v>209</v>
      </c>
      <c r="C1276" t="s">
        <v>6090</v>
      </c>
      <c r="G1276" t="s">
        <v>163</v>
      </c>
      <c r="H1276" t="s">
        <v>1598</v>
      </c>
      <c r="I1276" t="s">
        <v>1600</v>
      </c>
      <c r="J1276" t="s">
        <v>37</v>
      </c>
      <c r="K1276" t="s">
        <v>32</v>
      </c>
      <c r="L1276" t="s">
        <v>35</v>
      </c>
      <c r="AQ1276">
        <v>0</v>
      </c>
      <c r="AR1276" s="3">
        <f t="shared" si="57"/>
        <v>0</v>
      </c>
      <c r="AS1276" s="3">
        <f t="shared" si="58"/>
        <v>0</v>
      </c>
      <c r="AT1276" s="3" t="str">
        <f>IF(OR(Registered!AM1276&gt;0,Registered!AO1276&gt;0),(IF(Registered!E1276=0,"Size Not Specified",Registered!E1276)),"")</f>
        <v/>
      </c>
      <c r="AU1276" s="3" t="str">
        <f>IF(Registered!AE1276=0,"",IF(Registered!AE1276=1,Registered!AE1276&amp;" Bandana",Registered!AE1276&amp;" Bandanas"))</f>
        <v/>
      </c>
      <c r="AV1276" s="3">
        <f t="shared" si="59"/>
        <v>0</v>
      </c>
      <c r="AW1276" s="2" t="str">
        <f>IF(Registered!AV1276=0,"",IF(Registered!AV1276=1,Registered!AV1276&amp;" Meal",Registered!AV1276&amp;" Meals"))</f>
        <v/>
      </c>
      <c r="AX1276" s="2" t="str">
        <f>IF(Registered!AI1276=0,"",Registered!AI1276&amp;" BG")</f>
        <v/>
      </c>
      <c r="AY1276" s="2" t="str">
        <f>IF(Registered!AG1276=0,"",Registered!AG1276&amp;" DustMask")</f>
        <v/>
      </c>
    </row>
    <row r="1277" spans="1:51" customFormat="1" x14ac:dyDescent="0.25">
      <c r="A1277" t="s">
        <v>4913</v>
      </c>
      <c r="B1277" t="s">
        <v>209</v>
      </c>
      <c r="C1277" t="s">
        <v>6090</v>
      </c>
      <c r="D1277" t="s">
        <v>4914</v>
      </c>
      <c r="F1277" t="s">
        <v>261</v>
      </c>
      <c r="I1277" t="s">
        <v>4915</v>
      </c>
      <c r="J1277" t="s">
        <v>37</v>
      </c>
      <c r="K1277" t="s">
        <v>32</v>
      </c>
      <c r="L1277" t="s">
        <v>35</v>
      </c>
      <c r="Q1277">
        <v>1</v>
      </c>
      <c r="R1277">
        <v>3</v>
      </c>
      <c r="AC1277">
        <v>1</v>
      </c>
      <c r="AD1277">
        <v>10</v>
      </c>
      <c r="AQ1277">
        <v>13</v>
      </c>
      <c r="AR1277" s="3">
        <f t="shared" si="57"/>
        <v>5</v>
      </c>
      <c r="AS1277" s="3">
        <f t="shared" si="58"/>
        <v>0</v>
      </c>
      <c r="AT1277" s="3" t="str">
        <f>IF(OR(Registered!AM1277&gt;0,Registered!AO1277&gt;0),(IF(Registered!E1277=0,"Size Not Specified",Registered!E1277)),"")</f>
        <v/>
      </c>
      <c r="AU1277" s="3" t="str">
        <f>IF(Registered!AE1277=0,"",IF(Registered!AE1277=1,Registered!AE1277&amp;" Bandana",Registered!AE1277&amp;" Bandanas"))</f>
        <v/>
      </c>
      <c r="AV1277" s="3">
        <f t="shared" si="59"/>
        <v>0</v>
      </c>
      <c r="AW1277" s="2" t="str">
        <f>IF(Registered!AV1277=0,"",IF(Registered!AV1277=1,Registered!AV1277&amp;" Meal",Registered!AV1277&amp;" Meals"))</f>
        <v/>
      </c>
      <c r="AX1277" s="2" t="str">
        <f>IF(Registered!AI1277=0,"",Registered!AI1277&amp;" BG")</f>
        <v/>
      </c>
      <c r="AY1277" s="2" t="str">
        <f>IF(Registered!AG1277=0,"",Registered!AG1277&amp;" DustMask")</f>
        <v/>
      </c>
    </row>
    <row r="1278" spans="1:51" customFormat="1" x14ac:dyDescent="0.25">
      <c r="A1278" t="s">
        <v>196</v>
      </c>
      <c r="B1278" t="s">
        <v>209</v>
      </c>
      <c r="C1278" t="s">
        <v>6090</v>
      </c>
      <c r="G1278" t="s">
        <v>632</v>
      </c>
      <c r="H1278" t="s">
        <v>628</v>
      </c>
      <c r="I1278" t="s">
        <v>634</v>
      </c>
      <c r="J1278" t="s">
        <v>37</v>
      </c>
      <c r="K1278" t="s">
        <v>32</v>
      </c>
      <c r="L1278" t="s">
        <v>35</v>
      </c>
      <c r="AQ1278">
        <v>0</v>
      </c>
      <c r="AR1278" s="3">
        <f t="shared" si="57"/>
        <v>0</v>
      </c>
      <c r="AS1278" s="3">
        <f t="shared" si="58"/>
        <v>0</v>
      </c>
      <c r="AT1278" s="3" t="str">
        <f>IF(OR(Registered!AM1278&gt;0,Registered!AO1278&gt;0),(IF(Registered!E1278=0,"Size Not Specified",Registered!E1278)),"")</f>
        <v/>
      </c>
      <c r="AU1278" s="3" t="str">
        <f>IF(Registered!AE1278=0,"",IF(Registered!AE1278=1,Registered!AE1278&amp;" Bandana",Registered!AE1278&amp;" Bandanas"))</f>
        <v/>
      </c>
      <c r="AV1278" s="3">
        <f t="shared" si="59"/>
        <v>0</v>
      </c>
      <c r="AW1278" s="2" t="str">
        <f>IF(Registered!AV1278=0,"",IF(Registered!AV1278=1,Registered!AV1278&amp;" Meal",Registered!AV1278&amp;" Meals"))</f>
        <v/>
      </c>
      <c r="AX1278" s="2" t="str">
        <f>IF(Registered!AI1278=0,"",Registered!AI1278&amp;" BG")</f>
        <v/>
      </c>
      <c r="AY1278" s="2" t="str">
        <f>IF(Registered!AG1278=0,"",Registered!AG1278&amp;" DustMask")</f>
        <v/>
      </c>
    </row>
    <row r="1279" spans="1:51" customFormat="1" x14ac:dyDescent="0.25">
      <c r="A1279" t="s">
        <v>42</v>
      </c>
      <c r="B1279" t="s">
        <v>209</v>
      </c>
      <c r="C1279" t="s">
        <v>6090</v>
      </c>
      <c r="G1279" t="s">
        <v>4916</v>
      </c>
      <c r="H1279" t="s">
        <v>209</v>
      </c>
      <c r="I1279" t="s">
        <v>4917</v>
      </c>
      <c r="J1279" t="s">
        <v>37</v>
      </c>
      <c r="K1279" t="s">
        <v>32</v>
      </c>
      <c r="L1279" t="s">
        <v>35</v>
      </c>
      <c r="AQ1279">
        <v>0</v>
      </c>
      <c r="AR1279" s="3">
        <f t="shared" si="57"/>
        <v>0</v>
      </c>
      <c r="AS1279" s="3">
        <f t="shared" si="58"/>
        <v>0</v>
      </c>
      <c r="AT1279" s="3" t="str">
        <f>IF(OR(Registered!AM1279&gt;0,Registered!AO1279&gt;0),(IF(Registered!E1279=0,"Size Not Specified",Registered!E1279)),"")</f>
        <v/>
      </c>
      <c r="AU1279" s="3" t="str">
        <f>IF(Registered!AE1279=0,"",IF(Registered!AE1279=1,Registered!AE1279&amp;" Bandana",Registered!AE1279&amp;" Bandanas"))</f>
        <v/>
      </c>
      <c r="AV1279" s="3">
        <f t="shared" si="59"/>
        <v>0</v>
      </c>
      <c r="AW1279" s="2" t="str">
        <f>IF(Registered!AV1279=0,"",IF(Registered!AV1279=1,Registered!AV1279&amp;" Meal",Registered!AV1279&amp;" Meals"))</f>
        <v/>
      </c>
      <c r="AX1279" s="2" t="str">
        <f>IF(Registered!AI1279=0,"",Registered!AI1279&amp;" BG")</f>
        <v/>
      </c>
      <c r="AY1279" s="2" t="str">
        <f>IF(Registered!AG1279=0,"",Registered!AG1279&amp;" DustMask")</f>
        <v/>
      </c>
    </row>
    <row r="1280" spans="1:51" customFormat="1" x14ac:dyDescent="0.25">
      <c r="A1280" t="s">
        <v>3111</v>
      </c>
      <c r="B1280" t="s">
        <v>209</v>
      </c>
      <c r="C1280" t="s">
        <v>6090</v>
      </c>
      <c r="G1280" t="s">
        <v>1686</v>
      </c>
      <c r="H1280" t="s">
        <v>1687</v>
      </c>
      <c r="I1280" t="s">
        <v>3112</v>
      </c>
      <c r="J1280" t="s">
        <v>37</v>
      </c>
      <c r="K1280" t="s">
        <v>32</v>
      </c>
      <c r="L1280" t="s">
        <v>35</v>
      </c>
      <c r="AQ1280">
        <v>0</v>
      </c>
      <c r="AR1280" s="3">
        <f t="shared" si="57"/>
        <v>0</v>
      </c>
      <c r="AS1280" s="3">
        <f t="shared" si="58"/>
        <v>0</v>
      </c>
      <c r="AT1280" s="3" t="str">
        <f>IF(OR(Registered!AM1280&gt;0,Registered!AO1280&gt;0),(IF(Registered!E1280=0,"Size Not Specified",Registered!E1280)),"")</f>
        <v/>
      </c>
      <c r="AU1280" s="3" t="str">
        <f>IF(Registered!AE1280=0,"",IF(Registered!AE1280=1,Registered!AE1280&amp;" Bandana",Registered!AE1280&amp;" Bandanas"))</f>
        <v/>
      </c>
      <c r="AV1280" s="3">
        <f t="shared" si="59"/>
        <v>0</v>
      </c>
      <c r="AW1280" s="2" t="str">
        <f>IF(Registered!AV1280=0,"",IF(Registered!AV1280=1,Registered!AV1280&amp;" Meal",Registered!AV1280&amp;" Meals"))</f>
        <v/>
      </c>
      <c r="AX1280" s="2" t="str">
        <f>IF(Registered!AI1280=0,"",Registered!AI1280&amp;" BG")</f>
        <v/>
      </c>
      <c r="AY1280" s="2" t="str">
        <f>IF(Registered!AG1280=0,"",Registered!AG1280&amp;" DustMask")</f>
        <v/>
      </c>
    </row>
    <row r="1281" spans="1:51" customFormat="1" x14ac:dyDescent="0.25">
      <c r="A1281" t="s">
        <v>75</v>
      </c>
      <c r="B1281" t="s">
        <v>209</v>
      </c>
      <c r="C1281" t="s">
        <v>6090</v>
      </c>
      <c r="G1281" t="s">
        <v>4058</v>
      </c>
      <c r="H1281" t="s">
        <v>4059</v>
      </c>
      <c r="I1281" t="s">
        <v>4061</v>
      </c>
      <c r="J1281" t="s">
        <v>37</v>
      </c>
      <c r="K1281" t="s">
        <v>32</v>
      </c>
      <c r="L1281" t="s">
        <v>35</v>
      </c>
      <c r="AQ1281">
        <v>0</v>
      </c>
      <c r="AR1281" s="3">
        <f t="shared" si="57"/>
        <v>0</v>
      </c>
      <c r="AS1281" s="3">
        <f t="shared" si="58"/>
        <v>0</v>
      </c>
      <c r="AT1281" s="3" t="str">
        <f>IF(OR(Registered!AM1281&gt;0,Registered!AO1281&gt;0),(IF(Registered!E1281=0,"Size Not Specified",Registered!E1281)),"")</f>
        <v/>
      </c>
      <c r="AU1281" s="3" t="str">
        <f>IF(Registered!AE1281=0,"",IF(Registered!AE1281=1,Registered!AE1281&amp;" Bandana",Registered!AE1281&amp;" Bandanas"))</f>
        <v/>
      </c>
      <c r="AV1281" s="3">
        <f t="shared" si="59"/>
        <v>0</v>
      </c>
      <c r="AW1281" s="2" t="str">
        <f>IF(Registered!AV1281=0,"",IF(Registered!AV1281=1,Registered!AV1281&amp;" Meal",Registered!AV1281&amp;" Meals"))</f>
        <v/>
      </c>
      <c r="AX1281" s="2" t="str">
        <f>IF(Registered!AI1281=0,"",Registered!AI1281&amp;" BG")</f>
        <v/>
      </c>
      <c r="AY1281" s="2" t="str">
        <f>IF(Registered!AG1281=0,"",Registered!AG1281&amp;" DustMask")</f>
        <v/>
      </c>
    </row>
    <row r="1282" spans="1:51" customFormat="1" x14ac:dyDescent="0.25">
      <c r="A1282" t="s">
        <v>121</v>
      </c>
      <c r="B1282" t="s">
        <v>209</v>
      </c>
      <c r="C1282" t="s">
        <v>6090</v>
      </c>
      <c r="G1282" t="s">
        <v>1688</v>
      </c>
      <c r="H1282" t="s">
        <v>209</v>
      </c>
      <c r="I1282" t="s">
        <v>1689</v>
      </c>
      <c r="J1282" t="s">
        <v>37</v>
      </c>
      <c r="K1282" t="s">
        <v>32</v>
      </c>
      <c r="L1282" t="s">
        <v>35</v>
      </c>
      <c r="AQ1282">
        <v>0</v>
      </c>
      <c r="AR1282" s="3">
        <f t="shared" ref="AR1282:AR1345" si="60">IF(ISTEXT(AM1282)=TRUE,"",SUM(U1282*10,W1282*20,Y1282*30,AA1282*40,AC1282*5,AM1282*5))</f>
        <v>0</v>
      </c>
      <c r="AS1282" s="3">
        <f t="shared" ref="AS1282:AS1345" si="61">IF(ISTEXT(AM1282)=TRUE,"",SUM(AM1282,AO1282))</f>
        <v>0</v>
      </c>
      <c r="AT1282" s="3" t="str">
        <f>IF(OR(Registered!AM1282&gt;0,Registered!AO1282&gt;0),(IF(Registered!E1282=0,"Size Not Specified",Registered!E1282)),"")</f>
        <v/>
      </c>
      <c r="AU1282" s="3" t="str">
        <f>IF(Registered!AE1282=0,"",IF(Registered!AE1282=1,Registered!AE1282&amp;" Bandana",Registered!AE1282&amp;" Bandanas"))</f>
        <v/>
      </c>
      <c r="AV1282" s="3">
        <f t="shared" ref="AV1282:AV1345" si="62">IF(ISTEXT(AM1282)=TRUE,"",SUM(AM1282,AK1282))</f>
        <v>0</v>
      </c>
      <c r="AW1282" s="2" t="str">
        <f>IF(Registered!AV1282=0,"",IF(Registered!AV1282=1,Registered!AV1282&amp;" Meal",Registered!AV1282&amp;" Meals"))</f>
        <v/>
      </c>
      <c r="AX1282" s="2" t="str">
        <f>IF(Registered!AI1282=0,"",Registered!AI1282&amp;" BG")</f>
        <v/>
      </c>
      <c r="AY1282" s="2" t="str">
        <f>IF(Registered!AG1282=0,"",Registered!AG1282&amp;" DustMask")</f>
        <v/>
      </c>
    </row>
    <row r="1283" spans="1:51" customFormat="1" x14ac:dyDescent="0.25">
      <c r="A1283" t="s">
        <v>4916</v>
      </c>
      <c r="B1283" t="s">
        <v>209</v>
      </c>
      <c r="C1283" t="s">
        <v>6090</v>
      </c>
      <c r="D1283" t="s">
        <v>4918</v>
      </c>
      <c r="F1283" t="s">
        <v>261</v>
      </c>
      <c r="I1283" t="s">
        <v>4917</v>
      </c>
      <c r="J1283" t="s">
        <v>37</v>
      </c>
      <c r="K1283" t="s">
        <v>32</v>
      </c>
      <c r="L1283" t="s">
        <v>35</v>
      </c>
      <c r="Q1283">
        <v>2</v>
      </c>
      <c r="R1283">
        <v>3</v>
      </c>
      <c r="U1283">
        <v>1</v>
      </c>
      <c r="V1283">
        <v>20</v>
      </c>
      <c r="AC1283">
        <v>1</v>
      </c>
      <c r="AD1283">
        <v>10</v>
      </c>
      <c r="AG1283">
        <v>1</v>
      </c>
      <c r="AH1283">
        <v>1</v>
      </c>
      <c r="AQ1283">
        <v>37</v>
      </c>
      <c r="AR1283" s="3">
        <f t="shared" si="60"/>
        <v>15</v>
      </c>
      <c r="AS1283" s="3">
        <f t="shared" si="61"/>
        <v>0</v>
      </c>
      <c r="AT1283" s="3" t="str">
        <f>IF(OR(Registered!AM1283&gt;0,Registered!AO1283&gt;0),(IF(Registered!E1283=0,"Size Not Specified",Registered!E1283)),"")</f>
        <v/>
      </c>
      <c r="AU1283" s="3" t="str">
        <f>IF(Registered!AE1283=0,"",IF(Registered!AE1283=1,Registered!AE1283&amp;" Bandana",Registered!AE1283&amp;" Bandanas"))</f>
        <v/>
      </c>
      <c r="AV1283" s="3">
        <f t="shared" si="62"/>
        <v>0</v>
      </c>
      <c r="AW1283" s="2" t="str">
        <f>IF(Registered!AV1283=0,"",IF(Registered!AV1283=1,Registered!AV1283&amp;" Meal",Registered!AV1283&amp;" Meals"))</f>
        <v/>
      </c>
      <c r="AX1283" s="2" t="str">
        <f>IF(Registered!AI1283=0,"",Registered!AI1283&amp;" BG")</f>
        <v/>
      </c>
      <c r="AY1283" s="2" t="str">
        <f>IF(Registered!AG1283=0,"",Registered!AG1283&amp;" DustMask")</f>
        <v>1 DustMask</v>
      </c>
    </row>
    <row r="1284" spans="1:51" customFormat="1" x14ac:dyDescent="0.25">
      <c r="A1284" t="s">
        <v>2120</v>
      </c>
      <c r="B1284" t="s">
        <v>209</v>
      </c>
      <c r="C1284" t="s">
        <v>6090</v>
      </c>
      <c r="G1284" t="s">
        <v>258</v>
      </c>
      <c r="H1284" t="s">
        <v>3096</v>
      </c>
      <c r="I1284" t="s">
        <v>3097</v>
      </c>
      <c r="J1284" t="s">
        <v>37</v>
      </c>
      <c r="K1284" t="s">
        <v>32</v>
      </c>
      <c r="L1284" t="s">
        <v>35</v>
      </c>
      <c r="AQ1284">
        <v>0</v>
      </c>
      <c r="AR1284" s="3">
        <f t="shared" si="60"/>
        <v>0</v>
      </c>
      <c r="AS1284" s="3">
        <f t="shared" si="61"/>
        <v>0</v>
      </c>
      <c r="AT1284" s="3" t="str">
        <f>IF(OR(Registered!AM1284&gt;0,Registered!AO1284&gt;0),(IF(Registered!E1284=0,"Size Not Specified",Registered!E1284)),"")</f>
        <v/>
      </c>
      <c r="AU1284" s="3" t="str">
        <f>IF(Registered!AE1284=0,"",IF(Registered!AE1284=1,Registered!AE1284&amp;" Bandana",Registered!AE1284&amp;" Bandanas"))</f>
        <v/>
      </c>
      <c r="AV1284" s="3">
        <f t="shared" si="62"/>
        <v>0</v>
      </c>
      <c r="AW1284" s="2" t="str">
        <f>IF(Registered!AV1284=0,"",IF(Registered!AV1284=1,Registered!AV1284&amp;" Meal",Registered!AV1284&amp;" Meals"))</f>
        <v/>
      </c>
      <c r="AX1284" s="2" t="str">
        <f>IF(Registered!AI1284=0,"",Registered!AI1284&amp;" BG")</f>
        <v/>
      </c>
      <c r="AY1284" s="2" t="str">
        <f>IF(Registered!AG1284=0,"",Registered!AG1284&amp;" DustMask")</f>
        <v/>
      </c>
    </row>
    <row r="1285" spans="1:51" customFormat="1" x14ac:dyDescent="0.25">
      <c r="A1285" t="s">
        <v>1688</v>
      </c>
      <c r="B1285" t="s">
        <v>209</v>
      </c>
      <c r="C1285" t="s">
        <v>6090</v>
      </c>
      <c r="D1285" t="s">
        <v>1690</v>
      </c>
      <c r="F1285" t="s">
        <v>261</v>
      </c>
      <c r="I1285" t="s">
        <v>1691</v>
      </c>
      <c r="J1285" t="s">
        <v>37</v>
      </c>
      <c r="K1285" t="s">
        <v>32</v>
      </c>
      <c r="L1285" t="s">
        <v>35</v>
      </c>
      <c r="S1285">
        <v>2</v>
      </c>
      <c r="T1285">
        <v>3</v>
      </c>
      <c r="U1285">
        <v>1</v>
      </c>
      <c r="V1285">
        <v>20</v>
      </c>
      <c r="AQ1285">
        <v>26</v>
      </c>
      <c r="AR1285" s="3">
        <f t="shared" si="60"/>
        <v>10</v>
      </c>
      <c r="AS1285" s="3">
        <f t="shared" si="61"/>
        <v>0</v>
      </c>
      <c r="AT1285" s="3" t="str">
        <f>IF(OR(Registered!AM1285&gt;0,Registered!AO1285&gt;0),(IF(Registered!E1285=0,"Size Not Specified",Registered!E1285)),"")</f>
        <v/>
      </c>
      <c r="AU1285" s="3" t="str">
        <f>IF(Registered!AE1285=0,"",IF(Registered!AE1285=1,Registered!AE1285&amp;" Bandana",Registered!AE1285&amp;" Bandanas"))</f>
        <v/>
      </c>
      <c r="AV1285" s="3">
        <f t="shared" si="62"/>
        <v>0</v>
      </c>
      <c r="AW1285" s="2" t="str">
        <f>IF(Registered!AV1285=0,"",IF(Registered!AV1285=1,Registered!AV1285&amp;" Meal",Registered!AV1285&amp;" Meals"))</f>
        <v/>
      </c>
      <c r="AX1285" s="2" t="str">
        <f>IF(Registered!AI1285=0,"",Registered!AI1285&amp;" BG")</f>
        <v/>
      </c>
      <c r="AY1285" s="2" t="str">
        <f>IF(Registered!AG1285=0,"",Registered!AG1285&amp;" DustMask")</f>
        <v/>
      </c>
    </row>
    <row r="1286" spans="1:51" customFormat="1" x14ac:dyDescent="0.25">
      <c r="A1286" t="s">
        <v>3111</v>
      </c>
      <c r="B1286" t="s">
        <v>3113</v>
      </c>
      <c r="C1286" t="s">
        <v>6090</v>
      </c>
      <c r="G1286" t="s">
        <v>502</v>
      </c>
      <c r="H1286" t="s">
        <v>3113</v>
      </c>
      <c r="I1286" t="s">
        <v>3114</v>
      </c>
      <c r="J1286" t="s">
        <v>37</v>
      </c>
      <c r="K1286" t="s">
        <v>32</v>
      </c>
      <c r="L1286" t="s">
        <v>35</v>
      </c>
      <c r="AQ1286">
        <v>0</v>
      </c>
      <c r="AR1286" s="3">
        <f t="shared" si="60"/>
        <v>0</v>
      </c>
      <c r="AS1286" s="3">
        <f t="shared" si="61"/>
        <v>0</v>
      </c>
      <c r="AT1286" s="3" t="str">
        <f>IF(OR(Registered!AM1286&gt;0,Registered!AO1286&gt;0),(IF(Registered!E1286=0,"Size Not Specified",Registered!E1286)),"")</f>
        <v/>
      </c>
      <c r="AU1286" s="3" t="str">
        <f>IF(Registered!AE1286=0,"",IF(Registered!AE1286=1,Registered!AE1286&amp;" Bandana",Registered!AE1286&amp;" Bandanas"))</f>
        <v/>
      </c>
      <c r="AV1286" s="3">
        <f t="shared" si="62"/>
        <v>0</v>
      </c>
      <c r="AW1286" s="2" t="str">
        <f>IF(Registered!AV1286=0,"",IF(Registered!AV1286=1,Registered!AV1286&amp;" Meal",Registered!AV1286&amp;" Meals"))</f>
        <v/>
      </c>
      <c r="AX1286" s="2" t="str">
        <f>IF(Registered!AI1286=0,"",Registered!AI1286&amp;" BG")</f>
        <v/>
      </c>
      <c r="AY1286" s="2" t="str">
        <f>IF(Registered!AG1286=0,"",Registered!AG1286&amp;" DustMask")</f>
        <v/>
      </c>
    </row>
    <row r="1287" spans="1:51" customFormat="1" x14ac:dyDescent="0.25">
      <c r="A1287" t="s">
        <v>502</v>
      </c>
      <c r="B1287" t="s">
        <v>3113</v>
      </c>
      <c r="C1287" t="s">
        <v>6090</v>
      </c>
      <c r="D1287" t="s">
        <v>3115</v>
      </c>
      <c r="F1287" t="s">
        <v>261</v>
      </c>
      <c r="I1287" t="s">
        <v>3114</v>
      </c>
      <c r="J1287" t="s">
        <v>37</v>
      </c>
      <c r="K1287" t="s">
        <v>32</v>
      </c>
      <c r="L1287" t="s">
        <v>35</v>
      </c>
      <c r="Q1287">
        <v>2</v>
      </c>
      <c r="R1287">
        <v>3</v>
      </c>
      <c r="AC1287">
        <v>1</v>
      </c>
      <c r="AD1287">
        <v>10</v>
      </c>
      <c r="AQ1287">
        <v>16</v>
      </c>
      <c r="AR1287" s="3">
        <f t="shared" si="60"/>
        <v>5</v>
      </c>
      <c r="AS1287" s="3">
        <f t="shared" si="61"/>
        <v>0</v>
      </c>
      <c r="AT1287" s="3" t="str">
        <f>IF(OR(Registered!AM1287&gt;0,Registered!AO1287&gt;0),(IF(Registered!E1287=0,"Size Not Specified",Registered!E1287)),"")</f>
        <v/>
      </c>
      <c r="AU1287" s="3" t="str">
        <f>IF(Registered!AE1287=0,"",IF(Registered!AE1287=1,Registered!AE1287&amp;" Bandana",Registered!AE1287&amp;" Bandanas"))</f>
        <v/>
      </c>
      <c r="AV1287" s="3">
        <f t="shared" si="62"/>
        <v>0</v>
      </c>
      <c r="AW1287" s="2" t="str">
        <f>IF(Registered!AV1287=0,"",IF(Registered!AV1287=1,Registered!AV1287&amp;" Meal",Registered!AV1287&amp;" Meals"))</f>
        <v/>
      </c>
      <c r="AX1287" s="2" t="str">
        <f>IF(Registered!AI1287=0,"",Registered!AI1287&amp;" BG")</f>
        <v/>
      </c>
      <c r="AY1287" s="2" t="str">
        <f>IF(Registered!AG1287=0,"",Registered!AG1287&amp;" DustMask")</f>
        <v/>
      </c>
    </row>
    <row r="1288" spans="1:51" customFormat="1" x14ac:dyDescent="0.25">
      <c r="A1288" t="s">
        <v>4919</v>
      </c>
      <c r="B1288" t="s">
        <v>4920</v>
      </c>
      <c r="C1288" t="s">
        <v>6090</v>
      </c>
      <c r="G1288" t="s">
        <v>155</v>
      </c>
      <c r="H1288" t="s">
        <v>4921</v>
      </c>
      <c r="I1288" t="s">
        <v>4922</v>
      </c>
      <c r="J1288" t="s">
        <v>37</v>
      </c>
      <c r="K1288" t="s">
        <v>32</v>
      </c>
      <c r="L1288" t="s">
        <v>35</v>
      </c>
      <c r="AQ1288">
        <v>0</v>
      </c>
      <c r="AR1288" s="3">
        <f t="shared" si="60"/>
        <v>0</v>
      </c>
      <c r="AS1288" s="3">
        <f t="shared" si="61"/>
        <v>0</v>
      </c>
      <c r="AT1288" s="3" t="str">
        <f>IF(OR(Registered!AM1288&gt;0,Registered!AO1288&gt;0),(IF(Registered!E1288=0,"Size Not Specified",Registered!E1288)),"")</f>
        <v/>
      </c>
      <c r="AU1288" s="3" t="str">
        <f>IF(Registered!AE1288=0,"",IF(Registered!AE1288=1,Registered!AE1288&amp;" Bandana",Registered!AE1288&amp;" Bandanas"))</f>
        <v/>
      </c>
      <c r="AV1288" s="3">
        <f t="shared" si="62"/>
        <v>0</v>
      </c>
      <c r="AW1288" s="2" t="str">
        <f>IF(Registered!AV1288=0,"",IF(Registered!AV1288=1,Registered!AV1288&amp;" Meal",Registered!AV1288&amp;" Meals"))</f>
        <v/>
      </c>
      <c r="AX1288" s="2" t="str">
        <f>IF(Registered!AI1288=0,"",Registered!AI1288&amp;" BG")</f>
        <v/>
      </c>
      <c r="AY1288" s="2" t="str">
        <f>IF(Registered!AG1288=0,"",Registered!AG1288&amp;" DustMask")</f>
        <v/>
      </c>
    </row>
    <row r="1289" spans="1:51" customFormat="1" x14ac:dyDescent="0.25">
      <c r="A1289" t="s">
        <v>349</v>
      </c>
      <c r="B1289" t="s">
        <v>1694</v>
      </c>
      <c r="C1289" t="s">
        <v>6090</v>
      </c>
      <c r="G1289" t="s">
        <v>85</v>
      </c>
      <c r="H1289" t="s">
        <v>223</v>
      </c>
      <c r="I1289" t="s">
        <v>1218</v>
      </c>
      <c r="J1289" t="s">
        <v>37</v>
      </c>
      <c r="K1289" t="s">
        <v>32</v>
      </c>
      <c r="L1289" t="s">
        <v>35</v>
      </c>
      <c r="AQ1289">
        <v>0</v>
      </c>
      <c r="AR1289" s="3">
        <f t="shared" si="60"/>
        <v>0</v>
      </c>
      <c r="AS1289" s="3">
        <f t="shared" si="61"/>
        <v>0</v>
      </c>
      <c r="AT1289" s="3" t="str">
        <f>IF(OR(Registered!AM1289&gt;0,Registered!AO1289&gt;0),(IF(Registered!E1289=0,"Size Not Specified",Registered!E1289)),"")</f>
        <v/>
      </c>
      <c r="AU1289" s="3" t="str">
        <f>IF(Registered!AE1289=0,"",IF(Registered!AE1289=1,Registered!AE1289&amp;" Bandana",Registered!AE1289&amp;" Bandanas"))</f>
        <v/>
      </c>
      <c r="AV1289" s="3">
        <f t="shared" si="62"/>
        <v>0</v>
      </c>
      <c r="AW1289" s="2" t="str">
        <f>IF(Registered!AV1289=0,"",IF(Registered!AV1289=1,Registered!AV1289&amp;" Meal",Registered!AV1289&amp;" Meals"))</f>
        <v/>
      </c>
      <c r="AX1289" s="2" t="str">
        <f>IF(Registered!AI1289=0,"",Registered!AI1289&amp;" BG")</f>
        <v/>
      </c>
      <c r="AY1289" s="2" t="str">
        <f>IF(Registered!AG1289=0,"",Registered!AG1289&amp;" DustMask")</f>
        <v/>
      </c>
    </row>
    <row r="1290" spans="1:51" customFormat="1" x14ac:dyDescent="0.25">
      <c r="A1290" t="s">
        <v>104</v>
      </c>
      <c r="B1290" t="s">
        <v>1695</v>
      </c>
      <c r="C1290" t="s">
        <v>6090</v>
      </c>
      <c r="G1290" t="s">
        <v>4288</v>
      </c>
      <c r="H1290" t="s">
        <v>1181</v>
      </c>
      <c r="I1290" t="s">
        <v>4290</v>
      </c>
      <c r="J1290" t="s">
        <v>37</v>
      </c>
      <c r="K1290" t="s">
        <v>32</v>
      </c>
      <c r="L1290" t="s">
        <v>35</v>
      </c>
      <c r="AQ1290">
        <v>0</v>
      </c>
      <c r="AR1290" s="3">
        <f t="shared" si="60"/>
        <v>0</v>
      </c>
      <c r="AS1290" s="3">
        <f t="shared" si="61"/>
        <v>0</v>
      </c>
      <c r="AT1290" s="3" t="str">
        <f>IF(OR(Registered!AM1290&gt;0,Registered!AO1290&gt;0),(IF(Registered!E1290=0,"Size Not Specified",Registered!E1290)),"")</f>
        <v/>
      </c>
      <c r="AU1290" s="3" t="str">
        <f>IF(Registered!AE1290=0,"",IF(Registered!AE1290=1,Registered!AE1290&amp;" Bandana",Registered!AE1290&amp;" Bandanas"))</f>
        <v/>
      </c>
      <c r="AV1290" s="3">
        <f t="shared" si="62"/>
        <v>0</v>
      </c>
      <c r="AW1290" s="2" t="str">
        <f>IF(Registered!AV1290=0,"",IF(Registered!AV1290=1,Registered!AV1290&amp;" Meal",Registered!AV1290&amp;" Meals"))</f>
        <v/>
      </c>
      <c r="AX1290" s="2" t="str">
        <f>IF(Registered!AI1290=0,"",Registered!AI1290&amp;" BG")</f>
        <v/>
      </c>
      <c r="AY1290" s="2" t="str">
        <f>IF(Registered!AG1290=0,"",Registered!AG1290&amp;" DustMask")</f>
        <v/>
      </c>
    </row>
    <row r="1291" spans="1:51" customFormat="1" x14ac:dyDescent="0.25">
      <c r="A1291" t="s">
        <v>317</v>
      </c>
      <c r="B1291" t="s">
        <v>1695</v>
      </c>
      <c r="C1291" t="s">
        <v>6090</v>
      </c>
      <c r="G1291" t="s">
        <v>396</v>
      </c>
      <c r="H1291" t="s">
        <v>1695</v>
      </c>
      <c r="I1291" t="s">
        <v>1696</v>
      </c>
      <c r="J1291" t="s">
        <v>37</v>
      </c>
      <c r="K1291" t="s">
        <v>32</v>
      </c>
      <c r="L1291" t="s">
        <v>35</v>
      </c>
      <c r="AQ1291">
        <v>0</v>
      </c>
      <c r="AR1291" s="3">
        <f t="shared" si="60"/>
        <v>0</v>
      </c>
      <c r="AS1291" s="3">
        <f t="shared" si="61"/>
        <v>0</v>
      </c>
      <c r="AT1291" s="3" t="str">
        <f>IF(OR(Registered!AM1291&gt;0,Registered!AO1291&gt;0),(IF(Registered!E1291=0,"Size Not Specified",Registered!E1291)),"")</f>
        <v/>
      </c>
      <c r="AU1291" s="3" t="str">
        <f>IF(Registered!AE1291=0,"",IF(Registered!AE1291=1,Registered!AE1291&amp;" Bandana",Registered!AE1291&amp;" Bandanas"))</f>
        <v/>
      </c>
      <c r="AV1291" s="3">
        <f t="shared" si="62"/>
        <v>0</v>
      </c>
      <c r="AW1291" s="2" t="str">
        <f>IF(Registered!AV1291=0,"",IF(Registered!AV1291=1,Registered!AV1291&amp;" Meal",Registered!AV1291&amp;" Meals"))</f>
        <v/>
      </c>
      <c r="AX1291" s="2" t="str">
        <f>IF(Registered!AI1291=0,"",Registered!AI1291&amp;" BG")</f>
        <v/>
      </c>
      <c r="AY1291" s="2" t="str">
        <f>IF(Registered!AG1291=0,"",Registered!AG1291&amp;" DustMask")</f>
        <v/>
      </c>
    </row>
    <row r="1292" spans="1:51" customFormat="1" x14ac:dyDescent="0.25">
      <c r="A1292" t="s">
        <v>398</v>
      </c>
      <c r="B1292" t="s">
        <v>1695</v>
      </c>
      <c r="C1292" t="s">
        <v>6090</v>
      </c>
      <c r="D1292" t="s">
        <v>4923</v>
      </c>
      <c r="E1292" t="s">
        <v>4924</v>
      </c>
      <c r="F1292" t="s">
        <v>261</v>
      </c>
      <c r="I1292" t="s">
        <v>3525</v>
      </c>
      <c r="J1292" t="s">
        <v>37</v>
      </c>
      <c r="K1292" t="s">
        <v>32</v>
      </c>
      <c r="L1292" t="s">
        <v>35</v>
      </c>
      <c r="Q1292">
        <v>2</v>
      </c>
      <c r="R1292">
        <v>3</v>
      </c>
      <c r="AM1292">
        <v>2</v>
      </c>
      <c r="AN1292">
        <v>25</v>
      </c>
      <c r="AQ1292">
        <v>56</v>
      </c>
      <c r="AR1292" s="3">
        <f t="shared" si="60"/>
        <v>10</v>
      </c>
      <c r="AS1292" s="3">
        <f t="shared" si="61"/>
        <v>2</v>
      </c>
      <c r="AT1292" s="3" t="str">
        <f>IF(OR(Registered!AM1292&gt;0,Registered!AO1292&gt;0),(IF(Registered!E1292=0,"Size Not Specified",Registered!E1292)),"")</f>
        <v>Large and Medium</v>
      </c>
      <c r="AU1292" s="3" t="str">
        <f>IF(Registered!AE1292=0,"",IF(Registered!AE1292=1,Registered!AE1292&amp;" Bandana",Registered!AE1292&amp;" Bandanas"))</f>
        <v/>
      </c>
      <c r="AV1292" s="3">
        <f t="shared" si="62"/>
        <v>2</v>
      </c>
      <c r="AW1292" s="2" t="str">
        <f>IF(Registered!AV1292=0,"",IF(Registered!AV1292=1,Registered!AV1292&amp;" Meal",Registered!AV1292&amp;" Meals"))</f>
        <v>2 Meals</v>
      </c>
      <c r="AX1292" s="2" t="str">
        <f>IF(Registered!AI1292=0,"",Registered!AI1292&amp;" BG")</f>
        <v/>
      </c>
      <c r="AY1292" s="2" t="str">
        <f>IF(Registered!AG1292=0,"",Registered!AG1292&amp;" DustMask")</f>
        <v/>
      </c>
    </row>
    <row r="1293" spans="1:51" customFormat="1" x14ac:dyDescent="0.25">
      <c r="A1293" t="s">
        <v>103</v>
      </c>
      <c r="B1293" t="s">
        <v>1695</v>
      </c>
      <c r="C1293" t="s">
        <v>6090</v>
      </c>
      <c r="F1293" t="s">
        <v>261</v>
      </c>
      <c r="I1293" t="s">
        <v>4925</v>
      </c>
      <c r="J1293" t="s">
        <v>37</v>
      </c>
      <c r="K1293" t="s">
        <v>32</v>
      </c>
      <c r="L1293" t="s">
        <v>35</v>
      </c>
      <c r="Q1293">
        <v>1</v>
      </c>
      <c r="R1293">
        <v>3</v>
      </c>
      <c r="AQ1293">
        <v>3</v>
      </c>
      <c r="AR1293" s="3">
        <f t="shared" si="60"/>
        <v>0</v>
      </c>
      <c r="AS1293" s="3">
        <f t="shared" si="61"/>
        <v>0</v>
      </c>
      <c r="AT1293" s="3" t="str">
        <f>IF(OR(Registered!AM1293&gt;0,Registered!AO1293&gt;0),(IF(Registered!E1293=0,"Size Not Specified",Registered!E1293)),"")</f>
        <v/>
      </c>
      <c r="AU1293" s="3" t="str">
        <f>IF(Registered!AE1293=0,"",IF(Registered!AE1293=1,Registered!AE1293&amp;" Bandana",Registered!AE1293&amp;" Bandanas"))</f>
        <v/>
      </c>
      <c r="AV1293" s="3">
        <f t="shared" si="62"/>
        <v>0</v>
      </c>
      <c r="AW1293" s="2" t="str">
        <f>IF(Registered!AV1293=0,"",IF(Registered!AV1293=1,Registered!AV1293&amp;" Meal",Registered!AV1293&amp;" Meals"))</f>
        <v/>
      </c>
      <c r="AX1293" s="2" t="str">
        <f>IF(Registered!AI1293=0,"",Registered!AI1293&amp;" BG")</f>
        <v/>
      </c>
      <c r="AY1293" s="2" t="str">
        <f>IF(Registered!AG1293=0,"",Registered!AG1293&amp;" DustMask")</f>
        <v/>
      </c>
    </row>
    <row r="1294" spans="1:51" customFormat="1" x14ac:dyDescent="0.25">
      <c r="A1294" t="s">
        <v>396</v>
      </c>
      <c r="B1294" t="s">
        <v>1695</v>
      </c>
      <c r="C1294" t="s">
        <v>6090</v>
      </c>
      <c r="D1294" t="s">
        <v>1697</v>
      </c>
      <c r="F1294" t="s">
        <v>261</v>
      </c>
      <c r="I1294" t="s">
        <v>1696</v>
      </c>
      <c r="J1294" t="s">
        <v>37</v>
      </c>
      <c r="K1294" t="s">
        <v>32</v>
      </c>
      <c r="L1294" t="s">
        <v>35</v>
      </c>
      <c r="S1294">
        <v>2</v>
      </c>
      <c r="T1294">
        <v>3</v>
      </c>
      <c r="AC1294">
        <v>1</v>
      </c>
      <c r="AD1294">
        <v>10</v>
      </c>
      <c r="AQ1294">
        <v>16</v>
      </c>
      <c r="AR1294" s="3">
        <f t="shared" si="60"/>
        <v>5</v>
      </c>
      <c r="AS1294" s="3">
        <f t="shared" si="61"/>
        <v>0</v>
      </c>
      <c r="AT1294" s="3" t="str">
        <f>IF(OR(Registered!AM1294&gt;0,Registered!AO1294&gt;0),(IF(Registered!E1294=0,"Size Not Specified",Registered!E1294)),"")</f>
        <v/>
      </c>
      <c r="AU1294" s="3" t="str">
        <f>IF(Registered!AE1294=0,"",IF(Registered!AE1294=1,Registered!AE1294&amp;" Bandana",Registered!AE1294&amp;" Bandanas"))</f>
        <v/>
      </c>
      <c r="AV1294" s="3">
        <f t="shared" si="62"/>
        <v>0</v>
      </c>
      <c r="AW1294" s="2" t="str">
        <f>IF(Registered!AV1294=0,"",IF(Registered!AV1294=1,Registered!AV1294&amp;" Meal",Registered!AV1294&amp;" Meals"))</f>
        <v/>
      </c>
      <c r="AX1294" s="2" t="str">
        <f>IF(Registered!AI1294=0,"",Registered!AI1294&amp;" BG")</f>
        <v/>
      </c>
      <c r="AY1294" s="2" t="str">
        <f>IF(Registered!AG1294=0,"",Registered!AG1294&amp;" DustMask")</f>
        <v/>
      </c>
    </row>
    <row r="1295" spans="1:51" customFormat="1" x14ac:dyDescent="0.25">
      <c r="A1295" t="s">
        <v>4926</v>
      </c>
      <c r="B1295" t="s">
        <v>4927</v>
      </c>
      <c r="C1295" t="s">
        <v>6090</v>
      </c>
      <c r="G1295" t="s">
        <v>4160</v>
      </c>
      <c r="H1295" t="s">
        <v>4161</v>
      </c>
      <c r="I1295" t="s">
        <v>4162</v>
      </c>
      <c r="J1295" t="s">
        <v>37</v>
      </c>
      <c r="K1295" t="s">
        <v>32</v>
      </c>
      <c r="L1295" t="s">
        <v>35</v>
      </c>
      <c r="AQ1295">
        <v>0</v>
      </c>
      <c r="AR1295" s="3">
        <f t="shared" si="60"/>
        <v>0</v>
      </c>
      <c r="AS1295" s="3">
        <f t="shared" si="61"/>
        <v>0</v>
      </c>
      <c r="AT1295" s="3" t="str">
        <f>IF(OR(Registered!AM1295&gt;0,Registered!AO1295&gt;0),(IF(Registered!E1295=0,"Size Not Specified",Registered!E1295)),"")</f>
        <v/>
      </c>
      <c r="AU1295" s="3" t="str">
        <f>IF(Registered!AE1295=0,"",IF(Registered!AE1295=1,Registered!AE1295&amp;" Bandana",Registered!AE1295&amp;" Bandanas"))</f>
        <v/>
      </c>
      <c r="AV1295" s="3">
        <f t="shared" si="62"/>
        <v>0</v>
      </c>
      <c r="AW1295" s="2" t="str">
        <f>IF(Registered!AV1295=0,"",IF(Registered!AV1295=1,Registered!AV1295&amp;" Meal",Registered!AV1295&amp;" Meals"))</f>
        <v/>
      </c>
      <c r="AX1295" s="2" t="str">
        <f>IF(Registered!AI1295=0,"",Registered!AI1295&amp;" BG")</f>
        <v/>
      </c>
      <c r="AY1295" s="2" t="str">
        <f>IF(Registered!AG1295=0,"",Registered!AG1295&amp;" DustMask")</f>
        <v/>
      </c>
    </row>
    <row r="1296" spans="1:51" customFormat="1" x14ac:dyDescent="0.25">
      <c r="A1296" t="s">
        <v>1698</v>
      </c>
      <c r="B1296" t="s">
        <v>1699</v>
      </c>
      <c r="C1296" t="s">
        <v>6090</v>
      </c>
      <c r="D1296" t="s">
        <v>1700</v>
      </c>
      <c r="F1296" t="s">
        <v>261</v>
      </c>
      <c r="I1296" t="s">
        <v>1701</v>
      </c>
      <c r="J1296" t="s">
        <v>37</v>
      </c>
      <c r="K1296" t="s">
        <v>32</v>
      </c>
      <c r="L1296" t="s">
        <v>35</v>
      </c>
      <c r="S1296">
        <v>1</v>
      </c>
      <c r="T1296">
        <v>3</v>
      </c>
      <c r="U1296">
        <v>1</v>
      </c>
      <c r="V1296">
        <v>20</v>
      </c>
      <c r="AQ1296">
        <v>23</v>
      </c>
      <c r="AR1296" s="3">
        <f t="shared" si="60"/>
        <v>10</v>
      </c>
      <c r="AS1296" s="3">
        <f t="shared" si="61"/>
        <v>0</v>
      </c>
      <c r="AT1296" s="3" t="str">
        <f>IF(OR(Registered!AM1296&gt;0,Registered!AO1296&gt;0),(IF(Registered!E1296=0,"Size Not Specified",Registered!E1296)),"")</f>
        <v/>
      </c>
      <c r="AU1296" s="3" t="str">
        <f>IF(Registered!AE1296=0,"",IF(Registered!AE1296=1,Registered!AE1296&amp;" Bandana",Registered!AE1296&amp;" Bandanas"))</f>
        <v/>
      </c>
      <c r="AV1296" s="3">
        <f t="shared" si="62"/>
        <v>0</v>
      </c>
      <c r="AW1296" s="2" t="str">
        <f>IF(Registered!AV1296=0,"",IF(Registered!AV1296=1,Registered!AV1296&amp;" Meal",Registered!AV1296&amp;" Meals"))</f>
        <v/>
      </c>
      <c r="AX1296" s="2" t="str">
        <f>IF(Registered!AI1296=0,"",Registered!AI1296&amp;" BG")</f>
        <v/>
      </c>
      <c r="AY1296" s="2" t="str">
        <f>IF(Registered!AG1296=0,"",Registered!AG1296&amp;" DustMask")</f>
        <v/>
      </c>
    </row>
    <row r="1297" spans="1:51" customFormat="1" x14ac:dyDescent="0.25">
      <c r="A1297" t="s">
        <v>1702</v>
      </c>
      <c r="B1297" t="s">
        <v>1703</v>
      </c>
      <c r="C1297" t="s">
        <v>6090</v>
      </c>
      <c r="D1297" t="s">
        <v>1704</v>
      </c>
      <c r="F1297" t="s">
        <v>261</v>
      </c>
      <c r="I1297" t="s">
        <v>1705</v>
      </c>
      <c r="J1297" t="s">
        <v>37</v>
      </c>
      <c r="K1297" t="s">
        <v>32</v>
      </c>
      <c r="L1297" t="s">
        <v>35</v>
      </c>
      <c r="S1297">
        <v>2</v>
      </c>
      <c r="T1297">
        <v>3</v>
      </c>
      <c r="AC1297">
        <v>1</v>
      </c>
      <c r="AD1297">
        <v>10</v>
      </c>
      <c r="AQ1297">
        <v>16</v>
      </c>
      <c r="AR1297" s="3">
        <f t="shared" si="60"/>
        <v>5</v>
      </c>
      <c r="AS1297" s="3">
        <f t="shared" si="61"/>
        <v>0</v>
      </c>
      <c r="AT1297" s="3" t="str">
        <f>IF(OR(Registered!AM1297&gt;0,Registered!AO1297&gt;0),(IF(Registered!E1297=0,"Size Not Specified",Registered!E1297)),"")</f>
        <v/>
      </c>
      <c r="AU1297" s="3" t="str">
        <f>IF(Registered!AE1297=0,"",IF(Registered!AE1297=1,Registered!AE1297&amp;" Bandana",Registered!AE1297&amp;" Bandanas"))</f>
        <v/>
      </c>
      <c r="AV1297" s="3">
        <f t="shared" si="62"/>
        <v>0</v>
      </c>
      <c r="AW1297" s="2" t="str">
        <f>IF(Registered!AV1297=0,"",IF(Registered!AV1297=1,Registered!AV1297&amp;" Meal",Registered!AV1297&amp;" Meals"))</f>
        <v/>
      </c>
      <c r="AX1297" s="2" t="str">
        <f>IF(Registered!AI1297=0,"",Registered!AI1297&amp;" BG")</f>
        <v/>
      </c>
      <c r="AY1297" s="2" t="str">
        <f>IF(Registered!AG1297=0,"",Registered!AG1297&amp;" DustMask")</f>
        <v/>
      </c>
    </row>
    <row r="1298" spans="1:51" customFormat="1" x14ac:dyDescent="0.25">
      <c r="A1298" t="s">
        <v>4928</v>
      </c>
      <c r="B1298" t="s">
        <v>4929</v>
      </c>
      <c r="C1298" t="s">
        <v>6090</v>
      </c>
      <c r="G1298" t="s">
        <v>3739</v>
      </c>
      <c r="H1298" t="s">
        <v>3740</v>
      </c>
      <c r="I1298" t="s">
        <v>3742</v>
      </c>
      <c r="J1298" t="s">
        <v>37</v>
      </c>
      <c r="K1298" t="s">
        <v>32</v>
      </c>
      <c r="L1298" t="s">
        <v>35</v>
      </c>
      <c r="AQ1298">
        <v>0</v>
      </c>
      <c r="AR1298" s="3">
        <f t="shared" si="60"/>
        <v>0</v>
      </c>
      <c r="AS1298" s="3">
        <f t="shared" si="61"/>
        <v>0</v>
      </c>
      <c r="AT1298" s="3" t="str">
        <f>IF(OR(Registered!AM1298&gt;0,Registered!AO1298&gt;0),(IF(Registered!E1298=0,"Size Not Specified",Registered!E1298)),"")</f>
        <v/>
      </c>
      <c r="AU1298" s="3" t="str">
        <f>IF(Registered!AE1298=0,"",IF(Registered!AE1298=1,Registered!AE1298&amp;" Bandana",Registered!AE1298&amp;" Bandanas"))</f>
        <v/>
      </c>
      <c r="AV1298" s="3">
        <f t="shared" si="62"/>
        <v>0</v>
      </c>
      <c r="AW1298" s="2" t="str">
        <f>IF(Registered!AV1298=0,"",IF(Registered!AV1298=1,Registered!AV1298&amp;" Meal",Registered!AV1298&amp;" Meals"))</f>
        <v/>
      </c>
      <c r="AX1298" s="2" t="str">
        <f>IF(Registered!AI1298=0,"",Registered!AI1298&amp;" BG")</f>
        <v/>
      </c>
      <c r="AY1298" s="2" t="str">
        <f>IF(Registered!AG1298=0,"",Registered!AG1298&amp;" DustMask")</f>
        <v/>
      </c>
    </row>
    <row r="1299" spans="1:51" customFormat="1" x14ac:dyDescent="0.25">
      <c r="A1299" t="s">
        <v>4623</v>
      </c>
      <c r="B1299" t="s">
        <v>4624</v>
      </c>
      <c r="C1299" t="s">
        <v>6090</v>
      </c>
      <c r="D1299" t="s">
        <v>4930</v>
      </c>
      <c r="E1299" t="s">
        <v>4931</v>
      </c>
      <c r="F1299" t="s">
        <v>261</v>
      </c>
      <c r="I1299" t="s">
        <v>4625</v>
      </c>
      <c r="J1299" t="s">
        <v>37</v>
      </c>
      <c r="K1299" t="s">
        <v>32</v>
      </c>
      <c r="L1299" t="s">
        <v>35</v>
      </c>
      <c r="Q1299">
        <v>2</v>
      </c>
      <c r="R1299">
        <v>3</v>
      </c>
      <c r="U1299">
        <v>1</v>
      </c>
      <c r="V1299">
        <v>20</v>
      </c>
      <c r="AG1299">
        <v>2</v>
      </c>
      <c r="AH1299">
        <v>1</v>
      </c>
      <c r="AO1299">
        <v>1</v>
      </c>
      <c r="AP1299">
        <v>10</v>
      </c>
      <c r="AQ1299">
        <v>38</v>
      </c>
      <c r="AR1299" s="3">
        <f t="shared" si="60"/>
        <v>10</v>
      </c>
      <c r="AS1299" s="3">
        <f t="shared" si="61"/>
        <v>1</v>
      </c>
      <c r="AT1299" s="3" t="str">
        <f>IF(OR(Registered!AM1299&gt;0,Registered!AO1299&gt;0),(IF(Registered!E1299=0,"Size Not Specified",Registered!E1299)),"")</f>
        <v>5XL, if not possible, then the biggest size</v>
      </c>
      <c r="AU1299" s="3" t="str">
        <f>IF(Registered!AE1299=0,"",IF(Registered!AE1299=1,Registered!AE1299&amp;" Bandana",Registered!AE1299&amp;" Bandanas"))</f>
        <v/>
      </c>
      <c r="AV1299" s="3">
        <f t="shared" si="62"/>
        <v>0</v>
      </c>
      <c r="AW1299" s="2" t="str">
        <f>IF(Registered!AV1299=0,"",IF(Registered!AV1299=1,Registered!AV1299&amp;" Meal",Registered!AV1299&amp;" Meals"))</f>
        <v/>
      </c>
      <c r="AX1299" s="2" t="str">
        <f>IF(Registered!AI1299=0,"",Registered!AI1299&amp;" BG")</f>
        <v/>
      </c>
      <c r="AY1299" s="2" t="str">
        <f>IF(Registered!AG1299=0,"",Registered!AG1299&amp;" DustMask")</f>
        <v>2 DustMask</v>
      </c>
    </row>
    <row r="1300" spans="1:51" customFormat="1" x14ac:dyDescent="0.25">
      <c r="A1300" t="s">
        <v>4932</v>
      </c>
      <c r="B1300" t="s">
        <v>4933</v>
      </c>
      <c r="C1300" t="s">
        <v>6090</v>
      </c>
      <c r="G1300" t="s">
        <v>90</v>
      </c>
      <c r="H1300" t="s">
        <v>313</v>
      </c>
      <c r="I1300" t="s">
        <v>3679</v>
      </c>
      <c r="J1300" t="s">
        <v>37</v>
      </c>
      <c r="K1300" t="s">
        <v>32</v>
      </c>
      <c r="L1300" t="s">
        <v>35</v>
      </c>
      <c r="AQ1300">
        <v>0</v>
      </c>
      <c r="AR1300" s="3">
        <f t="shared" si="60"/>
        <v>0</v>
      </c>
      <c r="AS1300" s="3">
        <f t="shared" si="61"/>
        <v>0</v>
      </c>
      <c r="AT1300" s="3" t="str">
        <f>IF(OR(Registered!AM1300&gt;0,Registered!AO1300&gt;0),(IF(Registered!E1300=0,"Size Not Specified",Registered!E1300)),"")</f>
        <v/>
      </c>
      <c r="AU1300" s="3" t="str">
        <f>IF(Registered!AE1300=0,"",IF(Registered!AE1300=1,Registered!AE1300&amp;" Bandana",Registered!AE1300&amp;" Bandanas"))</f>
        <v/>
      </c>
      <c r="AV1300" s="3">
        <f t="shared" si="62"/>
        <v>0</v>
      </c>
      <c r="AW1300" s="2" t="str">
        <f>IF(Registered!AV1300=0,"",IF(Registered!AV1300=1,Registered!AV1300&amp;" Meal",Registered!AV1300&amp;" Meals"))</f>
        <v/>
      </c>
      <c r="AX1300" s="2" t="str">
        <f>IF(Registered!AI1300=0,"",Registered!AI1300&amp;" BG")</f>
        <v/>
      </c>
      <c r="AY1300" s="2" t="str">
        <f>IF(Registered!AG1300=0,"",Registered!AG1300&amp;" DustMask")</f>
        <v/>
      </c>
    </row>
    <row r="1301" spans="1:51" customFormat="1" x14ac:dyDescent="0.25">
      <c r="A1301" t="s">
        <v>60</v>
      </c>
      <c r="B1301" t="s">
        <v>1175</v>
      </c>
      <c r="C1301" t="s">
        <v>6090</v>
      </c>
      <c r="G1301" t="s">
        <v>403</v>
      </c>
      <c r="H1301" t="s">
        <v>1175</v>
      </c>
      <c r="I1301" t="s">
        <v>4036</v>
      </c>
      <c r="J1301" t="s">
        <v>37</v>
      </c>
      <c r="K1301" t="s">
        <v>32</v>
      </c>
      <c r="L1301" t="s">
        <v>35</v>
      </c>
      <c r="AQ1301">
        <v>0</v>
      </c>
      <c r="AR1301" s="3">
        <f t="shared" si="60"/>
        <v>0</v>
      </c>
      <c r="AS1301" s="3">
        <f t="shared" si="61"/>
        <v>0</v>
      </c>
      <c r="AT1301" s="3" t="str">
        <f>IF(OR(Registered!AM1301&gt;0,Registered!AO1301&gt;0),(IF(Registered!E1301=0,"Size Not Specified",Registered!E1301)),"")</f>
        <v/>
      </c>
      <c r="AU1301" s="3" t="str">
        <f>IF(Registered!AE1301=0,"",IF(Registered!AE1301=1,Registered!AE1301&amp;" Bandana",Registered!AE1301&amp;" Bandanas"))</f>
        <v/>
      </c>
      <c r="AV1301" s="3">
        <f t="shared" si="62"/>
        <v>0</v>
      </c>
      <c r="AW1301" s="2" t="str">
        <f>IF(Registered!AV1301=0,"",IF(Registered!AV1301=1,Registered!AV1301&amp;" Meal",Registered!AV1301&amp;" Meals"))</f>
        <v/>
      </c>
      <c r="AX1301" s="2" t="str">
        <f>IF(Registered!AI1301=0,"",Registered!AI1301&amp;" BG")</f>
        <v/>
      </c>
      <c r="AY1301" s="2" t="str">
        <f>IF(Registered!AG1301=0,"",Registered!AG1301&amp;" DustMask")</f>
        <v/>
      </c>
    </row>
    <row r="1302" spans="1:51" customFormat="1" x14ac:dyDescent="0.25">
      <c r="A1302" t="s">
        <v>403</v>
      </c>
      <c r="B1302" t="s">
        <v>1175</v>
      </c>
      <c r="C1302" t="s">
        <v>6090</v>
      </c>
      <c r="D1302" t="s">
        <v>4934</v>
      </c>
      <c r="F1302" t="s">
        <v>261</v>
      </c>
      <c r="I1302" t="s">
        <v>4036</v>
      </c>
      <c r="J1302" t="s">
        <v>37</v>
      </c>
      <c r="K1302" t="s">
        <v>32</v>
      </c>
      <c r="L1302" t="s">
        <v>35</v>
      </c>
      <c r="Q1302">
        <v>6</v>
      </c>
      <c r="R1302">
        <v>3</v>
      </c>
      <c r="AQ1302">
        <v>18</v>
      </c>
      <c r="AR1302" s="3">
        <f t="shared" si="60"/>
        <v>0</v>
      </c>
      <c r="AS1302" s="3">
        <f t="shared" si="61"/>
        <v>0</v>
      </c>
      <c r="AT1302" s="3" t="str">
        <f>IF(OR(Registered!AM1302&gt;0,Registered!AO1302&gt;0),(IF(Registered!E1302=0,"Size Not Specified",Registered!E1302)),"")</f>
        <v/>
      </c>
      <c r="AU1302" s="3" t="str">
        <f>IF(Registered!AE1302=0,"",IF(Registered!AE1302=1,Registered!AE1302&amp;" Bandana",Registered!AE1302&amp;" Bandanas"))</f>
        <v/>
      </c>
      <c r="AV1302" s="3">
        <f t="shared" si="62"/>
        <v>0</v>
      </c>
      <c r="AW1302" s="2" t="str">
        <f>IF(Registered!AV1302=0,"",IF(Registered!AV1302=1,Registered!AV1302&amp;" Meal",Registered!AV1302&amp;" Meals"))</f>
        <v/>
      </c>
      <c r="AX1302" s="2" t="str">
        <f>IF(Registered!AI1302=0,"",Registered!AI1302&amp;" BG")</f>
        <v/>
      </c>
      <c r="AY1302" s="2" t="str">
        <f>IF(Registered!AG1302=0,"",Registered!AG1302&amp;" DustMask")</f>
        <v/>
      </c>
    </row>
    <row r="1303" spans="1:51" customFormat="1" x14ac:dyDescent="0.25">
      <c r="A1303" t="s">
        <v>402</v>
      </c>
      <c r="B1303" t="s">
        <v>1706</v>
      </c>
      <c r="C1303" t="s">
        <v>6090</v>
      </c>
      <c r="G1303" t="s">
        <v>88</v>
      </c>
      <c r="H1303" t="s">
        <v>414</v>
      </c>
      <c r="I1303" t="s">
        <v>1328</v>
      </c>
      <c r="J1303" t="s">
        <v>37</v>
      </c>
      <c r="K1303" t="s">
        <v>32</v>
      </c>
      <c r="L1303" t="s">
        <v>35</v>
      </c>
      <c r="AQ1303">
        <v>0</v>
      </c>
      <c r="AR1303" s="3">
        <f t="shared" si="60"/>
        <v>0</v>
      </c>
      <c r="AS1303" s="3">
        <f t="shared" si="61"/>
        <v>0</v>
      </c>
      <c r="AT1303" s="3" t="str">
        <f>IF(OR(Registered!AM1303&gt;0,Registered!AO1303&gt;0),(IF(Registered!E1303=0,"Size Not Specified",Registered!E1303)),"")</f>
        <v/>
      </c>
      <c r="AU1303" s="3" t="str">
        <f>IF(Registered!AE1303=0,"",IF(Registered!AE1303=1,Registered!AE1303&amp;" Bandana",Registered!AE1303&amp;" Bandanas"))</f>
        <v/>
      </c>
      <c r="AV1303" s="3">
        <f t="shared" si="62"/>
        <v>0</v>
      </c>
      <c r="AW1303" s="2" t="str">
        <f>IF(Registered!AV1303=0,"",IF(Registered!AV1303=1,Registered!AV1303&amp;" Meal",Registered!AV1303&amp;" Meals"))</f>
        <v/>
      </c>
      <c r="AX1303" s="2" t="str">
        <f>IF(Registered!AI1303=0,"",Registered!AI1303&amp;" BG")</f>
        <v/>
      </c>
      <c r="AY1303" s="2" t="str">
        <f>IF(Registered!AG1303=0,"",Registered!AG1303&amp;" DustMask")</f>
        <v/>
      </c>
    </row>
    <row r="1304" spans="1:51" customFormat="1" x14ac:dyDescent="0.25">
      <c r="A1304" t="s">
        <v>332</v>
      </c>
      <c r="B1304" t="s">
        <v>598</v>
      </c>
      <c r="C1304" t="s">
        <v>6090</v>
      </c>
      <c r="D1304" t="s">
        <v>1707</v>
      </c>
      <c r="F1304" t="s">
        <v>261</v>
      </c>
      <c r="I1304" t="s">
        <v>1708</v>
      </c>
      <c r="J1304" t="s">
        <v>37</v>
      </c>
      <c r="K1304" t="s">
        <v>32</v>
      </c>
      <c r="L1304" t="s">
        <v>35</v>
      </c>
      <c r="S1304">
        <v>2</v>
      </c>
      <c r="T1304">
        <v>3</v>
      </c>
      <c r="AC1304">
        <v>1</v>
      </c>
      <c r="AD1304">
        <v>10</v>
      </c>
      <c r="AK1304">
        <v>2</v>
      </c>
      <c r="AL1304">
        <v>6</v>
      </c>
      <c r="AQ1304">
        <v>28</v>
      </c>
      <c r="AR1304" s="3">
        <f t="shared" si="60"/>
        <v>5</v>
      </c>
      <c r="AS1304" s="3">
        <f t="shared" si="61"/>
        <v>0</v>
      </c>
      <c r="AT1304" s="3" t="str">
        <f>IF(OR(Registered!AM1304&gt;0,Registered!AO1304&gt;0),(IF(Registered!E1304=0,"Size Not Specified",Registered!E1304)),"")</f>
        <v/>
      </c>
      <c r="AU1304" s="3" t="str">
        <f>IF(Registered!AE1304=0,"",IF(Registered!AE1304=1,Registered!AE1304&amp;" Bandana",Registered!AE1304&amp;" Bandanas"))</f>
        <v/>
      </c>
      <c r="AV1304" s="3">
        <f t="shared" si="62"/>
        <v>2</v>
      </c>
      <c r="AW1304" s="2" t="str">
        <f>IF(Registered!AV1304=0,"",IF(Registered!AV1304=1,Registered!AV1304&amp;" Meal",Registered!AV1304&amp;" Meals"))</f>
        <v>2 Meals</v>
      </c>
      <c r="AX1304" s="2" t="str">
        <f>IF(Registered!AI1304=0,"",Registered!AI1304&amp;" BG")</f>
        <v/>
      </c>
      <c r="AY1304" s="2" t="str">
        <f>IF(Registered!AG1304=0,"",Registered!AG1304&amp;" DustMask")</f>
        <v/>
      </c>
    </row>
    <row r="1305" spans="1:51" customFormat="1" x14ac:dyDescent="0.25">
      <c r="A1305" t="s">
        <v>1698</v>
      </c>
      <c r="B1305" t="s">
        <v>4573</v>
      </c>
      <c r="C1305" t="s">
        <v>6090</v>
      </c>
      <c r="D1305" t="s">
        <v>4935</v>
      </c>
      <c r="F1305" t="s">
        <v>261</v>
      </c>
      <c r="I1305" t="s">
        <v>4574</v>
      </c>
      <c r="J1305" t="s">
        <v>37</v>
      </c>
      <c r="K1305" t="s">
        <v>32</v>
      </c>
      <c r="L1305" t="s">
        <v>35</v>
      </c>
      <c r="Q1305">
        <v>2</v>
      </c>
      <c r="R1305">
        <v>3</v>
      </c>
      <c r="U1305">
        <v>1</v>
      </c>
      <c r="V1305">
        <v>20</v>
      </c>
      <c r="AQ1305">
        <v>26</v>
      </c>
      <c r="AR1305" s="3">
        <f t="shared" si="60"/>
        <v>10</v>
      </c>
      <c r="AS1305" s="3">
        <f t="shared" si="61"/>
        <v>0</v>
      </c>
      <c r="AT1305" s="3" t="str">
        <f>IF(OR(Registered!AM1305&gt;0,Registered!AO1305&gt;0),(IF(Registered!E1305=0,"Size Not Specified",Registered!E1305)),"")</f>
        <v/>
      </c>
      <c r="AU1305" s="3" t="str">
        <f>IF(Registered!AE1305=0,"",IF(Registered!AE1305=1,Registered!AE1305&amp;" Bandana",Registered!AE1305&amp;" Bandanas"))</f>
        <v/>
      </c>
      <c r="AV1305" s="3">
        <f t="shared" si="62"/>
        <v>0</v>
      </c>
      <c r="AW1305" s="2" t="str">
        <f>IF(Registered!AV1305=0,"",IF(Registered!AV1305=1,Registered!AV1305&amp;" Meal",Registered!AV1305&amp;" Meals"))</f>
        <v/>
      </c>
      <c r="AX1305" s="2" t="str">
        <f>IF(Registered!AI1305=0,"",Registered!AI1305&amp;" BG")</f>
        <v/>
      </c>
      <c r="AY1305" s="2" t="str">
        <f>IF(Registered!AG1305=0,"",Registered!AG1305&amp;" DustMask")</f>
        <v/>
      </c>
    </row>
    <row r="1306" spans="1:51" customFormat="1" x14ac:dyDescent="0.25">
      <c r="A1306" t="s">
        <v>3116</v>
      </c>
      <c r="B1306" t="s">
        <v>3117</v>
      </c>
      <c r="C1306" t="s">
        <v>6090</v>
      </c>
      <c r="G1306" t="s">
        <v>2832</v>
      </c>
      <c r="H1306" t="s">
        <v>2833</v>
      </c>
      <c r="I1306" t="s">
        <v>2834</v>
      </c>
      <c r="J1306" t="s">
        <v>37</v>
      </c>
      <c r="K1306" t="s">
        <v>32</v>
      </c>
      <c r="L1306" t="s">
        <v>35</v>
      </c>
      <c r="AQ1306">
        <v>0</v>
      </c>
      <c r="AR1306" s="3">
        <f t="shared" si="60"/>
        <v>0</v>
      </c>
      <c r="AS1306" s="3">
        <f t="shared" si="61"/>
        <v>0</v>
      </c>
      <c r="AT1306" s="3" t="str">
        <f>IF(OR(Registered!AM1306&gt;0,Registered!AO1306&gt;0),(IF(Registered!E1306=0,"Size Not Specified",Registered!E1306)),"")</f>
        <v/>
      </c>
      <c r="AU1306" s="3" t="str">
        <f>IF(Registered!AE1306=0,"",IF(Registered!AE1306=1,Registered!AE1306&amp;" Bandana",Registered!AE1306&amp;" Bandanas"))</f>
        <v/>
      </c>
      <c r="AV1306" s="3">
        <f t="shared" si="62"/>
        <v>0</v>
      </c>
      <c r="AW1306" s="2" t="str">
        <f>IF(Registered!AV1306=0,"",IF(Registered!AV1306=1,Registered!AV1306&amp;" Meal",Registered!AV1306&amp;" Meals"))</f>
        <v/>
      </c>
      <c r="AX1306" s="2" t="str">
        <f>IF(Registered!AI1306=0,"",Registered!AI1306&amp;" BG")</f>
        <v/>
      </c>
      <c r="AY1306" s="2" t="str">
        <f>IF(Registered!AG1306=0,"",Registered!AG1306&amp;" DustMask")</f>
        <v/>
      </c>
    </row>
    <row r="1307" spans="1:51" customFormat="1" x14ac:dyDescent="0.25">
      <c r="A1307" t="s">
        <v>151</v>
      </c>
      <c r="B1307" t="s">
        <v>642</v>
      </c>
      <c r="C1307" t="s">
        <v>6090</v>
      </c>
      <c r="D1307" t="s">
        <v>1709</v>
      </c>
      <c r="F1307" t="s">
        <v>261</v>
      </c>
      <c r="I1307" t="s">
        <v>1710</v>
      </c>
      <c r="J1307" t="s">
        <v>37</v>
      </c>
      <c r="K1307" t="s">
        <v>32</v>
      </c>
      <c r="L1307" t="s">
        <v>35</v>
      </c>
      <c r="S1307">
        <v>2</v>
      </c>
      <c r="T1307">
        <v>3</v>
      </c>
      <c r="AC1307">
        <v>1</v>
      </c>
      <c r="AD1307">
        <v>10</v>
      </c>
      <c r="AQ1307">
        <v>16</v>
      </c>
      <c r="AR1307" s="3">
        <f t="shared" si="60"/>
        <v>5</v>
      </c>
      <c r="AS1307" s="3">
        <f t="shared" si="61"/>
        <v>0</v>
      </c>
      <c r="AT1307" s="3" t="str">
        <f>IF(OR(Registered!AM1307&gt;0,Registered!AO1307&gt;0),(IF(Registered!E1307=0,"Size Not Specified",Registered!E1307)),"")</f>
        <v/>
      </c>
      <c r="AU1307" s="3" t="str">
        <f>IF(Registered!AE1307=0,"",IF(Registered!AE1307=1,Registered!AE1307&amp;" Bandana",Registered!AE1307&amp;" Bandanas"))</f>
        <v/>
      </c>
      <c r="AV1307" s="3">
        <f t="shared" si="62"/>
        <v>0</v>
      </c>
      <c r="AW1307" s="2" t="str">
        <f>IF(Registered!AV1307=0,"",IF(Registered!AV1307=1,Registered!AV1307&amp;" Meal",Registered!AV1307&amp;" Meals"))</f>
        <v/>
      </c>
      <c r="AX1307" s="2" t="str">
        <f>IF(Registered!AI1307=0,"",Registered!AI1307&amp;" BG")</f>
        <v/>
      </c>
      <c r="AY1307" s="2" t="str">
        <f>IF(Registered!AG1307=0,"",Registered!AG1307&amp;" DustMask")</f>
        <v/>
      </c>
    </row>
    <row r="1308" spans="1:51" customFormat="1" x14ac:dyDescent="0.25">
      <c r="A1308" t="s">
        <v>1711</v>
      </c>
      <c r="B1308" t="s">
        <v>642</v>
      </c>
      <c r="C1308" t="s">
        <v>6090</v>
      </c>
      <c r="E1308" t="s">
        <v>41</v>
      </c>
      <c r="F1308" t="s">
        <v>261</v>
      </c>
      <c r="I1308" t="s">
        <v>1712</v>
      </c>
      <c r="J1308" t="s">
        <v>37</v>
      </c>
      <c r="K1308" t="s">
        <v>32</v>
      </c>
      <c r="L1308" t="s">
        <v>35</v>
      </c>
      <c r="S1308">
        <v>1</v>
      </c>
      <c r="T1308">
        <v>3</v>
      </c>
      <c r="AO1308">
        <v>1</v>
      </c>
      <c r="AP1308">
        <v>10</v>
      </c>
      <c r="AQ1308">
        <v>13</v>
      </c>
      <c r="AR1308" s="3">
        <f t="shared" si="60"/>
        <v>0</v>
      </c>
      <c r="AS1308" s="3">
        <f t="shared" si="61"/>
        <v>1</v>
      </c>
      <c r="AT1308" s="3" t="str">
        <f>IF(OR(Registered!AM1308&gt;0,Registered!AO1308&gt;0),(IF(Registered!E1308=0,"Size Not Specified",Registered!E1308)),"")</f>
        <v>small</v>
      </c>
      <c r="AU1308" s="3" t="str">
        <f>IF(Registered!AE1308=0,"",IF(Registered!AE1308=1,Registered!AE1308&amp;" Bandana",Registered!AE1308&amp;" Bandanas"))</f>
        <v/>
      </c>
      <c r="AV1308" s="3">
        <f t="shared" si="62"/>
        <v>0</v>
      </c>
      <c r="AW1308" s="2" t="str">
        <f>IF(Registered!AV1308=0,"",IF(Registered!AV1308=1,Registered!AV1308&amp;" Meal",Registered!AV1308&amp;" Meals"))</f>
        <v/>
      </c>
      <c r="AX1308" s="2" t="str">
        <f>IF(Registered!AI1308=0,"",Registered!AI1308&amp;" BG")</f>
        <v/>
      </c>
      <c r="AY1308" s="2" t="str">
        <f>IF(Registered!AG1308=0,"",Registered!AG1308&amp;" DustMask")</f>
        <v/>
      </c>
    </row>
    <row r="1309" spans="1:51" customFormat="1" x14ac:dyDescent="0.25">
      <c r="A1309" t="s">
        <v>157</v>
      </c>
      <c r="B1309" t="s">
        <v>149</v>
      </c>
      <c r="C1309" t="s">
        <v>6090</v>
      </c>
      <c r="G1309" t="s">
        <v>715</v>
      </c>
      <c r="H1309" t="s">
        <v>149</v>
      </c>
      <c r="I1309" t="s">
        <v>4322</v>
      </c>
      <c r="J1309" t="s">
        <v>37</v>
      </c>
      <c r="K1309" t="s">
        <v>32</v>
      </c>
      <c r="L1309" t="s">
        <v>35</v>
      </c>
      <c r="AQ1309">
        <v>0</v>
      </c>
      <c r="AR1309" s="3">
        <f t="shared" si="60"/>
        <v>0</v>
      </c>
      <c r="AS1309" s="3">
        <f t="shared" si="61"/>
        <v>0</v>
      </c>
      <c r="AT1309" s="3" t="str">
        <f>IF(OR(Registered!AM1309&gt;0,Registered!AO1309&gt;0),(IF(Registered!E1309=0,"Size Not Specified",Registered!E1309)),"")</f>
        <v/>
      </c>
      <c r="AU1309" s="3" t="str">
        <f>IF(Registered!AE1309=0,"",IF(Registered!AE1309=1,Registered!AE1309&amp;" Bandana",Registered!AE1309&amp;" Bandanas"))</f>
        <v/>
      </c>
      <c r="AV1309" s="3">
        <f t="shared" si="62"/>
        <v>0</v>
      </c>
      <c r="AW1309" s="2" t="str">
        <f>IF(Registered!AV1309=0,"",IF(Registered!AV1309=1,Registered!AV1309&amp;" Meal",Registered!AV1309&amp;" Meals"))</f>
        <v/>
      </c>
      <c r="AX1309" s="2" t="str">
        <f>IF(Registered!AI1309=0,"",Registered!AI1309&amp;" BG")</f>
        <v/>
      </c>
      <c r="AY1309" s="2" t="str">
        <f>IF(Registered!AG1309=0,"",Registered!AG1309&amp;" DustMask")</f>
        <v/>
      </c>
    </row>
    <row r="1310" spans="1:51" customFormat="1" x14ac:dyDescent="0.25">
      <c r="A1310" t="s">
        <v>1713</v>
      </c>
      <c r="B1310" t="s">
        <v>149</v>
      </c>
      <c r="C1310" t="s">
        <v>6090</v>
      </c>
      <c r="D1310" t="s">
        <v>1714</v>
      </c>
      <c r="F1310" t="s">
        <v>261</v>
      </c>
      <c r="I1310" t="s">
        <v>1715</v>
      </c>
      <c r="J1310" t="s">
        <v>37</v>
      </c>
      <c r="K1310" t="s">
        <v>32</v>
      </c>
      <c r="L1310" t="s">
        <v>35</v>
      </c>
      <c r="S1310">
        <v>2</v>
      </c>
      <c r="T1310">
        <v>3</v>
      </c>
      <c r="U1310">
        <v>2</v>
      </c>
      <c r="V1310">
        <v>20</v>
      </c>
      <c r="AQ1310">
        <v>46</v>
      </c>
      <c r="AR1310" s="3">
        <f t="shared" si="60"/>
        <v>20</v>
      </c>
      <c r="AS1310" s="3">
        <f t="shared" si="61"/>
        <v>0</v>
      </c>
      <c r="AT1310" s="3" t="str">
        <f>IF(OR(Registered!AM1310&gt;0,Registered!AO1310&gt;0),(IF(Registered!E1310=0,"Size Not Specified",Registered!E1310)),"")</f>
        <v/>
      </c>
      <c r="AU1310" s="3" t="str">
        <f>IF(Registered!AE1310=0,"",IF(Registered!AE1310=1,Registered!AE1310&amp;" Bandana",Registered!AE1310&amp;" Bandanas"))</f>
        <v/>
      </c>
      <c r="AV1310" s="3">
        <f t="shared" si="62"/>
        <v>0</v>
      </c>
      <c r="AW1310" s="2" t="str">
        <f>IF(Registered!AV1310=0,"",IF(Registered!AV1310=1,Registered!AV1310&amp;" Meal",Registered!AV1310&amp;" Meals"))</f>
        <v/>
      </c>
      <c r="AX1310" s="2" t="str">
        <f>IF(Registered!AI1310=0,"",Registered!AI1310&amp;" BG")</f>
        <v/>
      </c>
      <c r="AY1310" s="2" t="str">
        <f>IF(Registered!AG1310=0,"",Registered!AG1310&amp;" DustMask")</f>
        <v/>
      </c>
    </row>
    <row r="1311" spans="1:51" customFormat="1" x14ac:dyDescent="0.25">
      <c r="A1311" t="s">
        <v>2955</v>
      </c>
      <c r="B1311" t="s">
        <v>149</v>
      </c>
      <c r="C1311" t="s">
        <v>6090</v>
      </c>
      <c r="G1311" t="s">
        <v>715</v>
      </c>
      <c r="H1311" t="s">
        <v>149</v>
      </c>
      <c r="I1311" t="s">
        <v>4322</v>
      </c>
      <c r="J1311" t="s">
        <v>37</v>
      </c>
      <c r="K1311" t="s">
        <v>32</v>
      </c>
      <c r="L1311" t="s">
        <v>35</v>
      </c>
      <c r="AQ1311">
        <v>0</v>
      </c>
      <c r="AR1311" s="3">
        <f t="shared" si="60"/>
        <v>0</v>
      </c>
      <c r="AS1311" s="3">
        <f t="shared" si="61"/>
        <v>0</v>
      </c>
      <c r="AT1311" s="3" t="str">
        <f>IF(OR(Registered!AM1311&gt;0,Registered!AO1311&gt;0),(IF(Registered!E1311=0,"Size Not Specified",Registered!E1311)),"")</f>
        <v/>
      </c>
      <c r="AU1311" s="3" t="str">
        <f>IF(Registered!AE1311=0,"",IF(Registered!AE1311=1,Registered!AE1311&amp;" Bandana",Registered!AE1311&amp;" Bandanas"))</f>
        <v/>
      </c>
      <c r="AV1311" s="3">
        <f t="shared" si="62"/>
        <v>0</v>
      </c>
      <c r="AW1311" s="2" t="str">
        <f>IF(Registered!AV1311=0,"",IF(Registered!AV1311=1,Registered!AV1311&amp;" Meal",Registered!AV1311&amp;" Meals"))</f>
        <v/>
      </c>
      <c r="AX1311" s="2" t="str">
        <f>IF(Registered!AI1311=0,"",Registered!AI1311&amp;" BG")</f>
        <v/>
      </c>
      <c r="AY1311" s="2" t="str">
        <f>IF(Registered!AG1311=0,"",Registered!AG1311&amp;" DustMask")</f>
        <v/>
      </c>
    </row>
    <row r="1312" spans="1:51" customFormat="1" x14ac:dyDescent="0.25">
      <c r="A1312" t="s">
        <v>263</v>
      </c>
      <c r="B1312" t="s">
        <v>149</v>
      </c>
      <c r="C1312" t="s">
        <v>6090</v>
      </c>
      <c r="F1312" t="s">
        <v>261</v>
      </c>
      <c r="I1312" t="s">
        <v>4657</v>
      </c>
      <c r="J1312" t="s">
        <v>37</v>
      </c>
      <c r="K1312" t="s">
        <v>32</v>
      </c>
      <c r="L1312" t="s">
        <v>35</v>
      </c>
      <c r="Q1312">
        <v>2</v>
      </c>
      <c r="R1312">
        <v>3</v>
      </c>
      <c r="AQ1312">
        <v>6</v>
      </c>
      <c r="AR1312" s="3">
        <f t="shared" si="60"/>
        <v>0</v>
      </c>
      <c r="AS1312" s="3">
        <f t="shared" si="61"/>
        <v>0</v>
      </c>
      <c r="AT1312" s="3" t="str">
        <f>IF(OR(Registered!AM1312&gt;0,Registered!AO1312&gt;0),(IF(Registered!E1312=0,"Size Not Specified",Registered!E1312)),"")</f>
        <v/>
      </c>
      <c r="AU1312" s="3" t="str">
        <f>IF(Registered!AE1312=0,"",IF(Registered!AE1312=1,Registered!AE1312&amp;" Bandana",Registered!AE1312&amp;" Bandanas"))</f>
        <v/>
      </c>
      <c r="AV1312" s="3">
        <f t="shared" si="62"/>
        <v>0</v>
      </c>
      <c r="AW1312" s="2" t="str">
        <f>IF(Registered!AV1312=0,"",IF(Registered!AV1312=1,Registered!AV1312&amp;" Meal",Registered!AV1312&amp;" Meals"))</f>
        <v/>
      </c>
      <c r="AX1312" s="2" t="str">
        <f>IF(Registered!AI1312=0,"",Registered!AI1312&amp;" BG")</f>
        <v/>
      </c>
      <c r="AY1312" s="2" t="str">
        <f>IF(Registered!AG1312=0,"",Registered!AG1312&amp;" DustMask")</f>
        <v/>
      </c>
    </row>
    <row r="1313" spans="1:51" customFormat="1" x14ac:dyDescent="0.25">
      <c r="A1313" t="s">
        <v>1716</v>
      </c>
      <c r="B1313" t="s">
        <v>149</v>
      </c>
      <c r="C1313" t="s">
        <v>6090</v>
      </c>
      <c r="G1313" t="s">
        <v>1713</v>
      </c>
      <c r="H1313" t="s">
        <v>149</v>
      </c>
      <c r="I1313" t="s">
        <v>1715</v>
      </c>
      <c r="J1313" t="s">
        <v>37</v>
      </c>
      <c r="K1313" t="s">
        <v>32</v>
      </c>
      <c r="L1313" t="s">
        <v>35</v>
      </c>
      <c r="AQ1313">
        <v>0</v>
      </c>
      <c r="AR1313" s="3">
        <f t="shared" si="60"/>
        <v>0</v>
      </c>
      <c r="AS1313" s="3">
        <f t="shared" si="61"/>
        <v>0</v>
      </c>
      <c r="AT1313" s="3" t="str">
        <f>IF(OR(Registered!AM1313&gt;0,Registered!AO1313&gt;0),(IF(Registered!E1313=0,"Size Not Specified",Registered!E1313)),"")</f>
        <v/>
      </c>
      <c r="AU1313" s="3" t="str">
        <f>IF(Registered!AE1313=0,"",IF(Registered!AE1313=1,Registered!AE1313&amp;" Bandana",Registered!AE1313&amp;" Bandanas"))</f>
        <v/>
      </c>
      <c r="AV1313" s="3">
        <f t="shared" si="62"/>
        <v>0</v>
      </c>
      <c r="AW1313" s="2" t="str">
        <f>IF(Registered!AV1313=0,"",IF(Registered!AV1313=1,Registered!AV1313&amp;" Meal",Registered!AV1313&amp;" Meals"))</f>
        <v/>
      </c>
      <c r="AX1313" s="2" t="str">
        <f>IF(Registered!AI1313=0,"",Registered!AI1313&amp;" BG")</f>
        <v/>
      </c>
      <c r="AY1313" s="2" t="str">
        <f>IF(Registered!AG1313=0,"",Registered!AG1313&amp;" DustMask")</f>
        <v/>
      </c>
    </row>
    <row r="1314" spans="1:51" customFormat="1" x14ac:dyDescent="0.25">
      <c r="A1314" t="s">
        <v>88</v>
      </c>
      <c r="B1314" t="s">
        <v>149</v>
      </c>
      <c r="C1314" t="s">
        <v>6090</v>
      </c>
      <c r="D1314" t="s">
        <v>4936</v>
      </c>
      <c r="F1314" t="s">
        <v>261</v>
      </c>
      <c r="I1314" t="s">
        <v>4937</v>
      </c>
      <c r="J1314" t="s">
        <v>37</v>
      </c>
      <c r="K1314" t="s">
        <v>32</v>
      </c>
      <c r="L1314" t="s">
        <v>35</v>
      </c>
      <c r="Q1314">
        <v>2</v>
      </c>
      <c r="R1314">
        <v>3</v>
      </c>
      <c r="AC1314">
        <v>1</v>
      </c>
      <c r="AD1314">
        <v>10</v>
      </c>
      <c r="AQ1314">
        <v>16</v>
      </c>
      <c r="AR1314" s="3">
        <f t="shared" si="60"/>
        <v>5</v>
      </c>
      <c r="AS1314" s="3">
        <f t="shared" si="61"/>
        <v>0</v>
      </c>
      <c r="AT1314" s="3" t="str">
        <f>IF(OR(Registered!AM1314&gt;0,Registered!AO1314&gt;0),(IF(Registered!E1314=0,"Size Not Specified",Registered!E1314)),"")</f>
        <v/>
      </c>
      <c r="AU1314" s="3" t="str">
        <f>IF(Registered!AE1314=0,"",IF(Registered!AE1314=1,Registered!AE1314&amp;" Bandana",Registered!AE1314&amp;" Bandanas"))</f>
        <v/>
      </c>
      <c r="AV1314" s="3">
        <f t="shared" si="62"/>
        <v>0</v>
      </c>
      <c r="AW1314" s="2" t="str">
        <f>IF(Registered!AV1314=0,"",IF(Registered!AV1314=1,Registered!AV1314&amp;" Meal",Registered!AV1314&amp;" Meals"))</f>
        <v/>
      </c>
      <c r="AX1314" s="2" t="str">
        <f>IF(Registered!AI1314=0,"",Registered!AI1314&amp;" BG")</f>
        <v/>
      </c>
      <c r="AY1314" s="2" t="str">
        <f>IF(Registered!AG1314=0,"",Registered!AG1314&amp;" DustMask")</f>
        <v/>
      </c>
    </row>
    <row r="1315" spans="1:51" customFormat="1" x14ac:dyDescent="0.25">
      <c r="A1315" t="s">
        <v>715</v>
      </c>
      <c r="B1315" t="s">
        <v>149</v>
      </c>
      <c r="C1315" t="s">
        <v>6090</v>
      </c>
      <c r="D1315" t="s">
        <v>4938</v>
      </c>
      <c r="F1315" t="s">
        <v>261</v>
      </c>
      <c r="I1315" t="s">
        <v>4322</v>
      </c>
      <c r="J1315" t="s">
        <v>37</v>
      </c>
      <c r="K1315" t="s">
        <v>32</v>
      </c>
      <c r="L1315" t="s">
        <v>35</v>
      </c>
      <c r="Q1315">
        <v>4</v>
      </c>
      <c r="R1315">
        <v>3</v>
      </c>
      <c r="AC1315">
        <v>4</v>
      </c>
      <c r="AD1315">
        <v>10</v>
      </c>
      <c r="AQ1315">
        <v>52</v>
      </c>
      <c r="AR1315" s="3">
        <f t="shared" si="60"/>
        <v>20</v>
      </c>
      <c r="AS1315" s="3">
        <f t="shared" si="61"/>
        <v>0</v>
      </c>
      <c r="AT1315" s="3" t="str">
        <f>IF(OR(Registered!AM1315&gt;0,Registered!AO1315&gt;0),(IF(Registered!E1315=0,"Size Not Specified",Registered!E1315)),"")</f>
        <v/>
      </c>
      <c r="AU1315" s="3" t="str">
        <f>IF(Registered!AE1315=0,"",IF(Registered!AE1315=1,Registered!AE1315&amp;" Bandana",Registered!AE1315&amp;" Bandanas"))</f>
        <v/>
      </c>
      <c r="AV1315" s="3">
        <f t="shared" si="62"/>
        <v>0</v>
      </c>
      <c r="AW1315" s="2" t="str">
        <f>IF(Registered!AV1315=0,"",IF(Registered!AV1315=1,Registered!AV1315&amp;" Meal",Registered!AV1315&amp;" Meals"))</f>
        <v/>
      </c>
      <c r="AX1315" s="2" t="str">
        <f>IF(Registered!AI1315=0,"",Registered!AI1315&amp;" BG")</f>
        <v/>
      </c>
      <c r="AY1315" s="2" t="str">
        <f>IF(Registered!AG1315=0,"",Registered!AG1315&amp;" DustMask")</f>
        <v/>
      </c>
    </row>
    <row r="1316" spans="1:51" customFormat="1" x14ac:dyDescent="0.25">
      <c r="A1316" t="s">
        <v>56</v>
      </c>
      <c r="B1316" t="s">
        <v>220</v>
      </c>
      <c r="C1316" t="s">
        <v>6090</v>
      </c>
      <c r="D1316" t="s">
        <v>3118</v>
      </c>
      <c r="F1316" t="s">
        <v>261</v>
      </c>
      <c r="I1316" t="s">
        <v>3119</v>
      </c>
      <c r="J1316" t="s">
        <v>37</v>
      </c>
      <c r="K1316" t="s">
        <v>32</v>
      </c>
      <c r="L1316" t="s">
        <v>35</v>
      </c>
      <c r="Q1316">
        <v>1</v>
      </c>
      <c r="R1316">
        <v>3</v>
      </c>
      <c r="AM1316">
        <v>2</v>
      </c>
      <c r="AN1316">
        <v>25</v>
      </c>
      <c r="AQ1316">
        <v>53</v>
      </c>
      <c r="AR1316" s="3">
        <f t="shared" si="60"/>
        <v>10</v>
      </c>
      <c r="AS1316" s="3">
        <f t="shared" si="61"/>
        <v>2</v>
      </c>
      <c r="AT1316" s="3" t="str">
        <f>IF(OR(Registered!AM1316&gt;0,Registered!AO1316&gt;0),(IF(Registered!E1316=0,"Size Not Specified",Registered!E1316)),"")</f>
        <v>Size Not Specified</v>
      </c>
      <c r="AU1316" s="3" t="str">
        <f>IF(Registered!AE1316=0,"",IF(Registered!AE1316=1,Registered!AE1316&amp;" Bandana",Registered!AE1316&amp;" Bandanas"))</f>
        <v/>
      </c>
      <c r="AV1316" s="3">
        <f t="shared" si="62"/>
        <v>2</v>
      </c>
      <c r="AW1316" s="2" t="str">
        <f>IF(Registered!AV1316=0,"",IF(Registered!AV1316=1,Registered!AV1316&amp;" Meal",Registered!AV1316&amp;" Meals"))</f>
        <v>2 Meals</v>
      </c>
      <c r="AX1316" s="2" t="str">
        <f>IF(Registered!AI1316=0,"",Registered!AI1316&amp;" BG")</f>
        <v/>
      </c>
      <c r="AY1316" s="2" t="str">
        <f>IF(Registered!AG1316=0,"",Registered!AG1316&amp;" DustMask")</f>
        <v/>
      </c>
    </row>
    <row r="1317" spans="1:51" customFormat="1" x14ac:dyDescent="0.25">
      <c r="A1317" t="s">
        <v>146</v>
      </c>
      <c r="B1317" t="s">
        <v>3120</v>
      </c>
      <c r="C1317" t="s">
        <v>6090</v>
      </c>
      <c r="D1317" t="s">
        <v>146</v>
      </c>
      <c r="E1317" t="s">
        <v>117</v>
      </c>
      <c r="F1317" t="s">
        <v>261</v>
      </c>
      <c r="I1317" t="s">
        <v>3121</v>
      </c>
      <c r="J1317" t="s">
        <v>37</v>
      </c>
      <c r="K1317" t="s">
        <v>32</v>
      </c>
      <c r="L1317" t="s">
        <v>35</v>
      </c>
      <c r="Q1317">
        <v>1</v>
      </c>
      <c r="R1317">
        <v>3</v>
      </c>
      <c r="AC1317">
        <v>1</v>
      </c>
      <c r="AD1317">
        <v>10</v>
      </c>
      <c r="AM1317">
        <v>1</v>
      </c>
      <c r="AN1317">
        <v>25</v>
      </c>
      <c r="AQ1317">
        <v>38</v>
      </c>
      <c r="AR1317" s="3">
        <f t="shared" si="60"/>
        <v>10</v>
      </c>
      <c r="AS1317" s="3">
        <f t="shared" si="61"/>
        <v>1</v>
      </c>
      <c r="AT1317" s="3" t="str">
        <f>IF(OR(Registered!AM1317&gt;0,Registered!AO1317&gt;0),(IF(Registered!E1317=0,"Size Not Specified",Registered!E1317)),"")</f>
        <v>Large</v>
      </c>
      <c r="AU1317" s="3" t="str">
        <f>IF(Registered!AE1317=0,"",IF(Registered!AE1317=1,Registered!AE1317&amp;" Bandana",Registered!AE1317&amp;" Bandanas"))</f>
        <v/>
      </c>
      <c r="AV1317" s="3">
        <f t="shared" si="62"/>
        <v>1</v>
      </c>
      <c r="AW1317" s="2" t="str">
        <f>IF(Registered!AV1317=0,"",IF(Registered!AV1317=1,Registered!AV1317&amp;" Meal",Registered!AV1317&amp;" Meals"))</f>
        <v>1 Meal</v>
      </c>
      <c r="AX1317" s="2" t="str">
        <f>IF(Registered!AI1317=0,"",Registered!AI1317&amp;" BG")</f>
        <v/>
      </c>
      <c r="AY1317" s="2" t="str">
        <f>IF(Registered!AG1317=0,"",Registered!AG1317&amp;" DustMask")</f>
        <v/>
      </c>
    </row>
    <row r="1318" spans="1:51" customFormat="1" x14ac:dyDescent="0.25">
      <c r="A1318" t="s">
        <v>3122</v>
      </c>
      <c r="B1318" t="s">
        <v>3123</v>
      </c>
      <c r="C1318" t="s">
        <v>6090</v>
      </c>
      <c r="F1318" t="s">
        <v>261</v>
      </c>
      <c r="I1318" t="s">
        <v>3124</v>
      </c>
      <c r="J1318" t="s">
        <v>37</v>
      </c>
      <c r="K1318" t="s">
        <v>32</v>
      </c>
      <c r="L1318" t="s">
        <v>35</v>
      </c>
      <c r="Q1318">
        <v>1</v>
      </c>
      <c r="R1318">
        <v>3</v>
      </c>
      <c r="AQ1318">
        <v>3</v>
      </c>
      <c r="AR1318" s="3">
        <f t="shared" si="60"/>
        <v>0</v>
      </c>
      <c r="AS1318" s="3">
        <f t="shared" si="61"/>
        <v>0</v>
      </c>
      <c r="AT1318" s="3" t="str">
        <f>IF(OR(Registered!AM1318&gt;0,Registered!AO1318&gt;0),(IF(Registered!E1318=0,"Size Not Specified",Registered!E1318)),"")</f>
        <v/>
      </c>
      <c r="AU1318" s="3" t="str">
        <f>IF(Registered!AE1318=0,"",IF(Registered!AE1318=1,Registered!AE1318&amp;" Bandana",Registered!AE1318&amp;" Bandanas"))</f>
        <v/>
      </c>
      <c r="AV1318" s="3">
        <f t="shared" si="62"/>
        <v>0</v>
      </c>
      <c r="AW1318" s="2" t="str">
        <f>IF(Registered!AV1318=0,"",IF(Registered!AV1318=1,Registered!AV1318&amp;" Meal",Registered!AV1318&amp;" Meals"))</f>
        <v/>
      </c>
      <c r="AX1318" s="2" t="str">
        <f>IF(Registered!AI1318=0,"",Registered!AI1318&amp;" BG")</f>
        <v/>
      </c>
      <c r="AY1318" s="2" t="str">
        <f>IF(Registered!AG1318=0,"",Registered!AG1318&amp;" DustMask")</f>
        <v/>
      </c>
    </row>
    <row r="1319" spans="1:51" customFormat="1" x14ac:dyDescent="0.25">
      <c r="A1319" t="s">
        <v>936</v>
      </c>
      <c r="B1319" t="s">
        <v>3125</v>
      </c>
      <c r="C1319" t="s">
        <v>6090</v>
      </c>
      <c r="F1319" t="s">
        <v>261</v>
      </c>
      <c r="I1319" t="s">
        <v>3126</v>
      </c>
      <c r="J1319" t="s">
        <v>37</v>
      </c>
      <c r="K1319" t="s">
        <v>32</v>
      </c>
      <c r="L1319" t="s">
        <v>35</v>
      </c>
      <c r="Q1319">
        <v>1</v>
      </c>
      <c r="R1319">
        <v>3</v>
      </c>
      <c r="AG1319">
        <v>1</v>
      </c>
      <c r="AH1319">
        <v>1</v>
      </c>
      <c r="AQ1319">
        <v>4</v>
      </c>
      <c r="AR1319" s="3">
        <f t="shared" si="60"/>
        <v>0</v>
      </c>
      <c r="AS1319" s="3">
        <f t="shared" si="61"/>
        <v>0</v>
      </c>
      <c r="AT1319" s="3" t="str">
        <f>IF(OR(Registered!AM1319&gt;0,Registered!AO1319&gt;0),(IF(Registered!E1319=0,"Size Not Specified",Registered!E1319)),"")</f>
        <v/>
      </c>
      <c r="AU1319" s="3" t="str">
        <f>IF(Registered!AE1319=0,"",IF(Registered!AE1319=1,Registered!AE1319&amp;" Bandana",Registered!AE1319&amp;" Bandanas"))</f>
        <v/>
      </c>
      <c r="AV1319" s="3">
        <f t="shared" si="62"/>
        <v>0</v>
      </c>
      <c r="AW1319" s="2" t="str">
        <f>IF(Registered!AV1319=0,"",IF(Registered!AV1319=1,Registered!AV1319&amp;" Meal",Registered!AV1319&amp;" Meals"))</f>
        <v/>
      </c>
      <c r="AX1319" s="2" t="str">
        <f>IF(Registered!AI1319=0,"",Registered!AI1319&amp;" BG")</f>
        <v/>
      </c>
      <c r="AY1319" s="2" t="str">
        <f>IF(Registered!AG1319=0,"",Registered!AG1319&amp;" DustMask")</f>
        <v>1 DustMask</v>
      </c>
    </row>
    <row r="1320" spans="1:51" customFormat="1" x14ac:dyDescent="0.25">
      <c r="A1320" t="s">
        <v>4942</v>
      </c>
      <c r="B1320" t="s">
        <v>1448</v>
      </c>
      <c r="C1320" t="s">
        <v>6090</v>
      </c>
      <c r="G1320" t="s">
        <v>4129</v>
      </c>
      <c r="H1320" t="s">
        <v>4130</v>
      </c>
      <c r="I1320" t="s">
        <v>4132</v>
      </c>
      <c r="J1320" t="s">
        <v>37</v>
      </c>
      <c r="K1320" t="s">
        <v>32</v>
      </c>
      <c r="L1320" t="s">
        <v>35</v>
      </c>
      <c r="AQ1320">
        <v>0</v>
      </c>
      <c r="AR1320" s="3">
        <f t="shared" si="60"/>
        <v>0</v>
      </c>
      <c r="AS1320" s="3">
        <f t="shared" si="61"/>
        <v>0</v>
      </c>
      <c r="AT1320" s="3" t="str">
        <f>IF(OR(Registered!AM1320&gt;0,Registered!AO1320&gt;0),(IF(Registered!E1320=0,"Size Not Specified",Registered!E1320)),"")</f>
        <v/>
      </c>
      <c r="AU1320" s="3" t="str">
        <f>IF(Registered!AE1320=0,"",IF(Registered!AE1320=1,Registered!AE1320&amp;" Bandana",Registered!AE1320&amp;" Bandanas"))</f>
        <v/>
      </c>
      <c r="AV1320" s="3">
        <f t="shared" si="62"/>
        <v>0</v>
      </c>
      <c r="AW1320" s="2" t="str">
        <f>IF(Registered!AV1320=0,"",IF(Registered!AV1320=1,Registered!AV1320&amp;" Meal",Registered!AV1320&amp;" Meals"))</f>
        <v/>
      </c>
      <c r="AX1320" s="2" t="str">
        <f>IF(Registered!AI1320=0,"",Registered!AI1320&amp;" BG")</f>
        <v/>
      </c>
      <c r="AY1320" s="2" t="str">
        <f>IF(Registered!AG1320=0,"",Registered!AG1320&amp;" DustMask")</f>
        <v/>
      </c>
    </row>
    <row r="1321" spans="1:51" customFormat="1" x14ac:dyDescent="0.25">
      <c r="A1321" t="s">
        <v>93</v>
      </c>
      <c r="B1321" t="s">
        <v>1448</v>
      </c>
      <c r="C1321" t="s">
        <v>6090</v>
      </c>
      <c r="G1321" t="s">
        <v>97</v>
      </c>
      <c r="H1321" t="s">
        <v>1283</v>
      </c>
      <c r="I1321" t="s">
        <v>1286</v>
      </c>
      <c r="J1321" t="s">
        <v>37</v>
      </c>
      <c r="K1321" t="s">
        <v>32</v>
      </c>
      <c r="L1321" t="s">
        <v>35</v>
      </c>
      <c r="AQ1321">
        <v>0</v>
      </c>
      <c r="AR1321" s="3">
        <f t="shared" si="60"/>
        <v>0</v>
      </c>
      <c r="AS1321" s="3">
        <f t="shared" si="61"/>
        <v>0</v>
      </c>
      <c r="AT1321" s="3" t="str">
        <f>IF(OR(Registered!AM1321&gt;0,Registered!AO1321&gt;0),(IF(Registered!E1321=0,"Size Not Specified",Registered!E1321)),"")</f>
        <v/>
      </c>
      <c r="AU1321" s="3" t="str">
        <f>IF(Registered!AE1321=0,"",IF(Registered!AE1321=1,Registered!AE1321&amp;" Bandana",Registered!AE1321&amp;" Bandanas"))</f>
        <v/>
      </c>
      <c r="AV1321" s="3">
        <f t="shared" si="62"/>
        <v>0</v>
      </c>
      <c r="AW1321" s="2" t="str">
        <f>IF(Registered!AV1321=0,"",IF(Registered!AV1321=1,Registered!AV1321&amp;" Meal",Registered!AV1321&amp;" Meals"))</f>
        <v/>
      </c>
      <c r="AX1321" s="2" t="str">
        <f>IF(Registered!AI1321=0,"",Registered!AI1321&amp;" BG")</f>
        <v/>
      </c>
      <c r="AY1321" s="2" t="str">
        <f>IF(Registered!AG1321=0,"",Registered!AG1321&amp;" DustMask")</f>
        <v/>
      </c>
    </row>
    <row r="1322" spans="1:51" customFormat="1" x14ac:dyDescent="0.25">
      <c r="A1322" t="s">
        <v>141</v>
      </c>
      <c r="B1322" t="s">
        <v>4943</v>
      </c>
      <c r="C1322" t="s">
        <v>6090</v>
      </c>
      <c r="D1322" t="s">
        <v>4944</v>
      </c>
      <c r="F1322" t="s">
        <v>261</v>
      </c>
      <c r="I1322" t="s">
        <v>4945</v>
      </c>
      <c r="J1322" t="s">
        <v>37</v>
      </c>
      <c r="K1322" t="s">
        <v>32</v>
      </c>
      <c r="L1322" t="s">
        <v>35</v>
      </c>
      <c r="Q1322">
        <v>1</v>
      </c>
      <c r="R1322">
        <v>3</v>
      </c>
      <c r="AC1322">
        <v>1</v>
      </c>
      <c r="AD1322">
        <v>10</v>
      </c>
      <c r="AQ1322">
        <v>13</v>
      </c>
      <c r="AR1322" s="3">
        <f t="shared" si="60"/>
        <v>5</v>
      </c>
      <c r="AS1322" s="3">
        <f t="shared" si="61"/>
        <v>0</v>
      </c>
      <c r="AT1322" s="3" t="str">
        <f>IF(OR(Registered!AM1322&gt;0,Registered!AO1322&gt;0),(IF(Registered!E1322=0,"Size Not Specified",Registered!E1322)),"")</f>
        <v/>
      </c>
      <c r="AU1322" s="3" t="str">
        <f>IF(Registered!AE1322=0,"",IF(Registered!AE1322=1,Registered!AE1322&amp;" Bandana",Registered!AE1322&amp;" Bandanas"))</f>
        <v/>
      </c>
      <c r="AV1322" s="3">
        <f t="shared" si="62"/>
        <v>0</v>
      </c>
      <c r="AW1322" s="2" t="str">
        <f>IF(Registered!AV1322=0,"",IF(Registered!AV1322=1,Registered!AV1322&amp;" Meal",Registered!AV1322&amp;" Meals"))</f>
        <v/>
      </c>
      <c r="AX1322" s="2" t="str">
        <f>IF(Registered!AI1322=0,"",Registered!AI1322&amp;" BG")</f>
        <v/>
      </c>
      <c r="AY1322" s="2" t="str">
        <f>IF(Registered!AG1322=0,"",Registered!AG1322&amp;" DustMask")</f>
        <v/>
      </c>
    </row>
    <row r="1323" spans="1:51" customFormat="1" x14ac:dyDescent="0.25">
      <c r="A1323" t="s">
        <v>407</v>
      </c>
      <c r="B1323" t="s">
        <v>4946</v>
      </c>
      <c r="C1323" t="s">
        <v>6090</v>
      </c>
      <c r="D1323" t="s">
        <v>4947</v>
      </c>
      <c r="E1323" t="s">
        <v>686</v>
      </c>
      <c r="F1323" t="s">
        <v>261</v>
      </c>
      <c r="I1323" t="s">
        <v>4948</v>
      </c>
      <c r="J1323" t="s">
        <v>37</v>
      </c>
      <c r="K1323" t="s">
        <v>32</v>
      </c>
      <c r="L1323" t="s">
        <v>35</v>
      </c>
      <c r="Q1323">
        <v>1</v>
      </c>
      <c r="R1323">
        <v>3</v>
      </c>
      <c r="AC1323">
        <v>1</v>
      </c>
      <c r="AD1323">
        <v>10</v>
      </c>
      <c r="AQ1323">
        <v>13</v>
      </c>
      <c r="AR1323" s="3">
        <f t="shared" si="60"/>
        <v>5</v>
      </c>
      <c r="AS1323" s="3">
        <f t="shared" si="61"/>
        <v>0</v>
      </c>
      <c r="AT1323" s="3" t="str">
        <f>IF(OR(Registered!AM1323&gt;0,Registered!AO1323&gt;0),(IF(Registered!E1323=0,"Size Not Specified",Registered!E1323)),"")</f>
        <v/>
      </c>
      <c r="AU1323" s="3" t="str">
        <f>IF(Registered!AE1323=0,"",IF(Registered!AE1323=1,Registered!AE1323&amp;" Bandana",Registered!AE1323&amp;" Bandanas"))</f>
        <v/>
      </c>
      <c r="AV1323" s="3">
        <f t="shared" si="62"/>
        <v>0</v>
      </c>
      <c r="AW1323" s="2" t="str">
        <f>IF(Registered!AV1323=0,"",IF(Registered!AV1323=1,Registered!AV1323&amp;" Meal",Registered!AV1323&amp;" Meals"))</f>
        <v/>
      </c>
      <c r="AX1323" s="2" t="str">
        <f>IF(Registered!AI1323=0,"",Registered!AI1323&amp;" BG")</f>
        <v/>
      </c>
      <c r="AY1323" s="2" t="str">
        <f>IF(Registered!AG1323=0,"",Registered!AG1323&amp;" DustMask")</f>
        <v/>
      </c>
    </row>
    <row r="1324" spans="1:51" customFormat="1" x14ac:dyDescent="0.25">
      <c r="A1324" t="s">
        <v>253</v>
      </c>
      <c r="B1324" t="s">
        <v>291</v>
      </c>
      <c r="C1324" t="s">
        <v>6090</v>
      </c>
      <c r="D1324" t="s">
        <v>198</v>
      </c>
      <c r="I1324" t="s">
        <v>4949</v>
      </c>
      <c r="J1324" t="s">
        <v>37</v>
      </c>
      <c r="K1324" t="s">
        <v>32</v>
      </c>
      <c r="L1324" t="s">
        <v>35</v>
      </c>
      <c r="Q1324">
        <v>2</v>
      </c>
      <c r="R1324">
        <v>3</v>
      </c>
      <c r="AQ1324">
        <v>6</v>
      </c>
      <c r="AR1324" s="3">
        <f t="shared" si="60"/>
        <v>0</v>
      </c>
      <c r="AS1324" s="3">
        <f t="shared" si="61"/>
        <v>0</v>
      </c>
      <c r="AT1324" s="3" t="str">
        <f>IF(OR(Registered!AM1324&gt;0,Registered!AO1324&gt;0),(IF(Registered!E1324=0,"Size Not Specified",Registered!E1324)),"")</f>
        <v/>
      </c>
      <c r="AU1324" s="3" t="str">
        <f>IF(Registered!AE1324=0,"",IF(Registered!AE1324=1,Registered!AE1324&amp;" Bandana",Registered!AE1324&amp;" Bandanas"))</f>
        <v/>
      </c>
      <c r="AV1324" s="3">
        <f t="shared" si="62"/>
        <v>0</v>
      </c>
      <c r="AW1324" s="2" t="str">
        <f>IF(Registered!AV1324=0,"",IF(Registered!AV1324=1,Registered!AV1324&amp;" Meal",Registered!AV1324&amp;" Meals"))</f>
        <v/>
      </c>
      <c r="AX1324" s="2" t="str">
        <f>IF(Registered!AI1324=0,"",Registered!AI1324&amp;" BG")</f>
        <v/>
      </c>
      <c r="AY1324" s="2" t="str">
        <f>IF(Registered!AG1324=0,"",Registered!AG1324&amp;" DustMask")</f>
        <v/>
      </c>
    </row>
    <row r="1325" spans="1:51" customFormat="1" x14ac:dyDescent="0.25">
      <c r="A1325" t="s">
        <v>291</v>
      </c>
      <c r="B1325" t="s">
        <v>1717</v>
      </c>
      <c r="C1325" t="s">
        <v>6090</v>
      </c>
      <c r="G1325" t="s">
        <v>90</v>
      </c>
      <c r="H1325" t="s">
        <v>1189</v>
      </c>
      <c r="I1325" t="s">
        <v>1190</v>
      </c>
      <c r="J1325" t="s">
        <v>37</v>
      </c>
      <c r="K1325" t="s">
        <v>32</v>
      </c>
      <c r="L1325" t="s">
        <v>35</v>
      </c>
      <c r="AQ1325">
        <v>0</v>
      </c>
      <c r="AR1325" s="3">
        <f t="shared" si="60"/>
        <v>0</v>
      </c>
      <c r="AS1325" s="3">
        <f t="shared" si="61"/>
        <v>0</v>
      </c>
      <c r="AT1325" s="3" t="str">
        <f>IF(OR(Registered!AM1325&gt;0,Registered!AO1325&gt;0),(IF(Registered!E1325=0,"Size Not Specified",Registered!E1325)),"")</f>
        <v/>
      </c>
      <c r="AU1325" s="3" t="str">
        <f>IF(Registered!AE1325=0,"",IF(Registered!AE1325=1,Registered!AE1325&amp;" Bandana",Registered!AE1325&amp;" Bandanas"))</f>
        <v/>
      </c>
      <c r="AV1325" s="3">
        <f t="shared" si="62"/>
        <v>0</v>
      </c>
      <c r="AW1325" s="2" t="str">
        <f>IF(Registered!AV1325=0,"",IF(Registered!AV1325=1,Registered!AV1325&amp;" Meal",Registered!AV1325&amp;" Meals"))</f>
        <v/>
      </c>
      <c r="AX1325" s="2" t="str">
        <f>IF(Registered!AI1325=0,"",Registered!AI1325&amp;" BG")</f>
        <v/>
      </c>
      <c r="AY1325" s="2" t="str">
        <f>IF(Registered!AG1325=0,"",Registered!AG1325&amp;" DustMask")</f>
        <v/>
      </c>
    </row>
    <row r="1326" spans="1:51" customFormat="1" x14ac:dyDescent="0.25">
      <c r="A1326" t="s">
        <v>4950</v>
      </c>
      <c r="B1326" t="s">
        <v>4951</v>
      </c>
      <c r="C1326" t="s">
        <v>6090</v>
      </c>
      <c r="G1326" t="s">
        <v>4952</v>
      </c>
      <c r="H1326" t="s">
        <v>4953</v>
      </c>
      <c r="I1326" t="s">
        <v>4954</v>
      </c>
      <c r="J1326" t="s">
        <v>37</v>
      </c>
      <c r="K1326" t="s">
        <v>32</v>
      </c>
      <c r="L1326" t="s">
        <v>35</v>
      </c>
      <c r="AQ1326">
        <v>0</v>
      </c>
      <c r="AR1326" s="3">
        <f t="shared" si="60"/>
        <v>0</v>
      </c>
      <c r="AS1326" s="3">
        <f t="shared" si="61"/>
        <v>0</v>
      </c>
      <c r="AT1326" s="3" t="str">
        <f>IF(OR(Registered!AM1326&gt;0,Registered!AO1326&gt;0),(IF(Registered!E1326=0,"Size Not Specified",Registered!E1326)),"")</f>
        <v/>
      </c>
      <c r="AU1326" s="3" t="str">
        <f>IF(Registered!AE1326=0,"",IF(Registered!AE1326=1,Registered!AE1326&amp;" Bandana",Registered!AE1326&amp;" Bandanas"))</f>
        <v/>
      </c>
      <c r="AV1326" s="3">
        <f t="shared" si="62"/>
        <v>0</v>
      </c>
      <c r="AW1326" s="2" t="str">
        <f>IF(Registered!AV1326=0,"",IF(Registered!AV1326=1,Registered!AV1326&amp;" Meal",Registered!AV1326&amp;" Meals"))</f>
        <v/>
      </c>
      <c r="AX1326" s="2" t="str">
        <f>IF(Registered!AI1326=0,"",Registered!AI1326&amp;" BG")</f>
        <v/>
      </c>
      <c r="AY1326" s="2" t="str">
        <f>IF(Registered!AG1326=0,"",Registered!AG1326&amp;" DustMask")</f>
        <v/>
      </c>
    </row>
    <row r="1327" spans="1:51" customFormat="1" x14ac:dyDescent="0.25">
      <c r="A1327" t="s">
        <v>4955</v>
      </c>
      <c r="B1327" t="s">
        <v>968</v>
      </c>
      <c r="C1327" t="s">
        <v>6090</v>
      </c>
      <c r="G1327" t="s">
        <v>4956</v>
      </c>
      <c r="H1327" t="s">
        <v>968</v>
      </c>
      <c r="I1327" t="s">
        <v>4957</v>
      </c>
      <c r="J1327" t="s">
        <v>37</v>
      </c>
      <c r="K1327" t="s">
        <v>32</v>
      </c>
      <c r="L1327" t="s">
        <v>35</v>
      </c>
      <c r="AQ1327">
        <v>0</v>
      </c>
      <c r="AR1327" s="3">
        <f t="shared" si="60"/>
        <v>0</v>
      </c>
      <c r="AS1327" s="3">
        <f t="shared" si="61"/>
        <v>0</v>
      </c>
      <c r="AT1327" s="3" t="str">
        <f>IF(OR(Registered!AM1327&gt;0,Registered!AO1327&gt;0),(IF(Registered!E1327=0,"Size Not Specified",Registered!E1327)),"")</f>
        <v/>
      </c>
      <c r="AU1327" s="3" t="str">
        <f>IF(Registered!AE1327=0,"",IF(Registered!AE1327=1,Registered!AE1327&amp;" Bandana",Registered!AE1327&amp;" Bandanas"))</f>
        <v/>
      </c>
      <c r="AV1327" s="3">
        <f t="shared" si="62"/>
        <v>0</v>
      </c>
      <c r="AW1327" s="2" t="str">
        <f>IF(Registered!AV1327=0,"",IF(Registered!AV1327=1,Registered!AV1327&amp;" Meal",Registered!AV1327&amp;" Meals"))</f>
        <v/>
      </c>
      <c r="AX1327" s="2" t="str">
        <f>IF(Registered!AI1327=0,"",Registered!AI1327&amp;" BG")</f>
        <v/>
      </c>
      <c r="AY1327" s="2" t="str">
        <f>IF(Registered!AG1327=0,"",Registered!AG1327&amp;" DustMask")</f>
        <v/>
      </c>
    </row>
    <row r="1328" spans="1:51" customFormat="1" x14ac:dyDescent="0.25">
      <c r="A1328" t="s">
        <v>4956</v>
      </c>
      <c r="B1328" t="s">
        <v>968</v>
      </c>
      <c r="C1328" t="s">
        <v>6090</v>
      </c>
      <c r="D1328" t="s">
        <v>4958</v>
      </c>
      <c r="F1328" t="s">
        <v>261</v>
      </c>
      <c r="I1328" t="s">
        <v>4957</v>
      </c>
      <c r="J1328" t="s">
        <v>37</v>
      </c>
      <c r="K1328" t="s">
        <v>32</v>
      </c>
      <c r="L1328" t="s">
        <v>35</v>
      </c>
      <c r="Q1328">
        <v>3</v>
      </c>
      <c r="R1328">
        <v>3</v>
      </c>
      <c r="U1328">
        <v>1</v>
      </c>
      <c r="V1328">
        <v>20</v>
      </c>
      <c r="AQ1328">
        <v>29</v>
      </c>
      <c r="AR1328" s="3">
        <f t="shared" si="60"/>
        <v>10</v>
      </c>
      <c r="AS1328" s="3">
        <f t="shared" si="61"/>
        <v>0</v>
      </c>
      <c r="AT1328" s="3" t="str">
        <f>IF(OR(Registered!AM1328&gt;0,Registered!AO1328&gt;0),(IF(Registered!E1328=0,"Size Not Specified",Registered!E1328)),"")</f>
        <v/>
      </c>
      <c r="AU1328" s="3" t="str">
        <f>IF(Registered!AE1328=0,"",IF(Registered!AE1328=1,Registered!AE1328&amp;" Bandana",Registered!AE1328&amp;" Bandanas"))</f>
        <v/>
      </c>
      <c r="AV1328" s="3">
        <f t="shared" si="62"/>
        <v>0</v>
      </c>
      <c r="AW1328" s="2" t="str">
        <f>IF(Registered!AV1328=0,"",IF(Registered!AV1328=1,Registered!AV1328&amp;" Meal",Registered!AV1328&amp;" Meals"))</f>
        <v/>
      </c>
      <c r="AX1328" s="2" t="str">
        <f>IF(Registered!AI1328=0,"",Registered!AI1328&amp;" BG")</f>
        <v/>
      </c>
      <c r="AY1328" s="2" t="str">
        <f>IF(Registered!AG1328=0,"",Registered!AG1328&amp;" DustMask")</f>
        <v/>
      </c>
    </row>
    <row r="1329" spans="1:51" customFormat="1" x14ac:dyDescent="0.25">
      <c r="A1329" t="s">
        <v>3216</v>
      </c>
      <c r="B1329" t="s">
        <v>968</v>
      </c>
      <c r="C1329" t="s">
        <v>6090</v>
      </c>
      <c r="G1329" t="s">
        <v>4956</v>
      </c>
      <c r="H1329" t="s">
        <v>968</v>
      </c>
      <c r="I1329" t="s">
        <v>4957</v>
      </c>
      <c r="J1329" t="s">
        <v>37</v>
      </c>
      <c r="K1329" t="s">
        <v>32</v>
      </c>
      <c r="L1329" t="s">
        <v>35</v>
      </c>
      <c r="AQ1329">
        <v>0</v>
      </c>
      <c r="AR1329" s="3">
        <f t="shared" si="60"/>
        <v>0</v>
      </c>
      <c r="AS1329" s="3">
        <f t="shared" si="61"/>
        <v>0</v>
      </c>
      <c r="AT1329" s="3" t="str">
        <f>IF(OR(Registered!AM1329&gt;0,Registered!AO1329&gt;0),(IF(Registered!E1329=0,"Size Not Specified",Registered!E1329)),"")</f>
        <v/>
      </c>
      <c r="AU1329" s="3" t="str">
        <f>IF(Registered!AE1329=0,"",IF(Registered!AE1329=1,Registered!AE1329&amp;" Bandana",Registered!AE1329&amp;" Bandanas"))</f>
        <v/>
      </c>
      <c r="AV1329" s="3">
        <f t="shared" si="62"/>
        <v>0</v>
      </c>
      <c r="AW1329" s="2" t="str">
        <f>IF(Registered!AV1329=0,"",IF(Registered!AV1329=1,Registered!AV1329&amp;" Meal",Registered!AV1329&amp;" Meals"))</f>
        <v/>
      </c>
      <c r="AX1329" s="2" t="str">
        <f>IF(Registered!AI1329=0,"",Registered!AI1329&amp;" BG")</f>
        <v/>
      </c>
      <c r="AY1329" s="2" t="str">
        <f>IF(Registered!AG1329=0,"",Registered!AG1329&amp;" DustMask")</f>
        <v/>
      </c>
    </row>
    <row r="1330" spans="1:51" customFormat="1" x14ac:dyDescent="0.25">
      <c r="A1330" t="s">
        <v>3969</v>
      </c>
      <c r="B1330" t="s">
        <v>4959</v>
      </c>
      <c r="C1330" t="s">
        <v>6090</v>
      </c>
      <c r="D1330" t="s">
        <v>57</v>
      </c>
      <c r="F1330" t="s">
        <v>261</v>
      </c>
      <c r="I1330" t="s">
        <v>4960</v>
      </c>
      <c r="J1330" t="s">
        <v>37</v>
      </c>
      <c r="K1330" t="s">
        <v>32</v>
      </c>
      <c r="L1330" t="s">
        <v>35</v>
      </c>
      <c r="Q1330">
        <v>1</v>
      </c>
      <c r="R1330">
        <v>3</v>
      </c>
      <c r="AC1330">
        <v>1</v>
      </c>
      <c r="AD1330">
        <v>10</v>
      </c>
      <c r="AQ1330">
        <v>13</v>
      </c>
      <c r="AR1330" s="3">
        <f t="shared" si="60"/>
        <v>5</v>
      </c>
      <c r="AS1330" s="3">
        <f t="shared" si="61"/>
        <v>0</v>
      </c>
      <c r="AT1330" s="3" t="str">
        <f>IF(OR(Registered!AM1330&gt;0,Registered!AO1330&gt;0),(IF(Registered!E1330=0,"Size Not Specified",Registered!E1330)),"")</f>
        <v/>
      </c>
      <c r="AU1330" s="3" t="str">
        <f>IF(Registered!AE1330=0,"",IF(Registered!AE1330=1,Registered!AE1330&amp;" Bandana",Registered!AE1330&amp;" Bandanas"))</f>
        <v/>
      </c>
      <c r="AV1330" s="3">
        <f t="shared" si="62"/>
        <v>0</v>
      </c>
      <c r="AW1330" s="2" t="str">
        <f>IF(Registered!AV1330=0,"",IF(Registered!AV1330=1,Registered!AV1330&amp;" Meal",Registered!AV1330&amp;" Meals"))</f>
        <v/>
      </c>
      <c r="AX1330" s="2" t="str">
        <f>IF(Registered!AI1330=0,"",Registered!AI1330&amp;" BG")</f>
        <v/>
      </c>
      <c r="AY1330" s="2" t="str">
        <f>IF(Registered!AG1330=0,"",Registered!AG1330&amp;" DustMask")</f>
        <v/>
      </c>
    </row>
    <row r="1331" spans="1:51" customFormat="1" x14ac:dyDescent="0.25">
      <c r="A1331" t="s">
        <v>2904</v>
      </c>
      <c r="B1331" t="s">
        <v>2905</v>
      </c>
      <c r="C1331" t="s">
        <v>6090</v>
      </c>
      <c r="D1331" t="s">
        <v>3127</v>
      </c>
      <c r="F1331" t="s">
        <v>261</v>
      </c>
      <c r="I1331" t="s">
        <v>2906</v>
      </c>
      <c r="J1331" t="s">
        <v>37</v>
      </c>
      <c r="K1331" t="s">
        <v>32</v>
      </c>
      <c r="L1331" t="s">
        <v>35</v>
      </c>
      <c r="Q1331">
        <v>9</v>
      </c>
      <c r="R1331">
        <v>3</v>
      </c>
      <c r="AC1331">
        <v>6</v>
      </c>
      <c r="AD1331">
        <v>10</v>
      </c>
      <c r="AQ1331">
        <v>87</v>
      </c>
      <c r="AR1331" s="3">
        <f t="shared" si="60"/>
        <v>30</v>
      </c>
      <c r="AS1331" s="3">
        <f t="shared" si="61"/>
        <v>0</v>
      </c>
      <c r="AT1331" s="3" t="str">
        <f>IF(OR(Registered!AM1331&gt;0,Registered!AO1331&gt;0),(IF(Registered!E1331=0,"Size Not Specified",Registered!E1331)),"")</f>
        <v/>
      </c>
      <c r="AU1331" s="3" t="str">
        <f>IF(Registered!AE1331=0,"",IF(Registered!AE1331=1,Registered!AE1331&amp;" Bandana",Registered!AE1331&amp;" Bandanas"))</f>
        <v/>
      </c>
      <c r="AV1331" s="3">
        <f t="shared" si="62"/>
        <v>0</v>
      </c>
      <c r="AW1331" s="2" t="str">
        <f>IF(Registered!AV1331=0,"",IF(Registered!AV1331=1,Registered!AV1331&amp;" Meal",Registered!AV1331&amp;" Meals"))</f>
        <v/>
      </c>
      <c r="AX1331" s="2" t="str">
        <f>IF(Registered!AI1331=0,"",Registered!AI1331&amp;" BG")</f>
        <v/>
      </c>
      <c r="AY1331" s="2" t="str">
        <f>IF(Registered!AG1331=0,"",Registered!AG1331&amp;" DustMask")</f>
        <v/>
      </c>
    </row>
    <row r="1332" spans="1:51" customFormat="1" x14ac:dyDescent="0.25">
      <c r="A1332" t="s">
        <v>4477</v>
      </c>
      <c r="B1332" t="s">
        <v>4478</v>
      </c>
      <c r="C1332" t="s">
        <v>6090</v>
      </c>
      <c r="D1332" t="s">
        <v>4961</v>
      </c>
      <c r="F1332" t="s">
        <v>261</v>
      </c>
      <c r="I1332" t="s">
        <v>4479</v>
      </c>
      <c r="J1332" t="s">
        <v>37</v>
      </c>
      <c r="K1332" t="s">
        <v>32</v>
      </c>
      <c r="L1332" t="s">
        <v>35</v>
      </c>
      <c r="Q1332">
        <v>4</v>
      </c>
      <c r="R1332">
        <v>3</v>
      </c>
      <c r="AC1332">
        <v>1</v>
      </c>
      <c r="AD1332">
        <v>10</v>
      </c>
      <c r="AQ1332">
        <v>22</v>
      </c>
      <c r="AR1332" s="3">
        <f t="shared" si="60"/>
        <v>5</v>
      </c>
      <c r="AS1332" s="3">
        <f t="shared" si="61"/>
        <v>0</v>
      </c>
      <c r="AT1332" s="3" t="str">
        <f>IF(OR(Registered!AM1332&gt;0,Registered!AO1332&gt;0),(IF(Registered!E1332=0,"Size Not Specified",Registered!E1332)),"")</f>
        <v/>
      </c>
      <c r="AU1332" s="3" t="str">
        <f>IF(Registered!AE1332=0,"",IF(Registered!AE1332=1,Registered!AE1332&amp;" Bandana",Registered!AE1332&amp;" Bandanas"))</f>
        <v/>
      </c>
      <c r="AV1332" s="3">
        <f t="shared" si="62"/>
        <v>0</v>
      </c>
      <c r="AW1332" s="2" t="str">
        <f>IF(Registered!AV1332=0,"",IF(Registered!AV1332=1,Registered!AV1332&amp;" Meal",Registered!AV1332&amp;" Meals"))</f>
        <v/>
      </c>
      <c r="AX1332" s="2" t="str">
        <f>IF(Registered!AI1332=0,"",Registered!AI1332&amp;" BG")</f>
        <v/>
      </c>
      <c r="AY1332" s="2" t="str">
        <f>IF(Registered!AG1332=0,"",Registered!AG1332&amp;" DustMask")</f>
        <v/>
      </c>
    </row>
    <row r="1333" spans="1:51" customFormat="1" x14ac:dyDescent="0.25">
      <c r="A1333" t="s">
        <v>151</v>
      </c>
      <c r="B1333" t="s">
        <v>4478</v>
      </c>
      <c r="C1333" t="s">
        <v>6090</v>
      </c>
      <c r="G1333" t="s">
        <v>4477</v>
      </c>
      <c r="H1333" t="s">
        <v>4478</v>
      </c>
      <c r="I1333" t="s">
        <v>4479</v>
      </c>
      <c r="J1333" t="s">
        <v>37</v>
      </c>
      <c r="K1333" t="s">
        <v>32</v>
      </c>
      <c r="L1333" t="s">
        <v>35</v>
      </c>
      <c r="AQ1333">
        <v>0</v>
      </c>
      <c r="AR1333" s="3">
        <f t="shared" si="60"/>
        <v>0</v>
      </c>
      <c r="AS1333" s="3">
        <f t="shared" si="61"/>
        <v>0</v>
      </c>
      <c r="AT1333" s="3" t="str">
        <f>IF(OR(Registered!AM1333&gt;0,Registered!AO1333&gt;0),(IF(Registered!E1333=0,"Size Not Specified",Registered!E1333)),"")</f>
        <v/>
      </c>
      <c r="AU1333" s="3" t="str">
        <f>IF(Registered!AE1333=0,"",IF(Registered!AE1333=1,Registered!AE1333&amp;" Bandana",Registered!AE1333&amp;" Bandanas"))</f>
        <v/>
      </c>
      <c r="AV1333" s="3">
        <f t="shared" si="62"/>
        <v>0</v>
      </c>
      <c r="AW1333" s="2" t="str">
        <f>IF(Registered!AV1333=0,"",IF(Registered!AV1333=1,Registered!AV1333&amp;" Meal",Registered!AV1333&amp;" Meals"))</f>
        <v/>
      </c>
      <c r="AX1333" s="2" t="str">
        <f>IF(Registered!AI1333=0,"",Registered!AI1333&amp;" BG")</f>
        <v/>
      </c>
      <c r="AY1333" s="2" t="str">
        <f>IF(Registered!AG1333=0,"",Registered!AG1333&amp;" DustMask")</f>
        <v/>
      </c>
    </row>
    <row r="1334" spans="1:51" customFormat="1" x14ac:dyDescent="0.25">
      <c r="A1334" t="s">
        <v>3128</v>
      </c>
      <c r="B1334" t="s">
        <v>3129</v>
      </c>
      <c r="C1334" t="s">
        <v>6090</v>
      </c>
      <c r="D1334" t="s">
        <v>3130</v>
      </c>
      <c r="E1334" t="s">
        <v>65</v>
      </c>
      <c r="F1334" t="s">
        <v>261</v>
      </c>
      <c r="I1334" t="s">
        <v>3131</v>
      </c>
      <c r="J1334" t="s">
        <v>37</v>
      </c>
      <c r="K1334" t="s">
        <v>32</v>
      </c>
      <c r="L1334" t="s">
        <v>35</v>
      </c>
      <c r="Q1334">
        <v>3</v>
      </c>
      <c r="R1334">
        <v>3</v>
      </c>
      <c r="AK1334">
        <v>2</v>
      </c>
      <c r="AL1334">
        <v>6</v>
      </c>
      <c r="AM1334">
        <v>1</v>
      </c>
      <c r="AN1334">
        <v>25</v>
      </c>
      <c r="AQ1334">
        <v>46</v>
      </c>
      <c r="AR1334" s="3">
        <f t="shared" si="60"/>
        <v>5</v>
      </c>
      <c r="AS1334" s="3">
        <f t="shared" si="61"/>
        <v>1</v>
      </c>
      <c r="AT1334" s="3" t="str">
        <f>IF(OR(Registered!AM1334&gt;0,Registered!AO1334&gt;0),(IF(Registered!E1334=0,"Size Not Specified",Registered!E1334)),"")</f>
        <v>Medium</v>
      </c>
      <c r="AU1334" s="3" t="str">
        <f>IF(Registered!AE1334=0,"",IF(Registered!AE1334=1,Registered!AE1334&amp;" Bandana",Registered!AE1334&amp;" Bandanas"))</f>
        <v/>
      </c>
      <c r="AV1334" s="3">
        <f t="shared" si="62"/>
        <v>3</v>
      </c>
      <c r="AW1334" s="2" t="str">
        <f>IF(Registered!AV1334=0,"",IF(Registered!AV1334=1,Registered!AV1334&amp;" Meal",Registered!AV1334&amp;" Meals"))</f>
        <v>3 Meals</v>
      </c>
      <c r="AX1334" s="2" t="str">
        <f>IF(Registered!AI1334=0,"",Registered!AI1334&amp;" BG")</f>
        <v/>
      </c>
      <c r="AY1334" s="2" t="str">
        <f>IF(Registered!AG1334=0,"",Registered!AG1334&amp;" DustMask")</f>
        <v/>
      </c>
    </row>
    <row r="1335" spans="1:51" customFormat="1" x14ac:dyDescent="0.25">
      <c r="A1335" t="s">
        <v>3132</v>
      </c>
      <c r="B1335" t="s">
        <v>3129</v>
      </c>
      <c r="C1335" t="s">
        <v>6090</v>
      </c>
      <c r="G1335" t="s">
        <v>3128</v>
      </c>
      <c r="H1335" t="s">
        <v>3129</v>
      </c>
      <c r="I1335" t="s">
        <v>3131</v>
      </c>
      <c r="J1335" t="s">
        <v>37</v>
      </c>
      <c r="K1335" t="s">
        <v>32</v>
      </c>
      <c r="L1335" t="s">
        <v>35</v>
      </c>
      <c r="AQ1335">
        <v>0</v>
      </c>
      <c r="AR1335" s="3">
        <f t="shared" si="60"/>
        <v>0</v>
      </c>
      <c r="AS1335" s="3">
        <f t="shared" si="61"/>
        <v>0</v>
      </c>
      <c r="AT1335" s="3" t="str">
        <f>IF(OR(Registered!AM1335&gt;0,Registered!AO1335&gt;0),(IF(Registered!E1335=0,"Size Not Specified",Registered!E1335)),"")</f>
        <v/>
      </c>
      <c r="AU1335" s="3" t="str">
        <f>IF(Registered!AE1335=0,"",IF(Registered!AE1335=1,Registered!AE1335&amp;" Bandana",Registered!AE1335&amp;" Bandanas"))</f>
        <v/>
      </c>
      <c r="AV1335" s="3">
        <f t="shared" si="62"/>
        <v>0</v>
      </c>
      <c r="AW1335" s="2" t="str">
        <f>IF(Registered!AV1335=0,"",IF(Registered!AV1335=1,Registered!AV1335&amp;" Meal",Registered!AV1335&amp;" Meals"))</f>
        <v/>
      </c>
      <c r="AX1335" s="2" t="str">
        <f>IF(Registered!AI1335=0,"",Registered!AI1335&amp;" BG")</f>
        <v/>
      </c>
      <c r="AY1335" s="2" t="str">
        <f>IF(Registered!AG1335=0,"",Registered!AG1335&amp;" DustMask")</f>
        <v/>
      </c>
    </row>
    <row r="1336" spans="1:51" customFormat="1" x14ac:dyDescent="0.25">
      <c r="A1336" t="s">
        <v>491</v>
      </c>
      <c r="B1336" t="s">
        <v>1718</v>
      </c>
      <c r="C1336" t="s">
        <v>6090</v>
      </c>
      <c r="G1336" t="s">
        <v>85</v>
      </c>
      <c r="H1336" t="s">
        <v>223</v>
      </c>
      <c r="I1336" t="s">
        <v>1218</v>
      </c>
      <c r="J1336" t="s">
        <v>37</v>
      </c>
      <c r="K1336" t="s">
        <v>32</v>
      </c>
      <c r="L1336" t="s">
        <v>35</v>
      </c>
      <c r="AQ1336">
        <v>0</v>
      </c>
      <c r="AR1336" s="3">
        <f t="shared" si="60"/>
        <v>0</v>
      </c>
      <c r="AS1336" s="3">
        <f t="shared" si="61"/>
        <v>0</v>
      </c>
      <c r="AT1336" s="3" t="str">
        <f>IF(OR(Registered!AM1336&gt;0,Registered!AO1336&gt;0),(IF(Registered!E1336=0,"Size Not Specified",Registered!E1336)),"")</f>
        <v/>
      </c>
      <c r="AU1336" s="3" t="str">
        <f>IF(Registered!AE1336=0,"",IF(Registered!AE1336=1,Registered!AE1336&amp;" Bandana",Registered!AE1336&amp;" Bandanas"))</f>
        <v/>
      </c>
      <c r="AV1336" s="3">
        <f t="shared" si="62"/>
        <v>0</v>
      </c>
      <c r="AW1336" s="2" t="str">
        <f>IF(Registered!AV1336=0,"",IF(Registered!AV1336=1,Registered!AV1336&amp;" Meal",Registered!AV1336&amp;" Meals"))</f>
        <v/>
      </c>
      <c r="AX1336" s="2" t="str">
        <f>IF(Registered!AI1336=0,"",Registered!AI1336&amp;" BG")</f>
        <v/>
      </c>
      <c r="AY1336" s="2" t="str">
        <f>IF(Registered!AG1336=0,"",Registered!AG1336&amp;" DustMask")</f>
        <v/>
      </c>
    </row>
    <row r="1337" spans="1:51" customFormat="1" x14ac:dyDescent="0.25">
      <c r="A1337" t="s">
        <v>91</v>
      </c>
      <c r="B1337" t="s">
        <v>3133</v>
      </c>
      <c r="C1337" t="s">
        <v>6090</v>
      </c>
      <c r="D1337" t="s">
        <v>3134</v>
      </c>
      <c r="F1337" t="s">
        <v>261</v>
      </c>
      <c r="I1337" t="s">
        <v>3135</v>
      </c>
      <c r="J1337" t="s">
        <v>37</v>
      </c>
      <c r="K1337" t="s">
        <v>32</v>
      </c>
      <c r="L1337" t="s">
        <v>35</v>
      </c>
      <c r="Q1337">
        <v>2</v>
      </c>
      <c r="R1337">
        <v>3</v>
      </c>
      <c r="U1337">
        <v>1</v>
      </c>
      <c r="V1337">
        <v>20</v>
      </c>
      <c r="AQ1337">
        <v>26</v>
      </c>
      <c r="AR1337" s="3">
        <f t="shared" si="60"/>
        <v>10</v>
      </c>
      <c r="AS1337" s="3">
        <f t="shared" si="61"/>
        <v>0</v>
      </c>
      <c r="AT1337" s="3" t="str">
        <f>IF(OR(Registered!AM1337&gt;0,Registered!AO1337&gt;0),(IF(Registered!E1337=0,"Size Not Specified",Registered!E1337)),"")</f>
        <v/>
      </c>
      <c r="AU1337" s="3" t="str">
        <f>IF(Registered!AE1337=0,"",IF(Registered!AE1337=1,Registered!AE1337&amp;" Bandana",Registered!AE1337&amp;" Bandanas"))</f>
        <v/>
      </c>
      <c r="AV1337" s="3">
        <f t="shared" si="62"/>
        <v>0</v>
      </c>
      <c r="AW1337" s="2" t="str">
        <f>IF(Registered!AV1337=0,"",IF(Registered!AV1337=1,Registered!AV1337&amp;" Meal",Registered!AV1337&amp;" Meals"))</f>
        <v/>
      </c>
      <c r="AX1337" s="2" t="str">
        <f>IF(Registered!AI1337=0,"",Registered!AI1337&amp;" BG")</f>
        <v/>
      </c>
      <c r="AY1337" s="2" t="str">
        <f>IF(Registered!AG1337=0,"",Registered!AG1337&amp;" DustMask")</f>
        <v/>
      </c>
    </row>
    <row r="1338" spans="1:51" customFormat="1" x14ac:dyDescent="0.25">
      <c r="A1338" t="s">
        <v>131</v>
      </c>
      <c r="B1338" t="s">
        <v>3133</v>
      </c>
      <c r="C1338" t="s">
        <v>6090</v>
      </c>
      <c r="G1338" t="s">
        <v>91</v>
      </c>
      <c r="H1338" t="s">
        <v>3133</v>
      </c>
      <c r="I1338" t="s">
        <v>3135</v>
      </c>
      <c r="J1338" t="s">
        <v>37</v>
      </c>
      <c r="K1338" t="s">
        <v>32</v>
      </c>
      <c r="L1338" t="s">
        <v>35</v>
      </c>
      <c r="AQ1338">
        <v>0</v>
      </c>
      <c r="AR1338" s="3">
        <f t="shared" si="60"/>
        <v>0</v>
      </c>
      <c r="AS1338" s="3">
        <f t="shared" si="61"/>
        <v>0</v>
      </c>
      <c r="AT1338" s="3" t="str">
        <f>IF(OR(Registered!AM1338&gt;0,Registered!AO1338&gt;0),(IF(Registered!E1338=0,"Size Not Specified",Registered!E1338)),"")</f>
        <v/>
      </c>
      <c r="AU1338" s="3" t="str">
        <f>IF(Registered!AE1338=0,"",IF(Registered!AE1338=1,Registered!AE1338&amp;" Bandana",Registered!AE1338&amp;" Bandanas"))</f>
        <v/>
      </c>
      <c r="AV1338" s="3">
        <f t="shared" si="62"/>
        <v>0</v>
      </c>
      <c r="AW1338" s="2" t="str">
        <f>IF(Registered!AV1338=0,"",IF(Registered!AV1338=1,Registered!AV1338&amp;" Meal",Registered!AV1338&amp;" Meals"))</f>
        <v/>
      </c>
      <c r="AX1338" s="2" t="str">
        <f>IF(Registered!AI1338=0,"",Registered!AI1338&amp;" BG")</f>
        <v/>
      </c>
      <c r="AY1338" s="2" t="str">
        <f>IF(Registered!AG1338=0,"",Registered!AG1338&amp;" DustMask")</f>
        <v/>
      </c>
    </row>
    <row r="1339" spans="1:51" customFormat="1" x14ac:dyDescent="0.25">
      <c r="A1339" t="s">
        <v>4962</v>
      </c>
      <c r="B1339" t="s">
        <v>4963</v>
      </c>
      <c r="C1339" t="s">
        <v>6090</v>
      </c>
      <c r="D1339" t="s">
        <v>4964</v>
      </c>
      <c r="F1339" t="s">
        <v>261</v>
      </c>
      <c r="I1339" t="s">
        <v>4965</v>
      </c>
      <c r="J1339" t="s">
        <v>37</v>
      </c>
      <c r="K1339" t="s">
        <v>32</v>
      </c>
      <c r="L1339" t="s">
        <v>35</v>
      </c>
      <c r="Q1339">
        <v>1</v>
      </c>
      <c r="R1339">
        <v>3</v>
      </c>
      <c r="AC1339">
        <v>1</v>
      </c>
      <c r="AD1339">
        <v>10</v>
      </c>
      <c r="AQ1339">
        <v>13</v>
      </c>
      <c r="AR1339" s="3">
        <f t="shared" si="60"/>
        <v>5</v>
      </c>
      <c r="AS1339" s="3">
        <f t="shared" si="61"/>
        <v>0</v>
      </c>
      <c r="AT1339" s="3" t="str">
        <f>IF(OR(Registered!AM1339&gt;0,Registered!AO1339&gt;0),(IF(Registered!E1339=0,"Size Not Specified",Registered!E1339)),"")</f>
        <v/>
      </c>
      <c r="AU1339" s="3" t="str">
        <f>IF(Registered!AE1339=0,"",IF(Registered!AE1339=1,Registered!AE1339&amp;" Bandana",Registered!AE1339&amp;" Bandanas"))</f>
        <v/>
      </c>
      <c r="AV1339" s="3">
        <f t="shared" si="62"/>
        <v>0</v>
      </c>
      <c r="AW1339" s="2" t="str">
        <f>IF(Registered!AV1339=0,"",IF(Registered!AV1339=1,Registered!AV1339&amp;" Meal",Registered!AV1339&amp;" Meals"))</f>
        <v/>
      </c>
      <c r="AX1339" s="2" t="str">
        <f>IF(Registered!AI1339=0,"",Registered!AI1339&amp;" BG")</f>
        <v/>
      </c>
      <c r="AY1339" s="2" t="str">
        <f>IF(Registered!AG1339=0,"",Registered!AG1339&amp;" DustMask")</f>
        <v/>
      </c>
    </row>
    <row r="1340" spans="1:51" customFormat="1" x14ac:dyDescent="0.25">
      <c r="A1340" t="s">
        <v>165</v>
      </c>
      <c r="B1340" t="s">
        <v>364</v>
      </c>
      <c r="C1340" t="s">
        <v>6090</v>
      </c>
      <c r="D1340" t="s">
        <v>1719</v>
      </c>
      <c r="E1340" t="s">
        <v>1720</v>
      </c>
      <c r="I1340" t="s">
        <v>1721</v>
      </c>
      <c r="J1340" t="s">
        <v>37</v>
      </c>
      <c r="K1340" t="s">
        <v>32</v>
      </c>
      <c r="L1340" t="s">
        <v>35</v>
      </c>
      <c r="O1340">
        <v>1</v>
      </c>
      <c r="P1340">
        <v>3</v>
      </c>
      <c r="AM1340">
        <v>2</v>
      </c>
      <c r="AN1340">
        <v>25</v>
      </c>
      <c r="AQ1340">
        <v>53</v>
      </c>
      <c r="AR1340" s="3">
        <f t="shared" si="60"/>
        <v>10</v>
      </c>
      <c r="AS1340" s="3">
        <f t="shared" si="61"/>
        <v>2</v>
      </c>
      <c r="AT1340" s="3" t="str">
        <f>IF(OR(Registered!AM1340&gt;0,Registered!AO1340&gt;0),(IF(Registered!E1340=0,"Size Not Specified",Registered!E1340)),"")</f>
        <v>Medium and extra large</v>
      </c>
      <c r="AU1340" s="3" t="str">
        <f>IF(Registered!AE1340=0,"",IF(Registered!AE1340=1,Registered!AE1340&amp;" Bandana",Registered!AE1340&amp;" Bandanas"))</f>
        <v/>
      </c>
      <c r="AV1340" s="3">
        <f t="shared" si="62"/>
        <v>2</v>
      </c>
      <c r="AW1340" s="2" t="str">
        <f>IF(Registered!AV1340=0,"",IF(Registered!AV1340=1,Registered!AV1340&amp;" Meal",Registered!AV1340&amp;" Meals"))</f>
        <v>2 Meals</v>
      </c>
      <c r="AX1340" s="2" t="str">
        <f>IF(Registered!AI1340=0,"",Registered!AI1340&amp;" BG")</f>
        <v/>
      </c>
      <c r="AY1340" s="2" t="str">
        <f>IF(Registered!AG1340=0,"",Registered!AG1340&amp;" DustMask")</f>
        <v/>
      </c>
    </row>
    <row r="1341" spans="1:51" customFormat="1" x14ac:dyDescent="0.25">
      <c r="A1341" t="s">
        <v>255</v>
      </c>
      <c r="B1341" t="s">
        <v>364</v>
      </c>
      <c r="C1341" t="s">
        <v>6090</v>
      </c>
      <c r="D1341" t="s">
        <v>1722</v>
      </c>
      <c r="F1341" t="s">
        <v>261</v>
      </c>
      <c r="I1341" t="s">
        <v>1723</v>
      </c>
      <c r="J1341" t="s">
        <v>37</v>
      </c>
      <c r="K1341" t="s">
        <v>32</v>
      </c>
      <c r="L1341" t="s">
        <v>35</v>
      </c>
      <c r="S1341">
        <v>1</v>
      </c>
      <c r="T1341">
        <v>3</v>
      </c>
      <c r="AC1341">
        <v>1</v>
      </c>
      <c r="AD1341">
        <v>10</v>
      </c>
      <c r="AQ1341">
        <v>13</v>
      </c>
      <c r="AR1341" s="3">
        <f t="shared" si="60"/>
        <v>5</v>
      </c>
      <c r="AS1341" s="3">
        <f t="shared" si="61"/>
        <v>0</v>
      </c>
      <c r="AT1341" s="3" t="str">
        <f>IF(OR(Registered!AM1341&gt;0,Registered!AO1341&gt;0),(IF(Registered!E1341=0,"Size Not Specified",Registered!E1341)),"")</f>
        <v/>
      </c>
      <c r="AU1341" s="3" t="str">
        <f>IF(Registered!AE1341=0,"",IF(Registered!AE1341=1,Registered!AE1341&amp;" Bandana",Registered!AE1341&amp;" Bandanas"))</f>
        <v/>
      </c>
      <c r="AV1341" s="3">
        <f t="shared" si="62"/>
        <v>0</v>
      </c>
      <c r="AW1341" s="2" t="str">
        <f>IF(Registered!AV1341=0,"",IF(Registered!AV1341=1,Registered!AV1341&amp;" Meal",Registered!AV1341&amp;" Meals"))</f>
        <v/>
      </c>
      <c r="AX1341" s="2" t="str">
        <f>IF(Registered!AI1341=0,"",Registered!AI1341&amp;" BG")</f>
        <v/>
      </c>
      <c r="AY1341" s="2" t="str">
        <f>IF(Registered!AG1341=0,"",Registered!AG1341&amp;" DustMask")</f>
        <v/>
      </c>
    </row>
    <row r="1342" spans="1:51" customFormat="1" x14ac:dyDescent="0.25">
      <c r="A1342" t="s">
        <v>91</v>
      </c>
      <c r="B1342" t="s">
        <v>364</v>
      </c>
      <c r="C1342" t="s">
        <v>6090</v>
      </c>
      <c r="G1342" t="s">
        <v>1724</v>
      </c>
      <c r="H1342" t="s">
        <v>364</v>
      </c>
      <c r="I1342" t="s">
        <v>1725</v>
      </c>
      <c r="J1342" t="s">
        <v>37</v>
      </c>
      <c r="K1342" t="s">
        <v>32</v>
      </c>
      <c r="L1342" t="s">
        <v>35</v>
      </c>
      <c r="AQ1342">
        <v>0</v>
      </c>
      <c r="AR1342" s="3">
        <f t="shared" si="60"/>
        <v>0</v>
      </c>
      <c r="AS1342" s="3">
        <f t="shared" si="61"/>
        <v>0</v>
      </c>
      <c r="AT1342" s="3" t="str">
        <f>IF(OR(Registered!AM1342&gt;0,Registered!AO1342&gt;0),(IF(Registered!E1342=0,"Size Not Specified",Registered!E1342)),"")</f>
        <v/>
      </c>
      <c r="AU1342" s="3" t="str">
        <f>IF(Registered!AE1342=0,"",IF(Registered!AE1342=1,Registered!AE1342&amp;" Bandana",Registered!AE1342&amp;" Bandanas"))</f>
        <v/>
      </c>
      <c r="AV1342" s="3">
        <f t="shared" si="62"/>
        <v>0</v>
      </c>
      <c r="AW1342" s="2" t="str">
        <f>IF(Registered!AV1342=0,"",IF(Registered!AV1342=1,Registered!AV1342&amp;" Meal",Registered!AV1342&amp;" Meals"))</f>
        <v/>
      </c>
      <c r="AX1342" s="2" t="str">
        <f>IF(Registered!AI1342=0,"",Registered!AI1342&amp;" BG")</f>
        <v/>
      </c>
      <c r="AY1342" s="2" t="str">
        <f>IF(Registered!AG1342=0,"",Registered!AG1342&amp;" DustMask")</f>
        <v/>
      </c>
    </row>
    <row r="1343" spans="1:51" customFormat="1" x14ac:dyDescent="0.25">
      <c r="A1343" t="s">
        <v>1726</v>
      </c>
      <c r="B1343" t="s">
        <v>364</v>
      </c>
      <c r="C1343" t="s">
        <v>6090</v>
      </c>
      <c r="G1343" t="s">
        <v>1724</v>
      </c>
      <c r="H1343" t="s">
        <v>364</v>
      </c>
      <c r="I1343" t="s">
        <v>1725</v>
      </c>
      <c r="J1343" t="s">
        <v>37</v>
      </c>
      <c r="K1343" t="s">
        <v>32</v>
      </c>
      <c r="L1343" t="s">
        <v>35</v>
      </c>
      <c r="AQ1343">
        <v>0</v>
      </c>
      <c r="AR1343" s="3">
        <f t="shared" si="60"/>
        <v>0</v>
      </c>
      <c r="AS1343" s="3">
        <f t="shared" si="61"/>
        <v>0</v>
      </c>
      <c r="AT1343" s="3" t="str">
        <f>IF(OR(Registered!AM1343&gt;0,Registered!AO1343&gt;0),(IF(Registered!E1343=0,"Size Not Specified",Registered!E1343)),"")</f>
        <v/>
      </c>
      <c r="AU1343" s="3" t="str">
        <f>IF(Registered!AE1343=0,"",IF(Registered!AE1343=1,Registered!AE1343&amp;" Bandana",Registered!AE1343&amp;" Bandanas"))</f>
        <v/>
      </c>
      <c r="AV1343" s="3">
        <f t="shared" si="62"/>
        <v>0</v>
      </c>
      <c r="AW1343" s="2" t="str">
        <f>IF(Registered!AV1343=0,"",IF(Registered!AV1343=1,Registered!AV1343&amp;" Meal",Registered!AV1343&amp;" Meals"))</f>
        <v/>
      </c>
      <c r="AX1343" s="2" t="str">
        <f>IF(Registered!AI1343=0,"",Registered!AI1343&amp;" BG")</f>
        <v/>
      </c>
      <c r="AY1343" s="2" t="str">
        <f>IF(Registered!AG1343=0,"",Registered!AG1343&amp;" DustMask")</f>
        <v/>
      </c>
    </row>
    <row r="1344" spans="1:51" customFormat="1" x14ac:dyDescent="0.25">
      <c r="A1344" t="s">
        <v>1727</v>
      </c>
      <c r="B1344" t="s">
        <v>364</v>
      </c>
      <c r="C1344" t="s">
        <v>6090</v>
      </c>
      <c r="G1344" t="s">
        <v>1724</v>
      </c>
      <c r="H1344" t="s">
        <v>364</v>
      </c>
      <c r="I1344" t="s">
        <v>1725</v>
      </c>
      <c r="J1344" t="s">
        <v>37</v>
      </c>
      <c r="K1344" t="s">
        <v>32</v>
      </c>
      <c r="L1344" t="s">
        <v>35</v>
      </c>
      <c r="AQ1344">
        <v>0</v>
      </c>
      <c r="AR1344" s="3">
        <f t="shared" si="60"/>
        <v>0</v>
      </c>
      <c r="AS1344" s="3">
        <f t="shared" si="61"/>
        <v>0</v>
      </c>
      <c r="AT1344" s="3" t="str">
        <f>IF(OR(Registered!AM1344&gt;0,Registered!AO1344&gt;0),(IF(Registered!E1344=0,"Size Not Specified",Registered!E1344)),"")</f>
        <v/>
      </c>
      <c r="AU1344" s="3" t="str">
        <f>IF(Registered!AE1344=0,"",IF(Registered!AE1344=1,Registered!AE1344&amp;" Bandana",Registered!AE1344&amp;" Bandanas"))</f>
        <v/>
      </c>
      <c r="AV1344" s="3">
        <f t="shared" si="62"/>
        <v>0</v>
      </c>
      <c r="AW1344" s="2" t="str">
        <f>IF(Registered!AV1344=0,"",IF(Registered!AV1344=1,Registered!AV1344&amp;" Meal",Registered!AV1344&amp;" Meals"))</f>
        <v/>
      </c>
      <c r="AX1344" s="2" t="str">
        <f>IF(Registered!AI1344=0,"",Registered!AI1344&amp;" BG")</f>
        <v/>
      </c>
      <c r="AY1344" s="2" t="str">
        <f>IF(Registered!AG1344=0,"",Registered!AG1344&amp;" DustMask")</f>
        <v/>
      </c>
    </row>
    <row r="1345" spans="1:51" customFormat="1" x14ac:dyDescent="0.25">
      <c r="A1345" t="s">
        <v>1727</v>
      </c>
      <c r="B1345" t="s">
        <v>364</v>
      </c>
      <c r="C1345" t="s">
        <v>6090</v>
      </c>
      <c r="G1345" t="s">
        <v>1724</v>
      </c>
      <c r="H1345" t="s">
        <v>364</v>
      </c>
      <c r="I1345" t="s">
        <v>1725</v>
      </c>
      <c r="J1345" t="s">
        <v>37</v>
      </c>
      <c r="K1345" t="s">
        <v>32</v>
      </c>
      <c r="L1345" t="s">
        <v>35</v>
      </c>
      <c r="AQ1345">
        <v>0</v>
      </c>
      <c r="AR1345" s="3">
        <f t="shared" si="60"/>
        <v>0</v>
      </c>
      <c r="AS1345" s="3">
        <f t="shared" si="61"/>
        <v>0</v>
      </c>
      <c r="AT1345" s="3" t="str">
        <f>IF(OR(Registered!AM1345&gt;0,Registered!AO1345&gt;0),(IF(Registered!E1345=0,"Size Not Specified",Registered!E1345)),"")</f>
        <v/>
      </c>
      <c r="AU1345" s="3" t="str">
        <f>IF(Registered!AE1345=0,"",IF(Registered!AE1345=1,Registered!AE1345&amp;" Bandana",Registered!AE1345&amp;" Bandanas"))</f>
        <v/>
      </c>
      <c r="AV1345" s="3">
        <f t="shared" si="62"/>
        <v>0</v>
      </c>
      <c r="AW1345" s="2" t="str">
        <f>IF(Registered!AV1345=0,"",IF(Registered!AV1345=1,Registered!AV1345&amp;" Meal",Registered!AV1345&amp;" Meals"))</f>
        <v/>
      </c>
      <c r="AX1345" s="2" t="str">
        <f>IF(Registered!AI1345=0,"",Registered!AI1345&amp;" BG")</f>
        <v/>
      </c>
      <c r="AY1345" s="2" t="str">
        <f>IF(Registered!AG1345=0,"",Registered!AG1345&amp;" DustMask")</f>
        <v/>
      </c>
    </row>
    <row r="1346" spans="1:51" customFormat="1" x14ac:dyDescent="0.25">
      <c r="A1346" t="s">
        <v>1728</v>
      </c>
      <c r="B1346" t="s">
        <v>364</v>
      </c>
      <c r="C1346" t="s">
        <v>6090</v>
      </c>
      <c r="G1346" t="s">
        <v>1724</v>
      </c>
      <c r="H1346" t="s">
        <v>364</v>
      </c>
      <c r="I1346" t="s">
        <v>1725</v>
      </c>
      <c r="J1346" t="s">
        <v>37</v>
      </c>
      <c r="K1346" t="s">
        <v>32</v>
      </c>
      <c r="L1346" t="s">
        <v>35</v>
      </c>
      <c r="AQ1346">
        <v>0</v>
      </c>
      <c r="AR1346" s="3">
        <f t="shared" ref="AR1346:AR1409" si="63">IF(ISTEXT(AM1346)=TRUE,"",SUM(U1346*10,W1346*20,Y1346*30,AA1346*40,AC1346*5,AM1346*5))</f>
        <v>0</v>
      </c>
      <c r="AS1346" s="3">
        <f t="shared" ref="AS1346:AS1409" si="64">IF(ISTEXT(AM1346)=TRUE,"",SUM(AM1346,AO1346))</f>
        <v>0</v>
      </c>
      <c r="AT1346" s="3" t="str">
        <f>IF(OR(Registered!AM1346&gt;0,Registered!AO1346&gt;0),(IF(Registered!E1346=0,"Size Not Specified",Registered!E1346)),"")</f>
        <v/>
      </c>
      <c r="AU1346" s="3" t="str">
        <f>IF(Registered!AE1346=0,"",IF(Registered!AE1346=1,Registered!AE1346&amp;" Bandana",Registered!AE1346&amp;" Bandanas"))</f>
        <v/>
      </c>
      <c r="AV1346" s="3">
        <f t="shared" ref="AV1346:AV1409" si="65">IF(ISTEXT(AM1346)=TRUE,"",SUM(AM1346,AK1346))</f>
        <v>0</v>
      </c>
      <c r="AW1346" s="2" t="str">
        <f>IF(Registered!AV1346=0,"",IF(Registered!AV1346=1,Registered!AV1346&amp;" Meal",Registered!AV1346&amp;" Meals"))</f>
        <v/>
      </c>
      <c r="AX1346" s="2" t="str">
        <f>IF(Registered!AI1346=0,"",Registered!AI1346&amp;" BG")</f>
        <v/>
      </c>
      <c r="AY1346" s="2" t="str">
        <f>IF(Registered!AG1346=0,"",Registered!AG1346&amp;" DustMask")</f>
        <v/>
      </c>
    </row>
    <row r="1347" spans="1:51" customFormat="1" x14ac:dyDescent="0.25">
      <c r="A1347" t="s">
        <v>1724</v>
      </c>
      <c r="B1347" t="s">
        <v>364</v>
      </c>
      <c r="C1347" t="s">
        <v>6090</v>
      </c>
      <c r="D1347" t="s">
        <v>1729</v>
      </c>
      <c r="I1347" t="s">
        <v>1725</v>
      </c>
      <c r="J1347" t="s">
        <v>37</v>
      </c>
      <c r="K1347" t="s">
        <v>32</v>
      </c>
      <c r="L1347" t="s">
        <v>35</v>
      </c>
      <c r="O1347">
        <v>6</v>
      </c>
      <c r="P1347">
        <v>3</v>
      </c>
      <c r="AA1347">
        <v>1</v>
      </c>
      <c r="AB1347">
        <v>75</v>
      </c>
      <c r="AK1347">
        <v>6</v>
      </c>
      <c r="AL1347">
        <v>6</v>
      </c>
      <c r="AQ1347">
        <v>129</v>
      </c>
      <c r="AR1347" s="3">
        <f t="shared" si="63"/>
        <v>40</v>
      </c>
      <c r="AS1347" s="3">
        <f t="shared" si="64"/>
        <v>0</v>
      </c>
      <c r="AT1347" s="3" t="str">
        <f>IF(OR(Registered!AM1347&gt;0,Registered!AO1347&gt;0),(IF(Registered!E1347=0,"Size Not Specified",Registered!E1347)),"")</f>
        <v/>
      </c>
      <c r="AU1347" s="3" t="str">
        <f>IF(Registered!AE1347=0,"",IF(Registered!AE1347=1,Registered!AE1347&amp;" Bandana",Registered!AE1347&amp;" Bandanas"))</f>
        <v/>
      </c>
      <c r="AV1347" s="3">
        <f t="shared" si="65"/>
        <v>6</v>
      </c>
      <c r="AW1347" s="2" t="str">
        <f>IF(Registered!AV1347=0,"",IF(Registered!AV1347=1,Registered!AV1347&amp;" Meal",Registered!AV1347&amp;" Meals"))</f>
        <v>6 Meals</v>
      </c>
      <c r="AX1347" s="2" t="str">
        <f>IF(Registered!AI1347=0,"",Registered!AI1347&amp;" BG")</f>
        <v/>
      </c>
      <c r="AY1347" s="2" t="str">
        <f>IF(Registered!AG1347=0,"",Registered!AG1347&amp;" DustMask")</f>
        <v/>
      </c>
    </row>
    <row r="1348" spans="1:51" customFormat="1" x14ac:dyDescent="0.25">
      <c r="A1348" t="s">
        <v>272</v>
      </c>
      <c r="B1348" t="s">
        <v>3136</v>
      </c>
      <c r="C1348" t="s">
        <v>6090</v>
      </c>
      <c r="G1348" t="s">
        <v>2078</v>
      </c>
      <c r="H1348" t="s">
        <v>2940</v>
      </c>
      <c r="I1348" t="s">
        <v>2942</v>
      </c>
      <c r="J1348" t="s">
        <v>37</v>
      </c>
      <c r="K1348" t="s">
        <v>32</v>
      </c>
      <c r="L1348" t="s">
        <v>35</v>
      </c>
      <c r="AQ1348">
        <v>0</v>
      </c>
      <c r="AR1348" s="3">
        <f t="shared" si="63"/>
        <v>0</v>
      </c>
      <c r="AS1348" s="3">
        <f t="shared" si="64"/>
        <v>0</v>
      </c>
      <c r="AT1348" s="3" t="str">
        <f>IF(OR(Registered!AM1348&gt;0,Registered!AO1348&gt;0),(IF(Registered!E1348=0,"Size Not Specified",Registered!E1348)),"")</f>
        <v/>
      </c>
      <c r="AU1348" s="3" t="str">
        <f>IF(Registered!AE1348=0,"",IF(Registered!AE1348=1,Registered!AE1348&amp;" Bandana",Registered!AE1348&amp;" Bandanas"))</f>
        <v/>
      </c>
      <c r="AV1348" s="3">
        <f t="shared" si="65"/>
        <v>0</v>
      </c>
      <c r="AW1348" s="2" t="str">
        <f>IF(Registered!AV1348=0,"",IF(Registered!AV1348=1,Registered!AV1348&amp;" Meal",Registered!AV1348&amp;" Meals"))</f>
        <v/>
      </c>
      <c r="AX1348" s="2" t="str">
        <f>IF(Registered!AI1348=0,"",Registered!AI1348&amp;" BG")</f>
        <v/>
      </c>
      <c r="AY1348" s="2" t="str">
        <f>IF(Registered!AG1348=0,"",Registered!AG1348&amp;" DustMask")</f>
        <v/>
      </c>
    </row>
    <row r="1349" spans="1:51" customFormat="1" x14ac:dyDescent="0.25">
      <c r="A1349" t="s">
        <v>4966</v>
      </c>
      <c r="B1349" t="s">
        <v>4967</v>
      </c>
      <c r="C1349" t="s">
        <v>6090</v>
      </c>
      <c r="G1349" t="s">
        <v>281</v>
      </c>
      <c r="H1349" t="s">
        <v>4026</v>
      </c>
      <c r="I1349" t="s">
        <v>4027</v>
      </c>
      <c r="J1349" t="s">
        <v>37</v>
      </c>
      <c r="K1349" t="s">
        <v>32</v>
      </c>
      <c r="L1349" t="s">
        <v>35</v>
      </c>
      <c r="AQ1349">
        <v>0</v>
      </c>
      <c r="AR1349" s="3">
        <f t="shared" si="63"/>
        <v>0</v>
      </c>
      <c r="AS1349" s="3">
        <f t="shared" si="64"/>
        <v>0</v>
      </c>
      <c r="AT1349" s="3" t="str">
        <f>IF(OR(Registered!AM1349&gt;0,Registered!AO1349&gt;0),(IF(Registered!E1349=0,"Size Not Specified",Registered!E1349)),"")</f>
        <v/>
      </c>
      <c r="AU1349" s="3" t="str">
        <f>IF(Registered!AE1349=0,"",IF(Registered!AE1349=1,Registered!AE1349&amp;" Bandana",Registered!AE1349&amp;" Bandanas"))</f>
        <v/>
      </c>
      <c r="AV1349" s="3">
        <f t="shared" si="65"/>
        <v>0</v>
      </c>
      <c r="AW1349" s="2" t="str">
        <f>IF(Registered!AV1349=0,"",IF(Registered!AV1349=1,Registered!AV1349&amp;" Meal",Registered!AV1349&amp;" Meals"))</f>
        <v/>
      </c>
      <c r="AX1349" s="2" t="str">
        <f>IF(Registered!AI1349=0,"",Registered!AI1349&amp;" BG")</f>
        <v/>
      </c>
      <c r="AY1349" s="2" t="str">
        <f>IF(Registered!AG1349=0,"",Registered!AG1349&amp;" DustMask")</f>
        <v/>
      </c>
    </row>
    <row r="1350" spans="1:51" customFormat="1" x14ac:dyDescent="0.25">
      <c r="A1350" t="s">
        <v>71</v>
      </c>
      <c r="B1350" t="s">
        <v>365</v>
      </c>
      <c r="C1350" t="s">
        <v>6090</v>
      </c>
      <c r="G1350" t="s">
        <v>1730</v>
      </c>
      <c r="H1350" t="s">
        <v>1731</v>
      </c>
      <c r="I1350" t="s">
        <v>1732</v>
      </c>
      <c r="J1350" t="s">
        <v>37</v>
      </c>
      <c r="K1350" t="s">
        <v>32</v>
      </c>
      <c r="L1350" t="s">
        <v>35</v>
      </c>
      <c r="AQ1350">
        <v>0</v>
      </c>
      <c r="AR1350" s="3">
        <f t="shared" si="63"/>
        <v>0</v>
      </c>
      <c r="AS1350" s="3">
        <f t="shared" si="64"/>
        <v>0</v>
      </c>
      <c r="AT1350" s="3" t="str">
        <f>IF(OR(Registered!AM1350&gt;0,Registered!AO1350&gt;0),(IF(Registered!E1350=0,"Size Not Specified",Registered!E1350)),"")</f>
        <v/>
      </c>
      <c r="AU1350" s="3" t="str">
        <f>IF(Registered!AE1350=0,"",IF(Registered!AE1350=1,Registered!AE1350&amp;" Bandana",Registered!AE1350&amp;" Bandanas"))</f>
        <v/>
      </c>
      <c r="AV1350" s="3">
        <f t="shared" si="65"/>
        <v>0</v>
      </c>
      <c r="AW1350" s="2" t="str">
        <f>IF(Registered!AV1350=0,"",IF(Registered!AV1350=1,Registered!AV1350&amp;" Meal",Registered!AV1350&amp;" Meals"))</f>
        <v/>
      </c>
      <c r="AX1350" s="2" t="str">
        <f>IF(Registered!AI1350=0,"",Registered!AI1350&amp;" BG")</f>
        <v/>
      </c>
      <c r="AY1350" s="2" t="str">
        <f>IF(Registered!AG1350=0,"",Registered!AG1350&amp;" DustMask")</f>
        <v/>
      </c>
    </row>
    <row r="1351" spans="1:51" customFormat="1" x14ac:dyDescent="0.25">
      <c r="A1351" t="s">
        <v>4149</v>
      </c>
      <c r="B1351" t="s">
        <v>365</v>
      </c>
      <c r="C1351" t="s">
        <v>6090</v>
      </c>
      <c r="D1351" t="s">
        <v>4149</v>
      </c>
      <c r="F1351" t="s">
        <v>261</v>
      </c>
      <c r="I1351" t="s">
        <v>4150</v>
      </c>
      <c r="J1351" t="s">
        <v>37</v>
      </c>
      <c r="K1351" t="s">
        <v>32</v>
      </c>
      <c r="L1351" t="s">
        <v>35</v>
      </c>
      <c r="Q1351">
        <v>3</v>
      </c>
      <c r="R1351">
        <v>3</v>
      </c>
      <c r="AQ1351">
        <v>9</v>
      </c>
      <c r="AR1351" s="3">
        <f t="shared" si="63"/>
        <v>0</v>
      </c>
      <c r="AS1351" s="3">
        <f t="shared" si="64"/>
        <v>0</v>
      </c>
      <c r="AT1351" s="3" t="str">
        <f>IF(OR(Registered!AM1351&gt;0,Registered!AO1351&gt;0),(IF(Registered!E1351=0,"Size Not Specified",Registered!E1351)),"")</f>
        <v/>
      </c>
      <c r="AU1351" s="3" t="str">
        <f>IF(Registered!AE1351=0,"",IF(Registered!AE1351=1,Registered!AE1351&amp;" Bandana",Registered!AE1351&amp;" Bandanas"))</f>
        <v/>
      </c>
      <c r="AV1351" s="3">
        <f t="shared" si="65"/>
        <v>0</v>
      </c>
      <c r="AW1351" s="2" t="str">
        <f>IF(Registered!AV1351=0,"",IF(Registered!AV1351=1,Registered!AV1351&amp;" Meal",Registered!AV1351&amp;" Meals"))</f>
        <v/>
      </c>
      <c r="AX1351" s="2" t="str">
        <f>IF(Registered!AI1351=0,"",Registered!AI1351&amp;" BG")</f>
        <v/>
      </c>
      <c r="AY1351" s="2" t="str">
        <f>IF(Registered!AG1351=0,"",Registered!AG1351&amp;" DustMask")</f>
        <v/>
      </c>
    </row>
    <row r="1352" spans="1:51" customFormat="1" x14ac:dyDescent="0.25">
      <c r="A1352" t="s">
        <v>116</v>
      </c>
      <c r="B1352" t="s">
        <v>1546</v>
      </c>
      <c r="C1352" t="s">
        <v>6090</v>
      </c>
      <c r="D1352" t="s">
        <v>1733</v>
      </c>
      <c r="F1352" t="s">
        <v>261</v>
      </c>
      <c r="I1352" t="s">
        <v>1547</v>
      </c>
      <c r="J1352" t="s">
        <v>37</v>
      </c>
      <c r="K1352" t="s">
        <v>32</v>
      </c>
      <c r="L1352" t="s">
        <v>35</v>
      </c>
      <c r="S1352">
        <v>4</v>
      </c>
      <c r="T1352">
        <v>3</v>
      </c>
      <c r="AC1352">
        <v>1</v>
      </c>
      <c r="AD1352">
        <v>10</v>
      </c>
      <c r="AQ1352">
        <v>22</v>
      </c>
      <c r="AR1352" s="3">
        <f t="shared" si="63"/>
        <v>5</v>
      </c>
      <c r="AS1352" s="3">
        <f t="shared" si="64"/>
        <v>0</v>
      </c>
      <c r="AT1352" s="3" t="str">
        <f>IF(OR(Registered!AM1352&gt;0,Registered!AO1352&gt;0),(IF(Registered!E1352=0,"Size Not Specified",Registered!E1352)),"")</f>
        <v/>
      </c>
      <c r="AU1352" s="3" t="str">
        <f>IF(Registered!AE1352=0,"",IF(Registered!AE1352=1,Registered!AE1352&amp;" Bandana",Registered!AE1352&amp;" Bandanas"))</f>
        <v/>
      </c>
      <c r="AV1352" s="3">
        <f t="shared" si="65"/>
        <v>0</v>
      </c>
      <c r="AW1352" s="2" t="str">
        <f>IF(Registered!AV1352=0,"",IF(Registered!AV1352=1,Registered!AV1352&amp;" Meal",Registered!AV1352&amp;" Meals"))</f>
        <v/>
      </c>
      <c r="AX1352" s="2" t="str">
        <f>IF(Registered!AI1352=0,"",Registered!AI1352&amp;" BG")</f>
        <v/>
      </c>
      <c r="AY1352" s="2" t="str">
        <f>IF(Registered!AG1352=0,"",Registered!AG1352&amp;" DustMask")</f>
        <v/>
      </c>
    </row>
    <row r="1353" spans="1:51" customFormat="1" x14ac:dyDescent="0.25">
      <c r="A1353" t="s">
        <v>63</v>
      </c>
      <c r="B1353" t="s">
        <v>1546</v>
      </c>
      <c r="C1353" t="s">
        <v>6090</v>
      </c>
      <c r="G1353" t="s">
        <v>116</v>
      </c>
      <c r="H1353" t="s">
        <v>1546</v>
      </c>
      <c r="I1353" t="s">
        <v>1547</v>
      </c>
      <c r="J1353" t="s">
        <v>37</v>
      </c>
      <c r="K1353" t="s">
        <v>32</v>
      </c>
      <c r="L1353" t="s">
        <v>35</v>
      </c>
      <c r="AQ1353">
        <v>0</v>
      </c>
      <c r="AR1353" s="3">
        <f t="shared" si="63"/>
        <v>0</v>
      </c>
      <c r="AS1353" s="3">
        <f t="shared" si="64"/>
        <v>0</v>
      </c>
      <c r="AT1353" s="3" t="str">
        <f>IF(OR(Registered!AM1353&gt;0,Registered!AO1353&gt;0),(IF(Registered!E1353=0,"Size Not Specified",Registered!E1353)),"")</f>
        <v/>
      </c>
      <c r="AU1353" s="3" t="str">
        <f>IF(Registered!AE1353=0,"",IF(Registered!AE1353=1,Registered!AE1353&amp;" Bandana",Registered!AE1353&amp;" Bandanas"))</f>
        <v/>
      </c>
      <c r="AV1353" s="3">
        <f t="shared" si="65"/>
        <v>0</v>
      </c>
      <c r="AW1353" s="2" t="str">
        <f>IF(Registered!AV1353=0,"",IF(Registered!AV1353=1,Registered!AV1353&amp;" Meal",Registered!AV1353&amp;" Meals"))</f>
        <v/>
      </c>
      <c r="AX1353" s="2" t="str">
        <f>IF(Registered!AI1353=0,"",Registered!AI1353&amp;" BG")</f>
        <v/>
      </c>
      <c r="AY1353" s="2" t="str">
        <f>IF(Registered!AG1353=0,"",Registered!AG1353&amp;" DustMask")</f>
        <v/>
      </c>
    </row>
    <row r="1354" spans="1:51" customFormat="1" x14ac:dyDescent="0.25">
      <c r="A1354" t="s">
        <v>1734</v>
      </c>
      <c r="B1354" t="s">
        <v>1546</v>
      </c>
      <c r="C1354" t="s">
        <v>6090</v>
      </c>
      <c r="G1354" t="s">
        <v>116</v>
      </c>
      <c r="H1354" t="s">
        <v>1546</v>
      </c>
      <c r="I1354" t="s">
        <v>1547</v>
      </c>
      <c r="J1354" t="s">
        <v>37</v>
      </c>
      <c r="K1354" t="s">
        <v>32</v>
      </c>
      <c r="L1354" t="s">
        <v>35</v>
      </c>
      <c r="AQ1354">
        <v>0</v>
      </c>
      <c r="AR1354" s="3">
        <f t="shared" si="63"/>
        <v>0</v>
      </c>
      <c r="AS1354" s="3">
        <f t="shared" si="64"/>
        <v>0</v>
      </c>
      <c r="AT1354" s="3" t="str">
        <f>IF(OR(Registered!AM1354&gt;0,Registered!AO1354&gt;0),(IF(Registered!E1354=0,"Size Not Specified",Registered!E1354)),"")</f>
        <v/>
      </c>
      <c r="AU1354" s="3" t="str">
        <f>IF(Registered!AE1354=0,"",IF(Registered!AE1354=1,Registered!AE1354&amp;" Bandana",Registered!AE1354&amp;" Bandanas"))</f>
        <v/>
      </c>
      <c r="AV1354" s="3">
        <f t="shared" si="65"/>
        <v>0</v>
      </c>
      <c r="AW1354" s="2" t="str">
        <f>IF(Registered!AV1354=0,"",IF(Registered!AV1354=1,Registered!AV1354&amp;" Meal",Registered!AV1354&amp;" Meals"))</f>
        <v/>
      </c>
      <c r="AX1354" s="2" t="str">
        <f>IF(Registered!AI1354=0,"",Registered!AI1354&amp;" BG")</f>
        <v/>
      </c>
      <c r="AY1354" s="2" t="str">
        <f>IF(Registered!AG1354=0,"",Registered!AG1354&amp;" DustMask")</f>
        <v/>
      </c>
    </row>
    <row r="1355" spans="1:51" customFormat="1" x14ac:dyDescent="0.25">
      <c r="A1355" t="s">
        <v>263</v>
      </c>
      <c r="B1355" t="s">
        <v>1735</v>
      </c>
      <c r="C1355" t="s">
        <v>6090</v>
      </c>
      <c r="G1355" t="s">
        <v>174</v>
      </c>
      <c r="H1355" t="s">
        <v>865</v>
      </c>
      <c r="I1355" t="s">
        <v>866</v>
      </c>
      <c r="J1355" t="s">
        <v>37</v>
      </c>
      <c r="K1355" t="s">
        <v>32</v>
      </c>
      <c r="L1355" t="s">
        <v>35</v>
      </c>
      <c r="AQ1355">
        <v>0</v>
      </c>
      <c r="AR1355" s="3">
        <f t="shared" si="63"/>
        <v>0</v>
      </c>
      <c r="AS1355" s="3">
        <f t="shared" si="64"/>
        <v>0</v>
      </c>
      <c r="AT1355" s="3" t="str">
        <f>IF(OR(Registered!AM1355&gt;0,Registered!AO1355&gt;0),(IF(Registered!E1355=0,"Size Not Specified",Registered!E1355)),"")</f>
        <v/>
      </c>
      <c r="AU1355" s="3" t="str">
        <f>IF(Registered!AE1355=0,"",IF(Registered!AE1355=1,Registered!AE1355&amp;" Bandana",Registered!AE1355&amp;" Bandanas"))</f>
        <v/>
      </c>
      <c r="AV1355" s="3">
        <f t="shared" si="65"/>
        <v>0</v>
      </c>
      <c r="AW1355" s="2" t="str">
        <f>IF(Registered!AV1355=0,"",IF(Registered!AV1355=1,Registered!AV1355&amp;" Meal",Registered!AV1355&amp;" Meals"))</f>
        <v/>
      </c>
      <c r="AX1355" s="2" t="str">
        <f>IF(Registered!AI1355=0,"",Registered!AI1355&amp;" BG")</f>
        <v/>
      </c>
      <c r="AY1355" s="2" t="str">
        <f>IF(Registered!AG1355=0,"",Registered!AG1355&amp;" DustMask")</f>
        <v/>
      </c>
    </row>
    <row r="1356" spans="1:51" customFormat="1" x14ac:dyDescent="0.25">
      <c r="A1356" t="s">
        <v>2611</v>
      </c>
      <c r="B1356" t="s">
        <v>1735</v>
      </c>
      <c r="C1356" t="s">
        <v>6090</v>
      </c>
      <c r="D1356" t="s">
        <v>4968</v>
      </c>
      <c r="F1356" t="s">
        <v>261</v>
      </c>
      <c r="I1356" t="s">
        <v>4731</v>
      </c>
      <c r="J1356" t="s">
        <v>37</v>
      </c>
      <c r="K1356" t="s">
        <v>32</v>
      </c>
      <c r="L1356" t="s">
        <v>35</v>
      </c>
      <c r="Q1356">
        <v>2</v>
      </c>
      <c r="R1356">
        <v>3</v>
      </c>
      <c r="AC1356">
        <v>2</v>
      </c>
      <c r="AD1356">
        <v>10</v>
      </c>
      <c r="AQ1356">
        <v>26</v>
      </c>
      <c r="AR1356" s="3">
        <f t="shared" si="63"/>
        <v>10</v>
      </c>
      <c r="AS1356" s="3">
        <f t="shared" si="64"/>
        <v>0</v>
      </c>
      <c r="AT1356" s="3" t="str">
        <f>IF(OR(Registered!AM1356&gt;0,Registered!AO1356&gt;0),(IF(Registered!E1356=0,"Size Not Specified",Registered!E1356)),"")</f>
        <v/>
      </c>
      <c r="AU1356" s="3" t="str">
        <f>IF(Registered!AE1356=0,"",IF(Registered!AE1356=1,Registered!AE1356&amp;" Bandana",Registered!AE1356&amp;" Bandanas"))</f>
        <v/>
      </c>
      <c r="AV1356" s="3">
        <f t="shared" si="65"/>
        <v>0</v>
      </c>
      <c r="AW1356" s="2" t="str">
        <f>IF(Registered!AV1356=0,"",IF(Registered!AV1356=1,Registered!AV1356&amp;" Meal",Registered!AV1356&amp;" Meals"))</f>
        <v/>
      </c>
      <c r="AX1356" s="2" t="str">
        <f>IF(Registered!AI1356=0,"",Registered!AI1356&amp;" BG")</f>
        <v/>
      </c>
      <c r="AY1356" s="2" t="str">
        <f>IF(Registered!AG1356=0,"",Registered!AG1356&amp;" DustMask")</f>
        <v/>
      </c>
    </row>
    <row r="1357" spans="1:51" customFormat="1" x14ac:dyDescent="0.25">
      <c r="A1357" t="s">
        <v>1736</v>
      </c>
      <c r="B1357" t="s">
        <v>1737</v>
      </c>
      <c r="C1357" t="s">
        <v>6090</v>
      </c>
      <c r="D1357" t="s">
        <v>1738</v>
      </c>
      <c r="E1357" t="s">
        <v>216</v>
      </c>
      <c r="I1357" t="s">
        <v>1739</v>
      </c>
      <c r="J1357" t="s">
        <v>37</v>
      </c>
      <c r="K1357" t="s">
        <v>32</v>
      </c>
      <c r="L1357" t="s">
        <v>35</v>
      </c>
      <c r="O1357">
        <v>1</v>
      </c>
      <c r="P1357">
        <v>3</v>
      </c>
      <c r="AC1357">
        <v>1</v>
      </c>
      <c r="AD1357">
        <v>10</v>
      </c>
      <c r="AE1357">
        <v>1</v>
      </c>
      <c r="AF1357">
        <v>5</v>
      </c>
      <c r="AM1357">
        <v>1</v>
      </c>
      <c r="AN1357">
        <v>25</v>
      </c>
      <c r="AQ1357">
        <v>43</v>
      </c>
      <c r="AR1357" s="3">
        <f t="shared" si="63"/>
        <v>10</v>
      </c>
      <c r="AS1357" s="3">
        <f t="shared" si="64"/>
        <v>1</v>
      </c>
      <c r="AT1357" s="3" t="str">
        <f>IF(OR(Registered!AM1357&gt;0,Registered!AO1357&gt;0),(IF(Registered!E1357=0,"Size Not Specified",Registered!E1357)),"")</f>
        <v>large</v>
      </c>
      <c r="AU1357" s="3" t="str">
        <f>IF(Registered!AE1357=0,"",IF(Registered!AE1357=1,Registered!AE1357&amp;" Bandana",Registered!AE1357&amp;" Bandanas"))</f>
        <v>1 Bandana</v>
      </c>
      <c r="AV1357" s="3">
        <f t="shared" si="65"/>
        <v>1</v>
      </c>
      <c r="AW1357" s="2" t="str">
        <f>IF(Registered!AV1357=0,"",IF(Registered!AV1357=1,Registered!AV1357&amp;" Meal",Registered!AV1357&amp;" Meals"))</f>
        <v>1 Meal</v>
      </c>
      <c r="AX1357" s="2" t="str">
        <f>IF(Registered!AI1357=0,"",Registered!AI1357&amp;" BG")</f>
        <v/>
      </c>
      <c r="AY1357" s="2" t="str">
        <f>IF(Registered!AG1357=0,"",Registered!AG1357&amp;" DustMask")</f>
        <v/>
      </c>
    </row>
    <row r="1358" spans="1:51" customFormat="1" x14ac:dyDescent="0.25">
      <c r="A1358" t="s">
        <v>647</v>
      </c>
      <c r="B1358" t="s">
        <v>4969</v>
      </c>
      <c r="C1358" t="s">
        <v>6090</v>
      </c>
      <c r="D1358" t="s">
        <v>647</v>
      </c>
      <c r="F1358" t="s">
        <v>261</v>
      </c>
      <c r="I1358" t="s">
        <v>4970</v>
      </c>
      <c r="J1358" t="s">
        <v>37</v>
      </c>
      <c r="K1358" t="s">
        <v>32</v>
      </c>
      <c r="L1358" t="s">
        <v>35</v>
      </c>
      <c r="Q1358">
        <v>1</v>
      </c>
      <c r="R1358">
        <v>3</v>
      </c>
      <c r="AC1358">
        <v>1</v>
      </c>
      <c r="AD1358">
        <v>10</v>
      </c>
      <c r="AQ1358">
        <v>13</v>
      </c>
      <c r="AR1358" s="3">
        <f t="shared" si="63"/>
        <v>5</v>
      </c>
      <c r="AS1358" s="3">
        <f t="shared" si="64"/>
        <v>0</v>
      </c>
      <c r="AT1358" s="3" t="str">
        <f>IF(OR(Registered!AM1358&gt;0,Registered!AO1358&gt;0),(IF(Registered!E1358=0,"Size Not Specified",Registered!E1358)),"")</f>
        <v/>
      </c>
      <c r="AU1358" s="3" t="str">
        <f>IF(Registered!AE1358=0,"",IF(Registered!AE1358=1,Registered!AE1358&amp;" Bandana",Registered!AE1358&amp;" Bandanas"))</f>
        <v/>
      </c>
      <c r="AV1358" s="3">
        <f t="shared" si="65"/>
        <v>0</v>
      </c>
      <c r="AW1358" s="2" t="str">
        <f>IF(Registered!AV1358=0,"",IF(Registered!AV1358=1,Registered!AV1358&amp;" Meal",Registered!AV1358&amp;" Meals"))</f>
        <v/>
      </c>
      <c r="AX1358" s="2" t="str">
        <f>IF(Registered!AI1358=0,"",Registered!AI1358&amp;" BG")</f>
        <v/>
      </c>
      <c r="AY1358" s="2" t="str">
        <f>IF(Registered!AG1358=0,"",Registered!AG1358&amp;" DustMask")</f>
        <v/>
      </c>
    </row>
    <row r="1359" spans="1:51" customFormat="1" x14ac:dyDescent="0.25">
      <c r="A1359" t="s">
        <v>151</v>
      </c>
      <c r="B1359" t="s">
        <v>1215</v>
      </c>
      <c r="C1359" t="s">
        <v>6090</v>
      </c>
      <c r="D1359" t="s">
        <v>1740</v>
      </c>
      <c r="I1359" t="s">
        <v>1741</v>
      </c>
      <c r="J1359" t="s">
        <v>37</v>
      </c>
      <c r="K1359" t="s">
        <v>32</v>
      </c>
      <c r="L1359" t="s">
        <v>35</v>
      </c>
      <c r="O1359">
        <v>2</v>
      </c>
      <c r="P1359">
        <v>3</v>
      </c>
      <c r="AC1359">
        <v>1</v>
      </c>
      <c r="AD1359">
        <v>10</v>
      </c>
      <c r="AQ1359">
        <v>16</v>
      </c>
      <c r="AR1359" s="3">
        <f t="shared" si="63"/>
        <v>5</v>
      </c>
      <c r="AS1359" s="3">
        <f t="shared" si="64"/>
        <v>0</v>
      </c>
      <c r="AT1359" s="3" t="str">
        <f>IF(OR(Registered!AM1359&gt;0,Registered!AO1359&gt;0),(IF(Registered!E1359=0,"Size Not Specified",Registered!E1359)),"")</f>
        <v/>
      </c>
      <c r="AU1359" s="3" t="str">
        <f>IF(Registered!AE1359=0,"",IF(Registered!AE1359=1,Registered!AE1359&amp;" Bandana",Registered!AE1359&amp;" Bandanas"))</f>
        <v/>
      </c>
      <c r="AV1359" s="3">
        <f t="shared" si="65"/>
        <v>0</v>
      </c>
      <c r="AW1359" s="2" t="str">
        <f>IF(Registered!AV1359=0,"",IF(Registered!AV1359=1,Registered!AV1359&amp;" Meal",Registered!AV1359&amp;" Meals"))</f>
        <v/>
      </c>
      <c r="AX1359" s="2" t="str">
        <f>IF(Registered!AI1359=0,"",Registered!AI1359&amp;" BG")</f>
        <v/>
      </c>
      <c r="AY1359" s="2" t="str">
        <f>IF(Registered!AG1359=0,"",Registered!AG1359&amp;" DustMask")</f>
        <v/>
      </c>
    </row>
    <row r="1360" spans="1:51" customFormat="1" x14ac:dyDescent="0.25">
      <c r="A1360" t="s">
        <v>143</v>
      </c>
      <c r="B1360" t="s">
        <v>1215</v>
      </c>
      <c r="C1360" t="s">
        <v>6090</v>
      </c>
      <c r="D1360" t="s">
        <v>1740</v>
      </c>
      <c r="I1360" t="s">
        <v>1607</v>
      </c>
      <c r="J1360" t="s">
        <v>37</v>
      </c>
      <c r="K1360" t="s">
        <v>32</v>
      </c>
      <c r="L1360" t="s">
        <v>35</v>
      </c>
      <c r="O1360">
        <v>4</v>
      </c>
      <c r="P1360">
        <v>3</v>
      </c>
      <c r="AC1360">
        <v>1</v>
      </c>
      <c r="AD1360">
        <v>10</v>
      </c>
      <c r="AQ1360">
        <v>22</v>
      </c>
      <c r="AR1360" s="3">
        <f t="shared" si="63"/>
        <v>5</v>
      </c>
      <c r="AS1360" s="3">
        <f t="shared" si="64"/>
        <v>0</v>
      </c>
      <c r="AT1360" s="3" t="str">
        <f>IF(OR(Registered!AM1360&gt;0,Registered!AO1360&gt;0),(IF(Registered!E1360=0,"Size Not Specified",Registered!E1360)),"")</f>
        <v/>
      </c>
      <c r="AU1360" s="3" t="str">
        <f>IF(Registered!AE1360=0,"",IF(Registered!AE1360=1,Registered!AE1360&amp;" Bandana",Registered!AE1360&amp;" Bandanas"))</f>
        <v/>
      </c>
      <c r="AV1360" s="3">
        <f t="shared" si="65"/>
        <v>0</v>
      </c>
      <c r="AW1360" s="2" t="str">
        <f>IF(Registered!AV1360=0,"",IF(Registered!AV1360=1,Registered!AV1360&amp;" Meal",Registered!AV1360&amp;" Meals"))</f>
        <v/>
      </c>
      <c r="AX1360" s="2" t="str">
        <f>IF(Registered!AI1360=0,"",Registered!AI1360&amp;" BG")</f>
        <v/>
      </c>
      <c r="AY1360" s="2" t="str">
        <f>IF(Registered!AG1360=0,"",Registered!AG1360&amp;" DustMask")</f>
        <v/>
      </c>
    </row>
    <row r="1361" spans="1:51" customFormat="1" x14ac:dyDescent="0.25">
      <c r="A1361" t="s">
        <v>116</v>
      </c>
      <c r="B1361" t="s">
        <v>4971</v>
      </c>
      <c r="C1361" t="s">
        <v>6090</v>
      </c>
      <c r="G1361" t="s">
        <v>42</v>
      </c>
      <c r="H1361" t="s">
        <v>4971</v>
      </c>
      <c r="I1361" t="s">
        <v>4972</v>
      </c>
      <c r="J1361" t="s">
        <v>37</v>
      </c>
      <c r="K1361" t="s">
        <v>32</v>
      </c>
      <c r="L1361" t="s">
        <v>35</v>
      </c>
      <c r="AQ1361">
        <v>0</v>
      </c>
      <c r="AR1361" s="3">
        <f t="shared" si="63"/>
        <v>0</v>
      </c>
      <c r="AS1361" s="3">
        <f t="shared" si="64"/>
        <v>0</v>
      </c>
      <c r="AT1361" s="3" t="str">
        <f>IF(OR(Registered!AM1361&gt;0,Registered!AO1361&gt;0),(IF(Registered!E1361=0,"Size Not Specified",Registered!E1361)),"")</f>
        <v/>
      </c>
      <c r="AU1361" s="3" t="str">
        <f>IF(Registered!AE1361=0,"",IF(Registered!AE1361=1,Registered!AE1361&amp;" Bandana",Registered!AE1361&amp;" Bandanas"))</f>
        <v/>
      </c>
      <c r="AV1361" s="3">
        <f t="shared" si="65"/>
        <v>0</v>
      </c>
      <c r="AW1361" s="2" t="str">
        <f>IF(Registered!AV1361=0,"",IF(Registered!AV1361=1,Registered!AV1361&amp;" Meal",Registered!AV1361&amp;" Meals"))</f>
        <v/>
      </c>
      <c r="AX1361" s="2" t="str">
        <f>IF(Registered!AI1361=0,"",Registered!AI1361&amp;" BG")</f>
        <v/>
      </c>
      <c r="AY1361" s="2" t="str">
        <f>IF(Registered!AG1361=0,"",Registered!AG1361&amp;" DustMask")</f>
        <v/>
      </c>
    </row>
    <row r="1362" spans="1:51" customFormat="1" x14ac:dyDescent="0.25">
      <c r="A1362" t="s">
        <v>42</v>
      </c>
      <c r="B1362" t="s">
        <v>4971</v>
      </c>
      <c r="C1362" t="s">
        <v>6090</v>
      </c>
      <c r="D1362" t="s">
        <v>4973</v>
      </c>
      <c r="F1362" t="s">
        <v>261</v>
      </c>
      <c r="I1362" t="s">
        <v>4972</v>
      </c>
      <c r="J1362" t="s">
        <v>37</v>
      </c>
      <c r="K1362" t="s">
        <v>32</v>
      </c>
      <c r="L1362" t="s">
        <v>35</v>
      </c>
      <c r="Q1362">
        <v>7</v>
      </c>
      <c r="R1362">
        <v>3</v>
      </c>
      <c r="AA1362">
        <v>1</v>
      </c>
      <c r="AB1362">
        <v>75</v>
      </c>
      <c r="AK1362">
        <v>7</v>
      </c>
      <c r="AL1362">
        <v>6</v>
      </c>
      <c r="AQ1362">
        <v>138</v>
      </c>
      <c r="AR1362" s="3">
        <f t="shared" si="63"/>
        <v>40</v>
      </c>
      <c r="AS1362" s="3">
        <f t="shared" si="64"/>
        <v>0</v>
      </c>
      <c r="AT1362" s="3" t="str">
        <f>IF(OR(Registered!AM1362&gt;0,Registered!AO1362&gt;0),(IF(Registered!E1362=0,"Size Not Specified",Registered!E1362)),"")</f>
        <v/>
      </c>
      <c r="AU1362" s="3" t="str">
        <f>IF(Registered!AE1362=0,"",IF(Registered!AE1362=1,Registered!AE1362&amp;" Bandana",Registered!AE1362&amp;" Bandanas"))</f>
        <v/>
      </c>
      <c r="AV1362" s="3">
        <f t="shared" si="65"/>
        <v>7</v>
      </c>
      <c r="AW1362" s="2" t="str">
        <f>IF(Registered!AV1362=0,"",IF(Registered!AV1362=1,Registered!AV1362&amp;" Meal",Registered!AV1362&amp;" Meals"))</f>
        <v>7 Meals</v>
      </c>
      <c r="AX1362" s="2" t="str">
        <f>IF(Registered!AI1362=0,"",Registered!AI1362&amp;" BG")</f>
        <v/>
      </c>
      <c r="AY1362" s="2" t="str">
        <f>IF(Registered!AG1362=0,"",Registered!AG1362&amp;" DustMask")</f>
        <v/>
      </c>
    </row>
    <row r="1363" spans="1:51" customFormat="1" x14ac:dyDescent="0.25">
      <c r="A1363" t="s">
        <v>4974</v>
      </c>
      <c r="B1363" t="s">
        <v>4971</v>
      </c>
      <c r="C1363" t="s">
        <v>6090</v>
      </c>
      <c r="G1363" t="s">
        <v>42</v>
      </c>
      <c r="H1363" t="s">
        <v>4971</v>
      </c>
      <c r="I1363" t="s">
        <v>4972</v>
      </c>
      <c r="J1363" t="s">
        <v>37</v>
      </c>
      <c r="K1363" t="s">
        <v>32</v>
      </c>
      <c r="L1363" t="s">
        <v>35</v>
      </c>
      <c r="AQ1363">
        <v>0</v>
      </c>
      <c r="AR1363" s="3">
        <f t="shared" si="63"/>
        <v>0</v>
      </c>
      <c r="AS1363" s="3">
        <f t="shared" si="64"/>
        <v>0</v>
      </c>
      <c r="AT1363" s="3" t="str">
        <f>IF(OR(Registered!AM1363&gt;0,Registered!AO1363&gt;0),(IF(Registered!E1363=0,"Size Not Specified",Registered!E1363)),"")</f>
        <v/>
      </c>
      <c r="AU1363" s="3" t="str">
        <f>IF(Registered!AE1363=0,"",IF(Registered!AE1363=1,Registered!AE1363&amp;" Bandana",Registered!AE1363&amp;" Bandanas"))</f>
        <v/>
      </c>
      <c r="AV1363" s="3">
        <f t="shared" si="65"/>
        <v>0</v>
      </c>
      <c r="AW1363" s="2" t="str">
        <f>IF(Registered!AV1363=0,"",IF(Registered!AV1363=1,Registered!AV1363&amp;" Meal",Registered!AV1363&amp;" Meals"))</f>
        <v/>
      </c>
      <c r="AX1363" s="2" t="str">
        <f>IF(Registered!AI1363=0,"",Registered!AI1363&amp;" BG")</f>
        <v/>
      </c>
      <c r="AY1363" s="2" t="str">
        <f>IF(Registered!AG1363=0,"",Registered!AG1363&amp;" DustMask")</f>
        <v/>
      </c>
    </row>
    <row r="1364" spans="1:51" customFormat="1" x14ac:dyDescent="0.25">
      <c r="A1364" t="s">
        <v>456</v>
      </c>
      <c r="B1364" t="s">
        <v>4971</v>
      </c>
      <c r="C1364" t="s">
        <v>6090</v>
      </c>
      <c r="G1364" t="s">
        <v>42</v>
      </c>
      <c r="H1364" t="s">
        <v>4971</v>
      </c>
      <c r="I1364" t="s">
        <v>4972</v>
      </c>
      <c r="J1364" t="s">
        <v>37</v>
      </c>
      <c r="K1364" t="s">
        <v>32</v>
      </c>
      <c r="L1364" t="s">
        <v>35</v>
      </c>
      <c r="AQ1364">
        <v>0</v>
      </c>
      <c r="AR1364" s="3">
        <f t="shared" si="63"/>
        <v>0</v>
      </c>
      <c r="AS1364" s="3">
        <f t="shared" si="64"/>
        <v>0</v>
      </c>
      <c r="AT1364" s="3" t="str">
        <f>IF(OR(Registered!AM1364&gt;0,Registered!AO1364&gt;0),(IF(Registered!E1364=0,"Size Not Specified",Registered!E1364)),"")</f>
        <v/>
      </c>
      <c r="AU1364" s="3" t="str">
        <f>IF(Registered!AE1364=0,"",IF(Registered!AE1364=1,Registered!AE1364&amp;" Bandana",Registered!AE1364&amp;" Bandanas"))</f>
        <v/>
      </c>
      <c r="AV1364" s="3">
        <f t="shared" si="65"/>
        <v>0</v>
      </c>
      <c r="AW1364" s="2" t="str">
        <f>IF(Registered!AV1364=0,"",IF(Registered!AV1364=1,Registered!AV1364&amp;" Meal",Registered!AV1364&amp;" Meals"))</f>
        <v/>
      </c>
      <c r="AX1364" s="2" t="str">
        <f>IF(Registered!AI1364=0,"",Registered!AI1364&amp;" BG")</f>
        <v/>
      </c>
      <c r="AY1364" s="2" t="str">
        <f>IF(Registered!AG1364=0,"",Registered!AG1364&amp;" DustMask")</f>
        <v/>
      </c>
    </row>
    <row r="1365" spans="1:51" customFormat="1" x14ac:dyDescent="0.25">
      <c r="A1365" t="s">
        <v>4975</v>
      </c>
      <c r="B1365" t="s">
        <v>4971</v>
      </c>
      <c r="C1365" t="s">
        <v>6090</v>
      </c>
      <c r="G1365" t="s">
        <v>42</v>
      </c>
      <c r="H1365" t="s">
        <v>4971</v>
      </c>
      <c r="I1365" t="s">
        <v>4972</v>
      </c>
      <c r="J1365" t="s">
        <v>37</v>
      </c>
      <c r="K1365" t="s">
        <v>32</v>
      </c>
      <c r="L1365" t="s">
        <v>35</v>
      </c>
      <c r="AQ1365">
        <v>0</v>
      </c>
      <c r="AR1365" s="3">
        <f t="shared" si="63"/>
        <v>0</v>
      </c>
      <c r="AS1365" s="3">
        <f t="shared" si="64"/>
        <v>0</v>
      </c>
      <c r="AT1365" s="3" t="str">
        <f>IF(OR(Registered!AM1365&gt;0,Registered!AO1365&gt;0),(IF(Registered!E1365=0,"Size Not Specified",Registered!E1365)),"")</f>
        <v/>
      </c>
      <c r="AU1365" s="3" t="str">
        <f>IF(Registered!AE1365=0,"",IF(Registered!AE1365=1,Registered!AE1365&amp;" Bandana",Registered!AE1365&amp;" Bandanas"))</f>
        <v/>
      </c>
      <c r="AV1365" s="3">
        <f t="shared" si="65"/>
        <v>0</v>
      </c>
      <c r="AW1365" s="2" t="str">
        <f>IF(Registered!AV1365=0,"",IF(Registered!AV1365=1,Registered!AV1365&amp;" Meal",Registered!AV1365&amp;" Meals"))</f>
        <v/>
      </c>
      <c r="AX1365" s="2" t="str">
        <f>IF(Registered!AI1365=0,"",Registered!AI1365&amp;" BG")</f>
        <v/>
      </c>
      <c r="AY1365" s="2" t="str">
        <f>IF(Registered!AG1365=0,"",Registered!AG1365&amp;" DustMask")</f>
        <v/>
      </c>
    </row>
    <row r="1366" spans="1:51" customFormat="1" x14ac:dyDescent="0.25">
      <c r="A1366" t="s">
        <v>48</v>
      </c>
      <c r="B1366" t="s">
        <v>4971</v>
      </c>
      <c r="C1366" t="s">
        <v>6090</v>
      </c>
      <c r="G1366" t="s">
        <v>42</v>
      </c>
      <c r="H1366" t="s">
        <v>4971</v>
      </c>
      <c r="I1366" t="s">
        <v>4972</v>
      </c>
      <c r="J1366" t="s">
        <v>37</v>
      </c>
      <c r="K1366" t="s">
        <v>32</v>
      </c>
      <c r="L1366" t="s">
        <v>35</v>
      </c>
      <c r="AQ1366">
        <v>0</v>
      </c>
      <c r="AR1366" s="3">
        <f t="shared" si="63"/>
        <v>0</v>
      </c>
      <c r="AS1366" s="3">
        <f t="shared" si="64"/>
        <v>0</v>
      </c>
      <c r="AT1366" s="3" t="str">
        <f>IF(OR(Registered!AM1366&gt;0,Registered!AO1366&gt;0),(IF(Registered!E1366=0,"Size Not Specified",Registered!E1366)),"")</f>
        <v/>
      </c>
      <c r="AU1366" s="3" t="str">
        <f>IF(Registered!AE1366=0,"",IF(Registered!AE1366=1,Registered!AE1366&amp;" Bandana",Registered!AE1366&amp;" Bandanas"))</f>
        <v/>
      </c>
      <c r="AV1366" s="3">
        <f t="shared" si="65"/>
        <v>0</v>
      </c>
      <c r="AW1366" s="2" t="str">
        <f>IF(Registered!AV1366=0,"",IF(Registered!AV1366=1,Registered!AV1366&amp;" Meal",Registered!AV1366&amp;" Meals"))</f>
        <v/>
      </c>
      <c r="AX1366" s="2" t="str">
        <f>IF(Registered!AI1366=0,"",Registered!AI1366&amp;" BG")</f>
        <v/>
      </c>
      <c r="AY1366" s="2" t="str">
        <f>IF(Registered!AG1366=0,"",Registered!AG1366&amp;" DustMask")</f>
        <v/>
      </c>
    </row>
    <row r="1367" spans="1:51" customFormat="1" x14ac:dyDescent="0.25">
      <c r="A1367" t="s">
        <v>267</v>
      </c>
      <c r="B1367" t="s">
        <v>4971</v>
      </c>
      <c r="C1367" t="s">
        <v>6090</v>
      </c>
      <c r="G1367" t="s">
        <v>42</v>
      </c>
      <c r="H1367" t="s">
        <v>4971</v>
      </c>
      <c r="I1367" t="s">
        <v>4972</v>
      </c>
      <c r="J1367" t="s">
        <v>37</v>
      </c>
      <c r="K1367" t="s">
        <v>32</v>
      </c>
      <c r="L1367" t="s">
        <v>35</v>
      </c>
      <c r="AQ1367">
        <v>0</v>
      </c>
      <c r="AR1367" s="3">
        <f t="shared" si="63"/>
        <v>0</v>
      </c>
      <c r="AS1367" s="3">
        <f t="shared" si="64"/>
        <v>0</v>
      </c>
      <c r="AT1367" s="3" t="str">
        <f>IF(OR(Registered!AM1367&gt;0,Registered!AO1367&gt;0),(IF(Registered!E1367=0,"Size Not Specified",Registered!E1367)),"")</f>
        <v/>
      </c>
      <c r="AU1367" s="3" t="str">
        <f>IF(Registered!AE1367=0,"",IF(Registered!AE1367=1,Registered!AE1367&amp;" Bandana",Registered!AE1367&amp;" Bandanas"))</f>
        <v/>
      </c>
      <c r="AV1367" s="3">
        <f t="shared" si="65"/>
        <v>0</v>
      </c>
      <c r="AW1367" s="2" t="str">
        <f>IF(Registered!AV1367=0,"",IF(Registered!AV1367=1,Registered!AV1367&amp;" Meal",Registered!AV1367&amp;" Meals"))</f>
        <v/>
      </c>
      <c r="AX1367" s="2" t="str">
        <f>IF(Registered!AI1367=0,"",Registered!AI1367&amp;" BG")</f>
        <v/>
      </c>
      <c r="AY1367" s="2" t="str">
        <f>IF(Registered!AG1367=0,"",Registered!AG1367&amp;" DustMask")</f>
        <v/>
      </c>
    </row>
    <row r="1368" spans="1:51" customFormat="1" x14ac:dyDescent="0.25">
      <c r="A1368" t="s">
        <v>163</v>
      </c>
      <c r="B1368" t="s">
        <v>3137</v>
      </c>
      <c r="C1368" t="s">
        <v>6090</v>
      </c>
      <c r="G1368" t="s">
        <v>79</v>
      </c>
      <c r="H1368" t="s">
        <v>2778</v>
      </c>
      <c r="I1368" t="s">
        <v>2780</v>
      </c>
      <c r="J1368" t="s">
        <v>37</v>
      </c>
      <c r="K1368" t="s">
        <v>32</v>
      </c>
      <c r="L1368" t="s">
        <v>35</v>
      </c>
      <c r="AQ1368">
        <v>0</v>
      </c>
      <c r="AR1368" s="3">
        <f t="shared" si="63"/>
        <v>0</v>
      </c>
      <c r="AS1368" s="3">
        <f t="shared" si="64"/>
        <v>0</v>
      </c>
      <c r="AT1368" s="3" t="str">
        <f>IF(OR(Registered!AM1368&gt;0,Registered!AO1368&gt;0),(IF(Registered!E1368=0,"Size Not Specified",Registered!E1368)),"")</f>
        <v/>
      </c>
      <c r="AU1368" s="3" t="str">
        <f>IF(Registered!AE1368=0,"",IF(Registered!AE1368=1,Registered!AE1368&amp;" Bandana",Registered!AE1368&amp;" Bandanas"))</f>
        <v/>
      </c>
      <c r="AV1368" s="3">
        <f t="shared" si="65"/>
        <v>0</v>
      </c>
      <c r="AW1368" s="2" t="str">
        <f>IF(Registered!AV1368=0,"",IF(Registered!AV1368=1,Registered!AV1368&amp;" Meal",Registered!AV1368&amp;" Meals"))</f>
        <v/>
      </c>
      <c r="AX1368" s="2" t="str">
        <f>IF(Registered!AI1368=0,"",Registered!AI1368&amp;" BG")</f>
        <v/>
      </c>
      <c r="AY1368" s="2" t="str">
        <f>IF(Registered!AG1368=0,"",Registered!AG1368&amp;" DustMask")</f>
        <v/>
      </c>
    </row>
    <row r="1369" spans="1:51" customFormat="1" x14ac:dyDescent="0.25">
      <c r="A1369" t="s">
        <v>3138</v>
      </c>
      <c r="B1369" t="s">
        <v>3139</v>
      </c>
      <c r="C1369" t="s">
        <v>6090</v>
      </c>
      <c r="G1369" t="s">
        <v>3140</v>
      </c>
      <c r="H1369" t="s">
        <v>3139</v>
      </c>
      <c r="I1369" t="s">
        <v>3141</v>
      </c>
      <c r="J1369" t="s">
        <v>37</v>
      </c>
      <c r="K1369" t="s">
        <v>32</v>
      </c>
      <c r="L1369" t="s">
        <v>35</v>
      </c>
      <c r="AQ1369">
        <v>0</v>
      </c>
      <c r="AR1369" s="3">
        <f t="shared" si="63"/>
        <v>0</v>
      </c>
      <c r="AS1369" s="3">
        <f t="shared" si="64"/>
        <v>0</v>
      </c>
      <c r="AT1369" s="3" t="str">
        <f>IF(OR(Registered!AM1369&gt;0,Registered!AO1369&gt;0),(IF(Registered!E1369=0,"Size Not Specified",Registered!E1369)),"")</f>
        <v/>
      </c>
      <c r="AU1369" s="3" t="str">
        <f>IF(Registered!AE1369=0,"",IF(Registered!AE1369=1,Registered!AE1369&amp;" Bandana",Registered!AE1369&amp;" Bandanas"))</f>
        <v/>
      </c>
      <c r="AV1369" s="3">
        <f t="shared" si="65"/>
        <v>0</v>
      </c>
      <c r="AW1369" s="2" t="str">
        <f>IF(Registered!AV1369=0,"",IF(Registered!AV1369=1,Registered!AV1369&amp;" Meal",Registered!AV1369&amp;" Meals"))</f>
        <v/>
      </c>
      <c r="AX1369" s="2" t="str">
        <f>IF(Registered!AI1369=0,"",Registered!AI1369&amp;" BG")</f>
        <v/>
      </c>
      <c r="AY1369" s="2" t="str">
        <f>IF(Registered!AG1369=0,"",Registered!AG1369&amp;" DustMask")</f>
        <v/>
      </c>
    </row>
    <row r="1370" spans="1:51" customFormat="1" x14ac:dyDescent="0.25">
      <c r="A1370" t="s">
        <v>3140</v>
      </c>
      <c r="B1370" t="s">
        <v>3139</v>
      </c>
      <c r="C1370" t="s">
        <v>6090</v>
      </c>
      <c r="D1370" t="s">
        <v>3142</v>
      </c>
      <c r="F1370" t="s">
        <v>261</v>
      </c>
      <c r="I1370" t="s">
        <v>3141</v>
      </c>
      <c r="J1370" t="s">
        <v>37</v>
      </c>
      <c r="K1370" t="s">
        <v>32</v>
      </c>
      <c r="L1370" t="s">
        <v>35</v>
      </c>
      <c r="Q1370">
        <v>2</v>
      </c>
      <c r="R1370">
        <v>3</v>
      </c>
      <c r="U1370">
        <v>1</v>
      </c>
      <c r="V1370">
        <v>20</v>
      </c>
      <c r="AQ1370">
        <v>26</v>
      </c>
      <c r="AR1370" s="3">
        <f t="shared" si="63"/>
        <v>10</v>
      </c>
      <c r="AS1370" s="3">
        <f t="shared" si="64"/>
        <v>0</v>
      </c>
      <c r="AT1370" s="3" t="str">
        <f>IF(OR(Registered!AM1370&gt;0,Registered!AO1370&gt;0),(IF(Registered!E1370=0,"Size Not Specified",Registered!E1370)),"")</f>
        <v/>
      </c>
      <c r="AU1370" s="3" t="str">
        <f>IF(Registered!AE1370=0,"",IF(Registered!AE1370=1,Registered!AE1370&amp;" Bandana",Registered!AE1370&amp;" Bandanas"))</f>
        <v/>
      </c>
      <c r="AV1370" s="3">
        <f t="shared" si="65"/>
        <v>0</v>
      </c>
      <c r="AW1370" s="2" t="str">
        <f>IF(Registered!AV1370=0,"",IF(Registered!AV1370=1,Registered!AV1370&amp;" Meal",Registered!AV1370&amp;" Meals"))</f>
        <v/>
      </c>
      <c r="AX1370" s="2" t="str">
        <f>IF(Registered!AI1370=0,"",Registered!AI1370&amp;" BG")</f>
        <v/>
      </c>
      <c r="AY1370" s="2" t="str">
        <f>IF(Registered!AG1370=0,"",Registered!AG1370&amp;" DustMask")</f>
        <v/>
      </c>
    </row>
    <row r="1371" spans="1:51" customFormat="1" x14ac:dyDescent="0.25">
      <c r="A1371" t="s">
        <v>83</v>
      </c>
      <c r="B1371" t="s">
        <v>1746</v>
      </c>
      <c r="C1371" t="s">
        <v>6090</v>
      </c>
      <c r="G1371" t="s">
        <v>165</v>
      </c>
      <c r="H1371" t="s">
        <v>1747</v>
      </c>
      <c r="I1371" t="s">
        <v>1748</v>
      </c>
      <c r="J1371" t="s">
        <v>37</v>
      </c>
      <c r="K1371" t="s">
        <v>32</v>
      </c>
      <c r="L1371" t="s">
        <v>35</v>
      </c>
      <c r="AQ1371">
        <v>0</v>
      </c>
      <c r="AR1371" s="3">
        <f t="shared" si="63"/>
        <v>0</v>
      </c>
      <c r="AS1371" s="3">
        <f t="shared" si="64"/>
        <v>0</v>
      </c>
      <c r="AT1371" s="3" t="str">
        <f>IF(OR(Registered!AM1371&gt;0,Registered!AO1371&gt;0),(IF(Registered!E1371=0,"Size Not Specified",Registered!E1371)),"")</f>
        <v/>
      </c>
      <c r="AU1371" s="3" t="str">
        <f>IF(Registered!AE1371=0,"",IF(Registered!AE1371=1,Registered!AE1371&amp;" Bandana",Registered!AE1371&amp;" Bandanas"))</f>
        <v/>
      </c>
      <c r="AV1371" s="3">
        <f t="shared" si="65"/>
        <v>0</v>
      </c>
      <c r="AW1371" s="2" t="str">
        <f>IF(Registered!AV1371=0,"",IF(Registered!AV1371=1,Registered!AV1371&amp;" Meal",Registered!AV1371&amp;" Meals"))</f>
        <v/>
      </c>
      <c r="AX1371" s="2" t="str">
        <f>IF(Registered!AI1371=0,"",Registered!AI1371&amp;" BG")</f>
        <v/>
      </c>
      <c r="AY1371" s="2" t="str">
        <f>IF(Registered!AG1371=0,"",Registered!AG1371&amp;" DustMask")</f>
        <v/>
      </c>
    </row>
    <row r="1372" spans="1:51" customFormat="1" x14ac:dyDescent="0.25">
      <c r="A1372" t="s">
        <v>3111</v>
      </c>
      <c r="B1372" t="s">
        <v>4976</v>
      </c>
      <c r="C1372" t="s">
        <v>6090</v>
      </c>
      <c r="G1372" t="s">
        <v>208</v>
      </c>
      <c r="H1372" t="s">
        <v>4152</v>
      </c>
      <c r="I1372" t="s">
        <v>4153</v>
      </c>
      <c r="J1372" t="s">
        <v>37</v>
      </c>
      <c r="K1372" t="s">
        <v>32</v>
      </c>
      <c r="L1372" t="s">
        <v>35</v>
      </c>
      <c r="AQ1372">
        <v>0</v>
      </c>
      <c r="AR1372" s="3">
        <f t="shared" si="63"/>
        <v>0</v>
      </c>
      <c r="AS1372" s="3">
        <f t="shared" si="64"/>
        <v>0</v>
      </c>
      <c r="AT1372" s="3" t="str">
        <f>IF(OR(Registered!AM1372&gt;0,Registered!AO1372&gt;0),(IF(Registered!E1372=0,"Size Not Specified",Registered!E1372)),"")</f>
        <v/>
      </c>
      <c r="AU1372" s="3" t="str">
        <f>IF(Registered!AE1372=0,"",IF(Registered!AE1372=1,Registered!AE1372&amp;" Bandana",Registered!AE1372&amp;" Bandanas"))</f>
        <v/>
      </c>
      <c r="AV1372" s="3">
        <f t="shared" si="65"/>
        <v>0</v>
      </c>
      <c r="AW1372" s="2" t="str">
        <f>IF(Registered!AV1372=0,"",IF(Registered!AV1372=1,Registered!AV1372&amp;" Meal",Registered!AV1372&amp;" Meals"))</f>
        <v/>
      </c>
      <c r="AX1372" s="2" t="str">
        <f>IF(Registered!AI1372=0,"",Registered!AI1372&amp;" BG")</f>
        <v/>
      </c>
      <c r="AY1372" s="2" t="str">
        <f>IF(Registered!AG1372=0,"",Registered!AG1372&amp;" DustMask")</f>
        <v/>
      </c>
    </row>
    <row r="1373" spans="1:51" customFormat="1" x14ac:dyDescent="0.25">
      <c r="A1373" t="s">
        <v>1246</v>
      </c>
      <c r="B1373" t="s">
        <v>1247</v>
      </c>
      <c r="C1373" t="s">
        <v>6090</v>
      </c>
      <c r="D1373" t="s">
        <v>1749</v>
      </c>
      <c r="F1373" t="s">
        <v>261</v>
      </c>
      <c r="I1373" t="s">
        <v>4398</v>
      </c>
      <c r="J1373" t="s">
        <v>37</v>
      </c>
      <c r="K1373" t="s">
        <v>32</v>
      </c>
      <c r="L1373" t="s">
        <v>35</v>
      </c>
      <c r="S1373">
        <v>4</v>
      </c>
      <c r="T1373">
        <v>3</v>
      </c>
      <c r="U1373">
        <v>1</v>
      </c>
      <c r="V1373">
        <v>20</v>
      </c>
      <c r="AQ1373">
        <v>32</v>
      </c>
      <c r="AR1373" s="3">
        <f t="shared" si="63"/>
        <v>10</v>
      </c>
      <c r="AS1373" s="3">
        <f t="shared" si="64"/>
        <v>0</v>
      </c>
      <c r="AT1373" s="3" t="str">
        <f>IF(OR(Registered!AM1373&gt;0,Registered!AO1373&gt;0),(IF(Registered!E1373=0,"Size Not Specified",Registered!E1373)),"")</f>
        <v/>
      </c>
      <c r="AU1373" s="3" t="str">
        <f>IF(Registered!AE1373=0,"",IF(Registered!AE1373=1,Registered!AE1373&amp;" Bandana",Registered!AE1373&amp;" Bandanas"))</f>
        <v/>
      </c>
      <c r="AV1373" s="3">
        <f t="shared" si="65"/>
        <v>0</v>
      </c>
      <c r="AW1373" s="2" t="str">
        <f>IF(Registered!AV1373=0,"",IF(Registered!AV1373=1,Registered!AV1373&amp;" Meal",Registered!AV1373&amp;" Meals"))</f>
        <v/>
      </c>
      <c r="AX1373" s="2" t="str">
        <f>IF(Registered!AI1373=0,"",Registered!AI1373&amp;" BG")</f>
        <v/>
      </c>
      <c r="AY1373" s="2" t="str">
        <f>IF(Registered!AG1373=0,"",Registered!AG1373&amp;" DustMask")</f>
        <v/>
      </c>
    </row>
    <row r="1374" spans="1:51" customFormat="1" x14ac:dyDescent="0.25">
      <c r="A1374" t="s">
        <v>2977</v>
      </c>
      <c r="B1374" t="s">
        <v>2978</v>
      </c>
      <c r="C1374" t="s">
        <v>6090</v>
      </c>
      <c r="D1374" t="s">
        <v>3143</v>
      </c>
      <c r="F1374" t="s">
        <v>261</v>
      </c>
      <c r="I1374" t="s">
        <v>2979</v>
      </c>
      <c r="J1374" t="s">
        <v>37</v>
      </c>
      <c r="K1374" t="s">
        <v>32</v>
      </c>
      <c r="L1374" t="s">
        <v>35</v>
      </c>
      <c r="Q1374">
        <v>4</v>
      </c>
      <c r="R1374">
        <v>3</v>
      </c>
      <c r="U1374">
        <v>1</v>
      </c>
      <c r="V1374">
        <v>20</v>
      </c>
      <c r="AQ1374">
        <v>32</v>
      </c>
      <c r="AR1374" s="3">
        <f t="shared" si="63"/>
        <v>10</v>
      </c>
      <c r="AS1374" s="3">
        <f t="shared" si="64"/>
        <v>0</v>
      </c>
      <c r="AT1374" s="3" t="str">
        <f>IF(OR(Registered!AM1374&gt;0,Registered!AO1374&gt;0),(IF(Registered!E1374=0,"Size Not Specified",Registered!E1374)),"")</f>
        <v/>
      </c>
      <c r="AU1374" s="3" t="str">
        <f>IF(Registered!AE1374=0,"",IF(Registered!AE1374=1,Registered!AE1374&amp;" Bandana",Registered!AE1374&amp;" Bandanas"))</f>
        <v/>
      </c>
      <c r="AV1374" s="3">
        <f t="shared" si="65"/>
        <v>0</v>
      </c>
      <c r="AW1374" s="2" t="str">
        <f>IF(Registered!AV1374=0,"",IF(Registered!AV1374=1,Registered!AV1374&amp;" Meal",Registered!AV1374&amp;" Meals"))</f>
        <v/>
      </c>
      <c r="AX1374" s="2" t="str">
        <f>IF(Registered!AI1374=0,"",Registered!AI1374&amp;" BG")</f>
        <v/>
      </c>
      <c r="AY1374" s="2" t="str">
        <f>IF(Registered!AG1374=0,"",Registered!AG1374&amp;" DustMask")</f>
        <v/>
      </c>
    </row>
    <row r="1375" spans="1:51" customFormat="1" x14ac:dyDescent="0.25">
      <c r="A1375" t="s">
        <v>4134</v>
      </c>
      <c r="B1375" t="s">
        <v>2978</v>
      </c>
      <c r="C1375" t="s">
        <v>6090</v>
      </c>
      <c r="D1375" t="s">
        <v>198</v>
      </c>
      <c r="E1375" t="s">
        <v>4977</v>
      </c>
      <c r="F1375" t="s">
        <v>261</v>
      </c>
      <c r="I1375" t="s">
        <v>4978</v>
      </c>
      <c r="J1375" t="s">
        <v>37</v>
      </c>
      <c r="K1375" t="s">
        <v>32</v>
      </c>
      <c r="L1375" t="s">
        <v>35</v>
      </c>
      <c r="Q1375">
        <v>1</v>
      </c>
      <c r="R1375">
        <v>3</v>
      </c>
      <c r="AC1375">
        <v>1</v>
      </c>
      <c r="AD1375">
        <v>10</v>
      </c>
      <c r="AE1375">
        <v>1</v>
      </c>
      <c r="AF1375">
        <v>6</v>
      </c>
      <c r="AO1375">
        <v>1</v>
      </c>
      <c r="AP1375">
        <v>10</v>
      </c>
      <c r="AQ1375">
        <v>29</v>
      </c>
      <c r="AR1375" s="3">
        <f t="shared" si="63"/>
        <v>5</v>
      </c>
      <c r="AS1375" s="3">
        <f t="shared" si="64"/>
        <v>1</v>
      </c>
      <c r="AT1375" s="3" t="str">
        <f>IF(OR(Registered!AM1375&gt;0,Registered!AO1375&gt;0),(IF(Registered!E1375=0,"Size Not Specified",Registered!E1375)),"")</f>
        <v>men's small</v>
      </c>
      <c r="AU1375" s="3" t="str">
        <f>IF(Registered!AE1375=0,"",IF(Registered!AE1375=1,Registered!AE1375&amp;" Bandana",Registered!AE1375&amp;" Bandanas"))</f>
        <v>1 Bandana</v>
      </c>
      <c r="AV1375" s="3">
        <f t="shared" si="65"/>
        <v>0</v>
      </c>
      <c r="AW1375" s="2" t="str">
        <f>IF(Registered!AV1375=0,"",IF(Registered!AV1375=1,Registered!AV1375&amp;" Meal",Registered!AV1375&amp;" Meals"))</f>
        <v/>
      </c>
      <c r="AX1375" s="2" t="str">
        <f>IF(Registered!AI1375=0,"",Registered!AI1375&amp;" BG")</f>
        <v/>
      </c>
      <c r="AY1375" s="2" t="str">
        <f>IF(Registered!AG1375=0,"",Registered!AG1375&amp;" DustMask")</f>
        <v/>
      </c>
    </row>
    <row r="1376" spans="1:51" customFormat="1" x14ac:dyDescent="0.25">
      <c r="A1376" t="s">
        <v>299</v>
      </c>
      <c r="B1376" t="s">
        <v>1750</v>
      </c>
      <c r="C1376" t="s">
        <v>6090</v>
      </c>
      <c r="G1376" t="s">
        <v>1577</v>
      </c>
      <c r="H1376" t="s">
        <v>1750</v>
      </c>
      <c r="I1376" t="s">
        <v>1751</v>
      </c>
      <c r="J1376" t="s">
        <v>37</v>
      </c>
      <c r="K1376" t="s">
        <v>32</v>
      </c>
      <c r="L1376" t="s">
        <v>35</v>
      </c>
      <c r="AQ1376">
        <v>0</v>
      </c>
      <c r="AR1376" s="3">
        <f t="shared" si="63"/>
        <v>0</v>
      </c>
      <c r="AS1376" s="3">
        <f t="shared" si="64"/>
        <v>0</v>
      </c>
      <c r="AT1376" s="3" t="str">
        <f>IF(OR(Registered!AM1376&gt;0,Registered!AO1376&gt;0),(IF(Registered!E1376=0,"Size Not Specified",Registered!E1376)),"")</f>
        <v/>
      </c>
      <c r="AU1376" s="3" t="str">
        <f>IF(Registered!AE1376=0,"",IF(Registered!AE1376=1,Registered!AE1376&amp;" Bandana",Registered!AE1376&amp;" Bandanas"))</f>
        <v/>
      </c>
      <c r="AV1376" s="3">
        <f t="shared" si="65"/>
        <v>0</v>
      </c>
      <c r="AW1376" s="2" t="str">
        <f>IF(Registered!AV1376=0,"",IF(Registered!AV1376=1,Registered!AV1376&amp;" Meal",Registered!AV1376&amp;" Meals"))</f>
        <v/>
      </c>
      <c r="AX1376" s="2" t="str">
        <f>IF(Registered!AI1376=0,"",Registered!AI1376&amp;" BG")</f>
        <v/>
      </c>
      <c r="AY1376" s="2" t="str">
        <f>IF(Registered!AG1376=0,"",Registered!AG1376&amp;" DustMask")</f>
        <v/>
      </c>
    </row>
    <row r="1377" spans="1:51" customFormat="1" x14ac:dyDescent="0.25">
      <c r="A1377" t="s">
        <v>1577</v>
      </c>
      <c r="B1377" t="s">
        <v>1750</v>
      </c>
      <c r="C1377" t="s">
        <v>6090</v>
      </c>
      <c r="D1377" t="s">
        <v>1752</v>
      </c>
      <c r="I1377" t="s">
        <v>1753</v>
      </c>
      <c r="J1377" t="s">
        <v>37</v>
      </c>
      <c r="K1377" t="s">
        <v>32</v>
      </c>
      <c r="L1377" t="s">
        <v>35</v>
      </c>
      <c r="S1377">
        <v>2</v>
      </c>
      <c r="T1377">
        <v>3</v>
      </c>
      <c r="AC1377">
        <v>1</v>
      </c>
      <c r="AD1377">
        <v>10</v>
      </c>
      <c r="AQ1377">
        <v>16</v>
      </c>
      <c r="AR1377" s="3">
        <f t="shared" si="63"/>
        <v>5</v>
      </c>
      <c r="AS1377" s="3">
        <f t="shared" si="64"/>
        <v>0</v>
      </c>
      <c r="AT1377" s="3" t="str">
        <f>IF(OR(Registered!AM1377&gt;0,Registered!AO1377&gt;0),(IF(Registered!E1377=0,"Size Not Specified",Registered!E1377)),"")</f>
        <v/>
      </c>
      <c r="AU1377" s="3" t="str">
        <f>IF(Registered!AE1377=0,"",IF(Registered!AE1377=1,Registered!AE1377&amp;" Bandana",Registered!AE1377&amp;" Bandanas"))</f>
        <v/>
      </c>
      <c r="AV1377" s="3">
        <f t="shared" si="65"/>
        <v>0</v>
      </c>
      <c r="AW1377" s="2" t="str">
        <f>IF(Registered!AV1377=0,"",IF(Registered!AV1377=1,Registered!AV1377&amp;" Meal",Registered!AV1377&amp;" Meals"))</f>
        <v/>
      </c>
      <c r="AX1377" s="2" t="str">
        <f>IF(Registered!AI1377=0,"",Registered!AI1377&amp;" BG")</f>
        <v/>
      </c>
      <c r="AY1377" s="2" t="str">
        <f>IF(Registered!AG1377=0,"",Registered!AG1377&amp;" DustMask")</f>
        <v/>
      </c>
    </row>
    <row r="1378" spans="1:51" customFormat="1" x14ac:dyDescent="0.25">
      <c r="A1378" t="s">
        <v>1531</v>
      </c>
      <c r="B1378" t="s">
        <v>1750</v>
      </c>
      <c r="C1378" t="s">
        <v>6090</v>
      </c>
      <c r="G1378" t="s">
        <v>3144</v>
      </c>
      <c r="H1378" t="s">
        <v>3145</v>
      </c>
      <c r="I1378" t="s">
        <v>3146</v>
      </c>
      <c r="J1378" t="s">
        <v>37</v>
      </c>
      <c r="K1378" t="s">
        <v>32</v>
      </c>
      <c r="L1378" t="s">
        <v>35</v>
      </c>
      <c r="AQ1378">
        <v>0</v>
      </c>
      <c r="AR1378" s="3">
        <f t="shared" si="63"/>
        <v>0</v>
      </c>
      <c r="AS1378" s="3">
        <f t="shared" si="64"/>
        <v>0</v>
      </c>
      <c r="AT1378" s="3" t="str">
        <f>IF(OR(Registered!AM1378&gt;0,Registered!AO1378&gt;0),(IF(Registered!E1378=0,"Size Not Specified",Registered!E1378)),"")</f>
        <v/>
      </c>
      <c r="AU1378" s="3" t="str">
        <f>IF(Registered!AE1378=0,"",IF(Registered!AE1378=1,Registered!AE1378&amp;" Bandana",Registered!AE1378&amp;" Bandanas"))</f>
        <v/>
      </c>
      <c r="AV1378" s="3">
        <f t="shared" si="65"/>
        <v>0</v>
      </c>
      <c r="AW1378" s="2" t="str">
        <f>IF(Registered!AV1378=0,"",IF(Registered!AV1378=1,Registered!AV1378&amp;" Meal",Registered!AV1378&amp;" Meals"))</f>
        <v/>
      </c>
      <c r="AX1378" s="2" t="str">
        <f>IF(Registered!AI1378=0,"",Registered!AI1378&amp;" BG")</f>
        <v/>
      </c>
      <c r="AY1378" s="2" t="str">
        <f>IF(Registered!AG1378=0,"",Registered!AG1378&amp;" DustMask")</f>
        <v/>
      </c>
    </row>
    <row r="1379" spans="1:51" customFormat="1" x14ac:dyDescent="0.25">
      <c r="A1379" t="s">
        <v>118</v>
      </c>
      <c r="B1379" t="s">
        <v>1754</v>
      </c>
      <c r="C1379" t="s">
        <v>6090</v>
      </c>
      <c r="D1379" t="s">
        <v>1755</v>
      </c>
      <c r="F1379" t="s">
        <v>261</v>
      </c>
      <c r="I1379" t="s">
        <v>1756</v>
      </c>
      <c r="J1379" t="s">
        <v>37</v>
      </c>
      <c r="K1379" t="s">
        <v>32</v>
      </c>
      <c r="L1379" t="s">
        <v>35</v>
      </c>
      <c r="S1379">
        <v>1</v>
      </c>
      <c r="T1379">
        <v>3</v>
      </c>
      <c r="AA1379">
        <v>1</v>
      </c>
      <c r="AB1379">
        <v>75</v>
      </c>
      <c r="AE1379">
        <v>2</v>
      </c>
      <c r="AF1379">
        <v>6</v>
      </c>
      <c r="AI1379">
        <v>1</v>
      </c>
      <c r="AJ1379">
        <v>10</v>
      </c>
      <c r="AQ1379">
        <v>100</v>
      </c>
      <c r="AR1379" s="3">
        <f t="shared" si="63"/>
        <v>40</v>
      </c>
      <c r="AS1379" s="3">
        <f t="shared" si="64"/>
        <v>0</v>
      </c>
      <c r="AT1379" s="3" t="str">
        <f>IF(OR(Registered!AM1379&gt;0,Registered!AO1379&gt;0),(IF(Registered!E1379=0,"Size Not Specified",Registered!E1379)),"")</f>
        <v/>
      </c>
      <c r="AU1379" s="3" t="str">
        <f>IF(Registered!AE1379=0,"",IF(Registered!AE1379=1,Registered!AE1379&amp;" Bandana",Registered!AE1379&amp;" Bandanas"))</f>
        <v>2 Bandanas</v>
      </c>
      <c r="AV1379" s="3">
        <f t="shared" si="65"/>
        <v>0</v>
      </c>
      <c r="AW1379" s="2" t="str">
        <f>IF(Registered!AV1379=0,"",IF(Registered!AV1379=1,Registered!AV1379&amp;" Meal",Registered!AV1379&amp;" Meals"))</f>
        <v/>
      </c>
      <c r="AX1379" s="2" t="str">
        <f>IF(Registered!AI1379=0,"",Registered!AI1379&amp;" BG")</f>
        <v>1 BG</v>
      </c>
      <c r="AY1379" s="2" t="str">
        <f>IF(Registered!AG1379=0,"",Registered!AG1379&amp;" DustMask")</f>
        <v/>
      </c>
    </row>
    <row r="1380" spans="1:51" customFormat="1" x14ac:dyDescent="0.25">
      <c r="A1380" t="s">
        <v>4979</v>
      </c>
      <c r="B1380" t="s">
        <v>4980</v>
      </c>
      <c r="C1380" t="s">
        <v>6090</v>
      </c>
      <c r="F1380" t="s">
        <v>261</v>
      </c>
      <c r="I1380" t="s">
        <v>4981</v>
      </c>
      <c r="J1380" t="s">
        <v>37</v>
      </c>
      <c r="K1380" t="s">
        <v>32</v>
      </c>
      <c r="L1380" t="s">
        <v>35</v>
      </c>
      <c r="Q1380">
        <v>2</v>
      </c>
      <c r="R1380">
        <v>3</v>
      </c>
      <c r="AC1380">
        <v>2</v>
      </c>
      <c r="AD1380">
        <v>10</v>
      </c>
      <c r="AK1380">
        <v>2</v>
      </c>
      <c r="AL1380">
        <v>6</v>
      </c>
      <c r="AQ1380">
        <v>38</v>
      </c>
      <c r="AR1380" s="3">
        <f t="shared" si="63"/>
        <v>10</v>
      </c>
      <c r="AS1380" s="3">
        <f t="shared" si="64"/>
        <v>0</v>
      </c>
      <c r="AT1380" s="3" t="str">
        <f>IF(OR(Registered!AM1380&gt;0,Registered!AO1380&gt;0),(IF(Registered!E1380=0,"Size Not Specified",Registered!E1380)),"")</f>
        <v/>
      </c>
      <c r="AU1380" s="3" t="str">
        <f>IF(Registered!AE1380=0,"",IF(Registered!AE1380=1,Registered!AE1380&amp;" Bandana",Registered!AE1380&amp;" Bandanas"))</f>
        <v/>
      </c>
      <c r="AV1380" s="3">
        <f t="shared" si="65"/>
        <v>2</v>
      </c>
      <c r="AW1380" s="2" t="str">
        <f>IF(Registered!AV1380=0,"",IF(Registered!AV1380=1,Registered!AV1380&amp;" Meal",Registered!AV1380&amp;" Meals"))</f>
        <v>2 Meals</v>
      </c>
      <c r="AX1380" s="2" t="str">
        <f>IF(Registered!AI1380=0,"",Registered!AI1380&amp;" BG")</f>
        <v/>
      </c>
      <c r="AY1380" s="2" t="str">
        <f>IF(Registered!AG1380=0,"",Registered!AG1380&amp;" DustMask")</f>
        <v/>
      </c>
    </row>
    <row r="1381" spans="1:51" customFormat="1" x14ac:dyDescent="0.25">
      <c r="A1381" t="s">
        <v>632</v>
      </c>
      <c r="B1381" t="s">
        <v>1757</v>
      </c>
      <c r="C1381" t="s">
        <v>6090</v>
      </c>
      <c r="G1381" t="s">
        <v>1758</v>
      </c>
      <c r="H1381" t="s">
        <v>302</v>
      </c>
      <c r="I1381" t="s">
        <v>1759</v>
      </c>
      <c r="J1381" t="s">
        <v>37</v>
      </c>
      <c r="K1381" t="s">
        <v>32</v>
      </c>
      <c r="L1381" t="s">
        <v>35</v>
      </c>
      <c r="AQ1381">
        <v>0</v>
      </c>
      <c r="AR1381" s="3">
        <f t="shared" si="63"/>
        <v>0</v>
      </c>
      <c r="AS1381" s="3">
        <f t="shared" si="64"/>
        <v>0</v>
      </c>
      <c r="AT1381" s="3" t="str">
        <f>IF(OR(Registered!AM1381&gt;0,Registered!AO1381&gt;0),(IF(Registered!E1381=0,"Size Not Specified",Registered!E1381)),"")</f>
        <v/>
      </c>
      <c r="AU1381" s="3" t="str">
        <f>IF(Registered!AE1381=0,"",IF(Registered!AE1381=1,Registered!AE1381&amp;" Bandana",Registered!AE1381&amp;" Bandanas"))</f>
        <v/>
      </c>
      <c r="AV1381" s="3">
        <f t="shared" si="65"/>
        <v>0</v>
      </c>
      <c r="AW1381" s="2" t="str">
        <f>IF(Registered!AV1381=0,"",IF(Registered!AV1381=1,Registered!AV1381&amp;" Meal",Registered!AV1381&amp;" Meals"))</f>
        <v/>
      </c>
      <c r="AX1381" s="2" t="str">
        <f>IF(Registered!AI1381=0,"",Registered!AI1381&amp;" BG")</f>
        <v/>
      </c>
      <c r="AY1381" s="2" t="str">
        <f>IF(Registered!AG1381=0,"",Registered!AG1381&amp;" DustMask")</f>
        <v/>
      </c>
    </row>
    <row r="1382" spans="1:51" customFormat="1" x14ac:dyDescent="0.25">
      <c r="A1382" t="s">
        <v>390</v>
      </c>
      <c r="B1382" t="s">
        <v>4982</v>
      </c>
      <c r="C1382" t="s">
        <v>6090</v>
      </c>
      <c r="G1382" t="s">
        <v>90</v>
      </c>
      <c r="H1382" t="s">
        <v>313</v>
      </c>
      <c r="I1382" t="s">
        <v>3679</v>
      </c>
      <c r="J1382" t="s">
        <v>37</v>
      </c>
      <c r="K1382" t="s">
        <v>32</v>
      </c>
      <c r="L1382" t="s">
        <v>35</v>
      </c>
      <c r="AQ1382">
        <v>0</v>
      </c>
      <c r="AR1382" s="3">
        <f t="shared" si="63"/>
        <v>0</v>
      </c>
      <c r="AS1382" s="3">
        <f t="shared" si="64"/>
        <v>0</v>
      </c>
      <c r="AT1382" s="3" t="str">
        <f>IF(OR(Registered!AM1382&gt;0,Registered!AO1382&gt;0),(IF(Registered!E1382=0,"Size Not Specified",Registered!E1382)),"")</f>
        <v/>
      </c>
      <c r="AU1382" s="3" t="str">
        <f>IF(Registered!AE1382=0,"",IF(Registered!AE1382=1,Registered!AE1382&amp;" Bandana",Registered!AE1382&amp;" Bandanas"))</f>
        <v/>
      </c>
      <c r="AV1382" s="3">
        <f t="shared" si="65"/>
        <v>0</v>
      </c>
      <c r="AW1382" s="2" t="str">
        <f>IF(Registered!AV1382=0,"",IF(Registered!AV1382=1,Registered!AV1382&amp;" Meal",Registered!AV1382&amp;" Meals"))</f>
        <v/>
      </c>
      <c r="AX1382" s="2" t="str">
        <f>IF(Registered!AI1382=0,"",Registered!AI1382&amp;" BG")</f>
        <v/>
      </c>
      <c r="AY1382" s="2" t="str">
        <f>IF(Registered!AG1382=0,"",Registered!AG1382&amp;" DustMask")</f>
        <v/>
      </c>
    </row>
    <row r="1383" spans="1:51" customFormat="1" x14ac:dyDescent="0.25">
      <c r="A1383" t="s">
        <v>4983</v>
      </c>
      <c r="B1383" t="s">
        <v>4984</v>
      </c>
      <c r="C1383" t="s">
        <v>6090</v>
      </c>
      <c r="G1383" t="s">
        <v>4485</v>
      </c>
      <c r="H1383" t="s">
        <v>4486</v>
      </c>
      <c r="I1383" t="s">
        <v>4487</v>
      </c>
      <c r="J1383" t="s">
        <v>37</v>
      </c>
      <c r="K1383" t="s">
        <v>32</v>
      </c>
      <c r="L1383" t="s">
        <v>35</v>
      </c>
      <c r="AQ1383">
        <v>0</v>
      </c>
      <c r="AR1383" s="3">
        <f t="shared" si="63"/>
        <v>0</v>
      </c>
      <c r="AS1383" s="3">
        <f t="shared" si="64"/>
        <v>0</v>
      </c>
      <c r="AT1383" s="3" t="str">
        <f>IF(OR(Registered!AM1383&gt;0,Registered!AO1383&gt;0),(IF(Registered!E1383=0,"Size Not Specified",Registered!E1383)),"")</f>
        <v/>
      </c>
      <c r="AU1383" s="3" t="str">
        <f>IF(Registered!AE1383=0,"",IF(Registered!AE1383=1,Registered!AE1383&amp;" Bandana",Registered!AE1383&amp;" Bandanas"))</f>
        <v/>
      </c>
      <c r="AV1383" s="3">
        <f t="shared" si="65"/>
        <v>0</v>
      </c>
      <c r="AW1383" s="2" t="str">
        <f>IF(Registered!AV1383=0,"",IF(Registered!AV1383=1,Registered!AV1383&amp;" Meal",Registered!AV1383&amp;" Meals"))</f>
        <v/>
      </c>
      <c r="AX1383" s="2" t="str">
        <f>IF(Registered!AI1383=0,"",Registered!AI1383&amp;" BG")</f>
        <v/>
      </c>
      <c r="AY1383" s="2" t="str">
        <f>IF(Registered!AG1383=0,"",Registered!AG1383&amp;" DustMask")</f>
        <v/>
      </c>
    </row>
    <row r="1384" spans="1:51" customFormat="1" x14ac:dyDescent="0.25">
      <c r="A1384" t="s">
        <v>4985</v>
      </c>
      <c r="B1384" t="s">
        <v>4984</v>
      </c>
      <c r="C1384" t="s">
        <v>6090</v>
      </c>
      <c r="F1384" t="s">
        <v>261</v>
      </c>
      <c r="I1384" t="s">
        <v>4986</v>
      </c>
      <c r="J1384" t="s">
        <v>37</v>
      </c>
      <c r="K1384" t="s">
        <v>32</v>
      </c>
      <c r="L1384" t="s">
        <v>35</v>
      </c>
      <c r="Q1384">
        <v>1</v>
      </c>
      <c r="R1384">
        <v>3</v>
      </c>
      <c r="AQ1384">
        <v>3</v>
      </c>
      <c r="AR1384" s="3">
        <f t="shared" si="63"/>
        <v>0</v>
      </c>
      <c r="AS1384" s="3">
        <f t="shared" si="64"/>
        <v>0</v>
      </c>
      <c r="AT1384" s="3" t="str">
        <f>IF(OR(Registered!AM1384&gt;0,Registered!AO1384&gt;0),(IF(Registered!E1384=0,"Size Not Specified",Registered!E1384)),"")</f>
        <v/>
      </c>
      <c r="AU1384" s="3" t="str">
        <f>IF(Registered!AE1384=0,"",IF(Registered!AE1384=1,Registered!AE1384&amp;" Bandana",Registered!AE1384&amp;" Bandanas"))</f>
        <v/>
      </c>
      <c r="AV1384" s="3">
        <f t="shared" si="65"/>
        <v>0</v>
      </c>
      <c r="AW1384" s="2" t="str">
        <f>IF(Registered!AV1384=0,"",IF(Registered!AV1384=1,Registered!AV1384&amp;" Meal",Registered!AV1384&amp;" Meals"))</f>
        <v/>
      </c>
      <c r="AX1384" s="2" t="str">
        <f>IF(Registered!AI1384=0,"",Registered!AI1384&amp;" BG")</f>
        <v/>
      </c>
      <c r="AY1384" s="2" t="str">
        <f>IF(Registered!AG1384=0,"",Registered!AG1384&amp;" DustMask")</f>
        <v/>
      </c>
    </row>
    <row r="1385" spans="1:51" customFormat="1" x14ac:dyDescent="0.25">
      <c r="A1385" t="s">
        <v>165</v>
      </c>
      <c r="B1385" t="s">
        <v>3147</v>
      </c>
      <c r="C1385" t="s">
        <v>6090</v>
      </c>
      <c r="D1385" t="s">
        <v>3148</v>
      </c>
      <c r="F1385" t="s">
        <v>261</v>
      </c>
      <c r="I1385" t="s">
        <v>3149</v>
      </c>
      <c r="J1385" t="s">
        <v>37</v>
      </c>
      <c r="K1385" t="s">
        <v>32</v>
      </c>
      <c r="L1385" t="s">
        <v>35</v>
      </c>
      <c r="Q1385">
        <v>1</v>
      </c>
      <c r="R1385">
        <v>3</v>
      </c>
      <c r="AC1385">
        <v>1</v>
      </c>
      <c r="AD1385">
        <v>10</v>
      </c>
      <c r="AQ1385">
        <v>13</v>
      </c>
      <c r="AR1385" s="3">
        <f t="shared" si="63"/>
        <v>5</v>
      </c>
      <c r="AS1385" s="3">
        <f t="shared" si="64"/>
        <v>0</v>
      </c>
      <c r="AT1385" s="3" t="str">
        <f>IF(OR(Registered!AM1385&gt;0,Registered!AO1385&gt;0),(IF(Registered!E1385=0,"Size Not Specified",Registered!E1385)),"")</f>
        <v/>
      </c>
      <c r="AU1385" s="3" t="str">
        <f>IF(Registered!AE1385=0,"",IF(Registered!AE1385=1,Registered!AE1385&amp;" Bandana",Registered!AE1385&amp;" Bandanas"))</f>
        <v/>
      </c>
      <c r="AV1385" s="3">
        <f t="shared" si="65"/>
        <v>0</v>
      </c>
      <c r="AW1385" s="2" t="str">
        <f>IF(Registered!AV1385=0,"",IF(Registered!AV1385=1,Registered!AV1385&amp;" Meal",Registered!AV1385&amp;" Meals"))</f>
        <v/>
      </c>
      <c r="AX1385" s="2" t="str">
        <f>IF(Registered!AI1385=0,"",Registered!AI1385&amp;" BG")</f>
        <v/>
      </c>
      <c r="AY1385" s="2" t="str">
        <f>IF(Registered!AG1385=0,"",Registered!AG1385&amp;" DustMask")</f>
        <v/>
      </c>
    </row>
    <row r="1386" spans="1:51" customFormat="1" x14ac:dyDescent="0.25">
      <c r="A1386" t="s">
        <v>150</v>
      </c>
      <c r="B1386" t="s">
        <v>3150</v>
      </c>
      <c r="C1386" t="s">
        <v>6090</v>
      </c>
      <c r="G1386" t="s">
        <v>56</v>
      </c>
      <c r="H1386" t="s">
        <v>3150</v>
      </c>
      <c r="I1386" t="s">
        <v>4987</v>
      </c>
      <c r="J1386" t="s">
        <v>37</v>
      </c>
      <c r="K1386" t="s">
        <v>32</v>
      </c>
      <c r="L1386" t="s">
        <v>35</v>
      </c>
      <c r="AQ1386">
        <v>0</v>
      </c>
      <c r="AR1386" s="3">
        <f t="shared" si="63"/>
        <v>0</v>
      </c>
      <c r="AS1386" s="3">
        <f t="shared" si="64"/>
        <v>0</v>
      </c>
      <c r="AT1386" s="3" t="str">
        <f>IF(OR(Registered!AM1386&gt;0,Registered!AO1386&gt;0),(IF(Registered!E1386=0,"Size Not Specified",Registered!E1386)),"")</f>
        <v/>
      </c>
      <c r="AU1386" s="3" t="str">
        <f>IF(Registered!AE1386=0,"",IF(Registered!AE1386=1,Registered!AE1386&amp;" Bandana",Registered!AE1386&amp;" Bandanas"))</f>
        <v/>
      </c>
      <c r="AV1386" s="3">
        <f t="shared" si="65"/>
        <v>0</v>
      </c>
      <c r="AW1386" s="2" t="str">
        <f>IF(Registered!AV1386=0,"",IF(Registered!AV1386=1,Registered!AV1386&amp;" Meal",Registered!AV1386&amp;" Meals"))</f>
        <v/>
      </c>
      <c r="AX1386" s="2" t="str">
        <f>IF(Registered!AI1386=0,"",Registered!AI1386&amp;" BG")</f>
        <v/>
      </c>
      <c r="AY1386" s="2" t="str">
        <f>IF(Registered!AG1386=0,"",Registered!AG1386&amp;" DustMask")</f>
        <v/>
      </c>
    </row>
    <row r="1387" spans="1:51" customFormat="1" x14ac:dyDescent="0.25">
      <c r="A1387" t="s">
        <v>56</v>
      </c>
      <c r="B1387" t="s">
        <v>3150</v>
      </c>
      <c r="C1387" t="s">
        <v>6090</v>
      </c>
      <c r="D1387" t="s">
        <v>4988</v>
      </c>
      <c r="E1387" t="s">
        <v>4989</v>
      </c>
      <c r="F1387" t="s">
        <v>261</v>
      </c>
      <c r="I1387" t="s">
        <v>4987</v>
      </c>
      <c r="J1387" t="s">
        <v>37</v>
      </c>
      <c r="K1387" t="s">
        <v>32</v>
      </c>
      <c r="L1387" t="s">
        <v>35</v>
      </c>
      <c r="Q1387">
        <v>3</v>
      </c>
      <c r="R1387">
        <v>3</v>
      </c>
      <c r="W1387">
        <v>1</v>
      </c>
      <c r="X1387">
        <v>40</v>
      </c>
      <c r="AO1387">
        <v>3</v>
      </c>
      <c r="AP1387">
        <v>10</v>
      </c>
      <c r="AQ1387">
        <v>79</v>
      </c>
      <c r="AR1387" s="3">
        <f t="shared" si="63"/>
        <v>20</v>
      </c>
      <c r="AS1387" s="3">
        <f t="shared" si="64"/>
        <v>3</v>
      </c>
      <c r="AT1387" s="3" t="str">
        <f>IF(OR(Registered!AM1387&gt;0,Registered!AO1387&gt;0),(IF(Registered!E1387=0,"Size Not Specified",Registered!E1387)),"")</f>
        <v>2 Large and 1 X-Large</v>
      </c>
      <c r="AU1387" s="3" t="str">
        <f>IF(Registered!AE1387=0,"",IF(Registered!AE1387=1,Registered!AE1387&amp;" Bandana",Registered!AE1387&amp;" Bandanas"))</f>
        <v/>
      </c>
      <c r="AV1387" s="3">
        <f t="shared" si="65"/>
        <v>0</v>
      </c>
      <c r="AW1387" s="2" t="str">
        <f>IF(Registered!AV1387=0,"",IF(Registered!AV1387=1,Registered!AV1387&amp;" Meal",Registered!AV1387&amp;" Meals"))</f>
        <v/>
      </c>
      <c r="AX1387" s="2" t="str">
        <f>IF(Registered!AI1387=0,"",Registered!AI1387&amp;" BG")</f>
        <v/>
      </c>
      <c r="AY1387" s="2" t="str">
        <f>IF(Registered!AG1387=0,"",Registered!AG1387&amp;" DustMask")</f>
        <v/>
      </c>
    </row>
    <row r="1388" spans="1:51" customFormat="1" x14ac:dyDescent="0.25">
      <c r="A1388" t="s">
        <v>272</v>
      </c>
      <c r="B1388" t="s">
        <v>3150</v>
      </c>
      <c r="C1388" t="s">
        <v>6090</v>
      </c>
      <c r="G1388" t="s">
        <v>3068</v>
      </c>
      <c r="H1388" t="s">
        <v>3069</v>
      </c>
      <c r="I1388" t="s">
        <v>3071</v>
      </c>
      <c r="J1388" t="s">
        <v>37</v>
      </c>
      <c r="K1388" t="s">
        <v>32</v>
      </c>
      <c r="L1388" t="s">
        <v>35</v>
      </c>
      <c r="AQ1388">
        <v>0</v>
      </c>
      <c r="AR1388" s="3">
        <f t="shared" si="63"/>
        <v>0</v>
      </c>
      <c r="AS1388" s="3">
        <f t="shared" si="64"/>
        <v>0</v>
      </c>
      <c r="AT1388" s="3" t="str">
        <f>IF(OR(Registered!AM1388&gt;0,Registered!AO1388&gt;0),(IF(Registered!E1388=0,"Size Not Specified",Registered!E1388)),"")</f>
        <v/>
      </c>
      <c r="AU1388" s="3" t="str">
        <f>IF(Registered!AE1388=0,"",IF(Registered!AE1388=1,Registered!AE1388&amp;" Bandana",Registered!AE1388&amp;" Bandanas"))</f>
        <v/>
      </c>
      <c r="AV1388" s="3">
        <f t="shared" si="65"/>
        <v>0</v>
      </c>
      <c r="AW1388" s="2" t="str">
        <f>IF(Registered!AV1388=0,"",IF(Registered!AV1388=1,Registered!AV1388&amp;" Meal",Registered!AV1388&amp;" Meals"))</f>
        <v/>
      </c>
      <c r="AX1388" s="2" t="str">
        <f>IF(Registered!AI1388=0,"",Registered!AI1388&amp;" BG")</f>
        <v/>
      </c>
      <c r="AY1388" s="2" t="str">
        <f>IF(Registered!AG1388=0,"",Registered!AG1388&amp;" DustMask")</f>
        <v/>
      </c>
    </row>
    <row r="1389" spans="1:51" customFormat="1" x14ac:dyDescent="0.25">
      <c r="A1389" t="s">
        <v>103</v>
      </c>
      <c r="B1389" t="s">
        <v>1760</v>
      </c>
      <c r="C1389" t="s">
        <v>6090</v>
      </c>
      <c r="D1389" t="s">
        <v>103</v>
      </c>
      <c r="F1389" t="s">
        <v>261</v>
      </c>
      <c r="I1389" t="s">
        <v>1761</v>
      </c>
      <c r="J1389" t="s">
        <v>37</v>
      </c>
      <c r="K1389" t="s">
        <v>32</v>
      </c>
      <c r="L1389" t="s">
        <v>35</v>
      </c>
      <c r="S1389">
        <v>1</v>
      </c>
      <c r="T1389">
        <v>3</v>
      </c>
      <c r="U1389">
        <v>1</v>
      </c>
      <c r="V1389">
        <v>20</v>
      </c>
      <c r="AQ1389">
        <v>23</v>
      </c>
      <c r="AR1389" s="3">
        <f t="shared" si="63"/>
        <v>10</v>
      </c>
      <c r="AS1389" s="3">
        <f t="shared" si="64"/>
        <v>0</v>
      </c>
      <c r="AT1389" s="3" t="str">
        <f>IF(OR(Registered!AM1389&gt;0,Registered!AO1389&gt;0),(IF(Registered!E1389=0,"Size Not Specified",Registered!E1389)),"")</f>
        <v/>
      </c>
      <c r="AU1389" s="3" t="str">
        <f>IF(Registered!AE1389=0,"",IF(Registered!AE1389=1,Registered!AE1389&amp;" Bandana",Registered!AE1389&amp;" Bandanas"))</f>
        <v/>
      </c>
      <c r="AV1389" s="3">
        <f t="shared" si="65"/>
        <v>0</v>
      </c>
      <c r="AW1389" s="2" t="str">
        <f>IF(Registered!AV1389=0,"",IF(Registered!AV1389=1,Registered!AV1389&amp;" Meal",Registered!AV1389&amp;" Meals"))</f>
        <v/>
      </c>
      <c r="AX1389" s="2" t="str">
        <f>IF(Registered!AI1389=0,"",Registered!AI1389&amp;" BG")</f>
        <v/>
      </c>
      <c r="AY1389" s="2" t="str">
        <f>IF(Registered!AG1389=0,"",Registered!AG1389&amp;" DustMask")</f>
        <v/>
      </c>
    </row>
    <row r="1390" spans="1:51" customFormat="1" x14ac:dyDescent="0.25">
      <c r="A1390" t="s">
        <v>4990</v>
      </c>
      <c r="B1390" t="s">
        <v>4991</v>
      </c>
      <c r="C1390" t="s">
        <v>6090</v>
      </c>
      <c r="F1390" t="s">
        <v>261</v>
      </c>
      <c r="I1390" t="s">
        <v>4992</v>
      </c>
      <c r="J1390" t="s">
        <v>37</v>
      </c>
      <c r="K1390" t="s">
        <v>32</v>
      </c>
      <c r="L1390" t="s">
        <v>35</v>
      </c>
      <c r="Q1390">
        <v>1</v>
      </c>
      <c r="R1390">
        <v>3</v>
      </c>
      <c r="AC1390">
        <v>1</v>
      </c>
      <c r="AD1390">
        <v>10</v>
      </c>
      <c r="AQ1390">
        <v>13</v>
      </c>
      <c r="AR1390" s="3">
        <f t="shared" si="63"/>
        <v>5</v>
      </c>
      <c r="AS1390" s="3">
        <f t="shared" si="64"/>
        <v>0</v>
      </c>
      <c r="AT1390" s="3" t="str">
        <f>IF(OR(Registered!AM1390&gt;0,Registered!AO1390&gt;0),(IF(Registered!E1390=0,"Size Not Specified",Registered!E1390)),"")</f>
        <v/>
      </c>
      <c r="AU1390" s="3" t="str">
        <f>IF(Registered!AE1390=0,"",IF(Registered!AE1390=1,Registered!AE1390&amp;" Bandana",Registered!AE1390&amp;" Bandanas"))</f>
        <v/>
      </c>
      <c r="AV1390" s="3">
        <f t="shared" si="65"/>
        <v>0</v>
      </c>
      <c r="AW1390" s="2" t="str">
        <f>IF(Registered!AV1390=0,"",IF(Registered!AV1390=1,Registered!AV1390&amp;" Meal",Registered!AV1390&amp;" Meals"))</f>
        <v/>
      </c>
      <c r="AX1390" s="2" t="str">
        <f>IF(Registered!AI1390=0,"",Registered!AI1390&amp;" BG")</f>
        <v/>
      </c>
      <c r="AY1390" s="2" t="str">
        <f>IF(Registered!AG1390=0,"",Registered!AG1390&amp;" DustMask")</f>
        <v/>
      </c>
    </row>
    <row r="1391" spans="1:51" customFormat="1" x14ac:dyDescent="0.25">
      <c r="A1391" t="s">
        <v>377</v>
      </c>
      <c r="B1391" t="s">
        <v>4993</v>
      </c>
      <c r="C1391" t="s">
        <v>6090</v>
      </c>
      <c r="D1391" t="s">
        <v>4994</v>
      </c>
      <c r="F1391" t="s">
        <v>261</v>
      </c>
      <c r="I1391" t="s">
        <v>4995</v>
      </c>
      <c r="J1391" t="s">
        <v>37</v>
      </c>
      <c r="K1391" t="s">
        <v>32</v>
      </c>
      <c r="L1391" t="s">
        <v>35</v>
      </c>
      <c r="Q1391">
        <v>1</v>
      </c>
      <c r="R1391">
        <v>3</v>
      </c>
      <c r="AC1391">
        <v>1</v>
      </c>
      <c r="AD1391">
        <v>10</v>
      </c>
      <c r="AQ1391">
        <v>13</v>
      </c>
      <c r="AR1391" s="3">
        <f t="shared" si="63"/>
        <v>5</v>
      </c>
      <c r="AS1391" s="3">
        <f t="shared" si="64"/>
        <v>0</v>
      </c>
      <c r="AT1391" s="3" t="str">
        <f>IF(OR(Registered!AM1391&gt;0,Registered!AO1391&gt;0),(IF(Registered!E1391=0,"Size Not Specified",Registered!E1391)),"")</f>
        <v/>
      </c>
      <c r="AU1391" s="3" t="str">
        <f>IF(Registered!AE1391=0,"",IF(Registered!AE1391=1,Registered!AE1391&amp;" Bandana",Registered!AE1391&amp;" Bandanas"))</f>
        <v/>
      </c>
      <c r="AV1391" s="3">
        <f t="shared" si="65"/>
        <v>0</v>
      </c>
      <c r="AW1391" s="2" t="str">
        <f>IF(Registered!AV1391=0,"",IF(Registered!AV1391=1,Registered!AV1391&amp;" Meal",Registered!AV1391&amp;" Meals"))</f>
        <v/>
      </c>
      <c r="AX1391" s="2" t="str">
        <f>IF(Registered!AI1391=0,"",Registered!AI1391&amp;" BG")</f>
        <v/>
      </c>
      <c r="AY1391" s="2" t="str">
        <f>IF(Registered!AG1391=0,"",Registered!AG1391&amp;" DustMask")</f>
        <v/>
      </c>
    </row>
    <row r="1392" spans="1:51" customFormat="1" x14ac:dyDescent="0.25">
      <c r="A1392" t="s">
        <v>1762</v>
      </c>
      <c r="B1392" t="s">
        <v>1763</v>
      </c>
      <c r="C1392" t="s">
        <v>6090</v>
      </c>
      <c r="D1392" t="s">
        <v>1764</v>
      </c>
      <c r="E1392" t="s">
        <v>67</v>
      </c>
      <c r="F1392" t="s">
        <v>261</v>
      </c>
      <c r="I1392" t="s">
        <v>1765</v>
      </c>
      <c r="J1392" t="s">
        <v>37</v>
      </c>
      <c r="K1392" t="s">
        <v>32</v>
      </c>
      <c r="L1392" t="s">
        <v>35</v>
      </c>
      <c r="S1392">
        <v>1</v>
      </c>
      <c r="T1392">
        <v>3</v>
      </c>
      <c r="AC1392">
        <v>1</v>
      </c>
      <c r="AD1392">
        <v>10</v>
      </c>
      <c r="AE1392">
        <v>1</v>
      </c>
      <c r="AF1392">
        <v>6</v>
      </c>
      <c r="AM1392">
        <v>1</v>
      </c>
      <c r="AN1392">
        <v>25</v>
      </c>
      <c r="AQ1392">
        <v>44</v>
      </c>
      <c r="AR1392" s="3">
        <f t="shared" si="63"/>
        <v>10</v>
      </c>
      <c r="AS1392" s="3">
        <f t="shared" si="64"/>
        <v>1</v>
      </c>
      <c r="AT1392" s="3" t="str">
        <f>IF(OR(Registered!AM1392&gt;0,Registered!AO1392&gt;0),(IF(Registered!E1392=0,"Size Not Specified",Registered!E1392)),"")</f>
        <v>medium</v>
      </c>
      <c r="AU1392" s="3" t="str">
        <f>IF(Registered!AE1392=0,"",IF(Registered!AE1392=1,Registered!AE1392&amp;" Bandana",Registered!AE1392&amp;" Bandanas"))</f>
        <v>1 Bandana</v>
      </c>
      <c r="AV1392" s="3">
        <f t="shared" si="65"/>
        <v>1</v>
      </c>
      <c r="AW1392" s="2" t="str">
        <f>IF(Registered!AV1392=0,"",IF(Registered!AV1392=1,Registered!AV1392&amp;" Meal",Registered!AV1392&amp;" Meals"))</f>
        <v>1 Meal</v>
      </c>
      <c r="AX1392" s="2" t="str">
        <f>IF(Registered!AI1392=0,"",Registered!AI1392&amp;" BG")</f>
        <v/>
      </c>
      <c r="AY1392" s="2" t="str">
        <f>IF(Registered!AG1392=0,"",Registered!AG1392&amp;" DustMask")</f>
        <v/>
      </c>
    </row>
    <row r="1393" spans="1:51" customFormat="1" x14ac:dyDescent="0.25">
      <c r="A1393" t="s">
        <v>1766</v>
      </c>
      <c r="B1393" t="s">
        <v>44</v>
      </c>
      <c r="C1393" t="s">
        <v>6090</v>
      </c>
      <c r="G1393" t="s">
        <v>180</v>
      </c>
      <c r="H1393" t="s">
        <v>606</v>
      </c>
      <c r="I1393" t="s">
        <v>611</v>
      </c>
      <c r="J1393" t="s">
        <v>37</v>
      </c>
      <c r="K1393" t="s">
        <v>32</v>
      </c>
      <c r="L1393" t="s">
        <v>35</v>
      </c>
      <c r="AQ1393">
        <v>0</v>
      </c>
      <c r="AR1393" s="3">
        <f t="shared" si="63"/>
        <v>0</v>
      </c>
      <c r="AS1393" s="3">
        <f t="shared" si="64"/>
        <v>0</v>
      </c>
      <c r="AT1393" s="3" t="str">
        <f>IF(OR(Registered!AM1393&gt;0,Registered!AO1393&gt;0),(IF(Registered!E1393=0,"Size Not Specified",Registered!E1393)),"")</f>
        <v/>
      </c>
      <c r="AU1393" s="3" t="str">
        <f>IF(Registered!AE1393=0,"",IF(Registered!AE1393=1,Registered!AE1393&amp;" Bandana",Registered!AE1393&amp;" Bandanas"))</f>
        <v/>
      </c>
      <c r="AV1393" s="3">
        <f t="shared" si="65"/>
        <v>0</v>
      </c>
      <c r="AW1393" s="2" t="str">
        <f>IF(Registered!AV1393=0,"",IF(Registered!AV1393=1,Registered!AV1393&amp;" Meal",Registered!AV1393&amp;" Meals"))</f>
        <v/>
      </c>
      <c r="AX1393" s="2" t="str">
        <f>IF(Registered!AI1393=0,"",Registered!AI1393&amp;" BG")</f>
        <v/>
      </c>
      <c r="AY1393" s="2" t="str">
        <f>IF(Registered!AG1393=0,"",Registered!AG1393&amp;" DustMask")</f>
        <v/>
      </c>
    </row>
    <row r="1394" spans="1:51" customFormat="1" x14ac:dyDescent="0.25">
      <c r="A1394" t="s">
        <v>371</v>
      </c>
      <c r="B1394" t="s">
        <v>1767</v>
      </c>
      <c r="C1394" t="s">
        <v>6090</v>
      </c>
      <c r="D1394" t="s">
        <v>1768</v>
      </c>
      <c r="I1394" t="s">
        <v>1769</v>
      </c>
      <c r="J1394" t="s">
        <v>37</v>
      </c>
      <c r="K1394" t="s">
        <v>32</v>
      </c>
      <c r="L1394" t="s">
        <v>35</v>
      </c>
      <c r="O1394">
        <v>1</v>
      </c>
      <c r="P1394">
        <v>3</v>
      </c>
      <c r="AQ1394">
        <v>3</v>
      </c>
      <c r="AR1394" s="3">
        <f t="shared" si="63"/>
        <v>0</v>
      </c>
      <c r="AS1394" s="3">
        <f t="shared" si="64"/>
        <v>0</v>
      </c>
      <c r="AT1394" s="3" t="str">
        <f>IF(OR(Registered!AM1394&gt;0,Registered!AO1394&gt;0),(IF(Registered!E1394=0,"Size Not Specified",Registered!E1394)),"")</f>
        <v/>
      </c>
      <c r="AU1394" s="3" t="str">
        <f>IF(Registered!AE1394=0,"",IF(Registered!AE1394=1,Registered!AE1394&amp;" Bandana",Registered!AE1394&amp;" Bandanas"))</f>
        <v/>
      </c>
      <c r="AV1394" s="3">
        <f t="shared" si="65"/>
        <v>0</v>
      </c>
      <c r="AW1394" s="2" t="str">
        <f>IF(Registered!AV1394=0,"",IF(Registered!AV1394=1,Registered!AV1394&amp;" Meal",Registered!AV1394&amp;" Meals"))</f>
        <v/>
      </c>
      <c r="AX1394" s="2" t="str">
        <f>IF(Registered!AI1394=0,"",Registered!AI1394&amp;" BG")</f>
        <v/>
      </c>
      <c r="AY1394" s="2" t="str">
        <f>IF(Registered!AG1394=0,"",Registered!AG1394&amp;" DustMask")</f>
        <v/>
      </c>
    </row>
    <row r="1395" spans="1:51" customFormat="1" x14ac:dyDescent="0.25">
      <c r="A1395" t="s">
        <v>143</v>
      </c>
      <c r="B1395" t="s">
        <v>4996</v>
      </c>
      <c r="C1395" t="s">
        <v>6090</v>
      </c>
      <c r="G1395" t="s">
        <v>143</v>
      </c>
      <c r="H1395" t="s">
        <v>4996</v>
      </c>
      <c r="I1395" t="s">
        <v>4997</v>
      </c>
      <c r="J1395" t="s">
        <v>37</v>
      </c>
      <c r="K1395" t="s">
        <v>32</v>
      </c>
      <c r="L1395" t="s">
        <v>35</v>
      </c>
      <c r="AQ1395">
        <v>0</v>
      </c>
      <c r="AR1395" s="3">
        <f t="shared" si="63"/>
        <v>0</v>
      </c>
      <c r="AS1395" s="3">
        <f t="shared" si="64"/>
        <v>0</v>
      </c>
      <c r="AT1395" s="3" t="str">
        <f>IF(OR(Registered!AM1395&gt;0,Registered!AO1395&gt;0),(IF(Registered!E1395=0,"Size Not Specified",Registered!E1395)),"")</f>
        <v/>
      </c>
      <c r="AU1395" s="3" t="str">
        <f>IF(Registered!AE1395=0,"",IF(Registered!AE1395=1,Registered!AE1395&amp;" Bandana",Registered!AE1395&amp;" Bandanas"))</f>
        <v/>
      </c>
      <c r="AV1395" s="3">
        <f t="shared" si="65"/>
        <v>0</v>
      </c>
      <c r="AW1395" s="2" t="str">
        <f>IF(Registered!AV1395=0,"",IF(Registered!AV1395=1,Registered!AV1395&amp;" Meal",Registered!AV1395&amp;" Meals"))</f>
        <v/>
      </c>
      <c r="AX1395" s="2" t="str">
        <f>IF(Registered!AI1395=0,"",Registered!AI1395&amp;" BG")</f>
        <v/>
      </c>
      <c r="AY1395" s="2" t="str">
        <f>IF(Registered!AG1395=0,"",Registered!AG1395&amp;" DustMask")</f>
        <v/>
      </c>
    </row>
    <row r="1396" spans="1:51" customFormat="1" x14ac:dyDescent="0.25">
      <c r="A1396" t="s">
        <v>143</v>
      </c>
      <c r="B1396" t="s">
        <v>4996</v>
      </c>
      <c r="C1396" t="s">
        <v>6090</v>
      </c>
      <c r="D1396" t="s">
        <v>57</v>
      </c>
      <c r="I1396" t="s">
        <v>4997</v>
      </c>
      <c r="J1396" t="s">
        <v>37</v>
      </c>
      <c r="K1396" t="s">
        <v>32</v>
      </c>
      <c r="L1396" t="s">
        <v>35</v>
      </c>
      <c r="Q1396">
        <v>2</v>
      </c>
      <c r="R1396">
        <v>3</v>
      </c>
      <c r="AC1396">
        <v>2</v>
      </c>
      <c r="AD1396">
        <v>10</v>
      </c>
      <c r="AQ1396">
        <v>26</v>
      </c>
      <c r="AR1396" s="3">
        <f t="shared" si="63"/>
        <v>10</v>
      </c>
      <c r="AS1396" s="3">
        <f t="shared" si="64"/>
        <v>0</v>
      </c>
      <c r="AT1396" s="3" t="str">
        <f>IF(OR(Registered!AM1396&gt;0,Registered!AO1396&gt;0),(IF(Registered!E1396=0,"Size Not Specified",Registered!E1396)),"")</f>
        <v/>
      </c>
      <c r="AU1396" s="3" t="str">
        <f>IF(Registered!AE1396=0,"",IF(Registered!AE1396=1,Registered!AE1396&amp;" Bandana",Registered!AE1396&amp;" Bandanas"))</f>
        <v/>
      </c>
      <c r="AV1396" s="3">
        <f t="shared" si="65"/>
        <v>0</v>
      </c>
      <c r="AW1396" s="2" t="str">
        <f>IF(Registered!AV1396=0,"",IF(Registered!AV1396=1,Registered!AV1396&amp;" Meal",Registered!AV1396&amp;" Meals"))</f>
        <v/>
      </c>
      <c r="AX1396" s="2" t="str">
        <f>IF(Registered!AI1396=0,"",Registered!AI1396&amp;" BG")</f>
        <v/>
      </c>
      <c r="AY1396" s="2" t="str">
        <f>IF(Registered!AG1396=0,"",Registered!AG1396&amp;" DustMask")</f>
        <v/>
      </c>
    </row>
    <row r="1397" spans="1:51" customFormat="1" x14ac:dyDescent="0.25">
      <c r="A1397" t="s">
        <v>79</v>
      </c>
      <c r="B1397" t="s">
        <v>4998</v>
      </c>
      <c r="C1397" t="s">
        <v>6090</v>
      </c>
      <c r="D1397" t="s">
        <v>4999</v>
      </c>
      <c r="F1397" t="s">
        <v>261</v>
      </c>
      <c r="I1397" t="s">
        <v>5000</v>
      </c>
      <c r="J1397" t="s">
        <v>37</v>
      </c>
      <c r="K1397" t="s">
        <v>32</v>
      </c>
      <c r="L1397" t="s">
        <v>35</v>
      </c>
      <c r="Q1397">
        <v>1</v>
      </c>
      <c r="R1397">
        <v>3</v>
      </c>
      <c r="AC1397">
        <v>1</v>
      </c>
      <c r="AD1397">
        <v>10</v>
      </c>
      <c r="AQ1397">
        <v>13</v>
      </c>
      <c r="AR1397" s="3">
        <f t="shared" si="63"/>
        <v>5</v>
      </c>
      <c r="AS1397" s="3">
        <f t="shared" si="64"/>
        <v>0</v>
      </c>
      <c r="AT1397" s="3" t="str">
        <f>IF(OR(Registered!AM1397&gt;0,Registered!AO1397&gt;0),(IF(Registered!E1397=0,"Size Not Specified",Registered!E1397)),"")</f>
        <v/>
      </c>
      <c r="AU1397" s="3" t="str">
        <f>IF(Registered!AE1397=0,"",IF(Registered!AE1397=1,Registered!AE1397&amp;" Bandana",Registered!AE1397&amp;" Bandanas"))</f>
        <v/>
      </c>
      <c r="AV1397" s="3">
        <f t="shared" si="65"/>
        <v>0</v>
      </c>
      <c r="AW1397" s="2" t="str">
        <f>IF(Registered!AV1397=0,"",IF(Registered!AV1397=1,Registered!AV1397&amp;" Meal",Registered!AV1397&amp;" Meals"))</f>
        <v/>
      </c>
      <c r="AX1397" s="2" t="str">
        <f>IF(Registered!AI1397=0,"",Registered!AI1397&amp;" BG")</f>
        <v/>
      </c>
      <c r="AY1397" s="2" t="str">
        <f>IF(Registered!AG1397=0,"",Registered!AG1397&amp;" DustMask")</f>
        <v/>
      </c>
    </row>
    <row r="1398" spans="1:51" customFormat="1" x14ac:dyDescent="0.25">
      <c r="A1398" t="s">
        <v>3050</v>
      </c>
      <c r="B1398" t="s">
        <v>5001</v>
      </c>
      <c r="C1398" t="s">
        <v>6090</v>
      </c>
      <c r="D1398" t="s">
        <v>5002</v>
      </c>
      <c r="F1398" t="s">
        <v>261</v>
      </c>
      <c r="I1398" t="s">
        <v>5003</v>
      </c>
      <c r="J1398" t="s">
        <v>37</v>
      </c>
      <c r="K1398" t="s">
        <v>32</v>
      </c>
      <c r="L1398" t="s">
        <v>35</v>
      </c>
      <c r="Q1398">
        <v>3</v>
      </c>
      <c r="R1398">
        <v>3</v>
      </c>
      <c r="AC1398">
        <v>2</v>
      </c>
      <c r="AD1398">
        <v>10</v>
      </c>
      <c r="AQ1398">
        <v>29</v>
      </c>
      <c r="AR1398" s="3">
        <f t="shared" si="63"/>
        <v>10</v>
      </c>
      <c r="AS1398" s="3">
        <f t="shared" si="64"/>
        <v>0</v>
      </c>
      <c r="AT1398" s="3" t="str">
        <f>IF(OR(Registered!AM1398&gt;0,Registered!AO1398&gt;0),(IF(Registered!E1398=0,"Size Not Specified",Registered!E1398)),"")</f>
        <v/>
      </c>
      <c r="AU1398" s="3" t="str">
        <f>IF(Registered!AE1398=0,"",IF(Registered!AE1398=1,Registered!AE1398&amp;" Bandana",Registered!AE1398&amp;" Bandanas"))</f>
        <v/>
      </c>
      <c r="AV1398" s="3">
        <f t="shared" si="65"/>
        <v>0</v>
      </c>
      <c r="AW1398" s="2" t="str">
        <f>IF(Registered!AV1398=0,"",IF(Registered!AV1398=1,Registered!AV1398&amp;" Meal",Registered!AV1398&amp;" Meals"))</f>
        <v/>
      </c>
      <c r="AX1398" s="2" t="str">
        <f>IF(Registered!AI1398=0,"",Registered!AI1398&amp;" BG")</f>
        <v/>
      </c>
      <c r="AY1398" s="2" t="str">
        <f>IF(Registered!AG1398=0,"",Registered!AG1398&amp;" DustMask")</f>
        <v/>
      </c>
    </row>
    <row r="1399" spans="1:51" customFormat="1" x14ac:dyDescent="0.25">
      <c r="A1399" t="s">
        <v>153</v>
      </c>
      <c r="B1399" t="s">
        <v>76</v>
      </c>
      <c r="C1399" t="s">
        <v>6090</v>
      </c>
      <c r="G1399" t="s">
        <v>3643</v>
      </c>
      <c r="H1399" t="s">
        <v>391</v>
      </c>
      <c r="I1399" t="s">
        <v>3644</v>
      </c>
      <c r="J1399" t="s">
        <v>37</v>
      </c>
      <c r="K1399" t="s">
        <v>32</v>
      </c>
      <c r="L1399" t="s">
        <v>35</v>
      </c>
      <c r="AQ1399">
        <v>0</v>
      </c>
      <c r="AR1399" s="3">
        <f t="shared" si="63"/>
        <v>0</v>
      </c>
      <c r="AS1399" s="3">
        <f t="shared" si="64"/>
        <v>0</v>
      </c>
      <c r="AT1399" s="3" t="str">
        <f>IF(OR(Registered!AM1399&gt;0,Registered!AO1399&gt;0),(IF(Registered!E1399=0,"Size Not Specified",Registered!E1399)),"")</f>
        <v/>
      </c>
      <c r="AU1399" s="3" t="str">
        <f>IF(Registered!AE1399=0,"",IF(Registered!AE1399=1,Registered!AE1399&amp;" Bandana",Registered!AE1399&amp;" Bandanas"))</f>
        <v/>
      </c>
      <c r="AV1399" s="3">
        <f t="shared" si="65"/>
        <v>0</v>
      </c>
      <c r="AW1399" s="2" t="str">
        <f>IF(Registered!AV1399=0,"",IF(Registered!AV1399=1,Registered!AV1399&amp;" Meal",Registered!AV1399&amp;" Meals"))</f>
        <v/>
      </c>
      <c r="AX1399" s="2" t="str">
        <f>IF(Registered!AI1399=0,"",Registered!AI1399&amp;" BG")</f>
        <v/>
      </c>
      <c r="AY1399" s="2" t="str">
        <f>IF(Registered!AG1399=0,"",Registered!AG1399&amp;" DustMask")</f>
        <v/>
      </c>
    </row>
    <row r="1400" spans="1:51" customFormat="1" x14ac:dyDescent="0.25">
      <c r="A1400" t="s">
        <v>258</v>
      </c>
      <c r="B1400" t="s">
        <v>76</v>
      </c>
      <c r="C1400" t="s">
        <v>6090</v>
      </c>
      <c r="G1400" t="s">
        <v>3643</v>
      </c>
      <c r="H1400" t="s">
        <v>391</v>
      </c>
      <c r="I1400" t="s">
        <v>3644</v>
      </c>
      <c r="J1400" t="s">
        <v>37</v>
      </c>
      <c r="K1400" t="s">
        <v>32</v>
      </c>
      <c r="L1400" t="s">
        <v>35</v>
      </c>
      <c r="AQ1400">
        <v>0</v>
      </c>
      <c r="AR1400" s="3">
        <f t="shared" si="63"/>
        <v>0</v>
      </c>
      <c r="AS1400" s="3">
        <f t="shared" si="64"/>
        <v>0</v>
      </c>
      <c r="AT1400" s="3" t="str">
        <f>IF(OR(Registered!AM1400&gt;0,Registered!AO1400&gt;0),(IF(Registered!E1400=0,"Size Not Specified",Registered!E1400)),"")</f>
        <v/>
      </c>
      <c r="AU1400" s="3" t="str">
        <f>IF(Registered!AE1400=0,"",IF(Registered!AE1400=1,Registered!AE1400&amp;" Bandana",Registered!AE1400&amp;" Bandanas"))</f>
        <v/>
      </c>
      <c r="AV1400" s="3">
        <f t="shared" si="65"/>
        <v>0</v>
      </c>
      <c r="AW1400" s="2" t="str">
        <f>IF(Registered!AV1400=0,"",IF(Registered!AV1400=1,Registered!AV1400&amp;" Meal",Registered!AV1400&amp;" Meals"))</f>
        <v/>
      </c>
      <c r="AX1400" s="2" t="str">
        <f>IF(Registered!AI1400=0,"",Registered!AI1400&amp;" BG")</f>
        <v/>
      </c>
      <c r="AY1400" s="2" t="str">
        <f>IF(Registered!AG1400=0,"",Registered!AG1400&amp;" DustMask")</f>
        <v/>
      </c>
    </row>
    <row r="1401" spans="1:51" customFormat="1" x14ac:dyDescent="0.25">
      <c r="A1401" t="s">
        <v>233</v>
      </c>
      <c r="B1401" t="s">
        <v>3672</v>
      </c>
      <c r="C1401" t="s">
        <v>6090</v>
      </c>
      <c r="D1401" t="s">
        <v>5004</v>
      </c>
      <c r="F1401" t="s">
        <v>261</v>
      </c>
      <c r="I1401" t="s">
        <v>3673</v>
      </c>
      <c r="J1401" t="s">
        <v>37</v>
      </c>
      <c r="K1401" t="s">
        <v>32</v>
      </c>
      <c r="L1401" t="s">
        <v>35</v>
      </c>
      <c r="Q1401">
        <v>2</v>
      </c>
      <c r="R1401">
        <v>3</v>
      </c>
      <c r="U1401">
        <v>1</v>
      </c>
      <c r="V1401">
        <v>20</v>
      </c>
      <c r="AQ1401">
        <v>26</v>
      </c>
      <c r="AR1401" s="3">
        <f t="shared" si="63"/>
        <v>10</v>
      </c>
      <c r="AS1401" s="3">
        <f t="shared" si="64"/>
        <v>0</v>
      </c>
      <c r="AT1401" s="3" t="str">
        <f>IF(OR(Registered!AM1401&gt;0,Registered!AO1401&gt;0),(IF(Registered!E1401=0,"Size Not Specified",Registered!E1401)),"")</f>
        <v/>
      </c>
      <c r="AU1401" s="3" t="str">
        <f>IF(Registered!AE1401=0,"",IF(Registered!AE1401=1,Registered!AE1401&amp;" Bandana",Registered!AE1401&amp;" Bandanas"))</f>
        <v/>
      </c>
      <c r="AV1401" s="3">
        <f t="shared" si="65"/>
        <v>0</v>
      </c>
      <c r="AW1401" s="2" t="str">
        <f>IF(Registered!AV1401=0,"",IF(Registered!AV1401=1,Registered!AV1401&amp;" Meal",Registered!AV1401&amp;" Meals"))</f>
        <v/>
      </c>
      <c r="AX1401" s="2" t="str">
        <f>IF(Registered!AI1401=0,"",Registered!AI1401&amp;" BG")</f>
        <v/>
      </c>
      <c r="AY1401" s="2" t="str">
        <f>IF(Registered!AG1401=0,"",Registered!AG1401&amp;" DustMask")</f>
        <v/>
      </c>
    </row>
    <row r="1402" spans="1:51" customFormat="1" x14ac:dyDescent="0.25">
      <c r="A1402" t="s">
        <v>222</v>
      </c>
      <c r="B1402" t="s">
        <v>3672</v>
      </c>
      <c r="C1402" t="s">
        <v>6090</v>
      </c>
      <c r="D1402" t="s">
        <v>5005</v>
      </c>
      <c r="F1402" t="s">
        <v>261</v>
      </c>
      <c r="I1402" t="s">
        <v>5006</v>
      </c>
      <c r="J1402" t="s">
        <v>37</v>
      </c>
      <c r="K1402" t="s">
        <v>32</v>
      </c>
      <c r="L1402" t="s">
        <v>35</v>
      </c>
      <c r="Q1402">
        <v>1</v>
      </c>
      <c r="R1402">
        <v>3</v>
      </c>
      <c r="AC1402">
        <v>1</v>
      </c>
      <c r="AD1402">
        <v>10</v>
      </c>
      <c r="AQ1402">
        <v>13</v>
      </c>
      <c r="AR1402" s="3">
        <f t="shared" si="63"/>
        <v>5</v>
      </c>
      <c r="AS1402" s="3">
        <f t="shared" si="64"/>
        <v>0</v>
      </c>
      <c r="AT1402" s="3" t="str">
        <f>IF(OR(Registered!AM1402&gt;0,Registered!AO1402&gt;0),(IF(Registered!E1402=0,"Size Not Specified",Registered!E1402)),"")</f>
        <v/>
      </c>
      <c r="AU1402" s="3" t="str">
        <f>IF(Registered!AE1402=0,"",IF(Registered!AE1402=1,Registered!AE1402&amp;" Bandana",Registered!AE1402&amp;" Bandanas"))</f>
        <v/>
      </c>
      <c r="AV1402" s="3">
        <f t="shared" si="65"/>
        <v>0</v>
      </c>
      <c r="AW1402" s="2" t="str">
        <f>IF(Registered!AV1402=0,"",IF(Registered!AV1402=1,Registered!AV1402&amp;" Meal",Registered!AV1402&amp;" Meals"))</f>
        <v/>
      </c>
      <c r="AX1402" s="2" t="str">
        <f>IF(Registered!AI1402=0,"",Registered!AI1402&amp;" BG")</f>
        <v/>
      </c>
      <c r="AY1402" s="2" t="str">
        <f>IF(Registered!AG1402=0,"",Registered!AG1402&amp;" DustMask")</f>
        <v/>
      </c>
    </row>
    <row r="1403" spans="1:51" customFormat="1" x14ac:dyDescent="0.25">
      <c r="A1403" t="s">
        <v>5007</v>
      </c>
      <c r="B1403" t="s">
        <v>250</v>
      </c>
      <c r="C1403" t="s">
        <v>6090</v>
      </c>
      <c r="G1403" t="s">
        <v>299</v>
      </c>
      <c r="H1403" t="s">
        <v>284</v>
      </c>
      <c r="I1403" t="s">
        <v>5008</v>
      </c>
      <c r="J1403" t="s">
        <v>37</v>
      </c>
      <c r="K1403" t="s">
        <v>32</v>
      </c>
      <c r="L1403" t="s">
        <v>35</v>
      </c>
      <c r="AQ1403">
        <v>0</v>
      </c>
      <c r="AR1403" s="3">
        <f t="shared" si="63"/>
        <v>0</v>
      </c>
      <c r="AS1403" s="3">
        <f t="shared" si="64"/>
        <v>0</v>
      </c>
      <c r="AT1403" s="3" t="str">
        <f>IF(OR(Registered!AM1403&gt;0,Registered!AO1403&gt;0),(IF(Registered!E1403=0,"Size Not Specified",Registered!E1403)),"")</f>
        <v/>
      </c>
      <c r="AU1403" s="3" t="str">
        <f>IF(Registered!AE1403=0,"",IF(Registered!AE1403=1,Registered!AE1403&amp;" Bandana",Registered!AE1403&amp;" Bandanas"))</f>
        <v/>
      </c>
      <c r="AV1403" s="3">
        <f t="shared" si="65"/>
        <v>0</v>
      </c>
      <c r="AW1403" s="2" t="str">
        <f>IF(Registered!AV1403=0,"",IF(Registered!AV1403=1,Registered!AV1403&amp;" Meal",Registered!AV1403&amp;" Meals"))</f>
        <v/>
      </c>
      <c r="AX1403" s="2" t="str">
        <f>IF(Registered!AI1403=0,"",Registered!AI1403&amp;" BG")</f>
        <v/>
      </c>
      <c r="AY1403" s="2" t="str">
        <f>IF(Registered!AG1403=0,"",Registered!AG1403&amp;" DustMask")</f>
        <v/>
      </c>
    </row>
    <row r="1404" spans="1:51" customFormat="1" x14ac:dyDescent="0.25">
      <c r="A1404" t="s">
        <v>153</v>
      </c>
      <c r="B1404" t="s">
        <v>1771</v>
      </c>
      <c r="C1404" t="s">
        <v>6090</v>
      </c>
      <c r="G1404" t="s">
        <v>396</v>
      </c>
      <c r="H1404" t="s">
        <v>1772</v>
      </c>
      <c r="I1404" t="s">
        <v>1773</v>
      </c>
      <c r="J1404" t="s">
        <v>37</v>
      </c>
      <c r="K1404" t="s">
        <v>32</v>
      </c>
      <c r="L1404" t="s">
        <v>35</v>
      </c>
      <c r="AQ1404">
        <v>0</v>
      </c>
      <c r="AR1404" s="3">
        <f t="shared" si="63"/>
        <v>0</v>
      </c>
      <c r="AS1404" s="3">
        <f t="shared" si="64"/>
        <v>0</v>
      </c>
      <c r="AT1404" s="3" t="str">
        <f>IF(OR(Registered!AM1404&gt;0,Registered!AO1404&gt;0),(IF(Registered!E1404=0,"Size Not Specified",Registered!E1404)),"")</f>
        <v/>
      </c>
      <c r="AU1404" s="3" t="str">
        <f>IF(Registered!AE1404=0,"",IF(Registered!AE1404=1,Registered!AE1404&amp;" Bandana",Registered!AE1404&amp;" Bandanas"))</f>
        <v/>
      </c>
      <c r="AV1404" s="3">
        <f t="shared" si="65"/>
        <v>0</v>
      </c>
      <c r="AW1404" s="2" t="str">
        <f>IF(Registered!AV1404=0,"",IF(Registered!AV1404=1,Registered!AV1404&amp;" Meal",Registered!AV1404&amp;" Meals"))</f>
        <v/>
      </c>
      <c r="AX1404" s="2" t="str">
        <f>IF(Registered!AI1404=0,"",Registered!AI1404&amp;" BG")</f>
        <v/>
      </c>
      <c r="AY1404" s="2" t="str">
        <f>IF(Registered!AG1404=0,"",Registered!AG1404&amp;" DustMask")</f>
        <v/>
      </c>
    </row>
    <row r="1405" spans="1:51" customFormat="1" x14ac:dyDescent="0.25">
      <c r="A1405" t="s">
        <v>296</v>
      </c>
      <c r="B1405" t="s">
        <v>5009</v>
      </c>
      <c r="C1405" t="s">
        <v>6090</v>
      </c>
      <c r="G1405" t="s">
        <v>563</v>
      </c>
      <c r="H1405" t="s">
        <v>4177</v>
      </c>
      <c r="I1405" t="s">
        <v>4179</v>
      </c>
      <c r="J1405" t="s">
        <v>37</v>
      </c>
      <c r="K1405" t="s">
        <v>32</v>
      </c>
      <c r="L1405" t="s">
        <v>35</v>
      </c>
      <c r="AQ1405">
        <v>0</v>
      </c>
      <c r="AR1405" s="3">
        <f t="shared" si="63"/>
        <v>0</v>
      </c>
      <c r="AS1405" s="3">
        <f t="shared" si="64"/>
        <v>0</v>
      </c>
      <c r="AT1405" s="3" t="str">
        <f>IF(OR(Registered!AM1405&gt;0,Registered!AO1405&gt;0),(IF(Registered!E1405=0,"Size Not Specified",Registered!E1405)),"")</f>
        <v/>
      </c>
      <c r="AU1405" s="3" t="str">
        <f>IF(Registered!AE1405=0,"",IF(Registered!AE1405=1,Registered!AE1405&amp;" Bandana",Registered!AE1405&amp;" Bandanas"))</f>
        <v/>
      </c>
      <c r="AV1405" s="3">
        <f t="shared" si="65"/>
        <v>0</v>
      </c>
      <c r="AW1405" s="2" t="str">
        <f>IF(Registered!AV1405=0,"",IF(Registered!AV1405=1,Registered!AV1405&amp;" Meal",Registered!AV1405&amp;" Meals"))</f>
        <v/>
      </c>
      <c r="AX1405" s="2" t="str">
        <f>IF(Registered!AI1405=0,"",Registered!AI1405&amp;" BG")</f>
        <v/>
      </c>
      <c r="AY1405" s="2" t="str">
        <f>IF(Registered!AG1405=0,"",Registered!AG1405&amp;" DustMask")</f>
        <v/>
      </c>
    </row>
    <row r="1406" spans="1:51" customFormat="1" x14ac:dyDescent="0.25">
      <c r="A1406" t="s">
        <v>2370</v>
      </c>
      <c r="B1406" t="s">
        <v>5010</v>
      </c>
      <c r="C1406" t="s">
        <v>6090</v>
      </c>
      <c r="D1406" t="s">
        <v>5011</v>
      </c>
      <c r="F1406" t="s">
        <v>261</v>
      </c>
      <c r="I1406" t="s">
        <v>5012</v>
      </c>
      <c r="J1406" t="s">
        <v>37</v>
      </c>
      <c r="K1406" t="s">
        <v>32</v>
      </c>
      <c r="L1406" t="s">
        <v>35</v>
      </c>
      <c r="Q1406">
        <v>1</v>
      </c>
      <c r="R1406">
        <v>3</v>
      </c>
      <c r="AC1406">
        <v>1</v>
      </c>
      <c r="AD1406">
        <v>10</v>
      </c>
      <c r="AQ1406">
        <v>13</v>
      </c>
      <c r="AR1406" s="3">
        <f t="shared" si="63"/>
        <v>5</v>
      </c>
      <c r="AS1406" s="3">
        <f t="shared" si="64"/>
        <v>0</v>
      </c>
      <c r="AT1406" s="3" t="str">
        <f>IF(OR(Registered!AM1406&gt;0,Registered!AO1406&gt;0),(IF(Registered!E1406=0,"Size Not Specified",Registered!E1406)),"")</f>
        <v/>
      </c>
      <c r="AU1406" s="3" t="str">
        <f>IF(Registered!AE1406=0,"",IF(Registered!AE1406=1,Registered!AE1406&amp;" Bandana",Registered!AE1406&amp;" Bandanas"))</f>
        <v/>
      </c>
      <c r="AV1406" s="3">
        <f t="shared" si="65"/>
        <v>0</v>
      </c>
      <c r="AW1406" s="2" t="str">
        <f>IF(Registered!AV1406=0,"",IF(Registered!AV1406=1,Registered!AV1406&amp;" Meal",Registered!AV1406&amp;" Meals"))</f>
        <v/>
      </c>
      <c r="AX1406" s="2" t="str">
        <f>IF(Registered!AI1406=0,"",Registered!AI1406&amp;" BG")</f>
        <v/>
      </c>
      <c r="AY1406" s="2" t="str">
        <f>IF(Registered!AG1406=0,"",Registered!AG1406&amp;" DustMask")</f>
        <v/>
      </c>
    </row>
    <row r="1407" spans="1:51" customFormat="1" x14ac:dyDescent="0.25">
      <c r="A1407" t="s">
        <v>1030</v>
      </c>
      <c r="B1407" t="s">
        <v>218</v>
      </c>
      <c r="C1407" t="s">
        <v>6090</v>
      </c>
      <c r="D1407" t="s">
        <v>5013</v>
      </c>
      <c r="F1407" t="s">
        <v>261</v>
      </c>
      <c r="I1407" t="s">
        <v>4665</v>
      </c>
      <c r="J1407" t="s">
        <v>37</v>
      </c>
      <c r="K1407" t="s">
        <v>32</v>
      </c>
      <c r="L1407" t="s">
        <v>35</v>
      </c>
      <c r="Q1407">
        <v>3</v>
      </c>
      <c r="R1407">
        <v>3</v>
      </c>
      <c r="Y1407">
        <v>1</v>
      </c>
      <c r="Z1407">
        <v>60</v>
      </c>
      <c r="AQ1407">
        <v>69</v>
      </c>
      <c r="AR1407" s="3">
        <f t="shared" si="63"/>
        <v>30</v>
      </c>
      <c r="AS1407" s="3">
        <f t="shared" si="64"/>
        <v>0</v>
      </c>
      <c r="AT1407" s="3" t="str">
        <f>IF(OR(Registered!AM1407&gt;0,Registered!AO1407&gt;0),(IF(Registered!E1407=0,"Size Not Specified",Registered!E1407)),"")</f>
        <v/>
      </c>
      <c r="AU1407" s="3" t="str">
        <f>IF(Registered!AE1407=0,"",IF(Registered!AE1407=1,Registered!AE1407&amp;" Bandana",Registered!AE1407&amp;" Bandanas"))</f>
        <v/>
      </c>
      <c r="AV1407" s="3">
        <f t="shared" si="65"/>
        <v>0</v>
      </c>
      <c r="AW1407" s="2" t="str">
        <f>IF(Registered!AV1407=0,"",IF(Registered!AV1407=1,Registered!AV1407&amp;" Meal",Registered!AV1407&amp;" Meals"))</f>
        <v/>
      </c>
      <c r="AX1407" s="2" t="str">
        <f>IF(Registered!AI1407=0,"",Registered!AI1407&amp;" BG")</f>
        <v/>
      </c>
      <c r="AY1407" s="2" t="str">
        <f>IF(Registered!AG1407=0,"",Registered!AG1407&amp;" DustMask")</f>
        <v/>
      </c>
    </row>
    <row r="1408" spans="1:51" customFormat="1" x14ac:dyDescent="0.25">
      <c r="A1408" t="s">
        <v>2982</v>
      </c>
      <c r="B1408" t="s">
        <v>218</v>
      </c>
      <c r="C1408" t="s">
        <v>6090</v>
      </c>
      <c r="D1408" t="s">
        <v>3151</v>
      </c>
      <c r="E1408" t="s">
        <v>3152</v>
      </c>
      <c r="F1408" t="s">
        <v>261</v>
      </c>
      <c r="I1408" t="s">
        <v>2983</v>
      </c>
      <c r="J1408" t="s">
        <v>37</v>
      </c>
      <c r="K1408" t="s">
        <v>32</v>
      </c>
      <c r="L1408" t="s">
        <v>35</v>
      </c>
      <c r="Q1408">
        <v>4</v>
      </c>
      <c r="R1408">
        <v>3</v>
      </c>
      <c r="U1408">
        <v>2</v>
      </c>
      <c r="V1408">
        <v>20</v>
      </c>
      <c r="AC1408">
        <v>1</v>
      </c>
      <c r="AD1408">
        <v>10</v>
      </c>
      <c r="AE1408">
        <v>4</v>
      </c>
      <c r="AF1408">
        <v>6</v>
      </c>
      <c r="AO1408">
        <v>4</v>
      </c>
      <c r="AP1408">
        <v>10</v>
      </c>
      <c r="AQ1408">
        <v>126</v>
      </c>
      <c r="AR1408" s="3">
        <f t="shared" si="63"/>
        <v>25</v>
      </c>
      <c r="AS1408" s="3">
        <f t="shared" si="64"/>
        <v>4</v>
      </c>
      <c r="AT1408" s="3" t="str">
        <f>IF(OR(Registered!AM1408&gt;0,Registered!AO1408&gt;0),(IF(Registered!E1408=0,"Size Not Specified",Registered!E1408)),"")</f>
        <v>two extra large two large</v>
      </c>
      <c r="AU1408" s="3" t="str">
        <f>IF(Registered!AE1408=0,"",IF(Registered!AE1408=1,Registered!AE1408&amp;" Bandana",Registered!AE1408&amp;" Bandanas"))</f>
        <v>4 Bandanas</v>
      </c>
      <c r="AV1408" s="3">
        <f t="shared" si="65"/>
        <v>0</v>
      </c>
      <c r="AW1408" s="2" t="str">
        <f>IF(Registered!AV1408=0,"",IF(Registered!AV1408=1,Registered!AV1408&amp;" Meal",Registered!AV1408&amp;" Meals"))</f>
        <v/>
      </c>
      <c r="AX1408" s="2" t="str">
        <f>IF(Registered!AI1408=0,"",Registered!AI1408&amp;" BG")</f>
        <v/>
      </c>
      <c r="AY1408" s="2" t="str">
        <f>IF(Registered!AG1408=0,"",Registered!AG1408&amp;" DustMask")</f>
        <v/>
      </c>
    </row>
    <row r="1409" spans="1:51" customFormat="1" x14ac:dyDescent="0.25">
      <c r="A1409" t="s">
        <v>3153</v>
      </c>
      <c r="B1409" t="s">
        <v>3154</v>
      </c>
      <c r="C1409" t="s">
        <v>6090</v>
      </c>
      <c r="D1409" t="s">
        <v>3155</v>
      </c>
      <c r="F1409" t="s">
        <v>261</v>
      </c>
      <c r="I1409" t="s">
        <v>3156</v>
      </c>
      <c r="J1409" t="s">
        <v>37</v>
      </c>
      <c r="K1409" t="s">
        <v>32</v>
      </c>
      <c r="L1409" t="s">
        <v>35</v>
      </c>
      <c r="Q1409">
        <v>1</v>
      </c>
      <c r="R1409">
        <v>3</v>
      </c>
      <c r="AC1409">
        <v>1</v>
      </c>
      <c r="AD1409">
        <v>10</v>
      </c>
      <c r="AQ1409">
        <v>13</v>
      </c>
      <c r="AR1409" s="3">
        <f t="shared" si="63"/>
        <v>5</v>
      </c>
      <c r="AS1409" s="3">
        <f t="shared" si="64"/>
        <v>0</v>
      </c>
      <c r="AT1409" s="3" t="str">
        <f>IF(OR(Registered!AM1409&gt;0,Registered!AO1409&gt;0),(IF(Registered!E1409=0,"Size Not Specified",Registered!E1409)),"")</f>
        <v/>
      </c>
      <c r="AU1409" s="3" t="str">
        <f>IF(Registered!AE1409=0,"",IF(Registered!AE1409=1,Registered!AE1409&amp;" Bandana",Registered!AE1409&amp;" Bandanas"))</f>
        <v/>
      </c>
      <c r="AV1409" s="3">
        <f t="shared" si="65"/>
        <v>0</v>
      </c>
      <c r="AW1409" s="2" t="str">
        <f>IF(Registered!AV1409=0,"",IF(Registered!AV1409=1,Registered!AV1409&amp;" Meal",Registered!AV1409&amp;" Meals"))</f>
        <v/>
      </c>
      <c r="AX1409" s="2" t="str">
        <f>IF(Registered!AI1409=0,"",Registered!AI1409&amp;" BG")</f>
        <v/>
      </c>
      <c r="AY1409" s="2" t="str">
        <f>IF(Registered!AG1409=0,"",Registered!AG1409&amp;" DustMask")</f>
        <v/>
      </c>
    </row>
    <row r="1410" spans="1:51" customFormat="1" x14ac:dyDescent="0.25">
      <c r="A1410" t="s">
        <v>4124</v>
      </c>
      <c r="B1410" t="s">
        <v>5014</v>
      </c>
      <c r="C1410" t="s">
        <v>6090</v>
      </c>
      <c r="D1410" t="s">
        <v>5015</v>
      </c>
      <c r="F1410" t="s">
        <v>261</v>
      </c>
      <c r="I1410" t="s">
        <v>5016</v>
      </c>
      <c r="J1410" t="s">
        <v>37</v>
      </c>
      <c r="K1410" t="s">
        <v>32</v>
      </c>
      <c r="L1410" t="s">
        <v>35</v>
      </c>
      <c r="Q1410">
        <v>1</v>
      </c>
      <c r="R1410">
        <v>3</v>
      </c>
      <c r="AC1410">
        <v>1</v>
      </c>
      <c r="AD1410">
        <v>10</v>
      </c>
      <c r="AQ1410">
        <v>13</v>
      </c>
      <c r="AR1410" s="3">
        <f t="shared" ref="AR1410:AR1473" si="66">IF(ISTEXT(AM1410)=TRUE,"",SUM(U1410*10,W1410*20,Y1410*30,AA1410*40,AC1410*5,AM1410*5))</f>
        <v>5</v>
      </c>
      <c r="AS1410" s="3">
        <f t="shared" ref="AS1410:AS1473" si="67">IF(ISTEXT(AM1410)=TRUE,"",SUM(AM1410,AO1410))</f>
        <v>0</v>
      </c>
      <c r="AT1410" s="3" t="str">
        <f>IF(OR(Registered!AM1410&gt;0,Registered!AO1410&gt;0),(IF(Registered!E1410=0,"Size Not Specified",Registered!E1410)),"")</f>
        <v/>
      </c>
      <c r="AU1410" s="3" t="str">
        <f>IF(Registered!AE1410=0,"",IF(Registered!AE1410=1,Registered!AE1410&amp;" Bandana",Registered!AE1410&amp;" Bandanas"))</f>
        <v/>
      </c>
      <c r="AV1410" s="3">
        <f t="shared" ref="AV1410:AV1473" si="68">IF(ISTEXT(AM1410)=TRUE,"",SUM(AM1410,AK1410))</f>
        <v>0</v>
      </c>
      <c r="AW1410" s="2" t="str">
        <f>IF(Registered!AV1410=0,"",IF(Registered!AV1410=1,Registered!AV1410&amp;" Meal",Registered!AV1410&amp;" Meals"))</f>
        <v/>
      </c>
      <c r="AX1410" s="2" t="str">
        <f>IF(Registered!AI1410=0,"",Registered!AI1410&amp;" BG")</f>
        <v/>
      </c>
      <c r="AY1410" s="2" t="str">
        <f>IF(Registered!AG1410=0,"",Registered!AG1410&amp;" DustMask")</f>
        <v/>
      </c>
    </row>
    <row r="1411" spans="1:51" customFormat="1" x14ac:dyDescent="0.25">
      <c r="A1411" t="s">
        <v>5017</v>
      </c>
      <c r="B1411" t="s">
        <v>5018</v>
      </c>
      <c r="C1411" t="s">
        <v>6090</v>
      </c>
      <c r="D1411" t="s">
        <v>5019</v>
      </c>
      <c r="F1411" t="s">
        <v>261</v>
      </c>
      <c r="I1411" t="s">
        <v>5020</v>
      </c>
      <c r="J1411" t="s">
        <v>37</v>
      </c>
      <c r="K1411" t="s">
        <v>32</v>
      </c>
      <c r="L1411" t="s">
        <v>35</v>
      </c>
      <c r="Q1411">
        <v>1</v>
      </c>
      <c r="R1411">
        <v>3</v>
      </c>
      <c r="AC1411">
        <v>1</v>
      </c>
      <c r="AD1411">
        <v>10</v>
      </c>
      <c r="AQ1411">
        <v>13</v>
      </c>
      <c r="AR1411" s="3">
        <f t="shared" si="66"/>
        <v>5</v>
      </c>
      <c r="AS1411" s="3">
        <f t="shared" si="67"/>
        <v>0</v>
      </c>
      <c r="AT1411" s="3" t="str">
        <f>IF(OR(Registered!AM1411&gt;0,Registered!AO1411&gt;0),(IF(Registered!E1411=0,"Size Not Specified",Registered!E1411)),"")</f>
        <v/>
      </c>
      <c r="AU1411" s="3" t="str">
        <f>IF(Registered!AE1411=0,"",IF(Registered!AE1411=1,Registered!AE1411&amp;" Bandana",Registered!AE1411&amp;" Bandanas"))</f>
        <v/>
      </c>
      <c r="AV1411" s="3">
        <f t="shared" si="68"/>
        <v>0</v>
      </c>
      <c r="AW1411" s="2" t="str">
        <f>IF(Registered!AV1411=0,"",IF(Registered!AV1411=1,Registered!AV1411&amp;" Meal",Registered!AV1411&amp;" Meals"))</f>
        <v/>
      </c>
      <c r="AX1411" s="2" t="str">
        <f>IF(Registered!AI1411=0,"",Registered!AI1411&amp;" BG")</f>
        <v/>
      </c>
      <c r="AY1411" s="2" t="str">
        <f>IF(Registered!AG1411=0,"",Registered!AG1411&amp;" DustMask")</f>
        <v/>
      </c>
    </row>
    <row r="1412" spans="1:51" customFormat="1" x14ac:dyDescent="0.25">
      <c r="A1412" t="s">
        <v>5021</v>
      </c>
      <c r="B1412" t="s">
        <v>5022</v>
      </c>
      <c r="C1412" t="s">
        <v>6090</v>
      </c>
      <c r="G1412" t="s">
        <v>188</v>
      </c>
      <c r="H1412" t="s">
        <v>3422</v>
      </c>
      <c r="I1412" t="s">
        <v>4516</v>
      </c>
      <c r="J1412" t="s">
        <v>37</v>
      </c>
      <c r="K1412" t="s">
        <v>32</v>
      </c>
      <c r="L1412" t="s">
        <v>35</v>
      </c>
      <c r="AQ1412">
        <v>0</v>
      </c>
      <c r="AR1412" s="3">
        <f t="shared" si="66"/>
        <v>0</v>
      </c>
      <c r="AS1412" s="3">
        <f t="shared" si="67"/>
        <v>0</v>
      </c>
      <c r="AT1412" s="3" t="str">
        <f>IF(OR(Registered!AM1412&gt;0,Registered!AO1412&gt;0),(IF(Registered!E1412=0,"Size Not Specified",Registered!E1412)),"")</f>
        <v/>
      </c>
      <c r="AU1412" s="3" t="str">
        <f>IF(Registered!AE1412=0,"",IF(Registered!AE1412=1,Registered!AE1412&amp;" Bandana",Registered!AE1412&amp;" Bandanas"))</f>
        <v/>
      </c>
      <c r="AV1412" s="3">
        <f t="shared" si="68"/>
        <v>0</v>
      </c>
      <c r="AW1412" s="2" t="str">
        <f>IF(Registered!AV1412=0,"",IF(Registered!AV1412=1,Registered!AV1412&amp;" Meal",Registered!AV1412&amp;" Meals"))</f>
        <v/>
      </c>
      <c r="AX1412" s="2" t="str">
        <f>IF(Registered!AI1412=0,"",Registered!AI1412&amp;" BG")</f>
        <v/>
      </c>
      <c r="AY1412" s="2" t="str">
        <f>IF(Registered!AG1412=0,"",Registered!AG1412&amp;" DustMask")</f>
        <v/>
      </c>
    </row>
    <row r="1413" spans="1:51" customFormat="1" x14ac:dyDescent="0.25">
      <c r="A1413" t="s">
        <v>94</v>
      </c>
      <c r="B1413" t="s">
        <v>1776</v>
      </c>
      <c r="C1413" t="s">
        <v>6090</v>
      </c>
      <c r="D1413" t="s">
        <v>1777</v>
      </c>
      <c r="F1413" t="s">
        <v>261</v>
      </c>
      <c r="I1413" t="s">
        <v>1778</v>
      </c>
      <c r="J1413" t="s">
        <v>37</v>
      </c>
      <c r="K1413" t="s">
        <v>32</v>
      </c>
      <c r="L1413" t="s">
        <v>35</v>
      </c>
      <c r="S1413">
        <v>1</v>
      </c>
      <c r="T1413">
        <v>3</v>
      </c>
      <c r="U1413">
        <v>1</v>
      </c>
      <c r="V1413">
        <v>20</v>
      </c>
      <c r="AQ1413">
        <v>23</v>
      </c>
      <c r="AR1413" s="3">
        <f t="shared" si="66"/>
        <v>10</v>
      </c>
      <c r="AS1413" s="3">
        <f t="shared" si="67"/>
        <v>0</v>
      </c>
      <c r="AT1413" s="3" t="str">
        <f>IF(OR(Registered!AM1413&gt;0,Registered!AO1413&gt;0),(IF(Registered!E1413=0,"Size Not Specified",Registered!E1413)),"")</f>
        <v/>
      </c>
      <c r="AU1413" s="3" t="str">
        <f>IF(Registered!AE1413=0,"",IF(Registered!AE1413=1,Registered!AE1413&amp;" Bandana",Registered!AE1413&amp;" Bandanas"))</f>
        <v/>
      </c>
      <c r="AV1413" s="3">
        <f t="shared" si="68"/>
        <v>0</v>
      </c>
      <c r="AW1413" s="2" t="str">
        <f>IF(Registered!AV1413=0,"",IF(Registered!AV1413=1,Registered!AV1413&amp;" Meal",Registered!AV1413&amp;" Meals"))</f>
        <v/>
      </c>
      <c r="AX1413" s="2" t="str">
        <f>IF(Registered!AI1413=0,"",Registered!AI1413&amp;" BG")</f>
        <v/>
      </c>
      <c r="AY1413" s="2" t="str">
        <f>IF(Registered!AG1413=0,"",Registered!AG1413&amp;" DustMask")</f>
        <v/>
      </c>
    </row>
    <row r="1414" spans="1:51" customFormat="1" x14ac:dyDescent="0.25">
      <c r="A1414" t="s">
        <v>1779</v>
      </c>
      <c r="B1414" t="s">
        <v>933</v>
      </c>
      <c r="C1414" t="s">
        <v>6090</v>
      </c>
      <c r="D1414" t="s">
        <v>1780</v>
      </c>
      <c r="E1414" t="s">
        <v>117</v>
      </c>
      <c r="F1414" t="s">
        <v>261</v>
      </c>
      <c r="I1414" t="s">
        <v>1781</v>
      </c>
      <c r="J1414" t="s">
        <v>37</v>
      </c>
      <c r="K1414" t="s">
        <v>32</v>
      </c>
      <c r="L1414" t="s">
        <v>35</v>
      </c>
      <c r="Q1414">
        <v>2</v>
      </c>
      <c r="R1414">
        <v>3</v>
      </c>
      <c r="Y1414">
        <v>1</v>
      </c>
      <c r="Z1414">
        <v>60</v>
      </c>
      <c r="AQ1414">
        <v>66</v>
      </c>
      <c r="AR1414" s="3">
        <f t="shared" si="66"/>
        <v>30</v>
      </c>
      <c r="AS1414" s="3">
        <f t="shared" si="67"/>
        <v>0</v>
      </c>
      <c r="AT1414" s="3" t="str">
        <f>IF(OR(Registered!AM1414&gt;0,Registered!AO1414&gt;0),(IF(Registered!E1414=0,"Size Not Specified",Registered!E1414)),"")</f>
        <v/>
      </c>
      <c r="AU1414" s="3" t="str">
        <f>IF(Registered!AE1414=0,"",IF(Registered!AE1414=1,Registered!AE1414&amp;" Bandana",Registered!AE1414&amp;" Bandanas"))</f>
        <v/>
      </c>
      <c r="AV1414" s="3">
        <f t="shared" si="68"/>
        <v>0</v>
      </c>
      <c r="AW1414" s="2" t="str">
        <f>IF(Registered!AV1414=0,"",IF(Registered!AV1414=1,Registered!AV1414&amp;" Meal",Registered!AV1414&amp;" Meals"))</f>
        <v/>
      </c>
      <c r="AX1414" s="2" t="str">
        <f>IF(Registered!AI1414=0,"",Registered!AI1414&amp;" BG")</f>
        <v/>
      </c>
      <c r="AY1414" s="2" t="str">
        <f>IF(Registered!AG1414=0,"",Registered!AG1414&amp;" DustMask")</f>
        <v/>
      </c>
    </row>
    <row r="1415" spans="1:51" customFormat="1" x14ac:dyDescent="0.25">
      <c r="A1415" t="s">
        <v>324</v>
      </c>
      <c r="B1415" t="s">
        <v>933</v>
      </c>
      <c r="C1415" t="s">
        <v>6090</v>
      </c>
      <c r="G1415" t="s">
        <v>2959</v>
      </c>
      <c r="H1415" t="s">
        <v>362</v>
      </c>
      <c r="I1415" t="s">
        <v>4892</v>
      </c>
      <c r="J1415" t="s">
        <v>37</v>
      </c>
      <c r="K1415" t="s">
        <v>32</v>
      </c>
      <c r="L1415" t="s">
        <v>35</v>
      </c>
      <c r="AQ1415">
        <v>0</v>
      </c>
      <c r="AR1415" s="3">
        <f t="shared" si="66"/>
        <v>0</v>
      </c>
      <c r="AS1415" s="3">
        <f t="shared" si="67"/>
        <v>0</v>
      </c>
      <c r="AT1415" s="3" t="str">
        <f>IF(OR(Registered!AM1415&gt;0,Registered!AO1415&gt;0),(IF(Registered!E1415=0,"Size Not Specified",Registered!E1415)),"")</f>
        <v/>
      </c>
      <c r="AU1415" s="3" t="str">
        <f>IF(Registered!AE1415=0,"",IF(Registered!AE1415=1,Registered!AE1415&amp;" Bandana",Registered!AE1415&amp;" Bandanas"))</f>
        <v/>
      </c>
      <c r="AV1415" s="3">
        <f t="shared" si="68"/>
        <v>0</v>
      </c>
      <c r="AW1415" s="2" t="str">
        <f>IF(Registered!AV1415=0,"",IF(Registered!AV1415=1,Registered!AV1415&amp;" Meal",Registered!AV1415&amp;" Meals"))</f>
        <v/>
      </c>
      <c r="AX1415" s="2" t="str">
        <f>IF(Registered!AI1415=0,"",Registered!AI1415&amp;" BG")</f>
        <v/>
      </c>
      <c r="AY1415" s="2" t="str">
        <f>IF(Registered!AG1415=0,"",Registered!AG1415&amp;" DustMask")</f>
        <v/>
      </c>
    </row>
    <row r="1416" spans="1:51" customFormat="1" x14ac:dyDescent="0.25">
      <c r="A1416" t="s">
        <v>510</v>
      </c>
      <c r="B1416" t="s">
        <v>933</v>
      </c>
      <c r="C1416" t="s">
        <v>6090</v>
      </c>
      <c r="G1416" t="s">
        <v>4436</v>
      </c>
      <c r="H1416" t="s">
        <v>1272</v>
      </c>
      <c r="I1416" t="s">
        <v>4438</v>
      </c>
      <c r="J1416" t="s">
        <v>37</v>
      </c>
      <c r="K1416" t="s">
        <v>32</v>
      </c>
      <c r="L1416" t="s">
        <v>35</v>
      </c>
      <c r="AQ1416">
        <v>0</v>
      </c>
      <c r="AR1416" s="3">
        <f t="shared" si="66"/>
        <v>0</v>
      </c>
      <c r="AS1416" s="3">
        <f t="shared" si="67"/>
        <v>0</v>
      </c>
      <c r="AT1416" s="3" t="str">
        <f>IF(OR(Registered!AM1416&gt;0,Registered!AO1416&gt;0),(IF(Registered!E1416=0,"Size Not Specified",Registered!E1416)),"")</f>
        <v/>
      </c>
      <c r="AU1416" s="3" t="str">
        <f>IF(Registered!AE1416=0,"",IF(Registered!AE1416=1,Registered!AE1416&amp;" Bandana",Registered!AE1416&amp;" Bandanas"))</f>
        <v/>
      </c>
      <c r="AV1416" s="3">
        <f t="shared" si="68"/>
        <v>0</v>
      </c>
      <c r="AW1416" s="2" t="str">
        <f>IF(Registered!AV1416=0,"",IF(Registered!AV1416=1,Registered!AV1416&amp;" Meal",Registered!AV1416&amp;" Meals"))</f>
        <v/>
      </c>
      <c r="AX1416" s="2" t="str">
        <f>IF(Registered!AI1416=0,"",Registered!AI1416&amp;" BG")</f>
        <v/>
      </c>
      <c r="AY1416" s="2" t="str">
        <f>IF(Registered!AG1416=0,"",Registered!AG1416&amp;" DustMask")</f>
        <v/>
      </c>
    </row>
    <row r="1417" spans="1:51" customFormat="1" x14ac:dyDescent="0.25">
      <c r="A1417" t="s">
        <v>379</v>
      </c>
      <c r="B1417" t="s">
        <v>933</v>
      </c>
      <c r="C1417" t="s">
        <v>6090</v>
      </c>
      <c r="G1417" t="s">
        <v>932</v>
      </c>
      <c r="H1417" t="s">
        <v>933</v>
      </c>
      <c r="I1417" t="s">
        <v>934</v>
      </c>
      <c r="J1417" t="s">
        <v>37</v>
      </c>
      <c r="K1417" t="s">
        <v>32</v>
      </c>
      <c r="L1417" t="s">
        <v>35</v>
      </c>
      <c r="AQ1417">
        <v>0</v>
      </c>
      <c r="AR1417" s="3">
        <f t="shared" si="66"/>
        <v>0</v>
      </c>
      <c r="AS1417" s="3">
        <f t="shared" si="67"/>
        <v>0</v>
      </c>
      <c r="AT1417" s="3" t="str">
        <f>IF(OR(Registered!AM1417&gt;0,Registered!AO1417&gt;0),(IF(Registered!E1417=0,"Size Not Specified",Registered!E1417)),"")</f>
        <v/>
      </c>
      <c r="AU1417" s="3" t="str">
        <f>IF(Registered!AE1417=0,"",IF(Registered!AE1417=1,Registered!AE1417&amp;" Bandana",Registered!AE1417&amp;" Bandanas"))</f>
        <v/>
      </c>
      <c r="AV1417" s="3">
        <f t="shared" si="68"/>
        <v>0</v>
      </c>
      <c r="AW1417" s="2" t="str">
        <f>IF(Registered!AV1417=0,"",IF(Registered!AV1417=1,Registered!AV1417&amp;" Meal",Registered!AV1417&amp;" Meals"))</f>
        <v/>
      </c>
      <c r="AX1417" s="2" t="str">
        <f>IF(Registered!AI1417=0,"",Registered!AI1417&amp;" BG")</f>
        <v/>
      </c>
      <c r="AY1417" s="2" t="str">
        <f>IF(Registered!AG1417=0,"",Registered!AG1417&amp;" DustMask")</f>
        <v/>
      </c>
    </row>
    <row r="1418" spans="1:51" customFormat="1" x14ac:dyDescent="0.25">
      <c r="A1418" t="s">
        <v>203</v>
      </c>
      <c r="B1418" t="s">
        <v>933</v>
      </c>
      <c r="C1418" t="s">
        <v>6090</v>
      </c>
      <c r="D1418" t="s">
        <v>203</v>
      </c>
      <c r="F1418" t="s">
        <v>261</v>
      </c>
      <c r="I1418" t="s">
        <v>3894</v>
      </c>
      <c r="J1418" t="s">
        <v>37</v>
      </c>
      <c r="K1418" t="s">
        <v>32</v>
      </c>
      <c r="L1418" t="s">
        <v>35</v>
      </c>
      <c r="Q1418">
        <v>2</v>
      </c>
      <c r="R1418">
        <v>3</v>
      </c>
      <c r="U1418">
        <v>1</v>
      </c>
      <c r="V1418">
        <v>20</v>
      </c>
      <c r="AG1418">
        <v>1</v>
      </c>
      <c r="AH1418">
        <v>1</v>
      </c>
      <c r="AQ1418">
        <v>27</v>
      </c>
      <c r="AR1418" s="3">
        <f t="shared" si="66"/>
        <v>10</v>
      </c>
      <c r="AS1418" s="3">
        <f t="shared" si="67"/>
        <v>0</v>
      </c>
      <c r="AT1418" s="3" t="str">
        <f>IF(OR(Registered!AM1418&gt;0,Registered!AO1418&gt;0),(IF(Registered!E1418=0,"Size Not Specified",Registered!E1418)),"")</f>
        <v/>
      </c>
      <c r="AU1418" s="3" t="str">
        <f>IF(Registered!AE1418=0,"",IF(Registered!AE1418=1,Registered!AE1418&amp;" Bandana",Registered!AE1418&amp;" Bandanas"))</f>
        <v/>
      </c>
      <c r="AV1418" s="3">
        <f t="shared" si="68"/>
        <v>0</v>
      </c>
      <c r="AW1418" s="2" t="str">
        <f>IF(Registered!AV1418=0,"",IF(Registered!AV1418=1,Registered!AV1418&amp;" Meal",Registered!AV1418&amp;" Meals"))</f>
        <v/>
      </c>
      <c r="AX1418" s="2" t="str">
        <f>IF(Registered!AI1418=0,"",Registered!AI1418&amp;" BG")</f>
        <v/>
      </c>
      <c r="AY1418" s="2" t="str">
        <f>IF(Registered!AG1418=0,"",Registered!AG1418&amp;" DustMask")</f>
        <v>1 DustMask</v>
      </c>
    </row>
    <row r="1419" spans="1:51" customFormat="1" x14ac:dyDescent="0.25">
      <c r="A1419" t="s">
        <v>111</v>
      </c>
      <c r="B1419" t="s">
        <v>933</v>
      </c>
      <c r="C1419" t="s">
        <v>6090</v>
      </c>
      <c r="G1419" t="s">
        <v>165</v>
      </c>
      <c r="H1419" t="s">
        <v>667</v>
      </c>
      <c r="I1419" t="s">
        <v>669</v>
      </c>
      <c r="J1419" t="s">
        <v>37</v>
      </c>
      <c r="K1419" t="s">
        <v>32</v>
      </c>
      <c r="L1419" t="s">
        <v>35</v>
      </c>
      <c r="AQ1419">
        <v>0</v>
      </c>
      <c r="AR1419" s="3">
        <f t="shared" si="66"/>
        <v>0</v>
      </c>
      <c r="AS1419" s="3">
        <f t="shared" si="67"/>
        <v>0</v>
      </c>
      <c r="AT1419" s="3" t="str">
        <f>IF(OR(Registered!AM1419&gt;0,Registered!AO1419&gt;0),(IF(Registered!E1419=0,"Size Not Specified",Registered!E1419)),"")</f>
        <v/>
      </c>
      <c r="AU1419" s="3" t="str">
        <f>IF(Registered!AE1419=0,"",IF(Registered!AE1419=1,Registered!AE1419&amp;" Bandana",Registered!AE1419&amp;" Bandanas"))</f>
        <v/>
      </c>
      <c r="AV1419" s="3">
        <f t="shared" si="68"/>
        <v>0</v>
      </c>
      <c r="AW1419" s="2" t="str">
        <f>IF(Registered!AV1419=0,"",IF(Registered!AV1419=1,Registered!AV1419&amp;" Meal",Registered!AV1419&amp;" Meals"))</f>
        <v/>
      </c>
      <c r="AX1419" s="2" t="str">
        <f>IF(Registered!AI1419=0,"",Registered!AI1419&amp;" BG")</f>
        <v/>
      </c>
      <c r="AY1419" s="2" t="str">
        <f>IF(Registered!AG1419=0,"",Registered!AG1419&amp;" DustMask")</f>
        <v/>
      </c>
    </row>
    <row r="1420" spans="1:51" customFormat="1" x14ac:dyDescent="0.25">
      <c r="A1420" t="s">
        <v>90</v>
      </c>
      <c r="B1420" t="s">
        <v>933</v>
      </c>
      <c r="C1420" t="s">
        <v>6090</v>
      </c>
      <c r="F1420" t="s">
        <v>261</v>
      </c>
      <c r="I1420" t="s">
        <v>4273</v>
      </c>
      <c r="J1420" t="s">
        <v>37</v>
      </c>
      <c r="K1420" t="s">
        <v>32</v>
      </c>
      <c r="L1420" t="s">
        <v>35</v>
      </c>
      <c r="Q1420">
        <v>2</v>
      </c>
      <c r="R1420">
        <v>3</v>
      </c>
      <c r="AQ1420">
        <v>6</v>
      </c>
      <c r="AR1420" s="3">
        <f t="shared" si="66"/>
        <v>0</v>
      </c>
      <c r="AS1420" s="3">
        <f t="shared" si="67"/>
        <v>0</v>
      </c>
      <c r="AT1420" s="3" t="str">
        <f>IF(OR(Registered!AM1420&gt;0,Registered!AO1420&gt;0),(IF(Registered!E1420=0,"Size Not Specified",Registered!E1420)),"")</f>
        <v/>
      </c>
      <c r="AU1420" s="3" t="str">
        <f>IF(Registered!AE1420=0,"",IF(Registered!AE1420=1,Registered!AE1420&amp;" Bandana",Registered!AE1420&amp;" Bandanas"))</f>
        <v/>
      </c>
      <c r="AV1420" s="3">
        <f t="shared" si="68"/>
        <v>0</v>
      </c>
      <c r="AW1420" s="2" t="str">
        <f>IF(Registered!AV1420=0,"",IF(Registered!AV1420=1,Registered!AV1420&amp;" Meal",Registered!AV1420&amp;" Meals"))</f>
        <v/>
      </c>
      <c r="AX1420" s="2" t="str">
        <f>IF(Registered!AI1420=0,"",Registered!AI1420&amp;" BG")</f>
        <v/>
      </c>
      <c r="AY1420" s="2" t="str">
        <f>IF(Registered!AG1420=0,"",Registered!AG1420&amp;" DustMask")</f>
        <v/>
      </c>
    </row>
    <row r="1421" spans="1:51" customFormat="1" x14ac:dyDescent="0.25">
      <c r="A1421" t="s">
        <v>138</v>
      </c>
      <c r="B1421" t="s">
        <v>933</v>
      </c>
      <c r="C1421" t="s">
        <v>6090</v>
      </c>
      <c r="G1421" t="s">
        <v>932</v>
      </c>
      <c r="H1421" t="s">
        <v>933</v>
      </c>
      <c r="I1421" t="s">
        <v>934</v>
      </c>
      <c r="J1421" t="s">
        <v>37</v>
      </c>
      <c r="K1421" t="s">
        <v>32</v>
      </c>
      <c r="L1421" t="s">
        <v>35</v>
      </c>
      <c r="AQ1421">
        <v>0</v>
      </c>
      <c r="AR1421" s="3">
        <f t="shared" si="66"/>
        <v>0</v>
      </c>
      <c r="AS1421" s="3">
        <f t="shared" si="67"/>
        <v>0</v>
      </c>
      <c r="AT1421" s="3" t="str">
        <f>IF(OR(Registered!AM1421&gt;0,Registered!AO1421&gt;0),(IF(Registered!E1421=0,"Size Not Specified",Registered!E1421)),"")</f>
        <v/>
      </c>
      <c r="AU1421" s="3" t="str">
        <f>IF(Registered!AE1421=0,"",IF(Registered!AE1421=1,Registered!AE1421&amp;" Bandana",Registered!AE1421&amp;" Bandanas"))</f>
        <v/>
      </c>
      <c r="AV1421" s="3">
        <f t="shared" si="68"/>
        <v>0</v>
      </c>
      <c r="AW1421" s="2" t="str">
        <f>IF(Registered!AV1421=0,"",IF(Registered!AV1421=1,Registered!AV1421&amp;" Meal",Registered!AV1421&amp;" Meals"))</f>
        <v/>
      </c>
      <c r="AX1421" s="2" t="str">
        <f>IF(Registered!AI1421=0,"",Registered!AI1421&amp;" BG")</f>
        <v/>
      </c>
      <c r="AY1421" s="2" t="str">
        <f>IF(Registered!AG1421=0,"",Registered!AG1421&amp;" DustMask")</f>
        <v/>
      </c>
    </row>
    <row r="1422" spans="1:51" customFormat="1" x14ac:dyDescent="0.25">
      <c r="A1422" t="s">
        <v>142</v>
      </c>
      <c r="B1422" t="s">
        <v>933</v>
      </c>
      <c r="C1422" t="s">
        <v>6090</v>
      </c>
      <c r="F1422" t="s">
        <v>261</v>
      </c>
      <c r="I1422" t="s">
        <v>3159</v>
      </c>
      <c r="J1422" t="s">
        <v>37</v>
      </c>
      <c r="K1422" t="s">
        <v>32</v>
      </c>
      <c r="L1422" t="s">
        <v>35</v>
      </c>
      <c r="Q1422">
        <v>1</v>
      </c>
      <c r="R1422">
        <v>3</v>
      </c>
      <c r="AQ1422">
        <v>3</v>
      </c>
      <c r="AR1422" s="3">
        <f t="shared" si="66"/>
        <v>0</v>
      </c>
      <c r="AS1422" s="3">
        <f t="shared" si="67"/>
        <v>0</v>
      </c>
      <c r="AT1422" s="3" t="str">
        <f>IF(OR(Registered!AM1422&gt;0,Registered!AO1422&gt;0),(IF(Registered!E1422=0,"Size Not Specified",Registered!E1422)),"")</f>
        <v/>
      </c>
      <c r="AU1422" s="3" t="str">
        <f>IF(Registered!AE1422=0,"",IF(Registered!AE1422=1,Registered!AE1422&amp;" Bandana",Registered!AE1422&amp;" Bandanas"))</f>
        <v/>
      </c>
      <c r="AV1422" s="3">
        <f t="shared" si="68"/>
        <v>0</v>
      </c>
      <c r="AW1422" s="2" t="str">
        <f>IF(Registered!AV1422=0,"",IF(Registered!AV1422=1,Registered!AV1422&amp;" Meal",Registered!AV1422&amp;" Meals"))</f>
        <v/>
      </c>
      <c r="AX1422" s="2" t="str">
        <f>IF(Registered!AI1422=0,"",Registered!AI1422&amp;" BG")</f>
        <v/>
      </c>
      <c r="AY1422" s="2" t="str">
        <f>IF(Registered!AG1422=0,"",Registered!AG1422&amp;" DustMask")</f>
        <v/>
      </c>
    </row>
    <row r="1423" spans="1:51" customFormat="1" x14ac:dyDescent="0.25">
      <c r="A1423" t="s">
        <v>47</v>
      </c>
      <c r="B1423" t="s">
        <v>933</v>
      </c>
      <c r="C1423" t="s">
        <v>6090</v>
      </c>
      <c r="G1423" t="s">
        <v>5024</v>
      </c>
      <c r="H1423" t="s">
        <v>5025</v>
      </c>
      <c r="I1423" t="s">
        <v>5026</v>
      </c>
      <c r="J1423" t="s">
        <v>37</v>
      </c>
      <c r="K1423" t="s">
        <v>32</v>
      </c>
      <c r="L1423" t="s">
        <v>35</v>
      </c>
      <c r="AQ1423">
        <v>0</v>
      </c>
      <c r="AR1423" s="3">
        <f t="shared" si="66"/>
        <v>0</v>
      </c>
      <c r="AS1423" s="3">
        <f t="shared" si="67"/>
        <v>0</v>
      </c>
      <c r="AT1423" s="3" t="str">
        <f>IF(OR(Registered!AM1423&gt;0,Registered!AO1423&gt;0),(IF(Registered!E1423=0,"Size Not Specified",Registered!E1423)),"")</f>
        <v/>
      </c>
      <c r="AU1423" s="3" t="str">
        <f>IF(Registered!AE1423=0,"",IF(Registered!AE1423=1,Registered!AE1423&amp;" Bandana",Registered!AE1423&amp;" Bandanas"))</f>
        <v/>
      </c>
      <c r="AV1423" s="3">
        <f t="shared" si="68"/>
        <v>0</v>
      </c>
      <c r="AW1423" s="2" t="str">
        <f>IF(Registered!AV1423=0,"",IF(Registered!AV1423=1,Registered!AV1423&amp;" Meal",Registered!AV1423&amp;" Meals"))</f>
        <v/>
      </c>
      <c r="AX1423" s="2" t="str">
        <f>IF(Registered!AI1423=0,"",Registered!AI1423&amp;" BG")</f>
        <v/>
      </c>
      <c r="AY1423" s="2" t="str">
        <f>IF(Registered!AG1423=0,"",Registered!AG1423&amp;" DustMask")</f>
        <v/>
      </c>
    </row>
    <row r="1424" spans="1:51" customFormat="1" x14ac:dyDescent="0.25">
      <c r="A1424" t="s">
        <v>770</v>
      </c>
      <c r="B1424" t="s">
        <v>933</v>
      </c>
      <c r="C1424" t="s">
        <v>6090</v>
      </c>
      <c r="G1424" t="s">
        <v>1779</v>
      </c>
      <c r="H1424" t="s">
        <v>933</v>
      </c>
      <c r="I1424" t="s">
        <v>1781</v>
      </c>
      <c r="J1424" t="s">
        <v>37</v>
      </c>
      <c r="K1424" t="s">
        <v>32</v>
      </c>
      <c r="L1424" t="s">
        <v>35</v>
      </c>
      <c r="AQ1424">
        <v>0</v>
      </c>
      <c r="AR1424" s="3">
        <f t="shared" si="66"/>
        <v>0</v>
      </c>
      <c r="AS1424" s="3">
        <f t="shared" si="67"/>
        <v>0</v>
      </c>
      <c r="AT1424" s="3" t="str">
        <f>IF(OR(Registered!AM1424&gt;0,Registered!AO1424&gt;0),(IF(Registered!E1424=0,"Size Not Specified",Registered!E1424)),"")</f>
        <v/>
      </c>
      <c r="AU1424" s="3" t="str">
        <f>IF(Registered!AE1424=0,"",IF(Registered!AE1424=1,Registered!AE1424&amp;" Bandana",Registered!AE1424&amp;" Bandanas"))</f>
        <v/>
      </c>
      <c r="AV1424" s="3">
        <f t="shared" si="68"/>
        <v>0</v>
      </c>
      <c r="AW1424" s="2" t="str">
        <f>IF(Registered!AV1424=0,"",IF(Registered!AV1424=1,Registered!AV1424&amp;" Meal",Registered!AV1424&amp;" Meals"))</f>
        <v/>
      </c>
      <c r="AX1424" s="2" t="str">
        <f>IF(Registered!AI1424=0,"",Registered!AI1424&amp;" BG")</f>
        <v/>
      </c>
      <c r="AY1424" s="2" t="str">
        <f>IF(Registered!AG1424=0,"",Registered!AG1424&amp;" DustMask")</f>
        <v/>
      </c>
    </row>
    <row r="1425" spans="1:51" customFormat="1" x14ac:dyDescent="0.25">
      <c r="A1425" t="s">
        <v>932</v>
      </c>
      <c r="B1425" t="s">
        <v>933</v>
      </c>
      <c r="C1425" t="s">
        <v>6090</v>
      </c>
      <c r="D1425" t="s">
        <v>932</v>
      </c>
      <c r="E1425" t="s">
        <v>216</v>
      </c>
      <c r="F1425" t="s">
        <v>261</v>
      </c>
      <c r="I1425" t="s">
        <v>934</v>
      </c>
      <c r="J1425" t="s">
        <v>37</v>
      </c>
      <c r="K1425" t="s">
        <v>32</v>
      </c>
      <c r="L1425" t="s">
        <v>35</v>
      </c>
      <c r="S1425">
        <v>4</v>
      </c>
      <c r="T1425">
        <v>3</v>
      </c>
      <c r="W1425">
        <v>1</v>
      </c>
      <c r="X1425">
        <v>40</v>
      </c>
      <c r="AQ1425">
        <v>52</v>
      </c>
      <c r="AR1425" s="3">
        <f t="shared" si="66"/>
        <v>20</v>
      </c>
      <c r="AS1425" s="3">
        <f t="shared" si="67"/>
        <v>0</v>
      </c>
      <c r="AT1425" s="3" t="str">
        <f>IF(OR(Registered!AM1425&gt;0,Registered!AO1425&gt;0),(IF(Registered!E1425=0,"Size Not Specified",Registered!E1425)),"")</f>
        <v/>
      </c>
      <c r="AU1425" s="3" t="str">
        <f>IF(Registered!AE1425=0,"",IF(Registered!AE1425=1,Registered!AE1425&amp;" Bandana",Registered!AE1425&amp;" Bandanas"))</f>
        <v/>
      </c>
      <c r="AV1425" s="3">
        <f t="shared" si="68"/>
        <v>0</v>
      </c>
      <c r="AW1425" s="2" t="str">
        <f>IF(Registered!AV1425=0,"",IF(Registered!AV1425=1,Registered!AV1425&amp;" Meal",Registered!AV1425&amp;" Meals"))</f>
        <v/>
      </c>
      <c r="AX1425" s="2" t="str">
        <f>IF(Registered!AI1425=0,"",Registered!AI1425&amp;" BG")</f>
        <v/>
      </c>
      <c r="AY1425" s="2" t="str">
        <f>IF(Registered!AG1425=0,"",Registered!AG1425&amp;" DustMask")</f>
        <v/>
      </c>
    </row>
    <row r="1426" spans="1:51" customFormat="1" x14ac:dyDescent="0.25">
      <c r="A1426" t="s">
        <v>371</v>
      </c>
      <c r="B1426" t="s">
        <v>470</v>
      </c>
      <c r="C1426" t="s">
        <v>6090</v>
      </c>
      <c r="G1426" t="s">
        <v>78</v>
      </c>
      <c r="H1426" t="s">
        <v>470</v>
      </c>
      <c r="I1426" t="s">
        <v>1782</v>
      </c>
      <c r="J1426" t="s">
        <v>37</v>
      </c>
      <c r="K1426" t="s">
        <v>32</v>
      </c>
      <c r="L1426" t="s">
        <v>35</v>
      </c>
      <c r="AQ1426">
        <v>0</v>
      </c>
      <c r="AR1426" s="3">
        <f t="shared" si="66"/>
        <v>0</v>
      </c>
      <c r="AS1426" s="3">
        <f t="shared" si="67"/>
        <v>0</v>
      </c>
      <c r="AT1426" s="3" t="str">
        <f>IF(OR(Registered!AM1426&gt;0,Registered!AO1426&gt;0),(IF(Registered!E1426=0,"Size Not Specified",Registered!E1426)),"")</f>
        <v/>
      </c>
      <c r="AU1426" s="3" t="str">
        <f>IF(Registered!AE1426=0,"",IF(Registered!AE1426=1,Registered!AE1426&amp;" Bandana",Registered!AE1426&amp;" Bandanas"))</f>
        <v/>
      </c>
      <c r="AV1426" s="3">
        <f t="shared" si="68"/>
        <v>0</v>
      </c>
      <c r="AW1426" s="2" t="str">
        <f>IF(Registered!AV1426=0,"",IF(Registered!AV1426=1,Registered!AV1426&amp;" Meal",Registered!AV1426&amp;" Meals"))</f>
        <v/>
      </c>
      <c r="AX1426" s="2" t="str">
        <f>IF(Registered!AI1426=0,"",Registered!AI1426&amp;" BG")</f>
        <v/>
      </c>
      <c r="AY1426" s="2" t="str">
        <f>IF(Registered!AG1426=0,"",Registered!AG1426&amp;" DustMask")</f>
        <v/>
      </c>
    </row>
    <row r="1427" spans="1:51" customFormat="1" x14ac:dyDescent="0.25">
      <c r="A1427" t="s">
        <v>357</v>
      </c>
      <c r="B1427" t="s">
        <v>470</v>
      </c>
      <c r="C1427" t="s">
        <v>6090</v>
      </c>
      <c r="D1427" t="s">
        <v>5027</v>
      </c>
      <c r="F1427" t="s">
        <v>261</v>
      </c>
      <c r="I1427" t="s">
        <v>4908</v>
      </c>
      <c r="J1427" t="s">
        <v>37</v>
      </c>
      <c r="K1427" t="s">
        <v>32</v>
      </c>
      <c r="L1427" t="s">
        <v>35</v>
      </c>
      <c r="Q1427">
        <v>2</v>
      </c>
      <c r="R1427">
        <v>3</v>
      </c>
      <c r="AC1427">
        <v>1</v>
      </c>
      <c r="AD1427">
        <v>10</v>
      </c>
      <c r="AQ1427">
        <v>16</v>
      </c>
      <c r="AR1427" s="3">
        <f t="shared" si="66"/>
        <v>5</v>
      </c>
      <c r="AS1427" s="3">
        <f t="shared" si="67"/>
        <v>0</v>
      </c>
      <c r="AT1427" s="3" t="str">
        <f>IF(OR(Registered!AM1427&gt;0,Registered!AO1427&gt;0),(IF(Registered!E1427=0,"Size Not Specified",Registered!E1427)),"")</f>
        <v/>
      </c>
      <c r="AU1427" s="3" t="str">
        <f>IF(Registered!AE1427=0,"",IF(Registered!AE1427=1,Registered!AE1427&amp;" Bandana",Registered!AE1427&amp;" Bandanas"))</f>
        <v/>
      </c>
      <c r="AV1427" s="3">
        <f t="shared" si="68"/>
        <v>0</v>
      </c>
      <c r="AW1427" s="2" t="str">
        <f>IF(Registered!AV1427=0,"",IF(Registered!AV1427=1,Registered!AV1427&amp;" Meal",Registered!AV1427&amp;" Meals"))</f>
        <v/>
      </c>
      <c r="AX1427" s="2" t="str">
        <f>IF(Registered!AI1427=0,"",Registered!AI1427&amp;" BG")</f>
        <v/>
      </c>
      <c r="AY1427" s="2" t="str">
        <f>IF(Registered!AG1427=0,"",Registered!AG1427&amp;" DustMask")</f>
        <v/>
      </c>
    </row>
    <row r="1428" spans="1:51" customFormat="1" x14ac:dyDescent="0.25">
      <c r="A1428" t="s">
        <v>78</v>
      </c>
      <c r="B1428" t="s">
        <v>470</v>
      </c>
      <c r="C1428" t="s">
        <v>6090</v>
      </c>
      <c r="D1428" t="s">
        <v>1783</v>
      </c>
      <c r="E1428" t="s">
        <v>1784</v>
      </c>
      <c r="F1428" t="s">
        <v>261</v>
      </c>
      <c r="I1428" t="s">
        <v>1782</v>
      </c>
      <c r="J1428" t="s">
        <v>37</v>
      </c>
      <c r="K1428" t="s">
        <v>32</v>
      </c>
      <c r="L1428" t="s">
        <v>35</v>
      </c>
      <c r="Q1428">
        <v>4</v>
      </c>
      <c r="R1428">
        <v>3</v>
      </c>
      <c r="AM1428">
        <v>2</v>
      </c>
      <c r="AN1428">
        <v>25</v>
      </c>
      <c r="AQ1428">
        <v>62</v>
      </c>
      <c r="AR1428" s="3">
        <f t="shared" si="66"/>
        <v>10</v>
      </c>
      <c r="AS1428" s="3">
        <f t="shared" si="67"/>
        <v>2</v>
      </c>
      <c r="AT1428" s="3" t="str">
        <f>IF(OR(Registered!AM1428&gt;0,Registered!AO1428&gt;0),(IF(Registered!E1428=0,"Size Not Specified",Registered!E1428)),"")</f>
        <v>One XXL and one Medium.</v>
      </c>
      <c r="AU1428" s="3" t="str">
        <f>IF(Registered!AE1428=0,"",IF(Registered!AE1428=1,Registered!AE1428&amp;" Bandana",Registered!AE1428&amp;" Bandanas"))</f>
        <v/>
      </c>
      <c r="AV1428" s="3">
        <f t="shared" si="68"/>
        <v>2</v>
      </c>
      <c r="AW1428" s="2" t="str">
        <f>IF(Registered!AV1428=0,"",IF(Registered!AV1428=1,Registered!AV1428&amp;" Meal",Registered!AV1428&amp;" Meals"))</f>
        <v>2 Meals</v>
      </c>
      <c r="AX1428" s="2" t="str">
        <f>IF(Registered!AI1428=0,"",Registered!AI1428&amp;" BG")</f>
        <v/>
      </c>
      <c r="AY1428" s="2" t="str">
        <f>IF(Registered!AG1428=0,"",Registered!AG1428&amp;" DustMask")</f>
        <v/>
      </c>
    </row>
    <row r="1429" spans="1:51" customFormat="1" x14ac:dyDescent="0.25">
      <c r="A1429" t="s">
        <v>85</v>
      </c>
      <c r="B1429" t="s">
        <v>5028</v>
      </c>
      <c r="C1429" t="s">
        <v>6090</v>
      </c>
      <c r="G1429" t="s">
        <v>212</v>
      </c>
      <c r="H1429" t="s">
        <v>5029</v>
      </c>
      <c r="I1429" t="s">
        <v>5030</v>
      </c>
      <c r="J1429" t="s">
        <v>37</v>
      </c>
      <c r="K1429" t="s">
        <v>32</v>
      </c>
      <c r="L1429" t="s">
        <v>35</v>
      </c>
      <c r="AQ1429">
        <v>0</v>
      </c>
      <c r="AR1429" s="3">
        <f t="shared" si="66"/>
        <v>0</v>
      </c>
      <c r="AS1429" s="3">
        <f t="shared" si="67"/>
        <v>0</v>
      </c>
      <c r="AT1429" s="3" t="str">
        <f>IF(OR(Registered!AM1429&gt;0,Registered!AO1429&gt;0),(IF(Registered!E1429=0,"Size Not Specified",Registered!E1429)),"")</f>
        <v/>
      </c>
      <c r="AU1429" s="3" t="str">
        <f>IF(Registered!AE1429=0,"",IF(Registered!AE1429=1,Registered!AE1429&amp;" Bandana",Registered!AE1429&amp;" Bandanas"))</f>
        <v/>
      </c>
      <c r="AV1429" s="3">
        <f t="shared" si="68"/>
        <v>0</v>
      </c>
      <c r="AW1429" s="2" t="str">
        <f>IF(Registered!AV1429=0,"",IF(Registered!AV1429=1,Registered!AV1429&amp;" Meal",Registered!AV1429&amp;" Meals"))</f>
        <v/>
      </c>
      <c r="AX1429" s="2" t="str">
        <f>IF(Registered!AI1429=0,"",Registered!AI1429&amp;" BG")</f>
        <v/>
      </c>
      <c r="AY1429" s="2" t="str">
        <f>IF(Registered!AG1429=0,"",Registered!AG1429&amp;" DustMask")</f>
        <v/>
      </c>
    </row>
    <row r="1430" spans="1:51" customFormat="1" x14ac:dyDescent="0.25">
      <c r="A1430" t="s">
        <v>330</v>
      </c>
      <c r="B1430" t="s">
        <v>1785</v>
      </c>
      <c r="C1430" t="s">
        <v>6090</v>
      </c>
      <c r="G1430" t="s">
        <v>311</v>
      </c>
      <c r="H1430" t="s">
        <v>1785</v>
      </c>
      <c r="I1430" t="s">
        <v>1786</v>
      </c>
      <c r="J1430" t="s">
        <v>37</v>
      </c>
      <c r="K1430" t="s">
        <v>32</v>
      </c>
      <c r="L1430" t="s">
        <v>35</v>
      </c>
      <c r="AQ1430">
        <v>0</v>
      </c>
      <c r="AR1430" s="3">
        <f t="shared" si="66"/>
        <v>0</v>
      </c>
      <c r="AS1430" s="3">
        <f t="shared" si="67"/>
        <v>0</v>
      </c>
      <c r="AT1430" s="3" t="str">
        <f>IF(OR(Registered!AM1430&gt;0,Registered!AO1430&gt;0),(IF(Registered!E1430=0,"Size Not Specified",Registered!E1430)),"")</f>
        <v/>
      </c>
      <c r="AU1430" s="3" t="str">
        <f>IF(Registered!AE1430=0,"",IF(Registered!AE1430=1,Registered!AE1430&amp;" Bandana",Registered!AE1430&amp;" Bandanas"))</f>
        <v/>
      </c>
      <c r="AV1430" s="3">
        <f t="shared" si="68"/>
        <v>0</v>
      </c>
      <c r="AW1430" s="2" t="str">
        <f>IF(Registered!AV1430=0,"",IF(Registered!AV1430=1,Registered!AV1430&amp;" Meal",Registered!AV1430&amp;" Meals"))</f>
        <v/>
      </c>
      <c r="AX1430" s="2" t="str">
        <f>IF(Registered!AI1430=0,"",Registered!AI1430&amp;" BG")</f>
        <v/>
      </c>
      <c r="AY1430" s="2" t="str">
        <f>IF(Registered!AG1430=0,"",Registered!AG1430&amp;" DustMask")</f>
        <v/>
      </c>
    </row>
    <row r="1431" spans="1:51" customFormat="1" x14ac:dyDescent="0.25">
      <c r="A1431" t="s">
        <v>311</v>
      </c>
      <c r="B1431" t="s">
        <v>1785</v>
      </c>
      <c r="C1431" t="s">
        <v>6090</v>
      </c>
      <c r="D1431" t="s">
        <v>1787</v>
      </c>
      <c r="F1431" t="s">
        <v>261</v>
      </c>
      <c r="I1431" t="s">
        <v>1788</v>
      </c>
      <c r="J1431" t="s">
        <v>37</v>
      </c>
      <c r="K1431" t="s">
        <v>32</v>
      </c>
      <c r="L1431" t="s">
        <v>35</v>
      </c>
      <c r="S1431">
        <v>3</v>
      </c>
      <c r="T1431">
        <v>3</v>
      </c>
      <c r="AC1431">
        <v>1</v>
      </c>
      <c r="AD1431">
        <v>10</v>
      </c>
      <c r="AQ1431">
        <v>19</v>
      </c>
      <c r="AR1431" s="3">
        <f t="shared" si="66"/>
        <v>5</v>
      </c>
      <c r="AS1431" s="3">
        <f t="shared" si="67"/>
        <v>0</v>
      </c>
      <c r="AT1431" s="3" t="str">
        <f>IF(OR(Registered!AM1431&gt;0,Registered!AO1431&gt;0),(IF(Registered!E1431=0,"Size Not Specified",Registered!E1431)),"")</f>
        <v/>
      </c>
      <c r="AU1431" s="3" t="str">
        <f>IF(Registered!AE1431=0,"",IF(Registered!AE1431=1,Registered!AE1431&amp;" Bandana",Registered!AE1431&amp;" Bandanas"))</f>
        <v/>
      </c>
      <c r="AV1431" s="3">
        <f t="shared" si="68"/>
        <v>0</v>
      </c>
      <c r="AW1431" s="2" t="str">
        <f>IF(Registered!AV1431=0,"",IF(Registered!AV1431=1,Registered!AV1431&amp;" Meal",Registered!AV1431&amp;" Meals"))</f>
        <v/>
      </c>
      <c r="AX1431" s="2" t="str">
        <f>IF(Registered!AI1431=0,"",Registered!AI1431&amp;" BG")</f>
        <v/>
      </c>
      <c r="AY1431" s="2" t="str">
        <f>IF(Registered!AG1431=0,"",Registered!AG1431&amp;" DustMask")</f>
        <v/>
      </c>
    </row>
    <row r="1432" spans="1:51" customFormat="1" x14ac:dyDescent="0.25">
      <c r="A1432" t="s">
        <v>1789</v>
      </c>
      <c r="B1432" t="s">
        <v>1785</v>
      </c>
      <c r="C1432" t="s">
        <v>6090</v>
      </c>
      <c r="G1432" t="s">
        <v>311</v>
      </c>
      <c r="H1432" t="s">
        <v>1785</v>
      </c>
      <c r="I1432" t="s">
        <v>1786</v>
      </c>
      <c r="J1432" t="s">
        <v>37</v>
      </c>
      <c r="K1432" t="s">
        <v>32</v>
      </c>
      <c r="L1432" t="s">
        <v>35</v>
      </c>
      <c r="AQ1432">
        <v>0</v>
      </c>
      <c r="AR1432" s="3">
        <f t="shared" si="66"/>
        <v>0</v>
      </c>
      <c r="AS1432" s="3">
        <f t="shared" si="67"/>
        <v>0</v>
      </c>
      <c r="AT1432" s="3" t="str">
        <f>IF(OR(Registered!AM1432&gt;0,Registered!AO1432&gt;0),(IF(Registered!E1432=0,"Size Not Specified",Registered!E1432)),"")</f>
        <v/>
      </c>
      <c r="AU1432" s="3" t="str">
        <f>IF(Registered!AE1432=0,"",IF(Registered!AE1432=1,Registered!AE1432&amp;" Bandana",Registered!AE1432&amp;" Bandanas"))</f>
        <v/>
      </c>
      <c r="AV1432" s="3">
        <f t="shared" si="68"/>
        <v>0</v>
      </c>
      <c r="AW1432" s="2" t="str">
        <f>IF(Registered!AV1432=0,"",IF(Registered!AV1432=1,Registered!AV1432&amp;" Meal",Registered!AV1432&amp;" Meals"))</f>
        <v/>
      </c>
      <c r="AX1432" s="2" t="str">
        <f>IF(Registered!AI1432=0,"",Registered!AI1432&amp;" BG")</f>
        <v/>
      </c>
      <c r="AY1432" s="2" t="str">
        <f>IF(Registered!AG1432=0,"",Registered!AG1432&amp;" DustMask")</f>
        <v/>
      </c>
    </row>
    <row r="1433" spans="1:51" customFormat="1" x14ac:dyDescent="0.25">
      <c r="A1433" t="s">
        <v>3514</v>
      </c>
      <c r="B1433" t="s">
        <v>4594</v>
      </c>
      <c r="C1433" t="s">
        <v>6090</v>
      </c>
      <c r="D1433" t="s">
        <v>5032</v>
      </c>
      <c r="F1433" t="s">
        <v>261</v>
      </c>
      <c r="I1433" t="s">
        <v>4595</v>
      </c>
      <c r="J1433" t="s">
        <v>37</v>
      </c>
      <c r="K1433" t="s">
        <v>32</v>
      </c>
      <c r="L1433" t="s">
        <v>35</v>
      </c>
      <c r="Q1433">
        <v>3</v>
      </c>
      <c r="R1433">
        <v>3</v>
      </c>
      <c r="U1433">
        <v>1</v>
      </c>
      <c r="V1433">
        <v>20</v>
      </c>
      <c r="AQ1433">
        <v>29</v>
      </c>
      <c r="AR1433" s="3">
        <f t="shared" si="66"/>
        <v>10</v>
      </c>
      <c r="AS1433" s="3">
        <f t="shared" si="67"/>
        <v>0</v>
      </c>
      <c r="AT1433" s="3" t="str">
        <f>IF(OR(Registered!AM1433&gt;0,Registered!AO1433&gt;0),(IF(Registered!E1433=0,"Size Not Specified",Registered!E1433)),"")</f>
        <v/>
      </c>
      <c r="AU1433" s="3" t="str">
        <f>IF(Registered!AE1433=0,"",IF(Registered!AE1433=1,Registered!AE1433&amp;" Bandana",Registered!AE1433&amp;" Bandanas"))</f>
        <v/>
      </c>
      <c r="AV1433" s="3">
        <f t="shared" si="68"/>
        <v>0</v>
      </c>
      <c r="AW1433" s="2" t="str">
        <f>IF(Registered!AV1433=0,"",IF(Registered!AV1433=1,Registered!AV1433&amp;" Meal",Registered!AV1433&amp;" Meals"))</f>
        <v/>
      </c>
      <c r="AX1433" s="2" t="str">
        <f>IF(Registered!AI1433=0,"",Registered!AI1433&amp;" BG")</f>
        <v/>
      </c>
      <c r="AY1433" s="2" t="str">
        <f>IF(Registered!AG1433=0,"",Registered!AG1433&amp;" DustMask")</f>
        <v/>
      </c>
    </row>
    <row r="1434" spans="1:51" customFormat="1" x14ac:dyDescent="0.25">
      <c r="A1434" t="s">
        <v>180</v>
      </c>
      <c r="B1434" t="s">
        <v>4676</v>
      </c>
      <c r="C1434" t="s">
        <v>6090</v>
      </c>
      <c r="D1434" t="s">
        <v>180</v>
      </c>
      <c r="F1434" t="s">
        <v>261</v>
      </c>
      <c r="I1434" t="s">
        <v>4677</v>
      </c>
      <c r="J1434" t="s">
        <v>37</v>
      </c>
      <c r="K1434" t="s">
        <v>32</v>
      </c>
      <c r="L1434" t="s">
        <v>35</v>
      </c>
      <c r="Q1434">
        <v>4</v>
      </c>
      <c r="R1434">
        <v>3</v>
      </c>
      <c r="W1434">
        <v>1</v>
      </c>
      <c r="X1434">
        <v>40</v>
      </c>
      <c r="AK1434">
        <v>4</v>
      </c>
      <c r="AL1434">
        <v>6</v>
      </c>
      <c r="AQ1434">
        <v>76</v>
      </c>
      <c r="AR1434" s="3">
        <f t="shared" si="66"/>
        <v>20</v>
      </c>
      <c r="AS1434" s="3">
        <f t="shared" si="67"/>
        <v>0</v>
      </c>
      <c r="AT1434" s="3" t="str">
        <f>IF(OR(Registered!AM1434&gt;0,Registered!AO1434&gt;0),(IF(Registered!E1434=0,"Size Not Specified",Registered!E1434)),"")</f>
        <v/>
      </c>
      <c r="AU1434" s="3" t="str">
        <f>IF(Registered!AE1434=0,"",IF(Registered!AE1434=1,Registered!AE1434&amp;" Bandana",Registered!AE1434&amp;" Bandanas"))</f>
        <v/>
      </c>
      <c r="AV1434" s="3">
        <f t="shared" si="68"/>
        <v>4</v>
      </c>
      <c r="AW1434" s="2" t="str">
        <f>IF(Registered!AV1434=0,"",IF(Registered!AV1434=1,Registered!AV1434&amp;" Meal",Registered!AV1434&amp;" Meals"))</f>
        <v>4 Meals</v>
      </c>
      <c r="AX1434" s="2" t="str">
        <f>IF(Registered!AI1434=0,"",Registered!AI1434&amp;" BG")</f>
        <v/>
      </c>
      <c r="AY1434" s="2" t="str">
        <f>IF(Registered!AG1434=0,"",Registered!AG1434&amp;" DustMask")</f>
        <v/>
      </c>
    </row>
    <row r="1435" spans="1:51" customFormat="1" x14ac:dyDescent="0.25">
      <c r="A1435" t="s">
        <v>317</v>
      </c>
      <c r="B1435" t="s">
        <v>221</v>
      </c>
      <c r="C1435" t="s">
        <v>6090</v>
      </c>
      <c r="G1435" t="s">
        <v>430</v>
      </c>
      <c r="H1435" t="s">
        <v>1790</v>
      </c>
      <c r="I1435" t="s">
        <v>1791</v>
      </c>
      <c r="J1435" t="s">
        <v>37</v>
      </c>
      <c r="K1435" t="s">
        <v>32</v>
      </c>
      <c r="L1435" t="s">
        <v>35</v>
      </c>
      <c r="AQ1435">
        <v>0</v>
      </c>
      <c r="AR1435" s="3">
        <f t="shared" si="66"/>
        <v>0</v>
      </c>
      <c r="AS1435" s="3">
        <f t="shared" si="67"/>
        <v>0</v>
      </c>
      <c r="AT1435" s="3" t="str">
        <f>IF(OR(Registered!AM1435&gt;0,Registered!AO1435&gt;0),(IF(Registered!E1435=0,"Size Not Specified",Registered!E1435)),"")</f>
        <v/>
      </c>
      <c r="AU1435" s="3" t="str">
        <f>IF(Registered!AE1435=0,"",IF(Registered!AE1435=1,Registered!AE1435&amp;" Bandana",Registered!AE1435&amp;" Bandanas"))</f>
        <v/>
      </c>
      <c r="AV1435" s="3">
        <f t="shared" si="68"/>
        <v>0</v>
      </c>
      <c r="AW1435" s="2" t="str">
        <f>IF(Registered!AV1435=0,"",IF(Registered!AV1435=1,Registered!AV1435&amp;" Meal",Registered!AV1435&amp;" Meals"))</f>
        <v/>
      </c>
      <c r="AX1435" s="2" t="str">
        <f>IF(Registered!AI1435=0,"",Registered!AI1435&amp;" BG")</f>
        <v/>
      </c>
      <c r="AY1435" s="2" t="str">
        <f>IF(Registered!AG1435=0,"",Registered!AG1435&amp;" DustMask")</f>
        <v/>
      </c>
    </row>
    <row r="1436" spans="1:51" customFormat="1" x14ac:dyDescent="0.25">
      <c r="A1436" t="s">
        <v>151</v>
      </c>
      <c r="B1436" t="s">
        <v>3161</v>
      </c>
      <c r="C1436" t="s">
        <v>6090</v>
      </c>
      <c r="D1436" t="s">
        <v>57</v>
      </c>
      <c r="E1436" t="s">
        <v>3162</v>
      </c>
      <c r="F1436" t="s">
        <v>261</v>
      </c>
      <c r="I1436" t="s">
        <v>3163</v>
      </c>
      <c r="J1436" t="s">
        <v>37</v>
      </c>
      <c r="K1436" t="s">
        <v>32</v>
      </c>
      <c r="L1436" t="s">
        <v>35</v>
      </c>
      <c r="Q1436">
        <v>2</v>
      </c>
      <c r="R1436">
        <v>3</v>
      </c>
      <c r="U1436">
        <v>1</v>
      </c>
      <c r="V1436">
        <v>20</v>
      </c>
      <c r="AO1436">
        <v>2</v>
      </c>
      <c r="AP1436">
        <v>10</v>
      </c>
      <c r="AQ1436">
        <v>46</v>
      </c>
      <c r="AR1436" s="3">
        <f t="shared" si="66"/>
        <v>10</v>
      </c>
      <c r="AS1436" s="3">
        <f t="shared" si="67"/>
        <v>2</v>
      </c>
      <c r="AT1436" s="3" t="str">
        <f>IF(OR(Registered!AM1436&gt;0,Registered!AO1436&gt;0),(IF(Registered!E1436=0,"Size Not Specified",Registered!E1436)),"")</f>
        <v>1 Medium, 1 Large</v>
      </c>
      <c r="AU1436" s="3" t="str">
        <f>IF(Registered!AE1436=0,"",IF(Registered!AE1436=1,Registered!AE1436&amp;" Bandana",Registered!AE1436&amp;" Bandanas"))</f>
        <v/>
      </c>
      <c r="AV1436" s="3">
        <f t="shared" si="68"/>
        <v>0</v>
      </c>
      <c r="AW1436" s="2" t="str">
        <f>IF(Registered!AV1436=0,"",IF(Registered!AV1436=1,Registered!AV1436&amp;" Meal",Registered!AV1436&amp;" Meals"))</f>
        <v/>
      </c>
      <c r="AX1436" s="2" t="str">
        <f>IF(Registered!AI1436=0,"",Registered!AI1436&amp;" BG")</f>
        <v/>
      </c>
      <c r="AY1436" s="2" t="str">
        <f>IF(Registered!AG1436=0,"",Registered!AG1436&amp;" DustMask")</f>
        <v/>
      </c>
    </row>
    <row r="1437" spans="1:51" customFormat="1" x14ac:dyDescent="0.25">
      <c r="A1437" t="s">
        <v>5033</v>
      </c>
      <c r="B1437" t="s">
        <v>3921</v>
      </c>
      <c r="C1437" t="s">
        <v>6090</v>
      </c>
      <c r="G1437" t="s">
        <v>78</v>
      </c>
      <c r="H1437" t="s">
        <v>3921</v>
      </c>
      <c r="I1437" t="s">
        <v>3922</v>
      </c>
      <c r="J1437" t="s">
        <v>37</v>
      </c>
      <c r="K1437" t="s">
        <v>32</v>
      </c>
      <c r="L1437" t="s">
        <v>35</v>
      </c>
      <c r="AQ1437">
        <v>0</v>
      </c>
      <c r="AR1437" s="3">
        <f t="shared" si="66"/>
        <v>0</v>
      </c>
      <c r="AS1437" s="3">
        <f t="shared" si="67"/>
        <v>0</v>
      </c>
      <c r="AT1437" s="3" t="str">
        <f>IF(OR(Registered!AM1437&gt;0,Registered!AO1437&gt;0),(IF(Registered!E1437=0,"Size Not Specified",Registered!E1437)),"")</f>
        <v/>
      </c>
      <c r="AU1437" s="3" t="str">
        <f>IF(Registered!AE1437=0,"",IF(Registered!AE1437=1,Registered!AE1437&amp;" Bandana",Registered!AE1437&amp;" Bandanas"))</f>
        <v/>
      </c>
      <c r="AV1437" s="3">
        <f t="shared" si="68"/>
        <v>0</v>
      </c>
      <c r="AW1437" s="2" t="str">
        <f>IF(Registered!AV1437=0,"",IF(Registered!AV1437=1,Registered!AV1437&amp;" Meal",Registered!AV1437&amp;" Meals"))</f>
        <v/>
      </c>
      <c r="AX1437" s="2" t="str">
        <f>IF(Registered!AI1437=0,"",Registered!AI1437&amp;" BG")</f>
        <v/>
      </c>
      <c r="AY1437" s="2" t="str">
        <f>IF(Registered!AG1437=0,"",Registered!AG1437&amp;" DustMask")</f>
        <v/>
      </c>
    </row>
    <row r="1438" spans="1:51" customFormat="1" x14ac:dyDescent="0.25">
      <c r="A1438" t="s">
        <v>78</v>
      </c>
      <c r="B1438" t="s">
        <v>3921</v>
      </c>
      <c r="C1438" t="s">
        <v>6090</v>
      </c>
      <c r="D1438" t="s">
        <v>5034</v>
      </c>
      <c r="E1438" t="s">
        <v>5035</v>
      </c>
      <c r="F1438" t="s">
        <v>261</v>
      </c>
      <c r="I1438" t="s">
        <v>3922</v>
      </c>
      <c r="J1438" t="s">
        <v>37</v>
      </c>
      <c r="K1438" t="s">
        <v>32</v>
      </c>
      <c r="L1438" t="s">
        <v>35</v>
      </c>
      <c r="Q1438">
        <v>5</v>
      </c>
      <c r="R1438">
        <v>3</v>
      </c>
      <c r="AG1438">
        <v>2</v>
      </c>
      <c r="AH1438">
        <v>1</v>
      </c>
      <c r="AM1438">
        <v>5</v>
      </c>
      <c r="AN1438">
        <v>25</v>
      </c>
      <c r="AQ1438">
        <v>142</v>
      </c>
      <c r="AR1438" s="3">
        <f t="shared" si="66"/>
        <v>25</v>
      </c>
      <c r="AS1438" s="3">
        <f t="shared" si="67"/>
        <v>5</v>
      </c>
      <c r="AT1438" s="3" t="str">
        <f>IF(OR(Registered!AM1438&gt;0,Registered!AO1438&gt;0),(IF(Registered!E1438=0,"Size Not Specified",Registered!E1438)),"")</f>
        <v>One XL, two Large, two medium</v>
      </c>
      <c r="AU1438" s="3" t="str">
        <f>IF(Registered!AE1438=0,"",IF(Registered!AE1438=1,Registered!AE1438&amp;" Bandana",Registered!AE1438&amp;" Bandanas"))</f>
        <v/>
      </c>
      <c r="AV1438" s="3">
        <f t="shared" si="68"/>
        <v>5</v>
      </c>
      <c r="AW1438" s="2" t="str">
        <f>IF(Registered!AV1438=0,"",IF(Registered!AV1438=1,Registered!AV1438&amp;" Meal",Registered!AV1438&amp;" Meals"))</f>
        <v>5 Meals</v>
      </c>
      <c r="AX1438" s="2" t="str">
        <f>IF(Registered!AI1438=0,"",Registered!AI1438&amp;" BG")</f>
        <v/>
      </c>
      <c r="AY1438" s="2" t="str">
        <f>IF(Registered!AG1438=0,"",Registered!AG1438&amp;" DustMask")</f>
        <v>2 DustMask</v>
      </c>
    </row>
    <row r="1439" spans="1:51" customFormat="1" x14ac:dyDescent="0.25">
      <c r="A1439" t="s">
        <v>133</v>
      </c>
      <c r="B1439" t="s">
        <v>3921</v>
      </c>
      <c r="C1439" t="s">
        <v>6090</v>
      </c>
      <c r="G1439" t="s">
        <v>78</v>
      </c>
      <c r="H1439" t="s">
        <v>3921</v>
      </c>
      <c r="I1439" t="s">
        <v>3922</v>
      </c>
      <c r="J1439" t="s">
        <v>37</v>
      </c>
      <c r="K1439" t="s">
        <v>32</v>
      </c>
      <c r="L1439" t="s">
        <v>35</v>
      </c>
      <c r="AQ1439">
        <v>0</v>
      </c>
      <c r="AR1439" s="3">
        <f t="shared" si="66"/>
        <v>0</v>
      </c>
      <c r="AS1439" s="3">
        <f t="shared" si="67"/>
        <v>0</v>
      </c>
      <c r="AT1439" s="3" t="str">
        <f>IF(OR(Registered!AM1439&gt;0,Registered!AO1439&gt;0),(IF(Registered!E1439=0,"Size Not Specified",Registered!E1439)),"")</f>
        <v/>
      </c>
      <c r="AU1439" s="3" t="str">
        <f>IF(Registered!AE1439=0,"",IF(Registered!AE1439=1,Registered!AE1439&amp;" Bandana",Registered!AE1439&amp;" Bandanas"))</f>
        <v/>
      </c>
      <c r="AV1439" s="3">
        <f t="shared" si="68"/>
        <v>0</v>
      </c>
      <c r="AW1439" s="2" t="str">
        <f>IF(Registered!AV1439=0,"",IF(Registered!AV1439=1,Registered!AV1439&amp;" Meal",Registered!AV1439&amp;" Meals"))</f>
        <v/>
      </c>
      <c r="AX1439" s="2" t="str">
        <f>IF(Registered!AI1439=0,"",Registered!AI1439&amp;" BG")</f>
        <v/>
      </c>
      <c r="AY1439" s="2" t="str">
        <f>IF(Registered!AG1439=0,"",Registered!AG1439&amp;" DustMask")</f>
        <v/>
      </c>
    </row>
    <row r="1440" spans="1:51" customFormat="1" x14ac:dyDescent="0.25">
      <c r="A1440" t="s">
        <v>214</v>
      </c>
      <c r="B1440" t="s">
        <v>3921</v>
      </c>
      <c r="C1440" t="s">
        <v>6090</v>
      </c>
      <c r="G1440" t="s">
        <v>78</v>
      </c>
      <c r="H1440" t="s">
        <v>3921</v>
      </c>
      <c r="I1440" t="s">
        <v>3922</v>
      </c>
      <c r="J1440" t="s">
        <v>37</v>
      </c>
      <c r="K1440" t="s">
        <v>32</v>
      </c>
      <c r="L1440" t="s">
        <v>35</v>
      </c>
      <c r="AQ1440">
        <v>0</v>
      </c>
      <c r="AR1440" s="3">
        <f t="shared" si="66"/>
        <v>0</v>
      </c>
      <c r="AS1440" s="3">
        <f t="shared" si="67"/>
        <v>0</v>
      </c>
      <c r="AT1440" s="3" t="str">
        <f>IF(OR(Registered!AM1440&gt;0,Registered!AO1440&gt;0),(IF(Registered!E1440=0,"Size Not Specified",Registered!E1440)),"")</f>
        <v/>
      </c>
      <c r="AU1440" s="3" t="str">
        <f>IF(Registered!AE1440=0,"",IF(Registered!AE1440=1,Registered!AE1440&amp;" Bandana",Registered!AE1440&amp;" Bandanas"))</f>
        <v/>
      </c>
      <c r="AV1440" s="3">
        <f t="shared" si="68"/>
        <v>0</v>
      </c>
      <c r="AW1440" s="2" t="str">
        <f>IF(Registered!AV1440=0,"",IF(Registered!AV1440=1,Registered!AV1440&amp;" Meal",Registered!AV1440&amp;" Meals"))</f>
        <v/>
      </c>
      <c r="AX1440" s="2" t="str">
        <f>IF(Registered!AI1440=0,"",Registered!AI1440&amp;" BG")</f>
        <v/>
      </c>
      <c r="AY1440" s="2" t="str">
        <f>IF(Registered!AG1440=0,"",Registered!AG1440&amp;" DustMask")</f>
        <v/>
      </c>
    </row>
    <row r="1441" spans="1:51" customFormat="1" x14ac:dyDescent="0.25">
      <c r="A1441" t="s">
        <v>131</v>
      </c>
      <c r="B1441" t="s">
        <v>558</v>
      </c>
      <c r="C1441" t="s">
        <v>6090</v>
      </c>
      <c r="D1441" t="s">
        <v>307</v>
      </c>
      <c r="F1441" t="s">
        <v>261</v>
      </c>
      <c r="I1441" t="s">
        <v>559</v>
      </c>
      <c r="J1441" t="s">
        <v>37</v>
      </c>
      <c r="K1441" t="s">
        <v>32</v>
      </c>
      <c r="L1441" t="s">
        <v>35</v>
      </c>
      <c r="S1441">
        <v>2</v>
      </c>
      <c r="T1441">
        <v>3</v>
      </c>
      <c r="AC1441">
        <v>2</v>
      </c>
      <c r="AD1441">
        <v>10</v>
      </c>
      <c r="AQ1441">
        <v>26</v>
      </c>
      <c r="AR1441" s="3">
        <f t="shared" si="66"/>
        <v>10</v>
      </c>
      <c r="AS1441" s="3">
        <f t="shared" si="67"/>
        <v>0</v>
      </c>
      <c r="AT1441" s="3" t="str">
        <f>IF(OR(Registered!AM1441&gt;0,Registered!AO1441&gt;0),(IF(Registered!E1441=0,"Size Not Specified",Registered!E1441)),"")</f>
        <v/>
      </c>
      <c r="AU1441" s="3" t="str">
        <f>IF(Registered!AE1441=0,"",IF(Registered!AE1441=1,Registered!AE1441&amp;" Bandana",Registered!AE1441&amp;" Bandanas"))</f>
        <v/>
      </c>
      <c r="AV1441" s="3">
        <f t="shared" si="68"/>
        <v>0</v>
      </c>
      <c r="AW1441" s="2" t="str">
        <f>IF(Registered!AV1441=0,"",IF(Registered!AV1441=1,Registered!AV1441&amp;" Meal",Registered!AV1441&amp;" Meals"))</f>
        <v/>
      </c>
      <c r="AX1441" s="2" t="str">
        <f>IF(Registered!AI1441=0,"",Registered!AI1441&amp;" BG")</f>
        <v/>
      </c>
      <c r="AY1441" s="2" t="str">
        <f>IF(Registered!AG1441=0,"",Registered!AG1441&amp;" DustMask")</f>
        <v/>
      </c>
    </row>
    <row r="1442" spans="1:51" customFormat="1" x14ac:dyDescent="0.25">
      <c r="A1442" t="s">
        <v>266</v>
      </c>
      <c r="B1442" t="s">
        <v>5036</v>
      </c>
      <c r="C1442" t="s">
        <v>6090</v>
      </c>
      <c r="D1442" t="s">
        <v>5037</v>
      </c>
      <c r="F1442" t="s">
        <v>261</v>
      </c>
      <c r="I1442" t="s">
        <v>5038</v>
      </c>
      <c r="J1442" t="s">
        <v>37</v>
      </c>
      <c r="K1442" t="s">
        <v>32</v>
      </c>
      <c r="L1442" t="s">
        <v>35</v>
      </c>
      <c r="Q1442">
        <v>1</v>
      </c>
      <c r="R1442">
        <v>3</v>
      </c>
      <c r="AA1442">
        <v>1</v>
      </c>
      <c r="AB1442">
        <v>75</v>
      </c>
      <c r="AQ1442">
        <v>78</v>
      </c>
      <c r="AR1442" s="3">
        <f t="shared" si="66"/>
        <v>40</v>
      </c>
      <c r="AS1442" s="3">
        <f t="shared" si="67"/>
        <v>0</v>
      </c>
      <c r="AT1442" s="3" t="str">
        <f>IF(OR(Registered!AM1442&gt;0,Registered!AO1442&gt;0),(IF(Registered!E1442=0,"Size Not Specified",Registered!E1442)),"")</f>
        <v/>
      </c>
      <c r="AU1442" s="3" t="str">
        <f>IF(Registered!AE1442=0,"",IF(Registered!AE1442=1,Registered!AE1442&amp;" Bandana",Registered!AE1442&amp;" Bandanas"))</f>
        <v/>
      </c>
      <c r="AV1442" s="3">
        <f t="shared" si="68"/>
        <v>0</v>
      </c>
      <c r="AW1442" s="2" t="str">
        <f>IF(Registered!AV1442=0,"",IF(Registered!AV1442=1,Registered!AV1442&amp;" Meal",Registered!AV1442&amp;" Meals"))</f>
        <v/>
      </c>
      <c r="AX1442" s="2" t="str">
        <f>IF(Registered!AI1442=0,"",Registered!AI1442&amp;" BG")</f>
        <v/>
      </c>
      <c r="AY1442" s="2" t="str">
        <f>IF(Registered!AG1442=0,"",Registered!AG1442&amp;" DustMask")</f>
        <v/>
      </c>
    </row>
    <row r="1443" spans="1:51" customFormat="1" x14ac:dyDescent="0.25">
      <c r="A1443" t="s">
        <v>104</v>
      </c>
      <c r="B1443" t="s">
        <v>224</v>
      </c>
      <c r="C1443" t="s">
        <v>6090</v>
      </c>
      <c r="G1443" t="s">
        <v>165</v>
      </c>
      <c r="H1443" t="s">
        <v>404</v>
      </c>
      <c r="I1443" t="s">
        <v>5039</v>
      </c>
      <c r="J1443" t="s">
        <v>37</v>
      </c>
      <c r="K1443" t="s">
        <v>32</v>
      </c>
      <c r="L1443" t="s">
        <v>35</v>
      </c>
      <c r="AQ1443">
        <v>0</v>
      </c>
      <c r="AR1443" s="3">
        <f t="shared" si="66"/>
        <v>0</v>
      </c>
      <c r="AS1443" s="3">
        <f t="shared" si="67"/>
        <v>0</v>
      </c>
      <c r="AT1443" s="3" t="str">
        <f>IF(OR(Registered!AM1443&gt;0,Registered!AO1443&gt;0),(IF(Registered!E1443=0,"Size Not Specified",Registered!E1443)),"")</f>
        <v/>
      </c>
      <c r="AU1443" s="3" t="str">
        <f>IF(Registered!AE1443=0,"",IF(Registered!AE1443=1,Registered!AE1443&amp;" Bandana",Registered!AE1443&amp;" Bandanas"))</f>
        <v/>
      </c>
      <c r="AV1443" s="3">
        <f t="shared" si="68"/>
        <v>0</v>
      </c>
      <c r="AW1443" s="2" t="str">
        <f>IF(Registered!AV1443=0,"",IF(Registered!AV1443=1,Registered!AV1443&amp;" Meal",Registered!AV1443&amp;" Meals"))</f>
        <v/>
      </c>
      <c r="AX1443" s="2" t="str">
        <f>IF(Registered!AI1443=0,"",Registered!AI1443&amp;" BG")</f>
        <v/>
      </c>
      <c r="AY1443" s="2" t="str">
        <f>IF(Registered!AG1443=0,"",Registered!AG1443&amp;" DustMask")</f>
        <v/>
      </c>
    </row>
    <row r="1444" spans="1:51" customFormat="1" x14ac:dyDescent="0.25">
      <c r="A1444" t="s">
        <v>104</v>
      </c>
      <c r="B1444" t="s">
        <v>224</v>
      </c>
      <c r="C1444" t="s">
        <v>6090</v>
      </c>
      <c r="F1444" t="s">
        <v>261</v>
      </c>
      <c r="I1444" t="s">
        <v>5040</v>
      </c>
      <c r="J1444" t="s">
        <v>37</v>
      </c>
      <c r="K1444" t="s">
        <v>32</v>
      </c>
      <c r="L1444" t="s">
        <v>35</v>
      </c>
      <c r="Q1444">
        <v>1</v>
      </c>
      <c r="R1444">
        <v>3</v>
      </c>
      <c r="AQ1444">
        <v>3</v>
      </c>
      <c r="AR1444" s="3">
        <f t="shared" si="66"/>
        <v>0</v>
      </c>
      <c r="AS1444" s="3">
        <f t="shared" si="67"/>
        <v>0</v>
      </c>
      <c r="AT1444" s="3" t="str">
        <f>IF(OR(Registered!AM1444&gt;0,Registered!AO1444&gt;0),(IF(Registered!E1444=0,"Size Not Specified",Registered!E1444)),"")</f>
        <v/>
      </c>
      <c r="AU1444" s="3" t="str">
        <f>IF(Registered!AE1444=0,"",IF(Registered!AE1444=1,Registered!AE1444&amp;" Bandana",Registered!AE1444&amp;" Bandanas"))</f>
        <v/>
      </c>
      <c r="AV1444" s="3">
        <f t="shared" si="68"/>
        <v>0</v>
      </c>
      <c r="AW1444" s="2" t="str">
        <f>IF(Registered!AV1444=0,"",IF(Registered!AV1444=1,Registered!AV1444&amp;" Meal",Registered!AV1444&amp;" Meals"))</f>
        <v/>
      </c>
      <c r="AX1444" s="2" t="str">
        <f>IF(Registered!AI1444=0,"",Registered!AI1444&amp;" BG")</f>
        <v/>
      </c>
      <c r="AY1444" s="2" t="str">
        <f>IF(Registered!AG1444=0,"",Registered!AG1444&amp;" DustMask")</f>
        <v/>
      </c>
    </row>
    <row r="1445" spans="1:51" customFormat="1" x14ac:dyDescent="0.25">
      <c r="A1445" t="s">
        <v>300</v>
      </c>
      <c r="B1445" t="s">
        <v>224</v>
      </c>
      <c r="C1445" t="s">
        <v>6090</v>
      </c>
      <c r="D1445" t="s">
        <v>1792</v>
      </c>
      <c r="E1445" t="s">
        <v>53</v>
      </c>
      <c r="F1445" t="s">
        <v>261</v>
      </c>
      <c r="I1445" t="s">
        <v>1793</v>
      </c>
      <c r="J1445" t="s">
        <v>37</v>
      </c>
      <c r="K1445" t="s">
        <v>32</v>
      </c>
      <c r="L1445" t="s">
        <v>35</v>
      </c>
      <c r="S1445">
        <v>1</v>
      </c>
      <c r="T1445">
        <v>3</v>
      </c>
      <c r="AC1445">
        <v>1</v>
      </c>
      <c r="AD1445">
        <v>10</v>
      </c>
      <c r="AQ1445">
        <v>13</v>
      </c>
      <c r="AR1445" s="3">
        <f t="shared" si="66"/>
        <v>5</v>
      </c>
      <c r="AS1445" s="3">
        <f t="shared" si="67"/>
        <v>0</v>
      </c>
      <c r="AT1445" s="3" t="str">
        <f>IF(OR(Registered!AM1445&gt;0,Registered!AO1445&gt;0),(IF(Registered!E1445=0,"Size Not Specified",Registered!E1445)),"")</f>
        <v/>
      </c>
      <c r="AU1445" s="3" t="str">
        <f>IF(Registered!AE1445=0,"",IF(Registered!AE1445=1,Registered!AE1445&amp;" Bandana",Registered!AE1445&amp;" Bandanas"))</f>
        <v/>
      </c>
      <c r="AV1445" s="3">
        <f t="shared" si="68"/>
        <v>0</v>
      </c>
      <c r="AW1445" s="2" t="str">
        <f>IF(Registered!AV1445=0,"",IF(Registered!AV1445=1,Registered!AV1445&amp;" Meal",Registered!AV1445&amp;" Meals"))</f>
        <v/>
      </c>
      <c r="AX1445" s="2" t="str">
        <f>IF(Registered!AI1445=0,"",Registered!AI1445&amp;" BG")</f>
        <v/>
      </c>
      <c r="AY1445" s="2" t="str">
        <f>IF(Registered!AG1445=0,"",Registered!AG1445&amp;" DustMask")</f>
        <v/>
      </c>
    </row>
    <row r="1446" spans="1:51" customFormat="1" x14ac:dyDescent="0.25">
      <c r="A1446" t="s">
        <v>274</v>
      </c>
      <c r="B1446" t="s">
        <v>224</v>
      </c>
      <c r="C1446" t="s">
        <v>6090</v>
      </c>
      <c r="G1446" t="s">
        <v>165</v>
      </c>
      <c r="H1446" t="s">
        <v>404</v>
      </c>
      <c r="I1446" t="s">
        <v>5039</v>
      </c>
      <c r="J1446" t="s">
        <v>37</v>
      </c>
      <c r="K1446" t="s">
        <v>32</v>
      </c>
      <c r="L1446" t="s">
        <v>35</v>
      </c>
      <c r="AQ1446">
        <v>0</v>
      </c>
      <c r="AR1446" s="3">
        <f t="shared" si="66"/>
        <v>0</v>
      </c>
      <c r="AS1446" s="3">
        <f t="shared" si="67"/>
        <v>0</v>
      </c>
      <c r="AT1446" s="3" t="str">
        <f>IF(OR(Registered!AM1446&gt;0,Registered!AO1446&gt;0),(IF(Registered!E1446=0,"Size Not Specified",Registered!E1446)),"")</f>
        <v/>
      </c>
      <c r="AU1446" s="3" t="str">
        <f>IF(Registered!AE1446=0,"",IF(Registered!AE1446=1,Registered!AE1446&amp;" Bandana",Registered!AE1446&amp;" Bandanas"))</f>
        <v/>
      </c>
      <c r="AV1446" s="3">
        <f t="shared" si="68"/>
        <v>0</v>
      </c>
      <c r="AW1446" s="2" t="str">
        <f>IF(Registered!AV1446=0,"",IF(Registered!AV1446=1,Registered!AV1446&amp;" Meal",Registered!AV1446&amp;" Meals"))</f>
        <v/>
      </c>
      <c r="AX1446" s="2" t="str">
        <f>IF(Registered!AI1446=0,"",Registered!AI1446&amp;" BG")</f>
        <v/>
      </c>
      <c r="AY1446" s="2" t="str">
        <f>IF(Registered!AG1446=0,"",Registered!AG1446&amp;" DustMask")</f>
        <v/>
      </c>
    </row>
    <row r="1447" spans="1:51" customFormat="1" x14ac:dyDescent="0.25">
      <c r="A1447" t="s">
        <v>253</v>
      </c>
      <c r="B1447" t="s">
        <v>224</v>
      </c>
      <c r="C1447" t="s">
        <v>6090</v>
      </c>
      <c r="G1447" t="s">
        <v>2904</v>
      </c>
      <c r="H1447" t="s">
        <v>2905</v>
      </c>
      <c r="I1447" t="s">
        <v>2906</v>
      </c>
      <c r="J1447" t="s">
        <v>37</v>
      </c>
      <c r="K1447" t="s">
        <v>32</v>
      </c>
      <c r="L1447" t="s">
        <v>35</v>
      </c>
      <c r="AQ1447">
        <v>0</v>
      </c>
      <c r="AR1447" s="3">
        <f t="shared" si="66"/>
        <v>0</v>
      </c>
      <c r="AS1447" s="3">
        <f t="shared" si="67"/>
        <v>0</v>
      </c>
      <c r="AT1447" s="3" t="str">
        <f>IF(OR(Registered!AM1447&gt;0,Registered!AO1447&gt;0),(IF(Registered!E1447=0,"Size Not Specified",Registered!E1447)),"")</f>
        <v/>
      </c>
      <c r="AU1447" s="3" t="str">
        <f>IF(Registered!AE1447=0,"",IF(Registered!AE1447=1,Registered!AE1447&amp;" Bandana",Registered!AE1447&amp;" Bandanas"))</f>
        <v/>
      </c>
      <c r="AV1447" s="3">
        <f t="shared" si="68"/>
        <v>0</v>
      </c>
      <c r="AW1447" s="2" t="str">
        <f>IF(Registered!AV1447=0,"",IF(Registered!AV1447=1,Registered!AV1447&amp;" Meal",Registered!AV1447&amp;" Meals"))</f>
        <v/>
      </c>
      <c r="AX1447" s="2" t="str">
        <f>IF(Registered!AI1447=0,"",Registered!AI1447&amp;" BG")</f>
        <v/>
      </c>
      <c r="AY1447" s="2" t="str">
        <f>IF(Registered!AG1447=0,"",Registered!AG1447&amp;" DustMask")</f>
        <v/>
      </c>
    </row>
    <row r="1448" spans="1:51" customFormat="1" x14ac:dyDescent="0.25">
      <c r="A1448" t="s">
        <v>744</v>
      </c>
      <c r="B1448" t="s">
        <v>5041</v>
      </c>
      <c r="C1448" t="s">
        <v>6090</v>
      </c>
      <c r="G1448" t="s">
        <v>5042</v>
      </c>
      <c r="H1448" t="s">
        <v>5041</v>
      </c>
      <c r="I1448" t="s">
        <v>5043</v>
      </c>
      <c r="J1448" t="s">
        <v>37</v>
      </c>
      <c r="K1448" t="s">
        <v>32</v>
      </c>
      <c r="L1448" t="s">
        <v>35</v>
      </c>
      <c r="AQ1448">
        <v>0</v>
      </c>
      <c r="AR1448" s="3">
        <f t="shared" si="66"/>
        <v>0</v>
      </c>
      <c r="AS1448" s="3">
        <f t="shared" si="67"/>
        <v>0</v>
      </c>
      <c r="AT1448" s="3" t="str">
        <f>IF(OR(Registered!AM1448&gt;0,Registered!AO1448&gt;0),(IF(Registered!E1448=0,"Size Not Specified",Registered!E1448)),"")</f>
        <v/>
      </c>
      <c r="AU1448" s="3" t="str">
        <f>IF(Registered!AE1448=0,"",IF(Registered!AE1448=1,Registered!AE1448&amp;" Bandana",Registered!AE1448&amp;" Bandanas"))</f>
        <v/>
      </c>
      <c r="AV1448" s="3">
        <f t="shared" si="68"/>
        <v>0</v>
      </c>
      <c r="AW1448" s="2" t="str">
        <f>IF(Registered!AV1448=0,"",IF(Registered!AV1448=1,Registered!AV1448&amp;" Meal",Registered!AV1448&amp;" Meals"))</f>
        <v/>
      </c>
      <c r="AX1448" s="2" t="str">
        <f>IF(Registered!AI1448=0,"",Registered!AI1448&amp;" BG")</f>
        <v/>
      </c>
      <c r="AY1448" s="2" t="str">
        <f>IF(Registered!AG1448=0,"",Registered!AG1448&amp;" DustMask")</f>
        <v/>
      </c>
    </row>
    <row r="1449" spans="1:51" customFormat="1" x14ac:dyDescent="0.25">
      <c r="A1449" t="s">
        <v>5042</v>
      </c>
      <c r="B1449" t="s">
        <v>5041</v>
      </c>
      <c r="C1449" t="s">
        <v>6090</v>
      </c>
      <c r="D1449" t="s">
        <v>261</v>
      </c>
      <c r="F1449" t="s">
        <v>261</v>
      </c>
      <c r="I1449" t="s">
        <v>5043</v>
      </c>
      <c r="J1449" t="s">
        <v>37</v>
      </c>
      <c r="K1449" t="s">
        <v>32</v>
      </c>
      <c r="L1449" t="s">
        <v>35</v>
      </c>
      <c r="Q1449">
        <v>2</v>
      </c>
      <c r="R1449">
        <v>3</v>
      </c>
      <c r="AC1449">
        <v>2</v>
      </c>
      <c r="AD1449">
        <v>10</v>
      </c>
      <c r="AQ1449">
        <v>26</v>
      </c>
      <c r="AR1449" s="3">
        <f t="shared" si="66"/>
        <v>10</v>
      </c>
      <c r="AS1449" s="3">
        <f t="shared" si="67"/>
        <v>0</v>
      </c>
      <c r="AT1449" s="3" t="str">
        <f>IF(OR(Registered!AM1449&gt;0,Registered!AO1449&gt;0),(IF(Registered!E1449=0,"Size Not Specified",Registered!E1449)),"")</f>
        <v/>
      </c>
      <c r="AU1449" s="3" t="str">
        <f>IF(Registered!AE1449=0,"",IF(Registered!AE1449=1,Registered!AE1449&amp;" Bandana",Registered!AE1449&amp;" Bandanas"))</f>
        <v/>
      </c>
      <c r="AV1449" s="3">
        <f t="shared" si="68"/>
        <v>0</v>
      </c>
      <c r="AW1449" s="2" t="str">
        <f>IF(Registered!AV1449=0,"",IF(Registered!AV1449=1,Registered!AV1449&amp;" Meal",Registered!AV1449&amp;" Meals"))</f>
        <v/>
      </c>
      <c r="AX1449" s="2" t="str">
        <f>IF(Registered!AI1449=0,"",Registered!AI1449&amp;" BG")</f>
        <v/>
      </c>
      <c r="AY1449" s="2" t="str">
        <f>IF(Registered!AG1449=0,"",Registered!AG1449&amp;" DustMask")</f>
        <v/>
      </c>
    </row>
    <row r="1450" spans="1:51" customFormat="1" x14ac:dyDescent="0.25">
      <c r="A1450" t="s">
        <v>163</v>
      </c>
      <c r="B1450" t="s">
        <v>3164</v>
      </c>
      <c r="C1450" t="s">
        <v>6090</v>
      </c>
      <c r="G1450" t="s">
        <v>360</v>
      </c>
      <c r="H1450" t="s">
        <v>3164</v>
      </c>
      <c r="I1450" t="s">
        <v>3165</v>
      </c>
      <c r="J1450" t="s">
        <v>37</v>
      </c>
      <c r="K1450" t="s">
        <v>32</v>
      </c>
      <c r="L1450" t="s">
        <v>35</v>
      </c>
      <c r="AQ1450">
        <v>0</v>
      </c>
      <c r="AR1450" s="3">
        <f t="shared" si="66"/>
        <v>0</v>
      </c>
      <c r="AS1450" s="3">
        <f t="shared" si="67"/>
        <v>0</v>
      </c>
      <c r="AT1450" s="3" t="str">
        <f>IF(OR(Registered!AM1450&gt;0,Registered!AO1450&gt;0),(IF(Registered!E1450=0,"Size Not Specified",Registered!E1450)),"")</f>
        <v/>
      </c>
      <c r="AU1450" s="3" t="str">
        <f>IF(Registered!AE1450=0,"",IF(Registered!AE1450=1,Registered!AE1450&amp;" Bandana",Registered!AE1450&amp;" Bandanas"))</f>
        <v/>
      </c>
      <c r="AV1450" s="3">
        <f t="shared" si="68"/>
        <v>0</v>
      </c>
      <c r="AW1450" s="2" t="str">
        <f>IF(Registered!AV1450=0,"",IF(Registered!AV1450=1,Registered!AV1450&amp;" Meal",Registered!AV1450&amp;" Meals"))</f>
        <v/>
      </c>
      <c r="AX1450" s="2" t="str">
        <f>IF(Registered!AI1450=0,"",Registered!AI1450&amp;" BG")</f>
        <v/>
      </c>
      <c r="AY1450" s="2" t="str">
        <f>IF(Registered!AG1450=0,"",Registered!AG1450&amp;" DustMask")</f>
        <v/>
      </c>
    </row>
    <row r="1451" spans="1:51" customFormat="1" x14ac:dyDescent="0.25">
      <c r="A1451" t="s">
        <v>360</v>
      </c>
      <c r="B1451" t="s">
        <v>3164</v>
      </c>
      <c r="C1451" t="s">
        <v>6090</v>
      </c>
      <c r="D1451" t="s">
        <v>3166</v>
      </c>
      <c r="F1451" t="s">
        <v>261</v>
      </c>
      <c r="I1451" t="s">
        <v>3165</v>
      </c>
      <c r="J1451" t="s">
        <v>37</v>
      </c>
      <c r="K1451" t="s">
        <v>32</v>
      </c>
      <c r="L1451" t="s">
        <v>35</v>
      </c>
      <c r="Q1451">
        <v>2</v>
      </c>
      <c r="R1451">
        <v>3</v>
      </c>
      <c r="AC1451">
        <v>2</v>
      </c>
      <c r="AD1451">
        <v>10</v>
      </c>
      <c r="AQ1451">
        <v>26</v>
      </c>
      <c r="AR1451" s="3">
        <f t="shared" si="66"/>
        <v>10</v>
      </c>
      <c r="AS1451" s="3">
        <f t="shared" si="67"/>
        <v>0</v>
      </c>
      <c r="AT1451" s="3" t="str">
        <f>IF(OR(Registered!AM1451&gt;0,Registered!AO1451&gt;0),(IF(Registered!E1451=0,"Size Not Specified",Registered!E1451)),"")</f>
        <v/>
      </c>
      <c r="AU1451" s="3" t="str">
        <f>IF(Registered!AE1451=0,"",IF(Registered!AE1451=1,Registered!AE1451&amp;" Bandana",Registered!AE1451&amp;" Bandanas"))</f>
        <v/>
      </c>
      <c r="AV1451" s="3">
        <f t="shared" si="68"/>
        <v>0</v>
      </c>
      <c r="AW1451" s="2" t="str">
        <f>IF(Registered!AV1451=0,"",IF(Registered!AV1451=1,Registered!AV1451&amp;" Meal",Registered!AV1451&amp;" Meals"))</f>
        <v/>
      </c>
      <c r="AX1451" s="2" t="str">
        <f>IF(Registered!AI1451=0,"",Registered!AI1451&amp;" BG")</f>
        <v/>
      </c>
      <c r="AY1451" s="2" t="str">
        <f>IF(Registered!AG1451=0,"",Registered!AG1451&amp;" DustMask")</f>
        <v/>
      </c>
    </row>
    <row r="1452" spans="1:51" customFormat="1" x14ac:dyDescent="0.25">
      <c r="A1452" t="s">
        <v>94</v>
      </c>
      <c r="B1452" t="s">
        <v>5044</v>
      </c>
      <c r="C1452" t="s">
        <v>6090</v>
      </c>
      <c r="G1452" t="s">
        <v>4527</v>
      </c>
      <c r="H1452" t="s">
        <v>2984</v>
      </c>
      <c r="I1452" t="s">
        <v>4529</v>
      </c>
      <c r="J1452" t="s">
        <v>37</v>
      </c>
      <c r="K1452" t="s">
        <v>32</v>
      </c>
      <c r="L1452" t="s">
        <v>35</v>
      </c>
      <c r="AQ1452">
        <v>0</v>
      </c>
      <c r="AR1452" s="3">
        <f t="shared" si="66"/>
        <v>0</v>
      </c>
      <c r="AS1452" s="3">
        <f t="shared" si="67"/>
        <v>0</v>
      </c>
      <c r="AT1452" s="3" t="str">
        <f>IF(OR(Registered!AM1452&gt;0,Registered!AO1452&gt;0),(IF(Registered!E1452=0,"Size Not Specified",Registered!E1452)),"")</f>
        <v/>
      </c>
      <c r="AU1452" s="3" t="str">
        <f>IF(Registered!AE1452=0,"",IF(Registered!AE1452=1,Registered!AE1452&amp;" Bandana",Registered!AE1452&amp;" Bandanas"))</f>
        <v/>
      </c>
      <c r="AV1452" s="3">
        <f t="shared" si="68"/>
        <v>0</v>
      </c>
      <c r="AW1452" s="2" t="str">
        <f>IF(Registered!AV1452=0,"",IF(Registered!AV1452=1,Registered!AV1452&amp;" Meal",Registered!AV1452&amp;" Meals"))</f>
        <v/>
      </c>
      <c r="AX1452" s="2" t="str">
        <f>IF(Registered!AI1452=0,"",Registered!AI1452&amp;" BG")</f>
        <v/>
      </c>
      <c r="AY1452" s="2" t="str">
        <f>IF(Registered!AG1452=0,"",Registered!AG1452&amp;" DustMask")</f>
        <v/>
      </c>
    </row>
    <row r="1453" spans="1:51" customFormat="1" x14ac:dyDescent="0.25">
      <c r="A1453" t="s">
        <v>141</v>
      </c>
      <c r="B1453" t="s">
        <v>1794</v>
      </c>
      <c r="C1453" t="s">
        <v>6090</v>
      </c>
      <c r="G1453" t="s">
        <v>214</v>
      </c>
      <c r="H1453" t="s">
        <v>267</v>
      </c>
      <c r="I1453" t="s">
        <v>1795</v>
      </c>
      <c r="J1453" t="s">
        <v>37</v>
      </c>
      <c r="K1453" t="s">
        <v>32</v>
      </c>
      <c r="L1453" t="s">
        <v>35</v>
      </c>
      <c r="AQ1453">
        <v>0</v>
      </c>
      <c r="AR1453" s="3">
        <f t="shared" si="66"/>
        <v>0</v>
      </c>
      <c r="AS1453" s="3">
        <f t="shared" si="67"/>
        <v>0</v>
      </c>
      <c r="AT1453" s="3" t="str">
        <f>IF(OR(Registered!AM1453&gt;0,Registered!AO1453&gt;0),(IF(Registered!E1453=0,"Size Not Specified",Registered!E1453)),"")</f>
        <v/>
      </c>
      <c r="AU1453" s="3" t="str">
        <f>IF(Registered!AE1453=0,"",IF(Registered!AE1453=1,Registered!AE1453&amp;" Bandana",Registered!AE1453&amp;" Bandanas"))</f>
        <v/>
      </c>
      <c r="AV1453" s="3">
        <f t="shared" si="68"/>
        <v>0</v>
      </c>
      <c r="AW1453" s="2" t="str">
        <f>IF(Registered!AV1453=0,"",IF(Registered!AV1453=1,Registered!AV1453&amp;" Meal",Registered!AV1453&amp;" Meals"))</f>
        <v/>
      </c>
      <c r="AX1453" s="2" t="str">
        <f>IF(Registered!AI1453=0,"",Registered!AI1453&amp;" BG")</f>
        <v/>
      </c>
      <c r="AY1453" s="2" t="str">
        <f>IF(Registered!AG1453=0,"",Registered!AG1453&amp;" DustMask")</f>
        <v/>
      </c>
    </row>
    <row r="1454" spans="1:51" customFormat="1" x14ac:dyDescent="0.25">
      <c r="A1454" t="s">
        <v>390</v>
      </c>
      <c r="B1454" t="s">
        <v>5045</v>
      </c>
      <c r="C1454" t="s">
        <v>6090</v>
      </c>
      <c r="G1454" t="s">
        <v>222</v>
      </c>
      <c r="H1454" t="s">
        <v>5046</v>
      </c>
      <c r="I1454" t="s">
        <v>5047</v>
      </c>
      <c r="J1454" t="s">
        <v>37</v>
      </c>
      <c r="K1454" t="s">
        <v>32</v>
      </c>
      <c r="L1454" t="s">
        <v>35</v>
      </c>
      <c r="AQ1454">
        <v>0</v>
      </c>
      <c r="AR1454" s="3">
        <f t="shared" si="66"/>
        <v>0</v>
      </c>
      <c r="AS1454" s="3">
        <f t="shared" si="67"/>
        <v>0</v>
      </c>
      <c r="AT1454" s="3" t="str">
        <f>IF(OR(Registered!AM1454&gt;0,Registered!AO1454&gt;0),(IF(Registered!E1454=0,"Size Not Specified",Registered!E1454)),"")</f>
        <v/>
      </c>
      <c r="AU1454" s="3" t="str">
        <f>IF(Registered!AE1454=0,"",IF(Registered!AE1454=1,Registered!AE1454&amp;" Bandana",Registered!AE1454&amp;" Bandanas"))</f>
        <v/>
      </c>
      <c r="AV1454" s="3">
        <f t="shared" si="68"/>
        <v>0</v>
      </c>
      <c r="AW1454" s="2" t="str">
        <f>IF(Registered!AV1454=0,"",IF(Registered!AV1454=1,Registered!AV1454&amp;" Meal",Registered!AV1454&amp;" Meals"))</f>
        <v/>
      </c>
      <c r="AX1454" s="2" t="str">
        <f>IF(Registered!AI1454=0,"",Registered!AI1454&amp;" BG")</f>
        <v/>
      </c>
      <c r="AY1454" s="2" t="str">
        <f>IF(Registered!AG1454=0,"",Registered!AG1454&amp;" DustMask")</f>
        <v/>
      </c>
    </row>
    <row r="1455" spans="1:51" customFormat="1" x14ac:dyDescent="0.25">
      <c r="A1455" t="s">
        <v>430</v>
      </c>
      <c r="B1455" t="s">
        <v>1790</v>
      </c>
      <c r="C1455" t="s">
        <v>6090</v>
      </c>
      <c r="D1455" t="s">
        <v>430</v>
      </c>
      <c r="F1455" t="s">
        <v>261</v>
      </c>
      <c r="I1455" t="s">
        <v>1796</v>
      </c>
      <c r="J1455" t="s">
        <v>37</v>
      </c>
      <c r="K1455" t="s">
        <v>32</v>
      </c>
      <c r="L1455" t="s">
        <v>35</v>
      </c>
      <c r="S1455">
        <v>2</v>
      </c>
      <c r="T1455">
        <v>3</v>
      </c>
      <c r="AC1455">
        <v>1</v>
      </c>
      <c r="AD1455">
        <v>10</v>
      </c>
      <c r="AQ1455">
        <v>16</v>
      </c>
      <c r="AR1455" s="3">
        <f t="shared" si="66"/>
        <v>5</v>
      </c>
      <c r="AS1455" s="3">
        <f t="shared" si="67"/>
        <v>0</v>
      </c>
      <c r="AT1455" s="3" t="str">
        <f>IF(OR(Registered!AM1455&gt;0,Registered!AO1455&gt;0),(IF(Registered!E1455=0,"Size Not Specified",Registered!E1455)),"")</f>
        <v/>
      </c>
      <c r="AU1455" s="3" t="str">
        <f>IF(Registered!AE1455=0,"",IF(Registered!AE1455=1,Registered!AE1455&amp;" Bandana",Registered!AE1455&amp;" Bandanas"))</f>
        <v/>
      </c>
      <c r="AV1455" s="3">
        <f t="shared" si="68"/>
        <v>0</v>
      </c>
      <c r="AW1455" s="2" t="str">
        <f>IF(Registered!AV1455=0,"",IF(Registered!AV1455=1,Registered!AV1455&amp;" Meal",Registered!AV1455&amp;" Meals"))</f>
        <v/>
      </c>
      <c r="AX1455" s="2" t="str">
        <f>IF(Registered!AI1455=0,"",Registered!AI1455&amp;" BG")</f>
        <v/>
      </c>
      <c r="AY1455" s="2" t="str">
        <f>IF(Registered!AG1455=0,"",Registered!AG1455&amp;" DustMask")</f>
        <v/>
      </c>
    </row>
    <row r="1456" spans="1:51" customFormat="1" x14ac:dyDescent="0.25">
      <c r="A1456" t="s">
        <v>294</v>
      </c>
      <c r="B1456" t="s">
        <v>5048</v>
      </c>
      <c r="C1456" t="s">
        <v>6090</v>
      </c>
      <c r="D1456" t="s">
        <v>5049</v>
      </c>
      <c r="F1456" t="s">
        <v>261</v>
      </c>
      <c r="I1456" t="s">
        <v>5050</v>
      </c>
      <c r="J1456" t="s">
        <v>37</v>
      </c>
      <c r="K1456" t="s">
        <v>32</v>
      </c>
      <c r="L1456" t="s">
        <v>35</v>
      </c>
      <c r="Q1456">
        <v>1</v>
      </c>
      <c r="R1456">
        <v>3</v>
      </c>
      <c r="AC1456">
        <v>1</v>
      </c>
      <c r="AD1456">
        <v>10</v>
      </c>
      <c r="AQ1456">
        <v>13</v>
      </c>
      <c r="AR1456" s="3">
        <f t="shared" si="66"/>
        <v>5</v>
      </c>
      <c r="AS1456" s="3">
        <f t="shared" si="67"/>
        <v>0</v>
      </c>
      <c r="AT1456" s="3" t="str">
        <f>IF(OR(Registered!AM1456&gt;0,Registered!AO1456&gt;0),(IF(Registered!E1456=0,"Size Not Specified",Registered!E1456)),"")</f>
        <v/>
      </c>
      <c r="AU1456" s="3" t="str">
        <f>IF(Registered!AE1456=0,"",IF(Registered!AE1456=1,Registered!AE1456&amp;" Bandana",Registered!AE1456&amp;" Bandanas"))</f>
        <v/>
      </c>
      <c r="AV1456" s="3">
        <f t="shared" si="68"/>
        <v>0</v>
      </c>
      <c r="AW1456" s="2" t="str">
        <f>IF(Registered!AV1456=0,"",IF(Registered!AV1456=1,Registered!AV1456&amp;" Meal",Registered!AV1456&amp;" Meals"))</f>
        <v/>
      </c>
      <c r="AX1456" s="2" t="str">
        <f>IF(Registered!AI1456=0,"",Registered!AI1456&amp;" BG")</f>
        <v/>
      </c>
      <c r="AY1456" s="2" t="str">
        <f>IF(Registered!AG1456=0,"",Registered!AG1456&amp;" DustMask")</f>
        <v/>
      </c>
    </row>
    <row r="1457" spans="1:51" customFormat="1" x14ac:dyDescent="0.25">
      <c r="A1457" t="s">
        <v>3418</v>
      </c>
      <c r="B1457" t="s">
        <v>5051</v>
      </c>
      <c r="C1457" t="s">
        <v>6090</v>
      </c>
      <c r="G1457" t="s">
        <v>4447</v>
      </c>
      <c r="H1457" t="s">
        <v>4448</v>
      </c>
      <c r="I1457" t="s">
        <v>4449</v>
      </c>
      <c r="J1457" t="s">
        <v>37</v>
      </c>
      <c r="K1457" t="s">
        <v>32</v>
      </c>
      <c r="L1457" t="s">
        <v>35</v>
      </c>
      <c r="AQ1457">
        <v>0</v>
      </c>
      <c r="AR1457" s="3">
        <f t="shared" si="66"/>
        <v>0</v>
      </c>
      <c r="AS1457" s="3">
        <f t="shared" si="67"/>
        <v>0</v>
      </c>
      <c r="AT1457" s="3" t="str">
        <f>IF(OR(Registered!AM1457&gt;0,Registered!AO1457&gt;0),(IF(Registered!E1457=0,"Size Not Specified",Registered!E1457)),"")</f>
        <v/>
      </c>
      <c r="AU1457" s="3" t="str">
        <f>IF(Registered!AE1457=0,"",IF(Registered!AE1457=1,Registered!AE1457&amp;" Bandana",Registered!AE1457&amp;" Bandanas"))</f>
        <v/>
      </c>
      <c r="AV1457" s="3">
        <f t="shared" si="68"/>
        <v>0</v>
      </c>
      <c r="AW1457" s="2" t="str">
        <f>IF(Registered!AV1457=0,"",IF(Registered!AV1457=1,Registered!AV1457&amp;" Meal",Registered!AV1457&amp;" Meals"))</f>
        <v/>
      </c>
      <c r="AX1457" s="2" t="str">
        <f>IF(Registered!AI1457=0,"",Registered!AI1457&amp;" BG")</f>
        <v/>
      </c>
      <c r="AY1457" s="2" t="str">
        <f>IF(Registered!AG1457=0,"",Registered!AG1457&amp;" DustMask")</f>
        <v/>
      </c>
    </row>
    <row r="1458" spans="1:51" customFormat="1" x14ac:dyDescent="0.25">
      <c r="A1458" t="s">
        <v>4117</v>
      </c>
      <c r="B1458" t="s">
        <v>5052</v>
      </c>
      <c r="C1458" t="s">
        <v>6090</v>
      </c>
      <c r="G1458" t="s">
        <v>377</v>
      </c>
      <c r="H1458" t="s">
        <v>3690</v>
      </c>
      <c r="I1458" t="s">
        <v>3691</v>
      </c>
      <c r="J1458" t="s">
        <v>37</v>
      </c>
      <c r="K1458" t="s">
        <v>32</v>
      </c>
      <c r="L1458" t="s">
        <v>35</v>
      </c>
      <c r="AQ1458">
        <v>0</v>
      </c>
      <c r="AR1458" s="3">
        <f t="shared" si="66"/>
        <v>0</v>
      </c>
      <c r="AS1458" s="3">
        <f t="shared" si="67"/>
        <v>0</v>
      </c>
      <c r="AT1458" s="3" t="str">
        <f>IF(OR(Registered!AM1458&gt;0,Registered!AO1458&gt;0),(IF(Registered!E1458=0,"Size Not Specified",Registered!E1458)),"")</f>
        <v/>
      </c>
      <c r="AU1458" s="3" t="str">
        <f>IF(Registered!AE1458=0,"",IF(Registered!AE1458=1,Registered!AE1458&amp;" Bandana",Registered!AE1458&amp;" Bandanas"))</f>
        <v/>
      </c>
      <c r="AV1458" s="3">
        <f t="shared" si="68"/>
        <v>0</v>
      </c>
      <c r="AW1458" s="2" t="str">
        <f>IF(Registered!AV1458=0,"",IF(Registered!AV1458=1,Registered!AV1458&amp;" Meal",Registered!AV1458&amp;" Meals"))</f>
        <v/>
      </c>
      <c r="AX1458" s="2" t="str">
        <f>IF(Registered!AI1458=0,"",Registered!AI1458&amp;" BG")</f>
        <v/>
      </c>
      <c r="AY1458" s="2" t="str">
        <f>IF(Registered!AG1458=0,"",Registered!AG1458&amp;" DustMask")</f>
        <v/>
      </c>
    </row>
    <row r="1459" spans="1:51" customFormat="1" x14ac:dyDescent="0.25">
      <c r="A1459" t="s">
        <v>165</v>
      </c>
      <c r="B1459" t="s">
        <v>4072</v>
      </c>
      <c r="C1459" t="s">
        <v>6090</v>
      </c>
      <c r="G1459" t="s">
        <v>165</v>
      </c>
      <c r="H1459" t="s">
        <v>4072</v>
      </c>
      <c r="I1459" t="s">
        <v>4601</v>
      </c>
      <c r="J1459" t="s">
        <v>37</v>
      </c>
      <c r="K1459" t="s">
        <v>32</v>
      </c>
      <c r="L1459" t="s">
        <v>35</v>
      </c>
      <c r="AQ1459">
        <v>0</v>
      </c>
      <c r="AR1459" s="3">
        <f t="shared" si="66"/>
        <v>0</v>
      </c>
      <c r="AS1459" s="3">
        <f t="shared" si="67"/>
        <v>0</v>
      </c>
      <c r="AT1459" s="3" t="str">
        <f>IF(OR(Registered!AM1459&gt;0,Registered!AO1459&gt;0),(IF(Registered!E1459=0,"Size Not Specified",Registered!E1459)),"")</f>
        <v/>
      </c>
      <c r="AU1459" s="3" t="str">
        <f>IF(Registered!AE1459=0,"",IF(Registered!AE1459=1,Registered!AE1459&amp;" Bandana",Registered!AE1459&amp;" Bandanas"))</f>
        <v/>
      </c>
      <c r="AV1459" s="3">
        <f t="shared" si="68"/>
        <v>0</v>
      </c>
      <c r="AW1459" s="2" t="str">
        <f>IF(Registered!AV1459=0,"",IF(Registered!AV1459=1,Registered!AV1459&amp;" Meal",Registered!AV1459&amp;" Meals"))</f>
        <v/>
      </c>
      <c r="AX1459" s="2" t="str">
        <f>IF(Registered!AI1459=0,"",Registered!AI1459&amp;" BG")</f>
        <v/>
      </c>
      <c r="AY1459" s="2" t="str">
        <f>IF(Registered!AG1459=0,"",Registered!AG1459&amp;" DustMask")</f>
        <v/>
      </c>
    </row>
    <row r="1460" spans="1:51" customFormat="1" x14ac:dyDescent="0.25">
      <c r="A1460" t="s">
        <v>165</v>
      </c>
      <c r="B1460" t="s">
        <v>4072</v>
      </c>
      <c r="C1460" t="s">
        <v>6090</v>
      </c>
      <c r="D1460" t="s">
        <v>165</v>
      </c>
      <c r="F1460" t="s">
        <v>261</v>
      </c>
      <c r="I1460" t="s">
        <v>4601</v>
      </c>
      <c r="J1460" t="s">
        <v>37</v>
      </c>
      <c r="K1460" t="s">
        <v>32</v>
      </c>
      <c r="L1460" t="s">
        <v>35</v>
      </c>
      <c r="Q1460">
        <v>5</v>
      </c>
      <c r="R1460">
        <v>3</v>
      </c>
      <c r="U1460">
        <v>1</v>
      </c>
      <c r="V1460">
        <v>20</v>
      </c>
      <c r="AQ1460">
        <v>35</v>
      </c>
      <c r="AR1460" s="3">
        <f t="shared" si="66"/>
        <v>10</v>
      </c>
      <c r="AS1460" s="3">
        <f t="shared" si="67"/>
        <v>0</v>
      </c>
      <c r="AT1460" s="3" t="str">
        <f>IF(OR(Registered!AM1460&gt;0,Registered!AO1460&gt;0),(IF(Registered!E1460=0,"Size Not Specified",Registered!E1460)),"")</f>
        <v/>
      </c>
      <c r="AU1460" s="3" t="str">
        <f>IF(Registered!AE1460=0,"",IF(Registered!AE1460=1,Registered!AE1460&amp;" Bandana",Registered!AE1460&amp;" Bandanas"))</f>
        <v/>
      </c>
      <c r="AV1460" s="3">
        <f t="shared" si="68"/>
        <v>0</v>
      </c>
      <c r="AW1460" s="2" t="str">
        <f>IF(Registered!AV1460=0,"",IF(Registered!AV1460=1,Registered!AV1460&amp;" Meal",Registered!AV1460&amp;" Meals"))</f>
        <v/>
      </c>
      <c r="AX1460" s="2" t="str">
        <f>IF(Registered!AI1460=0,"",Registered!AI1460&amp;" BG")</f>
        <v/>
      </c>
      <c r="AY1460" s="2" t="str">
        <f>IF(Registered!AG1460=0,"",Registered!AG1460&amp;" DustMask")</f>
        <v/>
      </c>
    </row>
    <row r="1461" spans="1:51" customFormat="1" x14ac:dyDescent="0.25">
      <c r="A1461" t="s">
        <v>152</v>
      </c>
      <c r="B1461" t="s">
        <v>4072</v>
      </c>
      <c r="C1461" t="s">
        <v>6090</v>
      </c>
      <c r="D1461" t="s">
        <v>5053</v>
      </c>
      <c r="E1461" t="s">
        <v>5054</v>
      </c>
      <c r="F1461" t="s">
        <v>261</v>
      </c>
      <c r="I1461" t="s">
        <v>4073</v>
      </c>
      <c r="J1461" t="s">
        <v>37</v>
      </c>
      <c r="K1461" t="s">
        <v>32</v>
      </c>
      <c r="L1461" t="s">
        <v>35</v>
      </c>
      <c r="Q1461">
        <v>2</v>
      </c>
      <c r="R1461">
        <v>3</v>
      </c>
      <c r="U1461">
        <v>1</v>
      </c>
      <c r="V1461">
        <v>20</v>
      </c>
      <c r="AO1461">
        <v>2</v>
      </c>
      <c r="AP1461">
        <v>10</v>
      </c>
      <c r="AQ1461">
        <v>46</v>
      </c>
      <c r="AR1461" s="3">
        <f t="shared" si="66"/>
        <v>10</v>
      </c>
      <c r="AS1461" s="3">
        <f t="shared" si="67"/>
        <v>2</v>
      </c>
      <c r="AT1461" s="3" t="str">
        <f>IF(OR(Registered!AM1461&gt;0,Registered!AO1461&gt;0),(IF(Registered!E1461=0,"Size Not Specified",Registered!E1461)),"")</f>
        <v>woman's size medium and man's size XL</v>
      </c>
      <c r="AU1461" s="3" t="str">
        <f>IF(Registered!AE1461=0,"",IF(Registered!AE1461=1,Registered!AE1461&amp;" Bandana",Registered!AE1461&amp;" Bandanas"))</f>
        <v/>
      </c>
      <c r="AV1461" s="3">
        <f t="shared" si="68"/>
        <v>0</v>
      </c>
      <c r="AW1461" s="2" t="str">
        <f>IF(Registered!AV1461=0,"",IF(Registered!AV1461=1,Registered!AV1461&amp;" Meal",Registered!AV1461&amp;" Meals"))</f>
        <v/>
      </c>
      <c r="AX1461" s="2" t="str">
        <f>IF(Registered!AI1461=0,"",Registered!AI1461&amp;" BG")</f>
        <v/>
      </c>
      <c r="AY1461" s="2" t="str">
        <f>IF(Registered!AG1461=0,"",Registered!AG1461&amp;" DustMask")</f>
        <v/>
      </c>
    </row>
    <row r="1462" spans="1:51" customFormat="1" x14ac:dyDescent="0.25">
      <c r="A1462" t="s">
        <v>2413</v>
      </c>
      <c r="B1462" t="s">
        <v>4518</v>
      </c>
      <c r="C1462" t="s">
        <v>6090</v>
      </c>
      <c r="D1462" t="s">
        <v>5055</v>
      </c>
      <c r="E1462" t="s">
        <v>117</v>
      </c>
      <c r="F1462" t="s">
        <v>261</v>
      </c>
      <c r="I1462" t="s">
        <v>4519</v>
      </c>
      <c r="J1462" t="s">
        <v>37</v>
      </c>
      <c r="K1462" t="s">
        <v>32</v>
      </c>
      <c r="L1462" t="s">
        <v>35</v>
      </c>
      <c r="Q1462">
        <v>2</v>
      </c>
      <c r="R1462">
        <v>3</v>
      </c>
      <c r="U1462">
        <v>1</v>
      </c>
      <c r="V1462">
        <v>20</v>
      </c>
      <c r="AQ1462">
        <v>26</v>
      </c>
      <c r="AR1462" s="3">
        <f t="shared" si="66"/>
        <v>10</v>
      </c>
      <c r="AS1462" s="3">
        <f t="shared" si="67"/>
        <v>0</v>
      </c>
      <c r="AT1462" s="3" t="str">
        <f>IF(OR(Registered!AM1462&gt;0,Registered!AO1462&gt;0),(IF(Registered!E1462=0,"Size Not Specified",Registered!E1462)),"")</f>
        <v/>
      </c>
      <c r="AU1462" s="3" t="str">
        <f>IF(Registered!AE1462=0,"",IF(Registered!AE1462=1,Registered!AE1462&amp;" Bandana",Registered!AE1462&amp;" Bandanas"))</f>
        <v/>
      </c>
      <c r="AV1462" s="3">
        <f t="shared" si="68"/>
        <v>0</v>
      </c>
      <c r="AW1462" s="2" t="str">
        <f>IF(Registered!AV1462=0,"",IF(Registered!AV1462=1,Registered!AV1462&amp;" Meal",Registered!AV1462&amp;" Meals"))</f>
        <v/>
      </c>
      <c r="AX1462" s="2" t="str">
        <f>IF(Registered!AI1462=0,"",Registered!AI1462&amp;" BG")</f>
        <v/>
      </c>
      <c r="AY1462" s="2" t="str">
        <f>IF(Registered!AG1462=0,"",Registered!AG1462&amp;" DustMask")</f>
        <v/>
      </c>
    </row>
    <row r="1463" spans="1:51" customFormat="1" x14ac:dyDescent="0.25">
      <c r="A1463" t="s">
        <v>46</v>
      </c>
      <c r="B1463" t="s">
        <v>5056</v>
      </c>
      <c r="C1463" t="s">
        <v>6090</v>
      </c>
      <c r="G1463" t="s">
        <v>5057</v>
      </c>
      <c r="H1463" t="s">
        <v>5058</v>
      </c>
      <c r="I1463" t="s">
        <v>5059</v>
      </c>
      <c r="J1463" t="s">
        <v>37</v>
      </c>
      <c r="K1463" t="s">
        <v>32</v>
      </c>
      <c r="L1463" t="s">
        <v>35</v>
      </c>
      <c r="AQ1463">
        <v>0</v>
      </c>
      <c r="AR1463" s="3">
        <f t="shared" si="66"/>
        <v>0</v>
      </c>
      <c r="AS1463" s="3">
        <f t="shared" si="67"/>
        <v>0</v>
      </c>
      <c r="AT1463" s="3" t="str">
        <f>IF(OR(Registered!AM1463&gt;0,Registered!AO1463&gt;0),(IF(Registered!E1463=0,"Size Not Specified",Registered!E1463)),"")</f>
        <v/>
      </c>
      <c r="AU1463" s="3" t="str">
        <f>IF(Registered!AE1463=0,"",IF(Registered!AE1463=1,Registered!AE1463&amp;" Bandana",Registered!AE1463&amp;" Bandanas"))</f>
        <v/>
      </c>
      <c r="AV1463" s="3">
        <f t="shared" si="68"/>
        <v>0</v>
      </c>
      <c r="AW1463" s="2" t="str">
        <f>IF(Registered!AV1463=0,"",IF(Registered!AV1463=1,Registered!AV1463&amp;" Meal",Registered!AV1463&amp;" Meals"))</f>
        <v/>
      </c>
      <c r="AX1463" s="2" t="str">
        <f>IF(Registered!AI1463=0,"",Registered!AI1463&amp;" BG")</f>
        <v/>
      </c>
      <c r="AY1463" s="2" t="str">
        <f>IF(Registered!AG1463=0,"",Registered!AG1463&amp;" DustMask")</f>
        <v/>
      </c>
    </row>
    <row r="1464" spans="1:51" customFormat="1" x14ac:dyDescent="0.25">
      <c r="A1464" t="s">
        <v>1797</v>
      </c>
      <c r="B1464" t="s">
        <v>1798</v>
      </c>
      <c r="C1464" t="s">
        <v>6090</v>
      </c>
      <c r="G1464" t="s">
        <v>157</v>
      </c>
      <c r="H1464" t="s">
        <v>1037</v>
      </c>
      <c r="I1464" t="s">
        <v>1799</v>
      </c>
      <c r="J1464" t="s">
        <v>37</v>
      </c>
      <c r="K1464" t="s">
        <v>32</v>
      </c>
      <c r="L1464" t="s">
        <v>35</v>
      </c>
      <c r="AQ1464">
        <v>0</v>
      </c>
      <c r="AR1464" s="3">
        <f t="shared" si="66"/>
        <v>0</v>
      </c>
      <c r="AS1464" s="3">
        <f t="shared" si="67"/>
        <v>0</v>
      </c>
      <c r="AT1464" s="3" t="str">
        <f>IF(OR(Registered!AM1464&gt;0,Registered!AO1464&gt;0),(IF(Registered!E1464=0,"Size Not Specified",Registered!E1464)),"")</f>
        <v/>
      </c>
      <c r="AU1464" s="3" t="str">
        <f>IF(Registered!AE1464=0,"",IF(Registered!AE1464=1,Registered!AE1464&amp;" Bandana",Registered!AE1464&amp;" Bandanas"))</f>
        <v/>
      </c>
      <c r="AV1464" s="3">
        <f t="shared" si="68"/>
        <v>0</v>
      </c>
      <c r="AW1464" s="2" t="str">
        <f>IF(Registered!AV1464=0,"",IF(Registered!AV1464=1,Registered!AV1464&amp;" Meal",Registered!AV1464&amp;" Meals"))</f>
        <v/>
      </c>
      <c r="AX1464" s="2" t="str">
        <f>IF(Registered!AI1464=0,"",Registered!AI1464&amp;" BG")</f>
        <v/>
      </c>
      <c r="AY1464" s="2" t="str">
        <f>IF(Registered!AG1464=0,"",Registered!AG1464&amp;" DustMask")</f>
        <v/>
      </c>
    </row>
    <row r="1465" spans="1:51" customFormat="1" x14ac:dyDescent="0.25">
      <c r="A1465" t="s">
        <v>125</v>
      </c>
      <c r="B1465" t="s">
        <v>5061</v>
      </c>
      <c r="C1465" t="s">
        <v>6090</v>
      </c>
      <c r="G1465" t="s">
        <v>5062</v>
      </c>
      <c r="H1465" t="s">
        <v>302</v>
      </c>
      <c r="I1465" t="s">
        <v>5063</v>
      </c>
      <c r="J1465" t="s">
        <v>37</v>
      </c>
      <c r="K1465" t="s">
        <v>32</v>
      </c>
      <c r="L1465" t="s">
        <v>35</v>
      </c>
      <c r="AQ1465">
        <v>0</v>
      </c>
      <c r="AR1465" s="3">
        <f t="shared" si="66"/>
        <v>0</v>
      </c>
      <c r="AS1465" s="3">
        <f t="shared" si="67"/>
        <v>0</v>
      </c>
      <c r="AT1465" s="3" t="str">
        <f>IF(OR(Registered!AM1465&gt;0,Registered!AO1465&gt;0),(IF(Registered!E1465=0,"Size Not Specified",Registered!E1465)),"")</f>
        <v/>
      </c>
      <c r="AU1465" s="3" t="str">
        <f>IF(Registered!AE1465=0,"",IF(Registered!AE1465=1,Registered!AE1465&amp;" Bandana",Registered!AE1465&amp;" Bandanas"))</f>
        <v/>
      </c>
      <c r="AV1465" s="3">
        <f t="shared" si="68"/>
        <v>0</v>
      </c>
      <c r="AW1465" s="2" t="str">
        <f>IF(Registered!AV1465=0,"",IF(Registered!AV1465=1,Registered!AV1465&amp;" Meal",Registered!AV1465&amp;" Meals"))</f>
        <v/>
      </c>
      <c r="AX1465" s="2" t="str">
        <f>IF(Registered!AI1465=0,"",Registered!AI1465&amp;" BG")</f>
        <v/>
      </c>
      <c r="AY1465" s="2" t="str">
        <f>IF(Registered!AG1465=0,"",Registered!AG1465&amp;" DustMask")</f>
        <v/>
      </c>
    </row>
    <row r="1466" spans="1:51" customFormat="1" x14ac:dyDescent="0.25">
      <c r="A1466" t="s">
        <v>294</v>
      </c>
      <c r="B1466" t="s">
        <v>370</v>
      </c>
      <c r="C1466" t="s">
        <v>6090</v>
      </c>
      <c r="G1466" t="s">
        <v>60</v>
      </c>
      <c r="H1466" t="s">
        <v>2725</v>
      </c>
      <c r="I1466" t="s">
        <v>2726</v>
      </c>
      <c r="J1466" t="s">
        <v>37</v>
      </c>
      <c r="K1466" t="s">
        <v>32</v>
      </c>
      <c r="L1466" t="s">
        <v>35</v>
      </c>
      <c r="AQ1466">
        <v>0</v>
      </c>
      <c r="AR1466" s="3">
        <f t="shared" si="66"/>
        <v>0</v>
      </c>
      <c r="AS1466" s="3">
        <f t="shared" si="67"/>
        <v>0</v>
      </c>
      <c r="AT1466" s="3" t="str">
        <f>IF(OR(Registered!AM1466&gt;0,Registered!AO1466&gt;0),(IF(Registered!E1466=0,"Size Not Specified",Registered!E1466)),"")</f>
        <v/>
      </c>
      <c r="AU1466" s="3" t="str">
        <f>IF(Registered!AE1466=0,"",IF(Registered!AE1466=1,Registered!AE1466&amp;" Bandana",Registered!AE1466&amp;" Bandanas"))</f>
        <v/>
      </c>
      <c r="AV1466" s="3">
        <f t="shared" si="68"/>
        <v>0</v>
      </c>
      <c r="AW1466" s="2" t="str">
        <f>IF(Registered!AV1466=0,"",IF(Registered!AV1466=1,Registered!AV1466&amp;" Meal",Registered!AV1466&amp;" Meals"))</f>
        <v/>
      </c>
      <c r="AX1466" s="2" t="str">
        <f>IF(Registered!AI1466=0,"",Registered!AI1466&amp;" BG")</f>
        <v/>
      </c>
      <c r="AY1466" s="2" t="str">
        <f>IF(Registered!AG1466=0,"",Registered!AG1466&amp;" DustMask")</f>
        <v/>
      </c>
    </row>
    <row r="1467" spans="1:51" customFormat="1" x14ac:dyDescent="0.25">
      <c r="A1467" t="s">
        <v>1035</v>
      </c>
      <c r="B1467" t="s">
        <v>370</v>
      </c>
      <c r="C1467" t="s">
        <v>6090</v>
      </c>
      <c r="G1467" t="s">
        <v>4173</v>
      </c>
      <c r="H1467" t="s">
        <v>4174</v>
      </c>
      <c r="I1467" t="s">
        <v>4175</v>
      </c>
      <c r="J1467" t="s">
        <v>37</v>
      </c>
      <c r="K1467" t="s">
        <v>32</v>
      </c>
      <c r="L1467" t="s">
        <v>35</v>
      </c>
      <c r="AQ1467">
        <v>0</v>
      </c>
      <c r="AR1467" s="3">
        <f t="shared" si="66"/>
        <v>0</v>
      </c>
      <c r="AS1467" s="3">
        <f t="shared" si="67"/>
        <v>0</v>
      </c>
      <c r="AT1467" s="3" t="str">
        <f>IF(OR(Registered!AM1467&gt;0,Registered!AO1467&gt;0),(IF(Registered!E1467=0,"Size Not Specified",Registered!E1467)),"")</f>
        <v/>
      </c>
      <c r="AU1467" s="3" t="str">
        <f>IF(Registered!AE1467=0,"",IF(Registered!AE1467=1,Registered!AE1467&amp;" Bandana",Registered!AE1467&amp;" Bandanas"))</f>
        <v/>
      </c>
      <c r="AV1467" s="3">
        <f t="shared" si="68"/>
        <v>0</v>
      </c>
      <c r="AW1467" s="2" t="str">
        <f>IF(Registered!AV1467=0,"",IF(Registered!AV1467=1,Registered!AV1467&amp;" Meal",Registered!AV1467&amp;" Meals"))</f>
        <v/>
      </c>
      <c r="AX1467" s="2" t="str">
        <f>IF(Registered!AI1467=0,"",Registered!AI1467&amp;" BG")</f>
        <v/>
      </c>
      <c r="AY1467" s="2" t="str">
        <f>IF(Registered!AG1467=0,"",Registered!AG1467&amp;" DustMask")</f>
        <v/>
      </c>
    </row>
    <row r="1468" spans="1:51" customFormat="1" x14ac:dyDescent="0.25">
      <c r="A1468" t="s">
        <v>5064</v>
      </c>
      <c r="B1468" t="s">
        <v>370</v>
      </c>
      <c r="C1468" t="s">
        <v>6090</v>
      </c>
      <c r="G1468" t="s">
        <v>291</v>
      </c>
      <c r="H1468" t="s">
        <v>2046</v>
      </c>
      <c r="I1468" t="s">
        <v>5065</v>
      </c>
      <c r="J1468" t="s">
        <v>37</v>
      </c>
      <c r="K1468" t="s">
        <v>32</v>
      </c>
      <c r="L1468" t="s">
        <v>35</v>
      </c>
      <c r="AQ1468">
        <v>0</v>
      </c>
      <c r="AR1468" s="3">
        <f t="shared" si="66"/>
        <v>0</v>
      </c>
      <c r="AS1468" s="3">
        <f t="shared" si="67"/>
        <v>0</v>
      </c>
      <c r="AT1468" s="3" t="str">
        <f>IF(OR(Registered!AM1468&gt;0,Registered!AO1468&gt;0),(IF(Registered!E1468=0,"Size Not Specified",Registered!E1468)),"")</f>
        <v/>
      </c>
      <c r="AU1468" s="3" t="str">
        <f>IF(Registered!AE1468=0,"",IF(Registered!AE1468=1,Registered!AE1468&amp;" Bandana",Registered!AE1468&amp;" Bandanas"))</f>
        <v/>
      </c>
      <c r="AV1468" s="3">
        <f t="shared" si="68"/>
        <v>0</v>
      </c>
      <c r="AW1468" s="2" t="str">
        <f>IF(Registered!AV1468=0,"",IF(Registered!AV1468=1,Registered!AV1468&amp;" Meal",Registered!AV1468&amp;" Meals"))</f>
        <v/>
      </c>
      <c r="AX1468" s="2" t="str">
        <f>IF(Registered!AI1468=0,"",Registered!AI1468&amp;" BG")</f>
        <v/>
      </c>
      <c r="AY1468" s="2" t="str">
        <f>IF(Registered!AG1468=0,"",Registered!AG1468&amp;" DustMask")</f>
        <v/>
      </c>
    </row>
    <row r="1469" spans="1:51" customFormat="1" x14ac:dyDescent="0.25">
      <c r="A1469" t="s">
        <v>316</v>
      </c>
      <c r="B1469" t="s">
        <v>370</v>
      </c>
      <c r="C1469" t="s">
        <v>6090</v>
      </c>
      <c r="D1469" t="s">
        <v>5066</v>
      </c>
      <c r="E1469" t="s">
        <v>65</v>
      </c>
      <c r="F1469" t="s">
        <v>261</v>
      </c>
      <c r="I1469" t="s">
        <v>5067</v>
      </c>
      <c r="J1469" t="s">
        <v>37</v>
      </c>
      <c r="K1469" t="s">
        <v>32</v>
      </c>
      <c r="L1469" t="s">
        <v>35</v>
      </c>
      <c r="Q1469">
        <v>1</v>
      </c>
      <c r="R1469">
        <v>3</v>
      </c>
      <c r="AC1469">
        <v>1</v>
      </c>
      <c r="AD1469">
        <v>10</v>
      </c>
      <c r="AQ1469">
        <v>13</v>
      </c>
      <c r="AR1469" s="3">
        <f t="shared" si="66"/>
        <v>5</v>
      </c>
      <c r="AS1469" s="3">
        <f t="shared" si="67"/>
        <v>0</v>
      </c>
      <c r="AT1469" s="3" t="str">
        <f>IF(OR(Registered!AM1469&gt;0,Registered!AO1469&gt;0),(IF(Registered!E1469=0,"Size Not Specified",Registered!E1469)),"")</f>
        <v/>
      </c>
      <c r="AU1469" s="3" t="str">
        <f>IF(Registered!AE1469=0,"",IF(Registered!AE1469=1,Registered!AE1469&amp;" Bandana",Registered!AE1469&amp;" Bandanas"))</f>
        <v/>
      </c>
      <c r="AV1469" s="3">
        <f t="shared" si="68"/>
        <v>0</v>
      </c>
      <c r="AW1469" s="2" t="str">
        <f>IF(Registered!AV1469=0,"",IF(Registered!AV1469=1,Registered!AV1469&amp;" Meal",Registered!AV1469&amp;" Meals"))</f>
        <v/>
      </c>
      <c r="AX1469" s="2" t="str">
        <f>IF(Registered!AI1469=0,"",Registered!AI1469&amp;" BG")</f>
        <v/>
      </c>
      <c r="AY1469" s="2" t="str">
        <f>IF(Registered!AG1469=0,"",Registered!AG1469&amp;" DustMask")</f>
        <v/>
      </c>
    </row>
    <row r="1470" spans="1:51" customFormat="1" x14ac:dyDescent="0.25">
      <c r="A1470" t="s">
        <v>1988</v>
      </c>
      <c r="B1470" t="s">
        <v>370</v>
      </c>
      <c r="C1470" t="s">
        <v>6090</v>
      </c>
      <c r="G1470" t="s">
        <v>4288</v>
      </c>
      <c r="H1470" t="s">
        <v>1181</v>
      </c>
      <c r="I1470" t="s">
        <v>4290</v>
      </c>
      <c r="J1470" t="s">
        <v>37</v>
      </c>
      <c r="K1470" t="s">
        <v>32</v>
      </c>
      <c r="L1470" t="s">
        <v>35</v>
      </c>
      <c r="AQ1470">
        <v>0</v>
      </c>
      <c r="AR1470" s="3">
        <f t="shared" si="66"/>
        <v>0</v>
      </c>
      <c r="AS1470" s="3">
        <f t="shared" si="67"/>
        <v>0</v>
      </c>
      <c r="AT1470" s="3" t="str">
        <f>IF(OR(Registered!AM1470&gt;0,Registered!AO1470&gt;0),(IF(Registered!E1470=0,"Size Not Specified",Registered!E1470)),"")</f>
        <v/>
      </c>
      <c r="AU1470" s="3" t="str">
        <f>IF(Registered!AE1470=0,"",IF(Registered!AE1470=1,Registered!AE1470&amp;" Bandana",Registered!AE1470&amp;" Bandanas"))</f>
        <v/>
      </c>
      <c r="AV1470" s="3">
        <f t="shared" si="68"/>
        <v>0</v>
      </c>
      <c r="AW1470" s="2" t="str">
        <f>IF(Registered!AV1470=0,"",IF(Registered!AV1470=1,Registered!AV1470&amp;" Meal",Registered!AV1470&amp;" Meals"))</f>
        <v/>
      </c>
      <c r="AX1470" s="2" t="str">
        <f>IF(Registered!AI1470=0,"",Registered!AI1470&amp;" BG")</f>
        <v/>
      </c>
      <c r="AY1470" s="2" t="str">
        <f>IF(Registered!AG1470=0,"",Registered!AG1470&amp;" DustMask")</f>
        <v/>
      </c>
    </row>
    <row r="1471" spans="1:51" customFormat="1" x14ac:dyDescent="0.25">
      <c r="A1471" t="s">
        <v>4160</v>
      </c>
      <c r="B1471" t="s">
        <v>4161</v>
      </c>
      <c r="C1471" t="s">
        <v>6090</v>
      </c>
      <c r="D1471" t="s">
        <v>5070</v>
      </c>
      <c r="F1471" t="s">
        <v>261</v>
      </c>
      <c r="I1471" t="s">
        <v>4162</v>
      </c>
      <c r="J1471" t="s">
        <v>37</v>
      </c>
      <c r="K1471" t="s">
        <v>32</v>
      </c>
      <c r="L1471" t="s">
        <v>35</v>
      </c>
      <c r="Q1471">
        <v>4</v>
      </c>
      <c r="R1471">
        <v>3</v>
      </c>
      <c r="U1471">
        <v>4</v>
      </c>
      <c r="V1471">
        <v>20</v>
      </c>
      <c r="AQ1471">
        <v>92</v>
      </c>
      <c r="AR1471" s="3">
        <f t="shared" si="66"/>
        <v>40</v>
      </c>
      <c r="AS1471" s="3">
        <f t="shared" si="67"/>
        <v>0</v>
      </c>
      <c r="AT1471" s="3" t="str">
        <f>IF(OR(Registered!AM1471&gt;0,Registered!AO1471&gt;0),(IF(Registered!E1471=0,"Size Not Specified",Registered!E1471)),"")</f>
        <v/>
      </c>
      <c r="AU1471" s="3" t="str">
        <f>IF(Registered!AE1471=0,"",IF(Registered!AE1471=1,Registered!AE1471&amp;" Bandana",Registered!AE1471&amp;" Bandanas"))</f>
        <v/>
      </c>
      <c r="AV1471" s="3">
        <f t="shared" si="68"/>
        <v>0</v>
      </c>
      <c r="AW1471" s="2" t="str">
        <f>IF(Registered!AV1471=0,"",IF(Registered!AV1471=1,Registered!AV1471&amp;" Meal",Registered!AV1471&amp;" Meals"))</f>
        <v/>
      </c>
      <c r="AX1471" s="2" t="str">
        <f>IF(Registered!AI1471=0,"",Registered!AI1471&amp;" BG")</f>
        <v/>
      </c>
      <c r="AY1471" s="2" t="str">
        <f>IF(Registered!AG1471=0,"",Registered!AG1471&amp;" DustMask")</f>
        <v/>
      </c>
    </row>
    <row r="1472" spans="1:51" customFormat="1" x14ac:dyDescent="0.25">
      <c r="A1472" t="s">
        <v>4198</v>
      </c>
      <c r="B1472" t="s">
        <v>5071</v>
      </c>
      <c r="C1472" t="s">
        <v>6090</v>
      </c>
      <c r="F1472" t="s">
        <v>261</v>
      </c>
      <c r="I1472" t="s">
        <v>5072</v>
      </c>
      <c r="J1472" t="s">
        <v>37</v>
      </c>
      <c r="K1472" t="s">
        <v>32</v>
      </c>
      <c r="L1472" t="s">
        <v>35</v>
      </c>
      <c r="Q1472">
        <v>1</v>
      </c>
      <c r="R1472">
        <v>3</v>
      </c>
      <c r="AQ1472">
        <v>3</v>
      </c>
      <c r="AR1472" s="3">
        <f t="shared" si="66"/>
        <v>0</v>
      </c>
      <c r="AS1472" s="3">
        <f t="shared" si="67"/>
        <v>0</v>
      </c>
      <c r="AT1472" s="3" t="str">
        <f>IF(OR(Registered!AM1472&gt;0,Registered!AO1472&gt;0),(IF(Registered!E1472=0,"Size Not Specified",Registered!E1472)),"")</f>
        <v/>
      </c>
      <c r="AU1472" s="3" t="str">
        <f>IF(Registered!AE1472=0,"",IF(Registered!AE1472=1,Registered!AE1472&amp;" Bandana",Registered!AE1472&amp;" Bandanas"))</f>
        <v/>
      </c>
      <c r="AV1472" s="3">
        <f t="shared" si="68"/>
        <v>0</v>
      </c>
      <c r="AW1472" s="2" t="str">
        <f>IF(Registered!AV1472=0,"",IF(Registered!AV1472=1,Registered!AV1472&amp;" Meal",Registered!AV1472&amp;" Meals"))</f>
        <v/>
      </c>
      <c r="AX1472" s="2" t="str">
        <f>IF(Registered!AI1472=0,"",Registered!AI1472&amp;" BG")</f>
        <v/>
      </c>
      <c r="AY1472" s="2" t="str">
        <f>IF(Registered!AG1472=0,"",Registered!AG1472&amp;" DustMask")</f>
        <v/>
      </c>
    </row>
    <row r="1473" spans="1:51" customFormat="1" x14ac:dyDescent="0.25">
      <c r="A1473" t="s">
        <v>473</v>
      </c>
      <c r="B1473" t="s">
        <v>1803</v>
      </c>
      <c r="C1473" t="s">
        <v>6090</v>
      </c>
      <c r="G1473" t="s">
        <v>116</v>
      </c>
      <c r="H1473" t="s">
        <v>1804</v>
      </c>
      <c r="I1473" t="s">
        <v>1805</v>
      </c>
      <c r="J1473" t="s">
        <v>37</v>
      </c>
      <c r="K1473" t="s">
        <v>32</v>
      </c>
      <c r="L1473" t="s">
        <v>35</v>
      </c>
      <c r="AQ1473">
        <v>0</v>
      </c>
      <c r="AR1473" s="3">
        <f t="shared" si="66"/>
        <v>0</v>
      </c>
      <c r="AS1473" s="3">
        <f t="shared" si="67"/>
        <v>0</v>
      </c>
      <c r="AT1473" s="3" t="str">
        <f>IF(OR(Registered!AM1473&gt;0,Registered!AO1473&gt;0),(IF(Registered!E1473=0,"Size Not Specified",Registered!E1473)),"")</f>
        <v/>
      </c>
      <c r="AU1473" s="3" t="str">
        <f>IF(Registered!AE1473=0,"",IF(Registered!AE1473=1,Registered!AE1473&amp;" Bandana",Registered!AE1473&amp;" Bandanas"))</f>
        <v/>
      </c>
      <c r="AV1473" s="3">
        <f t="shared" si="68"/>
        <v>0</v>
      </c>
      <c r="AW1473" s="2" t="str">
        <f>IF(Registered!AV1473=0,"",IF(Registered!AV1473=1,Registered!AV1473&amp;" Meal",Registered!AV1473&amp;" Meals"))</f>
        <v/>
      </c>
      <c r="AX1473" s="2" t="str">
        <f>IF(Registered!AI1473=0,"",Registered!AI1473&amp;" BG")</f>
        <v/>
      </c>
      <c r="AY1473" s="2" t="str">
        <f>IF(Registered!AG1473=0,"",Registered!AG1473&amp;" DustMask")</f>
        <v/>
      </c>
    </row>
    <row r="1474" spans="1:51" customFormat="1" x14ac:dyDescent="0.25">
      <c r="A1474" t="s">
        <v>110</v>
      </c>
      <c r="B1474" t="s">
        <v>1806</v>
      </c>
      <c r="C1474" t="s">
        <v>6090</v>
      </c>
      <c r="G1474" t="s">
        <v>386</v>
      </c>
      <c r="H1474" t="s">
        <v>1807</v>
      </c>
      <c r="I1474" t="s">
        <v>1808</v>
      </c>
      <c r="J1474" t="s">
        <v>37</v>
      </c>
      <c r="K1474" t="s">
        <v>32</v>
      </c>
      <c r="L1474" t="s">
        <v>35</v>
      </c>
      <c r="AQ1474">
        <v>0</v>
      </c>
      <c r="AR1474" s="3">
        <f t="shared" ref="AR1474:AR1537" si="69">IF(ISTEXT(AM1474)=TRUE,"",SUM(U1474*10,W1474*20,Y1474*30,AA1474*40,AC1474*5,AM1474*5))</f>
        <v>0</v>
      </c>
      <c r="AS1474" s="3">
        <f t="shared" ref="AS1474:AS1537" si="70">IF(ISTEXT(AM1474)=TRUE,"",SUM(AM1474,AO1474))</f>
        <v>0</v>
      </c>
      <c r="AT1474" s="3" t="str">
        <f>IF(OR(Registered!AM1474&gt;0,Registered!AO1474&gt;0),(IF(Registered!E1474=0,"Size Not Specified",Registered!E1474)),"")</f>
        <v/>
      </c>
      <c r="AU1474" s="3" t="str">
        <f>IF(Registered!AE1474=0,"",IF(Registered!AE1474=1,Registered!AE1474&amp;" Bandana",Registered!AE1474&amp;" Bandanas"))</f>
        <v/>
      </c>
      <c r="AV1474" s="3">
        <f t="shared" ref="AV1474:AV1537" si="71">IF(ISTEXT(AM1474)=TRUE,"",SUM(AM1474,AK1474))</f>
        <v>0</v>
      </c>
      <c r="AW1474" s="2" t="str">
        <f>IF(Registered!AV1474=0,"",IF(Registered!AV1474=1,Registered!AV1474&amp;" Meal",Registered!AV1474&amp;" Meals"))</f>
        <v/>
      </c>
      <c r="AX1474" s="2" t="str">
        <f>IF(Registered!AI1474=0,"",Registered!AI1474&amp;" BG")</f>
        <v/>
      </c>
      <c r="AY1474" s="2" t="str">
        <f>IF(Registered!AG1474=0,"",Registered!AG1474&amp;" DustMask")</f>
        <v/>
      </c>
    </row>
    <row r="1475" spans="1:51" customFormat="1" x14ac:dyDescent="0.25">
      <c r="A1475" t="s">
        <v>60</v>
      </c>
      <c r="B1475" t="s">
        <v>226</v>
      </c>
      <c r="C1475" t="s">
        <v>6090</v>
      </c>
      <c r="G1475" t="s">
        <v>4160</v>
      </c>
      <c r="H1475" t="s">
        <v>4161</v>
      </c>
      <c r="I1475" t="s">
        <v>4162</v>
      </c>
      <c r="J1475" t="s">
        <v>37</v>
      </c>
      <c r="K1475" t="s">
        <v>32</v>
      </c>
      <c r="L1475" t="s">
        <v>35</v>
      </c>
      <c r="AQ1475">
        <v>0</v>
      </c>
      <c r="AR1475" s="3">
        <f t="shared" si="69"/>
        <v>0</v>
      </c>
      <c r="AS1475" s="3">
        <f t="shared" si="70"/>
        <v>0</v>
      </c>
      <c r="AT1475" s="3" t="str">
        <f>IF(OR(Registered!AM1475&gt;0,Registered!AO1475&gt;0),(IF(Registered!E1475=0,"Size Not Specified",Registered!E1475)),"")</f>
        <v/>
      </c>
      <c r="AU1475" s="3" t="str">
        <f>IF(Registered!AE1475=0,"",IF(Registered!AE1475=1,Registered!AE1475&amp;" Bandana",Registered!AE1475&amp;" Bandanas"))</f>
        <v/>
      </c>
      <c r="AV1475" s="3">
        <f t="shared" si="71"/>
        <v>0</v>
      </c>
      <c r="AW1475" s="2" t="str">
        <f>IF(Registered!AV1475=0,"",IF(Registered!AV1475=1,Registered!AV1475&amp;" Meal",Registered!AV1475&amp;" Meals"))</f>
        <v/>
      </c>
      <c r="AX1475" s="2" t="str">
        <f>IF(Registered!AI1475=0,"",Registered!AI1475&amp;" BG")</f>
        <v/>
      </c>
      <c r="AY1475" s="2" t="str">
        <f>IF(Registered!AG1475=0,"",Registered!AG1475&amp;" DustMask")</f>
        <v/>
      </c>
    </row>
    <row r="1476" spans="1:51" customFormat="1" x14ac:dyDescent="0.25">
      <c r="A1476" t="s">
        <v>5077</v>
      </c>
      <c r="B1476" t="s">
        <v>5078</v>
      </c>
      <c r="C1476" t="s">
        <v>6090</v>
      </c>
      <c r="G1476" t="s">
        <v>4805</v>
      </c>
      <c r="H1476" t="s">
        <v>4806</v>
      </c>
      <c r="I1476" t="s">
        <v>4808</v>
      </c>
      <c r="J1476" t="s">
        <v>37</v>
      </c>
      <c r="K1476" t="s">
        <v>32</v>
      </c>
      <c r="L1476" t="s">
        <v>35</v>
      </c>
      <c r="AQ1476">
        <v>0</v>
      </c>
      <c r="AR1476" s="3">
        <f t="shared" si="69"/>
        <v>0</v>
      </c>
      <c r="AS1476" s="3">
        <f t="shared" si="70"/>
        <v>0</v>
      </c>
      <c r="AT1476" s="3" t="str">
        <f>IF(OR(Registered!AM1476&gt;0,Registered!AO1476&gt;0),(IF(Registered!E1476=0,"Size Not Specified",Registered!E1476)),"")</f>
        <v/>
      </c>
      <c r="AU1476" s="3" t="str">
        <f>IF(Registered!AE1476=0,"",IF(Registered!AE1476=1,Registered!AE1476&amp;" Bandana",Registered!AE1476&amp;" Bandanas"))</f>
        <v/>
      </c>
      <c r="AV1476" s="3">
        <f t="shared" si="71"/>
        <v>0</v>
      </c>
      <c r="AW1476" s="2" t="str">
        <f>IF(Registered!AV1476=0,"",IF(Registered!AV1476=1,Registered!AV1476&amp;" Meal",Registered!AV1476&amp;" Meals"))</f>
        <v/>
      </c>
      <c r="AX1476" s="2" t="str">
        <f>IF(Registered!AI1476=0,"",Registered!AI1476&amp;" BG")</f>
        <v/>
      </c>
      <c r="AY1476" s="2" t="str">
        <f>IF(Registered!AG1476=0,"",Registered!AG1476&amp;" DustMask")</f>
        <v/>
      </c>
    </row>
    <row r="1477" spans="1:51" customFormat="1" x14ac:dyDescent="0.25">
      <c r="A1477" t="s">
        <v>281</v>
      </c>
      <c r="B1477" t="s">
        <v>1809</v>
      </c>
      <c r="C1477" t="s">
        <v>6090</v>
      </c>
      <c r="D1477" t="s">
        <v>1810</v>
      </c>
      <c r="E1477" t="s">
        <v>67</v>
      </c>
      <c r="F1477" t="s">
        <v>261</v>
      </c>
      <c r="I1477" t="s">
        <v>1811</v>
      </c>
      <c r="J1477" t="s">
        <v>37</v>
      </c>
      <c r="K1477" t="s">
        <v>32</v>
      </c>
      <c r="L1477" t="s">
        <v>35</v>
      </c>
      <c r="S1477">
        <v>1</v>
      </c>
      <c r="T1477">
        <v>3</v>
      </c>
      <c r="AC1477">
        <v>1</v>
      </c>
      <c r="AD1477">
        <v>10</v>
      </c>
      <c r="AE1477">
        <v>1</v>
      </c>
      <c r="AF1477">
        <v>6</v>
      </c>
      <c r="AM1477">
        <v>1</v>
      </c>
      <c r="AN1477">
        <v>25</v>
      </c>
      <c r="AQ1477">
        <v>44</v>
      </c>
      <c r="AR1477" s="3">
        <f t="shared" si="69"/>
        <v>10</v>
      </c>
      <c r="AS1477" s="3">
        <f t="shared" si="70"/>
        <v>1</v>
      </c>
      <c r="AT1477" s="3" t="str">
        <f>IF(OR(Registered!AM1477&gt;0,Registered!AO1477&gt;0),(IF(Registered!E1477=0,"Size Not Specified",Registered!E1477)),"")</f>
        <v>medium</v>
      </c>
      <c r="AU1477" s="3" t="str">
        <f>IF(Registered!AE1477=0,"",IF(Registered!AE1477=1,Registered!AE1477&amp;" Bandana",Registered!AE1477&amp;" Bandanas"))</f>
        <v>1 Bandana</v>
      </c>
      <c r="AV1477" s="3">
        <f t="shared" si="71"/>
        <v>1</v>
      </c>
      <c r="AW1477" s="2" t="str">
        <f>IF(Registered!AV1477=0,"",IF(Registered!AV1477=1,Registered!AV1477&amp;" Meal",Registered!AV1477&amp;" Meals"))</f>
        <v>1 Meal</v>
      </c>
      <c r="AX1477" s="2" t="str">
        <f>IF(Registered!AI1477=0,"",Registered!AI1477&amp;" BG")</f>
        <v/>
      </c>
      <c r="AY1477" s="2" t="str">
        <f>IF(Registered!AG1477=0,"",Registered!AG1477&amp;" DustMask")</f>
        <v/>
      </c>
    </row>
    <row r="1478" spans="1:51" customFormat="1" x14ac:dyDescent="0.25">
      <c r="A1478" t="s">
        <v>1235</v>
      </c>
      <c r="B1478" t="s">
        <v>1236</v>
      </c>
      <c r="C1478" t="s">
        <v>6090</v>
      </c>
      <c r="D1478" t="s">
        <v>1812</v>
      </c>
      <c r="F1478" t="s">
        <v>261</v>
      </c>
      <c r="I1478" t="s">
        <v>2949</v>
      </c>
      <c r="J1478" t="s">
        <v>37</v>
      </c>
      <c r="K1478" t="s">
        <v>32</v>
      </c>
      <c r="L1478" t="s">
        <v>35</v>
      </c>
      <c r="S1478">
        <v>2</v>
      </c>
      <c r="T1478">
        <v>3</v>
      </c>
      <c r="U1478">
        <v>1</v>
      </c>
      <c r="V1478">
        <v>20</v>
      </c>
      <c r="AK1478">
        <v>2</v>
      </c>
      <c r="AL1478">
        <v>6</v>
      </c>
      <c r="AQ1478">
        <v>38</v>
      </c>
      <c r="AR1478" s="3">
        <f t="shared" si="69"/>
        <v>10</v>
      </c>
      <c r="AS1478" s="3">
        <f t="shared" si="70"/>
        <v>0</v>
      </c>
      <c r="AT1478" s="3" t="str">
        <f>IF(OR(Registered!AM1478&gt;0,Registered!AO1478&gt;0),(IF(Registered!E1478=0,"Size Not Specified",Registered!E1478)),"")</f>
        <v/>
      </c>
      <c r="AU1478" s="3" t="str">
        <f>IF(Registered!AE1478=0,"",IF(Registered!AE1478=1,Registered!AE1478&amp;" Bandana",Registered!AE1478&amp;" Bandanas"))</f>
        <v/>
      </c>
      <c r="AV1478" s="3">
        <f t="shared" si="71"/>
        <v>2</v>
      </c>
      <c r="AW1478" s="2" t="str">
        <f>IF(Registered!AV1478=0,"",IF(Registered!AV1478=1,Registered!AV1478&amp;" Meal",Registered!AV1478&amp;" Meals"))</f>
        <v>2 Meals</v>
      </c>
      <c r="AX1478" s="2" t="str">
        <f>IF(Registered!AI1478=0,"",Registered!AI1478&amp;" BG")</f>
        <v/>
      </c>
      <c r="AY1478" s="2" t="str">
        <f>IF(Registered!AG1478=0,"",Registered!AG1478&amp;" DustMask")</f>
        <v/>
      </c>
    </row>
    <row r="1479" spans="1:51" customFormat="1" x14ac:dyDescent="0.25">
      <c r="A1479" t="s">
        <v>104</v>
      </c>
      <c r="B1479" t="s">
        <v>5079</v>
      </c>
      <c r="C1479" t="s">
        <v>6090</v>
      </c>
      <c r="D1479" t="s">
        <v>5080</v>
      </c>
      <c r="F1479" t="s">
        <v>261</v>
      </c>
      <c r="I1479" t="s">
        <v>5081</v>
      </c>
      <c r="J1479" t="s">
        <v>37</v>
      </c>
      <c r="K1479" t="s">
        <v>32</v>
      </c>
      <c r="L1479" t="s">
        <v>35</v>
      </c>
      <c r="Q1479">
        <v>2</v>
      </c>
      <c r="R1479">
        <v>3</v>
      </c>
      <c r="U1479">
        <v>1</v>
      </c>
      <c r="V1479">
        <v>20</v>
      </c>
      <c r="AQ1479">
        <v>26</v>
      </c>
      <c r="AR1479" s="3">
        <f t="shared" si="69"/>
        <v>10</v>
      </c>
      <c r="AS1479" s="3">
        <f t="shared" si="70"/>
        <v>0</v>
      </c>
      <c r="AT1479" s="3" t="str">
        <f>IF(OR(Registered!AM1479&gt;0,Registered!AO1479&gt;0),(IF(Registered!E1479=0,"Size Not Specified",Registered!E1479)),"")</f>
        <v/>
      </c>
      <c r="AU1479" s="3" t="str">
        <f>IF(Registered!AE1479=0,"",IF(Registered!AE1479=1,Registered!AE1479&amp;" Bandana",Registered!AE1479&amp;" Bandanas"))</f>
        <v/>
      </c>
      <c r="AV1479" s="3">
        <f t="shared" si="71"/>
        <v>0</v>
      </c>
      <c r="AW1479" s="2" t="str">
        <f>IF(Registered!AV1479=0,"",IF(Registered!AV1479=1,Registered!AV1479&amp;" Meal",Registered!AV1479&amp;" Meals"))</f>
        <v/>
      </c>
      <c r="AX1479" s="2" t="str">
        <f>IF(Registered!AI1479=0,"",Registered!AI1479&amp;" BG")</f>
        <v/>
      </c>
      <c r="AY1479" s="2" t="str">
        <f>IF(Registered!AG1479=0,"",Registered!AG1479&amp;" DustMask")</f>
        <v/>
      </c>
    </row>
    <row r="1480" spans="1:51" customFormat="1" x14ac:dyDescent="0.25">
      <c r="A1480" t="s">
        <v>3501</v>
      </c>
      <c r="B1480" t="s">
        <v>5079</v>
      </c>
      <c r="C1480" t="s">
        <v>6090</v>
      </c>
      <c r="G1480" t="s">
        <v>104</v>
      </c>
      <c r="H1480" t="s">
        <v>5079</v>
      </c>
      <c r="I1480" t="s">
        <v>5082</v>
      </c>
      <c r="J1480" t="s">
        <v>37</v>
      </c>
      <c r="K1480" t="s">
        <v>32</v>
      </c>
      <c r="L1480" t="s">
        <v>35</v>
      </c>
      <c r="AQ1480">
        <v>0</v>
      </c>
      <c r="AR1480" s="3">
        <f t="shared" si="69"/>
        <v>0</v>
      </c>
      <c r="AS1480" s="3">
        <f t="shared" si="70"/>
        <v>0</v>
      </c>
      <c r="AT1480" s="3" t="str">
        <f>IF(OR(Registered!AM1480&gt;0,Registered!AO1480&gt;0),(IF(Registered!E1480=0,"Size Not Specified",Registered!E1480)),"")</f>
        <v/>
      </c>
      <c r="AU1480" s="3" t="str">
        <f>IF(Registered!AE1480=0,"",IF(Registered!AE1480=1,Registered!AE1480&amp;" Bandana",Registered!AE1480&amp;" Bandanas"))</f>
        <v/>
      </c>
      <c r="AV1480" s="3">
        <f t="shared" si="71"/>
        <v>0</v>
      </c>
      <c r="AW1480" s="2" t="str">
        <f>IF(Registered!AV1480=0,"",IF(Registered!AV1480=1,Registered!AV1480&amp;" Meal",Registered!AV1480&amp;" Meals"))</f>
        <v/>
      </c>
      <c r="AX1480" s="2" t="str">
        <f>IF(Registered!AI1480=0,"",Registered!AI1480&amp;" BG")</f>
        <v/>
      </c>
      <c r="AY1480" s="2" t="str">
        <f>IF(Registered!AG1480=0,"",Registered!AG1480&amp;" DustMask")</f>
        <v/>
      </c>
    </row>
    <row r="1481" spans="1:51" customFormat="1" x14ac:dyDescent="0.25">
      <c r="A1481" t="s">
        <v>3577</v>
      </c>
      <c r="B1481" t="s">
        <v>5083</v>
      </c>
      <c r="C1481" t="s">
        <v>6090</v>
      </c>
      <c r="G1481" t="s">
        <v>4022</v>
      </c>
      <c r="H1481" t="s">
        <v>4023</v>
      </c>
      <c r="I1481" t="s">
        <v>4024</v>
      </c>
      <c r="J1481" t="s">
        <v>37</v>
      </c>
      <c r="K1481" t="s">
        <v>32</v>
      </c>
      <c r="L1481" t="s">
        <v>35</v>
      </c>
      <c r="AQ1481">
        <v>0</v>
      </c>
      <c r="AR1481" s="3">
        <f t="shared" si="69"/>
        <v>0</v>
      </c>
      <c r="AS1481" s="3">
        <f t="shared" si="70"/>
        <v>0</v>
      </c>
      <c r="AT1481" s="3" t="str">
        <f>IF(OR(Registered!AM1481&gt;0,Registered!AO1481&gt;0),(IF(Registered!E1481=0,"Size Not Specified",Registered!E1481)),"")</f>
        <v/>
      </c>
      <c r="AU1481" s="3" t="str">
        <f>IF(Registered!AE1481=0,"",IF(Registered!AE1481=1,Registered!AE1481&amp;" Bandana",Registered!AE1481&amp;" Bandanas"))</f>
        <v/>
      </c>
      <c r="AV1481" s="3">
        <f t="shared" si="71"/>
        <v>0</v>
      </c>
      <c r="AW1481" s="2" t="str">
        <f>IF(Registered!AV1481=0,"",IF(Registered!AV1481=1,Registered!AV1481&amp;" Meal",Registered!AV1481&amp;" Meals"))</f>
        <v/>
      </c>
      <c r="AX1481" s="2" t="str">
        <f>IF(Registered!AI1481=0,"",Registered!AI1481&amp;" BG")</f>
        <v/>
      </c>
      <c r="AY1481" s="2" t="str">
        <f>IF(Registered!AG1481=0,"",Registered!AG1481&amp;" DustMask")</f>
        <v/>
      </c>
    </row>
    <row r="1482" spans="1:51" customFormat="1" x14ac:dyDescent="0.25">
      <c r="A1482" t="s">
        <v>188</v>
      </c>
      <c r="B1482" t="s">
        <v>5084</v>
      </c>
      <c r="C1482" t="s">
        <v>6090</v>
      </c>
      <c r="D1482" t="s">
        <v>5085</v>
      </c>
      <c r="F1482" t="s">
        <v>261</v>
      </c>
      <c r="I1482" t="s">
        <v>5086</v>
      </c>
      <c r="J1482" t="s">
        <v>37</v>
      </c>
      <c r="K1482" t="s">
        <v>32</v>
      </c>
      <c r="L1482" t="s">
        <v>35</v>
      </c>
      <c r="Q1482">
        <v>2</v>
      </c>
      <c r="R1482">
        <v>3</v>
      </c>
      <c r="W1482">
        <v>1</v>
      </c>
      <c r="X1482">
        <v>40</v>
      </c>
      <c r="AQ1482">
        <v>46</v>
      </c>
      <c r="AR1482" s="3">
        <f t="shared" si="69"/>
        <v>20</v>
      </c>
      <c r="AS1482" s="3">
        <f t="shared" si="70"/>
        <v>0</v>
      </c>
      <c r="AT1482" s="3" t="str">
        <f>IF(OR(Registered!AM1482&gt;0,Registered!AO1482&gt;0),(IF(Registered!E1482=0,"Size Not Specified",Registered!E1482)),"")</f>
        <v/>
      </c>
      <c r="AU1482" s="3" t="str">
        <f>IF(Registered!AE1482=0,"",IF(Registered!AE1482=1,Registered!AE1482&amp;" Bandana",Registered!AE1482&amp;" Bandanas"))</f>
        <v/>
      </c>
      <c r="AV1482" s="3">
        <f t="shared" si="71"/>
        <v>0</v>
      </c>
      <c r="AW1482" s="2" t="str">
        <f>IF(Registered!AV1482=0,"",IF(Registered!AV1482=1,Registered!AV1482&amp;" Meal",Registered!AV1482&amp;" Meals"))</f>
        <v/>
      </c>
      <c r="AX1482" s="2" t="str">
        <f>IF(Registered!AI1482=0,"",Registered!AI1482&amp;" BG")</f>
        <v/>
      </c>
      <c r="AY1482" s="2" t="str">
        <f>IF(Registered!AG1482=0,"",Registered!AG1482&amp;" DustMask")</f>
        <v/>
      </c>
    </row>
    <row r="1483" spans="1:51" customFormat="1" x14ac:dyDescent="0.25">
      <c r="A1483" t="s">
        <v>301</v>
      </c>
      <c r="B1483" t="s">
        <v>5084</v>
      </c>
      <c r="C1483" t="s">
        <v>6090</v>
      </c>
      <c r="G1483" t="s">
        <v>188</v>
      </c>
      <c r="H1483" t="s">
        <v>5084</v>
      </c>
      <c r="I1483" t="s">
        <v>5086</v>
      </c>
      <c r="J1483" t="s">
        <v>37</v>
      </c>
      <c r="K1483" t="s">
        <v>32</v>
      </c>
      <c r="L1483" t="s">
        <v>35</v>
      </c>
      <c r="AQ1483">
        <v>0</v>
      </c>
      <c r="AR1483" s="3">
        <f t="shared" si="69"/>
        <v>0</v>
      </c>
      <c r="AS1483" s="3">
        <f t="shared" si="70"/>
        <v>0</v>
      </c>
      <c r="AT1483" s="3" t="str">
        <f>IF(OR(Registered!AM1483&gt;0,Registered!AO1483&gt;0),(IF(Registered!E1483=0,"Size Not Specified",Registered!E1483)),"")</f>
        <v/>
      </c>
      <c r="AU1483" s="3" t="str">
        <f>IF(Registered!AE1483=0,"",IF(Registered!AE1483=1,Registered!AE1483&amp;" Bandana",Registered!AE1483&amp;" Bandanas"))</f>
        <v/>
      </c>
      <c r="AV1483" s="3">
        <f t="shared" si="71"/>
        <v>0</v>
      </c>
      <c r="AW1483" s="2" t="str">
        <f>IF(Registered!AV1483=0,"",IF(Registered!AV1483=1,Registered!AV1483&amp;" Meal",Registered!AV1483&amp;" Meals"))</f>
        <v/>
      </c>
      <c r="AX1483" s="2" t="str">
        <f>IF(Registered!AI1483=0,"",Registered!AI1483&amp;" BG")</f>
        <v/>
      </c>
      <c r="AY1483" s="2" t="str">
        <f>IF(Registered!AG1483=0,"",Registered!AG1483&amp;" DustMask")</f>
        <v/>
      </c>
    </row>
    <row r="1484" spans="1:51" customFormat="1" x14ac:dyDescent="0.25">
      <c r="A1484" t="s">
        <v>140</v>
      </c>
      <c r="B1484" t="s">
        <v>1813</v>
      </c>
      <c r="C1484" t="s">
        <v>6090</v>
      </c>
      <c r="D1484" t="s">
        <v>140</v>
      </c>
      <c r="F1484" t="s">
        <v>261</v>
      </c>
      <c r="I1484" t="s">
        <v>1673</v>
      </c>
      <c r="J1484" t="s">
        <v>37</v>
      </c>
      <c r="K1484" t="s">
        <v>32</v>
      </c>
      <c r="L1484" t="s">
        <v>35</v>
      </c>
      <c r="S1484">
        <v>1</v>
      </c>
      <c r="T1484">
        <v>3</v>
      </c>
      <c r="AC1484">
        <v>1</v>
      </c>
      <c r="AD1484">
        <v>10</v>
      </c>
      <c r="AQ1484">
        <v>13</v>
      </c>
      <c r="AR1484" s="3">
        <f t="shared" si="69"/>
        <v>5</v>
      </c>
      <c r="AS1484" s="3">
        <f t="shared" si="70"/>
        <v>0</v>
      </c>
      <c r="AT1484" s="3" t="str">
        <f>IF(OR(Registered!AM1484&gt;0,Registered!AO1484&gt;0),(IF(Registered!E1484=0,"Size Not Specified",Registered!E1484)),"")</f>
        <v/>
      </c>
      <c r="AU1484" s="3" t="str">
        <f>IF(Registered!AE1484=0,"",IF(Registered!AE1484=1,Registered!AE1484&amp;" Bandana",Registered!AE1484&amp;" Bandanas"))</f>
        <v/>
      </c>
      <c r="AV1484" s="3">
        <f t="shared" si="71"/>
        <v>0</v>
      </c>
      <c r="AW1484" s="2" t="str">
        <f>IF(Registered!AV1484=0,"",IF(Registered!AV1484=1,Registered!AV1484&amp;" Meal",Registered!AV1484&amp;" Meals"))</f>
        <v/>
      </c>
      <c r="AX1484" s="2" t="str">
        <f>IF(Registered!AI1484=0,"",Registered!AI1484&amp;" BG")</f>
        <v/>
      </c>
      <c r="AY1484" s="2" t="str">
        <f>IF(Registered!AG1484=0,"",Registered!AG1484&amp;" DustMask")</f>
        <v/>
      </c>
    </row>
    <row r="1485" spans="1:51" customFormat="1" x14ac:dyDescent="0.25">
      <c r="A1485" t="s">
        <v>324</v>
      </c>
      <c r="B1485" t="s">
        <v>1813</v>
      </c>
      <c r="C1485" t="s">
        <v>6090</v>
      </c>
      <c r="D1485" t="s">
        <v>3167</v>
      </c>
      <c r="F1485" t="s">
        <v>261</v>
      </c>
      <c r="I1485" t="s">
        <v>2915</v>
      </c>
      <c r="J1485" t="s">
        <v>37</v>
      </c>
      <c r="K1485" t="s">
        <v>32</v>
      </c>
      <c r="L1485" t="s">
        <v>35</v>
      </c>
      <c r="Q1485">
        <v>4</v>
      </c>
      <c r="R1485">
        <v>3</v>
      </c>
      <c r="U1485">
        <v>1</v>
      </c>
      <c r="V1485">
        <v>20</v>
      </c>
      <c r="AG1485">
        <v>3</v>
      </c>
      <c r="AH1485">
        <v>1</v>
      </c>
      <c r="AQ1485">
        <v>35</v>
      </c>
      <c r="AR1485" s="3">
        <f t="shared" si="69"/>
        <v>10</v>
      </c>
      <c r="AS1485" s="3">
        <f t="shared" si="70"/>
        <v>0</v>
      </c>
      <c r="AT1485" s="3" t="str">
        <f>IF(OR(Registered!AM1485&gt;0,Registered!AO1485&gt;0),(IF(Registered!E1485=0,"Size Not Specified",Registered!E1485)),"")</f>
        <v/>
      </c>
      <c r="AU1485" s="3" t="str">
        <f>IF(Registered!AE1485=0,"",IF(Registered!AE1485=1,Registered!AE1485&amp;" Bandana",Registered!AE1485&amp;" Bandanas"))</f>
        <v/>
      </c>
      <c r="AV1485" s="3">
        <f t="shared" si="71"/>
        <v>0</v>
      </c>
      <c r="AW1485" s="2" t="str">
        <f>IF(Registered!AV1485=0,"",IF(Registered!AV1485=1,Registered!AV1485&amp;" Meal",Registered!AV1485&amp;" Meals"))</f>
        <v/>
      </c>
      <c r="AX1485" s="2" t="str">
        <f>IF(Registered!AI1485=0,"",Registered!AI1485&amp;" BG")</f>
        <v/>
      </c>
      <c r="AY1485" s="2" t="str">
        <f>IF(Registered!AG1485=0,"",Registered!AG1485&amp;" DustMask")</f>
        <v>3 DustMask</v>
      </c>
    </row>
    <row r="1486" spans="1:51" customFormat="1" x14ac:dyDescent="0.25">
      <c r="A1486" t="s">
        <v>100</v>
      </c>
      <c r="B1486" t="s">
        <v>3168</v>
      </c>
      <c r="C1486" t="s">
        <v>6090</v>
      </c>
      <c r="G1486" t="s">
        <v>143</v>
      </c>
      <c r="H1486" t="s">
        <v>101</v>
      </c>
      <c r="I1486" t="s">
        <v>2793</v>
      </c>
      <c r="J1486" t="s">
        <v>37</v>
      </c>
      <c r="K1486" t="s">
        <v>32</v>
      </c>
      <c r="L1486" t="s">
        <v>35</v>
      </c>
      <c r="AQ1486">
        <v>0</v>
      </c>
      <c r="AR1486" s="3">
        <f t="shared" si="69"/>
        <v>0</v>
      </c>
      <c r="AS1486" s="3">
        <f t="shared" si="70"/>
        <v>0</v>
      </c>
      <c r="AT1486" s="3" t="str">
        <f>IF(OR(Registered!AM1486&gt;0,Registered!AO1486&gt;0),(IF(Registered!E1486=0,"Size Not Specified",Registered!E1486)),"")</f>
        <v/>
      </c>
      <c r="AU1486" s="3" t="str">
        <f>IF(Registered!AE1486=0,"",IF(Registered!AE1486=1,Registered!AE1486&amp;" Bandana",Registered!AE1486&amp;" Bandanas"))</f>
        <v/>
      </c>
      <c r="AV1486" s="3">
        <f t="shared" si="71"/>
        <v>0</v>
      </c>
      <c r="AW1486" s="2" t="str">
        <f>IF(Registered!AV1486=0,"",IF(Registered!AV1486=1,Registered!AV1486&amp;" Meal",Registered!AV1486&amp;" Meals"))</f>
        <v/>
      </c>
      <c r="AX1486" s="2" t="str">
        <f>IF(Registered!AI1486=0,"",Registered!AI1486&amp;" BG")</f>
        <v/>
      </c>
      <c r="AY1486" s="2" t="str">
        <f>IF(Registered!AG1486=0,"",Registered!AG1486&amp;" DustMask")</f>
        <v/>
      </c>
    </row>
    <row r="1487" spans="1:51" customFormat="1" x14ac:dyDescent="0.25">
      <c r="A1487" t="s">
        <v>3501</v>
      </c>
      <c r="B1487" t="s">
        <v>5088</v>
      </c>
      <c r="C1487" t="s">
        <v>6090</v>
      </c>
      <c r="G1487" t="s">
        <v>5089</v>
      </c>
      <c r="H1487" t="s">
        <v>5090</v>
      </c>
      <c r="I1487" t="s">
        <v>5091</v>
      </c>
      <c r="J1487" t="s">
        <v>37</v>
      </c>
      <c r="K1487" t="s">
        <v>32</v>
      </c>
      <c r="L1487" t="s">
        <v>35</v>
      </c>
      <c r="AQ1487">
        <v>0</v>
      </c>
      <c r="AR1487" s="3">
        <f t="shared" si="69"/>
        <v>0</v>
      </c>
      <c r="AS1487" s="3">
        <f t="shared" si="70"/>
        <v>0</v>
      </c>
      <c r="AT1487" s="3" t="str">
        <f>IF(OR(Registered!AM1487&gt;0,Registered!AO1487&gt;0),(IF(Registered!E1487=0,"Size Not Specified",Registered!E1487)),"")</f>
        <v/>
      </c>
      <c r="AU1487" s="3" t="str">
        <f>IF(Registered!AE1487=0,"",IF(Registered!AE1487=1,Registered!AE1487&amp;" Bandana",Registered!AE1487&amp;" Bandanas"))</f>
        <v/>
      </c>
      <c r="AV1487" s="3">
        <f t="shared" si="71"/>
        <v>0</v>
      </c>
      <c r="AW1487" s="2" t="str">
        <f>IF(Registered!AV1487=0,"",IF(Registered!AV1487=1,Registered!AV1487&amp;" Meal",Registered!AV1487&amp;" Meals"))</f>
        <v/>
      </c>
      <c r="AX1487" s="2" t="str">
        <f>IF(Registered!AI1487=0,"",Registered!AI1487&amp;" BG")</f>
        <v/>
      </c>
      <c r="AY1487" s="2" t="str">
        <f>IF(Registered!AG1487=0,"",Registered!AG1487&amp;" DustMask")</f>
        <v/>
      </c>
    </row>
    <row r="1488" spans="1:51" customFormat="1" x14ac:dyDescent="0.25">
      <c r="A1488" t="s">
        <v>155</v>
      </c>
      <c r="B1488" t="s">
        <v>4921</v>
      </c>
      <c r="C1488" t="s">
        <v>6090</v>
      </c>
      <c r="D1488" t="s">
        <v>5092</v>
      </c>
      <c r="F1488" t="s">
        <v>261</v>
      </c>
      <c r="I1488" t="s">
        <v>4922</v>
      </c>
      <c r="J1488" t="s">
        <v>37</v>
      </c>
      <c r="K1488" t="s">
        <v>32</v>
      </c>
      <c r="L1488" t="s">
        <v>35</v>
      </c>
      <c r="Q1488">
        <v>3</v>
      </c>
      <c r="R1488">
        <v>3</v>
      </c>
      <c r="AC1488">
        <v>4</v>
      </c>
      <c r="AD1488">
        <v>10</v>
      </c>
      <c r="AQ1488">
        <v>49</v>
      </c>
      <c r="AR1488" s="3">
        <f t="shared" si="69"/>
        <v>20</v>
      </c>
      <c r="AS1488" s="3">
        <f t="shared" si="70"/>
        <v>0</v>
      </c>
      <c r="AT1488" s="3" t="str">
        <f>IF(OR(Registered!AM1488&gt;0,Registered!AO1488&gt;0),(IF(Registered!E1488=0,"Size Not Specified",Registered!E1488)),"")</f>
        <v/>
      </c>
      <c r="AU1488" s="3" t="str">
        <f>IF(Registered!AE1488=0,"",IF(Registered!AE1488=1,Registered!AE1488&amp;" Bandana",Registered!AE1488&amp;" Bandanas"))</f>
        <v/>
      </c>
      <c r="AV1488" s="3">
        <f t="shared" si="71"/>
        <v>0</v>
      </c>
      <c r="AW1488" s="2" t="str">
        <f>IF(Registered!AV1488=0,"",IF(Registered!AV1488=1,Registered!AV1488&amp;" Meal",Registered!AV1488&amp;" Meals"))</f>
        <v/>
      </c>
      <c r="AX1488" s="2" t="str">
        <f>IF(Registered!AI1488=0,"",Registered!AI1488&amp;" BG")</f>
        <v/>
      </c>
      <c r="AY1488" s="2" t="str">
        <f>IF(Registered!AG1488=0,"",Registered!AG1488&amp;" DustMask")</f>
        <v/>
      </c>
    </row>
    <row r="1489" spans="1:51" customFormat="1" x14ac:dyDescent="0.25">
      <c r="A1489" t="s">
        <v>467</v>
      </c>
      <c r="B1489" t="s">
        <v>1814</v>
      </c>
      <c r="C1489" t="s">
        <v>6090</v>
      </c>
      <c r="G1489" t="s">
        <v>181</v>
      </c>
      <c r="H1489" t="s">
        <v>337</v>
      </c>
      <c r="I1489" t="s">
        <v>1115</v>
      </c>
      <c r="J1489" t="s">
        <v>37</v>
      </c>
      <c r="K1489" t="s">
        <v>32</v>
      </c>
      <c r="L1489" t="s">
        <v>35</v>
      </c>
      <c r="AQ1489">
        <v>0</v>
      </c>
      <c r="AR1489" s="3">
        <f t="shared" si="69"/>
        <v>0</v>
      </c>
      <c r="AS1489" s="3">
        <f t="shared" si="70"/>
        <v>0</v>
      </c>
      <c r="AT1489" s="3" t="str">
        <f>IF(OR(Registered!AM1489&gt;0,Registered!AO1489&gt;0),(IF(Registered!E1489=0,"Size Not Specified",Registered!E1489)),"")</f>
        <v/>
      </c>
      <c r="AU1489" s="3" t="str">
        <f>IF(Registered!AE1489=0,"",IF(Registered!AE1489=1,Registered!AE1489&amp;" Bandana",Registered!AE1489&amp;" Bandanas"))</f>
        <v/>
      </c>
      <c r="AV1489" s="3">
        <f t="shared" si="71"/>
        <v>0</v>
      </c>
      <c r="AW1489" s="2" t="str">
        <f>IF(Registered!AV1489=0,"",IF(Registered!AV1489=1,Registered!AV1489&amp;" Meal",Registered!AV1489&amp;" Meals"))</f>
        <v/>
      </c>
      <c r="AX1489" s="2" t="str">
        <f>IF(Registered!AI1489=0,"",Registered!AI1489&amp;" BG")</f>
        <v/>
      </c>
      <c r="AY1489" s="2" t="str">
        <f>IF(Registered!AG1489=0,"",Registered!AG1489&amp;" DustMask")</f>
        <v/>
      </c>
    </row>
    <row r="1490" spans="1:51" customFormat="1" x14ac:dyDescent="0.25">
      <c r="A1490" t="s">
        <v>286</v>
      </c>
      <c r="B1490" t="s">
        <v>1814</v>
      </c>
      <c r="C1490" t="s">
        <v>6090</v>
      </c>
      <c r="G1490" t="s">
        <v>181</v>
      </c>
      <c r="H1490" t="s">
        <v>337</v>
      </c>
      <c r="I1490" t="s">
        <v>1115</v>
      </c>
      <c r="J1490" t="s">
        <v>37</v>
      </c>
      <c r="K1490" t="s">
        <v>32</v>
      </c>
      <c r="L1490" t="s">
        <v>35</v>
      </c>
      <c r="AQ1490">
        <v>0</v>
      </c>
      <c r="AR1490" s="3">
        <f t="shared" si="69"/>
        <v>0</v>
      </c>
      <c r="AS1490" s="3">
        <f t="shared" si="70"/>
        <v>0</v>
      </c>
      <c r="AT1490" s="3" t="str">
        <f>IF(OR(Registered!AM1490&gt;0,Registered!AO1490&gt;0),(IF(Registered!E1490=0,"Size Not Specified",Registered!E1490)),"")</f>
        <v/>
      </c>
      <c r="AU1490" s="3" t="str">
        <f>IF(Registered!AE1490=0,"",IF(Registered!AE1490=1,Registered!AE1490&amp;" Bandana",Registered!AE1490&amp;" Bandanas"))</f>
        <v/>
      </c>
      <c r="AV1490" s="3">
        <f t="shared" si="71"/>
        <v>0</v>
      </c>
      <c r="AW1490" s="2" t="str">
        <f>IF(Registered!AV1490=0,"",IF(Registered!AV1490=1,Registered!AV1490&amp;" Meal",Registered!AV1490&amp;" Meals"))</f>
        <v/>
      </c>
      <c r="AX1490" s="2" t="str">
        <f>IF(Registered!AI1490=0,"",Registered!AI1490&amp;" BG")</f>
        <v/>
      </c>
      <c r="AY1490" s="2" t="str">
        <f>IF(Registered!AG1490=0,"",Registered!AG1490&amp;" DustMask")</f>
        <v/>
      </c>
    </row>
    <row r="1491" spans="1:51" customFormat="1" x14ac:dyDescent="0.25">
      <c r="A1491" t="s">
        <v>5093</v>
      </c>
      <c r="B1491" t="s">
        <v>1815</v>
      </c>
      <c r="C1491" t="s">
        <v>6090</v>
      </c>
      <c r="G1491" t="s">
        <v>3986</v>
      </c>
      <c r="H1491" t="s">
        <v>1815</v>
      </c>
      <c r="I1491" t="s">
        <v>4237</v>
      </c>
      <c r="J1491" t="s">
        <v>37</v>
      </c>
      <c r="K1491" t="s">
        <v>32</v>
      </c>
      <c r="L1491" t="s">
        <v>35</v>
      </c>
      <c r="AQ1491">
        <v>0</v>
      </c>
      <c r="AR1491" s="3">
        <f t="shared" si="69"/>
        <v>0</v>
      </c>
      <c r="AS1491" s="3">
        <f t="shared" si="70"/>
        <v>0</v>
      </c>
      <c r="AT1491" s="3" t="str">
        <f>IF(OR(Registered!AM1491&gt;0,Registered!AO1491&gt;0),(IF(Registered!E1491=0,"Size Not Specified",Registered!E1491)),"")</f>
        <v/>
      </c>
      <c r="AU1491" s="3" t="str">
        <f>IF(Registered!AE1491=0,"",IF(Registered!AE1491=1,Registered!AE1491&amp;" Bandana",Registered!AE1491&amp;" Bandanas"))</f>
        <v/>
      </c>
      <c r="AV1491" s="3">
        <f t="shared" si="71"/>
        <v>0</v>
      </c>
      <c r="AW1491" s="2" t="str">
        <f>IF(Registered!AV1491=0,"",IF(Registered!AV1491=1,Registered!AV1491&amp;" Meal",Registered!AV1491&amp;" Meals"))</f>
        <v/>
      </c>
      <c r="AX1491" s="2" t="str">
        <f>IF(Registered!AI1491=0,"",Registered!AI1491&amp;" BG")</f>
        <v/>
      </c>
      <c r="AY1491" s="2" t="str">
        <f>IF(Registered!AG1491=0,"",Registered!AG1491&amp;" DustMask")</f>
        <v/>
      </c>
    </row>
    <row r="1492" spans="1:51" customFormat="1" x14ac:dyDescent="0.25">
      <c r="A1492" t="s">
        <v>3986</v>
      </c>
      <c r="B1492" t="s">
        <v>1815</v>
      </c>
      <c r="C1492" t="s">
        <v>6090</v>
      </c>
      <c r="G1492" t="s">
        <v>3986</v>
      </c>
      <c r="H1492" t="s">
        <v>1815</v>
      </c>
      <c r="I1492" t="s">
        <v>4237</v>
      </c>
      <c r="J1492" t="s">
        <v>37</v>
      </c>
      <c r="K1492" t="s">
        <v>32</v>
      </c>
      <c r="L1492" t="s">
        <v>35</v>
      </c>
      <c r="AQ1492">
        <v>0</v>
      </c>
      <c r="AR1492" s="3">
        <f t="shared" si="69"/>
        <v>0</v>
      </c>
      <c r="AS1492" s="3">
        <f t="shared" si="70"/>
        <v>0</v>
      </c>
      <c r="AT1492" s="3" t="str">
        <f>IF(OR(Registered!AM1492&gt;0,Registered!AO1492&gt;0),(IF(Registered!E1492=0,"Size Not Specified",Registered!E1492)),"")</f>
        <v/>
      </c>
      <c r="AU1492" s="3" t="str">
        <f>IF(Registered!AE1492=0,"",IF(Registered!AE1492=1,Registered!AE1492&amp;" Bandana",Registered!AE1492&amp;" Bandanas"))</f>
        <v/>
      </c>
      <c r="AV1492" s="3">
        <f t="shared" si="71"/>
        <v>0</v>
      </c>
      <c r="AW1492" s="2" t="str">
        <f>IF(Registered!AV1492=0,"",IF(Registered!AV1492=1,Registered!AV1492&amp;" Meal",Registered!AV1492&amp;" Meals"))</f>
        <v/>
      </c>
      <c r="AX1492" s="2" t="str">
        <f>IF(Registered!AI1492=0,"",Registered!AI1492&amp;" BG")</f>
        <v/>
      </c>
      <c r="AY1492" s="2" t="str">
        <f>IF(Registered!AG1492=0,"",Registered!AG1492&amp;" DustMask")</f>
        <v/>
      </c>
    </row>
    <row r="1493" spans="1:51" customFormat="1" x14ac:dyDescent="0.25">
      <c r="A1493" t="s">
        <v>3986</v>
      </c>
      <c r="B1493" t="s">
        <v>1815</v>
      </c>
      <c r="C1493" t="s">
        <v>6090</v>
      </c>
      <c r="D1493" t="s">
        <v>5094</v>
      </c>
      <c r="F1493" t="s">
        <v>261</v>
      </c>
      <c r="I1493" t="s">
        <v>4237</v>
      </c>
      <c r="J1493" t="s">
        <v>37</v>
      </c>
      <c r="K1493" t="s">
        <v>32</v>
      </c>
      <c r="L1493" t="s">
        <v>35</v>
      </c>
      <c r="Q1493">
        <v>7</v>
      </c>
      <c r="R1493">
        <v>3</v>
      </c>
      <c r="U1493">
        <v>1</v>
      </c>
      <c r="V1493">
        <v>20</v>
      </c>
      <c r="AQ1493">
        <v>41</v>
      </c>
      <c r="AR1493" s="3">
        <f t="shared" si="69"/>
        <v>10</v>
      </c>
      <c r="AS1493" s="3">
        <f t="shared" si="70"/>
        <v>0</v>
      </c>
      <c r="AT1493" s="3" t="str">
        <f>IF(OR(Registered!AM1493&gt;0,Registered!AO1493&gt;0),(IF(Registered!E1493=0,"Size Not Specified",Registered!E1493)),"")</f>
        <v/>
      </c>
      <c r="AU1493" s="3" t="str">
        <f>IF(Registered!AE1493=0,"",IF(Registered!AE1493=1,Registered!AE1493&amp;" Bandana",Registered!AE1493&amp;" Bandanas"))</f>
        <v/>
      </c>
      <c r="AV1493" s="3">
        <f t="shared" si="71"/>
        <v>0</v>
      </c>
      <c r="AW1493" s="2" t="str">
        <f>IF(Registered!AV1493=0,"",IF(Registered!AV1493=1,Registered!AV1493&amp;" Meal",Registered!AV1493&amp;" Meals"))</f>
        <v/>
      </c>
      <c r="AX1493" s="2" t="str">
        <f>IF(Registered!AI1493=0,"",Registered!AI1493&amp;" BG")</f>
        <v/>
      </c>
      <c r="AY1493" s="2" t="str">
        <f>IF(Registered!AG1493=0,"",Registered!AG1493&amp;" DustMask")</f>
        <v/>
      </c>
    </row>
    <row r="1494" spans="1:51" customFormat="1" x14ac:dyDescent="0.25">
      <c r="A1494" t="s">
        <v>3803</v>
      </c>
      <c r="B1494" t="s">
        <v>1815</v>
      </c>
      <c r="C1494" t="s">
        <v>6090</v>
      </c>
      <c r="G1494" t="s">
        <v>3986</v>
      </c>
      <c r="H1494" t="s">
        <v>1815</v>
      </c>
      <c r="I1494" t="s">
        <v>4237</v>
      </c>
      <c r="J1494" t="s">
        <v>37</v>
      </c>
      <c r="K1494" t="s">
        <v>32</v>
      </c>
      <c r="L1494" t="s">
        <v>35</v>
      </c>
      <c r="AQ1494">
        <v>0</v>
      </c>
      <c r="AR1494" s="3">
        <f t="shared" si="69"/>
        <v>0</v>
      </c>
      <c r="AS1494" s="3">
        <f t="shared" si="70"/>
        <v>0</v>
      </c>
      <c r="AT1494" s="3" t="str">
        <f>IF(OR(Registered!AM1494&gt;0,Registered!AO1494&gt;0),(IF(Registered!E1494=0,"Size Not Specified",Registered!E1494)),"")</f>
        <v/>
      </c>
      <c r="AU1494" s="3" t="str">
        <f>IF(Registered!AE1494=0,"",IF(Registered!AE1494=1,Registered!AE1494&amp;" Bandana",Registered!AE1494&amp;" Bandanas"))</f>
        <v/>
      </c>
      <c r="AV1494" s="3">
        <f t="shared" si="71"/>
        <v>0</v>
      </c>
      <c r="AW1494" s="2" t="str">
        <f>IF(Registered!AV1494=0,"",IF(Registered!AV1494=1,Registered!AV1494&amp;" Meal",Registered!AV1494&amp;" Meals"))</f>
        <v/>
      </c>
      <c r="AX1494" s="2" t="str">
        <f>IF(Registered!AI1494=0,"",Registered!AI1494&amp;" BG")</f>
        <v/>
      </c>
      <c r="AY1494" s="2" t="str">
        <f>IF(Registered!AG1494=0,"",Registered!AG1494&amp;" DustMask")</f>
        <v/>
      </c>
    </row>
    <row r="1495" spans="1:51" customFormat="1" x14ac:dyDescent="0.25">
      <c r="A1495" t="s">
        <v>203</v>
      </c>
      <c r="B1495" t="s">
        <v>1815</v>
      </c>
      <c r="C1495" t="s">
        <v>6090</v>
      </c>
      <c r="D1495" t="s">
        <v>5095</v>
      </c>
      <c r="F1495" t="s">
        <v>261</v>
      </c>
      <c r="I1495" t="s">
        <v>5096</v>
      </c>
      <c r="J1495" t="s">
        <v>37</v>
      </c>
      <c r="K1495" t="s">
        <v>32</v>
      </c>
      <c r="L1495" t="s">
        <v>35</v>
      </c>
      <c r="Q1495">
        <v>1</v>
      </c>
      <c r="R1495">
        <v>3</v>
      </c>
      <c r="AC1495">
        <v>1</v>
      </c>
      <c r="AD1495">
        <v>10</v>
      </c>
      <c r="AQ1495">
        <v>13</v>
      </c>
      <c r="AR1495" s="3">
        <f t="shared" si="69"/>
        <v>5</v>
      </c>
      <c r="AS1495" s="3">
        <f t="shared" si="70"/>
        <v>0</v>
      </c>
      <c r="AT1495" s="3" t="str">
        <f>IF(OR(Registered!AM1495&gt;0,Registered!AO1495&gt;0),(IF(Registered!E1495=0,"Size Not Specified",Registered!E1495)),"")</f>
        <v/>
      </c>
      <c r="AU1495" s="3" t="str">
        <f>IF(Registered!AE1495=0,"",IF(Registered!AE1495=1,Registered!AE1495&amp;" Bandana",Registered!AE1495&amp;" Bandanas"))</f>
        <v/>
      </c>
      <c r="AV1495" s="3">
        <f t="shared" si="71"/>
        <v>0</v>
      </c>
      <c r="AW1495" s="2" t="str">
        <f>IF(Registered!AV1495=0,"",IF(Registered!AV1495=1,Registered!AV1495&amp;" Meal",Registered!AV1495&amp;" Meals"))</f>
        <v/>
      </c>
      <c r="AX1495" s="2" t="str">
        <f>IF(Registered!AI1495=0,"",Registered!AI1495&amp;" BG")</f>
        <v/>
      </c>
      <c r="AY1495" s="2" t="str">
        <f>IF(Registered!AG1495=0,"",Registered!AG1495&amp;" DustMask")</f>
        <v/>
      </c>
    </row>
    <row r="1496" spans="1:51" customFormat="1" x14ac:dyDescent="0.25">
      <c r="A1496" t="s">
        <v>142</v>
      </c>
      <c r="B1496" t="s">
        <v>1815</v>
      </c>
      <c r="C1496" t="s">
        <v>6090</v>
      </c>
      <c r="D1496" t="s">
        <v>1816</v>
      </c>
      <c r="I1496" t="s">
        <v>1817</v>
      </c>
      <c r="J1496" t="s">
        <v>37</v>
      </c>
      <c r="K1496" t="s">
        <v>32</v>
      </c>
      <c r="L1496" t="s">
        <v>35</v>
      </c>
      <c r="S1496">
        <v>1</v>
      </c>
      <c r="T1496">
        <v>3</v>
      </c>
      <c r="U1496">
        <v>1</v>
      </c>
      <c r="V1496">
        <v>20</v>
      </c>
      <c r="AK1496">
        <v>1</v>
      </c>
      <c r="AL1496">
        <v>6</v>
      </c>
      <c r="AQ1496">
        <v>29</v>
      </c>
      <c r="AR1496" s="3">
        <f t="shared" si="69"/>
        <v>10</v>
      </c>
      <c r="AS1496" s="3">
        <f t="shared" si="70"/>
        <v>0</v>
      </c>
      <c r="AT1496" s="3" t="str">
        <f>IF(OR(Registered!AM1496&gt;0,Registered!AO1496&gt;0),(IF(Registered!E1496=0,"Size Not Specified",Registered!E1496)),"")</f>
        <v/>
      </c>
      <c r="AU1496" s="3" t="str">
        <f>IF(Registered!AE1496=0,"",IF(Registered!AE1496=1,Registered!AE1496&amp;" Bandana",Registered!AE1496&amp;" Bandanas"))</f>
        <v/>
      </c>
      <c r="AV1496" s="3">
        <f t="shared" si="71"/>
        <v>1</v>
      </c>
      <c r="AW1496" s="2" t="str">
        <f>IF(Registered!AV1496=0,"",IF(Registered!AV1496=1,Registered!AV1496&amp;" Meal",Registered!AV1496&amp;" Meals"))</f>
        <v>1 Meal</v>
      </c>
      <c r="AX1496" s="2" t="str">
        <f>IF(Registered!AI1496=0,"",Registered!AI1496&amp;" BG")</f>
        <v/>
      </c>
      <c r="AY1496" s="2" t="str">
        <f>IF(Registered!AG1496=0,"",Registered!AG1496&amp;" DustMask")</f>
        <v/>
      </c>
    </row>
    <row r="1497" spans="1:51" customFormat="1" x14ac:dyDescent="0.25">
      <c r="A1497" t="s">
        <v>3040</v>
      </c>
      <c r="B1497" t="s">
        <v>223</v>
      </c>
      <c r="C1497" t="s">
        <v>6090</v>
      </c>
      <c r="G1497" t="s">
        <v>4033</v>
      </c>
      <c r="H1497" t="s">
        <v>223</v>
      </c>
      <c r="I1497" t="s">
        <v>4034</v>
      </c>
      <c r="J1497" t="s">
        <v>37</v>
      </c>
      <c r="K1497" t="s">
        <v>32</v>
      </c>
      <c r="L1497" t="s">
        <v>35</v>
      </c>
      <c r="AQ1497">
        <v>0</v>
      </c>
      <c r="AR1497" s="3">
        <f t="shared" si="69"/>
        <v>0</v>
      </c>
      <c r="AS1497" s="3">
        <f t="shared" si="70"/>
        <v>0</v>
      </c>
      <c r="AT1497" s="3" t="str">
        <f>IF(OR(Registered!AM1497&gt;0,Registered!AO1497&gt;0),(IF(Registered!E1497=0,"Size Not Specified",Registered!E1497)),"")</f>
        <v/>
      </c>
      <c r="AU1497" s="3" t="str">
        <f>IF(Registered!AE1497=0,"",IF(Registered!AE1497=1,Registered!AE1497&amp;" Bandana",Registered!AE1497&amp;" Bandanas"))</f>
        <v/>
      </c>
      <c r="AV1497" s="3">
        <f t="shared" si="71"/>
        <v>0</v>
      </c>
      <c r="AW1497" s="2" t="str">
        <f>IF(Registered!AV1497=0,"",IF(Registered!AV1497=1,Registered!AV1497&amp;" Meal",Registered!AV1497&amp;" Meals"))</f>
        <v/>
      </c>
      <c r="AX1497" s="2" t="str">
        <f>IF(Registered!AI1497=0,"",Registered!AI1497&amp;" BG")</f>
        <v/>
      </c>
      <c r="AY1497" s="2" t="str">
        <f>IF(Registered!AG1497=0,"",Registered!AG1497&amp;" DustMask")</f>
        <v/>
      </c>
    </row>
    <row r="1498" spans="1:51" customFormat="1" x14ac:dyDescent="0.25">
      <c r="A1498" t="s">
        <v>5100</v>
      </c>
      <c r="B1498" t="s">
        <v>223</v>
      </c>
      <c r="C1498" t="s">
        <v>6090</v>
      </c>
      <c r="D1498" t="s">
        <v>5101</v>
      </c>
      <c r="F1498" t="s">
        <v>261</v>
      </c>
      <c r="I1498" t="s">
        <v>5102</v>
      </c>
      <c r="J1498" t="s">
        <v>37</v>
      </c>
      <c r="K1498" t="s">
        <v>32</v>
      </c>
      <c r="L1498" t="s">
        <v>35</v>
      </c>
      <c r="Q1498">
        <v>1</v>
      </c>
      <c r="R1498">
        <v>3</v>
      </c>
      <c r="W1498">
        <v>1</v>
      </c>
      <c r="X1498">
        <v>40</v>
      </c>
      <c r="AC1498">
        <v>1</v>
      </c>
      <c r="AD1498">
        <v>10</v>
      </c>
      <c r="AG1498">
        <v>1</v>
      </c>
      <c r="AH1498">
        <v>1</v>
      </c>
      <c r="AQ1498">
        <v>54</v>
      </c>
      <c r="AR1498" s="3">
        <f t="shared" si="69"/>
        <v>25</v>
      </c>
      <c r="AS1498" s="3">
        <f t="shared" si="70"/>
        <v>0</v>
      </c>
      <c r="AT1498" s="3" t="str">
        <f>IF(OR(Registered!AM1498&gt;0,Registered!AO1498&gt;0),(IF(Registered!E1498=0,"Size Not Specified",Registered!E1498)),"")</f>
        <v/>
      </c>
      <c r="AU1498" s="3" t="str">
        <f>IF(Registered!AE1498=0,"",IF(Registered!AE1498=1,Registered!AE1498&amp;" Bandana",Registered!AE1498&amp;" Bandanas"))</f>
        <v/>
      </c>
      <c r="AV1498" s="3">
        <f t="shared" si="71"/>
        <v>0</v>
      </c>
      <c r="AW1498" s="2" t="str">
        <f>IF(Registered!AV1498=0,"",IF(Registered!AV1498=1,Registered!AV1498&amp;" Meal",Registered!AV1498&amp;" Meals"))</f>
        <v/>
      </c>
      <c r="AX1498" s="2" t="str">
        <f>IF(Registered!AI1498=0,"",Registered!AI1498&amp;" BG")</f>
        <v/>
      </c>
      <c r="AY1498" s="2" t="str">
        <f>IF(Registered!AG1498=0,"",Registered!AG1498&amp;" DustMask")</f>
        <v>1 DustMask</v>
      </c>
    </row>
    <row r="1499" spans="1:51" customFormat="1" x14ac:dyDescent="0.25">
      <c r="A1499" t="s">
        <v>4033</v>
      </c>
      <c r="B1499" t="s">
        <v>223</v>
      </c>
      <c r="C1499" t="s">
        <v>6090</v>
      </c>
      <c r="D1499" t="s">
        <v>5103</v>
      </c>
      <c r="F1499" t="s">
        <v>261</v>
      </c>
      <c r="I1499" t="s">
        <v>4034</v>
      </c>
      <c r="J1499" t="s">
        <v>37</v>
      </c>
      <c r="K1499" t="s">
        <v>32</v>
      </c>
      <c r="L1499" t="s">
        <v>35</v>
      </c>
      <c r="Q1499">
        <v>6</v>
      </c>
      <c r="R1499">
        <v>3</v>
      </c>
      <c r="AC1499">
        <v>1</v>
      </c>
      <c r="AD1499">
        <v>10</v>
      </c>
      <c r="AQ1499">
        <v>28</v>
      </c>
      <c r="AR1499" s="3">
        <f t="shared" si="69"/>
        <v>5</v>
      </c>
      <c r="AS1499" s="3">
        <f t="shared" si="70"/>
        <v>0</v>
      </c>
      <c r="AT1499" s="3" t="str">
        <f>IF(OR(Registered!AM1499&gt;0,Registered!AO1499&gt;0),(IF(Registered!E1499=0,"Size Not Specified",Registered!E1499)),"")</f>
        <v/>
      </c>
      <c r="AU1499" s="3" t="str">
        <f>IF(Registered!AE1499=0,"",IF(Registered!AE1499=1,Registered!AE1499&amp;" Bandana",Registered!AE1499&amp;" Bandanas"))</f>
        <v/>
      </c>
      <c r="AV1499" s="3">
        <f t="shared" si="71"/>
        <v>0</v>
      </c>
      <c r="AW1499" s="2" t="str">
        <f>IF(Registered!AV1499=0,"",IF(Registered!AV1499=1,Registered!AV1499&amp;" Meal",Registered!AV1499&amp;" Meals"))</f>
        <v/>
      </c>
      <c r="AX1499" s="2" t="str">
        <f>IF(Registered!AI1499=0,"",Registered!AI1499&amp;" BG")</f>
        <v/>
      </c>
      <c r="AY1499" s="2" t="str">
        <f>IF(Registered!AG1499=0,"",Registered!AG1499&amp;" DustMask")</f>
        <v/>
      </c>
    </row>
    <row r="1500" spans="1:51" customFormat="1" x14ac:dyDescent="0.25">
      <c r="A1500" t="s">
        <v>60</v>
      </c>
      <c r="B1500" t="s">
        <v>223</v>
      </c>
      <c r="C1500" t="s">
        <v>6090</v>
      </c>
      <c r="G1500" t="s">
        <v>324</v>
      </c>
      <c r="H1500" t="s">
        <v>1813</v>
      </c>
      <c r="I1500" t="s">
        <v>2915</v>
      </c>
      <c r="J1500" t="s">
        <v>37</v>
      </c>
      <c r="K1500" t="s">
        <v>32</v>
      </c>
      <c r="L1500" t="s">
        <v>35</v>
      </c>
      <c r="AQ1500">
        <v>0</v>
      </c>
      <c r="AR1500" s="3">
        <f t="shared" si="69"/>
        <v>0</v>
      </c>
      <c r="AS1500" s="3">
        <f t="shared" si="70"/>
        <v>0</v>
      </c>
      <c r="AT1500" s="3" t="str">
        <f>IF(OR(Registered!AM1500&gt;0,Registered!AO1500&gt;0),(IF(Registered!E1500=0,"Size Not Specified",Registered!E1500)),"")</f>
        <v/>
      </c>
      <c r="AU1500" s="3" t="str">
        <f>IF(Registered!AE1500=0,"",IF(Registered!AE1500=1,Registered!AE1500&amp;" Bandana",Registered!AE1500&amp;" Bandanas"))</f>
        <v/>
      </c>
      <c r="AV1500" s="3">
        <f t="shared" si="71"/>
        <v>0</v>
      </c>
      <c r="AW1500" s="2" t="str">
        <f>IF(Registered!AV1500=0,"",IF(Registered!AV1500=1,Registered!AV1500&amp;" Meal",Registered!AV1500&amp;" Meals"))</f>
        <v/>
      </c>
      <c r="AX1500" s="2" t="str">
        <f>IF(Registered!AI1500=0,"",Registered!AI1500&amp;" BG")</f>
        <v/>
      </c>
      <c r="AY1500" s="2" t="str">
        <f>IF(Registered!AG1500=0,"",Registered!AG1500&amp;" DustMask")</f>
        <v/>
      </c>
    </row>
    <row r="1501" spans="1:51" customFormat="1" x14ac:dyDescent="0.25">
      <c r="A1501" t="s">
        <v>4649</v>
      </c>
      <c r="B1501" t="s">
        <v>223</v>
      </c>
      <c r="C1501" t="s">
        <v>6090</v>
      </c>
      <c r="D1501" t="s">
        <v>5104</v>
      </c>
      <c r="F1501" t="s">
        <v>261</v>
      </c>
      <c r="I1501" t="s">
        <v>4650</v>
      </c>
      <c r="J1501" t="s">
        <v>37</v>
      </c>
      <c r="K1501" t="s">
        <v>32</v>
      </c>
      <c r="L1501" t="s">
        <v>35</v>
      </c>
      <c r="Q1501">
        <v>3</v>
      </c>
      <c r="R1501">
        <v>3</v>
      </c>
      <c r="AC1501">
        <v>3</v>
      </c>
      <c r="AD1501">
        <v>10</v>
      </c>
      <c r="AQ1501">
        <v>39</v>
      </c>
      <c r="AR1501" s="3">
        <f t="shared" si="69"/>
        <v>15</v>
      </c>
      <c r="AS1501" s="3">
        <f t="shared" si="70"/>
        <v>0</v>
      </c>
      <c r="AT1501" s="3" t="str">
        <f>IF(OR(Registered!AM1501&gt;0,Registered!AO1501&gt;0),(IF(Registered!E1501=0,"Size Not Specified",Registered!E1501)),"")</f>
        <v/>
      </c>
      <c r="AU1501" s="3" t="str">
        <f>IF(Registered!AE1501=0,"",IF(Registered!AE1501=1,Registered!AE1501&amp;" Bandana",Registered!AE1501&amp;" Bandanas"))</f>
        <v/>
      </c>
      <c r="AV1501" s="3">
        <f t="shared" si="71"/>
        <v>0</v>
      </c>
      <c r="AW1501" s="2" t="str">
        <f>IF(Registered!AV1501=0,"",IF(Registered!AV1501=1,Registered!AV1501&amp;" Meal",Registered!AV1501&amp;" Meals"))</f>
        <v/>
      </c>
      <c r="AX1501" s="2" t="str">
        <f>IF(Registered!AI1501=0,"",Registered!AI1501&amp;" BG")</f>
        <v/>
      </c>
      <c r="AY1501" s="2" t="str">
        <f>IF(Registered!AG1501=0,"",Registered!AG1501&amp;" DustMask")</f>
        <v/>
      </c>
    </row>
    <row r="1502" spans="1:51" customFormat="1" x14ac:dyDescent="0.25">
      <c r="A1502" t="s">
        <v>85</v>
      </c>
      <c r="B1502" t="s">
        <v>223</v>
      </c>
      <c r="C1502" t="s">
        <v>6090</v>
      </c>
      <c r="D1502" t="s">
        <v>1819</v>
      </c>
      <c r="F1502" t="s">
        <v>261</v>
      </c>
      <c r="I1502" t="s">
        <v>1218</v>
      </c>
      <c r="J1502" t="s">
        <v>37</v>
      </c>
      <c r="K1502" t="s">
        <v>32</v>
      </c>
      <c r="L1502" t="s">
        <v>35</v>
      </c>
      <c r="S1502">
        <v>4</v>
      </c>
      <c r="T1502">
        <v>3</v>
      </c>
      <c r="W1502">
        <v>1</v>
      </c>
      <c r="X1502">
        <v>40</v>
      </c>
      <c r="AQ1502">
        <v>52</v>
      </c>
      <c r="AR1502" s="3">
        <f t="shared" si="69"/>
        <v>20</v>
      </c>
      <c r="AS1502" s="3">
        <f t="shared" si="70"/>
        <v>0</v>
      </c>
      <c r="AT1502" s="3" t="str">
        <f>IF(OR(Registered!AM1502&gt;0,Registered!AO1502&gt;0),(IF(Registered!E1502=0,"Size Not Specified",Registered!E1502)),"")</f>
        <v/>
      </c>
      <c r="AU1502" s="3" t="str">
        <f>IF(Registered!AE1502=0,"",IF(Registered!AE1502=1,Registered!AE1502&amp;" Bandana",Registered!AE1502&amp;" Bandanas"))</f>
        <v/>
      </c>
      <c r="AV1502" s="3">
        <f t="shared" si="71"/>
        <v>0</v>
      </c>
      <c r="AW1502" s="2" t="str">
        <f>IF(Registered!AV1502=0,"",IF(Registered!AV1502=1,Registered!AV1502&amp;" Meal",Registered!AV1502&amp;" Meals"))</f>
        <v/>
      </c>
      <c r="AX1502" s="2" t="str">
        <f>IF(Registered!AI1502=0,"",Registered!AI1502&amp;" BG")</f>
        <v/>
      </c>
      <c r="AY1502" s="2" t="str">
        <f>IF(Registered!AG1502=0,"",Registered!AG1502&amp;" DustMask")</f>
        <v/>
      </c>
    </row>
    <row r="1503" spans="1:51" customFormat="1" x14ac:dyDescent="0.25">
      <c r="A1503" t="s">
        <v>5105</v>
      </c>
      <c r="B1503" t="s">
        <v>223</v>
      </c>
      <c r="C1503" t="s">
        <v>6090</v>
      </c>
      <c r="D1503" t="s">
        <v>5106</v>
      </c>
      <c r="F1503" t="s">
        <v>261</v>
      </c>
      <c r="I1503" t="s">
        <v>5107</v>
      </c>
      <c r="J1503" t="s">
        <v>37</v>
      </c>
      <c r="K1503" t="s">
        <v>32</v>
      </c>
      <c r="L1503" t="s">
        <v>35</v>
      </c>
      <c r="Q1503">
        <v>1</v>
      </c>
      <c r="R1503">
        <v>3</v>
      </c>
      <c r="AC1503">
        <v>1</v>
      </c>
      <c r="AD1503">
        <v>10</v>
      </c>
      <c r="AQ1503">
        <v>13</v>
      </c>
      <c r="AR1503" s="3">
        <f t="shared" si="69"/>
        <v>5</v>
      </c>
      <c r="AS1503" s="3">
        <f t="shared" si="70"/>
        <v>0</v>
      </c>
      <c r="AT1503" s="3" t="str">
        <f>IF(OR(Registered!AM1503&gt;0,Registered!AO1503&gt;0),(IF(Registered!E1503=0,"Size Not Specified",Registered!E1503)),"")</f>
        <v/>
      </c>
      <c r="AU1503" s="3" t="str">
        <f>IF(Registered!AE1503=0,"",IF(Registered!AE1503=1,Registered!AE1503&amp;" Bandana",Registered!AE1503&amp;" Bandanas"))</f>
        <v/>
      </c>
      <c r="AV1503" s="3">
        <f t="shared" si="71"/>
        <v>0</v>
      </c>
      <c r="AW1503" s="2" t="str">
        <f>IF(Registered!AV1503=0,"",IF(Registered!AV1503=1,Registered!AV1503&amp;" Meal",Registered!AV1503&amp;" Meals"))</f>
        <v/>
      </c>
      <c r="AX1503" s="2" t="str">
        <f>IF(Registered!AI1503=0,"",Registered!AI1503&amp;" BG")</f>
        <v/>
      </c>
      <c r="AY1503" s="2" t="str">
        <f>IF(Registered!AG1503=0,"",Registered!AG1503&amp;" DustMask")</f>
        <v/>
      </c>
    </row>
    <row r="1504" spans="1:51" customFormat="1" x14ac:dyDescent="0.25">
      <c r="A1504" t="s">
        <v>104</v>
      </c>
      <c r="B1504" t="s">
        <v>5108</v>
      </c>
      <c r="C1504" t="s">
        <v>6090</v>
      </c>
      <c r="G1504" t="s">
        <v>5109</v>
      </c>
      <c r="H1504" t="s">
        <v>5108</v>
      </c>
      <c r="I1504" t="s">
        <v>5110</v>
      </c>
      <c r="J1504" t="s">
        <v>37</v>
      </c>
      <c r="K1504" t="s">
        <v>32</v>
      </c>
      <c r="L1504" t="s">
        <v>35</v>
      </c>
      <c r="AQ1504">
        <v>0</v>
      </c>
      <c r="AR1504" s="3">
        <f t="shared" si="69"/>
        <v>0</v>
      </c>
      <c r="AS1504" s="3">
        <f t="shared" si="70"/>
        <v>0</v>
      </c>
      <c r="AT1504" s="3" t="str">
        <f>IF(OR(Registered!AM1504&gt;0,Registered!AO1504&gt;0),(IF(Registered!E1504=0,"Size Not Specified",Registered!E1504)),"")</f>
        <v/>
      </c>
      <c r="AU1504" s="3" t="str">
        <f>IF(Registered!AE1504=0,"",IF(Registered!AE1504=1,Registered!AE1504&amp;" Bandana",Registered!AE1504&amp;" Bandanas"))</f>
        <v/>
      </c>
      <c r="AV1504" s="3">
        <f t="shared" si="71"/>
        <v>0</v>
      </c>
      <c r="AW1504" s="2" t="str">
        <f>IF(Registered!AV1504=0,"",IF(Registered!AV1504=1,Registered!AV1504&amp;" Meal",Registered!AV1504&amp;" Meals"))</f>
        <v/>
      </c>
      <c r="AX1504" s="2" t="str">
        <f>IF(Registered!AI1504=0,"",Registered!AI1504&amp;" BG")</f>
        <v/>
      </c>
      <c r="AY1504" s="2" t="str">
        <f>IF(Registered!AG1504=0,"",Registered!AG1504&amp;" DustMask")</f>
        <v/>
      </c>
    </row>
    <row r="1505" spans="1:51" customFormat="1" x14ac:dyDescent="0.25">
      <c r="A1505" t="s">
        <v>5109</v>
      </c>
      <c r="B1505" t="s">
        <v>5108</v>
      </c>
      <c r="C1505" t="s">
        <v>6090</v>
      </c>
      <c r="D1505" t="s">
        <v>5109</v>
      </c>
      <c r="E1505" t="s">
        <v>5111</v>
      </c>
      <c r="F1505" t="s">
        <v>261</v>
      </c>
      <c r="I1505" t="s">
        <v>5112</v>
      </c>
      <c r="J1505" t="s">
        <v>37</v>
      </c>
      <c r="K1505" t="s">
        <v>32</v>
      </c>
      <c r="L1505" t="s">
        <v>35</v>
      </c>
      <c r="Q1505">
        <v>2</v>
      </c>
      <c r="R1505">
        <v>3</v>
      </c>
      <c r="U1505">
        <v>1</v>
      </c>
      <c r="V1505">
        <v>20</v>
      </c>
      <c r="AQ1505">
        <v>26</v>
      </c>
      <c r="AR1505" s="3">
        <f t="shared" si="69"/>
        <v>10</v>
      </c>
      <c r="AS1505" s="3">
        <f t="shared" si="70"/>
        <v>0</v>
      </c>
      <c r="AT1505" s="3" t="str">
        <f>IF(OR(Registered!AM1505&gt;0,Registered!AO1505&gt;0),(IF(Registered!E1505=0,"Size Not Specified",Registered!E1505)),"")</f>
        <v/>
      </c>
      <c r="AU1505" s="3" t="str">
        <f>IF(Registered!AE1505=0,"",IF(Registered!AE1505=1,Registered!AE1505&amp;" Bandana",Registered!AE1505&amp;" Bandanas"))</f>
        <v/>
      </c>
      <c r="AV1505" s="3">
        <f t="shared" si="71"/>
        <v>0</v>
      </c>
      <c r="AW1505" s="2" t="str">
        <f>IF(Registered!AV1505=0,"",IF(Registered!AV1505=1,Registered!AV1505&amp;" Meal",Registered!AV1505&amp;" Meals"))</f>
        <v/>
      </c>
      <c r="AX1505" s="2" t="str">
        <f>IF(Registered!AI1505=0,"",Registered!AI1505&amp;" BG")</f>
        <v/>
      </c>
      <c r="AY1505" s="2" t="str">
        <f>IF(Registered!AG1505=0,"",Registered!AG1505&amp;" DustMask")</f>
        <v/>
      </c>
    </row>
    <row r="1506" spans="1:51" customFormat="1" x14ac:dyDescent="0.25">
      <c r="A1506" t="s">
        <v>79</v>
      </c>
      <c r="B1506" t="s">
        <v>1821</v>
      </c>
      <c r="C1506" t="s">
        <v>6090</v>
      </c>
      <c r="D1506" t="s">
        <v>5113</v>
      </c>
      <c r="F1506" t="s">
        <v>261</v>
      </c>
      <c r="I1506" t="s">
        <v>5114</v>
      </c>
      <c r="J1506" t="s">
        <v>37</v>
      </c>
      <c r="K1506" t="s">
        <v>32</v>
      </c>
      <c r="L1506" t="s">
        <v>35</v>
      </c>
      <c r="Q1506">
        <v>2</v>
      </c>
      <c r="R1506">
        <v>3</v>
      </c>
      <c r="U1506">
        <v>1</v>
      </c>
      <c r="V1506">
        <v>20</v>
      </c>
      <c r="AC1506">
        <v>1</v>
      </c>
      <c r="AD1506">
        <v>10</v>
      </c>
      <c r="AQ1506">
        <v>36</v>
      </c>
      <c r="AR1506" s="3">
        <f t="shared" si="69"/>
        <v>15</v>
      </c>
      <c r="AS1506" s="3">
        <f t="shared" si="70"/>
        <v>0</v>
      </c>
      <c r="AT1506" s="3" t="str">
        <f>IF(OR(Registered!AM1506&gt;0,Registered!AO1506&gt;0),(IF(Registered!E1506=0,"Size Not Specified",Registered!E1506)),"")</f>
        <v/>
      </c>
      <c r="AU1506" s="3" t="str">
        <f>IF(Registered!AE1506=0,"",IF(Registered!AE1506=1,Registered!AE1506&amp;" Bandana",Registered!AE1506&amp;" Bandanas"))</f>
        <v/>
      </c>
      <c r="AV1506" s="3">
        <f t="shared" si="71"/>
        <v>0</v>
      </c>
      <c r="AW1506" s="2" t="str">
        <f>IF(Registered!AV1506=0,"",IF(Registered!AV1506=1,Registered!AV1506&amp;" Meal",Registered!AV1506&amp;" Meals"))</f>
        <v/>
      </c>
      <c r="AX1506" s="2" t="str">
        <f>IF(Registered!AI1506=0,"",Registered!AI1506&amp;" BG")</f>
        <v/>
      </c>
      <c r="AY1506" s="2" t="str">
        <f>IF(Registered!AG1506=0,"",Registered!AG1506&amp;" DustMask")</f>
        <v/>
      </c>
    </row>
    <row r="1507" spans="1:51" customFormat="1" x14ac:dyDescent="0.25">
      <c r="A1507" t="s">
        <v>1820</v>
      </c>
      <c r="B1507" t="s">
        <v>1821</v>
      </c>
      <c r="C1507" t="s">
        <v>6090</v>
      </c>
      <c r="D1507" t="s">
        <v>1822</v>
      </c>
      <c r="F1507" t="s">
        <v>261</v>
      </c>
      <c r="I1507" t="s">
        <v>1823</v>
      </c>
      <c r="J1507" t="s">
        <v>37</v>
      </c>
      <c r="K1507" t="s">
        <v>32</v>
      </c>
      <c r="L1507" t="s">
        <v>35</v>
      </c>
      <c r="S1507">
        <v>3</v>
      </c>
      <c r="T1507">
        <v>3</v>
      </c>
      <c r="Y1507">
        <v>1</v>
      </c>
      <c r="Z1507">
        <v>60</v>
      </c>
      <c r="AQ1507">
        <v>69</v>
      </c>
      <c r="AR1507" s="3">
        <f t="shared" si="69"/>
        <v>30</v>
      </c>
      <c r="AS1507" s="3">
        <f t="shared" si="70"/>
        <v>0</v>
      </c>
      <c r="AT1507" s="3" t="str">
        <f>IF(OR(Registered!AM1507&gt;0,Registered!AO1507&gt;0),(IF(Registered!E1507=0,"Size Not Specified",Registered!E1507)),"")</f>
        <v/>
      </c>
      <c r="AU1507" s="3" t="str">
        <f>IF(Registered!AE1507=0,"",IF(Registered!AE1507=1,Registered!AE1507&amp;" Bandana",Registered!AE1507&amp;" Bandanas"))</f>
        <v/>
      </c>
      <c r="AV1507" s="3">
        <f t="shared" si="71"/>
        <v>0</v>
      </c>
      <c r="AW1507" s="2" t="str">
        <f>IF(Registered!AV1507=0,"",IF(Registered!AV1507=1,Registered!AV1507&amp;" Meal",Registered!AV1507&amp;" Meals"))</f>
        <v/>
      </c>
      <c r="AX1507" s="2" t="str">
        <f>IF(Registered!AI1507=0,"",Registered!AI1507&amp;" BG")</f>
        <v/>
      </c>
      <c r="AY1507" s="2" t="str">
        <f>IF(Registered!AG1507=0,"",Registered!AG1507&amp;" DustMask")</f>
        <v/>
      </c>
    </row>
    <row r="1508" spans="1:51" customFormat="1" x14ac:dyDescent="0.25">
      <c r="A1508" t="s">
        <v>85</v>
      </c>
      <c r="B1508" t="s">
        <v>1821</v>
      </c>
      <c r="C1508" t="s">
        <v>6090</v>
      </c>
      <c r="G1508" t="s">
        <v>79</v>
      </c>
      <c r="H1508" t="s">
        <v>1821</v>
      </c>
      <c r="I1508" t="s">
        <v>5114</v>
      </c>
      <c r="J1508" t="s">
        <v>37</v>
      </c>
      <c r="K1508" t="s">
        <v>32</v>
      </c>
      <c r="L1508" t="s">
        <v>35</v>
      </c>
      <c r="AQ1508">
        <v>0</v>
      </c>
      <c r="AR1508" s="3">
        <f t="shared" si="69"/>
        <v>0</v>
      </c>
      <c r="AS1508" s="3">
        <f t="shared" si="70"/>
        <v>0</v>
      </c>
      <c r="AT1508" s="3" t="str">
        <f>IF(OR(Registered!AM1508&gt;0,Registered!AO1508&gt;0),(IF(Registered!E1508=0,"Size Not Specified",Registered!E1508)),"")</f>
        <v/>
      </c>
      <c r="AU1508" s="3" t="str">
        <f>IF(Registered!AE1508=0,"",IF(Registered!AE1508=1,Registered!AE1508&amp;" Bandana",Registered!AE1508&amp;" Bandanas"))</f>
        <v/>
      </c>
      <c r="AV1508" s="3">
        <f t="shared" si="71"/>
        <v>0</v>
      </c>
      <c r="AW1508" s="2" t="str">
        <f>IF(Registered!AV1508=0,"",IF(Registered!AV1508=1,Registered!AV1508&amp;" Meal",Registered!AV1508&amp;" Meals"))</f>
        <v/>
      </c>
      <c r="AX1508" s="2" t="str">
        <f>IF(Registered!AI1508=0,"",Registered!AI1508&amp;" BG")</f>
        <v/>
      </c>
      <c r="AY1508" s="2" t="str">
        <f>IF(Registered!AG1508=0,"",Registered!AG1508&amp;" DustMask")</f>
        <v/>
      </c>
    </row>
    <row r="1509" spans="1:51" customFormat="1" x14ac:dyDescent="0.25">
      <c r="A1509" t="s">
        <v>166</v>
      </c>
      <c r="B1509" t="s">
        <v>372</v>
      </c>
      <c r="C1509" t="s">
        <v>6090</v>
      </c>
      <c r="I1509" t="s">
        <v>1824</v>
      </c>
      <c r="J1509" t="s">
        <v>37</v>
      </c>
      <c r="K1509" t="s">
        <v>32</v>
      </c>
      <c r="L1509" t="s">
        <v>35</v>
      </c>
      <c r="S1509">
        <v>1</v>
      </c>
      <c r="T1509">
        <v>3</v>
      </c>
      <c r="W1509">
        <v>1</v>
      </c>
      <c r="X1509">
        <v>40</v>
      </c>
      <c r="AE1509">
        <v>1</v>
      </c>
      <c r="AF1509">
        <v>6</v>
      </c>
      <c r="AQ1509">
        <v>49</v>
      </c>
      <c r="AR1509" s="3">
        <f t="shared" si="69"/>
        <v>20</v>
      </c>
      <c r="AS1509" s="3">
        <f t="shared" si="70"/>
        <v>0</v>
      </c>
      <c r="AT1509" s="3" t="str">
        <f>IF(OR(Registered!AM1509&gt;0,Registered!AO1509&gt;0),(IF(Registered!E1509=0,"Size Not Specified",Registered!E1509)),"")</f>
        <v/>
      </c>
      <c r="AU1509" s="3" t="str">
        <f>IF(Registered!AE1509=0,"",IF(Registered!AE1509=1,Registered!AE1509&amp;" Bandana",Registered!AE1509&amp;" Bandanas"))</f>
        <v>1 Bandana</v>
      </c>
      <c r="AV1509" s="3">
        <f t="shared" si="71"/>
        <v>0</v>
      </c>
      <c r="AW1509" s="2" t="str">
        <f>IF(Registered!AV1509=0,"",IF(Registered!AV1509=1,Registered!AV1509&amp;" Meal",Registered!AV1509&amp;" Meals"))</f>
        <v/>
      </c>
      <c r="AX1509" s="2" t="str">
        <f>IF(Registered!AI1509=0,"",Registered!AI1509&amp;" BG")</f>
        <v/>
      </c>
      <c r="AY1509" s="2" t="str">
        <f>IF(Registered!AG1509=0,"",Registered!AG1509&amp;" DustMask")</f>
        <v/>
      </c>
    </row>
    <row r="1510" spans="1:51" customFormat="1" x14ac:dyDescent="0.25">
      <c r="A1510" t="s">
        <v>1024</v>
      </c>
      <c r="B1510" t="s">
        <v>372</v>
      </c>
      <c r="C1510" t="s">
        <v>6090</v>
      </c>
      <c r="G1510" t="s">
        <v>202</v>
      </c>
      <c r="H1510" t="s">
        <v>2809</v>
      </c>
      <c r="I1510" t="s">
        <v>3962</v>
      </c>
      <c r="J1510" t="s">
        <v>37</v>
      </c>
      <c r="K1510" t="s">
        <v>32</v>
      </c>
      <c r="L1510" t="s">
        <v>35</v>
      </c>
      <c r="AQ1510">
        <v>0</v>
      </c>
      <c r="AR1510" s="3">
        <f t="shared" si="69"/>
        <v>0</v>
      </c>
      <c r="AS1510" s="3">
        <f t="shared" si="70"/>
        <v>0</v>
      </c>
      <c r="AT1510" s="3" t="str">
        <f>IF(OR(Registered!AM1510&gt;0,Registered!AO1510&gt;0),(IF(Registered!E1510=0,"Size Not Specified",Registered!E1510)),"")</f>
        <v/>
      </c>
      <c r="AU1510" s="3" t="str">
        <f>IF(Registered!AE1510=0,"",IF(Registered!AE1510=1,Registered!AE1510&amp;" Bandana",Registered!AE1510&amp;" Bandanas"))</f>
        <v/>
      </c>
      <c r="AV1510" s="3">
        <f t="shared" si="71"/>
        <v>0</v>
      </c>
      <c r="AW1510" s="2" t="str">
        <f>IF(Registered!AV1510=0,"",IF(Registered!AV1510=1,Registered!AV1510&amp;" Meal",Registered!AV1510&amp;" Meals"))</f>
        <v/>
      </c>
      <c r="AX1510" s="2" t="str">
        <f>IF(Registered!AI1510=0,"",Registered!AI1510&amp;" BG")</f>
        <v/>
      </c>
      <c r="AY1510" s="2" t="str">
        <f>IF(Registered!AG1510=0,"",Registered!AG1510&amp;" DustMask")</f>
        <v/>
      </c>
    </row>
    <row r="1511" spans="1:51" customFormat="1" x14ac:dyDescent="0.25">
      <c r="A1511" t="s">
        <v>430</v>
      </c>
      <c r="B1511" t="s">
        <v>402</v>
      </c>
      <c r="C1511" t="s">
        <v>6090</v>
      </c>
      <c r="F1511" t="s">
        <v>261</v>
      </c>
      <c r="I1511" t="s">
        <v>1825</v>
      </c>
      <c r="J1511" t="s">
        <v>37</v>
      </c>
      <c r="K1511" t="s">
        <v>32</v>
      </c>
      <c r="L1511" t="s">
        <v>35</v>
      </c>
      <c r="S1511">
        <v>1</v>
      </c>
      <c r="T1511">
        <v>3</v>
      </c>
      <c r="AC1511">
        <v>1</v>
      </c>
      <c r="AD1511">
        <v>10</v>
      </c>
      <c r="AQ1511">
        <v>13</v>
      </c>
      <c r="AR1511" s="3">
        <f t="shared" si="69"/>
        <v>5</v>
      </c>
      <c r="AS1511" s="3">
        <f t="shared" si="70"/>
        <v>0</v>
      </c>
      <c r="AT1511" s="3" t="str">
        <f>IF(OR(Registered!AM1511&gt;0,Registered!AO1511&gt;0),(IF(Registered!E1511=0,"Size Not Specified",Registered!E1511)),"")</f>
        <v/>
      </c>
      <c r="AU1511" s="3" t="str">
        <f>IF(Registered!AE1511=0,"",IF(Registered!AE1511=1,Registered!AE1511&amp;" Bandana",Registered!AE1511&amp;" Bandanas"))</f>
        <v/>
      </c>
      <c r="AV1511" s="3">
        <f t="shared" si="71"/>
        <v>0</v>
      </c>
      <c r="AW1511" s="2" t="str">
        <f>IF(Registered!AV1511=0,"",IF(Registered!AV1511=1,Registered!AV1511&amp;" Meal",Registered!AV1511&amp;" Meals"))</f>
        <v/>
      </c>
      <c r="AX1511" s="2" t="str">
        <f>IF(Registered!AI1511=0,"",Registered!AI1511&amp;" BG")</f>
        <v/>
      </c>
      <c r="AY1511" s="2" t="str">
        <f>IF(Registered!AG1511=0,"",Registered!AG1511&amp;" DustMask")</f>
        <v/>
      </c>
    </row>
    <row r="1512" spans="1:51" customFormat="1" x14ac:dyDescent="0.25">
      <c r="A1512" t="s">
        <v>1826</v>
      </c>
      <c r="B1512" t="s">
        <v>402</v>
      </c>
      <c r="C1512" t="s">
        <v>6090</v>
      </c>
      <c r="D1512" t="s">
        <v>1827</v>
      </c>
      <c r="E1512" t="s">
        <v>216</v>
      </c>
      <c r="F1512" t="s">
        <v>261</v>
      </c>
      <c r="I1512" t="s">
        <v>1828</v>
      </c>
      <c r="J1512" t="s">
        <v>37</v>
      </c>
      <c r="K1512" t="s">
        <v>32</v>
      </c>
      <c r="L1512" t="s">
        <v>35</v>
      </c>
      <c r="S1512">
        <v>2</v>
      </c>
      <c r="T1512">
        <v>3</v>
      </c>
      <c r="AM1512">
        <v>2</v>
      </c>
      <c r="AN1512">
        <v>25</v>
      </c>
      <c r="AQ1512">
        <v>56</v>
      </c>
      <c r="AR1512" s="3">
        <f t="shared" si="69"/>
        <v>10</v>
      </c>
      <c r="AS1512" s="3">
        <f t="shared" si="70"/>
        <v>2</v>
      </c>
      <c r="AT1512" s="3" t="str">
        <f>IF(OR(Registered!AM1512&gt;0,Registered!AO1512&gt;0),(IF(Registered!E1512=0,"Size Not Specified",Registered!E1512)),"")</f>
        <v>large</v>
      </c>
      <c r="AU1512" s="3" t="str">
        <f>IF(Registered!AE1512=0,"",IF(Registered!AE1512=1,Registered!AE1512&amp;" Bandana",Registered!AE1512&amp;" Bandanas"))</f>
        <v/>
      </c>
      <c r="AV1512" s="3">
        <f t="shared" si="71"/>
        <v>2</v>
      </c>
      <c r="AW1512" s="2" t="str">
        <f>IF(Registered!AV1512=0,"",IF(Registered!AV1512=1,Registered!AV1512&amp;" Meal",Registered!AV1512&amp;" Meals"))</f>
        <v>2 Meals</v>
      </c>
      <c r="AX1512" s="2" t="str">
        <f>IF(Registered!AI1512=0,"",Registered!AI1512&amp;" BG")</f>
        <v/>
      </c>
      <c r="AY1512" s="2" t="str">
        <f>IF(Registered!AG1512=0,"",Registered!AG1512&amp;" DustMask")</f>
        <v/>
      </c>
    </row>
    <row r="1513" spans="1:51" customFormat="1" x14ac:dyDescent="0.25">
      <c r="A1513" t="s">
        <v>5115</v>
      </c>
      <c r="B1513" t="s">
        <v>5116</v>
      </c>
      <c r="C1513" t="s">
        <v>6090</v>
      </c>
      <c r="G1513" t="s">
        <v>3787</v>
      </c>
      <c r="H1513" t="s">
        <v>3788</v>
      </c>
      <c r="I1513" t="s">
        <v>3790</v>
      </c>
      <c r="J1513" t="s">
        <v>37</v>
      </c>
      <c r="K1513" t="s">
        <v>32</v>
      </c>
      <c r="L1513" t="s">
        <v>35</v>
      </c>
      <c r="AQ1513">
        <v>0</v>
      </c>
      <c r="AR1513" s="3">
        <f t="shared" si="69"/>
        <v>0</v>
      </c>
      <c r="AS1513" s="3">
        <f t="shared" si="70"/>
        <v>0</v>
      </c>
      <c r="AT1513" s="3" t="str">
        <f>IF(OR(Registered!AM1513&gt;0,Registered!AO1513&gt;0),(IF(Registered!E1513=0,"Size Not Specified",Registered!E1513)),"")</f>
        <v/>
      </c>
      <c r="AU1513" s="3" t="str">
        <f>IF(Registered!AE1513=0,"",IF(Registered!AE1513=1,Registered!AE1513&amp;" Bandana",Registered!AE1513&amp;" Bandanas"))</f>
        <v/>
      </c>
      <c r="AV1513" s="3">
        <f t="shared" si="71"/>
        <v>0</v>
      </c>
      <c r="AW1513" s="2" t="str">
        <f>IF(Registered!AV1513=0,"",IF(Registered!AV1513=1,Registered!AV1513&amp;" Meal",Registered!AV1513&amp;" Meals"))</f>
        <v/>
      </c>
      <c r="AX1513" s="2" t="str">
        <f>IF(Registered!AI1513=0,"",Registered!AI1513&amp;" BG")</f>
        <v/>
      </c>
      <c r="AY1513" s="2" t="str">
        <f>IF(Registered!AG1513=0,"",Registered!AG1513&amp;" DustMask")</f>
        <v/>
      </c>
    </row>
    <row r="1514" spans="1:51" customFormat="1" x14ac:dyDescent="0.25">
      <c r="A1514" t="s">
        <v>2722</v>
      </c>
      <c r="B1514" t="s">
        <v>2723</v>
      </c>
      <c r="C1514" t="s">
        <v>6090</v>
      </c>
      <c r="D1514" t="s">
        <v>3172</v>
      </c>
      <c r="F1514" t="s">
        <v>261</v>
      </c>
      <c r="I1514" t="s">
        <v>2724</v>
      </c>
      <c r="J1514" t="s">
        <v>37</v>
      </c>
      <c r="K1514" t="s">
        <v>32</v>
      </c>
      <c r="L1514" t="s">
        <v>35</v>
      </c>
      <c r="Q1514">
        <v>4</v>
      </c>
      <c r="R1514">
        <v>3</v>
      </c>
      <c r="U1514">
        <v>1</v>
      </c>
      <c r="V1514">
        <v>20</v>
      </c>
      <c r="AQ1514">
        <v>32</v>
      </c>
      <c r="AR1514" s="3">
        <f t="shared" si="69"/>
        <v>10</v>
      </c>
      <c r="AS1514" s="3">
        <f t="shared" si="70"/>
        <v>0</v>
      </c>
      <c r="AT1514" s="3" t="str">
        <f>IF(OR(Registered!AM1514&gt;0,Registered!AO1514&gt;0),(IF(Registered!E1514=0,"Size Not Specified",Registered!E1514)),"")</f>
        <v/>
      </c>
      <c r="AU1514" s="3" t="str">
        <f>IF(Registered!AE1514=0,"",IF(Registered!AE1514=1,Registered!AE1514&amp;" Bandana",Registered!AE1514&amp;" Bandanas"))</f>
        <v/>
      </c>
      <c r="AV1514" s="3">
        <f t="shared" si="71"/>
        <v>0</v>
      </c>
      <c r="AW1514" s="2" t="str">
        <f>IF(Registered!AV1514=0,"",IF(Registered!AV1514=1,Registered!AV1514&amp;" Meal",Registered!AV1514&amp;" Meals"))</f>
        <v/>
      </c>
      <c r="AX1514" s="2" t="str">
        <f>IF(Registered!AI1514=0,"",Registered!AI1514&amp;" BG")</f>
        <v/>
      </c>
      <c r="AY1514" s="2" t="str">
        <f>IF(Registered!AG1514=0,"",Registered!AG1514&amp;" DustMask")</f>
        <v/>
      </c>
    </row>
    <row r="1515" spans="1:51" customFormat="1" x14ac:dyDescent="0.25">
      <c r="A1515" t="s">
        <v>377</v>
      </c>
      <c r="B1515" t="s">
        <v>231</v>
      </c>
      <c r="C1515" t="s">
        <v>6090</v>
      </c>
      <c r="G1515" t="s">
        <v>100</v>
      </c>
      <c r="H1515" t="s">
        <v>1317</v>
      </c>
      <c r="I1515" t="s">
        <v>1318</v>
      </c>
      <c r="J1515" t="s">
        <v>37</v>
      </c>
      <c r="K1515" t="s">
        <v>32</v>
      </c>
      <c r="L1515" t="s">
        <v>35</v>
      </c>
      <c r="AQ1515">
        <v>0</v>
      </c>
      <c r="AR1515" s="3">
        <f t="shared" si="69"/>
        <v>0</v>
      </c>
      <c r="AS1515" s="3">
        <f t="shared" si="70"/>
        <v>0</v>
      </c>
      <c r="AT1515" s="3" t="str">
        <f>IF(OR(Registered!AM1515&gt;0,Registered!AO1515&gt;0),(IF(Registered!E1515=0,"Size Not Specified",Registered!E1515)),"")</f>
        <v/>
      </c>
      <c r="AU1515" s="3" t="str">
        <f>IF(Registered!AE1515=0,"",IF(Registered!AE1515=1,Registered!AE1515&amp;" Bandana",Registered!AE1515&amp;" Bandanas"))</f>
        <v/>
      </c>
      <c r="AV1515" s="3">
        <f t="shared" si="71"/>
        <v>0</v>
      </c>
      <c r="AW1515" s="2" t="str">
        <f>IF(Registered!AV1515=0,"",IF(Registered!AV1515=1,Registered!AV1515&amp;" Meal",Registered!AV1515&amp;" Meals"))</f>
        <v/>
      </c>
      <c r="AX1515" s="2" t="str">
        <f>IF(Registered!AI1515=0,"",Registered!AI1515&amp;" BG")</f>
        <v/>
      </c>
      <c r="AY1515" s="2" t="str">
        <f>IF(Registered!AG1515=0,"",Registered!AG1515&amp;" DustMask")</f>
        <v/>
      </c>
    </row>
    <row r="1516" spans="1:51" customFormat="1" x14ac:dyDescent="0.25">
      <c r="A1516" t="s">
        <v>3710</v>
      </c>
      <c r="B1516" t="s">
        <v>4820</v>
      </c>
      <c r="C1516" t="s">
        <v>6090</v>
      </c>
      <c r="D1516" t="s">
        <v>5117</v>
      </c>
      <c r="F1516" t="s">
        <v>261</v>
      </c>
      <c r="I1516" t="s">
        <v>4821</v>
      </c>
      <c r="J1516" t="s">
        <v>37</v>
      </c>
      <c r="K1516" t="s">
        <v>32</v>
      </c>
      <c r="L1516" t="s">
        <v>35</v>
      </c>
      <c r="Q1516">
        <v>2</v>
      </c>
      <c r="R1516">
        <v>3</v>
      </c>
      <c r="AC1516">
        <v>1</v>
      </c>
      <c r="AD1516">
        <v>10</v>
      </c>
      <c r="AQ1516">
        <v>16</v>
      </c>
      <c r="AR1516" s="3">
        <f t="shared" si="69"/>
        <v>5</v>
      </c>
      <c r="AS1516" s="3">
        <f t="shared" si="70"/>
        <v>0</v>
      </c>
      <c r="AT1516" s="3" t="str">
        <f>IF(OR(Registered!AM1516&gt;0,Registered!AO1516&gt;0),(IF(Registered!E1516=0,"Size Not Specified",Registered!E1516)),"")</f>
        <v/>
      </c>
      <c r="AU1516" s="3" t="str">
        <f>IF(Registered!AE1516=0,"",IF(Registered!AE1516=1,Registered!AE1516&amp;" Bandana",Registered!AE1516&amp;" Bandanas"))</f>
        <v/>
      </c>
      <c r="AV1516" s="3">
        <f t="shared" si="71"/>
        <v>0</v>
      </c>
      <c r="AW1516" s="2" t="str">
        <f>IF(Registered!AV1516=0,"",IF(Registered!AV1516=1,Registered!AV1516&amp;" Meal",Registered!AV1516&amp;" Meals"))</f>
        <v/>
      </c>
      <c r="AX1516" s="2" t="str">
        <f>IF(Registered!AI1516=0,"",Registered!AI1516&amp;" BG")</f>
        <v/>
      </c>
      <c r="AY1516" s="2" t="str">
        <f>IF(Registered!AG1516=0,"",Registered!AG1516&amp;" DustMask")</f>
        <v/>
      </c>
    </row>
    <row r="1517" spans="1:51" customFormat="1" x14ac:dyDescent="0.25">
      <c r="A1517" t="s">
        <v>93</v>
      </c>
      <c r="B1517" t="s">
        <v>5118</v>
      </c>
      <c r="C1517" t="s">
        <v>6090</v>
      </c>
      <c r="G1517" t="s">
        <v>3749</v>
      </c>
      <c r="H1517" t="s">
        <v>472</v>
      </c>
      <c r="I1517" t="s">
        <v>3751</v>
      </c>
      <c r="J1517" t="s">
        <v>37</v>
      </c>
      <c r="K1517" t="s">
        <v>32</v>
      </c>
      <c r="L1517" t="s">
        <v>35</v>
      </c>
      <c r="AQ1517">
        <v>0</v>
      </c>
      <c r="AR1517" s="3">
        <f t="shared" si="69"/>
        <v>0</v>
      </c>
      <c r="AS1517" s="3">
        <f t="shared" si="70"/>
        <v>0</v>
      </c>
      <c r="AT1517" s="3" t="str">
        <f>IF(OR(Registered!AM1517&gt;0,Registered!AO1517&gt;0),(IF(Registered!E1517=0,"Size Not Specified",Registered!E1517)),"")</f>
        <v/>
      </c>
      <c r="AU1517" s="3" t="str">
        <f>IF(Registered!AE1517=0,"",IF(Registered!AE1517=1,Registered!AE1517&amp;" Bandana",Registered!AE1517&amp;" Bandanas"))</f>
        <v/>
      </c>
      <c r="AV1517" s="3">
        <f t="shared" si="71"/>
        <v>0</v>
      </c>
      <c r="AW1517" s="2" t="str">
        <f>IF(Registered!AV1517=0,"",IF(Registered!AV1517=1,Registered!AV1517&amp;" Meal",Registered!AV1517&amp;" Meals"))</f>
        <v/>
      </c>
      <c r="AX1517" s="2" t="str">
        <f>IF(Registered!AI1517=0,"",Registered!AI1517&amp;" BG")</f>
        <v/>
      </c>
      <c r="AY1517" s="2" t="str">
        <f>IF(Registered!AG1517=0,"",Registered!AG1517&amp;" DustMask")</f>
        <v/>
      </c>
    </row>
    <row r="1518" spans="1:51" customFormat="1" x14ac:dyDescent="0.25">
      <c r="A1518" t="s">
        <v>3173</v>
      </c>
      <c r="B1518" t="s">
        <v>3174</v>
      </c>
      <c r="C1518" t="s">
        <v>6090</v>
      </c>
      <c r="D1518" t="s">
        <v>57</v>
      </c>
      <c r="F1518" t="s">
        <v>261</v>
      </c>
      <c r="I1518" t="s">
        <v>3175</v>
      </c>
      <c r="J1518" t="s">
        <v>37</v>
      </c>
      <c r="K1518" t="s">
        <v>32</v>
      </c>
      <c r="L1518" t="s">
        <v>35</v>
      </c>
      <c r="Q1518">
        <v>1</v>
      </c>
      <c r="R1518">
        <v>3</v>
      </c>
      <c r="AC1518">
        <v>1</v>
      </c>
      <c r="AD1518">
        <v>10</v>
      </c>
      <c r="AQ1518">
        <v>13</v>
      </c>
      <c r="AR1518" s="3">
        <f t="shared" si="69"/>
        <v>5</v>
      </c>
      <c r="AS1518" s="3">
        <f t="shared" si="70"/>
        <v>0</v>
      </c>
      <c r="AT1518" s="3" t="str">
        <f>IF(OR(Registered!AM1518&gt;0,Registered!AO1518&gt;0),(IF(Registered!E1518=0,"Size Not Specified",Registered!E1518)),"")</f>
        <v/>
      </c>
      <c r="AU1518" s="3" t="str">
        <f>IF(Registered!AE1518=0,"",IF(Registered!AE1518=1,Registered!AE1518&amp;" Bandana",Registered!AE1518&amp;" Bandanas"))</f>
        <v/>
      </c>
      <c r="AV1518" s="3">
        <f t="shared" si="71"/>
        <v>0</v>
      </c>
      <c r="AW1518" s="2" t="str">
        <f>IF(Registered!AV1518=0,"",IF(Registered!AV1518=1,Registered!AV1518&amp;" Meal",Registered!AV1518&amp;" Meals"))</f>
        <v/>
      </c>
      <c r="AX1518" s="2" t="str">
        <f>IF(Registered!AI1518=0,"",Registered!AI1518&amp;" BG")</f>
        <v/>
      </c>
      <c r="AY1518" s="2" t="str">
        <f>IF(Registered!AG1518=0,"",Registered!AG1518&amp;" DustMask")</f>
        <v/>
      </c>
    </row>
    <row r="1519" spans="1:51" customFormat="1" x14ac:dyDescent="0.25">
      <c r="A1519" t="s">
        <v>5119</v>
      </c>
      <c r="B1519" t="s">
        <v>5120</v>
      </c>
      <c r="C1519" t="s">
        <v>6090</v>
      </c>
      <c r="G1519" t="s">
        <v>3545</v>
      </c>
      <c r="H1519" t="s">
        <v>3546</v>
      </c>
      <c r="I1519" t="s">
        <v>3547</v>
      </c>
      <c r="J1519" t="s">
        <v>37</v>
      </c>
      <c r="K1519" t="s">
        <v>32</v>
      </c>
      <c r="L1519" t="s">
        <v>35</v>
      </c>
      <c r="AQ1519">
        <v>0</v>
      </c>
      <c r="AR1519" s="3">
        <f t="shared" si="69"/>
        <v>0</v>
      </c>
      <c r="AS1519" s="3">
        <f t="shared" si="70"/>
        <v>0</v>
      </c>
      <c r="AT1519" s="3" t="str">
        <f>IF(OR(Registered!AM1519&gt;0,Registered!AO1519&gt;0),(IF(Registered!E1519=0,"Size Not Specified",Registered!E1519)),"")</f>
        <v/>
      </c>
      <c r="AU1519" s="3" t="str">
        <f>IF(Registered!AE1519=0,"",IF(Registered!AE1519=1,Registered!AE1519&amp;" Bandana",Registered!AE1519&amp;" Bandanas"))</f>
        <v/>
      </c>
      <c r="AV1519" s="3">
        <f t="shared" si="71"/>
        <v>0</v>
      </c>
      <c r="AW1519" s="2" t="str">
        <f>IF(Registered!AV1519=0,"",IF(Registered!AV1519=1,Registered!AV1519&amp;" Meal",Registered!AV1519&amp;" Meals"))</f>
        <v/>
      </c>
      <c r="AX1519" s="2" t="str">
        <f>IF(Registered!AI1519=0,"",Registered!AI1519&amp;" BG")</f>
        <v/>
      </c>
      <c r="AY1519" s="2" t="str">
        <f>IF(Registered!AG1519=0,"",Registered!AG1519&amp;" DustMask")</f>
        <v/>
      </c>
    </row>
    <row r="1520" spans="1:51" customFormat="1" x14ac:dyDescent="0.25">
      <c r="A1520" t="s">
        <v>163</v>
      </c>
      <c r="B1520" t="s">
        <v>5121</v>
      </c>
      <c r="C1520" t="s">
        <v>6090</v>
      </c>
      <c r="D1520" t="s">
        <v>3662</v>
      </c>
      <c r="E1520" t="s">
        <v>5122</v>
      </c>
      <c r="F1520" t="s">
        <v>261</v>
      </c>
      <c r="I1520" t="s">
        <v>5123</v>
      </c>
      <c r="J1520" t="s">
        <v>37</v>
      </c>
      <c r="K1520" t="s">
        <v>32</v>
      </c>
      <c r="L1520" t="s">
        <v>35</v>
      </c>
      <c r="Q1520">
        <v>1</v>
      </c>
      <c r="R1520">
        <v>3</v>
      </c>
      <c r="U1520">
        <v>1</v>
      </c>
      <c r="V1520">
        <v>20</v>
      </c>
      <c r="AI1520">
        <v>1</v>
      </c>
      <c r="AJ1520">
        <v>10</v>
      </c>
      <c r="AM1520">
        <v>5</v>
      </c>
      <c r="AN1520">
        <v>25</v>
      </c>
      <c r="AQ1520">
        <v>158</v>
      </c>
      <c r="AR1520" s="3">
        <f t="shared" si="69"/>
        <v>35</v>
      </c>
      <c r="AS1520" s="3">
        <f t="shared" si="70"/>
        <v>5</v>
      </c>
      <c r="AT1520" s="3" t="str">
        <f>IF(OR(Registered!AM1520&gt;0,Registered!AO1520&gt;0),(IF(Registered!E1520=0,"Size Not Specified",Registered!E1520)),"")</f>
        <v>One adult XL, one adult Large, three adult Small</v>
      </c>
      <c r="AU1520" s="3" t="str">
        <f>IF(Registered!AE1520=0,"",IF(Registered!AE1520=1,Registered!AE1520&amp;" Bandana",Registered!AE1520&amp;" Bandanas"))</f>
        <v/>
      </c>
      <c r="AV1520" s="3">
        <f t="shared" si="71"/>
        <v>5</v>
      </c>
      <c r="AW1520" s="2" t="str">
        <f>IF(Registered!AV1520=0,"",IF(Registered!AV1520=1,Registered!AV1520&amp;" Meal",Registered!AV1520&amp;" Meals"))</f>
        <v>5 Meals</v>
      </c>
      <c r="AX1520" s="2" t="str">
        <f>IF(Registered!AI1520=0,"",Registered!AI1520&amp;" BG")</f>
        <v>1 BG</v>
      </c>
      <c r="AY1520" s="2" t="str">
        <f>IF(Registered!AG1520=0,"",Registered!AG1520&amp;" DustMask")</f>
        <v/>
      </c>
    </row>
    <row r="1521" spans="1:51" customFormat="1" x14ac:dyDescent="0.25">
      <c r="A1521" t="s">
        <v>465</v>
      </c>
      <c r="B1521" t="s">
        <v>1623</v>
      </c>
      <c r="C1521" t="s">
        <v>6090</v>
      </c>
      <c r="D1521" t="s">
        <v>1830</v>
      </c>
      <c r="F1521" t="s">
        <v>261</v>
      </c>
      <c r="I1521" t="s">
        <v>1624</v>
      </c>
      <c r="J1521" t="s">
        <v>37</v>
      </c>
      <c r="K1521" t="s">
        <v>32</v>
      </c>
      <c r="L1521" t="s">
        <v>35</v>
      </c>
      <c r="S1521">
        <v>4</v>
      </c>
      <c r="T1521">
        <v>3</v>
      </c>
      <c r="AC1521">
        <v>3</v>
      </c>
      <c r="AD1521">
        <v>10</v>
      </c>
      <c r="AQ1521">
        <v>42</v>
      </c>
      <c r="AR1521" s="3">
        <f t="shared" si="69"/>
        <v>15</v>
      </c>
      <c r="AS1521" s="3">
        <f t="shared" si="70"/>
        <v>0</v>
      </c>
      <c r="AT1521" s="3" t="str">
        <f>IF(OR(Registered!AM1521&gt;0,Registered!AO1521&gt;0),(IF(Registered!E1521=0,"Size Not Specified",Registered!E1521)),"")</f>
        <v/>
      </c>
      <c r="AU1521" s="3" t="str">
        <f>IF(Registered!AE1521=0,"",IF(Registered!AE1521=1,Registered!AE1521&amp;" Bandana",Registered!AE1521&amp;" Bandanas"))</f>
        <v/>
      </c>
      <c r="AV1521" s="3">
        <f t="shared" si="71"/>
        <v>0</v>
      </c>
      <c r="AW1521" s="2" t="str">
        <f>IF(Registered!AV1521=0,"",IF(Registered!AV1521=1,Registered!AV1521&amp;" Meal",Registered!AV1521&amp;" Meals"))</f>
        <v/>
      </c>
      <c r="AX1521" s="2" t="str">
        <f>IF(Registered!AI1521=0,"",Registered!AI1521&amp;" BG")</f>
        <v/>
      </c>
      <c r="AY1521" s="2" t="str">
        <f>IF(Registered!AG1521=0,"",Registered!AG1521&amp;" DustMask")</f>
        <v/>
      </c>
    </row>
    <row r="1522" spans="1:51" customFormat="1" x14ac:dyDescent="0.25">
      <c r="A1522" t="s">
        <v>2108</v>
      </c>
      <c r="B1522" t="s">
        <v>5124</v>
      </c>
      <c r="C1522" t="s">
        <v>6090</v>
      </c>
      <c r="D1522" t="s">
        <v>5125</v>
      </c>
      <c r="F1522" t="s">
        <v>261</v>
      </c>
      <c r="I1522" t="s">
        <v>5126</v>
      </c>
      <c r="J1522" t="s">
        <v>37</v>
      </c>
      <c r="K1522" t="s">
        <v>32</v>
      </c>
      <c r="L1522" t="s">
        <v>35</v>
      </c>
      <c r="Q1522">
        <v>2</v>
      </c>
      <c r="R1522">
        <v>3</v>
      </c>
      <c r="U1522">
        <v>1</v>
      </c>
      <c r="V1522">
        <v>20</v>
      </c>
      <c r="AQ1522">
        <v>26</v>
      </c>
      <c r="AR1522" s="3">
        <f t="shared" si="69"/>
        <v>10</v>
      </c>
      <c r="AS1522" s="3">
        <f t="shared" si="70"/>
        <v>0</v>
      </c>
      <c r="AT1522" s="3" t="str">
        <f>IF(OR(Registered!AM1522&gt;0,Registered!AO1522&gt;0),(IF(Registered!E1522=0,"Size Not Specified",Registered!E1522)),"")</f>
        <v/>
      </c>
      <c r="AU1522" s="3" t="str">
        <f>IF(Registered!AE1522=0,"",IF(Registered!AE1522=1,Registered!AE1522&amp;" Bandana",Registered!AE1522&amp;" Bandanas"))</f>
        <v/>
      </c>
      <c r="AV1522" s="3">
        <f t="shared" si="71"/>
        <v>0</v>
      </c>
      <c r="AW1522" s="2" t="str">
        <f>IF(Registered!AV1522=0,"",IF(Registered!AV1522=1,Registered!AV1522&amp;" Meal",Registered!AV1522&amp;" Meals"))</f>
        <v/>
      </c>
      <c r="AX1522" s="2" t="str">
        <f>IF(Registered!AI1522=0,"",Registered!AI1522&amp;" BG")</f>
        <v/>
      </c>
      <c r="AY1522" s="2" t="str">
        <f>IF(Registered!AG1522=0,"",Registered!AG1522&amp;" DustMask")</f>
        <v/>
      </c>
    </row>
    <row r="1523" spans="1:51" customFormat="1" x14ac:dyDescent="0.25">
      <c r="A1523" t="s">
        <v>248</v>
      </c>
      <c r="B1523" t="s">
        <v>5124</v>
      </c>
      <c r="C1523" t="s">
        <v>6090</v>
      </c>
      <c r="G1523" t="s">
        <v>2108</v>
      </c>
      <c r="H1523" t="s">
        <v>5124</v>
      </c>
      <c r="I1523" t="s">
        <v>5126</v>
      </c>
      <c r="J1523" t="s">
        <v>37</v>
      </c>
      <c r="K1523" t="s">
        <v>32</v>
      </c>
      <c r="L1523" t="s">
        <v>35</v>
      </c>
      <c r="AQ1523">
        <v>0</v>
      </c>
      <c r="AR1523" s="3">
        <f t="shared" si="69"/>
        <v>0</v>
      </c>
      <c r="AS1523" s="3">
        <f t="shared" si="70"/>
        <v>0</v>
      </c>
      <c r="AT1523" s="3" t="str">
        <f>IF(OR(Registered!AM1523&gt;0,Registered!AO1523&gt;0),(IF(Registered!E1523=0,"Size Not Specified",Registered!E1523)),"")</f>
        <v/>
      </c>
      <c r="AU1523" s="3" t="str">
        <f>IF(Registered!AE1523=0,"",IF(Registered!AE1523=1,Registered!AE1523&amp;" Bandana",Registered!AE1523&amp;" Bandanas"))</f>
        <v/>
      </c>
      <c r="AV1523" s="3">
        <f t="shared" si="71"/>
        <v>0</v>
      </c>
      <c r="AW1523" s="2" t="str">
        <f>IF(Registered!AV1523=0,"",IF(Registered!AV1523=1,Registered!AV1523&amp;" Meal",Registered!AV1523&amp;" Meals"))</f>
        <v/>
      </c>
      <c r="AX1523" s="2" t="str">
        <f>IF(Registered!AI1523=0,"",Registered!AI1523&amp;" BG")</f>
        <v/>
      </c>
      <c r="AY1523" s="2" t="str">
        <f>IF(Registered!AG1523=0,"",Registered!AG1523&amp;" DustMask")</f>
        <v/>
      </c>
    </row>
    <row r="1524" spans="1:51" customFormat="1" x14ac:dyDescent="0.25">
      <c r="A1524" t="s">
        <v>491</v>
      </c>
      <c r="B1524" t="s">
        <v>232</v>
      </c>
      <c r="C1524" t="s">
        <v>6090</v>
      </c>
      <c r="G1524" t="s">
        <v>3643</v>
      </c>
      <c r="H1524" t="s">
        <v>391</v>
      </c>
      <c r="I1524" t="s">
        <v>3644</v>
      </c>
      <c r="J1524" t="s">
        <v>37</v>
      </c>
      <c r="K1524" t="s">
        <v>32</v>
      </c>
      <c r="L1524" t="s">
        <v>35</v>
      </c>
      <c r="AQ1524">
        <v>0</v>
      </c>
      <c r="AR1524" s="3">
        <f t="shared" si="69"/>
        <v>0</v>
      </c>
      <c r="AS1524" s="3">
        <f t="shared" si="70"/>
        <v>0</v>
      </c>
      <c r="AT1524" s="3" t="str">
        <f>IF(OR(Registered!AM1524&gt;0,Registered!AO1524&gt;0),(IF(Registered!E1524=0,"Size Not Specified",Registered!E1524)),"")</f>
        <v/>
      </c>
      <c r="AU1524" s="3" t="str">
        <f>IF(Registered!AE1524=0,"",IF(Registered!AE1524=1,Registered!AE1524&amp;" Bandana",Registered!AE1524&amp;" Bandanas"))</f>
        <v/>
      </c>
      <c r="AV1524" s="3">
        <f t="shared" si="71"/>
        <v>0</v>
      </c>
      <c r="AW1524" s="2" t="str">
        <f>IF(Registered!AV1524=0,"",IF(Registered!AV1524=1,Registered!AV1524&amp;" Meal",Registered!AV1524&amp;" Meals"))</f>
        <v/>
      </c>
      <c r="AX1524" s="2" t="str">
        <f>IF(Registered!AI1524=0,"",Registered!AI1524&amp;" BG")</f>
        <v/>
      </c>
      <c r="AY1524" s="2" t="str">
        <f>IF(Registered!AG1524=0,"",Registered!AG1524&amp;" DustMask")</f>
        <v/>
      </c>
    </row>
    <row r="1525" spans="1:51" customFormat="1" x14ac:dyDescent="0.25">
      <c r="A1525" t="s">
        <v>5127</v>
      </c>
      <c r="B1525" t="s">
        <v>5128</v>
      </c>
      <c r="C1525" t="s">
        <v>6090</v>
      </c>
      <c r="G1525" t="s">
        <v>5129</v>
      </c>
      <c r="H1525" t="s">
        <v>477</v>
      </c>
      <c r="I1525" t="s">
        <v>5130</v>
      </c>
      <c r="J1525" t="s">
        <v>37</v>
      </c>
      <c r="K1525" t="s">
        <v>32</v>
      </c>
      <c r="L1525" t="s">
        <v>35</v>
      </c>
      <c r="AQ1525">
        <v>0</v>
      </c>
      <c r="AR1525" s="3">
        <f t="shared" si="69"/>
        <v>0</v>
      </c>
      <c r="AS1525" s="3">
        <f t="shared" si="70"/>
        <v>0</v>
      </c>
      <c r="AT1525" s="3" t="str">
        <f>IF(OR(Registered!AM1525&gt;0,Registered!AO1525&gt;0),(IF(Registered!E1525=0,"Size Not Specified",Registered!E1525)),"")</f>
        <v/>
      </c>
      <c r="AU1525" s="3" t="str">
        <f>IF(Registered!AE1525=0,"",IF(Registered!AE1525=1,Registered!AE1525&amp;" Bandana",Registered!AE1525&amp;" Bandanas"))</f>
        <v/>
      </c>
      <c r="AV1525" s="3">
        <f t="shared" si="71"/>
        <v>0</v>
      </c>
      <c r="AW1525" s="2" t="str">
        <f>IF(Registered!AV1525=0,"",IF(Registered!AV1525=1,Registered!AV1525&amp;" Meal",Registered!AV1525&amp;" Meals"))</f>
        <v/>
      </c>
      <c r="AX1525" s="2" t="str">
        <f>IF(Registered!AI1525=0,"",Registered!AI1525&amp;" BG")</f>
        <v/>
      </c>
      <c r="AY1525" s="2" t="str">
        <f>IF(Registered!AG1525=0,"",Registered!AG1525&amp;" DustMask")</f>
        <v/>
      </c>
    </row>
    <row r="1526" spans="1:51" customFormat="1" x14ac:dyDescent="0.25">
      <c r="A1526" t="s">
        <v>565</v>
      </c>
      <c r="B1526" t="s">
        <v>5131</v>
      </c>
      <c r="C1526" t="s">
        <v>6090</v>
      </c>
      <c r="D1526" t="s">
        <v>5132</v>
      </c>
      <c r="F1526" t="s">
        <v>261</v>
      </c>
      <c r="I1526" t="s">
        <v>5133</v>
      </c>
      <c r="J1526" t="s">
        <v>37</v>
      </c>
      <c r="K1526" t="s">
        <v>32</v>
      </c>
      <c r="L1526" t="s">
        <v>35</v>
      </c>
      <c r="Q1526">
        <v>1</v>
      </c>
      <c r="R1526">
        <v>3</v>
      </c>
      <c r="AC1526">
        <v>1</v>
      </c>
      <c r="AD1526">
        <v>10</v>
      </c>
      <c r="AQ1526">
        <v>13</v>
      </c>
      <c r="AR1526" s="3">
        <f t="shared" si="69"/>
        <v>5</v>
      </c>
      <c r="AS1526" s="3">
        <f t="shared" si="70"/>
        <v>0</v>
      </c>
      <c r="AT1526" s="3" t="str">
        <f>IF(OR(Registered!AM1526&gt;0,Registered!AO1526&gt;0),(IF(Registered!E1526=0,"Size Not Specified",Registered!E1526)),"")</f>
        <v/>
      </c>
      <c r="AU1526" s="3" t="str">
        <f>IF(Registered!AE1526=0,"",IF(Registered!AE1526=1,Registered!AE1526&amp;" Bandana",Registered!AE1526&amp;" Bandanas"))</f>
        <v/>
      </c>
      <c r="AV1526" s="3">
        <f t="shared" si="71"/>
        <v>0</v>
      </c>
      <c r="AW1526" s="2" t="str">
        <f>IF(Registered!AV1526=0,"",IF(Registered!AV1526=1,Registered!AV1526&amp;" Meal",Registered!AV1526&amp;" Meals"))</f>
        <v/>
      </c>
      <c r="AX1526" s="2" t="str">
        <f>IF(Registered!AI1526=0,"",Registered!AI1526&amp;" BG")</f>
        <v/>
      </c>
      <c r="AY1526" s="2" t="str">
        <f>IF(Registered!AG1526=0,"",Registered!AG1526&amp;" DustMask")</f>
        <v/>
      </c>
    </row>
    <row r="1527" spans="1:51" customFormat="1" x14ac:dyDescent="0.25">
      <c r="A1527" t="s">
        <v>883</v>
      </c>
      <c r="B1527" t="s">
        <v>1834</v>
      </c>
      <c r="C1527" t="s">
        <v>6090</v>
      </c>
      <c r="D1527" t="s">
        <v>1835</v>
      </c>
      <c r="F1527" t="s">
        <v>261</v>
      </c>
      <c r="I1527" t="s">
        <v>1836</v>
      </c>
      <c r="J1527" t="s">
        <v>37</v>
      </c>
      <c r="K1527" t="s">
        <v>32</v>
      </c>
      <c r="L1527" t="s">
        <v>35</v>
      </c>
      <c r="AQ1527">
        <v>0</v>
      </c>
      <c r="AR1527" s="3">
        <f t="shared" si="69"/>
        <v>0</v>
      </c>
      <c r="AS1527" s="3">
        <f t="shared" si="70"/>
        <v>0</v>
      </c>
      <c r="AT1527" s="3" t="str">
        <f>IF(OR(Registered!AM1527&gt;0,Registered!AO1527&gt;0),(IF(Registered!E1527=0,"Size Not Specified",Registered!E1527)),"")</f>
        <v/>
      </c>
      <c r="AU1527" s="3" t="str">
        <f>IF(Registered!AE1527=0,"",IF(Registered!AE1527=1,Registered!AE1527&amp;" Bandana",Registered!AE1527&amp;" Bandanas"))</f>
        <v/>
      </c>
      <c r="AV1527" s="3">
        <f t="shared" si="71"/>
        <v>0</v>
      </c>
      <c r="AW1527" s="2" t="str">
        <f>IF(Registered!AV1527=0,"",IF(Registered!AV1527=1,Registered!AV1527&amp;" Meal",Registered!AV1527&amp;" Meals"))</f>
        <v/>
      </c>
      <c r="AX1527" s="2" t="str">
        <f>IF(Registered!AI1527=0,"",Registered!AI1527&amp;" BG")</f>
        <v/>
      </c>
      <c r="AY1527" s="2" t="str">
        <f>IF(Registered!AG1527=0,"",Registered!AG1527&amp;" DustMask")</f>
        <v/>
      </c>
    </row>
    <row r="1528" spans="1:51" customFormat="1" x14ac:dyDescent="0.25">
      <c r="A1528" t="s">
        <v>3514</v>
      </c>
      <c r="B1528" t="s">
        <v>5137</v>
      </c>
      <c r="C1528" t="s">
        <v>6090</v>
      </c>
      <c r="G1528" t="s">
        <v>94</v>
      </c>
      <c r="H1528" t="s">
        <v>4369</v>
      </c>
      <c r="I1528" t="s">
        <v>4370</v>
      </c>
      <c r="J1528" t="s">
        <v>37</v>
      </c>
      <c r="K1528" t="s">
        <v>32</v>
      </c>
      <c r="L1528" t="s">
        <v>35</v>
      </c>
      <c r="AQ1528">
        <v>0</v>
      </c>
      <c r="AR1528" s="3">
        <f t="shared" si="69"/>
        <v>0</v>
      </c>
      <c r="AS1528" s="3">
        <f t="shared" si="70"/>
        <v>0</v>
      </c>
      <c r="AT1528" s="3" t="str">
        <f>IF(OR(Registered!AM1528&gt;0,Registered!AO1528&gt;0),(IF(Registered!E1528=0,"Size Not Specified",Registered!E1528)),"")</f>
        <v/>
      </c>
      <c r="AU1528" s="3" t="str">
        <f>IF(Registered!AE1528=0,"",IF(Registered!AE1528=1,Registered!AE1528&amp;" Bandana",Registered!AE1528&amp;" Bandanas"))</f>
        <v/>
      </c>
      <c r="AV1528" s="3">
        <f t="shared" si="71"/>
        <v>0</v>
      </c>
      <c r="AW1528" s="2" t="str">
        <f>IF(Registered!AV1528=0,"",IF(Registered!AV1528=1,Registered!AV1528&amp;" Meal",Registered!AV1528&amp;" Meals"))</f>
        <v/>
      </c>
      <c r="AX1528" s="2" t="str">
        <f>IF(Registered!AI1528=0,"",Registered!AI1528&amp;" BG")</f>
        <v/>
      </c>
      <c r="AY1528" s="2" t="str">
        <f>IF(Registered!AG1528=0,"",Registered!AG1528&amp;" DustMask")</f>
        <v/>
      </c>
    </row>
    <row r="1529" spans="1:51" customFormat="1" x14ac:dyDescent="0.25">
      <c r="A1529" t="s">
        <v>255</v>
      </c>
      <c r="B1529" t="s">
        <v>1423</v>
      </c>
      <c r="C1529" t="s">
        <v>6090</v>
      </c>
      <c r="I1529" t="s">
        <v>1424</v>
      </c>
      <c r="J1529" t="s">
        <v>37</v>
      </c>
      <c r="K1529" t="s">
        <v>32</v>
      </c>
      <c r="L1529" t="s">
        <v>35</v>
      </c>
      <c r="S1529">
        <v>2</v>
      </c>
      <c r="T1529">
        <v>3</v>
      </c>
      <c r="AQ1529">
        <v>6</v>
      </c>
      <c r="AR1529" s="3">
        <f t="shared" si="69"/>
        <v>0</v>
      </c>
      <c r="AS1529" s="3">
        <f t="shared" si="70"/>
        <v>0</v>
      </c>
      <c r="AT1529" s="3" t="str">
        <f>IF(OR(Registered!AM1529&gt;0,Registered!AO1529&gt;0),(IF(Registered!E1529=0,"Size Not Specified",Registered!E1529)),"")</f>
        <v/>
      </c>
      <c r="AU1529" s="3" t="str">
        <f>IF(Registered!AE1529=0,"",IF(Registered!AE1529=1,Registered!AE1529&amp;" Bandana",Registered!AE1529&amp;" Bandanas"))</f>
        <v/>
      </c>
      <c r="AV1529" s="3">
        <f t="shared" si="71"/>
        <v>0</v>
      </c>
      <c r="AW1529" s="2" t="str">
        <f>IF(Registered!AV1529=0,"",IF(Registered!AV1529=1,Registered!AV1529&amp;" Meal",Registered!AV1529&amp;" Meals"))</f>
        <v/>
      </c>
      <c r="AX1529" s="2" t="str">
        <f>IF(Registered!AI1529=0,"",Registered!AI1529&amp;" BG")</f>
        <v/>
      </c>
      <c r="AY1529" s="2" t="str">
        <f>IF(Registered!AG1529=0,"",Registered!AG1529&amp;" DustMask")</f>
        <v/>
      </c>
    </row>
    <row r="1530" spans="1:51" customFormat="1" x14ac:dyDescent="0.25">
      <c r="A1530" t="s">
        <v>3055</v>
      </c>
      <c r="B1530" t="s">
        <v>1423</v>
      </c>
      <c r="C1530" t="s">
        <v>6090</v>
      </c>
      <c r="G1530" t="s">
        <v>91</v>
      </c>
      <c r="H1530" t="s">
        <v>2840</v>
      </c>
      <c r="I1530" t="s">
        <v>2841</v>
      </c>
      <c r="J1530" t="s">
        <v>37</v>
      </c>
      <c r="K1530" t="s">
        <v>32</v>
      </c>
      <c r="L1530" t="s">
        <v>35</v>
      </c>
      <c r="AQ1530">
        <v>0</v>
      </c>
      <c r="AR1530" s="3">
        <f t="shared" si="69"/>
        <v>0</v>
      </c>
      <c r="AS1530" s="3">
        <f t="shared" si="70"/>
        <v>0</v>
      </c>
      <c r="AT1530" s="3" t="str">
        <f>IF(OR(Registered!AM1530&gt;0,Registered!AO1530&gt;0),(IF(Registered!E1530=0,"Size Not Specified",Registered!E1530)),"")</f>
        <v/>
      </c>
      <c r="AU1530" s="3" t="str">
        <f>IF(Registered!AE1530=0,"",IF(Registered!AE1530=1,Registered!AE1530&amp;" Bandana",Registered!AE1530&amp;" Bandanas"))</f>
        <v/>
      </c>
      <c r="AV1530" s="3">
        <f t="shared" si="71"/>
        <v>0</v>
      </c>
      <c r="AW1530" s="2" t="str">
        <f>IF(Registered!AV1530=0,"",IF(Registered!AV1530=1,Registered!AV1530&amp;" Meal",Registered!AV1530&amp;" Meals"))</f>
        <v/>
      </c>
      <c r="AX1530" s="2" t="str">
        <f>IF(Registered!AI1530=0,"",Registered!AI1530&amp;" BG")</f>
        <v/>
      </c>
      <c r="AY1530" s="2" t="str">
        <f>IF(Registered!AG1530=0,"",Registered!AG1530&amp;" DustMask")</f>
        <v/>
      </c>
    </row>
    <row r="1531" spans="1:51" customFormat="1" x14ac:dyDescent="0.25">
      <c r="A1531" t="s">
        <v>245</v>
      </c>
      <c r="B1531" t="s">
        <v>1837</v>
      </c>
      <c r="C1531" t="s">
        <v>6090</v>
      </c>
      <c r="G1531" t="s">
        <v>315</v>
      </c>
      <c r="H1531" t="s">
        <v>995</v>
      </c>
      <c r="I1531" t="s">
        <v>997</v>
      </c>
      <c r="J1531" t="s">
        <v>37</v>
      </c>
      <c r="K1531" t="s">
        <v>32</v>
      </c>
      <c r="L1531" t="s">
        <v>35</v>
      </c>
      <c r="AQ1531">
        <v>0</v>
      </c>
      <c r="AR1531" s="3">
        <f t="shared" si="69"/>
        <v>0</v>
      </c>
      <c r="AS1531" s="3">
        <f t="shared" si="70"/>
        <v>0</v>
      </c>
      <c r="AT1531" s="3" t="str">
        <f>IF(OR(Registered!AM1531&gt;0,Registered!AO1531&gt;0),(IF(Registered!E1531=0,"Size Not Specified",Registered!E1531)),"")</f>
        <v/>
      </c>
      <c r="AU1531" s="3" t="str">
        <f>IF(Registered!AE1531=0,"",IF(Registered!AE1531=1,Registered!AE1531&amp;" Bandana",Registered!AE1531&amp;" Bandanas"))</f>
        <v/>
      </c>
      <c r="AV1531" s="3">
        <f t="shared" si="71"/>
        <v>0</v>
      </c>
      <c r="AW1531" s="2" t="str">
        <f>IF(Registered!AV1531=0,"",IF(Registered!AV1531=1,Registered!AV1531&amp;" Meal",Registered!AV1531&amp;" Meals"))</f>
        <v/>
      </c>
      <c r="AX1531" s="2" t="str">
        <f>IF(Registered!AI1531=0,"",Registered!AI1531&amp;" BG")</f>
        <v/>
      </c>
      <c r="AY1531" s="2" t="str">
        <f>IF(Registered!AG1531=0,"",Registered!AG1531&amp;" DustMask")</f>
        <v/>
      </c>
    </row>
    <row r="1532" spans="1:51" customFormat="1" x14ac:dyDescent="0.25">
      <c r="A1532" t="s">
        <v>5138</v>
      </c>
      <c r="B1532" t="s">
        <v>757</v>
      </c>
      <c r="C1532" t="s">
        <v>6090</v>
      </c>
      <c r="G1532" t="s">
        <v>111</v>
      </c>
      <c r="H1532" t="s">
        <v>3970</v>
      </c>
      <c r="I1532" t="s">
        <v>3974</v>
      </c>
      <c r="J1532" t="s">
        <v>37</v>
      </c>
      <c r="K1532" t="s">
        <v>32</v>
      </c>
      <c r="L1532" t="s">
        <v>35</v>
      </c>
      <c r="AQ1532">
        <v>0</v>
      </c>
      <c r="AR1532" s="3">
        <f t="shared" si="69"/>
        <v>0</v>
      </c>
      <c r="AS1532" s="3">
        <f t="shared" si="70"/>
        <v>0</v>
      </c>
      <c r="AT1532" s="3" t="str">
        <f>IF(OR(Registered!AM1532&gt;0,Registered!AO1532&gt;0),(IF(Registered!E1532=0,"Size Not Specified",Registered!E1532)),"")</f>
        <v/>
      </c>
      <c r="AU1532" s="3" t="str">
        <f>IF(Registered!AE1532=0,"",IF(Registered!AE1532=1,Registered!AE1532&amp;" Bandana",Registered!AE1532&amp;" Bandanas"))</f>
        <v/>
      </c>
      <c r="AV1532" s="3">
        <f t="shared" si="71"/>
        <v>0</v>
      </c>
      <c r="AW1532" s="2" t="str">
        <f>IF(Registered!AV1532=0,"",IF(Registered!AV1532=1,Registered!AV1532&amp;" Meal",Registered!AV1532&amp;" Meals"))</f>
        <v/>
      </c>
      <c r="AX1532" s="2" t="str">
        <f>IF(Registered!AI1532=0,"",Registered!AI1532&amp;" BG")</f>
        <v/>
      </c>
      <c r="AY1532" s="2" t="str">
        <f>IF(Registered!AG1532=0,"",Registered!AG1532&amp;" DustMask")</f>
        <v/>
      </c>
    </row>
    <row r="1533" spans="1:51" customFormat="1" x14ac:dyDescent="0.25">
      <c r="A1533" t="s">
        <v>1838</v>
      </c>
      <c r="B1533" t="s">
        <v>757</v>
      </c>
      <c r="C1533" t="s">
        <v>6090</v>
      </c>
      <c r="F1533" t="s">
        <v>261</v>
      </c>
      <c r="I1533" t="s">
        <v>1840</v>
      </c>
      <c r="J1533" t="s">
        <v>37</v>
      </c>
      <c r="K1533" t="s">
        <v>32</v>
      </c>
      <c r="L1533" t="s">
        <v>35</v>
      </c>
      <c r="S1533">
        <v>2</v>
      </c>
      <c r="T1533">
        <v>3</v>
      </c>
      <c r="AQ1533">
        <v>6</v>
      </c>
      <c r="AR1533" s="3">
        <f t="shared" si="69"/>
        <v>0</v>
      </c>
      <c r="AS1533" s="3">
        <f t="shared" si="70"/>
        <v>0</v>
      </c>
      <c r="AT1533" s="3" t="str">
        <f>IF(OR(Registered!AM1533&gt;0,Registered!AO1533&gt;0),(IF(Registered!E1533=0,"Size Not Specified",Registered!E1533)),"")</f>
        <v/>
      </c>
      <c r="AU1533" s="3" t="str">
        <f>IF(Registered!AE1533=0,"",IF(Registered!AE1533=1,Registered!AE1533&amp;" Bandana",Registered!AE1533&amp;" Bandanas"))</f>
        <v/>
      </c>
      <c r="AV1533" s="3">
        <f t="shared" si="71"/>
        <v>0</v>
      </c>
      <c r="AW1533" s="2" t="str">
        <f>IF(Registered!AV1533=0,"",IF(Registered!AV1533=1,Registered!AV1533&amp;" Meal",Registered!AV1533&amp;" Meals"))</f>
        <v/>
      </c>
      <c r="AX1533" s="2" t="str">
        <f>IF(Registered!AI1533=0,"",Registered!AI1533&amp;" BG")</f>
        <v/>
      </c>
      <c r="AY1533" s="2" t="str">
        <f>IF(Registered!AG1533=0,"",Registered!AG1533&amp;" DustMask")</f>
        <v/>
      </c>
    </row>
    <row r="1534" spans="1:51" customFormat="1" x14ac:dyDescent="0.25">
      <c r="A1534" t="s">
        <v>756</v>
      </c>
      <c r="B1534" t="s">
        <v>757</v>
      </c>
      <c r="C1534" t="s">
        <v>6090</v>
      </c>
      <c r="D1534" t="s">
        <v>1841</v>
      </c>
      <c r="F1534" t="s">
        <v>261</v>
      </c>
      <c r="I1534" t="s">
        <v>758</v>
      </c>
      <c r="J1534" t="s">
        <v>37</v>
      </c>
      <c r="K1534" t="s">
        <v>32</v>
      </c>
      <c r="L1534" t="s">
        <v>35</v>
      </c>
      <c r="S1534">
        <v>2</v>
      </c>
      <c r="T1534">
        <v>3</v>
      </c>
      <c r="AC1534">
        <v>2</v>
      </c>
      <c r="AD1534">
        <v>10</v>
      </c>
      <c r="AQ1534">
        <v>26</v>
      </c>
      <c r="AR1534" s="3">
        <f t="shared" si="69"/>
        <v>10</v>
      </c>
      <c r="AS1534" s="3">
        <f t="shared" si="70"/>
        <v>0</v>
      </c>
      <c r="AT1534" s="3" t="str">
        <f>IF(OR(Registered!AM1534&gt;0,Registered!AO1534&gt;0),(IF(Registered!E1534=0,"Size Not Specified",Registered!E1534)),"")</f>
        <v/>
      </c>
      <c r="AU1534" s="3" t="str">
        <f>IF(Registered!AE1534=0,"",IF(Registered!AE1534=1,Registered!AE1534&amp;" Bandana",Registered!AE1534&amp;" Bandanas"))</f>
        <v/>
      </c>
      <c r="AV1534" s="3">
        <f t="shared" si="71"/>
        <v>0</v>
      </c>
      <c r="AW1534" s="2" t="str">
        <f>IF(Registered!AV1534=0,"",IF(Registered!AV1534=1,Registered!AV1534&amp;" Meal",Registered!AV1534&amp;" Meals"))</f>
        <v/>
      </c>
      <c r="AX1534" s="2" t="str">
        <f>IF(Registered!AI1534=0,"",Registered!AI1534&amp;" BG")</f>
        <v/>
      </c>
      <c r="AY1534" s="2" t="str">
        <f>IF(Registered!AG1534=0,"",Registered!AG1534&amp;" DustMask")</f>
        <v/>
      </c>
    </row>
    <row r="1535" spans="1:51" customFormat="1" x14ac:dyDescent="0.25">
      <c r="A1535" t="s">
        <v>1024</v>
      </c>
      <c r="B1535" t="s">
        <v>757</v>
      </c>
      <c r="C1535" t="s">
        <v>6090</v>
      </c>
      <c r="D1535" t="s">
        <v>1842</v>
      </c>
      <c r="F1535" t="s">
        <v>261</v>
      </c>
      <c r="I1535" t="s">
        <v>1843</v>
      </c>
      <c r="J1535" t="s">
        <v>37</v>
      </c>
      <c r="K1535" t="s">
        <v>32</v>
      </c>
      <c r="L1535" t="s">
        <v>35</v>
      </c>
      <c r="S1535">
        <v>1</v>
      </c>
      <c r="T1535">
        <v>3</v>
      </c>
      <c r="AC1535">
        <v>1</v>
      </c>
      <c r="AD1535">
        <v>10</v>
      </c>
      <c r="AQ1535">
        <v>13</v>
      </c>
      <c r="AR1535" s="3">
        <f t="shared" si="69"/>
        <v>5</v>
      </c>
      <c r="AS1535" s="3">
        <f t="shared" si="70"/>
        <v>0</v>
      </c>
      <c r="AT1535" s="3" t="str">
        <f>IF(OR(Registered!AM1535&gt;0,Registered!AO1535&gt;0),(IF(Registered!E1535=0,"Size Not Specified",Registered!E1535)),"")</f>
        <v/>
      </c>
      <c r="AU1535" s="3" t="str">
        <f>IF(Registered!AE1535=0,"",IF(Registered!AE1535=1,Registered!AE1535&amp;" Bandana",Registered!AE1535&amp;" Bandanas"))</f>
        <v/>
      </c>
      <c r="AV1535" s="3">
        <f t="shared" si="71"/>
        <v>0</v>
      </c>
      <c r="AW1535" s="2" t="str">
        <f>IF(Registered!AV1535=0,"",IF(Registered!AV1535=1,Registered!AV1535&amp;" Meal",Registered!AV1535&amp;" Meals"))</f>
        <v/>
      </c>
      <c r="AX1535" s="2" t="str">
        <f>IF(Registered!AI1535=0,"",Registered!AI1535&amp;" BG")</f>
        <v/>
      </c>
      <c r="AY1535" s="2" t="str">
        <f>IF(Registered!AG1535=0,"",Registered!AG1535&amp;" DustMask")</f>
        <v/>
      </c>
    </row>
    <row r="1536" spans="1:51" customFormat="1" x14ac:dyDescent="0.25">
      <c r="A1536" t="s">
        <v>1844</v>
      </c>
      <c r="B1536" t="s">
        <v>757</v>
      </c>
      <c r="C1536" t="s">
        <v>6090</v>
      </c>
      <c r="G1536" t="s">
        <v>1838</v>
      </c>
      <c r="H1536" t="s">
        <v>757</v>
      </c>
      <c r="I1536" t="s">
        <v>1840</v>
      </c>
      <c r="J1536" t="s">
        <v>37</v>
      </c>
      <c r="K1536" t="s">
        <v>32</v>
      </c>
      <c r="L1536" t="s">
        <v>35</v>
      </c>
      <c r="AQ1536">
        <v>0</v>
      </c>
      <c r="AR1536" s="3">
        <f t="shared" si="69"/>
        <v>0</v>
      </c>
      <c r="AS1536" s="3">
        <f t="shared" si="70"/>
        <v>0</v>
      </c>
      <c r="AT1536" s="3" t="str">
        <f>IF(OR(Registered!AM1536&gt;0,Registered!AO1536&gt;0),(IF(Registered!E1536=0,"Size Not Specified",Registered!E1536)),"")</f>
        <v/>
      </c>
      <c r="AU1536" s="3" t="str">
        <f>IF(Registered!AE1536=0,"",IF(Registered!AE1536=1,Registered!AE1536&amp;" Bandana",Registered!AE1536&amp;" Bandanas"))</f>
        <v/>
      </c>
      <c r="AV1536" s="3">
        <f t="shared" si="71"/>
        <v>0</v>
      </c>
      <c r="AW1536" s="2" t="str">
        <f>IF(Registered!AV1536=0,"",IF(Registered!AV1536=1,Registered!AV1536&amp;" Meal",Registered!AV1536&amp;" Meals"))</f>
        <v/>
      </c>
      <c r="AX1536" s="2" t="str">
        <f>IF(Registered!AI1536=0,"",Registered!AI1536&amp;" BG")</f>
        <v/>
      </c>
      <c r="AY1536" s="2" t="str">
        <f>IF(Registered!AG1536=0,"",Registered!AG1536&amp;" DustMask")</f>
        <v/>
      </c>
    </row>
    <row r="1537" spans="1:51" customFormat="1" x14ac:dyDescent="0.25">
      <c r="A1537" t="s">
        <v>104</v>
      </c>
      <c r="B1537" t="s">
        <v>3179</v>
      </c>
      <c r="C1537" t="s">
        <v>6090</v>
      </c>
      <c r="D1537" t="s">
        <v>104</v>
      </c>
      <c r="F1537" t="s">
        <v>261</v>
      </c>
      <c r="I1537" t="s">
        <v>3180</v>
      </c>
      <c r="J1537" t="s">
        <v>37</v>
      </c>
      <c r="K1537" t="s">
        <v>32</v>
      </c>
      <c r="L1537" t="s">
        <v>35</v>
      </c>
      <c r="Q1537">
        <v>2</v>
      </c>
      <c r="R1537">
        <v>3</v>
      </c>
      <c r="U1537">
        <v>1</v>
      </c>
      <c r="V1537">
        <v>20</v>
      </c>
      <c r="AQ1537">
        <v>26</v>
      </c>
      <c r="AR1537" s="3">
        <f t="shared" si="69"/>
        <v>10</v>
      </c>
      <c r="AS1537" s="3">
        <f t="shared" si="70"/>
        <v>0</v>
      </c>
      <c r="AT1537" s="3" t="str">
        <f>IF(OR(Registered!AM1537&gt;0,Registered!AO1537&gt;0),(IF(Registered!E1537=0,"Size Not Specified",Registered!E1537)),"")</f>
        <v/>
      </c>
      <c r="AU1537" s="3" t="str">
        <f>IF(Registered!AE1537=0,"",IF(Registered!AE1537=1,Registered!AE1537&amp;" Bandana",Registered!AE1537&amp;" Bandanas"))</f>
        <v/>
      </c>
      <c r="AV1537" s="3">
        <f t="shared" si="71"/>
        <v>0</v>
      </c>
      <c r="AW1537" s="2" t="str">
        <f>IF(Registered!AV1537=0,"",IF(Registered!AV1537=1,Registered!AV1537&amp;" Meal",Registered!AV1537&amp;" Meals"))</f>
        <v/>
      </c>
      <c r="AX1537" s="2" t="str">
        <f>IF(Registered!AI1537=0,"",Registered!AI1537&amp;" BG")</f>
        <v/>
      </c>
      <c r="AY1537" s="2" t="str">
        <f>IF(Registered!AG1537=0,"",Registered!AG1537&amp;" DustMask")</f>
        <v/>
      </c>
    </row>
    <row r="1538" spans="1:51" customFormat="1" x14ac:dyDescent="0.25">
      <c r="A1538" t="s">
        <v>448</v>
      </c>
      <c r="B1538" t="s">
        <v>3181</v>
      </c>
      <c r="C1538" t="s">
        <v>6090</v>
      </c>
      <c r="G1538" t="s">
        <v>3182</v>
      </c>
      <c r="H1538" t="s">
        <v>1374</v>
      </c>
      <c r="I1538" t="s">
        <v>3183</v>
      </c>
      <c r="J1538" t="s">
        <v>37</v>
      </c>
      <c r="K1538" t="s">
        <v>32</v>
      </c>
      <c r="L1538" t="s">
        <v>35</v>
      </c>
      <c r="AQ1538">
        <v>0</v>
      </c>
      <c r="AR1538" s="3">
        <f t="shared" ref="AR1538:AR1601" si="72">IF(ISTEXT(AM1538)=TRUE,"",SUM(U1538*10,W1538*20,Y1538*30,AA1538*40,AC1538*5,AM1538*5))</f>
        <v>0</v>
      </c>
      <c r="AS1538" s="3">
        <f t="shared" ref="AS1538:AS1601" si="73">IF(ISTEXT(AM1538)=TRUE,"",SUM(AM1538,AO1538))</f>
        <v>0</v>
      </c>
      <c r="AT1538" s="3" t="str">
        <f>IF(OR(Registered!AM1538&gt;0,Registered!AO1538&gt;0),(IF(Registered!E1538=0,"Size Not Specified",Registered!E1538)),"")</f>
        <v/>
      </c>
      <c r="AU1538" s="3" t="str">
        <f>IF(Registered!AE1538=0,"",IF(Registered!AE1538=1,Registered!AE1538&amp;" Bandana",Registered!AE1538&amp;" Bandanas"))</f>
        <v/>
      </c>
      <c r="AV1538" s="3">
        <f t="shared" ref="AV1538:AV1601" si="74">IF(ISTEXT(AM1538)=TRUE,"",SUM(AM1538,AK1538))</f>
        <v>0</v>
      </c>
      <c r="AW1538" s="2" t="str">
        <f>IF(Registered!AV1538=0,"",IF(Registered!AV1538=1,Registered!AV1538&amp;" Meal",Registered!AV1538&amp;" Meals"))</f>
        <v/>
      </c>
      <c r="AX1538" s="2" t="str">
        <f>IF(Registered!AI1538=0,"",Registered!AI1538&amp;" BG")</f>
        <v/>
      </c>
      <c r="AY1538" s="2" t="str">
        <f>IF(Registered!AG1538=0,"",Registered!AG1538&amp;" DustMask")</f>
        <v/>
      </c>
    </row>
    <row r="1539" spans="1:51" customFormat="1" x14ac:dyDescent="0.25">
      <c r="A1539" t="s">
        <v>100</v>
      </c>
      <c r="B1539" t="s">
        <v>1845</v>
      </c>
      <c r="C1539" t="s">
        <v>6090</v>
      </c>
      <c r="D1539" t="s">
        <v>1846</v>
      </c>
      <c r="E1539" t="s">
        <v>232</v>
      </c>
      <c r="I1539" t="s">
        <v>1847</v>
      </c>
      <c r="J1539" t="s">
        <v>37</v>
      </c>
      <c r="K1539" t="s">
        <v>32</v>
      </c>
      <c r="L1539" t="s">
        <v>35</v>
      </c>
      <c r="O1539">
        <v>2</v>
      </c>
      <c r="P1539">
        <v>3</v>
      </c>
      <c r="W1539">
        <v>1</v>
      </c>
      <c r="X1539">
        <v>40</v>
      </c>
      <c r="AQ1539">
        <v>46</v>
      </c>
      <c r="AR1539" s="3">
        <f t="shared" si="72"/>
        <v>20</v>
      </c>
      <c r="AS1539" s="3">
        <f t="shared" si="73"/>
        <v>0</v>
      </c>
      <c r="AT1539" s="3" t="str">
        <f>IF(OR(Registered!AM1539&gt;0,Registered!AO1539&gt;0),(IF(Registered!E1539=0,"Size Not Specified",Registered!E1539)),"")</f>
        <v/>
      </c>
      <c r="AU1539" s="3" t="str">
        <f>IF(Registered!AE1539=0,"",IF(Registered!AE1539=1,Registered!AE1539&amp;" Bandana",Registered!AE1539&amp;" Bandanas"))</f>
        <v/>
      </c>
      <c r="AV1539" s="3">
        <f t="shared" si="74"/>
        <v>0</v>
      </c>
      <c r="AW1539" s="2" t="str">
        <f>IF(Registered!AV1539=0,"",IF(Registered!AV1539=1,Registered!AV1539&amp;" Meal",Registered!AV1539&amp;" Meals"))</f>
        <v/>
      </c>
      <c r="AX1539" s="2" t="str">
        <f>IF(Registered!AI1539=0,"",Registered!AI1539&amp;" BG")</f>
        <v/>
      </c>
      <c r="AY1539" s="2" t="str">
        <f>IF(Registered!AG1539=0,"",Registered!AG1539&amp;" DustMask")</f>
        <v/>
      </c>
    </row>
    <row r="1540" spans="1:51" customFormat="1" x14ac:dyDescent="0.25">
      <c r="A1540" t="s">
        <v>152</v>
      </c>
      <c r="B1540" t="s">
        <v>3184</v>
      </c>
      <c r="C1540" t="s">
        <v>6090</v>
      </c>
      <c r="G1540" t="s">
        <v>3013</v>
      </c>
      <c r="H1540" t="s">
        <v>3014</v>
      </c>
      <c r="I1540" t="s">
        <v>3015</v>
      </c>
      <c r="J1540" t="s">
        <v>37</v>
      </c>
      <c r="K1540" t="s">
        <v>32</v>
      </c>
      <c r="L1540" t="s">
        <v>35</v>
      </c>
      <c r="AQ1540">
        <v>0</v>
      </c>
      <c r="AR1540" s="3">
        <f t="shared" si="72"/>
        <v>0</v>
      </c>
      <c r="AS1540" s="3">
        <f t="shared" si="73"/>
        <v>0</v>
      </c>
      <c r="AT1540" s="3" t="str">
        <f>IF(OR(Registered!AM1540&gt;0,Registered!AO1540&gt;0),(IF(Registered!E1540=0,"Size Not Specified",Registered!E1540)),"")</f>
        <v/>
      </c>
      <c r="AU1540" s="3" t="str">
        <f>IF(Registered!AE1540=0,"",IF(Registered!AE1540=1,Registered!AE1540&amp;" Bandana",Registered!AE1540&amp;" Bandanas"))</f>
        <v/>
      </c>
      <c r="AV1540" s="3">
        <f t="shared" si="74"/>
        <v>0</v>
      </c>
      <c r="AW1540" s="2" t="str">
        <f>IF(Registered!AV1540=0,"",IF(Registered!AV1540=1,Registered!AV1540&amp;" Meal",Registered!AV1540&amp;" Meals"))</f>
        <v/>
      </c>
      <c r="AX1540" s="2" t="str">
        <f>IF(Registered!AI1540=0,"",Registered!AI1540&amp;" BG")</f>
        <v/>
      </c>
      <c r="AY1540" s="2" t="str">
        <f>IF(Registered!AG1540=0,"",Registered!AG1540&amp;" DustMask")</f>
        <v/>
      </c>
    </row>
    <row r="1541" spans="1:51" customFormat="1" x14ac:dyDescent="0.25">
      <c r="A1541" t="s">
        <v>60</v>
      </c>
      <c r="B1541" t="s">
        <v>1848</v>
      </c>
      <c r="C1541" t="s">
        <v>6090</v>
      </c>
      <c r="G1541" t="s">
        <v>389</v>
      </c>
      <c r="H1541" t="s">
        <v>1200</v>
      </c>
      <c r="I1541" t="s">
        <v>1202</v>
      </c>
      <c r="J1541" t="s">
        <v>37</v>
      </c>
      <c r="K1541" t="s">
        <v>32</v>
      </c>
      <c r="L1541" t="s">
        <v>35</v>
      </c>
      <c r="AQ1541">
        <v>0</v>
      </c>
      <c r="AR1541" s="3">
        <f t="shared" si="72"/>
        <v>0</v>
      </c>
      <c r="AS1541" s="3">
        <f t="shared" si="73"/>
        <v>0</v>
      </c>
      <c r="AT1541" s="3" t="str">
        <f>IF(OR(Registered!AM1541&gt;0,Registered!AO1541&gt;0),(IF(Registered!E1541=0,"Size Not Specified",Registered!E1541)),"")</f>
        <v/>
      </c>
      <c r="AU1541" s="3" t="str">
        <f>IF(Registered!AE1541=0,"",IF(Registered!AE1541=1,Registered!AE1541&amp;" Bandana",Registered!AE1541&amp;" Bandanas"))</f>
        <v/>
      </c>
      <c r="AV1541" s="3">
        <f t="shared" si="74"/>
        <v>0</v>
      </c>
      <c r="AW1541" s="2" t="str">
        <f>IF(Registered!AV1541=0,"",IF(Registered!AV1541=1,Registered!AV1541&amp;" Meal",Registered!AV1541&amp;" Meals"))</f>
        <v/>
      </c>
      <c r="AX1541" s="2" t="str">
        <f>IF(Registered!AI1541=0,"",Registered!AI1541&amp;" BG")</f>
        <v/>
      </c>
      <c r="AY1541" s="2" t="str">
        <f>IF(Registered!AG1541=0,"",Registered!AG1541&amp;" DustMask")</f>
        <v/>
      </c>
    </row>
    <row r="1542" spans="1:51" customFormat="1" x14ac:dyDescent="0.25">
      <c r="A1542" t="s">
        <v>50</v>
      </c>
      <c r="B1542" t="s">
        <v>838</v>
      </c>
      <c r="C1542" t="s">
        <v>6090</v>
      </c>
      <c r="D1542" t="s">
        <v>57</v>
      </c>
      <c r="F1542" t="s">
        <v>261</v>
      </c>
      <c r="I1542" t="s">
        <v>5141</v>
      </c>
      <c r="J1542" t="s">
        <v>37</v>
      </c>
      <c r="K1542" t="s">
        <v>32</v>
      </c>
      <c r="L1542" t="s">
        <v>35</v>
      </c>
      <c r="Q1542">
        <v>1</v>
      </c>
      <c r="R1542">
        <v>3</v>
      </c>
      <c r="AC1542">
        <v>1</v>
      </c>
      <c r="AD1542">
        <v>10</v>
      </c>
      <c r="AQ1542">
        <v>13</v>
      </c>
      <c r="AR1542" s="3">
        <f t="shared" si="72"/>
        <v>5</v>
      </c>
      <c r="AS1542" s="3">
        <f t="shared" si="73"/>
        <v>0</v>
      </c>
      <c r="AT1542" s="3" t="str">
        <f>IF(OR(Registered!AM1542&gt;0,Registered!AO1542&gt;0),(IF(Registered!E1542=0,"Size Not Specified",Registered!E1542)),"")</f>
        <v/>
      </c>
      <c r="AU1542" s="3" t="str">
        <f>IF(Registered!AE1542=0,"",IF(Registered!AE1542=1,Registered!AE1542&amp;" Bandana",Registered!AE1542&amp;" Bandanas"))</f>
        <v/>
      </c>
      <c r="AV1542" s="3">
        <f t="shared" si="74"/>
        <v>0</v>
      </c>
      <c r="AW1542" s="2" t="str">
        <f>IF(Registered!AV1542=0,"",IF(Registered!AV1542=1,Registered!AV1542&amp;" Meal",Registered!AV1542&amp;" Meals"))</f>
        <v/>
      </c>
      <c r="AX1542" s="2" t="str">
        <f>IF(Registered!AI1542=0,"",Registered!AI1542&amp;" BG")</f>
        <v/>
      </c>
      <c r="AY1542" s="2" t="str">
        <f>IF(Registered!AG1542=0,"",Registered!AG1542&amp;" DustMask")</f>
        <v/>
      </c>
    </row>
    <row r="1543" spans="1:51" customFormat="1" x14ac:dyDescent="0.25">
      <c r="A1543" t="s">
        <v>199</v>
      </c>
      <c r="B1543" t="s">
        <v>5142</v>
      </c>
      <c r="C1543" t="s">
        <v>6090</v>
      </c>
      <c r="D1543" t="s">
        <v>5143</v>
      </c>
      <c r="F1543" t="s">
        <v>261</v>
      </c>
      <c r="I1543" t="s">
        <v>5144</v>
      </c>
      <c r="J1543" t="s">
        <v>37</v>
      </c>
      <c r="K1543" t="s">
        <v>32</v>
      </c>
      <c r="L1543" t="s">
        <v>35</v>
      </c>
      <c r="Q1543">
        <v>1</v>
      </c>
      <c r="R1543">
        <v>3</v>
      </c>
      <c r="AC1543">
        <v>1</v>
      </c>
      <c r="AD1543">
        <v>10</v>
      </c>
      <c r="AQ1543">
        <v>13</v>
      </c>
      <c r="AR1543" s="3">
        <f t="shared" si="72"/>
        <v>5</v>
      </c>
      <c r="AS1543" s="3">
        <f t="shared" si="73"/>
        <v>0</v>
      </c>
      <c r="AT1543" s="3" t="str">
        <f>IF(OR(Registered!AM1543&gt;0,Registered!AO1543&gt;0),(IF(Registered!E1543=0,"Size Not Specified",Registered!E1543)),"")</f>
        <v/>
      </c>
      <c r="AU1543" s="3" t="str">
        <f>IF(Registered!AE1543=0,"",IF(Registered!AE1543=1,Registered!AE1543&amp;" Bandana",Registered!AE1543&amp;" Bandanas"))</f>
        <v/>
      </c>
      <c r="AV1543" s="3">
        <f t="shared" si="74"/>
        <v>0</v>
      </c>
      <c r="AW1543" s="2" t="str">
        <f>IF(Registered!AV1543=0,"",IF(Registered!AV1543=1,Registered!AV1543&amp;" Meal",Registered!AV1543&amp;" Meals"))</f>
        <v/>
      </c>
      <c r="AX1543" s="2" t="str">
        <f>IF(Registered!AI1543=0,"",Registered!AI1543&amp;" BG")</f>
        <v/>
      </c>
      <c r="AY1543" s="2" t="str">
        <f>IF(Registered!AG1543=0,"",Registered!AG1543&amp;" DustMask")</f>
        <v/>
      </c>
    </row>
    <row r="1544" spans="1:51" customFormat="1" x14ac:dyDescent="0.25">
      <c r="A1544" t="s">
        <v>103</v>
      </c>
      <c r="B1544" t="s">
        <v>5145</v>
      </c>
      <c r="C1544" t="s">
        <v>6090</v>
      </c>
      <c r="F1544" t="s">
        <v>261</v>
      </c>
      <c r="I1544" t="s">
        <v>5146</v>
      </c>
      <c r="J1544" t="s">
        <v>37</v>
      </c>
      <c r="K1544" t="s">
        <v>32</v>
      </c>
      <c r="L1544" t="s">
        <v>35</v>
      </c>
      <c r="Q1544">
        <v>2</v>
      </c>
      <c r="R1544">
        <v>3</v>
      </c>
      <c r="AC1544">
        <v>2</v>
      </c>
      <c r="AD1544">
        <v>10</v>
      </c>
      <c r="AQ1544">
        <v>26</v>
      </c>
      <c r="AR1544" s="3">
        <f t="shared" si="72"/>
        <v>10</v>
      </c>
      <c r="AS1544" s="3">
        <f t="shared" si="73"/>
        <v>0</v>
      </c>
      <c r="AT1544" s="3" t="str">
        <f>IF(OR(Registered!AM1544&gt;0,Registered!AO1544&gt;0),(IF(Registered!E1544=0,"Size Not Specified",Registered!E1544)),"")</f>
        <v/>
      </c>
      <c r="AU1544" s="3" t="str">
        <f>IF(Registered!AE1544=0,"",IF(Registered!AE1544=1,Registered!AE1544&amp;" Bandana",Registered!AE1544&amp;" Bandanas"))</f>
        <v/>
      </c>
      <c r="AV1544" s="3">
        <f t="shared" si="74"/>
        <v>0</v>
      </c>
      <c r="AW1544" s="2" t="str">
        <f>IF(Registered!AV1544=0,"",IF(Registered!AV1544=1,Registered!AV1544&amp;" Meal",Registered!AV1544&amp;" Meals"))</f>
        <v/>
      </c>
      <c r="AX1544" s="2" t="str">
        <f>IF(Registered!AI1544=0,"",Registered!AI1544&amp;" BG")</f>
        <v/>
      </c>
      <c r="AY1544" s="2" t="str">
        <f>IF(Registered!AG1544=0,"",Registered!AG1544&amp;" DustMask")</f>
        <v/>
      </c>
    </row>
    <row r="1545" spans="1:51" customFormat="1" x14ac:dyDescent="0.25">
      <c r="A1545" t="s">
        <v>285</v>
      </c>
      <c r="B1545" t="s">
        <v>1849</v>
      </c>
      <c r="C1545" t="s">
        <v>6090</v>
      </c>
      <c r="G1545" t="s">
        <v>49</v>
      </c>
      <c r="H1545" t="s">
        <v>449</v>
      </c>
      <c r="I1545" t="s">
        <v>1070</v>
      </c>
      <c r="J1545" t="s">
        <v>37</v>
      </c>
      <c r="K1545" t="s">
        <v>32</v>
      </c>
      <c r="L1545" t="s">
        <v>35</v>
      </c>
      <c r="AQ1545">
        <v>0</v>
      </c>
      <c r="AR1545" s="3">
        <f t="shared" si="72"/>
        <v>0</v>
      </c>
      <c r="AS1545" s="3">
        <f t="shared" si="73"/>
        <v>0</v>
      </c>
      <c r="AT1545" s="3" t="str">
        <f>IF(OR(Registered!AM1545&gt;0,Registered!AO1545&gt;0),(IF(Registered!E1545=0,"Size Not Specified",Registered!E1545)),"")</f>
        <v/>
      </c>
      <c r="AU1545" s="3" t="str">
        <f>IF(Registered!AE1545=0,"",IF(Registered!AE1545=1,Registered!AE1545&amp;" Bandana",Registered!AE1545&amp;" Bandanas"))</f>
        <v/>
      </c>
      <c r="AV1545" s="3">
        <f t="shared" si="74"/>
        <v>0</v>
      </c>
      <c r="AW1545" s="2" t="str">
        <f>IF(Registered!AV1545=0,"",IF(Registered!AV1545=1,Registered!AV1545&amp;" Meal",Registered!AV1545&amp;" Meals"))</f>
        <v/>
      </c>
      <c r="AX1545" s="2" t="str">
        <f>IF(Registered!AI1545=0,"",Registered!AI1545&amp;" BG")</f>
        <v/>
      </c>
      <c r="AY1545" s="2" t="str">
        <f>IF(Registered!AG1545=0,"",Registered!AG1545&amp;" DustMask")</f>
        <v/>
      </c>
    </row>
    <row r="1546" spans="1:51" customFormat="1" x14ac:dyDescent="0.25">
      <c r="A1546" t="s">
        <v>5147</v>
      </c>
      <c r="B1546" t="s">
        <v>5148</v>
      </c>
      <c r="C1546" t="s">
        <v>6090</v>
      </c>
      <c r="G1546" t="s">
        <v>3739</v>
      </c>
      <c r="H1546" t="s">
        <v>3740</v>
      </c>
      <c r="I1546" t="s">
        <v>3742</v>
      </c>
      <c r="J1546" t="s">
        <v>37</v>
      </c>
      <c r="K1546" t="s">
        <v>32</v>
      </c>
      <c r="L1546" t="s">
        <v>35</v>
      </c>
      <c r="AQ1546">
        <v>0</v>
      </c>
      <c r="AR1546" s="3">
        <f t="shared" si="72"/>
        <v>0</v>
      </c>
      <c r="AS1546" s="3">
        <f t="shared" si="73"/>
        <v>0</v>
      </c>
      <c r="AT1546" s="3" t="str">
        <f>IF(OR(Registered!AM1546&gt;0,Registered!AO1546&gt;0),(IF(Registered!E1546=0,"Size Not Specified",Registered!E1546)),"")</f>
        <v/>
      </c>
      <c r="AU1546" s="3" t="str">
        <f>IF(Registered!AE1546=0,"",IF(Registered!AE1546=1,Registered!AE1546&amp;" Bandana",Registered!AE1546&amp;" Bandanas"))</f>
        <v/>
      </c>
      <c r="AV1546" s="3">
        <f t="shared" si="74"/>
        <v>0</v>
      </c>
      <c r="AW1546" s="2" t="str">
        <f>IF(Registered!AV1546=0,"",IF(Registered!AV1546=1,Registered!AV1546&amp;" Meal",Registered!AV1546&amp;" Meals"))</f>
        <v/>
      </c>
      <c r="AX1546" s="2" t="str">
        <f>IF(Registered!AI1546=0,"",Registered!AI1546&amp;" BG")</f>
        <v/>
      </c>
      <c r="AY1546" s="2" t="str">
        <f>IF(Registered!AG1546=0,"",Registered!AG1546&amp;" DustMask")</f>
        <v/>
      </c>
    </row>
    <row r="1547" spans="1:51" customFormat="1" x14ac:dyDescent="0.25">
      <c r="A1547" t="s">
        <v>166</v>
      </c>
      <c r="B1547" t="s">
        <v>1850</v>
      </c>
      <c r="C1547" t="s">
        <v>6090</v>
      </c>
      <c r="D1547" t="s">
        <v>1851</v>
      </c>
      <c r="F1547" t="s">
        <v>261</v>
      </c>
      <c r="I1547" t="s">
        <v>1852</v>
      </c>
      <c r="J1547" t="s">
        <v>37</v>
      </c>
      <c r="K1547" t="s">
        <v>32</v>
      </c>
      <c r="L1547" t="s">
        <v>35</v>
      </c>
      <c r="S1547">
        <v>2</v>
      </c>
      <c r="T1547">
        <v>3</v>
      </c>
      <c r="AC1547">
        <v>1</v>
      </c>
      <c r="AD1547">
        <v>10</v>
      </c>
      <c r="AQ1547">
        <v>16</v>
      </c>
      <c r="AR1547" s="3">
        <f t="shared" si="72"/>
        <v>5</v>
      </c>
      <c r="AS1547" s="3">
        <f t="shared" si="73"/>
        <v>0</v>
      </c>
      <c r="AT1547" s="3" t="str">
        <f>IF(OR(Registered!AM1547&gt;0,Registered!AO1547&gt;0),(IF(Registered!E1547=0,"Size Not Specified",Registered!E1547)),"")</f>
        <v/>
      </c>
      <c r="AU1547" s="3" t="str">
        <f>IF(Registered!AE1547=0,"",IF(Registered!AE1547=1,Registered!AE1547&amp;" Bandana",Registered!AE1547&amp;" Bandanas"))</f>
        <v/>
      </c>
      <c r="AV1547" s="3">
        <f t="shared" si="74"/>
        <v>0</v>
      </c>
      <c r="AW1547" s="2" t="str">
        <f>IF(Registered!AV1547=0,"",IF(Registered!AV1547=1,Registered!AV1547&amp;" Meal",Registered!AV1547&amp;" Meals"))</f>
        <v/>
      </c>
      <c r="AX1547" s="2" t="str">
        <f>IF(Registered!AI1547=0,"",Registered!AI1547&amp;" BG")</f>
        <v/>
      </c>
      <c r="AY1547" s="2" t="str">
        <f>IF(Registered!AG1547=0,"",Registered!AG1547&amp;" DustMask")</f>
        <v/>
      </c>
    </row>
    <row r="1548" spans="1:51" customFormat="1" x14ac:dyDescent="0.25">
      <c r="A1548" t="s">
        <v>208</v>
      </c>
      <c r="B1548" t="s">
        <v>1850</v>
      </c>
      <c r="C1548" t="s">
        <v>6090</v>
      </c>
      <c r="G1548" t="s">
        <v>166</v>
      </c>
      <c r="H1548" t="s">
        <v>1850</v>
      </c>
      <c r="I1548" t="s">
        <v>1852</v>
      </c>
      <c r="J1548" t="s">
        <v>37</v>
      </c>
      <c r="K1548" t="s">
        <v>32</v>
      </c>
      <c r="L1548" t="s">
        <v>35</v>
      </c>
      <c r="AQ1548">
        <v>0</v>
      </c>
      <c r="AR1548" s="3">
        <f t="shared" si="72"/>
        <v>0</v>
      </c>
      <c r="AS1548" s="3">
        <f t="shared" si="73"/>
        <v>0</v>
      </c>
      <c r="AT1548" s="3" t="str">
        <f>IF(OR(Registered!AM1548&gt;0,Registered!AO1548&gt;0),(IF(Registered!E1548=0,"Size Not Specified",Registered!E1548)),"")</f>
        <v/>
      </c>
      <c r="AU1548" s="3" t="str">
        <f>IF(Registered!AE1548=0,"",IF(Registered!AE1548=1,Registered!AE1548&amp;" Bandana",Registered!AE1548&amp;" Bandanas"))</f>
        <v/>
      </c>
      <c r="AV1548" s="3">
        <f t="shared" si="74"/>
        <v>0</v>
      </c>
      <c r="AW1548" s="2" t="str">
        <f>IF(Registered!AV1548=0,"",IF(Registered!AV1548=1,Registered!AV1548&amp;" Meal",Registered!AV1548&amp;" Meals"))</f>
        <v/>
      </c>
      <c r="AX1548" s="2" t="str">
        <f>IF(Registered!AI1548=0,"",Registered!AI1548&amp;" BG")</f>
        <v/>
      </c>
      <c r="AY1548" s="2" t="str">
        <f>IF(Registered!AG1548=0,"",Registered!AG1548&amp;" DustMask")</f>
        <v/>
      </c>
    </row>
    <row r="1549" spans="1:51" customFormat="1" x14ac:dyDescent="0.25">
      <c r="A1549" t="s">
        <v>3185</v>
      </c>
      <c r="B1549" t="s">
        <v>3186</v>
      </c>
      <c r="C1549" t="s">
        <v>6090</v>
      </c>
      <c r="D1549" t="s">
        <v>3187</v>
      </c>
      <c r="F1549" t="s">
        <v>261</v>
      </c>
      <c r="I1549" t="s">
        <v>3188</v>
      </c>
      <c r="J1549" t="s">
        <v>37</v>
      </c>
      <c r="K1549" t="s">
        <v>32</v>
      </c>
      <c r="L1549" t="s">
        <v>35</v>
      </c>
      <c r="Q1549">
        <v>2</v>
      </c>
      <c r="R1549">
        <v>3</v>
      </c>
      <c r="U1549">
        <v>1</v>
      </c>
      <c r="V1549">
        <v>20</v>
      </c>
      <c r="AG1549">
        <v>1</v>
      </c>
      <c r="AH1549">
        <v>1</v>
      </c>
      <c r="AK1549">
        <v>2</v>
      </c>
      <c r="AL1549">
        <v>6</v>
      </c>
      <c r="AQ1549">
        <v>39</v>
      </c>
      <c r="AR1549" s="3">
        <f t="shared" si="72"/>
        <v>10</v>
      </c>
      <c r="AS1549" s="3">
        <f t="shared" si="73"/>
        <v>0</v>
      </c>
      <c r="AT1549" s="3" t="str">
        <f>IF(OR(Registered!AM1549&gt;0,Registered!AO1549&gt;0),(IF(Registered!E1549=0,"Size Not Specified",Registered!E1549)),"")</f>
        <v/>
      </c>
      <c r="AU1549" s="3" t="str">
        <f>IF(Registered!AE1549=0,"",IF(Registered!AE1549=1,Registered!AE1549&amp;" Bandana",Registered!AE1549&amp;" Bandanas"))</f>
        <v/>
      </c>
      <c r="AV1549" s="3">
        <f t="shared" si="74"/>
        <v>2</v>
      </c>
      <c r="AW1549" s="2" t="str">
        <f>IF(Registered!AV1549=0,"",IF(Registered!AV1549=1,Registered!AV1549&amp;" Meal",Registered!AV1549&amp;" Meals"))</f>
        <v>2 Meals</v>
      </c>
      <c r="AX1549" s="2" t="str">
        <f>IF(Registered!AI1549=0,"",Registered!AI1549&amp;" BG")</f>
        <v/>
      </c>
      <c r="AY1549" s="2" t="str">
        <f>IF(Registered!AG1549=0,"",Registered!AG1549&amp;" DustMask")</f>
        <v>1 DustMask</v>
      </c>
    </row>
    <row r="1550" spans="1:51" customFormat="1" x14ac:dyDescent="0.25">
      <c r="A1550" t="s">
        <v>1818</v>
      </c>
      <c r="B1550" t="s">
        <v>1853</v>
      </c>
      <c r="C1550" t="s">
        <v>6090</v>
      </c>
      <c r="D1550" t="s">
        <v>1854</v>
      </c>
      <c r="F1550" t="s">
        <v>261</v>
      </c>
      <c r="I1550" t="s">
        <v>1855</v>
      </c>
      <c r="J1550" t="s">
        <v>37</v>
      </c>
      <c r="K1550" t="s">
        <v>32</v>
      </c>
      <c r="L1550" t="s">
        <v>35</v>
      </c>
      <c r="S1550">
        <v>1</v>
      </c>
      <c r="T1550">
        <v>3</v>
      </c>
      <c r="AC1550">
        <v>1</v>
      </c>
      <c r="AD1550">
        <v>10</v>
      </c>
      <c r="AQ1550">
        <v>13</v>
      </c>
      <c r="AR1550" s="3">
        <f t="shared" si="72"/>
        <v>5</v>
      </c>
      <c r="AS1550" s="3">
        <f t="shared" si="73"/>
        <v>0</v>
      </c>
      <c r="AT1550" s="3" t="str">
        <f>IF(OR(Registered!AM1550&gt;0,Registered!AO1550&gt;0),(IF(Registered!E1550=0,"Size Not Specified",Registered!E1550)),"")</f>
        <v/>
      </c>
      <c r="AU1550" s="3" t="str">
        <f>IF(Registered!AE1550=0,"",IF(Registered!AE1550=1,Registered!AE1550&amp;" Bandana",Registered!AE1550&amp;" Bandanas"))</f>
        <v/>
      </c>
      <c r="AV1550" s="3">
        <f t="shared" si="74"/>
        <v>0</v>
      </c>
      <c r="AW1550" s="2" t="str">
        <f>IF(Registered!AV1550=0,"",IF(Registered!AV1550=1,Registered!AV1550&amp;" Meal",Registered!AV1550&amp;" Meals"))</f>
        <v/>
      </c>
      <c r="AX1550" s="2" t="str">
        <f>IF(Registered!AI1550=0,"",Registered!AI1550&amp;" BG")</f>
        <v/>
      </c>
      <c r="AY1550" s="2" t="str">
        <f>IF(Registered!AG1550=0,"",Registered!AG1550&amp;" DustMask")</f>
        <v/>
      </c>
    </row>
    <row r="1551" spans="1:51" customFormat="1" x14ac:dyDescent="0.25">
      <c r="A1551" t="s">
        <v>153</v>
      </c>
      <c r="B1551" t="s">
        <v>1853</v>
      </c>
      <c r="C1551" t="s">
        <v>6090</v>
      </c>
      <c r="I1551" t="s">
        <v>1856</v>
      </c>
      <c r="J1551" t="s">
        <v>37</v>
      </c>
      <c r="K1551" t="s">
        <v>32</v>
      </c>
      <c r="L1551" t="s">
        <v>35</v>
      </c>
      <c r="S1551">
        <v>1</v>
      </c>
      <c r="T1551">
        <v>3</v>
      </c>
      <c r="AC1551">
        <v>1</v>
      </c>
      <c r="AD1551">
        <v>10</v>
      </c>
      <c r="AQ1551">
        <v>13</v>
      </c>
      <c r="AR1551" s="3">
        <f t="shared" si="72"/>
        <v>5</v>
      </c>
      <c r="AS1551" s="3">
        <f t="shared" si="73"/>
        <v>0</v>
      </c>
      <c r="AT1551" s="3" t="str">
        <f>IF(OR(Registered!AM1551&gt;0,Registered!AO1551&gt;0),(IF(Registered!E1551=0,"Size Not Specified",Registered!E1551)),"")</f>
        <v/>
      </c>
      <c r="AU1551" s="3" t="str">
        <f>IF(Registered!AE1551=0,"",IF(Registered!AE1551=1,Registered!AE1551&amp;" Bandana",Registered!AE1551&amp;" Bandanas"))</f>
        <v/>
      </c>
      <c r="AV1551" s="3">
        <f t="shared" si="74"/>
        <v>0</v>
      </c>
      <c r="AW1551" s="2" t="str">
        <f>IF(Registered!AV1551=0,"",IF(Registered!AV1551=1,Registered!AV1551&amp;" Meal",Registered!AV1551&amp;" Meals"))</f>
        <v/>
      </c>
      <c r="AX1551" s="2" t="str">
        <f>IF(Registered!AI1551=0,"",Registered!AI1551&amp;" BG")</f>
        <v/>
      </c>
      <c r="AY1551" s="2" t="str">
        <f>IF(Registered!AG1551=0,"",Registered!AG1551&amp;" DustMask")</f>
        <v/>
      </c>
    </row>
    <row r="1552" spans="1:51" customFormat="1" x14ac:dyDescent="0.25">
      <c r="A1552" t="s">
        <v>381</v>
      </c>
      <c r="B1552" t="s">
        <v>1853</v>
      </c>
      <c r="C1552" t="s">
        <v>6090</v>
      </c>
      <c r="G1552" t="s">
        <v>980</v>
      </c>
      <c r="H1552" t="s">
        <v>446</v>
      </c>
      <c r="I1552" t="s">
        <v>982</v>
      </c>
      <c r="J1552" t="s">
        <v>37</v>
      </c>
      <c r="K1552" t="s">
        <v>32</v>
      </c>
      <c r="L1552" t="s">
        <v>35</v>
      </c>
      <c r="AQ1552">
        <v>0</v>
      </c>
      <c r="AR1552" s="3">
        <f t="shared" si="72"/>
        <v>0</v>
      </c>
      <c r="AS1552" s="3">
        <f t="shared" si="73"/>
        <v>0</v>
      </c>
      <c r="AT1552" s="3" t="str">
        <f>IF(OR(Registered!AM1552&gt;0,Registered!AO1552&gt;0),(IF(Registered!E1552=0,"Size Not Specified",Registered!E1552)),"")</f>
        <v/>
      </c>
      <c r="AU1552" s="3" t="str">
        <f>IF(Registered!AE1552=0,"",IF(Registered!AE1552=1,Registered!AE1552&amp;" Bandana",Registered!AE1552&amp;" Bandanas"))</f>
        <v/>
      </c>
      <c r="AV1552" s="3">
        <f t="shared" si="74"/>
        <v>0</v>
      </c>
      <c r="AW1552" s="2" t="str">
        <f>IF(Registered!AV1552=0,"",IF(Registered!AV1552=1,Registered!AV1552&amp;" Meal",Registered!AV1552&amp;" Meals"))</f>
        <v/>
      </c>
      <c r="AX1552" s="2" t="str">
        <f>IF(Registered!AI1552=0,"",Registered!AI1552&amp;" BG")</f>
        <v/>
      </c>
      <c r="AY1552" s="2" t="str">
        <f>IF(Registered!AG1552=0,"",Registered!AG1552&amp;" DustMask")</f>
        <v/>
      </c>
    </row>
    <row r="1553" spans="1:51" customFormat="1" x14ac:dyDescent="0.25">
      <c r="A1553" t="s">
        <v>141</v>
      </c>
      <c r="B1553" t="s">
        <v>3189</v>
      </c>
      <c r="C1553" t="s">
        <v>6090</v>
      </c>
      <c r="G1553" t="s">
        <v>3144</v>
      </c>
      <c r="H1553" t="s">
        <v>3145</v>
      </c>
      <c r="I1553" t="s">
        <v>3146</v>
      </c>
      <c r="J1553" t="s">
        <v>37</v>
      </c>
      <c r="K1553" t="s">
        <v>32</v>
      </c>
      <c r="L1553" t="s">
        <v>35</v>
      </c>
      <c r="AQ1553">
        <v>0</v>
      </c>
      <c r="AR1553" s="3">
        <f t="shared" si="72"/>
        <v>0</v>
      </c>
      <c r="AS1553" s="3">
        <f t="shared" si="73"/>
        <v>0</v>
      </c>
      <c r="AT1553" s="3" t="str">
        <f>IF(OR(Registered!AM1553&gt;0,Registered!AO1553&gt;0),(IF(Registered!E1553=0,"Size Not Specified",Registered!E1553)),"")</f>
        <v/>
      </c>
      <c r="AU1553" s="3" t="str">
        <f>IF(Registered!AE1553=0,"",IF(Registered!AE1553=1,Registered!AE1553&amp;" Bandana",Registered!AE1553&amp;" Bandanas"))</f>
        <v/>
      </c>
      <c r="AV1553" s="3">
        <f t="shared" si="74"/>
        <v>0</v>
      </c>
      <c r="AW1553" s="2" t="str">
        <f>IF(Registered!AV1553=0,"",IF(Registered!AV1553=1,Registered!AV1553&amp;" Meal",Registered!AV1553&amp;" Meals"))</f>
        <v/>
      </c>
      <c r="AX1553" s="2" t="str">
        <f>IF(Registered!AI1553=0,"",Registered!AI1553&amp;" BG")</f>
        <v/>
      </c>
      <c r="AY1553" s="2" t="str">
        <f>IF(Registered!AG1553=0,"",Registered!AG1553&amp;" DustMask")</f>
        <v/>
      </c>
    </row>
    <row r="1554" spans="1:51" customFormat="1" x14ac:dyDescent="0.25">
      <c r="A1554" t="s">
        <v>248</v>
      </c>
      <c r="B1554" t="s">
        <v>1857</v>
      </c>
      <c r="C1554" t="s">
        <v>6090</v>
      </c>
      <c r="G1554" t="s">
        <v>102</v>
      </c>
      <c r="H1554" t="s">
        <v>998</v>
      </c>
      <c r="I1554" t="s">
        <v>1000</v>
      </c>
      <c r="J1554" t="s">
        <v>37</v>
      </c>
      <c r="K1554" t="s">
        <v>32</v>
      </c>
      <c r="L1554" t="s">
        <v>35</v>
      </c>
      <c r="AQ1554">
        <v>0</v>
      </c>
      <c r="AR1554" s="3">
        <f t="shared" si="72"/>
        <v>0</v>
      </c>
      <c r="AS1554" s="3">
        <f t="shared" si="73"/>
        <v>0</v>
      </c>
      <c r="AT1554" s="3" t="str">
        <f>IF(OR(Registered!AM1554&gt;0,Registered!AO1554&gt;0),(IF(Registered!E1554=0,"Size Not Specified",Registered!E1554)),"")</f>
        <v/>
      </c>
      <c r="AU1554" s="3" t="str">
        <f>IF(Registered!AE1554=0,"",IF(Registered!AE1554=1,Registered!AE1554&amp;" Bandana",Registered!AE1554&amp;" Bandanas"))</f>
        <v/>
      </c>
      <c r="AV1554" s="3">
        <f t="shared" si="74"/>
        <v>0</v>
      </c>
      <c r="AW1554" s="2" t="str">
        <f>IF(Registered!AV1554=0,"",IF(Registered!AV1554=1,Registered!AV1554&amp;" Meal",Registered!AV1554&amp;" Meals"))</f>
        <v/>
      </c>
      <c r="AX1554" s="2" t="str">
        <f>IF(Registered!AI1554=0,"",Registered!AI1554&amp;" BG")</f>
        <v/>
      </c>
      <c r="AY1554" s="2" t="str">
        <f>IF(Registered!AG1554=0,"",Registered!AG1554&amp;" DustMask")</f>
        <v/>
      </c>
    </row>
    <row r="1555" spans="1:51" customFormat="1" x14ac:dyDescent="0.25">
      <c r="A1555" t="s">
        <v>293</v>
      </c>
      <c r="B1555" t="s">
        <v>1320</v>
      </c>
      <c r="C1555" t="s">
        <v>6090</v>
      </c>
      <c r="D1555" t="s">
        <v>1858</v>
      </c>
      <c r="F1555" t="s">
        <v>261</v>
      </c>
      <c r="I1555" t="s">
        <v>1321</v>
      </c>
      <c r="J1555" t="s">
        <v>37</v>
      </c>
      <c r="K1555" t="s">
        <v>32</v>
      </c>
      <c r="L1555" t="s">
        <v>35</v>
      </c>
      <c r="S1555">
        <v>2</v>
      </c>
      <c r="T1555">
        <v>3</v>
      </c>
      <c r="U1555">
        <v>2</v>
      </c>
      <c r="V1555">
        <v>20</v>
      </c>
      <c r="AQ1555">
        <v>46</v>
      </c>
      <c r="AR1555" s="3">
        <f t="shared" si="72"/>
        <v>20</v>
      </c>
      <c r="AS1555" s="3">
        <f t="shared" si="73"/>
        <v>0</v>
      </c>
      <c r="AT1555" s="3" t="str">
        <f>IF(OR(Registered!AM1555&gt;0,Registered!AO1555&gt;0),(IF(Registered!E1555=0,"Size Not Specified",Registered!E1555)),"")</f>
        <v/>
      </c>
      <c r="AU1555" s="3" t="str">
        <f>IF(Registered!AE1555=0,"",IF(Registered!AE1555=1,Registered!AE1555&amp;" Bandana",Registered!AE1555&amp;" Bandanas"))</f>
        <v/>
      </c>
      <c r="AV1555" s="3">
        <f t="shared" si="74"/>
        <v>0</v>
      </c>
      <c r="AW1555" s="2" t="str">
        <f>IF(Registered!AV1555=0,"",IF(Registered!AV1555=1,Registered!AV1555&amp;" Meal",Registered!AV1555&amp;" Meals"))</f>
        <v/>
      </c>
      <c r="AX1555" s="2" t="str">
        <f>IF(Registered!AI1555=0,"",Registered!AI1555&amp;" BG")</f>
        <v/>
      </c>
      <c r="AY1555" s="2" t="str">
        <f>IF(Registered!AG1555=0,"",Registered!AG1555&amp;" DustMask")</f>
        <v/>
      </c>
    </row>
    <row r="1556" spans="1:51" customFormat="1" x14ac:dyDescent="0.25">
      <c r="A1556" t="s">
        <v>3192</v>
      </c>
      <c r="B1556" t="s">
        <v>3193</v>
      </c>
      <c r="C1556" t="s">
        <v>6090</v>
      </c>
      <c r="D1556" t="s">
        <v>3194</v>
      </c>
      <c r="F1556" t="s">
        <v>261</v>
      </c>
      <c r="I1556" t="s">
        <v>3195</v>
      </c>
      <c r="J1556" t="s">
        <v>37</v>
      </c>
      <c r="K1556" t="s">
        <v>32</v>
      </c>
      <c r="L1556" t="s">
        <v>35</v>
      </c>
      <c r="Q1556">
        <v>1</v>
      </c>
      <c r="R1556">
        <v>3</v>
      </c>
      <c r="AC1556">
        <v>5</v>
      </c>
      <c r="AD1556">
        <v>10</v>
      </c>
      <c r="AQ1556">
        <v>53</v>
      </c>
      <c r="AR1556" s="3">
        <f t="shared" si="72"/>
        <v>25</v>
      </c>
      <c r="AS1556" s="3">
        <f t="shared" si="73"/>
        <v>0</v>
      </c>
      <c r="AT1556" s="3" t="str">
        <f>IF(OR(Registered!AM1556&gt;0,Registered!AO1556&gt;0),(IF(Registered!E1556=0,"Size Not Specified",Registered!E1556)),"")</f>
        <v/>
      </c>
      <c r="AU1556" s="3" t="str">
        <f>IF(Registered!AE1556=0,"",IF(Registered!AE1556=1,Registered!AE1556&amp;" Bandana",Registered!AE1556&amp;" Bandanas"))</f>
        <v/>
      </c>
      <c r="AV1556" s="3">
        <f t="shared" si="74"/>
        <v>0</v>
      </c>
      <c r="AW1556" s="2" t="str">
        <f>IF(Registered!AV1556=0,"",IF(Registered!AV1556=1,Registered!AV1556&amp;" Meal",Registered!AV1556&amp;" Meals"))</f>
        <v/>
      </c>
      <c r="AX1556" s="2" t="str">
        <f>IF(Registered!AI1556=0,"",Registered!AI1556&amp;" BG")</f>
        <v/>
      </c>
      <c r="AY1556" s="2" t="str">
        <f>IF(Registered!AG1556=0,"",Registered!AG1556&amp;" DustMask")</f>
        <v/>
      </c>
    </row>
    <row r="1557" spans="1:51" customFormat="1" x14ac:dyDescent="0.25">
      <c r="A1557" t="s">
        <v>1859</v>
      </c>
      <c r="B1557" t="s">
        <v>1860</v>
      </c>
      <c r="C1557" t="s">
        <v>6090</v>
      </c>
      <c r="G1557" t="s">
        <v>487</v>
      </c>
      <c r="H1557" t="s">
        <v>733</v>
      </c>
      <c r="I1557" t="s">
        <v>734</v>
      </c>
      <c r="J1557" t="s">
        <v>37</v>
      </c>
      <c r="K1557" t="s">
        <v>32</v>
      </c>
      <c r="L1557" t="s">
        <v>35</v>
      </c>
      <c r="AQ1557">
        <v>0</v>
      </c>
      <c r="AR1557" s="3">
        <f t="shared" si="72"/>
        <v>0</v>
      </c>
      <c r="AS1557" s="3">
        <f t="shared" si="73"/>
        <v>0</v>
      </c>
      <c r="AT1557" s="3" t="str">
        <f>IF(OR(Registered!AM1557&gt;0,Registered!AO1557&gt;0),(IF(Registered!E1557=0,"Size Not Specified",Registered!E1557)),"")</f>
        <v/>
      </c>
      <c r="AU1557" s="3" t="str">
        <f>IF(Registered!AE1557=0,"",IF(Registered!AE1557=1,Registered!AE1557&amp;" Bandana",Registered!AE1557&amp;" Bandanas"))</f>
        <v/>
      </c>
      <c r="AV1557" s="3">
        <f t="shared" si="74"/>
        <v>0</v>
      </c>
      <c r="AW1557" s="2" t="str">
        <f>IF(Registered!AV1557=0,"",IF(Registered!AV1557=1,Registered!AV1557&amp;" Meal",Registered!AV1557&amp;" Meals"))</f>
        <v/>
      </c>
      <c r="AX1557" s="2" t="str">
        <f>IF(Registered!AI1557=0,"",Registered!AI1557&amp;" BG")</f>
        <v/>
      </c>
      <c r="AY1557" s="2" t="str">
        <f>IF(Registered!AG1557=0,"",Registered!AG1557&amp;" DustMask")</f>
        <v/>
      </c>
    </row>
    <row r="1558" spans="1:51" customFormat="1" x14ac:dyDescent="0.25">
      <c r="A1558" t="s">
        <v>210</v>
      </c>
      <c r="B1558" t="s">
        <v>5149</v>
      </c>
      <c r="C1558" t="s">
        <v>6090</v>
      </c>
      <c r="D1558" t="s">
        <v>2624</v>
      </c>
      <c r="F1558" t="s">
        <v>261</v>
      </c>
      <c r="I1558" t="s">
        <v>5150</v>
      </c>
      <c r="J1558" t="s">
        <v>37</v>
      </c>
      <c r="K1558" t="s">
        <v>32</v>
      </c>
      <c r="L1558" t="s">
        <v>35</v>
      </c>
      <c r="Q1558">
        <v>1</v>
      </c>
      <c r="R1558">
        <v>3</v>
      </c>
      <c r="AC1558">
        <v>1</v>
      </c>
      <c r="AD1558">
        <v>10</v>
      </c>
      <c r="AQ1558">
        <v>13</v>
      </c>
      <c r="AR1558" s="3">
        <f t="shared" si="72"/>
        <v>5</v>
      </c>
      <c r="AS1558" s="3">
        <f t="shared" si="73"/>
        <v>0</v>
      </c>
      <c r="AT1558" s="3" t="str">
        <f>IF(OR(Registered!AM1558&gt;0,Registered!AO1558&gt;0),(IF(Registered!E1558=0,"Size Not Specified",Registered!E1558)),"")</f>
        <v/>
      </c>
      <c r="AU1558" s="3" t="str">
        <f>IF(Registered!AE1558=0,"",IF(Registered!AE1558=1,Registered!AE1558&amp;" Bandana",Registered!AE1558&amp;" Bandanas"))</f>
        <v/>
      </c>
      <c r="AV1558" s="3">
        <f t="shared" si="74"/>
        <v>0</v>
      </c>
      <c r="AW1558" s="2" t="str">
        <f>IF(Registered!AV1558=0,"",IF(Registered!AV1558=1,Registered!AV1558&amp;" Meal",Registered!AV1558&amp;" Meals"))</f>
        <v/>
      </c>
      <c r="AX1558" s="2" t="str">
        <f>IF(Registered!AI1558=0,"",Registered!AI1558&amp;" BG")</f>
        <v/>
      </c>
      <c r="AY1558" s="2" t="str">
        <f>IF(Registered!AG1558=0,"",Registered!AG1558&amp;" DustMask")</f>
        <v/>
      </c>
    </row>
    <row r="1559" spans="1:51" customFormat="1" x14ac:dyDescent="0.25">
      <c r="A1559" t="s">
        <v>5151</v>
      </c>
      <c r="B1559" t="s">
        <v>5152</v>
      </c>
      <c r="C1559" t="s">
        <v>6090</v>
      </c>
      <c r="G1559" t="s">
        <v>237</v>
      </c>
      <c r="H1559" t="s">
        <v>451</v>
      </c>
      <c r="I1559" t="s">
        <v>4270</v>
      </c>
      <c r="J1559" t="s">
        <v>37</v>
      </c>
      <c r="K1559" t="s">
        <v>32</v>
      </c>
      <c r="L1559" t="s">
        <v>35</v>
      </c>
      <c r="AQ1559">
        <v>0</v>
      </c>
      <c r="AR1559" s="3">
        <f t="shared" si="72"/>
        <v>0</v>
      </c>
      <c r="AS1559" s="3">
        <f t="shared" si="73"/>
        <v>0</v>
      </c>
      <c r="AT1559" s="3" t="str">
        <f>IF(OR(Registered!AM1559&gt;0,Registered!AO1559&gt;0),(IF(Registered!E1559=0,"Size Not Specified",Registered!E1559)),"")</f>
        <v/>
      </c>
      <c r="AU1559" s="3" t="str">
        <f>IF(Registered!AE1559=0,"",IF(Registered!AE1559=1,Registered!AE1559&amp;" Bandana",Registered!AE1559&amp;" Bandanas"))</f>
        <v/>
      </c>
      <c r="AV1559" s="3">
        <f t="shared" si="74"/>
        <v>0</v>
      </c>
      <c r="AW1559" s="2" t="str">
        <f>IF(Registered!AV1559=0,"",IF(Registered!AV1559=1,Registered!AV1559&amp;" Meal",Registered!AV1559&amp;" Meals"))</f>
        <v/>
      </c>
      <c r="AX1559" s="2" t="str">
        <f>IF(Registered!AI1559=0,"",Registered!AI1559&amp;" BG")</f>
        <v/>
      </c>
      <c r="AY1559" s="2" t="str">
        <f>IF(Registered!AG1559=0,"",Registered!AG1559&amp;" DustMask")</f>
        <v/>
      </c>
    </row>
    <row r="1560" spans="1:51" customFormat="1" x14ac:dyDescent="0.25">
      <c r="A1560" t="s">
        <v>230</v>
      </c>
      <c r="B1560" t="s">
        <v>1861</v>
      </c>
      <c r="C1560" t="s">
        <v>6090</v>
      </c>
      <c r="G1560" t="s">
        <v>1862</v>
      </c>
      <c r="H1560" t="s">
        <v>493</v>
      </c>
      <c r="I1560" t="s">
        <v>1863</v>
      </c>
      <c r="J1560" t="s">
        <v>37</v>
      </c>
      <c r="K1560" t="s">
        <v>32</v>
      </c>
      <c r="L1560" t="s">
        <v>35</v>
      </c>
      <c r="AQ1560">
        <v>0</v>
      </c>
      <c r="AR1560" s="3">
        <f t="shared" si="72"/>
        <v>0</v>
      </c>
      <c r="AS1560" s="3">
        <f t="shared" si="73"/>
        <v>0</v>
      </c>
      <c r="AT1560" s="3" t="str">
        <f>IF(OR(Registered!AM1560&gt;0,Registered!AO1560&gt;0),(IF(Registered!E1560=0,"Size Not Specified",Registered!E1560)),"")</f>
        <v/>
      </c>
      <c r="AU1560" s="3" t="str">
        <f>IF(Registered!AE1560=0,"",IF(Registered!AE1560=1,Registered!AE1560&amp;" Bandana",Registered!AE1560&amp;" Bandanas"))</f>
        <v/>
      </c>
      <c r="AV1560" s="3">
        <f t="shared" si="74"/>
        <v>0</v>
      </c>
      <c r="AW1560" s="2" t="str">
        <f>IF(Registered!AV1560=0,"",IF(Registered!AV1560=1,Registered!AV1560&amp;" Meal",Registered!AV1560&amp;" Meals"))</f>
        <v/>
      </c>
      <c r="AX1560" s="2" t="str">
        <f>IF(Registered!AI1560=0,"",Registered!AI1560&amp;" BG")</f>
        <v/>
      </c>
      <c r="AY1560" s="2" t="str">
        <f>IF(Registered!AG1560=0,"",Registered!AG1560&amp;" DustMask")</f>
        <v/>
      </c>
    </row>
    <row r="1561" spans="1:51" customFormat="1" x14ac:dyDescent="0.25">
      <c r="A1561" t="s">
        <v>1864</v>
      </c>
      <c r="B1561" t="s">
        <v>1865</v>
      </c>
      <c r="C1561" t="s">
        <v>6090</v>
      </c>
      <c r="D1561" t="s">
        <v>1864</v>
      </c>
      <c r="I1561" t="s">
        <v>1866</v>
      </c>
      <c r="J1561" t="s">
        <v>37</v>
      </c>
      <c r="K1561" t="s">
        <v>32</v>
      </c>
      <c r="L1561" t="s">
        <v>35</v>
      </c>
      <c r="S1561">
        <v>1</v>
      </c>
      <c r="T1561">
        <v>3</v>
      </c>
      <c r="U1561">
        <v>1</v>
      </c>
      <c r="V1561">
        <v>20</v>
      </c>
      <c r="AQ1561">
        <v>23</v>
      </c>
      <c r="AR1561" s="3">
        <f t="shared" si="72"/>
        <v>10</v>
      </c>
      <c r="AS1561" s="3">
        <f t="shared" si="73"/>
        <v>0</v>
      </c>
      <c r="AT1561" s="3" t="str">
        <f>IF(OR(Registered!AM1561&gt;0,Registered!AO1561&gt;0),(IF(Registered!E1561=0,"Size Not Specified",Registered!E1561)),"")</f>
        <v/>
      </c>
      <c r="AU1561" s="3" t="str">
        <f>IF(Registered!AE1561=0,"",IF(Registered!AE1561=1,Registered!AE1561&amp;" Bandana",Registered!AE1561&amp;" Bandanas"))</f>
        <v/>
      </c>
      <c r="AV1561" s="3">
        <f t="shared" si="74"/>
        <v>0</v>
      </c>
      <c r="AW1561" s="2" t="str">
        <f>IF(Registered!AV1561=0,"",IF(Registered!AV1561=1,Registered!AV1561&amp;" Meal",Registered!AV1561&amp;" Meals"))</f>
        <v/>
      </c>
      <c r="AX1561" s="2" t="str">
        <f>IF(Registered!AI1561=0,"",Registered!AI1561&amp;" BG")</f>
        <v/>
      </c>
      <c r="AY1561" s="2" t="str">
        <f>IF(Registered!AG1561=0,"",Registered!AG1561&amp;" DustMask")</f>
        <v/>
      </c>
    </row>
    <row r="1562" spans="1:51" customFormat="1" x14ac:dyDescent="0.25">
      <c r="A1562" t="s">
        <v>1867</v>
      </c>
      <c r="B1562" t="s">
        <v>1868</v>
      </c>
      <c r="C1562" t="s">
        <v>6090</v>
      </c>
      <c r="G1562" t="s">
        <v>434</v>
      </c>
      <c r="H1562" t="s">
        <v>985</v>
      </c>
      <c r="I1562" t="s">
        <v>986</v>
      </c>
      <c r="J1562" t="s">
        <v>37</v>
      </c>
      <c r="K1562" t="s">
        <v>32</v>
      </c>
      <c r="L1562" t="s">
        <v>35</v>
      </c>
      <c r="AQ1562">
        <v>0</v>
      </c>
      <c r="AR1562" s="3">
        <f t="shared" si="72"/>
        <v>0</v>
      </c>
      <c r="AS1562" s="3">
        <f t="shared" si="73"/>
        <v>0</v>
      </c>
      <c r="AT1562" s="3" t="str">
        <f>IF(OR(Registered!AM1562&gt;0,Registered!AO1562&gt;0),(IF(Registered!E1562=0,"Size Not Specified",Registered!E1562)),"")</f>
        <v/>
      </c>
      <c r="AU1562" s="3" t="str">
        <f>IF(Registered!AE1562=0,"",IF(Registered!AE1562=1,Registered!AE1562&amp;" Bandana",Registered!AE1562&amp;" Bandanas"))</f>
        <v/>
      </c>
      <c r="AV1562" s="3">
        <f t="shared" si="74"/>
        <v>0</v>
      </c>
      <c r="AW1562" s="2" t="str">
        <f>IF(Registered!AV1562=0,"",IF(Registered!AV1562=1,Registered!AV1562&amp;" Meal",Registered!AV1562&amp;" Meals"))</f>
        <v/>
      </c>
      <c r="AX1562" s="2" t="str">
        <f>IF(Registered!AI1562=0,"",Registered!AI1562&amp;" BG")</f>
        <v/>
      </c>
      <c r="AY1562" s="2" t="str">
        <f>IF(Registered!AG1562=0,"",Registered!AG1562&amp;" DustMask")</f>
        <v/>
      </c>
    </row>
    <row r="1563" spans="1:51" customFormat="1" x14ac:dyDescent="0.25">
      <c r="A1563" t="s">
        <v>1448</v>
      </c>
      <c r="B1563" t="s">
        <v>5153</v>
      </c>
      <c r="C1563" t="s">
        <v>6090</v>
      </c>
      <c r="D1563" t="s">
        <v>198</v>
      </c>
      <c r="E1563" t="s">
        <v>5154</v>
      </c>
      <c r="F1563" t="s">
        <v>261</v>
      </c>
      <c r="I1563" t="s">
        <v>5155</v>
      </c>
      <c r="J1563" t="s">
        <v>37</v>
      </c>
      <c r="K1563" t="s">
        <v>32</v>
      </c>
      <c r="L1563" t="s">
        <v>35</v>
      </c>
      <c r="Q1563">
        <v>1</v>
      </c>
      <c r="R1563">
        <v>3</v>
      </c>
      <c r="AC1563">
        <v>1</v>
      </c>
      <c r="AD1563">
        <v>10</v>
      </c>
      <c r="AQ1563">
        <v>13</v>
      </c>
      <c r="AR1563" s="3">
        <f t="shared" si="72"/>
        <v>5</v>
      </c>
      <c r="AS1563" s="3">
        <f t="shared" si="73"/>
        <v>0</v>
      </c>
      <c r="AT1563" s="3" t="str">
        <f>IF(OR(Registered!AM1563&gt;0,Registered!AO1563&gt;0),(IF(Registered!E1563=0,"Size Not Specified",Registered!E1563)),"")</f>
        <v/>
      </c>
      <c r="AU1563" s="3" t="str">
        <f>IF(Registered!AE1563=0,"",IF(Registered!AE1563=1,Registered!AE1563&amp;" Bandana",Registered!AE1563&amp;" Bandanas"))</f>
        <v/>
      </c>
      <c r="AV1563" s="3">
        <f t="shared" si="74"/>
        <v>0</v>
      </c>
      <c r="AW1563" s="2" t="str">
        <f>IF(Registered!AV1563=0,"",IF(Registered!AV1563=1,Registered!AV1563&amp;" Meal",Registered!AV1563&amp;" Meals"))</f>
        <v/>
      </c>
      <c r="AX1563" s="2" t="str">
        <f>IF(Registered!AI1563=0,"",Registered!AI1563&amp;" BG")</f>
        <v/>
      </c>
      <c r="AY1563" s="2" t="str">
        <f>IF(Registered!AG1563=0,"",Registered!AG1563&amp;" DustMask")</f>
        <v/>
      </c>
    </row>
    <row r="1564" spans="1:51" customFormat="1" x14ac:dyDescent="0.25">
      <c r="A1564" t="s">
        <v>185</v>
      </c>
      <c r="B1564" t="s">
        <v>1869</v>
      </c>
      <c r="C1564" t="s">
        <v>6090</v>
      </c>
      <c r="D1564" t="s">
        <v>5156</v>
      </c>
      <c r="E1564" t="s">
        <v>5157</v>
      </c>
      <c r="F1564" t="s">
        <v>261</v>
      </c>
      <c r="I1564" t="s">
        <v>5158</v>
      </c>
      <c r="J1564" t="s">
        <v>37</v>
      </c>
      <c r="K1564" t="s">
        <v>32</v>
      </c>
      <c r="L1564" t="s">
        <v>35</v>
      </c>
      <c r="Q1564">
        <v>1</v>
      </c>
      <c r="R1564">
        <v>3</v>
      </c>
      <c r="AC1564">
        <v>1</v>
      </c>
      <c r="AD1564">
        <v>10</v>
      </c>
      <c r="AQ1564">
        <v>13</v>
      </c>
      <c r="AR1564" s="3">
        <f t="shared" si="72"/>
        <v>5</v>
      </c>
      <c r="AS1564" s="3">
        <f t="shared" si="73"/>
        <v>0</v>
      </c>
      <c r="AT1564" s="3" t="str">
        <f>IF(OR(Registered!AM1564&gt;0,Registered!AO1564&gt;0),(IF(Registered!E1564=0,"Size Not Specified",Registered!E1564)),"")</f>
        <v/>
      </c>
      <c r="AU1564" s="3" t="str">
        <f>IF(Registered!AE1564=0,"",IF(Registered!AE1564=1,Registered!AE1564&amp;" Bandana",Registered!AE1564&amp;" Bandanas"))</f>
        <v/>
      </c>
      <c r="AV1564" s="3">
        <f t="shared" si="74"/>
        <v>0</v>
      </c>
      <c r="AW1564" s="2" t="str">
        <f>IF(Registered!AV1564=0,"",IF(Registered!AV1564=1,Registered!AV1564&amp;" Meal",Registered!AV1564&amp;" Meals"))</f>
        <v/>
      </c>
      <c r="AX1564" s="2" t="str">
        <f>IF(Registered!AI1564=0,"",Registered!AI1564&amp;" BG")</f>
        <v/>
      </c>
      <c r="AY1564" s="2" t="str">
        <f>IF(Registered!AG1564=0,"",Registered!AG1564&amp;" DustMask")</f>
        <v/>
      </c>
    </row>
    <row r="1565" spans="1:51" customFormat="1" x14ac:dyDescent="0.25">
      <c r="A1565" t="s">
        <v>274</v>
      </c>
      <c r="B1565" t="s">
        <v>1869</v>
      </c>
      <c r="C1565" t="s">
        <v>6090</v>
      </c>
      <c r="G1565" t="s">
        <v>1603</v>
      </c>
      <c r="H1565" t="s">
        <v>1604</v>
      </c>
      <c r="I1565" t="s">
        <v>1605</v>
      </c>
      <c r="J1565" t="s">
        <v>37</v>
      </c>
      <c r="K1565" t="s">
        <v>32</v>
      </c>
      <c r="L1565" t="s">
        <v>35</v>
      </c>
      <c r="AQ1565">
        <v>0</v>
      </c>
      <c r="AR1565" s="3">
        <f t="shared" si="72"/>
        <v>0</v>
      </c>
      <c r="AS1565" s="3">
        <f t="shared" si="73"/>
        <v>0</v>
      </c>
      <c r="AT1565" s="3" t="str">
        <f>IF(OR(Registered!AM1565&gt;0,Registered!AO1565&gt;0),(IF(Registered!E1565=0,"Size Not Specified",Registered!E1565)),"")</f>
        <v/>
      </c>
      <c r="AU1565" s="3" t="str">
        <f>IF(Registered!AE1565=0,"",IF(Registered!AE1565=1,Registered!AE1565&amp;" Bandana",Registered!AE1565&amp;" Bandanas"))</f>
        <v/>
      </c>
      <c r="AV1565" s="3">
        <f t="shared" si="74"/>
        <v>0</v>
      </c>
      <c r="AW1565" s="2" t="str">
        <f>IF(Registered!AV1565=0,"",IF(Registered!AV1565=1,Registered!AV1565&amp;" Meal",Registered!AV1565&amp;" Meals"))</f>
        <v/>
      </c>
      <c r="AX1565" s="2" t="str">
        <f>IF(Registered!AI1565=0,"",Registered!AI1565&amp;" BG")</f>
        <v/>
      </c>
      <c r="AY1565" s="2" t="str">
        <f>IF(Registered!AG1565=0,"",Registered!AG1565&amp;" DustMask")</f>
        <v/>
      </c>
    </row>
    <row r="1566" spans="1:51" customFormat="1" x14ac:dyDescent="0.25">
      <c r="A1566" t="s">
        <v>100</v>
      </c>
      <c r="B1566" t="s">
        <v>1869</v>
      </c>
      <c r="C1566" t="s">
        <v>6090</v>
      </c>
      <c r="G1566" t="s">
        <v>1603</v>
      </c>
      <c r="H1566" t="s">
        <v>1604</v>
      </c>
      <c r="I1566" t="s">
        <v>1605</v>
      </c>
      <c r="J1566" t="s">
        <v>37</v>
      </c>
      <c r="K1566" t="s">
        <v>32</v>
      </c>
      <c r="L1566" t="s">
        <v>35</v>
      </c>
      <c r="AQ1566">
        <v>0</v>
      </c>
      <c r="AR1566" s="3">
        <f t="shared" si="72"/>
        <v>0</v>
      </c>
      <c r="AS1566" s="3">
        <f t="shared" si="73"/>
        <v>0</v>
      </c>
      <c r="AT1566" s="3" t="str">
        <f>IF(OR(Registered!AM1566&gt;0,Registered!AO1566&gt;0),(IF(Registered!E1566=0,"Size Not Specified",Registered!E1566)),"")</f>
        <v/>
      </c>
      <c r="AU1566" s="3" t="str">
        <f>IF(Registered!AE1566=0,"",IF(Registered!AE1566=1,Registered!AE1566&amp;" Bandana",Registered!AE1566&amp;" Bandanas"))</f>
        <v/>
      </c>
      <c r="AV1566" s="3">
        <f t="shared" si="74"/>
        <v>0</v>
      </c>
      <c r="AW1566" s="2" t="str">
        <f>IF(Registered!AV1566=0,"",IF(Registered!AV1566=1,Registered!AV1566&amp;" Meal",Registered!AV1566&amp;" Meals"))</f>
        <v/>
      </c>
      <c r="AX1566" s="2" t="str">
        <f>IF(Registered!AI1566=0,"",Registered!AI1566&amp;" BG")</f>
        <v/>
      </c>
      <c r="AY1566" s="2" t="str">
        <f>IF(Registered!AG1566=0,"",Registered!AG1566&amp;" DustMask")</f>
        <v/>
      </c>
    </row>
    <row r="1567" spans="1:51" customFormat="1" x14ac:dyDescent="0.25">
      <c r="A1567" t="s">
        <v>5161</v>
      </c>
      <c r="B1567" t="s">
        <v>505</v>
      </c>
      <c r="C1567" t="s">
        <v>6090</v>
      </c>
      <c r="D1567" t="s">
        <v>5162</v>
      </c>
      <c r="F1567" t="s">
        <v>261</v>
      </c>
      <c r="I1567" t="s">
        <v>5163</v>
      </c>
      <c r="J1567" t="s">
        <v>37</v>
      </c>
      <c r="K1567" t="s">
        <v>32</v>
      </c>
      <c r="L1567" t="s">
        <v>35</v>
      </c>
      <c r="Q1567">
        <v>1</v>
      </c>
      <c r="R1567">
        <v>3</v>
      </c>
      <c r="AC1567">
        <v>1</v>
      </c>
      <c r="AD1567">
        <v>10</v>
      </c>
      <c r="AQ1567">
        <v>13</v>
      </c>
      <c r="AR1567" s="3">
        <f t="shared" si="72"/>
        <v>5</v>
      </c>
      <c r="AS1567" s="3">
        <f t="shared" si="73"/>
        <v>0</v>
      </c>
      <c r="AT1567" s="3" t="str">
        <f>IF(OR(Registered!AM1567&gt;0,Registered!AO1567&gt;0),(IF(Registered!E1567=0,"Size Not Specified",Registered!E1567)),"")</f>
        <v/>
      </c>
      <c r="AU1567" s="3" t="str">
        <f>IF(Registered!AE1567=0,"",IF(Registered!AE1567=1,Registered!AE1567&amp;" Bandana",Registered!AE1567&amp;" Bandanas"))</f>
        <v/>
      </c>
      <c r="AV1567" s="3">
        <f t="shared" si="74"/>
        <v>0</v>
      </c>
      <c r="AW1567" s="2" t="str">
        <f>IF(Registered!AV1567=0,"",IF(Registered!AV1567=1,Registered!AV1567&amp;" Meal",Registered!AV1567&amp;" Meals"))</f>
        <v/>
      </c>
      <c r="AX1567" s="2" t="str">
        <f>IF(Registered!AI1567=0,"",Registered!AI1567&amp;" BG")</f>
        <v/>
      </c>
      <c r="AY1567" s="2" t="str">
        <f>IF(Registered!AG1567=0,"",Registered!AG1567&amp;" DustMask")</f>
        <v/>
      </c>
    </row>
    <row r="1568" spans="1:51" customFormat="1" x14ac:dyDescent="0.25">
      <c r="A1568" t="s">
        <v>1870</v>
      </c>
      <c r="B1568" t="s">
        <v>505</v>
      </c>
      <c r="C1568" t="s">
        <v>6090</v>
      </c>
      <c r="G1568" t="s">
        <v>185</v>
      </c>
      <c r="H1568" t="s">
        <v>505</v>
      </c>
      <c r="I1568" t="s">
        <v>1871</v>
      </c>
      <c r="J1568" t="s">
        <v>37</v>
      </c>
      <c r="K1568" t="s">
        <v>32</v>
      </c>
      <c r="L1568" t="s">
        <v>35</v>
      </c>
      <c r="AQ1568">
        <v>0</v>
      </c>
      <c r="AR1568" s="3">
        <f t="shared" si="72"/>
        <v>0</v>
      </c>
      <c r="AS1568" s="3">
        <f t="shared" si="73"/>
        <v>0</v>
      </c>
      <c r="AT1568" s="3" t="str">
        <f>IF(OR(Registered!AM1568&gt;0,Registered!AO1568&gt;0),(IF(Registered!E1568=0,"Size Not Specified",Registered!E1568)),"")</f>
        <v/>
      </c>
      <c r="AU1568" s="3" t="str">
        <f>IF(Registered!AE1568=0,"",IF(Registered!AE1568=1,Registered!AE1568&amp;" Bandana",Registered!AE1568&amp;" Bandanas"))</f>
        <v/>
      </c>
      <c r="AV1568" s="3">
        <f t="shared" si="74"/>
        <v>0</v>
      </c>
      <c r="AW1568" s="2" t="str">
        <f>IF(Registered!AV1568=0,"",IF(Registered!AV1568=1,Registered!AV1568&amp;" Meal",Registered!AV1568&amp;" Meals"))</f>
        <v/>
      </c>
      <c r="AX1568" s="2" t="str">
        <f>IF(Registered!AI1568=0,"",Registered!AI1568&amp;" BG")</f>
        <v/>
      </c>
      <c r="AY1568" s="2" t="str">
        <f>IF(Registered!AG1568=0,"",Registered!AG1568&amp;" DustMask")</f>
        <v/>
      </c>
    </row>
    <row r="1569" spans="1:51" customFormat="1" x14ac:dyDescent="0.25">
      <c r="A1569" t="s">
        <v>185</v>
      </c>
      <c r="B1569" t="s">
        <v>505</v>
      </c>
      <c r="C1569" t="s">
        <v>6090</v>
      </c>
      <c r="D1569" t="s">
        <v>1872</v>
      </c>
      <c r="I1569" t="s">
        <v>1871</v>
      </c>
      <c r="J1569" t="s">
        <v>37</v>
      </c>
      <c r="K1569" t="s">
        <v>32</v>
      </c>
      <c r="L1569" t="s">
        <v>35</v>
      </c>
      <c r="O1569">
        <v>2</v>
      </c>
      <c r="P1569">
        <v>3</v>
      </c>
      <c r="U1569">
        <v>1</v>
      </c>
      <c r="V1569">
        <v>20</v>
      </c>
      <c r="AQ1569">
        <v>26</v>
      </c>
      <c r="AR1569" s="3">
        <f t="shared" si="72"/>
        <v>10</v>
      </c>
      <c r="AS1569" s="3">
        <f t="shared" si="73"/>
        <v>0</v>
      </c>
      <c r="AT1569" s="3" t="str">
        <f>IF(OR(Registered!AM1569&gt;0,Registered!AO1569&gt;0),(IF(Registered!E1569=0,"Size Not Specified",Registered!E1569)),"")</f>
        <v/>
      </c>
      <c r="AU1569" s="3" t="str">
        <f>IF(Registered!AE1569=0,"",IF(Registered!AE1569=1,Registered!AE1569&amp;" Bandana",Registered!AE1569&amp;" Bandanas"))</f>
        <v/>
      </c>
      <c r="AV1569" s="3">
        <f t="shared" si="74"/>
        <v>0</v>
      </c>
      <c r="AW1569" s="2" t="str">
        <f>IF(Registered!AV1569=0,"",IF(Registered!AV1569=1,Registered!AV1569&amp;" Meal",Registered!AV1569&amp;" Meals"))</f>
        <v/>
      </c>
      <c r="AX1569" s="2" t="str">
        <f>IF(Registered!AI1569=0,"",Registered!AI1569&amp;" BG")</f>
        <v/>
      </c>
      <c r="AY1569" s="2" t="str">
        <f>IF(Registered!AG1569=0,"",Registered!AG1569&amp;" DustMask")</f>
        <v/>
      </c>
    </row>
    <row r="1570" spans="1:51" customFormat="1" x14ac:dyDescent="0.25">
      <c r="A1570" t="s">
        <v>93</v>
      </c>
      <c r="B1570" t="s">
        <v>505</v>
      </c>
      <c r="C1570" t="s">
        <v>6090</v>
      </c>
      <c r="D1570" t="s">
        <v>1873</v>
      </c>
      <c r="F1570" t="s">
        <v>907</v>
      </c>
      <c r="I1570" t="s">
        <v>1874</v>
      </c>
      <c r="J1570" t="s">
        <v>37</v>
      </c>
      <c r="K1570" t="s">
        <v>32</v>
      </c>
      <c r="L1570" t="s">
        <v>35</v>
      </c>
      <c r="Q1570">
        <v>2</v>
      </c>
      <c r="R1570">
        <v>3</v>
      </c>
      <c r="AC1570">
        <v>1</v>
      </c>
      <c r="AD1570">
        <v>10</v>
      </c>
      <c r="AQ1570">
        <v>16</v>
      </c>
      <c r="AR1570" s="3">
        <f t="shared" si="72"/>
        <v>5</v>
      </c>
      <c r="AS1570" s="3">
        <f t="shared" si="73"/>
        <v>0</v>
      </c>
      <c r="AT1570" s="3" t="str">
        <f>IF(OR(Registered!AM1570&gt;0,Registered!AO1570&gt;0),(IF(Registered!E1570=0,"Size Not Specified",Registered!E1570)),"")</f>
        <v/>
      </c>
      <c r="AU1570" s="3" t="str">
        <f>IF(Registered!AE1570=0,"",IF(Registered!AE1570=1,Registered!AE1570&amp;" Bandana",Registered!AE1570&amp;" Bandanas"))</f>
        <v/>
      </c>
      <c r="AV1570" s="3">
        <f t="shared" si="74"/>
        <v>0</v>
      </c>
      <c r="AW1570" s="2" t="str">
        <f>IF(Registered!AV1570=0,"",IF(Registered!AV1570=1,Registered!AV1570&amp;" Meal",Registered!AV1570&amp;" Meals"))</f>
        <v/>
      </c>
      <c r="AX1570" s="2" t="str">
        <f>IF(Registered!AI1570=0,"",Registered!AI1570&amp;" BG")</f>
        <v/>
      </c>
      <c r="AY1570" s="2" t="str">
        <f>IF(Registered!AG1570=0,"",Registered!AG1570&amp;" DustMask")</f>
        <v/>
      </c>
    </row>
    <row r="1571" spans="1:51" customFormat="1" x14ac:dyDescent="0.25">
      <c r="A1571" t="s">
        <v>266</v>
      </c>
      <c r="B1571" t="s">
        <v>505</v>
      </c>
      <c r="C1571" t="s">
        <v>6090</v>
      </c>
      <c r="D1571" t="s">
        <v>239</v>
      </c>
      <c r="F1571" t="s">
        <v>261</v>
      </c>
      <c r="I1571" t="s">
        <v>5164</v>
      </c>
      <c r="J1571" t="s">
        <v>37</v>
      </c>
      <c r="K1571" t="s">
        <v>32</v>
      </c>
      <c r="L1571" t="s">
        <v>35</v>
      </c>
      <c r="Q1571">
        <v>1</v>
      </c>
      <c r="R1571">
        <v>3</v>
      </c>
      <c r="AC1571">
        <v>1</v>
      </c>
      <c r="AD1571">
        <v>10</v>
      </c>
      <c r="AQ1571">
        <v>13</v>
      </c>
      <c r="AR1571" s="3">
        <f t="shared" si="72"/>
        <v>5</v>
      </c>
      <c r="AS1571" s="3">
        <f t="shared" si="73"/>
        <v>0</v>
      </c>
      <c r="AT1571" s="3" t="str">
        <f>IF(OR(Registered!AM1571&gt;0,Registered!AO1571&gt;0),(IF(Registered!E1571=0,"Size Not Specified",Registered!E1571)),"")</f>
        <v/>
      </c>
      <c r="AU1571" s="3" t="str">
        <f>IF(Registered!AE1571=0,"",IF(Registered!AE1571=1,Registered!AE1571&amp;" Bandana",Registered!AE1571&amp;" Bandanas"))</f>
        <v/>
      </c>
      <c r="AV1571" s="3">
        <f t="shared" si="74"/>
        <v>0</v>
      </c>
      <c r="AW1571" s="2" t="str">
        <f>IF(Registered!AV1571=0,"",IF(Registered!AV1571=1,Registered!AV1571&amp;" Meal",Registered!AV1571&amp;" Meals"))</f>
        <v/>
      </c>
      <c r="AX1571" s="2" t="str">
        <f>IF(Registered!AI1571=0,"",Registered!AI1571&amp;" BG")</f>
        <v/>
      </c>
      <c r="AY1571" s="2" t="str">
        <f>IF(Registered!AG1571=0,"",Registered!AG1571&amp;" DustMask")</f>
        <v/>
      </c>
    </row>
    <row r="1572" spans="1:51" customFormat="1" x14ac:dyDescent="0.25">
      <c r="A1572" t="s">
        <v>5165</v>
      </c>
      <c r="B1572" t="s">
        <v>5166</v>
      </c>
      <c r="C1572" t="s">
        <v>6090</v>
      </c>
      <c r="D1572" t="s">
        <v>5167</v>
      </c>
      <c r="F1572" t="s">
        <v>261</v>
      </c>
      <c r="I1572" t="s">
        <v>5168</v>
      </c>
      <c r="J1572" t="s">
        <v>37</v>
      </c>
      <c r="K1572" t="s">
        <v>32</v>
      </c>
      <c r="L1572" t="s">
        <v>35</v>
      </c>
      <c r="Q1572">
        <v>2</v>
      </c>
      <c r="R1572">
        <v>3</v>
      </c>
      <c r="U1572">
        <v>1</v>
      </c>
      <c r="V1572">
        <v>20</v>
      </c>
      <c r="AQ1572">
        <v>26</v>
      </c>
      <c r="AR1572" s="3">
        <f t="shared" si="72"/>
        <v>10</v>
      </c>
      <c r="AS1572" s="3">
        <f t="shared" si="73"/>
        <v>0</v>
      </c>
      <c r="AT1572" s="3" t="str">
        <f>IF(OR(Registered!AM1572&gt;0,Registered!AO1572&gt;0),(IF(Registered!E1572=0,"Size Not Specified",Registered!E1572)),"")</f>
        <v/>
      </c>
      <c r="AU1572" s="3" t="str">
        <f>IF(Registered!AE1572=0,"",IF(Registered!AE1572=1,Registered!AE1572&amp;" Bandana",Registered!AE1572&amp;" Bandanas"))</f>
        <v/>
      </c>
      <c r="AV1572" s="3">
        <f t="shared" si="74"/>
        <v>0</v>
      </c>
      <c r="AW1572" s="2" t="str">
        <f>IF(Registered!AV1572=0,"",IF(Registered!AV1572=1,Registered!AV1572&amp;" Meal",Registered!AV1572&amp;" Meals"))</f>
        <v/>
      </c>
      <c r="AX1572" s="2" t="str">
        <f>IF(Registered!AI1572=0,"",Registered!AI1572&amp;" BG")</f>
        <v/>
      </c>
      <c r="AY1572" s="2" t="str">
        <f>IF(Registered!AG1572=0,"",Registered!AG1572&amp;" DustMask")</f>
        <v/>
      </c>
    </row>
    <row r="1573" spans="1:51" customFormat="1" x14ac:dyDescent="0.25">
      <c r="A1573" t="s">
        <v>1249</v>
      </c>
      <c r="B1573" t="s">
        <v>154</v>
      </c>
      <c r="C1573" t="s">
        <v>6090</v>
      </c>
      <c r="D1573" t="s">
        <v>1875</v>
      </c>
      <c r="E1573" t="s">
        <v>1876</v>
      </c>
      <c r="F1573" t="s">
        <v>261</v>
      </c>
      <c r="I1573" t="s">
        <v>1250</v>
      </c>
      <c r="J1573" t="s">
        <v>37</v>
      </c>
      <c r="K1573" t="s">
        <v>32</v>
      </c>
      <c r="L1573" t="s">
        <v>35</v>
      </c>
      <c r="S1573">
        <v>2</v>
      </c>
      <c r="T1573">
        <v>3</v>
      </c>
      <c r="AM1573">
        <v>2</v>
      </c>
      <c r="AN1573">
        <v>25</v>
      </c>
      <c r="AO1573">
        <v>1</v>
      </c>
      <c r="AP1573">
        <v>10</v>
      </c>
      <c r="AQ1573">
        <v>66</v>
      </c>
      <c r="AR1573" s="3">
        <f t="shared" si="72"/>
        <v>10</v>
      </c>
      <c r="AS1573" s="3">
        <f t="shared" si="73"/>
        <v>3</v>
      </c>
      <c r="AT1573" s="3" t="str">
        <f>IF(OR(Registered!AM1573&gt;0,Registered!AO1573&gt;0),(IF(Registered!E1573=0,"Size Not Specified",Registered!E1573)),"")</f>
        <v>medium, medium, child small</v>
      </c>
      <c r="AU1573" s="3" t="str">
        <f>IF(Registered!AE1573=0,"",IF(Registered!AE1573=1,Registered!AE1573&amp;" Bandana",Registered!AE1573&amp;" Bandanas"))</f>
        <v/>
      </c>
      <c r="AV1573" s="3">
        <f t="shared" si="74"/>
        <v>2</v>
      </c>
      <c r="AW1573" s="2" t="str">
        <f>IF(Registered!AV1573=0,"",IF(Registered!AV1573=1,Registered!AV1573&amp;" Meal",Registered!AV1573&amp;" Meals"))</f>
        <v>2 Meals</v>
      </c>
      <c r="AX1573" s="2" t="str">
        <f>IF(Registered!AI1573=0,"",Registered!AI1573&amp;" BG")</f>
        <v/>
      </c>
      <c r="AY1573" s="2" t="str">
        <f>IF(Registered!AG1573=0,"",Registered!AG1573&amp;" DustMask")</f>
        <v/>
      </c>
    </row>
    <row r="1574" spans="1:51" customFormat="1" x14ac:dyDescent="0.25">
      <c r="A1574" t="s">
        <v>256</v>
      </c>
      <c r="B1574" t="s">
        <v>154</v>
      </c>
      <c r="C1574" t="s">
        <v>6090</v>
      </c>
      <c r="D1574" t="s">
        <v>1877</v>
      </c>
      <c r="E1574" t="s">
        <v>53</v>
      </c>
      <c r="F1574" t="s">
        <v>261</v>
      </c>
      <c r="I1574" t="s">
        <v>1878</v>
      </c>
      <c r="J1574" t="s">
        <v>37</v>
      </c>
      <c r="K1574" t="s">
        <v>32</v>
      </c>
      <c r="L1574" t="s">
        <v>35</v>
      </c>
      <c r="S1574">
        <v>1</v>
      </c>
      <c r="T1574">
        <v>3</v>
      </c>
      <c r="AM1574">
        <v>1</v>
      </c>
      <c r="AN1574">
        <v>25</v>
      </c>
      <c r="AQ1574">
        <v>28</v>
      </c>
      <c r="AR1574" s="3">
        <f t="shared" si="72"/>
        <v>5</v>
      </c>
      <c r="AS1574" s="3">
        <f t="shared" si="73"/>
        <v>1</v>
      </c>
      <c r="AT1574" s="3" t="str">
        <f>IF(OR(Registered!AM1574&gt;0,Registered!AO1574&gt;0),(IF(Registered!E1574=0,"Size Not Specified",Registered!E1574)),"")</f>
        <v>Small</v>
      </c>
      <c r="AU1574" s="3" t="str">
        <f>IF(Registered!AE1574=0,"",IF(Registered!AE1574=1,Registered!AE1574&amp;" Bandana",Registered!AE1574&amp;" Bandanas"))</f>
        <v/>
      </c>
      <c r="AV1574" s="3">
        <f t="shared" si="74"/>
        <v>1</v>
      </c>
      <c r="AW1574" s="2" t="str">
        <f>IF(Registered!AV1574=0,"",IF(Registered!AV1574=1,Registered!AV1574&amp;" Meal",Registered!AV1574&amp;" Meals"))</f>
        <v>1 Meal</v>
      </c>
      <c r="AX1574" s="2" t="str">
        <f>IF(Registered!AI1574=0,"",Registered!AI1574&amp;" BG")</f>
        <v/>
      </c>
      <c r="AY1574" s="2" t="str">
        <f>IF(Registered!AG1574=0,"",Registered!AG1574&amp;" DustMask")</f>
        <v/>
      </c>
    </row>
    <row r="1575" spans="1:51" customFormat="1" x14ac:dyDescent="0.25">
      <c r="A1575" t="s">
        <v>5170</v>
      </c>
      <c r="B1575" t="s">
        <v>154</v>
      </c>
      <c r="C1575" t="s">
        <v>6090</v>
      </c>
      <c r="G1575" t="s">
        <v>5171</v>
      </c>
      <c r="H1575" t="s">
        <v>154</v>
      </c>
      <c r="I1575" t="s">
        <v>5172</v>
      </c>
      <c r="J1575" t="s">
        <v>37</v>
      </c>
      <c r="K1575" t="s">
        <v>32</v>
      </c>
      <c r="L1575" t="s">
        <v>35</v>
      </c>
      <c r="AQ1575">
        <v>0</v>
      </c>
      <c r="AR1575" s="3">
        <f t="shared" si="72"/>
        <v>0</v>
      </c>
      <c r="AS1575" s="3">
        <f t="shared" si="73"/>
        <v>0</v>
      </c>
      <c r="AT1575" s="3" t="str">
        <f>IF(OR(Registered!AM1575&gt;0,Registered!AO1575&gt;0),(IF(Registered!E1575=0,"Size Not Specified",Registered!E1575)),"")</f>
        <v/>
      </c>
      <c r="AU1575" s="3" t="str">
        <f>IF(Registered!AE1575=0,"",IF(Registered!AE1575=1,Registered!AE1575&amp;" Bandana",Registered!AE1575&amp;" Bandanas"))</f>
        <v/>
      </c>
      <c r="AV1575" s="3">
        <f t="shared" si="74"/>
        <v>0</v>
      </c>
      <c r="AW1575" s="2" t="str">
        <f>IF(Registered!AV1575=0,"",IF(Registered!AV1575=1,Registered!AV1575&amp;" Meal",Registered!AV1575&amp;" Meals"))</f>
        <v/>
      </c>
      <c r="AX1575" s="2" t="str">
        <f>IF(Registered!AI1575=0,"",Registered!AI1575&amp;" BG")</f>
        <v/>
      </c>
      <c r="AY1575" s="2" t="str">
        <f>IF(Registered!AG1575=0,"",Registered!AG1575&amp;" DustMask")</f>
        <v/>
      </c>
    </row>
    <row r="1576" spans="1:51" customFormat="1" x14ac:dyDescent="0.25">
      <c r="A1576" t="s">
        <v>395</v>
      </c>
      <c r="B1576" t="s">
        <v>154</v>
      </c>
      <c r="C1576" t="s">
        <v>6090</v>
      </c>
      <c r="D1576" t="s">
        <v>5173</v>
      </c>
      <c r="F1576" t="s">
        <v>261</v>
      </c>
      <c r="I1576" t="s">
        <v>3521</v>
      </c>
      <c r="J1576" t="s">
        <v>37</v>
      </c>
      <c r="K1576" t="s">
        <v>32</v>
      </c>
      <c r="L1576" t="s">
        <v>35</v>
      </c>
      <c r="Q1576">
        <v>3</v>
      </c>
      <c r="R1576">
        <v>3</v>
      </c>
      <c r="AC1576">
        <v>1</v>
      </c>
      <c r="AD1576">
        <v>10</v>
      </c>
      <c r="AK1576">
        <v>3</v>
      </c>
      <c r="AL1576">
        <v>6</v>
      </c>
      <c r="AQ1576">
        <v>37</v>
      </c>
      <c r="AR1576" s="3">
        <f t="shared" si="72"/>
        <v>5</v>
      </c>
      <c r="AS1576" s="3">
        <f t="shared" si="73"/>
        <v>0</v>
      </c>
      <c r="AT1576" s="3" t="str">
        <f>IF(OR(Registered!AM1576&gt;0,Registered!AO1576&gt;0),(IF(Registered!E1576=0,"Size Not Specified",Registered!E1576)),"")</f>
        <v/>
      </c>
      <c r="AU1576" s="3" t="str">
        <f>IF(Registered!AE1576=0,"",IF(Registered!AE1576=1,Registered!AE1576&amp;" Bandana",Registered!AE1576&amp;" Bandanas"))</f>
        <v/>
      </c>
      <c r="AV1576" s="3">
        <f t="shared" si="74"/>
        <v>3</v>
      </c>
      <c r="AW1576" s="2" t="str">
        <f>IF(Registered!AV1576=0,"",IF(Registered!AV1576=1,Registered!AV1576&amp;" Meal",Registered!AV1576&amp;" Meals"))</f>
        <v>3 Meals</v>
      </c>
      <c r="AX1576" s="2" t="str">
        <f>IF(Registered!AI1576=0,"",Registered!AI1576&amp;" BG")</f>
        <v/>
      </c>
      <c r="AY1576" s="2" t="str">
        <f>IF(Registered!AG1576=0,"",Registered!AG1576&amp;" DustMask")</f>
        <v/>
      </c>
    </row>
    <row r="1577" spans="1:51" customFormat="1" x14ac:dyDescent="0.25">
      <c r="A1577" t="s">
        <v>5171</v>
      </c>
      <c r="B1577" t="s">
        <v>154</v>
      </c>
      <c r="C1577" t="s">
        <v>6090</v>
      </c>
      <c r="D1577" t="s">
        <v>5174</v>
      </c>
      <c r="E1577" t="s">
        <v>3822</v>
      </c>
      <c r="F1577" t="s">
        <v>261</v>
      </c>
      <c r="I1577" t="s">
        <v>5172</v>
      </c>
      <c r="J1577" t="s">
        <v>37</v>
      </c>
      <c r="K1577" t="s">
        <v>32</v>
      </c>
      <c r="L1577" t="s">
        <v>35</v>
      </c>
      <c r="Q1577">
        <v>2</v>
      </c>
      <c r="R1577">
        <v>3</v>
      </c>
      <c r="AC1577">
        <v>2</v>
      </c>
      <c r="AD1577">
        <v>10</v>
      </c>
      <c r="AK1577">
        <v>1</v>
      </c>
      <c r="AL1577">
        <v>6</v>
      </c>
      <c r="AQ1577">
        <v>32</v>
      </c>
      <c r="AR1577" s="3">
        <f t="shared" si="72"/>
        <v>10</v>
      </c>
      <c r="AS1577" s="3">
        <f t="shared" si="73"/>
        <v>0</v>
      </c>
      <c r="AT1577" s="3" t="str">
        <f>IF(OR(Registered!AM1577&gt;0,Registered!AO1577&gt;0),(IF(Registered!E1577=0,"Size Not Specified",Registered!E1577)),"")</f>
        <v/>
      </c>
      <c r="AU1577" s="3" t="str">
        <f>IF(Registered!AE1577=0,"",IF(Registered!AE1577=1,Registered!AE1577&amp;" Bandana",Registered!AE1577&amp;" Bandanas"))</f>
        <v/>
      </c>
      <c r="AV1577" s="3">
        <f t="shared" si="74"/>
        <v>1</v>
      </c>
      <c r="AW1577" s="2" t="str">
        <f>IF(Registered!AV1577=0,"",IF(Registered!AV1577=1,Registered!AV1577&amp;" Meal",Registered!AV1577&amp;" Meals"))</f>
        <v>1 Meal</v>
      </c>
      <c r="AX1577" s="2" t="str">
        <f>IF(Registered!AI1577=0,"",Registered!AI1577&amp;" BG")</f>
        <v/>
      </c>
      <c r="AY1577" s="2" t="str">
        <f>IF(Registered!AG1577=0,"",Registered!AG1577&amp;" DustMask")</f>
        <v/>
      </c>
    </row>
    <row r="1578" spans="1:51" customFormat="1" x14ac:dyDescent="0.25">
      <c r="A1578" t="s">
        <v>93</v>
      </c>
      <c r="B1578" t="s">
        <v>154</v>
      </c>
      <c r="C1578" t="s">
        <v>6090</v>
      </c>
      <c r="D1578" t="s">
        <v>3199</v>
      </c>
      <c r="F1578" t="s">
        <v>261</v>
      </c>
      <c r="I1578" t="s">
        <v>3200</v>
      </c>
      <c r="J1578" t="s">
        <v>37</v>
      </c>
      <c r="K1578" t="s">
        <v>32</v>
      </c>
      <c r="L1578" t="s">
        <v>35</v>
      </c>
      <c r="Q1578">
        <v>1</v>
      </c>
      <c r="R1578">
        <v>3</v>
      </c>
      <c r="AC1578">
        <v>1</v>
      </c>
      <c r="AD1578">
        <v>10</v>
      </c>
      <c r="AQ1578">
        <v>13</v>
      </c>
      <c r="AR1578" s="3">
        <f t="shared" si="72"/>
        <v>5</v>
      </c>
      <c r="AS1578" s="3">
        <f t="shared" si="73"/>
        <v>0</v>
      </c>
      <c r="AT1578" s="3" t="str">
        <f>IF(OR(Registered!AM1578&gt;0,Registered!AO1578&gt;0),(IF(Registered!E1578=0,"Size Not Specified",Registered!E1578)),"")</f>
        <v/>
      </c>
      <c r="AU1578" s="3" t="str">
        <f>IF(Registered!AE1578=0,"",IF(Registered!AE1578=1,Registered!AE1578&amp;" Bandana",Registered!AE1578&amp;" Bandanas"))</f>
        <v/>
      </c>
      <c r="AV1578" s="3">
        <f t="shared" si="74"/>
        <v>0</v>
      </c>
      <c r="AW1578" s="2" t="str">
        <f>IF(Registered!AV1578=0,"",IF(Registered!AV1578=1,Registered!AV1578&amp;" Meal",Registered!AV1578&amp;" Meals"))</f>
        <v/>
      </c>
      <c r="AX1578" s="2" t="str">
        <f>IF(Registered!AI1578=0,"",Registered!AI1578&amp;" BG")</f>
        <v/>
      </c>
      <c r="AY1578" s="2" t="str">
        <f>IF(Registered!AG1578=0,"",Registered!AG1578&amp;" DustMask")</f>
        <v/>
      </c>
    </row>
    <row r="1579" spans="1:51" customFormat="1" x14ac:dyDescent="0.25">
      <c r="A1579" t="s">
        <v>2441</v>
      </c>
      <c r="B1579" t="s">
        <v>154</v>
      </c>
      <c r="C1579" t="s">
        <v>6090</v>
      </c>
      <c r="G1579" t="s">
        <v>395</v>
      </c>
      <c r="H1579" t="s">
        <v>154</v>
      </c>
      <c r="I1579" t="s">
        <v>3521</v>
      </c>
      <c r="J1579" t="s">
        <v>37</v>
      </c>
      <c r="K1579" t="s">
        <v>32</v>
      </c>
      <c r="L1579" t="s">
        <v>35</v>
      </c>
      <c r="AQ1579">
        <v>0</v>
      </c>
      <c r="AR1579" s="3">
        <f t="shared" si="72"/>
        <v>0</v>
      </c>
      <c r="AS1579" s="3">
        <f t="shared" si="73"/>
        <v>0</v>
      </c>
      <c r="AT1579" s="3" t="str">
        <f>IF(OR(Registered!AM1579&gt;0,Registered!AO1579&gt;0),(IF(Registered!E1579=0,"Size Not Specified",Registered!E1579)),"")</f>
        <v/>
      </c>
      <c r="AU1579" s="3" t="str">
        <f>IF(Registered!AE1579=0,"",IF(Registered!AE1579=1,Registered!AE1579&amp;" Bandana",Registered!AE1579&amp;" Bandanas"))</f>
        <v/>
      </c>
      <c r="AV1579" s="3">
        <f t="shared" si="74"/>
        <v>0</v>
      </c>
      <c r="AW1579" s="2" t="str">
        <f>IF(Registered!AV1579=0,"",IF(Registered!AV1579=1,Registered!AV1579&amp;" Meal",Registered!AV1579&amp;" Meals"))</f>
        <v/>
      </c>
      <c r="AX1579" s="2" t="str">
        <f>IF(Registered!AI1579=0,"",Registered!AI1579&amp;" BG")</f>
        <v/>
      </c>
      <c r="AY1579" s="2" t="str">
        <f>IF(Registered!AG1579=0,"",Registered!AG1579&amp;" DustMask")</f>
        <v/>
      </c>
    </row>
    <row r="1580" spans="1:51" customFormat="1" x14ac:dyDescent="0.25">
      <c r="A1580" t="s">
        <v>141</v>
      </c>
      <c r="B1580" t="s">
        <v>843</v>
      </c>
      <c r="C1580" t="s">
        <v>6090</v>
      </c>
      <c r="D1580" t="s">
        <v>1880</v>
      </c>
      <c r="F1580" t="s">
        <v>261</v>
      </c>
      <c r="I1580" t="s">
        <v>844</v>
      </c>
      <c r="J1580" t="s">
        <v>37</v>
      </c>
      <c r="K1580" t="s">
        <v>32</v>
      </c>
      <c r="L1580" t="s">
        <v>35</v>
      </c>
      <c r="S1580">
        <v>6</v>
      </c>
      <c r="T1580">
        <v>3</v>
      </c>
      <c r="W1580">
        <v>1</v>
      </c>
      <c r="X1580">
        <v>40</v>
      </c>
      <c r="AQ1580">
        <v>58</v>
      </c>
      <c r="AR1580" s="3">
        <f t="shared" si="72"/>
        <v>20</v>
      </c>
      <c r="AS1580" s="3">
        <f t="shared" si="73"/>
        <v>0</v>
      </c>
      <c r="AT1580" s="3" t="str">
        <f>IF(OR(Registered!AM1580&gt;0,Registered!AO1580&gt;0),(IF(Registered!E1580=0,"Size Not Specified",Registered!E1580)),"")</f>
        <v/>
      </c>
      <c r="AU1580" s="3" t="str">
        <f>IF(Registered!AE1580=0,"",IF(Registered!AE1580=1,Registered!AE1580&amp;" Bandana",Registered!AE1580&amp;" Bandanas"))</f>
        <v/>
      </c>
      <c r="AV1580" s="3">
        <f t="shared" si="74"/>
        <v>0</v>
      </c>
      <c r="AW1580" s="2" t="str">
        <f>IF(Registered!AV1580=0,"",IF(Registered!AV1580=1,Registered!AV1580&amp;" Meal",Registered!AV1580&amp;" Meals"))</f>
        <v/>
      </c>
      <c r="AX1580" s="2" t="str">
        <f>IF(Registered!AI1580=0,"",Registered!AI1580&amp;" BG")</f>
        <v/>
      </c>
      <c r="AY1580" s="2" t="str">
        <f>IF(Registered!AG1580=0,"",Registered!AG1580&amp;" DustMask")</f>
        <v/>
      </c>
    </row>
    <row r="1581" spans="1:51" customFormat="1" x14ac:dyDescent="0.25">
      <c r="A1581" t="s">
        <v>5175</v>
      </c>
      <c r="B1581" t="s">
        <v>5176</v>
      </c>
      <c r="C1581" t="s">
        <v>6090</v>
      </c>
      <c r="G1581" t="s">
        <v>1641</v>
      </c>
      <c r="H1581" t="s">
        <v>380</v>
      </c>
      <c r="I1581" t="s">
        <v>5177</v>
      </c>
      <c r="J1581" t="s">
        <v>37</v>
      </c>
      <c r="K1581" t="s">
        <v>32</v>
      </c>
      <c r="L1581" t="s">
        <v>35</v>
      </c>
      <c r="AQ1581">
        <v>0</v>
      </c>
      <c r="AR1581" s="3">
        <f t="shared" si="72"/>
        <v>0</v>
      </c>
      <c r="AS1581" s="3">
        <f t="shared" si="73"/>
        <v>0</v>
      </c>
      <c r="AT1581" s="3" t="str">
        <f>IF(OR(Registered!AM1581&gt;0,Registered!AO1581&gt;0),(IF(Registered!E1581=0,"Size Not Specified",Registered!E1581)),"")</f>
        <v/>
      </c>
      <c r="AU1581" s="3" t="str">
        <f>IF(Registered!AE1581=0,"",IF(Registered!AE1581=1,Registered!AE1581&amp;" Bandana",Registered!AE1581&amp;" Bandanas"))</f>
        <v/>
      </c>
      <c r="AV1581" s="3">
        <f t="shared" si="74"/>
        <v>0</v>
      </c>
      <c r="AW1581" s="2" t="str">
        <f>IF(Registered!AV1581=0,"",IF(Registered!AV1581=1,Registered!AV1581&amp;" Meal",Registered!AV1581&amp;" Meals"))</f>
        <v/>
      </c>
      <c r="AX1581" s="2" t="str">
        <f>IF(Registered!AI1581=0,"",Registered!AI1581&amp;" BG")</f>
        <v/>
      </c>
      <c r="AY1581" s="2" t="str">
        <f>IF(Registered!AG1581=0,"",Registered!AG1581&amp;" DustMask")</f>
        <v/>
      </c>
    </row>
    <row r="1582" spans="1:51" customFormat="1" x14ac:dyDescent="0.25">
      <c r="A1582" t="s">
        <v>258</v>
      </c>
      <c r="B1582" t="s">
        <v>5178</v>
      </c>
      <c r="C1582" t="s">
        <v>6090</v>
      </c>
      <c r="D1582" t="s">
        <v>5179</v>
      </c>
      <c r="I1582" t="s">
        <v>5180</v>
      </c>
      <c r="J1582" t="s">
        <v>37</v>
      </c>
      <c r="K1582" t="s">
        <v>32</v>
      </c>
      <c r="L1582" t="s">
        <v>35</v>
      </c>
      <c r="Q1582">
        <v>1</v>
      </c>
      <c r="R1582">
        <v>3</v>
      </c>
      <c r="AC1582">
        <v>1</v>
      </c>
      <c r="AD1582">
        <v>10</v>
      </c>
      <c r="AQ1582">
        <v>13</v>
      </c>
      <c r="AR1582" s="3">
        <f t="shared" si="72"/>
        <v>5</v>
      </c>
      <c r="AS1582" s="3">
        <f t="shared" si="73"/>
        <v>0</v>
      </c>
      <c r="AT1582" s="3" t="str">
        <f>IF(OR(Registered!AM1582&gt;0,Registered!AO1582&gt;0),(IF(Registered!E1582=0,"Size Not Specified",Registered!E1582)),"")</f>
        <v/>
      </c>
      <c r="AU1582" s="3" t="str">
        <f>IF(Registered!AE1582=0,"",IF(Registered!AE1582=1,Registered!AE1582&amp;" Bandana",Registered!AE1582&amp;" Bandanas"))</f>
        <v/>
      </c>
      <c r="AV1582" s="3">
        <f t="shared" si="74"/>
        <v>0</v>
      </c>
      <c r="AW1582" s="2" t="str">
        <f>IF(Registered!AV1582=0,"",IF(Registered!AV1582=1,Registered!AV1582&amp;" Meal",Registered!AV1582&amp;" Meals"))</f>
        <v/>
      </c>
      <c r="AX1582" s="2" t="str">
        <f>IF(Registered!AI1582=0,"",Registered!AI1582&amp;" BG")</f>
        <v/>
      </c>
      <c r="AY1582" s="2" t="str">
        <f>IF(Registered!AG1582=0,"",Registered!AG1582&amp;" DustMask")</f>
        <v/>
      </c>
    </row>
    <row r="1583" spans="1:51" customFormat="1" x14ac:dyDescent="0.25">
      <c r="A1583" t="s">
        <v>100</v>
      </c>
      <c r="B1583" t="s">
        <v>5127</v>
      </c>
      <c r="C1583" t="s">
        <v>6090</v>
      </c>
      <c r="G1583" t="s">
        <v>394</v>
      </c>
      <c r="H1583" t="s">
        <v>1429</v>
      </c>
      <c r="I1583" t="s">
        <v>5181</v>
      </c>
      <c r="J1583" t="s">
        <v>37</v>
      </c>
      <c r="K1583" t="s">
        <v>32</v>
      </c>
      <c r="L1583" t="s">
        <v>35</v>
      </c>
      <c r="AQ1583">
        <v>0</v>
      </c>
      <c r="AR1583" s="3">
        <f t="shared" si="72"/>
        <v>0</v>
      </c>
      <c r="AS1583" s="3">
        <f t="shared" si="73"/>
        <v>0</v>
      </c>
      <c r="AT1583" s="3" t="str">
        <f>IF(OR(Registered!AM1583&gt;0,Registered!AO1583&gt;0),(IF(Registered!E1583=0,"Size Not Specified",Registered!E1583)),"")</f>
        <v/>
      </c>
      <c r="AU1583" s="3" t="str">
        <f>IF(Registered!AE1583=0,"",IF(Registered!AE1583=1,Registered!AE1583&amp;" Bandana",Registered!AE1583&amp;" Bandanas"))</f>
        <v/>
      </c>
      <c r="AV1583" s="3">
        <f t="shared" si="74"/>
        <v>0</v>
      </c>
      <c r="AW1583" s="2" t="str">
        <f>IF(Registered!AV1583=0,"",IF(Registered!AV1583=1,Registered!AV1583&amp;" Meal",Registered!AV1583&amp;" Meals"))</f>
        <v/>
      </c>
      <c r="AX1583" s="2" t="str">
        <f>IF(Registered!AI1583=0,"",Registered!AI1583&amp;" BG")</f>
        <v/>
      </c>
      <c r="AY1583" s="2" t="str">
        <f>IF(Registered!AG1583=0,"",Registered!AG1583&amp;" DustMask")</f>
        <v/>
      </c>
    </row>
    <row r="1584" spans="1:51" customFormat="1" x14ac:dyDescent="0.25">
      <c r="A1584" t="s">
        <v>494</v>
      </c>
      <c r="B1584" t="s">
        <v>1881</v>
      </c>
      <c r="C1584" t="s">
        <v>6090</v>
      </c>
      <c r="D1584" t="s">
        <v>1882</v>
      </c>
      <c r="E1584" t="s">
        <v>67</v>
      </c>
      <c r="F1584" t="s">
        <v>261</v>
      </c>
      <c r="I1584" t="s">
        <v>1883</v>
      </c>
      <c r="J1584" t="s">
        <v>37</v>
      </c>
      <c r="K1584" t="s">
        <v>32</v>
      </c>
      <c r="L1584" t="s">
        <v>35</v>
      </c>
      <c r="S1584">
        <v>1</v>
      </c>
      <c r="T1584">
        <v>3</v>
      </c>
      <c r="AM1584">
        <v>1</v>
      </c>
      <c r="AN1584">
        <v>25</v>
      </c>
      <c r="AQ1584">
        <v>28</v>
      </c>
      <c r="AR1584" s="3">
        <f t="shared" si="72"/>
        <v>5</v>
      </c>
      <c r="AS1584" s="3">
        <f t="shared" si="73"/>
        <v>1</v>
      </c>
      <c r="AT1584" s="3" t="str">
        <f>IF(OR(Registered!AM1584&gt;0,Registered!AO1584&gt;0),(IF(Registered!E1584=0,"Size Not Specified",Registered!E1584)),"")</f>
        <v>medium</v>
      </c>
      <c r="AU1584" s="3" t="str">
        <f>IF(Registered!AE1584=0,"",IF(Registered!AE1584=1,Registered!AE1584&amp;" Bandana",Registered!AE1584&amp;" Bandanas"))</f>
        <v/>
      </c>
      <c r="AV1584" s="3">
        <f t="shared" si="74"/>
        <v>1</v>
      </c>
      <c r="AW1584" s="2" t="str">
        <f>IF(Registered!AV1584=0,"",IF(Registered!AV1584=1,Registered!AV1584&amp;" Meal",Registered!AV1584&amp;" Meals"))</f>
        <v>1 Meal</v>
      </c>
      <c r="AX1584" s="2" t="str">
        <f>IF(Registered!AI1584=0,"",Registered!AI1584&amp;" BG")</f>
        <v/>
      </c>
      <c r="AY1584" s="2" t="str">
        <f>IF(Registered!AG1584=0,"",Registered!AG1584&amp;" DustMask")</f>
        <v/>
      </c>
    </row>
    <row r="1585" spans="1:51" customFormat="1" x14ac:dyDescent="0.25">
      <c r="A1585" t="s">
        <v>111</v>
      </c>
      <c r="B1585" t="s">
        <v>1884</v>
      </c>
      <c r="C1585" t="s">
        <v>6090</v>
      </c>
      <c r="D1585" t="s">
        <v>1885</v>
      </c>
      <c r="F1585" t="s">
        <v>261</v>
      </c>
      <c r="I1585" t="s">
        <v>1886</v>
      </c>
      <c r="J1585" t="s">
        <v>37</v>
      </c>
      <c r="K1585" t="s">
        <v>32</v>
      </c>
      <c r="L1585" t="s">
        <v>35</v>
      </c>
      <c r="S1585">
        <v>2</v>
      </c>
      <c r="T1585">
        <v>3</v>
      </c>
      <c r="U1585">
        <v>1</v>
      </c>
      <c r="V1585">
        <v>20</v>
      </c>
      <c r="AQ1585">
        <v>26</v>
      </c>
      <c r="AR1585" s="3">
        <f t="shared" si="72"/>
        <v>10</v>
      </c>
      <c r="AS1585" s="3">
        <f t="shared" si="73"/>
        <v>0</v>
      </c>
      <c r="AT1585" s="3" t="str">
        <f>IF(OR(Registered!AM1585&gt;0,Registered!AO1585&gt;0),(IF(Registered!E1585=0,"Size Not Specified",Registered!E1585)),"")</f>
        <v/>
      </c>
      <c r="AU1585" s="3" t="str">
        <f>IF(Registered!AE1585=0,"",IF(Registered!AE1585=1,Registered!AE1585&amp;" Bandana",Registered!AE1585&amp;" Bandanas"))</f>
        <v/>
      </c>
      <c r="AV1585" s="3">
        <f t="shared" si="74"/>
        <v>0</v>
      </c>
      <c r="AW1585" s="2" t="str">
        <f>IF(Registered!AV1585=0,"",IF(Registered!AV1585=1,Registered!AV1585&amp;" Meal",Registered!AV1585&amp;" Meals"))</f>
        <v/>
      </c>
      <c r="AX1585" s="2" t="str">
        <f>IF(Registered!AI1585=0,"",Registered!AI1585&amp;" BG")</f>
        <v/>
      </c>
      <c r="AY1585" s="2" t="str">
        <f>IF(Registered!AG1585=0,"",Registered!AG1585&amp;" DustMask")</f>
        <v/>
      </c>
    </row>
    <row r="1586" spans="1:51" customFormat="1" x14ac:dyDescent="0.25">
      <c r="A1586" t="s">
        <v>1887</v>
      </c>
      <c r="B1586" t="s">
        <v>1884</v>
      </c>
      <c r="C1586" t="s">
        <v>6090</v>
      </c>
      <c r="G1586" t="s">
        <v>111</v>
      </c>
      <c r="H1586" t="s">
        <v>1884</v>
      </c>
      <c r="I1586" t="s">
        <v>1886</v>
      </c>
      <c r="J1586" t="s">
        <v>37</v>
      </c>
      <c r="K1586" t="s">
        <v>32</v>
      </c>
      <c r="L1586" t="s">
        <v>35</v>
      </c>
      <c r="AQ1586">
        <v>0</v>
      </c>
      <c r="AR1586" s="3">
        <f t="shared" si="72"/>
        <v>0</v>
      </c>
      <c r="AS1586" s="3">
        <f t="shared" si="73"/>
        <v>0</v>
      </c>
      <c r="AT1586" s="3" t="str">
        <f>IF(OR(Registered!AM1586&gt;0,Registered!AO1586&gt;0),(IF(Registered!E1586=0,"Size Not Specified",Registered!E1586)),"")</f>
        <v/>
      </c>
      <c r="AU1586" s="3" t="str">
        <f>IF(Registered!AE1586=0,"",IF(Registered!AE1586=1,Registered!AE1586&amp;" Bandana",Registered!AE1586&amp;" Bandanas"))</f>
        <v/>
      </c>
      <c r="AV1586" s="3">
        <f t="shared" si="74"/>
        <v>0</v>
      </c>
      <c r="AW1586" s="2" t="str">
        <f>IF(Registered!AV1586=0,"",IF(Registered!AV1586=1,Registered!AV1586&amp;" Meal",Registered!AV1586&amp;" Meals"))</f>
        <v/>
      </c>
      <c r="AX1586" s="2" t="str">
        <f>IF(Registered!AI1586=0,"",Registered!AI1586&amp;" BG")</f>
        <v/>
      </c>
      <c r="AY1586" s="2" t="str">
        <f>IF(Registered!AG1586=0,"",Registered!AG1586&amp;" DustMask")</f>
        <v/>
      </c>
    </row>
    <row r="1587" spans="1:51" customFormat="1" x14ac:dyDescent="0.25">
      <c r="A1587" t="s">
        <v>226</v>
      </c>
      <c r="B1587" t="s">
        <v>1888</v>
      </c>
      <c r="C1587" t="s">
        <v>6090</v>
      </c>
      <c r="D1587" t="s">
        <v>1889</v>
      </c>
      <c r="F1587" t="s">
        <v>261</v>
      </c>
      <c r="I1587" t="s">
        <v>1890</v>
      </c>
      <c r="J1587" t="s">
        <v>37</v>
      </c>
      <c r="K1587" t="s">
        <v>32</v>
      </c>
      <c r="L1587" t="s">
        <v>35</v>
      </c>
      <c r="S1587">
        <v>1</v>
      </c>
      <c r="T1587">
        <v>3</v>
      </c>
      <c r="AQ1587">
        <v>3</v>
      </c>
      <c r="AR1587" s="3">
        <f t="shared" si="72"/>
        <v>0</v>
      </c>
      <c r="AS1587" s="3">
        <f t="shared" si="73"/>
        <v>0</v>
      </c>
      <c r="AT1587" s="3" t="str">
        <f>IF(OR(Registered!AM1587&gt;0,Registered!AO1587&gt;0),(IF(Registered!E1587=0,"Size Not Specified",Registered!E1587)),"")</f>
        <v/>
      </c>
      <c r="AU1587" s="3" t="str">
        <f>IF(Registered!AE1587=0,"",IF(Registered!AE1587=1,Registered!AE1587&amp;" Bandana",Registered!AE1587&amp;" Bandanas"))</f>
        <v/>
      </c>
      <c r="AV1587" s="3">
        <f t="shared" si="74"/>
        <v>0</v>
      </c>
      <c r="AW1587" s="2" t="str">
        <f>IF(Registered!AV1587=0,"",IF(Registered!AV1587=1,Registered!AV1587&amp;" Meal",Registered!AV1587&amp;" Meals"))</f>
        <v/>
      </c>
      <c r="AX1587" s="2" t="str">
        <f>IF(Registered!AI1587=0,"",Registered!AI1587&amp;" BG")</f>
        <v/>
      </c>
      <c r="AY1587" s="2" t="str">
        <f>IF(Registered!AG1587=0,"",Registered!AG1587&amp;" DustMask")</f>
        <v/>
      </c>
    </row>
    <row r="1588" spans="1:51" customFormat="1" x14ac:dyDescent="0.25">
      <c r="A1588" t="s">
        <v>1891</v>
      </c>
      <c r="B1588" t="s">
        <v>1892</v>
      </c>
      <c r="C1588" t="s">
        <v>6090</v>
      </c>
      <c r="G1588" t="s">
        <v>1635</v>
      </c>
      <c r="H1588" t="s">
        <v>1633</v>
      </c>
      <c r="I1588" t="s">
        <v>1636</v>
      </c>
      <c r="J1588" t="s">
        <v>37</v>
      </c>
      <c r="K1588" t="s">
        <v>32</v>
      </c>
      <c r="L1588" t="s">
        <v>35</v>
      </c>
      <c r="AQ1588">
        <v>0</v>
      </c>
      <c r="AR1588" s="3">
        <f t="shared" si="72"/>
        <v>0</v>
      </c>
      <c r="AS1588" s="3">
        <f t="shared" si="73"/>
        <v>0</v>
      </c>
      <c r="AT1588" s="3" t="str">
        <f>IF(OR(Registered!AM1588&gt;0,Registered!AO1588&gt;0),(IF(Registered!E1588=0,"Size Not Specified",Registered!E1588)),"")</f>
        <v/>
      </c>
      <c r="AU1588" s="3" t="str">
        <f>IF(Registered!AE1588=0,"",IF(Registered!AE1588=1,Registered!AE1588&amp;" Bandana",Registered!AE1588&amp;" Bandanas"))</f>
        <v/>
      </c>
      <c r="AV1588" s="3">
        <f t="shared" si="74"/>
        <v>0</v>
      </c>
      <c r="AW1588" s="2" t="str">
        <f>IF(Registered!AV1588=0,"",IF(Registered!AV1588=1,Registered!AV1588&amp;" Meal",Registered!AV1588&amp;" Meals"))</f>
        <v/>
      </c>
      <c r="AX1588" s="2" t="str">
        <f>IF(Registered!AI1588=0,"",Registered!AI1588&amp;" BG")</f>
        <v/>
      </c>
      <c r="AY1588" s="2" t="str">
        <f>IF(Registered!AG1588=0,"",Registered!AG1588&amp;" DustMask")</f>
        <v/>
      </c>
    </row>
    <row r="1589" spans="1:51" customFormat="1" x14ac:dyDescent="0.25">
      <c r="A1589" t="s">
        <v>165</v>
      </c>
      <c r="B1589" t="s">
        <v>5182</v>
      </c>
      <c r="C1589" t="s">
        <v>6090</v>
      </c>
      <c r="D1589" t="s">
        <v>70</v>
      </c>
      <c r="F1589" t="s">
        <v>261</v>
      </c>
      <c r="I1589" t="s">
        <v>5183</v>
      </c>
      <c r="J1589" t="s">
        <v>37</v>
      </c>
      <c r="K1589" t="s">
        <v>32</v>
      </c>
      <c r="L1589" t="s">
        <v>35</v>
      </c>
      <c r="Q1589">
        <v>2</v>
      </c>
      <c r="R1589">
        <v>3</v>
      </c>
      <c r="AC1589">
        <v>1</v>
      </c>
      <c r="AD1589">
        <v>10</v>
      </c>
      <c r="AK1589">
        <v>2</v>
      </c>
      <c r="AL1589">
        <v>6</v>
      </c>
      <c r="AQ1589">
        <v>28</v>
      </c>
      <c r="AR1589" s="3">
        <f t="shared" si="72"/>
        <v>5</v>
      </c>
      <c r="AS1589" s="3">
        <f t="shared" si="73"/>
        <v>0</v>
      </c>
      <c r="AT1589" s="3" t="str">
        <f>IF(OR(Registered!AM1589&gt;0,Registered!AO1589&gt;0),(IF(Registered!E1589=0,"Size Not Specified",Registered!E1589)),"")</f>
        <v/>
      </c>
      <c r="AU1589" s="3" t="str">
        <f>IF(Registered!AE1589=0,"",IF(Registered!AE1589=1,Registered!AE1589&amp;" Bandana",Registered!AE1589&amp;" Bandanas"))</f>
        <v/>
      </c>
      <c r="AV1589" s="3">
        <f t="shared" si="74"/>
        <v>2</v>
      </c>
      <c r="AW1589" s="2" t="str">
        <f>IF(Registered!AV1589=0,"",IF(Registered!AV1589=1,Registered!AV1589&amp;" Meal",Registered!AV1589&amp;" Meals"))</f>
        <v>2 Meals</v>
      </c>
      <c r="AX1589" s="2" t="str">
        <f>IF(Registered!AI1589=0,"",Registered!AI1589&amp;" BG")</f>
        <v/>
      </c>
      <c r="AY1589" s="2" t="str">
        <f>IF(Registered!AG1589=0,"",Registered!AG1589&amp;" DustMask")</f>
        <v/>
      </c>
    </row>
    <row r="1590" spans="1:51" customFormat="1" x14ac:dyDescent="0.25">
      <c r="A1590" t="s">
        <v>294</v>
      </c>
      <c r="B1590" t="s">
        <v>5184</v>
      </c>
      <c r="C1590" t="s">
        <v>6090</v>
      </c>
      <c r="G1590" t="s">
        <v>3559</v>
      </c>
      <c r="H1590" t="s">
        <v>3560</v>
      </c>
      <c r="I1590" t="s">
        <v>3561</v>
      </c>
      <c r="J1590" t="s">
        <v>37</v>
      </c>
      <c r="K1590" t="s">
        <v>32</v>
      </c>
      <c r="L1590" t="s">
        <v>35</v>
      </c>
      <c r="AQ1590">
        <v>0</v>
      </c>
      <c r="AR1590" s="3">
        <f t="shared" si="72"/>
        <v>0</v>
      </c>
      <c r="AS1590" s="3">
        <f t="shared" si="73"/>
        <v>0</v>
      </c>
      <c r="AT1590" s="3" t="str">
        <f>IF(OR(Registered!AM1590&gt;0,Registered!AO1590&gt;0),(IF(Registered!E1590=0,"Size Not Specified",Registered!E1590)),"")</f>
        <v/>
      </c>
      <c r="AU1590" s="3" t="str">
        <f>IF(Registered!AE1590=0,"",IF(Registered!AE1590=1,Registered!AE1590&amp;" Bandana",Registered!AE1590&amp;" Bandanas"))</f>
        <v/>
      </c>
      <c r="AV1590" s="3">
        <f t="shared" si="74"/>
        <v>0</v>
      </c>
      <c r="AW1590" s="2" t="str">
        <f>IF(Registered!AV1590=0,"",IF(Registered!AV1590=1,Registered!AV1590&amp;" Meal",Registered!AV1590&amp;" Meals"))</f>
        <v/>
      </c>
      <c r="AX1590" s="2" t="str">
        <f>IF(Registered!AI1590=0,"",Registered!AI1590&amp;" BG")</f>
        <v/>
      </c>
      <c r="AY1590" s="2" t="str">
        <f>IF(Registered!AG1590=0,"",Registered!AG1590&amp;" DustMask")</f>
        <v/>
      </c>
    </row>
    <row r="1591" spans="1:51" customFormat="1" x14ac:dyDescent="0.25">
      <c r="A1591" t="s">
        <v>121</v>
      </c>
      <c r="B1591" t="s">
        <v>1893</v>
      </c>
      <c r="C1591" t="s">
        <v>6090</v>
      </c>
      <c r="G1591" t="s">
        <v>140</v>
      </c>
      <c r="H1591" t="s">
        <v>1894</v>
      </c>
      <c r="I1591" t="s">
        <v>1895</v>
      </c>
      <c r="J1591" t="s">
        <v>37</v>
      </c>
      <c r="K1591" t="s">
        <v>32</v>
      </c>
      <c r="L1591" t="s">
        <v>35</v>
      </c>
      <c r="AQ1591">
        <v>0</v>
      </c>
      <c r="AR1591" s="3">
        <f t="shared" si="72"/>
        <v>0</v>
      </c>
      <c r="AS1591" s="3">
        <f t="shared" si="73"/>
        <v>0</v>
      </c>
      <c r="AT1591" s="3" t="str">
        <f>IF(OR(Registered!AM1591&gt;0,Registered!AO1591&gt;0),(IF(Registered!E1591=0,"Size Not Specified",Registered!E1591)),"")</f>
        <v/>
      </c>
      <c r="AU1591" s="3" t="str">
        <f>IF(Registered!AE1591=0,"",IF(Registered!AE1591=1,Registered!AE1591&amp;" Bandana",Registered!AE1591&amp;" Bandanas"))</f>
        <v/>
      </c>
      <c r="AV1591" s="3">
        <f t="shared" si="74"/>
        <v>0</v>
      </c>
      <c r="AW1591" s="2" t="str">
        <f>IF(Registered!AV1591=0,"",IF(Registered!AV1591=1,Registered!AV1591&amp;" Meal",Registered!AV1591&amp;" Meals"))</f>
        <v/>
      </c>
      <c r="AX1591" s="2" t="str">
        <f>IF(Registered!AI1591=0,"",Registered!AI1591&amp;" BG")</f>
        <v/>
      </c>
      <c r="AY1591" s="2" t="str">
        <f>IF(Registered!AG1591=0,"",Registered!AG1591&amp;" DustMask")</f>
        <v/>
      </c>
    </row>
    <row r="1592" spans="1:51" customFormat="1" x14ac:dyDescent="0.25">
      <c r="A1592" t="s">
        <v>835</v>
      </c>
      <c r="B1592" t="s">
        <v>836</v>
      </c>
      <c r="C1592" t="s">
        <v>6090</v>
      </c>
      <c r="D1592" t="s">
        <v>835</v>
      </c>
      <c r="E1592" t="s">
        <v>1896</v>
      </c>
      <c r="F1592" t="s">
        <v>261</v>
      </c>
      <c r="I1592" t="s">
        <v>1897</v>
      </c>
      <c r="J1592" t="s">
        <v>37</v>
      </c>
      <c r="K1592" t="s">
        <v>32</v>
      </c>
      <c r="L1592" t="s">
        <v>35</v>
      </c>
      <c r="S1592">
        <v>5</v>
      </c>
      <c r="T1592">
        <v>3</v>
      </c>
      <c r="AM1592">
        <v>5</v>
      </c>
      <c r="AN1592">
        <v>25</v>
      </c>
      <c r="AQ1592">
        <v>140</v>
      </c>
      <c r="AR1592" s="3">
        <f t="shared" si="72"/>
        <v>25</v>
      </c>
      <c r="AS1592" s="3">
        <f t="shared" si="73"/>
        <v>5</v>
      </c>
      <c r="AT1592" s="3" t="str">
        <f>IF(OR(Registered!AM1592&gt;0,Registered!AO1592&gt;0),(IF(Registered!E1592=0,"Size Not Specified",Registered!E1592)),"")</f>
        <v>L, XL, XL, XL, XXL</v>
      </c>
      <c r="AU1592" s="3" t="str">
        <f>IF(Registered!AE1592=0,"",IF(Registered!AE1592=1,Registered!AE1592&amp;" Bandana",Registered!AE1592&amp;" Bandanas"))</f>
        <v/>
      </c>
      <c r="AV1592" s="3">
        <f t="shared" si="74"/>
        <v>5</v>
      </c>
      <c r="AW1592" s="2" t="str">
        <f>IF(Registered!AV1592=0,"",IF(Registered!AV1592=1,Registered!AV1592&amp;" Meal",Registered!AV1592&amp;" Meals"))</f>
        <v>5 Meals</v>
      </c>
      <c r="AX1592" s="2" t="str">
        <f>IF(Registered!AI1592=0,"",Registered!AI1592&amp;" BG")</f>
        <v/>
      </c>
      <c r="AY1592" s="2" t="str">
        <f>IF(Registered!AG1592=0,"",Registered!AG1592&amp;" DustMask")</f>
        <v/>
      </c>
    </row>
    <row r="1593" spans="1:51" customFormat="1" x14ac:dyDescent="0.25">
      <c r="A1593" t="s">
        <v>1898</v>
      </c>
      <c r="B1593" t="s">
        <v>836</v>
      </c>
      <c r="C1593" t="s">
        <v>6090</v>
      </c>
      <c r="G1593" t="s">
        <v>835</v>
      </c>
      <c r="H1593" t="s">
        <v>836</v>
      </c>
      <c r="I1593" t="s">
        <v>1897</v>
      </c>
      <c r="J1593" t="s">
        <v>37</v>
      </c>
      <c r="K1593" t="s">
        <v>32</v>
      </c>
      <c r="L1593" t="s">
        <v>35</v>
      </c>
      <c r="AQ1593">
        <v>0</v>
      </c>
      <c r="AR1593" s="3">
        <f t="shared" si="72"/>
        <v>0</v>
      </c>
      <c r="AS1593" s="3">
        <f t="shared" si="73"/>
        <v>0</v>
      </c>
      <c r="AT1593" s="3" t="str">
        <f>IF(OR(Registered!AM1593&gt;0,Registered!AO1593&gt;0),(IF(Registered!E1593=0,"Size Not Specified",Registered!E1593)),"")</f>
        <v/>
      </c>
      <c r="AU1593" s="3" t="str">
        <f>IF(Registered!AE1593=0,"",IF(Registered!AE1593=1,Registered!AE1593&amp;" Bandana",Registered!AE1593&amp;" Bandanas"))</f>
        <v/>
      </c>
      <c r="AV1593" s="3">
        <f t="shared" si="74"/>
        <v>0</v>
      </c>
      <c r="AW1593" s="2" t="str">
        <f>IF(Registered!AV1593=0,"",IF(Registered!AV1593=1,Registered!AV1593&amp;" Meal",Registered!AV1593&amp;" Meals"))</f>
        <v/>
      </c>
      <c r="AX1593" s="2" t="str">
        <f>IF(Registered!AI1593=0,"",Registered!AI1593&amp;" BG")</f>
        <v/>
      </c>
      <c r="AY1593" s="2" t="str">
        <f>IF(Registered!AG1593=0,"",Registered!AG1593&amp;" DustMask")</f>
        <v/>
      </c>
    </row>
    <row r="1594" spans="1:51" customFormat="1" x14ac:dyDescent="0.25">
      <c r="A1594" t="s">
        <v>386</v>
      </c>
      <c r="B1594" t="s">
        <v>369</v>
      </c>
      <c r="C1594" t="s">
        <v>6090</v>
      </c>
      <c r="G1594" t="s">
        <v>233</v>
      </c>
      <c r="H1594" t="s">
        <v>504</v>
      </c>
      <c r="I1594" t="s">
        <v>1505</v>
      </c>
      <c r="J1594" t="s">
        <v>37</v>
      </c>
      <c r="K1594" t="s">
        <v>32</v>
      </c>
      <c r="L1594" t="s">
        <v>35</v>
      </c>
      <c r="AQ1594">
        <v>0</v>
      </c>
      <c r="AR1594" s="3">
        <f t="shared" si="72"/>
        <v>0</v>
      </c>
      <c r="AS1594" s="3">
        <f t="shared" si="73"/>
        <v>0</v>
      </c>
      <c r="AT1594" s="3" t="str">
        <f>IF(OR(Registered!AM1594&gt;0,Registered!AO1594&gt;0),(IF(Registered!E1594=0,"Size Not Specified",Registered!E1594)),"")</f>
        <v/>
      </c>
      <c r="AU1594" s="3" t="str">
        <f>IF(Registered!AE1594=0,"",IF(Registered!AE1594=1,Registered!AE1594&amp;" Bandana",Registered!AE1594&amp;" Bandanas"))</f>
        <v/>
      </c>
      <c r="AV1594" s="3">
        <f t="shared" si="74"/>
        <v>0</v>
      </c>
      <c r="AW1594" s="2" t="str">
        <f>IF(Registered!AV1594=0,"",IF(Registered!AV1594=1,Registered!AV1594&amp;" Meal",Registered!AV1594&amp;" Meals"))</f>
        <v/>
      </c>
      <c r="AX1594" s="2" t="str">
        <f>IF(Registered!AI1594=0,"",Registered!AI1594&amp;" BG")</f>
        <v/>
      </c>
      <c r="AY1594" s="2" t="str">
        <f>IF(Registered!AG1594=0,"",Registered!AG1594&amp;" DustMask")</f>
        <v/>
      </c>
    </row>
    <row r="1595" spans="1:51" customFormat="1" x14ac:dyDescent="0.25">
      <c r="A1595" t="s">
        <v>5185</v>
      </c>
      <c r="B1595" t="s">
        <v>5186</v>
      </c>
      <c r="C1595" t="s">
        <v>6090</v>
      </c>
      <c r="G1595" t="s">
        <v>94</v>
      </c>
      <c r="H1595" t="s">
        <v>4691</v>
      </c>
      <c r="I1595" t="s">
        <v>4692</v>
      </c>
      <c r="J1595" t="s">
        <v>37</v>
      </c>
      <c r="K1595" t="s">
        <v>32</v>
      </c>
      <c r="L1595" t="s">
        <v>35</v>
      </c>
      <c r="AQ1595">
        <v>0</v>
      </c>
      <c r="AR1595" s="3">
        <f t="shared" si="72"/>
        <v>0</v>
      </c>
      <c r="AS1595" s="3">
        <f t="shared" si="73"/>
        <v>0</v>
      </c>
      <c r="AT1595" s="3" t="str">
        <f>IF(OR(Registered!AM1595&gt;0,Registered!AO1595&gt;0),(IF(Registered!E1595=0,"Size Not Specified",Registered!E1595)),"")</f>
        <v/>
      </c>
      <c r="AU1595" s="3" t="str">
        <f>IF(Registered!AE1595=0,"",IF(Registered!AE1595=1,Registered!AE1595&amp;" Bandana",Registered!AE1595&amp;" Bandanas"))</f>
        <v/>
      </c>
      <c r="AV1595" s="3">
        <f t="shared" si="74"/>
        <v>0</v>
      </c>
      <c r="AW1595" s="2" t="str">
        <f>IF(Registered!AV1595=0,"",IF(Registered!AV1595=1,Registered!AV1595&amp;" Meal",Registered!AV1595&amp;" Meals"))</f>
        <v/>
      </c>
      <c r="AX1595" s="2" t="str">
        <f>IF(Registered!AI1595=0,"",Registered!AI1595&amp;" BG")</f>
        <v/>
      </c>
      <c r="AY1595" s="2" t="str">
        <f>IF(Registered!AG1595=0,"",Registered!AG1595&amp;" DustMask")</f>
        <v/>
      </c>
    </row>
    <row r="1596" spans="1:51" customFormat="1" x14ac:dyDescent="0.25">
      <c r="A1596" t="s">
        <v>5187</v>
      </c>
      <c r="B1596" t="s">
        <v>5188</v>
      </c>
      <c r="C1596" t="s">
        <v>6090</v>
      </c>
      <c r="G1596" t="s">
        <v>4069</v>
      </c>
      <c r="H1596" t="s">
        <v>1535</v>
      </c>
      <c r="I1596" t="s">
        <v>4710</v>
      </c>
      <c r="J1596" t="s">
        <v>37</v>
      </c>
      <c r="K1596" t="s">
        <v>32</v>
      </c>
      <c r="L1596" t="s">
        <v>35</v>
      </c>
      <c r="AQ1596">
        <v>0</v>
      </c>
      <c r="AR1596" s="3">
        <f t="shared" si="72"/>
        <v>0</v>
      </c>
      <c r="AS1596" s="3">
        <f t="shared" si="73"/>
        <v>0</v>
      </c>
      <c r="AT1596" s="3" t="str">
        <f>IF(OR(Registered!AM1596&gt;0,Registered!AO1596&gt;0),(IF(Registered!E1596=0,"Size Not Specified",Registered!E1596)),"")</f>
        <v/>
      </c>
      <c r="AU1596" s="3" t="str">
        <f>IF(Registered!AE1596=0,"",IF(Registered!AE1596=1,Registered!AE1596&amp;" Bandana",Registered!AE1596&amp;" Bandanas"))</f>
        <v/>
      </c>
      <c r="AV1596" s="3">
        <f t="shared" si="74"/>
        <v>0</v>
      </c>
      <c r="AW1596" s="2" t="str">
        <f>IF(Registered!AV1596=0,"",IF(Registered!AV1596=1,Registered!AV1596&amp;" Meal",Registered!AV1596&amp;" Meals"))</f>
        <v/>
      </c>
      <c r="AX1596" s="2" t="str">
        <f>IF(Registered!AI1596=0,"",Registered!AI1596&amp;" BG")</f>
        <v/>
      </c>
      <c r="AY1596" s="2" t="str">
        <f>IF(Registered!AG1596=0,"",Registered!AG1596&amp;" DustMask")</f>
        <v/>
      </c>
    </row>
    <row r="1597" spans="1:51" customFormat="1" x14ac:dyDescent="0.25">
      <c r="A1597" t="s">
        <v>163</v>
      </c>
      <c r="B1597" t="s">
        <v>5189</v>
      </c>
      <c r="C1597" t="s">
        <v>6090</v>
      </c>
      <c r="D1597" t="s">
        <v>198</v>
      </c>
      <c r="F1597" t="s">
        <v>261</v>
      </c>
      <c r="I1597" t="s">
        <v>5190</v>
      </c>
      <c r="J1597" t="s">
        <v>37</v>
      </c>
      <c r="K1597" t="s">
        <v>32</v>
      </c>
      <c r="L1597" t="s">
        <v>35</v>
      </c>
      <c r="Q1597">
        <v>1</v>
      </c>
      <c r="R1597">
        <v>3</v>
      </c>
      <c r="AC1597">
        <v>1</v>
      </c>
      <c r="AD1597">
        <v>10</v>
      </c>
      <c r="AQ1597">
        <v>13</v>
      </c>
      <c r="AR1597" s="3">
        <f t="shared" si="72"/>
        <v>5</v>
      </c>
      <c r="AS1597" s="3">
        <f t="shared" si="73"/>
        <v>0</v>
      </c>
      <c r="AT1597" s="3" t="str">
        <f>IF(OR(Registered!AM1597&gt;0,Registered!AO1597&gt;0),(IF(Registered!E1597=0,"Size Not Specified",Registered!E1597)),"")</f>
        <v/>
      </c>
      <c r="AU1597" s="3" t="str">
        <f>IF(Registered!AE1597=0,"",IF(Registered!AE1597=1,Registered!AE1597&amp;" Bandana",Registered!AE1597&amp;" Bandanas"))</f>
        <v/>
      </c>
      <c r="AV1597" s="3">
        <f t="shared" si="74"/>
        <v>0</v>
      </c>
      <c r="AW1597" s="2" t="str">
        <f>IF(Registered!AV1597=0,"",IF(Registered!AV1597=1,Registered!AV1597&amp;" Meal",Registered!AV1597&amp;" Meals"))</f>
        <v/>
      </c>
      <c r="AX1597" s="2" t="str">
        <f>IF(Registered!AI1597=0,"",Registered!AI1597&amp;" BG")</f>
        <v/>
      </c>
      <c r="AY1597" s="2" t="str">
        <f>IF(Registered!AG1597=0,"",Registered!AG1597&amp;" DustMask")</f>
        <v/>
      </c>
    </row>
    <row r="1598" spans="1:51" customFormat="1" x14ac:dyDescent="0.25">
      <c r="A1598" t="s">
        <v>465</v>
      </c>
      <c r="B1598" t="s">
        <v>5191</v>
      </c>
      <c r="C1598" t="s">
        <v>6090</v>
      </c>
      <c r="F1598" t="s">
        <v>261</v>
      </c>
      <c r="I1598" t="s">
        <v>5192</v>
      </c>
      <c r="J1598" t="s">
        <v>37</v>
      </c>
      <c r="K1598" t="s">
        <v>32</v>
      </c>
      <c r="L1598" t="s">
        <v>35</v>
      </c>
      <c r="Q1598">
        <v>1</v>
      </c>
      <c r="R1598">
        <v>3</v>
      </c>
      <c r="AC1598">
        <v>1</v>
      </c>
      <c r="AD1598">
        <v>10</v>
      </c>
      <c r="AK1598">
        <v>1</v>
      </c>
      <c r="AL1598">
        <v>6</v>
      </c>
      <c r="AQ1598">
        <v>19</v>
      </c>
      <c r="AR1598" s="3">
        <f t="shared" si="72"/>
        <v>5</v>
      </c>
      <c r="AS1598" s="3">
        <f t="shared" si="73"/>
        <v>0</v>
      </c>
      <c r="AT1598" s="3" t="str">
        <f>IF(OR(Registered!AM1598&gt;0,Registered!AO1598&gt;0),(IF(Registered!E1598=0,"Size Not Specified",Registered!E1598)),"")</f>
        <v/>
      </c>
      <c r="AU1598" s="3" t="str">
        <f>IF(Registered!AE1598=0,"",IF(Registered!AE1598=1,Registered!AE1598&amp;" Bandana",Registered!AE1598&amp;" Bandanas"))</f>
        <v/>
      </c>
      <c r="AV1598" s="3">
        <f t="shared" si="74"/>
        <v>1</v>
      </c>
      <c r="AW1598" s="2" t="str">
        <f>IF(Registered!AV1598=0,"",IF(Registered!AV1598=1,Registered!AV1598&amp;" Meal",Registered!AV1598&amp;" Meals"))</f>
        <v>1 Meal</v>
      </c>
      <c r="AX1598" s="2" t="str">
        <f>IF(Registered!AI1598=0,"",Registered!AI1598&amp;" BG")</f>
        <v/>
      </c>
      <c r="AY1598" s="2" t="str">
        <f>IF(Registered!AG1598=0,"",Registered!AG1598&amp;" DustMask")</f>
        <v/>
      </c>
    </row>
    <row r="1599" spans="1:51" customFormat="1" x14ac:dyDescent="0.25">
      <c r="A1599" t="s">
        <v>211</v>
      </c>
      <c r="B1599" t="s">
        <v>5193</v>
      </c>
      <c r="C1599" t="s">
        <v>6090</v>
      </c>
      <c r="G1599" t="s">
        <v>253</v>
      </c>
      <c r="H1599" t="s">
        <v>5193</v>
      </c>
      <c r="I1599" t="s">
        <v>5194</v>
      </c>
      <c r="J1599" t="s">
        <v>37</v>
      </c>
      <c r="K1599" t="s">
        <v>32</v>
      </c>
      <c r="L1599" t="s">
        <v>35</v>
      </c>
      <c r="AQ1599">
        <v>0</v>
      </c>
      <c r="AR1599" s="3">
        <f t="shared" si="72"/>
        <v>0</v>
      </c>
      <c r="AS1599" s="3">
        <f t="shared" si="73"/>
        <v>0</v>
      </c>
      <c r="AT1599" s="3" t="str">
        <f>IF(OR(Registered!AM1599&gt;0,Registered!AO1599&gt;0),(IF(Registered!E1599=0,"Size Not Specified",Registered!E1599)),"")</f>
        <v/>
      </c>
      <c r="AU1599" s="3" t="str">
        <f>IF(Registered!AE1599=0,"",IF(Registered!AE1599=1,Registered!AE1599&amp;" Bandana",Registered!AE1599&amp;" Bandanas"))</f>
        <v/>
      </c>
      <c r="AV1599" s="3">
        <f t="shared" si="74"/>
        <v>0</v>
      </c>
      <c r="AW1599" s="2" t="str">
        <f>IF(Registered!AV1599=0,"",IF(Registered!AV1599=1,Registered!AV1599&amp;" Meal",Registered!AV1599&amp;" Meals"))</f>
        <v/>
      </c>
      <c r="AX1599" s="2" t="str">
        <f>IF(Registered!AI1599=0,"",Registered!AI1599&amp;" BG")</f>
        <v/>
      </c>
      <c r="AY1599" s="2" t="str">
        <f>IF(Registered!AG1599=0,"",Registered!AG1599&amp;" DustMask")</f>
        <v/>
      </c>
    </row>
    <row r="1600" spans="1:51" customFormat="1" x14ac:dyDescent="0.25">
      <c r="A1600" t="s">
        <v>253</v>
      </c>
      <c r="B1600" t="s">
        <v>5193</v>
      </c>
      <c r="C1600" t="s">
        <v>6090</v>
      </c>
      <c r="D1600" t="s">
        <v>5195</v>
      </c>
      <c r="I1600" t="s">
        <v>5194</v>
      </c>
      <c r="J1600" t="s">
        <v>37</v>
      </c>
      <c r="K1600" t="s">
        <v>32</v>
      </c>
      <c r="L1600" t="s">
        <v>35</v>
      </c>
      <c r="Q1600">
        <v>2</v>
      </c>
      <c r="R1600">
        <v>3</v>
      </c>
      <c r="AC1600">
        <v>1</v>
      </c>
      <c r="AD1600">
        <v>10</v>
      </c>
      <c r="AQ1600">
        <v>16</v>
      </c>
      <c r="AR1600" s="3">
        <f t="shared" si="72"/>
        <v>5</v>
      </c>
      <c r="AS1600" s="3">
        <f t="shared" si="73"/>
        <v>0</v>
      </c>
      <c r="AT1600" s="3" t="str">
        <f>IF(OR(Registered!AM1600&gt;0,Registered!AO1600&gt;0),(IF(Registered!E1600=0,"Size Not Specified",Registered!E1600)),"")</f>
        <v/>
      </c>
      <c r="AU1600" s="3" t="str">
        <f>IF(Registered!AE1600=0,"",IF(Registered!AE1600=1,Registered!AE1600&amp;" Bandana",Registered!AE1600&amp;" Bandanas"))</f>
        <v/>
      </c>
      <c r="AV1600" s="3">
        <f t="shared" si="74"/>
        <v>0</v>
      </c>
      <c r="AW1600" s="2" t="str">
        <f>IF(Registered!AV1600=0,"",IF(Registered!AV1600=1,Registered!AV1600&amp;" Meal",Registered!AV1600&amp;" Meals"))</f>
        <v/>
      </c>
      <c r="AX1600" s="2" t="str">
        <f>IF(Registered!AI1600=0,"",Registered!AI1600&amp;" BG")</f>
        <v/>
      </c>
      <c r="AY1600" s="2" t="str">
        <f>IF(Registered!AG1600=0,"",Registered!AG1600&amp;" DustMask")</f>
        <v/>
      </c>
    </row>
    <row r="1601" spans="1:51" customFormat="1" x14ac:dyDescent="0.25">
      <c r="A1601" t="s">
        <v>3202</v>
      </c>
      <c r="B1601" t="s">
        <v>3203</v>
      </c>
      <c r="C1601" t="s">
        <v>6090</v>
      </c>
      <c r="G1601" t="s">
        <v>2904</v>
      </c>
      <c r="H1601" t="s">
        <v>2905</v>
      </c>
      <c r="I1601" t="s">
        <v>2906</v>
      </c>
      <c r="J1601" t="s">
        <v>37</v>
      </c>
      <c r="K1601" t="s">
        <v>32</v>
      </c>
      <c r="L1601" t="s">
        <v>35</v>
      </c>
      <c r="AQ1601">
        <v>0</v>
      </c>
      <c r="AR1601" s="3">
        <f t="shared" si="72"/>
        <v>0</v>
      </c>
      <c r="AS1601" s="3">
        <f t="shared" si="73"/>
        <v>0</v>
      </c>
      <c r="AT1601" s="3" t="str">
        <f>IF(OR(Registered!AM1601&gt;0,Registered!AO1601&gt;0),(IF(Registered!E1601=0,"Size Not Specified",Registered!E1601)),"")</f>
        <v/>
      </c>
      <c r="AU1601" s="3" t="str">
        <f>IF(Registered!AE1601=0,"",IF(Registered!AE1601=1,Registered!AE1601&amp;" Bandana",Registered!AE1601&amp;" Bandanas"))</f>
        <v/>
      </c>
      <c r="AV1601" s="3">
        <f t="shared" si="74"/>
        <v>0</v>
      </c>
      <c r="AW1601" s="2" t="str">
        <f>IF(Registered!AV1601=0,"",IF(Registered!AV1601=1,Registered!AV1601&amp;" Meal",Registered!AV1601&amp;" Meals"))</f>
        <v/>
      </c>
      <c r="AX1601" s="2" t="str">
        <f>IF(Registered!AI1601=0,"",Registered!AI1601&amp;" BG")</f>
        <v/>
      </c>
      <c r="AY1601" s="2" t="str">
        <f>IF(Registered!AG1601=0,"",Registered!AG1601&amp;" DustMask")</f>
        <v/>
      </c>
    </row>
    <row r="1602" spans="1:51" customFormat="1" x14ac:dyDescent="0.25">
      <c r="A1602" t="s">
        <v>292</v>
      </c>
      <c r="B1602" t="s">
        <v>3203</v>
      </c>
      <c r="C1602" t="s">
        <v>6090</v>
      </c>
      <c r="G1602" t="s">
        <v>4033</v>
      </c>
      <c r="H1602" t="s">
        <v>223</v>
      </c>
      <c r="I1602" t="s">
        <v>4034</v>
      </c>
      <c r="J1602" t="s">
        <v>37</v>
      </c>
      <c r="K1602" t="s">
        <v>32</v>
      </c>
      <c r="L1602" t="s">
        <v>35</v>
      </c>
      <c r="AQ1602">
        <v>0</v>
      </c>
      <c r="AR1602" s="3">
        <f t="shared" ref="AR1602:AR1665" si="75">IF(ISTEXT(AM1602)=TRUE,"",SUM(U1602*10,W1602*20,Y1602*30,AA1602*40,AC1602*5,AM1602*5))</f>
        <v>0</v>
      </c>
      <c r="AS1602" s="3">
        <f t="shared" ref="AS1602:AS1665" si="76">IF(ISTEXT(AM1602)=TRUE,"",SUM(AM1602,AO1602))</f>
        <v>0</v>
      </c>
      <c r="AT1602" s="3" t="str">
        <f>IF(OR(Registered!AM1602&gt;0,Registered!AO1602&gt;0),(IF(Registered!E1602=0,"Size Not Specified",Registered!E1602)),"")</f>
        <v/>
      </c>
      <c r="AU1602" s="3" t="str">
        <f>IF(Registered!AE1602=0,"",IF(Registered!AE1602=1,Registered!AE1602&amp;" Bandana",Registered!AE1602&amp;" Bandanas"))</f>
        <v/>
      </c>
      <c r="AV1602" s="3">
        <f t="shared" ref="AV1602:AV1665" si="77">IF(ISTEXT(AM1602)=TRUE,"",SUM(AM1602,AK1602))</f>
        <v>0</v>
      </c>
      <c r="AW1602" s="2" t="str">
        <f>IF(Registered!AV1602=0,"",IF(Registered!AV1602=1,Registered!AV1602&amp;" Meal",Registered!AV1602&amp;" Meals"))</f>
        <v/>
      </c>
      <c r="AX1602" s="2" t="str">
        <f>IF(Registered!AI1602=0,"",Registered!AI1602&amp;" BG")</f>
        <v/>
      </c>
      <c r="AY1602" s="2" t="str">
        <f>IF(Registered!AG1602=0,"",Registered!AG1602&amp;" DustMask")</f>
        <v/>
      </c>
    </row>
    <row r="1603" spans="1:51" customFormat="1" x14ac:dyDescent="0.25">
      <c r="A1603" t="s">
        <v>47</v>
      </c>
      <c r="B1603" t="s">
        <v>1899</v>
      </c>
      <c r="C1603" t="s">
        <v>6090</v>
      </c>
      <c r="D1603" t="s">
        <v>1900</v>
      </c>
      <c r="F1603" t="s">
        <v>261</v>
      </c>
      <c r="I1603" t="s">
        <v>1901</v>
      </c>
      <c r="J1603" t="s">
        <v>37</v>
      </c>
      <c r="K1603" t="s">
        <v>32</v>
      </c>
      <c r="L1603" t="s">
        <v>35</v>
      </c>
      <c r="Q1603">
        <v>2</v>
      </c>
      <c r="R1603">
        <v>3</v>
      </c>
      <c r="U1603">
        <v>1</v>
      </c>
      <c r="V1603">
        <v>20</v>
      </c>
      <c r="AQ1603">
        <v>26</v>
      </c>
      <c r="AR1603" s="3">
        <f t="shared" si="75"/>
        <v>10</v>
      </c>
      <c r="AS1603" s="3">
        <f t="shared" si="76"/>
        <v>0</v>
      </c>
      <c r="AT1603" s="3" t="str">
        <f>IF(OR(Registered!AM1603&gt;0,Registered!AO1603&gt;0),(IF(Registered!E1603=0,"Size Not Specified",Registered!E1603)),"")</f>
        <v/>
      </c>
      <c r="AU1603" s="3" t="str">
        <f>IF(Registered!AE1603=0,"",IF(Registered!AE1603=1,Registered!AE1603&amp;" Bandana",Registered!AE1603&amp;" Bandanas"))</f>
        <v/>
      </c>
      <c r="AV1603" s="3">
        <f t="shared" si="77"/>
        <v>0</v>
      </c>
      <c r="AW1603" s="2" t="str">
        <f>IF(Registered!AV1603=0,"",IF(Registered!AV1603=1,Registered!AV1603&amp;" Meal",Registered!AV1603&amp;" Meals"))</f>
        <v/>
      </c>
      <c r="AX1603" s="2" t="str">
        <f>IF(Registered!AI1603=0,"",Registered!AI1603&amp;" BG")</f>
        <v/>
      </c>
      <c r="AY1603" s="2" t="str">
        <f>IF(Registered!AG1603=0,"",Registered!AG1603&amp;" DustMask")</f>
        <v/>
      </c>
    </row>
    <row r="1604" spans="1:51" customFormat="1" x14ac:dyDescent="0.25">
      <c r="A1604" t="s">
        <v>5196</v>
      </c>
      <c r="B1604" t="s">
        <v>5197</v>
      </c>
      <c r="C1604" t="s">
        <v>6090</v>
      </c>
      <c r="D1604" t="s">
        <v>5198</v>
      </c>
      <c r="E1604" t="s">
        <v>5199</v>
      </c>
      <c r="F1604" t="s">
        <v>261</v>
      </c>
      <c r="I1604" t="s">
        <v>5200</v>
      </c>
      <c r="J1604" t="s">
        <v>37</v>
      </c>
      <c r="K1604" t="s">
        <v>32</v>
      </c>
      <c r="L1604" t="s">
        <v>35</v>
      </c>
      <c r="Q1604">
        <v>1</v>
      </c>
      <c r="R1604">
        <v>3</v>
      </c>
      <c r="AM1604">
        <v>1</v>
      </c>
      <c r="AN1604">
        <v>25</v>
      </c>
      <c r="AQ1604">
        <v>28</v>
      </c>
      <c r="AR1604" s="3">
        <f t="shared" si="75"/>
        <v>5</v>
      </c>
      <c r="AS1604" s="3">
        <f t="shared" si="76"/>
        <v>1</v>
      </c>
      <c r="AT1604" s="3" t="str">
        <f>IF(OR(Registered!AM1604&gt;0,Registered!AO1604&gt;0),(IF(Registered!E1604=0,"Size Not Specified",Registered!E1604)),"")</f>
        <v>Women's small</v>
      </c>
      <c r="AU1604" s="3" t="str">
        <f>IF(Registered!AE1604=0,"",IF(Registered!AE1604=1,Registered!AE1604&amp;" Bandana",Registered!AE1604&amp;" Bandanas"))</f>
        <v/>
      </c>
      <c r="AV1604" s="3">
        <f t="shared" si="77"/>
        <v>1</v>
      </c>
      <c r="AW1604" s="2" t="str">
        <f>IF(Registered!AV1604=0,"",IF(Registered!AV1604=1,Registered!AV1604&amp;" Meal",Registered!AV1604&amp;" Meals"))</f>
        <v>1 Meal</v>
      </c>
      <c r="AX1604" s="2" t="str">
        <f>IF(Registered!AI1604=0,"",Registered!AI1604&amp;" BG")</f>
        <v/>
      </c>
      <c r="AY1604" s="2" t="str">
        <f>IF(Registered!AG1604=0,"",Registered!AG1604&amp;" DustMask")</f>
        <v/>
      </c>
    </row>
    <row r="1605" spans="1:51" customFormat="1" x14ac:dyDescent="0.25">
      <c r="A1605" t="s">
        <v>5201</v>
      </c>
      <c r="B1605" t="s">
        <v>5202</v>
      </c>
      <c r="C1605" t="s">
        <v>6090</v>
      </c>
      <c r="G1605" t="s">
        <v>96</v>
      </c>
      <c r="H1605" t="s">
        <v>414</v>
      </c>
      <c r="I1605" t="s">
        <v>3732</v>
      </c>
      <c r="J1605" t="s">
        <v>37</v>
      </c>
      <c r="K1605" t="s">
        <v>32</v>
      </c>
      <c r="L1605" t="s">
        <v>35</v>
      </c>
      <c r="AQ1605">
        <v>0</v>
      </c>
      <c r="AR1605" s="3">
        <f t="shared" si="75"/>
        <v>0</v>
      </c>
      <c r="AS1605" s="3">
        <f t="shared" si="76"/>
        <v>0</v>
      </c>
      <c r="AT1605" s="3" t="str">
        <f>IF(OR(Registered!AM1605&gt;0,Registered!AO1605&gt;0),(IF(Registered!E1605=0,"Size Not Specified",Registered!E1605)),"")</f>
        <v/>
      </c>
      <c r="AU1605" s="3" t="str">
        <f>IF(Registered!AE1605=0,"",IF(Registered!AE1605=1,Registered!AE1605&amp;" Bandana",Registered!AE1605&amp;" Bandanas"))</f>
        <v/>
      </c>
      <c r="AV1605" s="3">
        <f t="shared" si="77"/>
        <v>0</v>
      </c>
      <c r="AW1605" s="2" t="str">
        <f>IF(Registered!AV1605=0,"",IF(Registered!AV1605=1,Registered!AV1605&amp;" Meal",Registered!AV1605&amp;" Meals"))</f>
        <v/>
      </c>
      <c r="AX1605" s="2" t="str">
        <f>IF(Registered!AI1605=0,"",Registered!AI1605&amp;" BG")</f>
        <v/>
      </c>
      <c r="AY1605" s="2" t="str">
        <f>IF(Registered!AG1605=0,"",Registered!AG1605&amp;" DustMask")</f>
        <v/>
      </c>
    </row>
    <row r="1606" spans="1:51" customFormat="1" x14ac:dyDescent="0.25">
      <c r="A1606" t="s">
        <v>156</v>
      </c>
      <c r="B1606" t="s">
        <v>5202</v>
      </c>
      <c r="C1606" t="s">
        <v>6090</v>
      </c>
      <c r="G1606" t="s">
        <v>96</v>
      </c>
      <c r="H1606" t="s">
        <v>414</v>
      </c>
      <c r="I1606" t="s">
        <v>3732</v>
      </c>
      <c r="J1606" t="s">
        <v>37</v>
      </c>
      <c r="K1606" t="s">
        <v>32</v>
      </c>
      <c r="L1606" t="s">
        <v>35</v>
      </c>
      <c r="AQ1606">
        <v>0</v>
      </c>
      <c r="AR1606" s="3">
        <f t="shared" si="75"/>
        <v>0</v>
      </c>
      <c r="AS1606" s="3">
        <f t="shared" si="76"/>
        <v>0</v>
      </c>
      <c r="AT1606" s="3" t="str">
        <f>IF(OR(Registered!AM1606&gt;0,Registered!AO1606&gt;0),(IF(Registered!E1606=0,"Size Not Specified",Registered!E1606)),"")</f>
        <v/>
      </c>
      <c r="AU1606" s="3" t="str">
        <f>IF(Registered!AE1606=0,"",IF(Registered!AE1606=1,Registered!AE1606&amp;" Bandana",Registered!AE1606&amp;" Bandanas"))</f>
        <v/>
      </c>
      <c r="AV1606" s="3">
        <f t="shared" si="77"/>
        <v>0</v>
      </c>
      <c r="AW1606" s="2" t="str">
        <f>IF(Registered!AV1606=0,"",IF(Registered!AV1606=1,Registered!AV1606&amp;" Meal",Registered!AV1606&amp;" Meals"))</f>
        <v/>
      </c>
      <c r="AX1606" s="2" t="str">
        <f>IF(Registered!AI1606=0,"",Registered!AI1606&amp;" BG")</f>
        <v/>
      </c>
      <c r="AY1606" s="2" t="str">
        <f>IF(Registered!AG1606=0,"",Registered!AG1606&amp;" DustMask")</f>
        <v/>
      </c>
    </row>
    <row r="1607" spans="1:51" customFormat="1" x14ac:dyDescent="0.25">
      <c r="A1607" t="s">
        <v>5203</v>
      </c>
      <c r="B1607" t="s">
        <v>5204</v>
      </c>
      <c r="C1607" t="s">
        <v>6090</v>
      </c>
      <c r="D1607" t="s">
        <v>5205</v>
      </c>
      <c r="I1607" t="s">
        <v>5206</v>
      </c>
      <c r="J1607" t="s">
        <v>37</v>
      </c>
      <c r="K1607" t="s">
        <v>32</v>
      </c>
      <c r="L1607" t="s">
        <v>35</v>
      </c>
      <c r="Q1607">
        <v>1</v>
      </c>
      <c r="R1607">
        <v>3</v>
      </c>
      <c r="AQ1607">
        <v>3</v>
      </c>
      <c r="AR1607" s="3">
        <f t="shared" si="75"/>
        <v>0</v>
      </c>
      <c r="AS1607" s="3">
        <f t="shared" si="76"/>
        <v>0</v>
      </c>
      <c r="AT1607" s="3" t="str">
        <f>IF(OR(Registered!AM1607&gt;0,Registered!AO1607&gt;0),(IF(Registered!E1607=0,"Size Not Specified",Registered!E1607)),"")</f>
        <v/>
      </c>
      <c r="AU1607" s="3" t="str">
        <f>IF(Registered!AE1607=0,"",IF(Registered!AE1607=1,Registered!AE1607&amp;" Bandana",Registered!AE1607&amp;" Bandanas"))</f>
        <v/>
      </c>
      <c r="AV1607" s="3">
        <f t="shared" si="77"/>
        <v>0</v>
      </c>
      <c r="AW1607" s="2" t="str">
        <f>IF(Registered!AV1607=0,"",IF(Registered!AV1607=1,Registered!AV1607&amp;" Meal",Registered!AV1607&amp;" Meals"))</f>
        <v/>
      </c>
      <c r="AX1607" s="2" t="str">
        <f>IF(Registered!AI1607=0,"",Registered!AI1607&amp;" BG")</f>
        <v/>
      </c>
      <c r="AY1607" s="2" t="str">
        <f>IF(Registered!AG1607=0,"",Registered!AG1607&amp;" DustMask")</f>
        <v/>
      </c>
    </row>
    <row r="1608" spans="1:51" customFormat="1" x14ac:dyDescent="0.25">
      <c r="A1608" t="s">
        <v>5127</v>
      </c>
      <c r="B1608" t="s">
        <v>5207</v>
      </c>
      <c r="C1608" t="s">
        <v>6090</v>
      </c>
      <c r="G1608" t="s">
        <v>100</v>
      </c>
      <c r="H1608" t="s">
        <v>4019</v>
      </c>
      <c r="I1608" t="s">
        <v>4020</v>
      </c>
      <c r="J1608" t="s">
        <v>37</v>
      </c>
      <c r="K1608" t="s">
        <v>32</v>
      </c>
      <c r="L1608" t="s">
        <v>35</v>
      </c>
      <c r="AQ1608">
        <v>0</v>
      </c>
      <c r="AR1608" s="3">
        <f t="shared" si="75"/>
        <v>0</v>
      </c>
      <c r="AS1608" s="3">
        <f t="shared" si="76"/>
        <v>0</v>
      </c>
      <c r="AT1608" s="3" t="str">
        <f>IF(OR(Registered!AM1608&gt;0,Registered!AO1608&gt;0),(IF(Registered!E1608=0,"Size Not Specified",Registered!E1608)),"")</f>
        <v/>
      </c>
      <c r="AU1608" s="3" t="str">
        <f>IF(Registered!AE1608=0,"",IF(Registered!AE1608=1,Registered!AE1608&amp;" Bandana",Registered!AE1608&amp;" Bandanas"))</f>
        <v/>
      </c>
      <c r="AV1608" s="3">
        <f t="shared" si="77"/>
        <v>0</v>
      </c>
      <c r="AW1608" s="2" t="str">
        <f>IF(Registered!AV1608=0,"",IF(Registered!AV1608=1,Registered!AV1608&amp;" Meal",Registered!AV1608&amp;" Meals"))</f>
        <v/>
      </c>
      <c r="AX1608" s="2" t="str">
        <f>IF(Registered!AI1608=0,"",Registered!AI1608&amp;" BG")</f>
        <v/>
      </c>
      <c r="AY1608" s="2" t="str">
        <f>IF(Registered!AG1608=0,"",Registered!AG1608&amp;" DustMask")</f>
        <v/>
      </c>
    </row>
    <row r="1609" spans="1:51" customFormat="1" x14ac:dyDescent="0.25">
      <c r="A1609" t="s">
        <v>5208</v>
      </c>
      <c r="B1609" t="s">
        <v>374</v>
      </c>
      <c r="C1609" t="s">
        <v>6090</v>
      </c>
      <c r="G1609" t="s">
        <v>255</v>
      </c>
      <c r="H1609" t="s">
        <v>5209</v>
      </c>
      <c r="I1609" t="s">
        <v>5210</v>
      </c>
      <c r="J1609" t="s">
        <v>37</v>
      </c>
      <c r="K1609" t="s">
        <v>32</v>
      </c>
      <c r="L1609" t="s">
        <v>35</v>
      </c>
      <c r="AQ1609">
        <v>0</v>
      </c>
      <c r="AR1609" s="3">
        <f t="shared" si="75"/>
        <v>0</v>
      </c>
      <c r="AS1609" s="3">
        <f t="shared" si="76"/>
        <v>0</v>
      </c>
      <c r="AT1609" s="3" t="str">
        <f>IF(OR(Registered!AM1609&gt;0,Registered!AO1609&gt;0),(IF(Registered!E1609=0,"Size Not Specified",Registered!E1609)),"")</f>
        <v/>
      </c>
      <c r="AU1609" s="3" t="str">
        <f>IF(Registered!AE1609=0,"",IF(Registered!AE1609=1,Registered!AE1609&amp;" Bandana",Registered!AE1609&amp;" Bandanas"))</f>
        <v/>
      </c>
      <c r="AV1609" s="3">
        <f t="shared" si="77"/>
        <v>0</v>
      </c>
      <c r="AW1609" s="2" t="str">
        <f>IF(Registered!AV1609=0,"",IF(Registered!AV1609=1,Registered!AV1609&amp;" Meal",Registered!AV1609&amp;" Meals"))</f>
        <v/>
      </c>
      <c r="AX1609" s="2" t="str">
        <f>IF(Registered!AI1609=0,"",Registered!AI1609&amp;" BG")</f>
        <v/>
      </c>
      <c r="AY1609" s="2" t="str">
        <f>IF(Registered!AG1609=0,"",Registered!AG1609&amp;" DustMask")</f>
        <v/>
      </c>
    </row>
    <row r="1610" spans="1:51" customFormat="1" x14ac:dyDescent="0.25">
      <c r="A1610" t="s">
        <v>1904</v>
      </c>
      <c r="B1610" t="s">
        <v>374</v>
      </c>
      <c r="C1610" t="s">
        <v>6090</v>
      </c>
      <c r="G1610" t="s">
        <v>441</v>
      </c>
      <c r="H1610" t="s">
        <v>1178</v>
      </c>
      <c r="I1610" t="s">
        <v>1180</v>
      </c>
      <c r="J1610" t="s">
        <v>37</v>
      </c>
      <c r="K1610" t="s">
        <v>32</v>
      </c>
      <c r="L1610" t="s">
        <v>35</v>
      </c>
      <c r="AQ1610">
        <v>0</v>
      </c>
      <c r="AR1610" s="3">
        <f t="shared" si="75"/>
        <v>0</v>
      </c>
      <c r="AS1610" s="3">
        <f t="shared" si="76"/>
        <v>0</v>
      </c>
      <c r="AT1610" s="3" t="str">
        <f>IF(OR(Registered!AM1610&gt;0,Registered!AO1610&gt;0),(IF(Registered!E1610=0,"Size Not Specified",Registered!E1610)),"")</f>
        <v/>
      </c>
      <c r="AU1610" s="3" t="str">
        <f>IF(Registered!AE1610=0,"",IF(Registered!AE1610=1,Registered!AE1610&amp;" Bandana",Registered!AE1610&amp;" Bandanas"))</f>
        <v/>
      </c>
      <c r="AV1610" s="3">
        <f t="shared" si="77"/>
        <v>0</v>
      </c>
      <c r="AW1610" s="2" t="str">
        <f>IF(Registered!AV1610=0,"",IF(Registered!AV1610=1,Registered!AV1610&amp;" Meal",Registered!AV1610&amp;" Meals"))</f>
        <v/>
      </c>
      <c r="AX1610" s="2" t="str">
        <f>IF(Registered!AI1610=0,"",Registered!AI1610&amp;" BG")</f>
        <v/>
      </c>
      <c r="AY1610" s="2" t="str">
        <f>IF(Registered!AG1610=0,"",Registered!AG1610&amp;" DustMask")</f>
        <v/>
      </c>
    </row>
    <row r="1611" spans="1:51" customFormat="1" x14ac:dyDescent="0.25">
      <c r="A1611" t="s">
        <v>1905</v>
      </c>
      <c r="B1611" t="s">
        <v>374</v>
      </c>
      <c r="C1611" t="s">
        <v>6090</v>
      </c>
      <c r="D1611" t="s">
        <v>1906</v>
      </c>
      <c r="I1611" t="s">
        <v>1907</v>
      </c>
      <c r="J1611" t="s">
        <v>37</v>
      </c>
      <c r="K1611" t="s">
        <v>32</v>
      </c>
      <c r="L1611" t="s">
        <v>35</v>
      </c>
      <c r="O1611">
        <v>2</v>
      </c>
      <c r="P1611">
        <v>3</v>
      </c>
      <c r="U1611">
        <v>1</v>
      </c>
      <c r="V1611">
        <v>20</v>
      </c>
      <c r="AQ1611">
        <v>26</v>
      </c>
      <c r="AR1611" s="3">
        <f t="shared" si="75"/>
        <v>10</v>
      </c>
      <c r="AS1611" s="3">
        <f t="shared" si="76"/>
        <v>0</v>
      </c>
      <c r="AT1611" s="3" t="str">
        <f>IF(OR(Registered!AM1611&gt;0,Registered!AO1611&gt;0),(IF(Registered!E1611=0,"Size Not Specified",Registered!E1611)),"")</f>
        <v/>
      </c>
      <c r="AU1611" s="3" t="str">
        <f>IF(Registered!AE1611=0,"",IF(Registered!AE1611=1,Registered!AE1611&amp;" Bandana",Registered!AE1611&amp;" Bandanas"))</f>
        <v/>
      </c>
      <c r="AV1611" s="3">
        <f t="shared" si="77"/>
        <v>0</v>
      </c>
      <c r="AW1611" s="2" t="str">
        <f>IF(Registered!AV1611=0,"",IF(Registered!AV1611=1,Registered!AV1611&amp;" Meal",Registered!AV1611&amp;" Meals"))</f>
        <v/>
      </c>
      <c r="AX1611" s="2" t="str">
        <f>IF(Registered!AI1611=0,"",Registered!AI1611&amp;" BG")</f>
        <v/>
      </c>
      <c r="AY1611" s="2" t="str">
        <f>IF(Registered!AG1611=0,"",Registered!AG1611&amp;" DustMask")</f>
        <v/>
      </c>
    </row>
    <row r="1612" spans="1:51" customFormat="1" x14ac:dyDescent="0.25">
      <c r="A1612" t="s">
        <v>3204</v>
      </c>
      <c r="B1612" t="s">
        <v>374</v>
      </c>
      <c r="C1612" t="s">
        <v>6090</v>
      </c>
      <c r="D1612" t="s">
        <v>3205</v>
      </c>
      <c r="F1612" t="s">
        <v>261</v>
      </c>
      <c r="I1612" t="s">
        <v>3206</v>
      </c>
      <c r="J1612" t="s">
        <v>37</v>
      </c>
      <c r="K1612" t="s">
        <v>32</v>
      </c>
      <c r="L1612" t="s">
        <v>35</v>
      </c>
      <c r="Q1612">
        <v>1</v>
      </c>
      <c r="R1612">
        <v>3</v>
      </c>
      <c r="AC1612">
        <v>1</v>
      </c>
      <c r="AD1612">
        <v>10</v>
      </c>
      <c r="AQ1612">
        <v>13</v>
      </c>
      <c r="AR1612" s="3">
        <f t="shared" si="75"/>
        <v>5</v>
      </c>
      <c r="AS1612" s="3">
        <f t="shared" si="76"/>
        <v>0</v>
      </c>
      <c r="AT1612" s="3" t="str">
        <f>IF(OR(Registered!AM1612&gt;0,Registered!AO1612&gt;0),(IF(Registered!E1612=0,"Size Not Specified",Registered!E1612)),"")</f>
        <v/>
      </c>
      <c r="AU1612" s="3" t="str">
        <f>IF(Registered!AE1612=0,"",IF(Registered!AE1612=1,Registered!AE1612&amp;" Bandana",Registered!AE1612&amp;" Bandanas"))</f>
        <v/>
      </c>
      <c r="AV1612" s="3">
        <f t="shared" si="77"/>
        <v>0</v>
      </c>
      <c r="AW1612" s="2" t="str">
        <f>IF(Registered!AV1612=0,"",IF(Registered!AV1612=1,Registered!AV1612&amp;" Meal",Registered!AV1612&amp;" Meals"))</f>
        <v/>
      </c>
      <c r="AX1612" s="2" t="str">
        <f>IF(Registered!AI1612=0,"",Registered!AI1612&amp;" BG")</f>
        <v/>
      </c>
      <c r="AY1612" s="2" t="str">
        <f>IF(Registered!AG1612=0,"",Registered!AG1612&amp;" DustMask")</f>
        <v/>
      </c>
    </row>
    <row r="1613" spans="1:51" customFormat="1" x14ac:dyDescent="0.25">
      <c r="A1613" t="s">
        <v>163</v>
      </c>
      <c r="B1613" t="s">
        <v>374</v>
      </c>
      <c r="C1613" t="s">
        <v>6090</v>
      </c>
      <c r="G1613" t="s">
        <v>255</v>
      </c>
      <c r="H1613" t="s">
        <v>4084</v>
      </c>
      <c r="I1613" t="s">
        <v>4085</v>
      </c>
      <c r="J1613" t="s">
        <v>37</v>
      </c>
      <c r="K1613" t="s">
        <v>32</v>
      </c>
      <c r="L1613" t="s">
        <v>35</v>
      </c>
      <c r="AQ1613">
        <v>0</v>
      </c>
      <c r="AR1613" s="3">
        <f t="shared" si="75"/>
        <v>0</v>
      </c>
      <c r="AS1613" s="3">
        <f t="shared" si="76"/>
        <v>0</v>
      </c>
      <c r="AT1613" s="3" t="str">
        <f>IF(OR(Registered!AM1613&gt;0,Registered!AO1613&gt;0),(IF(Registered!E1613=0,"Size Not Specified",Registered!E1613)),"")</f>
        <v/>
      </c>
      <c r="AU1613" s="3" t="str">
        <f>IF(Registered!AE1613=0,"",IF(Registered!AE1613=1,Registered!AE1613&amp;" Bandana",Registered!AE1613&amp;" Bandanas"))</f>
        <v/>
      </c>
      <c r="AV1613" s="3">
        <f t="shared" si="77"/>
        <v>0</v>
      </c>
      <c r="AW1613" s="2" t="str">
        <f>IF(Registered!AV1613=0,"",IF(Registered!AV1613=1,Registered!AV1613&amp;" Meal",Registered!AV1613&amp;" Meals"))</f>
        <v/>
      </c>
      <c r="AX1613" s="2" t="str">
        <f>IF(Registered!AI1613=0,"",Registered!AI1613&amp;" BG")</f>
        <v/>
      </c>
      <c r="AY1613" s="2" t="str">
        <f>IF(Registered!AG1613=0,"",Registered!AG1613&amp;" DustMask")</f>
        <v/>
      </c>
    </row>
    <row r="1614" spans="1:51" customFormat="1" x14ac:dyDescent="0.25">
      <c r="A1614" t="s">
        <v>94</v>
      </c>
      <c r="B1614" t="s">
        <v>374</v>
      </c>
      <c r="C1614" t="s">
        <v>6090</v>
      </c>
      <c r="G1614" t="s">
        <v>3960</v>
      </c>
      <c r="H1614" t="s">
        <v>630</v>
      </c>
      <c r="I1614" t="s">
        <v>3961</v>
      </c>
      <c r="J1614" t="s">
        <v>37</v>
      </c>
      <c r="K1614" t="s">
        <v>32</v>
      </c>
      <c r="L1614" t="s">
        <v>35</v>
      </c>
      <c r="AQ1614">
        <v>0</v>
      </c>
      <c r="AR1614" s="3">
        <f t="shared" si="75"/>
        <v>0</v>
      </c>
      <c r="AS1614" s="3">
        <f t="shared" si="76"/>
        <v>0</v>
      </c>
      <c r="AT1614" s="3" t="str">
        <f>IF(OR(Registered!AM1614&gt;0,Registered!AO1614&gt;0),(IF(Registered!E1614=0,"Size Not Specified",Registered!E1614)),"")</f>
        <v/>
      </c>
      <c r="AU1614" s="3" t="str">
        <f>IF(Registered!AE1614=0,"",IF(Registered!AE1614=1,Registered!AE1614&amp;" Bandana",Registered!AE1614&amp;" Bandanas"))</f>
        <v/>
      </c>
      <c r="AV1614" s="3">
        <f t="shared" si="77"/>
        <v>0</v>
      </c>
      <c r="AW1614" s="2" t="str">
        <f>IF(Registered!AV1614=0,"",IF(Registered!AV1614=1,Registered!AV1614&amp;" Meal",Registered!AV1614&amp;" Meals"))</f>
        <v/>
      </c>
      <c r="AX1614" s="2" t="str">
        <f>IF(Registered!AI1614=0,"",Registered!AI1614&amp;" BG")</f>
        <v/>
      </c>
      <c r="AY1614" s="2" t="str">
        <f>IF(Registered!AG1614=0,"",Registered!AG1614&amp;" DustMask")</f>
        <v/>
      </c>
    </row>
    <row r="1615" spans="1:51" customFormat="1" x14ac:dyDescent="0.25">
      <c r="A1615" t="s">
        <v>5127</v>
      </c>
      <c r="B1615" t="s">
        <v>5211</v>
      </c>
      <c r="C1615" t="s">
        <v>6090</v>
      </c>
      <c r="G1615" t="s">
        <v>485</v>
      </c>
      <c r="H1615" t="s">
        <v>5211</v>
      </c>
      <c r="I1615" t="s">
        <v>5212</v>
      </c>
      <c r="J1615" t="s">
        <v>37</v>
      </c>
      <c r="K1615" t="s">
        <v>32</v>
      </c>
      <c r="L1615" t="s">
        <v>35</v>
      </c>
      <c r="AQ1615">
        <v>0</v>
      </c>
      <c r="AR1615" s="3">
        <f t="shared" si="75"/>
        <v>0</v>
      </c>
      <c r="AS1615" s="3">
        <f t="shared" si="76"/>
        <v>0</v>
      </c>
      <c r="AT1615" s="3" t="str">
        <f>IF(OR(Registered!AM1615&gt;0,Registered!AO1615&gt;0),(IF(Registered!E1615=0,"Size Not Specified",Registered!E1615)),"")</f>
        <v/>
      </c>
      <c r="AU1615" s="3" t="str">
        <f>IF(Registered!AE1615=0,"",IF(Registered!AE1615=1,Registered!AE1615&amp;" Bandana",Registered!AE1615&amp;" Bandanas"))</f>
        <v/>
      </c>
      <c r="AV1615" s="3">
        <f t="shared" si="77"/>
        <v>0</v>
      </c>
      <c r="AW1615" s="2" t="str">
        <f>IF(Registered!AV1615=0,"",IF(Registered!AV1615=1,Registered!AV1615&amp;" Meal",Registered!AV1615&amp;" Meals"))</f>
        <v/>
      </c>
      <c r="AX1615" s="2" t="str">
        <f>IF(Registered!AI1615=0,"",Registered!AI1615&amp;" BG")</f>
        <v/>
      </c>
      <c r="AY1615" s="2" t="str">
        <f>IF(Registered!AG1615=0,"",Registered!AG1615&amp;" DustMask")</f>
        <v/>
      </c>
    </row>
    <row r="1616" spans="1:51" customFormat="1" x14ac:dyDescent="0.25">
      <c r="A1616" t="s">
        <v>1797</v>
      </c>
      <c r="B1616" t="s">
        <v>5211</v>
      </c>
      <c r="C1616" t="s">
        <v>6090</v>
      </c>
      <c r="G1616" t="s">
        <v>485</v>
      </c>
      <c r="H1616" t="s">
        <v>5211</v>
      </c>
      <c r="I1616" t="s">
        <v>5212</v>
      </c>
      <c r="J1616" t="s">
        <v>37</v>
      </c>
      <c r="K1616" t="s">
        <v>32</v>
      </c>
      <c r="L1616" t="s">
        <v>35</v>
      </c>
      <c r="AQ1616">
        <v>0</v>
      </c>
      <c r="AR1616" s="3">
        <f t="shared" si="75"/>
        <v>0</v>
      </c>
      <c r="AS1616" s="3">
        <f t="shared" si="76"/>
        <v>0</v>
      </c>
      <c r="AT1616" s="3" t="str">
        <f>IF(OR(Registered!AM1616&gt;0,Registered!AO1616&gt;0),(IF(Registered!E1616=0,"Size Not Specified",Registered!E1616)),"")</f>
        <v/>
      </c>
      <c r="AU1616" s="3" t="str">
        <f>IF(Registered!AE1616=0,"",IF(Registered!AE1616=1,Registered!AE1616&amp;" Bandana",Registered!AE1616&amp;" Bandanas"))</f>
        <v/>
      </c>
      <c r="AV1616" s="3">
        <f t="shared" si="77"/>
        <v>0</v>
      </c>
      <c r="AW1616" s="2" t="str">
        <f>IF(Registered!AV1616=0,"",IF(Registered!AV1616=1,Registered!AV1616&amp;" Meal",Registered!AV1616&amp;" Meals"))</f>
        <v/>
      </c>
      <c r="AX1616" s="2" t="str">
        <f>IF(Registered!AI1616=0,"",Registered!AI1616&amp;" BG")</f>
        <v/>
      </c>
      <c r="AY1616" s="2" t="str">
        <f>IF(Registered!AG1616=0,"",Registered!AG1616&amp;" DustMask")</f>
        <v/>
      </c>
    </row>
    <row r="1617" spans="1:51" customFormat="1" x14ac:dyDescent="0.25">
      <c r="A1617" t="s">
        <v>485</v>
      </c>
      <c r="B1617" t="s">
        <v>5211</v>
      </c>
      <c r="C1617" t="s">
        <v>6090</v>
      </c>
      <c r="D1617" t="s">
        <v>5213</v>
      </c>
      <c r="F1617" t="s">
        <v>261</v>
      </c>
      <c r="I1617" t="s">
        <v>5212</v>
      </c>
      <c r="J1617" t="s">
        <v>37</v>
      </c>
      <c r="K1617" t="s">
        <v>32</v>
      </c>
      <c r="L1617" t="s">
        <v>35</v>
      </c>
      <c r="Q1617">
        <v>6</v>
      </c>
      <c r="R1617">
        <v>3</v>
      </c>
      <c r="U1617">
        <v>1</v>
      </c>
      <c r="V1617">
        <v>20</v>
      </c>
      <c r="AQ1617">
        <v>38</v>
      </c>
      <c r="AR1617" s="3">
        <f t="shared" si="75"/>
        <v>10</v>
      </c>
      <c r="AS1617" s="3">
        <f t="shared" si="76"/>
        <v>0</v>
      </c>
      <c r="AT1617" s="3" t="str">
        <f>IF(OR(Registered!AM1617&gt;0,Registered!AO1617&gt;0),(IF(Registered!E1617=0,"Size Not Specified",Registered!E1617)),"")</f>
        <v/>
      </c>
      <c r="AU1617" s="3" t="str">
        <f>IF(Registered!AE1617=0,"",IF(Registered!AE1617=1,Registered!AE1617&amp;" Bandana",Registered!AE1617&amp;" Bandanas"))</f>
        <v/>
      </c>
      <c r="AV1617" s="3">
        <f t="shared" si="77"/>
        <v>0</v>
      </c>
      <c r="AW1617" s="2" t="str">
        <f>IF(Registered!AV1617=0,"",IF(Registered!AV1617=1,Registered!AV1617&amp;" Meal",Registered!AV1617&amp;" Meals"))</f>
        <v/>
      </c>
      <c r="AX1617" s="2" t="str">
        <f>IF(Registered!AI1617=0,"",Registered!AI1617&amp;" BG")</f>
        <v/>
      </c>
      <c r="AY1617" s="2" t="str">
        <f>IF(Registered!AG1617=0,"",Registered!AG1617&amp;" DustMask")</f>
        <v/>
      </c>
    </row>
    <row r="1618" spans="1:51" customFormat="1" x14ac:dyDescent="0.25">
      <c r="A1618" t="s">
        <v>1908</v>
      </c>
      <c r="B1618" t="s">
        <v>1909</v>
      </c>
      <c r="C1618" t="s">
        <v>6090</v>
      </c>
      <c r="G1618" t="s">
        <v>1910</v>
      </c>
      <c r="H1618" t="s">
        <v>1909</v>
      </c>
      <c r="I1618" t="s">
        <v>1911</v>
      </c>
      <c r="J1618" t="s">
        <v>37</v>
      </c>
      <c r="K1618" t="s">
        <v>32</v>
      </c>
      <c r="L1618" t="s">
        <v>35</v>
      </c>
      <c r="AQ1618">
        <v>0</v>
      </c>
      <c r="AR1618" s="3">
        <f t="shared" si="75"/>
        <v>0</v>
      </c>
      <c r="AS1618" s="3">
        <f t="shared" si="76"/>
        <v>0</v>
      </c>
      <c r="AT1618" s="3" t="str">
        <f>IF(OR(Registered!AM1618&gt;0,Registered!AO1618&gt;0),(IF(Registered!E1618=0,"Size Not Specified",Registered!E1618)),"")</f>
        <v/>
      </c>
      <c r="AU1618" s="3" t="str">
        <f>IF(Registered!AE1618=0,"",IF(Registered!AE1618=1,Registered!AE1618&amp;" Bandana",Registered!AE1618&amp;" Bandanas"))</f>
        <v/>
      </c>
      <c r="AV1618" s="3">
        <f t="shared" si="77"/>
        <v>0</v>
      </c>
      <c r="AW1618" s="2" t="str">
        <f>IF(Registered!AV1618=0,"",IF(Registered!AV1618=1,Registered!AV1618&amp;" Meal",Registered!AV1618&amp;" Meals"))</f>
        <v/>
      </c>
      <c r="AX1618" s="2" t="str">
        <f>IF(Registered!AI1618=0,"",Registered!AI1618&amp;" BG")</f>
        <v/>
      </c>
      <c r="AY1618" s="2" t="str">
        <f>IF(Registered!AG1618=0,"",Registered!AG1618&amp;" DustMask")</f>
        <v/>
      </c>
    </row>
    <row r="1619" spans="1:51" customFormat="1" x14ac:dyDescent="0.25">
      <c r="A1619" t="s">
        <v>1910</v>
      </c>
      <c r="B1619" t="s">
        <v>1909</v>
      </c>
      <c r="C1619" t="s">
        <v>6090</v>
      </c>
      <c r="D1619" t="s">
        <v>1912</v>
      </c>
      <c r="F1619" t="s">
        <v>261</v>
      </c>
      <c r="I1619" t="s">
        <v>1911</v>
      </c>
      <c r="J1619" t="s">
        <v>37</v>
      </c>
      <c r="K1619" t="s">
        <v>32</v>
      </c>
      <c r="L1619" t="s">
        <v>35</v>
      </c>
      <c r="S1619">
        <v>2</v>
      </c>
      <c r="T1619">
        <v>3</v>
      </c>
      <c r="U1619">
        <v>1</v>
      </c>
      <c r="V1619">
        <v>20</v>
      </c>
      <c r="AQ1619">
        <v>26</v>
      </c>
      <c r="AR1619" s="3">
        <f t="shared" si="75"/>
        <v>10</v>
      </c>
      <c r="AS1619" s="3">
        <f t="shared" si="76"/>
        <v>0</v>
      </c>
      <c r="AT1619" s="3" t="str">
        <f>IF(OR(Registered!AM1619&gt;0,Registered!AO1619&gt;0),(IF(Registered!E1619=0,"Size Not Specified",Registered!E1619)),"")</f>
        <v/>
      </c>
      <c r="AU1619" s="3" t="str">
        <f>IF(Registered!AE1619=0,"",IF(Registered!AE1619=1,Registered!AE1619&amp;" Bandana",Registered!AE1619&amp;" Bandanas"))</f>
        <v/>
      </c>
      <c r="AV1619" s="3">
        <f t="shared" si="77"/>
        <v>0</v>
      </c>
      <c r="AW1619" s="2" t="str">
        <f>IF(Registered!AV1619=0,"",IF(Registered!AV1619=1,Registered!AV1619&amp;" Meal",Registered!AV1619&amp;" Meals"))</f>
        <v/>
      </c>
      <c r="AX1619" s="2" t="str">
        <f>IF(Registered!AI1619=0,"",Registered!AI1619&amp;" BG")</f>
        <v/>
      </c>
      <c r="AY1619" s="2" t="str">
        <f>IF(Registered!AG1619=0,"",Registered!AG1619&amp;" DustMask")</f>
        <v/>
      </c>
    </row>
    <row r="1620" spans="1:51" customFormat="1" x14ac:dyDescent="0.25">
      <c r="A1620" t="s">
        <v>220</v>
      </c>
      <c r="B1620" t="s">
        <v>1913</v>
      </c>
      <c r="C1620" t="s">
        <v>6090</v>
      </c>
      <c r="D1620" t="s">
        <v>1914</v>
      </c>
      <c r="E1620" t="s">
        <v>1915</v>
      </c>
      <c r="I1620" t="s">
        <v>1916</v>
      </c>
      <c r="J1620" t="s">
        <v>37</v>
      </c>
      <c r="K1620" t="s">
        <v>32</v>
      </c>
      <c r="L1620" t="s">
        <v>35</v>
      </c>
      <c r="O1620">
        <v>2</v>
      </c>
      <c r="P1620">
        <v>3</v>
      </c>
      <c r="U1620">
        <v>2</v>
      </c>
      <c r="V1620">
        <v>20</v>
      </c>
      <c r="AO1620">
        <v>2</v>
      </c>
      <c r="AP1620">
        <v>10</v>
      </c>
      <c r="AQ1620">
        <v>66</v>
      </c>
      <c r="AR1620" s="3">
        <f t="shared" si="75"/>
        <v>20</v>
      </c>
      <c r="AS1620" s="3">
        <f t="shared" si="76"/>
        <v>2</v>
      </c>
      <c r="AT1620" s="3" t="str">
        <f>IF(OR(Registered!AM1620&gt;0,Registered!AO1620&gt;0),(IF(Registered!E1620=0,"Size Not Specified",Registered!E1620)),"")</f>
        <v>1 Adult Large and 1 Adult medium</v>
      </c>
      <c r="AU1620" s="3" t="str">
        <f>IF(Registered!AE1620=0,"",IF(Registered!AE1620=1,Registered!AE1620&amp;" Bandana",Registered!AE1620&amp;" Bandanas"))</f>
        <v/>
      </c>
      <c r="AV1620" s="3">
        <f t="shared" si="77"/>
        <v>0</v>
      </c>
      <c r="AW1620" s="2" t="str">
        <f>IF(Registered!AV1620=0,"",IF(Registered!AV1620=1,Registered!AV1620&amp;" Meal",Registered!AV1620&amp;" Meals"))</f>
        <v/>
      </c>
      <c r="AX1620" s="2" t="str">
        <f>IF(Registered!AI1620=0,"",Registered!AI1620&amp;" BG")</f>
        <v/>
      </c>
      <c r="AY1620" s="2" t="str">
        <f>IF(Registered!AG1620=0,"",Registered!AG1620&amp;" DustMask")</f>
        <v/>
      </c>
    </row>
    <row r="1621" spans="1:51" customFormat="1" x14ac:dyDescent="0.25">
      <c r="A1621" t="s">
        <v>502</v>
      </c>
      <c r="B1621" t="s">
        <v>1913</v>
      </c>
      <c r="C1621" t="s">
        <v>6090</v>
      </c>
      <c r="G1621" t="s">
        <v>220</v>
      </c>
      <c r="H1621" t="s">
        <v>1913</v>
      </c>
      <c r="I1621" t="s">
        <v>1916</v>
      </c>
      <c r="J1621" t="s">
        <v>37</v>
      </c>
      <c r="K1621" t="s">
        <v>32</v>
      </c>
      <c r="L1621" t="s">
        <v>35</v>
      </c>
      <c r="AQ1621">
        <v>0</v>
      </c>
      <c r="AR1621" s="3">
        <f t="shared" si="75"/>
        <v>0</v>
      </c>
      <c r="AS1621" s="3">
        <f t="shared" si="76"/>
        <v>0</v>
      </c>
      <c r="AT1621" s="3" t="str">
        <f>IF(OR(Registered!AM1621&gt;0,Registered!AO1621&gt;0),(IF(Registered!E1621=0,"Size Not Specified",Registered!E1621)),"")</f>
        <v/>
      </c>
      <c r="AU1621" s="3" t="str">
        <f>IF(Registered!AE1621=0,"",IF(Registered!AE1621=1,Registered!AE1621&amp;" Bandana",Registered!AE1621&amp;" Bandanas"))</f>
        <v/>
      </c>
      <c r="AV1621" s="3">
        <f t="shared" si="77"/>
        <v>0</v>
      </c>
      <c r="AW1621" s="2" t="str">
        <f>IF(Registered!AV1621=0,"",IF(Registered!AV1621=1,Registered!AV1621&amp;" Meal",Registered!AV1621&amp;" Meals"))</f>
        <v/>
      </c>
      <c r="AX1621" s="2" t="str">
        <f>IF(Registered!AI1621=0,"",Registered!AI1621&amp;" BG")</f>
        <v/>
      </c>
      <c r="AY1621" s="2" t="str">
        <f>IF(Registered!AG1621=0,"",Registered!AG1621&amp;" DustMask")</f>
        <v/>
      </c>
    </row>
    <row r="1622" spans="1:51" customFormat="1" x14ac:dyDescent="0.25">
      <c r="A1622" t="s">
        <v>3087</v>
      </c>
      <c r="B1622" t="s">
        <v>3088</v>
      </c>
      <c r="C1622" t="s">
        <v>6090</v>
      </c>
      <c r="D1622" t="s">
        <v>3208</v>
      </c>
      <c r="F1622" t="s">
        <v>261</v>
      </c>
      <c r="I1622" t="s">
        <v>3089</v>
      </c>
      <c r="J1622" t="s">
        <v>37</v>
      </c>
      <c r="K1622" t="s">
        <v>32</v>
      </c>
      <c r="L1622" t="s">
        <v>35</v>
      </c>
      <c r="Q1622">
        <v>3</v>
      </c>
      <c r="R1622">
        <v>3</v>
      </c>
      <c r="AC1622">
        <v>1</v>
      </c>
      <c r="AD1622">
        <v>10</v>
      </c>
      <c r="AQ1622">
        <v>19</v>
      </c>
      <c r="AR1622" s="3">
        <f t="shared" si="75"/>
        <v>5</v>
      </c>
      <c r="AS1622" s="3">
        <f t="shared" si="76"/>
        <v>0</v>
      </c>
      <c r="AT1622" s="3" t="str">
        <f>IF(OR(Registered!AM1622&gt;0,Registered!AO1622&gt;0),(IF(Registered!E1622=0,"Size Not Specified",Registered!E1622)),"")</f>
        <v/>
      </c>
      <c r="AU1622" s="3" t="str">
        <f>IF(Registered!AE1622=0,"",IF(Registered!AE1622=1,Registered!AE1622&amp;" Bandana",Registered!AE1622&amp;" Bandanas"))</f>
        <v/>
      </c>
      <c r="AV1622" s="3">
        <f t="shared" si="77"/>
        <v>0</v>
      </c>
      <c r="AW1622" s="2" t="str">
        <f>IF(Registered!AV1622=0,"",IF(Registered!AV1622=1,Registered!AV1622&amp;" Meal",Registered!AV1622&amp;" Meals"))</f>
        <v/>
      </c>
      <c r="AX1622" s="2" t="str">
        <f>IF(Registered!AI1622=0,"",Registered!AI1622&amp;" BG")</f>
        <v/>
      </c>
      <c r="AY1622" s="2" t="str">
        <f>IF(Registered!AG1622=0,"",Registered!AG1622&amp;" DustMask")</f>
        <v/>
      </c>
    </row>
    <row r="1623" spans="1:51" customFormat="1" x14ac:dyDescent="0.25">
      <c r="A1623" t="s">
        <v>377</v>
      </c>
      <c r="B1623" t="s">
        <v>1917</v>
      </c>
      <c r="C1623" t="s">
        <v>6090</v>
      </c>
      <c r="G1623" t="s">
        <v>1575</v>
      </c>
      <c r="H1623" t="s">
        <v>1918</v>
      </c>
      <c r="I1623" t="s">
        <v>1919</v>
      </c>
      <c r="J1623" t="s">
        <v>37</v>
      </c>
      <c r="K1623" t="s">
        <v>32</v>
      </c>
      <c r="L1623" t="s">
        <v>35</v>
      </c>
      <c r="AQ1623">
        <v>0</v>
      </c>
      <c r="AR1623" s="3">
        <f t="shared" si="75"/>
        <v>0</v>
      </c>
      <c r="AS1623" s="3">
        <f t="shared" si="76"/>
        <v>0</v>
      </c>
      <c r="AT1623" s="3" t="str">
        <f>IF(OR(Registered!AM1623&gt;0,Registered!AO1623&gt;0),(IF(Registered!E1623=0,"Size Not Specified",Registered!E1623)),"")</f>
        <v/>
      </c>
      <c r="AU1623" s="3" t="str">
        <f>IF(Registered!AE1623=0,"",IF(Registered!AE1623=1,Registered!AE1623&amp;" Bandana",Registered!AE1623&amp;" Bandanas"))</f>
        <v/>
      </c>
      <c r="AV1623" s="3">
        <f t="shared" si="77"/>
        <v>0</v>
      </c>
      <c r="AW1623" s="2" t="str">
        <f>IF(Registered!AV1623=0,"",IF(Registered!AV1623=1,Registered!AV1623&amp;" Meal",Registered!AV1623&amp;" Meals"))</f>
        <v/>
      </c>
      <c r="AX1623" s="2" t="str">
        <f>IF(Registered!AI1623=0,"",Registered!AI1623&amp;" BG")</f>
        <v/>
      </c>
      <c r="AY1623" s="2" t="str">
        <f>IF(Registered!AG1623=0,"",Registered!AG1623&amp;" DustMask")</f>
        <v/>
      </c>
    </row>
    <row r="1624" spans="1:51" customFormat="1" x14ac:dyDescent="0.25">
      <c r="A1624" t="s">
        <v>258</v>
      </c>
      <c r="B1624" t="s">
        <v>3209</v>
      </c>
      <c r="C1624" t="s">
        <v>6090</v>
      </c>
      <c r="D1624" t="s">
        <v>258</v>
      </c>
      <c r="F1624" t="s">
        <v>261</v>
      </c>
      <c r="I1624" t="s">
        <v>3210</v>
      </c>
      <c r="J1624" t="s">
        <v>37</v>
      </c>
      <c r="K1624" t="s">
        <v>32</v>
      </c>
      <c r="L1624" t="s">
        <v>35</v>
      </c>
      <c r="Q1624">
        <v>1</v>
      </c>
      <c r="R1624">
        <v>3</v>
      </c>
      <c r="AC1624">
        <v>1</v>
      </c>
      <c r="AD1624">
        <v>10</v>
      </c>
      <c r="AQ1624">
        <v>13</v>
      </c>
      <c r="AR1624" s="3">
        <f t="shared" si="75"/>
        <v>5</v>
      </c>
      <c r="AS1624" s="3">
        <f t="shared" si="76"/>
        <v>0</v>
      </c>
      <c r="AT1624" s="3" t="str">
        <f>IF(OR(Registered!AM1624&gt;0,Registered!AO1624&gt;0),(IF(Registered!E1624=0,"Size Not Specified",Registered!E1624)),"")</f>
        <v/>
      </c>
      <c r="AU1624" s="3" t="str">
        <f>IF(Registered!AE1624=0,"",IF(Registered!AE1624=1,Registered!AE1624&amp;" Bandana",Registered!AE1624&amp;" Bandanas"))</f>
        <v/>
      </c>
      <c r="AV1624" s="3">
        <f t="shared" si="77"/>
        <v>0</v>
      </c>
      <c r="AW1624" s="2" t="str">
        <f>IF(Registered!AV1624=0,"",IF(Registered!AV1624=1,Registered!AV1624&amp;" Meal",Registered!AV1624&amp;" Meals"))</f>
        <v/>
      </c>
      <c r="AX1624" s="2" t="str">
        <f>IF(Registered!AI1624=0,"",Registered!AI1624&amp;" BG")</f>
        <v/>
      </c>
      <c r="AY1624" s="2" t="str">
        <f>IF(Registered!AG1624=0,"",Registered!AG1624&amp;" DustMask")</f>
        <v/>
      </c>
    </row>
    <row r="1625" spans="1:51" customFormat="1" x14ac:dyDescent="0.25">
      <c r="A1625" t="s">
        <v>187</v>
      </c>
      <c r="B1625" t="s">
        <v>1506</v>
      </c>
      <c r="C1625" t="s">
        <v>6090</v>
      </c>
      <c r="D1625" t="s">
        <v>5217</v>
      </c>
      <c r="F1625" t="s">
        <v>261</v>
      </c>
      <c r="I1625" t="s">
        <v>4870</v>
      </c>
      <c r="J1625" t="s">
        <v>37</v>
      </c>
      <c r="K1625" t="s">
        <v>32</v>
      </c>
      <c r="L1625" t="s">
        <v>35</v>
      </c>
      <c r="Q1625">
        <v>3</v>
      </c>
      <c r="R1625">
        <v>3</v>
      </c>
      <c r="U1625">
        <v>1</v>
      </c>
      <c r="V1625">
        <v>20</v>
      </c>
      <c r="AQ1625">
        <v>29</v>
      </c>
      <c r="AR1625" s="3">
        <f t="shared" si="75"/>
        <v>10</v>
      </c>
      <c r="AS1625" s="3">
        <f t="shared" si="76"/>
        <v>0</v>
      </c>
      <c r="AT1625" s="3" t="str">
        <f>IF(OR(Registered!AM1625&gt;0,Registered!AO1625&gt;0),(IF(Registered!E1625=0,"Size Not Specified",Registered!E1625)),"")</f>
        <v/>
      </c>
      <c r="AU1625" s="3" t="str">
        <f>IF(Registered!AE1625=0,"",IF(Registered!AE1625=1,Registered!AE1625&amp;" Bandana",Registered!AE1625&amp;" Bandanas"))</f>
        <v/>
      </c>
      <c r="AV1625" s="3">
        <f t="shared" si="77"/>
        <v>0</v>
      </c>
      <c r="AW1625" s="2" t="str">
        <f>IF(Registered!AV1625=0,"",IF(Registered!AV1625=1,Registered!AV1625&amp;" Meal",Registered!AV1625&amp;" Meals"))</f>
        <v/>
      </c>
      <c r="AX1625" s="2" t="str">
        <f>IF(Registered!AI1625=0,"",Registered!AI1625&amp;" BG")</f>
        <v/>
      </c>
      <c r="AY1625" s="2" t="str">
        <f>IF(Registered!AG1625=0,"",Registered!AG1625&amp;" DustMask")</f>
        <v/>
      </c>
    </row>
    <row r="1626" spans="1:51" customFormat="1" x14ac:dyDescent="0.25">
      <c r="A1626" t="s">
        <v>142</v>
      </c>
      <c r="B1626" t="s">
        <v>1506</v>
      </c>
      <c r="C1626" t="s">
        <v>6090</v>
      </c>
      <c r="G1626" t="s">
        <v>187</v>
      </c>
      <c r="H1626" t="s">
        <v>1506</v>
      </c>
      <c r="I1626" t="s">
        <v>4870</v>
      </c>
      <c r="J1626" t="s">
        <v>37</v>
      </c>
      <c r="K1626" t="s">
        <v>32</v>
      </c>
      <c r="L1626" t="s">
        <v>35</v>
      </c>
      <c r="AQ1626">
        <v>0</v>
      </c>
      <c r="AR1626" s="3">
        <f t="shared" si="75"/>
        <v>0</v>
      </c>
      <c r="AS1626" s="3">
        <f t="shared" si="76"/>
        <v>0</v>
      </c>
      <c r="AT1626" s="3" t="str">
        <f>IF(OR(Registered!AM1626&gt;0,Registered!AO1626&gt;0),(IF(Registered!E1626=0,"Size Not Specified",Registered!E1626)),"")</f>
        <v/>
      </c>
      <c r="AU1626" s="3" t="str">
        <f>IF(Registered!AE1626=0,"",IF(Registered!AE1626=1,Registered!AE1626&amp;" Bandana",Registered!AE1626&amp;" Bandanas"))</f>
        <v/>
      </c>
      <c r="AV1626" s="3">
        <f t="shared" si="77"/>
        <v>0</v>
      </c>
      <c r="AW1626" s="2" t="str">
        <f>IF(Registered!AV1626=0,"",IF(Registered!AV1626=1,Registered!AV1626&amp;" Meal",Registered!AV1626&amp;" Meals"))</f>
        <v/>
      </c>
      <c r="AX1626" s="2" t="str">
        <f>IF(Registered!AI1626=0,"",Registered!AI1626&amp;" BG")</f>
        <v/>
      </c>
      <c r="AY1626" s="2" t="str">
        <f>IF(Registered!AG1626=0,"",Registered!AG1626&amp;" DustMask")</f>
        <v/>
      </c>
    </row>
    <row r="1627" spans="1:51" customFormat="1" x14ac:dyDescent="0.25">
      <c r="A1627" t="s">
        <v>108</v>
      </c>
      <c r="B1627" t="s">
        <v>1506</v>
      </c>
      <c r="C1627" t="s">
        <v>6090</v>
      </c>
      <c r="G1627" t="s">
        <v>107</v>
      </c>
      <c r="H1627" t="s">
        <v>4109</v>
      </c>
      <c r="I1627" t="s">
        <v>4111</v>
      </c>
      <c r="J1627" t="s">
        <v>37</v>
      </c>
      <c r="K1627" t="s">
        <v>32</v>
      </c>
      <c r="L1627" t="s">
        <v>35</v>
      </c>
      <c r="AQ1627">
        <v>0</v>
      </c>
      <c r="AR1627" s="3">
        <f t="shared" si="75"/>
        <v>0</v>
      </c>
      <c r="AS1627" s="3">
        <f t="shared" si="76"/>
        <v>0</v>
      </c>
      <c r="AT1627" s="3" t="str">
        <f>IF(OR(Registered!AM1627&gt;0,Registered!AO1627&gt;0),(IF(Registered!E1627=0,"Size Not Specified",Registered!E1627)),"")</f>
        <v/>
      </c>
      <c r="AU1627" s="3" t="str">
        <f>IF(Registered!AE1627=0,"",IF(Registered!AE1627=1,Registered!AE1627&amp;" Bandana",Registered!AE1627&amp;" Bandanas"))</f>
        <v/>
      </c>
      <c r="AV1627" s="3">
        <f t="shared" si="77"/>
        <v>0</v>
      </c>
      <c r="AW1627" s="2" t="str">
        <f>IF(Registered!AV1627=0,"",IF(Registered!AV1627=1,Registered!AV1627&amp;" Meal",Registered!AV1627&amp;" Meals"))</f>
        <v/>
      </c>
      <c r="AX1627" s="2" t="str">
        <f>IF(Registered!AI1627=0,"",Registered!AI1627&amp;" BG")</f>
        <v/>
      </c>
      <c r="AY1627" s="2" t="str">
        <f>IF(Registered!AG1627=0,"",Registered!AG1627&amp;" DustMask")</f>
        <v/>
      </c>
    </row>
    <row r="1628" spans="1:51" customFormat="1" x14ac:dyDescent="0.25">
      <c r="A1628" t="s">
        <v>213</v>
      </c>
      <c r="B1628" t="s">
        <v>1532</v>
      </c>
      <c r="C1628" t="s">
        <v>6090</v>
      </c>
      <c r="G1628" t="s">
        <v>1274</v>
      </c>
      <c r="H1628" t="s">
        <v>1275</v>
      </c>
      <c r="I1628" t="s">
        <v>1278</v>
      </c>
      <c r="J1628" t="s">
        <v>37</v>
      </c>
      <c r="K1628" t="s">
        <v>32</v>
      </c>
      <c r="L1628" t="s">
        <v>35</v>
      </c>
      <c r="AQ1628">
        <v>0</v>
      </c>
      <c r="AR1628" s="3">
        <f t="shared" si="75"/>
        <v>0</v>
      </c>
      <c r="AS1628" s="3">
        <f t="shared" si="76"/>
        <v>0</v>
      </c>
      <c r="AT1628" s="3" t="str">
        <f>IF(OR(Registered!AM1628&gt;0,Registered!AO1628&gt;0),(IF(Registered!E1628=0,"Size Not Specified",Registered!E1628)),"")</f>
        <v/>
      </c>
      <c r="AU1628" s="3" t="str">
        <f>IF(Registered!AE1628=0,"",IF(Registered!AE1628=1,Registered!AE1628&amp;" Bandana",Registered!AE1628&amp;" Bandanas"))</f>
        <v/>
      </c>
      <c r="AV1628" s="3">
        <f t="shared" si="77"/>
        <v>0</v>
      </c>
      <c r="AW1628" s="2" t="str">
        <f>IF(Registered!AV1628=0,"",IF(Registered!AV1628=1,Registered!AV1628&amp;" Meal",Registered!AV1628&amp;" Meals"))</f>
        <v/>
      </c>
      <c r="AX1628" s="2" t="str">
        <f>IF(Registered!AI1628=0,"",Registered!AI1628&amp;" BG")</f>
        <v/>
      </c>
      <c r="AY1628" s="2" t="str">
        <f>IF(Registered!AG1628=0,"",Registered!AG1628&amp;" DustMask")</f>
        <v/>
      </c>
    </row>
    <row r="1629" spans="1:51" customFormat="1" x14ac:dyDescent="0.25">
      <c r="A1629" t="s">
        <v>91</v>
      </c>
      <c r="B1629" t="s">
        <v>1920</v>
      </c>
      <c r="C1629" t="s">
        <v>6090</v>
      </c>
      <c r="D1629" t="s">
        <v>1921</v>
      </c>
      <c r="F1629" t="s">
        <v>261</v>
      </c>
      <c r="I1629" t="s">
        <v>1922</v>
      </c>
      <c r="J1629" t="s">
        <v>37</v>
      </c>
      <c r="K1629" t="s">
        <v>32</v>
      </c>
      <c r="L1629" t="s">
        <v>35</v>
      </c>
      <c r="S1629">
        <v>1</v>
      </c>
      <c r="T1629">
        <v>3</v>
      </c>
      <c r="AC1629">
        <v>1</v>
      </c>
      <c r="AD1629">
        <v>10</v>
      </c>
      <c r="AQ1629">
        <v>13</v>
      </c>
      <c r="AR1629" s="3">
        <f t="shared" si="75"/>
        <v>5</v>
      </c>
      <c r="AS1629" s="3">
        <f t="shared" si="76"/>
        <v>0</v>
      </c>
      <c r="AT1629" s="3" t="str">
        <f>IF(OR(Registered!AM1629&gt;0,Registered!AO1629&gt;0),(IF(Registered!E1629=0,"Size Not Specified",Registered!E1629)),"")</f>
        <v/>
      </c>
      <c r="AU1629" s="3" t="str">
        <f>IF(Registered!AE1629=0,"",IF(Registered!AE1629=1,Registered!AE1629&amp;" Bandana",Registered!AE1629&amp;" Bandanas"))</f>
        <v/>
      </c>
      <c r="AV1629" s="3">
        <f t="shared" si="77"/>
        <v>0</v>
      </c>
      <c r="AW1629" s="2" t="str">
        <f>IF(Registered!AV1629=0,"",IF(Registered!AV1629=1,Registered!AV1629&amp;" Meal",Registered!AV1629&amp;" Meals"))</f>
        <v/>
      </c>
      <c r="AX1629" s="2" t="str">
        <f>IF(Registered!AI1629=0,"",Registered!AI1629&amp;" BG")</f>
        <v/>
      </c>
      <c r="AY1629" s="2" t="str">
        <f>IF(Registered!AG1629=0,"",Registered!AG1629&amp;" DustMask")</f>
        <v/>
      </c>
    </row>
    <row r="1630" spans="1:51" customFormat="1" x14ac:dyDescent="0.25">
      <c r="A1630" t="s">
        <v>49</v>
      </c>
      <c r="B1630" t="s">
        <v>1920</v>
      </c>
      <c r="C1630" t="s">
        <v>6090</v>
      </c>
      <c r="D1630" t="s">
        <v>57</v>
      </c>
      <c r="F1630" t="s">
        <v>261</v>
      </c>
      <c r="I1630" t="s">
        <v>3211</v>
      </c>
      <c r="J1630" t="s">
        <v>37</v>
      </c>
      <c r="K1630" t="s">
        <v>32</v>
      </c>
      <c r="L1630" t="s">
        <v>35</v>
      </c>
      <c r="Q1630">
        <v>1</v>
      </c>
      <c r="R1630">
        <v>3</v>
      </c>
      <c r="AC1630">
        <v>1</v>
      </c>
      <c r="AD1630">
        <v>10</v>
      </c>
      <c r="AQ1630">
        <v>13</v>
      </c>
      <c r="AR1630" s="3">
        <f t="shared" si="75"/>
        <v>5</v>
      </c>
      <c r="AS1630" s="3">
        <f t="shared" si="76"/>
        <v>0</v>
      </c>
      <c r="AT1630" s="3" t="str">
        <f>IF(OR(Registered!AM1630&gt;0,Registered!AO1630&gt;0),(IF(Registered!E1630=0,"Size Not Specified",Registered!E1630)),"")</f>
        <v/>
      </c>
      <c r="AU1630" s="3" t="str">
        <f>IF(Registered!AE1630=0,"",IF(Registered!AE1630=1,Registered!AE1630&amp;" Bandana",Registered!AE1630&amp;" Bandanas"))</f>
        <v/>
      </c>
      <c r="AV1630" s="3">
        <f t="shared" si="77"/>
        <v>0</v>
      </c>
      <c r="AW1630" s="2" t="str">
        <f>IF(Registered!AV1630=0,"",IF(Registered!AV1630=1,Registered!AV1630&amp;" Meal",Registered!AV1630&amp;" Meals"))</f>
        <v/>
      </c>
      <c r="AX1630" s="2" t="str">
        <f>IF(Registered!AI1630=0,"",Registered!AI1630&amp;" BG")</f>
        <v/>
      </c>
      <c r="AY1630" s="2" t="str">
        <f>IF(Registered!AG1630=0,"",Registered!AG1630&amp;" DustMask")</f>
        <v/>
      </c>
    </row>
    <row r="1631" spans="1:51" customFormat="1" x14ac:dyDescent="0.25">
      <c r="A1631" t="s">
        <v>5218</v>
      </c>
      <c r="B1631" t="s">
        <v>5219</v>
      </c>
      <c r="C1631" t="s">
        <v>6090</v>
      </c>
      <c r="D1631" t="s">
        <v>5220</v>
      </c>
      <c r="F1631" t="s">
        <v>261</v>
      </c>
      <c r="I1631" t="s">
        <v>5221</v>
      </c>
      <c r="J1631" t="s">
        <v>37</v>
      </c>
      <c r="K1631" t="s">
        <v>32</v>
      </c>
      <c r="L1631" t="s">
        <v>35</v>
      </c>
      <c r="Q1631">
        <v>2</v>
      </c>
      <c r="R1631">
        <v>3</v>
      </c>
      <c r="U1631">
        <v>1</v>
      </c>
      <c r="V1631">
        <v>20</v>
      </c>
      <c r="AQ1631">
        <v>26</v>
      </c>
      <c r="AR1631" s="3">
        <f t="shared" si="75"/>
        <v>10</v>
      </c>
      <c r="AS1631" s="3">
        <f t="shared" si="76"/>
        <v>0</v>
      </c>
      <c r="AT1631" s="3" t="str">
        <f>IF(OR(Registered!AM1631&gt;0,Registered!AO1631&gt;0),(IF(Registered!E1631=0,"Size Not Specified",Registered!E1631)),"")</f>
        <v/>
      </c>
      <c r="AU1631" s="3" t="str">
        <f>IF(Registered!AE1631=0,"",IF(Registered!AE1631=1,Registered!AE1631&amp;" Bandana",Registered!AE1631&amp;" Bandanas"))</f>
        <v/>
      </c>
      <c r="AV1631" s="3">
        <f t="shared" si="77"/>
        <v>0</v>
      </c>
      <c r="AW1631" s="2" t="str">
        <f>IF(Registered!AV1631=0,"",IF(Registered!AV1631=1,Registered!AV1631&amp;" Meal",Registered!AV1631&amp;" Meals"))</f>
        <v/>
      </c>
      <c r="AX1631" s="2" t="str">
        <f>IF(Registered!AI1631=0,"",Registered!AI1631&amp;" BG")</f>
        <v/>
      </c>
      <c r="AY1631" s="2" t="str">
        <f>IF(Registered!AG1631=0,"",Registered!AG1631&amp;" DustMask")</f>
        <v/>
      </c>
    </row>
    <row r="1632" spans="1:51" customFormat="1" x14ac:dyDescent="0.25">
      <c r="A1632" t="s">
        <v>3173</v>
      </c>
      <c r="B1632" t="s">
        <v>5219</v>
      </c>
      <c r="C1632" t="s">
        <v>6090</v>
      </c>
      <c r="D1632" t="s">
        <v>5222</v>
      </c>
      <c r="F1632" t="s">
        <v>261</v>
      </c>
      <c r="I1632" t="s">
        <v>5223</v>
      </c>
      <c r="J1632" t="s">
        <v>37</v>
      </c>
      <c r="K1632" t="s">
        <v>32</v>
      </c>
      <c r="L1632" t="s">
        <v>35</v>
      </c>
      <c r="Q1632">
        <v>1</v>
      </c>
      <c r="R1632">
        <v>3</v>
      </c>
      <c r="U1632">
        <v>1</v>
      </c>
      <c r="V1632">
        <v>20</v>
      </c>
      <c r="AG1632">
        <v>1</v>
      </c>
      <c r="AH1632">
        <v>1</v>
      </c>
      <c r="AQ1632">
        <v>24</v>
      </c>
      <c r="AR1632" s="3">
        <f t="shared" si="75"/>
        <v>10</v>
      </c>
      <c r="AS1632" s="3">
        <f t="shared" si="76"/>
        <v>0</v>
      </c>
      <c r="AT1632" s="3" t="str">
        <f>IF(OR(Registered!AM1632&gt;0,Registered!AO1632&gt;0),(IF(Registered!E1632=0,"Size Not Specified",Registered!E1632)),"")</f>
        <v/>
      </c>
      <c r="AU1632" s="3" t="str">
        <f>IF(Registered!AE1632=0,"",IF(Registered!AE1632=1,Registered!AE1632&amp;" Bandana",Registered!AE1632&amp;" Bandanas"))</f>
        <v/>
      </c>
      <c r="AV1632" s="3">
        <f t="shared" si="77"/>
        <v>0</v>
      </c>
      <c r="AW1632" s="2" t="str">
        <f>IF(Registered!AV1632=0,"",IF(Registered!AV1632=1,Registered!AV1632&amp;" Meal",Registered!AV1632&amp;" Meals"))</f>
        <v/>
      </c>
      <c r="AX1632" s="2" t="str">
        <f>IF(Registered!AI1632=0,"",Registered!AI1632&amp;" BG")</f>
        <v/>
      </c>
      <c r="AY1632" s="2" t="str">
        <f>IF(Registered!AG1632=0,"",Registered!AG1632&amp;" DustMask")</f>
        <v>1 DustMask</v>
      </c>
    </row>
    <row r="1633" spans="1:51" customFormat="1" x14ac:dyDescent="0.25">
      <c r="A1633" t="s">
        <v>1430</v>
      </c>
      <c r="B1633" t="s">
        <v>376</v>
      </c>
      <c r="C1633" t="s">
        <v>6090</v>
      </c>
      <c r="D1633" t="s">
        <v>1923</v>
      </c>
      <c r="E1633" t="s">
        <v>67</v>
      </c>
      <c r="F1633" t="s">
        <v>907</v>
      </c>
      <c r="I1633" t="s">
        <v>1440</v>
      </c>
      <c r="J1633" t="s">
        <v>37</v>
      </c>
      <c r="K1633" t="s">
        <v>32</v>
      </c>
      <c r="L1633" t="s">
        <v>35</v>
      </c>
      <c r="S1633">
        <v>3</v>
      </c>
      <c r="T1633">
        <v>3</v>
      </c>
      <c r="AC1633">
        <v>3</v>
      </c>
      <c r="AD1633">
        <v>10</v>
      </c>
      <c r="AO1633">
        <v>1</v>
      </c>
      <c r="AP1633">
        <v>10</v>
      </c>
      <c r="AQ1633">
        <v>49</v>
      </c>
      <c r="AR1633" s="3">
        <f t="shared" si="75"/>
        <v>15</v>
      </c>
      <c r="AS1633" s="3">
        <f t="shared" si="76"/>
        <v>1</v>
      </c>
      <c r="AT1633" s="3" t="str">
        <f>IF(OR(Registered!AM1633&gt;0,Registered!AO1633&gt;0),(IF(Registered!E1633=0,"Size Not Specified",Registered!E1633)),"")</f>
        <v>medium</v>
      </c>
      <c r="AU1633" s="3" t="str">
        <f>IF(Registered!AE1633=0,"",IF(Registered!AE1633=1,Registered!AE1633&amp;" Bandana",Registered!AE1633&amp;" Bandanas"))</f>
        <v/>
      </c>
      <c r="AV1633" s="3">
        <f t="shared" si="77"/>
        <v>0</v>
      </c>
      <c r="AW1633" s="2" t="str">
        <f>IF(Registered!AV1633=0,"",IF(Registered!AV1633=1,Registered!AV1633&amp;" Meal",Registered!AV1633&amp;" Meals"))</f>
        <v/>
      </c>
      <c r="AX1633" s="2" t="str">
        <f>IF(Registered!AI1633=0,"",Registered!AI1633&amp;" BG")</f>
        <v/>
      </c>
      <c r="AY1633" s="2" t="str">
        <f>IF(Registered!AG1633=0,"",Registered!AG1633&amp;" DustMask")</f>
        <v/>
      </c>
    </row>
    <row r="1634" spans="1:51" customFormat="1" x14ac:dyDescent="0.25">
      <c r="A1634" t="s">
        <v>2156</v>
      </c>
      <c r="B1634" t="s">
        <v>5227</v>
      </c>
      <c r="C1634" t="s">
        <v>6090</v>
      </c>
      <c r="F1634" t="s">
        <v>261</v>
      </c>
      <c r="I1634" t="s">
        <v>5228</v>
      </c>
      <c r="J1634" t="s">
        <v>37</v>
      </c>
      <c r="K1634" t="s">
        <v>32</v>
      </c>
      <c r="L1634" t="s">
        <v>35</v>
      </c>
      <c r="Q1634">
        <v>1</v>
      </c>
      <c r="R1634">
        <v>3</v>
      </c>
      <c r="AQ1634">
        <v>3</v>
      </c>
      <c r="AR1634" s="3">
        <f t="shared" si="75"/>
        <v>0</v>
      </c>
      <c r="AS1634" s="3">
        <f t="shared" si="76"/>
        <v>0</v>
      </c>
      <c r="AT1634" s="3" t="str">
        <f>IF(OR(Registered!AM1634&gt;0,Registered!AO1634&gt;0),(IF(Registered!E1634=0,"Size Not Specified",Registered!E1634)),"")</f>
        <v/>
      </c>
      <c r="AU1634" s="3" t="str">
        <f>IF(Registered!AE1634=0,"",IF(Registered!AE1634=1,Registered!AE1634&amp;" Bandana",Registered!AE1634&amp;" Bandanas"))</f>
        <v/>
      </c>
      <c r="AV1634" s="3">
        <f t="shared" si="77"/>
        <v>0</v>
      </c>
      <c r="AW1634" s="2" t="str">
        <f>IF(Registered!AV1634=0,"",IF(Registered!AV1634=1,Registered!AV1634&amp;" Meal",Registered!AV1634&amp;" Meals"))</f>
        <v/>
      </c>
      <c r="AX1634" s="2" t="str">
        <f>IF(Registered!AI1634=0,"",Registered!AI1634&amp;" BG")</f>
        <v/>
      </c>
      <c r="AY1634" s="2" t="str">
        <f>IF(Registered!AG1634=0,"",Registered!AG1634&amp;" DustMask")</f>
        <v/>
      </c>
    </row>
    <row r="1635" spans="1:51" customFormat="1" x14ac:dyDescent="0.25">
      <c r="A1635" t="s">
        <v>288</v>
      </c>
      <c r="B1635" t="s">
        <v>4216</v>
      </c>
      <c r="C1635" t="s">
        <v>6090</v>
      </c>
      <c r="D1635" t="s">
        <v>5229</v>
      </c>
      <c r="F1635" t="s">
        <v>261</v>
      </c>
      <c r="I1635" t="s">
        <v>4217</v>
      </c>
      <c r="J1635" t="s">
        <v>37</v>
      </c>
      <c r="K1635" t="s">
        <v>32</v>
      </c>
      <c r="L1635" t="s">
        <v>35</v>
      </c>
      <c r="Q1635">
        <v>4</v>
      </c>
      <c r="R1635">
        <v>3</v>
      </c>
      <c r="AQ1635">
        <v>12</v>
      </c>
      <c r="AR1635" s="3">
        <f t="shared" si="75"/>
        <v>0</v>
      </c>
      <c r="AS1635" s="3">
        <f t="shared" si="76"/>
        <v>0</v>
      </c>
      <c r="AT1635" s="3" t="str">
        <f>IF(OR(Registered!AM1635&gt;0,Registered!AO1635&gt;0),(IF(Registered!E1635=0,"Size Not Specified",Registered!E1635)),"")</f>
        <v/>
      </c>
      <c r="AU1635" s="3" t="str">
        <f>IF(Registered!AE1635=0,"",IF(Registered!AE1635=1,Registered!AE1635&amp;" Bandana",Registered!AE1635&amp;" Bandanas"))</f>
        <v/>
      </c>
      <c r="AV1635" s="3">
        <f t="shared" si="77"/>
        <v>0</v>
      </c>
      <c r="AW1635" s="2" t="str">
        <f>IF(Registered!AV1635=0,"",IF(Registered!AV1635=1,Registered!AV1635&amp;" Meal",Registered!AV1635&amp;" Meals"))</f>
        <v/>
      </c>
      <c r="AX1635" s="2" t="str">
        <f>IF(Registered!AI1635=0,"",Registered!AI1635&amp;" BG")</f>
        <v/>
      </c>
      <c r="AY1635" s="2" t="str">
        <f>IF(Registered!AG1635=0,"",Registered!AG1635&amp;" DustMask")</f>
        <v/>
      </c>
    </row>
    <row r="1636" spans="1:51" customFormat="1" x14ac:dyDescent="0.25">
      <c r="A1636" t="s">
        <v>88</v>
      </c>
      <c r="B1636" t="s">
        <v>4216</v>
      </c>
      <c r="C1636" t="s">
        <v>6090</v>
      </c>
      <c r="G1636" t="s">
        <v>4069</v>
      </c>
      <c r="H1636" t="s">
        <v>4070</v>
      </c>
      <c r="I1636" t="s">
        <v>4071</v>
      </c>
      <c r="J1636" t="s">
        <v>37</v>
      </c>
      <c r="K1636" t="s">
        <v>32</v>
      </c>
      <c r="L1636" t="s">
        <v>35</v>
      </c>
      <c r="AQ1636">
        <v>0</v>
      </c>
      <c r="AR1636" s="3">
        <f t="shared" si="75"/>
        <v>0</v>
      </c>
      <c r="AS1636" s="3">
        <f t="shared" si="76"/>
        <v>0</v>
      </c>
      <c r="AT1636" s="3" t="str">
        <f>IF(OR(Registered!AM1636&gt;0,Registered!AO1636&gt;0),(IF(Registered!E1636=0,"Size Not Specified",Registered!E1636)),"")</f>
        <v/>
      </c>
      <c r="AU1636" s="3" t="str">
        <f>IF(Registered!AE1636=0,"",IF(Registered!AE1636=1,Registered!AE1636&amp;" Bandana",Registered!AE1636&amp;" Bandanas"))</f>
        <v/>
      </c>
      <c r="AV1636" s="3">
        <f t="shared" si="77"/>
        <v>0</v>
      </c>
      <c r="AW1636" s="2" t="str">
        <f>IF(Registered!AV1636=0,"",IF(Registered!AV1636=1,Registered!AV1636&amp;" Meal",Registered!AV1636&amp;" Meals"))</f>
        <v/>
      </c>
      <c r="AX1636" s="2" t="str">
        <f>IF(Registered!AI1636=0,"",Registered!AI1636&amp;" BG")</f>
        <v/>
      </c>
      <c r="AY1636" s="2" t="str">
        <f>IF(Registered!AG1636=0,"",Registered!AG1636&amp;" DustMask")</f>
        <v/>
      </c>
    </row>
    <row r="1637" spans="1:51" customFormat="1" x14ac:dyDescent="0.25">
      <c r="A1637" t="s">
        <v>3766</v>
      </c>
      <c r="B1637" t="s">
        <v>3767</v>
      </c>
      <c r="C1637" t="s">
        <v>6090</v>
      </c>
      <c r="D1637" t="s">
        <v>3766</v>
      </c>
      <c r="F1637" t="s">
        <v>261</v>
      </c>
      <c r="I1637" t="s">
        <v>3768</v>
      </c>
      <c r="J1637" t="s">
        <v>37</v>
      </c>
      <c r="K1637" t="s">
        <v>32</v>
      </c>
      <c r="L1637" t="s">
        <v>35</v>
      </c>
      <c r="Q1637">
        <v>3</v>
      </c>
      <c r="R1637">
        <v>3</v>
      </c>
      <c r="W1637">
        <v>1</v>
      </c>
      <c r="X1637">
        <v>40</v>
      </c>
      <c r="AQ1637">
        <v>49</v>
      </c>
      <c r="AR1637" s="3">
        <f t="shared" si="75"/>
        <v>20</v>
      </c>
      <c r="AS1637" s="3">
        <f t="shared" si="76"/>
        <v>0</v>
      </c>
      <c r="AT1637" s="3" t="str">
        <f>IF(OR(Registered!AM1637&gt;0,Registered!AO1637&gt;0),(IF(Registered!E1637=0,"Size Not Specified",Registered!E1637)),"")</f>
        <v/>
      </c>
      <c r="AU1637" s="3" t="str">
        <f>IF(Registered!AE1637=0,"",IF(Registered!AE1637=1,Registered!AE1637&amp;" Bandana",Registered!AE1637&amp;" Bandanas"))</f>
        <v/>
      </c>
      <c r="AV1637" s="3">
        <f t="shared" si="77"/>
        <v>0</v>
      </c>
      <c r="AW1637" s="2" t="str">
        <f>IF(Registered!AV1637=0,"",IF(Registered!AV1637=1,Registered!AV1637&amp;" Meal",Registered!AV1637&amp;" Meals"))</f>
        <v/>
      </c>
      <c r="AX1637" s="2" t="str">
        <f>IF(Registered!AI1637=0,"",Registered!AI1637&amp;" BG")</f>
        <v/>
      </c>
      <c r="AY1637" s="2" t="str">
        <f>IF(Registered!AG1637=0,"",Registered!AG1637&amp;" DustMask")</f>
        <v/>
      </c>
    </row>
    <row r="1638" spans="1:51" customFormat="1" x14ac:dyDescent="0.25">
      <c r="A1638" t="s">
        <v>3212</v>
      </c>
      <c r="B1638" t="s">
        <v>3213</v>
      </c>
      <c r="C1638" t="s">
        <v>6090</v>
      </c>
      <c r="D1638" t="s">
        <v>3212</v>
      </c>
      <c r="F1638" t="s">
        <v>261</v>
      </c>
      <c r="I1638" t="s">
        <v>3214</v>
      </c>
      <c r="J1638" t="s">
        <v>37</v>
      </c>
      <c r="K1638" t="s">
        <v>32</v>
      </c>
      <c r="L1638" t="s">
        <v>35</v>
      </c>
      <c r="Q1638">
        <v>1</v>
      </c>
      <c r="R1638">
        <v>3</v>
      </c>
      <c r="AC1638">
        <v>1</v>
      </c>
      <c r="AD1638">
        <v>10</v>
      </c>
      <c r="AQ1638">
        <v>13</v>
      </c>
      <c r="AR1638" s="3">
        <f t="shared" si="75"/>
        <v>5</v>
      </c>
      <c r="AS1638" s="3">
        <f t="shared" si="76"/>
        <v>0</v>
      </c>
      <c r="AT1638" s="3" t="str">
        <f>IF(OR(Registered!AM1638&gt;0,Registered!AO1638&gt;0),(IF(Registered!E1638=0,"Size Not Specified",Registered!E1638)),"")</f>
        <v/>
      </c>
      <c r="AU1638" s="3" t="str">
        <f>IF(Registered!AE1638=0,"",IF(Registered!AE1638=1,Registered!AE1638&amp;" Bandana",Registered!AE1638&amp;" Bandanas"))</f>
        <v/>
      </c>
      <c r="AV1638" s="3">
        <f t="shared" si="77"/>
        <v>0</v>
      </c>
      <c r="AW1638" s="2" t="str">
        <f>IF(Registered!AV1638=0,"",IF(Registered!AV1638=1,Registered!AV1638&amp;" Meal",Registered!AV1638&amp;" Meals"))</f>
        <v/>
      </c>
      <c r="AX1638" s="2" t="str">
        <f>IF(Registered!AI1638=0,"",Registered!AI1638&amp;" BG")</f>
        <v/>
      </c>
      <c r="AY1638" s="2" t="str">
        <f>IF(Registered!AG1638=0,"",Registered!AG1638&amp;" DustMask")</f>
        <v/>
      </c>
    </row>
    <row r="1639" spans="1:51" customFormat="1" x14ac:dyDescent="0.25">
      <c r="A1639" t="s">
        <v>2341</v>
      </c>
      <c r="B1639" t="s">
        <v>5230</v>
      </c>
      <c r="C1639" t="s">
        <v>6090</v>
      </c>
      <c r="G1639" t="s">
        <v>1818</v>
      </c>
      <c r="H1639" t="s">
        <v>1604</v>
      </c>
      <c r="I1639" t="s">
        <v>4795</v>
      </c>
      <c r="J1639" t="s">
        <v>37</v>
      </c>
      <c r="K1639" t="s">
        <v>32</v>
      </c>
      <c r="L1639" t="s">
        <v>35</v>
      </c>
      <c r="AQ1639">
        <v>0</v>
      </c>
      <c r="AR1639" s="3">
        <f t="shared" si="75"/>
        <v>0</v>
      </c>
      <c r="AS1639" s="3">
        <f t="shared" si="76"/>
        <v>0</v>
      </c>
      <c r="AT1639" s="3" t="str">
        <f>IF(OR(Registered!AM1639&gt;0,Registered!AO1639&gt;0),(IF(Registered!E1639=0,"Size Not Specified",Registered!E1639)),"")</f>
        <v/>
      </c>
      <c r="AU1639" s="3" t="str">
        <f>IF(Registered!AE1639=0,"",IF(Registered!AE1639=1,Registered!AE1639&amp;" Bandana",Registered!AE1639&amp;" Bandanas"))</f>
        <v/>
      </c>
      <c r="AV1639" s="3">
        <f t="shared" si="77"/>
        <v>0</v>
      </c>
      <c r="AW1639" s="2" t="str">
        <f>IF(Registered!AV1639=0,"",IF(Registered!AV1639=1,Registered!AV1639&amp;" Meal",Registered!AV1639&amp;" Meals"))</f>
        <v/>
      </c>
      <c r="AX1639" s="2" t="str">
        <f>IF(Registered!AI1639=0,"",Registered!AI1639&amp;" BG")</f>
        <v/>
      </c>
      <c r="AY1639" s="2" t="str">
        <f>IF(Registered!AG1639=0,"",Registered!AG1639&amp;" DustMask")</f>
        <v/>
      </c>
    </row>
    <row r="1640" spans="1:51" customFormat="1" x14ac:dyDescent="0.25">
      <c r="A1640" t="s">
        <v>5231</v>
      </c>
      <c r="B1640" t="s">
        <v>5232</v>
      </c>
      <c r="C1640" t="s">
        <v>6090</v>
      </c>
      <c r="D1640" t="s">
        <v>5233</v>
      </c>
      <c r="F1640" t="s">
        <v>261</v>
      </c>
      <c r="I1640" t="s">
        <v>5235</v>
      </c>
      <c r="J1640" t="s">
        <v>37</v>
      </c>
      <c r="K1640" t="s">
        <v>32</v>
      </c>
      <c r="L1640" t="s">
        <v>35</v>
      </c>
      <c r="Q1640">
        <v>2</v>
      </c>
      <c r="R1640">
        <v>3</v>
      </c>
      <c r="AC1640">
        <v>1</v>
      </c>
      <c r="AD1640">
        <v>10</v>
      </c>
      <c r="AQ1640">
        <v>16</v>
      </c>
      <c r="AR1640" s="3">
        <f t="shared" si="75"/>
        <v>5</v>
      </c>
      <c r="AS1640" s="3">
        <f t="shared" si="76"/>
        <v>0</v>
      </c>
      <c r="AT1640" s="3" t="str">
        <f>IF(OR(Registered!AM1640&gt;0,Registered!AO1640&gt;0),(IF(Registered!E1640=0,"Size Not Specified",Registered!E1640)),"")</f>
        <v/>
      </c>
      <c r="AU1640" s="3" t="str">
        <f>IF(Registered!AE1640=0,"",IF(Registered!AE1640=1,Registered!AE1640&amp;" Bandana",Registered!AE1640&amp;" Bandanas"))</f>
        <v/>
      </c>
      <c r="AV1640" s="3">
        <f t="shared" si="77"/>
        <v>0</v>
      </c>
      <c r="AW1640" s="2" t="str">
        <f>IF(Registered!AV1640=0,"",IF(Registered!AV1640=1,Registered!AV1640&amp;" Meal",Registered!AV1640&amp;" Meals"))</f>
        <v/>
      </c>
      <c r="AX1640" s="2" t="str">
        <f>IF(Registered!AI1640=0,"",Registered!AI1640&amp;" BG")</f>
        <v/>
      </c>
      <c r="AY1640" s="2" t="str">
        <f>IF(Registered!AG1640=0,"",Registered!AG1640&amp;" DustMask")</f>
        <v/>
      </c>
    </row>
    <row r="1641" spans="1:51" customFormat="1" x14ac:dyDescent="0.25">
      <c r="A1641" t="s">
        <v>770</v>
      </c>
      <c r="B1641" t="s">
        <v>5232</v>
      </c>
      <c r="C1641" t="s">
        <v>6090</v>
      </c>
      <c r="G1641" t="s">
        <v>5231</v>
      </c>
      <c r="H1641" t="s">
        <v>5232</v>
      </c>
      <c r="I1641" t="s">
        <v>5235</v>
      </c>
      <c r="J1641" t="s">
        <v>37</v>
      </c>
      <c r="K1641" t="s">
        <v>32</v>
      </c>
      <c r="L1641" t="s">
        <v>35</v>
      </c>
      <c r="AQ1641">
        <v>0</v>
      </c>
      <c r="AR1641" s="3">
        <f t="shared" si="75"/>
        <v>0</v>
      </c>
      <c r="AS1641" s="3">
        <f t="shared" si="76"/>
        <v>0</v>
      </c>
      <c r="AT1641" s="3" t="str">
        <f>IF(OR(Registered!AM1641&gt;0,Registered!AO1641&gt;0),(IF(Registered!E1641=0,"Size Not Specified",Registered!E1641)),"")</f>
        <v/>
      </c>
      <c r="AU1641" s="3" t="str">
        <f>IF(Registered!AE1641=0,"",IF(Registered!AE1641=1,Registered!AE1641&amp;" Bandana",Registered!AE1641&amp;" Bandanas"))</f>
        <v/>
      </c>
      <c r="AV1641" s="3">
        <f t="shared" si="77"/>
        <v>0</v>
      </c>
      <c r="AW1641" s="2" t="str">
        <f>IF(Registered!AV1641=0,"",IF(Registered!AV1641=1,Registered!AV1641&amp;" Meal",Registered!AV1641&amp;" Meals"))</f>
        <v/>
      </c>
      <c r="AX1641" s="2" t="str">
        <f>IF(Registered!AI1641=0,"",Registered!AI1641&amp;" BG")</f>
        <v/>
      </c>
      <c r="AY1641" s="2" t="str">
        <f>IF(Registered!AG1641=0,"",Registered!AG1641&amp;" DustMask")</f>
        <v/>
      </c>
    </row>
    <row r="1642" spans="1:51" customFormat="1" x14ac:dyDescent="0.25">
      <c r="A1642" t="s">
        <v>494</v>
      </c>
      <c r="B1642" t="s">
        <v>1928</v>
      </c>
      <c r="C1642" t="s">
        <v>6090</v>
      </c>
      <c r="D1642" t="s">
        <v>494</v>
      </c>
      <c r="F1642" t="s">
        <v>261</v>
      </c>
      <c r="I1642" t="s">
        <v>1929</v>
      </c>
      <c r="J1642" t="s">
        <v>37</v>
      </c>
      <c r="K1642" t="s">
        <v>32</v>
      </c>
      <c r="L1642" t="s">
        <v>35</v>
      </c>
      <c r="S1642">
        <v>1</v>
      </c>
      <c r="T1642">
        <v>3</v>
      </c>
      <c r="AC1642">
        <v>1</v>
      </c>
      <c r="AD1642">
        <v>10</v>
      </c>
      <c r="AQ1642">
        <v>13</v>
      </c>
      <c r="AR1642" s="3">
        <f t="shared" si="75"/>
        <v>5</v>
      </c>
      <c r="AS1642" s="3">
        <f t="shared" si="76"/>
        <v>0</v>
      </c>
      <c r="AT1642" s="3" t="str">
        <f>IF(OR(Registered!AM1642&gt;0,Registered!AO1642&gt;0),(IF(Registered!E1642=0,"Size Not Specified",Registered!E1642)),"")</f>
        <v/>
      </c>
      <c r="AU1642" s="3" t="str">
        <f>IF(Registered!AE1642=0,"",IF(Registered!AE1642=1,Registered!AE1642&amp;" Bandana",Registered!AE1642&amp;" Bandanas"))</f>
        <v/>
      </c>
      <c r="AV1642" s="3">
        <f t="shared" si="77"/>
        <v>0</v>
      </c>
      <c r="AW1642" s="2" t="str">
        <f>IF(Registered!AV1642=0,"",IF(Registered!AV1642=1,Registered!AV1642&amp;" Meal",Registered!AV1642&amp;" Meals"))</f>
        <v/>
      </c>
      <c r="AX1642" s="2" t="str">
        <f>IF(Registered!AI1642=0,"",Registered!AI1642&amp;" BG")</f>
        <v/>
      </c>
      <c r="AY1642" s="2" t="str">
        <f>IF(Registered!AG1642=0,"",Registered!AG1642&amp;" DustMask")</f>
        <v/>
      </c>
    </row>
    <row r="1643" spans="1:51" customFormat="1" x14ac:dyDescent="0.25">
      <c r="A1643" t="s">
        <v>42</v>
      </c>
      <c r="B1643" t="s">
        <v>5236</v>
      </c>
      <c r="C1643" t="s">
        <v>6090</v>
      </c>
      <c r="G1643" t="s">
        <v>3986</v>
      </c>
      <c r="H1643" t="s">
        <v>1815</v>
      </c>
      <c r="I1643" t="s">
        <v>4237</v>
      </c>
      <c r="J1643" t="s">
        <v>37</v>
      </c>
      <c r="K1643" t="s">
        <v>32</v>
      </c>
      <c r="L1643" t="s">
        <v>35</v>
      </c>
      <c r="AQ1643">
        <v>0</v>
      </c>
      <c r="AR1643" s="3">
        <f t="shared" si="75"/>
        <v>0</v>
      </c>
      <c r="AS1643" s="3">
        <f t="shared" si="76"/>
        <v>0</v>
      </c>
      <c r="AT1643" s="3" t="str">
        <f>IF(OR(Registered!AM1643&gt;0,Registered!AO1643&gt;0),(IF(Registered!E1643=0,"Size Not Specified",Registered!E1643)),"")</f>
        <v/>
      </c>
      <c r="AU1643" s="3" t="str">
        <f>IF(Registered!AE1643=0,"",IF(Registered!AE1643=1,Registered!AE1643&amp;" Bandana",Registered!AE1643&amp;" Bandanas"))</f>
        <v/>
      </c>
      <c r="AV1643" s="3">
        <f t="shared" si="77"/>
        <v>0</v>
      </c>
      <c r="AW1643" s="2" t="str">
        <f>IF(Registered!AV1643=0,"",IF(Registered!AV1643=1,Registered!AV1643&amp;" Meal",Registered!AV1643&amp;" Meals"))</f>
        <v/>
      </c>
      <c r="AX1643" s="2" t="str">
        <f>IF(Registered!AI1643=0,"",Registered!AI1643&amp;" BG")</f>
        <v/>
      </c>
      <c r="AY1643" s="2" t="str">
        <f>IF(Registered!AG1643=0,"",Registered!AG1643&amp;" DustMask")</f>
        <v/>
      </c>
    </row>
    <row r="1644" spans="1:51" customFormat="1" x14ac:dyDescent="0.25">
      <c r="A1644" t="s">
        <v>297</v>
      </c>
      <c r="B1644" t="s">
        <v>5237</v>
      </c>
      <c r="C1644" t="s">
        <v>6090</v>
      </c>
      <c r="D1644" t="s">
        <v>5238</v>
      </c>
      <c r="F1644" t="s">
        <v>261</v>
      </c>
      <c r="I1644" t="s">
        <v>5239</v>
      </c>
      <c r="J1644" t="s">
        <v>37</v>
      </c>
      <c r="K1644" t="s">
        <v>32</v>
      </c>
      <c r="L1644" t="s">
        <v>35</v>
      </c>
      <c r="Q1644">
        <v>1</v>
      </c>
      <c r="R1644">
        <v>3</v>
      </c>
      <c r="AC1644">
        <v>1</v>
      </c>
      <c r="AD1644">
        <v>10</v>
      </c>
      <c r="AQ1644">
        <v>13</v>
      </c>
      <c r="AR1644" s="3">
        <f t="shared" si="75"/>
        <v>5</v>
      </c>
      <c r="AS1644" s="3">
        <f t="shared" si="76"/>
        <v>0</v>
      </c>
      <c r="AT1644" s="3" t="str">
        <f>IF(OR(Registered!AM1644&gt;0,Registered!AO1644&gt;0),(IF(Registered!E1644=0,"Size Not Specified",Registered!E1644)),"")</f>
        <v/>
      </c>
      <c r="AU1644" s="3" t="str">
        <f>IF(Registered!AE1644=0,"",IF(Registered!AE1644=1,Registered!AE1644&amp;" Bandana",Registered!AE1644&amp;" Bandanas"))</f>
        <v/>
      </c>
      <c r="AV1644" s="3">
        <f t="shared" si="77"/>
        <v>0</v>
      </c>
      <c r="AW1644" s="2" t="str">
        <f>IF(Registered!AV1644=0,"",IF(Registered!AV1644=1,Registered!AV1644&amp;" Meal",Registered!AV1644&amp;" Meals"))</f>
        <v/>
      </c>
      <c r="AX1644" s="2" t="str">
        <f>IF(Registered!AI1644=0,"",Registered!AI1644&amp;" BG")</f>
        <v/>
      </c>
      <c r="AY1644" s="2" t="str">
        <f>IF(Registered!AG1644=0,"",Registered!AG1644&amp;" DustMask")</f>
        <v/>
      </c>
    </row>
    <row r="1645" spans="1:51" customFormat="1" x14ac:dyDescent="0.25">
      <c r="A1645" t="s">
        <v>1930</v>
      </c>
      <c r="B1645" t="s">
        <v>1931</v>
      </c>
      <c r="C1645" t="s">
        <v>6090</v>
      </c>
      <c r="D1645" t="s">
        <v>1934</v>
      </c>
      <c r="F1645" t="s">
        <v>261</v>
      </c>
      <c r="I1645" t="s">
        <v>1935</v>
      </c>
      <c r="J1645" t="s">
        <v>37</v>
      </c>
      <c r="K1645" t="s">
        <v>32</v>
      </c>
      <c r="L1645" t="s">
        <v>35</v>
      </c>
      <c r="Q1645">
        <v>1</v>
      </c>
      <c r="R1645">
        <v>3</v>
      </c>
      <c r="U1645">
        <v>1</v>
      </c>
      <c r="V1645">
        <v>20</v>
      </c>
      <c r="AQ1645">
        <v>23</v>
      </c>
      <c r="AR1645" s="3">
        <f t="shared" si="75"/>
        <v>10</v>
      </c>
      <c r="AS1645" s="3">
        <f t="shared" si="76"/>
        <v>0</v>
      </c>
      <c r="AT1645" s="3" t="str">
        <f>IF(OR(Registered!AM1645&gt;0,Registered!AO1645&gt;0),(IF(Registered!E1645=0,"Size Not Specified",Registered!E1645)),"")</f>
        <v/>
      </c>
      <c r="AU1645" s="3" t="str">
        <f>IF(Registered!AE1645=0,"",IF(Registered!AE1645=1,Registered!AE1645&amp;" Bandana",Registered!AE1645&amp;" Bandanas"))</f>
        <v/>
      </c>
      <c r="AV1645" s="3">
        <f t="shared" si="77"/>
        <v>0</v>
      </c>
      <c r="AW1645" s="2" t="str">
        <f>IF(Registered!AV1645=0,"",IF(Registered!AV1645=1,Registered!AV1645&amp;" Meal",Registered!AV1645&amp;" Meals"))</f>
        <v/>
      </c>
      <c r="AX1645" s="2" t="str">
        <f>IF(Registered!AI1645=0,"",Registered!AI1645&amp;" BG")</f>
        <v/>
      </c>
      <c r="AY1645" s="2" t="str">
        <f>IF(Registered!AG1645=0,"",Registered!AG1645&amp;" DustMask")</f>
        <v/>
      </c>
    </row>
    <row r="1646" spans="1:51" customFormat="1" x14ac:dyDescent="0.25">
      <c r="A1646" t="s">
        <v>270</v>
      </c>
      <c r="B1646" t="s">
        <v>5240</v>
      </c>
      <c r="C1646" t="s">
        <v>6090</v>
      </c>
      <c r="D1646" t="s">
        <v>5241</v>
      </c>
      <c r="E1646" t="s">
        <v>5242</v>
      </c>
      <c r="I1646" t="s">
        <v>5243</v>
      </c>
      <c r="J1646" t="s">
        <v>37</v>
      </c>
      <c r="K1646" t="s">
        <v>32</v>
      </c>
      <c r="L1646" t="s">
        <v>35</v>
      </c>
      <c r="Q1646">
        <v>1</v>
      </c>
      <c r="R1646">
        <v>3</v>
      </c>
      <c r="U1646">
        <v>1</v>
      </c>
      <c r="V1646">
        <v>20</v>
      </c>
      <c r="AQ1646">
        <v>23</v>
      </c>
      <c r="AR1646" s="3">
        <f t="shared" si="75"/>
        <v>10</v>
      </c>
      <c r="AS1646" s="3">
        <f t="shared" si="76"/>
        <v>0</v>
      </c>
      <c r="AT1646" s="3" t="str">
        <f>IF(OR(Registered!AM1646&gt;0,Registered!AO1646&gt;0),(IF(Registered!E1646=0,"Size Not Specified",Registered!E1646)),"")</f>
        <v/>
      </c>
      <c r="AU1646" s="3" t="str">
        <f>IF(Registered!AE1646=0,"",IF(Registered!AE1646=1,Registered!AE1646&amp;" Bandana",Registered!AE1646&amp;" Bandanas"))</f>
        <v/>
      </c>
      <c r="AV1646" s="3">
        <f t="shared" si="77"/>
        <v>0</v>
      </c>
      <c r="AW1646" s="2" t="str">
        <f>IF(Registered!AV1646=0,"",IF(Registered!AV1646=1,Registered!AV1646&amp;" Meal",Registered!AV1646&amp;" Meals"))</f>
        <v/>
      </c>
      <c r="AX1646" s="2" t="str">
        <f>IF(Registered!AI1646=0,"",Registered!AI1646&amp;" BG")</f>
        <v/>
      </c>
      <c r="AY1646" s="2" t="str">
        <f>IF(Registered!AG1646=0,"",Registered!AG1646&amp;" DustMask")</f>
        <v/>
      </c>
    </row>
    <row r="1647" spans="1:51" customFormat="1" x14ac:dyDescent="0.25">
      <c r="A1647" t="s">
        <v>338</v>
      </c>
      <c r="B1647" t="s">
        <v>1936</v>
      </c>
      <c r="C1647" t="s">
        <v>6090</v>
      </c>
      <c r="D1647" t="s">
        <v>1937</v>
      </c>
      <c r="F1647" t="s">
        <v>261</v>
      </c>
      <c r="I1647" t="s">
        <v>1938</v>
      </c>
      <c r="J1647" t="s">
        <v>37</v>
      </c>
      <c r="K1647" t="s">
        <v>32</v>
      </c>
      <c r="L1647" t="s">
        <v>35</v>
      </c>
      <c r="S1647">
        <v>1</v>
      </c>
      <c r="T1647">
        <v>3</v>
      </c>
      <c r="AC1647">
        <v>1</v>
      </c>
      <c r="AD1647">
        <v>10</v>
      </c>
      <c r="AK1647">
        <v>1</v>
      </c>
      <c r="AL1647">
        <v>6</v>
      </c>
      <c r="AQ1647">
        <v>19</v>
      </c>
      <c r="AR1647" s="3">
        <f t="shared" si="75"/>
        <v>5</v>
      </c>
      <c r="AS1647" s="3">
        <f t="shared" si="76"/>
        <v>0</v>
      </c>
      <c r="AT1647" s="3" t="str">
        <f>IF(OR(Registered!AM1647&gt;0,Registered!AO1647&gt;0),(IF(Registered!E1647=0,"Size Not Specified",Registered!E1647)),"")</f>
        <v/>
      </c>
      <c r="AU1647" s="3" t="str">
        <f>IF(Registered!AE1647=0,"",IF(Registered!AE1647=1,Registered!AE1647&amp;" Bandana",Registered!AE1647&amp;" Bandanas"))</f>
        <v/>
      </c>
      <c r="AV1647" s="3">
        <f t="shared" si="77"/>
        <v>1</v>
      </c>
      <c r="AW1647" s="2" t="str">
        <f>IF(Registered!AV1647=0,"",IF(Registered!AV1647=1,Registered!AV1647&amp;" Meal",Registered!AV1647&amp;" Meals"))</f>
        <v>1 Meal</v>
      </c>
      <c r="AX1647" s="2" t="str">
        <f>IF(Registered!AI1647=0,"",Registered!AI1647&amp;" BG")</f>
        <v/>
      </c>
      <c r="AY1647" s="2" t="str">
        <f>IF(Registered!AG1647=0,"",Registered!AG1647&amp;" DustMask")</f>
        <v/>
      </c>
    </row>
    <row r="1648" spans="1:51" customFormat="1" x14ac:dyDescent="0.25">
      <c r="A1648" t="s">
        <v>5244</v>
      </c>
      <c r="B1648" t="s">
        <v>1936</v>
      </c>
      <c r="C1648" t="s">
        <v>6090</v>
      </c>
      <c r="D1648" t="s">
        <v>5244</v>
      </c>
      <c r="F1648" t="s">
        <v>261</v>
      </c>
      <c r="I1648" t="s">
        <v>5245</v>
      </c>
      <c r="J1648" t="s">
        <v>37</v>
      </c>
      <c r="K1648" t="s">
        <v>32</v>
      </c>
      <c r="L1648" t="s">
        <v>35</v>
      </c>
      <c r="Q1648">
        <v>1</v>
      </c>
      <c r="R1648">
        <v>3</v>
      </c>
      <c r="AC1648">
        <v>1</v>
      </c>
      <c r="AD1648">
        <v>10</v>
      </c>
      <c r="AG1648">
        <v>1</v>
      </c>
      <c r="AH1648">
        <v>1</v>
      </c>
      <c r="AK1648">
        <v>1</v>
      </c>
      <c r="AL1648">
        <v>6</v>
      </c>
      <c r="AQ1648">
        <v>20</v>
      </c>
      <c r="AR1648" s="3">
        <f t="shared" si="75"/>
        <v>5</v>
      </c>
      <c r="AS1648" s="3">
        <f t="shared" si="76"/>
        <v>0</v>
      </c>
      <c r="AT1648" s="3" t="str">
        <f>IF(OR(Registered!AM1648&gt;0,Registered!AO1648&gt;0),(IF(Registered!E1648=0,"Size Not Specified",Registered!E1648)),"")</f>
        <v/>
      </c>
      <c r="AU1648" s="3" t="str">
        <f>IF(Registered!AE1648=0,"",IF(Registered!AE1648=1,Registered!AE1648&amp;" Bandana",Registered!AE1648&amp;" Bandanas"))</f>
        <v/>
      </c>
      <c r="AV1648" s="3">
        <f t="shared" si="77"/>
        <v>1</v>
      </c>
      <c r="AW1648" s="2" t="str">
        <f>IF(Registered!AV1648=0,"",IF(Registered!AV1648=1,Registered!AV1648&amp;" Meal",Registered!AV1648&amp;" Meals"))</f>
        <v>1 Meal</v>
      </c>
      <c r="AX1648" s="2" t="str">
        <f>IF(Registered!AI1648=0,"",Registered!AI1648&amp;" BG")</f>
        <v/>
      </c>
      <c r="AY1648" s="2" t="str">
        <f>IF(Registered!AG1648=0,"",Registered!AG1648&amp;" DustMask")</f>
        <v>1 DustMask</v>
      </c>
    </row>
    <row r="1649" spans="1:51" customFormat="1" x14ac:dyDescent="0.25">
      <c r="A1649" t="s">
        <v>90</v>
      </c>
      <c r="B1649" t="s">
        <v>1936</v>
      </c>
      <c r="C1649" t="s">
        <v>6090</v>
      </c>
      <c r="D1649" t="s">
        <v>1939</v>
      </c>
      <c r="E1649" t="s">
        <v>67</v>
      </c>
      <c r="I1649" t="s">
        <v>1940</v>
      </c>
      <c r="J1649" t="s">
        <v>37</v>
      </c>
      <c r="K1649" t="s">
        <v>32</v>
      </c>
      <c r="L1649" t="s">
        <v>35</v>
      </c>
      <c r="S1649">
        <v>1</v>
      </c>
      <c r="T1649">
        <v>3</v>
      </c>
      <c r="AM1649">
        <v>1</v>
      </c>
      <c r="AN1649">
        <v>25</v>
      </c>
      <c r="AQ1649">
        <v>28</v>
      </c>
      <c r="AR1649" s="3">
        <f t="shared" si="75"/>
        <v>5</v>
      </c>
      <c r="AS1649" s="3">
        <f t="shared" si="76"/>
        <v>1</v>
      </c>
      <c r="AT1649" s="3" t="str">
        <f>IF(OR(Registered!AM1649&gt;0,Registered!AO1649&gt;0),(IF(Registered!E1649=0,"Size Not Specified",Registered!E1649)),"")</f>
        <v>medium</v>
      </c>
      <c r="AU1649" s="3" t="str">
        <f>IF(Registered!AE1649=0,"",IF(Registered!AE1649=1,Registered!AE1649&amp;" Bandana",Registered!AE1649&amp;" Bandanas"))</f>
        <v/>
      </c>
      <c r="AV1649" s="3">
        <f t="shared" si="77"/>
        <v>1</v>
      </c>
      <c r="AW1649" s="2" t="str">
        <f>IF(Registered!AV1649=0,"",IF(Registered!AV1649=1,Registered!AV1649&amp;" Meal",Registered!AV1649&amp;" Meals"))</f>
        <v>1 Meal</v>
      </c>
      <c r="AX1649" s="2" t="str">
        <f>IF(Registered!AI1649=0,"",Registered!AI1649&amp;" BG")</f>
        <v/>
      </c>
      <c r="AY1649" s="2" t="str">
        <f>IF(Registered!AG1649=0,"",Registered!AG1649&amp;" DustMask")</f>
        <v/>
      </c>
    </row>
    <row r="1650" spans="1:51" customFormat="1" x14ac:dyDescent="0.25">
      <c r="A1650" t="s">
        <v>149</v>
      </c>
      <c r="B1650" t="s">
        <v>1941</v>
      </c>
      <c r="C1650" t="s">
        <v>6090</v>
      </c>
      <c r="G1650" t="s">
        <v>150</v>
      </c>
      <c r="H1650" t="s">
        <v>1942</v>
      </c>
      <c r="I1650" t="s">
        <v>1943</v>
      </c>
      <c r="J1650" t="s">
        <v>37</v>
      </c>
      <c r="K1650" t="s">
        <v>32</v>
      </c>
      <c r="L1650" t="s">
        <v>35</v>
      </c>
      <c r="AQ1650">
        <v>0</v>
      </c>
      <c r="AR1650" s="3">
        <f t="shared" si="75"/>
        <v>0</v>
      </c>
      <c r="AS1650" s="3">
        <f t="shared" si="76"/>
        <v>0</v>
      </c>
      <c r="AT1650" s="3" t="str">
        <f>IF(OR(Registered!AM1650&gt;0,Registered!AO1650&gt;0),(IF(Registered!E1650=0,"Size Not Specified",Registered!E1650)),"")</f>
        <v/>
      </c>
      <c r="AU1650" s="3" t="str">
        <f>IF(Registered!AE1650=0,"",IF(Registered!AE1650=1,Registered!AE1650&amp;" Bandana",Registered!AE1650&amp;" Bandanas"))</f>
        <v/>
      </c>
      <c r="AV1650" s="3">
        <f t="shared" si="77"/>
        <v>0</v>
      </c>
      <c r="AW1650" s="2" t="str">
        <f>IF(Registered!AV1650=0,"",IF(Registered!AV1650=1,Registered!AV1650&amp;" Meal",Registered!AV1650&amp;" Meals"))</f>
        <v/>
      </c>
      <c r="AX1650" s="2" t="str">
        <f>IF(Registered!AI1650=0,"",Registered!AI1650&amp;" BG")</f>
        <v/>
      </c>
      <c r="AY1650" s="2" t="str">
        <f>IF(Registered!AG1650=0,"",Registered!AG1650&amp;" DustMask")</f>
        <v/>
      </c>
    </row>
    <row r="1651" spans="1:51" customFormat="1" x14ac:dyDescent="0.25">
      <c r="A1651" t="s">
        <v>104</v>
      </c>
      <c r="B1651" t="s">
        <v>1944</v>
      </c>
      <c r="C1651" t="s">
        <v>6090</v>
      </c>
      <c r="G1651" t="s">
        <v>1945</v>
      </c>
      <c r="H1651" t="s">
        <v>257</v>
      </c>
      <c r="I1651" t="s">
        <v>1946</v>
      </c>
      <c r="J1651" t="s">
        <v>37</v>
      </c>
      <c r="K1651" t="s">
        <v>32</v>
      </c>
      <c r="L1651" t="s">
        <v>35</v>
      </c>
      <c r="AQ1651">
        <v>0</v>
      </c>
      <c r="AR1651" s="3">
        <f t="shared" si="75"/>
        <v>0</v>
      </c>
      <c r="AS1651" s="3">
        <f t="shared" si="76"/>
        <v>0</v>
      </c>
      <c r="AT1651" s="3" t="str">
        <f>IF(OR(Registered!AM1651&gt;0,Registered!AO1651&gt;0),(IF(Registered!E1651=0,"Size Not Specified",Registered!E1651)),"")</f>
        <v/>
      </c>
      <c r="AU1651" s="3" t="str">
        <f>IF(Registered!AE1651=0,"",IF(Registered!AE1651=1,Registered!AE1651&amp;" Bandana",Registered!AE1651&amp;" Bandanas"))</f>
        <v/>
      </c>
      <c r="AV1651" s="3">
        <f t="shared" si="77"/>
        <v>0</v>
      </c>
      <c r="AW1651" s="2" t="str">
        <f>IF(Registered!AV1651=0,"",IF(Registered!AV1651=1,Registered!AV1651&amp;" Meal",Registered!AV1651&amp;" Meals"))</f>
        <v/>
      </c>
      <c r="AX1651" s="2" t="str">
        <f>IF(Registered!AI1651=0,"",Registered!AI1651&amp;" BG")</f>
        <v/>
      </c>
      <c r="AY1651" s="2" t="str">
        <f>IF(Registered!AG1651=0,"",Registered!AG1651&amp;" DustMask")</f>
        <v/>
      </c>
    </row>
    <row r="1652" spans="1:51" customFormat="1" x14ac:dyDescent="0.25">
      <c r="A1652" t="s">
        <v>3919</v>
      </c>
      <c r="B1652" t="s">
        <v>238</v>
      </c>
      <c r="C1652" t="s">
        <v>6090</v>
      </c>
      <c r="D1652" t="s">
        <v>5246</v>
      </c>
      <c r="F1652" t="s">
        <v>261</v>
      </c>
      <c r="I1652" t="s">
        <v>3920</v>
      </c>
      <c r="J1652" t="s">
        <v>37</v>
      </c>
      <c r="K1652" t="s">
        <v>32</v>
      </c>
      <c r="L1652" t="s">
        <v>35</v>
      </c>
      <c r="Q1652">
        <v>2</v>
      </c>
      <c r="R1652">
        <v>3</v>
      </c>
      <c r="U1652">
        <v>1</v>
      </c>
      <c r="V1652">
        <v>20</v>
      </c>
      <c r="AQ1652">
        <v>26</v>
      </c>
      <c r="AR1652" s="3">
        <f t="shared" si="75"/>
        <v>10</v>
      </c>
      <c r="AS1652" s="3">
        <f t="shared" si="76"/>
        <v>0</v>
      </c>
      <c r="AT1652" s="3" t="str">
        <f>IF(OR(Registered!AM1652&gt;0,Registered!AO1652&gt;0),(IF(Registered!E1652=0,"Size Not Specified",Registered!E1652)),"")</f>
        <v/>
      </c>
      <c r="AU1652" s="3" t="str">
        <f>IF(Registered!AE1652=0,"",IF(Registered!AE1652=1,Registered!AE1652&amp;" Bandana",Registered!AE1652&amp;" Bandanas"))</f>
        <v/>
      </c>
      <c r="AV1652" s="3">
        <f t="shared" si="77"/>
        <v>0</v>
      </c>
      <c r="AW1652" s="2" t="str">
        <f>IF(Registered!AV1652=0,"",IF(Registered!AV1652=1,Registered!AV1652&amp;" Meal",Registered!AV1652&amp;" Meals"))</f>
        <v/>
      </c>
      <c r="AX1652" s="2" t="str">
        <f>IF(Registered!AI1652=0,"",Registered!AI1652&amp;" BG")</f>
        <v/>
      </c>
      <c r="AY1652" s="2" t="str">
        <f>IF(Registered!AG1652=0,"",Registered!AG1652&amp;" DustMask")</f>
        <v/>
      </c>
    </row>
    <row r="1653" spans="1:51" customFormat="1" x14ac:dyDescent="0.25">
      <c r="A1653" t="s">
        <v>219</v>
      </c>
      <c r="B1653" t="s">
        <v>238</v>
      </c>
      <c r="C1653" t="s">
        <v>6090</v>
      </c>
      <c r="G1653" t="s">
        <v>1947</v>
      </c>
      <c r="H1653" t="s">
        <v>1948</v>
      </c>
      <c r="I1653" t="s">
        <v>1949</v>
      </c>
      <c r="J1653" t="s">
        <v>37</v>
      </c>
      <c r="K1653" t="s">
        <v>32</v>
      </c>
      <c r="L1653" t="s">
        <v>35</v>
      </c>
      <c r="AQ1653">
        <v>0</v>
      </c>
      <c r="AR1653" s="3">
        <f t="shared" si="75"/>
        <v>0</v>
      </c>
      <c r="AS1653" s="3">
        <f t="shared" si="76"/>
        <v>0</v>
      </c>
      <c r="AT1653" s="3" t="str">
        <f>IF(OR(Registered!AM1653&gt;0,Registered!AO1653&gt;0),(IF(Registered!E1653=0,"Size Not Specified",Registered!E1653)),"")</f>
        <v/>
      </c>
      <c r="AU1653" s="3" t="str">
        <f>IF(Registered!AE1653=0,"",IF(Registered!AE1653=1,Registered!AE1653&amp;" Bandana",Registered!AE1653&amp;" Bandanas"))</f>
        <v/>
      </c>
      <c r="AV1653" s="3">
        <f t="shared" si="77"/>
        <v>0</v>
      </c>
      <c r="AW1653" s="2" t="str">
        <f>IF(Registered!AV1653=0,"",IF(Registered!AV1653=1,Registered!AV1653&amp;" Meal",Registered!AV1653&amp;" Meals"))</f>
        <v/>
      </c>
      <c r="AX1653" s="2" t="str">
        <f>IF(Registered!AI1653=0,"",Registered!AI1653&amp;" BG")</f>
        <v/>
      </c>
      <c r="AY1653" s="2" t="str">
        <f>IF(Registered!AG1653=0,"",Registered!AG1653&amp;" DustMask")</f>
        <v/>
      </c>
    </row>
    <row r="1654" spans="1:51" customFormat="1" x14ac:dyDescent="0.25">
      <c r="A1654" t="s">
        <v>5247</v>
      </c>
      <c r="B1654" t="s">
        <v>238</v>
      </c>
      <c r="C1654" t="s">
        <v>6090</v>
      </c>
      <c r="G1654" t="s">
        <v>4952</v>
      </c>
      <c r="H1654" t="s">
        <v>4953</v>
      </c>
      <c r="I1654" t="s">
        <v>4954</v>
      </c>
      <c r="J1654" t="s">
        <v>37</v>
      </c>
      <c r="K1654" t="s">
        <v>32</v>
      </c>
      <c r="L1654" t="s">
        <v>35</v>
      </c>
      <c r="AQ1654">
        <v>0</v>
      </c>
      <c r="AR1654" s="3">
        <f t="shared" si="75"/>
        <v>0</v>
      </c>
      <c r="AS1654" s="3">
        <f t="shared" si="76"/>
        <v>0</v>
      </c>
      <c r="AT1654" s="3" t="str">
        <f>IF(OR(Registered!AM1654&gt;0,Registered!AO1654&gt;0),(IF(Registered!E1654=0,"Size Not Specified",Registered!E1654)),"")</f>
        <v/>
      </c>
      <c r="AU1654" s="3" t="str">
        <f>IF(Registered!AE1654=0,"",IF(Registered!AE1654=1,Registered!AE1654&amp;" Bandana",Registered!AE1654&amp;" Bandanas"))</f>
        <v/>
      </c>
      <c r="AV1654" s="3">
        <f t="shared" si="77"/>
        <v>0</v>
      </c>
      <c r="AW1654" s="2" t="str">
        <f>IF(Registered!AV1654=0,"",IF(Registered!AV1654=1,Registered!AV1654&amp;" Meal",Registered!AV1654&amp;" Meals"))</f>
        <v/>
      </c>
      <c r="AX1654" s="2" t="str">
        <f>IF(Registered!AI1654=0,"",Registered!AI1654&amp;" BG")</f>
        <v/>
      </c>
      <c r="AY1654" s="2" t="str">
        <f>IF(Registered!AG1654=0,"",Registered!AG1654&amp;" DustMask")</f>
        <v/>
      </c>
    </row>
    <row r="1655" spans="1:51" customFormat="1" x14ac:dyDescent="0.25">
      <c r="A1655" t="s">
        <v>314</v>
      </c>
      <c r="B1655" t="s">
        <v>1950</v>
      </c>
      <c r="C1655" t="s">
        <v>6090</v>
      </c>
      <c r="D1655" t="s">
        <v>1951</v>
      </c>
      <c r="E1655" t="s">
        <v>1952</v>
      </c>
      <c r="F1655" t="s">
        <v>261</v>
      </c>
      <c r="I1655" t="s">
        <v>1953</v>
      </c>
      <c r="J1655" t="s">
        <v>37</v>
      </c>
      <c r="K1655" t="s">
        <v>32</v>
      </c>
      <c r="L1655" t="s">
        <v>35</v>
      </c>
      <c r="Q1655">
        <v>1</v>
      </c>
      <c r="R1655">
        <v>3</v>
      </c>
      <c r="AE1655">
        <v>1</v>
      </c>
      <c r="AF1655">
        <v>6</v>
      </c>
      <c r="AM1655">
        <v>1</v>
      </c>
      <c r="AN1655">
        <v>25</v>
      </c>
      <c r="AQ1655">
        <v>34</v>
      </c>
      <c r="AR1655" s="3">
        <f t="shared" si="75"/>
        <v>5</v>
      </c>
      <c r="AS1655" s="3">
        <f t="shared" si="76"/>
        <v>1</v>
      </c>
      <c r="AT1655" s="3" t="str">
        <f>IF(OR(Registered!AM1655&gt;0,Registered!AO1655&gt;0),(IF(Registered!E1655=0,"Size Not Specified",Registered!E1655)),"")</f>
        <v>adult medium</v>
      </c>
      <c r="AU1655" s="3" t="str">
        <f>IF(Registered!AE1655=0,"",IF(Registered!AE1655=1,Registered!AE1655&amp;" Bandana",Registered!AE1655&amp;" Bandanas"))</f>
        <v>1 Bandana</v>
      </c>
      <c r="AV1655" s="3">
        <f t="shared" si="77"/>
        <v>1</v>
      </c>
      <c r="AW1655" s="2" t="str">
        <f>IF(Registered!AV1655=0,"",IF(Registered!AV1655=1,Registered!AV1655&amp;" Meal",Registered!AV1655&amp;" Meals"))</f>
        <v>1 Meal</v>
      </c>
      <c r="AX1655" s="2" t="str">
        <f>IF(Registered!AI1655=0,"",Registered!AI1655&amp;" BG")</f>
        <v/>
      </c>
      <c r="AY1655" s="2" t="str">
        <f>IF(Registered!AG1655=0,"",Registered!AG1655&amp;" DustMask")</f>
        <v/>
      </c>
    </row>
    <row r="1656" spans="1:51" customFormat="1" x14ac:dyDescent="0.25">
      <c r="A1656" t="s">
        <v>3245</v>
      </c>
      <c r="B1656" t="s">
        <v>1950</v>
      </c>
      <c r="C1656" t="s">
        <v>6090</v>
      </c>
      <c r="D1656" t="s">
        <v>5248</v>
      </c>
      <c r="F1656" t="s">
        <v>261</v>
      </c>
      <c r="I1656" t="s">
        <v>3800</v>
      </c>
      <c r="J1656" t="s">
        <v>37</v>
      </c>
      <c r="K1656" t="s">
        <v>32</v>
      </c>
      <c r="L1656" t="s">
        <v>35</v>
      </c>
      <c r="Q1656">
        <v>3</v>
      </c>
      <c r="R1656">
        <v>3</v>
      </c>
      <c r="AC1656">
        <v>1</v>
      </c>
      <c r="AD1656">
        <v>10</v>
      </c>
      <c r="AQ1656">
        <v>19</v>
      </c>
      <c r="AR1656" s="3">
        <f t="shared" si="75"/>
        <v>5</v>
      </c>
      <c r="AS1656" s="3">
        <f t="shared" si="76"/>
        <v>0</v>
      </c>
      <c r="AT1656" s="3" t="str">
        <f>IF(OR(Registered!AM1656&gt;0,Registered!AO1656&gt;0),(IF(Registered!E1656=0,"Size Not Specified",Registered!E1656)),"")</f>
        <v/>
      </c>
      <c r="AU1656" s="3" t="str">
        <f>IF(Registered!AE1656=0,"",IF(Registered!AE1656=1,Registered!AE1656&amp;" Bandana",Registered!AE1656&amp;" Bandanas"))</f>
        <v/>
      </c>
      <c r="AV1656" s="3">
        <f t="shared" si="77"/>
        <v>0</v>
      </c>
      <c r="AW1656" s="2" t="str">
        <f>IF(Registered!AV1656=0,"",IF(Registered!AV1656=1,Registered!AV1656&amp;" Meal",Registered!AV1656&amp;" Meals"))</f>
        <v/>
      </c>
      <c r="AX1656" s="2" t="str">
        <f>IF(Registered!AI1656=0,"",Registered!AI1656&amp;" BG")</f>
        <v/>
      </c>
      <c r="AY1656" s="2" t="str">
        <f>IF(Registered!AG1656=0,"",Registered!AG1656&amp;" DustMask")</f>
        <v/>
      </c>
    </row>
    <row r="1657" spans="1:51" customFormat="1" x14ac:dyDescent="0.25">
      <c r="A1657" t="s">
        <v>5249</v>
      </c>
      <c r="B1657" t="s">
        <v>5250</v>
      </c>
      <c r="C1657" t="s">
        <v>6090</v>
      </c>
      <c r="G1657" t="s">
        <v>4358</v>
      </c>
      <c r="H1657" t="s">
        <v>4359</v>
      </c>
      <c r="I1657" t="s">
        <v>4360</v>
      </c>
      <c r="J1657" t="s">
        <v>37</v>
      </c>
      <c r="K1657" t="s">
        <v>32</v>
      </c>
      <c r="L1657" t="s">
        <v>35</v>
      </c>
      <c r="AQ1657">
        <v>0</v>
      </c>
      <c r="AR1657" s="3">
        <f t="shared" si="75"/>
        <v>0</v>
      </c>
      <c r="AS1657" s="3">
        <f t="shared" si="76"/>
        <v>0</v>
      </c>
      <c r="AT1657" s="3" t="str">
        <f>IF(OR(Registered!AM1657&gt;0,Registered!AO1657&gt;0),(IF(Registered!E1657=0,"Size Not Specified",Registered!E1657)),"")</f>
        <v/>
      </c>
      <c r="AU1657" s="3" t="str">
        <f>IF(Registered!AE1657=0,"",IF(Registered!AE1657=1,Registered!AE1657&amp;" Bandana",Registered!AE1657&amp;" Bandanas"))</f>
        <v/>
      </c>
      <c r="AV1657" s="3">
        <f t="shared" si="77"/>
        <v>0</v>
      </c>
      <c r="AW1657" s="2" t="str">
        <f>IF(Registered!AV1657=0,"",IF(Registered!AV1657=1,Registered!AV1657&amp;" Meal",Registered!AV1657&amp;" Meals"))</f>
        <v/>
      </c>
      <c r="AX1657" s="2" t="str">
        <f>IF(Registered!AI1657=0,"",Registered!AI1657&amp;" BG")</f>
        <v/>
      </c>
      <c r="AY1657" s="2" t="str">
        <f>IF(Registered!AG1657=0,"",Registered!AG1657&amp;" DustMask")</f>
        <v/>
      </c>
    </row>
    <row r="1658" spans="1:51" customFormat="1" x14ac:dyDescent="0.25">
      <c r="A1658" t="s">
        <v>2998</v>
      </c>
      <c r="B1658" t="s">
        <v>2999</v>
      </c>
      <c r="C1658" t="s">
        <v>6090</v>
      </c>
      <c r="D1658" t="s">
        <v>3215</v>
      </c>
      <c r="F1658" t="s">
        <v>261</v>
      </c>
      <c r="I1658" t="s">
        <v>3000</v>
      </c>
      <c r="J1658" t="s">
        <v>37</v>
      </c>
      <c r="K1658" t="s">
        <v>32</v>
      </c>
      <c r="L1658" t="s">
        <v>35</v>
      </c>
      <c r="Q1658">
        <v>2</v>
      </c>
      <c r="R1658">
        <v>3</v>
      </c>
      <c r="AM1658">
        <v>1</v>
      </c>
      <c r="AN1658">
        <v>25</v>
      </c>
      <c r="AQ1658">
        <v>31</v>
      </c>
      <c r="AR1658" s="3">
        <f t="shared" si="75"/>
        <v>5</v>
      </c>
      <c r="AS1658" s="3">
        <f t="shared" si="76"/>
        <v>1</v>
      </c>
      <c r="AT1658" s="3" t="str">
        <f>IF(OR(Registered!AM1658&gt;0,Registered!AO1658&gt;0),(IF(Registered!E1658=0,"Size Not Specified",Registered!E1658)),"")</f>
        <v>Size Not Specified</v>
      </c>
      <c r="AU1658" s="3" t="str">
        <f>IF(Registered!AE1658=0,"",IF(Registered!AE1658=1,Registered!AE1658&amp;" Bandana",Registered!AE1658&amp;" Bandanas"))</f>
        <v/>
      </c>
      <c r="AV1658" s="3">
        <f t="shared" si="77"/>
        <v>1</v>
      </c>
      <c r="AW1658" s="2" t="str">
        <f>IF(Registered!AV1658=0,"",IF(Registered!AV1658=1,Registered!AV1658&amp;" Meal",Registered!AV1658&amp;" Meals"))</f>
        <v>1 Meal</v>
      </c>
      <c r="AX1658" s="2" t="str">
        <f>IF(Registered!AI1658=0,"",Registered!AI1658&amp;" BG")</f>
        <v/>
      </c>
      <c r="AY1658" s="2" t="str">
        <f>IF(Registered!AG1658=0,"",Registered!AG1658&amp;" DustMask")</f>
        <v/>
      </c>
    </row>
    <row r="1659" spans="1:51" customFormat="1" x14ac:dyDescent="0.25">
      <c r="A1659" t="s">
        <v>213</v>
      </c>
      <c r="B1659" t="s">
        <v>5251</v>
      </c>
      <c r="C1659" t="s">
        <v>6090</v>
      </c>
      <c r="G1659" t="s">
        <v>1329</v>
      </c>
      <c r="H1659" t="s">
        <v>1818</v>
      </c>
      <c r="I1659" t="s">
        <v>3630</v>
      </c>
      <c r="J1659" t="s">
        <v>37</v>
      </c>
      <c r="K1659" t="s">
        <v>32</v>
      </c>
      <c r="L1659" t="s">
        <v>35</v>
      </c>
      <c r="AQ1659">
        <v>0</v>
      </c>
      <c r="AR1659" s="3">
        <f t="shared" si="75"/>
        <v>0</v>
      </c>
      <c r="AS1659" s="3">
        <f t="shared" si="76"/>
        <v>0</v>
      </c>
      <c r="AT1659" s="3" t="str">
        <f>IF(OR(Registered!AM1659&gt;0,Registered!AO1659&gt;0),(IF(Registered!E1659=0,"Size Not Specified",Registered!E1659)),"")</f>
        <v/>
      </c>
      <c r="AU1659" s="3" t="str">
        <f>IF(Registered!AE1659=0,"",IF(Registered!AE1659=1,Registered!AE1659&amp;" Bandana",Registered!AE1659&amp;" Bandanas"))</f>
        <v/>
      </c>
      <c r="AV1659" s="3">
        <f t="shared" si="77"/>
        <v>0</v>
      </c>
      <c r="AW1659" s="2" t="str">
        <f>IF(Registered!AV1659=0,"",IF(Registered!AV1659=1,Registered!AV1659&amp;" Meal",Registered!AV1659&amp;" Meals"))</f>
        <v/>
      </c>
      <c r="AX1659" s="2" t="str">
        <f>IF(Registered!AI1659=0,"",Registered!AI1659&amp;" BG")</f>
        <v/>
      </c>
      <c r="AY1659" s="2" t="str">
        <f>IF(Registered!AG1659=0,"",Registered!AG1659&amp;" DustMask")</f>
        <v/>
      </c>
    </row>
    <row r="1660" spans="1:51" customFormat="1" x14ac:dyDescent="0.25">
      <c r="A1660" t="s">
        <v>3216</v>
      </c>
      <c r="B1660" t="s">
        <v>1954</v>
      </c>
      <c r="C1660" t="s">
        <v>6090</v>
      </c>
      <c r="D1660" t="s">
        <v>307</v>
      </c>
      <c r="E1660" t="s">
        <v>3217</v>
      </c>
      <c r="F1660" t="s">
        <v>261</v>
      </c>
      <c r="I1660" t="s">
        <v>3218</v>
      </c>
      <c r="J1660" t="s">
        <v>37</v>
      </c>
      <c r="K1660" t="s">
        <v>32</v>
      </c>
      <c r="L1660" t="s">
        <v>35</v>
      </c>
      <c r="Q1660">
        <v>2</v>
      </c>
      <c r="R1660">
        <v>3</v>
      </c>
      <c r="AM1660">
        <v>2</v>
      </c>
      <c r="AN1660">
        <v>25</v>
      </c>
      <c r="AQ1660">
        <v>56</v>
      </c>
      <c r="AR1660" s="3">
        <f t="shared" si="75"/>
        <v>10</v>
      </c>
      <c r="AS1660" s="3">
        <f t="shared" si="76"/>
        <v>2</v>
      </c>
      <c r="AT1660" s="3" t="str">
        <f>IF(OR(Registered!AM1660&gt;0,Registered!AO1660&gt;0),(IF(Registered!E1660=0,"Size Not Specified",Registered!E1660)),"")</f>
        <v>Medium and Small</v>
      </c>
      <c r="AU1660" s="3" t="str">
        <f>IF(Registered!AE1660=0,"",IF(Registered!AE1660=1,Registered!AE1660&amp;" Bandana",Registered!AE1660&amp;" Bandanas"))</f>
        <v/>
      </c>
      <c r="AV1660" s="3">
        <f t="shared" si="77"/>
        <v>2</v>
      </c>
      <c r="AW1660" s="2" t="str">
        <f>IF(Registered!AV1660=0,"",IF(Registered!AV1660=1,Registered!AV1660&amp;" Meal",Registered!AV1660&amp;" Meals"))</f>
        <v>2 Meals</v>
      </c>
      <c r="AX1660" s="2" t="str">
        <f>IF(Registered!AI1660=0,"",Registered!AI1660&amp;" BG")</f>
        <v/>
      </c>
      <c r="AY1660" s="2" t="str">
        <f>IF(Registered!AG1660=0,"",Registered!AG1660&amp;" DustMask")</f>
        <v/>
      </c>
    </row>
    <row r="1661" spans="1:51" customFormat="1" x14ac:dyDescent="0.25">
      <c r="A1661" t="s">
        <v>325</v>
      </c>
      <c r="B1661" t="s">
        <v>1954</v>
      </c>
      <c r="C1661" t="s">
        <v>6090</v>
      </c>
      <c r="D1661" t="s">
        <v>1955</v>
      </c>
      <c r="E1661" t="s">
        <v>117</v>
      </c>
      <c r="I1661" t="s">
        <v>1956</v>
      </c>
      <c r="J1661" t="s">
        <v>37</v>
      </c>
      <c r="K1661" t="s">
        <v>32</v>
      </c>
      <c r="L1661" t="s">
        <v>35</v>
      </c>
      <c r="O1661">
        <v>1</v>
      </c>
      <c r="P1661">
        <v>3</v>
      </c>
      <c r="AC1661">
        <v>1</v>
      </c>
      <c r="AD1661">
        <v>10</v>
      </c>
      <c r="AO1661">
        <v>1</v>
      </c>
      <c r="AP1661">
        <v>10</v>
      </c>
      <c r="AQ1661">
        <v>23</v>
      </c>
      <c r="AR1661" s="3">
        <f t="shared" si="75"/>
        <v>5</v>
      </c>
      <c r="AS1661" s="3">
        <f t="shared" si="76"/>
        <v>1</v>
      </c>
      <c r="AT1661" s="3" t="str">
        <f>IF(OR(Registered!AM1661&gt;0,Registered!AO1661&gt;0),(IF(Registered!E1661=0,"Size Not Specified",Registered!E1661)),"")</f>
        <v>Large</v>
      </c>
      <c r="AU1661" s="3" t="str">
        <f>IF(Registered!AE1661=0,"",IF(Registered!AE1661=1,Registered!AE1661&amp;" Bandana",Registered!AE1661&amp;" Bandanas"))</f>
        <v/>
      </c>
      <c r="AV1661" s="3">
        <f t="shared" si="77"/>
        <v>0</v>
      </c>
      <c r="AW1661" s="2" t="str">
        <f>IF(Registered!AV1661=0,"",IF(Registered!AV1661=1,Registered!AV1661&amp;" Meal",Registered!AV1661&amp;" Meals"))</f>
        <v/>
      </c>
      <c r="AX1661" s="2" t="str">
        <f>IF(Registered!AI1661=0,"",Registered!AI1661&amp;" BG")</f>
        <v/>
      </c>
      <c r="AY1661" s="2" t="str">
        <f>IF(Registered!AG1661=0,"",Registered!AG1661&amp;" DustMask")</f>
        <v/>
      </c>
    </row>
    <row r="1662" spans="1:51" customFormat="1" x14ac:dyDescent="0.25">
      <c r="A1662" t="s">
        <v>255</v>
      </c>
      <c r="B1662" t="s">
        <v>1957</v>
      </c>
      <c r="C1662" t="s">
        <v>6090</v>
      </c>
      <c r="D1662" t="s">
        <v>1958</v>
      </c>
      <c r="F1662" t="s">
        <v>261</v>
      </c>
      <c r="I1662" t="s">
        <v>1959</v>
      </c>
      <c r="J1662" t="s">
        <v>37</v>
      </c>
      <c r="K1662" t="s">
        <v>32</v>
      </c>
      <c r="L1662" t="s">
        <v>35</v>
      </c>
      <c r="S1662">
        <v>1</v>
      </c>
      <c r="T1662">
        <v>3</v>
      </c>
      <c r="AC1662">
        <v>3</v>
      </c>
      <c r="AD1662">
        <v>10</v>
      </c>
      <c r="AQ1662">
        <v>33</v>
      </c>
      <c r="AR1662" s="3">
        <f t="shared" si="75"/>
        <v>15</v>
      </c>
      <c r="AS1662" s="3">
        <f t="shared" si="76"/>
        <v>0</v>
      </c>
      <c r="AT1662" s="3" t="str">
        <f>IF(OR(Registered!AM1662&gt;0,Registered!AO1662&gt;0),(IF(Registered!E1662=0,"Size Not Specified",Registered!E1662)),"")</f>
        <v/>
      </c>
      <c r="AU1662" s="3" t="str">
        <f>IF(Registered!AE1662=0,"",IF(Registered!AE1662=1,Registered!AE1662&amp;" Bandana",Registered!AE1662&amp;" Bandanas"))</f>
        <v/>
      </c>
      <c r="AV1662" s="3">
        <f t="shared" si="77"/>
        <v>0</v>
      </c>
      <c r="AW1662" s="2" t="str">
        <f>IF(Registered!AV1662=0,"",IF(Registered!AV1662=1,Registered!AV1662&amp;" Meal",Registered!AV1662&amp;" Meals"))</f>
        <v/>
      </c>
      <c r="AX1662" s="2" t="str">
        <f>IF(Registered!AI1662=0,"",Registered!AI1662&amp;" BG")</f>
        <v/>
      </c>
      <c r="AY1662" s="2" t="str">
        <f>IF(Registered!AG1662=0,"",Registered!AG1662&amp;" DustMask")</f>
        <v/>
      </c>
    </row>
    <row r="1663" spans="1:51" customFormat="1" x14ac:dyDescent="0.25">
      <c r="A1663" t="s">
        <v>5057</v>
      </c>
      <c r="B1663" t="s">
        <v>5058</v>
      </c>
      <c r="C1663" t="s">
        <v>6090</v>
      </c>
      <c r="D1663" t="s">
        <v>5252</v>
      </c>
      <c r="E1663" t="s">
        <v>117</v>
      </c>
      <c r="F1663" t="s">
        <v>261</v>
      </c>
      <c r="I1663" t="s">
        <v>5059</v>
      </c>
      <c r="J1663" t="s">
        <v>37</v>
      </c>
      <c r="K1663" t="s">
        <v>32</v>
      </c>
      <c r="L1663" t="s">
        <v>35</v>
      </c>
      <c r="Q1663">
        <v>2</v>
      </c>
      <c r="R1663">
        <v>3</v>
      </c>
      <c r="U1663">
        <v>1</v>
      </c>
      <c r="V1663">
        <v>20</v>
      </c>
      <c r="AO1663">
        <v>2</v>
      </c>
      <c r="AP1663">
        <v>10</v>
      </c>
      <c r="AQ1663">
        <v>46</v>
      </c>
      <c r="AR1663" s="3">
        <f t="shared" si="75"/>
        <v>10</v>
      </c>
      <c r="AS1663" s="3">
        <f t="shared" si="76"/>
        <v>2</v>
      </c>
      <c r="AT1663" s="3" t="str">
        <f>IF(OR(Registered!AM1663&gt;0,Registered!AO1663&gt;0),(IF(Registered!E1663=0,"Size Not Specified",Registered!E1663)),"")</f>
        <v>Large</v>
      </c>
      <c r="AU1663" s="3" t="str">
        <f>IF(Registered!AE1663=0,"",IF(Registered!AE1663=1,Registered!AE1663&amp;" Bandana",Registered!AE1663&amp;" Bandanas"))</f>
        <v/>
      </c>
      <c r="AV1663" s="3">
        <f t="shared" si="77"/>
        <v>0</v>
      </c>
      <c r="AW1663" s="2" t="str">
        <f>IF(Registered!AV1663=0,"",IF(Registered!AV1663=1,Registered!AV1663&amp;" Meal",Registered!AV1663&amp;" Meals"))</f>
        <v/>
      </c>
      <c r="AX1663" s="2" t="str">
        <f>IF(Registered!AI1663=0,"",Registered!AI1663&amp;" BG")</f>
        <v/>
      </c>
      <c r="AY1663" s="2" t="str">
        <f>IF(Registered!AG1663=0,"",Registered!AG1663&amp;" DustMask")</f>
        <v/>
      </c>
    </row>
    <row r="1664" spans="1:51" customFormat="1" x14ac:dyDescent="0.25">
      <c r="A1664" t="s">
        <v>1960</v>
      </c>
      <c r="B1664" t="s">
        <v>419</v>
      </c>
      <c r="C1664" t="s">
        <v>6090</v>
      </c>
      <c r="G1664" t="s">
        <v>180</v>
      </c>
      <c r="H1664" t="s">
        <v>1456</v>
      </c>
      <c r="I1664" t="s">
        <v>1457</v>
      </c>
      <c r="J1664" t="s">
        <v>37</v>
      </c>
      <c r="K1664" t="s">
        <v>32</v>
      </c>
      <c r="L1664" t="s">
        <v>35</v>
      </c>
      <c r="AQ1664">
        <v>0</v>
      </c>
      <c r="AR1664" s="3">
        <f t="shared" si="75"/>
        <v>0</v>
      </c>
      <c r="AS1664" s="3">
        <f t="shared" si="76"/>
        <v>0</v>
      </c>
      <c r="AT1664" s="3" t="str">
        <f>IF(OR(Registered!AM1664&gt;0,Registered!AO1664&gt;0),(IF(Registered!E1664=0,"Size Not Specified",Registered!E1664)),"")</f>
        <v/>
      </c>
      <c r="AU1664" s="3" t="str">
        <f>IF(Registered!AE1664=0,"",IF(Registered!AE1664=1,Registered!AE1664&amp;" Bandana",Registered!AE1664&amp;" Bandanas"))</f>
        <v/>
      </c>
      <c r="AV1664" s="3">
        <f t="shared" si="77"/>
        <v>0</v>
      </c>
      <c r="AW1664" s="2" t="str">
        <f>IF(Registered!AV1664=0,"",IF(Registered!AV1664=1,Registered!AV1664&amp;" Meal",Registered!AV1664&amp;" Meals"))</f>
        <v/>
      </c>
      <c r="AX1664" s="2" t="str">
        <f>IF(Registered!AI1664=0,"",Registered!AI1664&amp;" BG")</f>
        <v/>
      </c>
      <c r="AY1664" s="2" t="str">
        <f>IF(Registered!AG1664=0,"",Registered!AG1664&amp;" DustMask")</f>
        <v/>
      </c>
    </row>
    <row r="1665" spans="1:51" customFormat="1" x14ac:dyDescent="0.25">
      <c r="A1665" t="s">
        <v>79</v>
      </c>
      <c r="B1665" t="s">
        <v>5254</v>
      </c>
      <c r="C1665" t="s">
        <v>6090</v>
      </c>
      <c r="D1665" t="s">
        <v>79</v>
      </c>
      <c r="F1665" t="s">
        <v>261</v>
      </c>
      <c r="I1665" t="s">
        <v>5255</v>
      </c>
      <c r="J1665" t="s">
        <v>37</v>
      </c>
      <c r="K1665" t="s">
        <v>32</v>
      </c>
      <c r="L1665" t="s">
        <v>35</v>
      </c>
      <c r="Q1665">
        <v>2</v>
      </c>
      <c r="R1665">
        <v>3</v>
      </c>
      <c r="AC1665">
        <v>1</v>
      </c>
      <c r="AD1665">
        <v>10</v>
      </c>
      <c r="AQ1665">
        <v>16</v>
      </c>
      <c r="AR1665" s="3">
        <f t="shared" si="75"/>
        <v>5</v>
      </c>
      <c r="AS1665" s="3">
        <f t="shared" si="76"/>
        <v>0</v>
      </c>
      <c r="AT1665" s="3" t="str">
        <f>IF(OR(Registered!AM1665&gt;0,Registered!AO1665&gt;0),(IF(Registered!E1665=0,"Size Not Specified",Registered!E1665)),"")</f>
        <v/>
      </c>
      <c r="AU1665" s="3" t="str">
        <f>IF(Registered!AE1665=0,"",IF(Registered!AE1665=1,Registered!AE1665&amp;" Bandana",Registered!AE1665&amp;" Bandanas"))</f>
        <v/>
      </c>
      <c r="AV1665" s="3">
        <f t="shared" si="77"/>
        <v>0</v>
      </c>
      <c r="AW1665" s="2" t="str">
        <f>IF(Registered!AV1665=0,"",IF(Registered!AV1665=1,Registered!AV1665&amp;" Meal",Registered!AV1665&amp;" Meals"))</f>
        <v/>
      </c>
      <c r="AX1665" s="2" t="str">
        <f>IF(Registered!AI1665=0,"",Registered!AI1665&amp;" BG")</f>
        <v/>
      </c>
      <c r="AY1665" s="2" t="str">
        <f>IF(Registered!AG1665=0,"",Registered!AG1665&amp;" DustMask")</f>
        <v/>
      </c>
    </row>
    <row r="1666" spans="1:51" customFormat="1" x14ac:dyDescent="0.25">
      <c r="A1666" t="s">
        <v>5256</v>
      </c>
      <c r="B1666" t="s">
        <v>5254</v>
      </c>
      <c r="C1666" t="s">
        <v>6090</v>
      </c>
      <c r="G1666" t="s">
        <v>79</v>
      </c>
      <c r="H1666" t="s">
        <v>5254</v>
      </c>
      <c r="I1666" t="s">
        <v>5255</v>
      </c>
      <c r="J1666" t="s">
        <v>37</v>
      </c>
      <c r="K1666" t="s">
        <v>32</v>
      </c>
      <c r="L1666" t="s">
        <v>35</v>
      </c>
      <c r="AQ1666">
        <v>0</v>
      </c>
      <c r="AR1666" s="3">
        <f t="shared" ref="AR1666:AR1729" si="78">IF(ISTEXT(AM1666)=TRUE,"",SUM(U1666*10,W1666*20,Y1666*30,AA1666*40,AC1666*5,AM1666*5))</f>
        <v>0</v>
      </c>
      <c r="AS1666" s="3">
        <f t="shared" ref="AS1666:AS1729" si="79">IF(ISTEXT(AM1666)=TRUE,"",SUM(AM1666,AO1666))</f>
        <v>0</v>
      </c>
      <c r="AT1666" s="3" t="str">
        <f>IF(OR(Registered!AM1666&gt;0,Registered!AO1666&gt;0),(IF(Registered!E1666=0,"Size Not Specified",Registered!E1666)),"")</f>
        <v/>
      </c>
      <c r="AU1666" s="3" t="str">
        <f>IF(Registered!AE1666=0,"",IF(Registered!AE1666=1,Registered!AE1666&amp;" Bandana",Registered!AE1666&amp;" Bandanas"))</f>
        <v/>
      </c>
      <c r="AV1666" s="3">
        <f t="shared" ref="AV1666:AV1729" si="80">IF(ISTEXT(AM1666)=TRUE,"",SUM(AM1666,AK1666))</f>
        <v>0</v>
      </c>
      <c r="AW1666" s="2" t="str">
        <f>IF(Registered!AV1666=0,"",IF(Registered!AV1666=1,Registered!AV1666&amp;" Meal",Registered!AV1666&amp;" Meals"))</f>
        <v/>
      </c>
      <c r="AX1666" s="2" t="str">
        <f>IF(Registered!AI1666=0,"",Registered!AI1666&amp;" BG")</f>
        <v/>
      </c>
      <c r="AY1666" s="2" t="str">
        <f>IF(Registered!AG1666=0,"",Registered!AG1666&amp;" DustMask")</f>
        <v/>
      </c>
    </row>
    <row r="1667" spans="1:51" customFormat="1" x14ac:dyDescent="0.25">
      <c r="A1667" t="s">
        <v>1818</v>
      </c>
      <c r="B1667" t="s">
        <v>204</v>
      </c>
      <c r="C1667" t="s">
        <v>6090</v>
      </c>
      <c r="G1667" t="s">
        <v>151</v>
      </c>
      <c r="H1667" t="s">
        <v>840</v>
      </c>
      <c r="I1667" t="s">
        <v>841</v>
      </c>
      <c r="J1667" t="s">
        <v>37</v>
      </c>
      <c r="K1667" t="s">
        <v>32</v>
      </c>
      <c r="L1667" t="s">
        <v>35</v>
      </c>
      <c r="AQ1667">
        <v>0</v>
      </c>
      <c r="AR1667" s="3">
        <f t="shared" si="78"/>
        <v>0</v>
      </c>
      <c r="AS1667" s="3">
        <f t="shared" si="79"/>
        <v>0</v>
      </c>
      <c r="AT1667" s="3" t="str">
        <f>IF(OR(Registered!AM1667&gt;0,Registered!AO1667&gt;0),(IF(Registered!E1667=0,"Size Not Specified",Registered!E1667)),"")</f>
        <v/>
      </c>
      <c r="AU1667" s="3" t="str">
        <f>IF(Registered!AE1667=0,"",IF(Registered!AE1667=1,Registered!AE1667&amp;" Bandana",Registered!AE1667&amp;" Bandanas"))</f>
        <v/>
      </c>
      <c r="AV1667" s="3">
        <f t="shared" si="80"/>
        <v>0</v>
      </c>
      <c r="AW1667" s="2" t="str">
        <f>IF(Registered!AV1667=0,"",IF(Registered!AV1667=1,Registered!AV1667&amp;" Meal",Registered!AV1667&amp;" Meals"))</f>
        <v/>
      </c>
      <c r="AX1667" s="2" t="str">
        <f>IF(Registered!AI1667=0,"",Registered!AI1667&amp;" BG")</f>
        <v/>
      </c>
      <c r="AY1667" s="2" t="str">
        <f>IF(Registered!AG1667=0,"",Registered!AG1667&amp;" DustMask")</f>
        <v/>
      </c>
    </row>
    <row r="1668" spans="1:51" customFormat="1" x14ac:dyDescent="0.25">
      <c r="A1668" t="s">
        <v>375</v>
      </c>
      <c r="B1668" t="s">
        <v>204</v>
      </c>
      <c r="C1668" t="s">
        <v>6090</v>
      </c>
      <c r="D1668" t="s">
        <v>1961</v>
      </c>
      <c r="E1668" t="s">
        <v>1962</v>
      </c>
      <c r="F1668" t="s">
        <v>261</v>
      </c>
      <c r="I1668" t="s">
        <v>1963</v>
      </c>
      <c r="J1668" t="s">
        <v>37</v>
      </c>
      <c r="K1668" t="s">
        <v>32</v>
      </c>
      <c r="L1668" t="s">
        <v>35</v>
      </c>
      <c r="S1668">
        <v>4</v>
      </c>
      <c r="T1668">
        <v>3</v>
      </c>
      <c r="U1668">
        <v>1</v>
      </c>
      <c r="V1668">
        <v>20</v>
      </c>
      <c r="AO1668">
        <v>3</v>
      </c>
      <c r="AP1668">
        <v>10</v>
      </c>
      <c r="AQ1668">
        <v>62</v>
      </c>
      <c r="AR1668" s="3">
        <f t="shared" si="78"/>
        <v>10</v>
      </c>
      <c r="AS1668" s="3">
        <f t="shared" si="79"/>
        <v>3</v>
      </c>
      <c r="AT1668" s="3" t="str">
        <f>IF(OR(Registered!AM1668&gt;0,Registered!AO1668&gt;0),(IF(Registered!E1668=0,"Size Not Specified",Registered!E1668)),"")</f>
        <v>3 Small</v>
      </c>
      <c r="AU1668" s="3" t="str">
        <f>IF(Registered!AE1668=0,"",IF(Registered!AE1668=1,Registered!AE1668&amp;" Bandana",Registered!AE1668&amp;" Bandanas"))</f>
        <v/>
      </c>
      <c r="AV1668" s="3">
        <f t="shared" si="80"/>
        <v>0</v>
      </c>
      <c r="AW1668" s="2" t="str">
        <f>IF(Registered!AV1668=0,"",IF(Registered!AV1668=1,Registered!AV1668&amp;" Meal",Registered!AV1668&amp;" Meals"))</f>
        <v/>
      </c>
      <c r="AX1668" s="2" t="str">
        <f>IF(Registered!AI1668=0,"",Registered!AI1668&amp;" BG")</f>
        <v/>
      </c>
      <c r="AY1668" s="2" t="str">
        <f>IF(Registered!AG1668=0,"",Registered!AG1668&amp;" DustMask")</f>
        <v/>
      </c>
    </row>
    <row r="1669" spans="1:51" customFormat="1" x14ac:dyDescent="0.25">
      <c r="A1669" t="s">
        <v>5257</v>
      </c>
      <c r="B1669" t="s">
        <v>204</v>
      </c>
      <c r="C1669" t="s">
        <v>6090</v>
      </c>
      <c r="D1669" t="s">
        <v>5257</v>
      </c>
      <c r="F1669" t="s">
        <v>261</v>
      </c>
      <c r="I1669" t="s">
        <v>5258</v>
      </c>
      <c r="J1669" t="s">
        <v>37</v>
      </c>
      <c r="K1669" t="s">
        <v>32</v>
      </c>
      <c r="L1669" t="s">
        <v>35</v>
      </c>
      <c r="Q1669">
        <v>2</v>
      </c>
      <c r="R1669">
        <v>3</v>
      </c>
      <c r="AC1669">
        <v>1</v>
      </c>
      <c r="AD1669">
        <v>10</v>
      </c>
      <c r="AQ1669">
        <v>16</v>
      </c>
      <c r="AR1669" s="3">
        <f t="shared" si="78"/>
        <v>5</v>
      </c>
      <c r="AS1669" s="3">
        <f t="shared" si="79"/>
        <v>0</v>
      </c>
      <c r="AT1669" s="3" t="str">
        <f>IF(OR(Registered!AM1669&gt;0,Registered!AO1669&gt;0),(IF(Registered!E1669=0,"Size Not Specified",Registered!E1669)),"")</f>
        <v/>
      </c>
      <c r="AU1669" s="3" t="str">
        <f>IF(Registered!AE1669=0,"",IF(Registered!AE1669=1,Registered!AE1669&amp;" Bandana",Registered!AE1669&amp;" Bandanas"))</f>
        <v/>
      </c>
      <c r="AV1669" s="3">
        <f t="shared" si="80"/>
        <v>0</v>
      </c>
      <c r="AW1669" s="2" t="str">
        <f>IF(Registered!AV1669=0,"",IF(Registered!AV1669=1,Registered!AV1669&amp;" Meal",Registered!AV1669&amp;" Meals"))</f>
        <v/>
      </c>
      <c r="AX1669" s="2" t="str">
        <f>IF(Registered!AI1669=0,"",Registered!AI1669&amp;" BG")</f>
        <v/>
      </c>
      <c r="AY1669" s="2" t="str">
        <f>IF(Registered!AG1669=0,"",Registered!AG1669&amp;" DustMask")</f>
        <v/>
      </c>
    </row>
    <row r="1670" spans="1:51" customFormat="1" x14ac:dyDescent="0.25">
      <c r="A1670" t="s">
        <v>639</v>
      </c>
      <c r="B1670" t="s">
        <v>204</v>
      </c>
      <c r="C1670" t="s">
        <v>6090</v>
      </c>
      <c r="G1670" t="s">
        <v>174</v>
      </c>
      <c r="H1670" t="s">
        <v>204</v>
      </c>
      <c r="I1670" t="s">
        <v>3219</v>
      </c>
      <c r="J1670" t="s">
        <v>37</v>
      </c>
      <c r="K1670" t="s">
        <v>32</v>
      </c>
      <c r="L1670" t="s">
        <v>35</v>
      </c>
      <c r="AQ1670">
        <v>0</v>
      </c>
      <c r="AR1670" s="3">
        <f t="shared" si="78"/>
        <v>0</v>
      </c>
      <c r="AS1670" s="3">
        <f t="shared" si="79"/>
        <v>0</v>
      </c>
      <c r="AT1670" s="3" t="str">
        <f>IF(OR(Registered!AM1670&gt;0,Registered!AO1670&gt;0),(IF(Registered!E1670=0,"Size Not Specified",Registered!E1670)),"")</f>
        <v/>
      </c>
      <c r="AU1670" s="3" t="str">
        <f>IF(Registered!AE1670=0,"",IF(Registered!AE1670=1,Registered!AE1670&amp;" Bandana",Registered!AE1670&amp;" Bandanas"))</f>
        <v/>
      </c>
      <c r="AV1670" s="3">
        <f t="shared" si="80"/>
        <v>0</v>
      </c>
      <c r="AW1670" s="2" t="str">
        <f>IF(Registered!AV1670=0,"",IF(Registered!AV1670=1,Registered!AV1670&amp;" Meal",Registered!AV1670&amp;" Meals"))</f>
        <v/>
      </c>
      <c r="AX1670" s="2" t="str">
        <f>IF(Registered!AI1670=0,"",Registered!AI1670&amp;" BG")</f>
        <v/>
      </c>
      <c r="AY1670" s="2" t="str">
        <f>IF(Registered!AG1670=0,"",Registered!AG1670&amp;" DustMask")</f>
        <v/>
      </c>
    </row>
    <row r="1671" spans="1:51" customFormat="1" x14ac:dyDescent="0.25">
      <c r="A1671" t="s">
        <v>110</v>
      </c>
      <c r="B1671" t="s">
        <v>204</v>
      </c>
      <c r="C1671" t="s">
        <v>6090</v>
      </c>
      <c r="G1671" t="s">
        <v>375</v>
      </c>
      <c r="H1671" t="s">
        <v>204</v>
      </c>
      <c r="I1671" t="s">
        <v>1963</v>
      </c>
      <c r="J1671" t="s">
        <v>37</v>
      </c>
      <c r="K1671" t="s">
        <v>32</v>
      </c>
      <c r="L1671" t="s">
        <v>35</v>
      </c>
      <c r="AQ1671">
        <v>0</v>
      </c>
      <c r="AR1671" s="3">
        <f t="shared" si="78"/>
        <v>0</v>
      </c>
      <c r="AS1671" s="3">
        <f t="shared" si="79"/>
        <v>0</v>
      </c>
      <c r="AT1671" s="3" t="str">
        <f>IF(OR(Registered!AM1671&gt;0,Registered!AO1671&gt;0),(IF(Registered!E1671=0,"Size Not Specified",Registered!E1671)),"")</f>
        <v/>
      </c>
      <c r="AU1671" s="3" t="str">
        <f>IF(Registered!AE1671=0,"",IF(Registered!AE1671=1,Registered!AE1671&amp;" Bandana",Registered!AE1671&amp;" Bandanas"))</f>
        <v/>
      </c>
      <c r="AV1671" s="3">
        <f t="shared" si="80"/>
        <v>0</v>
      </c>
      <c r="AW1671" s="2" t="str">
        <f>IF(Registered!AV1671=0,"",IF(Registered!AV1671=1,Registered!AV1671&amp;" Meal",Registered!AV1671&amp;" Meals"))</f>
        <v/>
      </c>
      <c r="AX1671" s="2" t="str">
        <f>IF(Registered!AI1671=0,"",Registered!AI1671&amp;" BG")</f>
        <v/>
      </c>
      <c r="AY1671" s="2" t="str">
        <f>IF(Registered!AG1671=0,"",Registered!AG1671&amp;" DustMask")</f>
        <v/>
      </c>
    </row>
    <row r="1672" spans="1:51" customFormat="1" x14ac:dyDescent="0.25">
      <c r="A1672" t="s">
        <v>174</v>
      </c>
      <c r="B1672" t="s">
        <v>204</v>
      </c>
      <c r="C1672" t="s">
        <v>6090</v>
      </c>
      <c r="D1672" t="s">
        <v>174</v>
      </c>
      <c r="F1672" t="s">
        <v>261</v>
      </c>
      <c r="I1672" t="s">
        <v>3219</v>
      </c>
      <c r="J1672" t="s">
        <v>37</v>
      </c>
      <c r="K1672" t="s">
        <v>32</v>
      </c>
      <c r="L1672" t="s">
        <v>35</v>
      </c>
      <c r="Q1672">
        <v>2</v>
      </c>
      <c r="R1672">
        <v>3</v>
      </c>
      <c r="U1672">
        <v>1</v>
      </c>
      <c r="V1672">
        <v>20</v>
      </c>
      <c r="AQ1672">
        <v>26</v>
      </c>
      <c r="AR1672" s="3">
        <f t="shared" si="78"/>
        <v>10</v>
      </c>
      <c r="AS1672" s="3">
        <f t="shared" si="79"/>
        <v>0</v>
      </c>
      <c r="AT1672" s="3" t="str">
        <f>IF(OR(Registered!AM1672&gt;0,Registered!AO1672&gt;0),(IF(Registered!E1672=0,"Size Not Specified",Registered!E1672)),"")</f>
        <v/>
      </c>
      <c r="AU1672" s="3" t="str">
        <f>IF(Registered!AE1672=0,"",IF(Registered!AE1672=1,Registered!AE1672&amp;" Bandana",Registered!AE1672&amp;" Bandanas"))</f>
        <v/>
      </c>
      <c r="AV1672" s="3">
        <f t="shared" si="80"/>
        <v>0</v>
      </c>
      <c r="AW1672" s="2" t="str">
        <f>IF(Registered!AV1672=0,"",IF(Registered!AV1672=1,Registered!AV1672&amp;" Meal",Registered!AV1672&amp;" Meals"))</f>
        <v/>
      </c>
      <c r="AX1672" s="2" t="str">
        <f>IF(Registered!AI1672=0,"",Registered!AI1672&amp;" BG")</f>
        <v/>
      </c>
      <c r="AY1672" s="2" t="str">
        <f>IF(Registered!AG1672=0,"",Registered!AG1672&amp;" DustMask")</f>
        <v/>
      </c>
    </row>
    <row r="1673" spans="1:51" customFormat="1" x14ac:dyDescent="0.25">
      <c r="A1673" t="s">
        <v>3220</v>
      </c>
      <c r="B1673" t="s">
        <v>204</v>
      </c>
      <c r="C1673" t="s">
        <v>6090</v>
      </c>
      <c r="G1673" t="s">
        <v>104</v>
      </c>
      <c r="H1673" t="s">
        <v>3179</v>
      </c>
      <c r="I1673" t="s">
        <v>3180</v>
      </c>
      <c r="J1673" t="s">
        <v>37</v>
      </c>
      <c r="K1673" t="s">
        <v>32</v>
      </c>
      <c r="L1673" t="s">
        <v>35</v>
      </c>
      <c r="AQ1673">
        <v>0</v>
      </c>
      <c r="AR1673" s="3">
        <f t="shared" si="78"/>
        <v>0</v>
      </c>
      <c r="AS1673" s="3">
        <f t="shared" si="79"/>
        <v>0</v>
      </c>
      <c r="AT1673" s="3" t="str">
        <f>IF(OR(Registered!AM1673&gt;0,Registered!AO1673&gt;0),(IF(Registered!E1673=0,"Size Not Specified",Registered!E1673)),"")</f>
        <v/>
      </c>
      <c r="AU1673" s="3" t="str">
        <f>IF(Registered!AE1673=0,"",IF(Registered!AE1673=1,Registered!AE1673&amp;" Bandana",Registered!AE1673&amp;" Bandanas"))</f>
        <v/>
      </c>
      <c r="AV1673" s="3">
        <f t="shared" si="80"/>
        <v>0</v>
      </c>
      <c r="AW1673" s="2" t="str">
        <f>IF(Registered!AV1673=0,"",IF(Registered!AV1673=1,Registered!AV1673&amp;" Meal",Registered!AV1673&amp;" Meals"))</f>
        <v/>
      </c>
      <c r="AX1673" s="2" t="str">
        <f>IF(Registered!AI1673=0,"",Registered!AI1673&amp;" BG")</f>
        <v/>
      </c>
      <c r="AY1673" s="2" t="str">
        <f>IF(Registered!AG1673=0,"",Registered!AG1673&amp;" DustMask")</f>
        <v/>
      </c>
    </row>
    <row r="1674" spans="1:51" customFormat="1" x14ac:dyDescent="0.25">
      <c r="A1674" t="s">
        <v>4818</v>
      </c>
      <c r="B1674" t="s">
        <v>204</v>
      </c>
      <c r="C1674" t="s">
        <v>6090</v>
      </c>
      <c r="D1674" t="s">
        <v>5261</v>
      </c>
      <c r="E1674" t="s">
        <v>5262</v>
      </c>
      <c r="F1674" t="s">
        <v>261</v>
      </c>
      <c r="I1674" t="s">
        <v>4819</v>
      </c>
      <c r="J1674" t="s">
        <v>37</v>
      </c>
      <c r="K1674" t="s">
        <v>32</v>
      </c>
      <c r="L1674" t="s">
        <v>35</v>
      </c>
      <c r="Q1674">
        <v>2</v>
      </c>
      <c r="R1674">
        <v>3</v>
      </c>
      <c r="U1674">
        <v>1</v>
      </c>
      <c r="V1674">
        <v>20</v>
      </c>
      <c r="AM1674">
        <v>2</v>
      </c>
      <c r="AN1674">
        <v>25</v>
      </c>
      <c r="AO1674">
        <v>2</v>
      </c>
      <c r="AP1674">
        <v>10</v>
      </c>
      <c r="AQ1674">
        <v>96</v>
      </c>
      <c r="AR1674" s="3">
        <f t="shared" si="78"/>
        <v>20</v>
      </c>
      <c r="AS1674" s="3">
        <f t="shared" si="79"/>
        <v>4</v>
      </c>
      <c r="AT1674" s="3" t="str">
        <f>IF(OR(Registered!AM1674&gt;0,Registered!AO1674&gt;0),(IF(Registered!E1674=0,"Size Not Specified",Registered!E1674)),"")</f>
        <v>1 adult large, 1 adult 3xl, 1 adult small, 1 medium kids (6x)</v>
      </c>
      <c r="AU1674" s="3" t="str">
        <f>IF(Registered!AE1674=0,"",IF(Registered!AE1674=1,Registered!AE1674&amp;" Bandana",Registered!AE1674&amp;" Bandanas"))</f>
        <v/>
      </c>
      <c r="AV1674" s="3">
        <f t="shared" si="80"/>
        <v>2</v>
      </c>
      <c r="AW1674" s="2" t="str">
        <f>IF(Registered!AV1674=0,"",IF(Registered!AV1674=1,Registered!AV1674&amp;" Meal",Registered!AV1674&amp;" Meals"))</f>
        <v>2 Meals</v>
      </c>
      <c r="AX1674" s="2" t="str">
        <f>IF(Registered!AI1674=0,"",Registered!AI1674&amp;" BG")</f>
        <v/>
      </c>
      <c r="AY1674" s="2" t="str">
        <f>IF(Registered!AG1674=0,"",Registered!AG1674&amp;" DustMask")</f>
        <v/>
      </c>
    </row>
    <row r="1675" spans="1:51" customFormat="1" x14ac:dyDescent="0.25">
      <c r="A1675" t="s">
        <v>5263</v>
      </c>
      <c r="B1675" t="s">
        <v>204</v>
      </c>
      <c r="C1675" t="s">
        <v>6090</v>
      </c>
      <c r="I1675" t="s">
        <v>5264</v>
      </c>
      <c r="J1675" t="s">
        <v>37</v>
      </c>
      <c r="K1675" t="s">
        <v>32</v>
      </c>
      <c r="L1675" t="s">
        <v>35</v>
      </c>
      <c r="Q1675">
        <v>1</v>
      </c>
      <c r="R1675">
        <v>3</v>
      </c>
      <c r="AQ1675">
        <v>3</v>
      </c>
      <c r="AR1675" s="3">
        <f t="shared" si="78"/>
        <v>0</v>
      </c>
      <c r="AS1675" s="3">
        <f t="shared" si="79"/>
        <v>0</v>
      </c>
      <c r="AT1675" s="3" t="str">
        <f>IF(OR(Registered!AM1675&gt;0,Registered!AO1675&gt;0),(IF(Registered!E1675=0,"Size Not Specified",Registered!E1675)),"")</f>
        <v/>
      </c>
      <c r="AU1675" s="3" t="str">
        <f>IF(Registered!AE1675=0,"",IF(Registered!AE1675=1,Registered!AE1675&amp;" Bandana",Registered!AE1675&amp;" Bandanas"))</f>
        <v/>
      </c>
      <c r="AV1675" s="3">
        <f t="shared" si="80"/>
        <v>0</v>
      </c>
      <c r="AW1675" s="2" t="str">
        <f>IF(Registered!AV1675=0,"",IF(Registered!AV1675=1,Registered!AV1675&amp;" Meal",Registered!AV1675&amp;" Meals"))</f>
        <v/>
      </c>
      <c r="AX1675" s="2" t="str">
        <f>IF(Registered!AI1675=0,"",Registered!AI1675&amp;" BG")</f>
        <v/>
      </c>
      <c r="AY1675" s="2" t="str">
        <f>IF(Registered!AG1675=0,"",Registered!AG1675&amp;" DustMask")</f>
        <v/>
      </c>
    </row>
    <row r="1676" spans="1:51" customFormat="1" x14ac:dyDescent="0.25">
      <c r="A1676" t="s">
        <v>932</v>
      </c>
      <c r="B1676" t="s">
        <v>204</v>
      </c>
      <c r="C1676" t="s">
        <v>6090</v>
      </c>
      <c r="G1676" t="s">
        <v>375</v>
      </c>
      <c r="H1676" t="s">
        <v>204</v>
      </c>
      <c r="I1676" t="s">
        <v>1963</v>
      </c>
      <c r="J1676" t="s">
        <v>37</v>
      </c>
      <c r="K1676" t="s">
        <v>32</v>
      </c>
      <c r="L1676" t="s">
        <v>35</v>
      </c>
      <c r="AQ1676">
        <v>0</v>
      </c>
      <c r="AR1676" s="3">
        <f t="shared" si="78"/>
        <v>0</v>
      </c>
      <c r="AS1676" s="3">
        <f t="shared" si="79"/>
        <v>0</v>
      </c>
      <c r="AT1676" s="3" t="str">
        <f>IF(OR(Registered!AM1676&gt;0,Registered!AO1676&gt;0),(IF(Registered!E1676=0,"Size Not Specified",Registered!E1676)),"")</f>
        <v/>
      </c>
      <c r="AU1676" s="3" t="str">
        <f>IF(Registered!AE1676=0,"",IF(Registered!AE1676=1,Registered!AE1676&amp;" Bandana",Registered!AE1676&amp;" Bandanas"))</f>
        <v/>
      </c>
      <c r="AV1676" s="3">
        <f t="shared" si="80"/>
        <v>0</v>
      </c>
      <c r="AW1676" s="2" t="str">
        <f>IF(Registered!AV1676=0,"",IF(Registered!AV1676=1,Registered!AV1676&amp;" Meal",Registered!AV1676&amp;" Meals"))</f>
        <v/>
      </c>
      <c r="AX1676" s="2" t="str">
        <f>IF(Registered!AI1676=0,"",Registered!AI1676&amp;" BG")</f>
        <v/>
      </c>
      <c r="AY1676" s="2" t="str">
        <f>IF(Registered!AG1676=0,"",Registered!AG1676&amp;" DustMask")</f>
        <v/>
      </c>
    </row>
    <row r="1677" spans="1:51" customFormat="1" x14ac:dyDescent="0.25">
      <c r="A1677" t="s">
        <v>3221</v>
      </c>
      <c r="B1677" t="s">
        <v>204</v>
      </c>
      <c r="C1677" t="s">
        <v>6090</v>
      </c>
      <c r="G1677" t="s">
        <v>140</v>
      </c>
      <c r="H1677" t="s">
        <v>3222</v>
      </c>
      <c r="I1677" t="s">
        <v>3223</v>
      </c>
      <c r="J1677" t="s">
        <v>37</v>
      </c>
      <c r="K1677" t="s">
        <v>32</v>
      </c>
      <c r="L1677" t="s">
        <v>35</v>
      </c>
      <c r="AQ1677">
        <v>0</v>
      </c>
      <c r="AR1677" s="3">
        <f t="shared" si="78"/>
        <v>0</v>
      </c>
      <c r="AS1677" s="3">
        <f t="shared" si="79"/>
        <v>0</v>
      </c>
      <c r="AT1677" s="3" t="str">
        <f>IF(OR(Registered!AM1677&gt;0,Registered!AO1677&gt;0),(IF(Registered!E1677=0,"Size Not Specified",Registered!E1677)),"")</f>
        <v/>
      </c>
      <c r="AU1677" s="3" t="str">
        <f>IF(Registered!AE1677=0,"",IF(Registered!AE1677=1,Registered!AE1677&amp;" Bandana",Registered!AE1677&amp;" Bandanas"))</f>
        <v/>
      </c>
      <c r="AV1677" s="3">
        <f t="shared" si="80"/>
        <v>0</v>
      </c>
      <c r="AW1677" s="2" t="str">
        <f>IF(Registered!AV1677=0,"",IF(Registered!AV1677=1,Registered!AV1677&amp;" Meal",Registered!AV1677&amp;" Meals"))</f>
        <v/>
      </c>
      <c r="AX1677" s="2" t="str">
        <f>IF(Registered!AI1677=0,"",Registered!AI1677&amp;" BG")</f>
        <v/>
      </c>
      <c r="AY1677" s="2" t="str">
        <f>IF(Registered!AG1677=0,"",Registered!AG1677&amp;" DustMask")</f>
        <v/>
      </c>
    </row>
    <row r="1678" spans="1:51" customFormat="1" x14ac:dyDescent="0.25">
      <c r="A1678" t="s">
        <v>3374</v>
      </c>
      <c r="B1678" t="s">
        <v>5265</v>
      </c>
      <c r="C1678" t="s">
        <v>6090</v>
      </c>
      <c r="G1678" t="s">
        <v>4134</v>
      </c>
      <c r="H1678" t="s">
        <v>5265</v>
      </c>
      <c r="I1678" t="s">
        <v>5266</v>
      </c>
      <c r="J1678" t="s">
        <v>37</v>
      </c>
      <c r="K1678" t="s">
        <v>32</v>
      </c>
      <c r="L1678" t="s">
        <v>35</v>
      </c>
      <c r="AQ1678">
        <v>0</v>
      </c>
      <c r="AR1678" s="3">
        <f t="shared" si="78"/>
        <v>0</v>
      </c>
      <c r="AS1678" s="3">
        <f t="shared" si="79"/>
        <v>0</v>
      </c>
      <c r="AT1678" s="3" t="str">
        <f>IF(OR(Registered!AM1678&gt;0,Registered!AO1678&gt;0),(IF(Registered!E1678=0,"Size Not Specified",Registered!E1678)),"")</f>
        <v/>
      </c>
      <c r="AU1678" s="3" t="str">
        <f>IF(Registered!AE1678=0,"",IF(Registered!AE1678=1,Registered!AE1678&amp;" Bandana",Registered!AE1678&amp;" Bandanas"))</f>
        <v/>
      </c>
      <c r="AV1678" s="3">
        <f t="shared" si="80"/>
        <v>0</v>
      </c>
      <c r="AW1678" s="2" t="str">
        <f>IF(Registered!AV1678=0,"",IF(Registered!AV1678=1,Registered!AV1678&amp;" Meal",Registered!AV1678&amp;" Meals"))</f>
        <v/>
      </c>
      <c r="AX1678" s="2" t="str">
        <f>IF(Registered!AI1678=0,"",Registered!AI1678&amp;" BG")</f>
        <v/>
      </c>
      <c r="AY1678" s="2" t="str">
        <f>IF(Registered!AG1678=0,"",Registered!AG1678&amp;" DustMask")</f>
        <v/>
      </c>
    </row>
    <row r="1679" spans="1:51" customFormat="1" x14ac:dyDescent="0.25">
      <c r="A1679" t="s">
        <v>4134</v>
      </c>
      <c r="B1679" t="s">
        <v>5265</v>
      </c>
      <c r="C1679" t="s">
        <v>6090</v>
      </c>
      <c r="D1679" t="s">
        <v>5267</v>
      </c>
      <c r="F1679" t="s">
        <v>261</v>
      </c>
      <c r="I1679" t="s">
        <v>5266</v>
      </c>
      <c r="J1679" t="s">
        <v>37</v>
      </c>
      <c r="K1679" t="s">
        <v>32</v>
      </c>
      <c r="L1679" t="s">
        <v>35</v>
      </c>
      <c r="Q1679">
        <v>2</v>
      </c>
      <c r="R1679">
        <v>3</v>
      </c>
      <c r="AC1679">
        <v>1</v>
      </c>
      <c r="AD1679">
        <v>10</v>
      </c>
      <c r="AQ1679">
        <v>16</v>
      </c>
      <c r="AR1679" s="3">
        <f t="shared" si="78"/>
        <v>5</v>
      </c>
      <c r="AS1679" s="3">
        <f t="shared" si="79"/>
        <v>0</v>
      </c>
      <c r="AT1679" s="3" t="str">
        <f>IF(OR(Registered!AM1679&gt;0,Registered!AO1679&gt;0),(IF(Registered!E1679=0,"Size Not Specified",Registered!E1679)),"")</f>
        <v/>
      </c>
      <c r="AU1679" s="3" t="str">
        <f>IF(Registered!AE1679=0,"",IF(Registered!AE1679=1,Registered!AE1679&amp;" Bandana",Registered!AE1679&amp;" Bandanas"))</f>
        <v/>
      </c>
      <c r="AV1679" s="3">
        <f t="shared" si="80"/>
        <v>0</v>
      </c>
      <c r="AW1679" s="2" t="str">
        <f>IF(Registered!AV1679=0,"",IF(Registered!AV1679=1,Registered!AV1679&amp;" Meal",Registered!AV1679&amp;" Meals"))</f>
        <v/>
      </c>
      <c r="AX1679" s="2" t="str">
        <f>IF(Registered!AI1679=0,"",Registered!AI1679&amp;" BG")</f>
        <v/>
      </c>
      <c r="AY1679" s="2" t="str">
        <f>IF(Registered!AG1679=0,"",Registered!AG1679&amp;" DustMask")</f>
        <v/>
      </c>
    </row>
    <row r="1680" spans="1:51" customFormat="1" x14ac:dyDescent="0.25">
      <c r="A1680" t="s">
        <v>2700</v>
      </c>
      <c r="B1680" t="s">
        <v>3897</v>
      </c>
      <c r="C1680" t="s">
        <v>6090</v>
      </c>
      <c r="D1680" t="s">
        <v>5268</v>
      </c>
      <c r="F1680" t="s">
        <v>261</v>
      </c>
      <c r="I1680" t="s">
        <v>3898</v>
      </c>
      <c r="J1680" t="s">
        <v>37</v>
      </c>
      <c r="K1680" t="s">
        <v>32</v>
      </c>
      <c r="L1680" t="s">
        <v>35</v>
      </c>
      <c r="Q1680">
        <v>5</v>
      </c>
      <c r="R1680">
        <v>3</v>
      </c>
      <c r="AC1680">
        <v>5</v>
      </c>
      <c r="AD1680">
        <v>10</v>
      </c>
      <c r="AE1680">
        <v>5</v>
      </c>
      <c r="AF1680">
        <v>6</v>
      </c>
      <c r="AQ1680">
        <v>95</v>
      </c>
      <c r="AR1680" s="3">
        <f t="shared" si="78"/>
        <v>25</v>
      </c>
      <c r="AS1680" s="3">
        <f t="shared" si="79"/>
        <v>0</v>
      </c>
      <c r="AT1680" s="3" t="str">
        <f>IF(OR(Registered!AM1680&gt;0,Registered!AO1680&gt;0),(IF(Registered!E1680=0,"Size Not Specified",Registered!E1680)),"")</f>
        <v/>
      </c>
      <c r="AU1680" s="3" t="str">
        <f>IF(Registered!AE1680=0,"",IF(Registered!AE1680=1,Registered!AE1680&amp;" Bandana",Registered!AE1680&amp;" Bandanas"))</f>
        <v>5 Bandanas</v>
      </c>
      <c r="AV1680" s="3">
        <f t="shared" si="80"/>
        <v>0</v>
      </c>
      <c r="AW1680" s="2" t="str">
        <f>IF(Registered!AV1680=0,"",IF(Registered!AV1680=1,Registered!AV1680&amp;" Meal",Registered!AV1680&amp;" Meals"))</f>
        <v/>
      </c>
      <c r="AX1680" s="2" t="str">
        <f>IF(Registered!AI1680=0,"",Registered!AI1680&amp;" BG")</f>
        <v/>
      </c>
      <c r="AY1680" s="2" t="str">
        <f>IF(Registered!AG1680=0,"",Registered!AG1680&amp;" DustMask")</f>
        <v/>
      </c>
    </row>
    <row r="1681" spans="1:51" customFormat="1" x14ac:dyDescent="0.25">
      <c r="A1681" t="s">
        <v>4602</v>
      </c>
      <c r="B1681" t="s">
        <v>4603</v>
      </c>
      <c r="C1681" t="s">
        <v>6090</v>
      </c>
      <c r="D1681" t="s">
        <v>5269</v>
      </c>
      <c r="E1681" t="s">
        <v>5270</v>
      </c>
      <c r="F1681" t="s">
        <v>261</v>
      </c>
      <c r="I1681" t="s">
        <v>4604</v>
      </c>
      <c r="J1681" t="s">
        <v>37</v>
      </c>
      <c r="K1681" t="s">
        <v>32</v>
      </c>
      <c r="L1681" t="s">
        <v>35</v>
      </c>
      <c r="Q1681">
        <v>3</v>
      </c>
      <c r="R1681">
        <v>3</v>
      </c>
      <c r="U1681">
        <v>1</v>
      </c>
      <c r="V1681">
        <v>20</v>
      </c>
      <c r="AO1681">
        <v>2</v>
      </c>
      <c r="AP1681">
        <v>10</v>
      </c>
      <c r="AQ1681">
        <v>49</v>
      </c>
      <c r="AR1681" s="3">
        <f t="shared" si="78"/>
        <v>10</v>
      </c>
      <c r="AS1681" s="3">
        <f t="shared" si="79"/>
        <v>2</v>
      </c>
      <c r="AT1681" s="3" t="str">
        <f>IF(OR(Registered!AM1681&gt;0,Registered!AO1681&gt;0),(IF(Registered!E1681=0,"Size Not Specified",Registered!E1681)),"")</f>
        <v>Medium and XXLarge</v>
      </c>
      <c r="AU1681" s="3" t="str">
        <f>IF(Registered!AE1681=0,"",IF(Registered!AE1681=1,Registered!AE1681&amp;" Bandana",Registered!AE1681&amp;" Bandanas"))</f>
        <v/>
      </c>
      <c r="AV1681" s="3">
        <f t="shared" si="80"/>
        <v>0</v>
      </c>
      <c r="AW1681" s="2" t="str">
        <f>IF(Registered!AV1681=0,"",IF(Registered!AV1681=1,Registered!AV1681&amp;" Meal",Registered!AV1681&amp;" Meals"))</f>
        <v/>
      </c>
      <c r="AX1681" s="2" t="str">
        <f>IF(Registered!AI1681=0,"",Registered!AI1681&amp;" BG")</f>
        <v/>
      </c>
      <c r="AY1681" s="2" t="str">
        <f>IF(Registered!AG1681=0,"",Registered!AG1681&amp;" DustMask")</f>
        <v/>
      </c>
    </row>
    <row r="1682" spans="1:51" customFormat="1" x14ac:dyDescent="0.25">
      <c r="A1682" t="s">
        <v>5271</v>
      </c>
      <c r="B1682" t="s">
        <v>4603</v>
      </c>
      <c r="C1682" t="s">
        <v>6090</v>
      </c>
      <c r="G1682" t="s">
        <v>4602</v>
      </c>
      <c r="H1682" t="s">
        <v>4603</v>
      </c>
      <c r="I1682" t="s">
        <v>4604</v>
      </c>
      <c r="J1682" t="s">
        <v>37</v>
      </c>
      <c r="K1682" t="s">
        <v>32</v>
      </c>
      <c r="L1682" t="s">
        <v>35</v>
      </c>
      <c r="AQ1682">
        <v>0</v>
      </c>
      <c r="AR1682" s="3">
        <f t="shared" si="78"/>
        <v>0</v>
      </c>
      <c r="AS1682" s="3">
        <f t="shared" si="79"/>
        <v>0</v>
      </c>
      <c r="AT1682" s="3" t="str">
        <f>IF(OR(Registered!AM1682&gt;0,Registered!AO1682&gt;0),(IF(Registered!E1682=0,"Size Not Specified",Registered!E1682)),"")</f>
        <v/>
      </c>
      <c r="AU1682" s="3" t="str">
        <f>IF(Registered!AE1682=0,"",IF(Registered!AE1682=1,Registered!AE1682&amp;" Bandana",Registered!AE1682&amp;" Bandanas"))</f>
        <v/>
      </c>
      <c r="AV1682" s="3">
        <f t="shared" si="80"/>
        <v>0</v>
      </c>
      <c r="AW1682" s="2" t="str">
        <f>IF(Registered!AV1682=0,"",IF(Registered!AV1682=1,Registered!AV1682&amp;" Meal",Registered!AV1682&amp;" Meals"))</f>
        <v/>
      </c>
      <c r="AX1682" s="2" t="str">
        <f>IF(Registered!AI1682=0,"",Registered!AI1682&amp;" BG")</f>
        <v/>
      </c>
      <c r="AY1682" s="2" t="str">
        <f>IF(Registered!AG1682=0,"",Registered!AG1682&amp;" DustMask")</f>
        <v/>
      </c>
    </row>
    <row r="1683" spans="1:51" customFormat="1" x14ac:dyDescent="0.25">
      <c r="A1683" t="s">
        <v>88</v>
      </c>
      <c r="B1683" t="s">
        <v>5272</v>
      </c>
      <c r="C1683" t="s">
        <v>6090</v>
      </c>
      <c r="D1683" t="s">
        <v>88</v>
      </c>
      <c r="F1683" t="s">
        <v>261</v>
      </c>
      <c r="I1683" t="s">
        <v>5273</v>
      </c>
      <c r="J1683" t="s">
        <v>37</v>
      </c>
      <c r="K1683" t="s">
        <v>32</v>
      </c>
      <c r="L1683" t="s">
        <v>35</v>
      </c>
      <c r="Q1683">
        <v>1</v>
      </c>
      <c r="R1683">
        <v>3</v>
      </c>
      <c r="AC1683">
        <v>1</v>
      </c>
      <c r="AD1683">
        <v>10</v>
      </c>
      <c r="AQ1683">
        <v>13</v>
      </c>
      <c r="AR1683" s="3">
        <f t="shared" si="78"/>
        <v>5</v>
      </c>
      <c r="AS1683" s="3">
        <f t="shared" si="79"/>
        <v>0</v>
      </c>
      <c r="AT1683" s="3" t="str">
        <f>IF(OR(Registered!AM1683&gt;0,Registered!AO1683&gt;0),(IF(Registered!E1683=0,"Size Not Specified",Registered!E1683)),"")</f>
        <v/>
      </c>
      <c r="AU1683" s="3" t="str">
        <f>IF(Registered!AE1683=0,"",IF(Registered!AE1683=1,Registered!AE1683&amp;" Bandana",Registered!AE1683&amp;" Bandanas"))</f>
        <v/>
      </c>
      <c r="AV1683" s="3">
        <f t="shared" si="80"/>
        <v>0</v>
      </c>
      <c r="AW1683" s="2" t="str">
        <f>IF(Registered!AV1683=0,"",IF(Registered!AV1683=1,Registered!AV1683&amp;" Meal",Registered!AV1683&amp;" Meals"))</f>
        <v/>
      </c>
      <c r="AX1683" s="2" t="str">
        <f>IF(Registered!AI1683=0,"",Registered!AI1683&amp;" BG")</f>
        <v/>
      </c>
      <c r="AY1683" s="2" t="str">
        <f>IF(Registered!AG1683=0,"",Registered!AG1683&amp;" DustMask")</f>
        <v/>
      </c>
    </row>
    <row r="1684" spans="1:51" customFormat="1" x14ac:dyDescent="0.25">
      <c r="A1684" t="s">
        <v>100</v>
      </c>
      <c r="B1684" t="s">
        <v>5274</v>
      </c>
      <c r="C1684" t="s">
        <v>6090</v>
      </c>
      <c r="G1684" t="s">
        <v>3664</v>
      </c>
      <c r="H1684" t="s">
        <v>3665</v>
      </c>
      <c r="I1684" t="s">
        <v>3666</v>
      </c>
      <c r="J1684" t="s">
        <v>37</v>
      </c>
      <c r="K1684" t="s">
        <v>32</v>
      </c>
      <c r="L1684" t="s">
        <v>35</v>
      </c>
      <c r="AQ1684">
        <v>0</v>
      </c>
      <c r="AR1684" s="3">
        <f t="shared" si="78"/>
        <v>0</v>
      </c>
      <c r="AS1684" s="3">
        <f t="shared" si="79"/>
        <v>0</v>
      </c>
      <c r="AT1684" s="3" t="str">
        <f>IF(OR(Registered!AM1684&gt;0,Registered!AO1684&gt;0),(IF(Registered!E1684=0,"Size Not Specified",Registered!E1684)),"")</f>
        <v/>
      </c>
      <c r="AU1684" s="3" t="str">
        <f>IF(Registered!AE1684=0,"",IF(Registered!AE1684=1,Registered!AE1684&amp;" Bandana",Registered!AE1684&amp;" Bandanas"))</f>
        <v/>
      </c>
      <c r="AV1684" s="3">
        <f t="shared" si="80"/>
        <v>0</v>
      </c>
      <c r="AW1684" s="2" t="str">
        <f>IF(Registered!AV1684=0,"",IF(Registered!AV1684=1,Registered!AV1684&amp;" Meal",Registered!AV1684&amp;" Meals"))</f>
        <v/>
      </c>
      <c r="AX1684" s="2" t="str">
        <f>IF(Registered!AI1684=0,"",Registered!AI1684&amp;" BG")</f>
        <v/>
      </c>
      <c r="AY1684" s="2" t="str">
        <f>IF(Registered!AG1684=0,"",Registered!AG1684&amp;" DustMask")</f>
        <v/>
      </c>
    </row>
    <row r="1685" spans="1:51" customFormat="1" x14ac:dyDescent="0.25">
      <c r="A1685" t="s">
        <v>56</v>
      </c>
      <c r="B1685" t="s">
        <v>5278</v>
      </c>
      <c r="C1685" t="s">
        <v>6090</v>
      </c>
      <c r="G1685" t="s">
        <v>111</v>
      </c>
      <c r="H1685" t="s">
        <v>2714</v>
      </c>
      <c r="I1685" t="s">
        <v>3728</v>
      </c>
      <c r="J1685" t="s">
        <v>37</v>
      </c>
      <c r="K1685" t="s">
        <v>32</v>
      </c>
      <c r="L1685" t="s">
        <v>35</v>
      </c>
      <c r="AQ1685">
        <v>0</v>
      </c>
      <c r="AR1685" s="3">
        <f t="shared" si="78"/>
        <v>0</v>
      </c>
      <c r="AS1685" s="3">
        <f t="shared" si="79"/>
        <v>0</v>
      </c>
      <c r="AT1685" s="3" t="str">
        <f>IF(OR(Registered!AM1685&gt;0,Registered!AO1685&gt;0),(IF(Registered!E1685=0,"Size Not Specified",Registered!E1685)),"")</f>
        <v/>
      </c>
      <c r="AU1685" s="3" t="str">
        <f>IF(Registered!AE1685=0,"",IF(Registered!AE1685=1,Registered!AE1685&amp;" Bandana",Registered!AE1685&amp;" Bandanas"))</f>
        <v/>
      </c>
      <c r="AV1685" s="3">
        <f t="shared" si="80"/>
        <v>0</v>
      </c>
      <c r="AW1685" s="2" t="str">
        <f>IF(Registered!AV1685=0,"",IF(Registered!AV1685=1,Registered!AV1685&amp;" Meal",Registered!AV1685&amp;" Meals"))</f>
        <v/>
      </c>
      <c r="AX1685" s="2" t="str">
        <f>IF(Registered!AI1685=0,"",Registered!AI1685&amp;" BG")</f>
        <v/>
      </c>
      <c r="AY1685" s="2" t="str">
        <f>IF(Registered!AG1685=0,"",Registered!AG1685&amp;" DustMask")</f>
        <v/>
      </c>
    </row>
    <row r="1686" spans="1:51" customFormat="1" x14ac:dyDescent="0.25">
      <c r="A1686" t="s">
        <v>461</v>
      </c>
      <c r="B1686" t="s">
        <v>1655</v>
      </c>
      <c r="C1686" t="s">
        <v>6090</v>
      </c>
      <c r="D1686" t="s">
        <v>461</v>
      </c>
      <c r="F1686" t="s">
        <v>261</v>
      </c>
      <c r="I1686" t="s">
        <v>1656</v>
      </c>
      <c r="J1686" t="s">
        <v>37</v>
      </c>
      <c r="K1686" t="s">
        <v>32</v>
      </c>
      <c r="L1686" t="s">
        <v>35</v>
      </c>
      <c r="S1686">
        <v>2</v>
      </c>
      <c r="T1686">
        <v>3</v>
      </c>
      <c r="AC1686">
        <v>1</v>
      </c>
      <c r="AD1686">
        <v>10</v>
      </c>
      <c r="AQ1686">
        <v>16</v>
      </c>
      <c r="AR1686" s="3">
        <f t="shared" si="78"/>
        <v>5</v>
      </c>
      <c r="AS1686" s="3">
        <f t="shared" si="79"/>
        <v>0</v>
      </c>
      <c r="AT1686" s="3" t="str">
        <f>IF(OR(Registered!AM1686&gt;0,Registered!AO1686&gt;0),(IF(Registered!E1686=0,"Size Not Specified",Registered!E1686)),"")</f>
        <v/>
      </c>
      <c r="AU1686" s="3" t="str">
        <f>IF(Registered!AE1686=0,"",IF(Registered!AE1686=1,Registered!AE1686&amp;" Bandana",Registered!AE1686&amp;" Bandanas"))</f>
        <v/>
      </c>
      <c r="AV1686" s="3">
        <f t="shared" si="80"/>
        <v>0</v>
      </c>
      <c r="AW1686" s="2" t="str">
        <f>IF(Registered!AV1686=0,"",IF(Registered!AV1686=1,Registered!AV1686&amp;" Meal",Registered!AV1686&amp;" Meals"))</f>
        <v/>
      </c>
      <c r="AX1686" s="2" t="str">
        <f>IF(Registered!AI1686=0,"",Registered!AI1686&amp;" BG")</f>
        <v/>
      </c>
      <c r="AY1686" s="2" t="str">
        <f>IF(Registered!AG1686=0,"",Registered!AG1686&amp;" DustMask")</f>
        <v/>
      </c>
    </row>
    <row r="1687" spans="1:51" customFormat="1" x14ac:dyDescent="0.25">
      <c r="A1687" t="s">
        <v>1964</v>
      </c>
      <c r="B1687" t="s">
        <v>378</v>
      </c>
      <c r="C1687" t="s">
        <v>6090</v>
      </c>
      <c r="G1687" t="s">
        <v>901</v>
      </c>
      <c r="H1687" t="s">
        <v>101</v>
      </c>
      <c r="I1687" t="s">
        <v>904</v>
      </c>
      <c r="J1687" t="s">
        <v>37</v>
      </c>
      <c r="K1687" t="s">
        <v>32</v>
      </c>
      <c r="L1687" t="s">
        <v>35</v>
      </c>
      <c r="AQ1687">
        <v>0</v>
      </c>
      <c r="AR1687" s="3">
        <f t="shared" si="78"/>
        <v>0</v>
      </c>
      <c r="AS1687" s="3">
        <f t="shared" si="79"/>
        <v>0</v>
      </c>
      <c r="AT1687" s="3" t="str">
        <f>IF(OR(Registered!AM1687&gt;0,Registered!AO1687&gt;0),(IF(Registered!E1687=0,"Size Not Specified",Registered!E1687)),"")</f>
        <v/>
      </c>
      <c r="AU1687" s="3" t="str">
        <f>IF(Registered!AE1687=0,"",IF(Registered!AE1687=1,Registered!AE1687&amp;" Bandana",Registered!AE1687&amp;" Bandanas"))</f>
        <v/>
      </c>
      <c r="AV1687" s="3">
        <f t="shared" si="80"/>
        <v>0</v>
      </c>
      <c r="AW1687" s="2" t="str">
        <f>IF(Registered!AV1687=0,"",IF(Registered!AV1687=1,Registered!AV1687&amp;" Meal",Registered!AV1687&amp;" Meals"))</f>
        <v/>
      </c>
      <c r="AX1687" s="2" t="str">
        <f>IF(Registered!AI1687=0,"",Registered!AI1687&amp;" BG")</f>
        <v/>
      </c>
      <c r="AY1687" s="2" t="str">
        <f>IF(Registered!AG1687=0,"",Registered!AG1687&amp;" DustMask")</f>
        <v/>
      </c>
    </row>
    <row r="1688" spans="1:51" customFormat="1" x14ac:dyDescent="0.25">
      <c r="A1688" t="s">
        <v>281</v>
      </c>
      <c r="B1688" t="s">
        <v>938</v>
      </c>
      <c r="C1688" t="s">
        <v>6090</v>
      </c>
      <c r="D1688" t="s">
        <v>57</v>
      </c>
      <c r="F1688" t="s">
        <v>261</v>
      </c>
      <c r="I1688" t="s">
        <v>3930</v>
      </c>
      <c r="J1688" t="s">
        <v>37</v>
      </c>
      <c r="K1688" t="s">
        <v>32</v>
      </c>
      <c r="L1688" t="s">
        <v>35</v>
      </c>
      <c r="S1688">
        <v>4</v>
      </c>
      <c r="T1688">
        <v>3</v>
      </c>
      <c r="U1688">
        <v>1</v>
      </c>
      <c r="V1688">
        <v>20</v>
      </c>
      <c r="AQ1688">
        <v>32</v>
      </c>
      <c r="AR1688" s="3">
        <f t="shared" si="78"/>
        <v>10</v>
      </c>
      <c r="AS1688" s="3">
        <f t="shared" si="79"/>
        <v>0</v>
      </c>
      <c r="AT1688" s="3" t="str">
        <f>IF(OR(Registered!AM1688&gt;0,Registered!AO1688&gt;0),(IF(Registered!E1688=0,"Size Not Specified",Registered!E1688)),"")</f>
        <v/>
      </c>
      <c r="AU1688" s="3" t="str">
        <f>IF(Registered!AE1688=0,"",IF(Registered!AE1688=1,Registered!AE1688&amp;" Bandana",Registered!AE1688&amp;" Bandanas"))</f>
        <v/>
      </c>
      <c r="AV1688" s="3">
        <f t="shared" si="80"/>
        <v>0</v>
      </c>
      <c r="AW1688" s="2" t="str">
        <f>IF(Registered!AV1688=0,"",IF(Registered!AV1688=1,Registered!AV1688&amp;" Meal",Registered!AV1688&amp;" Meals"))</f>
        <v/>
      </c>
      <c r="AX1688" s="2" t="str">
        <f>IF(Registered!AI1688=0,"",Registered!AI1688&amp;" BG")</f>
        <v/>
      </c>
      <c r="AY1688" s="2" t="str">
        <f>IF(Registered!AG1688=0,"",Registered!AG1688&amp;" DustMask")</f>
        <v/>
      </c>
    </row>
    <row r="1689" spans="1:51" customFormat="1" x14ac:dyDescent="0.25">
      <c r="A1689" t="s">
        <v>1965</v>
      </c>
      <c r="B1689" t="s">
        <v>1966</v>
      </c>
      <c r="C1689" t="s">
        <v>6090</v>
      </c>
      <c r="G1689" t="s">
        <v>1329</v>
      </c>
      <c r="H1689" t="s">
        <v>414</v>
      </c>
      <c r="I1689" t="s">
        <v>1330</v>
      </c>
      <c r="J1689" t="s">
        <v>37</v>
      </c>
      <c r="K1689" t="s">
        <v>32</v>
      </c>
      <c r="L1689" t="s">
        <v>35</v>
      </c>
      <c r="AQ1689">
        <v>0</v>
      </c>
      <c r="AR1689" s="3">
        <f t="shared" si="78"/>
        <v>0</v>
      </c>
      <c r="AS1689" s="3">
        <f t="shared" si="79"/>
        <v>0</v>
      </c>
      <c r="AT1689" s="3" t="str">
        <f>IF(OR(Registered!AM1689&gt;0,Registered!AO1689&gt;0),(IF(Registered!E1689=0,"Size Not Specified",Registered!E1689)),"")</f>
        <v/>
      </c>
      <c r="AU1689" s="3" t="str">
        <f>IF(Registered!AE1689=0,"",IF(Registered!AE1689=1,Registered!AE1689&amp;" Bandana",Registered!AE1689&amp;" Bandanas"))</f>
        <v/>
      </c>
      <c r="AV1689" s="3">
        <f t="shared" si="80"/>
        <v>0</v>
      </c>
      <c r="AW1689" s="2" t="str">
        <f>IF(Registered!AV1689=0,"",IF(Registered!AV1689=1,Registered!AV1689&amp;" Meal",Registered!AV1689&amp;" Meals"))</f>
        <v/>
      </c>
      <c r="AX1689" s="2" t="str">
        <f>IF(Registered!AI1689=0,"",Registered!AI1689&amp;" BG")</f>
        <v/>
      </c>
      <c r="AY1689" s="2" t="str">
        <f>IF(Registered!AG1689=0,"",Registered!AG1689&amp;" DustMask")</f>
        <v/>
      </c>
    </row>
    <row r="1690" spans="1:51" customFormat="1" x14ac:dyDescent="0.25">
      <c r="A1690" t="s">
        <v>1967</v>
      </c>
      <c r="B1690" t="s">
        <v>1968</v>
      </c>
      <c r="C1690" t="s">
        <v>6090</v>
      </c>
      <c r="G1690" t="s">
        <v>144</v>
      </c>
      <c r="H1690" t="s">
        <v>458</v>
      </c>
      <c r="I1690" t="s">
        <v>1415</v>
      </c>
      <c r="J1690" t="s">
        <v>37</v>
      </c>
      <c r="K1690" t="s">
        <v>32</v>
      </c>
      <c r="L1690" t="s">
        <v>35</v>
      </c>
      <c r="AQ1690">
        <v>0</v>
      </c>
      <c r="AR1690" s="3">
        <f t="shared" si="78"/>
        <v>0</v>
      </c>
      <c r="AS1690" s="3">
        <f t="shared" si="79"/>
        <v>0</v>
      </c>
      <c r="AT1690" s="3" t="str">
        <f>IF(OR(Registered!AM1690&gt;0,Registered!AO1690&gt;0),(IF(Registered!E1690=0,"Size Not Specified",Registered!E1690)),"")</f>
        <v/>
      </c>
      <c r="AU1690" s="3" t="str">
        <f>IF(Registered!AE1690=0,"",IF(Registered!AE1690=1,Registered!AE1690&amp;" Bandana",Registered!AE1690&amp;" Bandanas"))</f>
        <v/>
      </c>
      <c r="AV1690" s="3">
        <f t="shared" si="80"/>
        <v>0</v>
      </c>
      <c r="AW1690" s="2" t="str">
        <f>IF(Registered!AV1690=0,"",IF(Registered!AV1690=1,Registered!AV1690&amp;" Meal",Registered!AV1690&amp;" Meals"))</f>
        <v/>
      </c>
      <c r="AX1690" s="2" t="str">
        <f>IF(Registered!AI1690=0,"",Registered!AI1690&amp;" BG")</f>
        <v/>
      </c>
      <c r="AY1690" s="2" t="str">
        <f>IF(Registered!AG1690=0,"",Registered!AG1690&amp;" DustMask")</f>
        <v/>
      </c>
    </row>
    <row r="1691" spans="1:51" customFormat="1" x14ac:dyDescent="0.25">
      <c r="A1691" t="s">
        <v>1969</v>
      </c>
      <c r="B1691" t="s">
        <v>1970</v>
      </c>
      <c r="C1691" t="s">
        <v>6090</v>
      </c>
      <c r="D1691" t="s">
        <v>1971</v>
      </c>
      <c r="E1691" t="s">
        <v>232</v>
      </c>
      <c r="F1691" t="s">
        <v>261</v>
      </c>
      <c r="I1691" t="s">
        <v>3224</v>
      </c>
      <c r="J1691" t="s">
        <v>37</v>
      </c>
      <c r="K1691" t="s">
        <v>32</v>
      </c>
      <c r="L1691" t="s">
        <v>35</v>
      </c>
      <c r="S1691">
        <v>1</v>
      </c>
      <c r="T1691">
        <v>3</v>
      </c>
      <c r="W1691">
        <v>1</v>
      </c>
      <c r="X1691">
        <v>40</v>
      </c>
      <c r="AM1691">
        <v>1</v>
      </c>
      <c r="AN1691">
        <v>25</v>
      </c>
      <c r="AQ1691">
        <v>68</v>
      </c>
      <c r="AR1691" s="3">
        <f t="shared" si="78"/>
        <v>25</v>
      </c>
      <c r="AS1691" s="3">
        <f t="shared" si="79"/>
        <v>1</v>
      </c>
      <c r="AT1691" s="3" t="str">
        <f>IF(OR(Registered!AM1691&gt;0,Registered!AO1691&gt;0),(IF(Registered!E1691=0,"Size Not Specified",Registered!E1691)),"")</f>
        <v>M</v>
      </c>
      <c r="AU1691" s="3" t="str">
        <f>IF(Registered!AE1691=0,"",IF(Registered!AE1691=1,Registered!AE1691&amp;" Bandana",Registered!AE1691&amp;" Bandanas"))</f>
        <v/>
      </c>
      <c r="AV1691" s="3">
        <f t="shared" si="80"/>
        <v>1</v>
      </c>
      <c r="AW1691" s="2" t="str">
        <f>IF(Registered!AV1691=0,"",IF(Registered!AV1691=1,Registered!AV1691&amp;" Meal",Registered!AV1691&amp;" Meals"))</f>
        <v>1 Meal</v>
      </c>
      <c r="AX1691" s="2" t="str">
        <f>IF(Registered!AI1691=0,"",Registered!AI1691&amp;" BG")</f>
        <v/>
      </c>
      <c r="AY1691" s="2" t="str">
        <f>IF(Registered!AG1691=0,"",Registered!AG1691&amp;" DustMask")</f>
        <v/>
      </c>
    </row>
    <row r="1692" spans="1:51" customFormat="1" x14ac:dyDescent="0.25">
      <c r="A1692" t="s">
        <v>107</v>
      </c>
      <c r="B1692" t="s">
        <v>1973</v>
      </c>
      <c r="C1692" t="s">
        <v>6090</v>
      </c>
      <c r="D1692" t="s">
        <v>1974</v>
      </c>
      <c r="E1692" t="s">
        <v>1975</v>
      </c>
      <c r="F1692" t="s">
        <v>261</v>
      </c>
      <c r="I1692" t="s">
        <v>1976</v>
      </c>
      <c r="J1692" t="s">
        <v>37</v>
      </c>
      <c r="K1692" t="s">
        <v>32</v>
      </c>
      <c r="L1692" t="s">
        <v>35</v>
      </c>
      <c r="S1692">
        <v>1</v>
      </c>
      <c r="T1692">
        <v>3</v>
      </c>
      <c r="AM1692">
        <v>1</v>
      </c>
      <c r="AN1692">
        <v>25</v>
      </c>
      <c r="AQ1692">
        <v>28</v>
      </c>
      <c r="AR1692" s="3">
        <f t="shared" si="78"/>
        <v>5</v>
      </c>
      <c r="AS1692" s="3">
        <f t="shared" si="79"/>
        <v>1</v>
      </c>
      <c r="AT1692" s="3" t="str">
        <f>IF(OR(Registered!AM1692&gt;0,Registered!AO1692&gt;0),(IF(Registered!E1692=0,"Size Not Specified",Registered!E1692)),"")</f>
        <v>m</v>
      </c>
      <c r="AU1692" s="3" t="str">
        <f>IF(Registered!AE1692=0,"",IF(Registered!AE1692=1,Registered!AE1692&amp;" Bandana",Registered!AE1692&amp;" Bandanas"))</f>
        <v/>
      </c>
      <c r="AV1692" s="3">
        <f t="shared" si="80"/>
        <v>1</v>
      </c>
      <c r="AW1692" s="2" t="str">
        <f>IF(Registered!AV1692=0,"",IF(Registered!AV1692=1,Registered!AV1692&amp;" Meal",Registered!AV1692&amp;" Meals"))</f>
        <v>1 Meal</v>
      </c>
      <c r="AX1692" s="2" t="str">
        <f>IF(Registered!AI1692=0,"",Registered!AI1692&amp;" BG")</f>
        <v/>
      </c>
      <c r="AY1692" s="2" t="str">
        <f>IF(Registered!AG1692=0,"",Registered!AG1692&amp;" DustMask")</f>
        <v/>
      </c>
    </row>
    <row r="1693" spans="1:51" customFormat="1" x14ac:dyDescent="0.25">
      <c r="A1693" t="s">
        <v>296</v>
      </c>
      <c r="B1693" t="s">
        <v>5279</v>
      </c>
      <c r="C1693" t="s">
        <v>6090</v>
      </c>
      <c r="G1693" t="s">
        <v>3050</v>
      </c>
      <c r="H1693" t="s">
        <v>5001</v>
      </c>
      <c r="I1693" t="s">
        <v>5003</v>
      </c>
      <c r="J1693" t="s">
        <v>37</v>
      </c>
      <c r="K1693" t="s">
        <v>32</v>
      </c>
      <c r="L1693" t="s">
        <v>35</v>
      </c>
      <c r="AQ1693">
        <v>0</v>
      </c>
      <c r="AR1693" s="3">
        <f t="shared" si="78"/>
        <v>0</v>
      </c>
      <c r="AS1693" s="3">
        <f t="shared" si="79"/>
        <v>0</v>
      </c>
      <c r="AT1693" s="3" t="str">
        <f>IF(OR(Registered!AM1693&gt;0,Registered!AO1693&gt;0),(IF(Registered!E1693=0,"Size Not Specified",Registered!E1693)),"")</f>
        <v/>
      </c>
      <c r="AU1693" s="3" t="str">
        <f>IF(Registered!AE1693=0,"",IF(Registered!AE1693=1,Registered!AE1693&amp;" Bandana",Registered!AE1693&amp;" Bandanas"))</f>
        <v/>
      </c>
      <c r="AV1693" s="3">
        <f t="shared" si="80"/>
        <v>0</v>
      </c>
      <c r="AW1693" s="2" t="str">
        <f>IF(Registered!AV1693=0,"",IF(Registered!AV1693=1,Registered!AV1693&amp;" Meal",Registered!AV1693&amp;" Meals"))</f>
        <v/>
      </c>
      <c r="AX1693" s="2" t="str">
        <f>IF(Registered!AI1693=0,"",Registered!AI1693&amp;" BG")</f>
        <v/>
      </c>
      <c r="AY1693" s="2" t="str">
        <f>IF(Registered!AG1693=0,"",Registered!AG1693&amp;" DustMask")</f>
        <v/>
      </c>
    </row>
    <row r="1694" spans="1:51" customFormat="1" x14ac:dyDescent="0.25">
      <c r="A1694" t="s">
        <v>445</v>
      </c>
      <c r="B1694" t="s">
        <v>242</v>
      </c>
      <c r="C1694" t="s">
        <v>6090</v>
      </c>
      <c r="F1694" t="s">
        <v>261</v>
      </c>
      <c r="I1694" t="s">
        <v>1977</v>
      </c>
      <c r="J1694" t="s">
        <v>37</v>
      </c>
      <c r="K1694" t="s">
        <v>32</v>
      </c>
      <c r="L1694" t="s">
        <v>35</v>
      </c>
      <c r="Q1694">
        <v>1</v>
      </c>
      <c r="R1694">
        <v>3</v>
      </c>
      <c r="AC1694">
        <v>1</v>
      </c>
      <c r="AD1694">
        <v>10</v>
      </c>
      <c r="AQ1694">
        <v>13</v>
      </c>
      <c r="AR1694" s="3">
        <f t="shared" si="78"/>
        <v>5</v>
      </c>
      <c r="AS1694" s="3">
        <f t="shared" si="79"/>
        <v>0</v>
      </c>
      <c r="AT1694" s="3" t="str">
        <f>IF(OR(Registered!AM1694&gt;0,Registered!AO1694&gt;0),(IF(Registered!E1694=0,"Size Not Specified",Registered!E1694)),"")</f>
        <v/>
      </c>
      <c r="AU1694" s="3" t="str">
        <f>IF(Registered!AE1694=0,"",IF(Registered!AE1694=1,Registered!AE1694&amp;" Bandana",Registered!AE1694&amp;" Bandanas"))</f>
        <v/>
      </c>
      <c r="AV1694" s="3">
        <f t="shared" si="80"/>
        <v>0</v>
      </c>
      <c r="AW1694" s="2" t="str">
        <f>IF(Registered!AV1694=0,"",IF(Registered!AV1694=1,Registered!AV1694&amp;" Meal",Registered!AV1694&amp;" Meals"))</f>
        <v/>
      </c>
      <c r="AX1694" s="2" t="str">
        <f>IF(Registered!AI1694=0,"",Registered!AI1694&amp;" BG")</f>
        <v/>
      </c>
      <c r="AY1694" s="2" t="str">
        <f>IF(Registered!AG1694=0,"",Registered!AG1694&amp;" DustMask")</f>
        <v/>
      </c>
    </row>
    <row r="1695" spans="1:51" customFormat="1" x14ac:dyDescent="0.25">
      <c r="A1695" t="s">
        <v>1978</v>
      </c>
      <c r="B1695" t="s">
        <v>242</v>
      </c>
      <c r="C1695" t="s">
        <v>6090</v>
      </c>
      <c r="G1695" t="s">
        <v>389</v>
      </c>
      <c r="H1695" t="s">
        <v>1200</v>
      </c>
      <c r="I1695" t="s">
        <v>1202</v>
      </c>
      <c r="J1695" t="s">
        <v>37</v>
      </c>
      <c r="K1695" t="s">
        <v>32</v>
      </c>
      <c r="L1695" t="s">
        <v>35</v>
      </c>
      <c r="AQ1695">
        <v>0</v>
      </c>
      <c r="AR1695" s="3">
        <f t="shared" si="78"/>
        <v>0</v>
      </c>
      <c r="AS1695" s="3">
        <f t="shared" si="79"/>
        <v>0</v>
      </c>
      <c r="AT1695" s="3" t="str">
        <f>IF(OR(Registered!AM1695&gt;0,Registered!AO1695&gt;0),(IF(Registered!E1695=0,"Size Not Specified",Registered!E1695)),"")</f>
        <v/>
      </c>
      <c r="AU1695" s="3" t="str">
        <f>IF(Registered!AE1695=0,"",IF(Registered!AE1695=1,Registered!AE1695&amp;" Bandana",Registered!AE1695&amp;" Bandanas"))</f>
        <v/>
      </c>
      <c r="AV1695" s="3">
        <f t="shared" si="80"/>
        <v>0</v>
      </c>
      <c r="AW1695" s="2" t="str">
        <f>IF(Registered!AV1695=0,"",IF(Registered!AV1695=1,Registered!AV1695&amp;" Meal",Registered!AV1695&amp;" Meals"))</f>
        <v/>
      </c>
      <c r="AX1695" s="2" t="str">
        <f>IF(Registered!AI1695=0,"",Registered!AI1695&amp;" BG")</f>
        <v/>
      </c>
      <c r="AY1695" s="2" t="str">
        <f>IF(Registered!AG1695=0,"",Registered!AG1695&amp;" DustMask")</f>
        <v/>
      </c>
    </row>
    <row r="1696" spans="1:51" customFormat="1" x14ac:dyDescent="0.25">
      <c r="A1696" t="s">
        <v>1443</v>
      </c>
      <c r="B1696" t="s">
        <v>5280</v>
      </c>
      <c r="C1696" t="s">
        <v>6090</v>
      </c>
      <c r="G1696" t="s">
        <v>153</v>
      </c>
      <c r="H1696" t="s">
        <v>5281</v>
      </c>
      <c r="I1696" t="s">
        <v>5282</v>
      </c>
      <c r="J1696" t="s">
        <v>37</v>
      </c>
      <c r="K1696" t="s">
        <v>32</v>
      </c>
      <c r="L1696" t="s">
        <v>35</v>
      </c>
      <c r="AQ1696">
        <v>0</v>
      </c>
      <c r="AR1696" s="3">
        <f t="shared" si="78"/>
        <v>0</v>
      </c>
      <c r="AS1696" s="3">
        <f t="shared" si="79"/>
        <v>0</v>
      </c>
      <c r="AT1696" s="3" t="str">
        <f>IF(OR(Registered!AM1696&gt;0,Registered!AO1696&gt;0),(IF(Registered!E1696=0,"Size Not Specified",Registered!E1696)),"")</f>
        <v/>
      </c>
      <c r="AU1696" s="3" t="str">
        <f>IF(Registered!AE1696=0,"",IF(Registered!AE1696=1,Registered!AE1696&amp;" Bandana",Registered!AE1696&amp;" Bandanas"))</f>
        <v/>
      </c>
      <c r="AV1696" s="3">
        <f t="shared" si="80"/>
        <v>0</v>
      </c>
      <c r="AW1696" s="2" t="str">
        <f>IF(Registered!AV1696=0,"",IF(Registered!AV1696=1,Registered!AV1696&amp;" Meal",Registered!AV1696&amp;" Meals"))</f>
        <v/>
      </c>
      <c r="AX1696" s="2" t="str">
        <f>IF(Registered!AI1696=0,"",Registered!AI1696&amp;" BG")</f>
        <v/>
      </c>
      <c r="AY1696" s="2" t="str">
        <f>IF(Registered!AG1696=0,"",Registered!AG1696&amp;" DustMask")</f>
        <v/>
      </c>
    </row>
    <row r="1697" spans="1:51" customFormat="1" x14ac:dyDescent="0.25">
      <c r="A1697" t="s">
        <v>3225</v>
      </c>
      <c r="B1697" t="s">
        <v>3226</v>
      </c>
      <c r="C1697" t="s">
        <v>6090</v>
      </c>
      <c r="G1697" t="s">
        <v>248</v>
      </c>
      <c r="H1697" t="s">
        <v>2867</v>
      </c>
      <c r="I1697" t="s">
        <v>2888</v>
      </c>
      <c r="J1697" t="s">
        <v>37</v>
      </c>
      <c r="K1697" t="s">
        <v>32</v>
      </c>
      <c r="L1697" t="s">
        <v>35</v>
      </c>
      <c r="AQ1697">
        <v>0</v>
      </c>
      <c r="AR1697" s="3">
        <f t="shared" si="78"/>
        <v>0</v>
      </c>
      <c r="AS1697" s="3">
        <f t="shared" si="79"/>
        <v>0</v>
      </c>
      <c r="AT1697" s="3" t="str">
        <f>IF(OR(Registered!AM1697&gt;0,Registered!AO1697&gt;0),(IF(Registered!E1697=0,"Size Not Specified",Registered!E1697)),"")</f>
        <v/>
      </c>
      <c r="AU1697" s="3" t="str">
        <f>IF(Registered!AE1697=0,"",IF(Registered!AE1697=1,Registered!AE1697&amp;" Bandana",Registered!AE1697&amp;" Bandanas"))</f>
        <v/>
      </c>
      <c r="AV1697" s="3">
        <f t="shared" si="80"/>
        <v>0</v>
      </c>
      <c r="AW1697" s="2" t="str">
        <f>IF(Registered!AV1697=0,"",IF(Registered!AV1697=1,Registered!AV1697&amp;" Meal",Registered!AV1697&amp;" Meals"))</f>
        <v/>
      </c>
      <c r="AX1697" s="2" t="str">
        <f>IF(Registered!AI1697=0,"",Registered!AI1697&amp;" BG")</f>
        <v/>
      </c>
      <c r="AY1697" s="2" t="str">
        <f>IF(Registered!AG1697=0,"",Registered!AG1697&amp;" DustMask")</f>
        <v/>
      </c>
    </row>
    <row r="1698" spans="1:51" customFormat="1" x14ac:dyDescent="0.25">
      <c r="A1698" t="s">
        <v>2370</v>
      </c>
      <c r="B1698" t="s">
        <v>5283</v>
      </c>
      <c r="C1698" t="s">
        <v>6090</v>
      </c>
      <c r="G1698" t="s">
        <v>5284</v>
      </c>
      <c r="H1698" t="s">
        <v>5283</v>
      </c>
      <c r="I1698" t="s">
        <v>5285</v>
      </c>
      <c r="J1698" t="s">
        <v>37</v>
      </c>
      <c r="K1698" t="s">
        <v>32</v>
      </c>
      <c r="L1698" t="s">
        <v>35</v>
      </c>
      <c r="AQ1698">
        <v>0</v>
      </c>
      <c r="AR1698" s="3">
        <f t="shared" si="78"/>
        <v>0</v>
      </c>
      <c r="AS1698" s="3">
        <f t="shared" si="79"/>
        <v>0</v>
      </c>
      <c r="AT1698" s="3" t="str">
        <f>IF(OR(Registered!AM1698&gt;0,Registered!AO1698&gt;0),(IF(Registered!E1698=0,"Size Not Specified",Registered!E1698)),"")</f>
        <v/>
      </c>
      <c r="AU1698" s="3" t="str">
        <f>IF(Registered!AE1698=0,"",IF(Registered!AE1698=1,Registered!AE1698&amp;" Bandana",Registered!AE1698&amp;" Bandanas"))</f>
        <v/>
      </c>
      <c r="AV1698" s="3">
        <f t="shared" si="80"/>
        <v>0</v>
      </c>
      <c r="AW1698" s="2" t="str">
        <f>IF(Registered!AV1698=0,"",IF(Registered!AV1698=1,Registered!AV1698&amp;" Meal",Registered!AV1698&amp;" Meals"))</f>
        <v/>
      </c>
      <c r="AX1698" s="2" t="str">
        <f>IF(Registered!AI1698=0,"",Registered!AI1698&amp;" BG")</f>
        <v/>
      </c>
      <c r="AY1698" s="2" t="str">
        <f>IF(Registered!AG1698=0,"",Registered!AG1698&amp;" DustMask")</f>
        <v/>
      </c>
    </row>
    <row r="1699" spans="1:51" customFormat="1" x14ac:dyDescent="0.25">
      <c r="A1699" t="s">
        <v>454</v>
      </c>
      <c r="B1699" t="s">
        <v>5283</v>
      </c>
      <c r="C1699" t="s">
        <v>6090</v>
      </c>
      <c r="G1699" t="s">
        <v>5284</v>
      </c>
      <c r="H1699" t="s">
        <v>5283</v>
      </c>
      <c r="I1699" t="s">
        <v>5285</v>
      </c>
      <c r="J1699" t="s">
        <v>37</v>
      </c>
      <c r="K1699" t="s">
        <v>32</v>
      </c>
      <c r="L1699" t="s">
        <v>35</v>
      </c>
      <c r="AQ1699">
        <v>0</v>
      </c>
      <c r="AR1699" s="3">
        <f t="shared" si="78"/>
        <v>0</v>
      </c>
      <c r="AS1699" s="3">
        <f t="shared" si="79"/>
        <v>0</v>
      </c>
      <c r="AT1699" s="3" t="str">
        <f>IF(OR(Registered!AM1699&gt;0,Registered!AO1699&gt;0),(IF(Registered!E1699=0,"Size Not Specified",Registered!E1699)),"")</f>
        <v/>
      </c>
      <c r="AU1699" s="3" t="str">
        <f>IF(Registered!AE1699=0,"",IF(Registered!AE1699=1,Registered!AE1699&amp;" Bandana",Registered!AE1699&amp;" Bandanas"))</f>
        <v/>
      </c>
      <c r="AV1699" s="3">
        <f t="shared" si="80"/>
        <v>0</v>
      </c>
      <c r="AW1699" s="2" t="str">
        <f>IF(Registered!AV1699=0,"",IF(Registered!AV1699=1,Registered!AV1699&amp;" Meal",Registered!AV1699&amp;" Meals"))</f>
        <v/>
      </c>
      <c r="AX1699" s="2" t="str">
        <f>IF(Registered!AI1699=0,"",Registered!AI1699&amp;" BG")</f>
        <v/>
      </c>
      <c r="AY1699" s="2" t="str">
        <f>IF(Registered!AG1699=0,"",Registered!AG1699&amp;" DustMask")</f>
        <v/>
      </c>
    </row>
    <row r="1700" spans="1:51" customFormat="1" x14ac:dyDescent="0.25">
      <c r="A1700" t="s">
        <v>5284</v>
      </c>
      <c r="B1700" t="s">
        <v>5283</v>
      </c>
      <c r="C1700" t="s">
        <v>6090</v>
      </c>
      <c r="D1700" t="s">
        <v>5284</v>
      </c>
      <c r="F1700" t="s">
        <v>261</v>
      </c>
      <c r="I1700" t="s">
        <v>5285</v>
      </c>
      <c r="J1700" t="s">
        <v>37</v>
      </c>
      <c r="K1700" t="s">
        <v>32</v>
      </c>
      <c r="L1700" t="s">
        <v>35</v>
      </c>
      <c r="Q1700">
        <v>3</v>
      </c>
      <c r="R1700">
        <v>3</v>
      </c>
      <c r="U1700">
        <v>1</v>
      </c>
      <c r="V1700">
        <v>20</v>
      </c>
      <c r="AQ1700">
        <v>29</v>
      </c>
      <c r="AR1700" s="3">
        <f t="shared" si="78"/>
        <v>10</v>
      </c>
      <c r="AS1700" s="3">
        <f t="shared" si="79"/>
        <v>0</v>
      </c>
      <c r="AT1700" s="3" t="str">
        <f>IF(OR(Registered!AM1700&gt;0,Registered!AO1700&gt;0),(IF(Registered!E1700=0,"Size Not Specified",Registered!E1700)),"")</f>
        <v/>
      </c>
      <c r="AU1700" s="3" t="str">
        <f>IF(Registered!AE1700=0,"",IF(Registered!AE1700=1,Registered!AE1700&amp;" Bandana",Registered!AE1700&amp;" Bandanas"))</f>
        <v/>
      </c>
      <c r="AV1700" s="3">
        <f t="shared" si="80"/>
        <v>0</v>
      </c>
      <c r="AW1700" s="2" t="str">
        <f>IF(Registered!AV1700=0,"",IF(Registered!AV1700=1,Registered!AV1700&amp;" Meal",Registered!AV1700&amp;" Meals"))</f>
        <v/>
      </c>
      <c r="AX1700" s="2" t="str">
        <f>IF(Registered!AI1700=0,"",Registered!AI1700&amp;" BG")</f>
        <v/>
      </c>
      <c r="AY1700" s="2" t="str">
        <f>IF(Registered!AG1700=0,"",Registered!AG1700&amp;" DustMask")</f>
        <v/>
      </c>
    </row>
    <row r="1701" spans="1:51" customFormat="1" x14ac:dyDescent="0.25">
      <c r="A1701" t="s">
        <v>3227</v>
      </c>
      <c r="B1701" t="s">
        <v>3228</v>
      </c>
      <c r="C1701" t="s">
        <v>6090</v>
      </c>
      <c r="D1701" t="s">
        <v>3229</v>
      </c>
      <c r="F1701" t="s">
        <v>261</v>
      </c>
      <c r="I1701" t="s">
        <v>3230</v>
      </c>
      <c r="J1701" t="s">
        <v>37</v>
      </c>
      <c r="K1701" t="s">
        <v>32</v>
      </c>
      <c r="L1701" t="s">
        <v>35</v>
      </c>
      <c r="Q1701">
        <v>1</v>
      </c>
      <c r="R1701">
        <v>3</v>
      </c>
      <c r="AC1701">
        <v>1</v>
      </c>
      <c r="AD1701">
        <v>10</v>
      </c>
      <c r="AE1701">
        <v>1</v>
      </c>
      <c r="AF1701">
        <v>6</v>
      </c>
      <c r="AQ1701">
        <v>19</v>
      </c>
      <c r="AR1701" s="3">
        <f t="shared" si="78"/>
        <v>5</v>
      </c>
      <c r="AS1701" s="3">
        <f t="shared" si="79"/>
        <v>0</v>
      </c>
      <c r="AT1701" s="3" t="str">
        <f>IF(OR(Registered!AM1701&gt;0,Registered!AO1701&gt;0),(IF(Registered!E1701=0,"Size Not Specified",Registered!E1701)),"")</f>
        <v/>
      </c>
      <c r="AU1701" s="3" t="str">
        <f>IF(Registered!AE1701=0,"",IF(Registered!AE1701=1,Registered!AE1701&amp;" Bandana",Registered!AE1701&amp;" Bandanas"))</f>
        <v>1 Bandana</v>
      </c>
      <c r="AV1701" s="3">
        <f t="shared" si="80"/>
        <v>0</v>
      </c>
      <c r="AW1701" s="2" t="str">
        <f>IF(Registered!AV1701=0,"",IF(Registered!AV1701=1,Registered!AV1701&amp;" Meal",Registered!AV1701&amp;" Meals"))</f>
        <v/>
      </c>
      <c r="AX1701" s="2" t="str">
        <f>IF(Registered!AI1701=0,"",Registered!AI1701&amp;" BG")</f>
        <v/>
      </c>
      <c r="AY1701" s="2" t="str">
        <f>IF(Registered!AG1701=0,"",Registered!AG1701&amp;" DustMask")</f>
        <v/>
      </c>
    </row>
    <row r="1702" spans="1:51" customFormat="1" x14ac:dyDescent="0.25">
      <c r="A1702" t="s">
        <v>265</v>
      </c>
      <c r="B1702" t="s">
        <v>1979</v>
      </c>
      <c r="C1702" t="s">
        <v>6090</v>
      </c>
      <c r="D1702" t="s">
        <v>70</v>
      </c>
      <c r="E1702" t="s">
        <v>67</v>
      </c>
      <c r="F1702" t="s">
        <v>261</v>
      </c>
      <c r="I1702" t="s">
        <v>1980</v>
      </c>
      <c r="J1702" t="s">
        <v>37</v>
      </c>
      <c r="K1702" t="s">
        <v>32</v>
      </c>
      <c r="L1702" t="s">
        <v>35</v>
      </c>
      <c r="S1702">
        <v>1</v>
      </c>
      <c r="T1702">
        <v>3</v>
      </c>
      <c r="AC1702">
        <v>1</v>
      </c>
      <c r="AD1702">
        <v>10</v>
      </c>
      <c r="AK1702">
        <v>1</v>
      </c>
      <c r="AL1702">
        <v>6</v>
      </c>
      <c r="AQ1702">
        <v>19</v>
      </c>
      <c r="AR1702" s="3">
        <f t="shared" si="78"/>
        <v>5</v>
      </c>
      <c r="AS1702" s="3">
        <f t="shared" si="79"/>
        <v>0</v>
      </c>
      <c r="AT1702" s="3" t="str">
        <f>IF(OR(Registered!AM1702&gt;0,Registered!AO1702&gt;0),(IF(Registered!E1702=0,"Size Not Specified",Registered!E1702)),"")</f>
        <v/>
      </c>
      <c r="AU1702" s="3" t="str">
        <f>IF(Registered!AE1702=0,"",IF(Registered!AE1702=1,Registered!AE1702&amp;" Bandana",Registered!AE1702&amp;" Bandanas"))</f>
        <v/>
      </c>
      <c r="AV1702" s="3">
        <f t="shared" si="80"/>
        <v>1</v>
      </c>
      <c r="AW1702" s="2" t="str">
        <f>IF(Registered!AV1702=0,"",IF(Registered!AV1702=1,Registered!AV1702&amp;" Meal",Registered!AV1702&amp;" Meals"))</f>
        <v>1 Meal</v>
      </c>
      <c r="AX1702" s="2" t="str">
        <f>IF(Registered!AI1702=0,"",Registered!AI1702&amp;" BG")</f>
        <v/>
      </c>
      <c r="AY1702" s="2" t="str">
        <f>IF(Registered!AG1702=0,"",Registered!AG1702&amp;" DustMask")</f>
        <v/>
      </c>
    </row>
    <row r="1703" spans="1:51" customFormat="1" x14ac:dyDescent="0.25">
      <c r="A1703" t="s">
        <v>1981</v>
      </c>
      <c r="B1703" t="s">
        <v>243</v>
      </c>
      <c r="C1703" t="s">
        <v>6090</v>
      </c>
      <c r="D1703" t="s">
        <v>1982</v>
      </c>
      <c r="F1703" t="s">
        <v>261</v>
      </c>
      <c r="I1703" t="s">
        <v>1983</v>
      </c>
      <c r="J1703" t="s">
        <v>37</v>
      </c>
      <c r="K1703" t="s">
        <v>32</v>
      </c>
      <c r="L1703" t="s">
        <v>35</v>
      </c>
      <c r="S1703">
        <v>2</v>
      </c>
      <c r="T1703">
        <v>3</v>
      </c>
      <c r="AC1703">
        <v>1</v>
      </c>
      <c r="AD1703">
        <v>10</v>
      </c>
      <c r="AQ1703">
        <v>16</v>
      </c>
      <c r="AR1703" s="3">
        <f t="shared" si="78"/>
        <v>5</v>
      </c>
      <c r="AS1703" s="3">
        <f t="shared" si="79"/>
        <v>0</v>
      </c>
      <c r="AT1703" s="3" t="str">
        <f>IF(OR(Registered!AM1703&gt;0,Registered!AO1703&gt;0),(IF(Registered!E1703=0,"Size Not Specified",Registered!E1703)),"")</f>
        <v/>
      </c>
      <c r="AU1703" s="3" t="str">
        <f>IF(Registered!AE1703=0,"",IF(Registered!AE1703=1,Registered!AE1703&amp;" Bandana",Registered!AE1703&amp;" Bandanas"))</f>
        <v/>
      </c>
      <c r="AV1703" s="3">
        <f t="shared" si="80"/>
        <v>0</v>
      </c>
      <c r="AW1703" s="2" t="str">
        <f>IF(Registered!AV1703=0,"",IF(Registered!AV1703=1,Registered!AV1703&amp;" Meal",Registered!AV1703&amp;" Meals"))</f>
        <v/>
      </c>
      <c r="AX1703" s="2" t="str">
        <f>IF(Registered!AI1703=0,"",Registered!AI1703&amp;" BG")</f>
        <v/>
      </c>
      <c r="AY1703" s="2" t="str">
        <f>IF(Registered!AG1703=0,"",Registered!AG1703&amp;" DustMask")</f>
        <v/>
      </c>
    </row>
    <row r="1704" spans="1:51" customFormat="1" x14ac:dyDescent="0.25">
      <c r="A1704" t="s">
        <v>1984</v>
      </c>
      <c r="B1704" t="s">
        <v>243</v>
      </c>
      <c r="C1704" t="s">
        <v>6090</v>
      </c>
      <c r="G1704" t="s">
        <v>1981</v>
      </c>
      <c r="H1704" t="s">
        <v>243</v>
      </c>
      <c r="I1704" t="s">
        <v>1983</v>
      </c>
      <c r="J1704" t="s">
        <v>37</v>
      </c>
      <c r="K1704" t="s">
        <v>32</v>
      </c>
      <c r="L1704" t="s">
        <v>35</v>
      </c>
      <c r="AQ1704">
        <v>0</v>
      </c>
      <c r="AR1704" s="3">
        <f t="shared" si="78"/>
        <v>0</v>
      </c>
      <c r="AS1704" s="3">
        <f t="shared" si="79"/>
        <v>0</v>
      </c>
      <c r="AT1704" s="3" t="str">
        <f>IF(OR(Registered!AM1704&gt;0,Registered!AO1704&gt;0),(IF(Registered!E1704=0,"Size Not Specified",Registered!E1704)),"")</f>
        <v/>
      </c>
      <c r="AU1704" s="3" t="str">
        <f>IF(Registered!AE1704=0,"",IF(Registered!AE1704=1,Registered!AE1704&amp;" Bandana",Registered!AE1704&amp;" Bandanas"))</f>
        <v/>
      </c>
      <c r="AV1704" s="3">
        <f t="shared" si="80"/>
        <v>0</v>
      </c>
      <c r="AW1704" s="2" t="str">
        <f>IF(Registered!AV1704=0,"",IF(Registered!AV1704=1,Registered!AV1704&amp;" Meal",Registered!AV1704&amp;" Meals"))</f>
        <v/>
      </c>
      <c r="AX1704" s="2" t="str">
        <f>IF(Registered!AI1704=0,"",Registered!AI1704&amp;" BG")</f>
        <v/>
      </c>
      <c r="AY1704" s="2" t="str">
        <f>IF(Registered!AG1704=0,"",Registered!AG1704&amp;" DustMask")</f>
        <v/>
      </c>
    </row>
    <row r="1705" spans="1:51" customFormat="1" x14ac:dyDescent="0.25">
      <c r="A1705" t="s">
        <v>1985</v>
      </c>
      <c r="B1705" t="s">
        <v>243</v>
      </c>
      <c r="C1705" t="s">
        <v>6090</v>
      </c>
      <c r="G1705" t="s">
        <v>174</v>
      </c>
      <c r="H1705" t="s">
        <v>865</v>
      </c>
      <c r="I1705" t="s">
        <v>866</v>
      </c>
      <c r="J1705" t="s">
        <v>37</v>
      </c>
      <c r="K1705" t="s">
        <v>32</v>
      </c>
      <c r="L1705" t="s">
        <v>35</v>
      </c>
      <c r="AQ1705">
        <v>0</v>
      </c>
      <c r="AR1705" s="3">
        <f t="shared" si="78"/>
        <v>0</v>
      </c>
      <c r="AS1705" s="3">
        <f t="shared" si="79"/>
        <v>0</v>
      </c>
      <c r="AT1705" s="3" t="str">
        <f>IF(OR(Registered!AM1705&gt;0,Registered!AO1705&gt;0),(IF(Registered!E1705=0,"Size Not Specified",Registered!E1705)),"")</f>
        <v/>
      </c>
      <c r="AU1705" s="3" t="str">
        <f>IF(Registered!AE1705=0,"",IF(Registered!AE1705=1,Registered!AE1705&amp;" Bandana",Registered!AE1705&amp;" Bandanas"))</f>
        <v/>
      </c>
      <c r="AV1705" s="3">
        <f t="shared" si="80"/>
        <v>0</v>
      </c>
      <c r="AW1705" s="2" t="str">
        <f>IF(Registered!AV1705=0,"",IF(Registered!AV1705=1,Registered!AV1705&amp;" Meal",Registered!AV1705&amp;" Meals"))</f>
        <v/>
      </c>
      <c r="AX1705" s="2" t="str">
        <f>IF(Registered!AI1705=0,"",Registered!AI1705&amp;" BG")</f>
        <v/>
      </c>
      <c r="AY1705" s="2" t="str">
        <f>IF(Registered!AG1705=0,"",Registered!AG1705&amp;" DustMask")</f>
        <v/>
      </c>
    </row>
    <row r="1706" spans="1:51" customFormat="1" x14ac:dyDescent="0.25">
      <c r="A1706" t="s">
        <v>1869</v>
      </c>
      <c r="B1706" t="s">
        <v>243</v>
      </c>
      <c r="C1706" t="s">
        <v>6090</v>
      </c>
      <c r="D1706" t="s">
        <v>5287</v>
      </c>
      <c r="F1706" t="s">
        <v>261</v>
      </c>
      <c r="I1706" t="s">
        <v>5288</v>
      </c>
      <c r="J1706" t="s">
        <v>37</v>
      </c>
      <c r="K1706" t="s">
        <v>32</v>
      </c>
      <c r="L1706" t="s">
        <v>35</v>
      </c>
      <c r="Q1706">
        <v>2</v>
      </c>
      <c r="R1706">
        <v>3</v>
      </c>
      <c r="U1706">
        <v>1</v>
      </c>
      <c r="V1706">
        <v>20</v>
      </c>
      <c r="AQ1706">
        <v>26</v>
      </c>
      <c r="AR1706" s="3">
        <f t="shared" si="78"/>
        <v>10</v>
      </c>
      <c r="AS1706" s="3">
        <f t="shared" si="79"/>
        <v>0</v>
      </c>
      <c r="AT1706" s="3" t="str">
        <f>IF(OR(Registered!AM1706&gt;0,Registered!AO1706&gt;0),(IF(Registered!E1706=0,"Size Not Specified",Registered!E1706)),"")</f>
        <v/>
      </c>
      <c r="AU1706" s="3" t="str">
        <f>IF(Registered!AE1706=0,"",IF(Registered!AE1706=1,Registered!AE1706&amp;" Bandana",Registered!AE1706&amp;" Bandanas"))</f>
        <v/>
      </c>
      <c r="AV1706" s="3">
        <f t="shared" si="80"/>
        <v>0</v>
      </c>
      <c r="AW1706" s="2" t="str">
        <f>IF(Registered!AV1706=0,"",IF(Registered!AV1706=1,Registered!AV1706&amp;" Meal",Registered!AV1706&amp;" Meals"))</f>
        <v/>
      </c>
      <c r="AX1706" s="2" t="str">
        <f>IF(Registered!AI1706=0,"",Registered!AI1706&amp;" BG")</f>
        <v/>
      </c>
      <c r="AY1706" s="2" t="str">
        <f>IF(Registered!AG1706=0,"",Registered!AG1706&amp;" DustMask")</f>
        <v/>
      </c>
    </row>
    <row r="1707" spans="1:51" customFormat="1" x14ac:dyDescent="0.25">
      <c r="A1707" t="s">
        <v>1986</v>
      </c>
      <c r="B1707" t="s">
        <v>333</v>
      </c>
      <c r="C1707" t="s">
        <v>6090</v>
      </c>
      <c r="D1707" t="s">
        <v>1986</v>
      </c>
      <c r="I1707" t="s">
        <v>1987</v>
      </c>
      <c r="J1707" t="s">
        <v>37</v>
      </c>
      <c r="K1707" t="s">
        <v>32</v>
      </c>
      <c r="L1707" t="s">
        <v>35</v>
      </c>
      <c r="S1707">
        <v>3</v>
      </c>
      <c r="T1707">
        <v>3</v>
      </c>
      <c r="U1707">
        <v>1</v>
      </c>
      <c r="V1707">
        <v>20</v>
      </c>
      <c r="AQ1707">
        <v>29</v>
      </c>
      <c r="AR1707" s="3">
        <f t="shared" si="78"/>
        <v>10</v>
      </c>
      <c r="AS1707" s="3">
        <f t="shared" si="79"/>
        <v>0</v>
      </c>
      <c r="AT1707" s="3" t="str">
        <f>IF(OR(Registered!AM1707&gt;0,Registered!AO1707&gt;0),(IF(Registered!E1707=0,"Size Not Specified",Registered!E1707)),"")</f>
        <v/>
      </c>
      <c r="AU1707" s="3" t="str">
        <f>IF(Registered!AE1707=0,"",IF(Registered!AE1707=1,Registered!AE1707&amp;" Bandana",Registered!AE1707&amp;" Bandanas"))</f>
        <v/>
      </c>
      <c r="AV1707" s="3">
        <f t="shared" si="80"/>
        <v>0</v>
      </c>
      <c r="AW1707" s="2" t="str">
        <f>IF(Registered!AV1707=0,"",IF(Registered!AV1707=1,Registered!AV1707&amp;" Meal",Registered!AV1707&amp;" Meals"))</f>
        <v/>
      </c>
      <c r="AX1707" s="2" t="str">
        <f>IF(Registered!AI1707=0,"",Registered!AI1707&amp;" BG")</f>
        <v/>
      </c>
      <c r="AY1707" s="2" t="str">
        <f>IF(Registered!AG1707=0,"",Registered!AG1707&amp;" DustMask")</f>
        <v/>
      </c>
    </row>
    <row r="1708" spans="1:51" customFormat="1" x14ac:dyDescent="0.25">
      <c r="A1708" t="s">
        <v>297</v>
      </c>
      <c r="B1708" t="s">
        <v>228</v>
      </c>
      <c r="C1708" t="s">
        <v>6090</v>
      </c>
      <c r="G1708" t="s">
        <v>137</v>
      </c>
      <c r="H1708" t="s">
        <v>3231</v>
      </c>
      <c r="I1708" t="s">
        <v>3232</v>
      </c>
      <c r="J1708" t="s">
        <v>37</v>
      </c>
      <c r="K1708" t="s">
        <v>32</v>
      </c>
      <c r="L1708" t="s">
        <v>35</v>
      </c>
      <c r="AQ1708">
        <v>0</v>
      </c>
      <c r="AR1708" s="3">
        <f t="shared" si="78"/>
        <v>0</v>
      </c>
      <c r="AS1708" s="3">
        <f t="shared" si="79"/>
        <v>0</v>
      </c>
      <c r="AT1708" s="3" t="str">
        <f>IF(OR(Registered!AM1708&gt;0,Registered!AO1708&gt;0),(IF(Registered!E1708=0,"Size Not Specified",Registered!E1708)),"")</f>
        <v/>
      </c>
      <c r="AU1708" s="3" t="str">
        <f>IF(Registered!AE1708=0,"",IF(Registered!AE1708=1,Registered!AE1708&amp;" Bandana",Registered!AE1708&amp;" Bandanas"))</f>
        <v/>
      </c>
      <c r="AV1708" s="3">
        <f t="shared" si="80"/>
        <v>0</v>
      </c>
      <c r="AW1708" s="2" t="str">
        <f>IF(Registered!AV1708=0,"",IF(Registered!AV1708=1,Registered!AV1708&amp;" Meal",Registered!AV1708&amp;" Meals"))</f>
        <v/>
      </c>
      <c r="AX1708" s="2" t="str">
        <f>IF(Registered!AI1708=0,"",Registered!AI1708&amp;" BG")</f>
        <v/>
      </c>
      <c r="AY1708" s="2" t="str">
        <f>IF(Registered!AG1708=0,"",Registered!AG1708&amp;" DustMask")</f>
        <v/>
      </c>
    </row>
    <row r="1709" spans="1:51" customFormat="1" x14ac:dyDescent="0.25">
      <c r="A1709" t="s">
        <v>265</v>
      </c>
      <c r="B1709" t="s">
        <v>228</v>
      </c>
      <c r="C1709" t="s">
        <v>6090</v>
      </c>
      <c r="G1709" t="s">
        <v>434</v>
      </c>
      <c r="H1709" t="s">
        <v>943</v>
      </c>
      <c r="I1709" t="s">
        <v>3938</v>
      </c>
      <c r="J1709" t="s">
        <v>37</v>
      </c>
      <c r="K1709" t="s">
        <v>32</v>
      </c>
      <c r="L1709" t="s">
        <v>35</v>
      </c>
      <c r="AQ1709">
        <v>0</v>
      </c>
      <c r="AR1709" s="3">
        <f t="shared" si="78"/>
        <v>0</v>
      </c>
      <c r="AS1709" s="3">
        <f t="shared" si="79"/>
        <v>0</v>
      </c>
      <c r="AT1709" s="3" t="str">
        <f>IF(OR(Registered!AM1709&gt;0,Registered!AO1709&gt;0),(IF(Registered!E1709=0,"Size Not Specified",Registered!E1709)),"")</f>
        <v/>
      </c>
      <c r="AU1709" s="3" t="str">
        <f>IF(Registered!AE1709=0,"",IF(Registered!AE1709=1,Registered!AE1709&amp;" Bandana",Registered!AE1709&amp;" Bandanas"))</f>
        <v/>
      </c>
      <c r="AV1709" s="3">
        <f t="shared" si="80"/>
        <v>0</v>
      </c>
      <c r="AW1709" s="2" t="str">
        <f>IF(Registered!AV1709=0,"",IF(Registered!AV1709=1,Registered!AV1709&amp;" Meal",Registered!AV1709&amp;" Meals"))</f>
        <v/>
      </c>
      <c r="AX1709" s="2" t="str">
        <f>IF(Registered!AI1709=0,"",Registered!AI1709&amp;" BG")</f>
        <v/>
      </c>
      <c r="AY1709" s="2" t="str">
        <f>IF(Registered!AG1709=0,"",Registered!AG1709&amp;" DustMask")</f>
        <v/>
      </c>
    </row>
    <row r="1710" spans="1:51" customFormat="1" x14ac:dyDescent="0.25">
      <c r="A1710" t="s">
        <v>155</v>
      </c>
      <c r="B1710" t="s">
        <v>228</v>
      </c>
      <c r="C1710" t="s">
        <v>6090</v>
      </c>
      <c r="G1710" t="s">
        <v>5290</v>
      </c>
      <c r="H1710" t="s">
        <v>228</v>
      </c>
      <c r="I1710" t="s">
        <v>5291</v>
      </c>
      <c r="J1710" t="s">
        <v>37</v>
      </c>
      <c r="K1710" t="s">
        <v>32</v>
      </c>
      <c r="L1710" t="s">
        <v>35</v>
      </c>
      <c r="AQ1710">
        <v>0</v>
      </c>
      <c r="AR1710" s="3">
        <f t="shared" si="78"/>
        <v>0</v>
      </c>
      <c r="AS1710" s="3">
        <f t="shared" si="79"/>
        <v>0</v>
      </c>
      <c r="AT1710" s="3" t="str">
        <f>IF(OR(Registered!AM1710&gt;0,Registered!AO1710&gt;0),(IF(Registered!E1710=0,"Size Not Specified",Registered!E1710)),"")</f>
        <v/>
      </c>
      <c r="AU1710" s="3" t="str">
        <f>IF(Registered!AE1710=0,"",IF(Registered!AE1710=1,Registered!AE1710&amp;" Bandana",Registered!AE1710&amp;" Bandanas"))</f>
        <v/>
      </c>
      <c r="AV1710" s="3">
        <f t="shared" si="80"/>
        <v>0</v>
      </c>
      <c r="AW1710" s="2" t="str">
        <f>IF(Registered!AV1710=0,"",IF(Registered!AV1710=1,Registered!AV1710&amp;" Meal",Registered!AV1710&amp;" Meals"))</f>
        <v/>
      </c>
      <c r="AX1710" s="2" t="str">
        <f>IF(Registered!AI1710=0,"",Registered!AI1710&amp;" BG")</f>
        <v/>
      </c>
      <c r="AY1710" s="2" t="str">
        <f>IF(Registered!AG1710=0,"",Registered!AG1710&amp;" DustMask")</f>
        <v/>
      </c>
    </row>
    <row r="1711" spans="1:51" customFormat="1" x14ac:dyDescent="0.25">
      <c r="A1711" t="s">
        <v>5290</v>
      </c>
      <c r="B1711" t="s">
        <v>228</v>
      </c>
      <c r="C1711" t="s">
        <v>6090</v>
      </c>
      <c r="D1711" t="s">
        <v>5292</v>
      </c>
      <c r="F1711" t="s">
        <v>261</v>
      </c>
      <c r="I1711" t="s">
        <v>5291</v>
      </c>
      <c r="J1711" t="s">
        <v>37</v>
      </c>
      <c r="K1711" t="s">
        <v>32</v>
      </c>
      <c r="L1711" t="s">
        <v>35</v>
      </c>
      <c r="Q1711">
        <v>2</v>
      </c>
      <c r="R1711">
        <v>3</v>
      </c>
      <c r="U1711">
        <v>1</v>
      </c>
      <c r="V1711">
        <v>20</v>
      </c>
      <c r="AQ1711">
        <v>26</v>
      </c>
      <c r="AR1711" s="3">
        <f t="shared" si="78"/>
        <v>10</v>
      </c>
      <c r="AS1711" s="3">
        <f t="shared" si="79"/>
        <v>0</v>
      </c>
      <c r="AT1711" s="3" t="str">
        <f>IF(OR(Registered!AM1711&gt;0,Registered!AO1711&gt;0),(IF(Registered!E1711=0,"Size Not Specified",Registered!E1711)),"")</f>
        <v/>
      </c>
      <c r="AU1711" s="3" t="str">
        <f>IF(Registered!AE1711=0,"",IF(Registered!AE1711=1,Registered!AE1711&amp;" Bandana",Registered!AE1711&amp;" Bandanas"))</f>
        <v/>
      </c>
      <c r="AV1711" s="3">
        <f t="shared" si="80"/>
        <v>0</v>
      </c>
      <c r="AW1711" s="2" t="str">
        <f>IF(Registered!AV1711=0,"",IF(Registered!AV1711=1,Registered!AV1711&amp;" Meal",Registered!AV1711&amp;" Meals"))</f>
        <v/>
      </c>
      <c r="AX1711" s="2" t="str">
        <f>IF(Registered!AI1711=0,"",Registered!AI1711&amp;" BG")</f>
        <v/>
      </c>
      <c r="AY1711" s="2" t="str">
        <f>IF(Registered!AG1711=0,"",Registered!AG1711&amp;" DustMask")</f>
        <v/>
      </c>
    </row>
    <row r="1712" spans="1:51" customFormat="1" x14ac:dyDescent="0.25">
      <c r="A1712" t="s">
        <v>184</v>
      </c>
      <c r="B1712" t="s">
        <v>1441</v>
      </c>
      <c r="C1712" t="s">
        <v>6090</v>
      </c>
      <c r="G1712" t="s">
        <v>263</v>
      </c>
      <c r="H1712" t="s">
        <v>1140</v>
      </c>
      <c r="I1712" t="s">
        <v>4252</v>
      </c>
      <c r="J1712" t="s">
        <v>37</v>
      </c>
      <c r="K1712" t="s">
        <v>32</v>
      </c>
      <c r="L1712" t="s">
        <v>35</v>
      </c>
      <c r="AQ1712">
        <v>0</v>
      </c>
      <c r="AR1712" s="3">
        <f t="shared" si="78"/>
        <v>0</v>
      </c>
      <c r="AS1712" s="3">
        <f t="shared" si="79"/>
        <v>0</v>
      </c>
      <c r="AT1712" s="3" t="str">
        <f>IF(OR(Registered!AM1712&gt;0,Registered!AO1712&gt;0),(IF(Registered!E1712=0,"Size Not Specified",Registered!E1712)),"")</f>
        <v/>
      </c>
      <c r="AU1712" s="3" t="str">
        <f>IF(Registered!AE1712=0,"",IF(Registered!AE1712=1,Registered!AE1712&amp;" Bandana",Registered!AE1712&amp;" Bandanas"))</f>
        <v/>
      </c>
      <c r="AV1712" s="3">
        <f t="shared" si="80"/>
        <v>0</v>
      </c>
      <c r="AW1712" s="2" t="str">
        <f>IF(Registered!AV1712=0,"",IF(Registered!AV1712=1,Registered!AV1712&amp;" Meal",Registered!AV1712&amp;" Meals"))</f>
        <v/>
      </c>
      <c r="AX1712" s="2" t="str">
        <f>IF(Registered!AI1712=0,"",Registered!AI1712&amp;" BG")</f>
        <v/>
      </c>
      <c r="AY1712" s="2" t="str">
        <f>IF(Registered!AG1712=0,"",Registered!AG1712&amp;" DustMask")</f>
        <v/>
      </c>
    </row>
    <row r="1713" spans="1:51" customFormat="1" x14ac:dyDescent="0.25">
      <c r="A1713" t="s">
        <v>1988</v>
      </c>
      <c r="B1713" t="s">
        <v>1441</v>
      </c>
      <c r="C1713" t="s">
        <v>6090</v>
      </c>
      <c r="G1713" t="s">
        <v>56</v>
      </c>
      <c r="H1713" t="s">
        <v>101</v>
      </c>
      <c r="I1713" t="s">
        <v>613</v>
      </c>
      <c r="J1713" t="s">
        <v>37</v>
      </c>
      <c r="K1713" t="s">
        <v>32</v>
      </c>
      <c r="L1713" t="s">
        <v>35</v>
      </c>
      <c r="AQ1713">
        <v>0</v>
      </c>
      <c r="AR1713" s="3">
        <f t="shared" si="78"/>
        <v>0</v>
      </c>
      <c r="AS1713" s="3">
        <f t="shared" si="79"/>
        <v>0</v>
      </c>
      <c r="AT1713" s="3" t="str">
        <f>IF(OR(Registered!AM1713&gt;0,Registered!AO1713&gt;0),(IF(Registered!E1713=0,"Size Not Specified",Registered!E1713)),"")</f>
        <v/>
      </c>
      <c r="AU1713" s="3" t="str">
        <f>IF(Registered!AE1713=0,"",IF(Registered!AE1713=1,Registered!AE1713&amp;" Bandana",Registered!AE1713&amp;" Bandanas"))</f>
        <v/>
      </c>
      <c r="AV1713" s="3">
        <f t="shared" si="80"/>
        <v>0</v>
      </c>
      <c r="AW1713" s="2" t="str">
        <f>IF(Registered!AV1713=0,"",IF(Registered!AV1713=1,Registered!AV1713&amp;" Meal",Registered!AV1713&amp;" Meals"))</f>
        <v/>
      </c>
      <c r="AX1713" s="2" t="str">
        <f>IF(Registered!AI1713=0,"",Registered!AI1713&amp;" BG")</f>
        <v/>
      </c>
      <c r="AY1713" s="2" t="str">
        <f>IF(Registered!AG1713=0,"",Registered!AG1713&amp;" DustMask")</f>
        <v/>
      </c>
    </row>
    <row r="1714" spans="1:51" customFormat="1" x14ac:dyDescent="0.25">
      <c r="A1714" t="s">
        <v>331</v>
      </c>
      <c r="B1714" t="s">
        <v>5293</v>
      </c>
      <c r="C1714" t="s">
        <v>6090</v>
      </c>
      <c r="G1714" t="s">
        <v>4447</v>
      </c>
      <c r="H1714" t="s">
        <v>4448</v>
      </c>
      <c r="I1714" t="s">
        <v>4449</v>
      </c>
      <c r="J1714" t="s">
        <v>37</v>
      </c>
      <c r="K1714" t="s">
        <v>32</v>
      </c>
      <c r="L1714" t="s">
        <v>35</v>
      </c>
      <c r="AQ1714">
        <v>0</v>
      </c>
      <c r="AR1714" s="3">
        <f t="shared" si="78"/>
        <v>0</v>
      </c>
      <c r="AS1714" s="3">
        <f t="shared" si="79"/>
        <v>0</v>
      </c>
      <c r="AT1714" s="3" t="str">
        <f>IF(OR(Registered!AM1714&gt;0,Registered!AO1714&gt;0),(IF(Registered!E1714=0,"Size Not Specified",Registered!E1714)),"")</f>
        <v/>
      </c>
      <c r="AU1714" s="3" t="str">
        <f>IF(Registered!AE1714=0,"",IF(Registered!AE1714=1,Registered!AE1714&amp;" Bandana",Registered!AE1714&amp;" Bandanas"))</f>
        <v/>
      </c>
      <c r="AV1714" s="3">
        <f t="shared" si="80"/>
        <v>0</v>
      </c>
      <c r="AW1714" s="2" t="str">
        <f>IF(Registered!AV1714=0,"",IF(Registered!AV1714=1,Registered!AV1714&amp;" Meal",Registered!AV1714&amp;" Meals"))</f>
        <v/>
      </c>
      <c r="AX1714" s="2" t="str">
        <f>IF(Registered!AI1714=0,"",Registered!AI1714&amp;" BG")</f>
        <v/>
      </c>
      <c r="AY1714" s="2" t="str">
        <f>IF(Registered!AG1714=0,"",Registered!AG1714&amp;" DustMask")</f>
        <v/>
      </c>
    </row>
    <row r="1715" spans="1:51" customFormat="1" x14ac:dyDescent="0.25">
      <c r="A1715" t="s">
        <v>174</v>
      </c>
      <c r="B1715" t="s">
        <v>865</v>
      </c>
      <c r="C1715" t="s">
        <v>6090</v>
      </c>
      <c r="D1715" t="s">
        <v>1989</v>
      </c>
      <c r="E1715" t="s">
        <v>1990</v>
      </c>
      <c r="F1715" t="s">
        <v>261</v>
      </c>
      <c r="I1715" t="s">
        <v>866</v>
      </c>
      <c r="J1715" t="s">
        <v>37</v>
      </c>
      <c r="K1715" t="s">
        <v>32</v>
      </c>
      <c r="L1715" t="s">
        <v>35</v>
      </c>
      <c r="S1715">
        <v>5</v>
      </c>
      <c r="T1715">
        <v>3</v>
      </c>
      <c r="AQ1715">
        <v>15</v>
      </c>
      <c r="AR1715" s="3">
        <f t="shared" si="78"/>
        <v>0</v>
      </c>
      <c r="AS1715" s="3">
        <f t="shared" si="79"/>
        <v>0</v>
      </c>
      <c r="AT1715" s="3" t="str">
        <f>IF(OR(Registered!AM1715&gt;0,Registered!AO1715&gt;0),(IF(Registered!E1715=0,"Size Not Specified",Registered!E1715)),"")</f>
        <v/>
      </c>
      <c r="AU1715" s="3" t="str">
        <f>IF(Registered!AE1715=0,"",IF(Registered!AE1715=1,Registered!AE1715&amp;" Bandana",Registered!AE1715&amp;" Bandanas"))</f>
        <v/>
      </c>
      <c r="AV1715" s="3">
        <f t="shared" si="80"/>
        <v>0</v>
      </c>
      <c r="AW1715" s="2" t="str">
        <f>IF(Registered!AV1715=0,"",IF(Registered!AV1715=1,Registered!AV1715&amp;" Meal",Registered!AV1715&amp;" Meals"))</f>
        <v/>
      </c>
      <c r="AX1715" s="2" t="str">
        <f>IF(Registered!AI1715=0,"",Registered!AI1715&amp;" BG")</f>
        <v/>
      </c>
      <c r="AY1715" s="2" t="str">
        <f>IF(Registered!AG1715=0,"",Registered!AG1715&amp;" DustMask")</f>
        <v/>
      </c>
    </row>
    <row r="1716" spans="1:51" customFormat="1" x14ac:dyDescent="0.25">
      <c r="A1716" t="s">
        <v>43</v>
      </c>
      <c r="B1716" t="s">
        <v>4145</v>
      </c>
      <c r="C1716" t="s">
        <v>6090</v>
      </c>
      <c r="D1716" t="s">
        <v>5295</v>
      </c>
      <c r="F1716" t="s">
        <v>261</v>
      </c>
      <c r="I1716" t="s">
        <v>4146</v>
      </c>
      <c r="J1716" t="s">
        <v>37</v>
      </c>
      <c r="K1716" t="s">
        <v>32</v>
      </c>
      <c r="L1716" t="s">
        <v>35</v>
      </c>
      <c r="Q1716">
        <v>2</v>
      </c>
      <c r="R1716">
        <v>3</v>
      </c>
      <c r="W1716">
        <v>1</v>
      </c>
      <c r="X1716">
        <v>40</v>
      </c>
      <c r="AE1716">
        <v>2</v>
      </c>
      <c r="AF1716">
        <v>6</v>
      </c>
      <c r="AQ1716">
        <v>58</v>
      </c>
      <c r="AR1716" s="3">
        <f t="shared" si="78"/>
        <v>20</v>
      </c>
      <c r="AS1716" s="3">
        <f t="shared" si="79"/>
        <v>0</v>
      </c>
      <c r="AT1716" s="3" t="str">
        <f>IF(OR(Registered!AM1716&gt;0,Registered!AO1716&gt;0),(IF(Registered!E1716=0,"Size Not Specified",Registered!E1716)),"")</f>
        <v/>
      </c>
      <c r="AU1716" s="3" t="str">
        <f>IF(Registered!AE1716=0,"",IF(Registered!AE1716=1,Registered!AE1716&amp;" Bandana",Registered!AE1716&amp;" Bandanas"))</f>
        <v>2 Bandanas</v>
      </c>
      <c r="AV1716" s="3">
        <f t="shared" si="80"/>
        <v>0</v>
      </c>
      <c r="AW1716" s="2" t="str">
        <f>IF(Registered!AV1716=0,"",IF(Registered!AV1716=1,Registered!AV1716&amp;" Meal",Registered!AV1716&amp;" Meals"))</f>
        <v/>
      </c>
      <c r="AX1716" s="2" t="str">
        <f>IF(Registered!AI1716=0,"",Registered!AI1716&amp;" BG")</f>
        <v/>
      </c>
      <c r="AY1716" s="2" t="str">
        <f>IF(Registered!AG1716=0,"",Registered!AG1716&amp;" DustMask")</f>
        <v/>
      </c>
    </row>
    <row r="1717" spans="1:51" customFormat="1" x14ac:dyDescent="0.25">
      <c r="A1717" t="s">
        <v>64</v>
      </c>
      <c r="B1717" t="s">
        <v>5296</v>
      </c>
      <c r="C1717" t="s">
        <v>6090</v>
      </c>
      <c r="G1717" t="s">
        <v>4101</v>
      </c>
      <c r="H1717" t="s">
        <v>129</v>
      </c>
      <c r="I1717" t="s">
        <v>4103</v>
      </c>
      <c r="J1717" t="s">
        <v>37</v>
      </c>
      <c r="K1717" t="s">
        <v>32</v>
      </c>
      <c r="L1717" t="s">
        <v>35</v>
      </c>
      <c r="AQ1717">
        <v>0</v>
      </c>
      <c r="AR1717" s="3">
        <f t="shared" si="78"/>
        <v>0</v>
      </c>
      <c r="AS1717" s="3">
        <f t="shared" si="79"/>
        <v>0</v>
      </c>
      <c r="AT1717" s="3" t="str">
        <f>IF(OR(Registered!AM1717&gt;0,Registered!AO1717&gt;0),(IF(Registered!E1717=0,"Size Not Specified",Registered!E1717)),"")</f>
        <v/>
      </c>
      <c r="AU1717" s="3" t="str">
        <f>IF(Registered!AE1717=0,"",IF(Registered!AE1717=1,Registered!AE1717&amp;" Bandana",Registered!AE1717&amp;" Bandanas"))</f>
        <v/>
      </c>
      <c r="AV1717" s="3">
        <f t="shared" si="80"/>
        <v>0</v>
      </c>
      <c r="AW1717" s="2" t="str">
        <f>IF(Registered!AV1717=0,"",IF(Registered!AV1717=1,Registered!AV1717&amp;" Meal",Registered!AV1717&amp;" Meals"))</f>
        <v/>
      </c>
      <c r="AX1717" s="2" t="str">
        <f>IF(Registered!AI1717=0,"",Registered!AI1717&amp;" BG")</f>
        <v/>
      </c>
      <c r="AY1717" s="2" t="str">
        <f>IF(Registered!AG1717=0,"",Registered!AG1717&amp;" DustMask")</f>
        <v/>
      </c>
    </row>
    <row r="1718" spans="1:51" customFormat="1" x14ac:dyDescent="0.25">
      <c r="A1718" t="s">
        <v>150</v>
      </c>
      <c r="B1718" t="s">
        <v>5297</v>
      </c>
      <c r="C1718" t="s">
        <v>6090</v>
      </c>
      <c r="D1718" t="s">
        <v>5298</v>
      </c>
      <c r="F1718" t="s">
        <v>261</v>
      </c>
      <c r="I1718" t="s">
        <v>5299</v>
      </c>
      <c r="J1718" t="s">
        <v>37</v>
      </c>
      <c r="K1718" t="s">
        <v>32</v>
      </c>
      <c r="L1718" t="s">
        <v>35</v>
      </c>
      <c r="Q1718">
        <v>2</v>
      </c>
      <c r="R1718">
        <v>3</v>
      </c>
      <c r="U1718">
        <v>1</v>
      </c>
      <c r="V1718">
        <v>20</v>
      </c>
      <c r="AQ1718">
        <v>26</v>
      </c>
      <c r="AR1718" s="3">
        <f t="shared" si="78"/>
        <v>10</v>
      </c>
      <c r="AS1718" s="3">
        <f t="shared" si="79"/>
        <v>0</v>
      </c>
      <c r="AT1718" s="3" t="str">
        <f>IF(OR(Registered!AM1718&gt;0,Registered!AO1718&gt;0),(IF(Registered!E1718=0,"Size Not Specified",Registered!E1718)),"")</f>
        <v/>
      </c>
      <c r="AU1718" s="3" t="str">
        <f>IF(Registered!AE1718=0,"",IF(Registered!AE1718=1,Registered!AE1718&amp;" Bandana",Registered!AE1718&amp;" Bandanas"))</f>
        <v/>
      </c>
      <c r="AV1718" s="3">
        <f t="shared" si="80"/>
        <v>0</v>
      </c>
      <c r="AW1718" s="2" t="str">
        <f>IF(Registered!AV1718=0,"",IF(Registered!AV1718=1,Registered!AV1718&amp;" Meal",Registered!AV1718&amp;" Meals"))</f>
        <v/>
      </c>
      <c r="AX1718" s="2" t="str">
        <f>IF(Registered!AI1718=0,"",Registered!AI1718&amp;" BG")</f>
        <v/>
      </c>
      <c r="AY1718" s="2" t="str">
        <f>IF(Registered!AG1718=0,"",Registered!AG1718&amp;" DustMask")</f>
        <v/>
      </c>
    </row>
    <row r="1719" spans="1:51" customFormat="1" x14ac:dyDescent="0.25">
      <c r="A1719" t="s">
        <v>2700</v>
      </c>
      <c r="B1719" t="s">
        <v>5297</v>
      </c>
      <c r="C1719" t="s">
        <v>6090</v>
      </c>
      <c r="G1719" t="s">
        <v>4569</v>
      </c>
      <c r="H1719" t="s">
        <v>4570</v>
      </c>
      <c r="I1719" t="s">
        <v>4571</v>
      </c>
      <c r="J1719" t="s">
        <v>37</v>
      </c>
      <c r="K1719" t="s">
        <v>32</v>
      </c>
      <c r="L1719" t="s">
        <v>35</v>
      </c>
      <c r="AQ1719">
        <v>0</v>
      </c>
      <c r="AR1719" s="3">
        <f t="shared" si="78"/>
        <v>0</v>
      </c>
      <c r="AS1719" s="3">
        <f t="shared" si="79"/>
        <v>0</v>
      </c>
      <c r="AT1719" s="3" t="str">
        <f>IF(OR(Registered!AM1719&gt;0,Registered!AO1719&gt;0),(IF(Registered!E1719=0,"Size Not Specified",Registered!E1719)),"")</f>
        <v/>
      </c>
      <c r="AU1719" s="3" t="str">
        <f>IF(Registered!AE1719=0,"",IF(Registered!AE1719=1,Registered!AE1719&amp;" Bandana",Registered!AE1719&amp;" Bandanas"))</f>
        <v/>
      </c>
      <c r="AV1719" s="3">
        <f t="shared" si="80"/>
        <v>0</v>
      </c>
      <c r="AW1719" s="2" t="str">
        <f>IF(Registered!AV1719=0,"",IF(Registered!AV1719=1,Registered!AV1719&amp;" Meal",Registered!AV1719&amp;" Meals"))</f>
        <v/>
      </c>
      <c r="AX1719" s="2" t="str">
        <f>IF(Registered!AI1719=0,"",Registered!AI1719&amp;" BG")</f>
        <v/>
      </c>
      <c r="AY1719" s="2" t="str">
        <f>IF(Registered!AG1719=0,"",Registered!AG1719&amp;" DustMask")</f>
        <v/>
      </c>
    </row>
    <row r="1720" spans="1:51" customFormat="1" x14ac:dyDescent="0.25">
      <c r="A1720" t="s">
        <v>3153</v>
      </c>
      <c r="B1720" t="s">
        <v>3236</v>
      </c>
      <c r="C1720" t="s">
        <v>6090</v>
      </c>
      <c r="G1720" t="s">
        <v>88</v>
      </c>
      <c r="H1720" t="s">
        <v>3236</v>
      </c>
      <c r="I1720" t="s">
        <v>3237</v>
      </c>
      <c r="J1720" t="s">
        <v>37</v>
      </c>
      <c r="K1720" t="s">
        <v>32</v>
      </c>
      <c r="L1720" t="s">
        <v>35</v>
      </c>
      <c r="AQ1720">
        <v>0</v>
      </c>
      <c r="AR1720" s="3">
        <f t="shared" si="78"/>
        <v>0</v>
      </c>
      <c r="AS1720" s="3">
        <f t="shared" si="79"/>
        <v>0</v>
      </c>
      <c r="AT1720" s="3" t="str">
        <f>IF(OR(Registered!AM1720&gt;0,Registered!AO1720&gt;0),(IF(Registered!E1720=0,"Size Not Specified",Registered!E1720)),"")</f>
        <v/>
      </c>
      <c r="AU1720" s="3" t="str">
        <f>IF(Registered!AE1720=0,"",IF(Registered!AE1720=1,Registered!AE1720&amp;" Bandana",Registered!AE1720&amp;" Bandanas"))</f>
        <v/>
      </c>
      <c r="AV1720" s="3">
        <f t="shared" si="80"/>
        <v>0</v>
      </c>
      <c r="AW1720" s="2" t="str">
        <f>IF(Registered!AV1720=0,"",IF(Registered!AV1720=1,Registered!AV1720&amp;" Meal",Registered!AV1720&amp;" Meals"))</f>
        <v/>
      </c>
      <c r="AX1720" s="2" t="str">
        <f>IF(Registered!AI1720=0,"",Registered!AI1720&amp;" BG")</f>
        <v/>
      </c>
      <c r="AY1720" s="2" t="str">
        <f>IF(Registered!AG1720=0,"",Registered!AG1720&amp;" DustMask")</f>
        <v/>
      </c>
    </row>
    <row r="1721" spans="1:51" customFormat="1" x14ac:dyDescent="0.25">
      <c r="A1721" t="s">
        <v>92</v>
      </c>
      <c r="B1721" t="s">
        <v>3236</v>
      </c>
      <c r="C1721" t="s">
        <v>6090</v>
      </c>
      <c r="G1721" t="s">
        <v>88</v>
      </c>
      <c r="H1721" t="s">
        <v>3236</v>
      </c>
      <c r="I1721" t="s">
        <v>3237</v>
      </c>
      <c r="J1721" t="s">
        <v>37</v>
      </c>
      <c r="K1721" t="s">
        <v>32</v>
      </c>
      <c r="L1721" t="s">
        <v>35</v>
      </c>
      <c r="AQ1721">
        <v>0</v>
      </c>
      <c r="AR1721" s="3">
        <f t="shared" si="78"/>
        <v>0</v>
      </c>
      <c r="AS1721" s="3">
        <f t="shared" si="79"/>
        <v>0</v>
      </c>
      <c r="AT1721" s="3" t="str">
        <f>IF(OR(Registered!AM1721&gt;0,Registered!AO1721&gt;0),(IF(Registered!E1721=0,"Size Not Specified",Registered!E1721)),"")</f>
        <v/>
      </c>
      <c r="AU1721" s="3" t="str">
        <f>IF(Registered!AE1721=0,"",IF(Registered!AE1721=1,Registered!AE1721&amp;" Bandana",Registered!AE1721&amp;" Bandanas"))</f>
        <v/>
      </c>
      <c r="AV1721" s="3">
        <f t="shared" si="80"/>
        <v>0</v>
      </c>
      <c r="AW1721" s="2" t="str">
        <f>IF(Registered!AV1721=0,"",IF(Registered!AV1721=1,Registered!AV1721&amp;" Meal",Registered!AV1721&amp;" Meals"))</f>
        <v/>
      </c>
      <c r="AX1721" s="2" t="str">
        <f>IF(Registered!AI1721=0,"",Registered!AI1721&amp;" BG")</f>
        <v/>
      </c>
      <c r="AY1721" s="2" t="str">
        <f>IF(Registered!AG1721=0,"",Registered!AG1721&amp;" DustMask")</f>
        <v/>
      </c>
    </row>
    <row r="1722" spans="1:51" customFormat="1" x14ac:dyDescent="0.25">
      <c r="A1722" t="s">
        <v>319</v>
      </c>
      <c r="B1722" t="s">
        <v>3236</v>
      </c>
      <c r="C1722" t="s">
        <v>6090</v>
      </c>
      <c r="G1722" t="s">
        <v>88</v>
      </c>
      <c r="H1722" t="s">
        <v>3236</v>
      </c>
      <c r="I1722" t="s">
        <v>3238</v>
      </c>
      <c r="J1722" t="s">
        <v>37</v>
      </c>
      <c r="K1722" t="s">
        <v>32</v>
      </c>
      <c r="L1722" t="s">
        <v>35</v>
      </c>
      <c r="AQ1722">
        <v>0</v>
      </c>
      <c r="AR1722" s="3">
        <f t="shared" si="78"/>
        <v>0</v>
      </c>
      <c r="AS1722" s="3">
        <f t="shared" si="79"/>
        <v>0</v>
      </c>
      <c r="AT1722" s="3" t="str">
        <f>IF(OR(Registered!AM1722&gt;0,Registered!AO1722&gt;0),(IF(Registered!E1722=0,"Size Not Specified",Registered!E1722)),"")</f>
        <v/>
      </c>
      <c r="AU1722" s="3" t="str">
        <f>IF(Registered!AE1722=0,"",IF(Registered!AE1722=1,Registered!AE1722&amp;" Bandana",Registered!AE1722&amp;" Bandanas"))</f>
        <v/>
      </c>
      <c r="AV1722" s="3">
        <f t="shared" si="80"/>
        <v>0</v>
      </c>
      <c r="AW1722" s="2" t="str">
        <f>IF(Registered!AV1722=0,"",IF(Registered!AV1722=1,Registered!AV1722&amp;" Meal",Registered!AV1722&amp;" Meals"))</f>
        <v/>
      </c>
      <c r="AX1722" s="2" t="str">
        <f>IF(Registered!AI1722=0,"",Registered!AI1722&amp;" BG")</f>
        <v/>
      </c>
      <c r="AY1722" s="2" t="str">
        <f>IF(Registered!AG1722=0,"",Registered!AG1722&amp;" DustMask")</f>
        <v/>
      </c>
    </row>
    <row r="1723" spans="1:51" customFormat="1" x14ac:dyDescent="0.25">
      <c r="A1723" t="s">
        <v>88</v>
      </c>
      <c r="B1723" t="s">
        <v>3236</v>
      </c>
      <c r="C1723" t="s">
        <v>6090</v>
      </c>
      <c r="D1723" t="s">
        <v>88</v>
      </c>
      <c r="F1723" t="s">
        <v>261</v>
      </c>
      <c r="I1723" t="s">
        <v>3238</v>
      </c>
      <c r="J1723" t="s">
        <v>37</v>
      </c>
      <c r="K1723" t="s">
        <v>32</v>
      </c>
      <c r="L1723" t="s">
        <v>35</v>
      </c>
      <c r="Q1723">
        <v>4</v>
      </c>
      <c r="R1723">
        <v>3</v>
      </c>
      <c r="AC1723">
        <v>2</v>
      </c>
      <c r="AD1723">
        <v>10</v>
      </c>
      <c r="AQ1723">
        <v>32</v>
      </c>
      <c r="AR1723" s="3">
        <f t="shared" si="78"/>
        <v>10</v>
      </c>
      <c r="AS1723" s="3">
        <f t="shared" si="79"/>
        <v>0</v>
      </c>
      <c r="AT1723" s="3" t="str">
        <f>IF(OR(Registered!AM1723&gt;0,Registered!AO1723&gt;0),(IF(Registered!E1723=0,"Size Not Specified",Registered!E1723)),"")</f>
        <v/>
      </c>
      <c r="AU1723" s="3" t="str">
        <f>IF(Registered!AE1723=0,"",IF(Registered!AE1723=1,Registered!AE1723&amp;" Bandana",Registered!AE1723&amp;" Bandanas"))</f>
        <v/>
      </c>
      <c r="AV1723" s="3">
        <f t="shared" si="80"/>
        <v>0</v>
      </c>
      <c r="AW1723" s="2" t="str">
        <f>IF(Registered!AV1723=0,"",IF(Registered!AV1723=1,Registered!AV1723&amp;" Meal",Registered!AV1723&amp;" Meals"))</f>
        <v/>
      </c>
      <c r="AX1723" s="2" t="str">
        <f>IF(Registered!AI1723=0,"",Registered!AI1723&amp;" BG")</f>
        <v/>
      </c>
      <c r="AY1723" s="2" t="str">
        <f>IF(Registered!AG1723=0,"",Registered!AG1723&amp;" DustMask")</f>
        <v/>
      </c>
    </row>
    <row r="1724" spans="1:51" customFormat="1" x14ac:dyDescent="0.25">
      <c r="A1724" t="s">
        <v>1991</v>
      </c>
      <c r="B1724" t="s">
        <v>1992</v>
      </c>
      <c r="C1724" t="s">
        <v>6090</v>
      </c>
      <c r="G1724" t="s">
        <v>1758</v>
      </c>
      <c r="H1724" t="s">
        <v>302</v>
      </c>
      <c r="I1724" t="s">
        <v>1759</v>
      </c>
      <c r="J1724" t="s">
        <v>37</v>
      </c>
      <c r="K1724" t="s">
        <v>32</v>
      </c>
      <c r="L1724" t="s">
        <v>35</v>
      </c>
      <c r="AQ1724">
        <v>0</v>
      </c>
      <c r="AR1724" s="3">
        <f t="shared" si="78"/>
        <v>0</v>
      </c>
      <c r="AS1724" s="3">
        <f t="shared" si="79"/>
        <v>0</v>
      </c>
      <c r="AT1724" s="3" t="str">
        <f>IF(OR(Registered!AM1724&gt;0,Registered!AO1724&gt;0),(IF(Registered!E1724=0,"Size Not Specified",Registered!E1724)),"")</f>
        <v/>
      </c>
      <c r="AU1724" s="3" t="str">
        <f>IF(Registered!AE1724=0,"",IF(Registered!AE1724=1,Registered!AE1724&amp;" Bandana",Registered!AE1724&amp;" Bandanas"))</f>
        <v/>
      </c>
      <c r="AV1724" s="3">
        <f t="shared" si="80"/>
        <v>0</v>
      </c>
      <c r="AW1724" s="2" t="str">
        <f>IF(Registered!AV1724=0,"",IF(Registered!AV1724=1,Registered!AV1724&amp;" Meal",Registered!AV1724&amp;" Meals"))</f>
        <v/>
      </c>
      <c r="AX1724" s="2" t="str">
        <f>IF(Registered!AI1724=0,"",Registered!AI1724&amp;" BG")</f>
        <v/>
      </c>
      <c r="AY1724" s="2" t="str">
        <f>IF(Registered!AG1724=0,"",Registered!AG1724&amp;" DustMask")</f>
        <v/>
      </c>
    </row>
    <row r="1725" spans="1:51" customFormat="1" x14ac:dyDescent="0.25">
      <c r="A1725" t="s">
        <v>475</v>
      </c>
      <c r="B1725" t="s">
        <v>476</v>
      </c>
      <c r="C1725" t="s">
        <v>6090</v>
      </c>
      <c r="G1725" t="s">
        <v>166</v>
      </c>
      <c r="H1725" t="s">
        <v>490</v>
      </c>
      <c r="I1725" t="s">
        <v>1993</v>
      </c>
      <c r="J1725" t="s">
        <v>37</v>
      </c>
      <c r="K1725" t="s">
        <v>32</v>
      </c>
      <c r="L1725" t="s">
        <v>35</v>
      </c>
      <c r="AQ1725">
        <v>0</v>
      </c>
      <c r="AR1725" s="3">
        <f t="shared" si="78"/>
        <v>0</v>
      </c>
      <c r="AS1725" s="3">
        <f t="shared" si="79"/>
        <v>0</v>
      </c>
      <c r="AT1725" s="3" t="str">
        <f>IF(OR(Registered!AM1725&gt;0,Registered!AO1725&gt;0),(IF(Registered!E1725=0,"Size Not Specified",Registered!E1725)),"")</f>
        <v/>
      </c>
      <c r="AU1725" s="3" t="str">
        <f>IF(Registered!AE1725=0,"",IF(Registered!AE1725=1,Registered!AE1725&amp;" Bandana",Registered!AE1725&amp;" Bandanas"))</f>
        <v/>
      </c>
      <c r="AV1725" s="3">
        <f t="shared" si="80"/>
        <v>0</v>
      </c>
      <c r="AW1725" s="2" t="str">
        <f>IF(Registered!AV1725=0,"",IF(Registered!AV1725=1,Registered!AV1725&amp;" Meal",Registered!AV1725&amp;" Meals"))</f>
        <v/>
      </c>
      <c r="AX1725" s="2" t="str">
        <f>IF(Registered!AI1725=0,"",Registered!AI1725&amp;" BG")</f>
        <v/>
      </c>
      <c r="AY1725" s="2" t="str">
        <f>IF(Registered!AG1725=0,"",Registered!AG1725&amp;" DustMask")</f>
        <v/>
      </c>
    </row>
    <row r="1726" spans="1:51" customFormat="1" x14ac:dyDescent="0.25">
      <c r="A1726" t="s">
        <v>385</v>
      </c>
      <c r="B1726" t="s">
        <v>5300</v>
      </c>
      <c r="C1726" t="s">
        <v>6090</v>
      </c>
      <c r="D1726" t="s">
        <v>5301</v>
      </c>
      <c r="F1726" t="s">
        <v>261</v>
      </c>
      <c r="I1726" t="s">
        <v>5302</v>
      </c>
      <c r="J1726" t="s">
        <v>37</v>
      </c>
      <c r="K1726" t="s">
        <v>32</v>
      </c>
      <c r="L1726" t="s">
        <v>35</v>
      </c>
      <c r="Q1726">
        <v>1</v>
      </c>
      <c r="R1726">
        <v>3</v>
      </c>
      <c r="U1726">
        <v>1</v>
      </c>
      <c r="V1726">
        <v>20</v>
      </c>
      <c r="AQ1726">
        <v>23</v>
      </c>
      <c r="AR1726" s="3">
        <f t="shared" si="78"/>
        <v>10</v>
      </c>
      <c r="AS1726" s="3">
        <f t="shared" si="79"/>
        <v>0</v>
      </c>
      <c r="AT1726" s="3" t="str">
        <f>IF(OR(Registered!AM1726&gt;0,Registered!AO1726&gt;0),(IF(Registered!E1726=0,"Size Not Specified",Registered!E1726)),"")</f>
        <v/>
      </c>
      <c r="AU1726" s="3" t="str">
        <f>IF(Registered!AE1726=0,"",IF(Registered!AE1726=1,Registered!AE1726&amp;" Bandana",Registered!AE1726&amp;" Bandanas"))</f>
        <v/>
      </c>
      <c r="AV1726" s="3">
        <f t="shared" si="80"/>
        <v>0</v>
      </c>
      <c r="AW1726" s="2" t="str">
        <f>IF(Registered!AV1726=0,"",IF(Registered!AV1726=1,Registered!AV1726&amp;" Meal",Registered!AV1726&amp;" Meals"))</f>
        <v/>
      </c>
      <c r="AX1726" s="2" t="str">
        <f>IF(Registered!AI1726=0,"",Registered!AI1726&amp;" BG")</f>
        <v/>
      </c>
      <c r="AY1726" s="2" t="str">
        <f>IF(Registered!AG1726=0,"",Registered!AG1726&amp;" DustMask")</f>
        <v/>
      </c>
    </row>
    <row r="1727" spans="1:51" customFormat="1" x14ac:dyDescent="0.25">
      <c r="A1727" t="s">
        <v>737</v>
      </c>
      <c r="B1727" t="s">
        <v>3899</v>
      </c>
      <c r="C1727" t="s">
        <v>6090</v>
      </c>
      <c r="D1727" t="s">
        <v>5303</v>
      </c>
      <c r="F1727" t="s">
        <v>261</v>
      </c>
      <c r="I1727" t="s">
        <v>3900</v>
      </c>
      <c r="J1727" t="s">
        <v>37</v>
      </c>
      <c r="K1727" t="s">
        <v>32</v>
      </c>
      <c r="L1727" t="s">
        <v>35</v>
      </c>
      <c r="Q1727">
        <v>2</v>
      </c>
      <c r="R1727">
        <v>3</v>
      </c>
      <c r="AC1727">
        <v>2</v>
      </c>
      <c r="AD1727">
        <v>10</v>
      </c>
      <c r="AQ1727">
        <v>26</v>
      </c>
      <c r="AR1727" s="3">
        <f t="shared" si="78"/>
        <v>10</v>
      </c>
      <c r="AS1727" s="3">
        <f t="shared" si="79"/>
        <v>0</v>
      </c>
      <c r="AT1727" s="3" t="str">
        <f>IF(OR(Registered!AM1727&gt;0,Registered!AO1727&gt;0),(IF(Registered!E1727=0,"Size Not Specified",Registered!E1727)),"")</f>
        <v/>
      </c>
      <c r="AU1727" s="3" t="str">
        <f>IF(Registered!AE1727=0,"",IF(Registered!AE1727=1,Registered!AE1727&amp;" Bandana",Registered!AE1727&amp;" Bandanas"))</f>
        <v/>
      </c>
      <c r="AV1727" s="3">
        <f t="shared" si="80"/>
        <v>0</v>
      </c>
      <c r="AW1727" s="2" t="str">
        <f>IF(Registered!AV1727=0,"",IF(Registered!AV1727=1,Registered!AV1727&amp;" Meal",Registered!AV1727&amp;" Meals"))</f>
        <v/>
      </c>
      <c r="AX1727" s="2" t="str">
        <f>IF(Registered!AI1727=0,"",Registered!AI1727&amp;" BG")</f>
        <v/>
      </c>
      <c r="AY1727" s="2" t="str">
        <f>IF(Registered!AG1727=0,"",Registered!AG1727&amp;" DustMask")</f>
        <v/>
      </c>
    </row>
    <row r="1728" spans="1:51" customFormat="1" x14ac:dyDescent="0.25">
      <c r="A1728" t="s">
        <v>207</v>
      </c>
      <c r="B1728" t="s">
        <v>1498</v>
      </c>
      <c r="C1728" t="s">
        <v>6090</v>
      </c>
      <c r="D1728" t="s">
        <v>1994</v>
      </c>
      <c r="F1728" t="s">
        <v>261</v>
      </c>
      <c r="I1728" t="s">
        <v>1499</v>
      </c>
      <c r="J1728" t="s">
        <v>37</v>
      </c>
      <c r="K1728" t="s">
        <v>32</v>
      </c>
      <c r="L1728" t="s">
        <v>35</v>
      </c>
      <c r="S1728">
        <v>2</v>
      </c>
      <c r="T1728">
        <v>3</v>
      </c>
      <c r="U1728">
        <v>1</v>
      </c>
      <c r="V1728">
        <v>20</v>
      </c>
      <c r="AQ1728">
        <v>26</v>
      </c>
      <c r="AR1728" s="3">
        <f t="shared" si="78"/>
        <v>10</v>
      </c>
      <c r="AS1728" s="3">
        <f t="shared" si="79"/>
        <v>0</v>
      </c>
      <c r="AT1728" s="3" t="str">
        <f>IF(OR(Registered!AM1728&gt;0,Registered!AO1728&gt;0),(IF(Registered!E1728=0,"Size Not Specified",Registered!E1728)),"")</f>
        <v/>
      </c>
      <c r="AU1728" s="3" t="str">
        <f>IF(Registered!AE1728=0,"",IF(Registered!AE1728=1,Registered!AE1728&amp;" Bandana",Registered!AE1728&amp;" Bandanas"))</f>
        <v/>
      </c>
      <c r="AV1728" s="3">
        <f t="shared" si="80"/>
        <v>0</v>
      </c>
      <c r="AW1728" s="2" t="str">
        <f>IF(Registered!AV1728=0,"",IF(Registered!AV1728=1,Registered!AV1728&amp;" Meal",Registered!AV1728&amp;" Meals"))</f>
        <v/>
      </c>
      <c r="AX1728" s="2" t="str">
        <f>IF(Registered!AI1728=0,"",Registered!AI1728&amp;" BG")</f>
        <v/>
      </c>
      <c r="AY1728" s="2" t="str">
        <f>IF(Registered!AG1728=0,"",Registered!AG1728&amp;" DustMask")</f>
        <v/>
      </c>
    </row>
    <row r="1729" spans="1:51" customFormat="1" x14ac:dyDescent="0.25">
      <c r="A1729" t="s">
        <v>149</v>
      </c>
      <c r="B1729" t="s">
        <v>1995</v>
      </c>
      <c r="C1729" t="s">
        <v>6090</v>
      </c>
      <c r="D1729" t="s">
        <v>1996</v>
      </c>
      <c r="I1729" t="s">
        <v>1997</v>
      </c>
      <c r="J1729" t="s">
        <v>37</v>
      </c>
      <c r="K1729" t="s">
        <v>32</v>
      </c>
      <c r="L1729" t="s">
        <v>35</v>
      </c>
      <c r="O1729">
        <v>1</v>
      </c>
      <c r="P1729">
        <v>3</v>
      </c>
      <c r="AC1729">
        <v>1</v>
      </c>
      <c r="AD1729">
        <v>10</v>
      </c>
      <c r="AQ1729">
        <v>13</v>
      </c>
      <c r="AR1729" s="3">
        <f t="shared" si="78"/>
        <v>5</v>
      </c>
      <c r="AS1729" s="3">
        <f t="shared" si="79"/>
        <v>0</v>
      </c>
      <c r="AT1729" s="3" t="str">
        <f>IF(OR(Registered!AM1729&gt;0,Registered!AO1729&gt;0),(IF(Registered!E1729=0,"Size Not Specified",Registered!E1729)),"")</f>
        <v/>
      </c>
      <c r="AU1729" s="3" t="str">
        <f>IF(Registered!AE1729=0,"",IF(Registered!AE1729=1,Registered!AE1729&amp;" Bandana",Registered!AE1729&amp;" Bandanas"))</f>
        <v/>
      </c>
      <c r="AV1729" s="3">
        <f t="shared" si="80"/>
        <v>0</v>
      </c>
      <c r="AW1729" s="2" t="str">
        <f>IF(Registered!AV1729=0,"",IF(Registered!AV1729=1,Registered!AV1729&amp;" Meal",Registered!AV1729&amp;" Meals"))</f>
        <v/>
      </c>
      <c r="AX1729" s="2" t="str">
        <f>IF(Registered!AI1729=0,"",Registered!AI1729&amp;" BG")</f>
        <v/>
      </c>
      <c r="AY1729" s="2" t="str">
        <f>IF(Registered!AG1729=0,"",Registered!AG1729&amp;" DustMask")</f>
        <v/>
      </c>
    </row>
    <row r="1730" spans="1:51" customFormat="1" x14ac:dyDescent="0.25">
      <c r="A1730" t="s">
        <v>1998</v>
      </c>
      <c r="B1730" t="s">
        <v>1999</v>
      </c>
      <c r="C1730" t="s">
        <v>6090</v>
      </c>
      <c r="G1730" t="s">
        <v>320</v>
      </c>
      <c r="H1730" t="s">
        <v>321</v>
      </c>
      <c r="I1730" t="s">
        <v>1307</v>
      </c>
      <c r="J1730" t="s">
        <v>37</v>
      </c>
      <c r="K1730" t="s">
        <v>32</v>
      </c>
      <c r="L1730" t="s">
        <v>35</v>
      </c>
      <c r="AQ1730">
        <v>0</v>
      </c>
      <c r="AR1730" s="3">
        <f t="shared" ref="AR1730:AR1793" si="81">IF(ISTEXT(AM1730)=TRUE,"",SUM(U1730*10,W1730*20,Y1730*30,AA1730*40,AC1730*5,AM1730*5))</f>
        <v>0</v>
      </c>
      <c r="AS1730" s="3">
        <f t="shared" ref="AS1730:AS1793" si="82">IF(ISTEXT(AM1730)=TRUE,"",SUM(AM1730,AO1730))</f>
        <v>0</v>
      </c>
      <c r="AT1730" s="3" t="str">
        <f>IF(OR(Registered!AM1730&gt;0,Registered!AO1730&gt;0),(IF(Registered!E1730=0,"Size Not Specified",Registered!E1730)),"")</f>
        <v/>
      </c>
      <c r="AU1730" s="3" t="str">
        <f>IF(Registered!AE1730=0,"",IF(Registered!AE1730=1,Registered!AE1730&amp;" Bandana",Registered!AE1730&amp;" Bandanas"))</f>
        <v/>
      </c>
      <c r="AV1730" s="3">
        <f t="shared" ref="AV1730:AV1793" si="83">IF(ISTEXT(AM1730)=TRUE,"",SUM(AM1730,AK1730))</f>
        <v>0</v>
      </c>
      <c r="AW1730" s="2" t="str">
        <f>IF(Registered!AV1730=0,"",IF(Registered!AV1730=1,Registered!AV1730&amp;" Meal",Registered!AV1730&amp;" Meals"))</f>
        <v/>
      </c>
      <c r="AX1730" s="2" t="str">
        <f>IF(Registered!AI1730=0,"",Registered!AI1730&amp;" BG")</f>
        <v/>
      </c>
      <c r="AY1730" s="2" t="str">
        <f>IF(Registered!AG1730=0,"",Registered!AG1730&amp;" DustMask")</f>
        <v/>
      </c>
    </row>
    <row r="1731" spans="1:51" customFormat="1" x14ac:dyDescent="0.25">
      <c r="A1731" t="s">
        <v>5305</v>
      </c>
      <c r="B1731" t="s">
        <v>5306</v>
      </c>
      <c r="C1731" t="s">
        <v>6090</v>
      </c>
      <c r="E1731" t="s">
        <v>2234</v>
      </c>
      <c r="F1731" t="s">
        <v>261</v>
      </c>
      <c r="I1731" t="s">
        <v>5307</v>
      </c>
      <c r="J1731" t="s">
        <v>37</v>
      </c>
      <c r="K1731" t="s">
        <v>32</v>
      </c>
      <c r="L1731" t="s">
        <v>35</v>
      </c>
      <c r="Q1731">
        <v>1</v>
      </c>
      <c r="R1731">
        <v>3</v>
      </c>
      <c r="AC1731">
        <v>1</v>
      </c>
      <c r="AD1731">
        <v>10</v>
      </c>
      <c r="AQ1731">
        <v>13</v>
      </c>
      <c r="AR1731" s="3">
        <f t="shared" si="81"/>
        <v>5</v>
      </c>
      <c r="AS1731" s="3">
        <f t="shared" si="82"/>
        <v>0</v>
      </c>
      <c r="AT1731" s="3" t="str">
        <f>IF(OR(Registered!AM1731&gt;0,Registered!AO1731&gt;0),(IF(Registered!E1731=0,"Size Not Specified",Registered!E1731)),"")</f>
        <v/>
      </c>
      <c r="AU1731" s="3" t="str">
        <f>IF(Registered!AE1731=0,"",IF(Registered!AE1731=1,Registered!AE1731&amp;" Bandana",Registered!AE1731&amp;" Bandanas"))</f>
        <v/>
      </c>
      <c r="AV1731" s="3">
        <f t="shared" si="83"/>
        <v>0</v>
      </c>
      <c r="AW1731" s="2" t="str">
        <f>IF(Registered!AV1731=0,"",IF(Registered!AV1731=1,Registered!AV1731&amp;" Meal",Registered!AV1731&amp;" Meals"))</f>
        <v/>
      </c>
      <c r="AX1731" s="2" t="str">
        <f>IF(Registered!AI1731=0,"",Registered!AI1731&amp;" BG")</f>
        <v/>
      </c>
      <c r="AY1731" s="2" t="str">
        <f>IF(Registered!AG1731=0,"",Registered!AG1731&amp;" DustMask")</f>
        <v/>
      </c>
    </row>
    <row r="1732" spans="1:51" customFormat="1" x14ac:dyDescent="0.25">
      <c r="A1732" t="s">
        <v>5308</v>
      </c>
      <c r="B1732" t="s">
        <v>3240</v>
      </c>
      <c r="C1732" t="s">
        <v>6090</v>
      </c>
      <c r="D1732" t="s">
        <v>5309</v>
      </c>
      <c r="F1732" t="s">
        <v>261</v>
      </c>
      <c r="I1732" t="s">
        <v>5310</v>
      </c>
      <c r="J1732" t="s">
        <v>37</v>
      </c>
      <c r="K1732" t="s">
        <v>32</v>
      </c>
      <c r="L1732" t="s">
        <v>35</v>
      </c>
      <c r="Q1732">
        <v>2</v>
      </c>
      <c r="R1732">
        <v>3</v>
      </c>
      <c r="U1732">
        <v>1</v>
      </c>
      <c r="V1732">
        <v>20</v>
      </c>
      <c r="AG1732">
        <v>1</v>
      </c>
      <c r="AH1732">
        <v>1</v>
      </c>
      <c r="AQ1732">
        <v>27</v>
      </c>
      <c r="AR1732" s="3">
        <f t="shared" si="81"/>
        <v>10</v>
      </c>
      <c r="AS1732" s="3">
        <f t="shared" si="82"/>
        <v>0</v>
      </c>
      <c r="AT1732" s="3" t="str">
        <f>IF(OR(Registered!AM1732&gt;0,Registered!AO1732&gt;0),(IF(Registered!E1732=0,"Size Not Specified",Registered!E1732)),"")</f>
        <v/>
      </c>
      <c r="AU1732" s="3" t="str">
        <f>IF(Registered!AE1732=0,"",IF(Registered!AE1732=1,Registered!AE1732&amp;" Bandana",Registered!AE1732&amp;" Bandanas"))</f>
        <v/>
      </c>
      <c r="AV1732" s="3">
        <f t="shared" si="83"/>
        <v>0</v>
      </c>
      <c r="AW1732" s="2" t="str">
        <f>IF(Registered!AV1732=0,"",IF(Registered!AV1732=1,Registered!AV1732&amp;" Meal",Registered!AV1732&amp;" Meals"))</f>
        <v/>
      </c>
      <c r="AX1732" s="2" t="str">
        <f>IF(Registered!AI1732=0,"",Registered!AI1732&amp;" BG")</f>
        <v/>
      </c>
      <c r="AY1732" s="2" t="str">
        <f>IF(Registered!AG1732=0,"",Registered!AG1732&amp;" DustMask")</f>
        <v>1 DustMask</v>
      </c>
    </row>
    <row r="1733" spans="1:51" customFormat="1" x14ac:dyDescent="0.25">
      <c r="A1733" t="s">
        <v>3243</v>
      </c>
      <c r="B1733" t="s">
        <v>3244</v>
      </c>
      <c r="C1733" t="s">
        <v>6090</v>
      </c>
      <c r="G1733" t="s">
        <v>2722</v>
      </c>
      <c r="H1733" t="s">
        <v>2723</v>
      </c>
      <c r="I1733" t="s">
        <v>2724</v>
      </c>
      <c r="J1733" t="s">
        <v>37</v>
      </c>
      <c r="K1733" t="s">
        <v>32</v>
      </c>
      <c r="L1733" t="s">
        <v>35</v>
      </c>
      <c r="AQ1733">
        <v>0</v>
      </c>
      <c r="AR1733" s="3">
        <f t="shared" si="81"/>
        <v>0</v>
      </c>
      <c r="AS1733" s="3">
        <f t="shared" si="82"/>
        <v>0</v>
      </c>
      <c r="AT1733" s="3" t="str">
        <f>IF(OR(Registered!AM1733&gt;0,Registered!AO1733&gt;0),(IF(Registered!E1733=0,"Size Not Specified",Registered!E1733)),"")</f>
        <v/>
      </c>
      <c r="AU1733" s="3" t="str">
        <f>IF(Registered!AE1733=0,"",IF(Registered!AE1733=1,Registered!AE1733&amp;" Bandana",Registered!AE1733&amp;" Bandanas"))</f>
        <v/>
      </c>
      <c r="AV1733" s="3">
        <f t="shared" si="83"/>
        <v>0</v>
      </c>
      <c r="AW1733" s="2" t="str">
        <f>IF(Registered!AV1733=0,"",IF(Registered!AV1733=1,Registered!AV1733&amp;" Meal",Registered!AV1733&amp;" Meals"))</f>
        <v/>
      </c>
      <c r="AX1733" s="2" t="str">
        <f>IF(Registered!AI1733=0,"",Registered!AI1733&amp;" BG")</f>
        <v/>
      </c>
      <c r="AY1733" s="2" t="str">
        <f>IF(Registered!AG1733=0,"",Registered!AG1733&amp;" DustMask")</f>
        <v/>
      </c>
    </row>
    <row r="1734" spans="1:51" customFormat="1" x14ac:dyDescent="0.25">
      <c r="A1734" t="s">
        <v>1030</v>
      </c>
      <c r="B1734" t="s">
        <v>382</v>
      </c>
      <c r="C1734" t="s">
        <v>6090</v>
      </c>
      <c r="D1734" t="s">
        <v>2000</v>
      </c>
      <c r="E1734" t="s">
        <v>2001</v>
      </c>
      <c r="F1734" t="s">
        <v>261</v>
      </c>
      <c r="I1734" t="s">
        <v>1031</v>
      </c>
      <c r="J1734" t="s">
        <v>37</v>
      </c>
      <c r="K1734" t="s">
        <v>32</v>
      </c>
      <c r="L1734" t="s">
        <v>35</v>
      </c>
      <c r="Q1734">
        <v>2</v>
      </c>
      <c r="R1734">
        <v>3</v>
      </c>
      <c r="AC1734">
        <v>2</v>
      </c>
      <c r="AD1734">
        <v>10</v>
      </c>
      <c r="AK1734">
        <v>2</v>
      </c>
      <c r="AL1734">
        <v>6</v>
      </c>
      <c r="AO1734">
        <v>2</v>
      </c>
      <c r="AP1734">
        <v>10</v>
      </c>
      <c r="AQ1734">
        <v>58</v>
      </c>
      <c r="AR1734" s="3">
        <f t="shared" si="81"/>
        <v>10</v>
      </c>
      <c r="AS1734" s="3">
        <f t="shared" si="82"/>
        <v>2</v>
      </c>
      <c r="AT1734" s="3" t="str">
        <f>IF(OR(Registered!AM1734&gt;0,Registered!AO1734&gt;0),(IF(Registered!E1734=0,"Size Not Specified",Registered!E1734)),"")</f>
        <v>xl on both</v>
      </c>
      <c r="AU1734" s="3" t="str">
        <f>IF(Registered!AE1734=0,"",IF(Registered!AE1734=1,Registered!AE1734&amp;" Bandana",Registered!AE1734&amp;" Bandanas"))</f>
        <v/>
      </c>
      <c r="AV1734" s="3">
        <f t="shared" si="83"/>
        <v>2</v>
      </c>
      <c r="AW1734" s="2" t="str">
        <f>IF(Registered!AV1734=0,"",IF(Registered!AV1734=1,Registered!AV1734&amp;" Meal",Registered!AV1734&amp;" Meals"))</f>
        <v>2 Meals</v>
      </c>
      <c r="AX1734" s="2" t="str">
        <f>IF(Registered!AI1734=0,"",Registered!AI1734&amp;" BG")</f>
        <v/>
      </c>
      <c r="AY1734" s="2" t="str">
        <f>IF(Registered!AG1734=0,"",Registered!AG1734&amp;" DustMask")</f>
        <v/>
      </c>
    </row>
    <row r="1735" spans="1:51" customFormat="1" x14ac:dyDescent="0.25">
      <c r="A1735" t="s">
        <v>2002</v>
      </c>
      <c r="B1735" t="s">
        <v>382</v>
      </c>
      <c r="C1735" t="s">
        <v>6090</v>
      </c>
      <c r="G1735" t="s">
        <v>47</v>
      </c>
      <c r="H1735" t="s">
        <v>1399</v>
      </c>
      <c r="I1735" t="s">
        <v>1401</v>
      </c>
      <c r="J1735" t="s">
        <v>37</v>
      </c>
      <c r="K1735" t="s">
        <v>32</v>
      </c>
      <c r="L1735" t="s">
        <v>35</v>
      </c>
      <c r="AQ1735">
        <v>0</v>
      </c>
      <c r="AR1735" s="3">
        <f t="shared" si="81"/>
        <v>0</v>
      </c>
      <c r="AS1735" s="3">
        <f t="shared" si="82"/>
        <v>0</v>
      </c>
      <c r="AT1735" s="3" t="str">
        <f>IF(OR(Registered!AM1735&gt;0,Registered!AO1735&gt;0),(IF(Registered!E1735=0,"Size Not Specified",Registered!E1735)),"")</f>
        <v/>
      </c>
      <c r="AU1735" s="3" t="str">
        <f>IF(Registered!AE1735=0,"",IF(Registered!AE1735=1,Registered!AE1735&amp;" Bandana",Registered!AE1735&amp;" Bandanas"))</f>
        <v/>
      </c>
      <c r="AV1735" s="3">
        <f t="shared" si="83"/>
        <v>0</v>
      </c>
      <c r="AW1735" s="2" t="str">
        <f>IF(Registered!AV1735=0,"",IF(Registered!AV1735=1,Registered!AV1735&amp;" Meal",Registered!AV1735&amp;" Meals"))</f>
        <v/>
      </c>
      <c r="AX1735" s="2" t="str">
        <f>IF(Registered!AI1735=0,"",Registered!AI1735&amp;" BG")</f>
        <v/>
      </c>
      <c r="AY1735" s="2" t="str">
        <f>IF(Registered!AG1735=0,"",Registered!AG1735&amp;" DustMask")</f>
        <v/>
      </c>
    </row>
    <row r="1736" spans="1:51" customFormat="1" x14ac:dyDescent="0.25">
      <c r="A1736" t="s">
        <v>3245</v>
      </c>
      <c r="B1736" t="s">
        <v>3246</v>
      </c>
      <c r="C1736" t="s">
        <v>6090</v>
      </c>
      <c r="G1736" t="s">
        <v>3013</v>
      </c>
      <c r="H1736" t="s">
        <v>3014</v>
      </c>
      <c r="I1736" t="s">
        <v>3015</v>
      </c>
      <c r="J1736" t="s">
        <v>37</v>
      </c>
      <c r="K1736" t="s">
        <v>32</v>
      </c>
      <c r="L1736" t="s">
        <v>35</v>
      </c>
      <c r="AQ1736">
        <v>0</v>
      </c>
      <c r="AR1736" s="3">
        <f t="shared" si="81"/>
        <v>0</v>
      </c>
      <c r="AS1736" s="3">
        <f t="shared" si="82"/>
        <v>0</v>
      </c>
      <c r="AT1736" s="3" t="str">
        <f>IF(OR(Registered!AM1736&gt;0,Registered!AO1736&gt;0),(IF(Registered!E1736=0,"Size Not Specified",Registered!E1736)),"")</f>
        <v/>
      </c>
      <c r="AU1736" s="3" t="str">
        <f>IF(Registered!AE1736=0,"",IF(Registered!AE1736=1,Registered!AE1736&amp;" Bandana",Registered!AE1736&amp;" Bandanas"))</f>
        <v/>
      </c>
      <c r="AV1736" s="3">
        <f t="shared" si="83"/>
        <v>0</v>
      </c>
      <c r="AW1736" s="2" t="str">
        <f>IF(Registered!AV1736=0,"",IF(Registered!AV1736=1,Registered!AV1736&amp;" Meal",Registered!AV1736&amp;" Meals"))</f>
        <v/>
      </c>
      <c r="AX1736" s="2" t="str">
        <f>IF(Registered!AI1736=0,"",Registered!AI1736&amp;" BG")</f>
        <v/>
      </c>
      <c r="AY1736" s="2" t="str">
        <f>IF(Registered!AG1736=0,"",Registered!AG1736&amp;" DustMask")</f>
        <v/>
      </c>
    </row>
    <row r="1737" spans="1:51" customFormat="1" x14ac:dyDescent="0.25">
      <c r="A1737" t="s">
        <v>719</v>
      </c>
      <c r="B1737" t="s">
        <v>3246</v>
      </c>
      <c r="C1737" t="s">
        <v>6090</v>
      </c>
      <c r="G1737" t="s">
        <v>3013</v>
      </c>
      <c r="H1737" t="s">
        <v>3014</v>
      </c>
      <c r="I1737" t="s">
        <v>3015</v>
      </c>
      <c r="J1737" t="s">
        <v>37</v>
      </c>
      <c r="K1737" t="s">
        <v>32</v>
      </c>
      <c r="L1737" t="s">
        <v>35</v>
      </c>
      <c r="AQ1737">
        <v>0</v>
      </c>
      <c r="AR1737" s="3">
        <f t="shared" si="81"/>
        <v>0</v>
      </c>
      <c r="AS1737" s="3">
        <f t="shared" si="82"/>
        <v>0</v>
      </c>
      <c r="AT1737" s="3" t="str">
        <f>IF(OR(Registered!AM1737&gt;0,Registered!AO1737&gt;0),(IF(Registered!E1737=0,"Size Not Specified",Registered!E1737)),"")</f>
        <v/>
      </c>
      <c r="AU1737" s="3" t="str">
        <f>IF(Registered!AE1737=0,"",IF(Registered!AE1737=1,Registered!AE1737&amp;" Bandana",Registered!AE1737&amp;" Bandanas"))</f>
        <v/>
      </c>
      <c r="AV1737" s="3">
        <f t="shared" si="83"/>
        <v>0</v>
      </c>
      <c r="AW1737" s="2" t="str">
        <f>IF(Registered!AV1737=0,"",IF(Registered!AV1737=1,Registered!AV1737&amp;" Meal",Registered!AV1737&amp;" Meals"))</f>
        <v/>
      </c>
      <c r="AX1737" s="2" t="str">
        <f>IF(Registered!AI1737=0,"",Registered!AI1737&amp;" BG")</f>
        <v/>
      </c>
      <c r="AY1737" s="2" t="str">
        <f>IF(Registered!AG1737=0,"",Registered!AG1737&amp;" DustMask")</f>
        <v/>
      </c>
    </row>
    <row r="1738" spans="1:51" customFormat="1" x14ac:dyDescent="0.25">
      <c r="A1738" t="s">
        <v>3759</v>
      </c>
      <c r="B1738" t="s">
        <v>3760</v>
      </c>
      <c r="C1738" t="s">
        <v>6090</v>
      </c>
      <c r="D1738" t="s">
        <v>5311</v>
      </c>
      <c r="F1738" t="s">
        <v>261</v>
      </c>
      <c r="I1738" t="s">
        <v>3761</v>
      </c>
      <c r="J1738" t="s">
        <v>37</v>
      </c>
      <c r="K1738" t="s">
        <v>32</v>
      </c>
      <c r="L1738" t="s">
        <v>35</v>
      </c>
      <c r="Q1738">
        <v>3</v>
      </c>
      <c r="R1738">
        <v>3</v>
      </c>
      <c r="AC1738">
        <v>1</v>
      </c>
      <c r="AD1738">
        <v>10</v>
      </c>
      <c r="AK1738">
        <v>3</v>
      </c>
      <c r="AL1738">
        <v>6</v>
      </c>
      <c r="AQ1738">
        <v>37</v>
      </c>
      <c r="AR1738" s="3">
        <f t="shared" si="81"/>
        <v>5</v>
      </c>
      <c r="AS1738" s="3">
        <f t="shared" si="82"/>
        <v>0</v>
      </c>
      <c r="AT1738" s="3" t="str">
        <f>IF(OR(Registered!AM1738&gt;0,Registered!AO1738&gt;0),(IF(Registered!E1738=0,"Size Not Specified",Registered!E1738)),"")</f>
        <v/>
      </c>
      <c r="AU1738" s="3" t="str">
        <f>IF(Registered!AE1738=0,"",IF(Registered!AE1738=1,Registered!AE1738&amp;" Bandana",Registered!AE1738&amp;" Bandanas"))</f>
        <v/>
      </c>
      <c r="AV1738" s="3">
        <f t="shared" si="83"/>
        <v>3</v>
      </c>
      <c r="AW1738" s="2" t="str">
        <f>IF(Registered!AV1738=0,"",IF(Registered!AV1738=1,Registered!AV1738&amp;" Meal",Registered!AV1738&amp;" Meals"))</f>
        <v>3 Meals</v>
      </c>
      <c r="AX1738" s="2" t="str">
        <f>IF(Registered!AI1738=0,"",Registered!AI1738&amp;" BG")</f>
        <v/>
      </c>
      <c r="AY1738" s="2" t="str">
        <f>IF(Registered!AG1738=0,"",Registered!AG1738&amp;" DustMask")</f>
        <v/>
      </c>
    </row>
    <row r="1739" spans="1:51" customFormat="1" x14ac:dyDescent="0.25">
      <c r="A1739" t="s">
        <v>3247</v>
      </c>
      <c r="B1739" t="s">
        <v>3248</v>
      </c>
      <c r="C1739" t="s">
        <v>6090</v>
      </c>
      <c r="G1739" t="s">
        <v>266</v>
      </c>
      <c r="H1739" t="s">
        <v>2802</v>
      </c>
      <c r="I1739" t="s">
        <v>2803</v>
      </c>
      <c r="J1739" t="s">
        <v>37</v>
      </c>
      <c r="K1739" t="s">
        <v>32</v>
      </c>
      <c r="L1739" t="s">
        <v>35</v>
      </c>
      <c r="AQ1739">
        <v>0</v>
      </c>
      <c r="AR1739" s="3">
        <f t="shared" si="81"/>
        <v>0</v>
      </c>
      <c r="AS1739" s="3">
        <f t="shared" si="82"/>
        <v>0</v>
      </c>
      <c r="AT1739" s="3" t="str">
        <f>IF(OR(Registered!AM1739&gt;0,Registered!AO1739&gt;0),(IF(Registered!E1739=0,"Size Not Specified",Registered!E1739)),"")</f>
        <v/>
      </c>
      <c r="AU1739" s="3" t="str">
        <f>IF(Registered!AE1739=0,"",IF(Registered!AE1739=1,Registered!AE1739&amp;" Bandana",Registered!AE1739&amp;" Bandanas"))</f>
        <v/>
      </c>
      <c r="AV1739" s="3">
        <f t="shared" si="83"/>
        <v>0</v>
      </c>
      <c r="AW1739" s="2" t="str">
        <f>IF(Registered!AV1739=0,"",IF(Registered!AV1739=1,Registered!AV1739&amp;" Meal",Registered!AV1739&amp;" Meals"))</f>
        <v/>
      </c>
      <c r="AX1739" s="2" t="str">
        <f>IF(Registered!AI1739=0,"",Registered!AI1739&amp;" BG")</f>
        <v/>
      </c>
      <c r="AY1739" s="2" t="str">
        <f>IF(Registered!AG1739=0,"",Registered!AG1739&amp;" DustMask")</f>
        <v/>
      </c>
    </row>
    <row r="1740" spans="1:51" customFormat="1" x14ac:dyDescent="0.25">
      <c r="A1740" t="s">
        <v>2824</v>
      </c>
      <c r="B1740" t="s">
        <v>2825</v>
      </c>
      <c r="C1740" t="s">
        <v>6090</v>
      </c>
      <c r="D1740" t="s">
        <v>3249</v>
      </c>
      <c r="F1740" t="s">
        <v>261</v>
      </c>
      <c r="I1740" t="s">
        <v>2826</v>
      </c>
      <c r="J1740" t="s">
        <v>37</v>
      </c>
      <c r="K1740" t="s">
        <v>32</v>
      </c>
      <c r="L1740" t="s">
        <v>35</v>
      </c>
      <c r="Q1740">
        <v>2</v>
      </c>
      <c r="R1740">
        <v>3</v>
      </c>
      <c r="U1740">
        <v>1</v>
      </c>
      <c r="V1740">
        <v>20</v>
      </c>
      <c r="AQ1740">
        <v>26</v>
      </c>
      <c r="AR1740" s="3">
        <f t="shared" si="81"/>
        <v>10</v>
      </c>
      <c r="AS1740" s="3">
        <f t="shared" si="82"/>
        <v>0</v>
      </c>
      <c r="AT1740" s="3" t="str">
        <f>IF(OR(Registered!AM1740&gt;0,Registered!AO1740&gt;0),(IF(Registered!E1740=0,"Size Not Specified",Registered!E1740)),"")</f>
        <v/>
      </c>
      <c r="AU1740" s="3" t="str">
        <f>IF(Registered!AE1740=0,"",IF(Registered!AE1740=1,Registered!AE1740&amp;" Bandana",Registered!AE1740&amp;" Bandanas"))</f>
        <v/>
      </c>
      <c r="AV1740" s="3">
        <f t="shared" si="83"/>
        <v>0</v>
      </c>
      <c r="AW1740" s="2" t="str">
        <f>IF(Registered!AV1740=0,"",IF(Registered!AV1740=1,Registered!AV1740&amp;" Meal",Registered!AV1740&amp;" Meals"))</f>
        <v/>
      </c>
      <c r="AX1740" s="2" t="str">
        <f>IF(Registered!AI1740=0,"",Registered!AI1740&amp;" BG")</f>
        <v/>
      </c>
      <c r="AY1740" s="2" t="str">
        <f>IF(Registered!AG1740=0,"",Registered!AG1740&amp;" DustMask")</f>
        <v/>
      </c>
    </row>
    <row r="1741" spans="1:51" customFormat="1" x14ac:dyDescent="0.25">
      <c r="A1741" t="s">
        <v>153</v>
      </c>
      <c r="B1741" t="s">
        <v>2003</v>
      </c>
      <c r="C1741" t="s">
        <v>6090</v>
      </c>
      <c r="D1741" t="s">
        <v>2004</v>
      </c>
      <c r="F1741" t="s">
        <v>907</v>
      </c>
      <c r="I1741" t="s">
        <v>2005</v>
      </c>
      <c r="J1741" t="s">
        <v>37</v>
      </c>
      <c r="K1741" t="s">
        <v>32</v>
      </c>
      <c r="L1741" t="s">
        <v>35</v>
      </c>
      <c r="S1741">
        <v>1</v>
      </c>
      <c r="T1741">
        <v>3</v>
      </c>
      <c r="AC1741">
        <v>1</v>
      </c>
      <c r="AD1741">
        <v>10</v>
      </c>
      <c r="AO1741">
        <v>1</v>
      </c>
      <c r="AP1741">
        <v>10</v>
      </c>
      <c r="AQ1741">
        <v>23</v>
      </c>
      <c r="AR1741" s="3">
        <f t="shared" si="81"/>
        <v>5</v>
      </c>
      <c r="AS1741" s="3">
        <f t="shared" si="82"/>
        <v>1</v>
      </c>
      <c r="AT1741" s="3" t="str">
        <f>IF(OR(Registered!AM1741&gt;0,Registered!AO1741&gt;0),(IF(Registered!E1741=0,"Size Not Specified",Registered!E1741)),"")</f>
        <v>Size Not Specified</v>
      </c>
      <c r="AU1741" s="3" t="str">
        <f>IF(Registered!AE1741=0,"",IF(Registered!AE1741=1,Registered!AE1741&amp;" Bandana",Registered!AE1741&amp;" Bandanas"))</f>
        <v/>
      </c>
      <c r="AV1741" s="3">
        <f t="shared" si="83"/>
        <v>0</v>
      </c>
      <c r="AW1741" s="2" t="str">
        <f>IF(Registered!AV1741=0,"",IF(Registered!AV1741=1,Registered!AV1741&amp;" Meal",Registered!AV1741&amp;" Meals"))</f>
        <v/>
      </c>
      <c r="AX1741" s="2" t="str">
        <f>IF(Registered!AI1741=0,"",Registered!AI1741&amp;" BG")</f>
        <v/>
      </c>
      <c r="AY1741" s="2" t="str">
        <f>IF(Registered!AG1741=0,"",Registered!AG1741&amp;" DustMask")</f>
        <v/>
      </c>
    </row>
    <row r="1742" spans="1:51" customFormat="1" x14ac:dyDescent="0.25">
      <c r="A1742" t="s">
        <v>175</v>
      </c>
      <c r="B1742" t="s">
        <v>5312</v>
      </c>
      <c r="C1742" t="s">
        <v>6090</v>
      </c>
      <c r="D1742" t="s">
        <v>5313</v>
      </c>
      <c r="F1742" t="s">
        <v>261</v>
      </c>
      <c r="I1742" t="s">
        <v>5314</v>
      </c>
      <c r="J1742" t="s">
        <v>37</v>
      </c>
      <c r="K1742" t="s">
        <v>32</v>
      </c>
      <c r="L1742" t="s">
        <v>35</v>
      </c>
      <c r="Q1742">
        <v>1</v>
      </c>
      <c r="R1742">
        <v>3</v>
      </c>
      <c r="AC1742">
        <v>1</v>
      </c>
      <c r="AD1742">
        <v>10</v>
      </c>
      <c r="AQ1742">
        <v>13</v>
      </c>
      <c r="AR1742" s="3">
        <f t="shared" si="81"/>
        <v>5</v>
      </c>
      <c r="AS1742" s="3">
        <f t="shared" si="82"/>
        <v>0</v>
      </c>
      <c r="AT1742" s="3" t="str">
        <f>IF(OR(Registered!AM1742&gt;0,Registered!AO1742&gt;0),(IF(Registered!E1742=0,"Size Not Specified",Registered!E1742)),"")</f>
        <v/>
      </c>
      <c r="AU1742" s="3" t="str">
        <f>IF(Registered!AE1742=0,"",IF(Registered!AE1742=1,Registered!AE1742&amp;" Bandana",Registered!AE1742&amp;" Bandanas"))</f>
        <v/>
      </c>
      <c r="AV1742" s="3">
        <f t="shared" si="83"/>
        <v>0</v>
      </c>
      <c r="AW1742" s="2" t="str">
        <f>IF(Registered!AV1742=0,"",IF(Registered!AV1742=1,Registered!AV1742&amp;" Meal",Registered!AV1742&amp;" Meals"))</f>
        <v/>
      </c>
      <c r="AX1742" s="2" t="str">
        <f>IF(Registered!AI1742=0,"",Registered!AI1742&amp;" BG")</f>
        <v/>
      </c>
      <c r="AY1742" s="2" t="str">
        <f>IF(Registered!AG1742=0,"",Registered!AG1742&amp;" DustMask")</f>
        <v/>
      </c>
    </row>
    <row r="1743" spans="1:51" customFormat="1" x14ac:dyDescent="0.25">
      <c r="A1743" t="s">
        <v>5315</v>
      </c>
      <c r="B1743" t="s">
        <v>5316</v>
      </c>
      <c r="C1743" t="s">
        <v>6090</v>
      </c>
      <c r="D1743" t="s">
        <v>5317</v>
      </c>
      <c r="F1743" t="s">
        <v>261</v>
      </c>
      <c r="I1743" t="s">
        <v>5318</v>
      </c>
      <c r="J1743" t="s">
        <v>37</v>
      </c>
      <c r="K1743" t="s">
        <v>32</v>
      </c>
      <c r="L1743" t="s">
        <v>35</v>
      </c>
      <c r="Q1743">
        <v>2</v>
      </c>
      <c r="R1743">
        <v>3</v>
      </c>
      <c r="U1743">
        <v>1</v>
      </c>
      <c r="V1743">
        <v>20</v>
      </c>
      <c r="AQ1743">
        <v>26</v>
      </c>
      <c r="AR1743" s="3">
        <f t="shared" si="81"/>
        <v>10</v>
      </c>
      <c r="AS1743" s="3">
        <f t="shared" si="82"/>
        <v>0</v>
      </c>
      <c r="AT1743" s="3" t="str">
        <f>IF(OR(Registered!AM1743&gt;0,Registered!AO1743&gt;0),(IF(Registered!E1743=0,"Size Not Specified",Registered!E1743)),"")</f>
        <v/>
      </c>
      <c r="AU1743" s="3" t="str">
        <f>IF(Registered!AE1743=0,"",IF(Registered!AE1743=1,Registered!AE1743&amp;" Bandana",Registered!AE1743&amp;" Bandanas"))</f>
        <v/>
      </c>
      <c r="AV1743" s="3">
        <f t="shared" si="83"/>
        <v>0</v>
      </c>
      <c r="AW1743" s="2" t="str">
        <f>IF(Registered!AV1743=0,"",IF(Registered!AV1743=1,Registered!AV1743&amp;" Meal",Registered!AV1743&amp;" Meals"))</f>
        <v/>
      </c>
      <c r="AX1743" s="2" t="str">
        <f>IF(Registered!AI1743=0,"",Registered!AI1743&amp;" BG")</f>
        <v/>
      </c>
      <c r="AY1743" s="2" t="str">
        <f>IF(Registered!AG1743=0,"",Registered!AG1743&amp;" DustMask")</f>
        <v/>
      </c>
    </row>
    <row r="1744" spans="1:51" customFormat="1" x14ac:dyDescent="0.25">
      <c r="A1744" t="s">
        <v>2006</v>
      </c>
      <c r="B1744" t="s">
        <v>2007</v>
      </c>
      <c r="C1744" t="s">
        <v>6090</v>
      </c>
      <c r="G1744" t="s">
        <v>1430</v>
      </c>
      <c r="H1744" t="s">
        <v>376</v>
      </c>
      <c r="I1744" t="s">
        <v>1440</v>
      </c>
      <c r="J1744" t="s">
        <v>37</v>
      </c>
      <c r="K1744" t="s">
        <v>32</v>
      </c>
      <c r="L1744" t="s">
        <v>35</v>
      </c>
      <c r="AQ1744">
        <v>0</v>
      </c>
      <c r="AR1744" s="3">
        <f t="shared" si="81"/>
        <v>0</v>
      </c>
      <c r="AS1744" s="3">
        <f t="shared" si="82"/>
        <v>0</v>
      </c>
      <c r="AT1744" s="3" t="str">
        <f>IF(OR(Registered!AM1744&gt;0,Registered!AO1744&gt;0),(IF(Registered!E1744=0,"Size Not Specified",Registered!E1744)),"")</f>
        <v/>
      </c>
      <c r="AU1744" s="3" t="str">
        <f>IF(Registered!AE1744=0,"",IF(Registered!AE1744=1,Registered!AE1744&amp;" Bandana",Registered!AE1744&amp;" Bandanas"))</f>
        <v/>
      </c>
      <c r="AV1744" s="3">
        <f t="shared" si="83"/>
        <v>0</v>
      </c>
      <c r="AW1744" s="2" t="str">
        <f>IF(Registered!AV1744=0,"",IF(Registered!AV1744=1,Registered!AV1744&amp;" Meal",Registered!AV1744&amp;" Meals"))</f>
        <v/>
      </c>
      <c r="AX1744" s="2" t="str">
        <f>IF(Registered!AI1744=0,"",Registered!AI1744&amp;" BG")</f>
        <v/>
      </c>
      <c r="AY1744" s="2" t="str">
        <f>IF(Registered!AG1744=0,"",Registered!AG1744&amp;" DustMask")</f>
        <v/>
      </c>
    </row>
    <row r="1745" spans="1:51" customFormat="1" x14ac:dyDescent="0.25">
      <c r="A1745" t="s">
        <v>1730</v>
      </c>
      <c r="B1745" t="s">
        <v>1731</v>
      </c>
      <c r="C1745" t="s">
        <v>6090</v>
      </c>
      <c r="D1745" t="s">
        <v>2008</v>
      </c>
      <c r="F1745" t="s">
        <v>261</v>
      </c>
      <c r="I1745" t="s">
        <v>1732</v>
      </c>
      <c r="J1745" t="s">
        <v>37</v>
      </c>
      <c r="K1745" t="s">
        <v>32</v>
      </c>
      <c r="L1745" t="s">
        <v>35</v>
      </c>
      <c r="S1745">
        <v>3</v>
      </c>
      <c r="T1745">
        <v>3</v>
      </c>
      <c r="AC1745">
        <v>1</v>
      </c>
      <c r="AD1745">
        <v>10</v>
      </c>
      <c r="AQ1745">
        <v>19</v>
      </c>
      <c r="AR1745" s="3">
        <f t="shared" si="81"/>
        <v>5</v>
      </c>
      <c r="AS1745" s="3">
        <f t="shared" si="82"/>
        <v>0</v>
      </c>
      <c r="AT1745" s="3" t="str">
        <f>IF(OR(Registered!AM1745&gt;0,Registered!AO1745&gt;0),(IF(Registered!E1745=0,"Size Not Specified",Registered!E1745)),"")</f>
        <v/>
      </c>
      <c r="AU1745" s="3" t="str">
        <f>IF(Registered!AE1745=0,"",IF(Registered!AE1745=1,Registered!AE1745&amp;" Bandana",Registered!AE1745&amp;" Bandanas"))</f>
        <v/>
      </c>
      <c r="AV1745" s="3">
        <f t="shared" si="83"/>
        <v>0</v>
      </c>
      <c r="AW1745" s="2" t="str">
        <f>IF(Registered!AV1745=0,"",IF(Registered!AV1745=1,Registered!AV1745&amp;" Meal",Registered!AV1745&amp;" Meals"))</f>
        <v/>
      </c>
      <c r="AX1745" s="2" t="str">
        <f>IF(Registered!AI1745=0,"",Registered!AI1745&amp;" BG")</f>
        <v/>
      </c>
      <c r="AY1745" s="2" t="str">
        <f>IF(Registered!AG1745=0,"",Registered!AG1745&amp;" DustMask")</f>
        <v/>
      </c>
    </row>
    <row r="1746" spans="1:51" customFormat="1" x14ac:dyDescent="0.25">
      <c r="A1746" t="s">
        <v>151</v>
      </c>
      <c r="B1746" t="s">
        <v>1731</v>
      </c>
      <c r="C1746" t="s">
        <v>6090</v>
      </c>
      <c r="G1746" t="s">
        <v>1730</v>
      </c>
      <c r="H1746" t="s">
        <v>1731</v>
      </c>
      <c r="I1746" t="s">
        <v>1732</v>
      </c>
      <c r="J1746" t="s">
        <v>37</v>
      </c>
      <c r="K1746" t="s">
        <v>32</v>
      </c>
      <c r="L1746" t="s">
        <v>35</v>
      </c>
      <c r="AQ1746">
        <v>0</v>
      </c>
      <c r="AR1746" s="3">
        <f t="shared" si="81"/>
        <v>0</v>
      </c>
      <c r="AS1746" s="3">
        <f t="shared" si="82"/>
        <v>0</v>
      </c>
      <c r="AT1746" s="3" t="str">
        <f>IF(OR(Registered!AM1746&gt;0,Registered!AO1746&gt;0),(IF(Registered!E1746=0,"Size Not Specified",Registered!E1746)),"")</f>
        <v/>
      </c>
      <c r="AU1746" s="3" t="str">
        <f>IF(Registered!AE1746=0,"",IF(Registered!AE1746=1,Registered!AE1746&amp;" Bandana",Registered!AE1746&amp;" Bandanas"))</f>
        <v/>
      </c>
      <c r="AV1746" s="3">
        <f t="shared" si="83"/>
        <v>0</v>
      </c>
      <c r="AW1746" s="2" t="str">
        <f>IF(Registered!AV1746=0,"",IF(Registered!AV1746=1,Registered!AV1746&amp;" Meal",Registered!AV1746&amp;" Meals"))</f>
        <v/>
      </c>
      <c r="AX1746" s="2" t="str">
        <f>IF(Registered!AI1746=0,"",Registered!AI1746&amp;" BG")</f>
        <v/>
      </c>
      <c r="AY1746" s="2" t="str">
        <f>IF(Registered!AG1746=0,"",Registered!AG1746&amp;" DustMask")</f>
        <v/>
      </c>
    </row>
    <row r="1747" spans="1:51" customFormat="1" x14ac:dyDescent="0.25">
      <c r="A1747" t="s">
        <v>354</v>
      </c>
      <c r="B1747" t="s">
        <v>1731</v>
      </c>
      <c r="C1747" t="s">
        <v>6090</v>
      </c>
      <c r="D1747" t="s">
        <v>354</v>
      </c>
      <c r="F1747" t="s">
        <v>261</v>
      </c>
      <c r="I1747" t="s">
        <v>5320</v>
      </c>
      <c r="J1747" t="s">
        <v>37</v>
      </c>
      <c r="K1747" t="s">
        <v>32</v>
      </c>
      <c r="L1747" t="s">
        <v>35</v>
      </c>
      <c r="Q1747">
        <v>1</v>
      </c>
      <c r="R1747">
        <v>3</v>
      </c>
      <c r="AC1747">
        <v>1</v>
      </c>
      <c r="AD1747">
        <v>10</v>
      </c>
      <c r="AQ1747">
        <v>13</v>
      </c>
      <c r="AR1747" s="3">
        <f t="shared" si="81"/>
        <v>5</v>
      </c>
      <c r="AS1747" s="3">
        <f t="shared" si="82"/>
        <v>0</v>
      </c>
      <c r="AT1747" s="3" t="str">
        <f>IF(OR(Registered!AM1747&gt;0,Registered!AO1747&gt;0),(IF(Registered!E1747=0,"Size Not Specified",Registered!E1747)),"")</f>
        <v/>
      </c>
      <c r="AU1747" s="3" t="str">
        <f>IF(Registered!AE1747=0,"",IF(Registered!AE1747=1,Registered!AE1747&amp;" Bandana",Registered!AE1747&amp;" Bandanas"))</f>
        <v/>
      </c>
      <c r="AV1747" s="3">
        <f t="shared" si="83"/>
        <v>0</v>
      </c>
      <c r="AW1747" s="2" t="str">
        <f>IF(Registered!AV1747=0,"",IF(Registered!AV1747=1,Registered!AV1747&amp;" Meal",Registered!AV1747&amp;" Meals"))</f>
        <v/>
      </c>
      <c r="AX1747" s="2" t="str">
        <f>IF(Registered!AI1747=0,"",Registered!AI1747&amp;" BG")</f>
        <v/>
      </c>
      <c r="AY1747" s="2" t="str">
        <f>IF(Registered!AG1747=0,"",Registered!AG1747&amp;" DustMask")</f>
        <v/>
      </c>
    </row>
    <row r="1748" spans="1:51" customFormat="1" x14ac:dyDescent="0.25">
      <c r="A1748" t="s">
        <v>670</v>
      </c>
      <c r="B1748" t="s">
        <v>383</v>
      </c>
      <c r="C1748" t="s">
        <v>6090</v>
      </c>
      <c r="G1748" t="s">
        <v>2009</v>
      </c>
      <c r="H1748" t="s">
        <v>383</v>
      </c>
      <c r="I1748" t="s">
        <v>2010</v>
      </c>
      <c r="J1748" t="s">
        <v>37</v>
      </c>
      <c r="K1748" t="s">
        <v>32</v>
      </c>
      <c r="L1748" t="s">
        <v>35</v>
      </c>
      <c r="AQ1748">
        <v>0</v>
      </c>
      <c r="AR1748" s="3">
        <f t="shared" si="81"/>
        <v>0</v>
      </c>
      <c r="AS1748" s="3">
        <f t="shared" si="82"/>
        <v>0</v>
      </c>
      <c r="AT1748" s="3" t="str">
        <f>IF(OR(Registered!AM1748&gt;0,Registered!AO1748&gt;0),(IF(Registered!E1748=0,"Size Not Specified",Registered!E1748)),"")</f>
        <v/>
      </c>
      <c r="AU1748" s="3" t="str">
        <f>IF(Registered!AE1748=0,"",IF(Registered!AE1748=1,Registered!AE1748&amp;" Bandana",Registered!AE1748&amp;" Bandanas"))</f>
        <v/>
      </c>
      <c r="AV1748" s="3">
        <f t="shared" si="83"/>
        <v>0</v>
      </c>
      <c r="AW1748" s="2" t="str">
        <f>IF(Registered!AV1748=0,"",IF(Registered!AV1748=1,Registered!AV1748&amp;" Meal",Registered!AV1748&amp;" Meals"))</f>
        <v/>
      </c>
      <c r="AX1748" s="2" t="str">
        <f>IF(Registered!AI1748=0,"",Registered!AI1748&amp;" BG")</f>
        <v/>
      </c>
      <c r="AY1748" s="2" t="str">
        <f>IF(Registered!AG1748=0,"",Registered!AG1748&amp;" DustMask")</f>
        <v/>
      </c>
    </row>
    <row r="1749" spans="1:51" customFormat="1" x14ac:dyDescent="0.25">
      <c r="A1749" t="s">
        <v>2009</v>
      </c>
      <c r="B1749" t="s">
        <v>383</v>
      </c>
      <c r="C1749" t="s">
        <v>6090</v>
      </c>
      <c r="D1749" t="s">
        <v>2011</v>
      </c>
      <c r="I1749" t="s">
        <v>2010</v>
      </c>
      <c r="J1749" t="s">
        <v>37</v>
      </c>
      <c r="K1749" t="s">
        <v>32</v>
      </c>
      <c r="L1749" t="s">
        <v>35</v>
      </c>
      <c r="O1749">
        <v>2</v>
      </c>
      <c r="P1749">
        <v>3</v>
      </c>
      <c r="AC1749">
        <v>2</v>
      </c>
      <c r="AD1749">
        <v>10</v>
      </c>
      <c r="AQ1749">
        <v>26</v>
      </c>
      <c r="AR1749" s="3">
        <f t="shared" si="81"/>
        <v>10</v>
      </c>
      <c r="AS1749" s="3">
        <f t="shared" si="82"/>
        <v>0</v>
      </c>
      <c r="AT1749" s="3" t="str">
        <f>IF(OR(Registered!AM1749&gt;0,Registered!AO1749&gt;0),(IF(Registered!E1749=0,"Size Not Specified",Registered!E1749)),"")</f>
        <v/>
      </c>
      <c r="AU1749" s="3" t="str">
        <f>IF(Registered!AE1749=0,"",IF(Registered!AE1749=1,Registered!AE1749&amp;" Bandana",Registered!AE1749&amp;" Bandanas"))</f>
        <v/>
      </c>
      <c r="AV1749" s="3">
        <f t="shared" si="83"/>
        <v>0</v>
      </c>
      <c r="AW1749" s="2" t="str">
        <f>IF(Registered!AV1749=0,"",IF(Registered!AV1749=1,Registered!AV1749&amp;" Meal",Registered!AV1749&amp;" Meals"))</f>
        <v/>
      </c>
      <c r="AX1749" s="2" t="str">
        <f>IF(Registered!AI1749=0,"",Registered!AI1749&amp;" BG")</f>
        <v/>
      </c>
      <c r="AY1749" s="2" t="str">
        <f>IF(Registered!AG1749=0,"",Registered!AG1749&amp;" DustMask")</f>
        <v/>
      </c>
    </row>
    <row r="1750" spans="1:51" customFormat="1" x14ac:dyDescent="0.25">
      <c r="A1750" t="s">
        <v>104</v>
      </c>
      <c r="B1750" t="s">
        <v>3250</v>
      </c>
      <c r="C1750" t="s">
        <v>6090</v>
      </c>
      <c r="G1750" t="s">
        <v>137</v>
      </c>
      <c r="H1750" t="s">
        <v>3231</v>
      </c>
      <c r="I1750" t="s">
        <v>3232</v>
      </c>
      <c r="J1750" t="s">
        <v>37</v>
      </c>
      <c r="K1750" t="s">
        <v>32</v>
      </c>
      <c r="L1750" t="s">
        <v>35</v>
      </c>
      <c r="AQ1750">
        <v>0</v>
      </c>
      <c r="AR1750" s="3">
        <f t="shared" si="81"/>
        <v>0</v>
      </c>
      <c r="AS1750" s="3">
        <f t="shared" si="82"/>
        <v>0</v>
      </c>
      <c r="AT1750" s="3" t="str">
        <f>IF(OR(Registered!AM1750&gt;0,Registered!AO1750&gt;0),(IF(Registered!E1750=0,"Size Not Specified",Registered!E1750)),"")</f>
        <v/>
      </c>
      <c r="AU1750" s="3" t="str">
        <f>IF(Registered!AE1750=0,"",IF(Registered!AE1750=1,Registered!AE1750&amp;" Bandana",Registered!AE1750&amp;" Bandanas"))</f>
        <v/>
      </c>
      <c r="AV1750" s="3">
        <f t="shared" si="83"/>
        <v>0</v>
      </c>
      <c r="AW1750" s="2" t="str">
        <f>IF(Registered!AV1750=0,"",IF(Registered!AV1750=1,Registered!AV1750&amp;" Meal",Registered!AV1750&amp;" Meals"))</f>
        <v/>
      </c>
      <c r="AX1750" s="2" t="str">
        <f>IF(Registered!AI1750=0,"",Registered!AI1750&amp;" BG")</f>
        <v/>
      </c>
      <c r="AY1750" s="2" t="str">
        <f>IF(Registered!AG1750=0,"",Registered!AG1750&amp;" DustMask")</f>
        <v/>
      </c>
    </row>
    <row r="1751" spans="1:51" customFormat="1" x14ac:dyDescent="0.25">
      <c r="A1751" t="s">
        <v>165</v>
      </c>
      <c r="B1751" t="s">
        <v>3250</v>
      </c>
      <c r="C1751" t="s">
        <v>6090</v>
      </c>
      <c r="G1751" t="s">
        <v>137</v>
      </c>
      <c r="H1751" t="s">
        <v>3231</v>
      </c>
      <c r="I1751" t="s">
        <v>3232</v>
      </c>
      <c r="J1751" t="s">
        <v>37</v>
      </c>
      <c r="K1751" t="s">
        <v>32</v>
      </c>
      <c r="L1751" t="s">
        <v>35</v>
      </c>
      <c r="AQ1751">
        <v>0</v>
      </c>
      <c r="AR1751" s="3">
        <f t="shared" si="81"/>
        <v>0</v>
      </c>
      <c r="AS1751" s="3">
        <f t="shared" si="82"/>
        <v>0</v>
      </c>
      <c r="AT1751" s="3" t="str">
        <f>IF(OR(Registered!AM1751&gt;0,Registered!AO1751&gt;0),(IF(Registered!E1751=0,"Size Not Specified",Registered!E1751)),"")</f>
        <v/>
      </c>
      <c r="AU1751" s="3" t="str">
        <f>IF(Registered!AE1751=0,"",IF(Registered!AE1751=1,Registered!AE1751&amp;" Bandana",Registered!AE1751&amp;" Bandanas"))</f>
        <v/>
      </c>
      <c r="AV1751" s="3">
        <f t="shared" si="83"/>
        <v>0</v>
      </c>
      <c r="AW1751" s="2" t="str">
        <f>IF(Registered!AV1751=0,"",IF(Registered!AV1751=1,Registered!AV1751&amp;" Meal",Registered!AV1751&amp;" Meals"))</f>
        <v/>
      </c>
      <c r="AX1751" s="2" t="str">
        <f>IF(Registered!AI1751=0,"",Registered!AI1751&amp;" BG")</f>
        <v/>
      </c>
      <c r="AY1751" s="2" t="str">
        <f>IF(Registered!AG1751=0,"",Registered!AG1751&amp;" DustMask")</f>
        <v/>
      </c>
    </row>
    <row r="1752" spans="1:51" customFormat="1" x14ac:dyDescent="0.25">
      <c r="A1752" t="s">
        <v>1557</v>
      </c>
      <c r="B1752" t="s">
        <v>2012</v>
      </c>
      <c r="C1752" t="s">
        <v>6090</v>
      </c>
      <c r="G1752" t="s">
        <v>2013</v>
      </c>
      <c r="H1752" t="s">
        <v>2014</v>
      </c>
      <c r="I1752" t="s">
        <v>5322</v>
      </c>
      <c r="J1752" t="s">
        <v>37</v>
      </c>
      <c r="K1752" t="s">
        <v>32</v>
      </c>
      <c r="L1752" t="s">
        <v>35</v>
      </c>
      <c r="AQ1752">
        <v>0</v>
      </c>
      <c r="AR1752" s="3">
        <f t="shared" si="81"/>
        <v>0</v>
      </c>
      <c r="AS1752" s="3">
        <f t="shared" si="82"/>
        <v>0</v>
      </c>
      <c r="AT1752" s="3" t="str">
        <f>IF(OR(Registered!AM1752&gt;0,Registered!AO1752&gt;0),(IF(Registered!E1752=0,"Size Not Specified",Registered!E1752)),"")</f>
        <v/>
      </c>
      <c r="AU1752" s="3" t="str">
        <f>IF(Registered!AE1752=0,"",IF(Registered!AE1752=1,Registered!AE1752&amp;" Bandana",Registered!AE1752&amp;" Bandanas"))</f>
        <v/>
      </c>
      <c r="AV1752" s="3">
        <f t="shared" si="83"/>
        <v>0</v>
      </c>
      <c r="AW1752" s="2" t="str">
        <f>IF(Registered!AV1752=0,"",IF(Registered!AV1752=1,Registered!AV1752&amp;" Meal",Registered!AV1752&amp;" Meals"))</f>
        <v/>
      </c>
      <c r="AX1752" s="2" t="str">
        <f>IF(Registered!AI1752=0,"",Registered!AI1752&amp;" BG")</f>
        <v/>
      </c>
      <c r="AY1752" s="2" t="str">
        <f>IF(Registered!AG1752=0,"",Registered!AG1752&amp;" DustMask")</f>
        <v/>
      </c>
    </row>
    <row r="1753" spans="1:51" customFormat="1" x14ac:dyDescent="0.25">
      <c r="A1753" t="s">
        <v>5323</v>
      </c>
      <c r="B1753" t="s">
        <v>5324</v>
      </c>
      <c r="C1753" t="s">
        <v>6090</v>
      </c>
      <c r="G1753" t="s">
        <v>299</v>
      </c>
      <c r="H1753" t="s">
        <v>284</v>
      </c>
      <c r="I1753" t="s">
        <v>5008</v>
      </c>
      <c r="J1753" t="s">
        <v>37</v>
      </c>
      <c r="K1753" t="s">
        <v>32</v>
      </c>
      <c r="L1753" t="s">
        <v>35</v>
      </c>
      <c r="AQ1753">
        <v>0</v>
      </c>
      <c r="AR1753" s="3">
        <f t="shared" si="81"/>
        <v>0</v>
      </c>
      <c r="AS1753" s="3">
        <f t="shared" si="82"/>
        <v>0</v>
      </c>
      <c r="AT1753" s="3" t="str">
        <f>IF(OR(Registered!AM1753&gt;0,Registered!AO1753&gt;0),(IF(Registered!E1753=0,"Size Not Specified",Registered!E1753)),"")</f>
        <v/>
      </c>
      <c r="AU1753" s="3" t="str">
        <f>IF(Registered!AE1753=0,"",IF(Registered!AE1753=1,Registered!AE1753&amp;" Bandana",Registered!AE1753&amp;" Bandanas"))</f>
        <v/>
      </c>
      <c r="AV1753" s="3">
        <f t="shared" si="83"/>
        <v>0</v>
      </c>
      <c r="AW1753" s="2" t="str">
        <f>IF(Registered!AV1753=0,"",IF(Registered!AV1753=1,Registered!AV1753&amp;" Meal",Registered!AV1753&amp;" Meals"))</f>
        <v/>
      </c>
      <c r="AX1753" s="2" t="str">
        <f>IF(Registered!AI1753=0,"",Registered!AI1753&amp;" BG")</f>
        <v/>
      </c>
      <c r="AY1753" s="2" t="str">
        <f>IF(Registered!AG1753=0,"",Registered!AG1753&amp;" DustMask")</f>
        <v/>
      </c>
    </row>
    <row r="1754" spans="1:51" customFormat="1" x14ac:dyDescent="0.25">
      <c r="A1754" t="s">
        <v>2015</v>
      </c>
      <c r="B1754" t="s">
        <v>6054</v>
      </c>
      <c r="C1754" t="s">
        <v>6090</v>
      </c>
      <c r="G1754" t="s">
        <v>2015</v>
      </c>
      <c r="H1754" t="s">
        <v>2016</v>
      </c>
      <c r="I1754" t="s">
        <v>2017</v>
      </c>
      <c r="J1754" t="s">
        <v>37</v>
      </c>
      <c r="K1754" t="s">
        <v>32</v>
      </c>
      <c r="L1754" t="s">
        <v>35</v>
      </c>
      <c r="AQ1754">
        <v>0</v>
      </c>
      <c r="AR1754" s="3">
        <f t="shared" si="81"/>
        <v>0</v>
      </c>
      <c r="AS1754" s="3">
        <f t="shared" si="82"/>
        <v>0</v>
      </c>
      <c r="AT1754" s="3" t="str">
        <f>IF(OR(Registered!AM1754&gt;0,Registered!AO1754&gt;0),(IF(Registered!E1754=0,"Size Not Specified",Registered!E1754)),"")</f>
        <v/>
      </c>
      <c r="AU1754" s="3" t="str">
        <f>IF(Registered!AE1754=0,"",IF(Registered!AE1754=1,Registered!AE1754&amp;" Bandana",Registered!AE1754&amp;" Bandanas"))</f>
        <v/>
      </c>
      <c r="AV1754" s="3">
        <f t="shared" si="83"/>
        <v>0</v>
      </c>
      <c r="AW1754" s="2" t="str">
        <f>IF(Registered!AV1754=0,"",IF(Registered!AV1754=1,Registered!AV1754&amp;" Meal",Registered!AV1754&amp;" Meals"))</f>
        <v/>
      </c>
      <c r="AX1754" s="2" t="str">
        <f>IF(Registered!AI1754=0,"",Registered!AI1754&amp;" BG")</f>
        <v/>
      </c>
      <c r="AY1754" s="2" t="str">
        <f>IF(Registered!AG1754=0,"",Registered!AG1754&amp;" DustMask")</f>
        <v/>
      </c>
    </row>
    <row r="1755" spans="1:51" customFormat="1" x14ac:dyDescent="0.25">
      <c r="A1755" t="s">
        <v>2015</v>
      </c>
      <c r="B1755" t="s">
        <v>2016</v>
      </c>
      <c r="C1755" t="s">
        <v>6090</v>
      </c>
      <c r="D1755" t="s">
        <v>2018</v>
      </c>
      <c r="E1755" t="s">
        <v>2019</v>
      </c>
      <c r="F1755" t="s">
        <v>261</v>
      </c>
      <c r="I1755" t="s">
        <v>2017</v>
      </c>
      <c r="J1755" t="s">
        <v>37</v>
      </c>
      <c r="K1755" t="s">
        <v>32</v>
      </c>
      <c r="L1755" t="s">
        <v>35</v>
      </c>
      <c r="S1755">
        <v>2</v>
      </c>
      <c r="T1755">
        <v>3</v>
      </c>
      <c r="U1755">
        <v>1</v>
      </c>
      <c r="V1755">
        <v>20</v>
      </c>
      <c r="AE1755">
        <v>2</v>
      </c>
      <c r="AF1755">
        <v>6</v>
      </c>
      <c r="AO1755">
        <v>2</v>
      </c>
      <c r="AP1755">
        <v>10</v>
      </c>
      <c r="AQ1755">
        <v>58</v>
      </c>
      <c r="AR1755" s="3">
        <f t="shared" si="81"/>
        <v>10</v>
      </c>
      <c r="AS1755" s="3">
        <f t="shared" si="82"/>
        <v>2</v>
      </c>
      <c r="AT1755" s="3" t="str">
        <f>IF(OR(Registered!AM1755&gt;0,Registered!AO1755&gt;0),(IF(Registered!E1755=0,"Size Not Specified",Registered!E1755)),"")</f>
        <v>Small and mediam</v>
      </c>
      <c r="AU1755" s="3" t="str">
        <f>IF(Registered!AE1755=0,"",IF(Registered!AE1755=1,Registered!AE1755&amp;" Bandana",Registered!AE1755&amp;" Bandanas"))</f>
        <v>2 Bandanas</v>
      </c>
      <c r="AV1755" s="3">
        <f t="shared" si="83"/>
        <v>0</v>
      </c>
      <c r="AW1755" s="2" t="str">
        <f>IF(Registered!AV1755=0,"",IF(Registered!AV1755=1,Registered!AV1755&amp;" Meal",Registered!AV1755&amp;" Meals"))</f>
        <v/>
      </c>
      <c r="AX1755" s="2" t="str">
        <f>IF(Registered!AI1755=0,"",Registered!AI1755&amp;" BG")</f>
        <v/>
      </c>
      <c r="AY1755" s="2" t="str">
        <f>IF(Registered!AG1755=0,"",Registered!AG1755&amp;" DustMask")</f>
        <v/>
      </c>
    </row>
    <row r="1756" spans="1:51" customFormat="1" x14ac:dyDescent="0.25">
      <c r="A1756" t="s">
        <v>127</v>
      </c>
      <c r="B1756" t="s">
        <v>2020</v>
      </c>
      <c r="C1756" t="s">
        <v>6090</v>
      </c>
      <c r="D1756" t="s">
        <v>2021</v>
      </c>
      <c r="F1756" t="s">
        <v>261</v>
      </c>
      <c r="I1756" t="s">
        <v>2022</v>
      </c>
      <c r="J1756" t="s">
        <v>37</v>
      </c>
      <c r="K1756" t="s">
        <v>32</v>
      </c>
      <c r="L1756" t="s">
        <v>35</v>
      </c>
      <c r="S1756">
        <v>1</v>
      </c>
      <c r="T1756">
        <v>3</v>
      </c>
      <c r="U1756">
        <v>1</v>
      </c>
      <c r="V1756">
        <v>20</v>
      </c>
      <c r="AQ1756">
        <v>23</v>
      </c>
      <c r="AR1756" s="3">
        <f t="shared" si="81"/>
        <v>10</v>
      </c>
      <c r="AS1756" s="3">
        <f t="shared" si="82"/>
        <v>0</v>
      </c>
      <c r="AT1756" s="3" t="str">
        <f>IF(OR(Registered!AM1756&gt;0,Registered!AO1756&gt;0),(IF(Registered!E1756=0,"Size Not Specified",Registered!E1756)),"")</f>
        <v/>
      </c>
      <c r="AU1756" s="3" t="str">
        <f>IF(Registered!AE1756=0,"",IF(Registered!AE1756=1,Registered!AE1756&amp;" Bandana",Registered!AE1756&amp;" Bandanas"))</f>
        <v/>
      </c>
      <c r="AV1756" s="3">
        <f t="shared" si="83"/>
        <v>0</v>
      </c>
      <c r="AW1756" s="2" t="str">
        <f>IF(Registered!AV1756=0,"",IF(Registered!AV1756=1,Registered!AV1756&amp;" Meal",Registered!AV1756&amp;" Meals"))</f>
        <v/>
      </c>
      <c r="AX1756" s="2" t="str">
        <f>IF(Registered!AI1756=0,"",Registered!AI1756&amp;" BG")</f>
        <v/>
      </c>
      <c r="AY1756" s="2" t="str">
        <f>IF(Registered!AG1756=0,"",Registered!AG1756&amp;" DustMask")</f>
        <v/>
      </c>
    </row>
    <row r="1757" spans="1:51" customFormat="1" x14ac:dyDescent="0.25">
      <c r="A1757" t="s">
        <v>2023</v>
      </c>
      <c r="B1757" t="s">
        <v>477</v>
      </c>
      <c r="C1757" t="s">
        <v>6090</v>
      </c>
      <c r="D1757" t="s">
        <v>2024</v>
      </c>
      <c r="E1757" t="s">
        <v>41</v>
      </c>
      <c r="F1757" t="s">
        <v>261</v>
      </c>
      <c r="I1757" t="s">
        <v>2025</v>
      </c>
      <c r="J1757" t="s">
        <v>37</v>
      </c>
      <c r="K1757" t="s">
        <v>32</v>
      </c>
      <c r="L1757" t="s">
        <v>35</v>
      </c>
      <c r="S1757">
        <v>1</v>
      </c>
      <c r="T1757">
        <v>3</v>
      </c>
      <c r="AO1757">
        <v>1</v>
      </c>
      <c r="AP1757">
        <v>10</v>
      </c>
      <c r="AQ1757">
        <v>13</v>
      </c>
      <c r="AR1757" s="3">
        <f t="shared" si="81"/>
        <v>0</v>
      </c>
      <c r="AS1757" s="3">
        <f t="shared" si="82"/>
        <v>1</v>
      </c>
      <c r="AT1757" s="3" t="str">
        <f>IF(OR(Registered!AM1757&gt;0,Registered!AO1757&gt;0),(IF(Registered!E1757=0,"Size Not Specified",Registered!E1757)),"")</f>
        <v>small</v>
      </c>
      <c r="AU1757" s="3" t="str">
        <f>IF(Registered!AE1757=0,"",IF(Registered!AE1757=1,Registered!AE1757&amp;" Bandana",Registered!AE1757&amp;" Bandanas"))</f>
        <v/>
      </c>
      <c r="AV1757" s="3">
        <f t="shared" si="83"/>
        <v>0</v>
      </c>
      <c r="AW1757" s="2" t="str">
        <f>IF(Registered!AV1757=0,"",IF(Registered!AV1757=1,Registered!AV1757&amp;" Meal",Registered!AV1757&amp;" Meals"))</f>
        <v/>
      </c>
      <c r="AX1757" s="2" t="str">
        <f>IF(Registered!AI1757=0,"",Registered!AI1757&amp;" BG")</f>
        <v/>
      </c>
      <c r="AY1757" s="2" t="str">
        <f>IF(Registered!AG1757=0,"",Registered!AG1757&amp;" DustMask")</f>
        <v/>
      </c>
    </row>
    <row r="1758" spans="1:51" customFormat="1" x14ac:dyDescent="0.25">
      <c r="A1758" t="s">
        <v>5325</v>
      </c>
      <c r="B1758" t="s">
        <v>477</v>
      </c>
      <c r="C1758" t="s">
        <v>6090</v>
      </c>
      <c r="G1758" t="s">
        <v>215</v>
      </c>
      <c r="H1758" t="s">
        <v>477</v>
      </c>
      <c r="I1758" t="s">
        <v>4287</v>
      </c>
      <c r="J1758" t="s">
        <v>37</v>
      </c>
      <c r="K1758" t="s">
        <v>32</v>
      </c>
      <c r="L1758" t="s">
        <v>35</v>
      </c>
      <c r="AQ1758">
        <v>0</v>
      </c>
      <c r="AR1758" s="3">
        <f t="shared" si="81"/>
        <v>0</v>
      </c>
      <c r="AS1758" s="3">
        <f t="shared" si="82"/>
        <v>0</v>
      </c>
      <c r="AT1758" s="3" t="str">
        <f>IF(OR(Registered!AM1758&gt;0,Registered!AO1758&gt;0),(IF(Registered!E1758=0,"Size Not Specified",Registered!E1758)),"")</f>
        <v/>
      </c>
      <c r="AU1758" s="3" t="str">
        <f>IF(Registered!AE1758=0,"",IF(Registered!AE1758=1,Registered!AE1758&amp;" Bandana",Registered!AE1758&amp;" Bandanas"))</f>
        <v/>
      </c>
      <c r="AV1758" s="3">
        <f t="shared" si="83"/>
        <v>0</v>
      </c>
      <c r="AW1758" s="2" t="str">
        <f>IF(Registered!AV1758=0,"",IF(Registered!AV1758=1,Registered!AV1758&amp;" Meal",Registered!AV1758&amp;" Meals"))</f>
        <v/>
      </c>
      <c r="AX1758" s="2" t="str">
        <f>IF(Registered!AI1758=0,"",Registered!AI1758&amp;" BG")</f>
        <v/>
      </c>
      <c r="AY1758" s="2" t="str">
        <f>IF(Registered!AG1758=0,"",Registered!AG1758&amp;" DustMask")</f>
        <v/>
      </c>
    </row>
    <row r="1759" spans="1:51" customFormat="1" x14ac:dyDescent="0.25">
      <c r="A1759" t="s">
        <v>280</v>
      </c>
      <c r="B1759" t="s">
        <v>477</v>
      </c>
      <c r="C1759" t="s">
        <v>6090</v>
      </c>
      <c r="G1759" t="s">
        <v>141</v>
      </c>
      <c r="H1759" t="s">
        <v>843</v>
      </c>
      <c r="I1759" t="s">
        <v>844</v>
      </c>
      <c r="J1759" t="s">
        <v>37</v>
      </c>
      <c r="K1759" t="s">
        <v>32</v>
      </c>
      <c r="L1759" t="s">
        <v>35</v>
      </c>
      <c r="AQ1759">
        <v>0</v>
      </c>
      <c r="AR1759" s="3">
        <f t="shared" si="81"/>
        <v>0</v>
      </c>
      <c r="AS1759" s="3">
        <f t="shared" si="82"/>
        <v>0</v>
      </c>
      <c r="AT1759" s="3" t="str">
        <f>IF(OR(Registered!AM1759&gt;0,Registered!AO1759&gt;0),(IF(Registered!E1759=0,"Size Not Specified",Registered!E1759)),"")</f>
        <v/>
      </c>
      <c r="AU1759" s="3" t="str">
        <f>IF(Registered!AE1759=0,"",IF(Registered!AE1759=1,Registered!AE1759&amp;" Bandana",Registered!AE1759&amp;" Bandanas"))</f>
        <v/>
      </c>
      <c r="AV1759" s="3">
        <f t="shared" si="83"/>
        <v>0</v>
      </c>
      <c r="AW1759" s="2" t="str">
        <f>IF(Registered!AV1759=0,"",IF(Registered!AV1759=1,Registered!AV1759&amp;" Meal",Registered!AV1759&amp;" Meals"))</f>
        <v/>
      </c>
      <c r="AX1759" s="2" t="str">
        <f>IF(Registered!AI1759=0,"",Registered!AI1759&amp;" BG")</f>
        <v/>
      </c>
      <c r="AY1759" s="2" t="str">
        <f>IF(Registered!AG1759=0,"",Registered!AG1759&amp;" DustMask")</f>
        <v/>
      </c>
    </row>
    <row r="1760" spans="1:51" customFormat="1" x14ac:dyDescent="0.25">
      <c r="A1760" t="s">
        <v>148</v>
      </c>
      <c r="B1760" t="s">
        <v>477</v>
      </c>
      <c r="C1760" t="s">
        <v>6090</v>
      </c>
      <c r="D1760" t="s">
        <v>5326</v>
      </c>
      <c r="F1760" t="s">
        <v>261</v>
      </c>
      <c r="I1760" t="s">
        <v>4809</v>
      </c>
      <c r="J1760" t="s">
        <v>37</v>
      </c>
      <c r="K1760" t="s">
        <v>32</v>
      </c>
      <c r="L1760" t="s">
        <v>35</v>
      </c>
      <c r="Q1760">
        <v>2</v>
      </c>
      <c r="R1760">
        <v>3</v>
      </c>
      <c r="U1760">
        <v>1</v>
      </c>
      <c r="V1760">
        <v>20</v>
      </c>
      <c r="AQ1760">
        <v>26</v>
      </c>
      <c r="AR1760" s="3">
        <f t="shared" si="81"/>
        <v>10</v>
      </c>
      <c r="AS1760" s="3">
        <f t="shared" si="82"/>
        <v>0</v>
      </c>
      <c r="AT1760" s="3" t="str">
        <f>IF(OR(Registered!AM1760&gt;0,Registered!AO1760&gt;0),(IF(Registered!E1760=0,"Size Not Specified",Registered!E1760)),"")</f>
        <v/>
      </c>
      <c r="AU1760" s="3" t="str">
        <f>IF(Registered!AE1760=0,"",IF(Registered!AE1760=1,Registered!AE1760&amp;" Bandana",Registered!AE1760&amp;" Bandanas"))</f>
        <v/>
      </c>
      <c r="AV1760" s="3">
        <f t="shared" si="83"/>
        <v>0</v>
      </c>
      <c r="AW1760" s="2" t="str">
        <f>IF(Registered!AV1760=0,"",IF(Registered!AV1760=1,Registered!AV1760&amp;" Meal",Registered!AV1760&amp;" Meals"))</f>
        <v/>
      </c>
      <c r="AX1760" s="2" t="str">
        <f>IF(Registered!AI1760=0,"",Registered!AI1760&amp;" BG")</f>
        <v/>
      </c>
      <c r="AY1760" s="2" t="str">
        <f>IF(Registered!AG1760=0,"",Registered!AG1760&amp;" DustMask")</f>
        <v/>
      </c>
    </row>
    <row r="1761" spans="1:51" customFormat="1" x14ac:dyDescent="0.25">
      <c r="A1761" t="s">
        <v>5129</v>
      </c>
      <c r="B1761" t="s">
        <v>477</v>
      </c>
      <c r="C1761" t="s">
        <v>6090</v>
      </c>
      <c r="D1761" t="s">
        <v>5327</v>
      </c>
      <c r="F1761" t="s">
        <v>261</v>
      </c>
      <c r="I1761" t="s">
        <v>5130</v>
      </c>
      <c r="J1761" t="s">
        <v>37</v>
      </c>
      <c r="K1761" t="s">
        <v>32</v>
      </c>
      <c r="L1761" t="s">
        <v>35</v>
      </c>
      <c r="Q1761">
        <v>4</v>
      </c>
      <c r="R1761">
        <v>3</v>
      </c>
      <c r="AC1761">
        <v>5</v>
      </c>
      <c r="AD1761">
        <v>10</v>
      </c>
      <c r="AQ1761">
        <v>62</v>
      </c>
      <c r="AR1761" s="3">
        <f t="shared" si="81"/>
        <v>25</v>
      </c>
      <c r="AS1761" s="3">
        <f t="shared" si="82"/>
        <v>0</v>
      </c>
      <c r="AT1761" s="3" t="str">
        <f>IF(OR(Registered!AM1761&gt;0,Registered!AO1761&gt;0),(IF(Registered!E1761=0,"Size Not Specified",Registered!E1761)),"")</f>
        <v/>
      </c>
      <c r="AU1761" s="3" t="str">
        <f>IF(Registered!AE1761=0,"",IF(Registered!AE1761=1,Registered!AE1761&amp;" Bandana",Registered!AE1761&amp;" Bandanas"))</f>
        <v/>
      </c>
      <c r="AV1761" s="3">
        <f t="shared" si="83"/>
        <v>0</v>
      </c>
      <c r="AW1761" s="2" t="str">
        <f>IF(Registered!AV1761=0,"",IF(Registered!AV1761=1,Registered!AV1761&amp;" Meal",Registered!AV1761&amp;" Meals"))</f>
        <v/>
      </c>
      <c r="AX1761" s="2" t="str">
        <f>IF(Registered!AI1761=0,"",Registered!AI1761&amp;" BG")</f>
        <v/>
      </c>
      <c r="AY1761" s="2" t="str">
        <f>IF(Registered!AG1761=0,"",Registered!AG1761&amp;" DustMask")</f>
        <v/>
      </c>
    </row>
    <row r="1762" spans="1:51" customFormat="1" x14ac:dyDescent="0.25">
      <c r="A1762" t="s">
        <v>248</v>
      </c>
      <c r="B1762" t="s">
        <v>477</v>
      </c>
      <c r="C1762" t="s">
        <v>6090</v>
      </c>
      <c r="G1762" t="s">
        <v>3703</v>
      </c>
      <c r="H1762" t="s">
        <v>3702</v>
      </c>
      <c r="I1762" t="s">
        <v>3704</v>
      </c>
      <c r="J1762" t="s">
        <v>37</v>
      </c>
      <c r="K1762" t="s">
        <v>32</v>
      </c>
      <c r="L1762" t="s">
        <v>35</v>
      </c>
      <c r="AQ1762">
        <v>0</v>
      </c>
      <c r="AR1762" s="3">
        <f t="shared" si="81"/>
        <v>0</v>
      </c>
      <c r="AS1762" s="3">
        <f t="shared" si="82"/>
        <v>0</v>
      </c>
      <c r="AT1762" s="3" t="str">
        <f>IF(OR(Registered!AM1762&gt;0,Registered!AO1762&gt;0),(IF(Registered!E1762=0,"Size Not Specified",Registered!E1762)),"")</f>
        <v/>
      </c>
      <c r="AU1762" s="3" t="str">
        <f>IF(Registered!AE1762=0,"",IF(Registered!AE1762=1,Registered!AE1762&amp;" Bandana",Registered!AE1762&amp;" Bandanas"))</f>
        <v/>
      </c>
      <c r="AV1762" s="3">
        <f t="shared" si="83"/>
        <v>0</v>
      </c>
      <c r="AW1762" s="2" t="str">
        <f>IF(Registered!AV1762=0,"",IF(Registered!AV1762=1,Registered!AV1762&amp;" Meal",Registered!AV1762&amp;" Meals"))</f>
        <v/>
      </c>
      <c r="AX1762" s="2" t="str">
        <f>IF(Registered!AI1762=0,"",Registered!AI1762&amp;" BG")</f>
        <v/>
      </c>
      <c r="AY1762" s="2" t="str">
        <f>IF(Registered!AG1762=0,"",Registered!AG1762&amp;" DustMask")</f>
        <v/>
      </c>
    </row>
    <row r="1763" spans="1:51" customFormat="1" x14ac:dyDescent="0.25">
      <c r="A1763" t="s">
        <v>215</v>
      </c>
      <c r="B1763" t="s">
        <v>477</v>
      </c>
      <c r="C1763" t="s">
        <v>6090</v>
      </c>
      <c r="D1763" t="s">
        <v>57</v>
      </c>
      <c r="F1763" t="s">
        <v>261</v>
      </c>
      <c r="I1763" t="s">
        <v>4287</v>
      </c>
      <c r="J1763" t="s">
        <v>37</v>
      </c>
      <c r="K1763" t="s">
        <v>32</v>
      </c>
      <c r="L1763" t="s">
        <v>35</v>
      </c>
      <c r="Q1763">
        <v>4</v>
      </c>
      <c r="R1763">
        <v>3</v>
      </c>
      <c r="U1763">
        <v>1</v>
      </c>
      <c r="V1763">
        <v>20</v>
      </c>
      <c r="AC1763">
        <v>1</v>
      </c>
      <c r="AD1763">
        <v>10</v>
      </c>
      <c r="AQ1763">
        <v>42</v>
      </c>
      <c r="AR1763" s="3">
        <f t="shared" si="81"/>
        <v>15</v>
      </c>
      <c r="AS1763" s="3">
        <f t="shared" si="82"/>
        <v>0</v>
      </c>
      <c r="AT1763" s="3" t="str">
        <f>IF(OR(Registered!AM1763&gt;0,Registered!AO1763&gt;0),(IF(Registered!E1763=0,"Size Not Specified",Registered!E1763)),"")</f>
        <v/>
      </c>
      <c r="AU1763" s="3" t="str">
        <f>IF(Registered!AE1763=0,"",IF(Registered!AE1763=1,Registered!AE1763&amp;" Bandana",Registered!AE1763&amp;" Bandanas"))</f>
        <v/>
      </c>
      <c r="AV1763" s="3">
        <f t="shared" si="83"/>
        <v>0</v>
      </c>
      <c r="AW1763" s="2" t="str">
        <f>IF(Registered!AV1763=0,"",IF(Registered!AV1763=1,Registered!AV1763&amp;" Meal",Registered!AV1763&amp;" Meals"))</f>
        <v/>
      </c>
      <c r="AX1763" s="2" t="str">
        <f>IF(Registered!AI1763=0,"",Registered!AI1763&amp;" BG")</f>
        <v/>
      </c>
      <c r="AY1763" s="2" t="str">
        <f>IF(Registered!AG1763=0,"",Registered!AG1763&amp;" DustMask")</f>
        <v/>
      </c>
    </row>
    <row r="1764" spans="1:51" customFormat="1" x14ac:dyDescent="0.25">
      <c r="A1764" t="s">
        <v>203</v>
      </c>
      <c r="B1764" t="s">
        <v>477</v>
      </c>
      <c r="C1764" t="s">
        <v>6090</v>
      </c>
      <c r="D1764" t="s">
        <v>5328</v>
      </c>
      <c r="F1764" t="s">
        <v>261</v>
      </c>
      <c r="I1764" t="s">
        <v>5329</v>
      </c>
      <c r="J1764" t="s">
        <v>37</v>
      </c>
      <c r="K1764" t="s">
        <v>32</v>
      </c>
      <c r="L1764" t="s">
        <v>35</v>
      </c>
      <c r="Q1764">
        <v>2</v>
      </c>
      <c r="R1764">
        <v>3</v>
      </c>
      <c r="AC1764">
        <v>1</v>
      </c>
      <c r="AD1764">
        <v>10</v>
      </c>
      <c r="AQ1764">
        <v>16</v>
      </c>
      <c r="AR1764" s="3">
        <f t="shared" si="81"/>
        <v>5</v>
      </c>
      <c r="AS1764" s="3">
        <f t="shared" si="82"/>
        <v>0</v>
      </c>
      <c r="AT1764" s="3" t="str">
        <f>IF(OR(Registered!AM1764&gt;0,Registered!AO1764&gt;0),(IF(Registered!E1764=0,"Size Not Specified",Registered!E1764)),"")</f>
        <v/>
      </c>
      <c r="AU1764" s="3" t="str">
        <f>IF(Registered!AE1764=0,"",IF(Registered!AE1764=1,Registered!AE1764&amp;" Bandana",Registered!AE1764&amp;" Bandanas"))</f>
        <v/>
      </c>
      <c r="AV1764" s="3">
        <f t="shared" si="83"/>
        <v>0</v>
      </c>
      <c r="AW1764" s="2" t="str">
        <f>IF(Registered!AV1764=0,"",IF(Registered!AV1764=1,Registered!AV1764&amp;" Meal",Registered!AV1764&amp;" Meals"))</f>
        <v/>
      </c>
      <c r="AX1764" s="2" t="str">
        <f>IF(Registered!AI1764=0,"",Registered!AI1764&amp;" BG")</f>
        <v/>
      </c>
      <c r="AY1764" s="2" t="str">
        <f>IF(Registered!AG1764=0,"",Registered!AG1764&amp;" DustMask")</f>
        <v/>
      </c>
    </row>
    <row r="1765" spans="1:51" customFormat="1" x14ac:dyDescent="0.25">
      <c r="A1765" t="s">
        <v>5330</v>
      </c>
      <c r="B1765" t="s">
        <v>477</v>
      </c>
      <c r="C1765" t="s">
        <v>6090</v>
      </c>
      <c r="G1765" t="s">
        <v>215</v>
      </c>
      <c r="H1765" t="s">
        <v>477</v>
      </c>
      <c r="I1765" t="s">
        <v>4287</v>
      </c>
      <c r="J1765" t="s">
        <v>37</v>
      </c>
      <c r="K1765" t="s">
        <v>32</v>
      </c>
      <c r="L1765" t="s">
        <v>35</v>
      </c>
      <c r="AQ1765">
        <v>0</v>
      </c>
      <c r="AR1765" s="3">
        <f t="shared" si="81"/>
        <v>0</v>
      </c>
      <c r="AS1765" s="3">
        <f t="shared" si="82"/>
        <v>0</v>
      </c>
      <c r="AT1765" s="3" t="str">
        <f>IF(OR(Registered!AM1765&gt;0,Registered!AO1765&gt;0),(IF(Registered!E1765=0,"Size Not Specified",Registered!E1765)),"")</f>
        <v/>
      </c>
      <c r="AU1765" s="3" t="str">
        <f>IF(Registered!AE1765=0,"",IF(Registered!AE1765=1,Registered!AE1765&amp;" Bandana",Registered!AE1765&amp;" Bandanas"))</f>
        <v/>
      </c>
      <c r="AV1765" s="3">
        <f t="shared" si="83"/>
        <v>0</v>
      </c>
      <c r="AW1765" s="2" t="str">
        <f>IF(Registered!AV1765=0,"",IF(Registered!AV1765=1,Registered!AV1765&amp;" Meal",Registered!AV1765&amp;" Meals"))</f>
        <v/>
      </c>
      <c r="AX1765" s="2" t="str">
        <f>IF(Registered!AI1765=0,"",Registered!AI1765&amp;" BG")</f>
        <v/>
      </c>
      <c r="AY1765" s="2" t="str">
        <f>IF(Registered!AG1765=0,"",Registered!AG1765&amp;" DustMask")</f>
        <v/>
      </c>
    </row>
    <row r="1766" spans="1:51" customFormat="1" x14ac:dyDescent="0.25">
      <c r="A1766" t="s">
        <v>384</v>
      </c>
      <c r="B1766" t="s">
        <v>477</v>
      </c>
      <c r="C1766" t="s">
        <v>6090</v>
      </c>
      <c r="G1766" t="s">
        <v>4173</v>
      </c>
      <c r="H1766" t="s">
        <v>4174</v>
      </c>
      <c r="I1766" t="s">
        <v>4175</v>
      </c>
      <c r="J1766" t="s">
        <v>37</v>
      </c>
      <c r="K1766" t="s">
        <v>32</v>
      </c>
      <c r="L1766" t="s">
        <v>35</v>
      </c>
      <c r="AQ1766">
        <v>0</v>
      </c>
      <c r="AR1766" s="3">
        <f t="shared" si="81"/>
        <v>0</v>
      </c>
      <c r="AS1766" s="3">
        <f t="shared" si="82"/>
        <v>0</v>
      </c>
      <c r="AT1766" s="3" t="str">
        <f>IF(OR(Registered!AM1766&gt;0,Registered!AO1766&gt;0),(IF(Registered!E1766=0,"Size Not Specified",Registered!E1766)),"")</f>
        <v/>
      </c>
      <c r="AU1766" s="3" t="str">
        <f>IF(Registered!AE1766=0,"",IF(Registered!AE1766=1,Registered!AE1766&amp;" Bandana",Registered!AE1766&amp;" Bandanas"))</f>
        <v/>
      </c>
      <c r="AV1766" s="3">
        <f t="shared" si="83"/>
        <v>0</v>
      </c>
      <c r="AW1766" s="2" t="str">
        <f>IF(Registered!AV1766=0,"",IF(Registered!AV1766=1,Registered!AV1766&amp;" Meal",Registered!AV1766&amp;" Meals"))</f>
        <v/>
      </c>
      <c r="AX1766" s="2" t="str">
        <f>IF(Registered!AI1766=0,"",Registered!AI1766&amp;" BG")</f>
        <v/>
      </c>
      <c r="AY1766" s="2" t="str">
        <f>IF(Registered!AG1766=0,"",Registered!AG1766&amp;" DustMask")</f>
        <v/>
      </c>
    </row>
    <row r="1767" spans="1:51" customFormat="1" x14ac:dyDescent="0.25">
      <c r="A1767" t="s">
        <v>1104</v>
      </c>
      <c r="B1767" t="s">
        <v>477</v>
      </c>
      <c r="C1767" t="s">
        <v>6090</v>
      </c>
      <c r="D1767" t="s">
        <v>2029</v>
      </c>
      <c r="E1767" t="s">
        <v>2030</v>
      </c>
      <c r="I1767" t="s">
        <v>1647</v>
      </c>
      <c r="J1767" t="s">
        <v>37</v>
      </c>
      <c r="K1767" t="s">
        <v>32</v>
      </c>
      <c r="L1767" t="s">
        <v>35</v>
      </c>
      <c r="S1767">
        <v>2</v>
      </c>
      <c r="T1767">
        <v>3</v>
      </c>
      <c r="AM1767">
        <v>2</v>
      </c>
      <c r="AN1767">
        <v>25</v>
      </c>
      <c r="AQ1767">
        <v>56</v>
      </c>
      <c r="AR1767" s="3">
        <f t="shared" si="81"/>
        <v>10</v>
      </c>
      <c r="AS1767" s="3">
        <f t="shared" si="82"/>
        <v>2</v>
      </c>
      <c r="AT1767" s="3" t="str">
        <f>IF(OR(Registered!AM1767&gt;0,Registered!AO1767&gt;0),(IF(Registered!E1767=0,"Size Not Specified",Registered!E1767)),"")</f>
        <v>1 Large, 1 medium</v>
      </c>
      <c r="AU1767" s="3" t="str">
        <f>IF(Registered!AE1767=0,"",IF(Registered!AE1767=1,Registered!AE1767&amp;" Bandana",Registered!AE1767&amp;" Bandanas"))</f>
        <v/>
      </c>
      <c r="AV1767" s="3">
        <f t="shared" si="83"/>
        <v>2</v>
      </c>
      <c r="AW1767" s="2" t="str">
        <f>IF(Registered!AV1767=0,"",IF(Registered!AV1767=1,Registered!AV1767&amp;" Meal",Registered!AV1767&amp;" Meals"))</f>
        <v>2 Meals</v>
      </c>
      <c r="AX1767" s="2" t="str">
        <f>IF(Registered!AI1767=0,"",Registered!AI1767&amp;" BG")</f>
        <v/>
      </c>
      <c r="AY1767" s="2" t="str">
        <f>IF(Registered!AG1767=0,"",Registered!AG1767&amp;" DustMask")</f>
        <v/>
      </c>
    </row>
    <row r="1768" spans="1:51" customFormat="1" x14ac:dyDescent="0.25">
      <c r="A1768" t="s">
        <v>42</v>
      </c>
      <c r="B1768" t="s">
        <v>477</v>
      </c>
      <c r="C1768" t="s">
        <v>6090</v>
      </c>
      <c r="G1768" t="s">
        <v>5129</v>
      </c>
      <c r="H1768" t="s">
        <v>477</v>
      </c>
      <c r="I1768" t="s">
        <v>5130</v>
      </c>
      <c r="J1768" t="s">
        <v>37</v>
      </c>
      <c r="K1768" t="s">
        <v>32</v>
      </c>
      <c r="L1768" t="s">
        <v>35</v>
      </c>
      <c r="AQ1768">
        <v>0</v>
      </c>
      <c r="AR1768" s="3">
        <f t="shared" si="81"/>
        <v>0</v>
      </c>
      <c r="AS1768" s="3">
        <f t="shared" si="82"/>
        <v>0</v>
      </c>
      <c r="AT1768" s="3" t="str">
        <f>IF(OR(Registered!AM1768&gt;0,Registered!AO1768&gt;0),(IF(Registered!E1768=0,"Size Not Specified",Registered!E1768)),"")</f>
        <v/>
      </c>
      <c r="AU1768" s="3" t="str">
        <f>IF(Registered!AE1768=0,"",IF(Registered!AE1768=1,Registered!AE1768&amp;" Bandana",Registered!AE1768&amp;" Bandanas"))</f>
        <v/>
      </c>
      <c r="AV1768" s="3">
        <f t="shared" si="83"/>
        <v>0</v>
      </c>
      <c r="AW1768" s="2" t="str">
        <f>IF(Registered!AV1768=0,"",IF(Registered!AV1768=1,Registered!AV1768&amp;" Meal",Registered!AV1768&amp;" Meals"))</f>
        <v/>
      </c>
      <c r="AX1768" s="2" t="str">
        <f>IF(Registered!AI1768=0,"",Registered!AI1768&amp;" BG")</f>
        <v/>
      </c>
      <c r="AY1768" s="2" t="str">
        <f>IF(Registered!AG1768=0,"",Registered!AG1768&amp;" DustMask")</f>
        <v/>
      </c>
    </row>
    <row r="1769" spans="1:51" customFormat="1" x14ac:dyDescent="0.25">
      <c r="A1769" t="s">
        <v>2031</v>
      </c>
      <c r="B1769" t="s">
        <v>477</v>
      </c>
      <c r="C1769" t="s">
        <v>6090</v>
      </c>
      <c r="D1769" t="s">
        <v>2032</v>
      </c>
      <c r="E1769" t="s">
        <v>247</v>
      </c>
      <c r="I1769" t="s">
        <v>2033</v>
      </c>
      <c r="J1769" t="s">
        <v>37</v>
      </c>
      <c r="K1769" t="s">
        <v>32</v>
      </c>
      <c r="L1769" t="s">
        <v>35</v>
      </c>
      <c r="O1769">
        <v>1</v>
      </c>
      <c r="P1769">
        <v>3</v>
      </c>
      <c r="AO1769">
        <v>1</v>
      </c>
      <c r="AP1769">
        <v>10</v>
      </c>
      <c r="AQ1769">
        <v>13</v>
      </c>
      <c r="AR1769" s="3">
        <f t="shared" si="81"/>
        <v>0</v>
      </c>
      <c r="AS1769" s="3">
        <f t="shared" si="82"/>
        <v>1</v>
      </c>
      <c r="AT1769" s="3" t="str">
        <f>IF(OR(Registered!AM1769&gt;0,Registered!AO1769&gt;0),(IF(Registered!E1769=0,"Size Not Specified",Registered!E1769)),"")</f>
        <v>S</v>
      </c>
      <c r="AU1769" s="3" t="str">
        <f>IF(Registered!AE1769=0,"",IF(Registered!AE1769=1,Registered!AE1769&amp;" Bandana",Registered!AE1769&amp;" Bandanas"))</f>
        <v/>
      </c>
      <c r="AV1769" s="3">
        <f t="shared" si="83"/>
        <v>0</v>
      </c>
      <c r="AW1769" s="2" t="str">
        <f>IF(Registered!AV1769=0,"",IF(Registered!AV1769=1,Registered!AV1769&amp;" Meal",Registered!AV1769&amp;" Meals"))</f>
        <v/>
      </c>
      <c r="AX1769" s="2" t="str">
        <f>IF(Registered!AI1769=0,"",Registered!AI1769&amp;" BG")</f>
        <v/>
      </c>
      <c r="AY1769" s="2" t="str">
        <f>IF(Registered!AG1769=0,"",Registered!AG1769&amp;" DustMask")</f>
        <v/>
      </c>
    </row>
    <row r="1770" spans="1:51" customFormat="1" x14ac:dyDescent="0.25">
      <c r="A1770" t="s">
        <v>272</v>
      </c>
      <c r="B1770" t="s">
        <v>477</v>
      </c>
      <c r="C1770" t="s">
        <v>6090</v>
      </c>
      <c r="D1770" t="s">
        <v>2034</v>
      </c>
      <c r="E1770" t="s">
        <v>2035</v>
      </c>
      <c r="I1770" t="s">
        <v>2036</v>
      </c>
      <c r="J1770" t="s">
        <v>37</v>
      </c>
      <c r="K1770" t="s">
        <v>32</v>
      </c>
      <c r="L1770" t="s">
        <v>35</v>
      </c>
      <c r="O1770">
        <v>2</v>
      </c>
      <c r="P1770">
        <v>3</v>
      </c>
      <c r="AC1770">
        <v>2</v>
      </c>
      <c r="AD1770">
        <v>10</v>
      </c>
      <c r="AE1770">
        <v>2</v>
      </c>
      <c r="AF1770">
        <v>5</v>
      </c>
      <c r="AO1770">
        <v>2</v>
      </c>
      <c r="AP1770">
        <v>10</v>
      </c>
      <c r="AQ1770">
        <v>56</v>
      </c>
      <c r="AR1770" s="3">
        <f t="shared" si="81"/>
        <v>10</v>
      </c>
      <c r="AS1770" s="3">
        <f t="shared" si="82"/>
        <v>2</v>
      </c>
      <c r="AT1770" s="3" t="str">
        <f>IF(OR(Registered!AM1770&gt;0,Registered!AO1770&gt;0),(IF(Registered!E1770=0,"Size Not Specified",Registered!E1770)),"")</f>
        <v>1 large and 1 medium</v>
      </c>
      <c r="AU1770" s="3" t="str">
        <f>IF(Registered!AE1770=0,"",IF(Registered!AE1770=1,Registered!AE1770&amp;" Bandana",Registered!AE1770&amp;" Bandanas"))</f>
        <v>2 Bandanas</v>
      </c>
      <c r="AV1770" s="3">
        <f t="shared" si="83"/>
        <v>0</v>
      </c>
      <c r="AW1770" s="2" t="str">
        <f>IF(Registered!AV1770=0,"",IF(Registered!AV1770=1,Registered!AV1770&amp;" Meal",Registered!AV1770&amp;" Meals"))</f>
        <v/>
      </c>
      <c r="AX1770" s="2" t="str">
        <f>IF(Registered!AI1770=0,"",Registered!AI1770&amp;" BG")</f>
        <v/>
      </c>
      <c r="AY1770" s="2" t="str">
        <f>IF(Registered!AG1770=0,"",Registered!AG1770&amp;" DustMask")</f>
        <v/>
      </c>
    </row>
    <row r="1771" spans="1:51" customFormat="1" x14ac:dyDescent="0.25">
      <c r="A1771" t="s">
        <v>47</v>
      </c>
      <c r="B1771" t="s">
        <v>477</v>
      </c>
      <c r="C1771" t="s">
        <v>6090</v>
      </c>
      <c r="G1771" t="s">
        <v>5129</v>
      </c>
      <c r="H1771" t="s">
        <v>477</v>
      </c>
      <c r="I1771" t="s">
        <v>5130</v>
      </c>
      <c r="J1771" t="s">
        <v>37</v>
      </c>
      <c r="K1771" t="s">
        <v>32</v>
      </c>
      <c r="L1771" t="s">
        <v>35</v>
      </c>
      <c r="AQ1771">
        <v>0</v>
      </c>
      <c r="AR1771" s="3">
        <f t="shared" si="81"/>
        <v>0</v>
      </c>
      <c r="AS1771" s="3">
        <f t="shared" si="82"/>
        <v>0</v>
      </c>
      <c r="AT1771" s="3" t="str">
        <f>IF(OR(Registered!AM1771&gt;0,Registered!AO1771&gt;0),(IF(Registered!E1771=0,"Size Not Specified",Registered!E1771)),"")</f>
        <v/>
      </c>
      <c r="AU1771" s="3" t="str">
        <f>IF(Registered!AE1771=0,"",IF(Registered!AE1771=1,Registered!AE1771&amp;" Bandana",Registered!AE1771&amp;" Bandanas"))</f>
        <v/>
      </c>
      <c r="AV1771" s="3">
        <f t="shared" si="83"/>
        <v>0</v>
      </c>
      <c r="AW1771" s="2" t="str">
        <f>IF(Registered!AV1771=0,"",IF(Registered!AV1771=1,Registered!AV1771&amp;" Meal",Registered!AV1771&amp;" Meals"))</f>
        <v/>
      </c>
      <c r="AX1771" s="2" t="str">
        <f>IF(Registered!AI1771=0,"",Registered!AI1771&amp;" BG")</f>
        <v/>
      </c>
      <c r="AY1771" s="2" t="str">
        <f>IF(Registered!AG1771=0,"",Registered!AG1771&amp;" DustMask")</f>
        <v/>
      </c>
    </row>
    <row r="1772" spans="1:51" customFormat="1" x14ac:dyDescent="0.25">
      <c r="A1772" t="s">
        <v>5331</v>
      </c>
      <c r="B1772" t="s">
        <v>477</v>
      </c>
      <c r="C1772" t="s">
        <v>6090</v>
      </c>
      <c r="D1772" t="s">
        <v>5332</v>
      </c>
      <c r="E1772" t="s">
        <v>117</v>
      </c>
      <c r="F1772" t="s">
        <v>261</v>
      </c>
      <c r="I1772" t="s">
        <v>5333</v>
      </c>
      <c r="J1772" t="s">
        <v>37</v>
      </c>
      <c r="K1772" t="s">
        <v>32</v>
      </c>
      <c r="L1772" t="s">
        <v>35</v>
      </c>
      <c r="Q1772">
        <v>1</v>
      </c>
      <c r="R1772">
        <v>3</v>
      </c>
      <c r="AM1772">
        <v>1</v>
      </c>
      <c r="AN1772">
        <v>25</v>
      </c>
      <c r="AQ1772">
        <v>28</v>
      </c>
      <c r="AR1772" s="3">
        <f t="shared" si="81"/>
        <v>5</v>
      </c>
      <c r="AS1772" s="3">
        <f t="shared" si="82"/>
        <v>1</v>
      </c>
      <c r="AT1772" s="3" t="str">
        <f>IF(OR(Registered!AM1772&gt;0,Registered!AO1772&gt;0),(IF(Registered!E1772=0,"Size Not Specified",Registered!E1772)),"")</f>
        <v>Large</v>
      </c>
      <c r="AU1772" s="3" t="str">
        <f>IF(Registered!AE1772=0,"",IF(Registered!AE1772=1,Registered!AE1772&amp;" Bandana",Registered!AE1772&amp;" Bandanas"))</f>
        <v/>
      </c>
      <c r="AV1772" s="3">
        <f t="shared" si="83"/>
        <v>1</v>
      </c>
      <c r="AW1772" s="2" t="str">
        <f>IF(Registered!AV1772=0,"",IF(Registered!AV1772=1,Registered!AV1772&amp;" Meal",Registered!AV1772&amp;" Meals"))</f>
        <v>1 Meal</v>
      </c>
      <c r="AX1772" s="2" t="str">
        <f>IF(Registered!AI1772=0,"",Registered!AI1772&amp;" BG")</f>
        <v/>
      </c>
      <c r="AY1772" s="2" t="str">
        <f>IF(Registered!AG1772=0,"",Registered!AG1772&amp;" DustMask")</f>
        <v/>
      </c>
    </row>
    <row r="1773" spans="1:51" customFormat="1" x14ac:dyDescent="0.25">
      <c r="A1773" t="s">
        <v>136</v>
      </c>
      <c r="B1773" t="s">
        <v>3251</v>
      </c>
      <c r="C1773" t="s">
        <v>6090</v>
      </c>
      <c r="D1773" t="s">
        <v>3252</v>
      </c>
      <c r="F1773" t="s">
        <v>261</v>
      </c>
      <c r="I1773" t="s">
        <v>3253</v>
      </c>
      <c r="J1773" t="s">
        <v>37</v>
      </c>
      <c r="K1773" t="s">
        <v>32</v>
      </c>
      <c r="L1773" t="s">
        <v>35</v>
      </c>
      <c r="Q1773">
        <v>2</v>
      </c>
      <c r="R1773">
        <v>3</v>
      </c>
      <c r="U1773">
        <v>1</v>
      </c>
      <c r="V1773">
        <v>20</v>
      </c>
      <c r="AG1773">
        <v>1</v>
      </c>
      <c r="AH1773">
        <v>1</v>
      </c>
      <c r="AQ1773">
        <v>27</v>
      </c>
      <c r="AR1773" s="3">
        <f t="shared" si="81"/>
        <v>10</v>
      </c>
      <c r="AS1773" s="3">
        <f t="shared" si="82"/>
        <v>0</v>
      </c>
      <c r="AT1773" s="3" t="str">
        <f>IF(OR(Registered!AM1773&gt;0,Registered!AO1773&gt;0),(IF(Registered!E1773=0,"Size Not Specified",Registered!E1773)),"")</f>
        <v/>
      </c>
      <c r="AU1773" s="3" t="str">
        <f>IF(Registered!AE1773=0,"",IF(Registered!AE1773=1,Registered!AE1773&amp;" Bandana",Registered!AE1773&amp;" Bandanas"))</f>
        <v/>
      </c>
      <c r="AV1773" s="3">
        <f t="shared" si="83"/>
        <v>0</v>
      </c>
      <c r="AW1773" s="2" t="str">
        <f>IF(Registered!AV1773=0,"",IF(Registered!AV1773=1,Registered!AV1773&amp;" Meal",Registered!AV1773&amp;" Meals"))</f>
        <v/>
      </c>
      <c r="AX1773" s="2" t="str">
        <f>IF(Registered!AI1773=0,"",Registered!AI1773&amp;" BG")</f>
        <v/>
      </c>
      <c r="AY1773" s="2" t="str">
        <f>IF(Registered!AG1773=0,"",Registered!AG1773&amp;" DustMask")</f>
        <v>1 DustMask</v>
      </c>
    </row>
    <row r="1774" spans="1:51" customFormat="1" x14ac:dyDescent="0.25">
      <c r="A1774" t="s">
        <v>64</v>
      </c>
      <c r="B1774" t="s">
        <v>5334</v>
      </c>
      <c r="C1774" t="s">
        <v>6090</v>
      </c>
      <c r="G1774" t="s">
        <v>220</v>
      </c>
      <c r="H1774" t="s">
        <v>4238</v>
      </c>
      <c r="I1774" t="s">
        <v>4240</v>
      </c>
      <c r="J1774" t="s">
        <v>37</v>
      </c>
      <c r="K1774" t="s">
        <v>32</v>
      </c>
      <c r="L1774" t="s">
        <v>35</v>
      </c>
      <c r="AQ1774">
        <v>0</v>
      </c>
      <c r="AR1774" s="3">
        <f t="shared" si="81"/>
        <v>0</v>
      </c>
      <c r="AS1774" s="3">
        <f t="shared" si="82"/>
        <v>0</v>
      </c>
      <c r="AT1774" s="3" t="str">
        <f>IF(OR(Registered!AM1774&gt;0,Registered!AO1774&gt;0),(IF(Registered!E1774=0,"Size Not Specified",Registered!E1774)),"")</f>
        <v/>
      </c>
      <c r="AU1774" s="3" t="str">
        <f>IF(Registered!AE1774=0,"",IF(Registered!AE1774=1,Registered!AE1774&amp;" Bandana",Registered!AE1774&amp;" Bandanas"))</f>
        <v/>
      </c>
      <c r="AV1774" s="3">
        <f t="shared" si="83"/>
        <v>0</v>
      </c>
      <c r="AW1774" s="2" t="str">
        <f>IF(Registered!AV1774=0,"",IF(Registered!AV1774=1,Registered!AV1774&amp;" Meal",Registered!AV1774&amp;" Meals"))</f>
        <v/>
      </c>
      <c r="AX1774" s="2" t="str">
        <f>IF(Registered!AI1774=0,"",Registered!AI1774&amp;" BG")</f>
        <v/>
      </c>
      <c r="AY1774" s="2" t="str">
        <f>IF(Registered!AG1774=0,"",Registered!AG1774&amp;" DustMask")</f>
        <v/>
      </c>
    </row>
    <row r="1775" spans="1:51" customFormat="1" x14ac:dyDescent="0.25">
      <c r="A1775" t="s">
        <v>3254</v>
      </c>
      <c r="B1775" t="s">
        <v>3255</v>
      </c>
      <c r="C1775" t="s">
        <v>6090</v>
      </c>
      <c r="F1775" t="s">
        <v>261</v>
      </c>
      <c r="I1775" t="s">
        <v>5335</v>
      </c>
      <c r="J1775" t="s">
        <v>37</v>
      </c>
      <c r="K1775" t="s">
        <v>32</v>
      </c>
      <c r="L1775" t="s">
        <v>35</v>
      </c>
      <c r="Q1775">
        <v>1</v>
      </c>
      <c r="R1775">
        <v>3</v>
      </c>
      <c r="AQ1775">
        <v>3</v>
      </c>
      <c r="AR1775" s="3">
        <f t="shared" si="81"/>
        <v>0</v>
      </c>
      <c r="AS1775" s="3">
        <f t="shared" si="82"/>
        <v>0</v>
      </c>
      <c r="AT1775" s="3" t="str">
        <f>IF(OR(Registered!AM1775&gt;0,Registered!AO1775&gt;0),(IF(Registered!E1775=0,"Size Not Specified",Registered!E1775)),"")</f>
        <v/>
      </c>
      <c r="AU1775" s="3" t="str">
        <f>IF(Registered!AE1775=0,"",IF(Registered!AE1775=1,Registered!AE1775&amp;" Bandana",Registered!AE1775&amp;" Bandanas"))</f>
        <v/>
      </c>
      <c r="AV1775" s="3">
        <f t="shared" si="83"/>
        <v>0</v>
      </c>
      <c r="AW1775" s="2" t="str">
        <f>IF(Registered!AV1775=0,"",IF(Registered!AV1775=1,Registered!AV1775&amp;" Meal",Registered!AV1775&amp;" Meals"))</f>
        <v/>
      </c>
      <c r="AX1775" s="2" t="str">
        <f>IF(Registered!AI1775=0,"",Registered!AI1775&amp;" BG")</f>
        <v/>
      </c>
      <c r="AY1775" s="2" t="str">
        <f>IF(Registered!AG1775=0,"",Registered!AG1775&amp;" DustMask")</f>
        <v/>
      </c>
    </row>
    <row r="1776" spans="1:51" customFormat="1" x14ac:dyDescent="0.25">
      <c r="A1776" t="s">
        <v>2039</v>
      </c>
      <c r="B1776" t="s">
        <v>2040</v>
      </c>
      <c r="C1776" t="s">
        <v>6090</v>
      </c>
      <c r="G1776" t="s">
        <v>317</v>
      </c>
      <c r="H1776" t="s">
        <v>2040</v>
      </c>
      <c r="I1776" t="s">
        <v>2041</v>
      </c>
      <c r="J1776" t="s">
        <v>37</v>
      </c>
      <c r="K1776" t="s">
        <v>32</v>
      </c>
      <c r="L1776" t="s">
        <v>35</v>
      </c>
      <c r="AQ1776">
        <v>0</v>
      </c>
      <c r="AR1776" s="3">
        <f t="shared" si="81"/>
        <v>0</v>
      </c>
      <c r="AS1776" s="3">
        <f t="shared" si="82"/>
        <v>0</v>
      </c>
      <c r="AT1776" s="3" t="str">
        <f>IF(OR(Registered!AM1776&gt;0,Registered!AO1776&gt;0),(IF(Registered!E1776=0,"Size Not Specified",Registered!E1776)),"")</f>
        <v/>
      </c>
      <c r="AU1776" s="3" t="str">
        <f>IF(Registered!AE1776=0,"",IF(Registered!AE1776=1,Registered!AE1776&amp;" Bandana",Registered!AE1776&amp;" Bandanas"))</f>
        <v/>
      </c>
      <c r="AV1776" s="3">
        <f t="shared" si="83"/>
        <v>0</v>
      </c>
      <c r="AW1776" s="2" t="str">
        <f>IF(Registered!AV1776=0,"",IF(Registered!AV1776=1,Registered!AV1776&amp;" Meal",Registered!AV1776&amp;" Meals"))</f>
        <v/>
      </c>
      <c r="AX1776" s="2" t="str">
        <f>IF(Registered!AI1776=0,"",Registered!AI1776&amp;" BG")</f>
        <v/>
      </c>
      <c r="AY1776" s="2" t="str">
        <f>IF(Registered!AG1776=0,"",Registered!AG1776&amp;" DustMask")</f>
        <v/>
      </c>
    </row>
    <row r="1777" spans="1:51" customFormat="1" x14ac:dyDescent="0.25">
      <c r="A1777" t="s">
        <v>317</v>
      </c>
      <c r="B1777" t="s">
        <v>2040</v>
      </c>
      <c r="C1777" t="s">
        <v>6090</v>
      </c>
      <c r="D1777" t="s">
        <v>2042</v>
      </c>
      <c r="F1777" t="s">
        <v>261</v>
      </c>
      <c r="I1777" t="s">
        <v>2041</v>
      </c>
      <c r="J1777" t="s">
        <v>37</v>
      </c>
      <c r="K1777" t="s">
        <v>32</v>
      </c>
      <c r="L1777" t="s">
        <v>35</v>
      </c>
      <c r="S1777">
        <v>2</v>
      </c>
      <c r="T1777">
        <v>3</v>
      </c>
      <c r="U1777">
        <v>1</v>
      </c>
      <c r="V1777">
        <v>20</v>
      </c>
      <c r="AI1777">
        <v>1</v>
      </c>
      <c r="AJ1777">
        <v>10</v>
      </c>
      <c r="AQ1777">
        <v>36</v>
      </c>
      <c r="AR1777" s="3">
        <f t="shared" si="81"/>
        <v>10</v>
      </c>
      <c r="AS1777" s="3">
        <f t="shared" si="82"/>
        <v>0</v>
      </c>
      <c r="AT1777" s="3" t="str">
        <f>IF(OR(Registered!AM1777&gt;0,Registered!AO1777&gt;0),(IF(Registered!E1777=0,"Size Not Specified",Registered!E1777)),"")</f>
        <v/>
      </c>
      <c r="AU1777" s="3" t="str">
        <f>IF(Registered!AE1777=0,"",IF(Registered!AE1777=1,Registered!AE1777&amp;" Bandana",Registered!AE1777&amp;" Bandanas"))</f>
        <v/>
      </c>
      <c r="AV1777" s="3">
        <f t="shared" si="83"/>
        <v>0</v>
      </c>
      <c r="AW1777" s="2" t="str">
        <f>IF(Registered!AV1777=0,"",IF(Registered!AV1777=1,Registered!AV1777&amp;" Meal",Registered!AV1777&amp;" Meals"))</f>
        <v/>
      </c>
      <c r="AX1777" s="2" t="str">
        <f>IF(Registered!AI1777=0,"",Registered!AI1777&amp;" BG")</f>
        <v>1 BG</v>
      </c>
      <c r="AY1777" s="2" t="str">
        <f>IF(Registered!AG1777=0,"",Registered!AG1777&amp;" DustMask")</f>
        <v/>
      </c>
    </row>
    <row r="1778" spans="1:51" customFormat="1" x14ac:dyDescent="0.25">
      <c r="A1778" t="s">
        <v>2013</v>
      </c>
      <c r="B1778" t="s">
        <v>2014</v>
      </c>
      <c r="C1778" t="s">
        <v>6090</v>
      </c>
      <c r="D1778" t="s">
        <v>2043</v>
      </c>
      <c r="F1778" t="s">
        <v>261</v>
      </c>
      <c r="I1778" t="s">
        <v>5322</v>
      </c>
      <c r="J1778" t="s">
        <v>37</v>
      </c>
      <c r="K1778" t="s">
        <v>32</v>
      </c>
      <c r="L1778" t="s">
        <v>35</v>
      </c>
      <c r="S1778">
        <v>2</v>
      </c>
      <c r="T1778">
        <v>3</v>
      </c>
      <c r="AC1778">
        <v>2</v>
      </c>
      <c r="AD1778">
        <v>10</v>
      </c>
      <c r="AO1778">
        <v>2</v>
      </c>
      <c r="AP1778">
        <v>10</v>
      </c>
      <c r="AQ1778">
        <v>46</v>
      </c>
      <c r="AR1778" s="3">
        <f t="shared" si="81"/>
        <v>10</v>
      </c>
      <c r="AS1778" s="3">
        <f t="shared" si="82"/>
        <v>2</v>
      </c>
      <c r="AT1778" s="3" t="str">
        <f>IF(OR(Registered!AM1778&gt;0,Registered!AO1778&gt;0),(IF(Registered!E1778=0,"Size Not Specified",Registered!E1778)),"")</f>
        <v>Size Not Specified</v>
      </c>
      <c r="AU1778" s="3" t="str">
        <f>IF(Registered!AE1778=0,"",IF(Registered!AE1778=1,Registered!AE1778&amp;" Bandana",Registered!AE1778&amp;" Bandanas"))</f>
        <v/>
      </c>
      <c r="AV1778" s="3">
        <f t="shared" si="83"/>
        <v>0</v>
      </c>
      <c r="AW1778" s="2" t="str">
        <f>IF(Registered!AV1778=0,"",IF(Registered!AV1778=1,Registered!AV1778&amp;" Meal",Registered!AV1778&amp;" Meals"))</f>
        <v/>
      </c>
      <c r="AX1778" s="2" t="str">
        <f>IF(Registered!AI1778=0,"",Registered!AI1778&amp;" BG")</f>
        <v/>
      </c>
      <c r="AY1778" s="2" t="str">
        <f>IF(Registered!AG1778=0,"",Registered!AG1778&amp;" DustMask")</f>
        <v/>
      </c>
    </row>
    <row r="1779" spans="1:51" customFormat="1" x14ac:dyDescent="0.25">
      <c r="A1779" t="s">
        <v>174</v>
      </c>
      <c r="B1779" t="s">
        <v>478</v>
      </c>
      <c r="C1779" t="s">
        <v>6090</v>
      </c>
      <c r="D1779" t="s">
        <v>174</v>
      </c>
      <c r="I1779" t="s">
        <v>2044</v>
      </c>
      <c r="J1779" t="s">
        <v>37</v>
      </c>
      <c r="K1779" t="s">
        <v>32</v>
      </c>
      <c r="L1779" t="s">
        <v>35</v>
      </c>
      <c r="O1779">
        <v>1</v>
      </c>
      <c r="P1779">
        <v>3</v>
      </c>
      <c r="AQ1779">
        <v>3</v>
      </c>
      <c r="AR1779" s="3">
        <f t="shared" si="81"/>
        <v>0</v>
      </c>
      <c r="AS1779" s="3">
        <f t="shared" si="82"/>
        <v>0</v>
      </c>
      <c r="AT1779" s="3" t="str">
        <f>IF(OR(Registered!AM1779&gt;0,Registered!AO1779&gt;0),(IF(Registered!E1779=0,"Size Not Specified",Registered!E1779)),"")</f>
        <v/>
      </c>
      <c r="AU1779" s="3" t="str">
        <f>IF(Registered!AE1779=0,"",IF(Registered!AE1779=1,Registered!AE1779&amp;" Bandana",Registered!AE1779&amp;" Bandanas"))</f>
        <v/>
      </c>
      <c r="AV1779" s="3">
        <f t="shared" si="83"/>
        <v>0</v>
      </c>
      <c r="AW1779" s="2" t="str">
        <f>IF(Registered!AV1779=0,"",IF(Registered!AV1779=1,Registered!AV1779&amp;" Meal",Registered!AV1779&amp;" Meals"))</f>
        <v/>
      </c>
      <c r="AX1779" s="2" t="str">
        <f>IF(Registered!AI1779=0,"",Registered!AI1779&amp;" BG")</f>
        <v/>
      </c>
      <c r="AY1779" s="2" t="str">
        <f>IF(Registered!AG1779=0,"",Registered!AG1779&amp;" DustMask")</f>
        <v/>
      </c>
    </row>
    <row r="1780" spans="1:51" customFormat="1" x14ac:dyDescent="0.25">
      <c r="A1780" t="s">
        <v>5338</v>
      </c>
      <c r="B1780" t="s">
        <v>478</v>
      </c>
      <c r="C1780" t="s">
        <v>6090</v>
      </c>
      <c r="D1780" t="s">
        <v>5339</v>
      </c>
      <c r="F1780" t="s">
        <v>261</v>
      </c>
      <c r="I1780" t="s">
        <v>5340</v>
      </c>
      <c r="J1780" t="s">
        <v>37</v>
      </c>
      <c r="K1780" t="s">
        <v>32</v>
      </c>
      <c r="L1780" t="s">
        <v>35</v>
      </c>
      <c r="Q1780">
        <v>1</v>
      </c>
      <c r="R1780">
        <v>3</v>
      </c>
      <c r="U1780">
        <v>1</v>
      </c>
      <c r="V1780">
        <v>20</v>
      </c>
      <c r="AQ1780">
        <v>23</v>
      </c>
      <c r="AR1780" s="3">
        <f t="shared" si="81"/>
        <v>10</v>
      </c>
      <c r="AS1780" s="3">
        <f t="shared" si="82"/>
        <v>0</v>
      </c>
      <c r="AT1780" s="3" t="str">
        <f>IF(OR(Registered!AM1780&gt;0,Registered!AO1780&gt;0),(IF(Registered!E1780=0,"Size Not Specified",Registered!E1780)),"")</f>
        <v/>
      </c>
      <c r="AU1780" s="3" t="str">
        <f>IF(Registered!AE1780=0,"",IF(Registered!AE1780=1,Registered!AE1780&amp;" Bandana",Registered!AE1780&amp;" Bandanas"))</f>
        <v/>
      </c>
      <c r="AV1780" s="3">
        <f t="shared" si="83"/>
        <v>0</v>
      </c>
      <c r="AW1780" s="2" t="str">
        <f>IF(Registered!AV1780=0,"",IF(Registered!AV1780=1,Registered!AV1780&amp;" Meal",Registered!AV1780&amp;" Meals"))</f>
        <v/>
      </c>
      <c r="AX1780" s="2" t="str">
        <f>IF(Registered!AI1780=0,"",Registered!AI1780&amp;" BG")</f>
        <v/>
      </c>
      <c r="AY1780" s="2" t="str">
        <f>IF(Registered!AG1780=0,"",Registered!AG1780&amp;" DustMask")</f>
        <v/>
      </c>
    </row>
    <row r="1781" spans="1:51" customFormat="1" x14ac:dyDescent="0.25">
      <c r="A1781" t="s">
        <v>50</v>
      </c>
      <c r="B1781" t="s">
        <v>3256</v>
      </c>
      <c r="C1781" t="s">
        <v>6090</v>
      </c>
      <c r="G1781" t="s">
        <v>217</v>
      </c>
      <c r="H1781" t="s">
        <v>2087</v>
      </c>
      <c r="I1781" t="s">
        <v>3257</v>
      </c>
      <c r="J1781" t="s">
        <v>37</v>
      </c>
      <c r="K1781" t="s">
        <v>32</v>
      </c>
      <c r="L1781" t="s">
        <v>35</v>
      </c>
      <c r="AQ1781">
        <v>0</v>
      </c>
      <c r="AR1781" s="3">
        <f t="shared" si="81"/>
        <v>0</v>
      </c>
      <c r="AS1781" s="3">
        <f t="shared" si="82"/>
        <v>0</v>
      </c>
      <c r="AT1781" s="3" t="str">
        <f>IF(OR(Registered!AM1781&gt;0,Registered!AO1781&gt;0),(IF(Registered!E1781=0,"Size Not Specified",Registered!E1781)),"")</f>
        <v/>
      </c>
      <c r="AU1781" s="3" t="str">
        <f>IF(Registered!AE1781=0,"",IF(Registered!AE1781=1,Registered!AE1781&amp;" Bandana",Registered!AE1781&amp;" Bandanas"))</f>
        <v/>
      </c>
      <c r="AV1781" s="3">
        <f t="shared" si="83"/>
        <v>0</v>
      </c>
      <c r="AW1781" s="2" t="str">
        <f>IF(Registered!AV1781=0,"",IF(Registered!AV1781=1,Registered!AV1781&amp;" Meal",Registered!AV1781&amp;" Meals"))</f>
        <v/>
      </c>
      <c r="AX1781" s="2" t="str">
        <f>IF(Registered!AI1781=0,"",Registered!AI1781&amp;" BG")</f>
        <v/>
      </c>
      <c r="AY1781" s="2" t="str">
        <f>IF(Registered!AG1781=0,"",Registered!AG1781&amp;" DustMask")</f>
        <v/>
      </c>
    </row>
    <row r="1782" spans="1:51" customFormat="1" x14ac:dyDescent="0.25">
      <c r="A1782" t="s">
        <v>104</v>
      </c>
      <c r="B1782" t="s">
        <v>3926</v>
      </c>
      <c r="C1782" t="s">
        <v>6090</v>
      </c>
      <c r="D1782" t="s">
        <v>5341</v>
      </c>
      <c r="E1782" t="s">
        <v>76</v>
      </c>
      <c r="F1782" t="s">
        <v>261</v>
      </c>
      <c r="I1782" t="s">
        <v>3927</v>
      </c>
      <c r="J1782" t="s">
        <v>37</v>
      </c>
      <c r="K1782" t="s">
        <v>32</v>
      </c>
      <c r="L1782" t="s">
        <v>35</v>
      </c>
      <c r="Q1782">
        <v>2</v>
      </c>
      <c r="R1782">
        <v>3</v>
      </c>
      <c r="U1782">
        <v>1</v>
      </c>
      <c r="V1782">
        <v>20</v>
      </c>
      <c r="AQ1782">
        <v>26</v>
      </c>
      <c r="AR1782" s="3">
        <f t="shared" si="81"/>
        <v>10</v>
      </c>
      <c r="AS1782" s="3">
        <f t="shared" si="82"/>
        <v>0</v>
      </c>
      <c r="AT1782" s="3" t="str">
        <f>IF(OR(Registered!AM1782&gt;0,Registered!AO1782&gt;0),(IF(Registered!E1782=0,"Size Not Specified",Registered!E1782)),"")</f>
        <v/>
      </c>
      <c r="AU1782" s="3" t="str">
        <f>IF(Registered!AE1782=0,"",IF(Registered!AE1782=1,Registered!AE1782&amp;" Bandana",Registered!AE1782&amp;" Bandanas"))</f>
        <v/>
      </c>
      <c r="AV1782" s="3">
        <f t="shared" si="83"/>
        <v>0</v>
      </c>
      <c r="AW1782" s="2" t="str">
        <f>IF(Registered!AV1782=0,"",IF(Registered!AV1782=1,Registered!AV1782&amp;" Meal",Registered!AV1782&amp;" Meals"))</f>
        <v/>
      </c>
      <c r="AX1782" s="2" t="str">
        <f>IF(Registered!AI1782=0,"",Registered!AI1782&amp;" BG")</f>
        <v/>
      </c>
      <c r="AY1782" s="2" t="str">
        <f>IF(Registered!AG1782=0,"",Registered!AG1782&amp;" DustMask")</f>
        <v/>
      </c>
    </row>
    <row r="1783" spans="1:51" customFormat="1" x14ac:dyDescent="0.25">
      <c r="A1783" t="s">
        <v>390</v>
      </c>
      <c r="B1783" t="s">
        <v>3926</v>
      </c>
      <c r="C1783" t="s">
        <v>6090</v>
      </c>
      <c r="D1783" t="s">
        <v>5342</v>
      </c>
      <c r="E1783" t="s">
        <v>5343</v>
      </c>
      <c r="F1783" t="s">
        <v>261</v>
      </c>
      <c r="I1783" t="s">
        <v>5344</v>
      </c>
      <c r="J1783" t="s">
        <v>37</v>
      </c>
      <c r="K1783" t="s">
        <v>32</v>
      </c>
      <c r="L1783" t="s">
        <v>35</v>
      </c>
      <c r="Q1783">
        <v>1</v>
      </c>
      <c r="R1783">
        <v>3</v>
      </c>
      <c r="AM1783">
        <v>3</v>
      </c>
      <c r="AN1783">
        <v>25</v>
      </c>
      <c r="AQ1783">
        <v>78</v>
      </c>
      <c r="AR1783" s="3">
        <f t="shared" si="81"/>
        <v>15</v>
      </c>
      <c r="AS1783" s="3">
        <f t="shared" si="82"/>
        <v>3</v>
      </c>
      <c r="AT1783" s="3" t="str">
        <f>IF(OR(Registered!AM1783&gt;0,Registered!AO1783&gt;0),(IF(Registered!E1783=0,"Size Not Specified",Registered!E1783)),"")</f>
        <v>Adult small, Adult large, Adult 3x</v>
      </c>
      <c r="AU1783" s="3" t="str">
        <f>IF(Registered!AE1783=0,"",IF(Registered!AE1783=1,Registered!AE1783&amp;" Bandana",Registered!AE1783&amp;" Bandanas"))</f>
        <v/>
      </c>
      <c r="AV1783" s="3">
        <f t="shared" si="83"/>
        <v>3</v>
      </c>
      <c r="AW1783" s="2" t="str">
        <f>IF(Registered!AV1783=0,"",IF(Registered!AV1783=1,Registered!AV1783&amp;" Meal",Registered!AV1783&amp;" Meals"))</f>
        <v>3 Meals</v>
      </c>
      <c r="AX1783" s="2" t="str">
        <f>IF(Registered!AI1783=0,"",Registered!AI1783&amp;" BG")</f>
        <v/>
      </c>
      <c r="AY1783" s="2" t="str">
        <f>IF(Registered!AG1783=0,"",Registered!AG1783&amp;" DustMask")</f>
        <v/>
      </c>
    </row>
    <row r="1784" spans="1:51" customFormat="1" x14ac:dyDescent="0.25">
      <c r="A1784" t="s">
        <v>141</v>
      </c>
      <c r="B1784" t="s">
        <v>3926</v>
      </c>
      <c r="C1784" t="s">
        <v>6090</v>
      </c>
      <c r="G1784" t="s">
        <v>64</v>
      </c>
      <c r="H1784" t="s">
        <v>4496</v>
      </c>
      <c r="I1784" t="s">
        <v>4498</v>
      </c>
      <c r="J1784" t="s">
        <v>37</v>
      </c>
      <c r="K1784" t="s">
        <v>32</v>
      </c>
      <c r="L1784" t="s">
        <v>35</v>
      </c>
      <c r="AQ1784">
        <v>0</v>
      </c>
      <c r="AR1784" s="3">
        <f t="shared" si="81"/>
        <v>0</v>
      </c>
      <c r="AS1784" s="3">
        <f t="shared" si="82"/>
        <v>0</v>
      </c>
      <c r="AT1784" s="3" t="str">
        <f>IF(OR(Registered!AM1784&gt;0,Registered!AO1784&gt;0),(IF(Registered!E1784=0,"Size Not Specified",Registered!E1784)),"")</f>
        <v/>
      </c>
      <c r="AU1784" s="3" t="str">
        <f>IF(Registered!AE1784=0,"",IF(Registered!AE1784=1,Registered!AE1784&amp;" Bandana",Registered!AE1784&amp;" Bandanas"))</f>
        <v/>
      </c>
      <c r="AV1784" s="3">
        <f t="shared" si="83"/>
        <v>0</v>
      </c>
      <c r="AW1784" s="2" t="str">
        <f>IF(Registered!AV1784=0,"",IF(Registered!AV1784=1,Registered!AV1784&amp;" Meal",Registered!AV1784&amp;" Meals"))</f>
        <v/>
      </c>
      <c r="AX1784" s="2" t="str">
        <f>IF(Registered!AI1784=0,"",Registered!AI1784&amp;" BG")</f>
        <v/>
      </c>
      <c r="AY1784" s="2" t="str">
        <f>IF(Registered!AG1784=0,"",Registered!AG1784&amp;" DustMask")</f>
        <v/>
      </c>
    </row>
    <row r="1785" spans="1:51" customFormat="1" x14ac:dyDescent="0.25">
      <c r="A1785" t="s">
        <v>398</v>
      </c>
      <c r="B1785" t="s">
        <v>5345</v>
      </c>
      <c r="C1785" t="s">
        <v>6090</v>
      </c>
      <c r="G1785" t="s">
        <v>4226</v>
      </c>
      <c r="H1785" t="s">
        <v>4225</v>
      </c>
      <c r="I1785" t="s">
        <v>4227</v>
      </c>
      <c r="J1785" t="s">
        <v>37</v>
      </c>
      <c r="K1785" t="s">
        <v>32</v>
      </c>
      <c r="L1785" t="s">
        <v>35</v>
      </c>
      <c r="AQ1785">
        <v>0</v>
      </c>
      <c r="AR1785" s="3">
        <f t="shared" si="81"/>
        <v>0</v>
      </c>
      <c r="AS1785" s="3">
        <f t="shared" si="82"/>
        <v>0</v>
      </c>
      <c r="AT1785" s="3" t="str">
        <f>IF(OR(Registered!AM1785&gt;0,Registered!AO1785&gt;0),(IF(Registered!E1785=0,"Size Not Specified",Registered!E1785)),"")</f>
        <v/>
      </c>
      <c r="AU1785" s="3" t="str">
        <f>IF(Registered!AE1785=0,"",IF(Registered!AE1785=1,Registered!AE1785&amp;" Bandana",Registered!AE1785&amp;" Bandanas"))</f>
        <v/>
      </c>
      <c r="AV1785" s="3">
        <f t="shared" si="83"/>
        <v>0</v>
      </c>
      <c r="AW1785" s="2" t="str">
        <f>IF(Registered!AV1785=0,"",IF(Registered!AV1785=1,Registered!AV1785&amp;" Meal",Registered!AV1785&amp;" Meals"))</f>
        <v/>
      </c>
      <c r="AX1785" s="2" t="str">
        <f>IF(Registered!AI1785=0,"",Registered!AI1785&amp;" BG")</f>
        <v/>
      </c>
      <c r="AY1785" s="2" t="str">
        <f>IF(Registered!AG1785=0,"",Registered!AG1785&amp;" DustMask")</f>
        <v/>
      </c>
    </row>
    <row r="1786" spans="1:51" customFormat="1" x14ac:dyDescent="0.25">
      <c r="A1786" t="s">
        <v>403</v>
      </c>
      <c r="B1786" t="s">
        <v>5345</v>
      </c>
      <c r="C1786" t="s">
        <v>6090</v>
      </c>
      <c r="G1786" t="s">
        <v>4226</v>
      </c>
      <c r="H1786" t="s">
        <v>4225</v>
      </c>
      <c r="I1786" t="s">
        <v>4227</v>
      </c>
      <c r="J1786" t="s">
        <v>37</v>
      </c>
      <c r="K1786" t="s">
        <v>32</v>
      </c>
      <c r="L1786" t="s">
        <v>35</v>
      </c>
      <c r="AQ1786">
        <v>0</v>
      </c>
      <c r="AR1786" s="3">
        <f t="shared" si="81"/>
        <v>0</v>
      </c>
      <c r="AS1786" s="3">
        <f t="shared" si="82"/>
        <v>0</v>
      </c>
      <c r="AT1786" s="3" t="str">
        <f>IF(OR(Registered!AM1786&gt;0,Registered!AO1786&gt;0),(IF(Registered!E1786=0,"Size Not Specified",Registered!E1786)),"")</f>
        <v/>
      </c>
      <c r="AU1786" s="3" t="str">
        <f>IF(Registered!AE1786=0,"",IF(Registered!AE1786=1,Registered!AE1786&amp;" Bandana",Registered!AE1786&amp;" Bandanas"))</f>
        <v/>
      </c>
      <c r="AV1786" s="3">
        <f t="shared" si="83"/>
        <v>0</v>
      </c>
      <c r="AW1786" s="2" t="str">
        <f>IF(Registered!AV1786=0,"",IF(Registered!AV1786=1,Registered!AV1786&amp;" Meal",Registered!AV1786&amp;" Meals"))</f>
        <v/>
      </c>
      <c r="AX1786" s="2" t="str">
        <f>IF(Registered!AI1786=0,"",Registered!AI1786&amp;" BG")</f>
        <v/>
      </c>
      <c r="AY1786" s="2" t="str">
        <f>IF(Registered!AG1786=0,"",Registered!AG1786&amp;" DustMask")</f>
        <v/>
      </c>
    </row>
    <row r="1787" spans="1:51" customFormat="1" x14ac:dyDescent="0.25">
      <c r="A1787" t="s">
        <v>2045</v>
      </c>
      <c r="B1787" t="s">
        <v>2046</v>
      </c>
      <c r="C1787" t="s">
        <v>6090</v>
      </c>
      <c r="G1787" t="s">
        <v>2047</v>
      </c>
      <c r="H1787" t="s">
        <v>2046</v>
      </c>
      <c r="I1787" t="s">
        <v>2048</v>
      </c>
      <c r="J1787" t="s">
        <v>37</v>
      </c>
      <c r="K1787" t="s">
        <v>32</v>
      </c>
      <c r="L1787" t="s">
        <v>35</v>
      </c>
      <c r="AQ1787">
        <v>0</v>
      </c>
      <c r="AR1787" s="3">
        <f t="shared" si="81"/>
        <v>0</v>
      </c>
      <c r="AS1787" s="3">
        <f t="shared" si="82"/>
        <v>0</v>
      </c>
      <c r="AT1787" s="3" t="str">
        <f>IF(OR(Registered!AM1787&gt;0,Registered!AO1787&gt;0),(IF(Registered!E1787=0,"Size Not Specified",Registered!E1787)),"")</f>
        <v/>
      </c>
      <c r="AU1787" s="3" t="str">
        <f>IF(Registered!AE1787=0,"",IF(Registered!AE1787=1,Registered!AE1787&amp;" Bandana",Registered!AE1787&amp;" Bandanas"))</f>
        <v/>
      </c>
      <c r="AV1787" s="3">
        <f t="shared" si="83"/>
        <v>0</v>
      </c>
      <c r="AW1787" s="2" t="str">
        <f>IF(Registered!AV1787=0,"",IF(Registered!AV1787=1,Registered!AV1787&amp;" Meal",Registered!AV1787&amp;" Meals"))</f>
        <v/>
      </c>
      <c r="AX1787" s="2" t="str">
        <f>IF(Registered!AI1787=0,"",Registered!AI1787&amp;" BG")</f>
        <v/>
      </c>
      <c r="AY1787" s="2" t="str">
        <f>IF(Registered!AG1787=0,"",Registered!AG1787&amp;" DustMask")</f>
        <v/>
      </c>
    </row>
    <row r="1788" spans="1:51" customFormat="1" x14ac:dyDescent="0.25">
      <c r="A1788" t="s">
        <v>357</v>
      </c>
      <c r="B1788" t="s">
        <v>2046</v>
      </c>
      <c r="C1788" t="s">
        <v>6090</v>
      </c>
      <c r="G1788" t="s">
        <v>2047</v>
      </c>
      <c r="H1788" t="s">
        <v>2046</v>
      </c>
      <c r="I1788" t="s">
        <v>2048</v>
      </c>
      <c r="J1788" t="s">
        <v>37</v>
      </c>
      <c r="K1788" t="s">
        <v>32</v>
      </c>
      <c r="L1788" t="s">
        <v>35</v>
      </c>
      <c r="AQ1788">
        <v>0</v>
      </c>
      <c r="AR1788" s="3">
        <f t="shared" si="81"/>
        <v>0</v>
      </c>
      <c r="AS1788" s="3">
        <f t="shared" si="82"/>
        <v>0</v>
      </c>
      <c r="AT1788" s="3" t="str">
        <f>IF(OR(Registered!AM1788&gt;0,Registered!AO1788&gt;0),(IF(Registered!E1788=0,"Size Not Specified",Registered!E1788)),"")</f>
        <v/>
      </c>
      <c r="AU1788" s="3" t="str">
        <f>IF(Registered!AE1788=0,"",IF(Registered!AE1788=1,Registered!AE1788&amp;" Bandana",Registered!AE1788&amp;" Bandanas"))</f>
        <v/>
      </c>
      <c r="AV1788" s="3">
        <f t="shared" si="83"/>
        <v>0</v>
      </c>
      <c r="AW1788" s="2" t="str">
        <f>IF(Registered!AV1788=0,"",IF(Registered!AV1788=1,Registered!AV1788&amp;" Meal",Registered!AV1788&amp;" Meals"))</f>
        <v/>
      </c>
      <c r="AX1788" s="2" t="str">
        <f>IF(Registered!AI1788=0,"",Registered!AI1788&amp;" BG")</f>
        <v/>
      </c>
      <c r="AY1788" s="2" t="str">
        <f>IF(Registered!AG1788=0,"",Registered!AG1788&amp;" DustMask")</f>
        <v/>
      </c>
    </row>
    <row r="1789" spans="1:51" customFormat="1" x14ac:dyDescent="0.25">
      <c r="A1789" t="s">
        <v>137</v>
      </c>
      <c r="B1789" t="s">
        <v>2046</v>
      </c>
      <c r="C1789" t="s">
        <v>6090</v>
      </c>
      <c r="D1789" t="s">
        <v>2049</v>
      </c>
      <c r="E1789" t="s">
        <v>2050</v>
      </c>
      <c r="F1789" t="s">
        <v>261</v>
      </c>
      <c r="I1789" t="s">
        <v>2051</v>
      </c>
      <c r="J1789" t="s">
        <v>37</v>
      </c>
      <c r="K1789" t="s">
        <v>32</v>
      </c>
      <c r="L1789" t="s">
        <v>35</v>
      </c>
      <c r="S1789">
        <v>3</v>
      </c>
      <c r="T1789">
        <v>3</v>
      </c>
      <c r="AC1789">
        <v>3</v>
      </c>
      <c r="AD1789">
        <v>10</v>
      </c>
      <c r="AE1789">
        <v>3</v>
      </c>
      <c r="AF1789">
        <v>6</v>
      </c>
      <c r="AK1789">
        <v>3</v>
      </c>
      <c r="AL1789">
        <v>6</v>
      </c>
      <c r="AO1789">
        <v>3</v>
      </c>
      <c r="AP1789">
        <v>10</v>
      </c>
      <c r="AQ1789">
        <v>105</v>
      </c>
      <c r="AR1789" s="3">
        <f t="shared" si="81"/>
        <v>15</v>
      </c>
      <c r="AS1789" s="3">
        <f t="shared" si="82"/>
        <v>3</v>
      </c>
      <c r="AT1789" s="3" t="str">
        <f>IF(OR(Registered!AM1789&gt;0,Registered!AO1789&gt;0),(IF(Registered!E1789=0,"Size Not Specified",Registered!E1789)),"")</f>
        <v>Medium, Large and 2X Large</v>
      </c>
      <c r="AU1789" s="3" t="str">
        <f>IF(Registered!AE1789=0,"",IF(Registered!AE1789=1,Registered!AE1789&amp;" Bandana",Registered!AE1789&amp;" Bandanas"))</f>
        <v>3 Bandanas</v>
      </c>
      <c r="AV1789" s="3">
        <f t="shared" si="83"/>
        <v>3</v>
      </c>
      <c r="AW1789" s="2" t="str">
        <f>IF(Registered!AV1789=0,"",IF(Registered!AV1789=1,Registered!AV1789&amp;" Meal",Registered!AV1789&amp;" Meals"))</f>
        <v>3 Meals</v>
      </c>
      <c r="AX1789" s="2" t="str">
        <f>IF(Registered!AI1789=0,"",Registered!AI1789&amp;" BG")</f>
        <v/>
      </c>
      <c r="AY1789" s="2" t="str">
        <f>IF(Registered!AG1789=0,"",Registered!AG1789&amp;" DustMask")</f>
        <v/>
      </c>
    </row>
    <row r="1790" spans="1:51" customFormat="1" x14ac:dyDescent="0.25">
      <c r="A1790" t="s">
        <v>291</v>
      </c>
      <c r="B1790" t="s">
        <v>2046</v>
      </c>
      <c r="C1790" t="s">
        <v>6090</v>
      </c>
      <c r="D1790" t="s">
        <v>5349</v>
      </c>
      <c r="F1790" t="s">
        <v>261</v>
      </c>
      <c r="I1790" t="s">
        <v>5065</v>
      </c>
      <c r="J1790" t="s">
        <v>37</v>
      </c>
      <c r="K1790" t="s">
        <v>32</v>
      </c>
      <c r="L1790" t="s">
        <v>35</v>
      </c>
      <c r="Q1790">
        <v>2</v>
      </c>
      <c r="R1790">
        <v>3</v>
      </c>
      <c r="U1790">
        <v>1</v>
      </c>
      <c r="V1790">
        <v>20</v>
      </c>
      <c r="AQ1790">
        <v>26</v>
      </c>
      <c r="AR1790" s="3">
        <f t="shared" si="81"/>
        <v>10</v>
      </c>
      <c r="AS1790" s="3">
        <f t="shared" si="82"/>
        <v>0</v>
      </c>
      <c r="AT1790" s="3" t="str">
        <f>IF(OR(Registered!AM1790&gt;0,Registered!AO1790&gt;0),(IF(Registered!E1790=0,"Size Not Specified",Registered!E1790)),"")</f>
        <v/>
      </c>
      <c r="AU1790" s="3" t="str">
        <f>IF(Registered!AE1790=0,"",IF(Registered!AE1790=1,Registered!AE1790&amp;" Bandana",Registered!AE1790&amp;" Bandanas"))</f>
        <v/>
      </c>
      <c r="AV1790" s="3">
        <f t="shared" si="83"/>
        <v>0</v>
      </c>
      <c r="AW1790" s="2" t="str">
        <f>IF(Registered!AV1790=0,"",IF(Registered!AV1790=1,Registered!AV1790&amp;" Meal",Registered!AV1790&amp;" Meals"))</f>
        <v/>
      </c>
      <c r="AX1790" s="2" t="str">
        <f>IF(Registered!AI1790=0,"",Registered!AI1790&amp;" BG")</f>
        <v/>
      </c>
      <c r="AY1790" s="2" t="str">
        <f>IF(Registered!AG1790=0,"",Registered!AG1790&amp;" DustMask")</f>
        <v/>
      </c>
    </row>
    <row r="1791" spans="1:51" customFormat="1" x14ac:dyDescent="0.25">
      <c r="A1791" t="s">
        <v>184</v>
      </c>
      <c r="B1791" t="s">
        <v>2046</v>
      </c>
      <c r="C1791" t="s">
        <v>6090</v>
      </c>
      <c r="G1791" t="s">
        <v>137</v>
      </c>
      <c r="H1791" t="s">
        <v>2046</v>
      </c>
      <c r="I1791" t="s">
        <v>2051</v>
      </c>
      <c r="J1791" t="s">
        <v>37</v>
      </c>
      <c r="K1791" t="s">
        <v>32</v>
      </c>
      <c r="L1791" t="s">
        <v>35</v>
      </c>
      <c r="AQ1791">
        <v>0</v>
      </c>
      <c r="AR1791" s="3">
        <f t="shared" si="81"/>
        <v>0</v>
      </c>
      <c r="AS1791" s="3">
        <f t="shared" si="82"/>
        <v>0</v>
      </c>
      <c r="AT1791" s="3" t="str">
        <f>IF(OR(Registered!AM1791&gt;0,Registered!AO1791&gt;0),(IF(Registered!E1791=0,"Size Not Specified",Registered!E1791)),"")</f>
        <v/>
      </c>
      <c r="AU1791" s="3" t="str">
        <f>IF(Registered!AE1791=0,"",IF(Registered!AE1791=1,Registered!AE1791&amp;" Bandana",Registered!AE1791&amp;" Bandanas"))</f>
        <v/>
      </c>
      <c r="AV1791" s="3">
        <f t="shared" si="83"/>
        <v>0</v>
      </c>
      <c r="AW1791" s="2" t="str">
        <f>IF(Registered!AV1791=0,"",IF(Registered!AV1791=1,Registered!AV1791&amp;" Meal",Registered!AV1791&amp;" Meals"))</f>
        <v/>
      </c>
      <c r="AX1791" s="2" t="str">
        <f>IF(Registered!AI1791=0,"",Registered!AI1791&amp;" BG")</f>
        <v/>
      </c>
      <c r="AY1791" s="2" t="str">
        <f>IF(Registered!AG1791=0,"",Registered!AG1791&amp;" DustMask")</f>
        <v/>
      </c>
    </row>
    <row r="1792" spans="1:51" customFormat="1" x14ac:dyDescent="0.25">
      <c r="A1792" t="s">
        <v>2052</v>
      </c>
      <c r="B1792" t="s">
        <v>2046</v>
      </c>
      <c r="C1792" t="s">
        <v>6090</v>
      </c>
      <c r="G1792" t="s">
        <v>2047</v>
      </c>
      <c r="H1792" t="s">
        <v>2046</v>
      </c>
      <c r="I1792" t="s">
        <v>2048</v>
      </c>
      <c r="J1792" t="s">
        <v>37</v>
      </c>
      <c r="K1792" t="s">
        <v>32</v>
      </c>
      <c r="L1792" t="s">
        <v>35</v>
      </c>
      <c r="AQ1792">
        <v>0</v>
      </c>
      <c r="AR1792" s="3">
        <f t="shared" si="81"/>
        <v>0</v>
      </c>
      <c r="AS1792" s="3">
        <f t="shared" si="82"/>
        <v>0</v>
      </c>
      <c r="AT1792" s="3" t="str">
        <f>IF(OR(Registered!AM1792&gt;0,Registered!AO1792&gt;0),(IF(Registered!E1792=0,"Size Not Specified",Registered!E1792)),"")</f>
        <v/>
      </c>
      <c r="AU1792" s="3" t="str">
        <f>IF(Registered!AE1792=0,"",IF(Registered!AE1792=1,Registered!AE1792&amp;" Bandana",Registered!AE1792&amp;" Bandanas"))</f>
        <v/>
      </c>
      <c r="AV1792" s="3">
        <f t="shared" si="83"/>
        <v>0</v>
      </c>
      <c r="AW1792" s="2" t="str">
        <f>IF(Registered!AV1792=0,"",IF(Registered!AV1792=1,Registered!AV1792&amp;" Meal",Registered!AV1792&amp;" Meals"))</f>
        <v/>
      </c>
      <c r="AX1792" s="2" t="str">
        <f>IF(Registered!AI1792=0,"",Registered!AI1792&amp;" BG")</f>
        <v/>
      </c>
      <c r="AY1792" s="2" t="str">
        <f>IF(Registered!AG1792=0,"",Registered!AG1792&amp;" DustMask")</f>
        <v/>
      </c>
    </row>
    <row r="1793" spans="1:51" customFormat="1" x14ac:dyDescent="0.25">
      <c r="A1793" t="s">
        <v>2053</v>
      </c>
      <c r="B1793" t="s">
        <v>2046</v>
      </c>
      <c r="C1793" t="s">
        <v>6090</v>
      </c>
      <c r="G1793" t="s">
        <v>91</v>
      </c>
      <c r="H1793" t="s">
        <v>1091</v>
      </c>
      <c r="I1793" t="s">
        <v>1092</v>
      </c>
      <c r="J1793" t="s">
        <v>37</v>
      </c>
      <c r="K1793" t="s">
        <v>32</v>
      </c>
      <c r="L1793" t="s">
        <v>35</v>
      </c>
      <c r="AQ1793">
        <v>0</v>
      </c>
      <c r="AR1793" s="3">
        <f t="shared" si="81"/>
        <v>0</v>
      </c>
      <c r="AS1793" s="3">
        <f t="shared" si="82"/>
        <v>0</v>
      </c>
      <c r="AT1793" s="3" t="str">
        <f>IF(OR(Registered!AM1793&gt;0,Registered!AO1793&gt;0),(IF(Registered!E1793=0,"Size Not Specified",Registered!E1793)),"")</f>
        <v/>
      </c>
      <c r="AU1793" s="3" t="str">
        <f>IF(Registered!AE1793=0,"",IF(Registered!AE1793=1,Registered!AE1793&amp;" Bandana",Registered!AE1793&amp;" Bandanas"))</f>
        <v/>
      </c>
      <c r="AV1793" s="3">
        <f t="shared" si="83"/>
        <v>0</v>
      </c>
      <c r="AW1793" s="2" t="str">
        <f>IF(Registered!AV1793=0,"",IF(Registered!AV1793=1,Registered!AV1793&amp;" Meal",Registered!AV1793&amp;" Meals"))</f>
        <v/>
      </c>
      <c r="AX1793" s="2" t="str">
        <f>IF(Registered!AI1793=0,"",Registered!AI1793&amp;" BG")</f>
        <v/>
      </c>
      <c r="AY1793" s="2" t="str">
        <f>IF(Registered!AG1793=0,"",Registered!AG1793&amp;" DustMask")</f>
        <v/>
      </c>
    </row>
    <row r="1794" spans="1:51" customFormat="1" x14ac:dyDescent="0.25">
      <c r="A1794" t="s">
        <v>456</v>
      </c>
      <c r="B1794" t="s">
        <v>2046</v>
      </c>
      <c r="C1794" t="s">
        <v>6090</v>
      </c>
      <c r="G1794" t="s">
        <v>2047</v>
      </c>
      <c r="H1794" t="s">
        <v>2046</v>
      </c>
      <c r="I1794" t="s">
        <v>2048</v>
      </c>
      <c r="J1794" t="s">
        <v>37</v>
      </c>
      <c r="K1794" t="s">
        <v>32</v>
      </c>
      <c r="L1794" t="s">
        <v>35</v>
      </c>
      <c r="AQ1794">
        <v>0</v>
      </c>
      <c r="AR1794" s="3">
        <f t="shared" ref="AR1794:AR1857" si="84">IF(ISTEXT(AM1794)=TRUE,"",SUM(U1794*10,W1794*20,Y1794*30,AA1794*40,AC1794*5,AM1794*5))</f>
        <v>0</v>
      </c>
      <c r="AS1794" s="3">
        <f t="shared" ref="AS1794:AS1857" si="85">IF(ISTEXT(AM1794)=TRUE,"",SUM(AM1794,AO1794))</f>
        <v>0</v>
      </c>
      <c r="AT1794" s="3" t="str">
        <f>IF(OR(Registered!AM1794&gt;0,Registered!AO1794&gt;0),(IF(Registered!E1794=0,"Size Not Specified",Registered!E1794)),"")</f>
        <v/>
      </c>
      <c r="AU1794" s="3" t="str">
        <f>IF(Registered!AE1794=0,"",IF(Registered!AE1794=1,Registered!AE1794&amp;" Bandana",Registered!AE1794&amp;" Bandanas"))</f>
        <v/>
      </c>
      <c r="AV1794" s="3">
        <f t="shared" ref="AV1794:AV1857" si="86">IF(ISTEXT(AM1794)=TRUE,"",SUM(AM1794,AK1794))</f>
        <v>0</v>
      </c>
      <c r="AW1794" s="2" t="str">
        <f>IF(Registered!AV1794=0,"",IF(Registered!AV1794=1,Registered!AV1794&amp;" Meal",Registered!AV1794&amp;" Meals"))</f>
        <v/>
      </c>
      <c r="AX1794" s="2" t="str">
        <f>IF(Registered!AI1794=0,"",Registered!AI1794&amp;" BG")</f>
        <v/>
      </c>
      <c r="AY1794" s="2" t="str">
        <f>IF(Registered!AG1794=0,"",Registered!AG1794&amp;" DustMask")</f>
        <v/>
      </c>
    </row>
    <row r="1795" spans="1:51" customFormat="1" x14ac:dyDescent="0.25">
      <c r="A1795" t="s">
        <v>2047</v>
      </c>
      <c r="B1795" t="s">
        <v>2046</v>
      </c>
      <c r="C1795" t="s">
        <v>6090</v>
      </c>
      <c r="D1795" t="s">
        <v>2054</v>
      </c>
      <c r="E1795" t="s">
        <v>6055</v>
      </c>
      <c r="I1795" t="s">
        <v>2048</v>
      </c>
      <c r="J1795" t="s">
        <v>37</v>
      </c>
      <c r="K1795" t="s">
        <v>32</v>
      </c>
      <c r="L1795" t="s">
        <v>35</v>
      </c>
      <c r="S1795">
        <v>5</v>
      </c>
      <c r="T1795">
        <v>3</v>
      </c>
      <c r="U1795">
        <v>1</v>
      </c>
      <c r="V1795">
        <v>20</v>
      </c>
      <c r="AO1795">
        <v>5</v>
      </c>
      <c r="AP1795">
        <v>10</v>
      </c>
      <c r="AQ1795">
        <v>85</v>
      </c>
      <c r="AR1795" s="3">
        <f t="shared" si="84"/>
        <v>10</v>
      </c>
      <c r="AS1795" s="3">
        <f t="shared" si="85"/>
        <v>5</v>
      </c>
      <c r="AT1795" s="3" t="str">
        <f>IF(OR(Registered!AM1795&gt;0,Registered!AO1795&gt;0),(IF(Registered!E1795=0,"Size Not Specified",Registered!E1795)),"")</f>
        <v>2M, 1L, 1XL, 1XXL</v>
      </c>
      <c r="AU1795" s="3" t="str">
        <f>IF(Registered!AE1795=0,"",IF(Registered!AE1795=1,Registered!AE1795&amp;" Bandana",Registered!AE1795&amp;" Bandanas"))</f>
        <v/>
      </c>
      <c r="AV1795" s="3">
        <f t="shared" si="86"/>
        <v>0</v>
      </c>
      <c r="AW1795" s="2" t="str">
        <f>IF(Registered!AV1795=0,"",IF(Registered!AV1795=1,Registered!AV1795&amp;" Meal",Registered!AV1795&amp;" Meals"))</f>
        <v/>
      </c>
      <c r="AX1795" s="2" t="str">
        <f>IF(Registered!AI1795=0,"",Registered!AI1795&amp;" BG")</f>
        <v/>
      </c>
      <c r="AY1795" s="2" t="str">
        <f>IF(Registered!AG1795=0,"",Registered!AG1795&amp;" DustMask")</f>
        <v/>
      </c>
    </row>
    <row r="1796" spans="1:51" customFormat="1" x14ac:dyDescent="0.25">
      <c r="A1796" t="s">
        <v>2055</v>
      </c>
      <c r="B1796" t="s">
        <v>2046</v>
      </c>
      <c r="C1796" t="s">
        <v>6090</v>
      </c>
      <c r="D1796" t="s">
        <v>2056</v>
      </c>
      <c r="F1796" t="s">
        <v>261</v>
      </c>
      <c r="I1796" t="s">
        <v>2057</v>
      </c>
      <c r="J1796" t="s">
        <v>37</v>
      </c>
      <c r="K1796" t="s">
        <v>32</v>
      </c>
      <c r="L1796" t="s">
        <v>35</v>
      </c>
      <c r="S1796">
        <v>2</v>
      </c>
      <c r="T1796">
        <v>3</v>
      </c>
      <c r="W1796">
        <v>1</v>
      </c>
      <c r="X1796">
        <v>40</v>
      </c>
      <c r="AQ1796">
        <v>46</v>
      </c>
      <c r="AR1796" s="3">
        <f t="shared" si="84"/>
        <v>20</v>
      </c>
      <c r="AS1796" s="3">
        <f t="shared" si="85"/>
        <v>0</v>
      </c>
      <c r="AT1796" s="3" t="str">
        <f>IF(OR(Registered!AM1796&gt;0,Registered!AO1796&gt;0),(IF(Registered!E1796=0,"Size Not Specified",Registered!E1796)),"")</f>
        <v/>
      </c>
      <c r="AU1796" s="3" t="str">
        <f>IF(Registered!AE1796=0,"",IF(Registered!AE1796=1,Registered!AE1796&amp;" Bandana",Registered!AE1796&amp;" Bandanas"))</f>
        <v/>
      </c>
      <c r="AV1796" s="3">
        <f t="shared" si="86"/>
        <v>0</v>
      </c>
      <c r="AW1796" s="2" t="str">
        <f>IF(Registered!AV1796=0,"",IF(Registered!AV1796=1,Registered!AV1796&amp;" Meal",Registered!AV1796&amp;" Meals"))</f>
        <v/>
      </c>
      <c r="AX1796" s="2" t="str">
        <f>IF(Registered!AI1796=0,"",Registered!AI1796&amp;" BG")</f>
        <v/>
      </c>
      <c r="AY1796" s="2" t="str">
        <f>IF(Registered!AG1796=0,"",Registered!AG1796&amp;" DustMask")</f>
        <v/>
      </c>
    </row>
    <row r="1797" spans="1:51" customFormat="1" x14ac:dyDescent="0.25">
      <c r="A1797" t="s">
        <v>5352</v>
      </c>
      <c r="B1797" t="s">
        <v>2059</v>
      </c>
      <c r="C1797" t="s">
        <v>6090</v>
      </c>
      <c r="G1797" t="s">
        <v>220</v>
      </c>
      <c r="H1797" t="s">
        <v>4238</v>
      </c>
      <c r="I1797" t="s">
        <v>4240</v>
      </c>
      <c r="J1797" t="s">
        <v>37</v>
      </c>
      <c r="K1797" t="s">
        <v>32</v>
      </c>
      <c r="L1797" t="s">
        <v>35</v>
      </c>
      <c r="AQ1797">
        <v>0</v>
      </c>
      <c r="AR1797" s="3">
        <f t="shared" si="84"/>
        <v>0</v>
      </c>
      <c r="AS1797" s="3">
        <f t="shared" si="85"/>
        <v>0</v>
      </c>
      <c r="AT1797" s="3" t="str">
        <f>IF(OR(Registered!AM1797&gt;0,Registered!AO1797&gt;0),(IF(Registered!E1797=0,"Size Not Specified",Registered!E1797)),"")</f>
        <v/>
      </c>
      <c r="AU1797" s="3" t="str">
        <f>IF(Registered!AE1797=0,"",IF(Registered!AE1797=1,Registered!AE1797&amp;" Bandana",Registered!AE1797&amp;" Bandanas"))</f>
        <v/>
      </c>
      <c r="AV1797" s="3">
        <f t="shared" si="86"/>
        <v>0</v>
      </c>
      <c r="AW1797" s="2" t="str">
        <f>IF(Registered!AV1797=0,"",IF(Registered!AV1797=1,Registered!AV1797&amp;" Meal",Registered!AV1797&amp;" Meals"))</f>
        <v/>
      </c>
      <c r="AX1797" s="2" t="str">
        <f>IF(Registered!AI1797=0,"",Registered!AI1797&amp;" BG")</f>
        <v/>
      </c>
      <c r="AY1797" s="2" t="str">
        <f>IF(Registered!AG1797=0,"",Registered!AG1797&amp;" DustMask")</f>
        <v/>
      </c>
    </row>
    <row r="1798" spans="1:51" customFormat="1" x14ac:dyDescent="0.25">
      <c r="A1798" t="s">
        <v>3144</v>
      </c>
      <c r="B1798" t="s">
        <v>3145</v>
      </c>
      <c r="C1798" t="s">
        <v>6090</v>
      </c>
      <c r="D1798" t="s">
        <v>3258</v>
      </c>
      <c r="F1798" t="s">
        <v>261</v>
      </c>
      <c r="I1798" t="s">
        <v>3146</v>
      </c>
      <c r="J1798" t="s">
        <v>37</v>
      </c>
      <c r="K1798" t="s">
        <v>32</v>
      </c>
      <c r="L1798" t="s">
        <v>35</v>
      </c>
      <c r="Q1798">
        <v>4</v>
      </c>
      <c r="R1798">
        <v>3</v>
      </c>
      <c r="U1798">
        <v>2</v>
      </c>
      <c r="V1798">
        <v>20</v>
      </c>
      <c r="AK1798">
        <v>2</v>
      </c>
      <c r="AL1798">
        <v>6</v>
      </c>
      <c r="AQ1798">
        <v>64</v>
      </c>
      <c r="AR1798" s="3">
        <f t="shared" si="84"/>
        <v>20</v>
      </c>
      <c r="AS1798" s="3">
        <f t="shared" si="85"/>
        <v>0</v>
      </c>
      <c r="AT1798" s="3" t="str">
        <f>IF(OR(Registered!AM1798&gt;0,Registered!AO1798&gt;0),(IF(Registered!E1798=0,"Size Not Specified",Registered!E1798)),"")</f>
        <v/>
      </c>
      <c r="AU1798" s="3" t="str">
        <f>IF(Registered!AE1798=0,"",IF(Registered!AE1798=1,Registered!AE1798&amp;" Bandana",Registered!AE1798&amp;" Bandanas"))</f>
        <v/>
      </c>
      <c r="AV1798" s="3">
        <f t="shared" si="86"/>
        <v>2</v>
      </c>
      <c r="AW1798" s="2" t="str">
        <f>IF(Registered!AV1798=0,"",IF(Registered!AV1798=1,Registered!AV1798&amp;" Meal",Registered!AV1798&amp;" Meals"))</f>
        <v>2 Meals</v>
      </c>
      <c r="AX1798" s="2" t="str">
        <f>IF(Registered!AI1798=0,"",Registered!AI1798&amp;" BG")</f>
        <v/>
      </c>
      <c r="AY1798" s="2" t="str">
        <f>IF(Registered!AG1798=0,"",Registered!AG1798&amp;" DustMask")</f>
        <v/>
      </c>
    </row>
    <row r="1799" spans="1:51" customFormat="1" x14ac:dyDescent="0.25">
      <c r="A1799" t="s">
        <v>3259</v>
      </c>
      <c r="B1799" t="s">
        <v>3260</v>
      </c>
      <c r="C1799" t="s">
        <v>6090</v>
      </c>
      <c r="D1799" t="s">
        <v>3259</v>
      </c>
      <c r="F1799" t="s">
        <v>261</v>
      </c>
      <c r="I1799" t="s">
        <v>3261</v>
      </c>
      <c r="J1799" t="s">
        <v>37</v>
      </c>
      <c r="K1799" t="s">
        <v>32</v>
      </c>
      <c r="L1799" t="s">
        <v>35</v>
      </c>
      <c r="Q1799">
        <v>1</v>
      </c>
      <c r="R1799">
        <v>3</v>
      </c>
      <c r="AQ1799">
        <v>3</v>
      </c>
      <c r="AR1799" s="3">
        <f t="shared" si="84"/>
        <v>0</v>
      </c>
      <c r="AS1799" s="3">
        <f t="shared" si="85"/>
        <v>0</v>
      </c>
      <c r="AT1799" s="3" t="str">
        <f>IF(OR(Registered!AM1799&gt;0,Registered!AO1799&gt;0),(IF(Registered!E1799=0,"Size Not Specified",Registered!E1799)),"")</f>
        <v/>
      </c>
      <c r="AU1799" s="3" t="str">
        <f>IF(Registered!AE1799=0,"",IF(Registered!AE1799=1,Registered!AE1799&amp;" Bandana",Registered!AE1799&amp;" Bandanas"))</f>
        <v/>
      </c>
      <c r="AV1799" s="3">
        <f t="shared" si="86"/>
        <v>0</v>
      </c>
      <c r="AW1799" s="2" t="str">
        <f>IF(Registered!AV1799=0,"",IF(Registered!AV1799=1,Registered!AV1799&amp;" Meal",Registered!AV1799&amp;" Meals"))</f>
        <v/>
      </c>
      <c r="AX1799" s="2" t="str">
        <f>IF(Registered!AI1799=0,"",Registered!AI1799&amp;" BG")</f>
        <v/>
      </c>
      <c r="AY1799" s="2" t="str">
        <f>IF(Registered!AG1799=0,"",Registered!AG1799&amp;" DustMask")</f>
        <v/>
      </c>
    </row>
    <row r="1800" spans="1:51" customFormat="1" x14ac:dyDescent="0.25">
      <c r="A1800" t="s">
        <v>116</v>
      </c>
      <c r="B1800" t="s">
        <v>2062</v>
      </c>
      <c r="C1800" t="s">
        <v>6090</v>
      </c>
      <c r="D1800" t="s">
        <v>2063</v>
      </c>
      <c r="E1800" t="s">
        <v>2064</v>
      </c>
      <c r="F1800" t="s">
        <v>261</v>
      </c>
      <c r="I1800" t="s">
        <v>2065</v>
      </c>
      <c r="J1800" t="s">
        <v>37</v>
      </c>
      <c r="K1800" t="s">
        <v>32</v>
      </c>
      <c r="L1800" t="s">
        <v>35</v>
      </c>
      <c r="S1800">
        <v>2</v>
      </c>
      <c r="T1800">
        <v>3</v>
      </c>
      <c r="U1800">
        <v>1</v>
      </c>
      <c r="V1800">
        <v>20</v>
      </c>
      <c r="AM1800">
        <v>4</v>
      </c>
      <c r="AN1800">
        <v>25</v>
      </c>
      <c r="AQ1800">
        <v>126</v>
      </c>
      <c r="AR1800" s="3">
        <f t="shared" si="84"/>
        <v>30</v>
      </c>
      <c r="AS1800" s="3">
        <f t="shared" si="85"/>
        <v>4</v>
      </c>
      <c r="AT1800" s="3" t="str">
        <f>IF(OR(Registered!AM1800&gt;0,Registered!AO1800&gt;0),(IF(Registered!E1800=0,"Size Not Specified",Registered!E1800)),"")</f>
        <v>(2) adult small   (2) adult 2x</v>
      </c>
      <c r="AU1800" s="3" t="str">
        <f>IF(Registered!AE1800=0,"",IF(Registered!AE1800=1,Registered!AE1800&amp;" Bandana",Registered!AE1800&amp;" Bandanas"))</f>
        <v/>
      </c>
      <c r="AV1800" s="3">
        <f t="shared" si="86"/>
        <v>4</v>
      </c>
      <c r="AW1800" s="2" t="str">
        <f>IF(Registered!AV1800=0,"",IF(Registered!AV1800=1,Registered!AV1800&amp;" Meal",Registered!AV1800&amp;" Meals"))</f>
        <v>4 Meals</v>
      </c>
      <c r="AX1800" s="2" t="str">
        <f>IF(Registered!AI1800=0,"",Registered!AI1800&amp;" BG")</f>
        <v/>
      </c>
      <c r="AY1800" s="2" t="str">
        <f>IF(Registered!AG1800=0,"",Registered!AG1800&amp;" DustMask")</f>
        <v/>
      </c>
    </row>
    <row r="1801" spans="1:51" customFormat="1" x14ac:dyDescent="0.25">
      <c r="A1801" t="s">
        <v>262</v>
      </c>
      <c r="B1801" t="s">
        <v>2062</v>
      </c>
      <c r="C1801" t="s">
        <v>6090</v>
      </c>
      <c r="G1801" t="s">
        <v>116</v>
      </c>
      <c r="H1801" t="s">
        <v>2062</v>
      </c>
      <c r="I1801" t="s">
        <v>2065</v>
      </c>
      <c r="J1801" t="s">
        <v>37</v>
      </c>
      <c r="K1801" t="s">
        <v>32</v>
      </c>
      <c r="L1801" t="s">
        <v>35</v>
      </c>
      <c r="AQ1801">
        <v>0</v>
      </c>
      <c r="AR1801" s="3">
        <f t="shared" si="84"/>
        <v>0</v>
      </c>
      <c r="AS1801" s="3">
        <f t="shared" si="85"/>
        <v>0</v>
      </c>
      <c r="AT1801" s="3" t="str">
        <f>IF(OR(Registered!AM1801&gt;0,Registered!AO1801&gt;0),(IF(Registered!E1801=0,"Size Not Specified",Registered!E1801)),"")</f>
        <v/>
      </c>
      <c r="AU1801" s="3" t="str">
        <f>IF(Registered!AE1801=0,"",IF(Registered!AE1801=1,Registered!AE1801&amp;" Bandana",Registered!AE1801&amp;" Bandanas"))</f>
        <v/>
      </c>
      <c r="AV1801" s="3">
        <f t="shared" si="86"/>
        <v>0</v>
      </c>
      <c r="AW1801" s="2" t="str">
        <f>IF(Registered!AV1801=0,"",IF(Registered!AV1801=1,Registered!AV1801&amp;" Meal",Registered!AV1801&amp;" Meals"))</f>
        <v/>
      </c>
      <c r="AX1801" s="2" t="str">
        <f>IF(Registered!AI1801=0,"",Registered!AI1801&amp;" BG")</f>
        <v/>
      </c>
      <c r="AY1801" s="2" t="str">
        <f>IF(Registered!AG1801=0,"",Registered!AG1801&amp;" DustMask")</f>
        <v/>
      </c>
    </row>
    <row r="1802" spans="1:51" customFormat="1" x14ac:dyDescent="0.25">
      <c r="A1802" t="s">
        <v>236</v>
      </c>
      <c r="B1802" t="s">
        <v>2066</v>
      </c>
      <c r="C1802" t="s">
        <v>6090</v>
      </c>
      <c r="G1802" t="s">
        <v>180</v>
      </c>
      <c r="H1802" t="s">
        <v>1456</v>
      </c>
      <c r="I1802" t="s">
        <v>1457</v>
      </c>
      <c r="J1802" t="s">
        <v>37</v>
      </c>
      <c r="K1802" t="s">
        <v>32</v>
      </c>
      <c r="L1802" t="s">
        <v>35</v>
      </c>
      <c r="AQ1802">
        <v>0</v>
      </c>
      <c r="AR1802" s="3">
        <f t="shared" si="84"/>
        <v>0</v>
      </c>
      <c r="AS1802" s="3">
        <f t="shared" si="85"/>
        <v>0</v>
      </c>
      <c r="AT1802" s="3" t="str">
        <f>IF(OR(Registered!AM1802&gt;0,Registered!AO1802&gt;0),(IF(Registered!E1802=0,"Size Not Specified",Registered!E1802)),"")</f>
        <v/>
      </c>
      <c r="AU1802" s="3" t="str">
        <f>IF(Registered!AE1802=0,"",IF(Registered!AE1802=1,Registered!AE1802&amp;" Bandana",Registered!AE1802&amp;" Bandanas"))</f>
        <v/>
      </c>
      <c r="AV1802" s="3">
        <f t="shared" si="86"/>
        <v>0</v>
      </c>
      <c r="AW1802" s="2" t="str">
        <f>IF(Registered!AV1802=0,"",IF(Registered!AV1802=1,Registered!AV1802&amp;" Meal",Registered!AV1802&amp;" Meals"))</f>
        <v/>
      </c>
      <c r="AX1802" s="2" t="str">
        <f>IF(Registered!AI1802=0,"",Registered!AI1802&amp;" BG")</f>
        <v/>
      </c>
      <c r="AY1802" s="2" t="str">
        <f>IF(Registered!AG1802=0,"",Registered!AG1802&amp;" DustMask")</f>
        <v/>
      </c>
    </row>
    <row r="1803" spans="1:51" customFormat="1" x14ac:dyDescent="0.25">
      <c r="A1803" t="s">
        <v>165</v>
      </c>
      <c r="B1803" t="s">
        <v>1052</v>
      </c>
      <c r="C1803" t="s">
        <v>6090</v>
      </c>
      <c r="D1803" t="s">
        <v>2067</v>
      </c>
      <c r="E1803" t="s">
        <v>2068</v>
      </c>
      <c r="F1803" t="s">
        <v>261</v>
      </c>
      <c r="I1803" t="s">
        <v>2069</v>
      </c>
      <c r="J1803" t="s">
        <v>37</v>
      </c>
      <c r="K1803" t="s">
        <v>32</v>
      </c>
      <c r="L1803" t="s">
        <v>35</v>
      </c>
      <c r="S1803">
        <v>2</v>
      </c>
      <c r="T1803">
        <v>3</v>
      </c>
      <c r="U1803">
        <v>1</v>
      </c>
      <c r="V1803">
        <v>20</v>
      </c>
      <c r="AO1803">
        <v>2</v>
      </c>
      <c r="AP1803">
        <v>10</v>
      </c>
      <c r="AQ1803">
        <v>46</v>
      </c>
      <c r="AR1803" s="3">
        <f t="shared" si="84"/>
        <v>10</v>
      </c>
      <c r="AS1803" s="3">
        <f t="shared" si="85"/>
        <v>2</v>
      </c>
      <c r="AT1803" s="3" t="str">
        <f>IF(OR(Registered!AM1803&gt;0,Registered!AO1803&gt;0),(IF(Registered!E1803=0,"Size Not Specified",Registered!E1803)),"")</f>
        <v>Adult Extra Small or Youth Large</v>
      </c>
      <c r="AU1803" s="3" t="str">
        <f>IF(Registered!AE1803=0,"",IF(Registered!AE1803=1,Registered!AE1803&amp;" Bandana",Registered!AE1803&amp;" Bandanas"))</f>
        <v/>
      </c>
      <c r="AV1803" s="3">
        <f t="shared" si="86"/>
        <v>0</v>
      </c>
      <c r="AW1803" s="2" t="str">
        <f>IF(Registered!AV1803=0,"",IF(Registered!AV1803=1,Registered!AV1803&amp;" Meal",Registered!AV1803&amp;" Meals"))</f>
        <v/>
      </c>
      <c r="AX1803" s="2" t="str">
        <f>IF(Registered!AI1803=0,"",Registered!AI1803&amp;" BG")</f>
        <v/>
      </c>
      <c r="AY1803" s="2" t="str">
        <f>IF(Registered!AG1803=0,"",Registered!AG1803&amp;" DustMask")</f>
        <v/>
      </c>
    </row>
    <row r="1804" spans="1:51" customFormat="1" x14ac:dyDescent="0.25">
      <c r="A1804" t="s">
        <v>586</v>
      </c>
      <c r="B1804" t="s">
        <v>587</v>
      </c>
      <c r="C1804" t="s">
        <v>6090</v>
      </c>
      <c r="D1804" t="s">
        <v>239</v>
      </c>
      <c r="E1804" t="s">
        <v>2070</v>
      </c>
      <c r="F1804" t="s">
        <v>261</v>
      </c>
      <c r="I1804" t="s">
        <v>588</v>
      </c>
      <c r="J1804" t="s">
        <v>37</v>
      </c>
      <c r="K1804" t="s">
        <v>32</v>
      </c>
      <c r="L1804" t="s">
        <v>35</v>
      </c>
      <c r="Q1804">
        <v>6</v>
      </c>
      <c r="R1804">
        <v>3</v>
      </c>
      <c r="W1804">
        <v>1</v>
      </c>
      <c r="X1804">
        <v>40</v>
      </c>
      <c r="AE1804">
        <v>1</v>
      </c>
      <c r="AF1804">
        <v>6</v>
      </c>
      <c r="AQ1804">
        <v>64</v>
      </c>
      <c r="AR1804" s="3">
        <f t="shared" si="84"/>
        <v>20</v>
      </c>
      <c r="AS1804" s="3">
        <f t="shared" si="85"/>
        <v>0</v>
      </c>
      <c r="AT1804" s="3" t="str">
        <f>IF(OR(Registered!AM1804&gt;0,Registered!AO1804&gt;0),(IF(Registered!E1804=0,"Size Not Specified",Registered!E1804)),"")</f>
        <v/>
      </c>
      <c r="AU1804" s="3" t="str">
        <f>IF(Registered!AE1804=0,"",IF(Registered!AE1804=1,Registered!AE1804&amp;" Bandana",Registered!AE1804&amp;" Bandanas"))</f>
        <v>1 Bandana</v>
      </c>
      <c r="AV1804" s="3">
        <f t="shared" si="86"/>
        <v>0</v>
      </c>
      <c r="AW1804" s="2" t="str">
        <f>IF(Registered!AV1804=0,"",IF(Registered!AV1804=1,Registered!AV1804&amp;" Meal",Registered!AV1804&amp;" Meals"))</f>
        <v/>
      </c>
      <c r="AX1804" s="2" t="str">
        <f>IF(Registered!AI1804=0,"",Registered!AI1804&amp;" BG")</f>
        <v/>
      </c>
      <c r="AY1804" s="2" t="str">
        <f>IF(Registered!AG1804=0,"",Registered!AG1804&amp;" DustMask")</f>
        <v/>
      </c>
    </row>
    <row r="1805" spans="1:51" customFormat="1" x14ac:dyDescent="0.25">
      <c r="A1805" t="s">
        <v>3262</v>
      </c>
      <c r="B1805" t="s">
        <v>3263</v>
      </c>
      <c r="C1805" t="s">
        <v>6090</v>
      </c>
      <c r="D1805" t="s">
        <v>3264</v>
      </c>
      <c r="E1805" t="s">
        <v>201</v>
      </c>
      <c r="F1805" t="s">
        <v>261</v>
      </c>
      <c r="I1805" t="s">
        <v>3265</v>
      </c>
      <c r="J1805" t="s">
        <v>37</v>
      </c>
      <c r="K1805" t="s">
        <v>32</v>
      </c>
      <c r="L1805" t="s">
        <v>35</v>
      </c>
      <c r="Q1805">
        <v>1</v>
      </c>
      <c r="R1805">
        <v>3</v>
      </c>
      <c r="U1805">
        <v>1</v>
      </c>
      <c r="V1805">
        <v>20</v>
      </c>
      <c r="AE1805">
        <v>1</v>
      </c>
      <c r="AF1805">
        <v>6</v>
      </c>
      <c r="AI1805">
        <v>1</v>
      </c>
      <c r="AJ1805">
        <v>10</v>
      </c>
      <c r="AM1805">
        <v>1</v>
      </c>
      <c r="AN1805">
        <v>25</v>
      </c>
      <c r="AQ1805">
        <v>64</v>
      </c>
      <c r="AR1805" s="3">
        <f t="shared" si="84"/>
        <v>15</v>
      </c>
      <c r="AS1805" s="3">
        <f t="shared" si="85"/>
        <v>1</v>
      </c>
      <c r="AT1805" s="3" t="str">
        <f>IF(OR(Registered!AM1805&gt;0,Registered!AO1805&gt;0),(IF(Registered!E1805=0,"Size Not Specified",Registered!E1805)),"")</f>
        <v>XL</v>
      </c>
      <c r="AU1805" s="3" t="str">
        <f>IF(Registered!AE1805=0,"",IF(Registered!AE1805=1,Registered!AE1805&amp;" Bandana",Registered!AE1805&amp;" Bandanas"))</f>
        <v>1 Bandana</v>
      </c>
      <c r="AV1805" s="3">
        <f t="shared" si="86"/>
        <v>1</v>
      </c>
      <c r="AW1805" s="2" t="str">
        <f>IF(Registered!AV1805=0,"",IF(Registered!AV1805=1,Registered!AV1805&amp;" Meal",Registered!AV1805&amp;" Meals"))</f>
        <v>1 Meal</v>
      </c>
      <c r="AX1805" s="2" t="str">
        <f>IF(Registered!AI1805=0,"",Registered!AI1805&amp;" BG")</f>
        <v>1 BG</v>
      </c>
      <c r="AY1805" s="2" t="str">
        <f>IF(Registered!AG1805=0,"",Registered!AG1805&amp;" DustMask")</f>
        <v/>
      </c>
    </row>
    <row r="1806" spans="1:51" customFormat="1" x14ac:dyDescent="0.25">
      <c r="A1806" t="s">
        <v>130</v>
      </c>
      <c r="B1806" t="s">
        <v>4167</v>
      </c>
      <c r="C1806" t="s">
        <v>6090</v>
      </c>
      <c r="G1806" t="s">
        <v>3792</v>
      </c>
      <c r="H1806" t="s">
        <v>4167</v>
      </c>
      <c r="I1806" t="s">
        <v>4168</v>
      </c>
      <c r="J1806" t="s">
        <v>37</v>
      </c>
      <c r="K1806" t="s">
        <v>32</v>
      </c>
      <c r="L1806" t="s">
        <v>35</v>
      </c>
      <c r="AQ1806">
        <v>0</v>
      </c>
      <c r="AR1806" s="3">
        <f t="shared" si="84"/>
        <v>0</v>
      </c>
      <c r="AS1806" s="3">
        <f t="shared" si="85"/>
        <v>0</v>
      </c>
      <c r="AT1806" s="3" t="str">
        <f>IF(OR(Registered!AM1806&gt;0,Registered!AO1806&gt;0),(IF(Registered!E1806=0,"Size Not Specified",Registered!E1806)),"")</f>
        <v/>
      </c>
      <c r="AU1806" s="3" t="str">
        <f>IF(Registered!AE1806=0,"",IF(Registered!AE1806=1,Registered!AE1806&amp;" Bandana",Registered!AE1806&amp;" Bandanas"))</f>
        <v/>
      </c>
      <c r="AV1806" s="3">
        <f t="shared" si="86"/>
        <v>0</v>
      </c>
      <c r="AW1806" s="2" t="str">
        <f>IF(Registered!AV1806=0,"",IF(Registered!AV1806=1,Registered!AV1806&amp;" Meal",Registered!AV1806&amp;" Meals"))</f>
        <v/>
      </c>
      <c r="AX1806" s="2" t="str">
        <f>IF(Registered!AI1806=0,"",Registered!AI1806&amp;" BG")</f>
        <v/>
      </c>
      <c r="AY1806" s="2" t="str">
        <f>IF(Registered!AG1806=0,"",Registered!AG1806&amp;" DustMask")</f>
        <v/>
      </c>
    </row>
    <row r="1807" spans="1:51" customFormat="1" x14ac:dyDescent="0.25">
      <c r="A1807" t="s">
        <v>3792</v>
      </c>
      <c r="B1807" t="s">
        <v>4167</v>
      </c>
      <c r="C1807" t="s">
        <v>6090</v>
      </c>
      <c r="D1807" t="s">
        <v>5353</v>
      </c>
      <c r="F1807" t="s">
        <v>261</v>
      </c>
      <c r="I1807" t="s">
        <v>4168</v>
      </c>
      <c r="J1807" t="s">
        <v>37</v>
      </c>
      <c r="K1807" t="s">
        <v>32</v>
      </c>
      <c r="L1807" t="s">
        <v>35</v>
      </c>
      <c r="Q1807">
        <v>4</v>
      </c>
      <c r="R1807">
        <v>3</v>
      </c>
      <c r="U1807">
        <v>1</v>
      </c>
      <c r="V1807">
        <v>20</v>
      </c>
      <c r="AQ1807">
        <v>32</v>
      </c>
      <c r="AR1807" s="3">
        <f t="shared" si="84"/>
        <v>10</v>
      </c>
      <c r="AS1807" s="3">
        <f t="shared" si="85"/>
        <v>0</v>
      </c>
      <c r="AT1807" s="3" t="str">
        <f>IF(OR(Registered!AM1807&gt;0,Registered!AO1807&gt;0),(IF(Registered!E1807=0,"Size Not Specified",Registered!E1807)),"")</f>
        <v/>
      </c>
      <c r="AU1807" s="3" t="str">
        <f>IF(Registered!AE1807=0,"",IF(Registered!AE1807=1,Registered!AE1807&amp;" Bandana",Registered!AE1807&amp;" Bandanas"))</f>
        <v/>
      </c>
      <c r="AV1807" s="3">
        <f t="shared" si="86"/>
        <v>0</v>
      </c>
      <c r="AW1807" s="2" t="str">
        <f>IF(Registered!AV1807=0,"",IF(Registered!AV1807=1,Registered!AV1807&amp;" Meal",Registered!AV1807&amp;" Meals"))</f>
        <v/>
      </c>
      <c r="AX1807" s="2" t="str">
        <f>IF(Registered!AI1807=0,"",Registered!AI1807&amp;" BG")</f>
        <v/>
      </c>
      <c r="AY1807" s="2" t="str">
        <f>IF(Registered!AG1807=0,"",Registered!AG1807&amp;" DustMask")</f>
        <v/>
      </c>
    </row>
    <row r="1808" spans="1:51" customFormat="1" x14ac:dyDescent="0.25">
      <c r="A1808" t="s">
        <v>5089</v>
      </c>
      <c r="B1808" t="s">
        <v>5090</v>
      </c>
      <c r="C1808" t="s">
        <v>6090</v>
      </c>
      <c r="D1808" t="s">
        <v>5354</v>
      </c>
      <c r="F1808" t="s">
        <v>261</v>
      </c>
      <c r="I1808" t="s">
        <v>5091</v>
      </c>
      <c r="J1808" t="s">
        <v>37</v>
      </c>
      <c r="K1808" t="s">
        <v>32</v>
      </c>
      <c r="L1808" t="s">
        <v>35</v>
      </c>
      <c r="Q1808">
        <v>2</v>
      </c>
      <c r="R1808">
        <v>3</v>
      </c>
      <c r="W1808">
        <v>1</v>
      </c>
      <c r="X1808">
        <v>40</v>
      </c>
      <c r="AK1808">
        <v>2</v>
      </c>
      <c r="AL1808">
        <v>6</v>
      </c>
      <c r="AQ1808">
        <v>58</v>
      </c>
      <c r="AR1808" s="3">
        <f t="shared" si="84"/>
        <v>20</v>
      </c>
      <c r="AS1808" s="3">
        <f t="shared" si="85"/>
        <v>0</v>
      </c>
      <c r="AT1808" s="3" t="str">
        <f>IF(OR(Registered!AM1808&gt;0,Registered!AO1808&gt;0),(IF(Registered!E1808=0,"Size Not Specified",Registered!E1808)),"")</f>
        <v/>
      </c>
      <c r="AU1808" s="3" t="str">
        <f>IF(Registered!AE1808=0,"",IF(Registered!AE1808=1,Registered!AE1808&amp;" Bandana",Registered!AE1808&amp;" Bandanas"))</f>
        <v/>
      </c>
      <c r="AV1808" s="3">
        <f t="shared" si="86"/>
        <v>2</v>
      </c>
      <c r="AW1808" s="2" t="str">
        <f>IF(Registered!AV1808=0,"",IF(Registered!AV1808=1,Registered!AV1808&amp;" Meal",Registered!AV1808&amp;" Meals"))</f>
        <v>2 Meals</v>
      </c>
      <c r="AX1808" s="2" t="str">
        <f>IF(Registered!AI1808=0,"",Registered!AI1808&amp;" BG")</f>
        <v/>
      </c>
      <c r="AY1808" s="2" t="str">
        <f>IF(Registered!AG1808=0,"",Registered!AG1808&amp;" DustMask")</f>
        <v/>
      </c>
    </row>
    <row r="1809" spans="1:51" customFormat="1" x14ac:dyDescent="0.25">
      <c r="A1809" t="s">
        <v>381</v>
      </c>
      <c r="B1809" t="s">
        <v>5355</v>
      </c>
      <c r="C1809" t="s">
        <v>6090</v>
      </c>
      <c r="G1809" t="s">
        <v>42</v>
      </c>
      <c r="H1809" t="s">
        <v>472</v>
      </c>
      <c r="I1809" t="s">
        <v>5356</v>
      </c>
      <c r="J1809" t="s">
        <v>37</v>
      </c>
      <c r="K1809" t="s">
        <v>32</v>
      </c>
      <c r="L1809" t="s">
        <v>35</v>
      </c>
      <c r="AQ1809">
        <v>0</v>
      </c>
      <c r="AR1809" s="3">
        <f t="shared" si="84"/>
        <v>0</v>
      </c>
      <c r="AS1809" s="3">
        <f t="shared" si="85"/>
        <v>0</v>
      </c>
      <c r="AT1809" s="3" t="str">
        <f>IF(OR(Registered!AM1809&gt;0,Registered!AO1809&gt;0),(IF(Registered!E1809=0,"Size Not Specified",Registered!E1809)),"")</f>
        <v/>
      </c>
      <c r="AU1809" s="3" t="str">
        <f>IF(Registered!AE1809=0,"",IF(Registered!AE1809=1,Registered!AE1809&amp;" Bandana",Registered!AE1809&amp;" Bandanas"))</f>
        <v/>
      </c>
      <c r="AV1809" s="3">
        <f t="shared" si="86"/>
        <v>0</v>
      </c>
      <c r="AW1809" s="2" t="str">
        <f>IF(Registered!AV1809=0,"",IF(Registered!AV1809=1,Registered!AV1809&amp;" Meal",Registered!AV1809&amp;" Meals"))</f>
        <v/>
      </c>
      <c r="AX1809" s="2" t="str">
        <f>IF(Registered!AI1809=0,"",Registered!AI1809&amp;" BG")</f>
        <v/>
      </c>
      <c r="AY1809" s="2" t="str">
        <f>IF(Registered!AG1809=0,"",Registered!AG1809&amp;" DustMask")</f>
        <v/>
      </c>
    </row>
    <row r="1810" spans="1:51" customFormat="1" x14ac:dyDescent="0.25">
      <c r="A1810" t="s">
        <v>5357</v>
      </c>
      <c r="B1810" t="s">
        <v>5358</v>
      </c>
      <c r="C1810" t="s">
        <v>6090</v>
      </c>
      <c r="G1810" t="s">
        <v>3643</v>
      </c>
      <c r="H1810" t="s">
        <v>391</v>
      </c>
      <c r="I1810" t="s">
        <v>3644</v>
      </c>
      <c r="J1810" t="s">
        <v>37</v>
      </c>
      <c r="K1810" t="s">
        <v>32</v>
      </c>
      <c r="L1810" t="s">
        <v>35</v>
      </c>
      <c r="AQ1810">
        <v>0</v>
      </c>
      <c r="AR1810" s="3">
        <f t="shared" si="84"/>
        <v>0</v>
      </c>
      <c r="AS1810" s="3">
        <f t="shared" si="85"/>
        <v>0</v>
      </c>
      <c r="AT1810" s="3" t="str">
        <f>IF(OR(Registered!AM1810&gt;0,Registered!AO1810&gt;0),(IF(Registered!E1810=0,"Size Not Specified",Registered!E1810)),"")</f>
        <v/>
      </c>
      <c r="AU1810" s="3" t="str">
        <f>IF(Registered!AE1810=0,"",IF(Registered!AE1810=1,Registered!AE1810&amp;" Bandana",Registered!AE1810&amp;" Bandanas"))</f>
        <v/>
      </c>
      <c r="AV1810" s="3">
        <f t="shared" si="86"/>
        <v>0</v>
      </c>
      <c r="AW1810" s="2" t="str">
        <f>IF(Registered!AV1810=0,"",IF(Registered!AV1810=1,Registered!AV1810&amp;" Meal",Registered!AV1810&amp;" Meals"))</f>
        <v/>
      </c>
      <c r="AX1810" s="2" t="str">
        <f>IF(Registered!AI1810=0,"",Registered!AI1810&amp;" BG")</f>
        <v/>
      </c>
      <c r="AY1810" s="2" t="str">
        <f>IF(Registered!AG1810=0,"",Registered!AG1810&amp;" DustMask")</f>
        <v/>
      </c>
    </row>
    <row r="1811" spans="1:51" customFormat="1" x14ac:dyDescent="0.25">
      <c r="A1811" t="s">
        <v>157</v>
      </c>
      <c r="B1811" t="s">
        <v>2073</v>
      </c>
      <c r="C1811" t="s">
        <v>6090</v>
      </c>
      <c r="G1811" t="s">
        <v>487</v>
      </c>
      <c r="H1811" t="s">
        <v>733</v>
      </c>
      <c r="I1811" t="s">
        <v>734</v>
      </c>
      <c r="J1811" t="s">
        <v>37</v>
      </c>
      <c r="K1811" t="s">
        <v>32</v>
      </c>
      <c r="L1811" t="s">
        <v>35</v>
      </c>
      <c r="AQ1811">
        <v>0</v>
      </c>
      <c r="AR1811" s="3">
        <f t="shared" si="84"/>
        <v>0</v>
      </c>
      <c r="AS1811" s="3">
        <f t="shared" si="85"/>
        <v>0</v>
      </c>
      <c r="AT1811" s="3" t="str">
        <f>IF(OR(Registered!AM1811&gt;0,Registered!AO1811&gt;0),(IF(Registered!E1811=0,"Size Not Specified",Registered!E1811)),"")</f>
        <v/>
      </c>
      <c r="AU1811" s="3" t="str">
        <f>IF(Registered!AE1811=0,"",IF(Registered!AE1811=1,Registered!AE1811&amp;" Bandana",Registered!AE1811&amp;" Bandanas"))</f>
        <v/>
      </c>
      <c r="AV1811" s="3">
        <f t="shared" si="86"/>
        <v>0</v>
      </c>
      <c r="AW1811" s="2" t="str">
        <f>IF(Registered!AV1811=0,"",IF(Registered!AV1811=1,Registered!AV1811&amp;" Meal",Registered!AV1811&amp;" Meals"))</f>
        <v/>
      </c>
      <c r="AX1811" s="2" t="str">
        <f>IF(Registered!AI1811=0,"",Registered!AI1811&amp;" BG")</f>
        <v/>
      </c>
      <c r="AY1811" s="2" t="str">
        <f>IF(Registered!AG1811=0,"",Registered!AG1811&amp;" DustMask")</f>
        <v/>
      </c>
    </row>
    <row r="1812" spans="1:51" customFormat="1" x14ac:dyDescent="0.25">
      <c r="A1812" t="s">
        <v>2074</v>
      </c>
      <c r="B1812" t="s">
        <v>2075</v>
      </c>
      <c r="C1812" t="s">
        <v>6090</v>
      </c>
      <c r="D1812" t="s">
        <v>2076</v>
      </c>
      <c r="F1812" t="s">
        <v>261</v>
      </c>
      <c r="I1812" t="s">
        <v>2077</v>
      </c>
      <c r="J1812" t="s">
        <v>37</v>
      </c>
      <c r="K1812" t="s">
        <v>32</v>
      </c>
      <c r="L1812" t="s">
        <v>35</v>
      </c>
      <c r="S1812">
        <v>1</v>
      </c>
      <c r="T1812">
        <v>3</v>
      </c>
      <c r="AC1812">
        <v>1</v>
      </c>
      <c r="AD1812">
        <v>10</v>
      </c>
      <c r="AQ1812">
        <v>13</v>
      </c>
      <c r="AR1812" s="3">
        <f t="shared" si="84"/>
        <v>5</v>
      </c>
      <c r="AS1812" s="3">
        <f t="shared" si="85"/>
        <v>0</v>
      </c>
      <c r="AT1812" s="3" t="str">
        <f>IF(OR(Registered!AM1812&gt;0,Registered!AO1812&gt;0),(IF(Registered!E1812=0,"Size Not Specified",Registered!E1812)),"")</f>
        <v/>
      </c>
      <c r="AU1812" s="3" t="str">
        <f>IF(Registered!AE1812=0,"",IF(Registered!AE1812=1,Registered!AE1812&amp;" Bandana",Registered!AE1812&amp;" Bandanas"))</f>
        <v/>
      </c>
      <c r="AV1812" s="3">
        <f t="shared" si="86"/>
        <v>0</v>
      </c>
      <c r="AW1812" s="2" t="str">
        <f>IF(Registered!AV1812=0,"",IF(Registered!AV1812=1,Registered!AV1812&amp;" Meal",Registered!AV1812&amp;" Meals"))</f>
        <v/>
      </c>
      <c r="AX1812" s="2" t="str">
        <f>IF(Registered!AI1812=0,"",Registered!AI1812&amp;" BG")</f>
        <v/>
      </c>
      <c r="AY1812" s="2" t="str">
        <f>IF(Registered!AG1812=0,"",Registered!AG1812&amp;" DustMask")</f>
        <v/>
      </c>
    </row>
    <row r="1813" spans="1:51" customFormat="1" x14ac:dyDescent="0.25">
      <c r="A1813" t="s">
        <v>5359</v>
      </c>
      <c r="B1813" t="s">
        <v>5360</v>
      </c>
      <c r="C1813" t="s">
        <v>6090</v>
      </c>
      <c r="D1813" t="s">
        <v>5361</v>
      </c>
      <c r="F1813" t="s">
        <v>261</v>
      </c>
      <c r="I1813" t="s">
        <v>5362</v>
      </c>
      <c r="J1813" t="s">
        <v>37</v>
      </c>
      <c r="K1813" t="s">
        <v>32</v>
      </c>
      <c r="L1813" t="s">
        <v>35</v>
      </c>
      <c r="Q1813">
        <v>1</v>
      </c>
      <c r="R1813">
        <v>3</v>
      </c>
      <c r="AC1813">
        <v>1</v>
      </c>
      <c r="AD1813">
        <v>10</v>
      </c>
      <c r="AQ1813">
        <v>13</v>
      </c>
      <c r="AR1813" s="3">
        <f t="shared" si="84"/>
        <v>5</v>
      </c>
      <c r="AS1813" s="3">
        <f t="shared" si="85"/>
        <v>0</v>
      </c>
      <c r="AT1813" s="3" t="str">
        <f>IF(OR(Registered!AM1813&gt;0,Registered!AO1813&gt;0),(IF(Registered!E1813=0,"Size Not Specified",Registered!E1813)),"")</f>
        <v/>
      </c>
      <c r="AU1813" s="3" t="str">
        <f>IF(Registered!AE1813=0,"",IF(Registered!AE1813=1,Registered!AE1813&amp;" Bandana",Registered!AE1813&amp;" Bandanas"))</f>
        <v/>
      </c>
      <c r="AV1813" s="3">
        <f t="shared" si="86"/>
        <v>0</v>
      </c>
      <c r="AW1813" s="2" t="str">
        <f>IF(Registered!AV1813=0,"",IF(Registered!AV1813=1,Registered!AV1813&amp;" Meal",Registered!AV1813&amp;" Meals"))</f>
        <v/>
      </c>
      <c r="AX1813" s="2" t="str">
        <f>IF(Registered!AI1813=0,"",Registered!AI1813&amp;" BG")</f>
        <v/>
      </c>
      <c r="AY1813" s="2" t="str">
        <f>IF(Registered!AG1813=0,"",Registered!AG1813&amp;" DustMask")</f>
        <v/>
      </c>
    </row>
    <row r="1814" spans="1:51" customFormat="1" x14ac:dyDescent="0.25">
      <c r="A1814" t="s">
        <v>5363</v>
      </c>
      <c r="B1814" t="s">
        <v>5364</v>
      </c>
      <c r="C1814" t="s">
        <v>6090</v>
      </c>
      <c r="D1814" t="s">
        <v>5363</v>
      </c>
      <c r="E1814" t="s">
        <v>216</v>
      </c>
      <c r="F1814" t="s">
        <v>261</v>
      </c>
      <c r="I1814" t="s">
        <v>5365</v>
      </c>
      <c r="J1814" t="s">
        <v>37</v>
      </c>
      <c r="K1814" t="s">
        <v>32</v>
      </c>
      <c r="L1814" t="s">
        <v>35</v>
      </c>
      <c r="Q1814">
        <v>1</v>
      </c>
      <c r="R1814">
        <v>3</v>
      </c>
      <c r="AM1814">
        <v>1</v>
      </c>
      <c r="AN1814">
        <v>25</v>
      </c>
      <c r="AQ1814">
        <v>28</v>
      </c>
      <c r="AR1814" s="3">
        <f t="shared" si="84"/>
        <v>5</v>
      </c>
      <c r="AS1814" s="3">
        <f t="shared" si="85"/>
        <v>1</v>
      </c>
      <c r="AT1814" s="3" t="str">
        <f>IF(OR(Registered!AM1814&gt;0,Registered!AO1814&gt;0),(IF(Registered!E1814=0,"Size Not Specified",Registered!E1814)),"")</f>
        <v>large</v>
      </c>
      <c r="AU1814" s="3" t="str">
        <f>IF(Registered!AE1814=0,"",IF(Registered!AE1814=1,Registered!AE1814&amp;" Bandana",Registered!AE1814&amp;" Bandanas"))</f>
        <v/>
      </c>
      <c r="AV1814" s="3">
        <f t="shared" si="86"/>
        <v>1</v>
      </c>
      <c r="AW1814" s="2" t="str">
        <f>IF(Registered!AV1814=0,"",IF(Registered!AV1814=1,Registered!AV1814&amp;" Meal",Registered!AV1814&amp;" Meals"))</f>
        <v>1 Meal</v>
      </c>
      <c r="AX1814" s="2" t="str">
        <f>IF(Registered!AI1814=0,"",Registered!AI1814&amp;" BG")</f>
        <v/>
      </c>
      <c r="AY1814" s="2" t="str">
        <f>IF(Registered!AG1814=0,"",Registered!AG1814&amp;" DustMask")</f>
        <v/>
      </c>
    </row>
    <row r="1815" spans="1:51" customFormat="1" x14ac:dyDescent="0.25">
      <c r="A1815" t="s">
        <v>5366</v>
      </c>
      <c r="B1815" t="s">
        <v>5367</v>
      </c>
      <c r="C1815" t="s">
        <v>6090</v>
      </c>
      <c r="G1815" t="s">
        <v>47</v>
      </c>
      <c r="H1815" t="s">
        <v>5368</v>
      </c>
      <c r="I1815" t="s">
        <v>5369</v>
      </c>
      <c r="J1815" t="s">
        <v>37</v>
      </c>
      <c r="K1815" t="s">
        <v>32</v>
      </c>
      <c r="L1815" t="s">
        <v>35</v>
      </c>
      <c r="AQ1815">
        <v>0</v>
      </c>
      <c r="AR1815" s="3">
        <f t="shared" si="84"/>
        <v>0</v>
      </c>
      <c r="AS1815" s="3">
        <f t="shared" si="85"/>
        <v>0</v>
      </c>
      <c r="AT1815" s="3" t="str">
        <f>IF(OR(Registered!AM1815&gt;0,Registered!AO1815&gt;0),(IF(Registered!E1815=0,"Size Not Specified",Registered!E1815)),"")</f>
        <v/>
      </c>
      <c r="AU1815" s="3" t="str">
        <f>IF(Registered!AE1815=0,"",IF(Registered!AE1815=1,Registered!AE1815&amp;" Bandana",Registered!AE1815&amp;" Bandanas"))</f>
        <v/>
      </c>
      <c r="AV1815" s="3">
        <f t="shared" si="86"/>
        <v>0</v>
      </c>
      <c r="AW1815" s="2" t="str">
        <f>IF(Registered!AV1815=0,"",IF(Registered!AV1815=1,Registered!AV1815&amp;" Meal",Registered!AV1815&amp;" Meals"))</f>
        <v/>
      </c>
      <c r="AX1815" s="2" t="str">
        <f>IF(Registered!AI1815=0,"",Registered!AI1815&amp;" BG")</f>
        <v/>
      </c>
      <c r="AY1815" s="2" t="str">
        <f>IF(Registered!AG1815=0,"",Registered!AG1815&amp;" DustMask")</f>
        <v/>
      </c>
    </row>
    <row r="1816" spans="1:51" customFormat="1" x14ac:dyDescent="0.25">
      <c r="A1816" t="s">
        <v>251</v>
      </c>
      <c r="B1816" t="s">
        <v>5370</v>
      </c>
      <c r="C1816" t="s">
        <v>6090</v>
      </c>
      <c r="D1816" t="s">
        <v>5371</v>
      </c>
      <c r="F1816" t="s">
        <v>261</v>
      </c>
      <c r="I1816" t="s">
        <v>5372</v>
      </c>
      <c r="J1816" t="s">
        <v>37</v>
      </c>
      <c r="K1816" t="s">
        <v>32</v>
      </c>
      <c r="L1816" t="s">
        <v>35</v>
      </c>
      <c r="Q1816">
        <v>1</v>
      </c>
      <c r="R1816">
        <v>3</v>
      </c>
      <c r="U1816">
        <v>1</v>
      </c>
      <c r="V1816">
        <v>20</v>
      </c>
      <c r="AG1816">
        <v>1</v>
      </c>
      <c r="AH1816">
        <v>1</v>
      </c>
      <c r="AQ1816">
        <v>24</v>
      </c>
      <c r="AR1816" s="3">
        <f t="shared" si="84"/>
        <v>10</v>
      </c>
      <c r="AS1816" s="3">
        <f t="shared" si="85"/>
        <v>0</v>
      </c>
      <c r="AT1816" s="3" t="str">
        <f>IF(OR(Registered!AM1816&gt;0,Registered!AO1816&gt;0),(IF(Registered!E1816=0,"Size Not Specified",Registered!E1816)),"")</f>
        <v/>
      </c>
      <c r="AU1816" s="3" t="str">
        <f>IF(Registered!AE1816=0,"",IF(Registered!AE1816=1,Registered!AE1816&amp;" Bandana",Registered!AE1816&amp;" Bandanas"))</f>
        <v/>
      </c>
      <c r="AV1816" s="3">
        <f t="shared" si="86"/>
        <v>0</v>
      </c>
      <c r="AW1816" s="2" t="str">
        <f>IF(Registered!AV1816=0,"",IF(Registered!AV1816=1,Registered!AV1816&amp;" Meal",Registered!AV1816&amp;" Meals"))</f>
        <v/>
      </c>
      <c r="AX1816" s="2" t="str">
        <f>IF(Registered!AI1816=0,"",Registered!AI1816&amp;" BG")</f>
        <v/>
      </c>
      <c r="AY1816" s="2" t="str">
        <f>IF(Registered!AG1816=0,"",Registered!AG1816&amp;" DustMask")</f>
        <v>1 DustMask</v>
      </c>
    </row>
    <row r="1817" spans="1:51" customFormat="1" x14ac:dyDescent="0.25">
      <c r="A1817" t="s">
        <v>2078</v>
      </c>
      <c r="B1817" t="s">
        <v>2079</v>
      </c>
      <c r="C1817" t="s">
        <v>6090</v>
      </c>
      <c r="D1817" t="s">
        <v>2080</v>
      </c>
      <c r="E1817" t="s">
        <v>2081</v>
      </c>
      <c r="F1817" t="s">
        <v>261</v>
      </c>
      <c r="I1817" t="s">
        <v>2082</v>
      </c>
      <c r="J1817" t="s">
        <v>37</v>
      </c>
      <c r="K1817" t="s">
        <v>32</v>
      </c>
      <c r="L1817" t="s">
        <v>35</v>
      </c>
      <c r="S1817">
        <v>1</v>
      </c>
      <c r="T1817">
        <v>3</v>
      </c>
      <c r="AM1817">
        <v>2</v>
      </c>
      <c r="AN1817">
        <v>25</v>
      </c>
      <c r="AQ1817">
        <v>53</v>
      </c>
      <c r="AR1817" s="3">
        <f t="shared" si="84"/>
        <v>10</v>
      </c>
      <c r="AS1817" s="3">
        <f t="shared" si="85"/>
        <v>2</v>
      </c>
      <c r="AT1817" s="3" t="str">
        <f>IF(OR(Registered!AM1817&gt;0,Registered!AO1817&gt;0),(IF(Registered!E1817=0,"Size Not Specified",Registered!E1817)),"")</f>
        <v>adult xl, adult l</v>
      </c>
      <c r="AU1817" s="3" t="str">
        <f>IF(Registered!AE1817=0,"",IF(Registered!AE1817=1,Registered!AE1817&amp;" Bandana",Registered!AE1817&amp;" Bandanas"))</f>
        <v/>
      </c>
      <c r="AV1817" s="3">
        <f t="shared" si="86"/>
        <v>2</v>
      </c>
      <c r="AW1817" s="2" t="str">
        <f>IF(Registered!AV1817=0,"",IF(Registered!AV1817=1,Registered!AV1817&amp;" Meal",Registered!AV1817&amp;" Meals"))</f>
        <v>2 Meals</v>
      </c>
      <c r="AX1817" s="2" t="str">
        <f>IF(Registered!AI1817=0,"",Registered!AI1817&amp;" BG")</f>
        <v/>
      </c>
      <c r="AY1817" s="2" t="str">
        <f>IF(Registered!AG1817=0,"",Registered!AG1817&amp;" DustMask")</f>
        <v/>
      </c>
    </row>
    <row r="1818" spans="1:51" customFormat="1" x14ac:dyDescent="0.25">
      <c r="A1818" t="s">
        <v>3266</v>
      </c>
      <c r="B1818" t="s">
        <v>3267</v>
      </c>
      <c r="C1818" t="s">
        <v>6090</v>
      </c>
      <c r="G1818" t="s">
        <v>2931</v>
      </c>
      <c r="H1818" t="s">
        <v>2930</v>
      </c>
      <c r="I1818" t="s">
        <v>2932</v>
      </c>
      <c r="J1818" t="s">
        <v>37</v>
      </c>
      <c r="K1818" t="s">
        <v>32</v>
      </c>
      <c r="L1818" t="s">
        <v>35</v>
      </c>
      <c r="AQ1818">
        <v>0</v>
      </c>
      <c r="AR1818" s="3">
        <f t="shared" si="84"/>
        <v>0</v>
      </c>
      <c r="AS1818" s="3">
        <f t="shared" si="85"/>
        <v>0</v>
      </c>
      <c r="AT1818" s="3" t="str">
        <f>IF(OR(Registered!AM1818&gt;0,Registered!AO1818&gt;0),(IF(Registered!E1818=0,"Size Not Specified",Registered!E1818)),"")</f>
        <v/>
      </c>
      <c r="AU1818" s="3" t="str">
        <f>IF(Registered!AE1818=0,"",IF(Registered!AE1818=1,Registered!AE1818&amp;" Bandana",Registered!AE1818&amp;" Bandanas"))</f>
        <v/>
      </c>
      <c r="AV1818" s="3">
        <f t="shared" si="86"/>
        <v>0</v>
      </c>
      <c r="AW1818" s="2" t="str">
        <f>IF(Registered!AV1818=0,"",IF(Registered!AV1818=1,Registered!AV1818&amp;" Meal",Registered!AV1818&amp;" Meals"))</f>
        <v/>
      </c>
      <c r="AX1818" s="2" t="str">
        <f>IF(Registered!AI1818=0,"",Registered!AI1818&amp;" BG")</f>
        <v/>
      </c>
      <c r="AY1818" s="2" t="str">
        <f>IF(Registered!AG1818=0,"",Registered!AG1818&amp;" DustMask")</f>
        <v/>
      </c>
    </row>
    <row r="1819" spans="1:51" customFormat="1" x14ac:dyDescent="0.25">
      <c r="A1819" t="s">
        <v>373</v>
      </c>
      <c r="B1819" t="s">
        <v>3267</v>
      </c>
      <c r="C1819" t="s">
        <v>6090</v>
      </c>
      <c r="G1819" t="s">
        <v>2931</v>
      </c>
      <c r="H1819" t="s">
        <v>2930</v>
      </c>
      <c r="I1819" t="s">
        <v>2932</v>
      </c>
      <c r="J1819" t="s">
        <v>37</v>
      </c>
      <c r="K1819" t="s">
        <v>32</v>
      </c>
      <c r="L1819" t="s">
        <v>35</v>
      </c>
      <c r="AQ1819">
        <v>0</v>
      </c>
      <c r="AR1819" s="3">
        <f t="shared" si="84"/>
        <v>0</v>
      </c>
      <c r="AS1819" s="3">
        <f t="shared" si="85"/>
        <v>0</v>
      </c>
      <c r="AT1819" s="3" t="str">
        <f>IF(OR(Registered!AM1819&gt;0,Registered!AO1819&gt;0),(IF(Registered!E1819=0,"Size Not Specified",Registered!E1819)),"")</f>
        <v/>
      </c>
      <c r="AU1819" s="3" t="str">
        <f>IF(Registered!AE1819=0,"",IF(Registered!AE1819=1,Registered!AE1819&amp;" Bandana",Registered!AE1819&amp;" Bandanas"))</f>
        <v/>
      </c>
      <c r="AV1819" s="3">
        <f t="shared" si="86"/>
        <v>0</v>
      </c>
      <c r="AW1819" s="2" t="str">
        <f>IF(Registered!AV1819=0,"",IF(Registered!AV1819=1,Registered!AV1819&amp;" Meal",Registered!AV1819&amp;" Meals"))</f>
        <v/>
      </c>
      <c r="AX1819" s="2" t="str">
        <f>IF(Registered!AI1819=0,"",Registered!AI1819&amp;" BG")</f>
        <v/>
      </c>
      <c r="AY1819" s="2" t="str">
        <f>IF(Registered!AG1819=0,"",Registered!AG1819&amp;" DustMask")</f>
        <v/>
      </c>
    </row>
    <row r="1820" spans="1:51" customFormat="1" x14ac:dyDescent="0.25">
      <c r="A1820" t="s">
        <v>188</v>
      </c>
      <c r="B1820" t="s">
        <v>408</v>
      </c>
      <c r="C1820" t="s">
        <v>6090</v>
      </c>
      <c r="D1820" t="s">
        <v>2085</v>
      </c>
      <c r="E1820" t="s">
        <v>1327</v>
      </c>
      <c r="I1820" t="s">
        <v>897</v>
      </c>
      <c r="J1820" t="s">
        <v>37</v>
      </c>
      <c r="K1820" t="s">
        <v>32</v>
      </c>
      <c r="L1820" t="s">
        <v>35</v>
      </c>
      <c r="O1820">
        <v>2</v>
      </c>
      <c r="P1820">
        <v>3</v>
      </c>
      <c r="AM1820">
        <v>2</v>
      </c>
      <c r="AN1820">
        <v>25</v>
      </c>
      <c r="AQ1820">
        <v>56</v>
      </c>
      <c r="AR1820" s="3">
        <f t="shared" si="84"/>
        <v>10</v>
      </c>
      <c r="AS1820" s="3">
        <f t="shared" si="85"/>
        <v>2</v>
      </c>
      <c r="AT1820" s="3" t="str">
        <f>IF(OR(Registered!AM1820&gt;0,Registered!AO1820&gt;0),(IF(Registered!E1820=0,"Size Not Specified",Registered!E1820)),"")</f>
        <v>M, XL</v>
      </c>
      <c r="AU1820" s="3" t="str">
        <f>IF(Registered!AE1820=0,"",IF(Registered!AE1820=1,Registered!AE1820&amp;" Bandana",Registered!AE1820&amp;" Bandanas"))</f>
        <v/>
      </c>
      <c r="AV1820" s="3">
        <f t="shared" si="86"/>
        <v>2</v>
      </c>
      <c r="AW1820" s="2" t="str">
        <f>IF(Registered!AV1820=0,"",IF(Registered!AV1820=1,Registered!AV1820&amp;" Meal",Registered!AV1820&amp;" Meals"))</f>
        <v>2 Meals</v>
      </c>
      <c r="AX1820" s="2" t="str">
        <f>IF(Registered!AI1820=0,"",Registered!AI1820&amp;" BG")</f>
        <v/>
      </c>
      <c r="AY1820" s="2" t="str">
        <f>IF(Registered!AG1820=0,"",Registered!AG1820&amp;" DustMask")</f>
        <v/>
      </c>
    </row>
    <row r="1821" spans="1:51" customFormat="1" x14ac:dyDescent="0.25">
      <c r="A1821" t="s">
        <v>387</v>
      </c>
      <c r="B1821" t="s">
        <v>408</v>
      </c>
      <c r="C1821" t="s">
        <v>6090</v>
      </c>
      <c r="G1821" t="s">
        <v>2864</v>
      </c>
      <c r="H1821" t="s">
        <v>2865</v>
      </c>
      <c r="I1821" t="s">
        <v>2866</v>
      </c>
      <c r="J1821" t="s">
        <v>37</v>
      </c>
      <c r="K1821" t="s">
        <v>32</v>
      </c>
      <c r="L1821" t="s">
        <v>35</v>
      </c>
      <c r="AQ1821">
        <v>0</v>
      </c>
      <c r="AR1821" s="3">
        <f t="shared" si="84"/>
        <v>0</v>
      </c>
      <c r="AS1821" s="3">
        <f t="shared" si="85"/>
        <v>0</v>
      </c>
      <c r="AT1821" s="3" t="str">
        <f>IF(OR(Registered!AM1821&gt;0,Registered!AO1821&gt;0),(IF(Registered!E1821=0,"Size Not Specified",Registered!E1821)),"")</f>
        <v/>
      </c>
      <c r="AU1821" s="3" t="str">
        <f>IF(Registered!AE1821=0,"",IF(Registered!AE1821=1,Registered!AE1821&amp;" Bandana",Registered!AE1821&amp;" Bandanas"))</f>
        <v/>
      </c>
      <c r="AV1821" s="3">
        <f t="shared" si="86"/>
        <v>0</v>
      </c>
      <c r="AW1821" s="2" t="str">
        <f>IF(Registered!AV1821=0,"",IF(Registered!AV1821=1,Registered!AV1821&amp;" Meal",Registered!AV1821&amp;" Meals"))</f>
        <v/>
      </c>
      <c r="AX1821" s="2" t="str">
        <f>IF(Registered!AI1821=0,"",Registered!AI1821&amp;" BG")</f>
        <v/>
      </c>
      <c r="AY1821" s="2" t="str">
        <f>IF(Registered!AG1821=0,"",Registered!AG1821&amp;" DustMask")</f>
        <v/>
      </c>
    </row>
    <row r="1822" spans="1:51" customFormat="1" x14ac:dyDescent="0.25">
      <c r="A1822" t="s">
        <v>3268</v>
      </c>
      <c r="B1822" t="s">
        <v>408</v>
      </c>
      <c r="C1822" t="s">
        <v>6090</v>
      </c>
      <c r="G1822" t="s">
        <v>2864</v>
      </c>
      <c r="H1822" t="s">
        <v>2865</v>
      </c>
      <c r="I1822" t="s">
        <v>2866</v>
      </c>
      <c r="J1822" t="s">
        <v>37</v>
      </c>
      <c r="K1822" t="s">
        <v>32</v>
      </c>
      <c r="L1822" t="s">
        <v>35</v>
      </c>
      <c r="AQ1822">
        <v>0</v>
      </c>
      <c r="AR1822" s="3">
        <f t="shared" si="84"/>
        <v>0</v>
      </c>
      <c r="AS1822" s="3">
        <f t="shared" si="85"/>
        <v>0</v>
      </c>
      <c r="AT1822" s="3" t="str">
        <f>IF(OR(Registered!AM1822&gt;0,Registered!AO1822&gt;0),(IF(Registered!E1822=0,"Size Not Specified",Registered!E1822)),"")</f>
        <v/>
      </c>
      <c r="AU1822" s="3" t="str">
        <f>IF(Registered!AE1822=0,"",IF(Registered!AE1822=1,Registered!AE1822&amp;" Bandana",Registered!AE1822&amp;" Bandanas"))</f>
        <v/>
      </c>
      <c r="AV1822" s="3">
        <f t="shared" si="86"/>
        <v>0</v>
      </c>
      <c r="AW1822" s="2" t="str">
        <f>IF(Registered!AV1822=0,"",IF(Registered!AV1822=1,Registered!AV1822&amp;" Meal",Registered!AV1822&amp;" Meals"))</f>
        <v/>
      </c>
      <c r="AX1822" s="2" t="str">
        <f>IF(Registered!AI1822=0,"",Registered!AI1822&amp;" BG")</f>
        <v/>
      </c>
      <c r="AY1822" s="2" t="str">
        <f>IF(Registered!AG1822=0,"",Registered!AG1822&amp;" DustMask")</f>
        <v/>
      </c>
    </row>
    <row r="1823" spans="1:51" customFormat="1" x14ac:dyDescent="0.25">
      <c r="A1823" t="s">
        <v>2086</v>
      </c>
      <c r="B1823" t="s">
        <v>2087</v>
      </c>
      <c r="C1823" t="s">
        <v>6090</v>
      </c>
      <c r="G1823" t="s">
        <v>413</v>
      </c>
      <c r="H1823" t="s">
        <v>2088</v>
      </c>
      <c r="I1823" t="s">
        <v>2089</v>
      </c>
      <c r="J1823" t="s">
        <v>37</v>
      </c>
      <c r="K1823" t="s">
        <v>32</v>
      </c>
      <c r="L1823" t="s">
        <v>35</v>
      </c>
      <c r="AQ1823">
        <v>0</v>
      </c>
      <c r="AR1823" s="3">
        <f t="shared" si="84"/>
        <v>0</v>
      </c>
      <c r="AS1823" s="3">
        <f t="shared" si="85"/>
        <v>0</v>
      </c>
      <c r="AT1823" s="3" t="str">
        <f>IF(OR(Registered!AM1823&gt;0,Registered!AO1823&gt;0),(IF(Registered!E1823=0,"Size Not Specified",Registered!E1823)),"")</f>
        <v/>
      </c>
      <c r="AU1823" s="3" t="str">
        <f>IF(Registered!AE1823=0,"",IF(Registered!AE1823=1,Registered!AE1823&amp;" Bandana",Registered!AE1823&amp;" Bandanas"))</f>
        <v/>
      </c>
      <c r="AV1823" s="3">
        <f t="shared" si="86"/>
        <v>0</v>
      </c>
      <c r="AW1823" s="2" t="str">
        <f>IF(Registered!AV1823=0,"",IF(Registered!AV1823=1,Registered!AV1823&amp;" Meal",Registered!AV1823&amp;" Meals"))</f>
        <v/>
      </c>
      <c r="AX1823" s="2" t="str">
        <f>IF(Registered!AI1823=0,"",Registered!AI1823&amp;" BG")</f>
        <v/>
      </c>
      <c r="AY1823" s="2" t="str">
        <f>IF(Registered!AG1823=0,"",Registered!AG1823&amp;" DustMask")</f>
        <v/>
      </c>
    </row>
    <row r="1824" spans="1:51" customFormat="1" x14ac:dyDescent="0.25">
      <c r="A1824" t="s">
        <v>217</v>
      </c>
      <c r="B1824" t="s">
        <v>2087</v>
      </c>
      <c r="C1824" t="s">
        <v>6090</v>
      </c>
      <c r="D1824" t="s">
        <v>217</v>
      </c>
      <c r="F1824" t="s">
        <v>261</v>
      </c>
      <c r="I1824" t="s">
        <v>3269</v>
      </c>
      <c r="J1824" t="s">
        <v>37</v>
      </c>
      <c r="K1824" t="s">
        <v>32</v>
      </c>
      <c r="L1824" t="s">
        <v>35</v>
      </c>
      <c r="Q1824">
        <v>2</v>
      </c>
      <c r="R1824">
        <v>3</v>
      </c>
      <c r="U1824">
        <v>1</v>
      </c>
      <c r="V1824">
        <v>20</v>
      </c>
      <c r="AQ1824">
        <v>26</v>
      </c>
      <c r="AR1824" s="3">
        <f t="shared" si="84"/>
        <v>10</v>
      </c>
      <c r="AS1824" s="3">
        <f t="shared" si="85"/>
        <v>0</v>
      </c>
      <c r="AT1824" s="3" t="str">
        <f>IF(OR(Registered!AM1824&gt;0,Registered!AO1824&gt;0),(IF(Registered!E1824=0,"Size Not Specified",Registered!E1824)),"")</f>
        <v/>
      </c>
      <c r="AU1824" s="3" t="str">
        <f>IF(Registered!AE1824=0,"",IF(Registered!AE1824=1,Registered!AE1824&amp;" Bandana",Registered!AE1824&amp;" Bandanas"))</f>
        <v/>
      </c>
      <c r="AV1824" s="3">
        <f t="shared" si="86"/>
        <v>0</v>
      </c>
      <c r="AW1824" s="2" t="str">
        <f>IF(Registered!AV1824=0,"",IF(Registered!AV1824=1,Registered!AV1824&amp;" Meal",Registered!AV1824&amp;" Meals"))</f>
        <v/>
      </c>
      <c r="AX1824" s="2" t="str">
        <f>IF(Registered!AI1824=0,"",Registered!AI1824&amp;" BG")</f>
        <v/>
      </c>
      <c r="AY1824" s="2" t="str">
        <f>IF(Registered!AG1824=0,"",Registered!AG1824&amp;" DustMask")</f>
        <v/>
      </c>
    </row>
    <row r="1825" spans="1:51" customFormat="1" x14ac:dyDescent="0.25">
      <c r="A1825" t="s">
        <v>2090</v>
      </c>
      <c r="B1825" t="s">
        <v>2087</v>
      </c>
      <c r="C1825" t="s">
        <v>6090</v>
      </c>
      <c r="D1825" t="s">
        <v>57</v>
      </c>
      <c r="F1825" t="s">
        <v>261</v>
      </c>
      <c r="I1825" t="s">
        <v>2091</v>
      </c>
      <c r="J1825" t="s">
        <v>37</v>
      </c>
      <c r="K1825" t="s">
        <v>32</v>
      </c>
      <c r="L1825" t="s">
        <v>35</v>
      </c>
      <c r="Q1825">
        <v>2</v>
      </c>
      <c r="R1825">
        <v>3</v>
      </c>
      <c r="U1825">
        <v>1</v>
      </c>
      <c r="V1825">
        <v>20</v>
      </c>
      <c r="AQ1825">
        <v>26</v>
      </c>
      <c r="AR1825" s="3">
        <f t="shared" si="84"/>
        <v>10</v>
      </c>
      <c r="AS1825" s="3">
        <f t="shared" si="85"/>
        <v>0</v>
      </c>
      <c r="AT1825" s="3" t="str">
        <f>IF(OR(Registered!AM1825&gt;0,Registered!AO1825&gt;0),(IF(Registered!E1825=0,"Size Not Specified",Registered!E1825)),"")</f>
        <v/>
      </c>
      <c r="AU1825" s="3" t="str">
        <f>IF(Registered!AE1825=0,"",IF(Registered!AE1825=1,Registered!AE1825&amp;" Bandana",Registered!AE1825&amp;" Bandanas"))</f>
        <v/>
      </c>
      <c r="AV1825" s="3">
        <f t="shared" si="86"/>
        <v>0</v>
      </c>
      <c r="AW1825" s="2" t="str">
        <f>IF(Registered!AV1825=0,"",IF(Registered!AV1825=1,Registered!AV1825&amp;" Meal",Registered!AV1825&amp;" Meals"))</f>
        <v/>
      </c>
      <c r="AX1825" s="2" t="str">
        <f>IF(Registered!AI1825=0,"",Registered!AI1825&amp;" BG")</f>
        <v/>
      </c>
      <c r="AY1825" s="2" t="str">
        <f>IF(Registered!AG1825=0,"",Registered!AG1825&amp;" DustMask")</f>
        <v/>
      </c>
    </row>
    <row r="1826" spans="1:51" customFormat="1" x14ac:dyDescent="0.25">
      <c r="A1826" t="s">
        <v>50</v>
      </c>
      <c r="B1826" t="s">
        <v>2087</v>
      </c>
      <c r="C1826" t="s">
        <v>6090</v>
      </c>
      <c r="G1826" t="s">
        <v>2961</v>
      </c>
      <c r="H1826" t="s">
        <v>2962</v>
      </c>
      <c r="I1826" t="s">
        <v>2964</v>
      </c>
      <c r="J1826" t="s">
        <v>37</v>
      </c>
      <c r="K1826" t="s">
        <v>32</v>
      </c>
      <c r="L1826" t="s">
        <v>35</v>
      </c>
      <c r="AQ1826">
        <v>0</v>
      </c>
      <c r="AR1826" s="3">
        <f t="shared" si="84"/>
        <v>0</v>
      </c>
      <c r="AS1826" s="3">
        <f t="shared" si="85"/>
        <v>0</v>
      </c>
      <c r="AT1826" s="3" t="str">
        <f>IF(OR(Registered!AM1826&gt;0,Registered!AO1826&gt;0),(IF(Registered!E1826=0,"Size Not Specified",Registered!E1826)),"")</f>
        <v/>
      </c>
      <c r="AU1826" s="3" t="str">
        <f>IF(Registered!AE1826=0,"",IF(Registered!AE1826=1,Registered!AE1826&amp;" Bandana",Registered!AE1826&amp;" Bandanas"))</f>
        <v/>
      </c>
      <c r="AV1826" s="3">
        <f t="shared" si="86"/>
        <v>0</v>
      </c>
      <c r="AW1826" s="2" t="str">
        <f>IF(Registered!AV1826=0,"",IF(Registered!AV1826=1,Registered!AV1826&amp;" Meal",Registered!AV1826&amp;" Meals"))</f>
        <v/>
      </c>
      <c r="AX1826" s="2" t="str">
        <f>IF(Registered!AI1826=0,"",Registered!AI1826&amp;" BG")</f>
        <v/>
      </c>
      <c r="AY1826" s="2" t="str">
        <f>IF(Registered!AG1826=0,"",Registered!AG1826&amp;" DustMask")</f>
        <v/>
      </c>
    </row>
    <row r="1827" spans="1:51" customFormat="1" x14ac:dyDescent="0.25">
      <c r="A1827" t="s">
        <v>220</v>
      </c>
      <c r="B1827" t="s">
        <v>2087</v>
      </c>
      <c r="C1827" t="s">
        <v>6090</v>
      </c>
      <c r="G1827" t="s">
        <v>2090</v>
      </c>
      <c r="H1827" t="s">
        <v>2087</v>
      </c>
      <c r="I1827" t="s">
        <v>2091</v>
      </c>
      <c r="J1827" t="s">
        <v>37</v>
      </c>
      <c r="K1827" t="s">
        <v>32</v>
      </c>
      <c r="L1827" t="s">
        <v>35</v>
      </c>
      <c r="AQ1827">
        <v>0</v>
      </c>
      <c r="AR1827" s="3">
        <f t="shared" si="84"/>
        <v>0</v>
      </c>
      <c r="AS1827" s="3">
        <f t="shared" si="85"/>
        <v>0</v>
      </c>
      <c r="AT1827" s="3" t="str">
        <f>IF(OR(Registered!AM1827&gt;0,Registered!AO1827&gt;0),(IF(Registered!E1827=0,"Size Not Specified",Registered!E1827)),"")</f>
        <v/>
      </c>
      <c r="AU1827" s="3" t="str">
        <f>IF(Registered!AE1827=0,"",IF(Registered!AE1827=1,Registered!AE1827&amp;" Bandana",Registered!AE1827&amp;" Bandanas"))</f>
        <v/>
      </c>
      <c r="AV1827" s="3">
        <f t="shared" si="86"/>
        <v>0</v>
      </c>
      <c r="AW1827" s="2" t="str">
        <f>IF(Registered!AV1827=0,"",IF(Registered!AV1827=1,Registered!AV1827&amp;" Meal",Registered!AV1827&amp;" Meals"))</f>
        <v/>
      </c>
      <c r="AX1827" s="2" t="str">
        <f>IF(Registered!AI1827=0,"",Registered!AI1827&amp;" BG")</f>
        <v/>
      </c>
      <c r="AY1827" s="2" t="str">
        <f>IF(Registered!AG1827=0,"",Registered!AG1827&amp;" DustMask")</f>
        <v/>
      </c>
    </row>
    <row r="1828" spans="1:51" customFormat="1" x14ac:dyDescent="0.25">
      <c r="A1828" t="s">
        <v>90</v>
      </c>
      <c r="B1828" t="s">
        <v>2087</v>
      </c>
      <c r="C1828" t="s">
        <v>6090</v>
      </c>
      <c r="G1828" t="s">
        <v>3055</v>
      </c>
      <c r="H1828" t="s">
        <v>3056</v>
      </c>
      <c r="I1828" t="s">
        <v>3057</v>
      </c>
      <c r="J1828" t="s">
        <v>37</v>
      </c>
      <c r="K1828" t="s">
        <v>32</v>
      </c>
      <c r="L1828" t="s">
        <v>35</v>
      </c>
      <c r="AQ1828">
        <v>0</v>
      </c>
      <c r="AR1828" s="3">
        <f t="shared" si="84"/>
        <v>0</v>
      </c>
      <c r="AS1828" s="3">
        <f t="shared" si="85"/>
        <v>0</v>
      </c>
      <c r="AT1828" s="3" t="str">
        <f>IF(OR(Registered!AM1828&gt;0,Registered!AO1828&gt;0),(IF(Registered!E1828=0,"Size Not Specified",Registered!E1828)),"")</f>
        <v/>
      </c>
      <c r="AU1828" s="3" t="str">
        <f>IF(Registered!AE1828=0,"",IF(Registered!AE1828=1,Registered!AE1828&amp;" Bandana",Registered!AE1828&amp;" Bandanas"))</f>
        <v/>
      </c>
      <c r="AV1828" s="3">
        <f t="shared" si="86"/>
        <v>0</v>
      </c>
      <c r="AW1828" s="2" t="str">
        <f>IF(Registered!AV1828=0,"",IF(Registered!AV1828=1,Registered!AV1828&amp;" Meal",Registered!AV1828&amp;" Meals"))</f>
        <v/>
      </c>
      <c r="AX1828" s="2" t="str">
        <f>IF(Registered!AI1828=0,"",Registered!AI1828&amp;" BG")</f>
        <v/>
      </c>
      <c r="AY1828" s="2" t="str">
        <f>IF(Registered!AG1828=0,"",Registered!AG1828&amp;" DustMask")</f>
        <v/>
      </c>
    </row>
    <row r="1829" spans="1:51" customFormat="1" x14ac:dyDescent="0.25">
      <c r="A1829" t="s">
        <v>1988</v>
      </c>
      <c r="B1829" t="s">
        <v>2087</v>
      </c>
      <c r="C1829" t="s">
        <v>6090</v>
      </c>
      <c r="G1829" t="s">
        <v>1905</v>
      </c>
      <c r="H1829" t="s">
        <v>374</v>
      </c>
      <c r="I1829" t="s">
        <v>1907</v>
      </c>
      <c r="J1829" t="s">
        <v>37</v>
      </c>
      <c r="K1829" t="s">
        <v>32</v>
      </c>
      <c r="L1829" t="s">
        <v>35</v>
      </c>
      <c r="AQ1829">
        <v>0</v>
      </c>
      <c r="AR1829" s="3">
        <f t="shared" si="84"/>
        <v>0</v>
      </c>
      <c r="AS1829" s="3">
        <f t="shared" si="85"/>
        <v>0</v>
      </c>
      <c r="AT1829" s="3" t="str">
        <f>IF(OR(Registered!AM1829&gt;0,Registered!AO1829&gt;0),(IF(Registered!E1829=0,"Size Not Specified",Registered!E1829)),"")</f>
        <v/>
      </c>
      <c r="AU1829" s="3" t="str">
        <f>IF(Registered!AE1829=0,"",IF(Registered!AE1829=1,Registered!AE1829&amp;" Bandana",Registered!AE1829&amp;" Bandanas"))</f>
        <v/>
      </c>
      <c r="AV1829" s="3">
        <f t="shared" si="86"/>
        <v>0</v>
      </c>
      <c r="AW1829" s="2" t="str">
        <f>IF(Registered!AV1829=0,"",IF(Registered!AV1829=1,Registered!AV1829&amp;" Meal",Registered!AV1829&amp;" Meals"))</f>
        <v/>
      </c>
      <c r="AX1829" s="2" t="str">
        <f>IF(Registered!AI1829=0,"",Registered!AI1829&amp;" BG")</f>
        <v/>
      </c>
      <c r="AY1829" s="2" t="str">
        <f>IF(Registered!AG1829=0,"",Registered!AG1829&amp;" DustMask")</f>
        <v/>
      </c>
    </row>
    <row r="1830" spans="1:51" customFormat="1" x14ac:dyDescent="0.25">
      <c r="A1830" t="s">
        <v>2092</v>
      </c>
      <c r="B1830" t="s">
        <v>2087</v>
      </c>
      <c r="C1830" t="s">
        <v>6090</v>
      </c>
      <c r="G1830" t="s">
        <v>2093</v>
      </c>
      <c r="H1830" t="s">
        <v>380</v>
      </c>
      <c r="I1830" t="s">
        <v>2094</v>
      </c>
      <c r="J1830" t="s">
        <v>37</v>
      </c>
      <c r="K1830" t="s">
        <v>32</v>
      </c>
      <c r="L1830" t="s">
        <v>35</v>
      </c>
      <c r="AQ1830">
        <v>0</v>
      </c>
      <c r="AR1830" s="3">
        <f t="shared" si="84"/>
        <v>0</v>
      </c>
      <c r="AS1830" s="3">
        <f t="shared" si="85"/>
        <v>0</v>
      </c>
      <c r="AT1830" s="3" t="str">
        <f>IF(OR(Registered!AM1830&gt;0,Registered!AO1830&gt;0),(IF(Registered!E1830=0,"Size Not Specified",Registered!E1830)),"")</f>
        <v/>
      </c>
      <c r="AU1830" s="3" t="str">
        <f>IF(Registered!AE1830=0,"",IF(Registered!AE1830=1,Registered!AE1830&amp;" Bandana",Registered!AE1830&amp;" Bandanas"))</f>
        <v/>
      </c>
      <c r="AV1830" s="3">
        <f t="shared" si="86"/>
        <v>0</v>
      </c>
      <c r="AW1830" s="2" t="str">
        <f>IF(Registered!AV1830=0,"",IF(Registered!AV1830=1,Registered!AV1830&amp;" Meal",Registered!AV1830&amp;" Meals"))</f>
        <v/>
      </c>
      <c r="AX1830" s="2" t="str">
        <f>IF(Registered!AI1830=0,"",Registered!AI1830&amp;" BG")</f>
        <v/>
      </c>
      <c r="AY1830" s="2" t="str">
        <f>IF(Registered!AG1830=0,"",Registered!AG1830&amp;" DustMask")</f>
        <v/>
      </c>
    </row>
    <row r="1831" spans="1:51" customFormat="1" x14ac:dyDescent="0.25">
      <c r="A1831" t="s">
        <v>75</v>
      </c>
      <c r="B1831" t="s">
        <v>2087</v>
      </c>
      <c r="C1831" t="s">
        <v>6090</v>
      </c>
      <c r="G1831" t="s">
        <v>502</v>
      </c>
      <c r="H1831" t="s">
        <v>1376</v>
      </c>
      <c r="I1831" t="s">
        <v>1378</v>
      </c>
      <c r="J1831" t="s">
        <v>37</v>
      </c>
      <c r="K1831" t="s">
        <v>32</v>
      </c>
      <c r="L1831" t="s">
        <v>35</v>
      </c>
      <c r="AQ1831">
        <v>0</v>
      </c>
      <c r="AR1831" s="3">
        <f t="shared" si="84"/>
        <v>0</v>
      </c>
      <c r="AS1831" s="3">
        <f t="shared" si="85"/>
        <v>0</v>
      </c>
      <c r="AT1831" s="3" t="str">
        <f>IF(OR(Registered!AM1831&gt;0,Registered!AO1831&gt;0),(IF(Registered!E1831=0,"Size Not Specified",Registered!E1831)),"")</f>
        <v/>
      </c>
      <c r="AU1831" s="3" t="str">
        <f>IF(Registered!AE1831=0,"",IF(Registered!AE1831=1,Registered!AE1831&amp;" Bandana",Registered!AE1831&amp;" Bandanas"))</f>
        <v/>
      </c>
      <c r="AV1831" s="3">
        <f t="shared" si="86"/>
        <v>0</v>
      </c>
      <c r="AW1831" s="2" t="str">
        <f>IF(Registered!AV1831=0,"",IF(Registered!AV1831=1,Registered!AV1831&amp;" Meal",Registered!AV1831&amp;" Meals"))</f>
        <v/>
      </c>
      <c r="AX1831" s="2" t="str">
        <f>IF(Registered!AI1831=0,"",Registered!AI1831&amp;" BG")</f>
        <v/>
      </c>
      <c r="AY1831" s="2" t="str">
        <f>IF(Registered!AG1831=0,"",Registered!AG1831&amp;" DustMask")</f>
        <v/>
      </c>
    </row>
    <row r="1832" spans="1:51" customFormat="1" x14ac:dyDescent="0.25">
      <c r="A1832" t="s">
        <v>215</v>
      </c>
      <c r="B1832" t="s">
        <v>480</v>
      </c>
      <c r="C1832" t="s">
        <v>6090</v>
      </c>
      <c r="G1832" t="s">
        <v>647</v>
      </c>
      <c r="H1832" t="s">
        <v>628</v>
      </c>
      <c r="I1832" t="s">
        <v>649</v>
      </c>
      <c r="J1832" t="s">
        <v>37</v>
      </c>
      <c r="K1832" t="s">
        <v>32</v>
      </c>
      <c r="L1832" t="s">
        <v>35</v>
      </c>
      <c r="AQ1832">
        <v>0</v>
      </c>
      <c r="AR1832" s="3">
        <f t="shared" si="84"/>
        <v>0</v>
      </c>
      <c r="AS1832" s="3">
        <f t="shared" si="85"/>
        <v>0</v>
      </c>
      <c r="AT1832" s="3" t="str">
        <f>IF(OR(Registered!AM1832&gt;0,Registered!AO1832&gt;0),(IF(Registered!E1832=0,"Size Not Specified",Registered!E1832)),"")</f>
        <v/>
      </c>
      <c r="AU1832" s="3" t="str">
        <f>IF(Registered!AE1832=0,"",IF(Registered!AE1832=1,Registered!AE1832&amp;" Bandana",Registered!AE1832&amp;" Bandanas"))</f>
        <v/>
      </c>
      <c r="AV1832" s="3">
        <f t="shared" si="86"/>
        <v>0</v>
      </c>
      <c r="AW1832" s="2" t="str">
        <f>IF(Registered!AV1832=0,"",IF(Registered!AV1832=1,Registered!AV1832&amp;" Meal",Registered!AV1832&amp;" Meals"))</f>
        <v/>
      </c>
      <c r="AX1832" s="2" t="str">
        <f>IF(Registered!AI1832=0,"",Registered!AI1832&amp;" BG")</f>
        <v/>
      </c>
      <c r="AY1832" s="2" t="str">
        <f>IF(Registered!AG1832=0,"",Registered!AG1832&amp;" DustMask")</f>
        <v/>
      </c>
    </row>
    <row r="1833" spans="1:51" customFormat="1" x14ac:dyDescent="0.25">
      <c r="A1833" t="s">
        <v>2095</v>
      </c>
      <c r="B1833" t="s">
        <v>480</v>
      </c>
      <c r="C1833" t="s">
        <v>6090</v>
      </c>
      <c r="G1833" t="s">
        <v>901</v>
      </c>
      <c r="H1833" t="s">
        <v>101</v>
      </c>
      <c r="I1833" t="s">
        <v>904</v>
      </c>
      <c r="J1833" t="s">
        <v>37</v>
      </c>
      <c r="K1833" t="s">
        <v>32</v>
      </c>
      <c r="L1833" t="s">
        <v>35</v>
      </c>
      <c r="AQ1833">
        <v>0</v>
      </c>
      <c r="AR1833" s="3">
        <f t="shared" si="84"/>
        <v>0</v>
      </c>
      <c r="AS1833" s="3">
        <f t="shared" si="85"/>
        <v>0</v>
      </c>
      <c r="AT1833" s="3" t="str">
        <f>IF(OR(Registered!AM1833&gt;0,Registered!AO1833&gt;0),(IF(Registered!E1833=0,"Size Not Specified",Registered!E1833)),"")</f>
        <v/>
      </c>
      <c r="AU1833" s="3" t="str">
        <f>IF(Registered!AE1833=0,"",IF(Registered!AE1833=1,Registered!AE1833&amp;" Bandana",Registered!AE1833&amp;" Bandanas"))</f>
        <v/>
      </c>
      <c r="AV1833" s="3">
        <f t="shared" si="86"/>
        <v>0</v>
      </c>
      <c r="AW1833" s="2" t="str">
        <f>IF(Registered!AV1833=0,"",IF(Registered!AV1833=1,Registered!AV1833&amp;" Meal",Registered!AV1833&amp;" Meals"))</f>
        <v/>
      </c>
      <c r="AX1833" s="2" t="str">
        <f>IF(Registered!AI1833=0,"",Registered!AI1833&amp;" BG")</f>
        <v/>
      </c>
      <c r="AY1833" s="2" t="str">
        <f>IF(Registered!AG1833=0,"",Registered!AG1833&amp;" DustMask")</f>
        <v/>
      </c>
    </row>
    <row r="1834" spans="1:51" customFormat="1" x14ac:dyDescent="0.25">
      <c r="A1834" t="s">
        <v>56</v>
      </c>
      <c r="B1834" t="s">
        <v>480</v>
      </c>
      <c r="C1834" t="s">
        <v>6090</v>
      </c>
      <c r="F1834" t="s">
        <v>261</v>
      </c>
      <c r="I1834" t="s">
        <v>5373</v>
      </c>
      <c r="J1834" t="s">
        <v>37</v>
      </c>
      <c r="K1834" t="s">
        <v>32</v>
      </c>
      <c r="L1834" t="s">
        <v>35</v>
      </c>
      <c r="Q1834">
        <v>1</v>
      </c>
      <c r="R1834">
        <v>3</v>
      </c>
      <c r="AQ1834">
        <v>3</v>
      </c>
      <c r="AR1834" s="3">
        <f t="shared" si="84"/>
        <v>0</v>
      </c>
      <c r="AS1834" s="3">
        <f t="shared" si="85"/>
        <v>0</v>
      </c>
      <c r="AT1834" s="3" t="str">
        <f>IF(OR(Registered!AM1834&gt;0,Registered!AO1834&gt;0),(IF(Registered!E1834=0,"Size Not Specified",Registered!E1834)),"")</f>
        <v/>
      </c>
      <c r="AU1834" s="3" t="str">
        <f>IF(Registered!AE1834=0,"",IF(Registered!AE1834=1,Registered!AE1834&amp;" Bandana",Registered!AE1834&amp;" Bandanas"))</f>
        <v/>
      </c>
      <c r="AV1834" s="3">
        <f t="shared" si="86"/>
        <v>0</v>
      </c>
      <c r="AW1834" s="2" t="str">
        <f>IF(Registered!AV1834=0,"",IF(Registered!AV1834=1,Registered!AV1834&amp;" Meal",Registered!AV1834&amp;" Meals"))</f>
        <v/>
      </c>
      <c r="AX1834" s="2" t="str">
        <f>IF(Registered!AI1834=0,"",Registered!AI1834&amp;" BG")</f>
        <v/>
      </c>
      <c r="AY1834" s="2" t="str">
        <f>IF(Registered!AG1834=0,"",Registered!AG1834&amp;" DustMask")</f>
        <v/>
      </c>
    </row>
    <row r="1835" spans="1:51" customFormat="1" x14ac:dyDescent="0.25">
      <c r="A1835" t="s">
        <v>5374</v>
      </c>
      <c r="B1835" t="s">
        <v>480</v>
      </c>
      <c r="C1835" t="s">
        <v>6090</v>
      </c>
      <c r="D1835" t="s">
        <v>5374</v>
      </c>
      <c r="E1835" t="s">
        <v>201</v>
      </c>
      <c r="F1835" t="s">
        <v>261</v>
      </c>
      <c r="I1835" t="s">
        <v>5375</v>
      </c>
      <c r="J1835" t="s">
        <v>37</v>
      </c>
      <c r="K1835" t="s">
        <v>32</v>
      </c>
      <c r="L1835" t="s">
        <v>35</v>
      </c>
      <c r="Q1835">
        <v>1</v>
      </c>
      <c r="R1835">
        <v>3</v>
      </c>
      <c r="U1835">
        <v>1</v>
      </c>
      <c r="V1835">
        <v>20</v>
      </c>
      <c r="AQ1835">
        <v>23</v>
      </c>
      <c r="AR1835" s="3">
        <f t="shared" si="84"/>
        <v>10</v>
      </c>
      <c r="AS1835" s="3">
        <f t="shared" si="85"/>
        <v>0</v>
      </c>
      <c r="AT1835" s="3" t="str">
        <f>IF(OR(Registered!AM1835&gt;0,Registered!AO1835&gt;0),(IF(Registered!E1835=0,"Size Not Specified",Registered!E1835)),"")</f>
        <v/>
      </c>
      <c r="AU1835" s="3" t="str">
        <f>IF(Registered!AE1835=0,"",IF(Registered!AE1835=1,Registered!AE1835&amp;" Bandana",Registered!AE1835&amp;" Bandanas"))</f>
        <v/>
      </c>
      <c r="AV1835" s="3">
        <f t="shared" si="86"/>
        <v>0</v>
      </c>
      <c r="AW1835" s="2" t="str">
        <f>IF(Registered!AV1835=0,"",IF(Registered!AV1835=1,Registered!AV1835&amp;" Meal",Registered!AV1835&amp;" Meals"))</f>
        <v/>
      </c>
      <c r="AX1835" s="2" t="str">
        <f>IF(Registered!AI1835=0,"",Registered!AI1835&amp;" BG")</f>
        <v/>
      </c>
      <c r="AY1835" s="2" t="str">
        <f>IF(Registered!AG1835=0,"",Registered!AG1835&amp;" DustMask")</f>
        <v/>
      </c>
    </row>
    <row r="1836" spans="1:51" customFormat="1" x14ac:dyDescent="0.25">
      <c r="A1836" t="s">
        <v>47</v>
      </c>
      <c r="B1836" t="s">
        <v>2096</v>
      </c>
      <c r="C1836" t="s">
        <v>6090</v>
      </c>
      <c r="G1836" t="s">
        <v>202</v>
      </c>
      <c r="H1836" t="s">
        <v>348</v>
      </c>
      <c r="I1836" t="s">
        <v>1645</v>
      </c>
      <c r="J1836" t="s">
        <v>37</v>
      </c>
      <c r="K1836" t="s">
        <v>32</v>
      </c>
      <c r="L1836" t="s">
        <v>35</v>
      </c>
      <c r="AQ1836">
        <v>0</v>
      </c>
      <c r="AR1836" s="3">
        <f t="shared" si="84"/>
        <v>0</v>
      </c>
      <c r="AS1836" s="3">
        <f t="shared" si="85"/>
        <v>0</v>
      </c>
      <c r="AT1836" s="3" t="str">
        <f>IF(OR(Registered!AM1836&gt;0,Registered!AO1836&gt;0),(IF(Registered!E1836=0,"Size Not Specified",Registered!E1836)),"")</f>
        <v/>
      </c>
      <c r="AU1836" s="3" t="str">
        <f>IF(Registered!AE1836=0,"",IF(Registered!AE1836=1,Registered!AE1836&amp;" Bandana",Registered!AE1836&amp;" Bandanas"))</f>
        <v/>
      </c>
      <c r="AV1836" s="3">
        <f t="shared" si="86"/>
        <v>0</v>
      </c>
      <c r="AW1836" s="2" t="str">
        <f>IF(Registered!AV1836=0,"",IF(Registered!AV1836=1,Registered!AV1836&amp;" Meal",Registered!AV1836&amp;" Meals"))</f>
        <v/>
      </c>
      <c r="AX1836" s="2" t="str">
        <f>IF(Registered!AI1836=0,"",Registered!AI1836&amp;" BG")</f>
        <v/>
      </c>
      <c r="AY1836" s="2" t="str">
        <f>IF(Registered!AG1836=0,"",Registered!AG1836&amp;" DustMask")</f>
        <v/>
      </c>
    </row>
    <row r="1837" spans="1:51" customFormat="1" x14ac:dyDescent="0.25">
      <c r="A1837" t="s">
        <v>357</v>
      </c>
      <c r="B1837" t="s">
        <v>3270</v>
      </c>
      <c r="C1837" t="s">
        <v>6090</v>
      </c>
      <c r="G1837" t="s">
        <v>157</v>
      </c>
      <c r="H1837" t="s">
        <v>404</v>
      </c>
      <c r="I1837" t="s">
        <v>3271</v>
      </c>
      <c r="J1837" t="s">
        <v>37</v>
      </c>
      <c r="K1837" t="s">
        <v>32</v>
      </c>
      <c r="L1837" t="s">
        <v>35</v>
      </c>
      <c r="AQ1837">
        <v>0</v>
      </c>
      <c r="AR1837" s="3">
        <f t="shared" si="84"/>
        <v>0</v>
      </c>
      <c r="AS1837" s="3">
        <f t="shared" si="85"/>
        <v>0</v>
      </c>
      <c r="AT1837" s="3" t="str">
        <f>IF(OR(Registered!AM1837&gt;0,Registered!AO1837&gt;0),(IF(Registered!E1837=0,"Size Not Specified",Registered!E1837)),"")</f>
        <v/>
      </c>
      <c r="AU1837" s="3" t="str">
        <f>IF(Registered!AE1837=0,"",IF(Registered!AE1837=1,Registered!AE1837&amp;" Bandana",Registered!AE1837&amp;" Bandanas"))</f>
        <v/>
      </c>
      <c r="AV1837" s="3">
        <f t="shared" si="86"/>
        <v>0</v>
      </c>
      <c r="AW1837" s="2" t="str">
        <f>IF(Registered!AV1837=0,"",IF(Registered!AV1837=1,Registered!AV1837&amp;" Meal",Registered!AV1837&amp;" Meals"))</f>
        <v/>
      </c>
      <c r="AX1837" s="2" t="str">
        <f>IF(Registered!AI1837=0,"",Registered!AI1837&amp;" BG")</f>
        <v/>
      </c>
      <c r="AY1837" s="2" t="str">
        <f>IF(Registered!AG1837=0,"",Registered!AG1837&amp;" DustMask")</f>
        <v/>
      </c>
    </row>
    <row r="1838" spans="1:51" customFormat="1" x14ac:dyDescent="0.25">
      <c r="A1838" t="s">
        <v>151</v>
      </c>
      <c r="B1838" t="s">
        <v>4719</v>
      </c>
      <c r="C1838" t="s">
        <v>6090</v>
      </c>
      <c r="D1838" t="s">
        <v>5376</v>
      </c>
      <c r="F1838" t="s">
        <v>261</v>
      </c>
      <c r="I1838" t="s">
        <v>4720</v>
      </c>
      <c r="J1838" t="s">
        <v>37</v>
      </c>
      <c r="K1838" t="s">
        <v>32</v>
      </c>
      <c r="L1838" t="s">
        <v>35</v>
      </c>
      <c r="Q1838">
        <v>2</v>
      </c>
      <c r="R1838">
        <v>3</v>
      </c>
      <c r="U1838">
        <v>1</v>
      </c>
      <c r="V1838">
        <v>20</v>
      </c>
      <c r="AG1838">
        <v>2</v>
      </c>
      <c r="AH1838">
        <v>1</v>
      </c>
      <c r="AI1838">
        <v>1</v>
      </c>
      <c r="AJ1838">
        <v>10</v>
      </c>
      <c r="AQ1838">
        <v>38</v>
      </c>
      <c r="AR1838" s="3">
        <f t="shared" si="84"/>
        <v>10</v>
      </c>
      <c r="AS1838" s="3">
        <f t="shared" si="85"/>
        <v>0</v>
      </c>
      <c r="AT1838" s="3" t="str">
        <f>IF(OR(Registered!AM1838&gt;0,Registered!AO1838&gt;0),(IF(Registered!E1838=0,"Size Not Specified",Registered!E1838)),"")</f>
        <v/>
      </c>
      <c r="AU1838" s="3" t="str">
        <f>IF(Registered!AE1838=0,"",IF(Registered!AE1838=1,Registered!AE1838&amp;" Bandana",Registered!AE1838&amp;" Bandanas"))</f>
        <v/>
      </c>
      <c r="AV1838" s="3">
        <f t="shared" si="86"/>
        <v>0</v>
      </c>
      <c r="AW1838" s="2" t="str">
        <f>IF(Registered!AV1838=0,"",IF(Registered!AV1838=1,Registered!AV1838&amp;" Meal",Registered!AV1838&amp;" Meals"))</f>
        <v/>
      </c>
      <c r="AX1838" s="2" t="str">
        <f>IF(Registered!AI1838=0,"",Registered!AI1838&amp;" BG")</f>
        <v>1 BG</v>
      </c>
      <c r="AY1838" s="2" t="str">
        <f>IF(Registered!AG1838=0,"",Registered!AG1838&amp;" DustMask")</f>
        <v>2 DustMask</v>
      </c>
    </row>
    <row r="1839" spans="1:51" customFormat="1" x14ac:dyDescent="0.25">
      <c r="A1839" t="s">
        <v>2097</v>
      </c>
      <c r="B1839" t="s">
        <v>2098</v>
      </c>
      <c r="C1839" t="s">
        <v>6090</v>
      </c>
      <c r="G1839" t="s">
        <v>78</v>
      </c>
      <c r="H1839" t="s">
        <v>470</v>
      </c>
      <c r="I1839" t="s">
        <v>1782</v>
      </c>
      <c r="J1839" t="s">
        <v>37</v>
      </c>
      <c r="K1839" t="s">
        <v>32</v>
      </c>
      <c r="L1839" t="s">
        <v>35</v>
      </c>
      <c r="AQ1839">
        <v>0</v>
      </c>
      <c r="AR1839" s="3">
        <f t="shared" si="84"/>
        <v>0</v>
      </c>
      <c r="AS1839" s="3">
        <f t="shared" si="85"/>
        <v>0</v>
      </c>
      <c r="AT1839" s="3" t="str">
        <f>IF(OR(Registered!AM1839&gt;0,Registered!AO1839&gt;0),(IF(Registered!E1839=0,"Size Not Specified",Registered!E1839)),"")</f>
        <v/>
      </c>
      <c r="AU1839" s="3" t="str">
        <f>IF(Registered!AE1839=0,"",IF(Registered!AE1839=1,Registered!AE1839&amp;" Bandana",Registered!AE1839&amp;" Bandanas"))</f>
        <v/>
      </c>
      <c r="AV1839" s="3">
        <f t="shared" si="86"/>
        <v>0</v>
      </c>
      <c r="AW1839" s="2" t="str">
        <f>IF(Registered!AV1839=0,"",IF(Registered!AV1839=1,Registered!AV1839&amp;" Meal",Registered!AV1839&amp;" Meals"))</f>
        <v/>
      </c>
      <c r="AX1839" s="2" t="str">
        <f>IF(Registered!AI1839=0,"",Registered!AI1839&amp;" BG")</f>
        <v/>
      </c>
      <c r="AY1839" s="2" t="str">
        <f>IF(Registered!AG1839=0,"",Registered!AG1839&amp;" DustMask")</f>
        <v/>
      </c>
    </row>
    <row r="1840" spans="1:51" customFormat="1" x14ac:dyDescent="0.25">
      <c r="A1840" t="s">
        <v>1351</v>
      </c>
      <c r="B1840" t="s">
        <v>2099</v>
      </c>
      <c r="C1840" t="s">
        <v>6090</v>
      </c>
      <c r="G1840" t="s">
        <v>3856</v>
      </c>
      <c r="H1840" t="s">
        <v>3857</v>
      </c>
      <c r="I1840" t="s">
        <v>3859</v>
      </c>
      <c r="J1840" t="s">
        <v>37</v>
      </c>
      <c r="K1840" t="s">
        <v>32</v>
      </c>
      <c r="L1840" t="s">
        <v>35</v>
      </c>
      <c r="AQ1840">
        <v>0</v>
      </c>
      <c r="AR1840" s="3">
        <f t="shared" si="84"/>
        <v>0</v>
      </c>
      <c r="AS1840" s="3">
        <f t="shared" si="85"/>
        <v>0</v>
      </c>
      <c r="AT1840" s="3" t="str">
        <f>IF(OR(Registered!AM1840&gt;0,Registered!AO1840&gt;0),(IF(Registered!E1840=0,"Size Not Specified",Registered!E1840)),"")</f>
        <v/>
      </c>
      <c r="AU1840" s="3" t="str">
        <f>IF(Registered!AE1840=0,"",IF(Registered!AE1840=1,Registered!AE1840&amp;" Bandana",Registered!AE1840&amp;" Bandanas"))</f>
        <v/>
      </c>
      <c r="AV1840" s="3">
        <f t="shared" si="86"/>
        <v>0</v>
      </c>
      <c r="AW1840" s="2" t="str">
        <f>IF(Registered!AV1840=0,"",IF(Registered!AV1840=1,Registered!AV1840&amp;" Meal",Registered!AV1840&amp;" Meals"))</f>
        <v/>
      </c>
      <c r="AX1840" s="2" t="str">
        <f>IF(Registered!AI1840=0,"",Registered!AI1840&amp;" BG")</f>
        <v/>
      </c>
      <c r="AY1840" s="2" t="str">
        <f>IF(Registered!AG1840=0,"",Registered!AG1840&amp;" DustMask")</f>
        <v/>
      </c>
    </row>
    <row r="1841" spans="1:51" customFormat="1" x14ac:dyDescent="0.25">
      <c r="A1841" t="s">
        <v>1508</v>
      </c>
      <c r="B1841" t="s">
        <v>2099</v>
      </c>
      <c r="C1841" t="s">
        <v>6090</v>
      </c>
      <c r="G1841" t="s">
        <v>79</v>
      </c>
      <c r="H1841" t="s">
        <v>2100</v>
      </c>
      <c r="I1841" t="s">
        <v>2101</v>
      </c>
      <c r="J1841" t="s">
        <v>37</v>
      </c>
      <c r="K1841" t="s">
        <v>32</v>
      </c>
      <c r="L1841" t="s">
        <v>35</v>
      </c>
      <c r="AQ1841">
        <v>0</v>
      </c>
      <c r="AR1841" s="3">
        <f t="shared" si="84"/>
        <v>0</v>
      </c>
      <c r="AS1841" s="3">
        <f t="shared" si="85"/>
        <v>0</v>
      </c>
      <c r="AT1841" s="3" t="str">
        <f>IF(OR(Registered!AM1841&gt;0,Registered!AO1841&gt;0),(IF(Registered!E1841=0,"Size Not Specified",Registered!E1841)),"")</f>
        <v/>
      </c>
      <c r="AU1841" s="3" t="str">
        <f>IF(Registered!AE1841=0,"",IF(Registered!AE1841=1,Registered!AE1841&amp;" Bandana",Registered!AE1841&amp;" Bandanas"))</f>
        <v/>
      </c>
      <c r="AV1841" s="3">
        <f t="shared" si="86"/>
        <v>0</v>
      </c>
      <c r="AW1841" s="2" t="str">
        <f>IF(Registered!AV1841=0,"",IF(Registered!AV1841=1,Registered!AV1841&amp;" Meal",Registered!AV1841&amp;" Meals"))</f>
        <v/>
      </c>
      <c r="AX1841" s="2" t="str">
        <f>IF(Registered!AI1841=0,"",Registered!AI1841&amp;" BG")</f>
        <v/>
      </c>
      <c r="AY1841" s="2" t="str">
        <f>IF(Registered!AG1841=0,"",Registered!AG1841&amp;" DustMask")</f>
        <v/>
      </c>
    </row>
    <row r="1842" spans="1:51" customFormat="1" x14ac:dyDescent="0.25">
      <c r="A1842" t="s">
        <v>3586</v>
      </c>
      <c r="B1842" t="s">
        <v>5377</v>
      </c>
      <c r="C1842" t="s">
        <v>6090</v>
      </c>
      <c r="G1842" t="s">
        <v>4952</v>
      </c>
      <c r="H1842" t="s">
        <v>4953</v>
      </c>
      <c r="I1842" t="s">
        <v>4954</v>
      </c>
      <c r="J1842" t="s">
        <v>37</v>
      </c>
      <c r="K1842" t="s">
        <v>32</v>
      </c>
      <c r="L1842" t="s">
        <v>35</v>
      </c>
      <c r="AQ1842">
        <v>0</v>
      </c>
      <c r="AR1842" s="3">
        <f t="shared" si="84"/>
        <v>0</v>
      </c>
      <c r="AS1842" s="3">
        <f t="shared" si="85"/>
        <v>0</v>
      </c>
      <c r="AT1842" s="3" t="str">
        <f>IF(OR(Registered!AM1842&gt;0,Registered!AO1842&gt;0),(IF(Registered!E1842=0,"Size Not Specified",Registered!E1842)),"")</f>
        <v/>
      </c>
      <c r="AU1842" s="3" t="str">
        <f>IF(Registered!AE1842=0,"",IF(Registered!AE1842=1,Registered!AE1842&amp;" Bandana",Registered!AE1842&amp;" Bandanas"))</f>
        <v/>
      </c>
      <c r="AV1842" s="3">
        <f t="shared" si="86"/>
        <v>0</v>
      </c>
      <c r="AW1842" s="2" t="str">
        <f>IF(Registered!AV1842=0,"",IF(Registered!AV1842=1,Registered!AV1842&amp;" Meal",Registered!AV1842&amp;" Meals"))</f>
        <v/>
      </c>
      <c r="AX1842" s="2" t="str">
        <f>IF(Registered!AI1842=0,"",Registered!AI1842&amp;" BG")</f>
        <v/>
      </c>
      <c r="AY1842" s="2" t="str">
        <f>IF(Registered!AG1842=0,"",Registered!AG1842&amp;" DustMask")</f>
        <v/>
      </c>
    </row>
    <row r="1843" spans="1:51" customFormat="1" x14ac:dyDescent="0.25">
      <c r="A1843" t="s">
        <v>100</v>
      </c>
      <c r="B1843" t="s">
        <v>5377</v>
      </c>
      <c r="C1843" t="s">
        <v>6090</v>
      </c>
      <c r="I1843" t="s">
        <v>5378</v>
      </c>
      <c r="J1843" t="s">
        <v>37</v>
      </c>
      <c r="K1843" t="s">
        <v>32</v>
      </c>
      <c r="L1843" t="s">
        <v>35</v>
      </c>
      <c r="Q1843">
        <v>1</v>
      </c>
      <c r="R1843">
        <v>3</v>
      </c>
      <c r="AC1843">
        <v>1</v>
      </c>
      <c r="AD1843">
        <v>10</v>
      </c>
      <c r="AQ1843">
        <v>13</v>
      </c>
      <c r="AR1843" s="3">
        <f t="shared" si="84"/>
        <v>5</v>
      </c>
      <c r="AS1843" s="3">
        <f t="shared" si="85"/>
        <v>0</v>
      </c>
      <c r="AT1843" s="3" t="str">
        <f>IF(OR(Registered!AM1843&gt;0,Registered!AO1843&gt;0),(IF(Registered!E1843=0,"Size Not Specified",Registered!E1843)),"")</f>
        <v/>
      </c>
      <c r="AU1843" s="3" t="str">
        <f>IF(Registered!AE1843=0,"",IF(Registered!AE1843=1,Registered!AE1843&amp;" Bandana",Registered!AE1843&amp;" Bandanas"))</f>
        <v/>
      </c>
      <c r="AV1843" s="3">
        <f t="shared" si="86"/>
        <v>0</v>
      </c>
      <c r="AW1843" s="2" t="str">
        <f>IF(Registered!AV1843=0,"",IF(Registered!AV1843=1,Registered!AV1843&amp;" Meal",Registered!AV1843&amp;" Meals"))</f>
        <v/>
      </c>
      <c r="AX1843" s="2" t="str">
        <f>IF(Registered!AI1843=0,"",Registered!AI1843&amp;" BG")</f>
        <v/>
      </c>
      <c r="AY1843" s="2" t="str">
        <f>IF(Registered!AG1843=0,"",Registered!AG1843&amp;" DustMask")</f>
        <v/>
      </c>
    </row>
    <row r="1844" spans="1:51" customFormat="1" x14ac:dyDescent="0.25">
      <c r="A1844" t="s">
        <v>354</v>
      </c>
      <c r="B1844" t="s">
        <v>2102</v>
      </c>
      <c r="C1844" t="s">
        <v>6090</v>
      </c>
      <c r="D1844" t="s">
        <v>354</v>
      </c>
      <c r="E1844" t="s">
        <v>65</v>
      </c>
      <c r="F1844" t="s">
        <v>261</v>
      </c>
      <c r="I1844" t="s">
        <v>2103</v>
      </c>
      <c r="J1844" t="s">
        <v>37</v>
      </c>
      <c r="K1844" t="s">
        <v>32</v>
      </c>
      <c r="L1844" t="s">
        <v>35</v>
      </c>
      <c r="S1844">
        <v>1</v>
      </c>
      <c r="T1844">
        <v>3</v>
      </c>
      <c r="U1844">
        <v>1</v>
      </c>
      <c r="V1844">
        <v>20</v>
      </c>
      <c r="AE1844">
        <v>1</v>
      </c>
      <c r="AF1844">
        <v>6</v>
      </c>
      <c r="AI1844">
        <v>1</v>
      </c>
      <c r="AJ1844">
        <v>10</v>
      </c>
      <c r="AO1844">
        <v>1</v>
      </c>
      <c r="AP1844">
        <v>10</v>
      </c>
      <c r="AQ1844">
        <v>49</v>
      </c>
      <c r="AR1844" s="3">
        <f t="shared" si="84"/>
        <v>10</v>
      </c>
      <c r="AS1844" s="3">
        <f t="shared" si="85"/>
        <v>1</v>
      </c>
      <c r="AT1844" s="3" t="str">
        <f>IF(OR(Registered!AM1844&gt;0,Registered!AO1844&gt;0),(IF(Registered!E1844=0,"Size Not Specified",Registered!E1844)),"")</f>
        <v>Medium</v>
      </c>
      <c r="AU1844" s="3" t="str">
        <f>IF(Registered!AE1844=0,"",IF(Registered!AE1844=1,Registered!AE1844&amp;" Bandana",Registered!AE1844&amp;" Bandanas"))</f>
        <v>1 Bandana</v>
      </c>
      <c r="AV1844" s="3">
        <f t="shared" si="86"/>
        <v>0</v>
      </c>
      <c r="AW1844" s="2" t="str">
        <f>IF(Registered!AV1844=0,"",IF(Registered!AV1844=1,Registered!AV1844&amp;" Meal",Registered!AV1844&amp;" Meals"))</f>
        <v/>
      </c>
      <c r="AX1844" s="2" t="str">
        <f>IF(Registered!AI1844=0,"",Registered!AI1844&amp;" BG")</f>
        <v>1 BG</v>
      </c>
      <c r="AY1844" s="2" t="str">
        <f>IF(Registered!AG1844=0,"",Registered!AG1844&amp;" DustMask")</f>
        <v/>
      </c>
    </row>
    <row r="1845" spans="1:51" customFormat="1" x14ac:dyDescent="0.25">
      <c r="A1845" t="s">
        <v>936</v>
      </c>
      <c r="B1845" t="s">
        <v>2102</v>
      </c>
      <c r="C1845" t="s">
        <v>6090</v>
      </c>
      <c r="D1845" t="s">
        <v>936</v>
      </c>
      <c r="F1845" t="s">
        <v>261</v>
      </c>
      <c r="I1845" t="s">
        <v>5379</v>
      </c>
      <c r="J1845" t="s">
        <v>37</v>
      </c>
      <c r="K1845" t="s">
        <v>32</v>
      </c>
      <c r="L1845" t="s">
        <v>35</v>
      </c>
      <c r="Q1845">
        <v>2</v>
      </c>
      <c r="R1845">
        <v>3</v>
      </c>
      <c r="AC1845">
        <v>2</v>
      </c>
      <c r="AD1845">
        <v>10</v>
      </c>
      <c r="AQ1845">
        <v>26</v>
      </c>
      <c r="AR1845" s="3">
        <f t="shared" si="84"/>
        <v>10</v>
      </c>
      <c r="AS1845" s="3">
        <f t="shared" si="85"/>
        <v>0</v>
      </c>
      <c r="AT1845" s="3" t="str">
        <f>IF(OR(Registered!AM1845&gt;0,Registered!AO1845&gt;0),(IF(Registered!E1845=0,"Size Not Specified",Registered!E1845)),"")</f>
        <v/>
      </c>
      <c r="AU1845" s="3" t="str">
        <f>IF(Registered!AE1845=0,"",IF(Registered!AE1845=1,Registered!AE1845&amp;" Bandana",Registered!AE1845&amp;" Bandanas"))</f>
        <v/>
      </c>
      <c r="AV1845" s="3">
        <f t="shared" si="86"/>
        <v>0</v>
      </c>
      <c r="AW1845" s="2" t="str">
        <f>IF(Registered!AV1845=0,"",IF(Registered!AV1845=1,Registered!AV1845&amp;" Meal",Registered!AV1845&amp;" Meals"))</f>
        <v/>
      </c>
      <c r="AX1845" s="2" t="str">
        <f>IF(Registered!AI1845=0,"",Registered!AI1845&amp;" BG")</f>
        <v/>
      </c>
      <c r="AY1845" s="2" t="str">
        <f>IF(Registered!AG1845=0,"",Registered!AG1845&amp;" DustMask")</f>
        <v/>
      </c>
    </row>
    <row r="1846" spans="1:51" customFormat="1" x14ac:dyDescent="0.25">
      <c r="A1846" t="s">
        <v>2104</v>
      </c>
      <c r="B1846" t="s">
        <v>2105</v>
      </c>
      <c r="C1846" t="s">
        <v>6090</v>
      </c>
      <c r="D1846" t="s">
        <v>2106</v>
      </c>
      <c r="F1846" t="s">
        <v>261</v>
      </c>
      <c r="I1846" t="s">
        <v>2107</v>
      </c>
      <c r="J1846" t="s">
        <v>37</v>
      </c>
      <c r="K1846" t="s">
        <v>32</v>
      </c>
      <c r="L1846" t="s">
        <v>35</v>
      </c>
      <c r="S1846">
        <v>1</v>
      </c>
      <c r="T1846">
        <v>3</v>
      </c>
      <c r="AC1846">
        <v>1</v>
      </c>
      <c r="AD1846">
        <v>10</v>
      </c>
      <c r="AQ1846">
        <v>13</v>
      </c>
      <c r="AR1846" s="3">
        <f t="shared" si="84"/>
        <v>5</v>
      </c>
      <c r="AS1846" s="3">
        <f t="shared" si="85"/>
        <v>0</v>
      </c>
      <c r="AT1846" s="3" t="str">
        <f>IF(OR(Registered!AM1846&gt;0,Registered!AO1846&gt;0),(IF(Registered!E1846=0,"Size Not Specified",Registered!E1846)),"")</f>
        <v/>
      </c>
      <c r="AU1846" s="3" t="str">
        <f>IF(Registered!AE1846=0,"",IF(Registered!AE1846=1,Registered!AE1846&amp;" Bandana",Registered!AE1846&amp;" Bandanas"))</f>
        <v/>
      </c>
      <c r="AV1846" s="3">
        <f t="shared" si="86"/>
        <v>0</v>
      </c>
      <c r="AW1846" s="2" t="str">
        <f>IF(Registered!AV1846=0,"",IF(Registered!AV1846=1,Registered!AV1846&amp;" Meal",Registered!AV1846&amp;" Meals"))</f>
        <v/>
      </c>
      <c r="AX1846" s="2" t="str">
        <f>IF(Registered!AI1846=0,"",Registered!AI1846&amp;" BG")</f>
        <v/>
      </c>
      <c r="AY1846" s="2" t="str">
        <f>IF(Registered!AG1846=0,"",Registered!AG1846&amp;" DustMask")</f>
        <v/>
      </c>
    </row>
    <row r="1847" spans="1:51" customFormat="1" x14ac:dyDescent="0.25">
      <c r="A1847" t="s">
        <v>412</v>
      </c>
      <c r="B1847" t="s">
        <v>5380</v>
      </c>
      <c r="C1847" t="s">
        <v>6090</v>
      </c>
      <c r="F1847" t="s">
        <v>261</v>
      </c>
      <c r="I1847" t="s">
        <v>5381</v>
      </c>
      <c r="J1847" t="s">
        <v>37</v>
      </c>
      <c r="K1847" t="s">
        <v>32</v>
      </c>
      <c r="L1847" t="s">
        <v>35</v>
      </c>
      <c r="Q1847">
        <v>1</v>
      </c>
      <c r="R1847">
        <v>3</v>
      </c>
      <c r="AC1847">
        <v>1</v>
      </c>
      <c r="AD1847">
        <v>10</v>
      </c>
      <c r="AQ1847">
        <v>13</v>
      </c>
      <c r="AR1847" s="3">
        <f t="shared" si="84"/>
        <v>5</v>
      </c>
      <c r="AS1847" s="3">
        <f t="shared" si="85"/>
        <v>0</v>
      </c>
      <c r="AT1847" s="3" t="str">
        <f>IF(OR(Registered!AM1847&gt;0,Registered!AO1847&gt;0),(IF(Registered!E1847=0,"Size Not Specified",Registered!E1847)),"")</f>
        <v/>
      </c>
      <c r="AU1847" s="3" t="str">
        <f>IF(Registered!AE1847=0,"",IF(Registered!AE1847=1,Registered!AE1847&amp;" Bandana",Registered!AE1847&amp;" Bandanas"))</f>
        <v/>
      </c>
      <c r="AV1847" s="3">
        <f t="shared" si="86"/>
        <v>0</v>
      </c>
      <c r="AW1847" s="2" t="str">
        <f>IF(Registered!AV1847=0,"",IF(Registered!AV1847=1,Registered!AV1847&amp;" Meal",Registered!AV1847&amp;" Meals"))</f>
        <v/>
      </c>
      <c r="AX1847" s="2" t="str">
        <f>IF(Registered!AI1847=0,"",Registered!AI1847&amp;" BG")</f>
        <v/>
      </c>
      <c r="AY1847" s="2" t="str">
        <f>IF(Registered!AG1847=0,"",Registered!AG1847&amp;" DustMask")</f>
        <v/>
      </c>
    </row>
    <row r="1848" spans="1:51" customFormat="1" x14ac:dyDescent="0.25">
      <c r="A1848" t="s">
        <v>320</v>
      </c>
      <c r="B1848" t="s">
        <v>5382</v>
      </c>
      <c r="C1848" t="s">
        <v>6090</v>
      </c>
      <c r="D1848" t="s">
        <v>5383</v>
      </c>
      <c r="F1848" t="s">
        <v>261</v>
      </c>
      <c r="I1848" t="s">
        <v>5384</v>
      </c>
      <c r="J1848" t="s">
        <v>37</v>
      </c>
      <c r="K1848" t="s">
        <v>32</v>
      </c>
      <c r="L1848" t="s">
        <v>35</v>
      </c>
      <c r="Q1848">
        <v>1</v>
      </c>
      <c r="R1848">
        <v>3</v>
      </c>
      <c r="AC1848">
        <v>1</v>
      </c>
      <c r="AD1848">
        <v>10</v>
      </c>
      <c r="AQ1848">
        <v>13</v>
      </c>
      <c r="AR1848" s="3">
        <f t="shared" si="84"/>
        <v>5</v>
      </c>
      <c r="AS1848" s="3">
        <f t="shared" si="85"/>
        <v>0</v>
      </c>
      <c r="AT1848" s="3" t="str">
        <f>IF(OR(Registered!AM1848&gt;0,Registered!AO1848&gt;0),(IF(Registered!E1848=0,"Size Not Specified",Registered!E1848)),"")</f>
        <v/>
      </c>
      <c r="AU1848" s="3" t="str">
        <f>IF(Registered!AE1848=0,"",IF(Registered!AE1848=1,Registered!AE1848&amp;" Bandana",Registered!AE1848&amp;" Bandanas"))</f>
        <v/>
      </c>
      <c r="AV1848" s="3">
        <f t="shared" si="86"/>
        <v>0</v>
      </c>
      <c r="AW1848" s="2" t="str">
        <f>IF(Registered!AV1848=0,"",IF(Registered!AV1848=1,Registered!AV1848&amp;" Meal",Registered!AV1848&amp;" Meals"))</f>
        <v/>
      </c>
      <c r="AX1848" s="2" t="str">
        <f>IF(Registered!AI1848=0,"",Registered!AI1848&amp;" BG")</f>
        <v/>
      </c>
      <c r="AY1848" s="2" t="str">
        <f>IF(Registered!AG1848=0,"",Registered!AG1848&amp;" DustMask")</f>
        <v/>
      </c>
    </row>
    <row r="1849" spans="1:51" customFormat="1" x14ac:dyDescent="0.25">
      <c r="A1849" t="s">
        <v>4608</v>
      </c>
      <c r="B1849" t="s">
        <v>5385</v>
      </c>
      <c r="C1849" t="s">
        <v>6090</v>
      </c>
      <c r="G1849" t="s">
        <v>395</v>
      </c>
      <c r="H1849" t="s">
        <v>84</v>
      </c>
      <c r="I1849" t="s">
        <v>4483</v>
      </c>
      <c r="J1849" t="s">
        <v>37</v>
      </c>
      <c r="K1849" t="s">
        <v>32</v>
      </c>
      <c r="L1849" t="s">
        <v>35</v>
      </c>
      <c r="AQ1849">
        <v>0</v>
      </c>
      <c r="AR1849" s="3">
        <f t="shared" si="84"/>
        <v>0</v>
      </c>
      <c r="AS1849" s="3">
        <f t="shared" si="85"/>
        <v>0</v>
      </c>
      <c r="AT1849" s="3" t="str">
        <f>IF(OR(Registered!AM1849&gt;0,Registered!AO1849&gt;0),(IF(Registered!E1849=0,"Size Not Specified",Registered!E1849)),"")</f>
        <v/>
      </c>
      <c r="AU1849" s="3" t="str">
        <f>IF(Registered!AE1849=0,"",IF(Registered!AE1849=1,Registered!AE1849&amp;" Bandana",Registered!AE1849&amp;" Bandanas"))</f>
        <v/>
      </c>
      <c r="AV1849" s="3">
        <f t="shared" si="86"/>
        <v>0</v>
      </c>
      <c r="AW1849" s="2" t="str">
        <f>IF(Registered!AV1849=0,"",IF(Registered!AV1849=1,Registered!AV1849&amp;" Meal",Registered!AV1849&amp;" Meals"))</f>
        <v/>
      </c>
      <c r="AX1849" s="2" t="str">
        <f>IF(Registered!AI1849=0,"",Registered!AI1849&amp;" BG")</f>
        <v/>
      </c>
      <c r="AY1849" s="2" t="str">
        <f>IF(Registered!AG1849=0,"",Registered!AG1849&amp;" DustMask")</f>
        <v/>
      </c>
    </row>
    <row r="1850" spans="1:51" customFormat="1" x14ac:dyDescent="0.25">
      <c r="A1850" t="s">
        <v>199</v>
      </c>
      <c r="B1850" t="s">
        <v>5386</v>
      </c>
      <c r="C1850" t="s">
        <v>6090</v>
      </c>
      <c r="F1850" t="s">
        <v>261</v>
      </c>
      <c r="I1850" t="s">
        <v>5387</v>
      </c>
      <c r="J1850" t="s">
        <v>37</v>
      </c>
      <c r="K1850" t="s">
        <v>32</v>
      </c>
      <c r="L1850" t="s">
        <v>35</v>
      </c>
      <c r="Q1850">
        <v>1</v>
      </c>
      <c r="R1850">
        <v>3</v>
      </c>
      <c r="AQ1850">
        <v>3</v>
      </c>
      <c r="AR1850" s="3">
        <f t="shared" si="84"/>
        <v>0</v>
      </c>
      <c r="AS1850" s="3">
        <f t="shared" si="85"/>
        <v>0</v>
      </c>
      <c r="AT1850" s="3" t="str">
        <f>IF(OR(Registered!AM1850&gt;0,Registered!AO1850&gt;0),(IF(Registered!E1850=0,"Size Not Specified",Registered!E1850)),"")</f>
        <v/>
      </c>
      <c r="AU1850" s="3" t="str">
        <f>IF(Registered!AE1850=0,"",IF(Registered!AE1850=1,Registered!AE1850&amp;" Bandana",Registered!AE1850&amp;" Bandanas"))</f>
        <v/>
      </c>
      <c r="AV1850" s="3">
        <f t="shared" si="86"/>
        <v>0</v>
      </c>
      <c r="AW1850" s="2" t="str">
        <f>IF(Registered!AV1850=0,"",IF(Registered!AV1850=1,Registered!AV1850&amp;" Meal",Registered!AV1850&amp;" Meals"))</f>
        <v/>
      </c>
      <c r="AX1850" s="2" t="str">
        <f>IF(Registered!AI1850=0,"",Registered!AI1850&amp;" BG")</f>
        <v/>
      </c>
      <c r="AY1850" s="2" t="str">
        <f>IF(Registered!AG1850=0,"",Registered!AG1850&amp;" DustMask")</f>
        <v/>
      </c>
    </row>
    <row r="1851" spans="1:51" customFormat="1" x14ac:dyDescent="0.25">
      <c r="A1851" t="s">
        <v>2108</v>
      </c>
      <c r="B1851" t="s">
        <v>444</v>
      </c>
      <c r="C1851" t="s">
        <v>6090</v>
      </c>
      <c r="G1851" t="s">
        <v>360</v>
      </c>
      <c r="H1851" t="s">
        <v>444</v>
      </c>
      <c r="I1851" t="s">
        <v>2109</v>
      </c>
      <c r="J1851" t="s">
        <v>37</v>
      </c>
      <c r="K1851" t="s">
        <v>32</v>
      </c>
      <c r="L1851" t="s">
        <v>35</v>
      </c>
      <c r="AQ1851">
        <v>0</v>
      </c>
      <c r="AR1851" s="3">
        <f t="shared" si="84"/>
        <v>0</v>
      </c>
      <c r="AS1851" s="3">
        <f t="shared" si="85"/>
        <v>0</v>
      </c>
      <c r="AT1851" s="3" t="str">
        <f>IF(OR(Registered!AM1851&gt;0,Registered!AO1851&gt;0),(IF(Registered!E1851=0,"Size Not Specified",Registered!E1851)),"")</f>
        <v/>
      </c>
      <c r="AU1851" s="3" t="str">
        <f>IF(Registered!AE1851=0,"",IF(Registered!AE1851=1,Registered!AE1851&amp;" Bandana",Registered!AE1851&amp;" Bandanas"))</f>
        <v/>
      </c>
      <c r="AV1851" s="3">
        <f t="shared" si="86"/>
        <v>0</v>
      </c>
      <c r="AW1851" s="2" t="str">
        <f>IF(Registered!AV1851=0,"",IF(Registered!AV1851=1,Registered!AV1851&amp;" Meal",Registered!AV1851&amp;" Meals"))</f>
        <v/>
      </c>
      <c r="AX1851" s="2" t="str">
        <f>IF(Registered!AI1851=0,"",Registered!AI1851&amp;" BG")</f>
        <v/>
      </c>
      <c r="AY1851" s="2" t="str">
        <f>IF(Registered!AG1851=0,"",Registered!AG1851&amp;" DustMask")</f>
        <v/>
      </c>
    </row>
    <row r="1852" spans="1:51" customFormat="1" x14ac:dyDescent="0.25">
      <c r="A1852" t="s">
        <v>2110</v>
      </c>
      <c r="B1852" t="s">
        <v>444</v>
      </c>
      <c r="C1852" t="s">
        <v>6090</v>
      </c>
      <c r="G1852" t="s">
        <v>360</v>
      </c>
      <c r="H1852" t="s">
        <v>444</v>
      </c>
      <c r="I1852" t="s">
        <v>2109</v>
      </c>
      <c r="J1852" t="s">
        <v>37</v>
      </c>
      <c r="K1852" t="s">
        <v>32</v>
      </c>
      <c r="L1852" t="s">
        <v>35</v>
      </c>
      <c r="AQ1852">
        <v>0</v>
      </c>
      <c r="AR1852" s="3">
        <f t="shared" si="84"/>
        <v>0</v>
      </c>
      <c r="AS1852" s="3">
        <f t="shared" si="85"/>
        <v>0</v>
      </c>
      <c r="AT1852" s="3" t="str">
        <f>IF(OR(Registered!AM1852&gt;0,Registered!AO1852&gt;0),(IF(Registered!E1852=0,"Size Not Specified",Registered!E1852)),"")</f>
        <v/>
      </c>
      <c r="AU1852" s="3" t="str">
        <f>IF(Registered!AE1852=0,"",IF(Registered!AE1852=1,Registered!AE1852&amp;" Bandana",Registered!AE1852&amp;" Bandanas"))</f>
        <v/>
      </c>
      <c r="AV1852" s="3">
        <f t="shared" si="86"/>
        <v>0</v>
      </c>
      <c r="AW1852" s="2" t="str">
        <f>IF(Registered!AV1852=0,"",IF(Registered!AV1852=1,Registered!AV1852&amp;" Meal",Registered!AV1852&amp;" Meals"))</f>
        <v/>
      </c>
      <c r="AX1852" s="2" t="str">
        <f>IF(Registered!AI1852=0,"",Registered!AI1852&amp;" BG")</f>
        <v/>
      </c>
      <c r="AY1852" s="2" t="str">
        <f>IF(Registered!AG1852=0,"",Registered!AG1852&amp;" DustMask")</f>
        <v/>
      </c>
    </row>
    <row r="1853" spans="1:51" customFormat="1" x14ac:dyDescent="0.25">
      <c r="A1853" t="s">
        <v>360</v>
      </c>
      <c r="B1853" t="s">
        <v>444</v>
      </c>
      <c r="C1853" t="s">
        <v>6090</v>
      </c>
      <c r="D1853" t="s">
        <v>360</v>
      </c>
      <c r="F1853" t="s">
        <v>261</v>
      </c>
      <c r="I1853" t="s">
        <v>2109</v>
      </c>
      <c r="J1853" t="s">
        <v>37</v>
      </c>
      <c r="K1853" t="s">
        <v>32</v>
      </c>
      <c r="L1853" t="s">
        <v>35</v>
      </c>
      <c r="S1853">
        <v>3</v>
      </c>
      <c r="T1853">
        <v>3</v>
      </c>
      <c r="U1853">
        <v>1</v>
      </c>
      <c r="V1853">
        <v>20</v>
      </c>
      <c r="AQ1853">
        <v>29</v>
      </c>
      <c r="AR1853" s="3">
        <f t="shared" si="84"/>
        <v>10</v>
      </c>
      <c r="AS1853" s="3">
        <f t="shared" si="85"/>
        <v>0</v>
      </c>
      <c r="AT1853" s="3" t="str">
        <f>IF(OR(Registered!AM1853&gt;0,Registered!AO1853&gt;0),(IF(Registered!E1853=0,"Size Not Specified",Registered!E1853)),"")</f>
        <v/>
      </c>
      <c r="AU1853" s="3" t="str">
        <f>IF(Registered!AE1853=0,"",IF(Registered!AE1853=1,Registered!AE1853&amp;" Bandana",Registered!AE1853&amp;" Bandanas"))</f>
        <v/>
      </c>
      <c r="AV1853" s="3">
        <f t="shared" si="86"/>
        <v>0</v>
      </c>
      <c r="AW1853" s="2" t="str">
        <f>IF(Registered!AV1853=0,"",IF(Registered!AV1853=1,Registered!AV1853&amp;" Meal",Registered!AV1853&amp;" Meals"))</f>
        <v/>
      </c>
      <c r="AX1853" s="2" t="str">
        <f>IF(Registered!AI1853=0,"",Registered!AI1853&amp;" BG")</f>
        <v/>
      </c>
      <c r="AY1853" s="2" t="str">
        <f>IF(Registered!AG1853=0,"",Registered!AG1853&amp;" DustMask")</f>
        <v/>
      </c>
    </row>
    <row r="1854" spans="1:51" customFormat="1" x14ac:dyDescent="0.25">
      <c r="A1854" t="s">
        <v>317</v>
      </c>
      <c r="B1854" t="s">
        <v>2111</v>
      </c>
      <c r="C1854" t="s">
        <v>6090</v>
      </c>
      <c r="G1854" t="s">
        <v>140</v>
      </c>
      <c r="H1854" t="s">
        <v>898</v>
      </c>
      <c r="I1854" t="s">
        <v>899</v>
      </c>
      <c r="J1854" t="s">
        <v>37</v>
      </c>
      <c r="K1854" t="s">
        <v>32</v>
      </c>
      <c r="L1854" t="s">
        <v>35</v>
      </c>
      <c r="AQ1854">
        <v>0</v>
      </c>
      <c r="AR1854" s="3">
        <f t="shared" si="84"/>
        <v>0</v>
      </c>
      <c r="AS1854" s="3">
        <f t="shared" si="85"/>
        <v>0</v>
      </c>
      <c r="AT1854" s="3" t="str">
        <f>IF(OR(Registered!AM1854&gt;0,Registered!AO1854&gt;0),(IF(Registered!E1854=0,"Size Not Specified",Registered!E1854)),"")</f>
        <v/>
      </c>
      <c r="AU1854" s="3" t="str">
        <f>IF(Registered!AE1854=0,"",IF(Registered!AE1854=1,Registered!AE1854&amp;" Bandana",Registered!AE1854&amp;" Bandanas"))</f>
        <v/>
      </c>
      <c r="AV1854" s="3">
        <f t="shared" si="86"/>
        <v>0</v>
      </c>
      <c r="AW1854" s="2" t="str">
        <f>IF(Registered!AV1854=0,"",IF(Registered!AV1854=1,Registered!AV1854&amp;" Meal",Registered!AV1854&amp;" Meals"))</f>
        <v/>
      </c>
      <c r="AX1854" s="2" t="str">
        <f>IF(Registered!AI1854=0,"",Registered!AI1854&amp;" BG")</f>
        <v/>
      </c>
      <c r="AY1854" s="2" t="str">
        <f>IF(Registered!AG1854=0,"",Registered!AG1854&amp;" DustMask")</f>
        <v/>
      </c>
    </row>
    <row r="1855" spans="1:51" customFormat="1" x14ac:dyDescent="0.25">
      <c r="A1855" t="s">
        <v>3297</v>
      </c>
      <c r="B1855" t="s">
        <v>5388</v>
      </c>
      <c r="C1855" t="s">
        <v>6090</v>
      </c>
      <c r="D1855" t="s">
        <v>5389</v>
      </c>
      <c r="F1855" t="s">
        <v>261</v>
      </c>
      <c r="I1855" t="s">
        <v>5390</v>
      </c>
      <c r="J1855" t="s">
        <v>37</v>
      </c>
      <c r="K1855" t="s">
        <v>32</v>
      </c>
      <c r="L1855" t="s">
        <v>35</v>
      </c>
      <c r="Q1855">
        <v>1</v>
      </c>
      <c r="R1855">
        <v>3</v>
      </c>
      <c r="AC1855">
        <v>1</v>
      </c>
      <c r="AD1855">
        <v>10</v>
      </c>
      <c r="AQ1855">
        <v>13</v>
      </c>
      <c r="AR1855" s="3">
        <f t="shared" si="84"/>
        <v>5</v>
      </c>
      <c r="AS1855" s="3">
        <f t="shared" si="85"/>
        <v>0</v>
      </c>
      <c r="AT1855" s="3" t="str">
        <f>IF(OR(Registered!AM1855&gt;0,Registered!AO1855&gt;0),(IF(Registered!E1855=0,"Size Not Specified",Registered!E1855)),"")</f>
        <v/>
      </c>
      <c r="AU1855" s="3" t="str">
        <f>IF(Registered!AE1855=0,"",IF(Registered!AE1855=1,Registered!AE1855&amp;" Bandana",Registered!AE1855&amp;" Bandanas"))</f>
        <v/>
      </c>
      <c r="AV1855" s="3">
        <f t="shared" si="86"/>
        <v>0</v>
      </c>
      <c r="AW1855" s="2" t="str">
        <f>IF(Registered!AV1855=0,"",IF(Registered!AV1855=1,Registered!AV1855&amp;" Meal",Registered!AV1855&amp;" Meals"))</f>
        <v/>
      </c>
      <c r="AX1855" s="2" t="str">
        <f>IF(Registered!AI1855=0,"",Registered!AI1855&amp;" BG")</f>
        <v/>
      </c>
      <c r="AY1855" s="2" t="str">
        <f>IF(Registered!AG1855=0,"",Registered!AG1855&amp;" DustMask")</f>
        <v/>
      </c>
    </row>
    <row r="1856" spans="1:51" customFormat="1" x14ac:dyDescent="0.25">
      <c r="A1856" t="s">
        <v>4198</v>
      </c>
      <c r="B1856" t="s">
        <v>5388</v>
      </c>
      <c r="C1856" t="s">
        <v>6090</v>
      </c>
      <c r="D1856" t="s">
        <v>5389</v>
      </c>
      <c r="F1856" t="s">
        <v>261</v>
      </c>
      <c r="I1856" t="s">
        <v>5391</v>
      </c>
      <c r="J1856" t="s">
        <v>37</v>
      </c>
      <c r="K1856" t="s">
        <v>32</v>
      </c>
      <c r="L1856" t="s">
        <v>35</v>
      </c>
      <c r="Q1856">
        <v>1</v>
      </c>
      <c r="R1856">
        <v>3</v>
      </c>
      <c r="AC1856">
        <v>1</v>
      </c>
      <c r="AD1856">
        <v>10</v>
      </c>
      <c r="AQ1856">
        <v>13</v>
      </c>
      <c r="AR1856" s="3">
        <f t="shared" si="84"/>
        <v>5</v>
      </c>
      <c r="AS1856" s="3">
        <f t="shared" si="85"/>
        <v>0</v>
      </c>
      <c r="AT1856" s="3" t="str">
        <f>IF(OR(Registered!AM1856&gt;0,Registered!AO1856&gt;0),(IF(Registered!E1856=0,"Size Not Specified",Registered!E1856)),"")</f>
        <v/>
      </c>
      <c r="AU1856" s="3" t="str">
        <f>IF(Registered!AE1856=0,"",IF(Registered!AE1856=1,Registered!AE1856&amp;" Bandana",Registered!AE1856&amp;" Bandanas"))</f>
        <v/>
      </c>
      <c r="AV1856" s="3">
        <f t="shared" si="86"/>
        <v>0</v>
      </c>
      <c r="AW1856" s="2" t="str">
        <f>IF(Registered!AV1856=0,"",IF(Registered!AV1856=1,Registered!AV1856&amp;" Meal",Registered!AV1856&amp;" Meals"))</f>
        <v/>
      </c>
      <c r="AX1856" s="2" t="str">
        <f>IF(Registered!AI1856=0,"",Registered!AI1856&amp;" BG")</f>
        <v/>
      </c>
      <c r="AY1856" s="2" t="str">
        <f>IF(Registered!AG1856=0,"",Registered!AG1856&amp;" DustMask")</f>
        <v/>
      </c>
    </row>
    <row r="1857" spans="1:51" customFormat="1" x14ac:dyDescent="0.25">
      <c r="A1857" t="s">
        <v>3122</v>
      </c>
      <c r="B1857" t="s">
        <v>3272</v>
      </c>
      <c r="C1857" t="s">
        <v>6090</v>
      </c>
      <c r="D1857" t="s">
        <v>3273</v>
      </c>
      <c r="F1857" t="s">
        <v>261</v>
      </c>
      <c r="I1857" t="s">
        <v>3274</v>
      </c>
      <c r="J1857" t="s">
        <v>37</v>
      </c>
      <c r="K1857" t="s">
        <v>32</v>
      </c>
      <c r="L1857" t="s">
        <v>35</v>
      </c>
      <c r="Q1857">
        <v>1</v>
      </c>
      <c r="R1857">
        <v>3</v>
      </c>
      <c r="AC1857">
        <v>1</v>
      </c>
      <c r="AD1857">
        <v>10</v>
      </c>
      <c r="AQ1857">
        <v>13</v>
      </c>
      <c r="AR1857" s="3">
        <f t="shared" si="84"/>
        <v>5</v>
      </c>
      <c r="AS1857" s="3">
        <f t="shared" si="85"/>
        <v>0</v>
      </c>
      <c r="AT1857" s="3" t="str">
        <f>IF(OR(Registered!AM1857&gt;0,Registered!AO1857&gt;0),(IF(Registered!E1857=0,"Size Not Specified",Registered!E1857)),"")</f>
        <v/>
      </c>
      <c r="AU1857" s="3" t="str">
        <f>IF(Registered!AE1857=0,"",IF(Registered!AE1857=1,Registered!AE1857&amp;" Bandana",Registered!AE1857&amp;" Bandanas"))</f>
        <v/>
      </c>
      <c r="AV1857" s="3">
        <f t="shared" si="86"/>
        <v>0</v>
      </c>
      <c r="AW1857" s="2" t="str">
        <f>IF(Registered!AV1857=0,"",IF(Registered!AV1857=1,Registered!AV1857&amp;" Meal",Registered!AV1857&amp;" Meals"))</f>
        <v/>
      </c>
      <c r="AX1857" s="2" t="str">
        <f>IF(Registered!AI1857=0,"",Registered!AI1857&amp;" BG")</f>
        <v/>
      </c>
      <c r="AY1857" s="2" t="str">
        <f>IF(Registered!AG1857=0,"",Registered!AG1857&amp;" DustMask")</f>
        <v/>
      </c>
    </row>
    <row r="1858" spans="1:51" customFormat="1" x14ac:dyDescent="0.25">
      <c r="A1858" t="s">
        <v>5392</v>
      </c>
      <c r="B1858" t="s">
        <v>1726</v>
      </c>
      <c r="C1858" t="s">
        <v>6090</v>
      </c>
      <c r="G1858" t="s">
        <v>4323</v>
      </c>
      <c r="H1858" t="s">
        <v>4324</v>
      </c>
      <c r="I1858" t="s">
        <v>4326</v>
      </c>
      <c r="J1858" t="s">
        <v>37</v>
      </c>
      <c r="K1858" t="s">
        <v>32</v>
      </c>
      <c r="L1858" t="s">
        <v>35</v>
      </c>
      <c r="AQ1858">
        <v>0</v>
      </c>
      <c r="AR1858" s="3">
        <f t="shared" ref="AR1858:AR1921" si="87">IF(ISTEXT(AM1858)=TRUE,"",SUM(U1858*10,W1858*20,Y1858*30,AA1858*40,AC1858*5,AM1858*5))</f>
        <v>0</v>
      </c>
      <c r="AS1858" s="3">
        <f t="shared" ref="AS1858:AS1921" si="88">IF(ISTEXT(AM1858)=TRUE,"",SUM(AM1858,AO1858))</f>
        <v>0</v>
      </c>
      <c r="AT1858" s="3" t="str">
        <f>IF(OR(Registered!AM1858&gt;0,Registered!AO1858&gt;0),(IF(Registered!E1858=0,"Size Not Specified",Registered!E1858)),"")</f>
        <v/>
      </c>
      <c r="AU1858" s="3" t="str">
        <f>IF(Registered!AE1858=0,"",IF(Registered!AE1858=1,Registered!AE1858&amp;" Bandana",Registered!AE1858&amp;" Bandanas"))</f>
        <v/>
      </c>
      <c r="AV1858" s="3">
        <f t="shared" ref="AV1858:AV1921" si="89">IF(ISTEXT(AM1858)=TRUE,"",SUM(AM1858,AK1858))</f>
        <v>0</v>
      </c>
      <c r="AW1858" s="2" t="str">
        <f>IF(Registered!AV1858=0,"",IF(Registered!AV1858=1,Registered!AV1858&amp;" Meal",Registered!AV1858&amp;" Meals"))</f>
        <v/>
      </c>
      <c r="AX1858" s="2" t="str">
        <f>IF(Registered!AI1858=0,"",Registered!AI1858&amp;" BG")</f>
        <v/>
      </c>
      <c r="AY1858" s="2" t="str">
        <f>IF(Registered!AG1858=0,"",Registered!AG1858&amp;" DustMask")</f>
        <v/>
      </c>
    </row>
    <row r="1859" spans="1:51" customFormat="1" x14ac:dyDescent="0.25">
      <c r="A1859" t="s">
        <v>88</v>
      </c>
      <c r="B1859" t="s">
        <v>1726</v>
      </c>
      <c r="C1859" t="s">
        <v>6090</v>
      </c>
      <c r="G1859" t="s">
        <v>188</v>
      </c>
      <c r="H1859" t="s">
        <v>3275</v>
      </c>
      <c r="I1859" t="s">
        <v>3276</v>
      </c>
      <c r="J1859" t="s">
        <v>37</v>
      </c>
      <c r="K1859" t="s">
        <v>32</v>
      </c>
      <c r="L1859" t="s">
        <v>35</v>
      </c>
      <c r="AQ1859">
        <v>0</v>
      </c>
      <c r="AR1859" s="3">
        <f t="shared" si="87"/>
        <v>0</v>
      </c>
      <c r="AS1859" s="3">
        <f t="shared" si="88"/>
        <v>0</v>
      </c>
      <c r="AT1859" s="3" t="str">
        <f>IF(OR(Registered!AM1859&gt;0,Registered!AO1859&gt;0),(IF(Registered!E1859=0,"Size Not Specified",Registered!E1859)),"")</f>
        <v/>
      </c>
      <c r="AU1859" s="3" t="str">
        <f>IF(Registered!AE1859=0,"",IF(Registered!AE1859=1,Registered!AE1859&amp;" Bandana",Registered!AE1859&amp;" Bandanas"))</f>
        <v/>
      </c>
      <c r="AV1859" s="3">
        <f t="shared" si="89"/>
        <v>0</v>
      </c>
      <c r="AW1859" s="2" t="str">
        <f>IF(Registered!AV1859=0,"",IF(Registered!AV1859=1,Registered!AV1859&amp;" Meal",Registered!AV1859&amp;" Meals"))</f>
        <v/>
      </c>
      <c r="AX1859" s="2" t="str">
        <f>IF(Registered!AI1859=0,"",Registered!AI1859&amp;" BG")</f>
        <v/>
      </c>
      <c r="AY1859" s="2" t="str">
        <f>IF(Registered!AG1859=0,"",Registered!AG1859&amp;" DustMask")</f>
        <v/>
      </c>
    </row>
    <row r="1860" spans="1:51" customFormat="1" x14ac:dyDescent="0.25">
      <c r="A1860" t="s">
        <v>3277</v>
      </c>
      <c r="B1860" t="s">
        <v>1726</v>
      </c>
      <c r="C1860" t="s">
        <v>6090</v>
      </c>
      <c r="G1860" t="s">
        <v>188</v>
      </c>
      <c r="H1860" t="s">
        <v>3275</v>
      </c>
      <c r="I1860" t="s">
        <v>3276</v>
      </c>
      <c r="J1860" t="s">
        <v>37</v>
      </c>
      <c r="K1860" t="s">
        <v>32</v>
      </c>
      <c r="L1860" t="s">
        <v>35</v>
      </c>
      <c r="AQ1860">
        <v>0</v>
      </c>
      <c r="AR1860" s="3">
        <f t="shared" si="87"/>
        <v>0</v>
      </c>
      <c r="AS1860" s="3">
        <f t="shared" si="88"/>
        <v>0</v>
      </c>
      <c r="AT1860" s="3" t="str">
        <f>IF(OR(Registered!AM1860&gt;0,Registered!AO1860&gt;0),(IF(Registered!E1860=0,"Size Not Specified",Registered!E1860)),"")</f>
        <v/>
      </c>
      <c r="AU1860" s="3" t="str">
        <f>IF(Registered!AE1860=0,"",IF(Registered!AE1860=1,Registered!AE1860&amp;" Bandana",Registered!AE1860&amp;" Bandanas"))</f>
        <v/>
      </c>
      <c r="AV1860" s="3">
        <f t="shared" si="89"/>
        <v>0</v>
      </c>
      <c r="AW1860" s="2" t="str">
        <f>IF(Registered!AV1860=0,"",IF(Registered!AV1860=1,Registered!AV1860&amp;" Meal",Registered!AV1860&amp;" Meals"))</f>
        <v/>
      </c>
      <c r="AX1860" s="2" t="str">
        <f>IF(Registered!AI1860=0,"",Registered!AI1860&amp;" BG")</f>
        <v/>
      </c>
      <c r="AY1860" s="2" t="str">
        <f>IF(Registered!AG1860=0,"",Registered!AG1860&amp;" DustMask")</f>
        <v/>
      </c>
    </row>
    <row r="1861" spans="1:51" customFormat="1" x14ac:dyDescent="0.25">
      <c r="A1861" t="s">
        <v>463</v>
      </c>
      <c r="B1861" t="s">
        <v>1058</v>
      </c>
      <c r="C1861" t="s">
        <v>6090</v>
      </c>
      <c r="D1861" t="s">
        <v>2113</v>
      </c>
      <c r="F1861" t="s">
        <v>261</v>
      </c>
      <c r="I1861" t="s">
        <v>2114</v>
      </c>
      <c r="J1861" t="s">
        <v>37</v>
      </c>
      <c r="K1861" t="s">
        <v>32</v>
      </c>
      <c r="L1861" t="s">
        <v>35</v>
      </c>
      <c r="S1861">
        <v>2</v>
      </c>
      <c r="T1861">
        <v>3</v>
      </c>
      <c r="AC1861">
        <v>2</v>
      </c>
      <c r="AD1861">
        <v>10</v>
      </c>
      <c r="AQ1861">
        <v>26</v>
      </c>
      <c r="AR1861" s="3">
        <f t="shared" si="87"/>
        <v>10</v>
      </c>
      <c r="AS1861" s="3">
        <f t="shared" si="88"/>
        <v>0</v>
      </c>
      <c r="AT1861" s="3" t="str">
        <f>IF(OR(Registered!AM1861&gt;0,Registered!AO1861&gt;0),(IF(Registered!E1861=0,"Size Not Specified",Registered!E1861)),"")</f>
        <v/>
      </c>
      <c r="AU1861" s="3" t="str">
        <f>IF(Registered!AE1861=0,"",IF(Registered!AE1861=1,Registered!AE1861&amp;" Bandana",Registered!AE1861&amp;" Bandanas"))</f>
        <v/>
      </c>
      <c r="AV1861" s="3">
        <f t="shared" si="89"/>
        <v>0</v>
      </c>
      <c r="AW1861" s="2" t="str">
        <f>IF(Registered!AV1861=0,"",IF(Registered!AV1861=1,Registered!AV1861&amp;" Meal",Registered!AV1861&amp;" Meals"))</f>
        <v/>
      </c>
      <c r="AX1861" s="2" t="str">
        <f>IF(Registered!AI1861=0,"",Registered!AI1861&amp;" BG")</f>
        <v/>
      </c>
      <c r="AY1861" s="2" t="str">
        <f>IF(Registered!AG1861=0,"",Registered!AG1861&amp;" DustMask")</f>
        <v/>
      </c>
    </row>
    <row r="1862" spans="1:51" customFormat="1" x14ac:dyDescent="0.25">
      <c r="A1862" t="s">
        <v>953</v>
      </c>
      <c r="B1862" t="s">
        <v>5393</v>
      </c>
      <c r="C1862" t="s">
        <v>6090</v>
      </c>
      <c r="G1862" t="s">
        <v>3545</v>
      </c>
      <c r="H1862" t="s">
        <v>3546</v>
      </c>
      <c r="I1862" t="s">
        <v>3547</v>
      </c>
      <c r="J1862" t="s">
        <v>37</v>
      </c>
      <c r="K1862" t="s">
        <v>32</v>
      </c>
      <c r="L1862" t="s">
        <v>35</v>
      </c>
      <c r="AQ1862">
        <v>0</v>
      </c>
      <c r="AR1862" s="3">
        <f t="shared" si="87"/>
        <v>0</v>
      </c>
      <c r="AS1862" s="3">
        <f t="shared" si="88"/>
        <v>0</v>
      </c>
      <c r="AT1862" s="3" t="str">
        <f>IF(OR(Registered!AM1862&gt;0,Registered!AO1862&gt;0),(IF(Registered!E1862=0,"Size Not Specified",Registered!E1862)),"")</f>
        <v/>
      </c>
      <c r="AU1862" s="3" t="str">
        <f>IF(Registered!AE1862=0,"",IF(Registered!AE1862=1,Registered!AE1862&amp;" Bandana",Registered!AE1862&amp;" Bandanas"))</f>
        <v/>
      </c>
      <c r="AV1862" s="3">
        <f t="shared" si="89"/>
        <v>0</v>
      </c>
      <c r="AW1862" s="2" t="str">
        <f>IF(Registered!AV1862=0,"",IF(Registered!AV1862=1,Registered!AV1862&amp;" Meal",Registered!AV1862&amp;" Meals"))</f>
        <v/>
      </c>
      <c r="AX1862" s="2" t="str">
        <f>IF(Registered!AI1862=0,"",Registered!AI1862&amp;" BG")</f>
        <v/>
      </c>
      <c r="AY1862" s="2" t="str">
        <f>IF(Registered!AG1862=0,"",Registered!AG1862&amp;" DustMask")</f>
        <v/>
      </c>
    </row>
    <row r="1863" spans="1:51" customFormat="1" x14ac:dyDescent="0.25">
      <c r="A1863" t="s">
        <v>246</v>
      </c>
      <c r="B1863" t="s">
        <v>469</v>
      </c>
      <c r="C1863" t="s">
        <v>6090</v>
      </c>
      <c r="G1863" t="s">
        <v>100</v>
      </c>
      <c r="H1863" t="s">
        <v>1317</v>
      </c>
      <c r="I1863" t="s">
        <v>1318</v>
      </c>
      <c r="J1863" t="s">
        <v>37</v>
      </c>
      <c r="K1863" t="s">
        <v>32</v>
      </c>
      <c r="L1863" t="s">
        <v>35</v>
      </c>
      <c r="AQ1863">
        <v>0</v>
      </c>
      <c r="AR1863" s="3">
        <f t="shared" si="87"/>
        <v>0</v>
      </c>
      <c r="AS1863" s="3">
        <f t="shared" si="88"/>
        <v>0</v>
      </c>
      <c r="AT1863" s="3" t="str">
        <f>IF(OR(Registered!AM1863&gt;0,Registered!AO1863&gt;0),(IF(Registered!E1863=0,"Size Not Specified",Registered!E1863)),"")</f>
        <v/>
      </c>
      <c r="AU1863" s="3" t="str">
        <f>IF(Registered!AE1863=0,"",IF(Registered!AE1863=1,Registered!AE1863&amp;" Bandana",Registered!AE1863&amp;" Bandanas"))</f>
        <v/>
      </c>
      <c r="AV1863" s="3">
        <f t="shared" si="89"/>
        <v>0</v>
      </c>
      <c r="AW1863" s="2" t="str">
        <f>IF(Registered!AV1863=0,"",IF(Registered!AV1863=1,Registered!AV1863&amp;" Meal",Registered!AV1863&amp;" Meals"))</f>
        <v/>
      </c>
      <c r="AX1863" s="2" t="str">
        <f>IF(Registered!AI1863=0,"",Registered!AI1863&amp;" BG")</f>
        <v/>
      </c>
      <c r="AY1863" s="2" t="str">
        <f>IF(Registered!AG1863=0,"",Registered!AG1863&amp;" DustMask")</f>
        <v/>
      </c>
    </row>
    <row r="1864" spans="1:51" customFormat="1" x14ac:dyDescent="0.25">
      <c r="A1864" t="s">
        <v>5394</v>
      </c>
      <c r="B1864" t="s">
        <v>5395</v>
      </c>
      <c r="C1864" t="s">
        <v>6090</v>
      </c>
      <c r="G1864" t="s">
        <v>255</v>
      </c>
      <c r="H1864" t="s">
        <v>4084</v>
      </c>
      <c r="I1864" t="s">
        <v>4085</v>
      </c>
      <c r="J1864" t="s">
        <v>37</v>
      </c>
      <c r="K1864" t="s">
        <v>32</v>
      </c>
      <c r="L1864" t="s">
        <v>35</v>
      </c>
      <c r="AQ1864">
        <v>0</v>
      </c>
      <c r="AR1864" s="3">
        <f t="shared" si="87"/>
        <v>0</v>
      </c>
      <c r="AS1864" s="3">
        <f t="shared" si="88"/>
        <v>0</v>
      </c>
      <c r="AT1864" s="3" t="str">
        <f>IF(OR(Registered!AM1864&gt;0,Registered!AO1864&gt;0),(IF(Registered!E1864=0,"Size Not Specified",Registered!E1864)),"")</f>
        <v/>
      </c>
      <c r="AU1864" s="3" t="str">
        <f>IF(Registered!AE1864=0,"",IF(Registered!AE1864=1,Registered!AE1864&amp;" Bandana",Registered!AE1864&amp;" Bandanas"))</f>
        <v/>
      </c>
      <c r="AV1864" s="3">
        <f t="shared" si="89"/>
        <v>0</v>
      </c>
      <c r="AW1864" s="2" t="str">
        <f>IF(Registered!AV1864=0,"",IF(Registered!AV1864=1,Registered!AV1864&amp;" Meal",Registered!AV1864&amp;" Meals"))</f>
        <v/>
      </c>
      <c r="AX1864" s="2" t="str">
        <f>IF(Registered!AI1864=0,"",Registered!AI1864&amp;" BG")</f>
        <v/>
      </c>
      <c r="AY1864" s="2" t="str">
        <f>IF(Registered!AG1864=0,"",Registered!AG1864&amp;" DustMask")</f>
        <v/>
      </c>
    </row>
    <row r="1865" spans="1:51" customFormat="1" x14ac:dyDescent="0.25">
      <c r="A1865" t="s">
        <v>64</v>
      </c>
      <c r="B1865" t="s">
        <v>5396</v>
      </c>
      <c r="C1865" t="s">
        <v>6090</v>
      </c>
      <c r="G1865" t="s">
        <v>3594</v>
      </c>
      <c r="H1865" t="s">
        <v>3595</v>
      </c>
      <c r="I1865" t="s">
        <v>3596</v>
      </c>
      <c r="J1865" t="s">
        <v>37</v>
      </c>
      <c r="K1865" t="s">
        <v>32</v>
      </c>
      <c r="L1865" t="s">
        <v>35</v>
      </c>
      <c r="AQ1865">
        <v>0</v>
      </c>
      <c r="AR1865" s="3">
        <f t="shared" si="87"/>
        <v>0</v>
      </c>
      <c r="AS1865" s="3">
        <f t="shared" si="88"/>
        <v>0</v>
      </c>
      <c r="AT1865" s="3" t="str">
        <f>IF(OR(Registered!AM1865&gt;0,Registered!AO1865&gt;0),(IF(Registered!E1865=0,"Size Not Specified",Registered!E1865)),"")</f>
        <v/>
      </c>
      <c r="AU1865" s="3" t="str">
        <f>IF(Registered!AE1865=0,"",IF(Registered!AE1865=1,Registered!AE1865&amp;" Bandana",Registered!AE1865&amp;" Bandanas"))</f>
        <v/>
      </c>
      <c r="AV1865" s="3">
        <f t="shared" si="89"/>
        <v>0</v>
      </c>
      <c r="AW1865" s="2" t="str">
        <f>IF(Registered!AV1865=0,"",IF(Registered!AV1865=1,Registered!AV1865&amp;" Meal",Registered!AV1865&amp;" Meals"))</f>
        <v/>
      </c>
      <c r="AX1865" s="2" t="str">
        <f>IF(Registered!AI1865=0,"",Registered!AI1865&amp;" BG")</f>
        <v/>
      </c>
      <c r="AY1865" s="2" t="str">
        <f>IF(Registered!AG1865=0,"",Registered!AG1865&amp;" DustMask")</f>
        <v/>
      </c>
    </row>
    <row r="1866" spans="1:51" customFormat="1" x14ac:dyDescent="0.25">
      <c r="A1866" t="s">
        <v>258</v>
      </c>
      <c r="B1866" t="s">
        <v>5397</v>
      </c>
      <c r="C1866" t="s">
        <v>6090</v>
      </c>
      <c r="D1866" t="s">
        <v>5398</v>
      </c>
      <c r="F1866" t="s">
        <v>261</v>
      </c>
      <c r="I1866" t="s">
        <v>5399</v>
      </c>
      <c r="J1866" t="s">
        <v>37</v>
      </c>
      <c r="K1866" t="s">
        <v>32</v>
      </c>
      <c r="L1866" t="s">
        <v>35</v>
      </c>
      <c r="Q1866">
        <v>1</v>
      </c>
      <c r="R1866">
        <v>3</v>
      </c>
      <c r="AC1866">
        <v>1</v>
      </c>
      <c r="AD1866">
        <v>10</v>
      </c>
      <c r="AQ1866">
        <v>13</v>
      </c>
      <c r="AR1866" s="3">
        <f t="shared" si="87"/>
        <v>5</v>
      </c>
      <c r="AS1866" s="3">
        <f t="shared" si="88"/>
        <v>0</v>
      </c>
      <c r="AT1866" s="3" t="str">
        <f>IF(OR(Registered!AM1866&gt;0,Registered!AO1866&gt;0),(IF(Registered!E1866=0,"Size Not Specified",Registered!E1866)),"")</f>
        <v/>
      </c>
      <c r="AU1866" s="3" t="str">
        <f>IF(Registered!AE1866=0,"",IF(Registered!AE1866=1,Registered!AE1866&amp;" Bandana",Registered!AE1866&amp;" Bandanas"))</f>
        <v/>
      </c>
      <c r="AV1866" s="3">
        <f t="shared" si="89"/>
        <v>0</v>
      </c>
      <c r="AW1866" s="2" t="str">
        <f>IF(Registered!AV1866=0,"",IF(Registered!AV1866=1,Registered!AV1866&amp;" Meal",Registered!AV1866&amp;" Meals"))</f>
        <v/>
      </c>
      <c r="AX1866" s="2" t="str">
        <f>IF(Registered!AI1866=0,"",Registered!AI1866&amp;" BG")</f>
        <v/>
      </c>
      <c r="AY1866" s="2" t="str">
        <f>IF(Registered!AG1866=0,"",Registered!AG1866&amp;" DustMask")</f>
        <v/>
      </c>
    </row>
    <row r="1867" spans="1:51" customFormat="1" x14ac:dyDescent="0.25">
      <c r="A1867" t="s">
        <v>277</v>
      </c>
      <c r="B1867" t="s">
        <v>5400</v>
      </c>
      <c r="C1867" t="s">
        <v>6090</v>
      </c>
      <c r="F1867" t="s">
        <v>261</v>
      </c>
      <c r="I1867" t="s">
        <v>5401</v>
      </c>
      <c r="J1867" t="s">
        <v>37</v>
      </c>
      <c r="K1867" t="s">
        <v>32</v>
      </c>
      <c r="L1867" t="s">
        <v>35</v>
      </c>
      <c r="Q1867">
        <v>1</v>
      </c>
      <c r="R1867">
        <v>3</v>
      </c>
      <c r="AC1867">
        <v>1</v>
      </c>
      <c r="AD1867">
        <v>10</v>
      </c>
      <c r="AQ1867">
        <v>13</v>
      </c>
      <c r="AR1867" s="3">
        <f t="shared" si="87"/>
        <v>5</v>
      </c>
      <c r="AS1867" s="3">
        <f t="shared" si="88"/>
        <v>0</v>
      </c>
      <c r="AT1867" s="3" t="str">
        <f>IF(OR(Registered!AM1867&gt;0,Registered!AO1867&gt;0),(IF(Registered!E1867=0,"Size Not Specified",Registered!E1867)),"")</f>
        <v/>
      </c>
      <c r="AU1867" s="3" t="str">
        <f>IF(Registered!AE1867=0,"",IF(Registered!AE1867=1,Registered!AE1867&amp;" Bandana",Registered!AE1867&amp;" Bandanas"))</f>
        <v/>
      </c>
      <c r="AV1867" s="3">
        <f t="shared" si="89"/>
        <v>0</v>
      </c>
      <c r="AW1867" s="2" t="str">
        <f>IF(Registered!AV1867=0,"",IF(Registered!AV1867=1,Registered!AV1867&amp;" Meal",Registered!AV1867&amp;" Meals"))</f>
        <v/>
      </c>
      <c r="AX1867" s="2" t="str">
        <f>IF(Registered!AI1867=0,"",Registered!AI1867&amp;" BG")</f>
        <v/>
      </c>
      <c r="AY1867" s="2" t="str">
        <f>IF(Registered!AG1867=0,"",Registered!AG1867&amp;" DustMask")</f>
        <v/>
      </c>
    </row>
    <row r="1868" spans="1:51" customFormat="1" x14ac:dyDescent="0.25">
      <c r="A1868" t="s">
        <v>5402</v>
      </c>
      <c r="B1868" t="s">
        <v>5403</v>
      </c>
      <c r="C1868" t="s">
        <v>6090</v>
      </c>
      <c r="G1868" t="s">
        <v>3739</v>
      </c>
      <c r="H1868" t="s">
        <v>3740</v>
      </c>
      <c r="I1868" t="s">
        <v>3742</v>
      </c>
      <c r="J1868" t="s">
        <v>37</v>
      </c>
      <c r="K1868" t="s">
        <v>32</v>
      </c>
      <c r="L1868" t="s">
        <v>35</v>
      </c>
      <c r="AQ1868">
        <v>0</v>
      </c>
      <c r="AR1868" s="3">
        <f t="shared" si="87"/>
        <v>0</v>
      </c>
      <c r="AS1868" s="3">
        <f t="shared" si="88"/>
        <v>0</v>
      </c>
      <c r="AT1868" s="3" t="str">
        <f>IF(OR(Registered!AM1868&gt;0,Registered!AO1868&gt;0),(IF(Registered!E1868=0,"Size Not Specified",Registered!E1868)),"")</f>
        <v/>
      </c>
      <c r="AU1868" s="3" t="str">
        <f>IF(Registered!AE1868=0,"",IF(Registered!AE1868=1,Registered!AE1868&amp;" Bandana",Registered!AE1868&amp;" Bandanas"))</f>
        <v/>
      </c>
      <c r="AV1868" s="3">
        <f t="shared" si="89"/>
        <v>0</v>
      </c>
      <c r="AW1868" s="2" t="str">
        <f>IF(Registered!AV1868=0,"",IF(Registered!AV1868=1,Registered!AV1868&amp;" Meal",Registered!AV1868&amp;" Meals"))</f>
        <v/>
      </c>
      <c r="AX1868" s="2" t="str">
        <f>IF(Registered!AI1868=0,"",Registered!AI1868&amp;" BG")</f>
        <v/>
      </c>
      <c r="AY1868" s="2" t="str">
        <f>IF(Registered!AG1868=0,"",Registered!AG1868&amp;" DustMask")</f>
        <v/>
      </c>
    </row>
    <row r="1869" spans="1:51" customFormat="1" x14ac:dyDescent="0.25">
      <c r="A1869" t="s">
        <v>463</v>
      </c>
      <c r="B1869" t="s">
        <v>3278</v>
      </c>
      <c r="C1869" t="s">
        <v>6090</v>
      </c>
      <c r="G1869" t="s">
        <v>2727</v>
      </c>
      <c r="H1869" t="s">
        <v>717</v>
      </c>
      <c r="I1869" t="s">
        <v>2729</v>
      </c>
      <c r="J1869" t="s">
        <v>37</v>
      </c>
      <c r="K1869" t="s">
        <v>32</v>
      </c>
      <c r="L1869" t="s">
        <v>35</v>
      </c>
      <c r="AQ1869">
        <v>0</v>
      </c>
      <c r="AR1869" s="3">
        <f t="shared" si="87"/>
        <v>0</v>
      </c>
      <c r="AS1869" s="3">
        <f t="shared" si="88"/>
        <v>0</v>
      </c>
      <c r="AT1869" s="3" t="str">
        <f>IF(OR(Registered!AM1869&gt;0,Registered!AO1869&gt;0),(IF(Registered!E1869=0,"Size Not Specified",Registered!E1869)),"")</f>
        <v/>
      </c>
      <c r="AU1869" s="3" t="str">
        <f>IF(Registered!AE1869=0,"",IF(Registered!AE1869=1,Registered!AE1869&amp;" Bandana",Registered!AE1869&amp;" Bandanas"))</f>
        <v/>
      </c>
      <c r="AV1869" s="3">
        <f t="shared" si="89"/>
        <v>0</v>
      </c>
      <c r="AW1869" s="2" t="str">
        <f>IF(Registered!AV1869=0,"",IF(Registered!AV1869=1,Registered!AV1869&amp;" Meal",Registered!AV1869&amp;" Meals"))</f>
        <v/>
      </c>
      <c r="AX1869" s="2" t="str">
        <f>IF(Registered!AI1869=0,"",Registered!AI1869&amp;" BG")</f>
        <v/>
      </c>
      <c r="AY1869" s="2" t="str">
        <f>IF(Registered!AG1869=0,"",Registered!AG1869&amp;" DustMask")</f>
        <v/>
      </c>
    </row>
    <row r="1870" spans="1:51" customFormat="1" x14ac:dyDescent="0.25">
      <c r="A1870" t="s">
        <v>1043</v>
      </c>
      <c r="B1870" t="s">
        <v>3278</v>
      </c>
      <c r="C1870" t="s">
        <v>6090</v>
      </c>
      <c r="G1870" t="s">
        <v>2727</v>
      </c>
      <c r="H1870" t="s">
        <v>717</v>
      </c>
      <c r="I1870" t="s">
        <v>2729</v>
      </c>
      <c r="J1870" t="s">
        <v>37</v>
      </c>
      <c r="K1870" t="s">
        <v>32</v>
      </c>
      <c r="L1870" t="s">
        <v>35</v>
      </c>
      <c r="AQ1870">
        <v>0</v>
      </c>
      <c r="AR1870" s="3">
        <f t="shared" si="87"/>
        <v>0</v>
      </c>
      <c r="AS1870" s="3">
        <f t="shared" si="88"/>
        <v>0</v>
      </c>
      <c r="AT1870" s="3" t="str">
        <f>IF(OR(Registered!AM1870&gt;0,Registered!AO1870&gt;0),(IF(Registered!E1870=0,"Size Not Specified",Registered!E1870)),"")</f>
        <v/>
      </c>
      <c r="AU1870" s="3" t="str">
        <f>IF(Registered!AE1870=0,"",IF(Registered!AE1870=1,Registered!AE1870&amp;" Bandana",Registered!AE1870&amp;" Bandanas"))</f>
        <v/>
      </c>
      <c r="AV1870" s="3">
        <f t="shared" si="89"/>
        <v>0</v>
      </c>
      <c r="AW1870" s="2" t="str">
        <f>IF(Registered!AV1870=0,"",IF(Registered!AV1870=1,Registered!AV1870&amp;" Meal",Registered!AV1870&amp;" Meals"))</f>
        <v/>
      </c>
      <c r="AX1870" s="2" t="str">
        <f>IF(Registered!AI1870=0,"",Registered!AI1870&amp;" BG")</f>
        <v/>
      </c>
      <c r="AY1870" s="2" t="str">
        <f>IF(Registered!AG1870=0,"",Registered!AG1870&amp;" DustMask")</f>
        <v/>
      </c>
    </row>
    <row r="1871" spans="1:51" customFormat="1" x14ac:dyDescent="0.25">
      <c r="A1871" t="s">
        <v>3279</v>
      </c>
      <c r="B1871" t="s">
        <v>3278</v>
      </c>
      <c r="C1871" t="s">
        <v>6090</v>
      </c>
      <c r="D1871" t="s">
        <v>3280</v>
      </c>
      <c r="F1871" t="s">
        <v>261</v>
      </c>
      <c r="I1871" t="s">
        <v>3281</v>
      </c>
      <c r="J1871" t="s">
        <v>37</v>
      </c>
      <c r="K1871" t="s">
        <v>32</v>
      </c>
      <c r="L1871" t="s">
        <v>35</v>
      </c>
      <c r="Q1871">
        <v>1</v>
      </c>
      <c r="R1871">
        <v>3</v>
      </c>
      <c r="AC1871">
        <v>1</v>
      </c>
      <c r="AD1871">
        <v>10</v>
      </c>
      <c r="AQ1871">
        <v>13</v>
      </c>
      <c r="AR1871" s="3">
        <f t="shared" si="87"/>
        <v>5</v>
      </c>
      <c r="AS1871" s="3">
        <f t="shared" si="88"/>
        <v>0</v>
      </c>
      <c r="AT1871" s="3" t="str">
        <f>IF(OR(Registered!AM1871&gt;0,Registered!AO1871&gt;0),(IF(Registered!E1871=0,"Size Not Specified",Registered!E1871)),"")</f>
        <v/>
      </c>
      <c r="AU1871" s="3" t="str">
        <f>IF(Registered!AE1871=0,"",IF(Registered!AE1871=1,Registered!AE1871&amp;" Bandana",Registered!AE1871&amp;" Bandanas"))</f>
        <v/>
      </c>
      <c r="AV1871" s="3">
        <f t="shared" si="89"/>
        <v>0</v>
      </c>
      <c r="AW1871" s="2" t="str">
        <f>IF(Registered!AV1871=0,"",IF(Registered!AV1871=1,Registered!AV1871&amp;" Meal",Registered!AV1871&amp;" Meals"))</f>
        <v/>
      </c>
      <c r="AX1871" s="2" t="str">
        <f>IF(Registered!AI1871=0,"",Registered!AI1871&amp;" BG")</f>
        <v/>
      </c>
      <c r="AY1871" s="2" t="str">
        <f>IF(Registered!AG1871=0,"",Registered!AG1871&amp;" DustMask")</f>
        <v/>
      </c>
    </row>
    <row r="1872" spans="1:51" customFormat="1" x14ac:dyDescent="0.25">
      <c r="A1872" t="s">
        <v>163</v>
      </c>
      <c r="B1872" t="s">
        <v>3278</v>
      </c>
      <c r="C1872" t="s">
        <v>6090</v>
      </c>
      <c r="G1872" t="s">
        <v>2727</v>
      </c>
      <c r="H1872" t="s">
        <v>717</v>
      </c>
      <c r="I1872" t="s">
        <v>2729</v>
      </c>
      <c r="J1872" t="s">
        <v>37</v>
      </c>
      <c r="K1872" t="s">
        <v>32</v>
      </c>
      <c r="L1872" t="s">
        <v>35</v>
      </c>
      <c r="AQ1872">
        <v>0</v>
      </c>
      <c r="AR1872" s="3">
        <f t="shared" si="87"/>
        <v>0</v>
      </c>
      <c r="AS1872" s="3">
        <f t="shared" si="88"/>
        <v>0</v>
      </c>
      <c r="AT1872" s="3" t="str">
        <f>IF(OR(Registered!AM1872&gt;0,Registered!AO1872&gt;0),(IF(Registered!E1872=0,"Size Not Specified",Registered!E1872)),"")</f>
        <v/>
      </c>
      <c r="AU1872" s="3" t="str">
        <f>IF(Registered!AE1872=0,"",IF(Registered!AE1872=1,Registered!AE1872&amp;" Bandana",Registered!AE1872&amp;" Bandanas"))</f>
        <v/>
      </c>
      <c r="AV1872" s="3">
        <f t="shared" si="89"/>
        <v>0</v>
      </c>
      <c r="AW1872" s="2" t="str">
        <f>IF(Registered!AV1872=0,"",IF(Registered!AV1872=1,Registered!AV1872&amp;" Meal",Registered!AV1872&amp;" Meals"))</f>
        <v/>
      </c>
      <c r="AX1872" s="2" t="str">
        <f>IF(Registered!AI1872=0,"",Registered!AI1872&amp;" BG")</f>
        <v/>
      </c>
      <c r="AY1872" s="2" t="str">
        <f>IF(Registered!AG1872=0,"",Registered!AG1872&amp;" DustMask")</f>
        <v/>
      </c>
    </row>
    <row r="1873" spans="1:51" customFormat="1" x14ac:dyDescent="0.25">
      <c r="A1873" t="s">
        <v>190</v>
      </c>
      <c r="B1873" t="s">
        <v>252</v>
      </c>
      <c r="C1873" t="s">
        <v>6090</v>
      </c>
      <c r="D1873" t="s">
        <v>2115</v>
      </c>
      <c r="I1873" t="s">
        <v>688</v>
      </c>
      <c r="J1873" t="s">
        <v>37</v>
      </c>
      <c r="K1873" t="s">
        <v>32</v>
      </c>
      <c r="L1873" t="s">
        <v>35</v>
      </c>
      <c r="O1873">
        <v>2</v>
      </c>
      <c r="P1873">
        <v>3</v>
      </c>
      <c r="AC1873">
        <v>1</v>
      </c>
      <c r="AD1873">
        <v>10</v>
      </c>
      <c r="AQ1873">
        <v>16</v>
      </c>
      <c r="AR1873" s="3">
        <f t="shared" si="87"/>
        <v>5</v>
      </c>
      <c r="AS1873" s="3">
        <f t="shared" si="88"/>
        <v>0</v>
      </c>
      <c r="AT1873" s="3" t="str">
        <f>IF(OR(Registered!AM1873&gt;0,Registered!AO1873&gt;0),(IF(Registered!E1873=0,"Size Not Specified",Registered!E1873)),"")</f>
        <v/>
      </c>
      <c r="AU1873" s="3" t="str">
        <f>IF(Registered!AE1873=0,"",IF(Registered!AE1873=1,Registered!AE1873&amp;" Bandana",Registered!AE1873&amp;" Bandanas"))</f>
        <v/>
      </c>
      <c r="AV1873" s="3">
        <f t="shared" si="89"/>
        <v>0</v>
      </c>
      <c r="AW1873" s="2" t="str">
        <f>IF(Registered!AV1873=0,"",IF(Registered!AV1873=1,Registered!AV1873&amp;" Meal",Registered!AV1873&amp;" Meals"))</f>
        <v/>
      </c>
      <c r="AX1873" s="2" t="str">
        <f>IF(Registered!AI1873=0,"",Registered!AI1873&amp;" BG")</f>
        <v/>
      </c>
      <c r="AY1873" s="2" t="str">
        <f>IF(Registered!AG1873=0,"",Registered!AG1873&amp;" DustMask")</f>
        <v/>
      </c>
    </row>
    <row r="1874" spans="1:51" customFormat="1" x14ac:dyDescent="0.25">
      <c r="A1874" t="s">
        <v>1043</v>
      </c>
      <c r="B1874" t="s">
        <v>5404</v>
      </c>
      <c r="C1874" t="s">
        <v>6090</v>
      </c>
      <c r="G1874" t="s">
        <v>281</v>
      </c>
      <c r="H1874" t="s">
        <v>4026</v>
      </c>
      <c r="I1874" t="s">
        <v>4027</v>
      </c>
      <c r="J1874" t="s">
        <v>37</v>
      </c>
      <c r="K1874" t="s">
        <v>32</v>
      </c>
      <c r="L1874" t="s">
        <v>35</v>
      </c>
      <c r="AQ1874">
        <v>0</v>
      </c>
      <c r="AR1874" s="3">
        <f t="shared" si="87"/>
        <v>0</v>
      </c>
      <c r="AS1874" s="3">
        <f t="shared" si="88"/>
        <v>0</v>
      </c>
      <c r="AT1874" s="3" t="str">
        <f>IF(OR(Registered!AM1874&gt;0,Registered!AO1874&gt;0),(IF(Registered!E1874=0,"Size Not Specified",Registered!E1874)),"")</f>
        <v/>
      </c>
      <c r="AU1874" s="3" t="str">
        <f>IF(Registered!AE1874=0,"",IF(Registered!AE1874=1,Registered!AE1874&amp;" Bandana",Registered!AE1874&amp;" Bandanas"))</f>
        <v/>
      </c>
      <c r="AV1874" s="3">
        <f t="shared" si="89"/>
        <v>0</v>
      </c>
      <c r="AW1874" s="2" t="str">
        <f>IF(Registered!AV1874=0,"",IF(Registered!AV1874=1,Registered!AV1874&amp;" Meal",Registered!AV1874&amp;" Meals"))</f>
        <v/>
      </c>
      <c r="AX1874" s="2" t="str">
        <f>IF(Registered!AI1874=0,"",Registered!AI1874&amp;" BG")</f>
        <v/>
      </c>
      <c r="AY1874" s="2" t="str">
        <f>IF(Registered!AG1874=0,"",Registered!AG1874&amp;" DustMask")</f>
        <v/>
      </c>
    </row>
    <row r="1875" spans="1:51" customFormat="1" x14ac:dyDescent="0.25">
      <c r="A1875" t="s">
        <v>5127</v>
      </c>
      <c r="B1875" t="s">
        <v>5404</v>
      </c>
      <c r="C1875" t="s">
        <v>6090</v>
      </c>
      <c r="G1875" t="s">
        <v>281</v>
      </c>
      <c r="H1875" t="s">
        <v>4026</v>
      </c>
      <c r="I1875" t="s">
        <v>4027</v>
      </c>
      <c r="J1875" t="s">
        <v>37</v>
      </c>
      <c r="K1875" t="s">
        <v>32</v>
      </c>
      <c r="L1875" t="s">
        <v>35</v>
      </c>
      <c r="AQ1875">
        <v>0</v>
      </c>
      <c r="AR1875" s="3">
        <f t="shared" si="87"/>
        <v>0</v>
      </c>
      <c r="AS1875" s="3">
        <f t="shared" si="88"/>
        <v>0</v>
      </c>
      <c r="AT1875" s="3" t="str">
        <f>IF(OR(Registered!AM1875&gt;0,Registered!AO1875&gt;0),(IF(Registered!E1875=0,"Size Not Specified",Registered!E1875)),"")</f>
        <v/>
      </c>
      <c r="AU1875" s="3" t="str">
        <f>IF(Registered!AE1875=0,"",IF(Registered!AE1875=1,Registered!AE1875&amp;" Bandana",Registered!AE1875&amp;" Bandanas"))</f>
        <v/>
      </c>
      <c r="AV1875" s="3">
        <f t="shared" si="89"/>
        <v>0</v>
      </c>
      <c r="AW1875" s="2" t="str">
        <f>IF(Registered!AV1875=0,"",IF(Registered!AV1875=1,Registered!AV1875&amp;" Meal",Registered!AV1875&amp;" Meals"))</f>
        <v/>
      </c>
      <c r="AX1875" s="2" t="str">
        <f>IF(Registered!AI1875=0,"",Registered!AI1875&amp;" BG")</f>
        <v/>
      </c>
      <c r="AY1875" s="2" t="str">
        <f>IF(Registered!AG1875=0,"",Registered!AG1875&amp;" DustMask")</f>
        <v/>
      </c>
    </row>
    <row r="1876" spans="1:51" customFormat="1" x14ac:dyDescent="0.25">
      <c r="A1876" t="s">
        <v>5405</v>
      </c>
      <c r="B1876" t="s">
        <v>5406</v>
      </c>
      <c r="C1876" t="s">
        <v>6090</v>
      </c>
      <c r="G1876" t="s">
        <v>5407</v>
      </c>
      <c r="H1876" t="s">
        <v>5408</v>
      </c>
      <c r="I1876" t="s">
        <v>5409</v>
      </c>
      <c r="J1876" t="s">
        <v>37</v>
      </c>
      <c r="K1876" t="s">
        <v>32</v>
      </c>
      <c r="L1876" t="s">
        <v>35</v>
      </c>
      <c r="AQ1876">
        <v>0</v>
      </c>
      <c r="AR1876" s="3">
        <f t="shared" si="87"/>
        <v>0</v>
      </c>
      <c r="AS1876" s="3">
        <f t="shared" si="88"/>
        <v>0</v>
      </c>
      <c r="AT1876" s="3" t="str">
        <f>IF(OR(Registered!AM1876&gt;0,Registered!AO1876&gt;0),(IF(Registered!E1876=0,"Size Not Specified",Registered!E1876)),"")</f>
        <v/>
      </c>
      <c r="AU1876" s="3" t="str">
        <f>IF(Registered!AE1876=0,"",IF(Registered!AE1876=1,Registered!AE1876&amp;" Bandana",Registered!AE1876&amp;" Bandanas"))</f>
        <v/>
      </c>
      <c r="AV1876" s="3">
        <f t="shared" si="89"/>
        <v>0</v>
      </c>
      <c r="AW1876" s="2" t="str">
        <f>IF(Registered!AV1876=0,"",IF(Registered!AV1876=1,Registered!AV1876&amp;" Meal",Registered!AV1876&amp;" Meals"))</f>
        <v/>
      </c>
      <c r="AX1876" s="2" t="str">
        <f>IF(Registered!AI1876=0,"",Registered!AI1876&amp;" BG")</f>
        <v/>
      </c>
      <c r="AY1876" s="2" t="str">
        <f>IF(Registered!AG1876=0,"",Registered!AG1876&amp;" DustMask")</f>
        <v/>
      </c>
    </row>
    <row r="1877" spans="1:51" customFormat="1" x14ac:dyDescent="0.25">
      <c r="A1877" t="s">
        <v>2116</v>
      </c>
      <c r="B1877" t="s">
        <v>2117</v>
      </c>
      <c r="C1877" t="s">
        <v>6090</v>
      </c>
      <c r="G1877" t="s">
        <v>1251</v>
      </c>
      <c r="H1877" t="s">
        <v>1252</v>
      </c>
      <c r="I1877" t="s">
        <v>1254</v>
      </c>
      <c r="J1877" t="s">
        <v>37</v>
      </c>
      <c r="K1877" t="s">
        <v>32</v>
      </c>
      <c r="L1877" t="s">
        <v>35</v>
      </c>
      <c r="AQ1877">
        <v>0</v>
      </c>
      <c r="AR1877" s="3">
        <f t="shared" si="87"/>
        <v>0</v>
      </c>
      <c r="AS1877" s="3">
        <f t="shared" si="88"/>
        <v>0</v>
      </c>
      <c r="AT1877" s="3" t="str">
        <f>IF(OR(Registered!AM1877&gt;0,Registered!AO1877&gt;0),(IF(Registered!E1877=0,"Size Not Specified",Registered!E1877)),"")</f>
        <v/>
      </c>
      <c r="AU1877" s="3" t="str">
        <f>IF(Registered!AE1877=0,"",IF(Registered!AE1877=1,Registered!AE1877&amp;" Bandana",Registered!AE1877&amp;" Bandanas"))</f>
        <v/>
      </c>
      <c r="AV1877" s="3">
        <f t="shared" si="89"/>
        <v>0</v>
      </c>
      <c r="AW1877" s="2" t="str">
        <f>IF(Registered!AV1877=0,"",IF(Registered!AV1877=1,Registered!AV1877&amp;" Meal",Registered!AV1877&amp;" Meals"))</f>
        <v/>
      </c>
      <c r="AX1877" s="2" t="str">
        <f>IF(Registered!AI1877=0,"",Registered!AI1877&amp;" BG")</f>
        <v/>
      </c>
      <c r="AY1877" s="2" t="str">
        <f>IF(Registered!AG1877=0,"",Registered!AG1877&amp;" DustMask")</f>
        <v/>
      </c>
    </row>
    <row r="1878" spans="1:51" customFormat="1" x14ac:dyDescent="0.25">
      <c r="A1878" t="s">
        <v>2118</v>
      </c>
      <c r="B1878" t="s">
        <v>2117</v>
      </c>
      <c r="C1878" t="s">
        <v>6090</v>
      </c>
      <c r="G1878" t="s">
        <v>1251</v>
      </c>
      <c r="H1878" t="s">
        <v>1252</v>
      </c>
      <c r="I1878" t="s">
        <v>1254</v>
      </c>
      <c r="J1878" t="s">
        <v>37</v>
      </c>
      <c r="K1878" t="s">
        <v>32</v>
      </c>
      <c r="L1878" t="s">
        <v>35</v>
      </c>
      <c r="AQ1878">
        <v>0</v>
      </c>
      <c r="AR1878" s="3">
        <f t="shared" si="87"/>
        <v>0</v>
      </c>
      <c r="AS1878" s="3">
        <f t="shared" si="88"/>
        <v>0</v>
      </c>
      <c r="AT1878" s="3" t="str">
        <f>IF(OR(Registered!AM1878&gt;0,Registered!AO1878&gt;0),(IF(Registered!E1878=0,"Size Not Specified",Registered!E1878)),"")</f>
        <v/>
      </c>
      <c r="AU1878" s="3" t="str">
        <f>IF(Registered!AE1878=0,"",IF(Registered!AE1878=1,Registered!AE1878&amp;" Bandana",Registered!AE1878&amp;" Bandanas"))</f>
        <v/>
      </c>
      <c r="AV1878" s="3">
        <f t="shared" si="89"/>
        <v>0</v>
      </c>
      <c r="AW1878" s="2" t="str">
        <f>IF(Registered!AV1878=0,"",IF(Registered!AV1878=1,Registered!AV1878&amp;" Meal",Registered!AV1878&amp;" Meals"))</f>
        <v/>
      </c>
      <c r="AX1878" s="2" t="str">
        <f>IF(Registered!AI1878=0,"",Registered!AI1878&amp;" BG")</f>
        <v/>
      </c>
      <c r="AY1878" s="2" t="str">
        <f>IF(Registered!AG1878=0,"",Registered!AG1878&amp;" DustMask")</f>
        <v/>
      </c>
    </row>
    <row r="1879" spans="1:51" customFormat="1" x14ac:dyDescent="0.25">
      <c r="A1879" t="s">
        <v>5416</v>
      </c>
      <c r="B1879" t="s">
        <v>4023</v>
      </c>
      <c r="C1879" t="s">
        <v>6090</v>
      </c>
      <c r="D1879" t="s">
        <v>5416</v>
      </c>
      <c r="E1879" t="s">
        <v>5417</v>
      </c>
      <c r="F1879" t="s">
        <v>261</v>
      </c>
      <c r="I1879" t="s">
        <v>5418</v>
      </c>
      <c r="J1879" t="s">
        <v>37</v>
      </c>
      <c r="K1879" t="s">
        <v>32</v>
      </c>
      <c r="L1879" t="s">
        <v>35</v>
      </c>
      <c r="Q1879">
        <v>1</v>
      </c>
      <c r="R1879">
        <v>3</v>
      </c>
      <c r="AM1879">
        <v>1</v>
      </c>
      <c r="AN1879">
        <v>25</v>
      </c>
      <c r="AQ1879">
        <v>28</v>
      </c>
      <c r="AR1879" s="3">
        <f t="shared" si="87"/>
        <v>5</v>
      </c>
      <c r="AS1879" s="3">
        <f t="shared" si="88"/>
        <v>1</v>
      </c>
      <c r="AT1879" s="3" t="str">
        <f>IF(OR(Registered!AM1879&gt;0,Registered!AO1879&gt;0),(IF(Registered!E1879=0,"Size Not Specified",Registered!E1879)),"")</f>
        <v>Adult Large</v>
      </c>
      <c r="AU1879" s="3" t="str">
        <f>IF(Registered!AE1879=0,"",IF(Registered!AE1879=1,Registered!AE1879&amp;" Bandana",Registered!AE1879&amp;" Bandanas"))</f>
        <v/>
      </c>
      <c r="AV1879" s="3">
        <f t="shared" si="89"/>
        <v>1</v>
      </c>
      <c r="AW1879" s="2" t="str">
        <f>IF(Registered!AV1879=0,"",IF(Registered!AV1879=1,Registered!AV1879&amp;" Meal",Registered!AV1879&amp;" Meals"))</f>
        <v>1 Meal</v>
      </c>
      <c r="AX1879" s="2" t="str">
        <f>IF(Registered!AI1879=0,"",Registered!AI1879&amp;" BG")</f>
        <v/>
      </c>
      <c r="AY1879" s="2" t="str">
        <f>IF(Registered!AG1879=0,"",Registered!AG1879&amp;" DustMask")</f>
        <v/>
      </c>
    </row>
    <row r="1880" spans="1:51" customFormat="1" x14ac:dyDescent="0.25">
      <c r="A1880" t="s">
        <v>4022</v>
      </c>
      <c r="B1880" t="s">
        <v>4023</v>
      </c>
      <c r="C1880" t="s">
        <v>6090</v>
      </c>
      <c r="D1880" t="s">
        <v>5419</v>
      </c>
      <c r="E1880" t="s">
        <v>5420</v>
      </c>
      <c r="F1880" t="s">
        <v>261</v>
      </c>
      <c r="I1880" t="s">
        <v>4024</v>
      </c>
      <c r="J1880" t="s">
        <v>37</v>
      </c>
      <c r="K1880" t="s">
        <v>32</v>
      </c>
      <c r="L1880" t="s">
        <v>35</v>
      </c>
      <c r="Q1880">
        <v>4</v>
      </c>
      <c r="R1880">
        <v>3</v>
      </c>
      <c r="Y1880">
        <v>1</v>
      </c>
      <c r="Z1880">
        <v>60</v>
      </c>
      <c r="AG1880">
        <v>2</v>
      </c>
      <c r="AH1880">
        <v>1</v>
      </c>
      <c r="AM1880">
        <v>4</v>
      </c>
      <c r="AN1880">
        <v>25</v>
      </c>
      <c r="AO1880">
        <v>4</v>
      </c>
      <c r="AP1880">
        <v>10</v>
      </c>
      <c r="AQ1880">
        <v>214</v>
      </c>
      <c r="AR1880" s="3">
        <f t="shared" si="87"/>
        <v>50</v>
      </c>
      <c r="AS1880" s="3">
        <f t="shared" si="88"/>
        <v>8</v>
      </c>
      <c r="AT1880" s="3" t="str">
        <f>IF(OR(Registered!AM1880&gt;0,Registered!AO1880&gt;0),(IF(Registered!E1880=0,"Size Not Specified",Registered!E1880)),"")</f>
        <v>L, M, S, S</v>
      </c>
      <c r="AU1880" s="3" t="str">
        <f>IF(Registered!AE1880=0,"",IF(Registered!AE1880=1,Registered!AE1880&amp;" Bandana",Registered!AE1880&amp;" Bandanas"))</f>
        <v/>
      </c>
      <c r="AV1880" s="3">
        <f t="shared" si="89"/>
        <v>4</v>
      </c>
      <c r="AW1880" s="2" t="str">
        <f>IF(Registered!AV1880=0,"",IF(Registered!AV1880=1,Registered!AV1880&amp;" Meal",Registered!AV1880&amp;" Meals"))</f>
        <v>4 Meals</v>
      </c>
      <c r="AX1880" s="2" t="str">
        <f>IF(Registered!AI1880=0,"",Registered!AI1880&amp;" BG")</f>
        <v/>
      </c>
      <c r="AY1880" s="2" t="str">
        <f>IF(Registered!AG1880=0,"",Registered!AG1880&amp;" DustMask")</f>
        <v>2 DustMask</v>
      </c>
    </row>
    <row r="1881" spans="1:51" customFormat="1" x14ac:dyDescent="0.25">
      <c r="A1881" t="s">
        <v>5421</v>
      </c>
      <c r="B1881" t="s">
        <v>5422</v>
      </c>
      <c r="C1881" t="s">
        <v>6090</v>
      </c>
      <c r="F1881" t="s">
        <v>261</v>
      </c>
      <c r="I1881" t="s">
        <v>5423</v>
      </c>
      <c r="J1881" t="s">
        <v>37</v>
      </c>
      <c r="K1881" t="s">
        <v>32</v>
      </c>
      <c r="L1881" t="s">
        <v>35</v>
      </c>
      <c r="Q1881">
        <v>1</v>
      </c>
      <c r="R1881">
        <v>3</v>
      </c>
      <c r="AK1881">
        <v>1</v>
      </c>
      <c r="AL1881">
        <v>6</v>
      </c>
      <c r="AQ1881">
        <v>9</v>
      </c>
      <c r="AR1881" s="3">
        <f t="shared" si="87"/>
        <v>0</v>
      </c>
      <c r="AS1881" s="3">
        <f t="shared" si="88"/>
        <v>0</v>
      </c>
      <c r="AT1881" s="3" t="str">
        <f>IF(OR(Registered!AM1881&gt;0,Registered!AO1881&gt;0),(IF(Registered!E1881=0,"Size Not Specified",Registered!E1881)),"")</f>
        <v/>
      </c>
      <c r="AU1881" s="3" t="str">
        <f>IF(Registered!AE1881=0,"",IF(Registered!AE1881=1,Registered!AE1881&amp;" Bandana",Registered!AE1881&amp;" Bandanas"))</f>
        <v/>
      </c>
      <c r="AV1881" s="3">
        <f t="shared" si="89"/>
        <v>1</v>
      </c>
      <c r="AW1881" s="2" t="str">
        <f>IF(Registered!AV1881=0,"",IF(Registered!AV1881=1,Registered!AV1881&amp;" Meal",Registered!AV1881&amp;" Meals"))</f>
        <v>1 Meal</v>
      </c>
      <c r="AX1881" s="2" t="str">
        <f>IF(Registered!AI1881=0,"",Registered!AI1881&amp;" BG")</f>
        <v/>
      </c>
      <c r="AY1881" s="2" t="str">
        <f>IF(Registered!AG1881=0,"",Registered!AG1881&amp;" DustMask")</f>
        <v/>
      </c>
    </row>
    <row r="1882" spans="1:51" customFormat="1" x14ac:dyDescent="0.25">
      <c r="A1882" t="s">
        <v>5424</v>
      </c>
      <c r="B1882" t="s">
        <v>3111</v>
      </c>
      <c r="C1882" t="s">
        <v>6090</v>
      </c>
      <c r="G1882" t="s">
        <v>194</v>
      </c>
      <c r="H1882" t="s">
        <v>3762</v>
      </c>
      <c r="I1882" t="s">
        <v>3764</v>
      </c>
      <c r="J1882" t="s">
        <v>37</v>
      </c>
      <c r="K1882" t="s">
        <v>32</v>
      </c>
      <c r="L1882" t="s">
        <v>35</v>
      </c>
      <c r="AQ1882">
        <v>0</v>
      </c>
      <c r="AR1882" s="3">
        <f t="shared" si="87"/>
        <v>0</v>
      </c>
      <c r="AS1882" s="3">
        <f t="shared" si="88"/>
        <v>0</v>
      </c>
      <c r="AT1882" s="3" t="str">
        <f>IF(OR(Registered!AM1882&gt;0,Registered!AO1882&gt;0),(IF(Registered!E1882=0,"Size Not Specified",Registered!E1882)),"")</f>
        <v/>
      </c>
      <c r="AU1882" s="3" t="str">
        <f>IF(Registered!AE1882=0,"",IF(Registered!AE1882=1,Registered!AE1882&amp;" Bandana",Registered!AE1882&amp;" Bandanas"))</f>
        <v/>
      </c>
      <c r="AV1882" s="3">
        <f t="shared" si="89"/>
        <v>0</v>
      </c>
      <c r="AW1882" s="2" t="str">
        <f>IF(Registered!AV1882=0,"",IF(Registered!AV1882=1,Registered!AV1882&amp;" Meal",Registered!AV1882&amp;" Meals"))</f>
        <v/>
      </c>
      <c r="AX1882" s="2" t="str">
        <f>IF(Registered!AI1882=0,"",Registered!AI1882&amp;" BG")</f>
        <v/>
      </c>
      <c r="AY1882" s="2" t="str">
        <f>IF(Registered!AG1882=0,"",Registered!AG1882&amp;" DustMask")</f>
        <v/>
      </c>
    </row>
    <row r="1883" spans="1:51" customFormat="1" x14ac:dyDescent="0.25">
      <c r="A1883" t="s">
        <v>3964</v>
      </c>
      <c r="B1883" t="s">
        <v>3965</v>
      </c>
      <c r="C1883" t="s">
        <v>6090</v>
      </c>
      <c r="D1883" t="s">
        <v>70</v>
      </c>
      <c r="F1883" t="s">
        <v>261</v>
      </c>
      <c r="I1883" t="s">
        <v>3966</v>
      </c>
      <c r="J1883" t="s">
        <v>37</v>
      </c>
      <c r="K1883" t="s">
        <v>32</v>
      </c>
      <c r="L1883" t="s">
        <v>35</v>
      </c>
      <c r="Q1883">
        <v>3</v>
      </c>
      <c r="R1883">
        <v>3</v>
      </c>
      <c r="AC1883">
        <v>1</v>
      </c>
      <c r="AD1883">
        <v>10</v>
      </c>
      <c r="AQ1883">
        <v>19</v>
      </c>
      <c r="AR1883" s="3">
        <f t="shared" si="87"/>
        <v>5</v>
      </c>
      <c r="AS1883" s="3">
        <f t="shared" si="88"/>
        <v>0</v>
      </c>
      <c r="AT1883" s="3" t="str">
        <f>IF(OR(Registered!AM1883&gt;0,Registered!AO1883&gt;0),(IF(Registered!E1883=0,"Size Not Specified",Registered!E1883)),"")</f>
        <v/>
      </c>
      <c r="AU1883" s="3" t="str">
        <f>IF(Registered!AE1883=0,"",IF(Registered!AE1883=1,Registered!AE1883&amp;" Bandana",Registered!AE1883&amp;" Bandanas"))</f>
        <v/>
      </c>
      <c r="AV1883" s="3">
        <f t="shared" si="89"/>
        <v>0</v>
      </c>
      <c r="AW1883" s="2" t="str">
        <f>IF(Registered!AV1883=0,"",IF(Registered!AV1883=1,Registered!AV1883&amp;" Meal",Registered!AV1883&amp;" Meals"))</f>
        <v/>
      </c>
      <c r="AX1883" s="2" t="str">
        <f>IF(Registered!AI1883=0,"",Registered!AI1883&amp;" BG")</f>
        <v/>
      </c>
      <c r="AY1883" s="2" t="str">
        <f>IF(Registered!AG1883=0,"",Registered!AG1883&amp;" DustMask")</f>
        <v/>
      </c>
    </row>
    <row r="1884" spans="1:51" customFormat="1" x14ac:dyDescent="0.25">
      <c r="A1884" t="s">
        <v>4358</v>
      </c>
      <c r="B1884" t="s">
        <v>4359</v>
      </c>
      <c r="C1884" t="s">
        <v>6090</v>
      </c>
      <c r="D1884" t="s">
        <v>5425</v>
      </c>
      <c r="F1884" t="s">
        <v>261</v>
      </c>
      <c r="I1884" t="s">
        <v>4360</v>
      </c>
      <c r="J1884" t="s">
        <v>37</v>
      </c>
      <c r="K1884" t="s">
        <v>32</v>
      </c>
      <c r="L1884" t="s">
        <v>35</v>
      </c>
      <c r="Q1884">
        <v>5</v>
      </c>
      <c r="R1884">
        <v>3</v>
      </c>
      <c r="AA1884">
        <v>1</v>
      </c>
      <c r="AB1884">
        <v>75</v>
      </c>
      <c r="AQ1884">
        <v>90</v>
      </c>
      <c r="AR1884" s="3">
        <f t="shared" si="87"/>
        <v>40</v>
      </c>
      <c r="AS1884" s="3">
        <f t="shared" si="88"/>
        <v>0</v>
      </c>
      <c r="AT1884" s="3" t="str">
        <f>IF(OR(Registered!AM1884&gt;0,Registered!AO1884&gt;0),(IF(Registered!E1884=0,"Size Not Specified",Registered!E1884)),"")</f>
        <v/>
      </c>
      <c r="AU1884" s="3" t="str">
        <f>IF(Registered!AE1884=0,"",IF(Registered!AE1884=1,Registered!AE1884&amp;" Bandana",Registered!AE1884&amp;" Bandanas"))</f>
        <v/>
      </c>
      <c r="AV1884" s="3">
        <f t="shared" si="89"/>
        <v>0</v>
      </c>
      <c r="AW1884" s="2" t="str">
        <f>IF(Registered!AV1884=0,"",IF(Registered!AV1884=1,Registered!AV1884&amp;" Meal",Registered!AV1884&amp;" Meals"))</f>
        <v/>
      </c>
      <c r="AX1884" s="2" t="str">
        <f>IF(Registered!AI1884=0,"",Registered!AI1884&amp;" BG")</f>
        <v/>
      </c>
      <c r="AY1884" s="2" t="str">
        <f>IF(Registered!AG1884=0,"",Registered!AG1884&amp;" DustMask")</f>
        <v/>
      </c>
    </row>
    <row r="1885" spans="1:51" customFormat="1" x14ac:dyDescent="0.25">
      <c r="A1885" t="s">
        <v>331</v>
      </c>
      <c r="B1885" t="s">
        <v>347</v>
      </c>
      <c r="C1885" t="s">
        <v>6090</v>
      </c>
      <c r="G1885" t="s">
        <v>953</v>
      </c>
      <c r="H1885" t="s">
        <v>278</v>
      </c>
      <c r="I1885" t="s">
        <v>2807</v>
      </c>
      <c r="J1885" t="s">
        <v>37</v>
      </c>
      <c r="K1885" t="s">
        <v>32</v>
      </c>
      <c r="L1885" t="s">
        <v>35</v>
      </c>
      <c r="AQ1885">
        <v>0</v>
      </c>
      <c r="AR1885" s="3">
        <f t="shared" si="87"/>
        <v>0</v>
      </c>
      <c r="AS1885" s="3">
        <f t="shared" si="88"/>
        <v>0</v>
      </c>
      <c r="AT1885" s="3" t="str">
        <f>IF(OR(Registered!AM1885&gt;0,Registered!AO1885&gt;0),(IF(Registered!E1885=0,"Size Not Specified",Registered!E1885)),"")</f>
        <v/>
      </c>
      <c r="AU1885" s="3" t="str">
        <f>IF(Registered!AE1885=0,"",IF(Registered!AE1885=1,Registered!AE1885&amp;" Bandana",Registered!AE1885&amp;" Bandanas"))</f>
        <v/>
      </c>
      <c r="AV1885" s="3">
        <f t="shared" si="89"/>
        <v>0</v>
      </c>
      <c r="AW1885" s="2" t="str">
        <f>IF(Registered!AV1885=0,"",IF(Registered!AV1885=1,Registered!AV1885&amp;" Meal",Registered!AV1885&amp;" Meals"))</f>
        <v/>
      </c>
      <c r="AX1885" s="2" t="str">
        <f>IF(Registered!AI1885=0,"",Registered!AI1885&amp;" BG")</f>
        <v/>
      </c>
      <c r="AY1885" s="2" t="str">
        <f>IF(Registered!AG1885=0,"",Registered!AG1885&amp;" DustMask")</f>
        <v/>
      </c>
    </row>
    <row r="1886" spans="1:51" customFormat="1" x14ac:dyDescent="0.25">
      <c r="A1886" t="s">
        <v>91</v>
      </c>
      <c r="B1886" t="s">
        <v>3283</v>
      </c>
      <c r="C1886" t="s">
        <v>6090</v>
      </c>
      <c r="D1886" t="s">
        <v>3284</v>
      </c>
      <c r="F1886" t="s">
        <v>261</v>
      </c>
      <c r="I1886" t="s">
        <v>3285</v>
      </c>
      <c r="J1886" t="s">
        <v>37</v>
      </c>
      <c r="K1886" t="s">
        <v>32</v>
      </c>
      <c r="L1886" t="s">
        <v>35</v>
      </c>
      <c r="Q1886">
        <v>1</v>
      </c>
      <c r="R1886">
        <v>3</v>
      </c>
      <c r="AC1886">
        <v>1</v>
      </c>
      <c r="AD1886">
        <v>10</v>
      </c>
      <c r="AQ1886">
        <v>13</v>
      </c>
      <c r="AR1886" s="3">
        <f t="shared" si="87"/>
        <v>5</v>
      </c>
      <c r="AS1886" s="3">
        <f t="shared" si="88"/>
        <v>0</v>
      </c>
      <c r="AT1886" s="3" t="str">
        <f>IF(OR(Registered!AM1886&gt;0,Registered!AO1886&gt;0),(IF(Registered!E1886=0,"Size Not Specified",Registered!E1886)),"")</f>
        <v/>
      </c>
      <c r="AU1886" s="3" t="str">
        <f>IF(Registered!AE1886=0,"",IF(Registered!AE1886=1,Registered!AE1886&amp;" Bandana",Registered!AE1886&amp;" Bandanas"))</f>
        <v/>
      </c>
      <c r="AV1886" s="3">
        <f t="shared" si="89"/>
        <v>0</v>
      </c>
      <c r="AW1886" s="2" t="str">
        <f>IF(Registered!AV1886=0,"",IF(Registered!AV1886=1,Registered!AV1886&amp;" Meal",Registered!AV1886&amp;" Meals"))</f>
        <v/>
      </c>
      <c r="AX1886" s="2" t="str">
        <f>IF(Registered!AI1886=0,"",Registered!AI1886&amp;" BG")</f>
        <v/>
      </c>
      <c r="AY1886" s="2" t="str">
        <f>IF(Registered!AG1886=0,"",Registered!AG1886&amp;" DustMask")</f>
        <v/>
      </c>
    </row>
    <row r="1887" spans="1:51" customFormat="1" x14ac:dyDescent="0.25">
      <c r="A1887" t="s">
        <v>141</v>
      </c>
      <c r="B1887" t="s">
        <v>3286</v>
      </c>
      <c r="C1887" t="s">
        <v>6090</v>
      </c>
      <c r="D1887" t="s">
        <v>3287</v>
      </c>
      <c r="F1887" t="s">
        <v>261</v>
      </c>
      <c r="I1887" t="s">
        <v>3288</v>
      </c>
      <c r="J1887" t="s">
        <v>37</v>
      </c>
      <c r="K1887" t="s">
        <v>32</v>
      </c>
      <c r="L1887" t="s">
        <v>35</v>
      </c>
      <c r="Q1887">
        <v>1</v>
      </c>
      <c r="R1887">
        <v>3</v>
      </c>
      <c r="Y1887">
        <v>1</v>
      </c>
      <c r="Z1887">
        <v>60</v>
      </c>
      <c r="AQ1887">
        <v>63</v>
      </c>
      <c r="AR1887" s="3">
        <f t="shared" si="87"/>
        <v>30</v>
      </c>
      <c r="AS1887" s="3">
        <f t="shared" si="88"/>
        <v>0</v>
      </c>
      <c r="AT1887" s="3" t="str">
        <f>IF(OR(Registered!AM1887&gt;0,Registered!AO1887&gt;0),(IF(Registered!E1887=0,"Size Not Specified",Registered!E1887)),"")</f>
        <v/>
      </c>
      <c r="AU1887" s="3" t="str">
        <f>IF(Registered!AE1887=0,"",IF(Registered!AE1887=1,Registered!AE1887&amp;" Bandana",Registered!AE1887&amp;" Bandanas"))</f>
        <v/>
      </c>
      <c r="AV1887" s="3">
        <f t="shared" si="89"/>
        <v>0</v>
      </c>
      <c r="AW1887" s="2" t="str">
        <f>IF(Registered!AV1887=0,"",IF(Registered!AV1887=1,Registered!AV1887&amp;" Meal",Registered!AV1887&amp;" Meals"))</f>
        <v/>
      </c>
      <c r="AX1887" s="2" t="str">
        <f>IF(Registered!AI1887=0,"",Registered!AI1887&amp;" BG")</f>
        <v/>
      </c>
      <c r="AY1887" s="2" t="str">
        <f>IF(Registered!AG1887=0,"",Registered!AG1887&amp;" DustMask")</f>
        <v/>
      </c>
    </row>
    <row r="1888" spans="1:51" customFormat="1" x14ac:dyDescent="0.25">
      <c r="A1888" t="s">
        <v>4884</v>
      </c>
      <c r="B1888" t="s">
        <v>4885</v>
      </c>
      <c r="C1888" t="s">
        <v>6090</v>
      </c>
      <c r="D1888" t="s">
        <v>307</v>
      </c>
      <c r="F1888" t="s">
        <v>261</v>
      </c>
      <c r="I1888" t="s">
        <v>4886</v>
      </c>
      <c r="J1888" t="s">
        <v>37</v>
      </c>
      <c r="K1888" t="s">
        <v>32</v>
      </c>
      <c r="L1888" t="s">
        <v>35</v>
      </c>
      <c r="Q1888">
        <v>3</v>
      </c>
      <c r="R1888">
        <v>3</v>
      </c>
      <c r="AQ1888">
        <v>9</v>
      </c>
      <c r="AR1888" s="3">
        <f t="shared" si="87"/>
        <v>0</v>
      </c>
      <c r="AS1888" s="3">
        <f t="shared" si="88"/>
        <v>0</v>
      </c>
      <c r="AT1888" s="3" t="str">
        <f>IF(OR(Registered!AM1888&gt;0,Registered!AO1888&gt;0),(IF(Registered!E1888=0,"Size Not Specified",Registered!E1888)),"")</f>
        <v/>
      </c>
      <c r="AU1888" s="3" t="str">
        <f>IF(Registered!AE1888=0,"",IF(Registered!AE1888=1,Registered!AE1888&amp;" Bandana",Registered!AE1888&amp;" Bandanas"))</f>
        <v/>
      </c>
      <c r="AV1888" s="3">
        <f t="shared" si="89"/>
        <v>0</v>
      </c>
      <c r="AW1888" s="2" t="str">
        <f>IF(Registered!AV1888=0,"",IF(Registered!AV1888=1,Registered!AV1888&amp;" Meal",Registered!AV1888&amp;" Meals"))</f>
        <v/>
      </c>
      <c r="AX1888" s="2" t="str">
        <f>IF(Registered!AI1888=0,"",Registered!AI1888&amp;" BG")</f>
        <v/>
      </c>
      <c r="AY1888" s="2" t="str">
        <f>IF(Registered!AG1888=0,"",Registered!AG1888&amp;" DustMask")</f>
        <v/>
      </c>
    </row>
    <row r="1889" spans="1:51" customFormat="1" x14ac:dyDescent="0.25">
      <c r="A1889" t="s">
        <v>2119</v>
      </c>
      <c r="B1889" t="s">
        <v>254</v>
      </c>
      <c r="C1889" t="s">
        <v>6090</v>
      </c>
      <c r="G1889" t="s">
        <v>2120</v>
      </c>
      <c r="H1889" t="s">
        <v>254</v>
      </c>
      <c r="I1889" t="s">
        <v>2121</v>
      </c>
      <c r="J1889" t="s">
        <v>37</v>
      </c>
      <c r="K1889" t="s">
        <v>32</v>
      </c>
      <c r="L1889" t="s">
        <v>35</v>
      </c>
      <c r="AQ1889">
        <v>0</v>
      </c>
      <c r="AR1889" s="3">
        <f t="shared" si="87"/>
        <v>0</v>
      </c>
      <c r="AS1889" s="3">
        <f t="shared" si="88"/>
        <v>0</v>
      </c>
      <c r="AT1889" s="3" t="str">
        <f>IF(OR(Registered!AM1889&gt;0,Registered!AO1889&gt;0),(IF(Registered!E1889=0,"Size Not Specified",Registered!E1889)),"")</f>
        <v/>
      </c>
      <c r="AU1889" s="3" t="str">
        <f>IF(Registered!AE1889=0,"",IF(Registered!AE1889=1,Registered!AE1889&amp;" Bandana",Registered!AE1889&amp;" Bandanas"))</f>
        <v/>
      </c>
      <c r="AV1889" s="3">
        <f t="shared" si="89"/>
        <v>0</v>
      </c>
      <c r="AW1889" s="2" t="str">
        <f>IF(Registered!AV1889=0,"",IF(Registered!AV1889=1,Registered!AV1889&amp;" Meal",Registered!AV1889&amp;" Meals"))</f>
        <v/>
      </c>
      <c r="AX1889" s="2" t="str">
        <f>IF(Registered!AI1889=0,"",Registered!AI1889&amp;" BG")</f>
        <v/>
      </c>
      <c r="AY1889" s="2" t="str">
        <f>IF(Registered!AG1889=0,"",Registered!AG1889&amp;" DustMask")</f>
        <v/>
      </c>
    </row>
    <row r="1890" spans="1:51" customFormat="1" x14ac:dyDescent="0.25">
      <c r="A1890" t="s">
        <v>2120</v>
      </c>
      <c r="B1890" t="s">
        <v>254</v>
      </c>
      <c r="C1890" t="s">
        <v>6090</v>
      </c>
      <c r="D1890" t="s">
        <v>2120</v>
      </c>
      <c r="F1890" t="s">
        <v>261</v>
      </c>
      <c r="I1890" t="s">
        <v>2121</v>
      </c>
      <c r="J1890" t="s">
        <v>37</v>
      </c>
      <c r="K1890" t="s">
        <v>32</v>
      </c>
      <c r="L1890" t="s">
        <v>35</v>
      </c>
      <c r="S1890">
        <v>2</v>
      </c>
      <c r="T1890">
        <v>3</v>
      </c>
      <c r="AA1890">
        <v>1</v>
      </c>
      <c r="AB1890">
        <v>75</v>
      </c>
      <c r="AQ1890">
        <v>81</v>
      </c>
      <c r="AR1890" s="3">
        <f t="shared" si="87"/>
        <v>40</v>
      </c>
      <c r="AS1890" s="3">
        <f t="shared" si="88"/>
        <v>0</v>
      </c>
      <c r="AT1890" s="3" t="str">
        <f>IF(OR(Registered!AM1890&gt;0,Registered!AO1890&gt;0),(IF(Registered!E1890=0,"Size Not Specified",Registered!E1890)),"")</f>
        <v/>
      </c>
      <c r="AU1890" s="3" t="str">
        <f>IF(Registered!AE1890=0,"",IF(Registered!AE1890=1,Registered!AE1890&amp;" Bandana",Registered!AE1890&amp;" Bandanas"))</f>
        <v/>
      </c>
      <c r="AV1890" s="3">
        <f t="shared" si="89"/>
        <v>0</v>
      </c>
      <c r="AW1890" s="2" t="str">
        <f>IF(Registered!AV1890=0,"",IF(Registered!AV1890=1,Registered!AV1890&amp;" Meal",Registered!AV1890&amp;" Meals"))</f>
        <v/>
      </c>
      <c r="AX1890" s="2" t="str">
        <f>IF(Registered!AI1890=0,"",Registered!AI1890&amp;" BG")</f>
        <v/>
      </c>
      <c r="AY1890" s="2" t="str">
        <f>IF(Registered!AG1890=0,"",Registered!AG1890&amp;" DustMask")</f>
        <v/>
      </c>
    </row>
    <row r="1891" spans="1:51" customFormat="1" x14ac:dyDescent="0.25">
      <c r="A1891" t="s">
        <v>2122</v>
      </c>
      <c r="B1891" t="s">
        <v>2123</v>
      </c>
      <c r="C1891" t="s">
        <v>6090</v>
      </c>
      <c r="D1891" t="s">
        <v>2124</v>
      </c>
      <c r="E1891" t="s">
        <v>117</v>
      </c>
      <c r="I1891" t="s">
        <v>2125</v>
      </c>
      <c r="J1891" t="s">
        <v>37</v>
      </c>
      <c r="K1891" t="s">
        <v>32</v>
      </c>
      <c r="L1891" t="s">
        <v>35</v>
      </c>
      <c r="O1891">
        <v>1</v>
      </c>
      <c r="P1891">
        <v>3</v>
      </c>
      <c r="AM1891">
        <v>2</v>
      </c>
      <c r="AN1891">
        <v>25</v>
      </c>
      <c r="AQ1891">
        <v>53</v>
      </c>
      <c r="AR1891" s="3">
        <f t="shared" si="87"/>
        <v>10</v>
      </c>
      <c r="AS1891" s="3">
        <f t="shared" si="88"/>
        <v>2</v>
      </c>
      <c r="AT1891" s="3" t="str">
        <f>IF(OR(Registered!AM1891&gt;0,Registered!AO1891&gt;0),(IF(Registered!E1891=0,"Size Not Specified",Registered!E1891)),"")</f>
        <v>Large</v>
      </c>
      <c r="AU1891" s="3" t="str">
        <f>IF(Registered!AE1891=0,"",IF(Registered!AE1891=1,Registered!AE1891&amp;" Bandana",Registered!AE1891&amp;" Bandanas"))</f>
        <v/>
      </c>
      <c r="AV1891" s="3">
        <f t="shared" si="89"/>
        <v>2</v>
      </c>
      <c r="AW1891" s="2" t="str">
        <f>IF(Registered!AV1891=0,"",IF(Registered!AV1891=1,Registered!AV1891&amp;" Meal",Registered!AV1891&amp;" Meals"))</f>
        <v>2 Meals</v>
      </c>
      <c r="AX1891" s="2" t="str">
        <f>IF(Registered!AI1891=0,"",Registered!AI1891&amp;" BG")</f>
        <v/>
      </c>
      <c r="AY1891" s="2" t="str">
        <f>IF(Registered!AG1891=0,"",Registered!AG1891&amp;" DustMask")</f>
        <v/>
      </c>
    </row>
    <row r="1892" spans="1:51" customFormat="1" x14ac:dyDescent="0.25">
      <c r="A1892" t="s">
        <v>5426</v>
      </c>
      <c r="B1892" t="s">
        <v>5427</v>
      </c>
      <c r="C1892" t="s">
        <v>6090</v>
      </c>
      <c r="G1892" t="s">
        <v>60</v>
      </c>
      <c r="H1892" t="s">
        <v>5428</v>
      </c>
      <c r="I1892" t="s">
        <v>5429</v>
      </c>
      <c r="J1892" t="s">
        <v>37</v>
      </c>
      <c r="K1892" t="s">
        <v>32</v>
      </c>
      <c r="L1892" t="s">
        <v>35</v>
      </c>
      <c r="AQ1892">
        <v>0</v>
      </c>
      <c r="AR1892" s="3">
        <f t="shared" si="87"/>
        <v>0</v>
      </c>
      <c r="AS1892" s="3">
        <f t="shared" si="88"/>
        <v>0</v>
      </c>
      <c r="AT1892" s="3" t="str">
        <f>IF(OR(Registered!AM1892&gt;0,Registered!AO1892&gt;0),(IF(Registered!E1892=0,"Size Not Specified",Registered!E1892)),"")</f>
        <v/>
      </c>
      <c r="AU1892" s="3" t="str">
        <f>IF(Registered!AE1892=0,"",IF(Registered!AE1892=1,Registered!AE1892&amp;" Bandana",Registered!AE1892&amp;" Bandanas"))</f>
        <v/>
      </c>
      <c r="AV1892" s="3">
        <f t="shared" si="89"/>
        <v>0</v>
      </c>
      <c r="AW1892" s="2" t="str">
        <f>IF(Registered!AV1892=0,"",IF(Registered!AV1892=1,Registered!AV1892&amp;" Meal",Registered!AV1892&amp;" Meals"))</f>
        <v/>
      </c>
      <c r="AX1892" s="2" t="str">
        <f>IF(Registered!AI1892=0,"",Registered!AI1892&amp;" BG")</f>
        <v/>
      </c>
      <c r="AY1892" s="2" t="str">
        <f>IF(Registered!AG1892=0,"",Registered!AG1892&amp;" DustMask")</f>
        <v/>
      </c>
    </row>
    <row r="1893" spans="1:51" customFormat="1" x14ac:dyDescent="0.25">
      <c r="A1893" t="s">
        <v>203</v>
      </c>
      <c r="B1893" t="s">
        <v>2126</v>
      </c>
      <c r="C1893" t="s">
        <v>6090</v>
      </c>
      <c r="D1893" t="s">
        <v>203</v>
      </c>
      <c r="F1893" t="s">
        <v>261</v>
      </c>
      <c r="I1893" t="s">
        <v>2127</v>
      </c>
      <c r="J1893" t="s">
        <v>37</v>
      </c>
      <c r="K1893" t="s">
        <v>32</v>
      </c>
      <c r="L1893" t="s">
        <v>35</v>
      </c>
      <c r="S1893">
        <v>2</v>
      </c>
      <c r="T1893">
        <v>3</v>
      </c>
      <c r="AC1893">
        <v>2</v>
      </c>
      <c r="AD1893">
        <v>10</v>
      </c>
      <c r="AQ1893">
        <v>26</v>
      </c>
      <c r="AR1893" s="3">
        <f t="shared" si="87"/>
        <v>10</v>
      </c>
      <c r="AS1893" s="3">
        <f t="shared" si="88"/>
        <v>0</v>
      </c>
      <c r="AT1893" s="3" t="str">
        <f>IF(OR(Registered!AM1893&gt;0,Registered!AO1893&gt;0),(IF(Registered!E1893=0,"Size Not Specified",Registered!E1893)),"")</f>
        <v/>
      </c>
      <c r="AU1893" s="3" t="str">
        <f>IF(Registered!AE1893=0,"",IF(Registered!AE1893=1,Registered!AE1893&amp;" Bandana",Registered!AE1893&amp;" Bandanas"))</f>
        <v/>
      </c>
      <c r="AV1893" s="3">
        <f t="shared" si="89"/>
        <v>0</v>
      </c>
      <c r="AW1893" s="2" t="str">
        <f>IF(Registered!AV1893=0,"",IF(Registered!AV1893=1,Registered!AV1893&amp;" Meal",Registered!AV1893&amp;" Meals"))</f>
        <v/>
      </c>
      <c r="AX1893" s="2" t="str">
        <f>IF(Registered!AI1893=0,"",Registered!AI1893&amp;" BG")</f>
        <v/>
      </c>
      <c r="AY1893" s="2" t="str">
        <f>IF(Registered!AG1893=0,"",Registered!AG1893&amp;" DustMask")</f>
        <v/>
      </c>
    </row>
    <row r="1894" spans="1:51" customFormat="1" x14ac:dyDescent="0.25">
      <c r="A1894" t="s">
        <v>501</v>
      </c>
      <c r="B1894" t="s">
        <v>2126</v>
      </c>
      <c r="C1894" t="s">
        <v>6090</v>
      </c>
      <c r="D1894" t="s">
        <v>5430</v>
      </c>
      <c r="F1894" t="s">
        <v>261</v>
      </c>
      <c r="I1894" t="s">
        <v>5431</v>
      </c>
      <c r="J1894" t="s">
        <v>37</v>
      </c>
      <c r="K1894" t="s">
        <v>32</v>
      </c>
      <c r="L1894" t="s">
        <v>35</v>
      </c>
      <c r="Q1894">
        <v>1</v>
      </c>
      <c r="R1894">
        <v>3</v>
      </c>
      <c r="AC1894">
        <v>1</v>
      </c>
      <c r="AD1894">
        <v>10</v>
      </c>
      <c r="AQ1894">
        <v>13</v>
      </c>
      <c r="AR1894" s="3">
        <f t="shared" si="87"/>
        <v>5</v>
      </c>
      <c r="AS1894" s="3">
        <f t="shared" si="88"/>
        <v>0</v>
      </c>
      <c r="AT1894" s="3" t="str">
        <f>IF(OR(Registered!AM1894&gt;0,Registered!AO1894&gt;0),(IF(Registered!E1894=0,"Size Not Specified",Registered!E1894)),"")</f>
        <v/>
      </c>
      <c r="AU1894" s="3" t="str">
        <f>IF(Registered!AE1894=0,"",IF(Registered!AE1894=1,Registered!AE1894&amp;" Bandana",Registered!AE1894&amp;" Bandanas"))</f>
        <v/>
      </c>
      <c r="AV1894" s="3">
        <f t="shared" si="89"/>
        <v>0</v>
      </c>
      <c r="AW1894" s="2" t="str">
        <f>IF(Registered!AV1894=0,"",IF(Registered!AV1894=1,Registered!AV1894&amp;" Meal",Registered!AV1894&amp;" Meals"))</f>
        <v/>
      </c>
      <c r="AX1894" s="2" t="str">
        <f>IF(Registered!AI1894=0,"",Registered!AI1894&amp;" BG")</f>
        <v/>
      </c>
      <c r="AY1894" s="2" t="str">
        <f>IF(Registered!AG1894=0,"",Registered!AG1894&amp;" DustMask")</f>
        <v/>
      </c>
    </row>
    <row r="1895" spans="1:51" customFormat="1" x14ac:dyDescent="0.25">
      <c r="A1895" t="s">
        <v>119</v>
      </c>
      <c r="B1895" t="s">
        <v>2126</v>
      </c>
      <c r="C1895" t="s">
        <v>6090</v>
      </c>
      <c r="G1895" t="s">
        <v>49</v>
      </c>
      <c r="H1895" t="s">
        <v>560</v>
      </c>
      <c r="I1895" t="s">
        <v>562</v>
      </c>
      <c r="J1895" t="s">
        <v>37</v>
      </c>
      <c r="K1895" t="s">
        <v>32</v>
      </c>
      <c r="L1895" t="s">
        <v>35</v>
      </c>
      <c r="AQ1895">
        <v>0</v>
      </c>
      <c r="AR1895" s="3">
        <f t="shared" si="87"/>
        <v>0</v>
      </c>
      <c r="AS1895" s="3">
        <f t="shared" si="88"/>
        <v>0</v>
      </c>
      <c r="AT1895" s="3" t="str">
        <f>IF(OR(Registered!AM1895&gt;0,Registered!AO1895&gt;0),(IF(Registered!E1895=0,"Size Not Specified",Registered!E1895)),"")</f>
        <v/>
      </c>
      <c r="AU1895" s="3" t="str">
        <f>IF(Registered!AE1895=0,"",IF(Registered!AE1895=1,Registered!AE1895&amp;" Bandana",Registered!AE1895&amp;" Bandanas"))</f>
        <v/>
      </c>
      <c r="AV1895" s="3">
        <f t="shared" si="89"/>
        <v>0</v>
      </c>
      <c r="AW1895" s="2" t="str">
        <f>IF(Registered!AV1895=0,"",IF(Registered!AV1895=1,Registered!AV1895&amp;" Meal",Registered!AV1895&amp;" Meals"))</f>
        <v/>
      </c>
      <c r="AX1895" s="2" t="str">
        <f>IF(Registered!AI1895=0,"",Registered!AI1895&amp;" BG")</f>
        <v/>
      </c>
      <c r="AY1895" s="2" t="str">
        <f>IF(Registered!AG1895=0,"",Registered!AG1895&amp;" DustMask")</f>
        <v/>
      </c>
    </row>
    <row r="1896" spans="1:51" customFormat="1" x14ac:dyDescent="0.25">
      <c r="A1896" t="s">
        <v>91</v>
      </c>
      <c r="B1896" t="s">
        <v>5433</v>
      </c>
      <c r="C1896" t="s">
        <v>6090</v>
      </c>
      <c r="G1896" t="s">
        <v>354</v>
      </c>
      <c r="H1896" t="s">
        <v>5433</v>
      </c>
      <c r="I1896" t="s">
        <v>5434</v>
      </c>
      <c r="J1896" t="s">
        <v>37</v>
      </c>
      <c r="K1896" t="s">
        <v>32</v>
      </c>
      <c r="L1896" t="s">
        <v>35</v>
      </c>
      <c r="AQ1896">
        <v>0</v>
      </c>
      <c r="AR1896" s="3">
        <f t="shared" si="87"/>
        <v>0</v>
      </c>
      <c r="AS1896" s="3">
        <f t="shared" si="88"/>
        <v>0</v>
      </c>
      <c r="AT1896" s="3" t="str">
        <f>IF(OR(Registered!AM1896&gt;0,Registered!AO1896&gt;0),(IF(Registered!E1896=0,"Size Not Specified",Registered!E1896)),"")</f>
        <v/>
      </c>
      <c r="AU1896" s="3" t="str">
        <f>IF(Registered!AE1896=0,"",IF(Registered!AE1896=1,Registered!AE1896&amp;" Bandana",Registered!AE1896&amp;" Bandanas"))</f>
        <v/>
      </c>
      <c r="AV1896" s="3">
        <f t="shared" si="89"/>
        <v>0</v>
      </c>
      <c r="AW1896" s="2" t="str">
        <f>IF(Registered!AV1896=0,"",IF(Registered!AV1896=1,Registered!AV1896&amp;" Meal",Registered!AV1896&amp;" Meals"))</f>
        <v/>
      </c>
      <c r="AX1896" s="2" t="str">
        <f>IF(Registered!AI1896=0,"",Registered!AI1896&amp;" BG")</f>
        <v/>
      </c>
      <c r="AY1896" s="2" t="str">
        <f>IF(Registered!AG1896=0,"",Registered!AG1896&amp;" DustMask")</f>
        <v/>
      </c>
    </row>
    <row r="1897" spans="1:51" customFormat="1" x14ac:dyDescent="0.25">
      <c r="A1897" t="s">
        <v>354</v>
      </c>
      <c r="B1897" t="s">
        <v>5433</v>
      </c>
      <c r="C1897" t="s">
        <v>6090</v>
      </c>
      <c r="D1897" t="s">
        <v>5435</v>
      </c>
      <c r="F1897" t="s">
        <v>261</v>
      </c>
      <c r="I1897" t="s">
        <v>5434</v>
      </c>
      <c r="J1897" t="s">
        <v>37</v>
      </c>
      <c r="K1897" t="s">
        <v>32</v>
      </c>
      <c r="L1897" t="s">
        <v>35</v>
      </c>
      <c r="Q1897">
        <v>3</v>
      </c>
      <c r="R1897">
        <v>3</v>
      </c>
      <c r="U1897">
        <v>1</v>
      </c>
      <c r="V1897">
        <v>20</v>
      </c>
      <c r="AE1897">
        <v>1</v>
      </c>
      <c r="AF1897">
        <v>6</v>
      </c>
      <c r="AI1897">
        <v>1</v>
      </c>
      <c r="AJ1897">
        <v>10</v>
      </c>
      <c r="AQ1897">
        <v>45</v>
      </c>
      <c r="AR1897" s="3">
        <f t="shared" si="87"/>
        <v>10</v>
      </c>
      <c r="AS1897" s="3">
        <f t="shared" si="88"/>
        <v>0</v>
      </c>
      <c r="AT1897" s="3" t="str">
        <f>IF(OR(Registered!AM1897&gt;0,Registered!AO1897&gt;0),(IF(Registered!E1897=0,"Size Not Specified",Registered!E1897)),"")</f>
        <v/>
      </c>
      <c r="AU1897" s="3" t="str">
        <f>IF(Registered!AE1897=0,"",IF(Registered!AE1897=1,Registered!AE1897&amp;" Bandana",Registered!AE1897&amp;" Bandanas"))</f>
        <v>1 Bandana</v>
      </c>
      <c r="AV1897" s="3">
        <f t="shared" si="89"/>
        <v>0</v>
      </c>
      <c r="AW1897" s="2" t="str">
        <f>IF(Registered!AV1897=0,"",IF(Registered!AV1897=1,Registered!AV1897&amp;" Meal",Registered!AV1897&amp;" Meals"))</f>
        <v/>
      </c>
      <c r="AX1897" s="2" t="str">
        <f>IF(Registered!AI1897=0,"",Registered!AI1897&amp;" BG")</f>
        <v>1 BG</v>
      </c>
      <c r="AY1897" s="2" t="str">
        <f>IF(Registered!AG1897=0,"",Registered!AG1897&amp;" DustMask")</f>
        <v/>
      </c>
    </row>
    <row r="1898" spans="1:51" customFormat="1" x14ac:dyDescent="0.25">
      <c r="A1898" t="s">
        <v>403</v>
      </c>
      <c r="B1898" t="s">
        <v>5433</v>
      </c>
      <c r="C1898" t="s">
        <v>6090</v>
      </c>
      <c r="G1898" t="s">
        <v>354</v>
      </c>
      <c r="H1898" t="s">
        <v>5433</v>
      </c>
      <c r="I1898" t="s">
        <v>5434</v>
      </c>
      <c r="J1898" t="s">
        <v>37</v>
      </c>
      <c r="K1898" t="s">
        <v>32</v>
      </c>
      <c r="L1898" t="s">
        <v>35</v>
      </c>
      <c r="AQ1898">
        <v>0</v>
      </c>
      <c r="AR1898" s="3">
        <f t="shared" si="87"/>
        <v>0</v>
      </c>
      <c r="AS1898" s="3">
        <f t="shared" si="88"/>
        <v>0</v>
      </c>
      <c r="AT1898" s="3" t="str">
        <f>IF(OR(Registered!AM1898&gt;0,Registered!AO1898&gt;0),(IF(Registered!E1898=0,"Size Not Specified",Registered!E1898)),"")</f>
        <v/>
      </c>
      <c r="AU1898" s="3" t="str">
        <f>IF(Registered!AE1898=0,"",IF(Registered!AE1898=1,Registered!AE1898&amp;" Bandana",Registered!AE1898&amp;" Bandanas"))</f>
        <v/>
      </c>
      <c r="AV1898" s="3">
        <f t="shared" si="89"/>
        <v>0</v>
      </c>
      <c r="AW1898" s="2" t="str">
        <f>IF(Registered!AV1898=0,"",IF(Registered!AV1898=1,Registered!AV1898&amp;" Meal",Registered!AV1898&amp;" Meals"))</f>
        <v/>
      </c>
      <c r="AX1898" s="2" t="str">
        <f>IF(Registered!AI1898=0,"",Registered!AI1898&amp;" BG")</f>
        <v/>
      </c>
      <c r="AY1898" s="2" t="str">
        <f>IF(Registered!AG1898=0,"",Registered!AG1898&amp;" DustMask")</f>
        <v/>
      </c>
    </row>
    <row r="1899" spans="1:51" customFormat="1" x14ac:dyDescent="0.25">
      <c r="A1899" t="s">
        <v>141</v>
      </c>
      <c r="B1899" t="s">
        <v>3640</v>
      </c>
      <c r="C1899" t="s">
        <v>6090</v>
      </c>
      <c r="D1899" t="s">
        <v>141</v>
      </c>
      <c r="F1899" t="s">
        <v>261</v>
      </c>
      <c r="I1899" t="s">
        <v>3641</v>
      </c>
      <c r="J1899" t="s">
        <v>37</v>
      </c>
      <c r="K1899" t="s">
        <v>32</v>
      </c>
      <c r="L1899" t="s">
        <v>35</v>
      </c>
      <c r="Q1899">
        <v>2</v>
      </c>
      <c r="R1899">
        <v>3</v>
      </c>
      <c r="AQ1899">
        <v>6</v>
      </c>
      <c r="AR1899" s="3">
        <f t="shared" si="87"/>
        <v>0</v>
      </c>
      <c r="AS1899" s="3">
        <f t="shared" si="88"/>
        <v>0</v>
      </c>
      <c r="AT1899" s="3" t="str">
        <f>IF(OR(Registered!AM1899&gt;0,Registered!AO1899&gt;0),(IF(Registered!E1899=0,"Size Not Specified",Registered!E1899)),"")</f>
        <v/>
      </c>
      <c r="AU1899" s="3" t="str">
        <f>IF(Registered!AE1899=0,"",IF(Registered!AE1899=1,Registered!AE1899&amp;" Bandana",Registered!AE1899&amp;" Bandanas"))</f>
        <v/>
      </c>
      <c r="AV1899" s="3">
        <f t="shared" si="89"/>
        <v>0</v>
      </c>
      <c r="AW1899" s="2" t="str">
        <f>IF(Registered!AV1899=0,"",IF(Registered!AV1899=1,Registered!AV1899&amp;" Meal",Registered!AV1899&amp;" Meals"))</f>
        <v/>
      </c>
      <c r="AX1899" s="2" t="str">
        <f>IF(Registered!AI1899=0,"",Registered!AI1899&amp;" BG")</f>
        <v/>
      </c>
      <c r="AY1899" s="2" t="str">
        <f>IF(Registered!AG1899=0,"",Registered!AG1899&amp;" DustMask")</f>
        <v/>
      </c>
    </row>
    <row r="1900" spans="1:51" customFormat="1" x14ac:dyDescent="0.25">
      <c r="A1900" t="s">
        <v>187</v>
      </c>
      <c r="B1900" t="s">
        <v>2128</v>
      </c>
      <c r="C1900" t="s">
        <v>6090</v>
      </c>
      <c r="G1900" t="s">
        <v>140</v>
      </c>
      <c r="H1900" t="s">
        <v>1081</v>
      </c>
      <c r="I1900" t="s">
        <v>1083</v>
      </c>
      <c r="J1900" t="s">
        <v>37</v>
      </c>
      <c r="K1900" t="s">
        <v>32</v>
      </c>
      <c r="L1900" t="s">
        <v>35</v>
      </c>
      <c r="AQ1900">
        <v>0</v>
      </c>
      <c r="AR1900" s="3">
        <f t="shared" si="87"/>
        <v>0</v>
      </c>
      <c r="AS1900" s="3">
        <f t="shared" si="88"/>
        <v>0</v>
      </c>
      <c r="AT1900" s="3" t="str">
        <f>IF(OR(Registered!AM1900&gt;0,Registered!AO1900&gt;0),(IF(Registered!E1900=0,"Size Not Specified",Registered!E1900)),"")</f>
        <v/>
      </c>
      <c r="AU1900" s="3" t="str">
        <f>IF(Registered!AE1900=0,"",IF(Registered!AE1900=1,Registered!AE1900&amp;" Bandana",Registered!AE1900&amp;" Bandanas"))</f>
        <v/>
      </c>
      <c r="AV1900" s="3">
        <f t="shared" si="89"/>
        <v>0</v>
      </c>
      <c r="AW1900" s="2" t="str">
        <f>IF(Registered!AV1900=0,"",IF(Registered!AV1900=1,Registered!AV1900&amp;" Meal",Registered!AV1900&amp;" Meals"))</f>
        <v/>
      </c>
      <c r="AX1900" s="2" t="str">
        <f>IF(Registered!AI1900=0,"",Registered!AI1900&amp;" BG")</f>
        <v/>
      </c>
      <c r="AY1900" s="2" t="str">
        <f>IF(Registered!AG1900=0,"",Registered!AG1900&amp;" DustMask")</f>
        <v/>
      </c>
    </row>
    <row r="1901" spans="1:51" customFormat="1" x14ac:dyDescent="0.25">
      <c r="A1901" t="s">
        <v>141</v>
      </c>
      <c r="B1901" t="s">
        <v>5437</v>
      </c>
      <c r="C1901" t="s">
        <v>6090</v>
      </c>
      <c r="G1901" t="s">
        <v>4477</v>
      </c>
      <c r="H1901" t="s">
        <v>4478</v>
      </c>
      <c r="I1901" t="s">
        <v>4479</v>
      </c>
      <c r="J1901" t="s">
        <v>37</v>
      </c>
      <c r="K1901" t="s">
        <v>32</v>
      </c>
      <c r="L1901" t="s">
        <v>35</v>
      </c>
      <c r="AQ1901">
        <v>0</v>
      </c>
      <c r="AR1901" s="3">
        <f t="shared" si="87"/>
        <v>0</v>
      </c>
      <c r="AS1901" s="3">
        <f t="shared" si="88"/>
        <v>0</v>
      </c>
      <c r="AT1901" s="3" t="str">
        <f>IF(OR(Registered!AM1901&gt;0,Registered!AO1901&gt;0),(IF(Registered!E1901=0,"Size Not Specified",Registered!E1901)),"")</f>
        <v/>
      </c>
      <c r="AU1901" s="3" t="str">
        <f>IF(Registered!AE1901=0,"",IF(Registered!AE1901=1,Registered!AE1901&amp;" Bandana",Registered!AE1901&amp;" Bandanas"))</f>
        <v/>
      </c>
      <c r="AV1901" s="3">
        <f t="shared" si="89"/>
        <v>0</v>
      </c>
      <c r="AW1901" s="2" t="str">
        <f>IF(Registered!AV1901=0,"",IF(Registered!AV1901=1,Registered!AV1901&amp;" Meal",Registered!AV1901&amp;" Meals"))</f>
        <v/>
      </c>
      <c r="AX1901" s="2" t="str">
        <f>IF(Registered!AI1901=0,"",Registered!AI1901&amp;" BG")</f>
        <v/>
      </c>
      <c r="AY1901" s="2" t="str">
        <f>IF(Registered!AG1901=0,"",Registered!AG1901&amp;" DustMask")</f>
        <v/>
      </c>
    </row>
    <row r="1902" spans="1:51" customFormat="1" x14ac:dyDescent="0.25">
      <c r="A1902" t="s">
        <v>121</v>
      </c>
      <c r="B1902" t="s">
        <v>2129</v>
      </c>
      <c r="C1902" t="s">
        <v>6090</v>
      </c>
      <c r="G1902" t="s">
        <v>1820</v>
      </c>
      <c r="H1902" t="s">
        <v>1821</v>
      </c>
      <c r="I1902" t="s">
        <v>2130</v>
      </c>
      <c r="J1902" t="s">
        <v>37</v>
      </c>
      <c r="K1902" t="s">
        <v>32</v>
      </c>
      <c r="L1902" t="s">
        <v>35</v>
      </c>
      <c r="AQ1902">
        <v>0</v>
      </c>
      <c r="AR1902" s="3">
        <f t="shared" si="87"/>
        <v>0</v>
      </c>
      <c r="AS1902" s="3">
        <f t="shared" si="88"/>
        <v>0</v>
      </c>
      <c r="AT1902" s="3" t="str">
        <f>IF(OR(Registered!AM1902&gt;0,Registered!AO1902&gt;0),(IF(Registered!E1902=0,"Size Not Specified",Registered!E1902)),"")</f>
        <v/>
      </c>
      <c r="AU1902" s="3" t="str">
        <f>IF(Registered!AE1902=0,"",IF(Registered!AE1902=1,Registered!AE1902&amp;" Bandana",Registered!AE1902&amp;" Bandanas"))</f>
        <v/>
      </c>
      <c r="AV1902" s="3">
        <f t="shared" si="89"/>
        <v>0</v>
      </c>
      <c r="AW1902" s="2" t="str">
        <f>IF(Registered!AV1902=0,"",IF(Registered!AV1902=1,Registered!AV1902&amp;" Meal",Registered!AV1902&amp;" Meals"))</f>
        <v/>
      </c>
      <c r="AX1902" s="2" t="str">
        <f>IF(Registered!AI1902=0,"",Registered!AI1902&amp;" BG")</f>
        <v/>
      </c>
      <c r="AY1902" s="2" t="str">
        <f>IF(Registered!AG1902=0,"",Registered!AG1902&amp;" DustMask")</f>
        <v/>
      </c>
    </row>
    <row r="1903" spans="1:51" customFormat="1" x14ac:dyDescent="0.25">
      <c r="A1903" t="s">
        <v>5438</v>
      </c>
      <c r="B1903" t="s">
        <v>5439</v>
      </c>
      <c r="C1903" t="s">
        <v>6090</v>
      </c>
      <c r="G1903" t="s">
        <v>64</v>
      </c>
      <c r="H1903" t="s">
        <v>276</v>
      </c>
      <c r="I1903" t="s">
        <v>5440</v>
      </c>
      <c r="J1903" t="s">
        <v>37</v>
      </c>
      <c r="K1903" t="s">
        <v>32</v>
      </c>
      <c r="L1903" t="s">
        <v>35</v>
      </c>
      <c r="AQ1903">
        <v>0</v>
      </c>
      <c r="AR1903" s="3">
        <f t="shared" si="87"/>
        <v>0</v>
      </c>
      <c r="AS1903" s="3">
        <f t="shared" si="88"/>
        <v>0</v>
      </c>
      <c r="AT1903" s="3" t="str">
        <f>IF(OR(Registered!AM1903&gt;0,Registered!AO1903&gt;0),(IF(Registered!E1903=0,"Size Not Specified",Registered!E1903)),"")</f>
        <v/>
      </c>
      <c r="AU1903" s="3" t="str">
        <f>IF(Registered!AE1903=0,"",IF(Registered!AE1903=1,Registered!AE1903&amp;" Bandana",Registered!AE1903&amp;" Bandanas"))</f>
        <v/>
      </c>
      <c r="AV1903" s="3">
        <f t="shared" si="89"/>
        <v>0</v>
      </c>
      <c r="AW1903" s="2" t="str">
        <f>IF(Registered!AV1903=0,"",IF(Registered!AV1903=1,Registered!AV1903&amp;" Meal",Registered!AV1903&amp;" Meals"))</f>
        <v/>
      </c>
      <c r="AX1903" s="2" t="str">
        <f>IF(Registered!AI1903=0,"",Registered!AI1903&amp;" BG")</f>
        <v/>
      </c>
      <c r="AY1903" s="2" t="str">
        <f>IF(Registered!AG1903=0,"",Registered!AG1903&amp;" DustMask")</f>
        <v/>
      </c>
    </row>
    <row r="1904" spans="1:51" customFormat="1" x14ac:dyDescent="0.25">
      <c r="A1904" t="s">
        <v>3290</v>
      </c>
      <c r="B1904" t="s">
        <v>3291</v>
      </c>
      <c r="C1904" t="s">
        <v>6090</v>
      </c>
      <c r="G1904" t="s">
        <v>3292</v>
      </c>
      <c r="H1904" t="s">
        <v>257</v>
      </c>
      <c r="I1904" t="s">
        <v>3293</v>
      </c>
      <c r="J1904" t="s">
        <v>37</v>
      </c>
      <c r="K1904" t="s">
        <v>32</v>
      </c>
      <c r="L1904" t="s">
        <v>35</v>
      </c>
      <c r="AQ1904">
        <v>0</v>
      </c>
      <c r="AR1904" s="3">
        <f t="shared" si="87"/>
        <v>0</v>
      </c>
      <c r="AS1904" s="3">
        <f t="shared" si="88"/>
        <v>0</v>
      </c>
      <c r="AT1904" s="3" t="str">
        <f>IF(OR(Registered!AM1904&gt;0,Registered!AO1904&gt;0),(IF(Registered!E1904=0,"Size Not Specified",Registered!E1904)),"")</f>
        <v/>
      </c>
      <c r="AU1904" s="3" t="str">
        <f>IF(Registered!AE1904=0,"",IF(Registered!AE1904=1,Registered!AE1904&amp;" Bandana",Registered!AE1904&amp;" Bandanas"))</f>
        <v/>
      </c>
      <c r="AV1904" s="3">
        <f t="shared" si="89"/>
        <v>0</v>
      </c>
      <c r="AW1904" s="2" t="str">
        <f>IF(Registered!AV1904=0,"",IF(Registered!AV1904=1,Registered!AV1904&amp;" Meal",Registered!AV1904&amp;" Meals"))</f>
        <v/>
      </c>
      <c r="AX1904" s="2" t="str">
        <f>IF(Registered!AI1904=0,"",Registered!AI1904&amp;" BG")</f>
        <v/>
      </c>
      <c r="AY1904" s="2" t="str">
        <f>IF(Registered!AG1904=0,"",Registered!AG1904&amp;" DustMask")</f>
        <v/>
      </c>
    </row>
    <row r="1905" spans="1:51" customFormat="1" x14ac:dyDescent="0.25">
      <c r="A1905" t="s">
        <v>1945</v>
      </c>
      <c r="B1905" t="s">
        <v>257</v>
      </c>
      <c r="C1905" t="s">
        <v>6090</v>
      </c>
      <c r="D1905" t="s">
        <v>2131</v>
      </c>
      <c r="E1905" t="s">
        <v>2132</v>
      </c>
      <c r="I1905" t="s">
        <v>1946</v>
      </c>
      <c r="J1905" t="s">
        <v>37</v>
      </c>
      <c r="K1905" t="s">
        <v>32</v>
      </c>
      <c r="L1905" t="s">
        <v>35</v>
      </c>
      <c r="O1905">
        <v>3</v>
      </c>
      <c r="P1905">
        <v>3</v>
      </c>
      <c r="W1905">
        <v>1</v>
      </c>
      <c r="X1905">
        <v>40</v>
      </c>
      <c r="AM1905">
        <v>3</v>
      </c>
      <c r="AN1905">
        <v>25</v>
      </c>
      <c r="AQ1905">
        <v>124</v>
      </c>
      <c r="AR1905" s="3">
        <f t="shared" si="87"/>
        <v>35</v>
      </c>
      <c r="AS1905" s="3">
        <f t="shared" si="88"/>
        <v>3</v>
      </c>
      <c r="AT1905" s="3" t="str">
        <f>IF(OR(Registered!AM1905&gt;0,Registered!AO1905&gt;0),(IF(Registered!E1905=0,"Size Not Specified",Registered!E1905)),"")</f>
        <v>2 Mediums and 1 XL</v>
      </c>
      <c r="AU1905" s="3" t="str">
        <f>IF(Registered!AE1905=0,"",IF(Registered!AE1905=1,Registered!AE1905&amp;" Bandana",Registered!AE1905&amp;" Bandanas"))</f>
        <v/>
      </c>
      <c r="AV1905" s="3">
        <f t="shared" si="89"/>
        <v>3</v>
      </c>
      <c r="AW1905" s="2" t="str">
        <f>IF(Registered!AV1905=0,"",IF(Registered!AV1905=1,Registered!AV1905&amp;" Meal",Registered!AV1905&amp;" Meals"))</f>
        <v>3 Meals</v>
      </c>
      <c r="AX1905" s="2" t="str">
        <f>IF(Registered!AI1905=0,"",Registered!AI1905&amp;" BG")</f>
        <v/>
      </c>
      <c r="AY1905" s="2" t="str">
        <f>IF(Registered!AG1905=0,"",Registered!AG1905&amp;" DustMask")</f>
        <v/>
      </c>
    </row>
    <row r="1906" spans="1:51" customFormat="1" x14ac:dyDescent="0.25">
      <c r="A1906" t="s">
        <v>3292</v>
      </c>
      <c r="B1906" t="s">
        <v>257</v>
      </c>
      <c r="C1906" t="s">
        <v>6090</v>
      </c>
      <c r="D1906" t="s">
        <v>3294</v>
      </c>
      <c r="E1906" t="s">
        <v>3295</v>
      </c>
      <c r="F1906" t="s">
        <v>261</v>
      </c>
      <c r="I1906" t="s">
        <v>3293</v>
      </c>
      <c r="J1906" t="s">
        <v>37</v>
      </c>
      <c r="K1906" t="s">
        <v>32</v>
      </c>
      <c r="L1906" t="s">
        <v>35</v>
      </c>
      <c r="Q1906">
        <v>2</v>
      </c>
      <c r="R1906">
        <v>3</v>
      </c>
      <c r="AC1906">
        <v>1</v>
      </c>
      <c r="AD1906">
        <v>10</v>
      </c>
      <c r="AG1906">
        <v>1</v>
      </c>
      <c r="AH1906">
        <v>1</v>
      </c>
      <c r="AM1906">
        <v>3</v>
      </c>
      <c r="AN1906">
        <v>25</v>
      </c>
      <c r="AQ1906">
        <v>92</v>
      </c>
      <c r="AR1906" s="3">
        <f t="shared" si="87"/>
        <v>20</v>
      </c>
      <c r="AS1906" s="3">
        <f t="shared" si="88"/>
        <v>3</v>
      </c>
      <c r="AT1906" s="3" t="str">
        <f>IF(OR(Registered!AM1906&gt;0,Registered!AO1906&gt;0),(IF(Registered!E1906=0,"Size Not Specified",Registered!E1906)),"")</f>
        <v>2 Adult Large , 1 Adult Medium</v>
      </c>
      <c r="AU1906" s="3" t="str">
        <f>IF(Registered!AE1906=0,"",IF(Registered!AE1906=1,Registered!AE1906&amp;" Bandana",Registered!AE1906&amp;" Bandanas"))</f>
        <v/>
      </c>
      <c r="AV1906" s="3">
        <f t="shared" si="89"/>
        <v>3</v>
      </c>
      <c r="AW1906" s="2" t="str">
        <f>IF(Registered!AV1906=0,"",IF(Registered!AV1906=1,Registered!AV1906&amp;" Meal",Registered!AV1906&amp;" Meals"))</f>
        <v>3 Meals</v>
      </c>
      <c r="AX1906" s="2" t="str">
        <f>IF(Registered!AI1906=0,"",Registered!AI1906&amp;" BG")</f>
        <v/>
      </c>
      <c r="AY1906" s="2" t="str">
        <f>IF(Registered!AG1906=0,"",Registered!AG1906&amp;" DustMask")</f>
        <v>1 DustMask</v>
      </c>
    </row>
    <row r="1907" spans="1:51" customFormat="1" x14ac:dyDescent="0.25">
      <c r="A1907" t="s">
        <v>2490</v>
      </c>
      <c r="B1907" t="s">
        <v>5441</v>
      </c>
      <c r="C1907" t="s">
        <v>6090</v>
      </c>
      <c r="D1907" t="s">
        <v>3366</v>
      </c>
      <c r="E1907" t="s">
        <v>5442</v>
      </c>
      <c r="F1907" t="s">
        <v>261</v>
      </c>
      <c r="I1907" t="s">
        <v>5443</v>
      </c>
      <c r="J1907" t="s">
        <v>37</v>
      </c>
      <c r="K1907" t="s">
        <v>32</v>
      </c>
      <c r="L1907" t="s">
        <v>35</v>
      </c>
      <c r="Q1907">
        <v>1</v>
      </c>
      <c r="R1907">
        <v>3</v>
      </c>
      <c r="AC1907">
        <v>1</v>
      </c>
      <c r="AD1907">
        <v>10</v>
      </c>
      <c r="AQ1907">
        <v>13</v>
      </c>
      <c r="AR1907" s="3">
        <f t="shared" si="87"/>
        <v>5</v>
      </c>
      <c r="AS1907" s="3">
        <f t="shared" si="88"/>
        <v>0</v>
      </c>
      <c r="AT1907" s="3" t="str">
        <f>IF(OR(Registered!AM1907&gt;0,Registered!AO1907&gt;0),(IF(Registered!E1907=0,"Size Not Specified",Registered!E1907)),"")</f>
        <v/>
      </c>
      <c r="AU1907" s="3" t="str">
        <f>IF(Registered!AE1907=0,"",IF(Registered!AE1907=1,Registered!AE1907&amp;" Bandana",Registered!AE1907&amp;" Bandanas"))</f>
        <v/>
      </c>
      <c r="AV1907" s="3">
        <f t="shared" si="89"/>
        <v>0</v>
      </c>
      <c r="AW1907" s="2" t="str">
        <f>IF(Registered!AV1907=0,"",IF(Registered!AV1907=1,Registered!AV1907&amp;" Meal",Registered!AV1907&amp;" Meals"))</f>
        <v/>
      </c>
      <c r="AX1907" s="2" t="str">
        <f>IF(Registered!AI1907=0,"",Registered!AI1907&amp;" BG")</f>
        <v/>
      </c>
      <c r="AY1907" s="2" t="str">
        <f>IF(Registered!AG1907=0,"",Registered!AG1907&amp;" DustMask")</f>
        <v/>
      </c>
    </row>
    <row r="1908" spans="1:51" customFormat="1" x14ac:dyDescent="0.25">
      <c r="A1908" t="s">
        <v>212</v>
      </c>
      <c r="B1908" t="s">
        <v>3296</v>
      </c>
      <c r="C1908" t="s">
        <v>6090</v>
      </c>
      <c r="D1908" t="s">
        <v>212</v>
      </c>
      <c r="F1908" t="s">
        <v>261</v>
      </c>
      <c r="I1908" t="s">
        <v>5444</v>
      </c>
      <c r="J1908" t="s">
        <v>37</v>
      </c>
      <c r="K1908" t="s">
        <v>32</v>
      </c>
      <c r="L1908" t="s">
        <v>35</v>
      </c>
      <c r="Q1908">
        <v>2</v>
      </c>
      <c r="R1908">
        <v>3</v>
      </c>
      <c r="AC1908">
        <v>1</v>
      </c>
      <c r="AD1908">
        <v>10</v>
      </c>
      <c r="AQ1908">
        <v>16</v>
      </c>
      <c r="AR1908" s="3">
        <f t="shared" si="87"/>
        <v>5</v>
      </c>
      <c r="AS1908" s="3">
        <f t="shared" si="88"/>
        <v>0</v>
      </c>
      <c r="AT1908" s="3" t="str">
        <f>IF(OR(Registered!AM1908&gt;0,Registered!AO1908&gt;0),(IF(Registered!E1908=0,"Size Not Specified",Registered!E1908)),"")</f>
        <v/>
      </c>
      <c r="AU1908" s="3" t="str">
        <f>IF(Registered!AE1908=0,"",IF(Registered!AE1908=1,Registered!AE1908&amp;" Bandana",Registered!AE1908&amp;" Bandanas"))</f>
        <v/>
      </c>
      <c r="AV1908" s="3">
        <f t="shared" si="89"/>
        <v>0</v>
      </c>
      <c r="AW1908" s="2" t="str">
        <f>IF(Registered!AV1908=0,"",IF(Registered!AV1908=1,Registered!AV1908&amp;" Meal",Registered!AV1908&amp;" Meals"))</f>
        <v/>
      </c>
      <c r="AX1908" s="2" t="str">
        <f>IF(Registered!AI1908=0,"",Registered!AI1908&amp;" BG")</f>
        <v/>
      </c>
      <c r="AY1908" s="2" t="str">
        <f>IF(Registered!AG1908=0,"",Registered!AG1908&amp;" DustMask")</f>
        <v/>
      </c>
    </row>
    <row r="1909" spans="1:51" customFormat="1" x14ac:dyDescent="0.25">
      <c r="A1909" t="s">
        <v>2700</v>
      </c>
      <c r="B1909" t="s">
        <v>3296</v>
      </c>
      <c r="C1909" t="s">
        <v>6090</v>
      </c>
      <c r="G1909" t="s">
        <v>212</v>
      </c>
      <c r="H1909" t="s">
        <v>3296</v>
      </c>
      <c r="I1909" t="s">
        <v>5444</v>
      </c>
      <c r="J1909" t="s">
        <v>37</v>
      </c>
      <c r="K1909" t="s">
        <v>32</v>
      </c>
      <c r="L1909" t="s">
        <v>35</v>
      </c>
      <c r="AQ1909">
        <v>0</v>
      </c>
      <c r="AR1909" s="3">
        <f t="shared" si="87"/>
        <v>0</v>
      </c>
      <c r="AS1909" s="3">
        <f t="shared" si="88"/>
        <v>0</v>
      </c>
      <c r="AT1909" s="3" t="str">
        <f>IF(OR(Registered!AM1909&gt;0,Registered!AO1909&gt;0),(IF(Registered!E1909=0,"Size Not Specified",Registered!E1909)),"")</f>
        <v/>
      </c>
      <c r="AU1909" s="3" t="str">
        <f>IF(Registered!AE1909=0,"",IF(Registered!AE1909=1,Registered!AE1909&amp;" Bandana",Registered!AE1909&amp;" Bandanas"))</f>
        <v/>
      </c>
      <c r="AV1909" s="3">
        <f t="shared" si="89"/>
        <v>0</v>
      </c>
      <c r="AW1909" s="2" t="str">
        <f>IF(Registered!AV1909=0,"",IF(Registered!AV1909=1,Registered!AV1909&amp;" Meal",Registered!AV1909&amp;" Meals"))</f>
        <v/>
      </c>
      <c r="AX1909" s="2" t="str">
        <f>IF(Registered!AI1909=0,"",Registered!AI1909&amp;" BG")</f>
        <v/>
      </c>
      <c r="AY1909" s="2" t="str">
        <f>IF(Registered!AG1909=0,"",Registered!AG1909&amp;" DustMask")</f>
        <v/>
      </c>
    </row>
    <row r="1910" spans="1:51" customFormat="1" x14ac:dyDescent="0.25">
      <c r="A1910" t="s">
        <v>2955</v>
      </c>
      <c r="B1910" t="s">
        <v>3296</v>
      </c>
      <c r="C1910" t="s">
        <v>6090</v>
      </c>
      <c r="D1910" t="s">
        <v>57</v>
      </c>
      <c r="F1910" t="s">
        <v>261</v>
      </c>
      <c r="I1910" t="s">
        <v>5445</v>
      </c>
      <c r="J1910" t="s">
        <v>37</v>
      </c>
      <c r="K1910" t="s">
        <v>32</v>
      </c>
      <c r="L1910" t="s">
        <v>35</v>
      </c>
      <c r="Q1910">
        <v>1</v>
      </c>
      <c r="R1910">
        <v>3</v>
      </c>
      <c r="AC1910">
        <v>1</v>
      </c>
      <c r="AD1910">
        <v>10</v>
      </c>
      <c r="AQ1910">
        <v>13</v>
      </c>
      <c r="AR1910" s="3">
        <f t="shared" si="87"/>
        <v>5</v>
      </c>
      <c r="AS1910" s="3">
        <f t="shared" si="88"/>
        <v>0</v>
      </c>
      <c r="AT1910" s="3" t="str">
        <f>IF(OR(Registered!AM1910&gt;0,Registered!AO1910&gt;0),(IF(Registered!E1910=0,"Size Not Specified",Registered!E1910)),"")</f>
        <v/>
      </c>
      <c r="AU1910" s="3" t="str">
        <f>IF(Registered!AE1910=0,"",IF(Registered!AE1910=1,Registered!AE1910&amp;" Bandana",Registered!AE1910&amp;" Bandanas"))</f>
        <v/>
      </c>
      <c r="AV1910" s="3">
        <f t="shared" si="89"/>
        <v>0</v>
      </c>
      <c r="AW1910" s="2" t="str">
        <f>IF(Registered!AV1910=0,"",IF(Registered!AV1910=1,Registered!AV1910&amp;" Meal",Registered!AV1910&amp;" Meals"))</f>
        <v/>
      </c>
      <c r="AX1910" s="2" t="str">
        <f>IF(Registered!AI1910=0,"",Registered!AI1910&amp;" BG")</f>
        <v/>
      </c>
      <c r="AY1910" s="2" t="str">
        <f>IF(Registered!AG1910=0,"",Registered!AG1910&amp;" DustMask")</f>
        <v/>
      </c>
    </row>
    <row r="1911" spans="1:51" customFormat="1" x14ac:dyDescent="0.25">
      <c r="A1911" t="s">
        <v>3297</v>
      </c>
      <c r="B1911" t="s">
        <v>3298</v>
      </c>
      <c r="C1911" t="s">
        <v>6090</v>
      </c>
      <c r="G1911" t="s">
        <v>127</v>
      </c>
      <c r="H1911" t="s">
        <v>3065</v>
      </c>
      <c r="I1911" t="s">
        <v>3067</v>
      </c>
      <c r="J1911" t="s">
        <v>37</v>
      </c>
      <c r="K1911" t="s">
        <v>32</v>
      </c>
      <c r="L1911" t="s">
        <v>35</v>
      </c>
      <c r="AQ1911">
        <v>0</v>
      </c>
      <c r="AR1911" s="3">
        <f t="shared" si="87"/>
        <v>0</v>
      </c>
      <c r="AS1911" s="3">
        <f t="shared" si="88"/>
        <v>0</v>
      </c>
      <c r="AT1911" s="3" t="str">
        <f>IF(OR(Registered!AM1911&gt;0,Registered!AO1911&gt;0),(IF(Registered!E1911=0,"Size Not Specified",Registered!E1911)),"")</f>
        <v/>
      </c>
      <c r="AU1911" s="3" t="str">
        <f>IF(Registered!AE1911=0,"",IF(Registered!AE1911=1,Registered!AE1911&amp;" Bandana",Registered!AE1911&amp;" Bandanas"))</f>
        <v/>
      </c>
      <c r="AV1911" s="3">
        <f t="shared" si="89"/>
        <v>0</v>
      </c>
      <c r="AW1911" s="2" t="str">
        <f>IF(Registered!AV1911=0,"",IF(Registered!AV1911=1,Registered!AV1911&amp;" Meal",Registered!AV1911&amp;" Meals"))</f>
        <v/>
      </c>
      <c r="AX1911" s="2" t="str">
        <f>IF(Registered!AI1911=0,"",Registered!AI1911&amp;" BG")</f>
        <v/>
      </c>
      <c r="AY1911" s="2" t="str">
        <f>IF(Registered!AG1911=0,"",Registered!AG1911&amp;" DustMask")</f>
        <v/>
      </c>
    </row>
    <row r="1912" spans="1:51" customFormat="1" x14ac:dyDescent="0.25">
      <c r="A1912" t="s">
        <v>3548</v>
      </c>
      <c r="B1912" t="s">
        <v>2133</v>
      </c>
      <c r="C1912" t="s">
        <v>6090</v>
      </c>
      <c r="D1912" t="s">
        <v>3548</v>
      </c>
      <c r="E1912" t="s">
        <v>65</v>
      </c>
      <c r="F1912" t="s">
        <v>261</v>
      </c>
      <c r="I1912" t="s">
        <v>5446</v>
      </c>
      <c r="J1912" t="s">
        <v>37</v>
      </c>
      <c r="K1912" t="s">
        <v>32</v>
      </c>
      <c r="L1912" t="s">
        <v>35</v>
      </c>
      <c r="Q1912">
        <v>2</v>
      </c>
      <c r="R1912">
        <v>3</v>
      </c>
      <c r="AQ1912">
        <v>6</v>
      </c>
      <c r="AR1912" s="3">
        <f t="shared" si="87"/>
        <v>0</v>
      </c>
      <c r="AS1912" s="3">
        <f t="shared" si="88"/>
        <v>0</v>
      </c>
      <c r="AT1912" s="3" t="str">
        <f>IF(OR(Registered!AM1912&gt;0,Registered!AO1912&gt;0),(IF(Registered!E1912=0,"Size Not Specified",Registered!E1912)),"")</f>
        <v/>
      </c>
      <c r="AU1912" s="3" t="str">
        <f>IF(Registered!AE1912=0,"",IF(Registered!AE1912=1,Registered!AE1912&amp;" Bandana",Registered!AE1912&amp;" Bandanas"))</f>
        <v/>
      </c>
      <c r="AV1912" s="3">
        <f t="shared" si="89"/>
        <v>0</v>
      </c>
      <c r="AW1912" s="2" t="str">
        <f>IF(Registered!AV1912=0,"",IF(Registered!AV1912=1,Registered!AV1912&amp;" Meal",Registered!AV1912&amp;" Meals"))</f>
        <v/>
      </c>
      <c r="AX1912" s="2" t="str">
        <f>IF(Registered!AI1912=0,"",Registered!AI1912&amp;" BG")</f>
        <v/>
      </c>
      <c r="AY1912" s="2" t="str">
        <f>IF(Registered!AG1912=0,"",Registered!AG1912&amp;" DustMask")</f>
        <v/>
      </c>
    </row>
    <row r="1913" spans="1:51" customFormat="1" x14ac:dyDescent="0.25">
      <c r="A1913" t="s">
        <v>2828</v>
      </c>
      <c r="B1913" t="s">
        <v>2133</v>
      </c>
      <c r="C1913" t="s">
        <v>6090</v>
      </c>
      <c r="D1913" t="s">
        <v>2828</v>
      </c>
      <c r="F1913" t="s">
        <v>261</v>
      </c>
      <c r="I1913" t="s">
        <v>2829</v>
      </c>
      <c r="J1913" t="s">
        <v>37</v>
      </c>
      <c r="K1913" t="s">
        <v>32</v>
      </c>
      <c r="L1913" t="s">
        <v>35</v>
      </c>
      <c r="Q1913">
        <v>2</v>
      </c>
      <c r="R1913">
        <v>3</v>
      </c>
      <c r="U1913">
        <v>1</v>
      </c>
      <c r="V1913">
        <v>20</v>
      </c>
      <c r="AQ1913">
        <v>26</v>
      </c>
      <c r="AR1913" s="3">
        <f t="shared" si="87"/>
        <v>10</v>
      </c>
      <c r="AS1913" s="3">
        <f t="shared" si="88"/>
        <v>0</v>
      </c>
      <c r="AT1913" s="3" t="str">
        <f>IF(OR(Registered!AM1913&gt;0,Registered!AO1913&gt;0),(IF(Registered!E1913=0,"Size Not Specified",Registered!E1913)),"")</f>
        <v/>
      </c>
      <c r="AU1913" s="3" t="str">
        <f>IF(Registered!AE1913=0,"",IF(Registered!AE1913=1,Registered!AE1913&amp;" Bandana",Registered!AE1913&amp;" Bandanas"))</f>
        <v/>
      </c>
      <c r="AV1913" s="3">
        <f t="shared" si="89"/>
        <v>0</v>
      </c>
      <c r="AW1913" s="2" t="str">
        <f>IF(Registered!AV1913=0,"",IF(Registered!AV1913=1,Registered!AV1913&amp;" Meal",Registered!AV1913&amp;" Meals"))</f>
        <v/>
      </c>
      <c r="AX1913" s="2" t="str">
        <f>IF(Registered!AI1913=0,"",Registered!AI1913&amp;" BG")</f>
        <v/>
      </c>
      <c r="AY1913" s="2" t="str">
        <f>IF(Registered!AG1913=0,"",Registered!AG1913&amp;" DustMask")</f>
        <v/>
      </c>
    </row>
    <row r="1914" spans="1:51" customFormat="1" x14ac:dyDescent="0.25">
      <c r="A1914" t="s">
        <v>103</v>
      </c>
      <c r="B1914" t="s">
        <v>2133</v>
      </c>
      <c r="C1914" t="s">
        <v>6090</v>
      </c>
      <c r="G1914" t="s">
        <v>3548</v>
      </c>
      <c r="H1914" t="s">
        <v>2133</v>
      </c>
      <c r="I1914" t="s">
        <v>5446</v>
      </c>
      <c r="J1914" t="s">
        <v>37</v>
      </c>
      <c r="K1914" t="s">
        <v>32</v>
      </c>
      <c r="L1914" t="s">
        <v>35</v>
      </c>
      <c r="AQ1914">
        <v>0</v>
      </c>
      <c r="AR1914" s="3">
        <f t="shared" si="87"/>
        <v>0</v>
      </c>
      <c r="AS1914" s="3">
        <f t="shared" si="88"/>
        <v>0</v>
      </c>
      <c r="AT1914" s="3" t="str">
        <f>IF(OR(Registered!AM1914&gt;0,Registered!AO1914&gt;0),(IF(Registered!E1914=0,"Size Not Specified",Registered!E1914)),"")</f>
        <v/>
      </c>
      <c r="AU1914" s="3" t="str">
        <f>IF(Registered!AE1914=0,"",IF(Registered!AE1914=1,Registered!AE1914&amp;" Bandana",Registered!AE1914&amp;" Bandanas"))</f>
        <v/>
      </c>
      <c r="AV1914" s="3">
        <f t="shared" si="89"/>
        <v>0</v>
      </c>
      <c r="AW1914" s="2" t="str">
        <f>IF(Registered!AV1914=0,"",IF(Registered!AV1914=1,Registered!AV1914&amp;" Meal",Registered!AV1914&amp;" Meals"))</f>
        <v/>
      </c>
      <c r="AX1914" s="2" t="str">
        <f>IF(Registered!AI1914=0,"",Registered!AI1914&amp;" BG")</f>
        <v/>
      </c>
      <c r="AY1914" s="2" t="str">
        <f>IF(Registered!AG1914=0,"",Registered!AG1914&amp;" DustMask")</f>
        <v/>
      </c>
    </row>
    <row r="1915" spans="1:51" customFormat="1" x14ac:dyDescent="0.25">
      <c r="A1915" t="s">
        <v>2137</v>
      </c>
      <c r="B1915" t="s">
        <v>2138</v>
      </c>
      <c r="C1915" t="s">
        <v>6090</v>
      </c>
      <c r="D1915" t="s">
        <v>2139</v>
      </c>
      <c r="F1915" t="s">
        <v>261</v>
      </c>
      <c r="I1915" t="s">
        <v>2140</v>
      </c>
      <c r="J1915" t="s">
        <v>37</v>
      </c>
      <c r="K1915" t="s">
        <v>32</v>
      </c>
      <c r="L1915" t="s">
        <v>35</v>
      </c>
      <c r="S1915">
        <v>2</v>
      </c>
      <c r="T1915">
        <v>3</v>
      </c>
      <c r="U1915">
        <v>1</v>
      </c>
      <c r="V1915">
        <v>20</v>
      </c>
      <c r="AQ1915">
        <v>26</v>
      </c>
      <c r="AR1915" s="3">
        <f t="shared" si="87"/>
        <v>10</v>
      </c>
      <c r="AS1915" s="3">
        <f t="shared" si="88"/>
        <v>0</v>
      </c>
      <c r="AT1915" s="3" t="str">
        <f>IF(OR(Registered!AM1915&gt;0,Registered!AO1915&gt;0),(IF(Registered!E1915=0,"Size Not Specified",Registered!E1915)),"")</f>
        <v/>
      </c>
      <c r="AU1915" s="3" t="str">
        <f>IF(Registered!AE1915=0,"",IF(Registered!AE1915=1,Registered!AE1915&amp;" Bandana",Registered!AE1915&amp;" Bandanas"))</f>
        <v/>
      </c>
      <c r="AV1915" s="3">
        <f t="shared" si="89"/>
        <v>0</v>
      </c>
      <c r="AW1915" s="2" t="str">
        <f>IF(Registered!AV1915=0,"",IF(Registered!AV1915=1,Registered!AV1915&amp;" Meal",Registered!AV1915&amp;" Meals"))</f>
        <v/>
      </c>
      <c r="AX1915" s="2" t="str">
        <f>IF(Registered!AI1915=0,"",Registered!AI1915&amp;" BG")</f>
        <v/>
      </c>
      <c r="AY1915" s="2" t="str">
        <f>IF(Registered!AG1915=0,"",Registered!AG1915&amp;" DustMask")</f>
        <v/>
      </c>
    </row>
    <row r="1916" spans="1:51" customFormat="1" x14ac:dyDescent="0.25">
      <c r="A1916" t="s">
        <v>2141</v>
      </c>
      <c r="B1916" t="s">
        <v>2142</v>
      </c>
      <c r="C1916" t="s">
        <v>6090</v>
      </c>
      <c r="D1916" t="s">
        <v>2143</v>
      </c>
      <c r="I1916" t="s">
        <v>2144</v>
      </c>
      <c r="J1916" t="s">
        <v>37</v>
      </c>
      <c r="K1916" t="s">
        <v>32</v>
      </c>
      <c r="L1916" t="s">
        <v>35</v>
      </c>
      <c r="O1916">
        <v>1</v>
      </c>
      <c r="P1916">
        <v>3</v>
      </c>
      <c r="AC1916">
        <v>1</v>
      </c>
      <c r="AD1916">
        <v>10</v>
      </c>
      <c r="AQ1916">
        <v>13</v>
      </c>
      <c r="AR1916" s="3">
        <f t="shared" si="87"/>
        <v>5</v>
      </c>
      <c r="AS1916" s="3">
        <f t="shared" si="88"/>
        <v>0</v>
      </c>
      <c r="AT1916" s="3" t="str">
        <f>IF(OR(Registered!AM1916&gt;0,Registered!AO1916&gt;0),(IF(Registered!E1916=0,"Size Not Specified",Registered!E1916)),"")</f>
        <v/>
      </c>
      <c r="AU1916" s="3" t="str">
        <f>IF(Registered!AE1916=0,"",IF(Registered!AE1916=1,Registered!AE1916&amp;" Bandana",Registered!AE1916&amp;" Bandanas"))</f>
        <v/>
      </c>
      <c r="AV1916" s="3">
        <f t="shared" si="89"/>
        <v>0</v>
      </c>
      <c r="AW1916" s="2" t="str">
        <f>IF(Registered!AV1916=0,"",IF(Registered!AV1916=1,Registered!AV1916&amp;" Meal",Registered!AV1916&amp;" Meals"))</f>
        <v/>
      </c>
      <c r="AX1916" s="2" t="str">
        <f>IF(Registered!AI1916=0,"",Registered!AI1916&amp;" BG")</f>
        <v/>
      </c>
      <c r="AY1916" s="2" t="str">
        <f>IF(Registered!AG1916=0,"",Registered!AG1916&amp;" DustMask")</f>
        <v/>
      </c>
    </row>
    <row r="1917" spans="1:51" customFormat="1" x14ac:dyDescent="0.25">
      <c r="A1917" t="s">
        <v>4701</v>
      </c>
      <c r="B1917" t="s">
        <v>2145</v>
      </c>
      <c r="C1917" t="s">
        <v>6090</v>
      </c>
      <c r="D1917" t="s">
        <v>4701</v>
      </c>
      <c r="F1917" t="s">
        <v>261</v>
      </c>
      <c r="I1917" t="s">
        <v>5450</v>
      </c>
      <c r="J1917" t="s">
        <v>37</v>
      </c>
      <c r="K1917" t="s">
        <v>32</v>
      </c>
      <c r="L1917" t="s">
        <v>35</v>
      </c>
      <c r="Q1917">
        <v>1</v>
      </c>
      <c r="R1917">
        <v>3</v>
      </c>
      <c r="AC1917">
        <v>5</v>
      </c>
      <c r="AD1917">
        <v>10</v>
      </c>
      <c r="AQ1917">
        <v>53</v>
      </c>
      <c r="AR1917" s="3">
        <f t="shared" si="87"/>
        <v>25</v>
      </c>
      <c r="AS1917" s="3">
        <f t="shared" si="88"/>
        <v>0</v>
      </c>
      <c r="AT1917" s="3" t="str">
        <f>IF(OR(Registered!AM1917&gt;0,Registered!AO1917&gt;0),(IF(Registered!E1917=0,"Size Not Specified",Registered!E1917)),"")</f>
        <v/>
      </c>
      <c r="AU1917" s="3" t="str">
        <f>IF(Registered!AE1917=0,"",IF(Registered!AE1917=1,Registered!AE1917&amp;" Bandana",Registered!AE1917&amp;" Bandanas"))</f>
        <v/>
      </c>
      <c r="AV1917" s="3">
        <f t="shared" si="89"/>
        <v>0</v>
      </c>
      <c r="AW1917" s="2" t="str">
        <f>IF(Registered!AV1917=0,"",IF(Registered!AV1917=1,Registered!AV1917&amp;" Meal",Registered!AV1917&amp;" Meals"))</f>
        <v/>
      </c>
      <c r="AX1917" s="2" t="str">
        <f>IF(Registered!AI1917=0,"",Registered!AI1917&amp;" BG")</f>
        <v/>
      </c>
      <c r="AY1917" s="2" t="str">
        <f>IF(Registered!AG1917=0,"",Registered!AG1917&amp;" DustMask")</f>
        <v/>
      </c>
    </row>
    <row r="1918" spans="1:51" customFormat="1" x14ac:dyDescent="0.25">
      <c r="A1918" t="s">
        <v>60</v>
      </c>
      <c r="B1918" t="s">
        <v>2145</v>
      </c>
      <c r="C1918" t="s">
        <v>6090</v>
      </c>
      <c r="D1918" t="s">
        <v>2146</v>
      </c>
      <c r="F1918" t="s">
        <v>261</v>
      </c>
      <c r="I1918" t="s">
        <v>2147</v>
      </c>
      <c r="J1918" t="s">
        <v>37</v>
      </c>
      <c r="K1918" t="s">
        <v>32</v>
      </c>
      <c r="L1918" t="s">
        <v>35</v>
      </c>
      <c r="S1918">
        <v>1</v>
      </c>
      <c r="T1918">
        <v>3</v>
      </c>
      <c r="AC1918">
        <v>1</v>
      </c>
      <c r="AD1918">
        <v>10</v>
      </c>
      <c r="AQ1918">
        <v>13</v>
      </c>
      <c r="AR1918" s="3">
        <f t="shared" si="87"/>
        <v>5</v>
      </c>
      <c r="AS1918" s="3">
        <f t="shared" si="88"/>
        <v>0</v>
      </c>
      <c r="AT1918" s="3" t="str">
        <f>IF(OR(Registered!AM1918&gt;0,Registered!AO1918&gt;0),(IF(Registered!E1918=0,"Size Not Specified",Registered!E1918)),"")</f>
        <v/>
      </c>
      <c r="AU1918" s="3" t="str">
        <f>IF(Registered!AE1918=0,"",IF(Registered!AE1918=1,Registered!AE1918&amp;" Bandana",Registered!AE1918&amp;" Bandanas"))</f>
        <v/>
      </c>
      <c r="AV1918" s="3">
        <f t="shared" si="89"/>
        <v>0</v>
      </c>
      <c r="AW1918" s="2" t="str">
        <f>IF(Registered!AV1918=0,"",IF(Registered!AV1918=1,Registered!AV1918&amp;" Meal",Registered!AV1918&amp;" Meals"))</f>
        <v/>
      </c>
      <c r="AX1918" s="2" t="str">
        <f>IF(Registered!AI1918=0,"",Registered!AI1918&amp;" BG")</f>
        <v/>
      </c>
      <c r="AY1918" s="2" t="str">
        <f>IF(Registered!AG1918=0,"",Registered!AG1918&amp;" DustMask")</f>
        <v/>
      </c>
    </row>
    <row r="1919" spans="1:51" customFormat="1" x14ac:dyDescent="0.25">
      <c r="A1919" t="s">
        <v>2148</v>
      </c>
      <c r="B1919" t="s">
        <v>2145</v>
      </c>
      <c r="C1919" t="s">
        <v>6090</v>
      </c>
      <c r="G1919" t="s">
        <v>1118</v>
      </c>
      <c r="H1919" t="s">
        <v>1119</v>
      </c>
      <c r="I1919" t="s">
        <v>1121</v>
      </c>
      <c r="J1919" t="s">
        <v>37</v>
      </c>
      <c r="K1919" t="s">
        <v>32</v>
      </c>
      <c r="L1919" t="s">
        <v>35</v>
      </c>
      <c r="AQ1919">
        <v>0</v>
      </c>
      <c r="AR1919" s="3">
        <f t="shared" si="87"/>
        <v>0</v>
      </c>
      <c r="AS1919" s="3">
        <f t="shared" si="88"/>
        <v>0</v>
      </c>
      <c r="AT1919" s="3" t="str">
        <f>IF(OR(Registered!AM1919&gt;0,Registered!AO1919&gt;0),(IF(Registered!E1919=0,"Size Not Specified",Registered!E1919)),"")</f>
        <v/>
      </c>
      <c r="AU1919" s="3" t="str">
        <f>IF(Registered!AE1919=0,"",IF(Registered!AE1919=1,Registered!AE1919&amp;" Bandana",Registered!AE1919&amp;" Bandanas"))</f>
        <v/>
      </c>
      <c r="AV1919" s="3">
        <f t="shared" si="89"/>
        <v>0</v>
      </c>
      <c r="AW1919" s="2" t="str">
        <f>IF(Registered!AV1919=0,"",IF(Registered!AV1919=1,Registered!AV1919&amp;" Meal",Registered!AV1919&amp;" Meals"))</f>
        <v/>
      </c>
      <c r="AX1919" s="2" t="str">
        <f>IF(Registered!AI1919=0,"",Registered!AI1919&amp;" BG")</f>
        <v/>
      </c>
      <c r="AY1919" s="2" t="str">
        <f>IF(Registered!AG1919=0,"",Registered!AG1919&amp;" DustMask")</f>
        <v/>
      </c>
    </row>
    <row r="1920" spans="1:51" customFormat="1" x14ac:dyDescent="0.25">
      <c r="A1920" t="s">
        <v>2149</v>
      </c>
      <c r="B1920" t="s">
        <v>391</v>
      </c>
      <c r="C1920" t="s">
        <v>6090</v>
      </c>
      <c r="D1920" t="s">
        <v>5451</v>
      </c>
      <c r="I1920" t="s">
        <v>3864</v>
      </c>
      <c r="J1920" t="s">
        <v>37</v>
      </c>
      <c r="K1920" t="s">
        <v>32</v>
      </c>
      <c r="L1920" t="s">
        <v>35</v>
      </c>
      <c r="S1920">
        <v>3</v>
      </c>
      <c r="T1920">
        <v>3</v>
      </c>
      <c r="AA1920">
        <v>1</v>
      </c>
      <c r="AB1920">
        <v>75</v>
      </c>
      <c r="AQ1920">
        <v>84</v>
      </c>
      <c r="AR1920" s="3">
        <f t="shared" si="87"/>
        <v>40</v>
      </c>
      <c r="AS1920" s="3">
        <f t="shared" si="88"/>
        <v>0</v>
      </c>
      <c r="AT1920" s="3" t="str">
        <f>IF(OR(Registered!AM1920&gt;0,Registered!AO1920&gt;0),(IF(Registered!E1920=0,"Size Not Specified",Registered!E1920)),"")</f>
        <v/>
      </c>
      <c r="AU1920" s="3" t="str">
        <f>IF(Registered!AE1920=0,"",IF(Registered!AE1920=1,Registered!AE1920&amp;" Bandana",Registered!AE1920&amp;" Bandanas"))</f>
        <v/>
      </c>
      <c r="AV1920" s="3">
        <f t="shared" si="89"/>
        <v>0</v>
      </c>
      <c r="AW1920" s="2" t="str">
        <f>IF(Registered!AV1920=0,"",IF(Registered!AV1920=1,Registered!AV1920&amp;" Meal",Registered!AV1920&amp;" Meals"))</f>
        <v/>
      </c>
      <c r="AX1920" s="2" t="str">
        <f>IF(Registered!AI1920=0,"",Registered!AI1920&amp;" BG")</f>
        <v/>
      </c>
      <c r="AY1920" s="2" t="str">
        <f>IF(Registered!AG1920=0,"",Registered!AG1920&amp;" DustMask")</f>
        <v/>
      </c>
    </row>
    <row r="1921" spans="1:51" customFormat="1" x14ac:dyDescent="0.25">
      <c r="A1921" t="s">
        <v>3643</v>
      </c>
      <c r="B1921" t="s">
        <v>391</v>
      </c>
      <c r="C1921" t="s">
        <v>6090</v>
      </c>
      <c r="D1921" t="s">
        <v>5452</v>
      </c>
      <c r="F1921" t="s">
        <v>261</v>
      </c>
      <c r="I1921" t="s">
        <v>3644</v>
      </c>
      <c r="J1921" t="s">
        <v>37</v>
      </c>
      <c r="K1921" t="s">
        <v>32</v>
      </c>
      <c r="L1921" t="s">
        <v>35</v>
      </c>
      <c r="Q1921">
        <v>15</v>
      </c>
      <c r="R1921">
        <v>3</v>
      </c>
      <c r="U1921">
        <v>1</v>
      </c>
      <c r="V1921">
        <v>20</v>
      </c>
      <c r="AQ1921">
        <v>65</v>
      </c>
      <c r="AR1921" s="3">
        <f t="shared" si="87"/>
        <v>10</v>
      </c>
      <c r="AS1921" s="3">
        <f t="shared" si="88"/>
        <v>0</v>
      </c>
      <c r="AT1921" s="3" t="str">
        <f>IF(OR(Registered!AM1921&gt;0,Registered!AO1921&gt;0),(IF(Registered!E1921=0,"Size Not Specified",Registered!E1921)),"")</f>
        <v/>
      </c>
      <c r="AU1921" s="3" t="str">
        <f>IF(Registered!AE1921=0,"",IF(Registered!AE1921=1,Registered!AE1921&amp;" Bandana",Registered!AE1921&amp;" Bandanas"))</f>
        <v/>
      </c>
      <c r="AV1921" s="3">
        <f t="shared" si="89"/>
        <v>0</v>
      </c>
      <c r="AW1921" s="2" t="str">
        <f>IF(Registered!AV1921=0,"",IF(Registered!AV1921=1,Registered!AV1921&amp;" Meal",Registered!AV1921&amp;" Meals"))</f>
        <v/>
      </c>
      <c r="AX1921" s="2" t="str">
        <f>IF(Registered!AI1921=0,"",Registered!AI1921&amp;" BG")</f>
        <v/>
      </c>
      <c r="AY1921" s="2" t="str">
        <f>IF(Registered!AG1921=0,"",Registered!AG1921&amp;" DustMask")</f>
        <v/>
      </c>
    </row>
    <row r="1922" spans="1:51" customFormat="1" x14ac:dyDescent="0.25">
      <c r="A1922" t="s">
        <v>2150</v>
      </c>
      <c r="B1922" t="s">
        <v>391</v>
      </c>
      <c r="C1922" t="s">
        <v>6090</v>
      </c>
      <c r="G1922" t="s">
        <v>2149</v>
      </c>
      <c r="H1922" t="s">
        <v>391</v>
      </c>
      <c r="I1922" t="s">
        <v>3864</v>
      </c>
      <c r="J1922" t="s">
        <v>37</v>
      </c>
      <c r="K1922" t="s">
        <v>32</v>
      </c>
      <c r="L1922" t="s">
        <v>35</v>
      </c>
      <c r="AQ1922">
        <v>0</v>
      </c>
      <c r="AR1922" s="3">
        <f t="shared" ref="AR1922:AR1985" si="90">IF(ISTEXT(AM1922)=TRUE,"",SUM(U1922*10,W1922*20,Y1922*30,AA1922*40,AC1922*5,AM1922*5))</f>
        <v>0</v>
      </c>
      <c r="AS1922" s="3">
        <f t="shared" ref="AS1922:AS1985" si="91">IF(ISTEXT(AM1922)=TRUE,"",SUM(AM1922,AO1922))</f>
        <v>0</v>
      </c>
      <c r="AT1922" s="3" t="str">
        <f>IF(OR(Registered!AM1922&gt;0,Registered!AO1922&gt;0),(IF(Registered!E1922=0,"Size Not Specified",Registered!E1922)),"")</f>
        <v/>
      </c>
      <c r="AU1922" s="3" t="str">
        <f>IF(Registered!AE1922=0,"",IF(Registered!AE1922=1,Registered!AE1922&amp;" Bandana",Registered!AE1922&amp;" Bandanas"))</f>
        <v/>
      </c>
      <c r="AV1922" s="3">
        <f t="shared" ref="AV1922:AV1985" si="92">IF(ISTEXT(AM1922)=TRUE,"",SUM(AM1922,AK1922))</f>
        <v>0</v>
      </c>
      <c r="AW1922" s="2" t="str">
        <f>IF(Registered!AV1922=0,"",IF(Registered!AV1922=1,Registered!AV1922&amp;" Meal",Registered!AV1922&amp;" Meals"))</f>
        <v/>
      </c>
      <c r="AX1922" s="2" t="str">
        <f>IF(Registered!AI1922=0,"",Registered!AI1922&amp;" BG")</f>
        <v/>
      </c>
      <c r="AY1922" s="2" t="str">
        <f>IF(Registered!AG1922=0,"",Registered!AG1922&amp;" DustMask")</f>
        <v/>
      </c>
    </row>
    <row r="1923" spans="1:51" customFormat="1" x14ac:dyDescent="0.25">
      <c r="A1923" t="s">
        <v>5456</v>
      </c>
      <c r="B1923" t="s">
        <v>391</v>
      </c>
      <c r="C1923" t="s">
        <v>6090</v>
      </c>
      <c r="F1923" t="s">
        <v>261</v>
      </c>
      <c r="I1923" t="s">
        <v>5457</v>
      </c>
      <c r="J1923" t="s">
        <v>37</v>
      </c>
      <c r="K1923" t="s">
        <v>32</v>
      </c>
      <c r="L1923" t="s">
        <v>35</v>
      </c>
      <c r="Q1923">
        <v>1</v>
      </c>
      <c r="R1923">
        <v>3</v>
      </c>
      <c r="AQ1923">
        <v>3</v>
      </c>
      <c r="AR1923" s="3">
        <f t="shared" si="90"/>
        <v>0</v>
      </c>
      <c r="AS1923" s="3">
        <f t="shared" si="91"/>
        <v>0</v>
      </c>
      <c r="AT1923" s="3" t="str">
        <f>IF(OR(Registered!AM1923&gt;0,Registered!AO1923&gt;0),(IF(Registered!E1923=0,"Size Not Specified",Registered!E1923)),"")</f>
        <v/>
      </c>
      <c r="AU1923" s="3" t="str">
        <f>IF(Registered!AE1923=0,"",IF(Registered!AE1923=1,Registered!AE1923&amp;" Bandana",Registered!AE1923&amp;" Bandanas"))</f>
        <v/>
      </c>
      <c r="AV1923" s="3">
        <f t="shared" si="92"/>
        <v>0</v>
      </c>
      <c r="AW1923" s="2" t="str">
        <f>IF(Registered!AV1923=0,"",IF(Registered!AV1923=1,Registered!AV1923&amp;" Meal",Registered!AV1923&amp;" Meals"))</f>
        <v/>
      </c>
      <c r="AX1923" s="2" t="str">
        <f>IF(Registered!AI1923=0,"",Registered!AI1923&amp;" BG")</f>
        <v/>
      </c>
      <c r="AY1923" s="2" t="str">
        <f>IF(Registered!AG1923=0,"",Registered!AG1923&amp;" DustMask")</f>
        <v/>
      </c>
    </row>
    <row r="1924" spans="1:51" customFormat="1" x14ac:dyDescent="0.25">
      <c r="A1924" t="s">
        <v>171</v>
      </c>
      <c r="B1924" t="s">
        <v>391</v>
      </c>
      <c r="C1924" t="s">
        <v>6090</v>
      </c>
      <c r="D1924" t="s">
        <v>2153</v>
      </c>
      <c r="I1924" t="s">
        <v>2154</v>
      </c>
      <c r="J1924" t="s">
        <v>37</v>
      </c>
      <c r="K1924" t="s">
        <v>32</v>
      </c>
      <c r="L1924" t="s">
        <v>35</v>
      </c>
      <c r="O1924">
        <v>2</v>
      </c>
      <c r="P1924">
        <v>3</v>
      </c>
      <c r="AC1924">
        <v>1</v>
      </c>
      <c r="AD1924">
        <v>10</v>
      </c>
      <c r="AQ1924">
        <v>16</v>
      </c>
      <c r="AR1924" s="3">
        <f t="shared" si="90"/>
        <v>5</v>
      </c>
      <c r="AS1924" s="3">
        <f t="shared" si="91"/>
        <v>0</v>
      </c>
      <c r="AT1924" s="3" t="str">
        <f>IF(OR(Registered!AM1924&gt;0,Registered!AO1924&gt;0),(IF(Registered!E1924=0,"Size Not Specified",Registered!E1924)),"")</f>
        <v/>
      </c>
      <c r="AU1924" s="3" t="str">
        <f>IF(Registered!AE1924=0,"",IF(Registered!AE1924=1,Registered!AE1924&amp;" Bandana",Registered!AE1924&amp;" Bandanas"))</f>
        <v/>
      </c>
      <c r="AV1924" s="3">
        <f t="shared" si="92"/>
        <v>0</v>
      </c>
      <c r="AW1924" s="2" t="str">
        <f>IF(Registered!AV1924=0,"",IF(Registered!AV1924=1,Registered!AV1924&amp;" Meal",Registered!AV1924&amp;" Meals"))</f>
        <v/>
      </c>
      <c r="AX1924" s="2" t="str">
        <f>IF(Registered!AI1924=0,"",Registered!AI1924&amp;" BG")</f>
        <v/>
      </c>
      <c r="AY1924" s="2" t="str">
        <f>IF(Registered!AG1924=0,"",Registered!AG1924&amp;" DustMask")</f>
        <v/>
      </c>
    </row>
    <row r="1925" spans="1:51" customFormat="1" x14ac:dyDescent="0.25">
      <c r="A1925" t="s">
        <v>665</v>
      </c>
      <c r="B1925" t="s">
        <v>391</v>
      </c>
      <c r="C1925" t="s">
        <v>6090</v>
      </c>
      <c r="G1925" t="s">
        <v>131</v>
      </c>
      <c r="H1925" t="s">
        <v>391</v>
      </c>
      <c r="I1925" t="s">
        <v>4754</v>
      </c>
      <c r="J1925" t="s">
        <v>37</v>
      </c>
      <c r="K1925" t="s">
        <v>32</v>
      </c>
      <c r="L1925" t="s">
        <v>35</v>
      </c>
      <c r="AQ1925">
        <v>0</v>
      </c>
      <c r="AR1925" s="3">
        <f t="shared" si="90"/>
        <v>0</v>
      </c>
      <c r="AS1925" s="3">
        <f t="shared" si="91"/>
        <v>0</v>
      </c>
      <c r="AT1925" s="3" t="str">
        <f>IF(OR(Registered!AM1925&gt;0,Registered!AO1925&gt;0),(IF(Registered!E1925=0,"Size Not Specified",Registered!E1925)),"")</f>
        <v/>
      </c>
      <c r="AU1925" s="3" t="str">
        <f>IF(Registered!AE1925=0,"",IF(Registered!AE1925=1,Registered!AE1925&amp;" Bandana",Registered!AE1925&amp;" Bandanas"))</f>
        <v/>
      </c>
      <c r="AV1925" s="3">
        <f t="shared" si="92"/>
        <v>0</v>
      </c>
      <c r="AW1925" s="2" t="str">
        <f>IF(Registered!AV1925=0,"",IF(Registered!AV1925=1,Registered!AV1925&amp;" Meal",Registered!AV1925&amp;" Meals"))</f>
        <v/>
      </c>
      <c r="AX1925" s="2" t="str">
        <f>IF(Registered!AI1925=0,"",Registered!AI1925&amp;" BG")</f>
        <v/>
      </c>
      <c r="AY1925" s="2" t="str">
        <f>IF(Registered!AG1925=0,"",Registered!AG1925&amp;" DustMask")</f>
        <v/>
      </c>
    </row>
    <row r="1926" spans="1:51" customFormat="1" x14ac:dyDescent="0.25">
      <c r="A1926" t="s">
        <v>665</v>
      </c>
      <c r="B1926" t="s">
        <v>391</v>
      </c>
      <c r="C1926" t="s">
        <v>6090</v>
      </c>
      <c r="G1926" t="s">
        <v>137</v>
      </c>
      <c r="H1926" t="s">
        <v>2046</v>
      </c>
      <c r="I1926" t="s">
        <v>2051</v>
      </c>
      <c r="J1926" t="s">
        <v>37</v>
      </c>
      <c r="K1926" t="s">
        <v>32</v>
      </c>
      <c r="L1926" t="s">
        <v>35</v>
      </c>
      <c r="AQ1926">
        <v>0</v>
      </c>
      <c r="AR1926" s="3">
        <f t="shared" si="90"/>
        <v>0</v>
      </c>
      <c r="AS1926" s="3">
        <f t="shared" si="91"/>
        <v>0</v>
      </c>
      <c r="AT1926" s="3" t="str">
        <f>IF(OR(Registered!AM1926&gt;0,Registered!AO1926&gt;0),(IF(Registered!E1926=0,"Size Not Specified",Registered!E1926)),"")</f>
        <v/>
      </c>
      <c r="AU1926" s="3" t="str">
        <f>IF(Registered!AE1926=0,"",IF(Registered!AE1926=1,Registered!AE1926&amp;" Bandana",Registered!AE1926&amp;" Bandanas"))</f>
        <v/>
      </c>
      <c r="AV1926" s="3">
        <f t="shared" si="92"/>
        <v>0</v>
      </c>
      <c r="AW1926" s="2" t="str">
        <f>IF(Registered!AV1926=0,"",IF(Registered!AV1926=1,Registered!AV1926&amp;" Meal",Registered!AV1926&amp;" Meals"))</f>
        <v/>
      </c>
      <c r="AX1926" s="2" t="str">
        <f>IF(Registered!AI1926=0,"",Registered!AI1926&amp;" BG")</f>
        <v/>
      </c>
      <c r="AY1926" s="2" t="str">
        <f>IF(Registered!AG1926=0,"",Registered!AG1926&amp;" DustMask")</f>
        <v/>
      </c>
    </row>
    <row r="1927" spans="1:51" customFormat="1" x14ac:dyDescent="0.25">
      <c r="A1927" t="s">
        <v>131</v>
      </c>
      <c r="B1927" t="s">
        <v>391</v>
      </c>
      <c r="C1927" t="s">
        <v>6090</v>
      </c>
      <c r="D1927" t="s">
        <v>5458</v>
      </c>
      <c r="F1927" t="s">
        <v>261</v>
      </c>
      <c r="I1927" t="s">
        <v>4754</v>
      </c>
      <c r="J1927" t="s">
        <v>37</v>
      </c>
      <c r="K1927" t="s">
        <v>32</v>
      </c>
      <c r="L1927" t="s">
        <v>35</v>
      </c>
      <c r="Q1927">
        <v>3</v>
      </c>
      <c r="R1927">
        <v>3</v>
      </c>
      <c r="U1927">
        <v>1</v>
      </c>
      <c r="V1927">
        <v>20</v>
      </c>
      <c r="AC1927">
        <v>1</v>
      </c>
      <c r="AD1927">
        <v>10</v>
      </c>
      <c r="AQ1927">
        <v>39</v>
      </c>
      <c r="AR1927" s="3">
        <f t="shared" si="90"/>
        <v>15</v>
      </c>
      <c r="AS1927" s="3">
        <f t="shared" si="91"/>
        <v>0</v>
      </c>
      <c r="AT1927" s="3" t="str">
        <f>IF(OR(Registered!AM1927&gt;0,Registered!AO1927&gt;0),(IF(Registered!E1927=0,"Size Not Specified",Registered!E1927)),"")</f>
        <v/>
      </c>
      <c r="AU1927" s="3" t="str">
        <f>IF(Registered!AE1927=0,"",IF(Registered!AE1927=1,Registered!AE1927&amp;" Bandana",Registered!AE1927&amp;" Bandanas"))</f>
        <v/>
      </c>
      <c r="AV1927" s="3">
        <f t="shared" si="92"/>
        <v>0</v>
      </c>
      <c r="AW1927" s="2" t="str">
        <f>IF(Registered!AV1927=0,"",IF(Registered!AV1927=1,Registered!AV1927&amp;" Meal",Registered!AV1927&amp;" Meals"))</f>
        <v/>
      </c>
      <c r="AX1927" s="2" t="str">
        <f>IF(Registered!AI1927=0,"",Registered!AI1927&amp;" BG")</f>
        <v/>
      </c>
      <c r="AY1927" s="2" t="str">
        <f>IF(Registered!AG1927=0,"",Registered!AG1927&amp;" DustMask")</f>
        <v/>
      </c>
    </row>
    <row r="1928" spans="1:51" customFormat="1" x14ac:dyDescent="0.25">
      <c r="A1928" t="s">
        <v>253</v>
      </c>
      <c r="B1928" t="s">
        <v>391</v>
      </c>
      <c r="C1928" t="s">
        <v>6090</v>
      </c>
      <c r="D1928" t="s">
        <v>5459</v>
      </c>
      <c r="F1928" t="s">
        <v>261</v>
      </c>
      <c r="I1928" t="s">
        <v>5460</v>
      </c>
      <c r="J1928" t="s">
        <v>37</v>
      </c>
      <c r="K1928" t="s">
        <v>32</v>
      </c>
      <c r="L1928" t="s">
        <v>35</v>
      </c>
      <c r="Q1928">
        <v>1</v>
      </c>
      <c r="R1928">
        <v>3</v>
      </c>
      <c r="AC1928">
        <v>1</v>
      </c>
      <c r="AD1928">
        <v>10</v>
      </c>
      <c r="AQ1928">
        <v>13</v>
      </c>
      <c r="AR1928" s="3">
        <f t="shared" si="90"/>
        <v>5</v>
      </c>
      <c r="AS1928" s="3">
        <f t="shared" si="91"/>
        <v>0</v>
      </c>
      <c r="AT1928" s="3" t="str">
        <f>IF(OR(Registered!AM1928&gt;0,Registered!AO1928&gt;0),(IF(Registered!E1928=0,"Size Not Specified",Registered!E1928)),"")</f>
        <v/>
      </c>
      <c r="AU1928" s="3" t="str">
        <f>IF(Registered!AE1928=0,"",IF(Registered!AE1928=1,Registered!AE1928&amp;" Bandana",Registered!AE1928&amp;" Bandanas"))</f>
        <v/>
      </c>
      <c r="AV1928" s="3">
        <f t="shared" si="92"/>
        <v>0</v>
      </c>
      <c r="AW1928" s="2" t="str">
        <f>IF(Registered!AV1928=0,"",IF(Registered!AV1928=1,Registered!AV1928&amp;" Meal",Registered!AV1928&amp;" Meals"))</f>
        <v/>
      </c>
      <c r="AX1928" s="2" t="str">
        <f>IF(Registered!AI1928=0,"",Registered!AI1928&amp;" BG")</f>
        <v/>
      </c>
      <c r="AY1928" s="2" t="str">
        <f>IF(Registered!AG1928=0,"",Registered!AG1928&amp;" DustMask")</f>
        <v/>
      </c>
    </row>
    <row r="1929" spans="1:51" customFormat="1" x14ac:dyDescent="0.25">
      <c r="A1929" t="s">
        <v>848</v>
      </c>
      <c r="B1929" t="s">
        <v>391</v>
      </c>
      <c r="C1929" t="s">
        <v>6090</v>
      </c>
      <c r="G1929" t="s">
        <v>171</v>
      </c>
      <c r="H1929" t="s">
        <v>391</v>
      </c>
      <c r="I1929" t="s">
        <v>2154</v>
      </c>
      <c r="J1929" t="s">
        <v>37</v>
      </c>
      <c r="K1929" t="s">
        <v>32</v>
      </c>
      <c r="L1929" t="s">
        <v>35</v>
      </c>
      <c r="AQ1929">
        <v>0</v>
      </c>
      <c r="AR1929" s="3">
        <f t="shared" si="90"/>
        <v>0</v>
      </c>
      <c r="AS1929" s="3">
        <f t="shared" si="91"/>
        <v>0</v>
      </c>
      <c r="AT1929" s="3" t="str">
        <f>IF(OR(Registered!AM1929&gt;0,Registered!AO1929&gt;0),(IF(Registered!E1929=0,"Size Not Specified",Registered!E1929)),"")</f>
        <v/>
      </c>
      <c r="AU1929" s="3" t="str">
        <f>IF(Registered!AE1929=0,"",IF(Registered!AE1929=1,Registered!AE1929&amp;" Bandana",Registered!AE1929&amp;" Bandanas"))</f>
        <v/>
      </c>
      <c r="AV1929" s="3">
        <f t="shared" si="92"/>
        <v>0</v>
      </c>
      <c r="AW1929" s="2" t="str">
        <f>IF(Registered!AV1929=0,"",IF(Registered!AV1929=1,Registered!AV1929&amp;" Meal",Registered!AV1929&amp;" Meals"))</f>
        <v/>
      </c>
      <c r="AX1929" s="2" t="str">
        <f>IF(Registered!AI1929=0,"",Registered!AI1929&amp;" BG")</f>
        <v/>
      </c>
      <c r="AY1929" s="2" t="str">
        <f>IF(Registered!AG1929=0,"",Registered!AG1929&amp;" DustMask")</f>
        <v/>
      </c>
    </row>
    <row r="1930" spans="1:51" customFormat="1" x14ac:dyDescent="0.25">
      <c r="A1930" t="s">
        <v>2156</v>
      </c>
      <c r="B1930" t="s">
        <v>2157</v>
      </c>
      <c r="C1930" t="s">
        <v>6090</v>
      </c>
      <c r="G1930" t="s">
        <v>203</v>
      </c>
      <c r="H1930" t="s">
        <v>439</v>
      </c>
      <c r="I1930" t="s">
        <v>2158</v>
      </c>
      <c r="J1930" t="s">
        <v>37</v>
      </c>
      <c r="K1930" t="s">
        <v>32</v>
      </c>
      <c r="L1930" t="s">
        <v>35</v>
      </c>
      <c r="AQ1930">
        <v>0</v>
      </c>
      <c r="AR1930" s="3">
        <f t="shared" si="90"/>
        <v>0</v>
      </c>
      <c r="AS1930" s="3">
        <f t="shared" si="91"/>
        <v>0</v>
      </c>
      <c r="AT1930" s="3" t="str">
        <f>IF(OR(Registered!AM1930&gt;0,Registered!AO1930&gt;0),(IF(Registered!E1930=0,"Size Not Specified",Registered!E1930)),"")</f>
        <v/>
      </c>
      <c r="AU1930" s="3" t="str">
        <f>IF(Registered!AE1930=0,"",IF(Registered!AE1930=1,Registered!AE1930&amp;" Bandana",Registered!AE1930&amp;" Bandanas"))</f>
        <v/>
      </c>
      <c r="AV1930" s="3">
        <f t="shared" si="92"/>
        <v>0</v>
      </c>
      <c r="AW1930" s="2" t="str">
        <f>IF(Registered!AV1930=0,"",IF(Registered!AV1930=1,Registered!AV1930&amp;" Meal",Registered!AV1930&amp;" Meals"))</f>
        <v/>
      </c>
      <c r="AX1930" s="2" t="str">
        <f>IF(Registered!AI1930=0,"",Registered!AI1930&amp;" BG")</f>
        <v/>
      </c>
      <c r="AY1930" s="2" t="str">
        <f>IF(Registered!AG1930=0,"",Registered!AG1930&amp;" DustMask")</f>
        <v/>
      </c>
    </row>
    <row r="1931" spans="1:51" customFormat="1" x14ac:dyDescent="0.25">
      <c r="A1931" t="s">
        <v>165</v>
      </c>
      <c r="B1931" t="s">
        <v>1747</v>
      </c>
      <c r="C1931" t="s">
        <v>6090</v>
      </c>
      <c r="D1931" t="s">
        <v>2159</v>
      </c>
      <c r="I1931" t="s">
        <v>1748</v>
      </c>
      <c r="J1931" t="s">
        <v>37</v>
      </c>
      <c r="K1931" t="s">
        <v>32</v>
      </c>
      <c r="L1931" t="s">
        <v>35</v>
      </c>
      <c r="O1931">
        <v>2</v>
      </c>
      <c r="P1931">
        <v>3</v>
      </c>
      <c r="Y1931">
        <v>1</v>
      </c>
      <c r="Z1931">
        <v>60</v>
      </c>
      <c r="AQ1931">
        <v>66</v>
      </c>
      <c r="AR1931" s="3">
        <f t="shared" si="90"/>
        <v>30</v>
      </c>
      <c r="AS1931" s="3">
        <f t="shared" si="91"/>
        <v>0</v>
      </c>
      <c r="AT1931" s="3" t="str">
        <f>IF(OR(Registered!AM1931&gt;0,Registered!AO1931&gt;0),(IF(Registered!E1931=0,"Size Not Specified",Registered!E1931)),"")</f>
        <v/>
      </c>
      <c r="AU1931" s="3" t="str">
        <f>IF(Registered!AE1931=0,"",IF(Registered!AE1931=1,Registered!AE1931&amp;" Bandana",Registered!AE1931&amp;" Bandanas"))</f>
        <v/>
      </c>
      <c r="AV1931" s="3">
        <f t="shared" si="92"/>
        <v>0</v>
      </c>
      <c r="AW1931" s="2" t="str">
        <f>IF(Registered!AV1931=0,"",IF(Registered!AV1931=1,Registered!AV1931&amp;" Meal",Registered!AV1931&amp;" Meals"))</f>
        <v/>
      </c>
      <c r="AX1931" s="2" t="str">
        <f>IF(Registered!AI1931=0,"",Registered!AI1931&amp;" BG")</f>
        <v/>
      </c>
      <c r="AY1931" s="2" t="str">
        <f>IF(Registered!AG1931=0,"",Registered!AG1931&amp;" DustMask")</f>
        <v/>
      </c>
    </row>
    <row r="1932" spans="1:51" customFormat="1" x14ac:dyDescent="0.25">
      <c r="A1932" t="s">
        <v>424</v>
      </c>
      <c r="B1932" t="s">
        <v>2160</v>
      </c>
      <c r="C1932" t="s">
        <v>6090</v>
      </c>
      <c r="G1932" t="s">
        <v>2161</v>
      </c>
      <c r="H1932" t="s">
        <v>2162</v>
      </c>
      <c r="I1932" t="s">
        <v>2163</v>
      </c>
      <c r="J1932" t="s">
        <v>37</v>
      </c>
      <c r="K1932" t="s">
        <v>32</v>
      </c>
      <c r="L1932" t="s">
        <v>35</v>
      </c>
      <c r="AQ1932">
        <v>0</v>
      </c>
      <c r="AR1932" s="3">
        <f t="shared" si="90"/>
        <v>0</v>
      </c>
      <c r="AS1932" s="3">
        <f t="shared" si="91"/>
        <v>0</v>
      </c>
      <c r="AT1932" s="3" t="str">
        <f>IF(OR(Registered!AM1932&gt;0,Registered!AO1932&gt;0),(IF(Registered!E1932=0,"Size Not Specified",Registered!E1932)),"")</f>
        <v/>
      </c>
      <c r="AU1932" s="3" t="str">
        <f>IF(Registered!AE1932=0,"",IF(Registered!AE1932=1,Registered!AE1932&amp;" Bandana",Registered!AE1932&amp;" Bandanas"))</f>
        <v/>
      </c>
      <c r="AV1932" s="3">
        <f t="shared" si="92"/>
        <v>0</v>
      </c>
      <c r="AW1932" s="2" t="str">
        <f>IF(Registered!AV1932=0,"",IF(Registered!AV1932=1,Registered!AV1932&amp;" Meal",Registered!AV1932&amp;" Meals"))</f>
        <v/>
      </c>
      <c r="AX1932" s="2" t="str">
        <f>IF(Registered!AI1932=0,"",Registered!AI1932&amp;" BG")</f>
        <v/>
      </c>
      <c r="AY1932" s="2" t="str">
        <f>IF(Registered!AG1932=0,"",Registered!AG1932&amp;" DustMask")</f>
        <v/>
      </c>
    </row>
    <row r="1933" spans="1:51" customFormat="1" x14ac:dyDescent="0.25">
      <c r="A1933" t="s">
        <v>143</v>
      </c>
      <c r="B1933" t="s">
        <v>5461</v>
      </c>
      <c r="C1933" t="s">
        <v>6090</v>
      </c>
      <c r="G1933" t="s">
        <v>263</v>
      </c>
      <c r="H1933" t="s">
        <v>1140</v>
      </c>
      <c r="I1933" t="s">
        <v>4252</v>
      </c>
      <c r="J1933" t="s">
        <v>37</v>
      </c>
      <c r="K1933" t="s">
        <v>32</v>
      </c>
      <c r="L1933" t="s">
        <v>35</v>
      </c>
      <c r="AQ1933">
        <v>0</v>
      </c>
      <c r="AR1933" s="3">
        <f t="shared" si="90"/>
        <v>0</v>
      </c>
      <c r="AS1933" s="3">
        <f t="shared" si="91"/>
        <v>0</v>
      </c>
      <c r="AT1933" s="3" t="str">
        <f>IF(OR(Registered!AM1933&gt;0,Registered!AO1933&gt;0),(IF(Registered!E1933=0,"Size Not Specified",Registered!E1933)),"")</f>
        <v/>
      </c>
      <c r="AU1933" s="3" t="str">
        <f>IF(Registered!AE1933=0,"",IF(Registered!AE1933=1,Registered!AE1933&amp;" Bandana",Registered!AE1933&amp;" Bandanas"))</f>
        <v/>
      </c>
      <c r="AV1933" s="3">
        <f t="shared" si="92"/>
        <v>0</v>
      </c>
      <c r="AW1933" s="2" t="str">
        <f>IF(Registered!AV1933=0,"",IF(Registered!AV1933=1,Registered!AV1933&amp;" Meal",Registered!AV1933&amp;" Meals"))</f>
        <v/>
      </c>
      <c r="AX1933" s="2" t="str">
        <f>IF(Registered!AI1933=0,"",Registered!AI1933&amp;" BG")</f>
        <v/>
      </c>
      <c r="AY1933" s="2" t="str">
        <f>IF(Registered!AG1933=0,"",Registered!AG1933&amp;" DustMask")</f>
        <v/>
      </c>
    </row>
    <row r="1934" spans="1:51" customFormat="1" x14ac:dyDescent="0.25">
      <c r="A1934" t="s">
        <v>188</v>
      </c>
      <c r="B1934" t="s">
        <v>259</v>
      </c>
      <c r="C1934" t="s">
        <v>6090</v>
      </c>
      <c r="G1934" t="s">
        <v>185</v>
      </c>
      <c r="H1934" t="s">
        <v>259</v>
      </c>
      <c r="I1934" t="s">
        <v>677</v>
      </c>
      <c r="J1934" t="s">
        <v>37</v>
      </c>
      <c r="K1934" t="s">
        <v>32</v>
      </c>
      <c r="L1934" t="s">
        <v>35</v>
      </c>
      <c r="AQ1934">
        <v>0</v>
      </c>
      <c r="AR1934" s="3">
        <f t="shared" si="90"/>
        <v>0</v>
      </c>
      <c r="AS1934" s="3">
        <f t="shared" si="91"/>
        <v>0</v>
      </c>
      <c r="AT1934" s="3" t="str">
        <f>IF(OR(Registered!AM1934&gt;0,Registered!AO1934&gt;0),(IF(Registered!E1934=0,"Size Not Specified",Registered!E1934)),"")</f>
        <v/>
      </c>
      <c r="AU1934" s="3" t="str">
        <f>IF(Registered!AE1934=0,"",IF(Registered!AE1934=1,Registered!AE1934&amp;" Bandana",Registered!AE1934&amp;" Bandanas"))</f>
        <v/>
      </c>
      <c r="AV1934" s="3">
        <f t="shared" si="92"/>
        <v>0</v>
      </c>
      <c r="AW1934" s="2" t="str">
        <f>IF(Registered!AV1934=0,"",IF(Registered!AV1934=1,Registered!AV1934&amp;" Meal",Registered!AV1934&amp;" Meals"))</f>
        <v/>
      </c>
      <c r="AX1934" s="2" t="str">
        <f>IF(Registered!AI1934=0,"",Registered!AI1934&amp;" BG")</f>
        <v/>
      </c>
      <c r="AY1934" s="2" t="str">
        <f>IF(Registered!AG1934=0,"",Registered!AG1934&amp;" DustMask")</f>
        <v/>
      </c>
    </row>
    <row r="1935" spans="1:51" customFormat="1" x14ac:dyDescent="0.25">
      <c r="A1935" t="s">
        <v>185</v>
      </c>
      <c r="B1935" t="s">
        <v>259</v>
      </c>
      <c r="C1935" t="s">
        <v>6090</v>
      </c>
      <c r="D1935" t="s">
        <v>2164</v>
      </c>
      <c r="I1935" t="s">
        <v>677</v>
      </c>
      <c r="J1935" t="s">
        <v>37</v>
      </c>
      <c r="K1935" t="s">
        <v>32</v>
      </c>
      <c r="L1935" t="s">
        <v>35</v>
      </c>
      <c r="S1935">
        <v>4</v>
      </c>
      <c r="T1935">
        <v>3</v>
      </c>
      <c r="W1935">
        <v>1</v>
      </c>
      <c r="X1935">
        <v>40</v>
      </c>
      <c r="AQ1935">
        <v>52</v>
      </c>
      <c r="AR1935" s="3">
        <f t="shared" si="90"/>
        <v>20</v>
      </c>
      <c r="AS1935" s="3">
        <f t="shared" si="91"/>
        <v>0</v>
      </c>
      <c r="AT1935" s="3" t="str">
        <f>IF(OR(Registered!AM1935&gt;0,Registered!AO1935&gt;0),(IF(Registered!E1935=0,"Size Not Specified",Registered!E1935)),"")</f>
        <v/>
      </c>
      <c r="AU1935" s="3" t="str">
        <f>IF(Registered!AE1935=0,"",IF(Registered!AE1935=1,Registered!AE1935&amp;" Bandana",Registered!AE1935&amp;" Bandanas"))</f>
        <v/>
      </c>
      <c r="AV1935" s="3">
        <f t="shared" si="92"/>
        <v>0</v>
      </c>
      <c r="AW1935" s="2" t="str">
        <f>IF(Registered!AV1935=0,"",IF(Registered!AV1935=1,Registered!AV1935&amp;" Meal",Registered!AV1935&amp;" Meals"))</f>
        <v/>
      </c>
      <c r="AX1935" s="2" t="str">
        <f>IF(Registered!AI1935=0,"",Registered!AI1935&amp;" BG")</f>
        <v/>
      </c>
      <c r="AY1935" s="2" t="str">
        <f>IF(Registered!AG1935=0,"",Registered!AG1935&amp;" DustMask")</f>
        <v/>
      </c>
    </row>
    <row r="1936" spans="1:51" customFormat="1" x14ac:dyDescent="0.25">
      <c r="A1936" t="s">
        <v>175</v>
      </c>
      <c r="B1936" t="s">
        <v>172</v>
      </c>
      <c r="C1936" t="s">
        <v>6090</v>
      </c>
      <c r="D1936" t="s">
        <v>5463</v>
      </c>
      <c r="E1936" t="s">
        <v>117</v>
      </c>
      <c r="F1936" t="s">
        <v>261</v>
      </c>
      <c r="I1936" t="s">
        <v>5464</v>
      </c>
      <c r="J1936" t="s">
        <v>37</v>
      </c>
      <c r="K1936" t="s">
        <v>32</v>
      </c>
      <c r="L1936" t="s">
        <v>35</v>
      </c>
      <c r="Q1936">
        <v>1</v>
      </c>
      <c r="R1936">
        <v>3</v>
      </c>
      <c r="AM1936">
        <v>1</v>
      </c>
      <c r="AN1936">
        <v>25</v>
      </c>
      <c r="AQ1936">
        <v>28</v>
      </c>
      <c r="AR1936" s="3">
        <f t="shared" si="90"/>
        <v>5</v>
      </c>
      <c r="AS1936" s="3">
        <f t="shared" si="91"/>
        <v>1</v>
      </c>
      <c r="AT1936" s="3" t="str">
        <f>IF(OR(Registered!AM1936&gt;0,Registered!AO1936&gt;0),(IF(Registered!E1936=0,"Size Not Specified",Registered!E1936)),"")</f>
        <v>Large</v>
      </c>
      <c r="AU1936" s="3" t="str">
        <f>IF(Registered!AE1936=0,"",IF(Registered!AE1936=1,Registered!AE1936&amp;" Bandana",Registered!AE1936&amp;" Bandanas"))</f>
        <v/>
      </c>
      <c r="AV1936" s="3">
        <f t="shared" si="92"/>
        <v>1</v>
      </c>
      <c r="AW1936" s="2" t="str">
        <f>IF(Registered!AV1936=0,"",IF(Registered!AV1936=1,Registered!AV1936&amp;" Meal",Registered!AV1936&amp;" Meals"))</f>
        <v>1 Meal</v>
      </c>
      <c r="AX1936" s="2" t="str">
        <f>IF(Registered!AI1936=0,"",Registered!AI1936&amp;" BG")</f>
        <v/>
      </c>
      <c r="AY1936" s="2" t="str">
        <f>IF(Registered!AG1936=0,"",Registered!AG1936&amp;" DustMask")</f>
        <v/>
      </c>
    </row>
    <row r="1937" spans="1:51" customFormat="1" x14ac:dyDescent="0.25">
      <c r="A1937" t="s">
        <v>75</v>
      </c>
      <c r="B1937" t="s">
        <v>172</v>
      </c>
      <c r="C1937" t="s">
        <v>6090</v>
      </c>
      <c r="G1937" t="s">
        <v>165</v>
      </c>
      <c r="H1937" t="s">
        <v>5182</v>
      </c>
      <c r="I1937" t="s">
        <v>5183</v>
      </c>
      <c r="J1937" t="s">
        <v>37</v>
      </c>
      <c r="K1937" t="s">
        <v>32</v>
      </c>
      <c r="L1937" t="s">
        <v>35</v>
      </c>
      <c r="AQ1937">
        <v>0</v>
      </c>
      <c r="AR1937" s="3">
        <f t="shared" si="90"/>
        <v>0</v>
      </c>
      <c r="AS1937" s="3">
        <f t="shared" si="91"/>
        <v>0</v>
      </c>
      <c r="AT1937" s="3" t="str">
        <f>IF(OR(Registered!AM1937&gt;0,Registered!AO1937&gt;0),(IF(Registered!E1937=0,"Size Not Specified",Registered!E1937)),"")</f>
        <v/>
      </c>
      <c r="AU1937" s="3" t="str">
        <f>IF(Registered!AE1937=0,"",IF(Registered!AE1937=1,Registered!AE1937&amp;" Bandana",Registered!AE1937&amp;" Bandanas"))</f>
        <v/>
      </c>
      <c r="AV1937" s="3">
        <f t="shared" si="92"/>
        <v>0</v>
      </c>
      <c r="AW1937" s="2" t="str">
        <f>IF(Registered!AV1937=0,"",IF(Registered!AV1937=1,Registered!AV1937&amp;" Meal",Registered!AV1937&amp;" Meals"))</f>
        <v/>
      </c>
      <c r="AX1937" s="2" t="str">
        <f>IF(Registered!AI1937=0,"",Registered!AI1937&amp;" BG")</f>
        <v/>
      </c>
      <c r="AY1937" s="2" t="str">
        <f>IF(Registered!AG1937=0,"",Registered!AG1937&amp;" DustMask")</f>
        <v/>
      </c>
    </row>
    <row r="1938" spans="1:51" customFormat="1" x14ac:dyDescent="0.25">
      <c r="A1938" t="s">
        <v>270</v>
      </c>
      <c r="B1938" t="s">
        <v>816</v>
      </c>
      <c r="C1938" t="s">
        <v>6090</v>
      </c>
      <c r="D1938" t="s">
        <v>2165</v>
      </c>
      <c r="F1938" t="s">
        <v>261</v>
      </c>
      <c r="I1938" t="s">
        <v>817</v>
      </c>
      <c r="J1938" t="s">
        <v>37</v>
      </c>
      <c r="K1938" t="s">
        <v>32</v>
      </c>
      <c r="L1938" t="s">
        <v>35</v>
      </c>
      <c r="S1938">
        <v>2</v>
      </c>
      <c r="T1938">
        <v>3</v>
      </c>
      <c r="U1938">
        <v>1</v>
      </c>
      <c r="V1938">
        <v>20</v>
      </c>
      <c r="AE1938">
        <v>4</v>
      </c>
      <c r="AF1938">
        <v>6</v>
      </c>
      <c r="AQ1938">
        <v>50</v>
      </c>
      <c r="AR1938" s="3">
        <f t="shared" si="90"/>
        <v>10</v>
      </c>
      <c r="AS1938" s="3">
        <f t="shared" si="91"/>
        <v>0</v>
      </c>
      <c r="AT1938" s="3" t="str">
        <f>IF(OR(Registered!AM1938&gt;0,Registered!AO1938&gt;0),(IF(Registered!E1938=0,"Size Not Specified",Registered!E1938)),"")</f>
        <v/>
      </c>
      <c r="AU1938" s="3" t="str">
        <f>IF(Registered!AE1938=0,"",IF(Registered!AE1938=1,Registered!AE1938&amp;" Bandana",Registered!AE1938&amp;" Bandanas"))</f>
        <v>4 Bandanas</v>
      </c>
      <c r="AV1938" s="3">
        <f t="shared" si="92"/>
        <v>0</v>
      </c>
      <c r="AW1938" s="2" t="str">
        <f>IF(Registered!AV1938=0,"",IF(Registered!AV1938=1,Registered!AV1938&amp;" Meal",Registered!AV1938&amp;" Meals"))</f>
        <v/>
      </c>
      <c r="AX1938" s="2" t="str">
        <f>IF(Registered!AI1938=0,"",Registered!AI1938&amp;" BG")</f>
        <v/>
      </c>
      <c r="AY1938" s="2" t="str">
        <f>IF(Registered!AG1938=0,"",Registered!AG1938&amp;" DustMask")</f>
        <v/>
      </c>
    </row>
    <row r="1939" spans="1:51" customFormat="1" x14ac:dyDescent="0.25">
      <c r="A1939" t="s">
        <v>142</v>
      </c>
      <c r="B1939" t="s">
        <v>1280</v>
      </c>
      <c r="C1939" t="s">
        <v>6090</v>
      </c>
      <c r="G1939" t="s">
        <v>603</v>
      </c>
      <c r="H1939" t="s">
        <v>1280</v>
      </c>
      <c r="I1939" t="s">
        <v>1281</v>
      </c>
      <c r="J1939" t="s">
        <v>37</v>
      </c>
      <c r="K1939" t="s">
        <v>32</v>
      </c>
      <c r="L1939" t="s">
        <v>35</v>
      </c>
      <c r="AQ1939">
        <v>0</v>
      </c>
      <c r="AR1939" s="3">
        <f t="shared" si="90"/>
        <v>0</v>
      </c>
      <c r="AS1939" s="3">
        <f t="shared" si="91"/>
        <v>0</v>
      </c>
      <c r="AT1939" s="3" t="str">
        <f>IF(OR(Registered!AM1939&gt;0,Registered!AO1939&gt;0),(IF(Registered!E1939=0,"Size Not Specified",Registered!E1939)),"")</f>
        <v/>
      </c>
      <c r="AU1939" s="3" t="str">
        <f>IF(Registered!AE1939=0,"",IF(Registered!AE1939=1,Registered!AE1939&amp;" Bandana",Registered!AE1939&amp;" Bandanas"))</f>
        <v/>
      </c>
      <c r="AV1939" s="3">
        <f t="shared" si="92"/>
        <v>0</v>
      </c>
      <c r="AW1939" s="2" t="str">
        <f>IF(Registered!AV1939=0,"",IF(Registered!AV1939=1,Registered!AV1939&amp;" Meal",Registered!AV1939&amp;" Meals"))</f>
        <v/>
      </c>
      <c r="AX1939" s="2" t="str">
        <f>IF(Registered!AI1939=0,"",Registered!AI1939&amp;" BG")</f>
        <v/>
      </c>
      <c r="AY1939" s="2" t="str">
        <f>IF(Registered!AG1939=0,"",Registered!AG1939&amp;" DustMask")</f>
        <v/>
      </c>
    </row>
    <row r="1940" spans="1:51" customFormat="1" x14ac:dyDescent="0.25">
      <c r="A1940" t="s">
        <v>603</v>
      </c>
      <c r="B1940" t="s">
        <v>1280</v>
      </c>
      <c r="C1940" t="s">
        <v>6090</v>
      </c>
      <c r="D1940" t="s">
        <v>2169</v>
      </c>
      <c r="F1940" t="s">
        <v>261</v>
      </c>
      <c r="I1940" t="s">
        <v>1281</v>
      </c>
      <c r="J1940" t="s">
        <v>37</v>
      </c>
      <c r="K1940" t="s">
        <v>32</v>
      </c>
      <c r="L1940" t="s">
        <v>35</v>
      </c>
      <c r="S1940">
        <v>4</v>
      </c>
      <c r="T1940">
        <v>3</v>
      </c>
      <c r="U1940">
        <v>1</v>
      </c>
      <c r="V1940">
        <v>20</v>
      </c>
      <c r="AC1940">
        <v>1</v>
      </c>
      <c r="AD1940">
        <v>10</v>
      </c>
      <c r="AQ1940">
        <v>42</v>
      </c>
      <c r="AR1940" s="3">
        <f t="shared" si="90"/>
        <v>15</v>
      </c>
      <c r="AS1940" s="3">
        <f t="shared" si="91"/>
        <v>0</v>
      </c>
      <c r="AT1940" s="3" t="str">
        <f>IF(OR(Registered!AM1940&gt;0,Registered!AO1940&gt;0),(IF(Registered!E1940=0,"Size Not Specified",Registered!E1940)),"")</f>
        <v/>
      </c>
      <c r="AU1940" s="3" t="str">
        <f>IF(Registered!AE1940=0,"",IF(Registered!AE1940=1,Registered!AE1940&amp;" Bandana",Registered!AE1940&amp;" Bandanas"))</f>
        <v/>
      </c>
      <c r="AV1940" s="3">
        <f t="shared" si="92"/>
        <v>0</v>
      </c>
      <c r="AW1940" s="2" t="str">
        <f>IF(Registered!AV1940=0,"",IF(Registered!AV1940=1,Registered!AV1940&amp;" Meal",Registered!AV1940&amp;" Meals"))</f>
        <v/>
      </c>
      <c r="AX1940" s="2" t="str">
        <f>IF(Registered!AI1940=0,"",Registered!AI1940&amp;" BG")</f>
        <v/>
      </c>
      <c r="AY1940" s="2" t="str">
        <f>IF(Registered!AG1940=0,"",Registered!AG1940&amp;" DustMask")</f>
        <v/>
      </c>
    </row>
    <row r="1941" spans="1:51" customFormat="1" x14ac:dyDescent="0.25">
      <c r="A1941" t="s">
        <v>2170</v>
      </c>
      <c r="B1941" t="s">
        <v>1280</v>
      </c>
      <c r="C1941" t="s">
        <v>6090</v>
      </c>
      <c r="G1941" t="s">
        <v>603</v>
      </c>
      <c r="H1941" t="s">
        <v>1280</v>
      </c>
      <c r="I1941" t="s">
        <v>1281</v>
      </c>
      <c r="J1941" t="s">
        <v>37</v>
      </c>
      <c r="K1941" t="s">
        <v>32</v>
      </c>
      <c r="L1941" t="s">
        <v>35</v>
      </c>
      <c r="AQ1941">
        <v>0</v>
      </c>
      <c r="AR1941" s="3">
        <f t="shared" si="90"/>
        <v>0</v>
      </c>
      <c r="AS1941" s="3">
        <f t="shared" si="91"/>
        <v>0</v>
      </c>
      <c r="AT1941" s="3" t="str">
        <f>IF(OR(Registered!AM1941&gt;0,Registered!AO1941&gt;0),(IF(Registered!E1941=0,"Size Not Specified",Registered!E1941)),"")</f>
        <v/>
      </c>
      <c r="AU1941" s="3" t="str">
        <f>IF(Registered!AE1941=0,"",IF(Registered!AE1941=1,Registered!AE1941&amp;" Bandana",Registered!AE1941&amp;" Bandanas"))</f>
        <v/>
      </c>
      <c r="AV1941" s="3">
        <f t="shared" si="92"/>
        <v>0</v>
      </c>
      <c r="AW1941" s="2" t="str">
        <f>IF(Registered!AV1941=0,"",IF(Registered!AV1941=1,Registered!AV1941&amp;" Meal",Registered!AV1941&amp;" Meals"))</f>
        <v/>
      </c>
      <c r="AX1941" s="2" t="str">
        <f>IF(Registered!AI1941=0,"",Registered!AI1941&amp;" BG")</f>
        <v/>
      </c>
      <c r="AY1941" s="2" t="str">
        <f>IF(Registered!AG1941=0,"",Registered!AG1941&amp;" DustMask")</f>
        <v/>
      </c>
    </row>
    <row r="1942" spans="1:51" customFormat="1" x14ac:dyDescent="0.25">
      <c r="A1942" t="s">
        <v>166</v>
      </c>
      <c r="B1942" t="s">
        <v>2171</v>
      </c>
      <c r="C1942" t="s">
        <v>6090</v>
      </c>
      <c r="G1942" t="s">
        <v>56</v>
      </c>
      <c r="H1942" t="s">
        <v>2171</v>
      </c>
      <c r="I1942" t="s">
        <v>2172</v>
      </c>
      <c r="J1942" t="s">
        <v>37</v>
      </c>
      <c r="K1942" t="s">
        <v>32</v>
      </c>
      <c r="L1942" t="s">
        <v>35</v>
      </c>
      <c r="AQ1942">
        <v>0</v>
      </c>
      <c r="AR1942" s="3">
        <f t="shared" si="90"/>
        <v>0</v>
      </c>
      <c r="AS1942" s="3">
        <f t="shared" si="91"/>
        <v>0</v>
      </c>
      <c r="AT1942" s="3" t="str">
        <f>IF(OR(Registered!AM1942&gt;0,Registered!AO1942&gt;0),(IF(Registered!E1942=0,"Size Not Specified",Registered!E1942)),"")</f>
        <v/>
      </c>
      <c r="AU1942" s="3" t="str">
        <f>IF(Registered!AE1942=0,"",IF(Registered!AE1942=1,Registered!AE1942&amp;" Bandana",Registered!AE1942&amp;" Bandanas"))</f>
        <v/>
      </c>
      <c r="AV1942" s="3">
        <f t="shared" si="92"/>
        <v>0</v>
      </c>
      <c r="AW1942" s="2" t="str">
        <f>IF(Registered!AV1942=0,"",IF(Registered!AV1942=1,Registered!AV1942&amp;" Meal",Registered!AV1942&amp;" Meals"))</f>
        <v/>
      </c>
      <c r="AX1942" s="2" t="str">
        <f>IF(Registered!AI1942=0,"",Registered!AI1942&amp;" BG")</f>
        <v/>
      </c>
      <c r="AY1942" s="2" t="str">
        <f>IF(Registered!AG1942=0,"",Registered!AG1942&amp;" DustMask")</f>
        <v/>
      </c>
    </row>
    <row r="1943" spans="1:51" customFormat="1" x14ac:dyDescent="0.25">
      <c r="A1943" t="s">
        <v>91</v>
      </c>
      <c r="B1943" t="s">
        <v>2171</v>
      </c>
      <c r="C1943" t="s">
        <v>6090</v>
      </c>
      <c r="G1943" t="s">
        <v>56</v>
      </c>
      <c r="H1943" t="s">
        <v>2171</v>
      </c>
      <c r="I1943" t="s">
        <v>2172</v>
      </c>
      <c r="J1943" t="s">
        <v>37</v>
      </c>
      <c r="K1943" t="s">
        <v>32</v>
      </c>
      <c r="L1943" t="s">
        <v>35</v>
      </c>
      <c r="AQ1943">
        <v>0</v>
      </c>
      <c r="AR1943" s="3">
        <f t="shared" si="90"/>
        <v>0</v>
      </c>
      <c r="AS1943" s="3">
        <f t="shared" si="91"/>
        <v>0</v>
      </c>
      <c r="AT1943" s="3" t="str">
        <f>IF(OR(Registered!AM1943&gt;0,Registered!AO1943&gt;0),(IF(Registered!E1943=0,"Size Not Specified",Registered!E1943)),"")</f>
        <v/>
      </c>
      <c r="AU1943" s="3" t="str">
        <f>IF(Registered!AE1943=0,"",IF(Registered!AE1943=1,Registered!AE1943&amp;" Bandana",Registered!AE1943&amp;" Bandanas"))</f>
        <v/>
      </c>
      <c r="AV1943" s="3">
        <f t="shared" si="92"/>
        <v>0</v>
      </c>
      <c r="AW1943" s="2" t="str">
        <f>IF(Registered!AV1943=0,"",IF(Registered!AV1943=1,Registered!AV1943&amp;" Meal",Registered!AV1943&amp;" Meals"))</f>
        <v/>
      </c>
      <c r="AX1943" s="2" t="str">
        <f>IF(Registered!AI1943=0,"",Registered!AI1943&amp;" BG")</f>
        <v/>
      </c>
      <c r="AY1943" s="2" t="str">
        <f>IF(Registered!AG1943=0,"",Registered!AG1943&amp;" DustMask")</f>
        <v/>
      </c>
    </row>
    <row r="1944" spans="1:51" customFormat="1" x14ac:dyDescent="0.25">
      <c r="A1944" t="s">
        <v>56</v>
      </c>
      <c r="B1944" t="s">
        <v>2171</v>
      </c>
      <c r="C1944" t="s">
        <v>6090</v>
      </c>
      <c r="D1944" t="s">
        <v>2173</v>
      </c>
      <c r="F1944" t="s">
        <v>261</v>
      </c>
      <c r="I1944" t="s">
        <v>2172</v>
      </c>
      <c r="J1944" t="s">
        <v>37</v>
      </c>
      <c r="K1944" t="s">
        <v>32</v>
      </c>
      <c r="L1944" t="s">
        <v>35</v>
      </c>
      <c r="S1944">
        <v>3</v>
      </c>
      <c r="T1944">
        <v>3</v>
      </c>
      <c r="U1944">
        <v>1</v>
      </c>
      <c r="V1944">
        <v>20</v>
      </c>
      <c r="AQ1944">
        <v>29</v>
      </c>
      <c r="AR1944" s="3">
        <f t="shared" si="90"/>
        <v>10</v>
      </c>
      <c r="AS1944" s="3">
        <f t="shared" si="91"/>
        <v>0</v>
      </c>
      <c r="AT1944" s="3" t="str">
        <f>IF(OR(Registered!AM1944&gt;0,Registered!AO1944&gt;0),(IF(Registered!E1944=0,"Size Not Specified",Registered!E1944)),"")</f>
        <v/>
      </c>
      <c r="AU1944" s="3" t="str">
        <f>IF(Registered!AE1944=0,"",IF(Registered!AE1944=1,Registered!AE1944&amp;" Bandana",Registered!AE1944&amp;" Bandanas"))</f>
        <v/>
      </c>
      <c r="AV1944" s="3">
        <f t="shared" si="92"/>
        <v>0</v>
      </c>
      <c r="AW1944" s="2" t="str">
        <f>IF(Registered!AV1944=0,"",IF(Registered!AV1944=1,Registered!AV1944&amp;" Meal",Registered!AV1944&amp;" Meals"))</f>
        <v/>
      </c>
      <c r="AX1944" s="2" t="str">
        <f>IF(Registered!AI1944=0,"",Registered!AI1944&amp;" BG")</f>
        <v/>
      </c>
      <c r="AY1944" s="2" t="str">
        <f>IF(Registered!AG1944=0,"",Registered!AG1944&amp;" DustMask")</f>
        <v/>
      </c>
    </row>
    <row r="1945" spans="1:51" customFormat="1" x14ac:dyDescent="0.25">
      <c r="A1945" t="s">
        <v>150</v>
      </c>
      <c r="B1945" t="s">
        <v>5465</v>
      </c>
      <c r="C1945" t="s">
        <v>6090</v>
      </c>
      <c r="G1945" t="s">
        <v>1557</v>
      </c>
      <c r="H1945" t="s">
        <v>151</v>
      </c>
      <c r="I1945" t="s">
        <v>4443</v>
      </c>
      <c r="J1945" t="s">
        <v>37</v>
      </c>
      <c r="K1945" t="s">
        <v>32</v>
      </c>
      <c r="L1945" t="s">
        <v>35</v>
      </c>
      <c r="AQ1945">
        <v>0</v>
      </c>
      <c r="AR1945" s="3">
        <f t="shared" si="90"/>
        <v>0</v>
      </c>
      <c r="AS1945" s="3">
        <f t="shared" si="91"/>
        <v>0</v>
      </c>
      <c r="AT1945" s="3" t="str">
        <f>IF(OR(Registered!AM1945&gt;0,Registered!AO1945&gt;0),(IF(Registered!E1945=0,"Size Not Specified",Registered!E1945)),"")</f>
        <v/>
      </c>
      <c r="AU1945" s="3" t="str">
        <f>IF(Registered!AE1945=0,"",IF(Registered!AE1945=1,Registered!AE1945&amp;" Bandana",Registered!AE1945&amp;" Bandanas"))</f>
        <v/>
      </c>
      <c r="AV1945" s="3">
        <f t="shared" si="92"/>
        <v>0</v>
      </c>
      <c r="AW1945" s="2" t="str">
        <f>IF(Registered!AV1945=0,"",IF(Registered!AV1945=1,Registered!AV1945&amp;" Meal",Registered!AV1945&amp;" Meals"))</f>
        <v/>
      </c>
      <c r="AX1945" s="2" t="str">
        <f>IF(Registered!AI1945=0,"",Registered!AI1945&amp;" BG")</f>
        <v/>
      </c>
      <c r="AY1945" s="2" t="str">
        <f>IF(Registered!AG1945=0,"",Registered!AG1945&amp;" DustMask")</f>
        <v/>
      </c>
    </row>
    <row r="1946" spans="1:51" customFormat="1" x14ac:dyDescent="0.25">
      <c r="A1946" t="s">
        <v>301</v>
      </c>
      <c r="B1946" t="s">
        <v>2174</v>
      </c>
      <c r="C1946" t="s">
        <v>6090</v>
      </c>
      <c r="G1946" t="s">
        <v>789</v>
      </c>
      <c r="H1946" t="s">
        <v>787</v>
      </c>
      <c r="I1946" t="s">
        <v>791</v>
      </c>
      <c r="J1946" t="s">
        <v>37</v>
      </c>
      <c r="K1946" t="s">
        <v>32</v>
      </c>
      <c r="L1946" t="s">
        <v>35</v>
      </c>
      <c r="AQ1946">
        <v>0</v>
      </c>
      <c r="AR1946" s="3">
        <f t="shared" si="90"/>
        <v>0</v>
      </c>
      <c r="AS1946" s="3">
        <f t="shared" si="91"/>
        <v>0</v>
      </c>
      <c r="AT1946" s="3" t="str">
        <f>IF(OR(Registered!AM1946&gt;0,Registered!AO1946&gt;0),(IF(Registered!E1946=0,"Size Not Specified",Registered!E1946)),"")</f>
        <v/>
      </c>
      <c r="AU1946" s="3" t="str">
        <f>IF(Registered!AE1946=0,"",IF(Registered!AE1946=1,Registered!AE1946&amp;" Bandana",Registered!AE1946&amp;" Bandanas"))</f>
        <v/>
      </c>
      <c r="AV1946" s="3">
        <f t="shared" si="92"/>
        <v>0</v>
      </c>
      <c r="AW1946" s="2" t="str">
        <f>IF(Registered!AV1946=0,"",IF(Registered!AV1946=1,Registered!AV1946&amp;" Meal",Registered!AV1946&amp;" Meals"))</f>
        <v/>
      </c>
      <c r="AX1946" s="2" t="str">
        <f>IF(Registered!AI1946=0,"",Registered!AI1946&amp;" BG")</f>
        <v/>
      </c>
      <c r="AY1946" s="2" t="str">
        <f>IF(Registered!AG1946=0,"",Registered!AG1946&amp;" DustMask")</f>
        <v/>
      </c>
    </row>
    <row r="1947" spans="1:51" customFormat="1" x14ac:dyDescent="0.25">
      <c r="A1947" t="s">
        <v>1043</v>
      </c>
      <c r="B1947" t="s">
        <v>2174</v>
      </c>
      <c r="C1947" t="s">
        <v>6090</v>
      </c>
      <c r="D1947" t="s">
        <v>5466</v>
      </c>
      <c r="F1947" t="s">
        <v>261</v>
      </c>
      <c r="I1947" t="s">
        <v>5467</v>
      </c>
      <c r="J1947" t="s">
        <v>37</v>
      </c>
      <c r="K1947" t="s">
        <v>32</v>
      </c>
      <c r="L1947" t="s">
        <v>35</v>
      </c>
      <c r="Q1947">
        <v>1</v>
      </c>
      <c r="R1947">
        <v>3</v>
      </c>
      <c r="AC1947">
        <v>2</v>
      </c>
      <c r="AD1947">
        <v>10</v>
      </c>
      <c r="AK1947">
        <v>1</v>
      </c>
      <c r="AL1947">
        <v>6</v>
      </c>
      <c r="AQ1947">
        <v>29</v>
      </c>
      <c r="AR1947" s="3">
        <f t="shared" si="90"/>
        <v>10</v>
      </c>
      <c r="AS1947" s="3">
        <f t="shared" si="91"/>
        <v>0</v>
      </c>
      <c r="AT1947" s="3" t="str">
        <f>IF(OR(Registered!AM1947&gt;0,Registered!AO1947&gt;0),(IF(Registered!E1947=0,"Size Not Specified",Registered!E1947)),"")</f>
        <v/>
      </c>
      <c r="AU1947" s="3" t="str">
        <f>IF(Registered!AE1947=0,"",IF(Registered!AE1947=1,Registered!AE1947&amp;" Bandana",Registered!AE1947&amp;" Bandanas"))</f>
        <v/>
      </c>
      <c r="AV1947" s="3">
        <f t="shared" si="92"/>
        <v>1</v>
      </c>
      <c r="AW1947" s="2" t="str">
        <f>IF(Registered!AV1947=0,"",IF(Registered!AV1947=1,Registered!AV1947&amp;" Meal",Registered!AV1947&amp;" Meals"))</f>
        <v>1 Meal</v>
      </c>
      <c r="AX1947" s="2" t="str">
        <f>IF(Registered!AI1947=0,"",Registered!AI1947&amp;" BG")</f>
        <v/>
      </c>
      <c r="AY1947" s="2" t="str">
        <f>IF(Registered!AG1947=0,"",Registered!AG1947&amp;" DustMask")</f>
        <v/>
      </c>
    </row>
    <row r="1948" spans="1:51" customFormat="1" x14ac:dyDescent="0.25">
      <c r="A1948" t="s">
        <v>2175</v>
      </c>
      <c r="B1948" t="s">
        <v>2174</v>
      </c>
      <c r="C1948" t="s">
        <v>6090</v>
      </c>
      <c r="G1948" t="s">
        <v>789</v>
      </c>
      <c r="H1948" t="s">
        <v>787</v>
      </c>
      <c r="I1948" t="s">
        <v>791</v>
      </c>
      <c r="J1948" t="s">
        <v>37</v>
      </c>
      <c r="K1948" t="s">
        <v>32</v>
      </c>
      <c r="L1948" t="s">
        <v>35</v>
      </c>
      <c r="AQ1948">
        <v>0</v>
      </c>
      <c r="AR1948" s="3">
        <f t="shared" si="90"/>
        <v>0</v>
      </c>
      <c r="AS1948" s="3">
        <f t="shared" si="91"/>
        <v>0</v>
      </c>
      <c r="AT1948" s="3" t="str">
        <f>IF(OR(Registered!AM1948&gt;0,Registered!AO1948&gt;0),(IF(Registered!E1948=0,"Size Not Specified",Registered!E1948)),"")</f>
        <v/>
      </c>
      <c r="AU1948" s="3" t="str">
        <f>IF(Registered!AE1948=0,"",IF(Registered!AE1948=1,Registered!AE1948&amp;" Bandana",Registered!AE1948&amp;" Bandanas"))</f>
        <v/>
      </c>
      <c r="AV1948" s="3">
        <f t="shared" si="92"/>
        <v>0</v>
      </c>
      <c r="AW1948" s="2" t="str">
        <f>IF(Registered!AV1948=0,"",IF(Registered!AV1948=1,Registered!AV1948&amp;" Meal",Registered!AV1948&amp;" Meals"))</f>
        <v/>
      </c>
      <c r="AX1948" s="2" t="str">
        <f>IF(Registered!AI1948=0,"",Registered!AI1948&amp;" BG")</f>
        <v/>
      </c>
      <c r="AY1948" s="2" t="str">
        <f>IF(Registered!AG1948=0,"",Registered!AG1948&amp;" DustMask")</f>
        <v/>
      </c>
    </row>
    <row r="1949" spans="1:51" customFormat="1" x14ac:dyDescent="0.25">
      <c r="A1949" t="s">
        <v>2176</v>
      </c>
      <c r="B1949" t="s">
        <v>2174</v>
      </c>
      <c r="C1949" t="s">
        <v>6090</v>
      </c>
      <c r="G1949" t="s">
        <v>789</v>
      </c>
      <c r="H1949" t="s">
        <v>787</v>
      </c>
      <c r="I1949" t="s">
        <v>791</v>
      </c>
      <c r="J1949" t="s">
        <v>37</v>
      </c>
      <c r="K1949" t="s">
        <v>32</v>
      </c>
      <c r="L1949" t="s">
        <v>35</v>
      </c>
      <c r="AQ1949">
        <v>0</v>
      </c>
      <c r="AR1949" s="3">
        <f t="shared" si="90"/>
        <v>0</v>
      </c>
      <c r="AS1949" s="3">
        <f t="shared" si="91"/>
        <v>0</v>
      </c>
      <c r="AT1949" s="3" t="str">
        <f>IF(OR(Registered!AM1949&gt;0,Registered!AO1949&gt;0),(IF(Registered!E1949=0,"Size Not Specified",Registered!E1949)),"")</f>
        <v/>
      </c>
      <c r="AU1949" s="3" t="str">
        <f>IF(Registered!AE1949=0,"",IF(Registered!AE1949=1,Registered!AE1949&amp;" Bandana",Registered!AE1949&amp;" Bandanas"))</f>
        <v/>
      </c>
      <c r="AV1949" s="3">
        <f t="shared" si="92"/>
        <v>0</v>
      </c>
      <c r="AW1949" s="2" t="str">
        <f>IF(Registered!AV1949=0,"",IF(Registered!AV1949=1,Registered!AV1949&amp;" Meal",Registered!AV1949&amp;" Meals"))</f>
        <v/>
      </c>
      <c r="AX1949" s="2" t="str">
        <f>IF(Registered!AI1949=0,"",Registered!AI1949&amp;" BG")</f>
        <v/>
      </c>
      <c r="AY1949" s="2" t="str">
        <f>IF(Registered!AG1949=0,"",Registered!AG1949&amp;" DustMask")</f>
        <v/>
      </c>
    </row>
    <row r="1950" spans="1:51" customFormat="1" x14ac:dyDescent="0.25">
      <c r="A1950" t="s">
        <v>603</v>
      </c>
      <c r="B1950" t="s">
        <v>2174</v>
      </c>
      <c r="C1950" t="s">
        <v>6090</v>
      </c>
      <c r="G1950" t="s">
        <v>789</v>
      </c>
      <c r="H1950" t="s">
        <v>787</v>
      </c>
      <c r="I1950" t="s">
        <v>791</v>
      </c>
      <c r="J1950" t="s">
        <v>37</v>
      </c>
      <c r="K1950" t="s">
        <v>32</v>
      </c>
      <c r="L1950" t="s">
        <v>35</v>
      </c>
      <c r="AQ1950">
        <v>0</v>
      </c>
      <c r="AR1950" s="3">
        <f t="shared" si="90"/>
        <v>0</v>
      </c>
      <c r="AS1950" s="3">
        <f t="shared" si="91"/>
        <v>0</v>
      </c>
      <c r="AT1950" s="3" t="str">
        <f>IF(OR(Registered!AM1950&gt;0,Registered!AO1950&gt;0),(IF(Registered!E1950=0,"Size Not Specified",Registered!E1950)),"")</f>
        <v/>
      </c>
      <c r="AU1950" s="3" t="str">
        <f>IF(Registered!AE1950=0,"",IF(Registered!AE1950=1,Registered!AE1950&amp;" Bandana",Registered!AE1950&amp;" Bandanas"))</f>
        <v/>
      </c>
      <c r="AV1950" s="3">
        <f t="shared" si="92"/>
        <v>0</v>
      </c>
      <c r="AW1950" s="2" t="str">
        <f>IF(Registered!AV1950=0,"",IF(Registered!AV1950=1,Registered!AV1950&amp;" Meal",Registered!AV1950&amp;" Meals"))</f>
        <v/>
      </c>
      <c r="AX1950" s="2" t="str">
        <f>IF(Registered!AI1950=0,"",Registered!AI1950&amp;" BG")</f>
        <v/>
      </c>
      <c r="AY1950" s="2" t="str">
        <f>IF(Registered!AG1950=0,"",Registered!AG1950&amp;" DustMask")</f>
        <v/>
      </c>
    </row>
    <row r="1951" spans="1:51" customFormat="1" x14ac:dyDescent="0.25">
      <c r="A1951" t="s">
        <v>420</v>
      </c>
      <c r="B1951" t="s">
        <v>2177</v>
      </c>
      <c r="C1951" t="s">
        <v>6090</v>
      </c>
      <c r="D1951" t="s">
        <v>2178</v>
      </c>
      <c r="I1951" t="s">
        <v>2179</v>
      </c>
      <c r="J1951" t="s">
        <v>37</v>
      </c>
      <c r="K1951" t="s">
        <v>32</v>
      </c>
      <c r="L1951" t="s">
        <v>35</v>
      </c>
      <c r="O1951">
        <v>2</v>
      </c>
      <c r="P1951">
        <v>3</v>
      </c>
      <c r="U1951">
        <v>1</v>
      </c>
      <c r="V1951">
        <v>20</v>
      </c>
      <c r="AQ1951">
        <v>26</v>
      </c>
      <c r="AR1951" s="3">
        <f t="shared" si="90"/>
        <v>10</v>
      </c>
      <c r="AS1951" s="3">
        <f t="shared" si="91"/>
        <v>0</v>
      </c>
      <c r="AT1951" s="3" t="str">
        <f>IF(OR(Registered!AM1951&gt;0,Registered!AO1951&gt;0),(IF(Registered!E1951=0,"Size Not Specified",Registered!E1951)),"")</f>
        <v/>
      </c>
      <c r="AU1951" s="3" t="str">
        <f>IF(Registered!AE1951=0,"",IF(Registered!AE1951=1,Registered!AE1951&amp;" Bandana",Registered!AE1951&amp;" Bandanas"))</f>
        <v/>
      </c>
      <c r="AV1951" s="3">
        <f t="shared" si="92"/>
        <v>0</v>
      </c>
      <c r="AW1951" s="2" t="str">
        <f>IF(Registered!AV1951=0,"",IF(Registered!AV1951=1,Registered!AV1951&amp;" Meal",Registered!AV1951&amp;" Meals"))</f>
        <v/>
      </c>
      <c r="AX1951" s="2" t="str">
        <f>IF(Registered!AI1951=0,"",Registered!AI1951&amp;" BG")</f>
        <v/>
      </c>
      <c r="AY1951" s="2" t="str">
        <f>IF(Registered!AG1951=0,"",Registered!AG1951&amp;" DustMask")</f>
        <v/>
      </c>
    </row>
    <row r="1952" spans="1:51" customFormat="1" x14ac:dyDescent="0.25">
      <c r="A1952" t="s">
        <v>2180</v>
      </c>
      <c r="B1952" t="s">
        <v>2181</v>
      </c>
      <c r="C1952" t="s">
        <v>6090</v>
      </c>
      <c r="G1952" t="s">
        <v>222</v>
      </c>
      <c r="H1952" t="s">
        <v>592</v>
      </c>
      <c r="I1952" t="s">
        <v>593</v>
      </c>
      <c r="J1952" t="s">
        <v>37</v>
      </c>
      <c r="K1952" t="s">
        <v>32</v>
      </c>
      <c r="L1952" t="s">
        <v>35</v>
      </c>
      <c r="AQ1952">
        <v>0</v>
      </c>
      <c r="AR1952" s="3">
        <f t="shared" si="90"/>
        <v>0</v>
      </c>
      <c r="AS1952" s="3">
        <f t="shared" si="91"/>
        <v>0</v>
      </c>
      <c r="AT1952" s="3" t="str">
        <f>IF(OR(Registered!AM1952&gt;0,Registered!AO1952&gt;0),(IF(Registered!E1952=0,"Size Not Specified",Registered!E1952)),"")</f>
        <v/>
      </c>
      <c r="AU1952" s="3" t="str">
        <f>IF(Registered!AE1952=0,"",IF(Registered!AE1952=1,Registered!AE1952&amp;" Bandana",Registered!AE1952&amp;" Bandanas"))</f>
        <v/>
      </c>
      <c r="AV1952" s="3">
        <f t="shared" si="92"/>
        <v>0</v>
      </c>
      <c r="AW1952" s="2" t="str">
        <f>IF(Registered!AV1952=0,"",IF(Registered!AV1952=1,Registered!AV1952&amp;" Meal",Registered!AV1952&amp;" Meals"))</f>
        <v/>
      </c>
      <c r="AX1952" s="2" t="str">
        <f>IF(Registered!AI1952=0,"",Registered!AI1952&amp;" BG")</f>
        <v/>
      </c>
      <c r="AY1952" s="2" t="str">
        <f>IF(Registered!AG1952=0,"",Registered!AG1952&amp;" DustMask")</f>
        <v/>
      </c>
    </row>
    <row r="1953" spans="1:51" customFormat="1" x14ac:dyDescent="0.25">
      <c r="A1953" t="s">
        <v>501</v>
      </c>
      <c r="B1953" t="s">
        <v>2181</v>
      </c>
      <c r="C1953" t="s">
        <v>6090</v>
      </c>
      <c r="G1953" t="s">
        <v>5218</v>
      </c>
      <c r="H1953" t="s">
        <v>5219</v>
      </c>
      <c r="I1953" t="s">
        <v>5221</v>
      </c>
      <c r="J1953" t="s">
        <v>37</v>
      </c>
      <c r="K1953" t="s">
        <v>32</v>
      </c>
      <c r="L1953" t="s">
        <v>35</v>
      </c>
      <c r="AQ1953">
        <v>0</v>
      </c>
      <c r="AR1953" s="3">
        <f t="shared" si="90"/>
        <v>0</v>
      </c>
      <c r="AS1953" s="3">
        <f t="shared" si="91"/>
        <v>0</v>
      </c>
      <c r="AT1953" s="3" t="str">
        <f>IF(OR(Registered!AM1953&gt;0,Registered!AO1953&gt;0),(IF(Registered!E1953=0,"Size Not Specified",Registered!E1953)),"")</f>
        <v/>
      </c>
      <c r="AU1953" s="3" t="str">
        <f>IF(Registered!AE1953=0,"",IF(Registered!AE1953=1,Registered!AE1953&amp;" Bandana",Registered!AE1953&amp;" Bandanas"))</f>
        <v/>
      </c>
      <c r="AV1953" s="3">
        <f t="shared" si="92"/>
        <v>0</v>
      </c>
      <c r="AW1953" s="2" t="str">
        <f>IF(Registered!AV1953=0,"",IF(Registered!AV1953=1,Registered!AV1953&amp;" Meal",Registered!AV1953&amp;" Meals"))</f>
        <v/>
      </c>
      <c r="AX1953" s="2" t="str">
        <f>IF(Registered!AI1953=0,"",Registered!AI1953&amp;" BG")</f>
        <v/>
      </c>
      <c r="AY1953" s="2" t="str">
        <f>IF(Registered!AG1953=0,"",Registered!AG1953&amp;" DustMask")</f>
        <v/>
      </c>
    </row>
    <row r="1954" spans="1:51" customFormat="1" x14ac:dyDescent="0.25">
      <c r="A1954" t="s">
        <v>87</v>
      </c>
      <c r="B1954" t="s">
        <v>2181</v>
      </c>
      <c r="C1954" t="s">
        <v>6090</v>
      </c>
      <c r="G1954" t="s">
        <v>222</v>
      </c>
      <c r="H1954" t="s">
        <v>592</v>
      </c>
      <c r="I1954" t="s">
        <v>593</v>
      </c>
      <c r="J1954" t="s">
        <v>37</v>
      </c>
      <c r="K1954" t="s">
        <v>32</v>
      </c>
      <c r="L1954" t="s">
        <v>35</v>
      </c>
      <c r="AQ1954">
        <v>0</v>
      </c>
      <c r="AR1954" s="3">
        <f t="shared" si="90"/>
        <v>0</v>
      </c>
      <c r="AS1954" s="3">
        <f t="shared" si="91"/>
        <v>0</v>
      </c>
      <c r="AT1954" s="3" t="str">
        <f>IF(OR(Registered!AM1954&gt;0,Registered!AO1954&gt;0),(IF(Registered!E1954=0,"Size Not Specified",Registered!E1954)),"")</f>
        <v/>
      </c>
      <c r="AU1954" s="3" t="str">
        <f>IF(Registered!AE1954=0,"",IF(Registered!AE1954=1,Registered!AE1954&amp;" Bandana",Registered!AE1954&amp;" Bandanas"))</f>
        <v/>
      </c>
      <c r="AV1954" s="3">
        <f t="shared" si="92"/>
        <v>0</v>
      </c>
      <c r="AW1954" s="2" t="str">
        <f>IF(Registered!AV1954=0,"",IF(Registered!AV1954=1,Registered!AV1954&amp;" Meal",Registered!AV1954&amp;" Meals"))</f>
        <v/>
      </c>
      <c r="AX1954" s="2" t="str">
        <f>IF(Registered!AI1954=0,"",Registered!AI1954&amp;" BG")</f>
        <v/>
      </c>
      <c r="AY1954" s="2" t="str">
        <f>IF(Registered!AG1954=0,"",Registered!AG1954&amp;" DustMask")</f>
        <v/>
      </c>
    </row>
    <row r="1955" spans="1:51" customFormat="1" x14ac:dyDescent="0.25">
      <c r="A1955" t="s">
        <v>5468</v>
      </c>
      <c r="B1955" t="s">
        <v>5469</v>
      </c>
      <c r="C1955" t="s">
        <v>6090</v>
      </c>
      <c r="D1955" t="s">
        <v>5470</v>
      </c>
      <c r="E1955" t="s">
        <v>722</v>
      </c>
      <c r="F1955" t="s">
        <v>261</v>
      </c>
      <c r="I1955" t="s">
        <v>5471</v>
      </c>
      <c r="J1955" t="s">
        <v>37</v>
      </c>
      <c r="K1955" t="s">
        <v>32</v>
      </c>
      <c r="L1955" t="s">
        <v>35</v>
      </c>
      <c r="Q1955">
        <v>1</v>
      </c>
      <c r="R1955">
        <v>3</v>
      </c>
      <c r="AM1955">
        <v>1</v>
      </c>
      <c r="AN1955">
        <v>25</v>
      </c>
      <c r="AQ1955">
        <v>28</v>
      </c>
      <c r="AR1955" s="3">
        <f t="shared" si="90"/>
        <v>5</v>
      </c>
      <c r="AS1955" s="3">
        <f t="shared" si="91"/>
        <v>1</v>
      </c>
      <c r="AT1955" s="3" t="str">
        <f>IF(OR(Registered!AM1955&gt;0,Registered!AO1955&gt;0),(IF(Registered!E1955=0,"Size Not Specified",Registered!E1955)),"")</f>
        <v>XXXL</v>
      </c>
      <c r="AU1955" s="3" t="str">
        <f>IF(Registered!AE1955=0,"",IF(Registered!AE1955=1,Registered!AE1955&amp;" Bandana",Registered!AE1955&amp;" Bandanas"))</f>
        <v/>
      </c>
      <c r="AV1955" s="3">
        <f t="shared" si="92"/>
        <v>1</v>
      </c>
      <c r="AW1955" s="2" t="str">
        <f>IF(Registered!AV1955=0,"",IF(Registered!AV1955=1,Registered!AV1955&amp;" Meal",Registered!AV1955&amp;" Meals"))</f>
        <v>1 Meal</v>
      </c>
      <c r="AX1955" s="2" t="str">
        <f>IF(Registered!AI1955=0,"",Registered!AI1955&amp;" BG")</f>
        <v/>
      </c>
      <c r="AY1955" s="2" t="str">
        <f>IF(Registered!AG1955=0,"",Registered!AG1955&amp;" DustMask")</f>
        <v/>
      </c>
    </row>
    <row r="1956" spans="1:51" customFormat="1" x14ac:dyDescent="0.25">
      <c r="A1956" t="s">
        <v>503</v>
      </c>
      <c r="B1956" t="s">
        <v>2182</v>
      </c>
      <c r="C1956" t="s">
        <v>6090</v>
      </c>
      <c r="G1956" t="s">
        <v>166</v>
      </c>
      <c r="H1956" t="s">
        <v>2183</v>
      </c>
      <c r="I1956" t="s">
        <v>2184</v>
      </c>
      <c r="J1956" t="s">
        <v>37</v>
      </c>
      <c r="K1956" t="s">
        <v>32</v>
      </c>
      <c r="L1956" t="s">
        <v>35</v>
      </c>
      <c r="AQ1956">
        <v>0</v>
      </c>
      <c r="AR1956" s="3">
        <f t="shared" si="90"/>
        <v>0</v>
      </c>
      <c r="AS1956" s="3">
        <f t="shared" si="91"/>
        <v>0</v>
      </c>
      <c r="AT1956" s="3" t="str">
        <f>IF(OR(Registered!AM1956&gt;0,Registered!AO1956&gt;0),(IF(Registered!E1956=0,"Size Not Specified",Registered!E1956)),"")</f>
        <v/>
      </c>
      <c r="AU1956" s="3" t="str">
        <f>IF(Registered!AE1956=0,"",IF(Registered!AE1956=1,Registered!AE1956&amp;" Bandana",Registered!AE1956&amp;" Bandanas"))</f>
        <v/>
      </c>
      <c r="AV1956" s="3">
        <f t="shared" si="92"/>
        <v>0</v>
      </c>
      <c r="AW1956" s="2" t="str">
        <f>IF(Registered!AV1956=0,"",IF(Registered!AV1956=1,Registered!AV1956&amp;" Meal",Registered!AV1956&amp;" Meals"))</f>
        <v/>
      </c>
      <c r="AX1956" s="2" t="str">
        <f>IF(Registered!AI1956=0,"",Registered!AI1956&amp;" BG")</f>
        <v/>
      </c>
      <c r="AY1956" s="2" t="str">
        <f>IF(Registered!AG1956=0,"",Registered!AG1956&amp;" DustMask")</f>
        <v/>
      </c>
    </row>
    <row r="1957" spans="1:51" customFormat="1" x14ac:dyDescent="0.25">
      <c r="A1957" t="s">
        <v>665</v>
      </c>
      <c r="B1957" t="s">
        <v>2185</v>
      </c>
      <c r="C1957" t="s">
        <v>6090</v>
      </c>
      <c r="D1957" t="s">
        <v>814</v>
      </c>
      <c r="F1957" t="s">
        <v>261</v>
      </c>
      <c r="I1957" t="s">
        <v>5472</v>
      </c>
      <c r="J1957" t="s">
        <v>37</v>
      </c>
      <c r="K1957" t="s">
        <v>32</v>
      </c>
      <c r="L1957" t="s">
        <v>35</v>
      </c>
      <c r="Q1957">
        <v>1</v>
      </c>
      <c r="R1957">
        <v>3</v>
      </c>
      <c r="AC1957">
        <v>1</v>
      </c>
      <c r="AD1957">
        <v>10</v>
      </c>
      <c r="AQ1957">
        <v>13</v>
      </c>
      <c r="AR1957" s="3">
        <f t="shared" si="90"/>
        <v>5</v>
      </c>
      <c r="AS1957" s="3">
        <f t="shared" si="91"/>
        <v>0</v>
      </c>
      <c r="AT1957" s="3" t="str">
        <f>IF(OR(Registered!AM1957&gt;0,Registered!AO1957&gt;0),(IF(Registered!E1957=0,"Size Not Specified",Registered!E1957)),"")</f>
        <v/>
      </c>
      <c r="AU1957" s="3" t="str">
        <f>IF(Registered!AE1957=0,"",IF(Registered!AE1957=1,Registered!AE1957&amp;" Bandana",Registered!AE1957&amp;" Bandanas"))</f>
        <v/>
      </c>
      <c r="AV1957" s="3">
        <f t="shared" si="92"/>
        <v>0</v>
      </c>
      <c r="AW1957" s="2" t="str">
        <f>IF(Registered!AV1957=0,"",IF(Registered!AV1957=1,Registered!AV1957&amp;" Meal",Registered!AV1957&amp;" Meals"))</f>
        <v/>
      </c>
      <c r="AX1957" s="2" t="str">
        <f>IF(Registered!AI1957=0,"",Registered!AI1957&amp;" BG")</f>
        <v/>
      </c>
      <c r="AY1957" s="2" t="str">
        <f>IF(Registered!AG1957=0,"",Registered!AG1957&amp;" DustMask")</f>
        <v/>
      </c>
    </row>
    <row r="1958" spans="1:51" customFormat="1" x14ac:dyDescent="0.25">
      <c r="A1958" t="s">
        <v>2190</v>
      </c>
      <c r="B1958" t="s">
        <v>2191</v>
      </c>
      <c r="C1958" t="s">
        <v>6090</v>
      </c>
      <c r="D1958" t="s">
        <v>2192</v>
      </c>
      <c r="F1958" t="s">
        <v>261</v>
      </c>
      <c r="I1958" t="s">
        <v>2193</v>
      </c>
      <c r="J1958" t="s">
        <v>37</v>
      </c>
      <c r="K1958" t="s">
        <v>32</v>
      </c>
      <c r="L1958" t="s">
        <v>35</v>
      </c>
      <c r="Q1958">
        <v>1</v>
      </c>
      <c r="R1958">
        <v>3</v>
      </c>
      <c r="AC1958">
        <v>1</v>
      </c>
      <c r="AD1958">
        <v>10</v>
      </c>
      <c r="AQ1958">
        <v>13</v>
      </c>
      <c r="AR1958" s="3">
        <f t="shared" si="90"/>
        <v>5</v>
      </c>
      <c r="AS1958" s="3">
        <f t="shared" si="91"/>
        <v>0</v>
      </c>
      <c r="AT1958" s="3" t="str">
        <f>IF(OR(Registered!AM1958&gt;0,Registered!AO1958&gt;0),(IF(Registered!E1958=0,"Size Not Specified",Registered!E1958)),"")</f>
        <v/>
      </c>
      <c r="AU1958" s="3" t="str">
        <f>IF(Registered!AE1958=0,"",IF(Registered!AE1958=1,Registered!AE1958&amp;" Bandana",Registered!AE1958&amp;" Bandanas"))</f>
        <v/>
      </c>
      <c r="AV1958" s="3">
        <f t="shared" si="92"/>
        <v>0</v>
      </c>
      <c r="AW1958" s="2" t="str">
        <f>IF(Registered!AV1958=0,"",IF(Registered!AV1958=1,Registered!AV1958&amp;" Meal",Registered!AV1958&amp;" Meals"))</f>
        <v/>
      </c>
      <c r="AX1958" s="2" t="str">
        <f>IF(Registered!AI1958=0,"",Registered!AI1958&amp;" BG")</f>
        <v/>
      </c>
      <c r="AY1958" s="2" t="str">
        <f>IF(Registered!AG1958=0,"",Registered!AG1958&amp;" DustMask")</f>
        <v/>
      </c>
    </row>
    <row r="1959" spans="1:51" customFormat="1" x14ac:dyDescent="0.25">
      <c r="A1959" t="s">
        <v>143</v>
      </c>
      <c r="B1959" t="s">
        <v>2194</v>
      </c>
      <c r="C1959" t="s">
        <v>6090</v>
      </c>
      <c r="I1959" t="s">
        <v>2195</v>
      </c>
      <c r="J1959" t="s">
        <v>37</v>
      </c>
      <c r="K1959" t="s">
        <v>32</v>
      </c>
      <c r="L1959" t="s">
        <v>35</v>
      </c>
      <c r="O1959">
        <v>1</v>
      </c>
      <c r="P1959">
        <v>3</v>
      </c>
      <c r="AM1959">
        <v>1</v>
      </c>
      <c r="AN1959">
        <v>25</v>
      </c>
      <c r="AQ1959">
        <v>28</v>
      </c>
      <c r="AR1959" s="3">
        <f t="shared" si="90"/>
        <v>5</v>
      </c>
      <c r="AS1959" s="3">
        <f t="shared" si="91"/>
        <v>1</v>
      </c>
      <c r="AT1959" s="3" t="str">
        <f>IF(OR(Registered!AM1959&gt;0,Registered!AO1959&gt;0),(IF(Registered!E1959=0,"Size Not Specified",Registered!E1959)),"")</f>
        <v>Size Not Specified</v>
      </c>
      <c r="AU1959" s="3" t="str">
        <f>IF(Registered!AE1959=0,"",IF(Registered!AE1959=1,Registered!AE1959&amp;" Bandana",Registered!AE1959&amp;" Bandanas"))</f>
        <v/>
      </c>
      <c r="AV1959" s="3">
        <f t="shared" si="92"/>
        <v>1</v>
      </c>
      <c r="AW1959" s="2" t="str">
        <f>IF(Registered!AV1959=0,"",IF(Registered!AV1959=1,Registered!AV1959&amp;" Meal",Registered!AV1959&amp;" Meals"))</f>
        <v>1 Meal</v>
      </c>
      <c r="AX1959" s="2" t="str">
        <f>IF(Registered!AI1959=0,"",Registered!AI1959&amp;" BG")</f>
        <v/>
      </c>
      <c r="AY1959" s="2" t="str">
        <f>IF(Registered!AG1959=0,"",Registered!AG1959&amp;" DustMask")</f>
        <v/>
      </c>
    </row>
    <row r="1960" spans="1:51" customFormat="1" x14ac:dyDescent="0.25">
      <c r="A1960" t="s">
        <v>3299</v>
      </c>
      <c r="B1960" t="s">
        <v>2194</v>
      </c>
      <c r="C1960" t="s">
        <v>6090</v>
      </c>
      <c r="D1960" t="s">
        <v>3299</v>
      </c>
      <c r="F1960" t="s">
        <v>261</v>
      </c>
      <c r="I1960" t="s">
        <v>3300</v>
      </c>
      <c r="J1960" t="s">
        <v>37</v>
      </c>
      <c r="K1960" t="s">
        <v>32</v>
      </c>
      <c r="L1960" t="s">
        <v>35</v>
      </c>
      <c r="Q1960">
        <v>1</v>
      </c>
      <c r="R1960">
        <v>3</v>
      </c>
      <c r="AC1960">
        <v>1</v>
      </c>
      <c r="AD1960">
        <v>10</v>
      </c>
      <c r="AQ1960">
        <v>13</v>
      </c>
      <c r="AR1960" s="3">
        <f t="shared" si="90"/>
        <v>5</v>
      </c>
      <c r="AS1960" s="3">
        <f t="shared" si="91"/>
        <v>0</v>
      </c>
      <c r="AT1960" s="3" t="str">
        <f>IF(OR(Registered!AM1960&gt;0,Registered!AO1960&gt;0),(IF(Registered!E1960=0,"Size Not Specified",Registered!E1960)),"")</f>
        <v/>
      </c>
      <c r="AU1960" s="3" t="str">
        <f>IF(Registered!AE1960=0,"",IF(Registered!AE1960=1,Registered!AE1960&amp;" Bandana",Registered!AE1960&amp;" Bandanas"))</f>
        <v/>
      </c>
      <c r="AV1960" s="3">
        <f t="shared" si="92"/>
        <v>0</v>
      </c>
      <c r="AW1960" s="2" t="str">
        <f>IF(Registered!AV1960=0,"",IF(Registered!AV1960=1,Registered!AV1960&amp;" Meal",Registered!AV1960&amp;" Meals"))</f>
        <v/>
      </c>
      <c r="AX1960" s="2" t="str">
        <f>IF(Registered!AI1960=0,"",Registered!AI1960&amp;" BG")</f>
        <v/>
      </c>
      <c r="AY1960" s="2" t="str">
        <f>IF(Registered!AG1960=0,"",Registered!AG1960&amp;" DustMask")</f>
        <v/>
      </c>
    </row>
    <row r="1961" spans="1:51" customFormat="1" x14ac:dyDescent="0.25">
      <c r="A1961" t="s">
        <v>5473</v>
      </c>
      <c r="B1961" t="s">
        <v>5474</v>
      </c>
      <c r="C1961" t="s">
        <v>6090</v>
      </c>
      <c r="G1961" t="s">
        <v>5475</v>
      </c>
      <c r="H1961" t="s">
        <v>5476</v>
      </c>
      <c r="I1961" t="s">
        <v>5477</v>
      </c>
      <c r="J1961" t="s">
        <v>37</v>
      </c>
      <c r="K1961" t="s">
        <v>32</v>
      </c>
      <c r="L1961" t="s">
        <v>35</v>
      </c>
      <c r="AQ1961">
        <v>0</v>
      </c>
      <c r="AR1961" s="3">
        <f t="shared" si="90"/>
        <v>0</v>
      </c>
      <c r="AS1961" s="3">
        <f t="shared" si="91"/>
        <v>0</v>
      </c>
      <c r="AT1961" s="3" t="str">
        <f>IF(OR(Registered!AM1961&gt;0,Registered!AO1961&gt;0),(IF(Registered!E1961=0,"Size Not Specified",Registered!E1961)),"")</f>
        <v/>
      </c>
      <c r="AU1961" s="3" t="str">
        <f>IF(Registered!AE1961=0,"",IF(Registered!AE1961=1,Registered!AE1961&amp;" Bandana",Registered!AE1961&amp;" Bandanas"))</f>
        <v/>
      </c>
      <c r="AV1961" s="3">
        <f t="shared" si="92"/>
        <v>0</v>
      </c>
      <c r="AW1961" s="2" t="str">
        <f>IF(Registered!AV1961=0,"",IF(Registered!AV1961=1,Registered!AV1961&amp;" Meal",Registered!AV1961&amp;" Meals"))</f>
        <v/>
      </c>
      <c r="AX1961" s="2" t="str">
        <f>IF(Registered!AI1961=0,"",Registered!AI1961&amp;" BG")</f>
        <v/>
      </c>
      <c r="AY1961" s="2" t="str">
        <f>IF(Registered!AG1961=0,"",Registered!AG1961&amp;" DustMask")</f>
        <v/>
      </c>
    </row>
    <row r="1962" spans="1:51" customFormat="1" x14ac:dyDescent="0.25">
      <c r="A1962" t="s">
        <v>2293</v>
      </c>
      <c r="B1962" t="s">
        <v>5478</v>
      </c>
      <c r="C1962" t="s">
        <v>6090</v>
      </c>
      <c r="D1962" t="s">
        <v>5479</v>
      </c>
      <c r="E1962" t="s">
        <v>3785</v>
      </c>
      <c r="F1962" t="s">
        <v>261</v>
      </c>
      <c r="I1962" t="s">
        <v>5480</v>
      </c>
      <c r="J1962" t="s">
        <v>37</v>
      </c>
      <c r="K1962" t="s">
        <v>32</v>
      </c>
      <c r="L1962" t="s">
        <v>35</v>
      </c>
      <c r="Q1962">
        <v>1</v>
      </c>
      <c r="R1962">
        <v>3</v>
      </c>
      <c r="AM1962">
        <v>1</v>
      </c>
      <c r="AN1962">
        <v>25</v>
      </c>
      <c r="AQ1962">
        <v>28</v>
      </c>
      <c r="AR1962" s="3">
        <f t="shared" si="90"/>
        <v>5</v>
      </c>
      <c r="AS1962" s="3">
        <f t="shared" si="91"/>
        <v>1</v>
      </c>
      <c r="AT1962" s="3" t="str">
        <f>IF(OR(Registered!AM1962&gt;0,Registered!AO1962&gt;0),(IF(Registered!E1962=0,"Size Not Specified",Registered!E1962)),"")</f>
        <v>MEDIUM</v>
      </c>
      <c r="AU1962" s="3" t="str">
        <f>IF(Registered!AE1962=0,"",IF(Registered!AE1962=1,Registered!AE1962&amp;" Bandana",Registered!AE1962&amp;" Bandanas"))</f>
        <v/>
      </c>
      <c r="AV1962" s="3">
        <f t="shared" si="92"/>
        <v>1</v>
      </c>
      <c r="AW1962" s="2" t="str">
        <f>IF(Registered!AV1962=0,"",IF(Registered!AV1962=1,Registered!AV1962&amp;" Meal",Registered!AV1962&amp;" Meals"))</f>
        <v>1 Meal</v>
      </c>
      <c r="AX1962" s="2" t="str">
        <f>IF(Registered!AI1962=0,"",Registered!AI1962&amp;" BG")</f>
        <v/>
      </c>
      <c r="AY1962" s="2" t="str">
        <f>IF(Registered!AG1962=0,"",Registered!AG1962&amp;" DustMask")</f>
        <v/>
      </c>
    </row>
    <row r="1963" spans="1:51" customFormat="1" x14ac:dyDescent="0.25">
      <c r="A1963" t="s">
        <v>5481</v>
      </c>
      <c r="B1963" t="s">
        <v>5482</v>
      </c>
      <c r="C1963" t="s">
        <v>6090</v>
      </c>
      <c r="G1963" t="s">
        <v>4679</v>
      </c>
      <c r="H1963" t="s">
        <v>4680</v>
      </c>
      <c r="I1963" t="s">
        <v>4681</v>
      </c>
      <c r="J1963" t="s">
        <v>37</v>
      </c>
      <c r="K1963" t="s">
        <v>32</v>
      </c>
      <c r="L1963" t="s">
        <v>35</v>
      </c>
      <c r="AQ1963">
        <v>0</v>
      </c>
      <c r="AR1963" s="3">
        <f t="shared" si="90"/>
        <v>0</v>
      </c>
      <c r="AS1963" s="3">
        <f t="shared" si="91"/>
        <v>0</v>
      </c>
      <c r="AT1963" s="3" t="str">
        <f>IF(OR(Registered!AM1963&gt;0,Registered!AO1963&gt;0),(IF(Registered!E1963=0,"Size Not Specified",Registered!E1963)),"")</f>
        <v/>
      </c>
      <c r="AU1963" s="3" t="str">
        <f>IF(Registered!AE1963=0,"",IF(Registered!AE1963=1,Registered!AE1963&amp;" Bandana",Registered!AE1963&amp;" Bandanas"))</f>
        <v/>
      </c>
      <c r="AV1963" s="3">
        <f t="shared" si="92"/>
        <v>0</v>
      </c>
      <c r="AW1963" s="2" t="str">
        <f>IF(Registered!AV1963=0,"",IF(Registered!AV1963=1,Registered!AV1963&amp;" Meal",Registered!AV1963&amp;" Meals"))</f>
        <v/>
      </c>
      <c r="AX1963" s="2" t="str">
        <f>IF(Registered!AI1963=0,"",Registered!AI1963&amp;" BG")</f>
        <v/>
      </c>
      <c r="AY1963" s="2" t="str">
        <f>IF(Registered!AG1963=0,"",Registered!AG1963&amp;" DustMask")</f>
        <v/>
      </c>
    </row>
    <row r="1964" spans="1:51" customFormat="1" x14ac:dyDescent="0.25">
      <c r="A1964" t="s">
        <v>381</v>
      </c>
      <c r="B1964" t="s">
        <v>5483</v>
      </c>
      <c r="C1964" t="s">
        <v>6090</v>
      </c>
      <c r="G1964" t="s">
        <v>56</v>
      </c>
      <c r="H1964" t="s">
        <v>3150</v>
      </c>
      <c r="I1964" t="s">
        <v>4987</v>
      </c>
      <c r="J1964" t="s">
        <v>37</v>
      </c>
      <c r="K1964" t="s">
        <v>32</v>
      </c>
      <c r="L1964" t="s">
        <v>35</v>
      </c>
      <c r="AQ1964">
        <v>0</v>
      </c>
      <c r="AR1964" s="3">
        <f t="shared" si="90"/>
        <v>0</v>
      </c>
      <c r="AS1964" s="3">
        <f t="shared" si="91"/>
        <v>0</v>
      </c>
      <c r="AT1964" s="3" t="str">
        <f>IF(OR(Registered!AM1964&gt;0,Registered!AO1964&gt;0),(IF(Registered!E1964=0,"Size Not Specified",Registered!E1964)),"")</f>
        <v/>
      </c>
      <c r="AU1964" s="3" t="str">
        <f>IF(Registered!AE1964=0,"",IF(Registered!AE1964=1,Registered!AE1964&amp;" Bandana",Registered!AE1964&amp;" Bandanas"))</f>
        <v/>
      </c>
      <c r="AV1964" s="3">
        <f t="shared" si="92"/>
        <v>0</v>
      </c>
      <c r="AW1964" s="2" t="str">
        <f>IF(Registered!AV1964=0,"",IF(Registered!AV1964=1,Registered!AV1964&amp;" Meal",Registered!AV1964&amp;" Meals"))</f>
        <v/>
      </c>
      <c r="AX1964" s="2" t="str">
        <f>IF(Registered!AI1964=0,"",Registered!AI1964&amp;" BG")</f>
        <v/>
      </c>
      <c r="AY1964" s="2" t="str">
        <f>IF(Registered!AG1964=0,"",Registered!AG1964&amp;" DustMask")</f>
        <v/>
      </c>
    </row>
    <row r="1965" spans="1:51" customFormat="1" x14ac:dyDescent="0.25">
      <c r="A1965" t="s">
        <v>2120</v>
      </c>
      <c r="B1965" t="s">
        <v>5484</v>
      </c>
      <c r="C1965" t="s">
        <v>6090</v>
      </c>
      <c r="G1965" t="s">
        <v>79</v>
      </c>
      <c r="H1965" t="s">
        <v>5485</v>
      </c>
      <c r="I1965" t="s">
        <v>5486</v>
      </c>
      <c r="J1965" t="s">
        <v>37</v>
      </c>
      <c r="K1965" t="s">
        <v>32</v>
      </c>
      <c r="L1965" t="s">
        <v>35</v>
      </c>
      <c r="AQ1965">
        <v>0</v>
      </c>
      <c r="AR1965" s="3">
        <f t="shared" si="90"/>
        <v>0</v>
      </c>
      <c r="AS1965" s="3">
        <f t="shared" si="91"/>
        <v>0</v>
      </c>
      <c r="AT1965" s="3" t="str">
        <f>IF(OR(Registered!AM1965&gt;0,Registered!AO1965&gt;0),(IF(Registered!E1965=0,"Size Not Specified",Registered!E1965)),"")</f>
        <v/>
      </c>
      <c r="AU1965" s="3" t="str">
        <f>IF(Registered!AE1965=0,"",IF(Registered!AE1965=1,Registered!AE1965&amp;" Bandana",Registered!AE1965&amp;" Bandanas"))</f>
        <v/>
      </c>
      <c r="AV1965" s="3">
        <f t="shared" si="92"/>
        <v>0</v>
      </c>
      <c r="AW1965" s="2" t="str">
        <f>IF(Registered!AV1965=0,"",IF(Registered!AV1965=1,Registered!AV1965&amp;" Meal",Registered!AV1965&amp;" Meals"))</f>
        <v/>
      </c>
      <c r="AX1965" s="2" t="str">
        <f>IF(Registered!AI1965=0,"",Registered!AI1965&amp;" BG")</f>
        <v/>
      </c>
      <c r="AY1965" s="2" t="str">
        <f>IF(Registered!AG1965=0,"",Registered!AG1965&amp;" DustMask")</f>
        <v/>
      </c>
    </row>
    <row r="1966" spans="1:51" customFormat="1" x14ac:dyDescent="0.25">
      <c r="A1966" t="s">
        <v>381</v>
      </c>
      <c r="B1966" t="s">
        <v>4345</v>
      </c>
      <c r="C1966" t="s">
        <v>6090</v>
      </c>
      <c r="D1966" t="s">
        <v>5487</v>
      </c>
      <c r="F1966" t="s">
        <v>261</v>
      </c>
      <c r="I1966" t="s">
        <v>4346</v>
      </c>
      <c r="J1966" t="s">
        <v>37</v>
      </c>
      <c r="K1966" t="s">
        <v>32</v>
      </c>
      <c r="L1966" t="s">
        <v>35</v>
      </c>
      <c r="Q1966">
        <v>4</v>
      </c>
      <c r="R1966">
        <v>3</v>
      </c>
      <c r="U1966">
        <v>1</v>
      </c>
      <c r="V1966">
        <v>20</v>
      </c>
      <c r="AQ1966">
        <v>32</v>
      </c>
      <c r="AR1966" s="3">
        <f t="shared" si="90"/>
        <v>10</v>
      </c>
      <c r="AS1966" s="3">
        <f t="shared" si="91"/>
        <v>0</v>
      </c>
      <c r="AT1966" s="3" t="str">
        <f>IF(OR(Registered!AM1966&gt;0,Registered!AO1966&gt;0),(IF(Registered!E1966=0,"Size Not Specified",Registered!E1966)),"")</f>
        <v/>
      </c>
      <c r="AU1966" s="3" t="str">
        <f>IF(Registered!AE1966=0,"",IF(Registered!AE1966=1,Registered!AE1966&amp;" Bandana",Registered!AE1966&amp;" Bandanas"))</f>
        <v/>
      </c>
      <c r="AV1966" s="3">
        <f t="shared" si="92"/>
        <v>0</v>
      </c>
      <c r="AW1966" s="2" t="str">
        <f>IF(Registered!AV1966=0,"",IF(Registered!AV1966=1,Registered!AV1966&amp;" Meal",Registered!AV1966&amp;" Meals"))</f>
        <v/>
      </c>
      <c r="AX1966" s="2" t="str">
        <f>IF(Registered!AI1966=0,"",Registered!AI1966&amp;" BG")</f>
        <v/>
      </c>
      <c r="AY1966" s="2" t="str">
        <f>IF(Registered!AG1966=0,"",Registered!AG1966&amp;" DustMask")</f>
        <v/>
      </c>
    </row>
    <row r="1967" spans="1:51" customFormat="1" x14ac:dyDescent="0.25">
      <c r="A1967" t="s">
        <v>4485</v>
      </c>
      <c r="B1967" t="s">
        <v>4486</v>
      </c>
      <c r="C1967" t="s">
        <v>6090</v>
      </c>
      <c r="D1967" t="s">
        <v>5488</v>
      </c>
      <c r="F1967" t="s">
        <v>261</v>
      </c>
      <c r="I1967" t="s">
        <v>4487</v>
      </c>
      <c r="J1967" t="s">
        <v>37</v>
      </c>
      <c r="K1967" t="s">
        <v>32</v>
      </c>
      <c r="L1967" t="s">
        <v>35</v>
      </c>
      <c r="Q1967">
        <v>4</v>
      </c>
      <c r="R1967">
        <v>3</v>
      </c>
      <c r="U1967">
        <v>1</v>
      </c>
      <c r="V1967">
        <v>20</v>
      </c>
      <c r="AQ1967">
        <v>32</v>
      </c>
      <c r="AR1967" s="3">
        <f t="shared" si="90"/>
        <v>10</v>
      </c>
      <c r="AS1967" s="3">
        <f t="shared" si="91"/>
        <v>0</v>
      </c>
      <c r="AT1967" s="3" t="str">
        <f>IF(OR(Registered!AM1967&gt;0,Registered!AO1967&gt;0),(IF(Registered!E1967=0,"Size Not Specified",Registered!E1967)),"")</f>
        <v/>
      </c>
      <c r="AU1967" s="3" t="str">
        <f>IF(Registered!AE1967=0,"",IF(Registered!AE1967=1,Registered!AE1967&amp;" Bandana",Registered!AE1967&amp;" Bandanas"))</f>
        <v/>
      </c>
      <c r="AV1967" s="3">
        <f t="shared" si="92"/>
        <v>0</v>
      </c>
      <c r="AW1967" s="2" t="str">
        <f>IF(Registered!AV1967=0,"",IF(Registered!AV1967=1,Registered!AV1967&amp;" Meal",Registered!AV1967&amp;" Meals"))</f>
        <v/>
      </c>
      <c r="AX1967" s="2" t="str">
        <f>IF(Registered!AI1967=0,"",Registered!AI1967&amp;" BG")</f>
        <v/>
      </c>
      <c r="AY1967" s="2" t="str">
        <f>IF(Registered!AG1967=0,"",Registered!AG1967&amp;" DustMask")</f>
        <v/>
      </c>
    </row>
    <row r="1968" spans="1:51" customFormat="1" x14ac:dyDescent="0.25">
      <c r="A1968" t="s">
        <v>71</v>
      </c>
      <c r="B1968" t="s">
        <v>3303</v>
      </c>
      <c r="C1968" t="s">
        <v>6090</v>
      </c>
      <c r="G1968" t="s">
        <v>502</v>
      </c>
      <c r="H1968" t="s">
        <v>1105</v>
      </c>
      <c r="I1968" t="s">
        <v>2876</v>
      </c>
      <c r="J1968" t="s">
        <v>37</v>
      </c>
      <c r="K1968" t="s">
        <v>32</v>
      </c>
      <c r="L1968" t="s">
        <v>35</v>
      </c>
      <c r="AQ1968">
        <v>0</v>
      </c>
      <c r="AR1968" s="3">
        <f t="shared" si="90"/>
        <v>0</v>
      </c>
      <c r="AS1968" s="3">
        <f t="shared" si="91"/>
        <v>0</v>
      </c>
      <c r="AT1968" s="3" t="str">
        <f>IF(OR(Registered!AM1968&gt;0,Registered!AO1968&gt;0),(IF(Registered!E1968=0,"Size Not Specified",Registered!E1968)),"")</f>
        <v/>
      </c>
      <c r="AU1968" s="3" t="str">
        <f>IF(Registered!AE1968=0,"",IF(Registered!AE1968=1,Registered!AE1968&amp;" Bandana",Registered!AE1968&amp;" Bandanas"))</f>
        <v/>
      </c>
      <c r="AV1968" s="3">
        <f t="shared" si="92"/>
        <v>0</v>
      </c>
      <c r="AW1968" s="2" t="str">
        <f>IF(Registered!AV1968=0,"",IF(Registered!AV1968=1,Registered!AV1968&amp;" Meal",Registered!AV1968&amp;" Meals"))</f>
        <v/>
      </c>
      <c r="AX1968" s="2" t="str">
        <f>IF(Registered!AI1968=0,"",Registered!AI1968&amp;" BG")</f>
        <v/>
      </c>
      <c r="AY1968" s="2" t="str">
        <f>IF(Registered!AG1968=0,"",Registered!AG1968&amp;" DustMask")</f>
        <v/>
      </c>
    </row>
    <row r="1969" spans="1:51" customFormat="1" x14ac:dyDescent="0.25">
      <c r="A1969" t="s">
        <v>98</v>
      </c>
      <c r="B1969" t="s">
        <v>978</v>
      </c>
      <c r="C1969" t="s">
        <v>6090</v>
      </c>
      <c r="D1969" t="s">
        <v>2196</v>
      </c>
      <c r="I1969" t="s">
        <v>979</v>
      </c>
      <c r="J1969" t="s">
        <v>37</v>
      </c>
      <c r="K1969" t="s">
        <v>32</v>
      </c>
      <c r="L1969" t="s">
        <v>35</v>
      </c>
      <c r="O1969">
        <v>2</v>
      </c>
      <c r="P1969">
        <v>3</v>
      </c>
      <c r="U1969">
        <v>1</v>
      </c>
      <c r="V1969">
        <v>20</v>
      </c>
      <c r="AQ1969">
        <v>26</v>
      </c>
      <c r="AR1969" s="3">
        <f t="shared" si="90"/>
        <v>10</v>
      </c>
      <c r="AS1969" s="3">
        <f t="shared" si="91"/>
        <v>0</v>
      </c>
      <c r="AT1969" s="3" t="str">
        <f>IF(OR(Registered!AM1969&gt;0,Registered!AO1969&gt;0),(IF(Registered!E1969=0,"Size Not Specified",Registered!E1969)),"")</f>
        <v/>
      </c>
      <c r="AU1969" s="3" t="str">
        <f>IF(Registered!AE1969=0,"",IF(Registered!AE1969=1,Registered!AE1969&amp;" Bandana",Registered!AE1969&amp;" Bandanas"))</f>
        <v/>
      </c>
      <c r="AV1969" s="3">
        <f t="shared" si="92"/>
        <v>0</v>
      </c>
      <c r="AW1969" s="2" t="str">
        <f>IF(Registered!AV1969=0,"",IF(Registered!AV1969=1,Registered!AV1969&amp;" Meal",Registered!AV1969&amp;" Meals"))</f>
        <v/>
      </c>
      <c r="AX1969" s="2" t="str">
        <f>IF(Registered!AI1969=0,"",Registered!AI1969&amp;" BG")</f>
        <v/>
      </c>
      <c r="AY1969" s="2" t="str">
        <f>IF(Registered!AG1969=0,"",Registered!AG1969&amp;" DustMask")</f>
        <v/>
      </c>
    </row>
    <row r="1970" spans="1:51" customFormat="1" x14ac:dyDescent="0.25">
      <c r="A1970" t="s">
        <v>104</v>
      </c>
      <c r="B1970" t="s">
        <v>2197</v>
      </c>
      <c r="C1970" t="s">
        <v>6090</v>
      </c>
      <c r="G1970" t="s">
        <v>508</v>
      </c>
      <c r="H1970" t="s">
        <v>589</v>
      </c>
      <c r="I1970" t="s">
        <v>590</v>
      </c>
      <c r="J1970" t="s">
        <v>37</v>
      </c>
      <c r="K1970" t="s">
        <v>32</v>
      </c>
      <c r="L1970" t="s">
        <v>35</v>
      </c>
      <c r="AQ1970">
        <v>0</v>
      </c>
      <c r="AR1970" s="3">
        <f t="shared" si="90"/>
        <v>0</v>
      </c>
      <c r="AS1970" s="3">
        <f t="shared" si="91"/>
        <v>0</v>
      </c>
      <c r="AT1970" s="3" t="str">
        <f>IF(OR(Registered!AM1970&gt;0,Registered!AO1970&gt;0),(IF(Registered!E1970=0,"Size Not Specified",Registered!E1970)),"")</f>
        <v/>
      </c>
      <c r="AU1970" s="3" t="str">
        <f>IF(Registered!AE1970=0,"",IF(Registered!AE1970=1,Registered!AE1970&amp;" Bandana",Registered!AE1970&amp;" Bandanas"))</f>
        <v/>
      </c>
      <c r="AV1970" s="3">
        <f t="shared" si="92"/>
        <v>0</v>
      </c>
      <c r="AW1970" s="2" t="str">
        <f>IF(Registered!AV1970=0,"",IF(Registered!AV1970=1,Registered!AV1970&amp;" Meal",Registered!AV1970&amp;" Meals"))</f>
        <v/>
      </c>
      <c r="AX1970" s="2" t="str">
        <f>IF(Registered!AI1970=0,"",Registered!AI1970&amp;" BG")</f>
        <v/>
      </c>
      <c r="AY1970" s="2" t="str">
        <f>IF(Registered!AG1970=0,"",Registered!AG1970&amp;" DustMask")</f>
        <v/>
      </c>
    </row>
    <row r="1971" spans="1:51" customFormat="1" x14ac:dyDescent="0.25">
      <c r="A1971" t="s">
        <v>127</v>
      </c>
      <c r="B1971" t="s">
        <v>5489</v>
      </c>
      <c r="C1971" t="s">
        <v>6090</v>
      </c>
      <c r="G1971" t="s">
        <v>148</v>
      </c>
      <c r="H1971" t="s">
        <v>1176</v>
      </c>
      <c r="I1971" t="s">
        <v>3874</v>
      </c>
      <c r="J1971" t="s">
        <v>37</v>
      </c>
      <c r="K1971" t="s">
        <v>32</v>
      </c>
      <c r="L1971" t="s">
        <v>35</v>
      </c>
      <c r="AQ1971">
        <v>0</v>
      </c>
      <c r="AR1971" s="3">
        <f t="shared" si="90"/>
        <v>0</v>
      </c>
      <c r="AS1971" s="3">
        <f t="shared" si="91"/>
        <v>0</v>
      </c>
      <c r="AT1971" s="3" t="str">
        <f>IF(OR(Registered!AM1971&gt;0,Registered!AO1971&gt;0),(IF(Registered!E1971=0,"Size Not Specified",Registered!E1971)),"")</f>
        <v/>
      </c>
      <c r="AU1971" s="3" t="str">
        <f>IF(Registered!AE1971=0,"",IF(Registered!AE1971=1,Registered!AE1971&amp;" Bandana",Registered!AE1971&amp;" Bandanas"))</f>
        <v/>
      </c>
      <c r="AV1971" s="3">
        <f t="shared" si="92"/>
        <v>0</v>
      </c>
      <c r="AW1971" s="2" t="str">
        <f>IF(Registered!AV1971=0,"",IF(Registered!AV1971=1,Registered!AV1971&amp;" Meal",Registered!AV1971&amp;" Meals"))</f>
        <v/>
      </c>
      <c r="AX1971" s="2" t="str">
        <f>IF(Registered!AI1971=0,"",Registered!AI1971&amp;" BG")</f>
        <v/>
      </c>
      <c r="AY1971" s="2" t="str">
        <f>IF(Registered!AG1971=0,"",Registered!AG1971&amp;" DustMask")</f>
        <v/>
      </c>
    </row>
    <row r="1972" spans="1:51" customFormat="1" x14ac:dyDescent="0.25">
      <c r="A1972" t="s">
        <v>3297</v>
      </c>
      <c r="B1972" t="s">
        <v>3304</v>
      </c>
      <c r="C1972" t="s">
        <v>6090</v>
      </c>
      <c r="G1972" t="s">
        <v>317</v>
      </c>
      <c r="H1972" t="s">
        <v>507</v>
      </c>
      <c r="I1972" t="s">
        <v>2673</v>
      </c>
      <c r="J1972" t="s">
        <v>37</v>
      </c>
      <c r="K1972" t="s">
        <v>32</v>
      </c>
      <c r="L1972" t="s">
        <v>35</v>
      </c>
      <c r="AQ1972">
        <v>0</v>
      </c>
      <c r="AR1972" s="3">
        <f t="shared" si="90"/>
        <v>0</v>
      </c>
      <c r="AS1972" s="3">
        <f t="shared" si="91"/>
        <v>0</v>
      </c>
      <c r="AT1972" s="3" t="str">
        <f>IF(OR(Registered!AM1972&gt;0,Registered!AO1972&gt;0),(IF(Registered!E1972=0,"Size Not Specified",Registered!E1972)),"")</f>
        <v/>
      </c>
      <c r="AU1972" s="3" t="str">
        <f>IF(Registered!AE1972=0,"",IF(Registered!AE1972=1,Registered!AE1972&amp;" Bandana",Registered!AE1972&amp;" Bandanas"))</f>
        <v/>
      </c>
      <c r="AV1972" s="3">
        <f t="shared" si="92"/>
        <v>0</v>
      </c>
      <c r="AW1972" s="2" t="str">
        <f>IF(Registered!AV1972=0,"",IF(Registered!AV1972=1,Registered!AV1972&amp;" Meal",Registered!AV1972&amp;" Meals"))</f>
        <v/>
      </c>
      <c r="AX1972" s="2" t="str">
        <f>IF(Registered!AI1972=0,"",Registered!AI1972&amp;" BG")</f>
        <v/>
      </c>
      <c r="AY1972" s="2" t="str">
        <f>IF(Registered!AG1972=0,"",Registered!AG1972&amp;" DustMask")</f>
        <v/>
      </c>
    </row>
    <row r="1973" spans="1:51" customFormat="1" x14ac:dyDescent="0.25">
      <c r="A1973" t="s">
        <v>3290</v>
      </c>
      <c r="B1973" t="s">
        <v>3307</v>
      </c>
      <c r="C1973" t="s">
        <v>6090</v>
      </c>
      <c r="D1973" t="s">
        <v>3308</v>
      </c>
      <c r="E1973" t="s">
        <v>67</v>
      </c>
      <c r="F1973" t="s">
        <v>261</v>
      </c>
      <c r="I1973" t="s">
        <v>3309</v>
      </c>
      <c r="J1973" t="s">
        <v>37</v>
      </c>
      <c r="K1973" t="s">
        <v>32</v>
      </c>
      <c r="L1973" t="s">
        <v>35</v>
      </c>
      <c r="Q1973">
        <v>1</v>
      </c>
      <c r="R1973">
        <v>3</v>
      </c>
      <c r="AM1973">
        <v>1</v>
      </c>
      <c r="AN1973">
        <v>25</v>
      </c>
      <c r="AQ1973">
        <v>28</v>
      </c>
      <c r="AR1973" s="3">
        <f t="shared" si="90"/>
        <v>5</v>
      </c>
      <c r="AS1973" s="3">
        <f t="shared" si="91"/>
        <v>1</v>
      </c>
      <c r="AT1973" s="3" t="str">
        <f>IF(OR(Registered!AM1973&gt;0,Registered!AO1973&gt;0),(IF(Registered!E1973=0,"Size Not Specified",Registered!E1973)),"")</f>
        <v>medium</v>
      </c>
      <c r="AU1973" s="3" t="str">
        <f>IF(Registered!AE1973=0,"",IF(Registered!AE1973=1,Registered!AE1973&amp;" Bandana",Registered!AE1973&amp;" Bandanas"))</f>
        <v/>
      </c>
      <c r="AV1973" s="3">
        <f t="shared" si="92"/>
        <v>1</v>
      </c>
      <c r="AW1973" s="2" t="str">
        <f>IF(Registered!AV1973=0,"",IF(Registered!AV1973=1,Registered!AV1973&amp;" Meal",Registered!AV1973&amp;" Meals"))</f>
        <v>1 Meal</v>
      </c>
      <c r="AX1973" s="2" t="str">
        <f>IF(Registered!AI1973=0,"",Registered!AI1973&amp;" BG")</f>
        <v/>
      </c>
      <c r="AY1973" s="2" t="str">
        <f>IF(Registered!AG1973=0,"",Registered!AG1973&amp;" DustMask")</f>
        <v/>
      </c>
    </row>
    <row r="1974" spans="1:51" customFormat="1" x14ac:dyDescent="0.25">
      <c r="A1974" t="s">
        <v>91</v>
      </c>
      <c r="B1974" t="s">
        <v>5490</v>
      </c>
      <c r="C1974" t="s">
        <v>6090</v>
      </c>
      <c r="G1974" t="s">
        <v>5491</v>
      </c>
      <c r="H1974" t="s">
        <v>5492</v>
      </c>
      <c r="I1974" t="s">
        <v>5493</v>
      </c>
      <c r="J1974" t="s">
        <v>37</v>
      </c>
      <c r="K1974" t="s">
        <v>32</v>
      </c>
      <c r="L1974" t="s">
        <v>35</v>
      </c>
      <c r="AQ1974">
        <v>0</v>
      </c>
      <c r="AR1974" s="3">
        <f t="shared" si="90"/>
        <v>0</v>
      </c>
      <c r="AS1974" s="3">
        <f t="shared" si="91"/>
        <v>0</v>
      </c>
      <c r="AT1974" s="3" t="str">
        <f>IF(OR(Registered!AM1974&gt;0,Registered!AO1974&gt;0),(IF(Registered!E1974=0,"Size Not Specified",Registered!E1974)),"")</f>
        <v/>
      </c>
      <c r="AU1974" s="3" t="str">
        <f>IF(Registered!AE1974=0,"",IF(Registered!AE1974=1,Registered!AE1974&amp;" Bandana",Registered!AE1974&amp;" Bandanas"))</f>
        <v/>
      </c>
      <c r="AV1974" s="3">
        <f t="shared" si="92"/>
        <v>0</v>
      </c>
      <c r="AW1974" s="2" t="str">
        <f>IF(Registered!AV1974=0,"",IF(Registered!AV1974=1,Registered!AV1974&amp;" Meal",Registered!AV1974&amp;" Meals"))</f>
        <v/>
      </c>
      <c r="AX1974" s="2" t="str">
        <f>IF(Registered!AI1974=0,"",Registered!AI1974&amp;" BG")</f>
        <v/>
      </c>
      <c r="AY1974" s="2" t="str">
        <f>IF(Registered!AG1974=0,"",Registered!AG1974&amp;" DustMask")</f>
        <v/>
      </c>
    </row>
    <row r="1975" spans="1:51" customFormat="1" x14ac:dyDescent="0.25">
      <c r="A1975" t="s">
        <v>163</v>
      </c>
      <c r="B1975" t="s">
        <v>5490</v>
      </c>
      <c r="C1975" t="s">
        <v>6090</v>
      </c>
      <c r="E1975" t="s">
        <v>3541</v>
      </c>
      <c r="F1975" t="s">
        <v>261</v>
      </c>
      <c r="I1975" t="s">
        <v>5494</v>
      </c>
      <c r="J1975" t="s">
        <v>37</v>
      </c>
      <c r="K1975" t="s">
        <v>32</v>
      </c>
      <c r="L1975" t="s">
        <v>35</v>
      </c>
      <c r="Q1975">
        <v>1</v>
      </c>
      <c r="R1975">
        <v>3</v>
      </c>
      <c r="AG1975">
        <v>1</v>
      </c>
      <c r="AH1975">
        <v>1</v>
      </c>
      <c r="AO1975">
        <v>1</v>
      </c>
      <c r="AP1975">
        <v>10</v>
      </c>
      <c r="AQ1975">
        <v>14</v>
      </c>
      <c r="AR1975" s="3">
        <f t="shared" si="90"/>
        <v>0</v>
      </c>
      <c r="AS1975" s="3">
        <f t="shared" si="91"/>
        <v>1</v>
      </c>
      <c r="AT1975" s="3" t="str">
        <f>IF(OR(Registered!AM1975&gt;0,Registered!AO1975&gt;0),(IF(Registered!E1975=0,"Size Not Specified",Registered!E1975)),"")</f>
        <v>Adult Medium</v>
      </c>
      <c r="AU1975" s="3" t="str">
        <f>IF(Registered!AE1975=0,"",IF(Registered!AE1975=1,Registered!AE1975&amp;" Bandana",Registered!AE1975&amp;" Bandanas"))</f>
        <v/>
      </c>
      <c r="AV1975" s="3">
        <f t="shared" si="92"/>
        <v>0</v>
      </c>
      <c r="AW1975" s="2" t="str">
        <f>IF(Registered!AV1975=0,"",IF(Registered!AV1975=1,Registered!AV1975&amp;" Meal",Registered!AV1975&amp;" Meals"))</f>
        <v/>
      </c>
      <c r="AX1975" s="2" t="str">
        <f>IF(Registered!AI1975=0,"",Registered!AI1975&amp;" BG")</f>
        <v/>
      </c>
      <c r="AY1975" s="2" t="str">
        <f>IF(Registered!AG1975=0,"",Registered!AG1975&amp;" DustMask")</f>
        <v>1 DustMask</v>
      </c>
    </row>
    <row r="1976" spans="1:51" customFormat="1" x14ac:dyDescent="0.25">
      <c r="A1976" t="s">
        <v>79</v>
      </c>
      <c r="B1976" t="s">
        <v>483</v>
      </c>
      <c r="C1976" t="s">
        <v>6090</v>
      </c>
      <c r="G1976" t="s">
        <v>3050</v>
      </c>
      <c r="H1976" t="s">
        <v>5001</v>
      </c>
      <c r="I1976" t="s">
        <v>5003</v>
      </c>
      <c r="J1976" t="s">
        <v>37</v>
      </c>
      <c r="K1976" t="s">
        <v>32</v>
      </c>
      <c r="L1976" t="s">
        <v>35</v>
      </c>
      <c r="AQ1976">
        <v>0</v>
      </c>
      <c r="AR1976" s="3">
        <f t="shared" si="90"/>
        <v>0</v>
      </c>
      <c r="AS1976" s="3">
        <f t="shared" si="91"/>
        <v>0</v>
      </c>
      <c r="AT1976" s="3" t="str">
        <f>IF(OR(Registered!AM1976&gt;0,Registered!AO1976&gt;0),(IF(Registered!E1976=0,"Size Not Specified",Registered!E1976)),"")</f>
        <v/>
      </c>
      <c r="AU1976" s="3" t="str">
        <f>IF(Registered!AE1976=0,"",IF(Registered!AE1976=1,Registered!AE1976&amp;" Bandana",Registered!AE1976&amp;" Bandanas"))</f>
        <v/>
      </c>
      <c r="AV1976" s="3">
        <f t="shared" si="92"/>
        <v>0</v>
      </c>
      <c r="AW1976" s="2" t="str">
        <f>IF(Registered!AV1976=0,"",IF(Registered!AV1976=1,Registered!AV1976&amp;" Meal",Registered!AV1976&amp;" Meals"))</f>
        <v/>
      </c>
      <c r="AX1976" s="2" t="str">
        <f>IF(Registered!AI1976=0,"",Registered!AI1976&amp;" BG")</f>
        <v/>
      </c>
      <c r="AY1976" s="2" t="str">
        <f>IF(Registered!AG1976=0,"",Registered!AG1976&amp;" DustMask")</f>
        <v/>
      </c>
    </row>
    <row r="1977" spans="1:51" customFormat="1" x14ac:dyDescent="0.25">
      <c r="A1977" t="s">
        <v>3310</v>
      </c>
      <c r="B1977" t="s">
        <v>483</v>
      </c>
      <c r="C1977" t="s">
        <v>6090</v>
      </c>
      <c r="G1977" t="s">
        <v>2832</v>
      </c>
      <c r="H1977" t="s">
        <v>2833</v>
      </c>
      <c r="I1977" t="s">
        <v>2834</v>
      </c>
      <c r="J1977" t="s">
        <v>37</v>
      </c>
      <c r="K1977" t="s">
        <v>32</v>
      </c>
      <c r="L1977" t="s">
        <v>35</v>
      </c>
      <c r="AQ1977">
        <v>0</v>
      </c>
      <c r="AR1977" s="3">
        <f t="shared" si="90"/>
        <v>0</v>
      </c>
      <c r="AS1977" s="3">
        <f t="shared" si="91"/>
        <v>0</v>
      </c>
      <c r="AT1977" s="3" t="str">
        <f>IF(OR(Registered!AM1977&gt;0,Registered!AO1977&gt;0),(IF(Registered!E1977=0,"Size Not Specified",Registered!E1977)),"")</f>
        <v/>
      </c>
      <c r="AU1977" s="3" t="str">
        <f>IF(Registered!AE1977=0,"",IF(Registered!AE1977=1,Registered!AE1977&amp;" Bandana",Registered!AE1977&amp;" Bandanas"))</f>
        <v/>
      </c>
      <c r="AV1977" s="3">
        <f t="shared" si="92"/>
        <v>0</v>
      </c>
      <c r="AW1977" s="2" t="str">
        <f>IF(Registered!AV1977=0,"",IF(Registered!AV1977=1,Registered!AV1977&amp;" Meal",Registered!AV1977&amp;" Meals"))</f>
        <v/>
      </c>
      <c r="AX1977" s="2" t="str">
        <f>IF(Registered!AI1977=0,"",Registered!AI1977&amp;" BG")</f>
        <v/>
      </c>
      <c r="AY1977" s="2" t="str">
        <f>IF(Registered!AG1977=0,"",Registered!AG1977&amp;" DustMask")</f>
        <v/>
      </c>
    </row>
    <row r="1978" spans="1:51" customFormat="1" x14ac:dyDescent="0.25">
      <c r="A1978" t="s">
        <v>108</v>
      </c>
      <c r="B1978" t="s">
        <v>483</v>
      </c>
      <c r="C1978" t="s">
        <v>6090</v>
      </c>
      <c r="G1978" t="s">
        <v>94</v>
      </c>
      <c r="H1978" t="s">
        <v>1007</v>
      </c>
      <c r="I1978" t="s">
        <v>1009</v>
      </c>
      <c r="J1978" t="s">
        <v>37</v>
      </c>
      <c r="K1978" t="s">
        <v>32</v>
      </c>
      <c r="L1978" t="s">
        <v>35</v>
      </c>
      <c r="AQ1978">
        <v>0</v>
      </c>
      <c r="AR1978" s="3">
        <f t="shared" si="90"/>
        <v>0</v>
      </c>
      <c r="AS1978" s="3">
        <f t="shared" si="91"/>
        <v>0</v>
      </c>
      <c r="AT1978" s="3" t="str">
        <f>IF(OR(Registered!AM1978&gt;0,Registered!AO1978&gt;0),(IF(Registered!E1978=0,"Size Not Specified",Registered!E1978)),"")</f>
        <v/>
      </c>
      <c r="AU1978" s="3" t="str">
        <f>IF(Registered!AE1978=0,"",IF(Registered!AE1978=1,Registered!AE1978&amp;" Bandana",Registered!AE1978&amp;" Bandanas"))</f>
        <v/>
      </c>
      <c r="AV1978" s="3">
        <f t="shared" si="92"/>
        <v>0</v>
      </c>
      <c r="AW1978" s="2" t="str">
        <f>IF(Registered!AV1978=0,"",IF(Registered!AV1978=1,Registered!AV1978&amp;" Meal",Registered!AV1978&amp;" Meals"))</f>
        <v/>
      </c>
      <c r="AX1978" s="2" t="str">
        <f>IF(Registered!AI1978=0,"",Registered!AI1978&amp;" BG")</f>
        <v/>
      </c>
      <c r="AY1978" s="2" t="str">
        <f>IF(Registered!AG1978=0,"",Registered!AG1978&amp;" DustMask")</f>
        <v/>
      </c>
    </row>
    <row r="1979" spans="1:51" customFormat="1" x14ac:dyDescent="0.25">
      <c r="A1979" t="s">
        <v>203</v>
      </c>
      <c r="B1979" t="s">
        <v>2698</v>
      </c>
      <c r="C1979" t="s">
        <v>6090</v>
      </c>
      <c r="D1979" t="s">
        <v>3311</v>
      </c>
      <c r="F1979" t="s">
        <v>261</v>
      </c>
      <c r="I1979" t="s">
        <v>2699</v>
      </c>
      <c r="J1979" t="s">
        <v>37</v>
      </c>
      <c r="K1979" t="s">
        <v>32</v>
      </c>
      <c r="L1979" t="s">
        <v>35</v>
      </c>
      <c r="Q1979">
        <v>2</v>
      </c>
      <c r="R1979">
        <v>3</v>
      </c>
      <c r="U1979">
        <v>1</v>
      </c>
      <c r="V1979">
        <v>20</v>
      </c>
      <c r="AQ1979">
        <v>26</v>
      </c>
      <c r="AR1979" s="3">
        <f t="shared" si="90"/>
        <v>10</v>
      </c>
      <c r="AS1979" s="3">
        <f t="shared" si="91"/>
        <v>0</v>
      </c>
      <c r="AT1979" s="3" t="str">
        <f>IF(OR(Registered!AM1979&gt;0,Registered!AO1979&gt;0),(IF(Registered!E1979=0,"Size Not Specified",Registered!E1979)),"")</f>
        <v/>
      </c>
      <c r="AU1979" s="3" t="str">
        <f>IF(Registered!AE1979=0,"",IF(Registered!AE1979=1,Registered!AE1979&amp;" Bandana",Registered!AE1979&amp;" Bandanas"))</f>
        <v/>
      </c>
      <c r="AV1979" s="3">
        <f t="shared" si="92"/>
        <v>0</v>
      </c>
      <c r="AW1979" s="2" t="str">
        <f>IF(Registered!AV1979=0,"",IF(Registered!AV1979=1,Registered!AV1979&amp;" Meal",Registered!AV1979&amp;" Meals"))</f>
        <v/>
      </c>
      <c r="AX1979" s="2" t="str">
        <f>IF(Registered!AI1979=0,"",Registered!AI1979&amp;" BG")</f>
        <v/>
      </c>
      <c r="AY1979" s="2" t="str">
        <f>IF(Registered!AG1979=0,"",Registered!AG1979&amp;" DustMask")</f>
        <v/>
      </c>
    </row>
    <row r="1980" spans="1:51" customFormat="1" x14ac:dyDescent="0.25">
      <c r="A1980" t="s">
        <v>332</v>
      </c>
      <c r="B1980" t="s">
        <v>5496</v>
      </c>
      <c r="C1980" t="s">
        <v>6090</v>
      </c>
      <c r="G1980" t="s">
        <v>3548</v>
      </c>
      <c r="H1980" t="s">
        <v>5497</v>
      </c>
      <c r="I1980" t="s">
        <v>5498</v>
      </c>
      <c r="J1980" t="s">
        <v>37</v>
      </c>
      <c r="K1980" t="s">
        <v>32</v>
      </c>
      <c r="L1980" t="s">
        <v>35</v>
      </c>
      <c r="AQ1980">
        <v>0</v>
      </c>
      <c r="AR1980" s="3">
        <f t="shared" si="90"/>
        <v>0</v>
      </c>
      <c r="AS1980" s="3">
        <f t="shared" si="91"/>
        <v>0</v>
      </c>
      <c r="AT1980" s="3" t="str">
        <f>IF(OR(Registered!AM1980&gt;0,Registered!AO1980&gt;0),(IF(Registered!E1980=0,"Size Not Specified",Registered!E1980)),"")</f>
        <v/>
      </c>
      <c r="AU1980" s="3" t="str">
        <f>IF(Registered!AE1980=0,"",IF(Registered!AE1980=1,Registered!AE1980&amp;" Bandana",Registered!AE1980&amp;" Bandanas"))</f>
        <v/>
      </c>
      <c r="AV1980" s="3">
        <f t="shared" si="92"/>
        <v>0</v>
      </c>
      <c r="AW1980" s="2" t="str">
        <f>IF(Registered!AV1980=0,"",IF(Registered!AV1980=1,Registered!AV1980&amp;" Meal",Registered!AV1980&amp;" Meals"))</f>
        <v/>
      </c>
      <c r="AX1980" s="2" t="str">
        <f>IF(Registered!AI1980=0,"",Registered!AI1980&amp;" BG")</f>
        <v/>
      </c>
      <c r="AY1980" s="2" t="str">
        <f>IF(Registered!AG1980=0,"",Registered!AG1980&amp;" DustMask")</f>
        <v/>
      </c>
    </row>
    <row r="1981" spans="1:51" customFormat="1" x14ac:dyDescent="0.25">
      <c r="A1981" t="s">
        <v>3312</v>
      </c>
      <c r="B1981" t="s">
        <v>3313</v>
      </c>
      <c r="C1981" t="s">
        <v>6090</v>
      </c>
      <c r="D1981" t="s">
        <v>3314</v>
      </c>
      <c r="F1981" t="s">
        <v>261</v>
      </c>
      <c r="I1981" t="s">
        <v>3315</v>
      </c>
      <c r="J1981" t="s">
        <v>37</v>
      </c>
      <c r="K1981" t="s">
        <v>32</v>
      </c>
      <c r="L1981" t="s">
        <v>35</v>
      </c>
      <c r="Q1981">
        <v>2</v>
      </c>
      <c r="R1981">
        <v>3</v>
      </c>
      <c r="AC1981">
        <v>1</v>
      </c>
      <c r="AD1981">
        <v>10</v>
      </c>
      <c r="AK1981">
        <v>2</v>
      </c>
      <c r="AL1981">
        <v>6</v>
      </c>
      <c r="AQ1981">
        <v>28</v>
      </c>
      <c r="AR1981" s="3">
        <f t="shared" si="90"/>
        <v>5</v>
      </c>
      <c r="AS1981" s="3">
        <f t="shared" si="91"/>
        <v>0</v>
      </c>
      <c r="AT1981" s="3" t="str">
        <f>IF(OR(Registered!AM1981&gt;0,Registered!AO1981&gt;0),(IF(Registered!E1981=0,"Size Not Specified",Registered!E1981)),"")</f>
        <v/>
      </c>
      <c r="AU1981" s="3" t="str">
        <f>IF(Registered!AE1981=0,"",IF(Registered!AE1981=1,Registered!AE1981&amp;" Bandana",Registered!AE1981&amp;" Bandanas"))</f>
        <v/>
      </c>
      <c r="AV1981" s="3">
        <f t="shared" si="92"/>
        <v>2</v>
      </c>
      <c r="AW1981" s="2" t="str">
        <f>IF(Registered!AV1981=0,"",IF(Registered!AV1981=1,Registered!AV1981&amp;" Meal",Registered!AV1981&amp;" Meals"))</f>
        <v>2 Meals</v>
      </c>
      <c r="AX1981" s="2" t="str">
        <f>IF(Registered!AI1981=0,"",Registered!AI1981&amp;" BG")</f>
        <v/>
      </c>
      <c r="AY1981" s="2" t="str">
        <f>IF(Registered!AG1981=0,"",Registered!AG1981&amp;" DustMask")</f>
        <v/>
      </c>
    </row>
    <row r="1982" spans="1:51" customFormat="1" x14ac:dyDescent="0.25">
      <c r="A1982" t="s">
        <v>187</v>
      </c>
      <c r="B1982" t="s">
        <v>3316</v>
      </c>
      <c r="C1982" t="s">
        <v>6090</v>
      </c>
      <c r="G1982" t="s">
        <v>3317</v>
      </c>
      <c r="H1982" t="s">
        <v>3318</v>
      </c>
      <c r="I1982" t="s">
        <v>3319</v>
      </c>
      <c r="J1982" t="s">
        <v>37</v>
      </c>
      <c r="K1982" t="s">
        <v>32</v>
      </c>
      <c r="L1982" t="s">
        <v>35</v>
      </c>
      <c r="AQ1982">
        <v>0</v>
      </c>
      <c r="AR1982" s="3">
        <f t="shared" si="90"/>
        <v>0</v>
      </c>
      <c r="AS1982" s="3">
        <f t="shared" si="91"/>
        <v>0</v>
      </c>
      <c r="AT1982" s="3" t="str">
        <f>IF(OR(Registered!AM1982&gt;0,Registered!AO1982&gt;0),(IF(Registered!E1982=0,"Size Not Specified",Registered!E1982)),"")</f>
        <v/>
      </c>
      <c r="AU1982" s="3" t="str">
        <f>IF(Registered!AE1982=0,"",IF(Registered!AE1982=1,Registered!AE1982&amp;" Bandana",Registered!AE1982&amp;" Bandanas"))</f>
        <v/>
      </c>
      <c r="AV1982" s="3">
        <f t="shared" si="92"/>
        <v>0</v>
      </c>
      <c r="AW1982" s="2" t="str">
        <f>IF(Registered!AV1982=0,"",IF(Registered!AV1982=1,Registered!AV1982&amp;" Meal",Registered!AV1982&amp;" Meals"))</f>
        <v/>
      </c>
      <c r="AX1982" s="2" t="str">
        <f>IF(Registered!AI1982=0,"",Registered!AI1982&amp;" BG")</f>
        <v/>
      </c>
      <c r="AY1982" s="2" t="str">
        <f>IF(Registered!AG1982=0,"",Registered!AG1982&amp;" DustMask")</f>
        <v/>
      </c>
    </row>
    <row r="1983" spans="1:51" customFormat="1" x14ac:dyDescent="0.25">
      <c r="A1983" t="s">
        <v>3749</v>
      </c>
      <c r="B1983" t="s">
        <v>472</v>
      </c>
      <c r="C1983" t="s">
        <v>6090</v>
      </c>
      <c r="D1983" t="s">
        <v>5500</v>
      </c>
      <c r="F1983" t="s">
        <v>261</v>
      </c>
      <c r="I1983" t="s">
        <v>3751</v>
      </c>
      <c r="J1983" t="s">
        <v>37</v>
      </c>
      <c r="K1983" t="s">
        <v>32</v>
      </c>
      <c r="L1983" t="s">
        <v>35</v>
      </c>
      <c r="Q1983">
        <v>4</v>
      </c>
      <c r="R1983">
        <v>3</v>
      </c>
      <c r="W1983">
        <v>1</v>
      </c>
      <c r="X1983">
        <v>40</v>
      </c>
      <c r="AQ1983">
        <v>52</v>
      </c>
      <c r="AR1983" s="3">
        <f t="shared" si="90"/>
        <v>20</v>
      </c>
      <c r="AS1983" s="3">
        <f t="shared" si="91"/>
        <v>0</v>
      </c>
      <c r="AT1983" s="3" t="str">
        <f>IF(OR(Registered!AM1983&gt;0,Registered!AO1983&gt;0),(IF(Registered!E1983=0,"Size Not Specified",Registered!E1983)),"")</f>
        <v/>
      </c>
      <c r="AU1983" s="3" t="str">
        <f>IF(Registered!AE1983=0,"",IF(Registered!AE1983=1,Registered!AE1983&amp;" Bandana",Registered!AE1983&amp;" Bandanas"))</f>
        <v/>
      </c>
      <c r="AV1983" s="3">
        <f t="shared" si="92"/>
        <v>0</v>
      </c>
      <c r="AW1983" s="2" t="str">
        <f>IF(Registered!AV1983=0,"",IF(Registered!AV1983=1,Registered!AV1983&amp;" Meal",Registered!AV1983&amp;" Meals"))</f>
        <v/>
      </c>
      <c r="AX1983" s="2" t="str">
        <f>IF(Registered!AI1983=0,"",Registered!AI1983&amp;" BG")</f>
        <v/>
      </c>
      <c r="AY1983" s="2" t="str">
        <f>IF(Registered!AG1983=0,"",Registered!AG1983&amp;" DustMask")</f>
        <v/>
      </c>
    </row>
    <row r="1984" spans="1:51" customFormat="1" x14ac:dyDescent="0.25">
      <c r="A1984" t="s">
        <v>271</v>
      </c>
      <c r="B1984" t="s">
        <v>472</v>
      </c>
      <c r="C1984" t="s">
        <v>6090</v>
      </c>
      <c r="D1984" t="s">
        <v>2198</v>
      </c>
      <c r="F1984" t="s">
        <v>261</v>
      </c>
      <c r="I1984" t="s">
        <v>2199</v>
      </c>
      <c r="J1984" t="s">
        <v>37</v>
      </c>
      <c r="K1984" t="s">
        <v>32</v>
      </c>
      <c r="L1984" t="s">
        <v>35</v>
      </c>
      <c r="S1984">
        <v>1</v>
      </c>
      <c r="T1984">
        <v>3</v>
      </c>
      <c r="U1984">
        <v>1</v>
      </c>
      <c r="V1984">
        <v>20</v>
      </c>
      <c r="AQ1984">
        <v>23</v>
      </c>
      <c r="AR1984" s="3">
        <f t="shared" si="90"/>
        <v>10</v>
      </c>
      <c r="AS1984" s="3">
        <f t="shared" si="91"/>
        <v>0</v>
      </c>
      <c r="AT1984" s="3" t="str">
        <f>IF(OR(Registered!AM1984&gt;0,Registered!AO1984&gt;0),(IF(Registered!E1984=0,"Size Not Specified",Registered!E1984)),"")</f>
        <v/>
      </c>
      <c r="AU1984" s="3" t="str">
        <f>IF(Registered!AE1984=0,"",IF(Registered!AE1984=1,Registered!AE1984&amp;" Bandana",Registered!AE1984&amp;" Bandanas"))</f>
        <v/>
      </c>
      <c r="AV1984" s="3">
        <f t="shared" si="92"/>
        <v>0</v>
      </c>
      <c r="AW1984" s="2" t="str">
        <f>IF(Registered!AV1984=0,"",IF(Registered!AV1984=1,Registered!AV1984&amp;" Meal",Registered!AV1984&amp;" Meals"))</f>
        <v/>
      </c>
      <c r="AX1984" s="2" t="str">
        <f>IF(Registered!AI1984=0,"",Registered!AI1984&amp;" BG")</f>
        <v/>
      </c>
      <c r="AY1984" s="2" t="str">
        <f>IF(Registered!AG1984=0,"",Registered!AG1984&amp;" DustMask")</f>
        <v/>
      </c>
    </row>
    <row r="1985" spans="1:51" customFormat="1" x14ac:dyDescent="0.25">
      <c r="A1985" t="s">
        <v>317</v>
      </c>
      <c r="B1985" t="s">
        <v>472</v>
      </c>
      <c r="C1985" t="s">
        <v>6090</v>
      </c>
      <c r="D1985" t="s">
        <v>317</v>
      </c>
      <c r="E1985" t="s">
        <v>2200</v>
      </c>
      <c r="F1985" t="s">
        <v>261</v>
      </c>
      <c r="I1985" t="s">
        <v>2201</v>
      </c>
      <c r="J1985" t="s">
        <v>37</v>
      </c>
      <c r="K1985" t="s">
        <v>32</v>
      </c>
      <c r="L1985" t="s">
        <v>35</v>
      </c>
      <c r="S1985">
        <v>3</v>
      </c>
      <c r="T1985">
        <v>3</v>
      </c>
      <c r="AM1985">
        <v>3</v>
      </c>
      <c r="AN1985">
        <v>25</v>
      </c>
      <c r="AQ1985">
        <v>84</v>
      </c>
      <c r="AR1985" s="3">
        <f t="shared" si="90"/>
        <v>15</v>
      </c>
      <c r="AS1985" s="3">
        <f t="shared" si="91"/>
        <v>3</v>
      </c>
      <c r="AT1985" s="3" t="str">
        <f>IF(OR(Registered!AM1985&gt;0,Registered!AO1985&gt;0),(IF(Registered!E1985=0,"Size Not Specified",Registered!E1985)),"")</f>
        <v>Large, large, and medium</v>
      </c>
      <c r="AU1985" s="3" t="str">
        <f>IF(Registered!AE1985=0,"",IF(Registered!AE1985=1,Registered!AE1985&amp;" Bandana",Registered!AE1985&amp;" Bandanas"))</f>
        <v/>
      </c>
      <c r="AV1985" s="3">
        <f t="shared" si="92"/>
        <v>3</v>
      </c>
      <c r="AW1985" s="2" t="str">
        <f>IF(Registered!AV1985=0,"",IF(Registered!AV1985=1,Registered!AV1985&amp;" Meal",Registered!AV1985&amp;" Meals"))</f>
        <v>3 Meals</v>
      </c>
      <c r="AX1985" s="2" t="str">
        <f>IF(Registered!AI1985=0,"",Registered!AI1985&amp;" BG")</f>
        <v/>
      </c>
      <c r="AY1985" s="2" t="str">
        <f>IF(Registered!AG1985=0,"",Registered!AG1985&amp;" DustMask")</f>
        <v/>
      </c>
    </row>
    <row r="1986" spans="1:51" customFormat="1" x14ac:dyDescent="0.25">
      <c r="A1986" t="s">
        <v>42</v>
      </c>
      <c r="B1986" t="s">
        <v>472</v>
      </c>
      <c r="C1986" t="s">
        <v>6090</v>
      </c>
      <c r="D1986" t="s">
        <v>5501</v>
      </c>
      <c r="F1986" t="s">
        <v>261</v>
      </c>
      <c r="I1986" t="s">
        <v>5356</v>
      </c>
      <c r="J1986" t="s">
        <v>37</v>
      </c>
      <c r="K1986" t="s">
        <v>32</v>
      </c>
      <c r="L1986" t="s">
        <v>35</v>
      </c>
      <c r="Q1986">
        <v>2</v>
      </c>
      <c r="R1986">
        <v>3</v>
      </c>
      <c r="AC1986">
        <v>2</v>
      </c>
      <c r="AD1986">
        <v>10</v>
      </c>
      <c r="AQ1986">
        <v>26</v>
      </c>
      <c r="AR1986" s="3">
        <f t="shared" ref="AR1986:AR2049" si="93">IF(ISTEXT(AM1986)=TRUE,"",SUM(U1986*10,W1986*20,Y1986*30,AA1986*40,AC1986*5,AM1986*5))</f>
        <v>10</v>
      </c>
      <c r="AS1986" s="3">
        <f t="shared" ref="AS1986:AS2049" si="94">IF(ISTEXT(AM1986)=TRUE,"",SUM(AM1986,AO1986))</f>
        <v>0</v>
      </c>
      <c r="AT1986" s="3" t="str">
        <f>IF(OR(Registered!AM1986&gt;0,Registered!AO1986&gt;0),(IF(Registered!E1986=0,"Size Not Specified",Registered!E1986)),"")</f>
        <v/>
      </c>
      <c r="AU1986" s="3" t="str">
        <f>IF(Registered!AE1986=0,"",IF(Registered!AE1986=1,Registered!AE1986&amp;" Bandana",Registered!AE1986&amp;" Bandanas"))</f>
        <v/>
      </c>
      <c r="AV1986" s="3">
        <f t="shared" ref="AV1986:AV2049" si="95">IF(ISTEXT(AM1986)=TRUE,"",SUM(AM1986,AK1986))</f>
        <v>0</v>
      </c>
      <c r="AW1986" s="2" t="str">
        <f>IF(Registered!AV1986=0,"",IF(Registered!AV1986=1,Registered!AV1986&amp;" Meal",Registered!AV1986&amp;" Meals"))</f>
        <v/>
      </c>
      <c r="AX1986" s="2" t="str">
        <f>IF(Registered!AI1986=0,"",Registered!AI1986&amp;" BG")</f>
        <v/>
      </c>
      <c r="AY1986" s="2" t="str">
        <f>IF(Registered!AG1986=0,"",Registered!AG1986&amp;" DustMask")</f>
        <v/>
      </c>
    </row>
    <row r="1987" spans="1:51" customFormat="1" x14ac:dyDescent="0.25">
      <c r="A1987" t="s">
        <v>770</v>
      </c>
      <c r="B1987" t="s">
        <v>472</v>
      </c>
      <c r="C1987" t="s">
        <v>6090</v>
      </c>
      <c r="G1987" t="s">
        <v>317</v>
      </c>
      <c r="H1987" t="s">
        <v>472</v>
      </c>
      <c r="I1987" t="s">
        <v>2201</v>
      </c>
      <c r="J1987" t="s">
        <v>37</v>
      </c>
      <c r="K1987" t="s">
        <v>32</v>
      </c>
      <c r="L1987" t="s">
        <v>35</v>
      </c>
      <c r="AQ1987">
        <v>0</v>
      </c>
      <c r="AR1987" s="3">
        <f t="shared" si="93"/>
        <v>0</v>
      </c>
      <c r="AS1987" s="3">
        <f t="shared" si="94"/>
        <v>0</v>
      </c>
      <c r="AT1987" s="3" t="str">
        <f>IF(OR(Registered!AM1987&gt;0,Registered!AO1987&gt;0),(IF(Registered!E1987=0,"Size Not Specified",Registered!E1987)),"")</f>
        <v/>
      </c>
      <c r="AU1987" s="3" t="str">
        <f>IF(Registered!AE1987=0,"",IF(Registered!AE1987=1,Registered!AE1987&amp;" Bandana",Registered!AE1987&amp;" Bandanas"))</f>
        <v/>
      </c>
      <c r="AV1987" s="3">
        <f t="shared" si="95"/>
        <v>0</v>
      </c>
      <c r="AW1987" s="2" t="str">
        <f>IF(Registered!AV1987=0,"",IF(Registered!AV1987=1,Registered!AV1987&amp;" Meal",Registered!AV1987&amp;" Meals"))</f>
        <v/>
      </c>
      <c r="AX1987" s="2" t="str">
        <f>IF(Registered!AI1987=0,"",Registered!AI1987&amp;" BG")</f>
        <v/>
      </c>
      <c r="AY1987" s="2" t="str">
        <f>IF(Registered!AG1987=0,"",Registered!AG1987&amp;" DustMask")</f>
        <v/>
      </c>
    </row>
    <row r="1988" spans="1:51" customFormat="1" x14ac:dyDescent="0.25">
      <c r="A1988" t="s">
        <v>396</v>
      </c>
      <c r="B1988" t="s">
        <v>1772</v>
      </c>
      <c r="C1988" t="s">
        <v>6090</v>
      </c>
      <c r="D1988" t="s">
        <v>2202</v>
      </c>
      <c r="I1988" t="s">
        <v>1773</v>
      </c>
      <c r="J1988" t="s">
        <v>37</v>
      </c>
      <c r="K1988" t="s">
        <v>32</v>
      </c>
      <c r="L1988" t="s">
        <v>35</v>
      </c>
      <c r="O1988">
        <v>2</v>
      </c>
      <c r="P1988">
        <v>3</v>
      </c>
      <c r="U1988">
        <v>1</v>
      </c>
      <c r="V1988">
        <v>20</v>
      </c>
      <c r="AQ1988">
        <v>26</v>
      </c>
      <c r="AR1988" s="3">
        <f t="shared" si="93"/>
        <v>10</v>
      </c>
      <c r="AS1988" s="3">
        <f t="shared" si="94"/>
        <v>0</v>
      </c>
      <c r="AT1988" s="3" t="str">
        <f>IF(OR(Registered!AM1988&gt;0,Registered!AO1988&gt;0),(IF(Registered!E1988=0,"Size Not Specified",Registered!E1988)),"")</f>
        <v/>
      </c>
      <c r="AU1988" s="3" t="str">
        <f>IF(Registered!AE1988=0,"",IF(Registered!AE1988=1,Registered!AE1988&amp;" Bandana",Registered!AE1988&amp;" Bandanas"))</f>
        <v/>
      </c>
      <c r="AV1988" s="3">
        <f t="shared" si="95"/>
        <v>0</v>
      </c>
      <c r="AW1988" s="2" t="str">
        <f>IF(Registered!AV1988=0,"",IF(Registered!AV1988=1,Registered!AV1988&amp;" Meal",Registered!AV1988&amp;" Meals"))</f>
        <v/>
      </c>
      <c r="AX1988" s="2" t="str">
        <f>IF(Registered!AI1988=0,"",Registered!AI1988&amp;" BG")</f>
        <v/>
      </c>
      <c r="AY1988" s="2" t="str">
        <f>IF(Registered!AG1988=0,"",Registered!AG1988&amp;" DustMask")</f>
        <v/>
      </c>
    </row>
    <row r="1989" spans="1:51" customFormat="1" x14ac:dyDescent="0.25">
      <c r="A1989" t="s">
        <v>393</v>
      </c>
      <c r="B1989" t="s">
        <v>5502</v>
      </c>
      <c r="C1989" t="s">
        <v>6090</v>
      </c>
      <c r="D1989" t="s">
        <v>5503</v>
      </c>
      <c r="F1989" t="s">
        <v>261</v>
      </c>
      <c r="I1989" t="s">
        <v>5504</v>
      </c>
      <c r="J1989" t="s">
        <v>37</v>
      </c>
      <c r="K1989" t="s">
        <v>32</v>
      </c>
      <c r="L1989" t="s">
        <v>35</v>
      </c>
      <c r="Q1989">
        <v>1</v>
      </c>
      <c r="R1989">
        <v>3</v>
      </c>
      <c r="AA1989">
        <v>1</v>
      </c>
      <c r="AB1989">
        <v>75</v>
      </c>
      <c r="AE1989">
        <v>1</v>
      </c>
      <c r="AF1989">
        <v>6</v>
      </c>
      <c r="AQ1989">
        <v>84</v>
      </c>
      <c r="AR1989" s="3">
        <f t="shared" si="93"/>
        <v>40</v>
      </c>
      <c r="AS1989" s="3">
        <f t="shared" si="94"/>
        <v>0</v>
      </c>
      <c r="AT1989" s="3" t="str">
        <f>IF(OR(Registered!AM1989&gt;0,Registered!AO1989&gt;0),(IF(Registered!E1989=0,"Size Not Specified",Registered!E1989)),"")</f>
        <v/>
      </c>
      <c r="AU1989" s="3" t="str">
        <f>IF(Registered!AE1989=0,"",IF(Registered!AE1989=1,Registered!AE1989&amp;" Bandana",Registered!AE1989&amp;" Bandanas"))</f>
        <v>1 Bandana</v>
      </c>
      <c r="AV1989" s="3">
        <f t="shared" si="95"/>
        <v>0</v>
      </c>
      <c r="AW1989" s="2" t="str">
        <f>IF(Registered!AV1989=0,"",IF(Registered!AV1989=1,Registered!AV1989&amp;" Meal",Registered!AV1989&amp;" Meals"))</f>
        <v/>
      </c>
      <c r="AX1989" s="2" t="str">
        <f>IF(Registered!AI1989=0,"",Registered!AI1989&amp;" BG")</f>
        <v/>
      </c>
      <c r="AY1989" s="2" t="str">
        <f>IF(Registered!AG1989=0,"",Registered!AG1989&amp;" DustMask")</f>
        <v/>
      </c>
    </row>
    <row r="1990" spans="1:51" customFormat="1" x14ac:dyDescent="0.25">
      <c r="A1990" t="s">
        <v>5505</v>
      </c>
      <c r="B1990" t="s">
        <v>5506</v>
      </c>
      <c r="C1990" t="s">
        <v>6090</v>
      </c>
      <c r="G1990" t="s">
        <v>137</v>
      </c>
      <c r="H1990" t="s">
        <v>3818</v>
      </c>
      <c r="I1990" t="s">
        <v>3823</v>
      </c>
      <c r="J1990" t="s">
        <v>37</v>
      </c>
      <c r="K1990" t="s">
        <v>32</v>
      </c>
      <c r="L1990" t="s">
        <v>35</v>
      </c>
      <c r="AQ1990">
        <v>0</v>
      </c>
      <c r="AR1990" s="3">
        <f t="shared" si="93"/>
        <v>0</v>
      </c>
      <c r="AS1990" s="3">
        <f t="shared" si="94"/>
        <v>0</v>
      </c>
      <c r="AT1990" s="3" t="str">
        <f>IF(OR(Registered!AM1990&gt;0,Registered!AO1990&gt;0),(IF(Registered!E1990=0,"Size Not Specified",Registered!E1990)),"")</f>
        <v/>
      </c>
      <c r="AU1990" s="3" t="str">
        <f>IF(Registered!AE1990=0,"",IF(Registered!AE1990=1,Registered!AE1990&amp;" Bandana",Registered!AE1990&amp;" Bandanas"))</f>
        <v/>
      </c>
      <c r="AV1990" s="3">
        <f t="shared" si="95"/>
        <v>0</v>
      </c>
      <c r="AW1990" s="2" t="str">
        <f>IF(Registered!AV1990=0,"",IF(Registered!AV1990=1,Registered!AV1990&amp;" Meal",Registered!AV1990&amp;" Meals"))</f>
        <v/>
      </c>
      <c r="AX1990" s="2" t="str">
        <f>IF(Registered!AI1990=0,"",Registered!AI1990&amp;" BG")</f>
        <v/>
      </c>
      <c r="AY1990" s="2" t="str">
        <f>IF(Registered!AG1990=0,"",Registered!AG1990&amp;" DustMask")</f>
        <v/>
      </c>
    </row>
    <row r="1991" spans="1:51" customFormat="1" x14ac:dyDescent="0.25">
      <c r="A1991" t="s">
        <v>111</v>
      </c>
      <c r="B1991" t="s">
        <v>2203</v>
      </c>
      <c r="C1991" t="s">
        <v>6090</v>
      </c>
      <c r="G1991" t="s">
        <v>141</v>
      </c>
      <c r="H1991" t="s">
        <v>843</v>
      </c>
      <c r="I1991" t="s">
        <v>844</v>
      </c>
      <c r="J1991" t="s">
        <v>37</v>
      </c>
      <c r="K1991" t="s">
        <v>32</v>
      </c>
      <c r="L1991" t="s">
        <v>35</v>
      </c>
      <c r="AQ1991">
        <v>0</v>
      </c>
      <c r="AR1991" s="3">
        <f t="shared" si="93"/>
        <v>0</v>
      </c>
      <c r="AS1991" s="3">
        <f t="shared" si="94"/>
        <v>0</v>
      </c>
      <c r="AT1991" s="3" t="str">
        <f>IF(OR(Registered!AM1991&gt;0,Registered!AO1991&gt;0),(IF(Registered!E1991=0,"Size Not Specified",Registered!E1991)),"")</f>
        <v/>
      </c>
      <c r="AU1991" s="3" t="str">
        <f>IF(Registered!AE1991=0,"",IF(Registered!AE1991=1,Registered!AE1991&amp;" Bandana",Registered!AE1991&amp;" Bandanas"))</f>
        <v/>
      </c>
      <c r="AV1991" s="3">
        <f t="shared" si="95"/>
        <v>0</v>
      </c>
      <c r="AW1991" s="2" t="str">
        <f>IF(Registered!AV1991=0,"",IF(Registered!AV1991=1,Registered!AV1991&amp;" Meal",Registered!AV1991&amp;" Meals"))</f>
        <v/>
      </c>
      <c r="AX1991" s="2" t="str">
        <f>IF(Registered!AI1991=0,"",Registered!AI1991&amp;" BG")</f>
        <v/>
      </c>
      <c r="AY1991" s="2" t="str">
        <f>IF(Registered!AG1991=0,"",Registered!AG1991&amp;" DustMask")</f>
        <v/>
      </c>
    </row>
    <row r="1992" spans="1:51" customFormat="1" x14ac:dyDescent="0.25">
      <c r="A1992" t="s">
        <v>398</v>
      </c>
      <c r="B1992" t="s">
        <v>2204</v>
      </c>
      <c r="C1992" t="s">
        <v>6090</v>
      </c>
      <c r="D1992" t="s">
        <v>2205</v>
      </c>
      <c r="E1992" t="s">
        <v>65</v>
      </c>
      <c r="F1992" t="s">
        <v>261</v>
      </c>
      <c r="I1992" t="s">
        <v>2206</v>
      </c>
      <c r="J1992" t="s">
        <v>37</v>
      </c>
      <c r="K1992" t="s">
        <v>32</v>
      </c>
      <c r="L1992" t="s">
        <v>35</v>
      </c>
      <c r="S1992">
        <v>1</v>
      </c>
      <c r="T1992">
        <v>3</v>
      </c>
      <c r="AM1992">
        <v>1</v>
      </c>
      <c r="AN1992">
        <v>25</v>
      </c>
      <c r="AQ1992">
        <v>28</v>
      </c>
      <c r="AR1992" s="3">
        <f t="shared" si="93"/>
        <v>5</v>
      </c>
      <c r="AS1992" s="3">
        <f t="shared" si="94"/>
        <v>1</v>
      </c>
      <c r="AT1992" s="3" t="str">
        <f>IF(OR(Registered!AM1992&gt;0,Registered!AO1992&gt;0),(IF(Registered!E1992=0,"Size Not Specified",Registered!E1992)),"")</f>
        <v>Medium</v>
      </c>
      <c r="AU1992" s="3" t="str">
        <f>IF(Registered!AE1992=0,"",IF(Registered!AE1992=1,Registered!AE1992&amp;" Bandana",Registered!AE1992&amp;" Bandanas"))</f>
        <v/>
      </c>
      <c r="AV1992" s="3">
        <f t="shared" si="95"/>
        <v>1</v>
      </c>
      <c r="AW1992" s="2" t="str">
        <f>IF(Registered!AV1992=0,"",IF(Registered!AV1992=1,Registered!AV1992&amp;" Meal",Registered!AV1992&amp;" Meals"))</f>
        <v>1 Meal</v>
      </c>
      <c r="AX1992" s="2" t="str">
        <f>IF(Registered!AI1992=0,"",Registered!AI1992&amp;" BG")</f>
        <v/>
      </c>
      <c r="AY1992" s="2" t="str">
        <f>IF(Registered!AG1992=0,"",Registered!AG1992&amp;" DustMask")</f>
        <v/>
      </c>
    </row>
    <row r="1993" spans="1:51" customFormat="1" x14ac:dyDescent="0.25">
      <c r="A1993" t="s">
        <v>5024</v>
      </c>
      <c r="B1993" t="s">
        <v>5025</v>
      </c>
      <c r="C1993" t="s">
        <v>6090</v>
      </c>
      <c r="D1993" t="s">
        <v>5507</v>
      </c>
      <c r="E1993" t="s">
        <v>5508</v>
      </c>
      <c r="F1993" t="s">
        <v>261</v>
      </c>
      <c r="I1993" t="s">
        <v>5026</v>
      </c>
      <c r="J1993" t="s">
        <v>37</v>
      </c>
      <c r="K1993" t="s">
        <v>32</v>
      </c>
      <c r="L1993" t="s">
        <v>35</v>
      </c>
      <c r="Q1993">
        <v>2</v>
      </c>
      <c r="R1993">
        <v>3</v>
      </c>
      <c r="AM1993">
        <v>2</v>
      </c>
      <c r="AN1993">
        <v>25</v>
      </c>
      <c r="AQ1993">
        <v>56</v>
      </c>
      <c r="AR1993" s="3">
        <f t="shared" si="93"/>
        <v>10</v>
      </c>
      <c r="AS1993" s="3">
        <f t="shared" si="94"/>
        <v>2</v>
      </c>
      <c r="AT1993" s="3" t="str">
        <f>IF(OR(Registered!AM1993&gt;0,Registered!AO1993&gt;0),(IF(Registered!E1993=0,"Size Not Specified",Registered!E1993)),"")</f>
        <v>2, XL T-Shirts</v>
      </c>
      <c r="AU1993" s="3" t="str">
        <f>IF(Registered!AE1993=0,"",IF(Registered!AE1993=1,Registered!AE1993&amp;" Bandana",Registered!AE1993&amp;" Bandanas"))</f>
        <v/>
      </c>
      <c r="AV1993" s="3">
        <f t="shared" si="95"/>
        <v>2</v>
      </c>
      <c r="AW1993" s="2" t="str">
        <f>IF(Registered!AV1993=0,"",IF(Registered!AV1993=1,Registered!AV1993&amp;" Meal",Registered!AV1993&amp;" Meals"))</f>
        <v>2 Meals</v>
      </c>
      <c r="AX1993" s="2" t="str">
        <f>IF(Registered!AI1993=0,"",Registered!AI1993&amp;" BG")</f>
        <v/>
      </c>
      <c r="AY1993" s="2" t="str">
        <f>IF(Registered!AG1993=0,"",Registered!AG1993&amp;" DustMask")</f>
        <v/>
      </c>
    </row>
    <row r="1994" spans="1:51" customFormat="1" x14ac:dyDescent="0.25">
      <c r="A1994" t="s">
        <v>222</v>
      </c>
      <c r="B1994" t="s">
        <v>3320</v>
      </c>
      <c r="C1994" t="s">
        <v>6090</v>
      </c>
      <c r="D1994" t="s">
        <v>3321</v>
      </c>
      <c r="F1994" t="s">
        <v>261</v>
      </c>
      <c r="I1994" t="s">
        <v>3322</v>
      </c>
      <c r="J1994" t="s">
        <v>37</v>
      </c>
      <c r="K1994" t="s">
        <v>32</v>
      </c>
      <c r="L1994" t="s">
        <v>35</v>
      </c>
      <c r="Q1994">
        <v>3</v>
      </c>
      <c r="R1994">
        <v>3</v>
      </c>
      <c r="AC1994">
        <v>1</v>
      </c>
      <c r="AD1994">
        <v>10</v>
      </c>
      <c r="AQ1994">
        <v>19</v>
      </c>
      <c r="AR1994" s="3">
        <f t="shared" si="93"/>
        <v>5</v>
      </c>
      <c r="AS1994" s="3">
        <f t="shared" si="94"/>
        <v>0</v>
      </c>
      <c r="AT1994" s="3" t="str">
        <f>IF(OR(Registered!AM1994&gt;0,Registered!AO1994&gt;0),(IF(Registered!E1994=0,"Size Not Specified",Registered!E1994)),"")</f>
        <v/>
      </c>
      <c r="AU1994" s="3" t="str">
        <f>IF(Registered!AE1994=0,"",IF(Registered!AE1994=1,Registered!AE1994&amp;" Bandana",Registered!AE1994&amp;" Bandanas"))</f>
        <v/>
      </c>
      <c r="AV1994" s="3">
        <f t="shared" si="95"/>
        <v>0</v>
      </c>
      <c r="AW1994" s="2" t="str">
        <f>IF(Registered!AV1994=0,"",IF(Registered!AV1994=1,Registered!AV1994&amp;" Meal",Registered!AV1994&amp;" Meals"))</f>
        <v/>
      </c>
      <c r="AX1994" s="2" t="str">
        <f>IF(Registered!AI1994=0,"",Registered!AI1994&amp;" BG")</f>
        <v/>
      </c>
      <c r="AY1994" s="2" t="str">
        <f>IF(Registered!AG1994=0,"",Registered!AG1994&amp;" DustMask")</f>
        <v/>
      </c>
    </row>
    <row r="1995" spans="1:51" customFormat="1" x14ac:dyDescent="0.25">
      <c r="A1995" t="s">
        <v>3323</v>
      </c>
      <c r="B1995" t="s">
        <v>3320</v>
      </c>
      <c r="C1995" t="s">
        <v>6090</v>
      </c>
      <c r="G1995" t="s">
        <v>222</v>
      </c>
      <c r="H1995" t="s">
        <v>3320</v>
      </c>
      <c r="I1995" t="s">
        <v>3322</v>
      </c>
      <c r="J1995" t="s">
        <v>37</v>
      </c>
      <c r="K1995" t="s">
        <v>32</v>
      </c>
      <c r="L1995" t="s">
        <v>35</v>
      </c>
      <c r="AQ1995">
        <v>0</v>
      </c>
      <c r="AR1995" s="3">
        <f t="shared" si="93"/>
        <v>0</v>
      </c>
      <c r="AS1995" s="3">
        <f t="shared" si="94"/>
        <v>0</v>
      </c>
      <c r="AT1995" s="3" t="str">
        <f>IF(OR(Registered!AM1995&gt;0,Registered!AO1995&gt;0),(IF(Registered!E1995=0,"Size Not Specified",Registered!E1995)),"")</f>
        <v/>
      </c>
      <c r="AU1995" s="3" t="str">
        <f>IF(Registered!AE1995=0,"",IF(Registered!AE1995=1,Registered!AE1995&amp;" Bandana",Registered!AE1995&amp;" Bandanas"))</f>
        <v/>
      </c>
      <c r="AV1995" s="3">
        <f t="shared" si="95"/>
        <v>0</v>
      </c>
      <c r="AW1995" s="2" t="str">
        <f>IF(Registered!AV1995=0,"",IF(Registered!AV1995=1,Registered!AV1995&amp;" Meal",Registered!AV1995&amp;" Meals"))</f>
        <v/>
      </c>
      <c r="AX1995" s="2" t="str">
        <f>IF(Registered!AI1995=0,"",Registered!AI1995&amp;" BG")</f>
        <v/>
      </c>
      <c r="AY1995" s="2" t="str">
        <f>IF(Registered!AG1995=0,"",Registered!AG1995&amp;" DustMask")</f>
        <v/>
      </c>
    </row>
    <row r="1996" spans="1:51" customFormat="1" x14ac:dyDescent="0.25">
      <c r="A1996" t="s">
        <v>5509</v>
      </c>
      <c r="B1996" t="s">
        <v>5510</v>
      </c>
      <c r="C1996" t="s">
        <v>6090</v>
      </c>
      <c r="F1996" t="s">
        <v>261</v>
      </c>
      <c r="I1996" t="s">
        <v>5511</v>
      </c>
      <c r="J1996" t="s">
        <v>37</v>
      </c>
      <c r="K1996" t="s">
        <v>32</v>
      </c>
      <c r="L1996" t="s">
        <v>35</v>
      </c>
      <c r="Q1996">
        <v>1</v>
      </c>
      <c r="R1996">
        <v>3</v>
      </c>
      <c r="AC1996">
        <v>1</v>
      </c>
      <c r="AD1996">
        <v>10</v>
      </c>
      <c r="AQ1996">
        <v>13</v>
      </c>
      <c r="AR1996" s="3">
        <f t="shared" si="93"/>
        <v>5</v>
      </c>
      <c r="AS1996" s="3">
        <f t="shared" si="94"/>
        <v>0</v>
      </c>
      <c r="AT1996" s="3" t="str">
        <f>IF(OR(Registered!AM1996&gt;0,Registered!AO1996&gt;0),(IF(Registered!E1996=0,"Size Not Specified",Registered!E1996)),"")</f>
        <v/>
      </c>
      <c r="AU1996" s="3" t="str">
        <f>IF(Registered!AE1996=0,"",IF(Registered!AE1996=1,Registered!AE1996&amp;" Bandana",Registered!AE1996&amp;" Bandanas"))</f>
        <v/>
      </c>
      <c r="AV1996" s="3">
        <f t="shared" si="95"/>
        <v>0</v>
      </c>
      <c r="AW1996" s="2" t="str">
        <f>IF(Registered!AV1996=0,"",IF(Registered!AV1996=1,Registered!AV1996&amp;" Meal",Registered!AV1996&amp;" Meals"))</f>
        <v/>
      </c>
      <c r="AX1996" s="2" t="str">
        <f>IF(Registered!AI1996=0,"",Registered!AI1996&amp;" BG")</f>
        <v/>
      </c>
      <c r="AY1996" s="2" t="str">
        <f>IF(Registered!AG1996=0,"",Registered!AG1996&amp;" DustMask")</f>
        <v/>
      </c>
    </row>
    <row r="1997" spans="1:51" customFormat="1" x14ac:dyDescent="0.25">
      <c r="A1997" t="s">
        <v>1133</v>
      </c>
      <c r="B1997" t="s">
        <v>1134</v>
      </c>
      <c r="C1997" t="s">
        <v>6090</v>
      </c>
      <c r="D1997" t="s">
        <v>2207</v>
      </c>
      <c r="E1997" t="s">
        <v>2208</v>
      </c>
      <c r="I1997" t="s">
        <v>1135</v>
      </c>
      <c r="J1997" t="s">
        <v>37</v>
      </c>
      <c r="K1997" t="s">
        <v>32</v>
      </c>
      <c r="L1997" t="s">
        <v>35</v>
      </c>
      <c r="O1997">
        <v>2</v>
      </c>
      <c r="P1997">
        <v>3</v>
      </c>
      <c r="AM1997">
        <v>2</v>
      </c>
      <c r="AN1997">
        <v>25</v>
      </c>
      <c r="AQ1997">
        <v>56</v>
      </c>
      <c r="AR1997" s="3">
        <f t="shared" si="93"/>
        <v>10</v>
      </c>
      <c r="AS1997" s="3">
        <f t="shared" si="94"/>
        <v>2</v>
      </c>
      <c r="AT1997" s="3" t="str">
        <f>IF(OR(Registered!AM1997&gt;0,Registered!AO1997&gt;0),(IF(Registered!E1997=0,"Size Not Specified",Registered!E1997)),"")</f>
        <v>1 Small and 1 Large</v>
      </c>
      <c r="AU1997" s="3" t="str">
        <f>IF(Registered!AE1997=0,"",IF(Registered!AE1997=1,Registered!AE1997&amp;" Bandana",Registered!AE1997&amp;" Bandanas"))</f>
        <v/>
      </c>
      <c r="AV1997" s="3">
        <f t="shared" si="95"/>
        <v>2</v>
      </c>
      <c r="AW1997" s="2" t="str">
        <f>IF(Registered!AV1997=0,"",IF(Registered!AV1997=1,Registered!AV1997&amp;" Meal",Registered!AV1997&amp;" Meals"))</f>
        <v>2 Meals</v>
      </c>
      <c r="AX1997" s="2" t="str">
        <f>IF(Registered!AI1997=0,"",Registered!AI1997&amp;" BG")</f>
        <v/>
      </c>
      <c r="AY1997" s="2" t="str">
        <f>IF(Registered!AG1997=0,"",Registered!AG1997&amp;" DustMask")</f>
        <v/>
      </c>
    </row>
    <row r="1998" spans="1:51" customFormat="1" x14ac:dyDescent="0.25">
      <c r="A1998" t="s">
        <v>2161</v>
      </c>
      <c r="B1998" t="s">
        <v>2162</v>
      </c>
      <c r="C1998" t="s">
        <v>6090</v>
      </c>
      <c r="D1998" t="s">
        <v>2209</v>
      </c>
      <c r="E1998" t="s">
        <v>686</v>
      </c>
      <c r="F1998" t="s">
        <v>261</v>
      </c>
      <c r="I1998" t="s">
        <v>2163</v>
      </c>
      <c r="J1998" t="s">
        <v>37</v>
      </c>
      <c r="K1998" t="s">
        <v>32</v>
      </c>
      <c r="L1998" t="s">
        <v>35</v>
      </c>
      <c r="S1998">
        <v>2</v>
      </c>
      <c r="T1998">
        <v>3</v>
      </c>
      <c r="AC1998">
        <v>2</v>
      </c>
      <c r="AD1998">
        <v>10</v>
      </c>
      <c r="AK1998">
        <v>2</v>
      </c>
      <c r="AL1998">
        <v>6</v>
      </c>
      <c r="AQ1998">
        <v>38</v>
      </c>
      <c r="AR1998" s="3">
        <f t="shared" si="93"/>
        <v>10</v>
      </c>
      <c r="AS1998" s="3">
        <f t="shared" si="94"/>
        <v>0</v>
      </c>
      <c r="AT1998" s="3" t="str">
        <f>IF(OR(Registered!AM1998&gt;0,Registered!AO1998&gt;0),(IF(Registered!E1998=0,"Size Not Specified",Registered!E1998)),"")</f>
        <v/>
      </c>
      <c r="AU1998" s="3" t="str">
        <f>IF(Registered!AE1998=0,"",IF(Registered!AE1998=1,Registered!AE1998&amp;" Bandana",Registered!AE1998&amp;" Bandanas"))</f>
        <v/>
      </c>
      <c r="AV1998" s="3">
        <f t="shared" si="95"/>
        <v>2</v>
      </c>
      <c r="AW1998" s="2" t="str">
        <f>IF(Registered!AV1998=0,"",IF(Registered!AV1998=1,Registered!AV1998&amp;" Meal",Registered!AV1998&amp;" Meals"))</f>
        <v>2 Meals</v>
      </c>
      <c r="AX1998" s="2" t="str">
        <f>IF(Registered!AI1998=0,"",Registered!AI1998&amp;" BG")</f>
        <v/>
      </c>
      <c r="AY1998" s="2" t="str">
        <f>IF(Registered!AG1998=0,"",Registered!AG1998&amp;" DustMask")</f>
        <v/>
      </c>
    </row>
    <row r="1999" spans="1:51" customFormat="1" x14ac:dyDescent="0.25">
      <c r="A1999" t="s">
        <v>390</v>
      </c>
      <c r="B1999" t="s">
        <v>5512</v>
      </c>
      <c r="C1999" t="s">
        <v>6090</v>
      </c>
      <c r="G1999" t="s">
        <v>936</v>
      </c>
      <c r="H1999" t="s">
        <v>2102</v>
      </c>
      <c r="I1999" t="s">
        <v>5379</v>
      </c>
      <c r="J1999" t="s">
        <v>37</v>
      </c>
      <c r="K1999" t="s">
        <v>32</v>
      </c>
      <c r="L1999" t="s">
        <v>35</v>
      </c>
      <c r="AQ1999">
        <v>0</v>
      </c>
      <c r="AR1999" s="3">
        <f t="shared" si="93"/>
        <v>0</v>
      </c>
      <c r="AS1999" s="3">
        <f t="shared" si="94"/>
        <v>0</v>
      </c>
      <c r="AT1999" s="3" t="str">
        <f>IF(OR(Registered!AM1999&gt;0,Registered!AO1999&gt;0),(IF(Registered!E1999=0,"Size Not Specified",Registered!E1999)),"")</f>
        <v/>
      </c>
      <c r="AU1999" s="3" t="str">
        <f>IF(Registered!AE1999=0,"",IF(Registered!AE1999=1,Registered!AE1999&amp;" Bandana",Registered!AE1999&amp;" Bandanas"))</f>
        <v/>
      </c>
      <c r="AV1999" s="3">
        <f t="shared" si="95"/>
        <v>0</v>
      </c>
      <c r="AW1999" s="2" t="str">
        <f>IF(Registered!AV1999=0,"",IF(Registered!AV1999=1,Registered!AV1999&amp;" Meal",Registered!AV1999&amp;" Meals"))</f>
        <v/>
      </c>
      <c r="AX1999" s="2" t="str">
        <f>IF(Registered!AI1999=0,"",Registered!AI1999&amp;" BG")</f>
        <v/>
      </c>
      <c r="AY1999" s="2" t="str">
        <f>IF(Registered!AG1999=0,"",Registered!AG1999&amp;" DustMask")</f>
        <v/>
      </c>
    </row>
    <row r="2000" spans="1:51" customFormat="1" x14ac:dyDescent="0.25">
      <c r="A2000" t="s">
        <v>2210</v>
      </c>
      <c r="B2000" t="s">
        <v>2211</v>
      </c>
      <c r="C2000" t="s">
        <v>6090</v>
      </c>
      <c r="G2000" t="s">
        <v>487</v>
      </c>
      <c r="H2000" t="s">
        <v>733</v>
      </c>
      <c r="I2000" t="s">
        <v>734</v>
      </c>
      <c r="J2000" t="s">
        <v>37</v>
      </c>
      <c r="K2000" t="s">
        <v>32</v>
      </c>
      <c r="L2000" t="s">
        <v>35</v>
      </c>
      <c r="AQ2000">
        <v>0</v>
      </c>
      <c r="AR2000" s="3">
        <f t="shared" si="93"/>
        <v>0</v>
      </c>
      <c r="AS2000" s="3">
        <f t="shared" si="94"/>
        <v>0</v>
      </c>
      <c r="AT2000" s="3" t="str">
        <f>IF(OR(Registered!AM2000&gt;0,Registered!AO2000&gt;0),(IF(Registered!E2000=0,"Size Not Specified",Registered!E2000)),"")</f>
        <v/>
      </c>
      <c r="AU2000" s="3" t="str">
        <f>IF(Registered!AE2000=0,"",IF(Registered!AE2000=1,Registered!AE2000&amp;" Bandana",Registered!AE2000&amp;" Bandanas"))</f>
        <v/>
      </c>
      <c r="AV2000" s="3">
        <f t="shared" si="95"/>
        <v>0</v>
      </c>
      <c r="AW2000" s="2" t="str">
        <f>IF(Registered!AV2000=0,"",IF(Registered!AV2000=1,Registered!AV2000&amp;" Meal",Registered!AV2000&amp;" Meals"))</f>
        <v/>
      </c>
      <c r="AX2000" s="2" t="str">
        <f>IF(Registered!AI2000=0,"",Registered!AI2000&amp;" BG")</f>
        <v/>
      </c>
      <c r="AY2000" s="2" t="str">
        <f>IF(Registered!AG2000=0,"",Registered!AG2000&amp;" DustMask")</f>
        <v/>
      </c>
    </row>
    <row r="2001" spans="1:51" customFormat="1" x14ac:dyDescent="0.25">
      <c r="A2001" t="s">
        <v>205</v>
      </c>
      <c r="B2001" t="s">
        <v>5513</v>
      </c>
      <c r="C2001" t="s">
        <v>6090</v>
      </c>
      <c r="F2001" t="s">
        <v>261</v>
      </c>
      <c r="I2001" t="s">
        <v>5514</v>
      </c>
      <c r="J2001" t="s">
        <v>37</v>
      </c>
      <c r="K2001" t="s">
        <v>32</v>
      </c>
      <c r="L2001" t="s">
        <v>35</v>
      </c>
      <c r="Q2001">
        <v>1</v>
      </c>
      <c r="R2001">
        <v>3</v>
      </c>
      <c r="AC2001">
        <v>1</v>
      </c>
      <c r="AD2001">
        <v>10</v>
      </c>
      <c r="AQ2001">
        <v>13</v>
      </c>
      <c r="AR2001" s="3">
        <f t="shared" si="93"/>
        <v>5</v>
      </c>
      <c r="AS2001" s="3">
        <f t="shared" si="94"/>
        <v>0</v>
      </c>
      <c r="AT2001" s="3" t="str">
        <f>IF(OR(Registered!AM2001&gt;0,Registered!AO2001&gt;0),(IF(Registered!E2001=0,"Size Not Specified",Registered!E2001)),"")</f>
        <v/>
      </c>
      <c r="AU2001" s="3" t="str">
        <f>IF(Registered!AE2001=0,"",IF(Registered!AE2001=1,Registered!AE2001&amp;" Bandana",Registered!AE2001&amp;" Bandanas"))</f>
        <v/>
      </c>
      <c r="AV2001" s="3">
        <f t="shared" si="95"/>
        <v>0</v>
      </c>
      <c r="AW2001" s="2" t="str">
        <f>IF(Registered!AV2001=0,"",IF(Registered!AV2001=1,Registered!AV2001&amp;" Meal",Registered!AV2001&amp;" Meals"))</f>
        <v/>
      </c>
      <c r="AX2001" s="2" t="str">
        <f>IF(Registered!AI2001=0,"",Registered!AI2001&amp;" BG")</f>
        <v/>
      </c>
      <c r="AY2001" s="2" t="str">
        <f>IF(Registered!AG2001=0,"",Registered!AG2001&amp;" DustMask")</f>
        <v/>
      </c>
    </row>
    <row r="2002" spans="1:51" customFormat="1" x14ac:dyDescent="0.25">
      <c r="A2002" t="s">
        <v>199</v>
      </c>
      <c r="B2002" t="s">
        <v>2212</v>
      </c>
      <c r="C2002" t="s">
        <v>6090</v>
      </c>
      <c r="D2002" t="s">
        <v>199</v>
      </c>
      <c r="I2002" t="s">
        <v>2213</v>
      </c>
      <c r="J2002" t="s">
        <v>37</v>
      </c>
      <c r="K2002" t="s">
        <v>32</v>
      </c>
      <c r="L2002" t="s">
        <v>35</v>
      </c>
      <c r="S2002">
        <v>2</v>
      </c>
      <c r="T2002">
        <v>3</v>
      </c>
      <c r="U2002">
        <v>1</v>
      </c>
      <c r="V2002">
        <v>20</v>
      </c>
      <c r="AE2002">
        <v>2</v>
      </c>
      <c r="AF2002">
        <v>6</v>
      </c>
      <c r="AK2002">
        <v>2</v>
      </c>
      <c r="AL2002">
        <v>6</v>
      </c>
      <c r="AQ2002">
        <v>50</v>
      </c>
      <c r="AR2002" s="3">
        <f t="shared" si="93"/>
        <v>10</v>
      </c>
      <c r="AS2002" s="3">
        <f t="shared" si="94"/>
        <v>0</v>
      </c>
      <c r="AT2002" s="3" t="str">
        <f>IF(OR(Registered!AM2002&gt;0,Registered!AO2002&gt;0),(IF(Registered!E2002=0,"Size Not Specified",Registered!E2002)),"")</f>
        <v/>
      </c>
      <c r="AU2002" s="3" t="str">
        <f>IF(Registered!AE2002=0,"",IF(Registered!AE2002=1,Registered!AE2002&amp;" Bandana",Registered!AE2002&amp;" Bandanas"))</f>
        <v>2 Bandanas</v>
      </c>
      <c r="AV2002" s="3">
        <f t="shared" si="95"/>
        <v>2</v>
      </c>
      <c r="AW2002" s="2" t="str">
        <f>IF(Registered!AV2002=0,"",IF(Registered!AV2002=1,Registered!AV2002&amp;" Meal",Registered!AV2002&amp;" Meals"))</f>
        <v>2 Meals</v>
      </c>
      <c r="AX2002" s="2" t="str">
        <f>IF(Registered!AI2002=0,"",Registered!AI2002&amp;" BG")</f>
        <v/>
      </c>
      <c r="AY2002" s="2" t="str">
        <f>IF(Registered!AG2002=0,"",Registered!AG2002&amp;" DustMask")</f>
        <v/>
      </c>
    </row>
    <row r="2003" spans="1:51" customFormat="1" x14ac:dyDescent="0.25">
      <c r="A2003" t="s">
        <v>5518</v>
      </c>
      <c r="B2003" t="s">
        <v>5519</v>
      </c>
      <c r="C2003" t="s">
        <v>6090</v>
      </c>
      <c r="G2003" t="s">
        <v>3643</v>
      </c>
      <c r="H2003" t="s">
        <v>391</v>
      </c>
      <c r="I2003" t="s">
        <v>3644</v>
      </c>
      <c r="J2003" t="s">
        <v>37</v>
      </c>
      <c r="K2003" t="s">
        <v>32</v>
      </c>
      <c r="L2003" t="s">
        <v>35</v>
      </c>
      <c r="AQ2003">
        <v>0</v>
      </c>
      <c r="AR2003" s="3">
        <f t="shared" si="93"/>
        <v>0</v>
      </c>
      <c r="AS2003" s="3">
        <f t="shared" si="94"/>
        <v>0</v>
      </c>
      <c r="AT2003" s="3" t="str">
        <f>IF(OR(Registered!AM2003&gt;0,Registered!AO2003&gt;0),(IF(Registered!E2003=0,"Size Not Specified",Registered!E2003)),"")</f>
        <v/>
      </c>
      <c r="AU2003" s="3" t="str">
        <f>IF(Registered!AE2003=0,"",IF(Registered!AE2003=1,Registered!AE2003&amp;" Bandana",Registered!AE2003&amp;" Bandanas"))</f>
        <v/>
      </c>
      <c r="AV2003" s="3">
        <f t="shared" si="95"/>
        <v>0</v>
      </c>
      <c r="AW2003" s="2" t="str">
        <f>IF(Registered!AV2003=0,"",IF(Registered!AV2003=1,Registered!AV2003&amp;" Meal",Registered!AV2003&amp;" Meals"))</f>
        <v/>
      </c>
      <c r="AX2003" s="2" t="str">
        <f>IF(Registered!AI2003=0,"",Registered!AI2003&amp;" BG")</f>
        <v/>
      </c>
      <c r="AY2003" s="2" t="str">
        <f>IF(Registered!AG2003=0,"",Registered!AG2003&amp;" DustMask")</f>
        <v/>
      </c>
    </row>
    <row r="2004" spans="1:51" customFormat="1" x14ac:dyDescent="0.25">
      <c r="A2004" t="s">
        <v>167</v>
      </c>
      <c r="B2004" t="s">
        <v>3324</v>
      </c>
      <c r="C2004" t="s">
        <v>6090</v>
      </c>
      <c r="D2004" t="s">
        <v>3325</v>
      </c>
      <c r="F2004" t="s">
        <v>261</v>
      </c>
      <c r="I2004" t="s">
        <v>3326</v>
      </c>
      <c r="J2004" t="s">
        <v>37</v>
      </c>
      <c r="K2004" t="s">
        <v>32</v>
      </c>
      <c r="L2004" t="s">
        <v>35</v>
      </c>
      <c r="Q2004">
        <v>1</v>
      </c>
      <c r="R2004">
        <v>3</v>
      </c>
      <c r="AC2004">
        <v>1</v>
      </c>
      <c r="AD2004">
        <v>10</v>
      </c>
      <c r="AQ2004">
        <v>13</v>
      </c>
      <c r="AR2004" s="3">
        <f t="shared" si="93"/>
        <v>5</v>
      </c>
      <c r="AS2004" s="3">
        <f t="shared" si="94"/>
        <v>0</v>
      </c>
      <c r="AT2004" s="3" t="str">
        <f>IF(OR(Registered!AM2004&gt;0,Registered!AO2004&gt;0),(IF(Registered!E2004=0,"Size Not Specified",Registered!E2004)),"")</f>
        <v/>
      </c>
      <c r="AU2004" s="3" t="str">
        <f>IF(Registered!AE2004=0,"",IF(Registered!AE2004=1,Registered!AE2004&amp;" Bandana",Registered!AE2004&amp;" Bandanas"))</f>
        <v/>
      </c>
      <c r="AV2004" s="3">
        <f t="shared" si="95"/>
        <v>0</v>
      </c>
      <c r="AW2004" s="2" t="str">
        <f>IF(Registered!AV2004=0,"",IF(Registered!AV2004=1,Registered!AV2004&amp;" Meal",Registered!AV2004&amp;" Meals"))</f>
        <v/>
      </c>
      <c r="AX2004" s="2" t="str">
        <f>IF(Registered!AI2004=0,"",Registered!AI2004&amp;" BG")</f>
        <v/>
      </c>
      <c r="AY2004" s="2" t="str">
        <f>IF(Registered!AG2004=0,"",Registered!AG2004&amp;" DustMask")</f>
        <v/>
      </c>
    </row>
    <row r="2005" spans="1:51" customFormat="1" x14ac:dyDescent="0.25">
      <c r="A2005" t="s">
        <v>2214</v>
      </c>
      <c r="B2005" t="s">
        <v>2215</v>
      </c>
      <c r="C2005" t="s">
        <v>6090</v>
      </c>
      <c r="G2005" t="s">
        <v>222</v>
      </c>
      <c r="H2005" t="s">
        <v>592</v>
      </c>
      <c r="I2005" t="s">
        <v>593</v>
      </c>
      <c r="J2005" t="s">
        <v>37</v>
      </c>
      <c r="K2005" t="s">
        <v>32</v>
      </c>
      <c r="L2005" t="s">
        <v>35</v>
      </c>
      <c r="AQ2005">
        <v>0</v>
      </c>
      <c r="AR2005" s="3">
        <f t="shared" si="93"/>
        <v>0</v>
      </c>
      <c r="AS2005" s="3">
        <f t="shared" si="94"/>
        <v>0</v>
      </c>
      <c r="AT2005" s="3" t="str">
        <f>IF(OR(Registered!AM2005&gt;0,Registered!AO2005&gt;0),(IF(Registered!E2005=0,"Size Not Specified",Registered!E2005)),"")</f>
        <v/>
      </c>
      <c r="AU2005" s="3" t="str">
        <f>IF(Registered!AE2005=0,"",IF(Registered!AE2005=1,Registered!AE2005&amp;" Bandana",Registered!AE2005&amp;" Bandanas"))</f>
        <v/>
      </c>
      <c r="AV2005" s="3">
        <f t="shared" si="95"/>
        <v>0</v>
      </c>
      <c r="AW2005" s="2" t="str">
        <f>IF(Registered!AV2005=0,"",IF(Registered!AV2005=1,Registered!AV2005&amp;" Meal",Registered!AV2005&amp;" Meals"))</f>
        <v/>
      </c>
      <c r="AX2005" s="2" t="str">
        <f>IF(Registered!AI2005=0,"",Registered!AI2005&amp;" BG")</f>
        <v/>
      </c>
      <c r="AY2005" s="2" t="str">
        <f>IF(Registered!AG2005=0,"",Registered!AG2005&amp;" DustMask")</f>
        <v/>
      </c>
    </row>
    <row r="2006" spans="1:51" customFormat="1" x14ac:dyDescent="0.25">
      <c r="A2006" t="s">
        <v>2216</v>
      </c>
      <c r="B2006" t="s">
        <v>2217</v>
      </c>
      <c r="C2006" t="s">
        <v>6090</v>
      </c>
      <c r="G2006" t="s">
        <v>1945</v>
      </c>
      <c r="H2006" t="s">
        <v>257</v>
      </c>
      <c r="I2006" t="s">
        <v>1946</v>
      </c>
      <c r="J2006" t="s">
        <v>37</v>
      </c>
      <c r="K2006" t="s">
        <v>32</v>
      </c>
      <c r="L2006" t="s">
        <v>35</v>
      </c>
      <c r="AQ2006">
        <v>0</v>
      </c>
      <c r="AR2006" s="3">
        <f t="shared" si="93"/>
        <v>0</v>
      </c>
      <c r="AS2006" s="3">
        <f t="shared" si="94"/>
        <v>0</v>
      </c>
      <c r="AT2006" s="3" t="str">
        <f>IF(OR(Registered!AM2006&gt;0,Registered!AO2006&gt;0),(IF(Registered!E2006=0,"Size Not Specified",Registered!E2006)),"")</f>
        <v/>
      </c>
      <c r="AU2006" s="3" t="str">
        <f>IF(Registered!AE2006=0,"",IF(Registered!AE2006=1,Registered!AE2006&amp;" Bandana",Registered!AE2006&amp;" Bandanas"))</f>
        <v/>
      </c>
      <c r="AV2006" s="3">
        <f t="shared" si="95"/>
        <v>0</v>
      </c>
      <c r="AW2006" s="2" t="str">
        <f>IF(Registered!AV2006=0,"",IF(Registered!AV2006=1,Registered!AV2006&amp;" Meal",Registered!AV2006&amp;" Meals"))</f>
        <v/>
      </c>
      <c r="AX2006" s="2" t="str">
        <f>IF(Registered!AI2006=0,"",Registered!AI2006&amp;" BG")</f>
        <v/>
      </c>
      <c r="AY2006" s="2" t="str">
        <f>IF(Registered!AG2006=0,"",Registered!AG2006&amp;" DustMask")</f>
        <v/>
      </c>
    </row>
    <row r="2007" spans="1:51" customFormat="1" x14ac:dyDescent="0.25">
      <c r="A2007" t="s">
        <v>137</v>
      </c>
      <c r="B2007" t="s">
        <v>2218</v>
      </c>
      <c r="C2007" t="s">
        <v>6090</v>
      </c>
      <c r="D2007" t="s">
        <v>2219</v>
      </c>
      <c r="F2007" t="s">
        <v>261</v>
      </c>
      <c r="I2007" t="s">
        <v>2220</v>
      </c>
      <c r="J2007" t="s">
        <v>37</v>
      </c>
      <c r="K2007" t="s">
        <v>32</v>
      </c>
      <c r="L2007" t="s">
        <v>35</v>
      </c>
      <c r="S2007">
        <v>2</v>
      </c>
      <c r="T2007">
        <v>3</v>
      </c>
      <c r="U2007">
        <v>1</v>
      </c>
      <c r="V2007">
        <v>20</v>
      </c>
      <c r="AQ2007">
        <v>26</v>
      </c>
      <c r="AR2007" s="3">
        <f t="shared" si="93"/>
        <v>10</v>
      </c>
      <c r="AS2007" s="3">
        <f t="shared" si="94"/>
        <v>0</v>
      </c>
      <c r="AT2007" s="3" t="str">
        <f>IF(OR(Registered!AM2007&gt;0,Registered!AO2007&gt;0),(IF(Registered!E2007=0,"Size Not Specified",Registered!E2007)),"")</f>
        <v/>
      </c>
      <c r="AU2007" s="3" t="str">
        <f>IF(Registered!AE2007=0,"",IF(Registered!AE2007=1,Registered!AE2007&amp;" Bandana",Registered!AE2007&amp;" Bandanas"))</f>
        <v/>
      </c>
      <c r="AV2007" s="3">
        <f t="shared" si="95"/>
        <v>0</v>
      </c>
      <c r="AW2007" s="2" t="str">
        <f>IF(Registered!AV2007=0,"",IF(Registered!AV2007=1,Registered!AV2007&amp;" Meal",Registered!AV2007&amp;" Meals"))</f>
        <v/>
      </c>
      <c r="AX2007" s="2" t="str">
        <f>IF(Registered!AI2007=0,"",Registered!AI2007&amp;" BG")</f>
        <v/>
      </c>
      <c r="AY2007" s="2" t="str">
        <f>IF(Registered!AG2007=0,"",Registered!AG2007&amp;" DustMask")</f>
        <v/>
      </c>
    </row>
    <row r="2008" spans="1:51" customFormat="1" x14ac:dyDescent="0.25">
      <c r="A2008" t="s">
        <v>207</v>
      </c>
      <c r="B2008" t="s">
        <v>5522</v>
      </c>
      <c r="C2008" t="s">
        <v>6090</v>
      </c>
      <c r="G2008" t="s">
        <v>563</v>
      </c>
      <c r="H2008" t="s">
        <v>4177</v>
      </c>
      <c r="I2008" t="s">
        <v>4179</v>
      </c>
      <c r="J2008" t="s">
        <v>37</v>
      </c>
      <c r="K2008" t="s">
        <v>32</v>
      </c>
      <c r="L2008" t="s">
        <v>35</v>
      </c>
      <c r="AQ2008">
        <v>0</v>
      </c>
      <c r="AR2008" s="3">
        <f t="shared" si="93"/>
        <v>0</v>
      </c>
      <c r="AS2008" s="3">
        <f t="shared" si="94"/>
        <v>0</v>
      </c>
      <c r="AT2008" s="3" t="str">
        <f>IF(OR(Registered!AM2008&gt;0,Registered!AO2008&gt;0),(IF(Registered!E2008=0,"Size Not Specified",Registered!E2008)),"")</f>
        <v/>
      </c>
      <c r="AU2008" s="3" t="str">
        <f>IF(Registered!AE2008=0,"",IF(Registered!AE2008=1,Registered!AE2008&amp;" Bandana",Registered!AE2008&amp;" Bandanas"))</f>
        <v/>
      </c>
      <c r="AV2008" s="3">
        <f t="shared" si="95"/>
        <v>0</v>
      </c>
      <c r="AW2008" s="2" t="str">
        <f>IF(Registered!AV2008=0,"",IF(Registered!AV2008=1,Registered!AV2008&amp;" Meal",Registered!AV2008&amp;" Meals"))</f>
        <v/>
      </c>
      <c r="AX2008" s="2" t="str">
        <f>IF(Registered!AI2008=0,"",Registered!AI2008&amp;" BG")</f>
        <v/>
      </c>
      <c r="AY2008" s="2" t="str">
        <f>IF(Registered!AG2008=0,"",Registered!AG2008&amp;" DustMask")</f>
        <v/>
      </c>
    </row>
    <row r="2009" spans="1:51" customFormat="1" x14ac:dyDescent="0.25">
      <c r="A2009" t="s">
        <v>398</v>
      </c>
      <c r="B2009" t="s">
        <v>2221</v>
      </c>
      <c r="C2009" t="s">
        <v>6090</v>
      </c>
      <c r="D2009" t="s">
        <v>2222</v>
      </c>
      <c r="I2009" t="s">
        <v>2223</v>
      </c>
      <c r="J2009" t="s">
        <v>37</v>
      </c>
      <c r="K2009" t="s">
        <v>32</v>
      </c>
      <c r="L2009" t="s">
        <v>35</v>
      </c>
      <c r="O2009">
        <v>1</v>
      </c>
      <c r="P2009">
        <v>3</v>
      </c>
      <c r="AQ2009">
        <v>3</v>
      </c>
      <c r="AR2009" s="3">
        <f t="shared" si="93"/>
        <v>0</v>
      </c>
      <c r="AS2009" s="3">
        <f t="shared" si="94"/>
        <v>0</v>
      </c>
      <c r="AT2009" s="3" t="str">
        <f>IF(OR(Registered!AM2009&gt;0,Registered!AO2009&gt;0),(IF(Registered!E2009=0,"Size Not Specified",Registered!E2009)),"")</f>
        <v/>
      </c>
      <c r="AU2009" s="3" t="str">
        <f>IF(Registered!AE2009=0,"",IF(Registered!AE2009=1,Registered!AE2009&amp;" Bandana",Registered!AE2009&amp;" Bandanas"))</f>
        <v/>
      </c>
      <c r="AV2009" s="3">
        <f t="shared" si="95"/>
        <v>0</v>
      </c>
      <c r="AW2009" s="2" t="str">
        <f>IF(Registered!AV2009=0,"",IF(Registered!AV2009=1,Registered!AV2009&amp;" Meal",Registered!AV2009&amp;" Meals"))</f>
        <v/>
      </c>
      <c r="AX2009" s="2" t="str">
        <f>IF(Registered!AI2009=0,"",Registered!AI2009&amp;" BG")</f>
        <v/>
      </c>
      <c r="AY2009" s="2" t="str">
        <f>IF(Registered!AG2009=0,"",Registered!AG2009&amp;" DustMask")</f>
        <v/>
      </c>
    </row>
    <row r="2010" spans="1:51" customFormat="1" x14ac:dyDescent="0.25">
      <c r="A2010" t="s">
        <v>3327</v>
      </c>
      <c r="B2010" t="s">
        <v>3328</v>
      </c>
      <c r="C2010" t="s">
        <v>6090</v>
      </c>
      <c r="G2010" t="s">
        <v>2687</v>
      </c>
      <c r="H2010" t="s">
        <v>2688</v>
      </c>
      <c r="I2010" t="s">
        <v>2689</v>
      </c>
      <c r="J2010" t="s">
        <v>37</v>
      </c>
      <c r="K2010" t="s">
        <v>32</v>
      </c>
      <c r="L2010" t="s">
        <v>35</v>
      </c>
      <c r="AQ2010">
        <v>0</v>
      </c>
      <c r="AR2010" s="3">
        <f t="shared" si="93"/>
        <v>0</v>
      </c>
      <c r="AS2010" s="3">
        <f t="shared" si="94"/>
        <v>0</v>
      </c>
      <c r="AT2010" s="3" t="str">
        <f>IF(OR(Registered!AM2010&gt;0,Registered!AO2010&gt;0),(IF(Registered!E2010=0,"Size Not Specified",Registered!E2010)),"")</f>
        <v/>
      </c>
      <c r="AU2010" s="3" t="str">
        <f>IF(Registered!AE2010=0,"",IF(Registered!AE2010=1,Registered!AE2010&amp;" Bandana",Registered!AE2010&amp;" Bandanas"))</f>
        <v/>
      </c>
      <c r="AV2010" s="3">
        <f t="shared" si="95"/>
        <v>0</v>
      </c>
      <c r="AW2010" s="2" t="str">
        <f>IF(Registered!AV2010=0,"",IF(Registered!AV2010=1,Registered!AV2010&amp;" Meal",Registered!AV2010&amp;" Meals"))</f>
        <v/>
      </c>
      <c r="AX2010" s="2" t="str">
        <f>IF(Registered!AI2010=0,"",Registered!AI2010&amp;" BG")</f>
        <v/>
      </c>
      <c r="AY2010" s="2" t="str">
        <f>IF(Registered!AG2010=0,"",Registered!AG2010&amp;" DustMask")</f>
        <v/>
      </c>
    </row>
    <row r="2011" spans="1:51" customFormat="1" x14ac:dyDescent="0.25">
      <c r="A2011" t="s">
        <v>3329</v>
      </c>
      <c r="B2011" t="s">
        <v>3328</v>
      </c>
      <c r="C2011" t="s">
        <v>6090</v>
      </c>
      <c r="D2011" t="s">
        <v>3329</v>
      </c>
      <c r="F2011" t="s">
        <v>261</v>
      </c>
      <c r="I2011" t="s">
        <v>3330</v>
      </c>
      <c r="J2011" t="s">
        <v>37</v>
      </c>
      <c r="K2011" t="s">
        <v>32</v>
      </c>
      <c r="L2011" t="s">
        <v>35</v>
      </c>
      <c r="Q2011">
        <v>1</v>
      </c>
      <c r="R2011">
        <v>3</v>
      </c>
      <c r="AC2011">
        <v>1</v>
      </c>
      <c r="AD2011">
        <v>10</v>
      </c>
      <c r="AQ2011">
        <v>13</v>
      </c>
      <c r="AR2011" s="3">
        <f t="shared" si="93"/>
        <v>5</v>
      </c>
      <c r="AS2011" s="3">
        <f t="shared" si="94"/>
        <v>0</v>
      </c>
      <c r="AT2011" s="3" t="str">
        <f>IF(OR(Registered!AM2011&gt;0,Registered!AO2011&gt;0),(IF(Registered!E2011=0,"Size Not Specified",Registered!E2011)),"")</f>
        <v/>
      </c>
      <c r="AU2011" s="3" t="str">
        <f>IF(Registered!AE2011=0,"",IF(Registered!AE2011=1,Registered!AE2011&amp;" Bandana",Registered!AE2011&amp;" Bandanas"))</f>
        <v/>
      </c>
      <c r="AV2011" s="3">
        <f t="shared" si="95"/>
        <v>0</v>
      </c>
      <c r="AW2011" s="2" t="str">
        <f>IF(Registered!AV2011=0,"",IF(Registered!AV2011=1,Registered!AV2011&amp;" Meal",Registered!AV2011&amp;" Meals"))</f>
        <v/>
      </c>
      <c r="AX2011" s="2" t="str">
        <f>IF(Registered!AI2011=0,"",Registered!AI2011&amp;" BG")</f>
        <v/>
      </c>
      <c r="AY2011" s="2" t="str">
        <f>IF(Registered!AG2011=0,"",Registered!AG2011&amp;" DustMask")</f>
        <v/>
      </c>
    </row>
    <row r="2012" spans="1:51" customFormat="1" x14ac:dyDescent="0.25">
      <c r="A2012" t="s">
        <v>5523</v>
      </c>
      <c r="B2012" t="s">
        <v>5524</v>
      </c>
      <c r="C2012" t="s">
        <v>6090</v>
      </c>
      <c r="G2012" t="s">
        <v>1557</v>
      </c>
      <c r="H2012" t="s">
        <v>151</v>
      </c>
      <c r="I2012" t="s">
        <v>4443</v>
      </c>
      <c r="J2012" t="s">
        <v>37</v>
      </c>
      <c r="K2012" t="s">
        <v>32</v>
      </c>
      <c r="L2012" t="s">
        <v>35</v>
      </c>
      <c r="AQ2012">
        <v>0</v>
      </c>
      <c r="AR2012" s="3">
        <f t="shared" si="93"/>
        <v>0</v>
      </c>
      <c r="AS2012" s="3">
        <f t="shared" si="94"/>
        <v>0</v>
      </c>
      <c r="AT2012" s="3" t="str">
        <f>IF(OR(Registered!AM2012&gt;0,Registered!AO2012&gt;0),(IF(Registered!E2012=0,"Size Not Specified",Registered!E2012)),"")</f>
        <v/>
      </c>
      <c r="AU2012" s="3" t="str">
        <f>IF(Registered!AE2012=0,"",IF(Registered!AE2012=1,Registered!AE2012&amp;" Bandana",Registered!AE2012&amp;" Bandanas"))</f>
        <v/>
      </c>
      <c r="AV2012" s="3">
        <f t="shared" si="95"/>
        <v>0</v>
      </c>
      <c r="AW2012" s="2" t="str">
        <f>IF(Registered!AV2012=0,"",IF(Registered!AV2012=1,Registered!AV2012&amp;" Meal",Registered!AV2012&amp;" Meals"))</f>
        <v/>
      </c>
      <c r="AX2012" s="2" t="str">
        <f>IF(Registered!AI2012=0,"",Registered!AI2012&amp;" BG")</f>
        <v/>
      </c>
      <c r="AY2012" s="2" t="str">
        <f>IF(Registered!AG2012=0,"",Registered!AG2012&amp;" DustMask")</f>
        <v/>
      </c>
    </row>
    <row r="2013" spans="1:51" customFormat="1" x14ac:dyDescent="0.25">
      <c r="A2013" t="s">
        <v>3331</v>
      </c>
      <c r="B2013" t="s">
        <v>3332</v>
      </c>
      <c r="C2013" t="s">
        <v>6090</v>
      </c>
      <c r="G2013" t="s">
        <v>3128</v>
      </c>
      <c r="H2013" t="s">
        <v>3129</v>
      </c>
      <c r="I2013" t="s">
        <v>3131</v>
      </c>
      <c r="J2013" t="s">
        <v>37</v>
      </c>
      <c r="K2013" t="s">
        <v>32</v>
      </c>
      <c r="L2013" t="s">
        <v>35</v>
      </c>
      <c r="AQ2013">
        <v>0</v>
      </c>
      <c r="AR2013" s="3">
        <f t="shared" si="93"/>
        <v>0</v>
      </c>
      <c r="AS2013" s="3">
        <f t="shared" si="94"/>
        <v>0</v>
      </c>
      <c r="AT2013" s="3" t="str">
        <f>IF(OR(Registered!AM2013&gt;0,Registered!AO2013&gt;0),(IF(Registered!E2013=0,"Size Not Specified",Registered!E2013)),"")</f>
        <v/>
      </c>
      <c r="AU2013" s="3" t="str">
        <f>IF(Registered!AE2013=0,"",IF(Registered!AE2013=1,Registered!AE2013&amp;" Bandana",Registered!AE2013&amp;" Bandanas"))</f>
        <v/>
      </c>
      <c r="AV2013" s="3">
        <f t="shared" si="95"/>
        <v>0</v>
      </c>
      <c r="AW2013" s="2" t="str">
        <f>IF(Registered!AV2013=0,"",IF(Registered!AV2013=1,Registered!AV2013&amp;" Meal",Registered!AV2013&amp;" Meals"))</f>
        <v/>
      </c>
      <c r="AX2013" s="2" t="str">
        <f>IF(Registered!AI2013=0,"",Registered!AI2013&amp;" BG")</f>
        <v/>
      </c>
      <c r="AY2013" s="2" t="str">
        <f>IF(Registered!AG2013=0,"",Registered!AG2013&amp;" DustMask")</f>
        <v/>
      </c>
    </row>
    <row r="2014" spans="1:51" customFormat="1" x14ac:dyDescent="0.25">
      <c r="A2014" t="s">
        <v>109</v>
      </c>
      <c r="B2014" t="s">
        <v>5525</v>
      </c>
      <c r="C2014" t="s">
        <v>6090</v>
      </c>
      <c r="G2014" t="s">
        <v>220</v>
      </c>
      <c r="H2014" t="s">
        <v>4238</v>
      </c>
      <c r="I2014" t="s">
        <v>4240</v>
      </c>
      <c r="J2014" t="s">
        <v>37</v>
      </c>
      <c r="K2014" t="s">
        <v>32</v>
      </c>
      <c r="L2014" t="s">
        <v>35</v>
      </c>
      <c r="AQ2014">
        <v>0</v>
      </c>
      <c r="AR2014" s="3">
        <f t="shared" si="93"/>
        <v>0</v>
      </c>
      <c r="AS2014" s="3">
        <f t="shared" si="94"/>
        <v>0</v>
      </c>
      <c r="AT2014" s="3" t="str">
        <f>IF(OR(Registered!AM2014&gt;0,Registered!AO2014&gt;0),(IF(Registered!E2014=0,"Size Not Specified",Registered!E2014)),"")</f>
        <v/>
      </c>
      <c r="AU2014" s="3" t="str">
        <f>IF(Registered!AE2014=0,"",IF(Registered!AE2014=1,Registered!AE2014&amp;" Bandana",Registered!AE2014&amp;" Bandanas"))</f>
        <v/>
      </c>
      <c r="AV2014" s="3">
        <f t="shared" si="95"/>
        <v>0</v>
      </c>
      <c r="AW2014" s="2" t="str">
        <f>IF(Registered!AV2014=0,"",IF(Registered!AV2014=1,Registered!AV2014&amp;" Meal",Registered!AV2014&amp;" Meals"))</f>
        <v/>
      </c>
      <c r="AX2014" s="2" t="str">
        <f>IF(Registered!AI2014=0,"",Registered!AI2014&amp;" BG")</f>
        <v/>
      </c>
      <c r="AY2014" s="2" t="str">
        <f>IF(Registered!AG2014=0,"",Registered!AG2014&amp;" DustMask")</f>
        <v/>
      </c>
    </row>
    <row r="2015" spans="1:51" customFormat="1" x14ac:dyDescent="0.25">
      <c r="A2015" t="s">
        <v>2224</v>
      </c>
      <c r="B2015" t="s">
        <v>1142</v>
      </c>
      <c r="C2015" t="s">
        <v>6090</v>
      </c>
      <c r="D2015" t="s">
        <v>2225</v>
      </c>
      <c r="F2015" t="s">
        <v>261</v>
      </c>
      <c r="I2015" t="s">
        <v>2226</v>
      </c>
      <c r="J2015" t="s">
        <v>37</v>
      </c>
      <c r="K2015" t="s">
        <v>32</v>
      </c>
      <c r="L2015" t="s">
        <v>35</v>
      </c>
      <c r="S2015">
        <v>2</v>
      </c>
      <c r="T2015">
        <v>3</v>
      </c>
      <c r="U2015">
        <v>1</v>
      </c>
      <c r="V2015">
        <v>20</v>
      </c>
      <c r="AQ2015">
        <v>26</v>
      </c>
      <c r="AR2015" s="3">
        <f t="shared" si="93"/>
        <v>10</v>
      </c>
      <c r="AS2015" s="3">
        <f t="shared" si="94"/>
        <v>0</v>
      </c>
      <c r="AT2015" s="3" t="str">
        <f>IF(OR(Registered!AM2015&gt;0,Registered!AO2015&gt;0),(IF(Registered!E2015=0,"Size Not Specified",Registered!E2015)),"")</f>
        <v/>
      </c>
      <c r="AU2015" s="3" t="str">
        <f>IF(Registered!AE2015=0,"",IF(Registered!AE2015=1,Registered!AE2015&amp;" Bandana",Registered!AE2015&amp;" Bandanas"))</f>
        <v/>
      </c>
      <c r="AV2015" s="3">
        <f t="shared" si="95"/>
        <v>0</v>
      </c>
      <c r="AW2015" s="2" t="str">
        <f>IF(Registered!AV2015=0,"",IF(Registered!AV2015=1,Registered!AV2015&amp;" Meal",Registered!AV2015&amp;" Meals"))</f>
        <v/>
      </c>
      <c r="AX2015" s="2" t="str">
        <f>IF(Registered!AI2015=0,"",Registered!AI2015&amp;" BG")</f>
        <v/>
      </c>
      <c r="AY2015" s="2" t="str">
        <f>IF(Registered!AG2015=0,"",Registered!AG2015&amp;" DustMask")</f>
        <v/>
      </c>
    </row>
    <row r="2016" spans="1:51" customFormat="1" x14ac:dyDescent="0.25">
      <c r="A2016" t="s">
        <v>153</v>
      </c>
      <c r="B2016" t="s">
        <v>1142</v>
      </c>
      <c r="C2016" t="s">
        <v>6090</v>
      </c>
      <c r="D2016" t="s">
        <v>2227</v>
      </c>
      <c r="F2016" t="s">
        <v>261</v>
      </c>
      <c r="I2016" t="s">
        <v>2228</v>
      </c>
      <c r="J2016" t="s">
        <v>37</v>
      </c>
      <c r="K2016" t="s">
        <v>32</v>
      </c>
      <c r="L2016" t="s">
        <v>35</v>
      </c>
      <c r="S2016">
        <v>2</v>
      </c>
      <c r="T2016">
        <v>3</v>
      </c>
      <c r="AC2016">
        <v>1</v>
      </c>
      <c r="AD2016">
        <v>10</v>
      </c>
      <c r="AQ2016">
        <v>16</v>
      </c>
      <c r="AR2016" s="3">
        <f t="shared" si="93"/>
        <v>5</v>
      </c>
      <c r="AS2016" s="3">
        <f t="shared" si="94"/>
        <v>0</v>
      </c>
      <c r="AT2016" s="3" t="str">
        <f>IF(OR(Registered!AM2016&gt;0,Registered!AO2016&gt;0),(IF(Registered!E2016=0,"Size Not Specified",Registered!E2016)),"")</f>
        <v/>
      </c>
      <c r="AU2016" s="3" t="str">
        <f>IF(Registered!AE2016=0,"",IF(Registered!AE2016=1,Registered!AE2016&amp;" Bandana",Registered!AE2016&amp;" Bandanas"))</f>
        <v/>
      </c>
      <c r="AV2016" s="3">
        <f t="shared" si="95"/>
        <v>0</v>
      </c>
      <c r="AW2016" s="2" t="str">
        <f>IF(Registered!AV2016=0,"",IF(Registered!AV2016=1,Registered!AV2016&amp;" Meal",Registered!AV2016&amp;" Meals"))</f>
        <v/>
      </c>
      <c r="AX2016" s="2" t="str">
        <f>IF(Registered!AI2016=0,"",Registered!AI2016&amp;" BG")</f>
        <v/>
      </c>
      <c r="AY2016" s="2" t="str">
        <f>IF(Registered!AG2016=0,"",Registered!AG2016&amp;" DustMask")</f>
        <v/>
      </c>
    </row>
    <row r="2017" spans="1:51" customFormat="1" x14ac:dyDescent="0.25">
      <c r="A2017" t="s">
        <v>1141</v>
      </c>
      <c r="B2017" t="s">
        <v>1142</v>
      </c>
      <c r="C2017" t="s">
        <v>6090</v>
      </c>
      <c r="D2017" t="s">
        <v>2229</v>
      </c>
      <c r="F2017" t="s">
        <v>261</v>
      </c>
      <c r="I2017" t="s">
        <v>1143</v>
      </c>
      <c r="J2017" t="s">
        <v>37</v>
      </c>
      <c r="K2017" t="s">
        <v>32</v>
      </c>
      <c r="L2017" t="s">
        <v>35</v>
      </c>
      <c r="S2017">
        <v>3</v>
      </c>
      <c r="T2017">
        <v>3</v>
      </c>
      <c r="U2017">
        <v>1</v>
      </c>
      <c r="V2017">
        <v>20</v>
      </c>
      <c r="AK2017">
        <v>3</v>
      </c>
      <c r="AL2017">
        <v>6</v>
      </c>
      <c r="AQ2017">
        <v>47</v>
      </c>
      <c r="AR2017" s="3">
        <f t="shared" si="93"/>
        <v>10</v>
      </c>
      <c r="AS2017" s="3">
        <f t="shared" si="94"/>
        <v>0</v>
      </c>
      <c r="AT2017" s="3" t="str">
        <f>IF(OR(Registered!AM2017&gt;0,Registered!AO2017&gt;0),(IF(Registered!E2017=0,"Size Not Specified",Registered!E2017)),"")</f>
        <v/>
      </c>
      <c r="AU2017" s="3" t="str">
        <f>IF(Registered!AE2017=0,"",IF(Registered!AE2017=1,Registered!AE2017&amp;" Bandana",Registered!AE2017&amp;" Bandanas"))</f>
        <v/>
      </c>
      <c r="AV2017" s="3">
        <f t="shared" si="95"/>
        <v>3</v>
      </c>
      <c r="AW2017" s="2" t="str">
        <f>IF(Registered!AV2017=0,"",IF(Registered!AV2017=1,Registered!AV2017&amp;" Meal",Registered!AV2017&amp;" Meals"))</f>
        <v>3 Meals</v>
      </c>
      <c r="AX2017" s="2" t="str">
        <f>IF(Registered!AI2017=0,"",Registered!AI2017&amp;" BG")</f>
        <v/>
      </c>
      <c r="AY2017" s="2" t="str">
        <f>IF(Registered!AG2017=0,"",Registered!AG2017&amp;" DustMask")</f>
        <v/>
      </c>
    </row>
    <row r="2018" spans="1:51" customFormat="1" x14ac:dyDescent="0.25">
      <c r="A2018" t="s">
        <v>1557</v>
      </c>
      <c r="B2018" t="s">
        <v>1142</v>
      </c>
      <c r="C2018" t="s">
        <v>6090</v>
      </c>
      <c r="G2018" t="s">
        <v>153</v>
      </c>
      <c r="H2018" t="s">
        <v>1142</v>
      </c>
      <c r="I2018" t="s">
        <v>2228</v>
      </c>
      <c r="J2018" t="s">
        <v>37</v>
      </c>
      <c r="K2018" t="s">
        <v>32</v>
      </c>
      <c r="L2018" t="s">
        <v>35</v>
      </c>
      <c r="AQ2018">
        <v>0</v>
      </c>
      <c r="AR2018" s="3">
        <f t="shared" si="93"/>
        <v>0</v>
      </c>
      <c r="AS2018" s="3">
        <f t="shared" si="94"/>
        <v>0</v>
      </c>
      <c r="AT2018" s="3" t="str">
        <f>IF(OR(Registered!AM2018&gt;0,Registered!AO2018&gt;0),(IF(Registered!E2018=0,"Size Not Specified",Registered!E2018)),"")</f>
        <v/>
      </c>
      <c r="AU2018" s="3" t="str">
        <f>IF(Registered!AE2018=0,"",IF(Registered!AE2018=1,Registered!AE2018&amp;" Bandana",Registered!AE2018&amp;" Bandanas"))</f>
        <v/>
      </c>
      <c r="AV2018" s="3">
        <f t="shared" si="95"/>
        <v>0</v>
      </c>
      <c r="AW2018" s="2" t="str">
        <f>IF(Registered!AV2018=0,"",IF(Registered!AV2018=1,Registered!AV2018&amp;" Meal",Registered!AV2018&amp;" Meals"))</f>
        <v/>
      </c>
      <c r="AX2018" s="2" t="str">
        <f>IF(Registered!AI2018=0,"",Registered!AI2018&amp;" BG")</f>
        <v/>
      </c>
      <c r="AY2018" s="2" t="str">
        <f>IF(Registered!AG2018=0,"",Registered!AG2018&amp;" DustMask")</f>
        <v/>
      </c>
    </row>
    <row r="2019" spans="1:51" customFormat="1" x14ac:dyDescent="0.25">
      <c r="A2019" t="s">
        <v>131</v>
      </c>
      <c r="B2019" t="s">
        <v>1142</v>
      </c>
      <c r="C2019" t="s">
        <v>6090</v>
      </c>
      <c r="D2019" t="s">
        <v>2230</v>
      </c>
      <c r="F2019" t="s">
        <v>261</v>
      </c>
      <c r="I2019" t="s">
        <v>2231</v>
      </c>
      <c r="J2019" t="s">
        <v>37</v>
      </c>
      <c r="K2019" t="s">
        <v>32</v>
      </c>
      <c r="L2019" t="s">
        <v>35</v>
      </c>
      <c r="Q2019">
        <v>2</v>
      </c>
      <c r="R2019">
        <v>3</v>
      </c>
      <c r="AC2019">
        <v>1</v>
      </c>
      <c r="AD2019">
        <v>10</v>
      </c>
      <c r="AQ2019">
        <v>16</v>
      </c>
      <c r="AR2019" s="3">
        <f t="shared" si="93"/>
        <v>5</v>
      </c>
      <c r="AS2019" s="3">
        <f t="shared" si="94"/>
        <v>0</v>
      </c>
      <c r="AT2019" s="3" t="str">
        <f>IF(OR(Registered!AM2019&gt;0,Registered!AO2019&gt;0),(IF(Registered!E2019=0,"Size Not Specified",Registered!E2019)),"")</f>
        <v/>
      </c>
      <c r="AU2019" s="3" t="str">
        <f>IF(Registered!AE2019=0,"",IF(Registered!AE2019=1,Registered!AE2019&amp;" Bandana",Registered!AE2019&amp;" Bandanas"))</f>
        <v/>
      </c>
      <c r="AV2019" s="3">
        <f t="shared" si="95"/>
        <v>0</v>
      </c>
      <c r="AW2019" s="2" t="str">
        <f>IF(Registered!AV2019=0,"",IF(Registered!AV2019=1,Registered!AV2019&amp;" Meal",Registered!AV2019&amp;" Meals"))</f>
        <v/>
      </c>
      <c r="AX2019" s="2" t="str">
        <f>IF(Registered!AI2019=0,"",Registered!AI2019&amp;" BG")</f>
        <v/>
      </c>
      <c r="AY2019" s="2" t="str">
        <f>IF(Registered!AG2019=0,"",Registered!AG2019&amp;" DustMask")</f>
        <v/>
      </c>
    </row>
    <row r="2020" spans="1:51" customFormat="1" x14ac:dyDescent="0.25">
      <c r="A2020" t="s">
        <v>5526</v>
      </c>
      <c r="B2020" t="s">
        <v>5527</v>
      </c>
      <c r="C2020" t="s">
        <v>6090</v>
      </c>
      <c r="G2020" t="s">
        <v>1577</v>
      </c>
      <c r="H2020" t="s">
        <v>337</v>
      </c>
      <c r="I2020" t="s">
        <v>4164</v>
      </c>
      <c r="J2020" t="s">
        <v>37</v>
      </c>
      <c r="K2020" t="s">
        <v>32</v>
      </c>
      <c r="L2020" t="s">
        <v>35</v>
      </c>
      <c r="AQ2020">
        <v>0</v>
      </c>
      <c r="AR2020" s="3">
        <f t="shared" si="93"/>
        <v>0</v>
      </c>
      <c r="AS2020" s="3">
        <f t="shared" si="94"/>
        <v>0</v>
      </c>
      <c r="AT2020" s="3" t="str">
        <f>IF(OR(Registered!AM2020&gt;0,Registered!AO2020&gt;0),(IF(Registered!E2020=0,"Size Not Specified",Registered!E2020)),"")</f>
        <v/>
      </c>
      <c r="AU2020" s="3" t="str">
        <f>IF(Registered!AE2020=0,"",IF(Registered!AE2020=1,Registered!AE2020&amp;" Bandana",Registered!AE2020&amp;" Bandanas"))</f>
        <v/>
      </c>
      <c r="AV2020" s="3">
        <f t="shared" si="95"/>
        <v>0</v>
      </c>
      <c r="AW2020" s="2" t="str">
        <f>IF(Registered!AV2020=0,"",IF(Registered!AV2020=1,Registered!AV2020&amp;" Meal",Registered!AV2020&amp;" Meals"))</f>
        <v/>
      </c>
      <c r="AX2020" s="2" t="str">
        <f>IF(Registered!AI2020=0,"",Registered!AI2020&amp;" BG")</f>
        <v/>
      </c>
      <c r="AY2020" s="2" t="str">
        <f>IF(Registered!AG2020=0,"",Registered!AG2020&amp;" DustMask")</f>
        <v/>
      </c>
    </row>
    <row r="2021" spans="1:51" customFormat="1" x14ac:dyDescent="0.25">
      <c r="A2021" t="s">
        <v>5528</v>
      </c>
      <c r="B2021" t="s">
        <v>5527</v>
      </c>
      <c r="C2021" t="s">
        <v>6090</v>
      </c>
      <c r="G2021" t="s">
        <v>1577</v>
      </c>
      <c r="H2021" t="s">
        <v>337</v>
      </c>
      <c r="I2021" t="s">
        <v>4164</v>
      </c>
      <c r="J2021" t="s">
        <v>37</v>
      </c>
      <c r="K2021" t="s">
        <v>32</v>
      </c>
      <c r="L2021" t="s">
        <v>35</v>
      </c>
      <c r="AQ2021">
        <v>0</v>
      </c>
      <c r="AR2021" s="3">
        <f t="shared" si="93"/>
        <v>0</v>
      </c>
      <c r="AS2021" s="3">
        <f t="shared" si="94"/>
        <v>0</v>
      </c>
      <c r="AT2021" s="3" t="str">
        <f>IF(OR(Registered!AM2021&gt;0,Registered!AO2021&gt;0),(IF(Registered!E2021=0,"Size Not Specified",Registered!E2021)),"")</f>
        <v/>
      </c>
      <c r="AU2021" s="3" t="str">
        <f>IF(Registered!AE2021=0,"",IF(Registered!AE2021=1,Registered!AE2021&amp;" Bandana",Registered!AE2021&amp;" Bandanas"))</f>
        <v/>
      </c>
      <c r="AV2021" s="3">
        <f t="shared" si="95"/>
        <v>0</v>
      </c>
      <c r="AW2021" s="2" t="str">
        <f>IF(Registered!AV2021=0,"",IF(Registered!AV2021=1,Registered!AV2021&amp;" Meal",Registered!AV2021&amp;" Meals"))</f>
        <v/>
      </c>
      <c r="AX2021" s="2" t="str">
        <f>IF(Registered!AI2021=0,"",Registered!AI2021&amp;" BG")</f>
        <v/>
      </c>
      <c r="AY2021" s="2" t="str">
        <f>IF(Registered!AG2021=0,"",Registered!AG2021&amp;" DustMask")</f>
        <v/>
      </c>
    </row>
    <row r="2022" spans="1:51" customFormat="1" x14ac:dyDescent="0.25">
      <c r="A2022" t="s">
        <v>3201</v>
      </c>
      <c r="B2022" t="s">
        <v>5527</v>
      </c>
      <c r="C2022" t="s">
        <v>6090</v>
      </c>
      <c r="G2022" t="s">
        <v>1577</v>
      </c>
      <c r="H2022" t="s">
        <v>337</v>
      </c>
      <c r="I2022" t="s">
        <v>4164</v>
      </c>
      <c r="J2022" t="s">
        <v>37</v>
      </c>
      <c r="K2022" t="s">
        <v>32</v>
      </c>
      <c r="L2022" t="s">
        <v>35</v>
      </c>
      <c r="AQ2022">
        <v>0</v>
      </c>
      <c r="AR2022" s="3">
        <f t="shared" si="93"/>
        <v>0</v>
      </c>
      <c r="AS2022" s="3">
        <f t="shared" si="94"/>
        <v>0</v>
      </c>
      <c r="AT2022" s="3" t="str">
        <f>IF(OR(Registered!AM2022&gt;0,Registered!AO2022&gt;0),(IF(Registered!E2022=0,"Size Not Specified",Registered!E2022)),"")</f>
        <v/>
      </c>
      <c r="AU2022" s="3" t="str">
        <f>IF(Registered!AE2022=0,"",IF(Registered!AE2022=1,Registered!AE2022&amp;" Bandana",Registered!AE2022&amp;" Bandanas"))</f>
        <v/>
      </c>
      <c r="AV2022" s="3">
        <f t="shared" si="95"/>
        <v>0</v>
      </c>
      <c r="AW2022" s="2" t="str">
        <f>IF(Registered!AV2022=0,"",IF(Registered!AV2022=1,Registered!AV2022&amp;" Meal",Registered!AV2022&amp;" Meals"))</f>
        <v/>
      </c>
      <c r="AX2022" s="2" t="str">
        <f>IF(Registered!AI2022=0,"",Registered!AI2022&amp;" BG")</f>
        <v/>
      </c>
      <c r="AY2022" s="2" t="str">
        <f>IF(Registered!AG2022=0,"",Registered!AG2022&amp;" DustMask")</f>
        <v/>
      </c>
    </row>
    <row r="2023" spans="1:51" customFormat="1" x14ac:dyDescent="0.25">
      <c r="A2023" t="s">
        <v>2232</v>
      </c>
      <c r="B2023" t="s">
        <v>2233</v>
      </c>
      <c r="C2023" t="s">
        <v>6090</v>
      </c>
      <c r="D2023" t="s">
        <v>198</v>
      </c>
      <c r="E2023" t="s">
        <v>2234</v>
      </c>
      <c r="F2023" t="s">
        <v>261</v>
      </c>
      <c r="I2023" t="s">
        <v>2235</v>
      </c>
      <c r="J2023" t="s">
        <v>37</v>
      </c>
      <c r="K2023" t="s">
        <v>32</v>
      </c>
      <c r="L2023" t="s">
        <v>35</v>
      </c>
      <c r="S2023">
        <v>1</v>
      </c>
      <c r="T2023">
        <v>3</v>
      </c>
      <c r="AC2023">
        <v>1</v>
      </c>
      <c r="AD2023">
        <v>10</v>
      </c>
      <c r="AQ2023">
        <v>13</v>
      </c>
      <c r="AR2023" s="3">
        <f t="shared" si="93"/>
        <v>5</v>
      </c>
      <c r="AS2023" s="3">
        <f t="shared" si="94"/>
        <v>0</v>
      </c>
      <c r="AT2023" s="3" t="str">
        <f>IF(OR(Registered!AM2023&gt;0,Registered!AO2023&gt;0),(IF(Registered!E2023=0,"Size Not Specified",Registered!E2023)),"")</f>
        <v/>
      </c>
      <c r="AU2023" s="3" t="str">
        <f>IF(Registered!AE2023=0,"",IF(Registered!AE2023=1,Registered!AE2023&amp;" Bandana",Registered!AE2023&amp;" Bandanas"))</f>
        <v/>
      </c>
      <c r="AV2023" s="3">
        <f t="shared" si="95"/>
        <v>0</v>
      </c>
      <c r="AW2023" s="2" t="str">
        <f>IF(Registered!AV2023=0,"",IF(Registered!AV2023=1,Registered!AV2023&amp;" Meal",Registered!AV2023&amp;" Meals"))</f>
        <v/>
      </c>
      <c r="AX2023" s="2" t="str">
        <f>IF(Registered!AI2023=0,"",Registered!AI2023&amp;" BG")</f>
        <v/>
      </c>
      <c r="AY2023" s="2" t="str">
        <f>IF(Registered!AG2023=0,"",Registered!AG2023&amp;" DustMask")</f>
        <v/>
      </c>
    </row>
    <row r="2024" spans="1:51" customFormat="1" x14ac:dyDescent="0.25">
      <c r="A2024" t="s">
        <v>3418</v>
      </c>
      <c r="B2024" t="s">
        <v>5529</v>
      </c>
      <c r="C2024" t="s">
        <v>6090</v>
      </c>
      <c r="F2024" t="s">
        <v>261</v>
      </c>
      <c r="I2024" t="s">
        <v>5530</v>
      </c>
      <c r="J2024" t="s">
        <v>37</v>
      </c>
      <c r="K2024" t="s">
        <v>32</v>
      </c>
      <c r="L2024" t="s">
        <v>35</v>
      </c>
      <c r="Q2024">
        <v>1</v>
      </c>
      <c r="R2024">
        <v>3</v>
      </c>
      <c r="AE2024">
        <v>1</v>
      </c>
      <c r="AF2024">
        <v>6</v>
      </c>
      <c r="AI2024">
        <v>1</v>
      </c>
      <c r="AJ2024">
        <v>10</v>
      </c>
      <c r="AQ2024">
        <v>19</v>
      </c>
      <c r="AR2024" s="3">
        <f t="shared" si="93"/>
        <v>0</v>
      </c>
      <c r="AS2024" s="3">
        <f t="shared" si="94"/>
        <v>0</v>
      </c>
      <c r="AT2024" s="3" t="str">
        <f>IF(OR(Registered!AM2024&gt;0,Registered!AO2024&gt;0),(IF(Registered!E2024=0,"Size Not Specified",Registered!E2024)),"")</f>
        <v/>
      </c>
      <c r="AU2024" s="3" t="str">
        <f>IF(Registered!AE2024=0,"",IF(Registered!AE2024=1,Registered!AE2024&amp;" Bandana",Registered!AE2024&amp;" Bandanas"))</f>
        <v>1 Bandana</v>
      </c>
      <c r="AV2024" s="3">
        <f t="shared" si="95"/>
        <v>0</v>
      </c>
      <c r="AW2024" s="2" t="str">
        <f>IF(Registered!AV2024=0,"",IF(Registered!AV2024=1,Registered!AV2024&amp;" Meal",Registered!AV2024&amp;" Meals"))</f>
        <v/>
      </c>
      <c r="AX2024" s="2" t="str">
        <f>IF(Registered!AI2024=0,"",Registered!AI2024&amp;" BG")</f>
        <v>1 BG</v>
      </c>
      <c r="AY2024" s="2" t="str">
        <f>IF(Registered!AG2024=0,"",Registered!AG2024&amp;" DustMask")</f>
        <v/>
      </c>
    </row>
    <row r="2025" spans="1:51" customFormat="1" x14ac:dyDescent="0.25">
      <c r="A2025" t="s">
        <v>346</v>
      </c>
      <c r="B2025" t="s">
        <v>2236</v>
      </c>
      <c r="C2025" t="s">
        <v>6090</v>
      </c>
      <c r="G2025" t="s">
        <v>578</v>
      </c>
      <c r="H2025" t="s">
        <v>579</v>
      </c>
      <c r="I2025" t="s">
        <v>580</v>
      </c>
      <c r="J2025" t="s">
        <v>37</v>
      </c>
      <c r="K2025" t="s">
        <v>32</v>
      </c>
      <c r="L2025" t="s">
        <v>35</v>
      </c>
      <c r="AQ2025">
        <v>0</v>
      </c>
      <c r="AR2025" s="3">
        <f t="shared" si="93"/>
        <v>0</v>
      </c>
      <c r="AS2025" s="3">
        <f t="shared" si="94"/>
        <v>0</v>
      </c>
      <c r="AT2025" s="3" t="str">
        <f>IF(OR(Registered!AM2025&gt;0,Registered!AO2025&gt;0),(IF(Registered!E2025=0,"Size Not Specified",Registered!E2025)),"")</f>
        <v/>
      </c>
      <c r="AU2025" s="3" t="str">
        <f>IF(Registered!AE2025=0,"",IF(Registered!AE2025=1,Registered!AE2025&amp;" Bandana",Registered!AE2025&amp;" Bandanas"))</f>
        <v/>
      </c>
      <c r="AV2025" s="3">
        <f t="shared" si="95"/>
        <v>0</v>
      </c>
      <c r="AW2025" s="2" t="str">
        <f>IF(Registered!AV2025=0,"",IF(Registered!AV2025=1,Registered!AV2025&amp;" Meal",Registered!AV2025&amp;" Meals"))</f>
        <v/>
      </c>
      <c r="AX2025" s="2" t="str">
        <f>IF(Registered!AI2025=0,"",Registered!AI2025&amp;" BG")</f>
        <v/>
      </c>
      <c r="AY2025" s="2" t="str">
        <f>IF(Registered!AG2025=0,"",Registered!AG2025&amp;" DustMask")</f>
        <v/>
      </c>
    </row>
    <row r="2026" spans="1:51" customFormat="1" x14ac:dyDescent="0.25">
      <c r="A2026" t="s">
        <v>413</v>
      </c>
      <c r="B2026" t="s">
        <v>2088</v>
      </c>
      <c r="C2026" t="s">
        <v>6090</v>
      </c>
      <c r="D2026" t="s">
        <v>2237</v>
      </c>
      <c r="F2026" t="s">
        <v>261</v>
      </c>
      <c r="I2026" t="s">
        <v>2238</v>
      </c>
      <c r="J2026" t="s">
        <v>37</v>
      </c>
      <c r="K2026" t="s">
        <v>32</v>
      </c>
      <c r="L2026" t="s">
        <v>35</v>
      </c>
      <c r="S2026">
        <v>2</v>
      </c>
      <c r="T2026">
        <v>3</v>
      </c>
      <c r="AA2026">
        <v>1</v>
      </c>
      <c r="AB2026">
        <v>75</v>
      </c>
      <c r="AQ2026">
        <v>81</v>
      </c>
      <c r="AR2026" s="3">
        <f t="shared" si="93"/>
        <v>40</v>
      </c>
      <c r="AS2026" s="3">
        <f t="shared" si="94"/>
        <v>0</v>
      </c>
      <c r="AT2026" s="3" t="str">
        <f>IF(OR(Registered!AM2026&gt;0,Registered!AO2026&gt;0),(IF(Registered!E2026=0,"Size Not Specified",Registered!E2026)),"")</f>
        <v/>
      </c>
      <c r="AU2026" s="3" t="str">
        <f>IF(Registered!AE2026=0,"",IF(Registered!AE2026=1,Registered!AE2026&amp;" Bandana",Registered!AE2026&amp;" Bandanas"))</f>
        <v/>
      </c>
      <c r="AV2026" s="3">
        <f t="shared" si="95"/>
        <v>0</v>
      </c>
      <c r="AW2026" s="2" t="str">
        <f>IF(Registered!AV2026=0,"",IF(Registered!AV2026=1,Registered!AV2026&amp;" Meal",Registered!AV2026&amp;" Meals"))</f>
        <v/>
      </c>
      <c r="AX2026" s="2" t="str">
        <f>IF(Registered!AI2026=0,"",Registered!AI2026&amp;" BG")</f>
        <v/>
      </c>
      <c r="AY2026" s="2" t="str">
        <f>IF(Registered!AG2026=0,"",Registered!AG2026&amp;" DustMask")</f>
        <v/>
      </c>
    </row>
    <row r="2027" spans="1:51" customFormat="1" x14ac:dyDescent="0.25">
      <c r="A2027" t="s">
        <v>4173</v>
      </c>
      <c r="B2027" t="s">
        <v>4174</v>
      </c>
      <c r="C2027" t="s">
        <v>6090</v>
      </c>
      <c r="D2027" t="s">
        <v>5535</v>
      </c>
      <c r="F2027" t="s">
        <v>261</v>
      </c>
      <c r="I2027" t="s">
        <v>4175</v>
      </c>
      <c r="J2027" t="s">
        <v>37</v>
      </c>
      <c r="K2027" t="s">
        <v>32</v>
      </c>
      <c r="L2027" t="s">
        <v>35</v>
      </c>
      <c r="Q2027">
        <v>4</v>
      </c>
      <c r="R2027">
        <v>3</v>
      </c>
      <c r="AC2027">
        <v>1</v>
      </c>
      <c r="AD2027">
        <v>10</v>
      </c>
      <c r="AQ2027">
        <v>22</v>
      </c>
      <c r="AR2027" s="3">
        <f t="shared" si="93"/>
        <v>5</v>
      </c>
      <c r="AS2027" s="3">
        <f t="shared" si="94"/>
        <v>0</v>
      </c>
      <c r="AT2027" s="3" t="str">
        <f>IF(OR(Registered!AM2027&gt;0,Registered!AO2027&gt;0),(IF(Registered!E2027=0,"Size Not Specified",Registered!E2027)),"")</f>
        <v/>
      </c>
      <c r="AU2027" s="3" t="str">
        <f>IF(Registered!AE2027=0,"",IF(Registered!AE2027=1,Registered!AE2027&amp;" Bandana",Registered!AE2027&amp;" Bandanas"))</f>
        <v/>
      </c>
      <c r="AV2027" s="3">
        <f t="shared" si="95"/>
        <v>0</v>
      </c>
      <c r="AW2027" s="2" t="str">
        <f>IF(Registered!AV2027=0,"",IF(Registered!AV2027=1,Registered!AV2027&amp;" Meal",Registered!AV2027&amp;" Meals"))</f>
        <v/>
      </c>
      <c r="AX2027" s="2" t="str">
        <f>IF(Registered!AI2027=0,"",Registered!AI2027&amp;" BG")</f>
        <v/>
      </c>
      <c r="AY2027" s="2" t="str">
        <f>IF(Registered!AG2027=0,"",Registered!AG2027&amp;" DustMask")</f>
        <v/>
      </c>
    </row>
    <row r="2028" spans="1:51" customFormat="1" x14ac:dyDescent="0.25">
      <c r="A2028" t="s">
        <v>248</v>
      </c>
      <c r="B2028" t="s">
        <v>5536</v>
      </c>
      <c r="C2028" t="s">
        <v>6090</v>
      </c>
      <c r="G2028" t="s">
        <v>4323</v>
      </c>
      <c r="H2028" t="s">
        <v>4324</v>
      </c>
      <c r="I2028" t="s">
        <v>4326</v>
      </c>
      <c r="J2028" t="s">
        <v>37</v>
      </c>
      <c r="K2028" t="s">
        <v>32</v>
      </c>
      <c r="L2028" t="s">
        <v>35</v>
      </c>
      <c r="AQ2028">
        <v>0</v>
      </c>
      <c r="AR2028" s="3">
        <f t="shared" si="93"/>
        <v>0</v>
      </c>
      <c r="AS2028" s="3">
        <f t="shared" si="94"/>
        <v>0</v>
      </c>
      <c r="AT2028" s="3" t="str">
        <f>IF(OR(Registered!AM2028&gt;0,Registered!AO2028&gt;0),(IF(Registered!E2028=0,"Size Not Specified",Registered!E2028)),"")</f>
        <v/>
      </c>
      <c r="AU2028" s="3" t="str">
        <f>IF(Registered!AE2028=0,"",IF(Registered!AE2028=1,Registered!AE2028&amp;" Bandana",Registered!AE2028&amp;" Bandanas"))</f>
        <v/>
      </c>
      <c r="AV2028" s="3">
        <f t="shared" si="95"/>
        <v>0</v>
      </c>
      <c r="AW2028" s="2" t="str">
        <f>IF(Registered!AV2028=0,"",IF(Registered!AV2028=1,Registered!AV2028&amp;" Meal",Registered!AV2028&amp;" Meals"))</f>
        <v/>
      </c>
      <c r="AX2028" s="2" t="str">
        <f>IF(Registered!AI2028=0,"",Registered!AI2028&amp;" BG")</f>
        <v/>
      </c>
      <c r="AY2028" s="2" t="str">
        <f>IF(Registered!AG2028=0,"",Registered!AG2028&amp;" DustMask")</f>
        <v/>
      </c>
    </row>
    <row r="2029" spans="1:51" customFormat="1" x14ac:dyDescent="0.25">
      <c r="A2029" t="s">
        <v>2239</v>
      </c>
      <c r="B2029" t="s">
        <v>2240</v>
      </c>
      <c r="C2029" t="s">
        <v>6090</v>
      </c>
      <c r="I2029" t="s">
        <v>2241</v>
      </c>
      <c r="J2029" t="s">
        <v>37</v>
      </c>
      <c r="K2029" t="s">
        <v>32</v>
      </c>
      <c r="L2029" t="s">
        <v>35</v>
      </c>
      <c r="O2029">
        <v>1</v>
      </c>
      <c r="P2029">
        <v>3</v>
      </c>
      <c r="AQ2029">
        <v>3</v>
      </c>
      <c r="AR2029" s="3">
        <f t="shared" si="93"/>
        <v>0</v>
      </c>
      <c r="AS2029" s="3">
        <f t="shared" si="94"/>
        <v>0</v>
      </c>
      <c r="AT2029" s="3" t="str">
        <f>IF(OR(Registered!AM2029&gt;0,Registered!AO2029&gt;0),(IF(Registered!E2029=0,"Size Not Specified",Registered!E2029)),"")</f>
        <v/>
      </c>
      <c r="AU2029" s="3" t="str">
        <f>IF(Registered!AE2029=0,"",IF(Registered!AE2029=1,Registered!AE2029&amp;" Bandana",Registered!AE2029&amp;" Bandanas"))</f>
        <v/>
      </c>
      <c r="AV2029" s="3">
        <f t="shared" si="95"/>
        <v>0</v>
      </c>
      <c r="AW2029" s="2" t="str">
        <f>IF(Registered!AV2029=0,"",IF(Registered!AV2029=1,Registered!AV2029&amp;" Meal",Registered!AV2029&amp;" Meals"))</f>
        <v/>
      </c>
      <c r="AX2029" s="2" t="str">
        <f>IF(Registered!AI2029=0,"",Registered!AI2029&amp;" BG")</f>
        <v/>
      </c>
      <c r="AY2029" s="2" t="str">
        <f>IF(Registered!AG2029=0,"",Registered!AG2029&amp;" DustMask")</f>
        <v/>
      </c>
    </row>
    <row r="2030" spans="1:51" customFormat="1" x14ac:dyDescent="0.25">
      <c r="A2030" t="s">
        <v>565</v>
      </c>
      <c r="B2030" t="s">
        <v>566</v>
      </c>
      <c r="C2030" t="s">
        <v>6090</v>
      </c>
      <c r="D2030" t="s">
        <v>2242</v>
      </c>
      <c r="I2030" t="s">
        <v>567</v>
      </c>
      <c r="J2030" t="s">
        <v>37</v>
      </c>
      <c r="K2030" t="s">
        <v>32</v>
      </c>
      <c r="L2030" t="s">
        <v>35</v>
      </c>
      <c r="O2030">
        <v>2</v>
      </c>
      <c r="P2030">
        <v>3</v>
      </c>
      <c r="Y2030">
        <v>1</v>
      </c>
      <c r="Z2030">
        <v>60</v>
      </c>
      <c r="AQ2030">
        <v>66</v>
      </c>
      <c r="AR2030" s="3">
        <f t="shared" si="93"/>
        <v>30</v>
      </c>
      <c r="AS2030" s="3">
        <f t="shared" si="94"/>
        <v>0</v>
      </c>
      <c r="AT2030" s="3" t="str">
        <f>IF(OR(Registered!AM2030&gt;0,Registered!AO2030&gt;0),(IF(Registered!E2030=0,"Size Not Specified",Registered!E2030)),"")</f>
        <v/>
      </c>
      <c r="AU2030" s="3" t="str">
        <f>IF(Registered!AE2030=0,"",IF(Registered!AE2030=1,Registered!AE2030&amp;" Bandana",Registered!AE2030&amp;" Bandanas"))</f>
        <v/>
      </c>
      <c r="AV2030" s="3">
        <f t="shared" si="95"/>
        <v>0</v>
      </c>
      <c r="AW2030" s="2" t="str">
        <f>IF(Registered!AV2030=0,"",IF(Registered!AV2030=1,Registered!AV2030&amp;" Meal",Registered!AV2030&amp;" Meals"))</f>
        <v/>
      </c>
      <c r="AX2030" s="2" t="str">
        <f>IF(Registered!AI2030=0,"",Registered!AI2030&amp;" BG")</f>
        <v/>
      </c>
      <c r="AY2030" s="2" t="str">
        <f>IF(Registered!AG2030=0,"",Registered!AG2030&amp;" DustMask")</f>
        <v/>
      </c>
    </row>
    <row r="2031" spans="1:51" customFormat="1" x14ac:dyDescent="0.25">
      <c r="A2031" t="s">
        <v>294</v>
      </c>
      <c r="B2031" t="s">
        <v>3333</v>
      </c>
      <c r="C2031" t="s">
        <v>6090</v>
      </c>
      <c r="D2031" t="s">
        <v>3334</v>
      </c>
      <c r="F2031" t="s">
        <v>261</v>
      </c>
      <c r="I2031" t="s">
        <v>3335</v>
      </c>
      <c r="J2031" t="s">
        <v>37</v>
      </c>
      <c r="K2031" t="s">
        <v>32</v>
      </c>
      <c r="L2031" t="s">
        <v>35</v>
      </c>
      <c r="Q2031">
        <v>1</v>
      </c>
      <c r="R2031">
        <v>3</v>
      </c>
      <c r="AC2031">
        <v>1</v>
      </c>
      <c r="AD2031">
        <v>10</v>
      </c>
      <c r="AQ2031">
        <v>13</v>
      </c>
      <c r="AR2031" s="3">
        <f t="shared" si="93"/>
        <v>5</v>
      </c>
      <c r="AS2031" s="3">
        <f t="shared" si="94"/>
        <v>0</v>
      </c>
      <c r="AT2031" s="3" t="str">
        <f>IF(OR(Registered!AM2031&gt;0,Registered!AO2031&gt;0),(IF(Registered!E2031=0,"Size Not Specified",Registered!E2031)),"")</f>
        <v/>
      </c>
      <c r="AU2031" s="3" t="str">
        <f>IF(Registered!AE2031=0,"",IF(Registered!AE2031=1,Registered!AE2031&amp;" Bandana",Registered!AE2031&amp;" Bandanas"))</f>
        <v/>
      </c>
      <c r="AV2031" s="3">
        <f t="shared" si="95"/>
        <v>0</v>
      </c>
      <c r="AW2031" s="2" t="str">
        <f>IF(Registered!AV2031=0,"",IF(Registered!AV2031=1,Registered!AV2031&amp;" Meal",Registered!AV2031&amp;" Meals"))</f>
        <v/>
      </c>
      <c r="AX2031" s="2" t="str">
        <f>IF(Registered!AI2031=0,"",Registered!AI2031&amp;" BG")</f>
        <v/>
      </c>
      <c r="AY2031" s="2" t="str">
        <f>IF(Registered!AG2031=0,"",Registered!AG2031&amp;" DustMask")</f>
        <v/>
      </c>
    </row>
    <row r="2032" spans="1:51" customFormat="1" x14ac:dyDescent="0.25">
      <c r="A2032" t="s">
        <v>180</v>
      </c>
      <c r="B2032" t="s">
        <v>2243</v>
      </c>
      <c r="C2032" t="s">
        <v>6090</v>
      </c>
      <c r="G2032" t="s">
        <v>199</v>
      </c>
      <c r="H2032" t="s">
        <v>2212</v>
      </c>
      <c r="I2032" t="s">
        <v>2213</v>
      </c>
      <c r="J2032" t="s">
        <v>37</v>
      </c>
      <c r="K2032" t="s">
        <v>32</v>
      </c>
      <c r="L2032" t="s">
        <v>35</v>
      </c>
      <c r="AQ2032">
        <v>0</v>
      </c>
      <c r="AR2032" s="3">
        <f t="shared" si="93"/>
        <v>0</v>
      </c>
      <c r="AS2032" s="3">
        <f t="shared" si="94"/>
        <v>0</v>
      </c>
      <c r="AT2032" s="3" t="str">
        <f>IF(OR(Registered!AM2032&gt;0,Registered!AO2032&gt;0),(IF(Registered!E2032=0,"Size Not Specified",Registered!E2032)),"")</f>
        <v/>
      </c>
      <c r="AU2032" s="3" t="str">
        <f>IF(Registered!AE2032=0,"",IF(Registered!AE2032=1,Registered!AE2032&amp;" Bandana",Registered!AE2032&amp;" Bandanas"))</f>
        <v/>
      </c>
      <c r="AV2032" s="3">
        <f t="shared" si="95"/>
        <v>0</v>
      </c>
      <c r="AW2032" s="2" t="str">
        <f>IF(Registered!AV2032=0,"",IF(Registered!AV2032=1,Registered!AV2032&amp;" Meal",Registered!AV2032&amp;" Meals"))</f>
        <v/>
      </c>
      <c r="AX2032" s="2" t="str">
        <f>IF(Registered!AI2032=0,"",Registered!AI2032&amp;" BG")</f>
        <v/>
      </c>
      <c r="AY2032" s="2" t="str">
        <f>IF(Registered!AG2032=0,"",Registered!AG2032&amp;" DustMask")</f>
        <v/>
      </c>
    </row>
    <row r="2033" spans="1:51" customFormat="1" x14ac:dyDescent="0.25">
      <c r="A2033" t="s">
        <v>384</v>
      </c>
      <c r="B2033" t="s">
        <v>423</v>
      </c>
      <c r="C2033" t="s">
        <v>6090</v>
      </c>
      <c r="D2033" t="s">
        <v>5537</v>
      </c>
      <c r="F2033" t="s">
        <v>261</v>
      </c>
      <c r="I2033" t="s">
        <v>5538</v>
      </c>
      <c r="J2033" t="s">
        <v>37</v>
      </c>
      <c r="K2033" t="s">
        <v>32</v>
      </c>
      <c r="L2033" t="s">
        <v>35</v>
      </c>
      <c r="Q2033">
        <v>2</v>
      </c>
      <c r="R2033">
        <v>3</v>
      </c>
      <c r="U2033">
        <v>1</v>
      </c>
      <c r="V2033">
        <v>20</v>
      </c>
      <c r="AQ2033">
        <v>26</v>
      </c>
      <c r="AR2033" s="3">
        <f t="shared" si="93"/>
        <v>10</v>
      </c>
      <c r="AS2033" s="3">
        <f t="shared" si="94"/>
        <v>0</v>
      </c>
      <c r="AT2033" s="3" t="str">
        <f>IF(OR(Registered!AM2033&gt;0,Registered!AO2033&gt;0),(IF(Registered!E2033=0,"Size Not Specified",Registered!E2033)),"")</f>
        <v/>
      </c>
      <c r="AU2033" s="3" t="str">
        <f>IF(Registered!AE2033=0,"",IF(Registered!AE2033=1,Registered!AE2033&amp;" Bandana",Registered!AE2033&amp;" Bandanas"))</f>
        <v/>
      </c>
      <c r="AV2033" s="3">
        <f t="shared" si="95"/>
        <v>0</v>
      </c>
      <c r="AW2033" s="2" t="str">
        <f>IF(Registered!AV2033=0,"",IF(Registered!AV2033=1,Registered!AV2033&amp;" Meal",Registered!AV2033&amp;" Meals"))</f>
        <v/>
      </c>
      <c r="AX2033" s="2" t="str">
        <f>IF(Registered!AI2033=0,"",Registered!AI2033&amp;" BG")</f>
        <v/>
      </c>
      <c r="AY2033" s="2" t="str">
        <f>IF(Registered!AG2033=0,"",Registered!AG2033&amp;" DustMask")</f>
        <v/>
      </c>
    </row>
    <row r="2034" spans="1:51" customFormat="1" x14ac:dyDescent="0.25">
      <c r="A2034" t="s">
        <v>2055</v>
      </c>
      <c r="B2034" t="s">
        <v>423</v>
      </c>
      <c r="C2034" t="s">
        <v>6090</v>
      </c>
      <c r="F2034" t="s">
        <v>261</v>
      </c>
      <c r="I2034" t="s">
        <v>2244</v>
      </c>
      <c r="J2034" t="s">
        <v>37</v>
      </c>
      <c r="K2034" t="s">
        <v>32</v>
      </c>
      <c r="L2034" t="s">
        <v>35</v>
      </c>
      <c r="S2034">
        <v>1</v>
      </c>
      <c r="T2034">
        <v>3</v>
      </c>
      <c r="AQ2034">
        <v>3</v>
      </c>
      <c r="AR2034" s="3">
        <f t="shared" si="93"/>
        <v>0</v>
      </c>
      <c r="AS2034" s="3">
        <f t="shared" si="94"/>
        <v>0</v>
      </c>
      <c r="AT2034" s="3" t="str">
        <f>IF(OR(Registered!AM2034&gt;0,Registered!AO2034&gt;0),(IF(Registered!E2034=0,"Size Not Specified",Registered!E2034)),"")</f>
        <v/>
      </c>
      <c r="AU2034" s="3" t="str">
        <f>IF(Registered!AE2034=0,"",IF(Registered!AE2034=1,Registered!AE2034&amp;" Bandana",Registered!AE2034&amp;" Bandanas"))</f>
        <v/>
      </c>
      <c r="AV2034" s="3">
        <f t="shared" si="95"/>
        <v>0</v>
      </c>
      <c r="AW2034" s="2" t="str">
        <f>IF(Registered!AV2034=0,"",IF(Registered!AV2034=1,Registered!AV2034&amp;" Meal",Registered!AV2034&amp;" Meals"))</f>
        <v/>
      </c>
      <c r="AX2034" s="2" t="str">
        <f>IF(Registered!AI2034=0,"",Registered!AI2034&amp;" BG")</f>
        <v/>
      </c>
      <c r="AY2034" s="2" t="str">
        <f>IF(Registered!AG2034=0,"",Registered!AG2034&amp;" DustMask")</f>
        <v/>
      </c>
    </row>
    <row r="2035" spans="1:51" customFormat="1" x14ac:dyDescent="0.25">
      <c r="A2035" t="s">
        <v>377</v>
      </c>
      <c r="B2035" t="s">
        <v>3690</v>
      </c>
      <c r="C2035" t="s">
        <v>6090</v>
      </c>
      <c r="D2035" t="s">
        <v>5539</v>
      </c>
      <c r="F2035" t="s">
        <v>261</v>
      </c>
      <c r="I2035" t="s">
        <v>3691</v>
      </c>
      <c r="J2035" t="s">
        <v>37</v>
      </c>
      <c r="K2035" t="s">
        <v>32</v>
      </c>
      <c r="L2035" t="s">
        <v>35</v>
      </c>
      <c r="Q2035">
        <v>8</v>
      </c>
      <c r="R2035">
        <v>3</v>
      </c>
      <c r="U2035">
        <v>1</v>
      </c>
      <c r="V2035">
        <v>20</v>
      </c>
      <c r="AQ2035">
        <v>44</v>
      </c>
      <c r="AR2035" s="3">
        <f t="shared" si="93"/>
        <v>10</v>
      </c>
      <c r="AS2035" s="3">
        <f t="shared" si="94"/>
        <v>0</v>
      </c>
      <c r="AT2035" s="3" t="str">
        <f>IF(OR(Registered!AM2035&gt;0,Registered!AO2035&gt;0),(IF(Registered!E2035=0,"Size Not Specified",Registered!E2035)),"")</f>
        <v/>
      </c>
      <c r="AU2035" s="3" t="str">
        <f>IF(Registered!AE2035=0,"",IF(Registered!AE2035=1,Registered!AE2035&amp;" Bandana",Registered!AE2035&amp;" Bandanas"))</f>
        <v/>
      </c>
      <c r="AV2035" s="3">
        <f t="shared" si="95"/>
        <v>0</v>
      </c>
      <c r="AW2035" s="2" t="str">
        <f>IF(Registered!AV2035=0,"",IF(Registered!AV2035=1,Registered!AV2035&amp;" Meal",Registered!AV2035&amp;" Meals"))</f>
        <v/>
      </c>
      <c r="AX2035" s="2" t="str">
        <f>IF(Registered!AI2035=0,"",Registered!AI2035&amp;" BG")</f>
        <v/>
      </c>
      <c r="AY2035" s="2" t="str">
        <f>IF(Registered!AG2035=0,"",Registered!AG2035&amp;" DustMask")</f>
        <v/>
      </c>
    </row>
    <row r="2036" spans="1:51" customFormat="1" x14ac:dyDescent="0.25">
      <c r="A2036" t="s">
        <v>2584</v>
      </c>
      <c r="B2036" t="s">
        <v>3690</v>
      </c>
      <c r="C2036" t="s">
        <v>6090</v>
      </c>
      <c r="G2036" t="s">
        <v>377</v>
      </c>
      <c r="H2036" t="s">
        <v>3690</v>
      </c>
      <c r="I2036" t="s">
        <v>3691</v>
      </c>
      <c r="J2036" t="s">
        <v>37</v>
      </c>
      <c r="K2036" t="s">
        <v>32</v>
      </c>
      <c r="L2036" t="s">
        <v>35</v>
      </c>
      <c r="AQ2036">
        <v>0</v>
      </c>
      <c r="AR2036" s="3">
        <f t="shared" si="93"/>
        <v>0</v>
      </c>
      <c r="AS2036" s="3">
        <f t="shared" si="94"/>
        <v>0</v>
      </c>
      <c r="AT2036" s="3" t="str">
        <f>IF(OR(Registered!AM2036&gt;0,Registered!AO2036&gt;0),(IF(Registered!E2036=0,"Size Not Specified",Registered!E2036)),"")</f>
        <v/>
      </c>
      <c r="AU2036" s="3" t="str">
        <f>IF(Registered!AE2036=0,"",IF(Registered!AE2036=1,Registered!AE2036&amp;" Bandana",Registered!AE2036&amp;" Bandanas"))</f>
        <v/>
      </c>
      <c r="AV2036" s="3">
        <f t="shared" si="95"/>
        <v>0</v>
      </c>
      <c r="AW2036" s="2" t="str">
        <f>IF(Registered!AV2036=0,"",IF(Registered!AV2036=1,Registered!AV2036&amp;" Meal",Registered!AV2036&amp;" Meals"))</f>
        <v/>
      </c>
      <c r="AX2036" s="2" t="str">
        <f>IF(Registered!AI2036=0,"",Registered!AI2036&amp;" BG")</f>
        <v/>
      </c>
      <c r="AY2036" s="2" t="str">
        <f>IF(Registered!AG2036=0,"",Registered!AG2036&amp;" DustMask")</f>
        <v/>
      </c>
    </row>
    <row r="2037" spans="1:51" customFormat="1" x14ac:dyDescent="0.25">
      <c r="A2037" t="s">
        <v>2856</v>
      </c>
      <c r="B2037" t="s">
        <v>3690</v>
      </c>
      <c r="C2037" t="s">
        <v>6090</v>
      </c>
      <c r="G2037" t="s">
        <v>377</v>
      </c>
      <c r="H2037" t="s">
        <v>3690</v>
      </c>
      <c r="I2037" t="s">
        <v>3691</v>
      </c>
      <c r="J2037" t="s">
        <v>37</v>
      </c>
      <c r="K2037" t="s">
        <v>32</v>
      </c>
      <c r="L2037" t="s">
        <v>35</v>
      </c>
      <c r="AQ2037">
        <v>0</v>
      </c>
      <c r="AR2037" s="3">
        <f t="shared" si="93"/>
        <v>0</v>
      </c>
      <c r="AS2037" s="3">
        <f t="shared" si="94"/>
        <v>0</v>
      </c>
      <c r="AT2037" s="3" t="str">
        <f>IF(OR(Registered!AM2037&gt;0,Registered!AO2037&gt;0),(IF(Registered!E2037=0,"Size Not Specified",Registered!E2037)),"")</f>
        <v/>
      </c>
      <c r="AU2037" s="3" t="str">
        <f>IF(Registered!AE2037=0,"",IF(Registered!AE2037=1,Registered!AE2037&amp;" Bandana",Registered!AE2037&amp;" Bandanas"))</f>
        <v/>
      </c>
      <c r="AV2037" s="3">
        <f t="shared" si="95"/>
        <v>0</v>
      </c>
      <c r="AW2037" s="2" t="str">
        <f>IF(Registered!AV2037=0,"",IF(Registered!AV2037=1,Registered!AV2037&amp;" Meal",Registered!AV2037&amp;" Meals"))</f>
        <v/>
      </c>
      <c r="AX2037" s="2" t="str">
        <f>IF(Registered!AI2037=0,"",Registered!AI2037&amp;" BG")</f>
        <v/>
      </c>
      <c r="AY2037" s="2" t="str">
        <f>IF(Registered!AG2037=0,"",Registered!AG2037&amp;" DustMask")</f>
        <v/>
      </c>
    </row>
    <row r="2038" spans="1:51" customFormat="1" x14ac:dyDescent="0.25">
      <c r="A2038" t="s">
        <v>393</v>
      </c>
      <c r="B2038" t="s">
        <v>486</v>
      </c>
      <c r="C2038" t="s">
        <v>6090</v>
      </c>
      <c r="D2038" t="s">
        <v>5540</v>
      </c>
      <c r="F2038" t="s">
        <v>261</v>
      </c>
      <c r="I2038" t="s">
        <v>3949</v>
      </c>
      <c r="J2038" t="s">
        <v>37</v>
      </c>
      <c r="K2038" t="s">
        <v>32</v>
      </c>
      <c r="L2038" t="s">
        <v>35</v>
      </c>
      <c r="Q2038">
        <v>4</v>
      </c>
      <c r="R2038">
        <v>3</v>
      </c>
      <c r="U2038">
        <v>1</v>
      </c>
      <c r="V2038">
        <v>20</v>
      </c>
      <c r="AQ2038">
        <v>32</v>
      </c>
      <c r="AR2038" s="3">
        <f t="shared" si="93"/>
        <v>10</v>
      </c>
      <c r="AS2038" s="3">
        <f t="shared" si="94"/>
        <v>0</v>
      </c>
      <c r="AT2038" s="3" t="str">
        <f>IF(OR(Registered!AM2038&gt;0,Registered!AO2038&gt;0),(IF(Registered!E2038=0,"Size Not Specified",Registered!E2038)),"")</f>
        <v/>
      </c>
      <c r="AU2038" s="3" t="str">
        <f>IF(Registered!AE2038=0,"",IF(Registered!AE2038=1,Registered!AE2038&amp;" Bandana",Registered!AE2038&amp;" Bandanas"))</f>
        <v/>
      </c>
      <c r="AV2038" s="3">
        <f t="shared" si="95"/>
        <v>0</v>
      </c>
      <c r="AW2038" s="2" t="str">
        <f>IF(Registered!AV2038=0,"",IF(Registered!AV2038=1,Registered!AV2038&amp;" Meal",Registered!AV2038&amp;" Meals"))</f>
        <v/>
      </c>
      <c r="AX2038" s="2" t="str">
        <f>IF(Registered!AI2038=0,"",Registered!AI2038&amp;" BG")</f>
        <v/>
      </c>
      <c r="AY2038" s="2" t="str">
        <f>IF(Registered!AG2038=0,"",Registered!AG2038&amp;" DustMask")</f>
        <v/>
      </c>
    </row>
    <row r="2039" spans="1:51" customFormat="1" x14ac:dyDescent="0.25">
      <c r="A2039" t="s">
        <v>707</v>
      </c>
      <c r="B2039" t="s">
        <v>486</v>
      </c>
      <c r="C2039" t="s">
        <v>6090</v>
      </c>
      <c r="G2039" t="s">
        <v>393</v>
      </c>
      <c r="H2039" t="s">
        <v>486</v>
      </c>
      <c r="I2039" t="s">
        <v>3949</v>
      </c>
      <c r="J2039" t="s">
        <v>37</v>
      </c>
      <c r="K2039" t="s">
        <v>32</v>
      </c>
      <c r="L2039" t="s">
        <v>35</v>
      </c>
      <c r="AQ2039">
        <v>0</v>
      </c>
      <c r="AR2039" s="3">
        <f t="shared" si="93"/>
        <v>0</v>
      </c>
      <c r="AS2039" s="3">
        <f t="shared" si="94"/>
        <v>0</v>
      </c>
      <c r="AT2039" s="3" t="str">
        <f>IF(OR(Registered!AM2039&gt;0,Registered!AO2039&gt;0),(IF(Registered!E2039=0,"Size Not Specified",Registered!E2039)),"")</f>
        <v/>
      </c>
      <c r="AU2039" s="3" t="str">
        <f>IF(Registered!AE2039=0,"",IF(Registered!AE2039=1,Registered!AE2039&amp;" Bandana",Registered!AE2039&amp;" Bandanas"))</f>
        <v/>
      </c>
      <c r="AV2039" s="3">
        <f t="shared" si="95"/>
        <v>0</v>
      </c>
      <c r="AW2039" s="2" t="str">
        <f>IF(Registered!AV2039=0,"",IF(Registered!AV2039=1,Registered!AV2039&amp;" Meal",Registered!AV2039&amp;" Meals"))</f>
        <v/>
      </c>
      <c r="AX2039" s="2" t="str">
        <f>IF(Registered!AI2039=0,"",Registered!AI2039&amp;" BG")</f>
        <v/>
      </c>
      <c r="AY2039" s="2" t="str">
        <f>IF(Registered!AG2039=0,"",Registered!AG2039&amp;" DustMask")</f>
        <v/>
      </c>
    </row>
    <row r="2040" spans="1:51" customFormat="1" x14ac:dyDescent="0.25">
      <c r="A2040" t="s">
        <v>149</v>
      </c>
      <c r="B2040" t="s">
        <v>486</v>
      </c>
      <c r="C2040" t="s">
        <v>6090</v>
      </c>
      <c r="G2040" t="s">
        <v>180</v>
      </c>
      <c r="H2040" t="s">
        <v>1456</v>
      </c>
      <c r="I2040" t="s">
        <v>1457</v>
      </c>
      <c r="J2040" t="s">
        <v>37</v>
      </c>
      <c r="K2040" t="s">
        <v>32</v>
      </c>
      <c r="L2040" t="s">
        <v>35</v>
      </c>
      <c r="AQ2040">
        <v>0</v>
      </c>
      <c r="AR2040" s="3">
        <f t="shared" si="93"/>
        <v>0</v>
      </c>
      <c r="AS2040" s="3">
        <f t="shared" si="94"/>
        <v>0</v>
      </c>
      <c r="AT2040" s="3" t="str">
        <f>IF(OR(Registered!AM2040&gt;0,Registered!AO2040&gt;0),(IF(Registered!E2040=0,"Size Not Specified",Registered!E2040)),"")</f>
        <v/>
      </c>
      <c r="AU2040" s="3" t="str">
        <f>IF(Registered!AE2040=0,"",IF(Registered!AE2040=1,Registered!AE2040&amp;" Bandana",Registered!AE2040&amp;" Bandanas"))</f>
        <v/>
      </c>
      <c r="AV2040" s="3">
        <f t="shared" si="95"/>
        <v>0</v>
      </c>
      <c r="AW2040" s="2" t="str">
        <f>IF(Registered!AV2040=0,"",IF(Registered!AV2040=1,Registered!AV2040&amp;" Meal",Registered!AV2040&amp;" Meals"))</f>
        <v/>
      </c>
      <c r="AX2040" s="2" t="str">
        <f>IF(Registered!AI2040=0,"",Registered!AI2040&amp;" BG")</f>
        <v/>
      </c>
      <c r="AY2040" s="2" t="str">
        <f>IF(Registered!AG2040=0,"",Registered!AG2040&amp;" DustMask")</f>
        <v/>
      </c>
    </row>
    <row r="2041" spans="1:51" customFormat="1" x14ac:dyDescent="0.25">
      <c r="A2041" t="s">
        <v>203</v>
      </c>
      <c r="B2041" t="s">
        <v>2245</v>
      </c>
      <c r="C2041" t="s">
        <v>6090</v>
      </c>
      <c r="D2041" t="s">
        <v>203</v>
      </c>
      <c r="F2041" t="s">
        <v>261</v>
      </c>
      <c r="I2041" t="s">
        <v>2246</v>
      </c>
      <c r="J2041" t="s">
        <v>37</v>
      </c>
      <c r="K2041" t="s">
        <v>32</v>
      </c>
      <c r="L2041" t="s">
        <v>35</v>
      </c>
      <c r="S2041">
        <v>2</v>
      </c>
      <c r="T2041">
        <v>3</v>
      </c>
      <c r="U2041">
        <v>1</v>
      </c>
      <c r="V2041">
        <v>20</v>
      </c>
      <c r="AQ2041">
        <v>26</v>
      </c>
      <c r="AR2041" s="3">
        <f t="shared" si="93"/>
        <v>10</v>
      </c>
      <c r="AS2041" s="3">
        <f t="shared" si="94"/>
        <v>0</v>
      </c>
      <c r="AT2041" s="3" t="str">
        <f>IF(OR(Registered!AM2041&gt;0,Registered!AO2041&gt;0),(IF(Registered!E2041=0,"Size Not Specified",Registered!E2041)),"")</f>
        <v/>
      </c>
      <c r="AU2041" s="3" t="str">
        <f>IF(Registered!AE2041=0,"",IF(Registered!AE2041=1,Registered!AE2041&amp;" Bandana",Registered!AE2041&amp;" Bandanas"))</f>
        <v/>
      </c>
      <c r="AV2041" s="3">
        <f t="shared" si="95"/>
        <v>0</v>
      </c>
      <c r="AW2041" s="2" t="str">
        <f>IF(Registered!AV2041=0,"",IF(Registered!AV2041=1,Registered!AV2041&amp;" Meal",Registered!AV2041&amp;" Meals"))</f>
        <v/>
      </c>
      <c r="AX2041" s="2" t="str">
        <f>IF(Registered!AI2041=0,"",Registered!AI2041&amp;" BG")</f>
        <v/>
      </c>
      <c r="AY2041" s="2" t="str">
        <f>IF(Registered!AG2041=0,"",Registered!AG2041&amp;" DustMask")</f>
        <v/>
      </c>
    </row>
    <row r="2042" spans="1:51" customFormat="1" x14ac:dyDescent="0.25">
      <c r="A2042" t="s">
        <v>386</v>
      </c>
      <c r="B2042" t="s">
        <v>1807</v>
      </c>
      <c r="C2042" t="s">
        <v>6090</v>
      </c>
      <c r="D2042" t="s">
        <v>2247</v>
      </c>
      <c r="I2042" t="s">
        <v>1808</v>
      </c>
      <c r="J2042" t="s">
        <v>37</v>
      </c>
      <c r="K2042" t="s">
        <v>32</v>
      </c>
      <c r="L2042" t="s">
        <v>35</v>
      </c>
      <c r="S2042">
        <v>3</v>
      </c>
      <c r="T2042">
        <v>3</v>
      </c>
      <c r="U2042">
        <v>1</v>
      </c>
      <c r="V2042">
        <v>20</v>
      </c>
      <c r="AC2042">
        <v>1</v>
      </c>
      <c r="AD2042">
        <v>10</v>
      </c>
      <c r="AQ2042">
        <v>39</v>
      </c>
      <c r="AR2042" s="3">
        <f t="shared" si="93"/>
        <v>15</v>
      </c>
      <c r="AS2042" s="3">
        <f t="shared" si="94"/>
        <v>0</v>
      </c>
      <c r="AT2042" s="3" t="str">
        <f>IF(OR(Registered!AM2042&gt;0,Registered!AO2042&gt;0),(IF(Registered!E2042=0,"Size Not Specified",Registered!E2042)),"")</f>
        <v/>
      </c>
      <c r="AU2042" s="3" t="str">
        <f>IF(Registered!AE2042=0,"",IF(Registered!AE2042=1,Registered!AE2042&amp;" Bandana",Registered!AE2042&amp;" Bandanas"))</f>
        <v/>
      </c>
      <c r="AV2042" s="3">
        <f t="shared" si="95"/>
        <v>0</v>
      </c>
      <c r="AW2042" s="2" t="str">
        <f>IF(Registered!AV2042=0,"",IF(Registered!AV2042=1,Registered!AV2042&amp;" Meal",Registered!AV2042&amp;" Meals"))</f>
        <v/>
      </c>
      <c r="AX2042" s="2" t="str">
        <f>IF(Registered!AI2042=0,"",Registered!AI2042&amp;" BG")</f>
        <v/>
      </c>
      <c r="AY2042" s="2" t="str">
        <f>IF(Registered!AG2042=0,"",Registered!AG2042&amp;" DustMask")</f>
        <v/>
      </c>
    </row>
    <row r="2043" spans="1:51" customFormat="1" x14ac:dyDescent="0.25">
      <c r="A2043" t="s">
        <v>384</v>
      </c>
      <c r="B2043" t="s">
        <v>1807</v>
      </c>
      <c r="C2043" t="s">
        <v>6090</v>
      </c>
      <c r="G2043" t="s">
        <v>386</v>
      </c>
      <c r="H2043" t="s">
        <v>1807</v>
      </c>
      <c r="I2043" t="s">
        <v>1808</v>
      </c>
      <c r="J2043" t="s">
        <v>37</v>
      </c>
      <c r="K2043" t="s">
        <v>32</v>
      </c>
      <c r="L2043" t="s">
        <v>35</v>
      </c>
      <c r="AQ2043">
        <v>0</v>
      </c>
      <c r="AR2043" s="3">
        <f t="shared" si="93"/>
        <v>0</v>
      </c>
      <c r="AS2043" s="3">
        <f t="shared" si="94"/>
        <v>0</v>
      </c>
      <c r="AT2043" s="3" t="str">
        <f>IF(OR(Registered!AM2043&gt;0,Registered!AO2043&gt;0),(IF(Registered!E2043=0,"Size Not Specified",Registered!E2043)),"")</f>
        <v/>
      </c>
      <c r="AU2043" s="3" t="str">
        <f>IF(Registered!AE2043=0,"",IF(Registered!AE2043=1,Registered!AE2043&amp;" Bandana",Registered!AE2043&amp;" Bandanas"))</f>
        <v/>
      </c>
      <c r="AV2043" s="3">
        <f t="shared" si="95"/>
        <v>0</v>
      </c>
      <c r="AW2043" s="2" t="str">
        <f>IF(Registered!AV2043=0,"",IF(Registered!AV2043=1,Registered!AV2043&amp;" Meal",Registered!AV2043&amp;" Meals"))</f>
        <v/>
      </c>
      <c r="AX2043" s="2" t="str">
        <f>IF(Registered!AI2043=0,"",Registered!AI2043&amp;" BG")</f>
        <v/>
      </c>
      <c r="AY2043" s="2" t="str">
        <f>IF(Registered!AG2043=0,"",Registered!AG2043&amp;" DustMask")</f>
        <v/>
      </c>
    </row>
    <row r="2044" spans="1:51" customFormat="1" x14ac:dyDescent="0.25">
      <c r="A2044" t="s">
        <v>2248</v>
      </c>
      <c r="B2044" t="s">
        <v>2249</v>
      </c>
      <c r="C2044" t="s">
        <v>6090</v>
      </c>
      <c r="G2044" t="s">
        <v>1182</v>
      </c>
      <c r="H2044" t="s">
        <v>745</v>
      </c>
      <c r="I2044" t="s">
        <v>1183</v>
      </c>
      <c r="J2044" t="s">
        <v>37</v>
      </c>
      <c r="K2044" t="s">
        <v>32</v>
      </c>
      <c r="L2044" t="s">
        <v>35</v>
      </c>
      <c r="AQ2044">
        <v>0</v>
      </c>
      <c r="AR2044" s="3">
        <f t="shared" si="93"/>
        <v>0</v>
      </c>
      <c r="AS2044" s="3">
        <f t="shared" si="94"/>
        <v>0</v>
      </c>
      <c r="AT2044" s="3" t="str">
        <f>IF(OR(Registered!AM2044&gt;0,Registered!AO2044&gt;0),(IF(Registered!E2044=0,"Size Not Specified",Registered!E2044)),"")</f>
        <v/>
      </c>
      <c r="AU2044" s="3" t="str">
        <f>IF(Registered!AE2044=0,"",IF(Registered!AE2044=1,Registered!AE2044&amp;" Bandana",Registered!AE2044&amp;" Bandanas"))</f>
        <v/>
      </c>
      <c r="AV2044" s="3">
        <f t="shared" si="95"/>
        <v>0</v>
      </c>
      <c r="AW2044" s="2" t="str">
        <f>IF(Registered!AV2044=0,"",IF(Registered!AV2044=1,Registered!AV2044&amp;" Meal",Registered!AV2044&amp;" Meals"))</f>
        <v/>
      </c>
      <c r="AX2044" s="2" t="str">
        <f>IF(Registered!AI2044=0,"",Registered!AI2044&amp;" BG")</f>
        <v/>
      </c>
      <c r="AY2044" s="2" t="str">
        <f>IF(Registered!AG2044=0,"",Registered!AG2044&amp;" DustMask")</f>
        <v/>
      </c>
    </row>
    <row r="2045" spans="1:51" customFormat="1" x14ac:dyDescent="0.25">
      <c r="A2045" t="s">
        <v>3871</v>
      </c>
      <c r="B2045" t="s">
        <v>3872</v>
      </c>
      <c r="C2045" t="s">
        <v>6090</v>
      </c>
      <c r="D2045" t="s">
        <v>3871</v>
      </c>
      <c r="E2045" t="s">
        <v>5541</v>
      </c>
      <c r="F2045" t="s">
        <v>261</v>
      </c>
      <c r="I2045" t="s">
        <v>3873</v>
      </c>
      <c r="J2045" t="s">
        <v>37</v>
      </c>
      <c r="K2045" t="s">
        <v>32</v>
      </c>
      <c r="L2045" t="s">
        <v>35</v>
      </c>
      <c r="Q2045">
        <v>2</v>
      </c>
      <c r="R2045">
        <v>3</v>
      </c>
      <c r="AC2045">
        <v>2</v>
      </c>
      <c r="AD2045">
        <v>10</v>
      </c>
      <c r="AO2045">
        <v>2</v>
      </c>
      <c r="AP2045">
        <v>10</v>
      </c>
      <c r="AQ2045">
        <v>46</v>
      </c>
      <c r="AR2045" s="3">
        <f t="shared" si="93"/>
        <v>10</v>
      </c>
      <c r="AS2045" s="3">
        <f t="shared" si="94"/>
        <v>2</v>
      </c>
      <c r="AT2045" s="3" t="str">
        <f>IF(OR(Registered!AM2045&gt;0,Registered!AO2045&gt;0),(IF(Registered!E2045=0,"Size Not Specified",Registered!E2045)),"")</f>
        <v>Small, Large</v>
      </c>
      <c r="AU2045" s="3" t="str">
        <f>IF(Registered!AE2045=0,"",IF(Registered!AE2045=1,Registered!AE2045&amp;" Bandana",Registered!AE2045&amp;" Bandanas"))</f>
        <v/>
      </c>
      <c r="AV2045" s="3">
        <f t="shared" si="95"/>
        <v>0</v>
      </c>
      <c r="AW2045" s="2" t="str">
        <f>IF(Registered!AV2045=0,"",IF(Registered!AV2045=1,Registered!AV2045&amp;" Meal",Registered!AV2045&amp;" Meals"))</f>
        <v/>
      </c>
      <c r="AX2045" s="2" t="str">
        <f>IF(Registered!AI2045=0,"",Registered!AI2045&amp;" BG")</f>
        <v/>
      </c>
      <c r="AY2045" s="2" t="str">
        <f>IF(Registered!AG2045=0,"",Registered!AG2045&amp;" DustMask")</f>
        <v/>
      </c>
    </row>
    <row r="2046" spans="1:51" customFormat="1" x14ac:dyDescent="0.25">
      <c r="A2046" t="s">
        <v>5542</v>
      </c>
      <c r="B2046" t="s">
        <v>5543</v>
      </c>
      <c r="C2046" t="s">
        <v>6090</v>
      </c>
      <c r="G2046" t="s">
        <v>3545</v>
      </c>
      <c r="H2046" t="s">
        <v>3546</v>
      </c>
      <c r="I2046" t="s">
        <v>3547</v>
      </c>
      <c r="J2046" t="s">
        <v>37</v>
      </c>
      <c r="K2046" t="s">
        <v>32</v>
      </c>
      <c r="L2046" t="s">
        <v>35</v>
      </c>
      <c r="AQ2046">
        <v>0</v>
      </c>
      <c r="AR2046" s="3">
        <f t="shared" si="93"/>
        <v>0</v>
      </c>
      <c r="AS2046" s="3">
        <f t="shared" si="94"/>
        <v>0</v>
      </c>
      <c r="AT2046" s="3" t="str">
        <f>IF(OR(Registered!AM2046&gt;0,Registered!AO2046&gt;0),(IF(Registered!E2046=0,"Size Not Specified",Registered!E2046)),"")</f>
        <v/>
      </c>
      <c r="AU2046" s="3" t="str">
        <f>IF(Registered!AE2046=0,"",IF(Registered!AE2046=1,Registered!AE2046&amp;" Bandana",Registered!AE2046&amp;" Bandanas"))</f>
        <v/>
      </c>
      <c r="AV2046" s="3">
        <f t="shared" si="95"/>
        <v>0</v>
      </c>
      <c r="AW2046" s="2" t="str">
        <f>IF(Registered!AV2046=0,"",IF(Registered!AV2046=1,Registered!AV2046&amp;" Meal",Registered!AV2046&amp;" Meals"))</f>
        <v/>
      </c>
      <c r="AX2046" s="2" t="str">
        <f>IF(Registered!AI2046=0,"",Registered!AI2046&amp;" BG")</f>
        <v/>
      </c>
      <c r="AY2046" s="2" t="str">
        <f>IF(Registered!AG2046=0,"",Registered!AG2046&amp;" DustMask")</f>
        <v/>
      </c>
    </row>
    <row r="2047" spans="1:51" customFormat="1" x14ac:dyDescent="0.25">
      <c r="A2047" t="s">
        <v>2250</v>
      </c>
      <c r="B2047" t="s">
        <v>2251</v>
      </c>
      <c r="C2047" t="s">
        <v>6090</v>
      </c>
      <c r="D2047" t="s">
        <v>2252</v>
      </c>
      <c r="F2047" t="s">
        <v>261</v>
      </c>
      <c r="I2047" t="s">
        <v>2253</v>
      </c>
      <c r="J2047" t="s">
        <v>37</v>
      </c>
      <c r="K2047" t="s">
        <v>32</v>
      </c>
      <c r="L2047" t="s">
        <v>35</v>
      </c>
      <c r="S2047">
        <v>2</v>
      </c>
      <c r="T2047">
        <v>3</v>
      </c>
      <c r="AC2047">
        <v>2</v>
      </c>
      <c r="AD2047">
        <v>10</v>
      </c>
      <c r="AQ2047">
        <v>26</v>
      </c>
      <c r="AR2047" s="3">
        <f t="shared" si="93"/>
        <v>10</v>
      </c>
      <c r="AS2047" s="3">
        <f t="shared" si="94"/>
        <v>0</v>
      </c>
      <c r="AT2047" s="3" t="str">
        <f>IF(OR(Registered!AM2047&gt;0,Registered!AO2047&gt;0),(IF(Registered!E2047=0,"Size Not Specified",Registered!E2047)),"")</f>
        <v/>
      </c>
      <c r="AU2047" s="3" t="str">
        <f>IF(Registered!AE2047=0,"",IF(Registered!AE2047=1,Registered!AE2047&amp;" Bandana",Registered!AE2047&amp;" Bandanas"))</f>
        <v/>
      </c>
      <c r="AV2047" s="3">
        <f t="shared" si="95"/>
        <v>0</v>
      </c>
      <c r="AW2047" s="2" t="str">
        <f>IF(Registered!AV2047=0,"",IF(Registered!AV2047=1,Registered!AV2047&amp;" Meal",Registered!AV2047&amp;" Meals"))</f>
        <v/>
      </c>
      <c r="AX2047" s="2" t="str">
        <f>IF(Registered!AI2047=0,"",Registered!AI2047&amp;" BG")</f>
        <v/>
      </c>
      <c r="AY2047" s="2" t="str">
        <f>IF(Registered!AG2047=0,"",Registered!AG2047&amp;" DustMask")</f>
        <v/>
      </c>
    </row>
    <row r="2048" spans="1:51" customFormat="1" x14ac:dyDescent="0.25">
      <c r="A2048" t="s">
        <v>2254</v>
      </c>
      <c r="B2048" t="s">
        <v>2251</v>
      </c>
      <c r="C2048" t="s">
        <v>6090</v>
      </c>
      <c r="G2048" t="s">
        <v>2250</v>
      </c>
      <c r="H2048" t="s">
        <v>2251</v>
      </c>
      <c r="I2048" t="s">
        <v>2253</v>
      </c>
      <c r="J2048" t="s">
        <v>37</v>
      </c>
      <c r="K2048" t="s">
        <v>32</v>
      </c>
      <c r="L2048" t="s">
        <v>35</v>
      </c>
      <c r="AQ2048">
        <v>0</v>
      </c>
      <c r="AR2048" s="3">
        <f t="shared" si="93"/>
        <v>0</v>
      </c>
      <c r="AS2048" s="3">
        <f t="shared" si="94"/>
        <v>0</v>
      </c>
      <c r="AT2048" s="3" t="str">
        <f>IF(OR(Registered!AM2048&gt;0,Registered!AO2048&gt;0),(IF(Registered!E2048=0,"Size Not Specified",Registered!E2048)),"")</f>
        <v/>
      </c>
      <c r="AU2048" s="3" t="str">
        <f>IF(Registered!AE2048=0,"",IF(Registered!AE2048=1,Registered!AE2048&amp;" Bandana",Registered!AE2048&amp;" Bandanas"))</f>
        <v/>
      </c>
      <c r="AV2048" s="3">
        <f t="shared" si="95"/>
        <v>0</v>
      </c>
      <c r="AW2048" s="2" t="str">
        <f>IF(Registered!AV2048=0,"",IF(Registered!AV2048=1,Registered!AV2048&amp;" Meal",Registered!AV2048&amp;" Meals"))</f>
        <v/>
      </c>
      <c r="AX2048" s="2" t="str">
        <f>IF(Registered!AI2048=0,"",Registered!AI2048&amp;" BG")</f>
        <v/>
      </c>
      <c r="AY2048" s="2" t="str">
        <f>IF(Registered!AG2048=0,"",Registered!AG2048&amp;" DustMask")</f>
        <v/>
      </c>
    </row>
    <row r="2049" spans="1:51" customFormat="1" x14ac:dyDescent="0.25">
      <c r="A2049" t="s">
        <v>5546</v>
      </c>
      <c r="B2049" t="s">
        <v>5547</v>
      </c>
      <c r="C2049" t="s">
        <v>6090</v>
      </c>
      <c r="G2049" t="s">
        <v>262</v>
      </c>
      <c r="H2049" t="s">
        <v>5548</v>
      </c>
      <c r="I2049" t="s">
        <v>5549</v>
      </c>
      <c r="J2049" t="s">
        <v>37</v>
      </c>
      <c r="K2049" t="s">
        <v>32</v>
      </c>
      <c r="L2049" t="s">
        <v>35</v>
      </c>
      <c r="AQ2049">
        <v>0</v>
      </c>
      <c r="AR2049" s="3">
        <f t="shared" si="93"/>
        <v>0</v>
      </c>
      <c r="AS2049" s="3">
        <f t="shared" si="94"/>
        <v>0</v>
      </c>
      <c r="AT2049" s="3" t="str">
        <f>IF(OR(Registered!AM2049&gt;0,Registered!AO2049&gt;0),(IF(Registered!E2049=0,"Size Not Specified",Registered!E2049)),"")</f>
        <v/>
      </c>
      <c r="AU2049" s="3" t="str">
        <f>IF(Registered!AE2049=0,"",IF(Registered!AE2049=1,Registered!AE2049&amp;" Bandana",Registered!AE2049&amp;" Bandanas"))</f>
        <v/>
      </c>
      <c r="AV2049" s="3">
        <f t="shared" si="95"/>
        <v>0</v>
      </c>
      <c r="AW2049" s="2" t="str">
        <f>IF(Registered!AV2049=0,"",IF(Registered!AV2049=1,Registered!AV2049&amp;" Meal",Registered!AV2049&amp;" Meals"))</f>
        <v/>
      </c>
      <c r="AX2049" s="2" t="str">
        <f>IF(Registered!AI2049=0,"",Registered!AI2049&amp;" BG")</f>
        <v/>
      </c>
      <c r="AY2049" s="2" t="str">
        <f>IF(Registered!AG2049=0,"",Registered!AG2049&amp;" DustMask")</f>
        <v/>
      </c>
    </row>
    <row r="2050" spans="1:51" customFormat="1" x14ac:dyDescent="0.25">
      <c r="A2050" t="s">
        <v>2717</v>
      </c>
      <c r="B2050" t="s">
        <v>99</v>
      </c>
      <c r="C2050" t="s">
        <v>6090</v>
      </c>
      <c r="D2050" t="s">
        <v>3337</v>
      </c>
      <c r="F2050" t="s">
        <v>261</v>
      </c>
      <c r="I2050" t="s">
        <v>3338</v>
      </c>
      <c r="J2050" t="s">
        <v>37</v>
      </c>
      <c r="K2050" t="s">
        <v>32</v>
      </c>
      <c r="L2050" t="s">
        <v>35</v>
      </c>
      <c r="Q2050">
        <v>2</v>
      </c>
      <c r="R2050">
        <v>3</v>
      </c>
      <c r="W2050">
        <v>1</v>
      </c>
      <c r="X2050">
        <v>40</v>
      </c>
      <c r="AQ2050">
        <v>46</v>
      </c>
      <c r="AR2050" s="3">
        <f t="shared" ref="AR2050:AR2113" si="96">IF(ISTEXT(AM2050)=TRUE,"",SUM(U2050*10,W2050*20,Y2050*30,AA2050*40,AC2050*5,AM2050*5))</f>
        <v>20</v>
      </c>
      <c r="AS2050" s="3">
        <f t="shared" ref="AS2050:AS2113" si="97">IF(ISTEXT(AM2050)=TRUE,"",SUM(AM2050,AO2050))</f>
        <v>0</v>
      </c>
      <c r="AT2050" s="3" t="str">
        <f>IF(OR(Registered!AM2050&gt;0,Registered!AO2050&gt;0),(IF(Registered!E2050=0,"Size Not Specified",Registered!E2050)),"")</f>
        <v/>
      </c>
      <c r="AU2050" s="3" t="str">
        <f>IF(Registered!AE2050=0,"",IF(Registered!AE2050=1,Registered!AE2050&amp;" Bandana",Registered!AE2050&amp;" Bandanas"))</f>
        <v/>
      </c>
      <c r="AV2050" s="3">
        <f t="shared" ref="AV2050:AV2113" si="98">IF(ISTEXT(AM2050)=TRUE,"",SUM(AM2050,AK2050))</f>
        <v>0</v>
      </c>
      <c r="AW2050" s="2" t="str">
        <f>IF(Registered!AV2050=0,"",IF(Registered!AV2050=1,Registered!AV2050&amp;" Meal",Registered!AV2050&amp;" Meals"))</f>
        <v/>
      </c>
      <c r="AX2050" s="2" t="str">
        <f>IF(Registered!AI2050=0,"",Registered!AI2050&amp;" BG")</f>
        <v/>
      </c>
      <c r="AY2050" s="2" t="str">
        <f>IF(Registered!AG2050=0,"",Registered!AG2050&amp;" DustMask")</f>
        <v/>
      </c>
    </row>
    <row r="2051" spans="1:51" customFormat="1" x14ac:dyDescent="0.25">
      <c r="A2051" t="s">
        <v>199</v>
      </c>
      <c r="B2051" t="s">
        <v>99</v>
      </c>
      <c r="C2051" t="s">
        <v>6090</v>
      </c>
      <c r="D2051" t="s">
        <v>3339</v>
      </c>
      <c r="F2051" t="s">
        <v>261</v>
      </c>
      <c r="I2051" t="s">
        <v>3340</v>
      </c>
      <c r="J2051" t="s">
        <v>37</v>
      </c>
      <c r="K2051" t="s">
        <v>32</v>
      </c>
      <c r="L2051" t="s">
        <v>35</v>
      </c>
      <c r="Q2051">
        <v>3</v>
      </c>
      <c r="R2051">
        <v>3</v>
      </c>
      <c r="U2051">
        <v>1</v>
      </c>
      <c r="V2051">
        <v>20</v>
      </c>
      <c r="AQ2051">
        <v>29</v>
      </c>
      <c r="AR2051" s="3">
        <f t="shared" si="96"/>
        <v>10</v>
      </c>
      <c r="AS2051" s="3">
        <f t="shared" si="97"/>
        <v>0</v>
      </c>
      <c r="AT2051" s="3" t="str">
        <f>IF(OR(Registered!AM2051&gt;0,Registered!AO2051&gt;0),(IF(Registered!E2051=0,"Size Not Specified",Registered!E2051)),"")</f>
        <v/>
      </c>
      <c r="AU2051" s="3" t="str">
        <f>IF(Registered!AE2051=0,"",IF(Registered!AE2051=1,Registered!AE2051&amp;" Bandana",Registered!AE2051&amp;" Bandanas"))</f>
        <v/>
      </c>
      <c r="AV2051" s="3">
        <f t="shared" si="98"/>
        <v>0</v>
      </c>
      <c r="AW2051" s="2" t="str">
        <f>IF(Registered!AV2051=0,"",IF(Registered!AV2051=1,Registered!AV2051&amp;" Meal",Registered!AV2051&amp;" Meals"))</f>
        <v/>
      </c>
      <c r="AX2051" s="2" t="str">
        <f>IF(Registered!AI2051=0,"",Registered!AI2051&amp;" BG")</f>
        <v/>
      </c>
      <c r="AY2051" s="2" t="str">
        <f>IF(Registered!AG2051=0,"",Registered!AG2051&amp;" DustMask")</f>
        <v/>
      </c>
    </row>
    <row r="2052" spans="1:51" customFormat="1" x14ac:dyDescent="0.25">
      <c r="A2052" t="s">
        <v>349</v>
      </c>
      <c r="B2052" t="s">
        <v>99</v>
      </c>
      <c r="C2052" t="s">
        <v>6090</v>
      </c>
      <c r="D2052" t="s">
        <v>2255</v>
      </c>
      <c r="F2052" t="s">
        <v>261</v>
      </c>
      <c r="I2052" t="s">
        <v>2256</v>
      </c>
      <c r="J2052" t="s">
        <v>37</v>
      </c>
      <c r="K2052" t="s">
        <v>32</v>
      </c>
      <c r="L2052" t="s">
        <v>35</v>
      </c>
      <c r="S2052">
        <v>2</v>
      </c>
      <c r="T2052">
        <v>3</v>
      </c>
      <c r="U2052">
        <v>1</v>
      </c>
      <c r="V2052">
        <v>20</v>
      </c>
      <c r="AC2052">
        <v>1</v>
      </c>
      <c r="AD2052">
        <v>10</v>
      </c>
      <c r="AQ2052">
        <v>36</v>
      </c>
      <c r="AR2052" s="3">
        <f t="shared" si="96"/>
        <v>15</v>
      </c>
      <c r="AS2052" s="3">
        <f t="shared" si="97"/>
        <v>0</v>
      </c>
      <c r="AT2052" s="3" t="str">
        <f>IF(OR(Registered!AM2052&gt;0,Registered!AO2052&gt;0),(IF(Registered!E2052=0,"Size Not Specified",Registered!E2052)),"")</f>
        <v/>
      </c>
      <c r="AU2052" s="3" t="str">
        <f>IF(Registered!AE2052=0,"",IF(Registered!AE2052=1,Registered!AE2052&amp;" Bandana",Registered!AE2052&amp;" Bandanas"))</f>
        <v/>
      </c>
      <c r="AV2052" s="3">
        <f t="shared" si="98"/>
        <v>0</v>
      </c>
      <c r="AW2052" s="2" t="str">
        <f>IF(Registered!AV2052=0,"",IF(Registered!AV2052=1,Registered!AV2052&amp;" Meal",Registered!AV2052&amp;" Meals"))</f>
        <v/>
      </c>
      <c r="AX2052" s="2" t="str">
        <f>IF(Registered!AI2052=0,"",Registered!AI2052&amp;" BG")</f>
        <v/>
      </c>
      <c r="AY2052" s="2" t="str">
        <f>IF(Registered!AG2052=0,"",Registered!AG2052&amp;" DustMask")</f>
        <v/>
      </c>
    </row>
    <row r="2053" spans="1:51" customFormat="1" x14ac:dyDescent="0.25">
      <c r="A2053" t="s">
        <v>258</v>
      </c>
      <c r="B2053" t="s">
        <v>99</v>
      </c>
      <c r="C2053" t="s">
        <v>6090</v>
      </c>
      <c r="D2053" t="s">
        <v>5550</v>
      </c>
      <c r="F2053" t="s">
        <v>261</v>
      </c>
      <c r="I2053" t="s">
        <v>5551</v>
      </c>
      <c r="J2053" t="s">
        <v>37</v>
      </c>
      <c r="K2053" t="s">
        <v>32</v>
      </c>
      <c r="L2053" t="s">
        <v>35</v>
      </c>
      <c r="Q2053">
        <v>2</v>
      </c>
      <c r="R2053">
        <v>3</v>
      </c>
      <c r="AC2053">
        <v>1</v>
      </c>
      <c r="AD2053">
        <v>10</v>
      </c>
      <c r="AQ2053">
        <v>16</v>
      </c>
      <c r="AR2053" s="3">
        <f t="shared" si="96"/>
        <v>5</v>
      </c>
      <c r="AS2053" s="3">
        <f t="shared" si="97"/>
        <v>0</v>
      </c>
      <c r="AT2053" s="3" t="str">
        <f>IF(OR(Registered!AM2053&gt;0,Registered!AO2053&gt;0),(IF(Registered!E2053=0,"Size Not Specified",Registered!E2053)),"")</f>
        <v/>
      </c>
      <c r="AU2053" s="3" t="str">
        <f>IF(Registered!AE2053=0,"",IF(Registered!AE2053=1,Registered!AE2053&amp;" Bandana",Registered!AE2053&amp;" Bandanas"))</f>
        <v/>
      </c>
      <c r="AV2053" s="3">
        <f t="shared" si="98"/>
        <v>0</v>
      </c>
      <c r="AW2053" s="2" t="str">
        <f>IF(Registered!AV2053=0,"",IF(Registered!AV2053=1,Registered!AV2053&amp;" Meal",Registered!AV2053&amp;" Meals"))</f>
        <v/>
      </c>
      <c r="AX2053" s="2" t="str">
        <f>IF(Registered!AI2053=0,"",Registered!AI2053&amp;" BG")</f>
        <v/>
      </c>
      <c r="AY2053" s="2" t="str">
        <f>IF(Registered!AG2053=0,"",Registered!AG2053&amp;" DustMask")</f>
        <v/>
      </c>
    </row>
    <row r="2054" spans="1:51" customFormat="1" x14ac:dyDescent="0.25">
      <c r="A2054" t="s">
        <v>2268</v>
      </c>
      <c r="B2054" t="s">
        <v>99</v>
      </c>
      <c r="C2054" t="s">
        <v>6090</v>
      </c>
      <c r="G2054" t="s">
        <v>2717</v>
      </c>
      <c r="H2054" t="s">
        <v>99</v>
      </c>
      <c r="I2054" t="s">
        <v>3338</v>
      </c>
      <c r="J2054" t="s">
        <v>37</v>
      </c>
      <c r="K2054" t="s">
        <v>32</v>
      </c>
      <c r="L2054" t="s">
        <v>35</v>
      </c>
      <c r="AQ2054">
        <v>0</v>
      </c>
      <c r="AR2054" s="3">
        <f t="shared" si="96"/>
        <v>0</v>
      </c>
      <c r="AS2054" s="3">
        <f t="shared" si="97"/>
        <v>0</v>
      </c>
      <c r="AT2054" s="3" t="str">
        <f>IF(OR(Registered!AM2054&gt;0,Registered!AO2054&gt;0),(IF(Registered!E2054=0,"Size Not Specified",Registered!E2054)),"")</f>
        <v/>
      </c>
      <c r="AU2054" s="3" t="str">
        <f>IF(Registered!AE2054=0,"",IF(Registered!AE2054=1,Registered!AE2054&amp;" Bandana",Registered!AE2054&amp;" Bandanas"))</f>
        <v/>
      </c>
      <c r="AV2054" s="3">
        <f t="shared" si="98"/>
        <v>0</v>
      </c>
      <c r="AW2054" s="2" t="str">
        <f>IF(Registered!AV2054=0,"",IF(Registered!AV2054=1,Registered!AV2054&amp;" Meal",Registered!AV2054&amp;" Meals"))</f>
        <v/>
      </c>
      <c r="AX2054" s="2" t="str">
        <f>IF(Registered!AI2054=0,"",Registered!AI2054&amp;" BG")</f>
        <v/>
      </c>
      <c r="AY2054" s="2" t="str">
        <f>IF(Registered!AG2054=0,"",Registered!AG2054&amp;" DustMask")</f>
        <v/>
      </c>
    </row>
    <row r="2055" spans="1:51" customFormat="1" x14ac:dyDescent="0.25">
      <c r="A2055" t="s">
        <v>1601</v>
      </c>
      <c r="B2055" t="s">
        <v>99</v>
      </c>
      <c r="C2055" t="s">
        <v>6090</v>
      </c>
      <c r="G2055" t="s">
        <v>199</v>
      </c>
      <c r="H2055" t="s">
        <v>99</v>
      </c>
      <c r="I2055" t="s">
        <v>3340</v>
      </c>
      <c r="J2055" t="s">
        <v>37</v>
      </c>
      <c r="K2055" t="s">
        <v>32</v>
      </c>
      <c r="L2055" t="s">
        <v>35</v>
      </c>
      <c r="AQ2055">
        <v>0</v>
      </c>
      <c r="AR2055" s="3">
        <f t="shared" si="96"/>
        <v>0</v>
      </c>
      <c r="AS2055" s="3">
        <f t="shared" si="97"/>
        <v>0</v>
      </c>
      <c r="AT2055" s="3" t="str">
        <f>IF(OR(Registered!AM2055&gt;0,Registered!AO2055&gt;0),(IF(Registered!E2055=0,"Size Not Specified",Registered!E2055)),"")</f>
        <v/>
      </c>
      <c r="AU2055" s="3" t="str">
        <f>IF(Registered!AE2055=0,"",IF(Registered!AE2055=1,Registered!AE2055&amp;" Bandana",Registered!AE2055&amp;" Bandanas"))</f>
        <v/>
      </c>
      <c r="AV2055" s="3">
        <f t="shared" si="98"/>
        <v>0</v>
      </c>
      <c r="AW2055" s="2" t="str">
        <f>IF(Registered!AV2055=0,"",IF(Registered!AV2055=1,Registered!AV2055&amp;" Meal",Registered!AV2055&amp;" Meals"))</f>
        <v/>
      </c>
      <c r="AX2055" s="2" t="str">
        <f>IF(Registered!AI2055=0,"",Registered!AI2055&amp;" BG")</f>
        <v/>
      </c>
      <c r="AY2055" s="2" t="str">
        <f>IF(Registered!AG2055=0,"",Registered!AG2055&amp;" DustMask")</f>
        <v/>
      </c>
    </row>
    <row r="2056" spans="1:51" customFormat="1" x14ac:dyDescent="0.25">
      <c r="A2056" t="s">
        <v>173</v>
      </c>
      <c r="B2056" t="s">
        <v>99</v>
      </c>
      <c r="C2056" t="s">
        <v>6090</v>
      </c>
      <c r="G2056" t="s">
        <v>258</v>
      </c>
      <c r="H2056" t="s">
        <v>99</v>
      </c>
      <c r="I2056" t="s">
        <v>5551</v>
      </c>
      <c r="J2056" t="s">
        <v>37</v>
      </c>
      <c r="K2056" t="s">
        <v>32</v>
      </c>
      <c r="L2056" t="s">
        <v>35</v>
      </c>
      <c r="AQ2056">
        <v>0</v>
      </c>
      <c r="AR2056" s="3">
        <f t="shared" si="96"/>
        <v>0</v>
      </c>
      <c r="AS2056" s="3">
        <f t="shared" si="97"/>
        <v>0</v>
      </c>
      <c r="AT2056" s="3" t="str">
        <f>IF(OR(Registered!AM2056&gt;0,Registered!AO2056&gt;0),(IF(Registered!E2056=0,"Size Not Specified",Registered!E2056)),"")</f>
        <v/>
      </c>
      <c r="AU2056" s="3" t="str">
        <f>IF(Registered!AE2056=0,"",IF(Registered!AE2056=1,Registered!AE2056&amp;" Bandana",Registered!AE2056&amp;" Bandanas"))</f>
        <v/>
      </c>
      <c r="AV2056" s="3">
        <f t="shared" si="98"/>
        <v>0</v>
      </c>
      <c r="AW2056" s="2" t="str">
        <f>IF(Registered!AV2056=0,"",IF(Registered!AV2056=1,Registered!AV2056&amp;" Meal",Registered!AV2056&amp;" Meals"))</f>
        <v/>
      </c>
      <c r="AX2056" s="2" t="str">
        <f>IF(Registered!AI2056=0,"",Registered!AI2056&amp;" BG")</f>
        <v/>
      </c>
      <c r="AY2056" s="2" t="str">
        <f>IF(Registered!AG2056=0,"",Registered!AG2056&amp;" DustMask")</f>
        <v/>
      </c>
    </row>
    <row r="2057" spans="1:51" customFormat="1" x14ac:dyDescent="0.25">
      <c r="A2057" t="s">
        <v>936</v>
      </c>
      <c r="B2057" t="s">
        <v>99</v>
      </c>
      <c r="C2057" t="s">
        <v>6090</v>
      </c>
      <c r="D2057" t="s">
        <v>5552</v>
      </c>
      <c r="E2057" t="s">
        <v>5553</v>
      </c>
      <c r="I2057" t="s">
        <v>5554</v>
      </c>
      <c r="J2057" t="s">
        <v>37</v>
      </c>
      <c r="K2057" t="s">
        <v>32</v>
      </c>
      <c r="L2057" t="s">
        <v>35</v>
      </c>
      <c r="Q2057">
        <v>1</v>
      </c>
      <c r="R2057">
        <v>3</v>
      </c>
      <c r="U2057">
        <v>1</v>
      </c>
      <c r="V2057">
        <v>20</v>
      </c>
      <c r="AQ2057">
        <v>23</v>
      </c>
      <c r="AR2057" s="3">
        <f t="shared" si="96"/>
        <v>10</v>
      </c>
      <c r="AS2057" s="3">
        <f t="shared" si="97"/>
        <v>0</v>
      </c>
      <c r="AT2057" s="3" t="str">
        <f>IF(OR(Registered!AM2057&gt;0,Registered!AO2057&gt;0),(IF(Registered!E2057=0,"Size Not Specified",Registered!E2057)),"")</f>
        <v/>
      </c>
      <c r="AU2057" s="3" t="str">
        <f>IF(Registered!AE2057=0,"",IF(Registered!AE2057=1,Registered!AE2057&amp;" Bandana",Registered!AE2057&amp;" Bandanas"))</f>
        <v/>
      </c>
      <c r="AV2057" s="3">
        <f t="shared" si="98"/>
        <v>0</v>
      </c>
      <c r="AW2057" s="2" t="str">
        <f>IF(Registered!AV2057=0,"",IF(Registered!AV2057=1,Registered!AV2057&amp;" Meal",Registered!AV2057&amp;" Meals"))</f>
        <v/>
      </c>
      <c r="AX2057" s="2" t="str">
        <f>IF(Registered!AI2057=0,"",Registered!AI2057&amp;" BG")</f>
        <v/>
      </c>
      <c r="AY2057" s="2" t="str">
        <f>IF(Registered!AG2057=0,"",Registered!AG2057&amp;" DustMask")</f>
        <v/>
      </c>
    </row>
    <row r="2058" spans="1:51" customFormat="1" x14ac:dyDescent="0.25">
      <c r="A2058" t="s">
        <v>207</v>
      </c>
      <c r="B2058" t="s">
        <v>99</v>
      </c>
      <c r="C2058" t="s">
        <v>6090</v>
      </c>
      <c r="G2058" t="s">
        <v>199</v>
      </c>
      <c r="H2058" t="s">
        <v>99</v>
      </c>
      <c r="I2058" t="s">
        <v>3340</v>
      </c>
      <c r="J2058" t="s">
        <v>37</v>
      </c>
      <c r="K2058" t="s">
        <v>32</v>
      </c>
      <c r="L2058" t="s">
        <v>35</v>
      </c>
      <c r="AQ2058">
        <v>0</v>
      </c>
      <c r="AR2058" s="3">
        <f t="shared" si="96"/>
        <v>0</v>
      </c>
      <c r="AS2058" s="3">
        <f t="shared" si="97"/>
        <v>0</v>
      </c>
      <c r="AT2058" s="3" t="str">
        <f>IF(OR(Registered!AM2058&gt;0,Registered!AO2058&gt;0),(IF(Registered!E2058=0,"Size Not Specified",Registered!E2058)),"")</f>
        <v/>
      </c>
      <c r="AU2058" s="3" t="str">
        <f>IF(Registered!AE2058=0,"",IF(Registered!AE2058=1,Registered!AE2058&amp;" Bandana",Registered!AE2058&amp;" Bandanas"))</f>
        <v/>
      </c>
      <c r="AV2058" s="3">
        <f t="shared" si="98"/>
        <v>0</v>
      </c>
      <c r="AW2058" s="2" t="str">
        <f>IF(Registered!AV2058=0,"",IF(Registered!AV2058=1,Registered!AV2058&amp;" Meal",Registered!AV2058&amp;" Meals"))</f>
        <v/>
      </c>
      <c r="AX2058" s="2" t="str">
        <f>IF(Registered!AI2058=0,"",Registered!AI2058&amp;" BG")</f>
        <v/>
      </c>
      <c r="AY2058" s="2" t="str">
        <f>IF(Registered!AG2058=0,"",Registered!AG2058&amp;" DustMask")</f>
        <v/>
      </c>
    </row>
    <row r="2059" spans="1:51" customFormat="1" x14ac:dyDescent="0.25">
      <c r="A2059" t="s">
        <v>93</v>
      </c>
      <c r="B2059" t="s">
        <v>99</v>
      </c>
      <c r="C2059" t="s">
        <v>6090</v>
      </c>
      <c r="G2059" t="s">
        <v>349</v>
      </c>
      <c r="H2059" t="s">
        <v>99</v>
      </c>
      <c r="I2059" t="s">
        <v>2256</v>
      </c>
      <c r="J2059" t="s">
        <v>37</v>
      </c>
      <c r="K2059" t="s">
        <v>32</v>
      </c>
      <c r="L2059" t="s">
        <v>35</v>
      </c>
      <c r="AQ2059">
        <v>0</v>
      </c>
      <c r="AR2059" s="3">
        <f t="shared" si="96"/>
        <v>0</v>
      </c>
      <c r="AS2059" s="3">
        <f t="shared" si="97"/>
        <v>0</v>
      </c>
      <c r="AT2059" s="3" t="str">
        <f>IF(OR(Registered!AM2059&gt;0,Registered!AO2059&gt;0),(IF(Registered!E2059=0,"Size Not Specified",Registered!E2059)),"")</f>
        <v/>
      </c>
      <c r="AU2059" s="3" t="str">
        <f>IF(Registered!AE2059=0,"",IF(Registered!AE2059=1,Registered!AE2059&amp;" Bandana",Registered!AE2059&amp;" Bandanas"))</f>
        <v/>
      </c>
      <c r="AV2059" s="3">
        <f t="shared" si="98"/>
        <v>0</v>
      </c>
      <c r="AW2059" s="2" t="str">
        <f>IF(Registered!AV2059=0,"",IF(Registered!AV2059=1,Registered!AV2059&amp;" Meal",Registered!AV2059&amp;" Meals"))</f>
        <v/>
      </c>
      <c r="AX2059" s="2" t="str">
        <f>IF(Registered!AI2059=0,"",Registered!AI2059&amp;" BG")</f>
        <v/>
      </c>
      <c r="AY2059" s="2" t="str">
        <f>IF(Registered!AG2059=0,"",Registered!AG2059&amp;" DustMask")</f>
        <v/>
      </c>
    </row>
    <row r="2060" spans="1:51" customFormat="1" x14ac:dyDescent="0.25">
      <c r="A2060" t="s">
        <v>4353</v>
      </c>
      <c r="B2060" t="s">
        <v>99</v>
      </c>
      <c r="C2060" t="s">
        <v>6090</v>
      </c>
      <c r="D2060" t="s">
        <v>5555</v>
      </c>
      <c r="F2060" t="s">
        <v>261</v>
      </c>
      <c r="I2060" t="s">
        <v>4354</v>
      </c>
      <c r="J2060" t="s">
        <v>37</v>
      </c>
      <c r="K2060" t="s">
        <v>32</v>
      </c>
      <c r="L2060" t="s">
        <v>35</v>
      </c>
      <c r="Q2060">
        <v>2</v>
      </c>
      <c r="R2060">
        <v>3</v>
      </c>
      <c r="U2060">
        <v>1</v>
      </c>
      <c r="V2060">
        <v>20</v>
      </c>
      <c r="AC2060">
        <v>1</v>
      </c>
      <c r="AD2060">
        <v>10</v>
      </c>
      <c r="AQ2060">
        <v>36</v>
      </c>
      <c r="AR2060" s="3">
        <f t="shared" si="96"/>
        <v>15</v>
      </c>
      <c r="AS2060" s="3">
        <f t="shared" si="97"/>
        <v>0</v>
      </c>
      <c r="AT2060" s="3" t="str">
        <f>IF(OR(Registered!AM2060&gt;0,Registered!AO2060&gt;0),(IF(Registered!E2060=0,"Size Not Specified",Registered!E2060)),"")</f>
        <v/>
      </c>
      <c r="AU2060" s="3" t="str">
        <f>IF(Registered!AE2060=0,"",IF(Registered!AE2060=1,Registered!AE2060&amp;" Bandana",Registered!AE2060&amp;" Bandanas"))</f>
        <v/>
      </c>
      <c r="AV2060" s="3">
        <f t="shared" si="98"/>
        <v>0</v>
      </c>
      <c r="AW2060" s="2" t="str">
        <f>IF(Registered!AV2060=0,"",IF(Registered!AV2060=1,Registered!AV2060&amp;" Meal",Registered!AV2060&amp;" Meals"))</f>
        <v/>
      </c>
      <c r="AX2060" s="2" t="str">
        <f>IF(Registered!AI2060=0,"",Registered!AI2060&amp;" BG")</f>
        <v/>
      </c>
      <c r="AY2060" s="2" t="str">
        <f>IF(Registered!AG2060=0,"",Registered!AG2060&amp;" DustMask")</f>
        <v/>
      </c>
    </row>
    <row r="2061" spans="1:51" customFormat="1" x14ac:dyDescent="0.25">
      <c r="A2061" t="s">
        <v>431</v>
      </c>
      <c r="B2061" t="s">
        <v>4494</v>
      </c>
      <c r="C2061" t="s">
        <v>6090</v>
      </c>
      <c r="D2061" t="s">
        <v>5556</v>
      </c>
      <c r="F2061" t="s">
        <v>261</v>
      </c>
      <c r="I2061" t="s">
        <v>4495</v>
      </c>
      <c r="J2061" t="s">
        <v>37</v>
      </c>
      <c r="K2061" t="s">
        <v>32</v>
      </c>
      <c r="L2061" t="s">
        <v>35</v>
      </c>
      <c r="Q2061">
        <v>2</v>
      </c>
      <c r="R2061">
        <v>3</v>
      </c>
      <c r="AC2061">
        <v>1</v>
      </c>
      <c r="AD2061">
        <v>10</v>
      </c>
      <c r="AQ2061">
        <v>16</v>
      </c>
      <c r="AR2061" s="3">
        <f t="shared" si="96"/>
        <v>5</v>
      </c>
      <c r="AS2061" s="3">
        <f t="shared" si="97"/>
        <v>0</v>
      </c>
      <c r="AT2061" s="3" t="str">
        <f>IF(OR(Registered!AM2061&gt;0,Registered!AO2061&gt;0),(IF(Registered!E2061=0,"Size Not Specified",Registered!E2061)),"")</f>
        <v/>
      </c>
      <c r="AU2061" s="3" t="str">
        <f>IF(Registered!AE2061=0,"",IF(Registered!AE2061=1,Registered!AE2061&amp;" Bandana",Registered!AE2061&amp;" Bandanas"))</f>
        <v/>
      </c>
      <c r="AV2061" s="3">
        <f t="shared" si="98"/>
        <v>0</v>
      </c>
      <c r="AW2061" s="2" t="str">
        <f>IF(Registered!AV2061=0,"",IF(Registered!AV2061=1,Registered!AV2061&amp;" Meal",Registered!AV2061&amp;" Meals"))</f>
        <v/>
      </c>
      <c r="AX2061" s="2" t="str">
        <f>IF(Registered!AI2061=0,"",Registered!AI2061&amp;" BG")</f>
        <v/>
      </c>
      <c r="AY2061" s="2" t="str">
        <f>IF(Registered!AG2061=0,"",Registered!AG2061&amp;" DustMask")</f>
        <v/>
      </c>
    </row>
    <row r="2062" spans="1:51" customFormat="1" x14ac:dyDescent="0.25">
      <c r="A2062" t="s">
        <v>148</v>
      </c>
      <c r="B2062" t="s">
        <v>1176</v>
      </c>
      <c r="C2062" t="s">
        <v>6090</v>
      </c>
      <c r="D2062" t="s">
        <v>5557</v>
      </c>
      <c r="F2062" t="s">
        <v>261</v>
      </c>
      <c r="I2062" t="s">
        <v>3874</v>
      </c>
      <c r="J2062" t="s">
        <v>37</v>
      </c>
      <c r="K2062" t="s">
        <v>32</v>
      </c>
      <c r="L2062" t="s">
        <v>35</v>
      </c>
      <c r="Q2062">
        <v>3</v>
      </c>
      <c r="R2062">
        <v>3</v>
      </c>
      <c r="AC2062">
        <v>3</v>
      </c>
      <c r="AD2062">
        <v>10</v>
      </c>
      <c r="AQ2062">
        <v>39</v>
      </c>
      <c r="AR2062" s="3">
        <f t="shared" si="96"/>
        <v>15</v>
      </c>
      <c r="AS2062" s="3">
        <f t="shared" si="97"/>
        <v>0</v>
      </c>
      <c r="AT2062" s="3" t="str">
        <f>IF(OR(Registered!AM2062&gt;0,Registered!AO2062&gt;0),(IF(Registered!E2062=0,"Size Not Specified",Registered!E2062)),"")</f>
        <v/>
      </c>
      <c r="AU2062" s="3" t="str">
        <f>IF(Registered!AE2062=0,"",IF(Registered!AE2062=1,Registered!AE2062&amp;" Bandana",Registered!AE2062&amp;" Bandanas"))</f>
        <v/>
      </c>
      <c r="AV2062" s="3">
        <f t="shared" si="98"/>
        <v>0</v>
      </c>
      <c r="AW2062" s="2" t="str">
        <f>IF(Registered!AV2062=0,"",IF(Registered!AV2062=1,Registered!AV2062&amp;" Meal",Registered!AV2062&amp;" Meals"))</f>
        <v/>
      </c>
      <c r="AX2062" s="2" t="str">
        <f>IF(Registered!AI2062=0,"",Registered!AI2062&amp;" BG")</f>
        <v/>
      </c>
      <c r="AY2062" s="2" t="str">
        <f>IF(Registered!AG2062=0,"",Registered!AG2062&amp;" DustMask")</f>
        <v/>
      </c>
    </row>
    <row r="2063" spans="1:51" customFormat="1" x14ac:dyDescent="0.25">
      <c r="A2063" t="s">
        <v>1175</v>
      </c>
      <c r="B2063" t="s">
        <v>1176</v>
      </c>
      <c r="C2063" t="s">
        <v>6090</v>
      </c>
      <c r="D2063" t="s">
        <v>2257</v>
      </c>
      <c r="I2063" t="s">
        <v>1177</v>
      </c>
      <c r="J2063" t="s">
        <v>37</v>
      </c>
      <c r="K2063" t="s">
        <v>32</v>
      </c>
      <c r="L2063" t="s">
        <v>35</v>
      </c>
      <c r="S2063">
        <v>3</v>
      </c>
      <c r="T2063">
        <v>3</v>
      </c>
      <c r="AQ2063">
        <v>9</v>
      </c>
      <c r="AR2063" s="3">
        <f t="shared" si="96"/>
        <v>0</v>
      </c>
      <c r="AS2063" s="3">
        <f t="shared" si="97"/>
        <v>0</v>
      </c>
      <c r="AT2063" s="3" t="str">
        <f>IF(OR(Registered!AM2063&gt;0,Registered!AO2063&gt;0),(IF(Registered!E2063=0,"Size Not Specified",Registered!E2063)),"")</f>
        <v/>
      </c>
      <c r="AU2063" s="3" t="str">
        <f>IF(Registered!AE2063=0,"",IF(Registered!AE2063=1,Registered!AE2063&amp;" Bandana",Registered!AE2063&amp;" Bandanas"))</f>
        <v/>
      </c>
      <c r="AV2063" s="3">
        <f t="shared" si="98"/>
        <v>0</v>
      </c>
      <c r="AW2063" s="2" t="str">
        <f>IF(Registered!AV2063=0,"",IF(Registered!AV2063=1,Registered!AV2063&amp;" Meal",Registered!AV2063&amp;" Meals"))</f>
        <v/>
      </c>
      <c r="AX2063" s="2" t="str">
        <f>IF(Registered!AI2063=0,"",Registered!AI2063&amp;" BG")</f>
        <v/>
      </c>
      <c r="AY2063" s="2" t="str">
        <f>IF(Registered!AG2063=0,"",Registered!AG2063&amp;" DustMask")</f>
        <v/>
      </c>
    </row>
    <row r="2064" spans="1:51" customFormat="1" x14ac:dyDescent="0.25">
      <c r="A2064" t="s">
        <v>2258</v>
      </c>
      <c r="B2064" t="s">
        <v>1176</v>
      </c>
      <c r="C2064" t="s">
        <v>6090</v>
      </c>
      <c r="G2064" t="s">
        <v>1175</v>
      </c>
      <c r="H2064" t="s">
        <v>1176</v>
      </c>
      <c r="I2064" t="s">
        <v>1177</v>
      </c>
      <c r="J2064" t="s">
        <v>37</v>
      </c>
      <c r="K2064" t="s">
        <v>32</v>
      </c>
      <c r="L2064" t="s">
        <v>35</v>
      </c>
      <c r="AQ2064">
        <v>0</v>
      </c>
      <c r="AR2064" s="3">
        <f t="shared" si="96"/>
        <v>0</v>
      </c>
      <c r="AS2064" s="3">
        <f t="shared" si="97"/>
        <v>0</v>
      </c>
      <c r="AT2064" s="3" t="str">
        <f>IF(OR(Registered!AM2064&gt;0,Registered!AO2064&gt;0),(IF(Registered!E2064=0,"Size Not Specified",Registered!E2064)),"")</f>
        <v/>
      </c>
      <c r="AU2064" s="3" t="str">
        <f>IF(Registered!AE2064=0,"",IF(Registered!AE2064=1,Registered!AE2064&amp;" Bandana",Registered!AE2064&amp;" Bandanas"))</f>
        <v/>
      </c>
      <c r="AV2064" s="3">
        <f t="shared" si="98"/>
        <v>0</v>
      </c>
      <c r="AW2064" s="2" t="str">
        <f>IF(Registered!AV2064=0,"",IF(Registered!AV2064=1,Registered!AV2064&amp;" Meal",Registered!AV2064&amp;" Meals"))</f>
        <v/>
      </c>
      <c r="AX2064" s="2" t="str">
        <f>IF(Registered!AI2064=0,"",Registered!AI2064&amp;" BG")</f>
        <v/>
      </c>
      <c r="AY2064" s="2" t="str">
        <f>IF(Registered!AG2064=0,"",Registered!AG2064&amp;" DustMask")</f>
        <v/>
      </c>
    </row>
    <row r="2065" spans="1:51" customFormat="1" x14ac:dyDescent="0.25">
      <c r="A2065" t="s">
        <v>91</v>
      </c>
      <c r="B2065" t="s">
        <v>363</v>
      </c>
      <c r="C2065" t="s">
        <v>6090</v>
      </c>
      <c r="D2065" t="s">
        <v>3345</v>
      </c>
      <c r="F2065" t="s">
        <v>261</v>
      </c>
      <c r="I2065" t="s">
        <v>5558</v>
      </c>
      <c r="J2065" t="s">
        <v>37</v>
      </c>
      <c r="K2065" t="s">
        <v>32</v>
      </c>
      <c r="L2065" t="s">
        <v>35</v>
      </c>
      <c r="Q2065">
        <v>1</v>
      </c>
      <c r="R2065">
        <v>3</v>
      </c>
      <c r="AC2065">
        <v>1</v>
      </c>
      <c r="AD2065">
        <v>10</v>
      </c>
      <c r="AQ2065">
        <v>13</v>
      </c>
      <c r="AR2065" s="3">
        <f t="shared" si="96"/>
        <v>5</v>
      </c>
      <c r="AS2065" s="3">
        <f t="shared" si="97"/>
        <v>0</v>
      </c>
      <c r="AT2065" s="3" t="str">
        <f>IF(OR(Registered!AM2065&gt;0,Registered!AO2065&gt;0),(IF(Registered!E2065=0,"Size Not Specified",Registered!E2065)),"")</f>
        <v/>
      </c>
      <c r="AU2065" s="3" t="str">
        <f>IF(Registered!AE2065=0,"",IF(Registered!AE2065=1,Registered!AE2065&amp;" Bandana",Registered!AE2065&amp;" Bandanas"))</f>
        <v/>
      </c>
      <c r="AV2065" s="3">
        <f t="shared" si="98"/>
        <v>0</v>
      </c>
      <c r="AW2065" s="2" t="str">
        <f>IF(Registered!AV2065=0,"",IF(Registered!AV2065=1,Registered!AV2065&amp;" Meal",Registered!AV2065&amp;" Meals"))</f>
        <v/>
      </c>
      <c r="AX2065" s="2" t="str">
        <f>IF(Registered!AI2065=0,"",Registered!AI2065&amp;" BG")</f>
        <v/>
      </c>
      <c r="AY2065" s="2" t="str">
        <f>IF(Registered!AG2065=0,"",Registered!AG2065&amp;" DustMask")</f>
        <v/>
      </c>
    </row>
    <row r="2066" spans="1:51" customFormat="1" x14ac:dyDescent="0.25">
      <c r="A2066" t="s">
        <v>1578</v>
      </c>
      <c r="B2066" t="s">
        <v>363</v>
      </c>
      <c r="C2066" t="s">
        <v>6090</v>
      </c>
      <c r="D2066" t="s">
        <v>2259</v>
      </c>
      <c r="F2066" t="s">
        <v>261</v>
      </c>
      <c r="I2066" t="s">
        <v>1579</v>
      </c>
      <c r="J2066" t="s">
        <v>37</v>
      </c>
      <c r="K2066" t="s">
        <v>32</v>
      </c>
      <c r="L2066" t="s">
        <v>35</v>
      </c>
      <c r="S2066">
        <v>2</v>
      </c>
      <c r="T2066">
        <v>3</v>
      </c>
      <c r="U2066">
        <v>1</v>
      </c>
      <c r="V2066">
        <v>20</v>
      </c>
      <c r="AQ2066">
        <v>26</v>
      </c>
      <c r="AR2066" s="3">
        <f t="shared" si="96"/>
        <v>10</v>
      </c>
      <c r="AS2066" s="3">
        <f t="shared" si="97"/>
        <v>0</v>
      </c>
      <c r="AT2066" s="3" t="str">
        <f>IF(OR(Registered!AM2066&gt;0,Registered!AO2066&gt;0),(IF(Registered!E2066=0,"Size Not Specified",Registered!E2066)),"")</f>
        <v/>
      </c>
      <c r="AU2066" s="3" t="str">
        <f>IF(Registered!AE2066=0,"",IF(Registered!AE2066=1,Registered!AE2066&amp;" Bandana",Registered!AE2066&amp;" Bandanas"))</f>
        <v/>
      </c>
      <c r="AV2066" s="3">
        <f t="shared" si="98"/>
        <v>0</v>
      </c>
      <c r="AW2066" s="2" t="str">
        <f>IF(Registered!AV2066=0,"",IF(Registered!AV2066=1,Registered!AV2066&amp;" Meal",Registered!AV2066&amp;" Meals"))</f>
        <v/>
      </c>
      <c r="AX2066" s="2" t="str">
        <f>IF(Registered!AI2066=0,"",Registered!AI2066&amp;" BG")</f>
        <v/>
      </c>
      <c r="AY2066" s="2" t="str">
        <f>IF(Registered!AG2066=0,"",Registered!AG2066&amp;" DustMask")</f>
        <v/>
      </c>
    </row>
    <row r="2067" spans="1:51" customFormat="1" x14ac:dyDescent="0.25">
      <c r="A2067" t="s">
        <v>253</v>
      </c>
      <c r="B2067" t="s">
        <v>5559</v>
      </c>
      <c r="C2067" t="s">
        <v>6090</v>
      </c>
      <c r="D2067" t="s">
        <v>253</v>
      </c>
      <c r="E2067" t="s">
        <v>5560</v>
      </c>
      <c r="F2067" t="s">
        <v>261</v>
      </c>
      <c r="I2067" t="s">
        <v>5561</v>
      </c>
      <c r="J2067" t="s">
        <v>37</v>
      </c>
      <c r="K2067" t="s">
        <v>32</v>
      </c>
      <c r="L2067" t="s">
        <v>35</v>
      </c>
      <c r="Q2067">
        <v>1</v>
      </c>
      <c r="R2067">
        <v>3</v>
      </c>
      <c r="AM2067">
        <v>2</v>
      </c>
      <c r="AN2067">
        <v>25</v>
      </c>
      <c r="AQ2067">
        <v>53</v>
      </c>
      <c r="AR2067" s="3">
        <f t="shared" si="96"/>
        <v>10</v>
      </c>
      <c r="AS2067" s="3">
        <f t="shared" si="97"/>
        <v>2</v>
      </c>
      <c r="AT2067" s="3" t="str">
        <f>IF(OR(Registered!AM2067&gt;0,Registered!AO2067&gt;0),(IF(Registered!E2067=0,"Size Not Specified",Registered!E2067)),"")</f>
        <v>extra small, large</v>
      </c>
      <c r="AU2067" s="3" t="str">
        <f>IF(Registered!AE2067=0,"",IF(Registered!AE2067=1,Registered!AE2067&amp;" Bandana",Registered!AE2067&amp;" Bandanas"))</f>
        <v/>
      </c>
      <c r="AV2067" s="3">
        <f t="shared" si="98"/>
        <v>2</v>
      </c>
      <c r="AW2067" s="2" t="str">
        <f>IF(Registered!AV2067=0,"",IF(Registered!AV2067=1,Registered!AV2067&amp;" Meal",Registered!AV2067&amp;" Meals"))</f>
        <v>2 Meals</v>
      </c>
      <c r="AX2067" s="2" t="str">
        <f>IF(Registered!AI2067=0,"",Registered!AI2067&amp;" BG")</f>
        <v/>
      </c>
      <c r="AY2067" s="2" t="str">
        <f>IF(Registered!AG2067=0,"",Registered!AG2067&amp;" DustMask")</f>
        <v/>
      </c>
    </row>
    <row r="2068" spans="1:51" customFormat="1" x14ac:dyDescent="0.25">
      <c r="A2068" t="s">
        <v>5562</v>
      </c>
      <c r="B2068" t="s">
        <v>2260</v>
      </c>
      <c r="C2068" t="s">
        <v>6090</v>
      </c>
      <c r="G2068" t="s">
        <v>377</v>
      </c>
      <c r="H2068" t="s">
        <v>3690</v>
      </c>
      <c r="I2068" t="s">
        <v>3691</v>
      </c>
      <c r="J2068" t="s">
        <v>37</v>
      </c>
      <c r="K2068" t="s">
        <v>32</v>
      </c>
      <c r="L2068" t="s">
        <v>35</v>
      </c>
      <c r="AQ2068">
        <v>0</v>
      </c>
      <c r="AR2068" s="3">
        <f t="shared" si="96"/>
        <v>0</v>
      </c>
      <c r="AS2068" s="3">
        <f t="shared" si="97"/>
        <v>0</v>
      </c>
      <c r="AT2068" s="3" t="str">
        <f>IF(OR(Registered!AM2068&gt;0,Registered!AO2068&gt;0),(IF(Registered!E2068=0,"Size Not Specified",Registered!E2068)),"")</f>
        <v/>
      </c>
      <c r="AU2068" s="3" t="str">
        <f>IF(Registered!AE2068=0,"",IF(Registered!AE2068=1,Registered!AE2068&amp;" Bandana",Registered!AE2068&amp;" Bandanas"))</f>
        <v/>
      </c>
      <c r="AV2068" s="3">
        <f t="shared" si="98"/>
        <v>0</v>
      </c>
      <c r="AW2068" s="2" t="str">
        <f>IF(Registered!AV2068=0,"",IF(Registered!AV2068=1,Registered!AV2068&amp;" Meal",Registered!AV2068&amp;" Meals"))</f>
        <v/>
      </c>
      <c r="AX2068" s="2" t="str">
        <f>IF(Registered!AI2068=0,"",Registered!AI2068&amp;" BG")</f>
        <v/>
      </c>
      <c r="AY2068" s="2" t="str">
        <f>IF(Registered!AG2068=0,"",Registered!AG2068&amp;" DustMask")</f>
        <v/>
      </c>
    </row>
    <row r="2069" spans="1:51" customFormat="1" x14ac:dyDescent="0.25">
      <c r="A2069" t="s">
        <v>2261</v>
      </c>
      <c r="B2069" t="s">
        <v>2262</v>
      </c>
      <c r="C2069" t="s">
        <v>6090</v>
      </c>
      <c r="G2069" t="s">
        <v>1329</v>
      </c>
      <c r="H2069" t="s">
        <v>414</v>
      </c>
      <c r="I2069" t="s">
        <v>1330</v>
      </c>
      <c r="J2069" t="s">
        <v>37</v>
      </c>
      <c r="K2069" t="s">
        <v>32</v>
      </c>
      <c r="L2069" t="s">
        <v>35</v>
      </c>
      <c r="AQ2069">
        <v>0</v>
      </c>
      <c r="AR2069" s="3">
        <f t="shared" si="96"/>
        <v>0</v>
      </c>
      <c r="AS2069" s="3">
        <f t="shared" si="97"/>
        <v>0</v>
      </c>
      <c r="AT2069" s="3" t="str">
        <f>IF(OR(Registered!AM2069&gt;0,Registered!AO2069&gt;0),(IF(Registered!E2069=0,"Size Not Specified",Registered!E2069)),"")</f>
        <v/>
      </c>
      <c r="AU2069" s="3" t="str">
        <f>IF(Registered!AE2069=0,"",IF(Registered!AE2069=1,Registered!AE2069&amp;" Bandana",Registered!AE2069&amp;" Bandanas"))</f>
        <v/>
      </c>
      <c r="AV2069" s="3">
        <f t="shared" si="98"/>
        <v>0</v>
      </c>
      <c r="AW2069" s="2" t="str">
        <f>IF(Registered!AV2069=0,"",IF(Registered!AV2069=1,Registered!AV2069&amp;" Meal",Registered!AV2069&amp;" Meals"))</f>
        <v/>
      </c>
      <c r="AX2069" s="2" t="str">
        <f>IF(Registered!AI2069=0,"",Registered!AI2069&amp;" BG")</f>
        <v/>
      </c>
      <c r="AY2069" s="2" t="str">
        <f>IF(Registered!AG2069=0,"",Registered!AG2069&amp;" DustMask")</f>
        <v/>
      </c>
    </row>
    <row r="2070" spans="1:51" customFormat="1" x14ac:dyDescent="0.25">
      <c r="A2070" t="s">
        <v>336</v>
      </c>
      <c r="B2070" t="s">
        <v>778</v>
      </c>
      <c r="C2070" t="s">
        <v>6090</v>
      </c>
      <c r="D2070" t="s">
        <v>2617</v>
      </c>
      <c r="F2070" t="s">
        <v>261</v>
      </c>
      <c r="I2070" t="s">
        <v>5563</v>
      </c>
      <c r="J2070" t="s">
        <v>37</v>
      </c>
      <c r="K2070" t="s">
        <v>32</v>
      </c>
      <c r="L2070" t="s">
        <v>35</v>
      </c>
      <c r="Q2070">
        <v>1</v>
      </c>
      <c r="R2070">
        <v>3</v>
      </c>
      <c r="AQ2070">
        <v>3</v>
      </c>
      <c r="AR2070" s="3">
        <f t="shared" si="96"/>
        <v>0</v>
      </c>
      <c r="AS2070" s="3">
        <f t="shared" si="97"/>
        <v>0</v>
      </c>
      <c r="AT2070" s="3" t="str">
        <f>IF(OR(Registered!AM2070&gt;0,Registered!AO2070&gt;0),(IF(Registered!E2070=0,"Size Not Specified",Registered!E2070)),"")</f>
        <v/>
      </c>
      <c r="AU2070" s="3" t="str">
        <f>IF(Registered!AE2070=0,"",IF(Registered!AE2070=1,Registered!AE2070&amp;" Bandana",Registered!AE2070&amp;" Bandanas"))</f>
        <v/>
      </c>
      <c r="AV2070" s="3">
        <f t="shared" si="98"/>
        <v>0</v>
      </c>
      <c r="AW2070" s="2" t="str">
        <f>IF(Registered!AV2070=0,"",IF(Registered!AV2070=1,Registered!AV2070&amp;" Meal",Registered!AV2070&amp;" Meals"))</f>
        <v/>
      </c>
      <c r="AX2070" s="2" t="str">
        <f>IF(Registered!AI2070=0,"",Registered!AI2070&amp;" BG")</f>
        <v/>
      </c>
      <c r="AY2070" s="2" t="str">
        <f>IF(Registered!AG2070=0,"",Registered!AG2070&amp;" DustMask")</f>
        <v/>
      </c>
    </row>
    <row r="2071" spans="1:51" customFormat="1" x14ac:dyDescent="0.25">
      <c r="A2071" t="s">
        <v>310</v>
      </c>
      <c r="B2071" t="s">
        <v>778</v>
      </c>
      <c r="C2071" t="s">
        <v>6090</v>
      </c>
      <c r="G2071" t="s">
        <v>210</v>
      </c>
      <c r="H2071" t="s">
        <v>985</v>
      </c>
      <c r="I2071" t="s">
        <v>2263</v>
      </c>
      <c r="J2071" t="s">
        <v>37</v>
      </c>
      <c r="K2071" t="s">
        <v>32</v>
      </c>
      <c r="L2071" t="s">
        <v>35</v>
      </c>
      <c r="AQ2071">
        <v>0</v>
      </c>
      <c r="AR2071" s="3">
        <f t="shared" si="96"/>
        <v>0</v>
      </c>
      <c r="AS2071" s="3">
        <f t="shared" si="97"/>
        <v>0</v>
      </c>
      <c r="AT2071" s="3" t="str">
        <f>IF(OR(Registered!AM2071&gt;0,Registered!AO2071&gt;0),(IF(Registered!E2071=0,"Size Not Specified",Registered!E2071)),"")</f>
        <v/>
      </c>
      <c r="AU2071" s="3" t="str">
        <f>IF(Registered!AE2071=0,"",IF(Registered!AE2071=1,Registered!AE2071&amp;" Bandana",Registered!AE2071&amp;" Bandanas"))</f>
        <v/>
      </c>
      <c r="AV2071" s="3">
        <f t="shared" si="98"/>
        <v>0</v>
      </c>
      <c r="AW2071" s="2" t="str">
        <f>IF(Registered!AV2071=0,"",IF(Registered!AV2071=1,Registered!AV2071&amp;" Meal",Registered!AV2071&amp;" Meals"))</f>
        <v/>
      </c>
      <c r="AX2071" s="2" t="str">
        <f>IF(Registered!AI2071=0,"",Registered!AI2071&amp;" BG")</f>
        <v/>
      </c>
      <c r="AY2071" s="2" t="str">
        <f>IF(Registered!AG2071=0,"",Registered!AG2071&amp;" DustMask")</f>
        <v/>
      </c>
    </row>
    <row r="2072" spans="1:51" customFormat="1" x14ac:dyDescent="0.25">
      <c r="A2072" t="s">
        <v>91</v>
      </c>
      <c r="B2072" t="s">
        <v>778</v>
      </c>
      <c r="C2072" t="s">
        <v>6090</v>
      </c>
      <c r="D2072" t="s">
        <v>2264</v>
      </c>
      <c r="E2072" t="s">
        <v>53</v>
      </c>
      <c r="I2072" t="s">
        <v>779</v>
      </c>
      <c r="J2072" t="s">
        <v>37</v>
      </c>
      <c r="K2072" t="s">
        <v>32</v>
      </c>
      <c r="L2072" t="s">
        <v>35</v>
      </c>
      <c r="S2072">
        <v>2</v>
      </c>
      <c r="T2072">
        <v>3</v>
      </c>
      <c r="U2072">
        <v>1</v>
      </c>
      <c r="V2072">
        <v>20</v>
      </c>
      <c r="AQ2072">
        <v>26</v>
      </c>
      <c r="AR2072" s="3">
        <f t="shared" si="96"/>
        <v>10</v>
      </c>
      <c r="AS2072" s="3">
        <f t="shared" si="97"/>
        <v>0</v>
      </c>
      <c r="AT2072" s="3" t="str">
        <f>IF(OR(Registered!AM2072&gt;0,Registered!AO2072&gt;0),(IF(Registered!E2072=0,"Size Not Specified",Registered!E2072)),"")</f>
        <v/>
      </c>
      <c r="AU2072" s="3" t="str">
        <f>IF(Registered!AE2072=0,"",IF(Registered!AE2072=1,Registered!AE2072&amp;" Bandana",Registered!AE2072&amp;" Bandanas"))</f>
        <v/>
      </c>
      <c r="AV2072" s="3">
        <f t="shared" si="98"/>
        <v>0</v>
      </c>
      <c r="AW2072" s="2" t="str">
        <f>IF(Registered!AV2072=0,"",IF(Registered!AV2072=1,Registered!AV2072&amp;" Meal",Registered!AV2072&amp;" Meals"))</f>
        <v/>
      </c>
      <c r="AX2072" s="2" t="str">
        <f>IF(Registered!AI2072=0,"",Registered!AI2072&amp;" BG")</f>
        <v/>
      </c>
      <c r="AY2072" s="2" t="str">
        <f>IF(Registered!AG2072=0,"",Registered!AG2072&amp;" DustMask")</f>
        <v/>
      </c>
    </row>
    <row r="2073" spans="1:51" customFormat="1" x14ac:dyDescent="0.25">
      <c r="A2073" t="s">
        <v>3346</v>
      </c>
      <c r="B2073" t="s">
        <v>778</v>
      </c>
      <c r="C2073" t="s">
        <v>6090</v>
      </c>
      <c r="G2073" t="s">
        <v>2904</v>
      </c>
      <c r="H2073" t="s">
        <v>2905</v>
      </c>
      <c r="I2073" t="s">
        <v>2906</v>
      </c>
      <c r="J2073" t="s">
        <v>37</v>
      </c>
      <c r="K2073" t="s">
        <v>32</v>
      </c>
      <c r="L2073" t="s">
        <v>35</v>
      </c>
      <c r="AQ2073">
        <v>0</v>
      </c>
      <c r="AR2073" s="3">
        <f t="shared" si="96"/>
        <v>0</v>
      </c>
      <c r="AS2073" s="3">
        <f t="shared" si="97"/>
        <v>0</v>
      </c>
      <c r="AT2073" s="3" t="str">
        <f>IF(OR(Registered!AM2073&gt;0,Registered!AO2073&gt;0),(IF(Registered!E2073=0,"Size Not Specified",Registered!E2073)),"")</f>
        <v/>
      </c>
      <c r="AU2073" s="3" t="str">
        <f>IF(Registered!AE2073=0,"",IF(Registered!AE2073=1,Registered!AE2073&amp;" Bandana",Registered!AE2073&amp;" Bandanas"))</f>
        <v/>
      </c>
      <c r="AV2073" s="3">
        <f t="shared" si="98"/>
        <v>0</v>
      </c>
      <c r="AW2073" s="2" t="str">
        <f>IF(Registered!AV2073=0,"",IF(Registered!AV2073=1,Registered!AV2073&amp;" Meal",Registered!AV2073&amp;" Meals"))</f>
        <v/>
      </c>
      <c r="AX2073" s="2" t="str">
        <f>IF(Registered!AI2073=0,"",Registered!AI2073&amp;" BG")</f>
        <v/>
      </c>
      <c r="AY2073" s="2" t="str">
        <f>IF(Registered!AG2073=0,"",Registered!AG2073&amp;" DustMask")</f>
        <v/>
      </c>
    </row>
    <row r="2074" spans="1:51" customFormat="1" x14ac:dyDescent="0.25">
      <c r="A2074" t="s">
        <v>3347</v>
      </c>
      <c r="B2074" t="s">
        <v>778</v>
      </c>
      <c r="C2074" t="s">
        <v>6090</v>
      </c>
      <c r="G2074" t="s">
        <v>2904</v>
      </c>
      <c r="H2074" t="s">
        <v>2905</v>
      </c>
      <c r="I2074" t="s">
        <v>2906</v>
      </c>
      <c r="J2074" t="s">
        <v>37</v>
      </c>
      <c r="K2074" t="s">
        <v>32</v>
      </c>
      <c r="L2074" t="s">
        <v>35</v>
      </c>
      <c r="AQ2074">
        <v>0</v>
      </c>
      <c r="AR2074" s="3">
        <f t="shared" si="96"/>
        <v>0</v>
      </c>
      <c r="AS2074" s="3">
        <f t="shared" si="97"/>
        <v>0</v>
      </c>
      <c r="AT2074" s="3" t="str">
        <f>IF(OR(Registered!AM2074&gt;0,Registered!AO2074&gt;0),(IF(Registered!E2074=0,"Size Not Specified",Registered!E2074)),"")</f>
        <v/>
      </c>
      <c r="AU2074" s="3" t="str">
        <f>IF(Registered!AE2074=0,"",IF(Registered!AE2074=1,Registered!AE2074&amp;" Bandana",Registered!AE2074&amp;" Bandanas"))</f>
        <v/>
      </c>
      <c r="AV2074" s="3">
        <f t="shared" si="98"/>
        <v>0</v>
      </c>
      <c r="AW2074" s="2" t="str">
        <f>IF(Registered!AV2074=0,"",IF(Registered!AV2074=1,Registered!AV2074&amp;" Meal",Registered!AV2074&amp;" Meals"))</f>
        <v/>
      </c>
      <c r="AX2074" s="2" t="str">
        <f>IF(Registered!AI2074=0,"",Registered!AI2074&amp;" BG")</f>
        <v/>
      </c>
      <c r="AY2074" s="2" t="str">
        <f>IF(Registered!AG2074=0,"",Registered!AG2074&amp;" DustMask")</f>
        <v/>
      </c>
    </row>
    <row r="2075" spans="1:51" customFormat="1" x14ac:dyDescent="0.25">
      <c r="A2075" t="s">
        <v>324</v>
      </c>
      <c r="B2075" t="s">
        <v>3589</v>
      </c>
      <c r="C2075" t="s">
        <v>6090</v>
      </c>
      <c r="D2075" t="s">
        <v>5564</v>
      </c>
      <c r="F2075" t="s">
        <v>261</v>
      </c>
      <c r="I2075" t="s">
        <v>5565</v>
      </c>
      <c r="J2075" t="s">
        <v>37</v>
      </c>
      <c r="K2075" t="s">
        <v>32</v>
      </c>
      <c r="L2075" t="s">
        <v>35</v>
      </c>
      <c r="Q2075">
        <v>2</v>
      </c>
      <c r="R2075">
        <v>3</v>
      </c>
      <c r="U2075">
        <v>1</v>
      </c>
      <c r="V2075">
        <v>20</v>
      </c>
      <c r="AQ2075">
        <v>26</v>
      </c>
      <c r="AR2075" s="3">
        <f t="shared" si="96"/>
        <v>10</v>
      </c>
      <c r="AS2075" s="3">
        <f t="shared" si="97"/>
        <v>0</v>
      </c>
      <c r="AT2075" s="3" t="str">
        <f>IF(OR(Registered!AM2075&gt;0,Registered!AO2075&gt;0),(IF(Registered!E2075=0,"Size Not Specified",Registered!E2075)),"")</f>
        <v/>
      </c>
      <c r="AU2075" s="3" t="str">
        <f>IF(Registered!AE2075=0,"",IF(Registered!AE2075=1,Registered!AE2075&amp;" Bandana",Registered!AE2075&amp;" Bandanas"))</f>
        <v/>
      </c>
      <c r="AV2075" s="3">
        <f t="shared" si="98"/>
        <v>0</v>
      </c>
      <c r="AW2075" s="2" t="str">
        <f>IF(Registered!AV2075=0,"",IF(Registered!AV2075=1,Registered!AV2075&amp;" Meal",Registered!AV2075&amp;" Meals"))</f>
        <v/>
      </c>
      <c r="AX2075" s="2" t="str">
        <f>IF(Registered!AI2075=0,"",Registered!AI2075&amp;" BG")</f>
        <v/>
      </c>
      <c r="AY2075" s="2" t="str">
        <f>IF(Registered!AG2075=0,"",Registered!AG2075&amp;" DustMask")</f>
        <v/>
      </c>
    </row>
    <row r="2076" spans="1:51" customFormat="1" x14ac:dyDescent="0.25">
      <c r="A2076" t="s">
        <v>3803</v>
      </c>
      <c r="B2076" t="s">
        <v>4611</v>
      </c>
      <c r="C2076" t="s">
        <v>6090</v>
      </c>
      <c r="D2076" t="s">
        <v>5566</v>
      </c>
      <c r="F2076" t="s">
        <v>261</v>
      </c>
      <c r="I2076" t="s">
        <v>4612</v>
      </c>
      <c r="J2076" t="s">
        <v>37</v>
      </c>
      <c r="K2076" t="s">
        <v>32</v>
      </c>
      <c r="L2076" t="s">
        <v>35</v>
      </c>
      <c r="Q2076">
        <v>6</v>
      </c>
      <c r="R2076">
        <v>3</v>
      </c>
      <c r="AA2076">
        <v>1</v>
      </c>
      <c r="AB2076">
        <v>75</v>
      </c>
      <c r="AQ2076">
        <v>93</v>
      </c>
      <c r="AR2076" s="3">
        <f t="shared" si="96"/>
        <v>40</v>
      </c>
      <c r="AS2076" s="3">
        <f t="shared" si="97"/>
        <v>0</v>
      </c>
      <c r="AT2076" s="3" t="str">
        <f>IF(OR(Registered!AM2076&gt;0,Registered!AO2076&gt;0),(IF(Registered!E2076=0,"Size Not Specified",Registered!E2076)),"")</f>
        <v/>
      </c>
      <c r="AU2076" s="3" t="str">
        <f>IF(Registered!AE2076=0,"",IF(Registered!AE2076=1,Registered!AE2076&amp;" Bandana",Registered!AE2076&amp;" Bandanas"))</f>
        <v/>
      </c>
      <c r="AV2076" s="3">
        <f t="shared" si="98"/>
        <v>0</v>
      </c>
      <c r="AW2076" s="2" t="str">
        <f>IF(Registered!AV2076=0,"",IF(Registered!AV2076=1,Registered!AV2076&amp;" Meal",Registered!AV2076&amp;" Meals"))</f>
        <v/>
      </c>
      <c r="AX2076" s="2" t="str">
        <f>IF(Registered!AI2076=0,"",Registered!AI2076&amp;" BG")</f>
        <v/>
      </c>
      <c r="AY2076" s="2" t="str">
        <f>IF(Registered!AG2076=0,"",Registered!AG2076&amp;" DustMask")</f>
        <v/>
      </c>
    </row>
    <row r="2077" spans="1:51" customFormat="1" x14ac:dyDescent="0.25">
      <c r="A2077" t="s">
        <v>5567</v>
      </c>
      <c r="B2077" t="s">
        <v>4611</v>
      </c>
      <c r="C2077" t="s">
        <v>6090</v>
      </c>
      <c r="G2077" t="s">
        <v>3803</v>
      </c>
      <c r="H2077" t="s">
        <v>4611</v>
      </c>
      <c r="I2077" t="s">
        <v>4612</v>
      </c>
      <c r="J2077" t="s">
        <v>37</v>
      </c>
      <c r="K2077" t="s">
        <v>32</v>
      </c>
      <c r="L2077" t="s">
        <v>35</v>
      </c>
      <c r="AQ2077">
        <v>0</v>
      </c>
      <c r="AR2077" s="3">
        <f t="shared" si="96"/>
        <v>0</v>
      </c>
      <c r="AS2077" s="3">
        <f t="shared" si="97"/>
        <v>0</v>
      </c>
      <c r="AT2077" s="3" t="str">
        <f>IF(OR(Registered!AM2077&gt;0,Registered!AO2077&gt;0),(IF(Registered!E2077=0,"Size Not Specified",Registered!E2077)),"")</f>
        <v/>
      </c>
      <c r="AU2077" s="3" t="str">
        <f>IF(Registered!AE2077=0,"",IF(Registered!AE2077=1,Registered!AE2077&amp;" Bandana",Registered!AE2077&amp;" Bandanas"))</f>
        <v/>
      </c>
      <c r="AV2077" s="3">
        <f t="shared" si="98"/>
        <v>0</v>
      </c>
      <c r="AW2077" s="2" t="str">
        <f>IF(Registered!AV2077=0,"",IF(Registered!AV2077=1,Registered!AV2077&amp;" Meal",Registered!AV2077&amp;" Meals"))</f>
        <v/>
      </c>
      <c r="AX2077" s="2" t="str">
        <f>IF(Registered!AI2077=0,"",Registered!AI2077&amp;" BG")</f>
        <v/>
      </c>
      <c r="AY2077" s="2" t="str">
        <f>IF(Registered!AG2077=0,"",Registered!AG2077&amp;" DustMask")</f>
        <v/>
      </c>
    </row>
    <row r="2078" spans="1:51" customFormat="1" x14ac:dyDescent="0.25">
      <c r="A2078" t="s">
        <v>142</v>
      </c>
      <c r="B2078" t="s">
        <v>4611</v>
      </c>
      <c r="C2078" t="s">
        <v>6090</v>
      </c>
      <c r="G2078" t="s">
        <v>3803</v>
      </c>
      <c r="H2078" t="s">
        <v>4611</v>
      </c>
      <c r="I2078" t="s">
        <v>4612</v>
      </c>
      <c r="J2078" t="s">
        <v>37</v>
      </c>
      <c r="K2078" t="s">
        <v>32</v>
      </c>
      <c r="L2078" t="s">
        <v>35</v>
      </c>
      <c r="AQ2078">
        <v>0</v>
      </c>
      <c r="AR2078" s="3">
        <f t="shared" si="96"/>
        <v>0</v>
      </c>
      <c r="AS2078" s="3">
        <f t="shared" si="97"/>
        <v>0</v>
      </c>
      <c r="AT2078" s="3" t="str">
        <f>IF(OR(Registered!AM2078&gt;0,Registered!AO2078&gt;0),(IF(Registered!E2078=0,"Size Not Specified",Registered!E2078)),"")</f>
        <v/>
      </c>
      <c r="AU2078" s="3" t="str">
        <f>IF(Registered!AE2078=0,"",IF(Registered!AE2078=1,Registered!AE2078&amp;" Bandana",Registered!AE2078&amp;" Bandanas"))</f>
        <v/>
      </c>
      <c r="AV2078" s="3">
        <f t="shared" si="98"/>
        <v>0</v>
      </c>
      <c r="AW2078" s="2" t="str">
        <f>IF(Registered!AV2078=0,"",IF(Registered!AV2078=1,Registered!AV2078&amp;" Meal",Registered!AV2078&amp;" Meals"))</f>
        <v/>
      </c>
      <c r="AX2078" s="2" t="str">
        <f>IF(Registered!AI2078=0,"",Registered!AI2078&amp;" BG")</f>
        <v/>
      </c>
      <c r="AY2078" s="2" t="str">
        <f>IF(Registered!AG2078=0,"",Registered!AG2078&amp;" DustMask")</f>
        <v/>
      </c>
    </row>
    <row r="2079" spans="1:51" customFormat="1" x14ac:dyDescent="0.25">
      <c r="A2079" t="s">
        <v>100</v>
      </c>
      <c r="B2079" t="s">
        <v>5568</v>
      </c>
      <c r="C2079" t="s">
        <v>6090</v>
      </c>
      <c r="D2079" t="s">
        <v>5569</v>
      </c>
      <c r="F2079" t="s">
        <v>261</v>
      </c>
      <c r="I2079" t="s">
        <v>5570</v>
      </c>
      <c r="J2079" t="s">
        <v>37</v>
      </c>
      <c r="K2079" t="s">
        <v>32</v>
      </c>
      <c r="L2079" t="s">
        <v>35</v>
      </c>
      <c r="Q2079">
        <v>1</v>
      </c>
      <c r="R2079">
        <v>3</v>
      </c>
      <c r="AC2079">
        <v>1</v>
      </c>
      <c r="AD2079">
        <v>10</v>
      </c>
      <c r="AQ2079">
        <v>13</v>
      </c>
      <c r="AR2079" s="3">
        <f t="shared" si="96"/>
        <v>5</v>
      </c>
      <c r="AS2079" s="3">
        <f t="shared" si="97"/>
        <v>0</v>
      </c>
      <c r="AT2079" s="3" t="str">
        <f>IF(OR(Registered!AM2079&gt;0,Registered!AO2079&gt;0),(IF(Registered!E2079=0,"Size Not Specified",Registered!E2079)),"")</f>
        <v/>
      </c>
      <c r="AU2079" s="3" t="str">
        <f>IF(Registered!AE2079=0,"",IF(Registered!AE2079=1,Registered!AE2079&amp;" Bandana",Registered!AE2079&amp;" Bandanas"))</f>
        <v/>
      </c>
      <c r="AV2079" s="3">
        <f t="shared" si="98"/>
        <v>0</v>
      </c>
      <c r="AW2079" s="2" t="str">
        <f>IF(Registered!AV2079=0,"",IF(Registered!AV2079=1,Registered!AV2079&amp;" Meal",Registered!AV2079&amp;" Meals"))</f>
        <v/>
      </c>
      <c r="AX2079" s="2" t="str">
        <f>IF(Registered!AI2079=0,"",Registered!AI2079&amp;" BG")</f>
        <v/>
      </c>
      <c r="AY2079" s="2" t="str">
        <f>IF(Registered!AG2079=0,"",Registered!AG2079&amp;" DustMask")</f>
        <v/>
      </c>
    </row>
    <row r="2080" spans="1:51" customFormat="1" x14ac:dyDescent="0.25">
      <c r="A2080" t="s">
        <v>137</v>
      </c>
      <c r="B2080" t="s">
        <v>3231</v>
      </c>
      <c r="C2080" t="s">
        <v>6090</v>
      </c>
      <c r="D2080" t="s">
        <v>3348</v>
      </c>
      <c r="E2080" t="s">
        <v>3349</v>
      </c>
      <c r="F2080" t="s">
        <v>261</v>
      </c>
      <c r="I2080" t="s">
        <v>3232</v>
      </c>
      <c r="J2080" t="s">
        <v>37</v>
      </c>
      <c r="K2080" t="s">
        <v>32</v>
      </c>
      <c r="L2080" t="s">
        <v>35</v>
      </c>
      <c r="Q2080">
        <v>6</v>
      </c>
      <c r="R2080">
        <v>3</v>
      </c>
      <c r="W2080">
        <v>1</v>
      </c>
      <c r="X2080">
        <v>40</v>
      </c>
      <c r="AC2080">
        <v>1</v>
      </c>
      <c r="AD2080">
        <v>10</v>
      </c>
      <c r="AE2080">
        <v>2</v>
      </c>
      <c r="AF2080">
        <v>6</v>
      </c>
      <c r="AG2080">
        <v>2</v>
      </c>
      <c r="AH2080">
        <v>1</v>
      </c>
      <c r="AO2080">
        <v>2</v>
      </c>
      <c r="AP2080">
        <v>10</v>
      </c>
      <c r="AQ2080">
        <v>102</v>
      </c>
      <c r="AR2080" s="3">
        <f t="shared" si="96"/>
        <v>25</v>
      </c>
      <c r="AS2080" s="3">
        <f t="shared" si="97"/>
        <v>2</v>
      </c>
      <c r="AT2080" s="3" t="str">
        <f>IF(OR(Registered!AM2080&gt;0,Registered!AO2080&gt;0),(IF(Registered!E2080=0,"Size Not Specified",Registered!E2080)),"")</f>
        <v>1 Large, 1 Medium</v>
      </c>
      <c r="AU2080" s="3" t="str">
        <f>IF(Registered!AE2080=0,"",IF(Registered!AE2080=1,Registered!AE2080&amp;" Bandana",Registered!AE2080&amp;" Bandanas"))</f>
        <v>2 Bandanas</v>
      </c>
      <c r="AV2080" s="3">
        <f t="shared" si="98"/>
        <v>0</v>
      </c>
      <c r="AW2080" s="2" t="str">
        <f>IF(Registered!AV2080=0,"",IF(Registered!AV2080=1,Registered!AV2080&amp;" Meal",Registered!AV2080&amp;" Meals"))</f>
        <v/>
      </c>
      <c r="AX2080" s="2" t="str">
        <f>IF(Registered!AI2080=0,"",Registered!AI2080&amp;" BG")</f>
        <v/>
      </c>
      <c r="AY2080" s="2" t="str">
        <f>IF(Registered!AG2080=0,"",Registered!AG2080&amp;" DustMask")</f>
        <v>2 DustMask</v>
      </c>
    </row>
    <row r="2081" spans="1:51" customFormat="1" x14ac:dyDescent="0.25">
      <c r="A2081" t="s">
        <v>240</v>
      </c>
      <c r="B2081" t="s">
        <v>5573</v>
      </c>
      <c r="C2081" t="s">
        <v>6090</v>
      </c>
      <c r="D2081" t="s">
        <v>198</v>
      </c>
      <c r="F2081" t="s">
        <v>261</v>
      </c>
      <c r="I2081" t="s">
        <v>5574</v>
      </c>
      <c r="J2081" t="s">
        <v>37</v>
      </c>
      <c r="K2081" t="s">
        <v>32</v>
      </c>
      <c r="L2081" t="s">
        <v>35</v>
      </c>
      <c r="Q2081">
        <v>1</v>
      </c>
      <c r="R2081">
        <v>3</v>
      </c>
      <c r="AC2081">
        <v>1</v>
      </c>
      <c r="AD2081">
        <v>10</v>
      </c>
      <c r="AQ2081">
        <v>13</v>
      </c>
      <c r="AR2081" s="3">
        <f t="shared" si="96"/>
        <v>5</v>
      </c>
      <c r="AS2081" s="3">
        <f t="shared" si="97"/>
        <v>0</v>
      </c>
      <c r="AT2081" s="3" t="str">
        <f>IF(OR(Registered!AM2081&gt;0,Registered!AO2081&gt;0),(IF(Registered!E2081=0,"Size Not Specified",Registered!E2081)),"")</f>
        <v/>
      </c>
      <c r="AU2081" s="3" t="str">
        <f>IF(Registered!AE2081=0,"",IF(Registered!AE2081=1,Registered!AE2081&amp;" Bandana",Registered!AE2081&amp;" Bandanas"))</f>
        <v/>
      </c>
      <c r="AV2081" s="3">
        <f t="shared" si="98"/>
        <v>0</v>
      </c>
      <c r="AW2081" s="2" t="str">
        <f>IF(Registered!AV2081=0,"",IF(Registered!AV2081=1,Registered!AV2081&amp;" Meal",Registered!AV2081&amp;" Meals"))</f>
        <v/>
      </c>
      <c r="AX2081" s="2" t="str">
        <f>IF(Registered!AI2081=0,"",Registered!AI2081&amp;" BG")</f>
        <v/>
      </c>
      <c r="AY2081" s="2" t="str">
        <f>IF(Registered!AG2081=0,"",Registered!AG2081&amp;" DustMask")</f>
        <v/>
      </c>
    </row>
    <row r="2082" spans="1:51" customFormat="1" x14ac:dyDescent="0.25">
      <c r="A2082" t="s">
        <v>2265</v>
      </c>
      <c r="B2082" t="s">
        <v>269</v>
      </c>
      <c r="C2082" t="s">
        <v>6090</v>
      </c>
      <c r="G2082" t="s">
        <v>81</v>
      </c>
      <c r="H2082" t="s">
        <v>1081</v>
      </c>
      <c r="I2082" t="s">
        <v>1089</v>
      </c>
      <c r="J2082" t="s">
        <v>37</v>
      </c>
      <c r="K2082" t="s">
        <v>32</v>
      </c>
      <c r="L2082" t="s">
        <v>35</v>
      </c>
      <c r="AQ2082">
        <v>0</v>
      </c>
      <c r="AR2082" s="3">
        <f t="shared" si="96"/>
        <v>0</v>
      </c>
      <c r="AS2082" s="3">
        <f t="shared" si="97"/>
        <v>0</v>
      </c>
      <c r="AT2082" s="3" t="str">
        <f>IF(OR(Registered!AM2082&gt;0,Registered!AO2082&gt;0),(IF(Registered!E2082=0,"Size Not Specified",Registered!E2082)),"")</f>
        <v/>
      </c>
      <c r="AU2082" s="3" t="str">
        <f>IF(Registered!AE2082=0,"",IF(Registered!AE2082=1,Registered!AE2082&amp;" Bandana",Registered!AE2082&amp;" Bandanas"))</f>
        <v/>
      </c>
      <c r="AV2082" s="3">
        <f t="shared" si="98"/>
        <v>0</v>
      </c>
      <c r="AW2082" s="2" t="str">
        <f>IF(Registered!AV2082=0,"",IF(Registered!AV2082=1,Registered!AV2082&amp;" Meal",Registered!AV2082&amp;" Meals"))</f>
        <v/>
      </c>
      <c r="AX2082" s="2" t="str">
        <f>IF(Registered!AI2082=0,"",Registered!AI2082&amp;" BG")</f>
        <v/>
      </c>
      <c r="AY2082" s="2" t="str">
        <f>IF(Registered!AG2082=0,"",Registered!AG2082&amp;" DustMask")</f>
        <v/>
      </c>
    </row>
    <row r="2083" spans="1:51" customFormat="1" x14ac:dyDescent="0.25">
      <c r="A2083" t="s">
        <v>3350</v>
      </c>
      <c r="B2083" t="s">
        <v>269</v>
      </c>
      <c r="C2083" t="s">
        <v>6090</v>
      </c>
      <c r="G2083" t="s">
        <v>137</v>
      </c>
      <c r="H2083" t="s">
        <v>3231</v>
      </c>
      <c r="I2083" t="s">
        <v>3232</v>
      </c>
      <c r="J2083" t="s">
        <v>37</v>
      </c>
      <c r="K2083" t="s">
        <v>32</v>
      </c>
      <c r="L2083" t="s">
        <v>35</v>
      </c>
      <c r="AQ2083">
        <v>0</v>
      </c>
      <c r="AR2083" s="3">
        <f t="shared" si="96"/>
        <v>0</v>
      </c>
      <c r="AS2083" s="3">
        <f t="shared" si="97"/>
        <v>0</v>
      </c>
      <c r="AT2083" s="3" t="str">
        <f>IF(OR(Registered!AM2083&gt;0,Registered!AO2083&gt;0),(IF(Registered!E2083=0,"Size Not Specified",Registered!E2083)),"")</f>
        <v/>
      </c>
      <c r="AU2083" s="3" t="str">
        <f>IF(Registered!AE2083=0,"",IF(Registered!AE2083=1,Registered!AE2083&amp;" Bandana",Registered!AE2083&amp;" Bandanas"))</f>
        <v/>
      </c>
      <c r="AV2083" s="3">
        <f t="shared" si="98"/>
        <v>0</v>
      </c>
      <c r="AW2083" s="2" t="str">
        <f>IF(Registered!AV2083=0,"",IF(Registered!AV2083=1,Registered!AV2083&amp;" Meal",Registered!AV2083&amp;" Meals"))</f>
        <v/>
      </c>
      <c r="AX2083" s="2" t="str">
        <f>IF(Registered!AI2083=0,"",Registered!AI2083&amp;" BG")</f>
        <v/>
      </c>
      <c r="AY2083" s="2" t="str">
        <f>IF(Registered!AG2083=0,"",Registered!AG2083&amp;" DustMask")</f>
        <v/>
      </c>
    </row>
    <row r="2084" spans="1:51" customFormat="1" x14ac:dyDescent="0.25">
      <c r="A2084" t="s">
        <v>320</v>
      </c>
      <c r="B2084" t="s">
        <v>321</v>
      </c>
      <c r="C2084" t="s">
        <v>6090</v>
      </c>
      <c r="D2084" t="s">
        <v>2267</v>
      </c>
      <c r="F2084" t="s">
        <v>261</v>
      </c>
      <c r="I2084" t="s">
        <v>1307</v>
      </c>
      <c r="J2084" t="s">
        <v>37</v>
      </c>
      <c r="K2084" t="s">
        <v>32</v>
      </c>
      <c r="L2084" t="s">
        <v>35</v>
      </c>
      <c r="S2084">
        <v>6</v>
      </c>
      <c r="T2084">
        <v>3</v>
      </c>
      <c r="AQ2084">
        <v>18</v>
      </c>
      <c r="AR2084" s="3">
        <f t="shared" si="96"/>
        <v>0</v>
      </c>
      <c r="AS2084" s="3">
        <f t="shared" si="97"/>
        <v>0</v>
      </c>
      <c r="AT2084" s="3" t="str">
        <f>IF(OR(Registered!AM2084&gt;0,Registered!AO2084&gt;0),(IF(Registered!E2084=0,"Size Not Specified",Registered!E2084)),"")</f>
        <v/>
      </c>
      <c r="AU2084" s="3" t="str">
        <f>IF(Registered!AE2084=0,"",IF(Registered!AE2084=1,Registered!AE2084&amp;" Bandana",Registered!AE2084&amp;" Bandanas"))</f>
        <v/>
      </c>
      <c r="AV2084" s="3">
        <f t="shared" si="98"/>
        <v>0</v>
      </c>
      <c r="AW2084" s="2" t="str">
        <f>IF(Registered!AV2084=0,"",IF(Registered!AV2084=1,Registered!AV2084&amp;" Meal",Registered!AV2084&amp;" Meals"))</f>
        <v/>
      </c>
      <c r="AX2084" s="2" t="str">
        <f>IF(Registered!AI2084=0,"",Registered!AI2084&amp;" BG")</f>
        <v/>
      </c>
      <c r="AY2084" s="2" t="str">
        <f>IF(Registered!AG2084=0,"",Registered!AG2084&amp;" DustMask")</f>
        <v/>
      </c>
    </row>
    <row r="2085" spans="1:51" customFormat="1" x14ac:dyDescent="0.25">
      <c r="A2085" t="s">
        <v>5580</v>
      </c>
      <c r="B2085" t="s">
        <v>321</v>
      </c>
      <c r="C2085" t="s">
        <v>6090</v>
      </c>
      <c r="G2085" t="s">
        <v>299</v>
      </c>
      <c r="H2085" t="s">
        <v>3657</v>
      </c>
      <c r="I2085" t="s">
        <v>3996</v>
      </c>
      <c r="J2085" t="s">
        <v>37</v>
      </c>
      <c r="K2085" t="s">
        <v>32</v>
      </c>
      <c r="L2085" t="s">
        <v>35</v>
      </c>
      <c r="AQ2085">
        <v>0</v>
      </c>
      <c r="AR2085" s="3">
        <f t="shared" si="96"/>
        <v>0</v>
      </c>
      <c r="AS2085" s="3">
        <f t="shared" si="97"/>
        <v>0</v>
      </c>
      <c r="AT2085" s="3" t="str">
        <f>IF(OR(Registered!AM2085&gt;0,Registered!AO2085&gt;0),(IF(Registered!E2085=0,"Size Not Specified",Registered!E2085)),"")</f>
        <v/>
      </c>
      <c r="AU2085" s="3" t="str">
        <f>IF(Registered!AE2085=0,"",IF(Registered!AE2085=1,Registered!AE2085&amp;" Bandana",Registered!AE2085&amp;" Bandanas"))</f>
        <v/>
      </c>
      <c r="AV2085" s="3">
        <f t="shared" si="98"/>
        <v>0</v>
      </c>
      <c r="AW2085" s="2" t="str">
        <f>IF(Registered!AV2085=0,"",IF(Registered!AV2085=1,Registered!AV2085&amp;" Meal",Registered!AV2085&amp;" Meals"))</f>
        <v/>
      </c>
      <c r="AX2085" s="2" t="str">
        <f>IF(Registered!AI2085=0,"",Registered!AI2085&amp;" BG")</f>
        <v/>
      </c>
      <c r="AY2085" s="2" t="str">
        <f>IF(Registered!AG2085=0,"",Registered!AG2085&amp;" DustMask")</f>
        <v/>
      </c>
    </row>
    <row r="2086" spans="1:51" customFormat="1" x14ac:dyDescent="0.25">
      <c r="A2086" t="s">
        <v>100</v>
      </c>
      <c r="B2086" t="s">
        <v>321</v>
      </c>
      <c r="C2086" t="s">
        <v>6090</v>
      </c>
      <c r="G2086" t="s">
        <v>299</v>
      </c>
      <c r="H2086" t="s">
        <v>3657</v>
      </c>
      <c r="I2086" t="s">
        <v>3996</v>
      </c>
      <c r="J2086" t="s">
        <v>37</v>
      </c>
      <c r="K2086" t="s">
        <v>32</v>
      </c>
      <c r="L2086" t="s">
        <v>35</v>
      </c>
      <c r="AQ2086">
        <v>0</v>
      </c>
      <c r="AR2086" s="3">
        <f t="shared" si="96"/>
        <v>0</v>
      </c>
      <c r="AS2086" s="3">
        <f t="shared" si="97"/>
        <v>0</v>
      </c>
      <c r="AT2086" s="3" t="str">
        <f>IF(OR(Registered!AM2086&gt;0,Registered!AO2086&gt;0),(IF(Registered!E2086=0,"Size Not Specified",Registered!E2086)),"")</f>
        <v/>
      </c>
      <c r="AU2086" s="3" t="str">
        <f>IF(Registered!AE2086=0,"",IF(Registered!AE2086=1,Registered!AE2086&amp;" Bandana",Registered!AE2086&amp;" Bandanas"))</f>
        <v/>
      </c>
      <c r="AV2086" s="3">
        <f t="shared" si="98"/>
        <v>0</v>
      </c>
      <c r="AW2086" s="2" t="str">
        <f>IF(Registered!AV2086=0,"",IF(Registered!AV2086=1,Registered!AV2086&amp;" Meal",Registered!AV2086&amp;" Meals"))</f>
        <v/>
      </c>
      <c r="AX2086" s="2" t="str">
        <f>IF(Registered!AI2086=0,"",Registered!AI2086&amp;" BG")</f>
        <v/>
      </c>
      <c r="AY2086" s="2" t="str">
        <f>IF(Registered!AG2086=0,"",Registered!AG2086&amp;" DustMask")</f>
        <v/>
      </c>
    </row>
    <row r="2087" spans="1:51" customFormat="1" x14ac:dyDescent="0.25">
      <c r="A2087" t="s">
        <v>5581</v>
      </c>
      <c r="B2087" t="s">
        <v>321</v>
      </c>
      <c r="C2087" t="s">
        <v>6090</v>
      </c>
      <c r="D2087" t="s">
        <v>5582</v>
      </c>
      <c r="F2087" t="s">
        <v>261</v>
      </c>
      <c r="I2087" t="s">
        <v>5583</v>
      </c>
      <c r="J2087" t="s">
        <v>37</v>
      </c>
      <c r="K2087" t="s">
        <v>32</v>
      </c>
      <c r="L2087" t="s">
        <v>35</v>
      </c>
      <c r="Q2087">
        <v>1</v>
      </c>
      <c r="R2087">
        <v>3</v>
      </c>
      <c r="U2087">
        <v>1</v>
      </c>
      <c r="V2087">
        <v>20</v>
      </c>
      <c r="AQ2087">
        <v>23</v>
      </c>
      <c r="AR2087" s="3">
        <f t="shared" si="96"/>
        <v>10</v>
      </c>
      <c r="AS2087" s="3">
        <f t="shared" si="97"/>
        <v>0</v>
      </c>
      <c r="AT2087" s="3" t="str">
        <f>IF(OR(Registered!AM2087&gt;0,Registered!AO2087&gt;0),(IF(Registered!E2087=0,"Size Not Specified",Registered!E2087)),"")</f>
        <v/>
      </c>
      <c r="AU2087" s="3" t="str">
        <f>IF(Registered!AE2087=0,"",IF(Registered!AE2087=1,Registered!AE2087&amp;" Bandana",Registered!AE2087&amp;" Bandanas"))</f>
        <v/>
      </c>
      <c r="AV2087" s="3">
        <f t="shared" si="98"/>
        <v>0</v>
      </c>
      <c r="AW2087" s="2" t="str">
        <f>IF(Registered!AV2087=0,"",IF(Registered!AV2087=1,Registered!AV2087&amp;" Meal",Registered!AV2087&amp;" Meals"))</f>
        <v/>
      </c>
      <c r="AX2087" s="2" t="str">
        <f>IF(Registered!AI2087=0,"",Registered!AI2087&amp;" BG")</f>
        <v/>
      </c>
      <c r="AY2087" s="2" t="str">
        <f>IF(Registered!AG2087=0,"",Registered!AG2087&amp;" DustMask")</f>
        <v/>
      </c>
    </row>
    <row r="2088" spans="1:51" customFormat="1" x14ac:dyDescent="0.25">
      <c r="A2088" t="s">
        <v>351</v>
      </c>
      <c r="B2088" t="s">
        <v>321</v>
      </c>
      <c r="C2088" t="s">
        <v>6090</v>
      </c>
      <c r="G2088" t="s">
        <v>1758</v>
      </c>
      <c r="H2088" t="s">
        <v>302</v>
      </c>
      <c r="I2088" t="s">
        <v>1759</v>
      </c>
      <c r="J2088" t="s">
        <v>37</v>
      </c>
      <c r="K2088" t="s">
        <v>32</v>
      </c>
      <c r="L2088" t="s">
        <v>35</v>
      </c>
      <c r="AQ2088">
        <v>0</v>
      </c>
      <c r="AR2088" s="3">
        <f t="shared" si="96"/>
        <v>0</v>
      </c>
      <c r="AS2088" s="3">
        <f t="shared" si="97"/>
        <v>0</v>
      </c>
      <c r="AT2088" s="3" t="str">
        <f>IF(OR(Registered!AM2088&gt;0,Registered!AO2088&gt;0),(IF(Registered!E2088=0,"Size Not Specified",Registered!E2088)),"")</f>
        <v/>
      </c>
      <c r="AU2088" s="3" t="str">
        <f>IF(Registered!AE2088=0,"",IF(Registered!AE2088=1,Registered!AE2088&amp;" Bandana",Registered!AE2088&amp;" Bandanas"))</f>
        <v/>
      </c>
      <c r="AV2088" s="3">
        <f t="shared" si="98"/>
        <v>0</v>
      </c>
      <c r="AW2088" s="2" t="str">
        <f>IF(Registered!AV2088=0,"",IF(Registered!AV2088=1,Registered!AV2088&amp;" Meal",Registered!AV2088&amp;" Meals"))</f>
        <v/>
      </c>
      <c r="AX2088" s="2" t="str">
        <f>IF(Registered!AI2088=0,"",Registered!AI2088&amp;" BG")</f>
        <v/>
      </c>
      <c r="AY2088" s="2" t="str">
        <f>IF(Registered!AG2088=0,"",Registered!AG2088&amp;" DustMask")</f>
        <v/>
      </c>
    </row>
    <row r="2089" spans="1:51" customFormat="1" x14ac:dyDescent="0.25">
      <c r="A2089" t="s">
        <v>211</v>
      </c>
      <c r="B2089" t="s">
        <v>432</v>
      </c>
      <c r="C2089" t="s">
        <v>6090</v>
      </c>
      <c r="G2089" t="s">
        <v>2268</v>
      </c>
      <c r="H2089" t="s">
        <v>432</v>
      </c>
      <c r="I2089" t="s">
        <v>2269</v>
      </c>
      <c r="J2089" t="s">
        <v>37</v>
      </c>
      <c r="K2089" t="s">
        <v>32</v>
      </c>
      <c r="L2089" t="s">
        <v>35</v>
      </c>
      <c r="AQ2089">
        <v>0</v>
      </c>
      <c r="AR2089" s="3">
        <f t="shared" si="96"/>
        <v>0</v>
      </c>
      <c r="AS2089" s="3">
        <f t="shared" si="97"/>
        <v>0</v>
      </c>
      <c r="AT2089" s="3" t="str">
        <f>IF(OR(Registered!AM2089&gt;0,Registered!AO2089&gt;0),(IF(Registered!E2089=0,"Size Not Specified",Registered!E2089)),"")</f>
        <v/>
      </c>
      <c r="AU2089" s="3" t="str">
        <f>IF(Registered!AE2089=0,"",IF(Registered!AE2089=1,Registered!AE2089&amp;" Bandana",Registered!AE2089&amp;" Bandanas"))</f>
        <v/>
      </c>
      <c r="AV2089" s="3">
        <f t="shared" si="98"/>
        <v>0</v>
      </c>
      <c r="AW2089" s="2" t="str">
        <f>IF(Registered!AV2089=0,"",IF(Registered!AV2089=1,Registered!AV2089&amp;" Meal",Registered!AV2089&amp;" Meals"))</f>
        <v/>
      </c>
      <c r="AX2089" s="2" t="str">
        <f>IF(Registered!AI2089=0,"",Registered!AI2089&amp;" BG")</f>
        <v/>
      </c>
      <c r="AY2089" s="2" t="str">
        <f>IF(Registered!AG2089=0,"",Registered!AG2089&amp;" DustMask")</f>
        <v/>
      </c>
    </row>
    <row r="2090" spans="1:51" customFormat="1" x14ac:dyDescent="0.25">
      <c r="A2090" t="s">
        <v>2039</v>
      </c>
      <c r="B2090" t="s">
        <v>432</v>
      </c>
      <c r="C2090" t="s">
        <v>6090</v>
      </c>
      <c r="G2090" t="s">
        <v>711</v>
      </c>
      <c r="H2090" t="s">
        <v>313</v>
      </c>
      <c r="I2090" t="s">
        <v>713</v>
      </c>
      <c r="J2090" t="s">
        <v>37</v>
      </c>
      <c r="K2090" t="s">
        <v>32</v>
      </c>
      <c r="L2090" t="s">
        <v>35</v>
      </c>
      <c r="AQ2090">
        <v>0</v>
      </c>
      <c r="AR2090" s="3">
        <f t="shared" si="96"/>
        <v>0</v>
      </c>
      <c r="AS2090" s="3">
        <f t="shared" si="97"/>
        <v>0</v>
      </c>
      <c r="AT2090" s="3" t="str">
        <f>IF(OR(Registered!AM2090&gt;0,Registered!AO2090&gt;0),(IF(Registered!E2090=0,"Size Not Specified",Registered!E2090)),"")</f>
        <v/>
      </c>
      <c r="AU2090" s="3" t="str">
        <f>IF(Registered!AE2090=0,"",IF(Registered!AE2090=1,Registered!AE2090&amp;" Bandana",Registered!AE2090&amp;" Bandanas"))</f>
        <v/>
      </c>
      <c r="AV2090" s="3">
        <f t="shared" si="98"/>
        <v>0</v>
      </c>
      <c r="AW2090" s="2" t="str">
        <f>IF(Registered!AV2090=0,"",IF(Registered!AV2090=1,Registered!AV2090&amp;" Meal",Registered!AV2090&amp;" Meals"))</f>
        <v/>
      </c>
      <c r="AX2090" s="2" t="str">
        <f>IF(Registered!AI2090=0,"",Registered!AI2090&amp;" BG")</f>
        <v/>
      </c>
      <c r="AY2090" s="2" t="str">
        <f>IF(Registered!AG2090=0,"",Registered!AG2090&amp;" DustMask")</f>
        <v/>
      </c>
    </row>
    <row r="2091" spans="1:51" customFormat="1" x14ac:dyDescent="0.25">
      <c r="A2091" t="s">
        <v>2268</v>
      </c>
      <c r="B2091" t="s">
        <v>432</v>
      </c>
      <c r="C2091" t="s">
        <v>6090</v>
      </c>
      <c r="D2091" t="s">
        <v>2270</v>
      </c>
      <c r="F2091" t="s">
        <v>261</v>
      </c>
      <c r="I2091" t="s">
        <v>2271</v>
      </c>
      <c r="J2091" t="s">
        <v>37</v>
      </c>
      <c r="K2091" t="s">
        <v>32</v>
      </c>
      <c r="L2091" t="s">
        <v>35</v>
      </c>
      <c r="Q2091">
        <v>2</v>
      </c>
      <c r="R2091">
        <v>3</v>
      </c>
      <c r="W2091">
        <v>1</v>
      </c>
      <c r="X2091">
        <v>40</v>
      </c>
      <c r="AQ2091">
        <v>46</v>
      </c>
      <c r="AR2091" s="3">
        <f t="shared" si="96"/>
        <v>20</v>
      </c>
      <c r="AS2091" s="3">
        <f t="shared" si="97"/>
        <v>0</v>
      </c>
      <c r="AT2091" s="3" t="str">
        <f>IF(OR(Registered!AM2091&gt;0,Registered!AO2091&gt;0),(IF(Registered!E2091=0,"Size Not Specified",Registered!E2091)),"")</f>
        <v/>
      </c>
      <c r="AU2091" s="3" t="str">
        <f>IF(Registered!AE2091=0,"",IF(Registered!AE2091=1,Registered!AE2091&amp;" Bandana",Registered!AE2091&amp;" Bandanas"))</f>
        <v/>
      </c>
      <c r="AV2091" s="3">
        <f t="shared" si="98"/>
        <v>0</v>
      </c>
      <c r="AW2091" s="2" t="str">
        <f>IF(Registered!AV2091=0,"",IF(Registered!AV2091=1,Registered!AV2091&amp;" Meal",Registered!AV2091&amp;" Meals"))</f>
        <v/>
      </c>
      <c r="AX2091" s="2" t="str">
        <f>IF(Registered!AI2091=0,"",Registered!AI2091&amp;" BG")</f>
        <v/>
      </c>
      <c r="AY2091" s="2" t="str">
        <f>IF(Registered!AG2091=0,"",Registered!AG2091&amp;" DustMask")</f>
        <v/>
      </c>
    </row>
    <row r="2092" spans="1:51" customFormat="1" x14ac:dyDescent="0.25">
      <c r="A2092" t="s">
        <v>205</v>
      </c>
      <c r="B2092" t="s">
        <v>2272</v>
      </c>
      <c r="C2092" t="s">
        <v>6090</v>
      </c>
      <c r="G2092" t="s">
        <v>375</v>
      </c>
      <c r="H2092" t="s">
        <v>204</v>
      </c>
      <c r="I2092" t="s">
        <v>1963</v>
      </c>
      <c r="J2092" t="s">
        <v>37</v>
      </c>
      <c r="K2092" t="s">
        <v>32</v>
      </c>
      <c r="L2092" t="s">
        <v>35</v>
      </c>
      <c r="AQ2092">
        <v>0</v>
      </c>
      <c r="AR2092" s="3">
        <f t="shared" si="96"/>
        <v>0</v>
      </c>
      <c r="AS2092" s="3">
        <f t="shared" si="97"/>
        <v>0</v>
      </c>
      <c r="AT2092" s="3" t="str">
        <f>IF(OR(Registered!AM2092&gt;0,Registered!AO2092&gt;0),(IF(Registered!E2092=0,"Size Not Specified",Registered!E2092)),"")</f>
        <v/>
      </c>
      <c r="AU2092" s="3" t="str">
        <f>IF(Registered!AE2092=0,"",IF(Registered!AE2092=1,Registered!AE2092&amp;" Bandana",Registered!AE2092&amp;" Bandanas"))</f>
        <v/>
      </c>
      <c r="AV2092" s="3">
        <f t="shared" si="98"/>
        <v>0</v>
      </c>
      <c r="AW2092" s="2" t="str">
        <f>IF(Registered!AV2092=0,"",IF(Registered!AV2092=1,Registered!AV2092&amp;" Meal",Registered!AV2092&amp;" Meals"))</f>
        <v/>
      </c>
      <c r="AX2092" s="2" t="str">
        <f>IF(Registered!AI2092=0,"",Registered!AI2092&amp;" BG")</f>
        <v/>
      </c>
      <c r="AY2092" s="2" t="str">
        <f>IF(Registered!AG2092=0,"",Registered!AG2092&amp;" DustMask")</f>
        <v/>
      </c>
    </row>
    <row r="2093" spans="1:51" customFormat="1" x14ac:dyDescent="0.25">
      <c r="A2093" t="s">
        <v>256</v>
      </c>
      <c r="B2093" t="s">
        <v>948</v>
      </c>
      <c r="C2093" t="s">
        <v>6090</v>
      </c>
      <c r="D2093" t="s">
        <v>256</v>
      </c>
      <c r="F2093" t="s">
        <v>261</v>
      </c>
      <c r="I2093" t="s">
        <v>949</v>
      </c>
      <c r="J2093" t="s">
        <v>37</v>
      </c>
      <c r="K2093" t="s">
        <v>32</v>
      </c>
      <c r="L2093" t="s">
        <v>35</v>
      </c>
      <c r="S2093">
        <v>2</v>
      </c>
      <c r="T2093">
        <v>3</v>
      </c>
      <c r="U2093">
        <v>1</v>
      </c>
      <c r="V2093">
        <v>20</v>
      </c>
      <c r="AQ2093">
        <v>26</v>
      </c>
      <c r="AR2093" s="3">
        <f t="shared" si="96"/>
        <v>10</v>
      </c>
      <c r="AS2093" s="3">
        <f t="shared" si="97"/>
        <v>0</v>
      </c>
      <c r="AT2093" s="3" t="str">
        <f>IF(OR(Registered!AM2093&gt;0,Registered!AO2093&gt;0),(IF(Registered!E2093=0,"Size Not Specified",Registered!E2093)),"")</f>
        <v/>
      </c>
      <c r="AU2093" s="3" t="str">
        <f>IF(Registered!AE2093=0,"",IF(Registered!AE2093=1,Registered!AE2093&amp;" Bandana",Registered!AE2093&amp;" Bandanas"))</f>
        <v/>
      </c>
      <c r="AV2093" s="3">
        <f t="shared" si="98"/>
        <v>0</v>
      </c>
      <c r="AW2093" s="2" t="str">
        <f>IF(Registered!AV2093=0,"",IF(Registered!AV2093=1,Registered!AV2093&amp;" Meal",Registered!AV2093&amp;" Meals"))</f>
        <v/>
      </c>
      <c r="AX2093" s="2" t="str">
        <f>IF(Registered!AI2093=0,"",Registered!AI2093&amp;" BG")</f>
        <v/>
      </c>
      <c r="AY2093" s="2" t="str">
        <f>IF(Registered!AG2093=0,"",Registered!AG2093&amp;" DustMask")</f>
        <v/>
      </c>
    </row>
    <row r="2094" spans="1:51" customFormat="1" x14ac:dyDescent="0.25">
      <c r="A2094" t="s">
        <v>125</v>
      </c>
      <c r="B2094" t="s">
        <v>2273</v>
      </c>
      <c r="C2094" t="s">
        <v>6090</v>
      </c>
      <c r="G2094" t="s">
        <v>849</v>
      </c>
      <c r="H2094" t="s">
        <v>850</v>
      </c>
      <c r="I2094" t="s">
        <v>852</v>
      </c>
      <c r="J2094" t="s">
        <v>37</v>
      </c>
      <c r="K2094" t="s">
        <v>32</v>
      </c>
      <c r="L2094" t="s">
        <v>35</v>
      </c>
      <c r="AQ2094">
        <v>0</v>
      </c>
      <c r="AR2094" s="3">
        <f t="shared" si="96"/>
        <v>0</v>
      </c>
      <c r="AS2094" s="3">
        <f t="shared" si="97"/>
        <v>0</v>
      </c>
      <c r="AT2094" s="3" t="str">
        <f>IF(OR(Registered!AM2094&gt;0,Registered!AO2094&gt;0),(IF(Registered!E2094=0,"Size Not Specified",Registered!E2094)),"")</f>
        <v/>
      </c>
      <c r="AU2094" s="3" t="str">
        <f>IF(Registered!AE2094=0,"",IF(Registered!AE2094=1,Registered!AE2094&amp;" Bandana",Registered!AE2094&amp;" Bandanas"))</f>
        <v/>
      </c>
      <c r="AV2094" s="3">
        <f t="shared" si="98"/>
        <v>0</v>
      </c>
      <c r="AW2094" s="2" t="str">
        <f>IF(Registered!AV2094=0,"",IF(Registered!AV2094=1,Registered!AV2094&amp;" Meal",Registered!AV2094&amp;" Meals"))</f>
        <v/>
      </c>
      <c r="AX2094" s="2" t="str">
        <f>IF(Registered!AI2094=0,"",Registered!AI2094&amp;" BG")</f>
        <v/>
      </c>
      <c r="AY2094" s="2" t="str">
        <f>IF(Registered!AG2094=0,"",Registered!AG2094&amp;" DustMask")</f>
        <v/>
      </c>
    </row>
    <row r="2095" spans="1:51" customFormat="1" x14ac:dyDescent="0.25">
      <c r="A2095" t="s">
        <v>445</v>
      </c>
      <c r="B2095" t="s">
        <v>161</v>
      </c>
      <c r="C2095" t="s">
        <v>6090</v>
      </c>
      <c r="G2095" t="s">
        <v>331</v>
      </c>
      <c r="H2095" t="s">
        <v>4328</v>
      </c>
      <c r="I2095" t="s">
        <v>5584</v>
      </c>
      <c r="J2095" t="s">
        <v>37</v>
      </c>
      <c r="K2095" t="s">
        <v>32</v>
      </c>
      <c r="L2095" t="s">
        <v>35</v>
      </c>
      <c r="AQ2095">
        <v>0</v>
      </c>
      <c r="AR2095" s="3">
        <f t="shared" si="96"/>
        <v>0</v>
      </c>
      <c r="AS2095" s="3">
        <f t="shared" si="97"/>
        <v>0</v>
      </c>
      <c r="AT2095" s="3" t="str">
        <f>IF(OR(Registered!AM2095&gt;0,Registered!AO2095&gt;0),(IF(Registered!E2095=0,"Size Not Specified",Registered!E2095)),"")</f>
        <v/>
      </c>
      <c r="AU2095" s="3" t="str">
        <f>IF(Registered!AE2095=0,"",IF(Registered!AE2095=1,Registered!AE2095&amp;" Bandana",Registered!AE2095&amp;" Bandanas"))</f>
        <v/>
      </c>
      <c r="AV2095" s="3">
        <f t="shared" si="98"/>
        <v>0</v>
      </c>
      <c r="AW2095" s="2" t="str">
        <f>IF(Registered!AV2095=0,"",IF(Registered!AV2095=1,Registered!AV2095&amp;" Meal",Registered!AV2095&amp;" Meals"))</f>
        <v/>
      </c>
      <c r="AX2095" s="2" t="str">
        <f>IF(Registered!AI2095=0,"",Registered!AI2095&amp;" BG")</f>
        <v/>
      </c>
      <c r="AY2095" s="2" t="str">
        <f>IF(Registered!AG2095=0,"",Registered!AG2095&amp;" DustMask")</f>
        <v/>
      </c>
    </row>
    <row r="2096" spans="1:51" customFormat="1" x14ac:dyDescent="0.25">
      <c r="A2096" t="s">
        <v>102</v>
      </c>
      <c r="B2096" t="s">
        <v>161</v>
      </c>
      <c r="C2096" t="s">
        <v>6090</v>
      </c>
      <c r="D2096" t="s">
        <v>2274</v>
      </c>
      <c r="F2096" t="s">
        <v>261</v>
      </c>
      <c r="I2096" t="s">
        <v>2275</v>
      </c>
      <c r="J2096" t="s">
        <v>37</v>
      </c>
      <c r="K2096" t="s">
        <v>32</v>
      </c>
      <c r="L2096" t="s">
        <v>35</v>
      </c>
      <c r="Q2096">
        <v>1</v>
      </c>
      <c r="R2096">
        <v>3</v>
      </c>
      <c r="W2096">
        <v>1</v>
      </c>
      <c r="X2096">
        <v>40</v>
      </c>
      <c r="AQ2096">
        <v>43</v>
      </c>
      <c r="AR2096" s="3">
        <f t="shared" si="96"/>
        <v>20</v>
      </c>
      <c r="AS2096" s="3">
        <f t="shared" si="97"/>
        <v>0</v>
      </c>
      <c r="AT2096" s="3" t="str">
        <f>IF(OR(Registered!AM2096&gt;0,Registered!AO2096&gt;0),(IF(Registered!E2096=0,"Size Not Specified",Registered!E2096)),"")</f>
        <v/>
      </c>
      <c r="AU2096" s="3" t="str">
        <f>IF(Registered!AE2096=0,"",IF(Registered!AE2096=1,Registered!AE2096&amp;" Bandana",Registered!AE2096&amp;" Bandanas"))</f>
        <v/>
      </c>
      <c r="AV2096" s="3">
        <f t="shared" si="98"/>
        <v>0</v>
      </c>
      <c r="AW2096" s="2" t="str">
        <f>IF(Registered!AV2096=0,"",IF(Registered!AV2096=1,Registered!AV2096&amp;" Meal",Registered!AV2096&amp;" Meals"))</f>
        <v/>
      </c>
      <c r="AX2096" s="2" t="str">
        <f>IF(Registered!AI2096=0,"",Registered!AI2096&amp;" BG")</f>
        <v/>
      </c>
      <c r="AY2096" s="2" t="str">
        <f>IF(Registered!AG2096=0,"",Registered!AG2096&amp;" DustMask")</f>
        <v/>
      </c>
    </row>
    <row r="2097" spans="1:51" customFormat="1" x14ac:dyDescent="0.25">
      <c r="A2097" t="s">
        <v>2276</v>
      </c>
      <c r="B2097" t="s">
        <v>2277</v>
      </c>
      <c r="C2097" t="s">
        <v>6090</v>
      </c>
      <c r="G2097" t="s">
        <v>272</v>
      </c>
      <c r="H2097" t="s">
        <v>477</v>
      </c>
      <c r="I2097" t="s">
        <v>2036</v>
      </c>
      <c r="J2097" t="s">
        <v>37</v>
      </c>
      <c r="K2097" t="s">
        <v>32</v>
      </c>
      <c r="L2097" t="s">
        <v>35</v>
      </c>
      <c r="AQ2097">
        <v>0</v>
      </c>
      <c r="AR2097" s="3">
        <f t="shared" si="96"/>
        <v>0</v>
      </c>
      <c r="AS2097" s="3">
        <f t="shared" si="97"/>
        <v>0</v>
      </c>
      <c r="AT2097" s="3" t="str">
        <f>IF(OR(Registered!AM2097&gt;0,Registered!AO2097&gt;0),(IF(Registered!E2097=0,"Size Not Specified",Registered!E2097)),"")</f>
        <v/>
      </c>
      <c r="AU2097" s="3" t="str">
        <f>IF(Registered!AE2097=0,"",IF(Registered!AE2097=1,Registered!AE2097&amp;" Bandana",Registered!AE2097&amp;" Bandanas"))</f>
        <v/>
      </c>
      <c r="AV2097" s="3">
        <f t="shared" si="98"/>
        <v>0</v>
      </c>
      <c r="AW2097" s="2" t="str">
        <f>IF(Registered!AV2097=0,"",IF(Registered!AV2097=1,Registered!AV2097&amp;" Meal",Registered!AV2097&amp;" Meals"))</f>
        <v/>
      </c>
      <c r="AX2097" s="2" t="str">
        <f>IF(Registered!AI2097=0,"",Registered!AI2097&amp;" BG")</f>
        <v/>
      </c>
      <c r="AY2097" s="2" t="str">
        <f>IF(Registered!AG2097=0,"",Registered!AG2097&amp;" DustMask")</f>
        <v/>
      </c>
    </row>
    <row r="2098" spans="1:51" customFormat="1" x14ac:dyDescent="0.25">
      <c r="A2098" t="s">
        <v>499</v>
      </c>
      <c r="B2098" t="s">
        <v>2277</v>
      </c>
      <c r="C2098" t="s">
        <v>6090</v>
      </c>
      <c r="G2098" t="s">
        <v>3803</v>
      </c>
      <c r="H2098" t="s">
        <v>4611</v>
      </c>
      <c r="I2098" t="s">
        <v>4612</v>
      </c>
      <c r="J2098" t="s">
        <v>37</v>
      </c>
      <c r="K2098" t="s">
        <v>32</v>
      </c>
      <c r="L2098" t="s">
        <v>35</v>
      </c>
      <c r="AQ2098">
        <v>0</v>
      </c>
      <c r="AR2098" s="3">
        <f t="shared" si="96"/>
        <v>0</v>
      </c>
      <c r="AS2098" s="3">
        <f t="shared" si="97"/>
        <v>0</v>
      </c>
      <c r="AT2098" s="3" t="str">
        <f>IF(OR(Registered!AM2098&gt;0,Registered!AO2098&gt;0),(IF(Registered!E2098=0,"Size Not Specified",Registered!E2098)),"")</f>
        <v/>
      </c>
      <c r="AU2098" s="3" t="str">
        <f>IF(Registered!AE2098=0,"",IF(Registered!AE2098=1,Registered!AE2098&amp;" Bandana",Registered!AE2098&amp;" Bandanas"))</f>
        <v/>
      </c>
      <c r="AV2098" s="3">
        <f t="shared" si="98"/>
        <v>0</v>
      </c>
      <c r="AW2098" s="2" t="str">
        <f>IF(Registered!AV2098=0,"",IF(Registered!AV2098=1,Registered!AV2098&amp;" Meal",Registered!AV2098&amp;" Meals"))</f>
        <v/>
      </c>
      <c r="AX2098" s="2" t="str">
        <f>IF(Registered!AI2098=0,"",Registered!AI2098&amp;" BG")</f>
        <v/>
      </c>
      <c r="AY2098" s="2" t="str">
        <f>IF(Registered!AG2098=0,"",Registered!AG2098&amp;" DustMask")</f>
        <v/>
      </c>
    </row>
    <row r="2099" spans="1:51" customFormat="1" x14ac:dyDescent="0.25">
      <c r="A2099" t="s">
        <v>188</v>
      </c>
      <c r="B2099" t="s">
        <v>3275</v>
      </c>
      <c r="C2099" t="s">
        <v>6090</v>
      </c>
      <c r="D2099" t="s">
        <v>3351</v>
      </c>
      <c r="F2099" t="s">
        <v>261</v>
      </c>
      <c r="I2099" t="s">
        <v>3276</v>
      </c>
      <c r="J2099" t="s">
        <v>37</v>
      </c>
      <c r="K2099" t="s">
        <v>32</v>
      </c>
      <c r="L2099" t="s">
        <v>35</v>
      </c>
      <c r="Q2099">
        <v>3</v>
      </c>
      <c r="R2099">
        <v>3</v>
      </c>
      <c r="AC2099">
        <v>1</v>
      </c>
      <c r="AD2099">
        <v>10</v>
      </c>
      <c r="AQ2099">
        <v>19</v>
      </c>
      <c r="AR2099" s="3">
        <f t="shared" si="96"/>
        <v>5</v>
      </c>
      <c r="AS2099" s="3">
        <f t="shared" si="97"/>
        <v>0</v>
      </c>
      <c r="AT2099" s="3" t="str">
        <f>IF(OR(Registered!AM2099&gt;0,Registered!AO2099&gt;0),(IF(Registered!E2099=0,"Size Not Specified",Registered!E2099)),"")</f>
        <v/>
      </c>
      <c r="AU2099" s="3" t="str">
        <f>IF(Registered!AE2099=0,"",IF(Registered!AE2099=1,Registered!AE2099&amp;" Bandana",Registered!AE2099&amp;" Bandanas"))</f>
        <v/>
      </c>
      <c r="AV2099" s="3">
        <f t="shared" si="98"/>
        <v>0</v>
      </c>
      <c r="AW2099" s="2" t="str">
        <f>IF(Registered!AV2099=0,"",IF(Registered!AV2099=1,Registered!AV2099&amp;" Meal",Registered!AV2099&amp;" Meals"))</f>
        <v/>
      </c>
      <c r="AX2099" s="2" t="str">
        <f>IF(Registered!AI2099=0,"",Registered!AI2099&amp;" BG")</f>
        <v/>
      </c>
      <c r="AY2099" s="2" t="str">
        <f>IF(Registered!AG2099=0,"",Registered!AG2099&amp;" DustMask")</f>
        <v/>
      </c>
    </row>
    <row r="2100" spans="1:51" customFormat="1" x14ac:dyDescent="0.25">
      <c r="A2100" t="s">
        <v>165</v>
      </c>
      <c r="B2100" t="s">
        <v>5588</v>
      </c>
      <c r="C2100" t="s">
        <v>6090</v>
      </c>
      <c r="D2100" t="s">
        <v>57</v>
      </c>
      <c r="F2100" t="s">
        <v>261</v>
      </c>
      <c r="I2100" t="s">
        <v>5589</v>
      </c>
      <c r="J2100" t="s">
        <v>37</v>
      </c>
      <c r="K2100" t="s">
        <v>32</v>
      </c>
      <c r="L2100" t="s">
        <v>35</v>
      </c>
      <c r="Q2100">
        <v>1</v>
      </c>
      <c r="R2100">
        <v>3</v>
      </c>
      <c r="AC2100">
        <v>1</v>
      </c>
      <c r="AD2100">
        <v>10</v>
      </c>
      <c r="AQ2100">
        <v>13</v>
      </c>
      <c r="AR2100" s="3">
        <f t="shared" si="96"/>
        <v>5</v>
      </c>
      <c r="AS2100" s="3">
        <f t="shared" si="97"/>
        <v>0</v>
      </c>
      <c r="AT2100" s="3" t="str">
        <f>IF(OR(Registered!AM2100&gt;0,Registered!AO2100&gt;0),(IF(Registered!E2100=0,"Size Not Specified",Registered!E2100)),"")</f>
        <v/>
      </c>
      <c r="AU2100" s="3" t="str">
        <f>IF(Registered!AE2100=0,"",IF(Registered!AE2100=1,Registered!AE2100&amp;" Bandana",Registered!AE2100&amp;" Bandanas"))</f>
        <v/>
      </c>
      <c r="AV2100" s="3">
        <f t="shared" si="98"/>
        <v>0</v>
      </c>
      <c r="AW2100" s="2" t="str">
        <f>IF(Registered!AV2100=0,"",IF(Registered!AV2100=1,Registered!AV2100&amp;" Meal",Registered!AV2100&amp;" Meals"))</f>
        <v/>
      </c>
      <c r="AX2100" s="2" t="str">
        <f>IF(Registered!AI2100=0,"",Registered!AI2100&amp;" BG")</f>
        <v/>
      </c>
      <c r="AY2100" s="2" t="str">
        <f>IF(Registered!AG2100=0,"",Registered!AG2100&amp;" DustMask")</f>
        <v/>
      </c>
    </row>
    <row r="2101" spans="1:51" customFormat="1" x14ac:dyDescent="0.25">
      <c r="A2101" t="s">
        <v>673</v>
      </c>
      <c r="B2101" t="s">
        <v>3352</v>
      </c>
      <c r="C2101" t="s">
        <v>6090</v>
      </c>
      <c r="G2101" t="s">
        <v>2570</v>
      </c>
      <c r="H2101" t="s">
        <v>3352</v>
      </c>
      <c r="I2101" t="s">
        <v>3353</v>
      </c>
      <c r="J2101" t="s">
        <v>37</v>
      </c>
      <c r="K2101" t="s">
        <v>32</v>
      </c>
      <c r="L2101" t="s">
        <v>35</v>
      </c>
      <c r="AQ2101">
        <v>0</v>
      </c>
      <c r="AR2101" s="3">
        <f t="shared" si="96"/>
        <v>0</v>
      </c>
      <c r="AS2101" s="3">
        <f t="shared" si="97"/>
        <v>0</v>
      </c>
      <c r="AT2101" s="3" t="str">
        <f>IF(OR(Registered!AM2101&gt;0,Registered!AO2101&gt;0),(IF(Registered!E2101=0,"Size Not Specified",Registered!E2101)),"")</f>
        <v/>
      </c>
      <c r="AU2101" s="3" t="str">
        <f>IF(Registered!AE2101=0,"",IF(Registered!AE2101=1,Registered!AE2101&amp;" Bandana",Registered!AE2101&amp;" Bandanas"))</f>
        <v/>
      </c>
      <c r="AV2101" s="3">
        <f t="shared" si="98"/>
        <v>0</v>
      </c>
      <c r="AW2101" s="2" t="str">
        <f>IF(Registered!AV2101=0,"",IF(Registered!AV2101=1,Registered!AV2101&amp;" Meal",Registered!AV2101&amp;" Meals"))</f>
        <v/>
      </c>
      <c r="AX2101" s="2" t="str">
        <f>IF(Registered!AI2101=0,"",Registered!AI2101&amp;" BG")</f>
        <v/>
      </c>
      <c r="AY2101" s="2" t="str">
        <f>IF(Registered!AG2101=0,"",Registered!AG2101&amp;" DustMask")</f>
        <v/>
      </c>
    </row>
    <row r="2102" spans="1:51" customFormat="1" x14ac:dyDescent="0.25">
      <c r="A2102" t="s">
        <v>2570</v>
      </c>
      <c r="B2102" t="s">
        <v>3352</v>
      </c>
      <c r="C2102" t="s">
        <v>6090</v>
      </c>
      <c r="D2102" t="s">
        <v>57</v>
      </c>
      <c r="E2102" t="s">
        <v>3354</v>
      </c>
      <c r="F2102" t="s">
        <v>261</v>
      </c>
      <c r="I2102" t="s">
        <v>3353</v>
      </c>
      <c r="J2102" t="s">
        <v>37</v>
      </c>
      <c r="K2102" t="s">
        <v>32</v>
      </c>
      <c r="L2102" t="s">
        <v>35</v>
      </c>
      <c r="Q2102">
        <v>2</v>
      </c>
      <c r="R2102">
        <v>3</v>
      </c>
      <c r="AM2102">
        <v>2</v>
      </c>
      <c r="AN2102">
        <v>25</v>
      </c>
      <c r="AQ2102">
        <v>56</v>
      </c>
      <c r="AR2102" s="3">
        <f t="shared" si="96"/>
        <v>10</v>
      </c>
      <c r="AS2102" s="3">
        <f t="shared" si="97"/>
        <v>2</v>
      </c>
      <c r="AT2102" s="3" t="str">
        <f>IF(OR(Registered!AM2102&gt;0,Registered!AO2102&gt;0),(IF(Registered!E2102=0,"Size Not Specified",Registered!E2102)),"")</f>
        <v>XXL and L</v>
      </c>
      <c r="AU2102" s="3" t="str">
        <f>IF(Registered!AE2102=0,"",IF(Registered!AE2102=1,Registered!AE2102&amp;" Bandana",Registered!AE2102&amp;" Bandanas"))</f>
        <v/>
      </c>
      <c r="AV2102" s="3">
        <f t="shared" si="98"/>
        <v>2</v>
      </c>
      <c r="AW2102" s="2" t="str">
        <f>IF(Registered!AV2102=0,"",IF(Registered!AV2102=1,Registered!AV2102&amp;" Meal",Registered!AV2102&amp;" Meals"))</f>
        <v>2 Meals</v>
      </c>
      <c r="AX2102" s="2" t="str">
        <f>IF(Registered!AI2102=0,"",Registered!AI2102&amp;" BG")</f>
        <v/>
      </c>
      <c r="AY2102" s="2" t="str">
        <f>IF(Registered!AG2102=0,"",Registered!AG2102&amp;" DustMask")</f>
        <v/>
      </c>
    </row>
    <row r="2103" spans="1:51" customFormat="1" x14ac:dyDescent="0.25">
      <c r="A2103" t="s">
        <v>2278</v>
      </c>
      <c r="B2103" t="s">
        <v>2279</v>
      </c>
      <c r="C2103" t="s">
        <v>6090</v>
      </c>
      <c r="G2103" t="s">
        <v>64</v>
      </c>
      <c r="H2103" t="s">
        <v>1416</v>
      </c>
      <c r="I2103" t="s">
        <v>1419</v>
      </c>
      <c r="J2103" t="s">
        <v>37</v>
      </c>
      <c r="K2103" t="s">
        <v>32</v>
      </c>
      <c r="L2103" t="s">
        <v>35</v>
      </c>
      <c r="AQ2103">
        <v>0</v>
      </c>
      <c r="AR2103" s="3">
        <f t="shared" si="96"/>
        <v>0</v>
      </c>
      <c r="AS2103" s="3">
        <f t="shared" si="97"/>
        <v>0</v>
      </c>
      <c r="AT2103" s="3" t="str">
        <f>IF(OR(Registered!AM2103&gt;0,Registered!AO2103&gt;0),(IF(Registered!E2103=0,"Size Not Specified",Registered!E2103)),"")</f>
        <v/>
      </c>
      <c r="AU2103" s="3" t="str">
        <f>IF(Registered!AE2103=0,"",IF(Registered!AE2103=1,Registered!AE2103&amp;" Bandana",Registered!AE2103&amp;" Bandanas"))</f>
        <v/>
      </c>
      <c r="AV2103" s="3">
        <f t="shared" si="98"/>
        <v>0</v>
      </c>
      <c r="AW2103" s="2" t="str">
        <f>IF(Registered!AV2103=0,"",IF(Registered!AV2103=1,Registered!AV2103&amp;" Meal",Registered!AV2103&amp;" Meals"))</f>
        <v/>
      </c>
      <c r="AX2103" s="2" t="str">
        <f>IF(Registered!AI2103=0,"",Registered!AI2103&amp;" BG")</f>
        <v/>
      </c>
      <c r="AY2103" s="2" t="str">
        <f>IF(Registered!AG2103=0,"",Registered!AG2103&amp;" DustMask")</f>
        <v/>
      </c>
    </row>
    <row r="2104" spans="1:51" customFormat="1" x14ac:dyDescent="0.25">
      <c r="A2104" t="s">
        <v>3574</v>
      </c>
      <c r="B2104" t="s">
        <v>3575</v>
      </c>
      <c r="C2104" t="s">
        <v>6090</v>
      </c>
      <c r="D2104" t="s">
        <v>5590</v>
      </c>
      <c r="F2104" t="s">
        <v>261</v>
      </c>
      <c r="I2104" t="s">
        <v>3576</v>
      </c>
      <c r="J2104" t="s">
        <v>37</v>
      </c>
      <c r="K2104" t="s">
        <v>32</v>
      </c>
      <c r="L2104" t="s">
        <v>35</v>
      </c>
      <c r="Q2104">
        <v>2</v>
      </c>
      <c r="R2104">
        <v>3</v>
      </c>
      <c r="AQ2104">
        <v>6</v>
      </c>
      <c r="AR2104" s="3">
        <f t="shared" si="96"/>
        <v>0</v>
      </c>
      <c r="AS2104" s="3">
        <f t="shared" si="97"/>
        <v>0</v>
      </c>
      <c r="AT2104" s="3" t="str">
        <f>IF(OR(Registered!AM2104&gt;0,Registered!AO2104&gt;0),(IF(Registered!E2104=0,"Size Not Specified",Registered!E2104)),"")</f>
        <v/>
      </c>
      <c r="AU2104" s="3" t="str">
        <f>IF(Registered!AE2104=0,"",IF(Registered!AE2104=1,Registered!AE2104&amp;" Bandana",Registered!AE2104&amp;" Bandanas"))</f>
        <v/>
      </c>
      <c r="AV2104" s="3">
        <f t="shared" si="98"/>
        <v>0</v>
      </c>
      <c r="AW2104" s="2" t="str">
        <f>IF(Registered!AV2104=0,"",IF(Registered!AV2104=1,Registered!AV2104&amp;" Meal",Registered!AV2104&amp;" Meals"))</f>
        <v/>
      </c>
      <c r="AX2104" s="2" t="str">
        <f>IF(Registered!AI2104=0,"",Registered!AI2104&amp;" BG")</f>
        <v/>
      </c>
      <c r="AY2104" s="2" t="str">
        <f>IF(Registered!AG2104=0,"",Registered!AG2104&amp;" DustMask")</f>
        <v/>
      </c>
    </row>
    <row r="2105" spans="1:51" customFormat="1" x14ac:dyDescent="0.25">
      <c r="A2105" t="s">
        <v>175</v>
      </c>
      <c r="B2105" t="s">
        <v>1269</v>
      </c>
      <c r="C2105" t="s">
        <v>6090</v>
      </c>
      <c r="D2105" t="s">
        <v>2280</v>
      </c>
      <c r="E2105" t="s">
        <v>53</v>
      </c>
      <c r="I2105" t="s">
        <v>1270</v>
      </c>
      <c r="J2105" t="s">
        <v>37</v>
      </c>
      <c r="K2105" t="s">
        <v>32</v>
      </c>
      <c r="L2105" t="s">
        <v>35</v>
      </c>
      <c r="O2105">
        <v>2</v>
      </c>
      <c r="P2105">
        <v>3</v>
      </c>
      <c r="U2105">
        <v>2</v>
      </c>
      <c r="V2105">
        <v>20</v>
      </c>
      <c r="AQ2105">
        <v>46</v>
      </c>
      <c r="AR2105" s="3">
        <f t="shared" si="96"/>
        <v>20</v>
      </c>
      <c r="AS2105" s="3">
        <f t="shared" si="97"/>
        <v>0</v>
      </c>
      <c r="AT2105" s="3" t="str">
        <f>IF(OR(Registered!AM2105&gt;0,Registered!AO2105&gt;0),(IF(Registered!E2105=0,"Size Not Specified",Registered!E2105)),"")</f>
        <v/>
      </c>
      <c r="AU2105" s="3" t="str">
        <f>IF(Registered!AE2105=0,"",IF(Registered!AE2105=1,Registered!AE2105&amp;" Bandana",Registered!AE2105&amp;" Bandanas"))</f>
        <v/>
      </c>
      <c r="AV2105" s="3">
        <f t="shared" si="98"/>
        <v>0</v>
      </c>
      <c r="AW2105" s="2" t="str">
        <f>IF(Registered!AV2105=0,"",IF(Registered!AV2105=1,Registered!AV2105&amp;" Meal",Registered!AV2105&amp;" Meals"))</f>
        <v/>
      </c>
      <c r="AX2105" s="2" t="str">
        <f>IF(Registered!AI2105=0,"",Registered!AI2105&amp;" BG")</f>
        <v/>
      </c>
      <c r="AY2105" s="2" t="str">
        <f>IF(Registered!AG2105=0,"",Registered!AG2105&amp;" DustMask")</f>
        <v/>
      </c>
    </row>
    <row r="2106" spans="1:51" customFormat="1" x14ac:dyDescent="0.25">
      <c r="A2106" t="s">
        <v>94</v>
      </c>
      <c r="B2106" t="s">
        <v>488</v>
      </c>
      <c r="C2106" t="s">
        <v>6090</v>
      </c>
      <c r="D2106" t="s">
        <v>2281</v>
      </c>
      <c r="E2106" t="s">
        <v>65</v>
      </c>
      <c r="F2106" t="s">
        <v>261</v>
      </c>
      <c r="I2106" t="s">
        <v>2282</v>
      </c>
      <c r="J2106" t="s">
        <v>37</v>
      </c>
      <c r="K2106" t="s">
        <v>32</v>
      </c>
      <c r="L2106" t="s">
        <v>35</v>
      </c>
      <c r="S2106">
        <v>1</v>
      </c>
      <c r="T2106">
        <v>3</v>
      </c>
      <c r="U2106">
        <v>1</v>
      </c>
      <c r="V2106">
        <v>20</v>
      </c>
      <c r="AE2106">
        <v>1</v>
      </c>
      <c r="AF2106">
        <v>6</v>
      </c>
      <c r="AO2106">
        <v>1</v>
      </c>
      <c r="AP2106">
        <v>10</v>
      </c>
      <c r="AQ2106">
        <v>39</v>
      </c>
      <c r="AR2106" s="3">
        <f t="shared" si="96"/>
        <v>10</v>
      </c>
      <c r="AS2106" s="3">
        <f t="shared" si="97"/>
        <v>1</v>
      </c>
      <c r="AT2106" s="3" t="str">
        <f>IF(OR(Registered!AM2106&gt;0,Registered!AO2106&gt;0),(IF(Registered!E2106=0,"Size Not Specified",Registered!E2106)),"")</f>
        <v>Medium</v>
      </c>
      <c r="AU2106" s="3" t="str">
        <f>IF(Registered!AE2106=0,"",IF(Registered!AE2106=1,Registered!AE2106&amp;" Bandana",Registered!AE2106&amp;" Bandanas"))</f>
        <v>1 Bandana</v>
      </c>
      <c r="AV2106" s="3">
        <f t="shared" si="98"/>
        <v>0</v>
      </c>
      <c r="AW2106" s="2" t="str">
        <f>IF(Registered!AV2106=0,"",IF(Registered!AV2106=1,Registered!AV2106&amp;" Meal",Registered!AV2106&amp;" Meals"))</f>
        <v/>
      </c>
      <c r="AX2106" s="2" t="str">
        <f>IF(Registered!AI2106=0,"",Registered!AI2106&amp;" BG")</f>
        <v/>
      </c>
      <c r="AY2106" s="2" t="str">
        <f>IF(Registered!AG2106=0,"",Registered!AG2106&amp;" DustMask")</f>
        <v/>
      </c>
    </row>
    <row r="2107" spans="1:51" customFormat="1" x14ac:dyDescent="0.25">
      <c r="A2107" t="s">
        <v>155</v>
      </c>
      <c r="B2107" t="s">
        <v>147</v>
      </c>
      <c r="C2107" t="s">
        <v>6090</v>
      </c>
      <c r="G2107" t="s">
        <v>157</v>
      </c>
      <c r="H2107" t="s">
        <v>1563</v>
      </c>
      <c r="I2107" t="s">
        <v>1565</v>
      </c>
      <c r="J2107" t="s">
        <v>37</v>
      </c>
      <c r="K2107" t="s">
        <v>32</v>
      </c>
      <c r="L2107" t="s">
        <v>35</v>
      </c>
      <c r="AQ2107">
        <v>0</v>
      </c>
      <c r="AR2107" s="3">
        <f t="shared" si="96"/>
        <v>0</v>
      </c>
      <c r="AS2107" s="3">
        <f t="shared" si="97"/>
        <v>0</v>
      </c>
      <c r="AT2107" s="3" t="str">
        <f>IF(OR(Registered!AM2107&gt;0,Registered!AO2107&gt;0),(IF(Registered!E2107=0,"Size Not Specified",Registered!E2107)),"")</f>
        <v/>
      </c>
      <c r="AU2107" s="3" t="str">
        <f>IF(Registered!AE2107=0,"",IF(Registered!AE2107=1,Registered!AE2107&amp;" Bandana",Registered!AE2107&amp;" Bandanas"))</f>
        <v/>
      </c>
      <c r="AV2107" s="3">
        <f t="shared" si="98"/>
        <v>0</v>
      </c>
      <c r="AW2107" s="2" t="str">
        <f>IF(Registered!AV2107=0,"",IF(Registered!AV2107=1,Registered!AV2107&amp;" Meal",Registered!AV2107&amp;" Meals"))</f>
        <v/>
      </c>
      <c r="AX2107" s="2" t="str">
        <f>IF(Registered!AI2107=0,"",Registered!AI2107&amp;" BG")</f>
        <v/>
      </c>
      <c r="AY2107" s="2" t="str">
        <f>IF(Registered!AG2107=0,"",Registered!AG2107&amp;" DustMask")</f>
        <v/>
      </c>
    </row>
    <row r="2108" spans="1:51" customFormat="1" x14ac:dyDescent="0.25">
      <c r="A2108" t="s">
        <v>336</v>
      </c>
      <c r="B2108" t="s">
        <v>5591</v>
      </c>
      <c r="C2108" t="s">
        <v>6090</v>
      </c>
      <c r="G2108" t="s">
        <v>324</v>
      </c>
      <c r="H2108" t="s">
        <v>3589</v>
      </c>
      <c r="I2108" t="s">
        <v>5565</v>
      </c>
      <c r="J2108" t="s">
        <v>37</v>
      </c>
      <c r="K2108" t="s">
        <v>32</v>
      </c>
      <c r="L2108" t="s">
        <v>35</v>
      </c>
      <c r="AQ2108">
        <v>0</v>
      </c>
      <c r="AR2108" s="3">
        <f t="shared" si="96"/>
        <v>0</v>
      </c>
      <c r="AS2108" s="3">
        <f t="shared" si="97"/>
        <v>0</v>
      </c>
      <c r="AT2108" s="3" t="str">
        <f>IF(OR(Registered!AM2108&gt;0,Registered!AO2108&gt;0),(IF(Registered!E2108=0,"Size Not Specified",Registered!E2108)),"")</f>
        <v/>
      </c>
      <c r="AU2108" s="3" t="str">
        <f>IF(Registered!AE2108=0,"",IF(Registered!AE2108=1,Registered!AE2108&amp;" Bandana",Registered!AE2108&amp;" Bandanas"))</f>
        <v/>
      </c>
      <c r="AV2108" s="3">
        <f t="shared" si="98"/>
        <v>0</v>
      </c>
      <c r="AW2108" s="2" t="str">
        <f>IF(Registered!AV2108=0,"",IF(Registered!AV2108=1,Registered!AV2108&amp;" Meal",Registered!AV2108&amp;" Meals"))</f>
        <v/>
      </c>
      <c r="AX2108" s="2" t="str">
        <f>IF(Registered!AI2108=0,"",Registered!AI2108&amp;" BG")</f>
        <v/>
      </c>
      <c r="AY2108" s="2" t="str">
        <f>IF(Registered!AG2108=0,"",Registered!AG2108&amp;" DustMask")</f>
        <v/>
      </c>
    </row>
    <row r="2109" spans="1:51" customFormat="1" x14ac:dyDescent="0.25">
      <c r="A2109" t="s">
        <v>2283</v>
      </c>
      <c r="B2109" t="s">
        <v>439</v>
      </c>
      <c r="C2109" t="s">
        <v>6090</v>
      </c>
      <c r="G2109" t="s">
        <v>1408</v>
      </c>
      <c r="H2109" t="s">
        <v>1406</v>
      </c>
      <c r="I2109" t="s">
        <v>1409</v>
      </c>
      <c r="J2109" t="s">
        <v>37</v>
      </c>
      <c r="K2109" t="s">
        <v>32</v>
      </c>
      <c r="L2109" t="s">
        <v>35</v>
      </c>
      <c r="AQ2109">
        <v>0</v>
      </c>
      <c r="AR2109" s="3">
        <f t="shared" si="96"/>
        <v>0</v>
      </c>
      <c r="AS2109" s="3">
        <f t="shared" si="97"/>
        <v>0</v>
      </c>
      <c r="AT2109" s="3" t="str">
        <f>IF(OR(Registered!AM2109&gt;0,Registered!AO2109&gt;0),(IF(Registered!E2109=0,"Size Not Specified",Registered!E2109)),"")</f>
        <v/>
      </c>
      <c r="AU2109" s="3" t="str">
        <f>IF(Registered!AE2109=0,"",IF(Registered!AE2109=1,Registered!AE2109&amp;" Bandana",Registered!AE2109&amp;" Bandanas"))</f>
        <v/>
      </c>
      <c r="AV2109" s="3">
        <f t="shared" si="98"/>
        <v>0</v>
      </c>
      <c r="AW2109" s="2" t="str">
        <f>IF(Registered!AV2109=0,"",IF(Registered!AV2109=1,Registered!AV2109&amp;" Meal",Registered!AV2109&amp;" Meals"))</f>
        <v/>
      </c>
      <c r="AX2109" s="2" t="str">
        <f>IF(Registered!AI2109=0,"",Registered!AI2109&amp;" BG")</f>
        <v/>
      </c>
      <c r="AY2109" s="2" t="str">
        <f>IF(Registered!AG2109=0,"",Registered!AG2109&amp;" DustMask")</f>
        <v/>
      </c>
    </row>
    <row r="2110" spans="1:51" customFormat="1" x14ac:dyDescent="0.25">
      <c r="A2110" t="s">
        <v>5592</v>
      </c>
      <c r="B2110" t="s">
        <v>439</v>
      </c>
      <c r="C2110" t="s">
        <v>6090</v>
      </c>
      <c r="G2110" t="s">
        <v>4101</v>
      </c>
      <c r="H2110" t="s">
        <v>129</v>
      </c>
      <c r="I2110" t="s">
        <v>4103</v>
      </c>
      <c r="J2110" t="s">
        <v>37</v>
      </c>
      <c r="K2110" t="s">
        <v>32</v>
      </c>
      <c r="L2110" t="s">
        <v>35</v>
      </c>
      <c r="AQ2110">
        <v>0</v>
      </c>
      <c r="AR2110" s="3">
        <f t="shared" si="96"/>
        <v>0</v>
      </c>
      <c r="AS2110" s="3">
        <f t="shared" si="97"/>
        <v>0</v>
      </c>
      <c r="AT2110" s="3" t="str">
        <f>IF(OR(Registered!AM2110&gt;0,Registered!AO2110&gt;0),(IF(Registered!E2110=0,"Size Not Specified",Registered!E2110)),"")</f>
        <v/>
      </c>
      <c r="AU2110" s="3" t="str">
        <f>IF(Registered!AE2110=0,"",IF(Registered!AE2110=1,Registered!AE2110&amp;" Bandana",Registered!AE2110&amp;" Bandanas"))</f>
        <v/>
      </c>
      <c r="AV2110" s="3">
        <f t="shared" si="98"/>
        <v>0</v>
      </c>
      <c r="AW2110" s="2" t="str">
        <f>IF(Registered!AV2110=0,"",IF(Registered!AV2110=1,Registered!AV2110&amp;" Meal",Registered!AV2110&amp;" Meals"))</f>
        <v/>
      </c>
      <c r="AX2110" s="2" t="str">
        <f>IF(Registered!AI2110=0,"",Registered!AI2110&amp;" BG")</f>
        <v/>
      </c>
      <c r="AY2110" s="2" t="str">
        <f>IF(Registered!AG2110=0,"",Registered!AG2110&amp;" DustMask")</f>
        <v/>
      </c>
    </row>
    <row r="2111" spans="1:51" customFormat="1" x14ac:dyDescent="0.25">
      <c r="A2111" t="s">
        <v>203</v>
      </c>
      <c r="B2111" t="s">
        <v>439</v>
      </c>
      <c r="C2111" t="s">
        <v>6090</v>
      </c>
      <c r="D2111" t="s">
        <v>2284</v>
      </c>
      <c r="E2111" t="s">
        <v>67</v>
      </c>
      <c r="F2111" t="s">
        <v>261</v>
      </c>
      <c r="I2111" t="s">
        <v>2158</v>
      </c>
      <c r="J2111" t="s">
        <v>37</v>
      </c>
      <c r="K2111" t="s">
        <v>32</v>
      </c>
      <c r="L2111" t="s">
        <v>35</v>
      </c>
      <c r="S2111">
        <v>2</v>
      </c>
      <c r="T2111">
        <v>3</v>
      </c>
      <c r="U2111">
        <v>1</v>
      </c>
      <c r="V2111">
        <v>20</v>
      </c>
      <c r="AE2111">
        <v>2</v>
      </c>
      <c r="AF2111">
        <v>6</v>
      </c>
      <c r="AQ2111">
        <v>38</v>
      </c>
      <c r="AR2111" s="3">
        <f t="shared" si="96"/>
        <v>10</v>
      </c>
      <c r="AS2111" s="3">
        <f t="shared" si="97"/>
        <v>0</v>
      </c>
      <c r="AT2111" s="3" t="str">
        <f>IF(OR(Registered!AM2111&gt;0,Registered!AO2111&gt;0),(IF(Registered!E2111=0,"Size Not Specified",Registered!E2111)),"")</f>
        <v/>
      </c>
      <c r="AU2111" s="3" t="str">
        <f>IF(Registered!AE2111=0,"",IF(Registered!AE2111=1,Registered!AE2111&amp;" Bandana",Registered!AE2111&amp;" Bandanas"))</f>
        <v>2 Bandanas</v>
      </c>
      <c r="AV2111" s="3">
        <f t="shared" si="98"/>
        <v>0</v>
      </c>
      <c r="AW2111" s="2" t="str">
        <f>IF(Registered!AV2111=0,"",IF(Registered!AV2111=1,Registered!AV2111&amp;" Meal",Registered!AV2111&amp;" Meals"))</f>
        <v/>
      </c>
      <c r="AX2111" s="2" t="str">
        <f>IF(Registered!AI2111=0,"",Registered!AI2111&amp;" BG")</f>
        <v/>
      </c>
      <c r="AY2111" s="2" t="str">
        <f>IF(Registered!AG2111=0,"",Registered!AG2111&amp;" DustMask")</f>
        <v/>
      </c>
    </row>
    <row r="2112" spans="1:51" customFormat="1" x14ac:dyDescent="0.25">
      <c r="A2112" t="s">
        <v>3327</v>
      </c>
      <c r="B2112" t="s">
        <v>5593</v>
      </c>
      <c r="C2112" t="s">
        <v>6090</v>
      </c>
      <c r="G2112" t="s">
        <v>642</v>
      </c>
      <c r="H2112" t="s">
        <v>4893</v>
      </c>
      <c r="I2112" t="s">
        <v>4894</v>
      </c>
      <c r="J2112" t="s">
        <v>37</v>
      </c>
      <c r="K2112" t="s">
        <v>32</v>
      </c>
      <c r="L2112" t="s">
        <v>35</v>
      </c>
      <c r="AQ2112">
        <v>0</v>
      </c>
      <c r="AR2112" s="3">
        <f t="shared" si="96"/>
        <v>0</v>
      </c>
      <c r="AS2112" s="3">
        <f t="shared" si="97"/>
        <v>0</v>
      </c>
      <c r="AT2112" s="3" t="str">
        <f>IF(OR(Registered!AM2112&gt;0,Registered!AO2112&gt;0),(IF(Registered!E2112=0,"Size Not Specified",Registered!E2112)),"")</f>
        <v/>
      </c>
      <c r="AU2112" s="3" t="str">
        <f>IF(Registered!AE2112=0,"",IF(Registered!AE2112=1,Registered!AE2112&amp;" Bandana",Registered!AE2112&amp;" Bandanas"))</f>
        <v/>
      </c>
      <c r="AV2112" s="3">
        <f t="shared" si="98"/>
        <v>0</v>
      </c>
      <c r="AW2112" s="2" t="str">
        <f>IF(Registered!AV2112=0,"",IF(Registered!AV2112=1,Registered!AV2112&amp;" Meal",Registered!AV2112&amp;" Meals"))</f>
        <v/>
      </c>
      <c r="AX2112" s="2" t="str">
        <f>IF(Registered!AI2112=0,"",Registered!AI2112&amp;" BG")</f>
        <v/>
      </c>
      <c r="AY2112" s="2" t="str">
        <f>IF(Registered!AG2112=0,"",Registered!AG2112&amp;" DustMask")</f>
        <v/>
      </c>
    </row>
    <row r="2113" spans="1:51" customFormat="1" x14ac:dyDescent="0.25">
      <c r="A2113" t="s">
        <v>471</v>
      </c>
      <c r="B2113" t="s">
        <v>2286</v>
      </c>
      <c r="C2113" t="s">
        <v>6090</v>
      </c>
      <c r="G2113" t="s">
        <v>203</v>
      </c>
      <c r="H2113" t="s">
        <v>2245</v>
      </c>
      <c r="I2113" t="s">
        <v>2246</v>
      </c>
      <c r="J2113" t="s">
        <v>37</v>
      </c>
      <c r="K2113" t="s">
        <v>32</v>
      </c>
      <c r="L2113" t="s">
        <v>35</v>
      </c>
      <c r="AQ2113">
        <v>0</v>
      </c>
      <c r="AR2113" s="3">
        <f t="shared" si="96"/>
        <v>0</v>
      </c>
      <c r="AS2113" s="3">
        <f t="shared" si="97"/>
        <v>0</v>
      </c>
      <c r="AT2113" s="3" t="str">
        <f>IF(OR(Registered!AM2113&gt;0,Registered!AO2113&gt;0),(IF(Registered!E2113=0,"Size Not Specified",Registered!E2113)),"")</f>
        <v/>
      </c>
      <c r="AU2113" s="3" t="str">
        <f>IF(Registered!AE2113=0,"",IF(Registered!AE2113=1,Registered!AE2113&amp;" Bandana",Registered!AE2113&amp;" Bandanas"))</f>
        <v/>
      </c>
      <c r="AV2113" s="3">
        <f t="shared" si="98"/>
        <v>0</v>
      </c>
      <c r="AW2113" s="2" t="str">
        <f>IF(Registered!AV2113=0,"",IF(Registered!AV2113=1,Registered!AV2113&amp;" Meal",Registered!AV2113&amp;" Meals"))</f>
        <v/>
      </c>
      <c r="AX2113" s="2" t="str">
        <f>IF(Registered!AI2113=0,"",Registered!AI2113&amp;" BG")</f>
        <v/>
      </c>
      <c r="AY2113" s="2" t="str">
        <f>IF(Registered!AG2113=0,"",Registered!AG2113&amp;" DustMask")</f>
        <v/>
      </c>
    </row>
    <row r="2114" spans="1:51" customFormat="1" x14ac:dyDescent="0.25">
      <c r="A2114" t="s">
        <v>413</v>
      </c>
      <c r="B2114" t="s">
        <v>2287</v>
      </c>
      <c r="C2114" t="s">
        <v>6090</v>
      </c>
      <c r="D2114" t="s">
        <v>2288</v>
      </c>
      <c r="F2114" t="s">
        <v>261</v>
      </c>
      <c r="I2114" t="s">
        <v>2289</v>
      </c>
      <c r="J2114" t="s">
        <v>37</v>
      </c>
      <c r="K2114" t="s">
        <v>32</v>
      </c>
      <c r="L2114" t="s">
        <v>35</v>
      </c>
      <c r="S2114">
        <v>2</v>
      </c>
      <c r="T2114">
        <v>3</v>
      </c>
      <c r="U2114">
        <v>1</v>
      </c>
      <c r="V2114">
        <v>20</v>
      </c>
      <c r="AQ2114">
        <v>26</v>
      </c>
      <c r="AR2114" s="3">
        <f t="shared" ref="AR2114:AR2177" si="99">IF(ISTEXT(AM2114)=TRUE,"",SUM(U2114*10,W2114*20,Y2114*30,AA2114*40,AC2114*5,AM2114*5))</f>
        <v>10</v>
      </c>
      <c r="AS2114" s="3">
        <f t="shared" ref="AS2114:AS2177" si="100">IF(ISTEXT(AM2114)=TRUE,"",SUM(AM2114,AO2114))</f>
        <v>0</v>
      </c>
      <c r="AT2114" s="3" t="str">
        <f>IF(OR(Registered!AM2114&gt;0,Registered!AO2114&gt;0),(IF(Registered!E2114=0,"Size Not Specified",Registered!E2114)),"")</f>
        <v/>
      </c>
      <c r="AU2114" s="3" t="str">
        <f>IF(Registered!AE2114=0,"",IF(Registered!AE2114=1,Registered!AE2114&amp;" Bandana",Registered!AE2114&amp;" Bandanas"))</f>
        <v/>
      </c>
      <c r="AV2114" s="3">
        <f t="shared" ref="AV2114:AV2177" si="101">IF(ISTEXT(AM2114)=TRUE,"",SUM(AM2114,AK2114))</f>
        <v>0</v>
      </c>
      <c r="AW2114" s="2" t="str">
        <f>IF(Registered!AV2114=0,"",IF(Registered!AV2114=1,Registered!AV2114&amp;" Meal",Registered!AV2114&amp;" Meals"))</f>
        <v/>
      </c>
      <c r="AX2114" s="2" t="str">
        <f>IF(Registered!AI2114=0,"",Registered!AI2114&amp;" BG")</f>
        <v/>
      </c>
      <c r="AY2114" s="2" t="str">
        <f>IF(Registered!AG2114=0,"",Registered!AG2114&amp;" DustMask")</f>
        <v/>
      </c>
    </row>
    <row r="2115" spans="1:51" customFormat="1" x14ac:dyDescent="0.25">
      <c r="A2115" t="s">
        <v>299</v>
      </c>
      <c r="B2115" t="s">
        <v>2290</v>
      </c>
      <c r="C2115" t="s">
        <v>6090</v>
      </c>
      <c r="G2115" t="s">
        <v>812</v>
      </c>
      <c r="H2115" t="s">
        <v>2766</v>
      </c>
      <c r="I2115" t="s">
        <v>2767</v>
      </c>
      <c r="J2115" t="s">
        <v>37</v>
      </c>
      <c r="K2115" t="s">
        <v>32</v>
      </c>
      <c r="L2115" t="s">
        <v>35</v>
      </c>
      <c r="AQ2115">
        <v>0</v>
      </c>
      <c r="AR2115" s="3">
        <f t="shared" si="99"/>
        <v>0</v>
      </c>
      <c r="AS2115" s="3">
        <f t="shared" si="100"/>
        <v>0</v>
      </c>
      <c r="AT2115" s="3" t="str">
        <f>IF(OR(Registered!AM2115&gt;0,Registered!AO2115&gt;0),(IF(Registered!E2115=0,"Size Not Specified",Registered!E2115)),"")</f>
        <v/>
      </c>
      <c r="AU2115" s="3" t="str">
        <f>IF(Registered!AE2115=0,"",IF(Registered!AE2115=1,Registered!AE2115&amp;" Bandana",Registered!AE2115&amp;" Bandanas"))</f>
        <v/>
      </c>
      <c r="AV2115" s="3">
        <f t="shared" si="101"/>
        <v>0</v>
      </c>
      <c r="AW2115" s="2" t="str">
        <f>IF(Registered!AV2115=0,"",IF(Registered!AV2115=1,Registered!AV2115&amp;" Meal",Registered!AV2115&amp;" Meals"))</f>
        <v/>
      </c>
      <c r="AX2115" s="2" t="str">
        <f>IF(Registered!AI2115=0,"",Registered!AI2115&amp;" BG")</f>
        <v/>
      </c>
      <c r="AY2115" s="2" t="str">
        <f>IF(Registered!AG2115=0,"",Registered!AG2115&amp;" DustMask")</f>
        <v/>
      </c>
    </row>
    <row r="2116" spans="1:51" customFormat="1" x14ac:dyDescent="0.25">
      <c r="A2116" t="s">
        <v>317</v>
      </c>
      <c r="B2116" t="s">
        <v>2290</v>
      </c>
      <c r="C2116" t="s">
        <v>6090</v>
      </c>
      <c r="G2116" t="s">
        <v>75</v>
      </c>
      <c r="H2116" t="s">
        <v>1290</v>
      </c>
      <c r="I2116" t="s">
        <v>1291</v>
      </c>
      <c r="J2116" t="s">
        <v>37</v>
      </c>
      <c r="K2116" t="s">
        <v>32</v>
      </c>
      <c r="L2116" t="s">
        <v>35</v>
      </c>
      <c r="AQ2116">
        <v>0</v>
      </c>
      <c r="AR2116" s="3">
        <f t="shared" si="99"/>
        <v>0</v>
      </c>
      <c r="AS2116" s="3">
        <f t="shared" si="100"/>
        <v>0</v>
      </c>
      <c r="AT2116" s="3" t="str">
        <f>IF(OR(Registered!AM2116&gt;0,Registered!AO2116&gt;0),(IF(Registered!E2116=0,"Size Not Specified",Registered!E2116)),"")</f>
        <v/>
      </c>
      <c r="AU2116" s="3" t="str">
        <f>IF(Registered!AE2116=0,"",IF(Registered!AE2116=1,Registered!AE2116&amp;" Bandana",Registered!AE2116&amp;" Bandanas"))</f>
        <v/>
      </c>
      <c r="AV2116" s="3">
        <f t="shared" si="101"/>
        <v>0</v>
      </c>
      <c r="AW2116" s="2" t="str">
        <f>IF(Registered!AV2116=0,"",IF(Registered!AV2116=1,Registered!AV2116&amp;" Meal",Registered!AV2116&amp;" Meals"))</f>
        <v/>
      </c>
      <c r="AX2116" s="2" t="str">
        <f>IF(Registered!AI2116=0,"",Registered!AI2116&amp;" BG")</f>
        <v/>
      </c>
      <c r="AY2116" s="2" t="str">
        <f>IF(Registered!AG2116=0,"",Registered!AG2116&amp;" DustMask")</f>
        <v/>
      </c>
    </row>
    <row r="2117" spans="1:51" customFormat="1" x14ac:dyDescent="0.25">
      <c r="A2117" t="s">
        <v>3355</v>
      </c>
      <c r="B2117" t="s">
        <v>2290</v>
      </c>
      <c r="C2117" t="s">
        <v>6090</v>
      </c>
      <c r="G2117" t="s">
        <v>2768</v>
      </c>
      <c r="H2117" t="s">
        <v>2766</v>
      </c>
      <c r="I2117" t="s">
        <v>2769</v>
      </c>
      <c r="J2117" t="s">
        <v>37</v>
      </c>
      <c r="K2117" t="s">
        <v>32</v>
      </c>
      <c r="L2117" t="s">
        <v>35</v>
      </c>
      <c r="AQ2117">
        <v>0</v>
      </c>
      <c r="AR2117" s="3">
        <f t="shared" si="99"/>
        <v>0</v>
      </c>
      <c r="AS2117" s="3">
        <f t="shared" si="100"/>
        <v>0</v>
      </c>
      <c r="AT2117" s="3" t="str">
        <f>IF(OR(Registered!AM2117&gt;0,Registered!AO2117&gt;0),(IF(Registered!E2117=0,"Size Not Specified",Registered!E2117)),"")</f>
        <v/>
      </c>
      <c r="AU2117" s="3" t="str">
        <f>IF(Registered!AE2117=0,"",IF(Registered!AE2117=1,Registered!AE2117&amp;" Bandana",Registered!AE2117&amp;" Bandanas"))</f>
        <v/>
      </c>
      <c r="AV2117" s="3">
        <f t="shared" si="101"/>
        <v>0</v>
      </c>
      <c r="AW2117" s="2" t="str">
        <f>IF(Registered!AV2117=0,"",IF(Registered!AV2117=1,Registered!AV2117&amp;" Meal",Registered!AV2117&amp;" Meals"))</f>
        <v/>
      </c>
      <c r="AX2117" s="2" t="str">
        <f>IF(Registered!AI2117=0,"",Registered!AI2117&amp;" BG")</f>
        <v/>
      </c>
      <c r="AY2117" s="2" t="str">
        <f>IF(Registered!AG2117=0,"",Registered!AG2117&amp;" DustMask")</f>
        <v/>
      </c>
    </row>
    <row r="2118" spans="1:51" customFormat="1" x14ac:dyDescent="0.25">
      <c r="A2118" t="s">
        <v>263</v>
      </c>
      <c r="B2118" t="s">
        <v>4680</v>
      </c>
      <c r="C2118" t="s">
        <v>6090</v>
      </c>
      <c r="G2118" t="s">
        <v>4679</v>
      </c>
      <c r="H2118" t="s">
        <v>4680</v>
      </c>
      <c r="I2118" t="s">
        <v>4681</v>
      </c>
      <c r="J2118" t="s">
        <v>37</v>
      </c>
      <c r="K2118" t="s">
        <v>32</v>
      </c>
      <c r="L2118" t="s">
        <v>35</v>
      </c>
      <c r="AQ2118">
        <v>0</v>
      </c>
      <c r="AR2118" s="3">
        <f t="shared" si="99"/>
        <v>0</v>
      </c>
      <c r="AS2118" s="3">
        <f t="shared" si="100"/>
        <v>0</v>
      </c>
      <c r="AT2118" s="3" t="str">
        <f>IF(OR(Registered!AM2118&gt;0,Registered!AO2118&gt;0),(IF(Registered!E2118=0,"Size Not Specified",Registered!E2118)),"")</f>
        <v/>
      </c>
      <c r="AU2118" s="3" t="str">
        <f>IF(Registered!AE2118=0,"",IF(Registered!AE2118=1,Registered!AE2118&amp;" Bandana",Registered!AE2118&amp;" Bandanas"))</f>
        <v/>
      </c>
      <c r="AV2118" s="3">
        <f t="shared" si="101"/>
        <v>0</v>
      </c>
      <c r="AW2118" s="2" t="str">
        <f>IF(Registered!AV2118=0,"",IF(Registered!AV2118=1,Registered!AV2118&amp;" Meal",Registered!AV2118&amp;" Meals"))</f>
        <v/>
      </c>
      <c r="AX2118" s="2" t="str">
        <f>IF(Registered!AI2118=0,"",Registered!AI2118&amp;" BG")</f>
        <v/>
      </c>
      <c r="AY2118" s="2" t="str">
        <f>IF(Registered!AG2118=0,"",Registered!AG2118&amp;" DustMask")</f>
        <v/>
      </c>
    </row>
    <row r="2119" spans="1:51" customFormat="1" x14ac:dyDescent="0.25">
      <c r="A2119" t="s">
        <v>4679</v>
      </c>
      <c r="B2119" t="s">
        <v>4680</v>
      </c>
      <c r="C2119" t="s">
        <v>6090</v>
      </c>
      <c r="D2119" t="s">
        <v>5594</v>
      </c>
      <c r="F2119" t="s">
        <v>261</v>
      </c>
      <c r="I2119" t="s">
        <v>4681</v>
      </c>
      <c r="J2119" t="s">
        <v>37</v>
      </c>
      <c r="K2119" t="s">
        <v>32</v>
      </c>
      <c r="L2119" t="s">
        <v>35</v>
      </c>
      <c r="Q2119">
        <v>4</v>
      </c>
      <c r="R2119">
        <v>3</v>
      </c>
      <c r="U2119">
        <v>1</v>
      </c>
      <c r="V2119">
        <v>20</v>
      </c>
      <c r="AQ2119">
        <v>32</v>
      </c>
      <c r="AR2119" s="3">
        <f t="shared" si="99"/>
        <v>10</v>
      </c>
      <c r="AS2119" s="3">
        <f t="shared" si="100"/>
        <v>0</v>
      </c>
      <c r="AT2119" s="3" t="str">
        <f>IF(OR(Registered!AM2119&gt;0,Registered!AO2119&gt;0),(IF(Registered!E2119=0,"Size Not Specified",Registered!E2119)),"")</f>
        <v/>
      </c>
      <c r="AU2119" s="3" t="str">
        <f>IF(Registered!AE2119=0,"",IF(Registered!AE2119=1,Registered!AE2119&amp;" Bandana",Registered!AE2119&amp;" Bandanas"))</f>
        <v/>
      </c>
      <c r="AV2119" s="3">
        <f t="shared" si="101"/>
        <v>0</v>
      </c>
      <c r="AW2119" s="2" t="str">
        <f>IF(Registered!AV2119=0,"",IF(Registered!AV2119=1,Registered!AV2119&amp;" Meal",Registered!AV2119&amp;" Meals"))</f>
        <v/>
      </c>
      <c r="AX2119" s="2" t="str">
        <f>IF(Registered!AI2119=0,"",Registered!AI2119&amp;" BG")</f>
        <v/>
      </c>
      <c r="AY2119" s="2" t="str">
        <f>IF(Registered!AG2119=0,"",Registered!AG2119&amp;" DustMask")</f>
        <v/>
      </c>
    </row>
    <row r="2120" spans="1:51" customFormat="1" x14ac:dyDescent="0.25">
      <c r="A2120" t="s">
        <v>92</v>
      </c>
      <c r="B2120" t="s">
        <v>2292</v>
      </c>
      <c r="C2120" t="s">
        <v>6090</v>
      </c>
      <c r="D2120" t="s">
        <v>5595</v>
      </c>
      <c r="E2120" t="s">
        <v>232</v>
      </c>
      <c r="F2120" t="s">
        <v>261</v>
      </c>
      <c r="I2120" t="s">
        <v>5596</v>
      </c>
      <c r="J2120" t="s">
        <v>37</v>
      </c>
      <c r="K2120" t="s">
        <v>32</v>
      </c>
      <c r="L2120" t="s">
        <v>35</v>
      </c>
      <c r="Q2120">
        <v>2</v>
      </c>
      <c r="R2120">
        <v>3</v>
      </c>
      <c r="U2120">
        <v>1</v>
      </c>
      <c r="V2120">
        <v>20</v>
      </c>
      <c r="AE2120">
        <v>2</v>
      </c>
      <c r="AF2120">
        <v>6</v>
      </c>
      <c r="AQ2120">
        <v>38</v>
      </c>
      <c r="AR2120" s="3">
        <f t="shared" si="99"/>
        <v>10</v>
      </c>
      <c r="AS2120" s="3">
        <f t="shared" si="100"/>
        <v>0</v>
      </c>
      <c r="AT2120" s="3" t="str">
        <f>IF(OR(Registered!AM2120&gt;0,Registered!AO2120&gt;0),(IF(Registered!E2120=0,"Size Not Specified",Registered!E2120)),"")</f>
        <v/>
      </c>
      <c r="AU2120" s="3" t="str">
        <f>IF(Registered!AE2120=0,"",IF(Registered!AE2120=1,Registered!AE2120&amp;" Bandana",Registered!AE2120&amp;" Bandanas"))</f>
        <v>2 Bandanas</v>
      </c>
      <c r="AV2120" s="3">
        <f t="shared" si="101"/>
        <v>0</v>
      </c>
      <c r="AW2120" s="2" t="str">
        <f>IF(Registered!AV2120=0,"",IF(Registered!AV2120=1,Registered!AV2120&amp;" Meal",Registered!AV2120&amp;" Meals"))</f>
        <v/>
      </c>
      <c r="AX2120" s="2" t="str">
        <f>IF(Registered!AI2120=0,"",Registered!AI2120&amp;" BG")</f>
        <v/>
      </c>
      <c r="AY2120" s="2" t="str">
        <f>IF(Registered!AG2120=0,"",Registered!AG2120&amp;" DustMask")</f>
        <v/>
      </c>
    </row>
    <row r="2121" spans="1:51" customFormat="1" x14ac:dyDescent="0.25">
      <c r="A2121" t="s">
        <v>2291</v>
      </c>
      <c r="B2121" t="s">
        <v>2292</v>
      </c>
      <c r="C2121" t="s">
        <v>6090</v>
      </c>
      <c r="G2121" t="s">
        <v>2293</v>
      </c>
      <c r="H2121" t="s">
        <v>2292</v>
      </c>
      <c r="I2121" t="s">
        <v>2294</v>
      </c>
      <c r="J2121" t="s">
        <v>37</v>
      </c>
      <c r="K2121" t="s">
        <v>32</v>
      </c>
      <c r="L2121" t="s">
        <v>35</v>
      </c>
      <c r="AQ2121">
        <v>0</v>
      </c>
      <c r="AR2121" s="3">
        <f t="shared" si="99"/>
        <v>0</v>
      </c>
      <c r="AS2121" s="3">
        <f t="shared" si="100"/>
        <v>0</v>
      </c>
      <c r="AT2121" s="3" t="str">
        <f>IF(OR(Registered!AM2121&gt;0,Registered!AO2121&gt;0),(IF(Registered!E2121=0,"Size Not Specified",Registered!E2121)),"")</f>
        <v/>
      </c>
      <c r="AU2121" s="3" t="str">
        <f>IF(Registered!AE2121=0,"",IF(Registered!AE2121=1,Registered!AE2121&amp;" Bandana",Registered!AE2121&amp;" Bandanas"))</f>
        <v/>
      </c>
      <c r="AV2121" s="3">
        <f t="shared" si="101"/>
        <v>0</v>
      </c>
      <c r="AW2121" s="2" t="str">
        <f>IF(Registered!AV2121=0,"",IF(Registered!AV2121=1,Registered!AV2121&amp;" Meal",Registered!AV2121&amp;" Meals"))</f>
        <v/>
      </c>
      <c r="AX2121" s="2" t="str">
        <f>IF(Registered!AI2121=0,"",Registered!AI2121&amp;" BG")</f>
        <v/>
      </c>
      <c r="AY2121" s="2" t="str">
        <f>IF(Registered!AG2121=0,"",Registered!AG2121&amp;" DustMask")</f>
        <v/>
      </c>
    </row>
    <row r="2122" spans="1:51" customFormat="1" x14ac:dyDescent="0.25">
      <c r="A2122" t="s">
        <v>2293</v>
      </c>
      <c r="B2122" t="s">
        <v>2292</v>
      </c>
      <c r="C2122" t="s">
        <v>6090</v>
      </c>
      <c r="D2122" t="s">
        <v>2293</v>
      </c>
      <c r="I2122" t="s">
        <v>2294</v>
      </c>
      <c r="J2122" t="s">
        <v>37</v>
      </c>
      <c r="K2122" t="s">
        <v>32</v>
      </c>
      <c r="L2122" t="s">
        <v>35</v>
      </c>
      <c r="S2122">
        <v>2</v>
      </c>
      <c r="T2122">
        <v>3</v>
      </c>
      <c r="U2122">
        <v>1</v>
      </c>
      <c r="V2122">
        <v>20</v>
      </c>
      <c r="AQ2122">
        <v>26</v>
      </c>
      <c r="AR2122" s="3">
        <f t="shared" si="99"/>
        <v>10</v>
      </c>
      <c r="AS2122" s="3">
        <f t="shared" si="100"/>
        <v>0</v>
      </c>
      <c r="AT2122" s="3" t="str">
        <f>IF(OR(Registered!AM2122&gt;0,Registered!AO2122&gt;0),(IF(Registered!E2122=0,"Size Not Specified",Registered!E2122)),"")</f>
        <v/>
      </c>
      <c r="AU2122" s="3" t="str">
        <f>IF(Registered!AE2122=0,"",IF(Registered!AE2122=1,Registered!AE2122&amp;" Bandana",Registered!AE2122&amp;" Bandanas"))</f>
        <v/>
      </c>
      <c r="AV2122" s="3">
        <f t="shared" si="101"/>
        <v>0</v>
      </c>
      <c r="AW2122" s="2" t="str">
        <f>IF(Registered!AV2122=0,"",IF(Registered!AV2122=1,Registered!AV2122&amp;" Meal",Registered!AV2122&amp;" Meals"))</f>
        <v/>
      </c>
      <c r="AX2122" s="2" t="str">
        <f>IF(Registered!AI2122=0,"",Registered!AI2122&amp;" BG")</f>
        <v/>
      </c>
      <c r="AY2122" s="2" t="str">
        <f>IF(Registered!AG2122=0,"",Registered!AG2122&amp;" DustMask")</f>
        <v/>
      </c>
    </row>
    <row r="2123" spans="1:51" customFormat="1" x14ac:dyDescent="0.25">
      <c r="A2123" t="s">
        <v>140</v>
      </c>
      <c r="B2123" t="s">
        <v>898</v>
      </c>
      <c r="C2123" t="s">
        <v>6090</v>
      </c>
      <c r="D2123" t="s">
        <v>2295</v>
      </c>
      <c r="I2123" t="s">
        <v>899</v>
      </c>
      <c r="J2123" t="s">
        <v>37</v>
      </c>
      <c r="K2123" t="s">
        <v>32</v>
      </c>
      <c r="L2123" t="s">
        <v>35</v>
      </c>
      <c r="O2123">
        <v>5</v>
      </c>
      <c r="P2123">
        <v>3</v>
      </c>
      <c r="AC2123">
        <v>1</v>
      </c>
      <c r="AD2123">
        <v>10</v>
      </c>
      <c r="AQ2123">
        <v>25</v>
      </c>
      <c r="AR2123" s="3">
        <f t="shared" si="99"/>
        <v>5</v>
      </c>
      <c r="AS2123" s="3">
        <f t="shared" si="100"/>
        <v>0</v>
      </c>
      <c r="AT2123" s="3" t="str">
        <f>IF(OR(Registered!AM2123&gt;0,Registered!AO2123&gt;0),(IF(Registered!E2123=0,"Size Not Specified",Registered!E2123)),"")</f>
        <v/>
      </c>
      <c r="AU2123" s="3" t="str">
        <f>IF(Registered!AE2123=0,"",IF(Registered!AE2123=1,Registered!AE2123&amp;" Bandana",Registered!AE2123&amp;" Bandanas"))</f>
        <v/>
      </c>
      <c r="AV2123" s="3">
        <f t="shared" si="101"/>
        <v>0</v>
      </c>
      <c r="AW2123" s="2" t="str">
        <f>IF(Registered!AV2123=0,"",IF(Registered!AV2123=1,Registered!AV2123&amp;" Meal",Registered!AV2123&amp;" Meals"))</f>
        <v/>
      </c>
      <c r="AX2123" s="2" t="str">
        <f>IF(Registered!AI2123=0,"",Registered!AI2123&amp;" BG")</f>
        <v/>
      </c>
      <c r="AY2123" s="2" t="str">
        <f>IF(Registered!AG2123=0,"",Registered!AG2123&amp;" DustMask")</f>
        <v/>
      </c>
    </row>
    <row r="2124" spans="1:51" customFormat="1" x14ac:dyDescent="0.25">
      <c r="A2124" t="s">
        <v>2297</v>
      </c>
      <c r="B2124" t="s">
        <v>273</v>
      </c>
      <c r="C2124" t="s">
        <v>6090</v>
      </c>
      <c r="G2124" t="s">
        <v>1225</v>
      </c>
      <c r="H2124" t="s">
        <v>1226</v>
      </c>
      <c r="I2124" t="s">
        <v>1227</v>
      </c>
      <c r="J2124" t="s">
        <v>37</v>
      </c>
      <c r="K2124" t="s">
        <v>32</v>
      </c>
      <c r="L2124" t="s">
        <v>35</v>
      </c>
      <c r="AQ2124">
        <v>0</v>
      </c>
      <c r="AR2124" s="3">
        <f t="shared" si="99"/>
        <v>0</v>
      </c>
      <c r="AS2124" s="3">
        <f t="shared" si="100"/>
        <v>0</v>
      </c>
      <c r="AT2124" s="3" t="str">
        <f>IF(OR(Registered!AM2124&gt;0,Registered!AO2124&gt;0),(IF(Registered!E2124=0,"Size Not Specified",Registered!E2124)),"")</f>
        <v/>
      </c>
      <c r="AU2124" s="3" t="str">
        <f>IF(Registered!AE2124=0,"",IF(Registered!AE2124=1,Registered!AE2124&amp;" Bandana",Registered!AE2124&amp;" Bandanas"))</f>
        <v/>
      </c>
      <c r="AV2124" s="3">
        <f t="shared" si="101"/>
        <v>0</v>
      </c>
      <c r="AW2124" s="2" t="str">
        <f>IF(Registered!AV2124=0,"",IF(Registered!AV2124=1,Registered!AV2124&amp;" Meal",Registered!AV2124&amp;" Meals"))</f>
        <v/>
      </c>
      <c r="AX2124" s="2" t="str">
        <f>IF(Registered!AI2124=0,"",Registered!AI2124&amp;" BG")</f>
        <v/>
      </c>
      <c r="AY2124" s="2" t="str">
        <f>IF(Registered!AG2124=0,"",Registered!AG2124&amp;" DustMask")</f>
        <v/>
      </c>
    </row>
    <row r="2125" spans="1:51" customFormat="1" x14ac:dyDescent="0.25">
      <c r="A2125" t="s">
        <v>5597</v>
      </c>
      <c r="B2125" t="s">
        <v>273</v>
      </c>
      <c r="C2125" t="s">
        <v>6090</v>
      </c>
      <c r="G2125" t="s">
        <v>3634</v>
      </c>
      <c r="H2125" t="s">
        <v>3635</v>
      </c>
      <c r="I2125" t="s">
        <v>3637</v>
      </c>
      <c r="J2125" t="s">
        <v>37</v>
      </c>
      <c r="K2125" t="s">
        <v>32</v>
      </c>
      <c r="L2125" t="s">
        <v>35</v>
      </c>
      <c r="AQ2125">
        <v>0</v>
      </c>
      <c r="AR2125" s="3">
        <f t="shared" si="99"/>
        <v>0</v>
      </c>
      <c r="AS2125" s="3">
        <f t="shared" si="100"/>
        <v>0</v>
      </c>
      <c r="AT2125" s="3" t="str">
        <f>IF(OR(Registered!AM2125&gt;0,Registered!AO2125&gt;0),(IF(Registered!E2125=0,"Size Not Specified",Registered!E2125)),"")</f>
        <v/>
      </c>
      <c r="AU2125" s="3" t="str">
        <f>IF(Registered!AE2125=0,"",IF(Registered!AE2125=1,Registered!AE2125&amp;" Bandana",Registered!AE2125&amp;" Bandanas"))</f>
        <v/>
      </c>
      <c r="AV2125" s="3">
        <f t="shared" si="101"/>
        <v>0</v>
      </c>
      <c r="AW2125" s="2" t="str">
        <f>IF(Registered!AV2125=0,"",IF(Registered!AV2125=1,Registered!AV2125&amp;" Meal",Registered!AV2125&amp;" Meals"))</f>
        <v/>
      </c>
      <c r="AX2125" s="2" t="str">
        <f>IF(Registered!AI2125=0,"",Registered!AI2125&amp;" BG")</f>
        <v/>
      </c>
      <c r="AY2125" s="2" t="str">
        <f>IF(Registered!AG2125=0,"",Registered!AG2125&amp;" DustMask")</f>
        <v/>
      </c>
    </row>
    <row r="2126" spans="1:51" customFormat="1" x14ac:dyDescent="0.25">
      <c r="A2126" t="s">
        <v>141</v>
      </c>
      <c r="B2126" t="s">
        <v>2300</v>
      </c>
      <c r="C2126" t="s">
        <v>6090</v>
      </c>
      <c r="G2126" t="s">
        <v>64</v>
      </c>
      <c r="H2126" t="s">
        <v>2301</v>
      </c>
      <c r="I2126" t="s">
        <v>2302</v>
      </c>
      <c r="J2126" t="s">
        <v>37</v>
      </c>
      <c r="K2126" t="s">
        <v>32</v>
      </c>
      <c r="L2126" t="s">
        <v>35</v>
      </c>
      <c r="AQ2126">
        <v>0</v>
      </c>
      <c r="AR2126" s="3">
        <f t="shared" si="99"/>
        <v>0</v>
      </c>
      <c r="AS2126" s="3">
        <f t="shared" si="100"/>
        <v>0</v>
      </c>
      <c r="AT2126" s="3" t="str">
        <f>IF(OR(Registered!AM2126&gt;0,Registered!AO2126&gt;0),(IF(Registered!E2126=0,"Size Not Specified",Registered!E2126)),"")</f>
        <v/>
      </c>
      <c r="AU2126" s="3" t="str">
        <f>IF(Registered!AE2126=0,"",IF(Registered!AE2126=1,Registered!AE2126&amp;" Bandana",Registered!AE2126&amp;" Bandanas"))</f>
        <v/>
      </c>
      <c r="AV2126" s="3">
        <f t="shared" si="101"/>
        <v>0</v>
      </c>
      <c r="AW2126" s="2" t="str">
        <f>IF(Registered!AV2126=0,"",IF(Registered!AV2126=1,Registered!AV2126&amp;" Meal",Registered!AV2126&amp;" Meals"))</f>
        <v/>
      </c>
      <c r="AX2126" s="2" t="str">
        <f>IF(Registered!AI2126=0,"",Registered!AI2126&amp;" BG")</f>
        <v/>
      </c>
      <c r="AY2126" s="2" t="str">
        <f>IF(Registered!AG2126=0,"",Registered!AG2126&amp;" DustMask")</f>
        <v/>
      </c>
    </row>
    <row r="2127" spans="1:51" customFormat="1" x14ac:dyDescent="0.25">
      <c r="A2127" t="s">
        <v>5601</v>
      </c>
      <c r="B2127" t="s">
        <v>5602</v>
      </c>
      <c r="C2127" t="s">
        <v>6090</v>
      </c>
      <c r="F2127" t="s">
        <v>261</v>
      </c>
      <c r="I2127" t="s">
        <v>5603</v>
      </c>
      <c r="J2127" t="s">
        <v>37</v>
      </c>
      <c r="K2127" t="s">
        <v>32</v>
      </c>
      <c r="L2127" t="s">
        <v>35</v>
      </c>
      <c r="Q2127">
        <v>1</v>
      </c>
      <c r="R2127">
        <v>3</v>
      </c>
      <c r="AQ2127">
        <v>3</v>
      </c>
      <c r="AR2127" s="3">
        <f t="shared" si="99"/>
        <v>0</v>
      </c>
      <c r="AS2127" s="3">
        <f t="shared" si="100"/>
        <v>0</v>
      </c>
      <c r="AT2127" s="3" t="str">
        <f>IF(OR(Registered!AM2127&gt;0,Registered!AO2127&gt;0),(IF(Registered!E2127=0,"Size Not Specified",Registered!E2127)),"")</f>
        <v/>
      </c>
      <c r="AU2127" s="3" t="str">
        <f>IF(Registered!AE2127=0,"",IF(Registered!AE2127=1,Registered!AE2127&amp;" Bandana",Registered!AE2127&amp;" Bandanas"))</f>
        <v/>
      </c>
      <c r="AV2127" s="3">
        <f t="shared" si="101"/>
        <v>0</v>
      </c>
      <c r="AW2127" s="2" t="str">
        <f>IF(Registered!AV2127=0,"",IF(Registered!AV2127=1,Registered!AV2127&amp;" Meal",Registered!AV2127&amp;" Meals"))</f>
        <v/>
      </c>
      <c r="AX2127" s="2" t="str">
        <f>IF(Registered!AI2127=0,"",Registered!AI2127&amp;" BG")</f>
        <v/>
      </c>
      <c r="AY2127" s="2" t="str">
        <f>IF(Registered!AG2127=0,"",Registered!AG2127&amp;" DustMask")</f>
        <v/>
      </c>
    </row>
    <row r="2128" spans="1:51" customFormat="1" x14ac:dyDescent="0.25">
      <c r="A2128" t="s">
        <v>208</v>
      </c>
      <c r="B2128" t="s">
        <v>4152</v>
      </c>
      <c r="C2128" t="s">
        <v>6090</v>
      </c>
      <c r="D2128" t="s">
        <v>208</v>
      </c>
      <c r="F2128" t="s">
        <v>261</v>
      </c>
      <c r="I2128" t="s">
        <v>4153</v>
      </c>
      <c r="J2128" t="s">
        <v>37</v>
      </c>
      <c r="K2128" t="s">
        <v>32</v>
      </c>
      <c r="L2128" t="s">
        <v>35</v>
      </c>
      <c r="Q2128">
        <v>3</v>
      </c>
      <c r="R2128">
        <v>3</v>
      </c>
      <c r="AC2128">
        <v>3</v>
      </c>
      <c r="AD2128">
        <v>10</v>
      </c>
      <c r="AQ2128">
        <v>39</v>
      </c>
      <c r="AR2128" s="3">
        <f t="shared" si="99"/>
        <v>15</v>
      </c>
      <c r="AS2128" s="3">
        <f t="shared" si="100"/>
        <v>0</v>
      </c>
      <c r="AT2128" s="3" t="str">
        <f>IF(OR(Registered!AM2128&gt;0,Registered!AO2128&gt;0),(IF(Registered!E2128=0,"Size Not Specified",Registered!E2128)),"")</f>
        <v/>
      </c>
      <c r="AU2128" s="3" t="str">
        <f>IF(Registered!AE2128=0,"",IF(Registered!AE2128=1,Registered!AE2128&amp;" Bandana",Registered!AE2128&amp;" Bandanas"))</f>
        <v/>
      </c>
      <c r="AV2128" s="3">
        <f t="shared" si="101"/>
        <v>0</v>
      </c>
      <c r="AW2128" s="2" t="str">
        <f>IF(Registered!AV2128=0,"",IF(Registered!AV2128=1,Registered!AV2128&amp;" Meal",Registered!AV2128&amp;" Meals"))</f>
        <v/>
      </c>
      <c r="AX2128" s="2" t="str">
        <f>IF(Registered!AI2128=0,"",Registered!AI2128&amp;" BG")</f>
        <v/>
      </c>
      <c r="AY2128" s="2" t="str">
        <f>IF(Registered!AG2128=0,"",Registered!AG2128&amp;" DustMask")</f>
        <v/>
      </c>
    </row>
    <row r="2129" spans="1:51" customFormat="1" x14ac:dyDescent="0.25">
      <c r="A2129" t="s">
        <v>403</v>
      </c>
      <c r="B2129" t="s">
        <v>2307</v>
      </c>
      <c r="C2129" t="s">
        <v>6090</v>
      </c>
      <c r="G2129" t="s">
        <v>1702</v>
      </c>
      <c r="H2129" t="s">
        <v>1703</v>
      </c>
      <c r="I2129" t="s">
        <v>1705</v>
      </c>
      <c r="J2129" t="s">
        <v>37</v>
      </c>
      <c r="K2129" t="s">
        <v>32</v>
      </c>
      <c r="L2129" t="s">
        <v>35</v>
      </c>
      <c r="AQ2129">
        <v>0</v>
      </c>
      <c r="AR2129" s="3">
        <f t="shared" si="99"/>
        <v>0</v>
      </c>
      <c r="AS2129" s="3">
        <f t="shared" si="100"/>
        <v>0</v>
      </c>
      <c r="AT2129" s="3" t="str">
        <f>IF(OR(Registered!AM2129&gt;0,Registered!AO2129&gt;0),(IF(Registered!E2129=0,"Size Not Specified",Registered!E2129)),"")</f>
        <v/>
      </c>
      <c r="AU2129" s="3" t="str">
        <f>IF(Registered!AE2129=0,"",IF(Registered!AE2129=1,Registered!AE2129&amp;" Bandana",Registered!AE2129&amp;" Bandanas"))</f>
        <v/>
      </c>
      <c r="AV2129" s="3">
        <f t="shared" si="101"/>
        <v>0</v>
      </c>
      <c r="AW2129" s="2" t="str">
        <f>IF(Registered!AV2129=0,"",IF(Registered!AV2129=1,Registered!AV2129&amp;" Meal",Registered!AV2129&amp;" Meals"))</f>
        <v/>
      </c>
      <c r="AX2129" s="2" t="str">
        <f>IF(Registered!AI2129=0,"",Registered!AI2129&amp;" BG")</f>
        <v/>
      </c>
      <c r="AY2129" s="2" t="str">
        <f>IF(Registered!AG2129=0,"",Registered!AG2129&amp;" DustMask")</f>
        <v/>
      </c>
    </row>
    <row r="2130" spans="1:51" customFormat="1" x14ac:dyDescent="0.25">
      <c r="A2130" t="s">
        <v>127</v>
      </c>
      <c r="B2130" t="s">
        <v>247</v>
      </c>
      <c r="C2130" t="s">
        <v>6090</v>
      </c>
      <c r="G2130" t="s">
        <v>3643</v>
      </c>
      <c r="H2130" t="s">
        <v>391</v>
      </c>
      <c r="I2130" t="s">
        <v>3644</v>
      </c>
      <c r="J2130" t="s">
        <v>37</v>
      </c>
      <c r="K2130" t="s">
        <v>32</v>
      </c>
      <c r="L2130" t="s">
        <v>35</v>
      </c>
      <c r="AQ2130">
        <v>0</v>
      </c>
      <c r="AR2130" s="3">
        <f t="shared" si="99"/>
        <v>0</v>
      </c>
      <c r="AS2130" s="3">
        <f t="shared" si="100"/>
        <v>0</v>
      </c>
      <c r="AT2130" s="3" t="str">
        <f>IF(OR(Registered!AM2130&gt;0,Registered!AO2130&gt;0),(IF(Registered!E2130=0,"Size Not Specified",Registered!E2130)),"")</f>
        <v/>
      </c>
      <c r="AU2130" s="3" t="str">
        <f>IF(Registered!AE2130=0,"",IF(Registered!AE2130=1,Registered!AE2130&amp;" Bandana",Registered!AE2130&amp;" Bandanas"))</f>
        <v/>
      </c>
      <c r="AV2130" s="3">
        <f t="shared" si="101"/>
        <v>0</v>
      </c>
      <c r="AW2130" s="2" t="str">
        <f>IF(Registered!AV2130=0,"",IF(Registered!AV2130=1,Registered!AV2130&amp;" Meal",Registered!AV2130&amp;" Meals"))</f>
        <v/>
      </c>
      <c r="AX2130" s="2" t="str">
        <f>IF(Registered!AI2130=0,"",Registered!AI2130&amp;" BG")</f>
        <v/>
      </c>
      <c r="AY2130" s="2" t="str">
        <f>IF(Registered!AG2130=0,"",Registered!AG2130&amp;" DustMask")</f>
        <v/>
      </c>
    </row>
    <row r="2131" spans="1:51" customFormat="1" x14ac:dyDescent="0.25">
      <c r="A2131" t="s">
        <v>5604</v>
      </c>
      <c r="B2131" t="s">
        <v>5605</v>
      </c>
      <c r="C2131" t="s">
        <v>6090</v>
      </c>
      <c r="G2131" t="s">
        <v>103</v>
      </c>
      <c r="H2131" t="s">
        <v>5145</v>
      </c>
      <c r="I2131" t="s">
        <v>5146</v>
      </c>
      <c r="J2131" t="s">
        <v>37</v>
      </c>
      <c r="K2131" t="s">
        <v>32</v>
      </c>
      <c r="L2131" t="s">
        <v>35</v>
      </c>
      <c r="AQ2131">
        <v>0</v>
      </c>
      <c r="AR2131" s="3">
        <f t="shared" si="99"/>
        <v>0</v>
      </c>
      <c r="AS2131" s="3">
        <f t="shared" si="100"/>
        <v>0</v>
      </c>
      <c r="AT2131" s="3" t="str">
        <f>IF(OR(Registered!AM2131&gt;0,Registered!AO2131&gt;0),(IF(Registered!E2131=0,"Size Not Specified",Registered!E2131)),"")</f>
        <v/>
      </c>
      <c r="AU2131" s="3" t="str">
        <f>IF(Registered!AE2131=0,"",IF(Registered!AE2131=1,Registered!AE2131&amp;" Bandana",Registered!AE2131&amp;" Bandanas"))</f>
        <v/>
      </c>
      <c r="AV2131" s="3">
        <f t="shared" si="101"/>
        <v>0</v>
      </c>
      <c r="AW2131" s="2" t="str">
        <f>IF(Registered!AV2131=0,"",IF(Registered!AV2131=1,Registered!AV2131&amp;" Meal",Registered!AV2131&amp;" Meals"))</f>
        <v/>
      </c>
      <c r="AX2131" s="2" t="str">
        <f>IF(Registered!AI2131=0,"",Registered!AI2131&amp;" BG")</f>
        <v/>
      </c>
      <c r="AY2131" s="2" t="str">
        <f>IF(Registered!AG2131=0,"",Registered!AG2131&amp;" DustMask")</f>
        <v/>
      </c>
    </row>
    <row r="2132" spans="1:51" customFormat="1" x14ac:dyDescent="0.25">
      <c r="A2132" t="s">
        <v>212</v>
      </c>
      <c r="B2132" t="s">
        <v>2308</v>
      </c>
      <c r="C2132" t="s">
        <v>6090</v>
      </c>
      <c r="G2132" t="s">
        <v>222</v>
      </c>
      <c r="H2132" t="s">
        <v>592</v>
      </c>
      <c r="I2132" t="s">
        <v>593</v>
      </c>
      <c r="J2132" t="s">
        <v>37</v>
      </c>
      <c r="K2132" t="s">
        <v>32</v>
      </c>
      <c r="L2132" t="s">
        <v>35</v>
      </c>
      <c r="AQ2132">
        <v>0</v>
      </c>
      <c r="AR2132" s="3">
        <f t="shared" si="99"/>
        <v>0</v>
      </c>
      <c r="AS2132" s="3">
        <f t="shared" si="100"/>
        <v>0</v>
      </c>
      <c r="AT2132" s="3" t="str">
        <f>IF(OR(Registered!AM2132&gt;0,Registered!AO2132&gt;0),(IF(Registered!E2132=0,"Size Not Specified",Registered!E2132)),"")</f>
        <v/>
      </c>
      <c r="AU2132" s="3" t="str">
        <f>IF(Registered!AE2132=0,"",IF(Registered!AE2132=1,Registered!AE2132&amp;" Bandana",Registered!AE2132&amp;" Bandanas"))</f>
        <v/>
      </c>
      <c r="AV2132" s="3">
        <f t="shared" si="101"/>
        <v>0</v>
      </c>
      <c r="AW2132" s="2" t="str">
        <f>IF(Registered!AV2132=0,"",IF(Registered!AV2132=1,Registered!AV2132&amp;" Meal",Registered!AV2132&amp;" Meals"))</f>
        <v/>
      </c>
      <c r="AX2132" s="2" t="str">
        <f>IF(Registered!AI2132=0,"",Registered!AI2132&amp;" BG")</f>
        <v/>
      </c>
      <c r="AY2132" s="2" t="str">
        <f>IF(Registered!AG2132=0,"",Registered!AG2132&amp;" DustMask")</f>
        <v/>
      </c>
    </row>
    <row r="2133" spans="1:51" customFormat="1" x14ac:dyDescent="0.25">
      <c r="A2133" t="s">
        <v>3068</v>
      </c>
      <c r="B2133" t="s">
        <v>5606</v>
      </c>
      <c r="C2133" t="s">
        <v>6090</v>
      </c>
      <c r="G2133" t="s">
        <v>166</v>
      </c>
      <c r="H2133" t="s">
        <v>5606</v>
      </c>
      <c r="I2133" t="s">
        <v>5607</v>
      </c>
      <c r="J2133" t="s">
        <v>37</v>
      </c>
      <c r="K2133" t="s">
        <v>32</v>
      </c>
      <c r="L2133" t="s">
        <v>35</v>
      </c>
      <c r="AQ2133">
        <v>0</v>
      </c>
      <c r="AR2133" s="3">
        <f t="shared" si="99"/>
        <v>0</v>
      </c>
      <c r="AS2133" s="3">
        <f t="shared" si="100"/>
        <v>0</v>
      </c>
      <c r="AT2133" s="3" t="str">
        <f>IF(OR(Registered!AM2133&gt;0,Registered!AO2133&gt;0),(IF(Registered!E2133=0,"Size Not Specified",Registered!E2133)),"")</f>
        <v/>
      </c>
      <c r="AU2133" s="3" t="str">
        <f>IF(Registered!AE2133=0,"",IF(Registered!AE2133=1,Registered!AE2133&amp;" Bandana",Registered!AE2133&amp;" Bandanas"))</f>
        <v/>
      </c>
      <c r="AV2133" s="3">
        <f t="shared" si="101"/>
        <v>0</v>
      </c>
      <c r="AW2133" s="2" t="str">
        <f>IF(Registered!AV2133=0,"",IF(Registered!AV2133=1,Registered!AV2133&amp;" Meal",Registered!AV2133&amp;" Meals"))</f>
        <v/>
      </c>
      <c r="AX2133" s="2" t="str">
        <f>IF(Registered!AI2133=0,"",Registered!AI2133&amp;" BG")</f>
        <v/>
      </c>
      <c r="AY2133" s="2" t="str">
        <f>IF(Registered!AG2133=0,"",Registered!AG2133&amp;" DustMask")</f>
        <v/>
      </c>
    </row>
    <row r="2134" spans="1:51" customFormat="1" x14ac:dyDescent="0.25">
      <c r="A2134" t="s">
        <v>166</v>
      </c>
      <c r="B2134" t="s">
        <v>5606</v>
      </c>
      <c r="C2134" t="s">
        <v>6090</v>
      </c>
      <c r="D2134" t="s">
        <v>5608</v>
      </c>
      <c r="F2134" t="s">
        <v>261</v>
      </c>
      <c r="I2134" t="s">
        <v>5607</v>
      </c>
      <c r="J2134" t="s">
        <v>37</v>
      </c>
      <c r="K2134" t="s">
        <v>32</v>
      </c>
      <c r="L2134" t="s">
        <v>35</v>
      </c>
      <c r="Q2134">
        <v>2</v>
      </c>
      <c r="R2134">
        <v>3</v>
      </c>
      <c r="W2134">
        <v>1</v>
      </c>
      <c r="X2134">
        <v>40</v>
      </c>
      <c r="AQ2134">
        <v>46</v>
      </c>
      <c r="AR2134" s="3">
        <f t="shared" si="99"/>
        <v>20</v>
      </c>
      <c r="AS2134" s="3">
        <f t="shared" si="100"/>
        <v>0</v>
      </c>
      <c r="AT2134" s="3" t="str">
        <f>IF(OR(Registered!AM2134&gt;0,Registered!AO2134&gt;0),(IF(Registered!E2134=0,"Size Not Specified",Registered!E2134)),"")</f>
        <v/>
      </c>
      <c r="AU2134" s="3" t="str">
        <f>IF(Registered!AE2134=0,"",IF(Registered!AE2134=1,Registered!AE2134&amp;" Bandana",Registered!AE2134&amp;" Bandanas"))</f>
        <v/>
      </c>
      <c r="AV2134" s="3">
        <f t="shared" si="101"/>
        <v>0</v>
      </c>
      <c r="AW2134" s="2" t="str">
        <f>IF(Registered!AV2134=0,"",IF(Registered!AV2134=1,Registered!AV2134&amp;" Meal",Registered!AV2134&amp;" Meals"))</f>
        <v/>
      </c>
      <c r="AX2134" s="2" t="str">
        <f>IF(Registered!AI2134=0,"",Registered!AI2134&amp;" BG")</f>
        <v/>
      </c>
      <c r="AY2134" s="2" t="str">
        <f>IF(Registered!AG2134=0,"",Registered!AG2134&amp;" DustMask")</f>
        <v/>
      </c>
    </row>
    <row r="2135" spans="1:51" customFormat="1" x14ac:dyDescent="0.25">
      <c r="A2135" t="s">
        <v>5609</v>
      </c>
      <c r="B2135" t="s">
        <v>5610</v>
      </c>
      <c r="C2135" t="s">
        <v>6090</v>
      </c>
      <c r="G2135" t="s">
        <v>485</v>
      </c>
      <c r="H2135" t="s">
        <v>5211</v>
      </c>
      <c r="I2135" t="s">
        <v>5212</v>
      </c>
      <c r="J2135" t="s">
        <v>37</v>
      </c>
      <c r="K2135" t="s">
        <v>32</v>
      </c>
      <c r="L2135" t="s">
        <v>35</v>
      </c>
      <c r="AQ2135">
        <v>0</v>
      </c>
      <c r="AR2135" s="3">
        <f t="shared" si="99"/>
        <v>0</v>
      </c>
      <c r="AS2135" s="3">
        <f t="shared" si="100"/>
        <v>0</v>
      </c>
      <c r="AT2135" s="3" t="str">
        <f>IF(OR(Registered!AM2135&gt;0,Registered!AO2135&gt;0),(IF(Registered!E2135=0,"Size Not Specified",Registered!E2135)),"")</f>
        <v/>
      </c>
      <c r="AU2135" s="3" t="str">
        <f>IF(Registered!AE2135=0,"",IF(Registered!AE2135=1,Registered!AE2135&amp;" Bandana",Registered!AE2135&amp;" Bandanas"))</f>
        <v/>
      </c>
      <c r="AV2135" s="3">
        <f t="shared" si="101"/>
        <v>0</v>
      </c>
      <c r="AW2135" s="2" t="str">
        <f>IF(Registered!AV2135=0,"",IF(Registered!AV2135=1,Registered!AV2135&amp;" Meal",Registered!AV2135&amp;" Meals"))</f>
        <v/>
      </c>
      <c r="AX2135" s="2" t="str">
        <f>IF(Registered!AI2135=0,"",Registered!AI2135&amp;" BG")</f>
        <v/>
      </c>
      <c r="AY2135" s="2" t="str">
        <f>IF(Registered!AG2135=0,"",Registered!AG2135&amp;" DustMask")</f>
        <v/>
      </c>
    </row>
    <row r="2136" spans="1:51" customFormat="1" x14ac:dyDescent="0.25">
      <c r="A2136" t="s">
        <v>3358</v>
      </c>
      <c r="B2136" t="s">
        <v>3359</v>
      </c>
      <c r="C2136" t="s">
        <v>6090</v>
      </c>
      <c r="G2136" t="s">
        <v>222</v>
      </c>
      <c r="H2136" t="s">
        <v>3320</v>
      </c>
      <c r="I2136" t="s">
        <v>3322</v>
      </c>
      <c r="J2136" t="s">
        <v>37</v>
      </c>
      <c r="K2136" t="s">
        <v>32</v>
      </c>
      <c r="L2136" t="s">
        <v>35</v>
      </c>
      <c r="AQ2136">
        <v>0</v>
      </c>
      <c r="AR2136" s="3">
        <f t="shared" si="99"/>
        <v>0</v>
      </c>
      <c r="AS2136" s="3">
        <f t="shared" si="100"/>
        <v>0</v>
      </c>
      <c r="AT2136" s="3" t="str">
        <f>IF(OR(Registered!AM2136&gt;0,Registered!AO2136&gt;0),(IF(Registered!E2136=0,"Size Not Specified",Registered!E2136)),"")</f>
        <v/>
      </c>
      <c r="AU2136" s="3" t="str">
        <f>IF(Registered!AE2136=0,"",IF(Registered!AE2136=1,Registered!AE2136&amp;" Bandana",Registered!AE2136&amp;" Bandanas"))</f>
        <v/>
      </c>
      <c r="AV2136" s="3">
        <f t="shared" si="101"/>
        <v>0</v>
      </c>
      <c r="AW2136" s="2" t="str">
        <f>IF(Registered!AV2136=0,"",IF(Registered!AV2136=1,Registered!AV2136&amp;" Meal",Registered!AV2136&amp;" Meals"))</f>
        <v/>
      </c>
      <c r="AX2136" s="2" t="str">
        <f>IF(Registered!AI2136=0,"",Registered!AI2136&amp;" BG")</f>
        <v/>
      </c>
      <c r="AY2136" s="2" t="str">
        <f>IF(Registered!AG2136=0,"",Registered!AG2136&amp;" DustMask")</f>
        <v/>
      </c>
    </row>
    <row r="2137" spans="1:51" customFormat="1" x14ac:dyDescent="0.25">
      <c r="A2137" t="s">
        <v>367</v>
      </c>
      <c r="B2137" t="s">
        <v>5611</v>
      </c>
      <c r="C2137" t="s">
        <v>6090</v>
      </c>
      <c r="D2137" t="s">
        <v>5612</v>
      </c>
      <c r="F2137" t="s">
        <v>261</v>
      </c>
      <c r="I2137" t="s">
        <v>5613</v>
      </c>
      <c r="J2137" t="s">
        <v>37</v>
      </c>
      <c r="K2137" t="s">
        <v>32</v>
      </c>
      <c r="L2137" t="s">
        <v>35</v>
      </c>
      <c r="Q2137">
        <v>1</v>
      </c>
      <c r="R2137">
        <v>3</v>
      </c>
      <c r="AC2137">
        <v>1</v>
      </c>
      <c r="AD2137">
        <v>10</v>
      </c>
      <c r="AQ2137">
        <v>13</v>
      </c>
      <c r="AR2137" s="3">
        <f t="shared" si="99"/>
        <v>5</v>
      </c>
      <c r="AS2137" s="3">
        <f t="shared" si="100"/>
        <v>0</v>
      </c>
      <c r="AT2137" s="3" t="str">
        <f>IF(OR(Registered!AM2137&gt;0,Registered!AO2137&gt;0),(IF(Registered!E2137=0,"Size Not Specified",Registered!E2137)),"")</f>
        <v/>
      </c>
      <c r="AU2137" s="3" t="str">
        <f>IF(Registered!AE2137=0,"",IF(Registered!AE2137=1,Registered!AE2137&amp;" Bandana",Registered!AE2137&amp;" Bandanas"))</f>
        <v/>
      </c>
      <c r="AV2137" s="3">
        <f t="shared" si="101"/>
        <v>0</v>
      </c>
      <c r="AW2137" s="2" t="str">
        <f>IF(Registered!AV2137=0,"",IF(Registered!AV2137=1,Registered!AV2137&amp;" Meal",Registered!AV2137&amp;" Meals"))</f>
        <v/>
      </c>
      <c r="AX2137" s="2" t="str">
        <f>IF(Registered!AI2137=0,"",Registered!AI2137&amp;" BG")</f>
        <v/>
      </c>
      <c r="AY2137" s="2" t="str">
        <f>IF(Registered!AG2137=0,"",Registered!AG2137&amp;" DustMask")</f>
        <v/>
      </c>
    </row>
    <row r="2138" spans="1:51" customFormat="1" x14ac:dyDescent="0.25">
      <c r="A2138" t="s">
        <v>5614</v>
      </c>
      <c r="B2138" t="s">
        <v>5615</v>
      </c>
      <c r="C2138" t="s">
        <v>6090</v>
      </c>
      <c r="G2138" t="s">
        <v>4884</v>
      </c>
      <c r="H2138" t="s">
        <v>4885</v>
      </c>
      <c r="I2138" t="s">
        <v>4886</v>
      </c>
      <c r="J2138" t="s">
        <v>37</v>
      </c>
      <c r="K2138" t="s">
        <v>32</v>
      </c>
      <c r="L2138" t="s">
        <v>35</v>
      </c>
      <c r="AQ2138">
        <v>0</v>
      </c>
      <c r="AR2138" s="3">
        <f t="shared" si="99"/>
        <v>0</v>
      </c>
      <c r="AS2138" s="3">
        <f t="shared" si="100"/>
        <v>0</v>
      </c>
      <c r="AT2138" s="3" t="str">
        <f>IF(OR(Registered!AM2138&gt;0,Registered!AO2138&gt;0),(IF(Registered!E2138=0,"Size Not Specified",Registered!E2138)),"")</f>
        <v/>
      </c>
      <c r="AU2138" s="3" t="str">
        <f>IF(Registered!AE2138=0,"",IF(Registered!AE2138=1,Registered!AE2138&amp;" Bandana",Registered!AE2138&amp;" Bandanas"))</f>
        <v/>
      </c>
      <c r="AV2138" s="3">
        <f t="shared" si="101"/>
        <v>0</v>
      </c>
      <c r="AW2138" s="2" t="str">
        <f>IF(Registered!AV2138=0,"",IF(Registered!AV2138=1,Registered!AV2138&amp;" Meal",Registered!AV2138&amp;" Meals"))</f>
        <v/>
      </c>
      <c r="AX2138" s="2" t="str">
        <f>IF(Registered!AI2138=0,"",Registered!AI2138&amp;" BG")</f>
        <v/>
      </c>
      <c r="AY2138" s="2" t="str">
        <f>IF(Registered!AG2138=0,"",Registered!AG2138&amp;" DustMask")</f>
        <v/>
      </c>
    </row>
    <row r="2139" spans="1:51" customFormat="1" x14ac:dyDescent="0.25">
      <c r="A2139" t="s">
        <v>64</v>
      </c>
      <c r="B2139" t="s">
        <v>5616</v>
      </c>
      <c r="C2139" t="s">
        <v>6090</v>
      </c>
      <c r="D2139" t="s">
        <v>5617</v>
      </c>
      <c r="E2139" t="s">
        <v>5618</v>
      </c>
      <c r="F2139" t="s">
        <v>261</v>
      </c>
      <c r="I2139" t="s">
        <v>5619</v>
      </c>
      <c r="J2139" t="s">
        <v>37</v>
      </c>
      <c r="K2139" t="s">
        <v>32</v>
      </c>
      <c r="L2139" t="s">
        <v>35</v>
      </c>
      <c r="Q2139">
        <v>1</v>
      </c>
      <c r="R2139">
        <v>3</v>
      </c>
      <c r="AM2139">
        <v>3</v>
      </c>
      <c r="AN2139">
        <v>25</v>
      </c>
      <c r="AQ2139">
        <v>78</v>
      </c>
      <c r="AR2139" s="3">
        <f t="shared" si="99"/>
        <v>15</v>
      </c>
      <c r="AS2139" s="3">
        <f t="shared" si="100"/>
        <v>3</v>
      </c>
      <c r="AT2139" s="3" t="str">
        <f>IF(OR(Registered!AM2139&gt;0,Registered!AO2139&gt;0),(IF(Registered!E2139=0,"Size Not Specified",Registered!E2139)),"")</f>
        <v>Two - Medium shirts, One - Large shirt</v>
      </c>
      <c r="AU2139" s="3" t="str">
        <f>IF(Registered!AE2139=0,"",IF(Registered!AE2139=1,Registered!AE2139&amp;" Bandana",Registered!AE2139&amp;" Bandanas"))</f>
        <v/>
      </c>
      <c r="AV2139" s="3">
        <f t="shared" si="101"/>
        <v>3</v>
      </c>
      <c r="AW2139" s="2" t="str">
        <f>IF(Registered!AV2139=0,"",IF(Registered!AV2139=1,Registered!AV2139&amp;" Meal",Registered!AV2139&amp;" Meals"))</f>
        <v>3 Meals</v>
      </c>
      <c r="AX2139" s="2" t="str">
        <f>IF(Registered!AI2139=0,"",Registered!AI2139&amp;" BG")</f>
        <v/>
      </c>
      <c r="AY2139" s="2" t="str">
        <f>IF(Registered!AG2139=0,"",Registered!AG2139&amp;" DustMask")</f>
        <v/>
      </c>
    </row>
    <row r="2140" spans="1:51" customFormat="1" x14ac:dyDescent="0.25">
      <c r="A2140" t="s">
        <v>2309</v>
      </c>
      <c r="B2140" t="s">
        <v>353</v>
      </c>
      <c r="C2140" t="s">
        <v>6090</v>
      </c>
      <c r="D2140" t="s">
        <v>2310</v>
      </c>
      <c r="E2140" t="s">
        <v>232</v>
      </c>
      <c r="F2140" t="s">
        <v>261</v>
      </c>
      <c r="I2140" t="s">
        <v>2311</v>
      </c>
      <c r="J2140" t="s">
        <v>37</v>
      </c>
      <c r="K2140" t="s">
        <v>32</v>
      </c>
      <c r="L2140" t="s">
        <v>35</v>
      </c>
      <c r="S2140">
        <v>1</v>
      </c>
      <c r="T2140">
        <v>3</v>
      </c>
      <c r="AM2140">
        <v>1</v>
      </c>
      <c r="AN2140">
        <v>25</v>
      </c>
      <c r="AQ2140">
        <v>28</v>
      </c>
      <c r="AR2140" s="3">
        <f t="shared" si="99"/>
        <v>5</v>
      </c>
      <c r="AS2140" s="3">
        <f t="shared" si="100"/>
        <v>1</v>
      </c>
      <c r="AT2140" s="3" t="str">
        <f>IF(OR(Registered!AM2140&gt;0,Registered!AO2140&gt;0),(IF(Registered!E2140=0,"Size Not Specified",Registered!E2140)),"")</f>
        <v>M</v>
      </c>
      <c r="AU2140" s="3" t="str">
        <f>IF(Registered!AE2140=0,"",IF(Registered!AE2140=1,Registered!AE2140&amp;" Bandana",Registered!AE2140&amp;" Bandanas"))</f>
        <v/>
      </c>
      <c r="AV2140" s="3">
        <f t="shared" si="101"/>
        <v>1</v>
      </c>
      <c r="AW2140" s="2" t="str">
        <f>IF(Registered!AV2140=0,"",IF(Registered!AV2140=1,Registered!AV2140&amp;" Meal",Registered!AV2140&amp;" Meals"))</f>
        <v>1 Meal</v>
      </c>
      <c r="AX2140" s="2" t="str">
        <f>IF(Registered!AI2140=0,"",Registered!AI2140&amp;" BG")</f>
        <v/>
      </c>
      <c r="AY2140" s="2" t="str">
        <f>IF(Registered!AG2140=0,"",Registered!AG2140&amp;" DustMask")</f>
        <v/>
      </c>
    </row>
    <row r="2141" spans="1:51" customFormat="1" x14ac:dyDescent="0.25">
      <c r="A2141" t="s">
        <v>255</v>
      </c>
      <c r="B2141" t="s">
        <v>353</v>
      </c>
      <c r="C2141" t="s">
        <v>6090</v>
      </c>
      <c r="D2141" t="s">
        <v>2312</v>
      </c>
      <c r="F2141" t="s">
        <v>261</v>
      </c>
      <c r="I2141" t="s">
        <v>2313</v>
      </c>
      <c r="J2141" t="s">
        <v>37</v>
      </c>
      <c r="K2141" t="s">
        <v>32</v>
      </c>
      <c r="L2141" t="s">
        <v>35</v>
      </c>
      <c r="S2141">
        <v>1</v>
      </c>
      <c r="T2141">
        <v>3</v>
      </c>
      <c r="AC2141">
        <v>1</v>
      </c>
      <c r="AD2141">
        <v>10</v>
      </c>
      <c r="AE2141">
        <v>1</v>
      </c>
      <c r="AF2141">
        <v>6</v>
      </c>
      <c r="AQ2141">
        <v>19</v>
      </c>
      <c r="AR2141" s="3">
        <f t="shared" si="99"/>
        <v>5</v>
      </c>
      <c r="AS2141" s="3">
        <f t="shared" si="100"/>
        <v>0</v>
      </c>
      <c r="AT2141" s="3" t="str">
        <f>IF(OR(Registered!AM2141&gt;0,Registered!AO2141&gt;0),(IF(Registered!E2141=0,"Size Not Specified",Registered!E2141)),"")</f>
        <v/>
      </c>
      <c r="AU2141" s="3" t="str">
        <f>IF(Registered!AE2141=0,"",IF(Registered!AE2141=1,Registered!AE2141&amp;" Bandana",Registered!AE2141&amp;" Bandanas"))</f>
        <v>1 Bandana</v>
      </c>
      <c r="AV2141" s="3">
        <f t="shared" si="101"/>
        <v>0</v>
      </c>
      <c r="AW2141" s="2" t="str">
        <f>IF(Registered!AV2141=0,"",IF(Registered!AV2141=1,Registered!AV2141&amp;" Meal",Registered!AV2141&amp;" Meals"))</f>
        <v/>
      </c>
      <c r="AX2141" s="2" t="str">
        <f>IF(Registered!AI2141=0,"",Registered!AI2141&amp;" BG")</f>
        <v/>
      </c>
      <c r="AY2141" s="2" t="str">
        <f>IF(Registered!AG2141=0,"",Registered!AG2141&amp;" DustMask")</f>
        <v/>
      </c>
    </row>
    <row r="2142" spans="1:51" customFormat="1" x14ac:dyDescent="0.25">
      <c r="A2142" t="s">
        <v>297</v>
      </c>
      <c r="B2142" t="s">
        <v>5620</v>
      </c>
      <c r="C2142" t="s">
        <v>6090</v>
      </c>
      <c r="G2142" t="s">
        <v>4447</v>
      </c>
      <c r="H2142" t="s">
        <v>4448</v>
      </c>
      <c r="I2142" t="s">
        <v>4449</v>
      </c>
      <c r="J2142" t="s">
        <v>37</v>
      </c>
      <c r="K2142" t="s">
        <v>32</v>
      </c>
      <c r="L2142" t="s">
        <v>35</v>
      </c>
      <c r="AQ2142">
        <v>0</v>
      </c>
      <c r="AR2142" s="3">
        <f t="shared" si="99"/>
        <v>0</v>
      </c>
      <c r="AS2142" s="3">
        <f t="shared" si="100"/>
        <v>0</v>
      </c>
      <c r="AT2142" s="3" t="str">
        <f>IF(OR(Registered!AM2142&gt;0,Registered!AO2142&gt;0),(IF(Registered!E2142=0,"Size Not Specified",Registered!E2142)),"")</f>
        <v/>
      </c>
      <c r="AU2142" s="3" t="str">
        <f>IF(Registered!AE2142=0,"",IF(Registered!AE2142=1,Registered!AE2142&amp;" Bandana",Registered!AE2142&amp;" Bandanas"))</f>
        <v/>
      </c>
      <c r="AV2142" s="3">
        <f t="shared" si="101"/>
        <v>0</v>
      </c>
      <c r="AW2142" s="2" t="str">
        <f>IF(Registered!AV2142=0,"",IF(Registered!AV2142=1,Registered!AV2142&amp;" Meal",Registered!AV2142&amp;" Meals"))</f>
        <v/>
      </c>
      <c r="AX2142" s="2" t="str">
        <f>IF(Registered!AI2142=0,"",Registered!AI2142&amp;" BG")</f>
        <v/>
      </c>
      <c r="AY2142" s="2" t="str">
        <f>IF(Registered!AG2142=0,"",Registered!AG2142&amp;" DustMask")</f>
        <v/>
      </c>
    </row>
    <row r="2143" spans="1:51" customFormat="1" x14ac:dyDescent="0.25">
      <c r="A2143" t="s">
        <v>2314</v>
      </c>
      <c r="B2143" t="s">
        <v>2315</v>
      </c>
      <c r="C2143" t="s">
        <v>6090</v>
      </c>
      <c r="G2143" t="s">
        <v>163</v>
      </c>
      <c r="H2143" t="s">
        <v>1598</v>
      </c>
      <c r="I2143" t="s">
        <v>1600</v>
      </c>
      <c r="J2143" t="s">
        <v>37</v>
      </c>
      <c r="K2143" t="s">
        <v>32</v>
      </c>
      <c r="L2143" t="s">
        <v>35</v>
      </c>
      <c r="AQ2143">
        <v>0</v>
      </c>
      <c r="AR2143" s="3">
        <f t="shared" si="99"/>
        <v>0</v>
      </c>
      <c r="AS2143" s="3">
        <f t="shared" si="100"/>
        <v>0</v>
      </c>
      <c r="AT2143" s="3" t="str">
        <f>IF(OR(Registered!AM2143&gt;0,Registered!AO2143&gt;0),(IF(Registered!E2143=0,"Size Not Specified",Registered!E2143)),"")</f>
        <v/>
      </c>
      <c r="AU2143" s="3" t="str">
        <f>IF(Registered!AE2143=0,"",IF(Registered!AE2143=1,Registered!AE2143&amp;" Bandana",Registered!AE2143&amp;" Bandanas"))</f>
        <v/>
      </c>
      <c r="AV2143" s="3">
        <f t="shared" si="101"/>
        <v>0</v>
      </c>
      <c r="AW2143" s="2" t="str">
        <f>IF(Registered!AV2143=0,"",IF(Registered!AV2143=1,Registered!AV2143&amp;" Meal",Registered!AV2143&amp;" Meals"))</f>
        <v/>
      </c>
      <c r="AX2143" s="2" t="str">
        <f>IF(Registered!AI2143=0,"",Registered!AI2143&amp;" BG")</f>
        <v/>
      </c>
      <c r="AY2143" s="2" t="str">
        <f>IF(Registered!AG2143=0,"",Registered!AG2143&amp;" DustMask")</f>
        <v/>
      </c>
    </row>
    <row r="2144" spans="1:51" customFormat="1" x14ac:dyDescent="0.25">
      <c r="A2144" t="s">
        <v>424</v>
      </c>
      <c r="B2144" t="s">
        <v>3360</v>
      </c>
      <c r="C2144" t="s">
        <v>6090</v>
      </c>
      <c r="G2144" t="s">
        <v>2722</v>
      </c>
      <c r="H2144" t="s">
        <v>2723</v>
      </c>
      <c r="I2144" t="s">
        <v>2724</v>
      </c>
      <c r="J2144" t="s">
        <v>37</v>
      </c>
      <c r="K2144" t="s">
        <v>32</v>
      </c>
      <c r="L2144" t="s">
        <v>35</v>
      </c>
      <c r="AQ2144">
        <v>0</v>
      </c>
      <c r="AR2144" s="3">
        <f t="shared" si="99"/>
        <v>0</v>
      </c>
      <c r="AS2144" s="3">
        <f t="shared" si="100"/>
        <v>0</v>
      </c>
      <c r="AT2144" s="3" t="str">
        <f>IF(OR(Registered!AM2144&gt;0,Registered!AO2144&gt;0),(IF(Registered!E2144=0,"Size Not Specified",Registered!E2144)),"")</f>
        <v/>
      </c>
      <c r="AU2144" s="3" t="str">
        <f>IF(Registered!AE2144=0,"",IF(Registered!AE2144=1,Registered!AE2144&amp;" Bandana",Registered!AE2144&amp;" Bandanas"))</f>
        <v/>
      </c>
      <c r="AV2144" s="3">
        <f t="shared" si="101"/>
        <v>0</v>
      </c>
      <c r="AW2144" s="2" t="str">
        <f>IF(Registered!AV2144=0,"",IF(Registered!AV2144=1,Registered!AV2144&amp;" Meal",Registered!AV2144&amp;" Meals"))</f>
        <v/>
      </c>
      <c r="AX2144" s="2" t="str">
        <f>IF(Registered!AI2144=0,"",Registered!AI2144&amp;" BG")</f>
        <v/>
      </c>
      <c r="AY2144" s="2" t="str">
        <f>IF(Registered!AG2144=0,"",Registered!AG2144&amp;" DustMask")</f>
        <v/>
      </c>
    </row>
    <row r="2145" spans="1:51" customFormat="1" x14ac:dyDescent="0.25">
      <c r="A2145" t="s">
        <v>707</v>
      </c>
      <c r="B2145" t="s">
        <v>275</v>
      </c>
      <c r="C2145" t="s">
        <v>6090</v>
      </c>
      <c r="G2145" t="s">
        <v>5165</v>
      </c>
      <c r="H2145" t="s">
        <v>5166</v>
      </c>
      <c r="I2145" t="s">
        <v>5168</v>
      </c>
      <c r="J2145" t="s">
        <v>37</v>
      </c>
      <c r="K2145" t="s">
        <v>32</v>
      </c>
      <c r="L2145" t="s">
        <v>35</v>
      </c>
      <c r="AQ2145">
        <v>0</v>
      </c>
      <c r="AR2145" s="3">
        <f t="shared" si="99"/>
        <v>0</v>
      </c>
      <c r="AS2145" s="3">
        <f t="shared" si="100"/>
        <v>0</v>
      </c>
      <c r="AT2145" s="3" t="str">
        <f>IF(OR(Registered!AM2145&gt;0,Registered!AO2145&gt;0),(IF(Registered!E2145=0,"Size Not Specified",Registered!E2145)),"")</f>
        <v/>
      </c>
      <c r="AU2145" s="3" t="str">
        <f>IF(Registered!AE2145=0,"",IF(Registered!AE2145=1,Registered!AE2145&amp;" Bandana",Registered!AE2145&amp;" Bandanas"))</f>
        <v/>
      </c>
      <c r="AV2145" s="3">
        <f t="shared" si="101"/>
        <v>0</v>
      </c>
      <c r="AW2145" s="2" t="str">
        <f>IF(Registered!AV2145=0,"",IF(Registered!AV2145=1,Registered!AV2145&amp;" Meal",Registered!AV2145&amp;" Meals"))</f>
        <v/>
      </c>
      <c r="AX2145" s="2" t="str">
        <f>IF(Registered!AI2145=0,"",Registered!AI2145&amp;" BG")</f>
        <v/>
      </c>
      <c r="AY2145" s="2" t="str">
        <f>IF(Registered!AG2145=0,"",Registered!AG2145&amp;" DustMask")</f>
        <v/>
      </c>
    </row>
    <row r="2146" spans="1:51" customFormat="1" x14ac:dyDescent="0.25">
      <c r="A2146" t="s">
        <v>225</v>
      </c>
      <c r="B2146" t="s">
        <v>275</v>
      </c>
      <c r="C2146" t="s">
        <v>6090</v>
      </c>
      <c r="D2146" t="s">
        <v>5621</v>
      </c>
      <c r="F2146" t="s">
        <v>261</v>
      </c>
      <c r="I2146" t="s">
        <v>5622</v>
      </c>
      <c r="J2146" t="s">
        <v>37</v>
      </c>
      <c r="K2146" t="s">
        <v>32</v>
      </c>
      <c r="L2146" t="s">
        <v>35</v>
      </c>
      <c r="Q2146">
        <v>2</v>
      </c>
      <c r="R2146">
        <v>3</v>
      </c>
      <c r="U2146">
        <v>2</v>
      </c>
      <c r="V2146">
        <v>20</v>
      </c>
      <c r="AE2146">
        <v>2</v>
      </c>
      <c r="AF2146">
        <v>6</v>
      </c>
      <c r="AQ2146">
        <v>58</v>
      </c>
      <c r="AR2146" s="3">
        <f t="shared" si="99"/>
        <v>20</v>
      </c>
      <c r="AS2146" s="3">
        <f t="shared" si="100"/>
        <v>0</v>
      </c>
      <c r="AT2146" s="3" t="str">
        <f>IF(OR(Registered!AM2146&gt;0,Registered!AO2146&gt;0),(IF(Registered!E2146=0,"Size Not Specified",Registered!E2146)),"")</f>
        <v/>
      </c>
      <c r="AU2146" s="3" t="str">
        <f>IF(Registered!AE2146=0,"",IF(Registered!AE2146=1,Registered!AE2146&amp;" Bandana",Registered!AE2146&amp;" Bandanas"))</f>
        <v>2 Bandanas</v>
      </c>
      <c r="AV2146" s="3">
        <f t="shared" si="101"/>
        <v>0</v>
      </c>
      <c r="AW2146" s="2" t="str">
        <f>IF(Registered!AV2146=0,"",IF(Registered!AV2146=1,Registered!AV2146&amp;" Meal",Registered!AV2146&amp;" Meals"))</f>
        <v/>
      </c>
      <c r="AX2146" s="2" t="str">
        <f>IF(Registered!AI2146=0,"",Registered!AI2146&amp;" BG")</f>
        <v/>
      </c>
      <c r="AY2146" s="2" t="str">
        <f>IF(Registered!AG2146=0,"",Registered!AG2146&amp;" DustMask")</f>
        <v/>
      </c>
    </row>
    <row r="2147" spans="1:51" customFormat="1" x14ac:dyDescent="0.25">
      <c r="A2147" t="s">
        <v>59</v>
      </c>
      <c r="B2147" t="s">
        <v>275</v>
      </c>
      <c r="C2147" t="s">
        <v>6090</v>
      </c>
      <c r="G2147" t="s">
        <v>1141</v>
      </c>
      <c r="H2147" t="s">
        <v>1142</v>
      </c>
      <c r="I2147" t="s">
        <v>1143</v>
      </c>
      <c r="J2147" t="s">
        <v>37</v>
      </c>
      <c r="K2147" t="s">
        <v>32</v>
      </c>
      <c r="L2147" t="s">
        <v>35</v>
      </c>
      <c r="AQ2147">
        <v>0</v>
      </c>
      <c r="AR2147" s="3">
        <f t="shared" si="99"/>
        <v>0</v>
      </c>
      <c r="AS2147" s="3">
        <f t="shared" si="100"/>
        <v>0</v>
      </c>
      <c r="AT2147" s="3" t="str">
        <f>IF(OR(Registered!AM2147&gt;0,Registered!AO2147&gt;0),(IF(Registered!E2147=0,"Size Not Specified",Registered!E2147)),"")</f>
        <v/>
      </c>
      <c r="AU2147" s="3" t="str">
        <f>IF(Registered!AE2147=0,"",IF(Registered!AE2147=1,Registered!AE2147&amp;" Bandana",Registered!AE2147&amp;" Bandanas"))</f>
        <v/>
      </c>
      <c r="AV2147" s="3">
        <f t="shared" si="101"/>
        <v>0</v>
      </c>
      <c r="AW2147" s="2" t="str">
        <f>IF(Registered!AV2147=0,"",IF(Registered!AV2147=1,Registered!AV2147&amp;" Meal",Registered!AV2147&amp;" Meals"))</f>
        <v/>
      </c>
      <c r="AX2147" s="2" t="str">
        <f>IF(Registered!AI2147=0,"",Registered!AI2147&amp;" BG")</f>
        <v/>
      </c>
      <c r="AY2147" s="2" t="str">
        <f>IF(Registered!AG2147=0,"",Registered!AG2147&amp;" DustMask")</f>
        <v/>
      </c>
    </row>
    <row r="2148" spans="1:51" customFormat="1" x14ac:dyDescent="0.25">
      <c r="A2148" t="s">
        <v>3107</v>
      </c>
      <c r="B2148" t="s">
        <v>275</v>
      </c>
      <c r="C2148" t="s">
        <v>6090</v>
      </c>
      <c r="G2148" t="s">
        <v>79</v>
      </c>
      <c r="H2148" t="s">
        <v>4740</v>
      </c>
      <c r="I2148" t="s">
        <v>4742</v>
      </c>
      <c r="J2148" t="s">
        <v>37</v>
      </c>
      <c r="K2148" t="s">
        <v>32</v>
      </c>
      <c r="L2148" t="s">
        <v>35</v>
      </c>
      <c r="AQ2148">
        <v>0</v>
      </c>
      <c r="AR2148" s="3">
        <f t="shared" si="99"/>
        <v>0</v>
      </c>
      <c r="AS2148" s="3">
        <f t="shared" si="100"/>
        <v>0</v>
      </c>
      <c r="AT2148" s="3" t="str">
        <f>IF(OR(Registered!AM2148&gt;0,Registered!AO2148&gt;0),(IF(Registered!E2148=0,"Size Not Specified",Registered!E2148)),"")</f>
        <v/>
      </c>
      <c r="AU2148" s="3" t="str">
        <f>IF(Registered!AE2148=0,"",IF(Registered!AE2148=1,Registered!AE2148&amp;" Bandana",Registered!AE2148&amp;" Bandanas"))</f>
        <v/>
      </c>
      <c r="AV2148" s="3">
        <f t="shared" si="101"/>
        <v>0</v>
      </c>
      <c r="AW2148" s="2" t="str">
        <f>IF(Registered!AV2148=0,"",IF(Registered!AV2148=1,Registered!AV2148&amp;" Meal",Registered!AV2148&amp;" Meals"))</f>
        <v/>
      </c>
      <c r="AX2148" s="2" t="str">
        <f>IF(Registered!AI2148=0,"",Registered!AI2148&amp;" BG")</f>
        <v/>
      </c>
      <c r="AY2148" s="2" t="str">
        <f>IF(Registered!AG2148=0,"",Registered!AG2148&amp;" DustMask")</f>
        <v/>
      </c>
    </row>
    <row r="2149" spans="1:51" customFormat="1" x14ac:dyDescent="0.25">
      <c r="A2149" t="s">
        <v>174</v>
      </c>
      <c r="B2149" t="s">
        <v>5623</v>
      </c>
      <c r="C2149" t="s">
        <v>6090</v>
      </c>
      <c r="G2149" t="s">
        <v>3787</v>
      </c>
      <c r="H2149" t="s">
        <v>3788</v>
      </c>
      <c r="I2149" t="s">
        <v>3790</v>
      </c>
      <c r="J2149" t="s">
        <v>37</v>
      </c>
      <c r="K2149" t="s">
        <v>32</v>
      </c>
      <c r="L2149" t="s">
        <v>35</v>
      </c>
      <c r="AQ2149">
        <v>0</v>
      </c>
      <c r="AR2149" s="3">
        <f t="shared" si="99"/>
        <v>0</v>
      </c>
      <c r="AS2149" s="3">
        <f t="shared" si="100"/>
        <v>0</v>
      </c>
      <c r="AT2149" s="3" t="str">
        <f>IF(OR(Registered!AM2149&gt;0,Registered!AO2149&gt;0),(IF(Registered!E2149=0,"Size Not Specified",Registered!E2149)),"")</f>
        <v/>
      </c>
      <c r="AU2149" s="3" t="str">
        <f>IF(Registered!AE2149=0,"",IF(Registered!AE2149=1,Registered!AE2149&amp;" Bandana",Registered!AE2149&amp;" Bandanas"))</f>
        <v/>
      </c>
      <c r="AV2149" s="3">
        <f t="shared" si="101"/>
        <v>0</v>
      </c>
      <c r="AW2149" s="2" t="str">
        <f>IF(Registered!AV2149=0,"",IF(Registered!AV2149=1,Registered!AV2149&amp;" Meal",Registered!AV2149&amp;" Meals"))</f>
        <v/>
      </c>
      <c r="AX2149" s="2" t="str">
        <f>IF(Registered!AI2149=0,"",Registered!AI2149&amp;" BG")</f>
        <v/>
      </c>
      <c r="AY2149" s="2" t="str">
        <f>IF(Registered!AG2149=0,"",Registered!AG2149&amp;" DustMask")</f>
        <v/>
      </c>
    </row>
    <row r="2150" spans="1:51" customFormat="1" x14ac:dyDescent="0.25">
      <c r="A2150" t="s">
        <v>434</v>
      </c>
      <c r="B2150" t="s">
        <v>5623</v>
      </c>
      <c r="C2150" t="s">
        <v>6090</v>
      </c>
      <c r="G2150" t="s">
        <v>199</v>
      </c>
      <c r="H2150" t="s">
        <v>3467</v>
      </c>
      <c r="I2150" t="s">
        <v>5624</v>
      </c>
      <c r="J2150" t="s">
        <v>37</v>
      </c>
      <c r="K2150" t="s">
        <v>32</v>
      </c>
      <c r="L2150" t="s">
        <v>35</v>
      </c>
      <c r="AQ2150">
        <v>0</v>
      </c>
      <c r="AR2150" s="3">
        <f t="shared" si="99"/>
        <v>0</v>
      </c>
      <c r="AS2150" s="3">
        <f t="shared" si="100"/>
        <v>0</v>
      </c>
      <c r="AT2150" s="3" t="str">
        <f>IF(OR(Registered!AM2150&gt;0,Registered!AO2150&gt;0),(IF(Registered!E2150=0,"Size Not Specified",Registered!E2150)),"")</f>
        <v/>
      </c>
      <c r="AU2150" s="3" t="str">
        <f>IF(Registered!AE2150=0,"",IF(Registered!AE2150=1,Registered!AE2150&amp;" Bandana",Registered!AE2150&amp;" Bandanas"))</f>
        <v/>
      </c>
      <c r="AV2150" s="3">
        <f t="shared" si="101"/>
        <v>0</v>
      </c>
      <c r="AW2150" s="2" t="str">
        <f>IF(Registered!AV2150=0,"",IF(Registered!AV2150=1,Registered!AV2150&amp;" Meal",Registered!AV2150&amp;" Meals"))</f>
        <v/>
      </c>
      <c r="AX2150" s="2" t="str">
        <f>IF(Registered!AI2150=0,"",Registered!AI2150&amp;" BG")</f>
        <v/>
      </c>
      <c r="AY2150" s="2" t="str">
        <f>IF(Registered!AG2150=0,"",Registered!AG2150&amp;" DustMask")</f>
        <v/>
      </c>
    </row>
    <row r="2151" spans="1:51" customFormat="1" x14ac:dyDescent="0.25">
      <c r="A2151" t="s">
        <v>276</v>
      </c>
      <c r="B2151" t="s">
        <v>2316</v>
      </c>
      <c r="C2151" t="s">
        <v>6090</v>
      </c>
      <c r="D2151" t="s">
        <v>198</v>
      </c>
      <c r="E2151" t="s">
        <v>232</v>
      </c>
      <c r="F2151" t="s">
        <v>261</v>
      </c>
      <c r="I2151" t="s">
        <v>2317</v>
      </c>
      <c r="J2151" t="s">
        <v>37</v>
      </c>
      <c r="K2151" t="s">
        <v>32</v>
      </c>
      <c r="L2151" t="s">
        <v>35</v>
      </c>
      <c r="S2151">
        <v>1</v>
      </c>
      <c r="T2151">
        <v>3</v>
      </c>
      <c r="U2151">
        <v>1</v>
      </c>
      <c r="V2151">
        <v>20</v>
      </c>
      <c r="AQ2151">
        <v>23</v>
      </c>
      <c r="AR2151" s="3">
        <f t="shared" si="99"/>
        <v>10</v>
      </c>
      <c r="AS2151" s="3">
        <f t="shared" si="100"/>
        <v>0</v>
      </c>
      <c r="AT2151" s="3" t="str">
        <f>IF(OR(Registered!AM2151&gt;0,Registered!AO2151&gt;0),(IF(Registered!E2151=0,"Size Not Specified",Registered!E2151)),"")</f>
        <v/>
      </c>
      <c r="AU2151" s="3" t="str">
        <f>IF(Registered!AE2151=0,"",IF(Registered!AE2151=1,Registered!AE2151&amp;" Bandana",Registered!AE2151&amp;" Bandanas"))</f>
        <v/>
      </c>
      <c r="AV2151" s="3">
        <f t="shared" si="101"/>
        <v>0</v>
      </c>
      <c r="AW2151" s="2" t="str">
        <f>IF(Registered!AV2151=0,"",IF(Registered!AV2151=1,Registered!AV2151&amp;" Meal",Registered!AV2151&amp;" Meals"))</f>
        <v/>
      </c>
      <c r="AX2151" s="2" t="str">
        <f>IF(Registered!AI2151=0,"",Registered!AI2151&amp;" BG")</f>
        <v/>
      </c>
      <c r="AY2151" s="2" t="str">
        <f>IF(Registered!AG2151=0,"",Registered!AG2151&amp;" DustMask")</f>
        <v/>
      </c>
    </row>
    <row r="2152" spans="1:51" customFormat="1" x14ac:dyDescent="0.25">
      <c r="A2152" t="s">
        <v>150</v>
      </c>
      <c r="B2152" t="s">
        <v>1942</v>
      </c>
      <c r="C2152" t="s">
        <v>6090</v>
      </c>
      <c r="D2152" t="s">
        <v>2318</v>
      </c>
      <c r="E2152" t="s">
        <v>2319</v>
      </c>
      <c r="F2152" t="s">
        <v>261</v>
      </c>
      <c r="I2152" t="s">
        <v>1943</v>
      </c>
      <c r="J2152" t="s">
        <v>37</v>
      </c>
      <c r="K2152" t="s">
        <v>32</v>
      </c>
      <c r="L2152" t="s">
        <v>35</v>
      </c>
      <c r="S2152">
        <v>2</v>
      </c>
      <c r="T2152">
        <v>3</v>
      </c>
      <c r="AM2152">
        <v>2</v>
      </c>
      <c r="AN2152">
        <v>25</v>
      </c>
      <c r="AQ2152">
        <v>56</v>
      </c>
      <c r="AR2152" s="3">
        <f t="shared" si="99"/>
        <v>10</v>
      </c>
      <c r="AS2152" s="3">
        <f t="shared" si="100"/>
        <v>2</v>
      </c>
      <c r="AT2152" s="3" t="str">
        <f>IF(OR(Registered!AM2152&gt;0,Registered!AO2152&gt;0),(IF(Registered!E2152=0,"Size Not Specified",Registered!E2152)),"")</f>
        <v>two Mediums</v>
      </c>
      <c r="AU2152" s="3" t="str">
        <f>IF(Registered!AE2152=0,"",IF(Registered!AE2152=1,Registered!AE2152&amp;" Bandana",Registered!AE2152&amp;" Bandanas"))</f>
        <v/>
      </c>
      <c r="AV2152" s="3">
        <f t="shared" si="101"/>
        <v>2</v>
      </c>
      <c r="AW2152" s="2" t="str">
        <f>IF(Registered!AV2152=0,"",IF(Registered!AV2152=1,Registered!AV2152&amp;" Meal",Registered!AV2152&amp;" Meals"))</f>
        <v>2 Meals</v>
      </c>
      <c r="AX2152" s="2" t="str">
        <f>IF(Registered!AI2152=0,"",Registered!AI2152&amp;" BG")</f>
        <v/>
      </c>
      <c r="AY2152" s="2" t="str">
        <f>IF(Registered!AG2152=0,"",Registered!AG2152&amp;" DustMask")</f>
        <v/>
      </c>
    </row>
    <row r="2153" spans="1:51" customFormat="1" x14ac:dyDescent="0.25">
      <c r="A2153" t="s">
        <v>394</v>
      </c>
      <c r="B2153" t="s">
        <v>5625</v>
      </c>
      <c r="C2153" t="s">
        <v>6090</v>
      </c>
      <c r="D2153" t="s">
        <v>394</v>
      </c>
      <c r="E2153" t="s">
        <v>67</v>
      </c>
      <c r="F2153" t="s">
        <v>261</v>
      </c>
      <c r="I2153" t="s">
        <v>5626</v>
      </c>
      <c r="J2153" t="s">
        <v>37</v>
      </c>
      <c r="K2153" t="s">
        <v>32</v>
      </c>
      <c r="L2153" t="s">
        <v>35</v>
      </c>
      <c r="Q2153">
        <v>1</v>
      </c>
      <c r="R2153">
        <v>3</v>
      </c>
      <c r="AC2153">
        <v>1</v>
      </c>
      <c r="AD2153">
        <v>10</v>
      </c>
      <c r="AG2153">
        <v>3</v>
      </c>
      <c r="AH2153">
        <v>1</v>
      </c>
      <c r="AO2153">
        <v>1</v>
      </c>
      <c r="AP2153">
        <v>10</v>
      </c>
      <c r="AQ2153">
        <v>26</v>
      </c>
      <c r="AR2153" s="3">
        <f t="shared" si="99"/>
        <v>5</v>
      </c>
      <c r="AS2153" s="3">
        <f t="shared" si="100"/>
        <v>1</v>
      </c>
      <c r="AT2153" s="3" t="str">
        <f>IF(OR(Registered!AM2153&gt;0,Registered!AO2153&gt;0),(IF(Registered!E2153=0,"Size Not Specified",Registered!E2153)),"")</f>
        <v>medium</v>
      </c>
      <c r="AU2153" s="3" t="str">
        <f>IF(Registered!AE2153=0,"",IF(Registered!AE2153=1,Registered!AE2153&amp;" Bandana",Registered!AE2153&amp;" Bandanas"))</f>
        <v/>
      </c>
      <c r="AV2153" s="3">
        <f t="shared" si="101"/>
        <v>0</v>
      </c>
      <c r="AW2153" s="2" t="str">
        <f>IF(Registered!AV2153=0,"",IF(Registered!AV2153=1,Registered!AV2153&amp;" Meal",Registered!AV2153&amp;" Meals"))</f>
        <v/>
      </c>
      <c r="AX2153" s="2" t="str">
        <f>IF(Registered!AI2153=0,"",Registered!AI2153&amp;" BG")</f>
        <v/>
      </c>
      <c r="AY2153" s="2" t="str">
        <f>IF(Registered!AG2153=0,"",Registered!AG2153&amp;" DustMask")</f>
        <v>3 DustMask</v>
      </c>
    </row>
    <row r="2154" spans="1:51" customFormat="1" x14ac:dyDescent="0.25">
      <c r="A2154" t="s">
        <v>4641</v>
      </c>
      <c r="B2154" t="s">
        <v>5625</v>
      </c>
      <c r="C2154" t="s">
        <v>6090</v>
      </c>
      <c r="D2154" t="s">
        <v>253</v>
      </c>
      <c r="F2154" t="s">
        <v>261</v>
      </c>
      <c r="I2154" t="s">
        <v>5627</v>
      </c>
      <c r="J2154" t="s">
        <v>37</v>
      </c>
      <c r="K2154" t="s">
        <v>32</v>
      </c>
      <c r="L2154" t="s">
        <v>35</v>
      </c>
      <c r="Q2154">
        <v>1</v>
      </c>
      <c r="R2154">
        <v>3</v>
      </c>
      <c r="AQ2154">
        <v>3</v>
      </c>
      <c r="AR2154" s="3">
        <f t="shared" si="99"/>
        <v>0</v>
      </c>
      <c r="AS2154" s="3">
        <f t="shared" si="100"/>
        <v>0</v>
      </c>
      <c r="AT2154" s="3" t="str">
        <f>IF(OR(Registered!AM2154&gt;0,Registered!AO2154&gt;0),(IF(Registered!E2154=0,"Size Not Specified",Registered!E2154)),"")</f>
        <v/>
      </c>
      <c r="AU2154" s="3" t="str">
        <f>IF(Registered!AE2154=0,"",IF(Registered!AE2154=1,Registered!AE2154&amp;" Bandana",Registered!AE2154&amp;" Bandanas"))</f>
        <v/>
      </c>
      <c r="AV2154" s="3">
        <f t="shared" si="101"/>
        <v>0</v>
      </c>
      <c r="AW2154" s="2" t="str">
        <f>IF(Registered!AV2154=0,"",IF(Registered!AV2154=1,Registered!AV2154&amp;" Meal",Registered!AV2154&amp;" Meals"))</f>
        <v/>
      </c>
      <c r="AX2154" s="2" t="str">
        <f>IF(Registered!AI2154=0,"",Registered!AI2154&amp;" BG")</f>
        <v/>
      </c>
      <c r="AY2154" s="2" t="str">
        <f>IF(Registered!AG2154=0,"",Registered!AG2154&amp;" DustMask")</f>
        <v/>
      </c>
    </row>
    <row r="2155" spans="1:51" customFormat="1" x14ac:dyDescent="0.25">
      <c r="A2155" t="s">
        <v>141</v>
      </c>
      <c r="B2155" t="s">
        <v>5628</v>
      </c>
      <c r="C2155" t="s">
        <v>6090</v>
      </c>
      <c r="G2155" t="s">
        <v>5629</v>
      </c>
      <c r="H2155" t="s">
        <v>2572</v>
      </c>
      <c r="I2155" t="s">
        <v>5630</v>
      </c>
      <c r="J2155" t="s">
        <v>37</v>
      </c>
      <c r="K2155" t="s">
        <v>32</v>
      </c>
      <c r="L2155" t="s">
        <v>35</v>
      </c>
      <c r="AQ2155">
        <v>0</v>
      </c>
      <c r="AR2155" s="3">
        <f t="shared" si="99"/>
        <v>0</v>
      </c>
      <c r="AS2155" s="3">
        <f t="shared" si="100"/>
        <v>0</v>
      </c>
      <c r="AT2155" s="3" t="str">
        <f>IF(OR(Registered!AM2155&gt;0,Registered!AO2155&gt;0),(IF(Registered!E2155=0,"Size Not Specified",Registered!E2155)),"")</f>
        <v/>
      </c>
      <c r="AU2155" s="3" t="str">
        <f>IF(Registered!AE2155=0,"",IF(Registered!AE2155=1,Registered!AE2155&amp;" Bandana",Registered!AE2155&amp;" Bandanas"))</f>
        <v/>
      </c>
      <c r="AV2155" s="3">
        <f t="shared" si="101"/>
        <v>0</v>
      </c>
      <c r="AW2155" s="2" t="str">
        <f>IF(Registered!AV2155=0,"",IF(Registered!AV2155=1,Registered!AV2155&amp;" Meal",Registered!AV2155&amp;" Meals"))</f>
        <v/>
      </c>
      <c r="AX2155" s="2" t="str">
        <f>IF(Registered!AI2155=0,"",Registered!AI2155&amp;" BG")</f>
        <v/>
      </c>
      <c r="AY2155" s="2" t="str">
        <f>IF(Registered!AG2155=0,"",Registered!AG2155&amp;" DustMask")</f>
        <v/>
      </c>
    </row>
    <row r="2156" spans="1:51" customFormat="1" x14ac:dyDescent="0.25">
      <c r="A2156" t="s">
        <v>292</v>
      </c>
      <c r="B2156" t="s">
        <v>1482</v>
      </c>
      <c r="C2156" t="s">
        <v>6090</v>
      </c>
      <c r="D2156" t="s">
        <v>2320</v>
      </c>
      <c r="E2156" t="s">
        <v>1390</v>
      </c>
      <c r="F2156" t="s">
        <v>261</v>
      </c>
      <c r="I2156" t="s">
        <v>1483</v>
      </c>
      <c r="J2156" t="s">
        <v>37</v>
      </c>
      <c r="K2156" t="s">
        <v>32</v>
      </c>
      <c r="L2156" t="s">
        <v>35</v>
      </c>
      <c r="S2156">
        <v>2</v>
      </c>
      <c r="T2156">
        <v>3</v>
      </c>
      <c r="AC2156">
        <v>2</v>
      </c>
      <c r="AD2156">
        <v>10</v>
      </c>
      <c r="AE2156">
        <v>2</v>
      </c>
      <c r="AF2156">
        <v>6</v>
      </c>
      <c r="AO2156">
        <v>2</v>
      </c>
      <c r="AP2156">
        <v>10</v>
      </c>
      <c r="AQ2156">
        <v>58</v>
      </c>
      <c r="AR2156" s="3">
        <f t="shared" si="99"/>
        <v>10</v>
      </c>
      <c r="AS2156" s="3">
        <f t="shared" si="100"/>
        <v>2</v>
      </c>
      <c r="AT2156" s="3" t="str">
        <f>IF(OR(Registered!AM2156&gt;0,Registered!AO2156&gt;0),(IF(Registered!E2156=0,"Size Not Specified",Registered!E2156)),"")</f>
        <v>Small and Medium</v>
      </c>
      <c r="AU2156" s="3" t="str">
        <f>IF(Registered!AE2156=0,"",IF(Registered!AE2156=1,Registered!AE2156&amp;" Bandana",Registered!AE2156&amp;" Bandanas"))</f>
        <v>2 Bandanas</v>
      </c>
      <c r="AV2156" s="3">
        <f t="shared" si="101"/>
        <v>0</v>
      </c>
      <c r="AW2156" s="2" t="str">
        <f>IF(Registered!AV2156=0,"",IF(Registered!AV2156=1,Registered!AV2156&amp;" Meal",Registered!AV2156&amp;" Meals"))</f>
        <v/>
      </c>
      <c r="AX2156" s="2" t="str">
        <f>IF(Registered!AI2156=0,"",Registered!AI2156&amp;" BG")</f>
        <v/>
      </c>
      <c r="AY2156" s="2" t="str">
        <f>IF(Registered!AG2156=0,"",Registered!AG2156&amp;" DustMask")</f>
        <v/>
      </c>
    </row>
    <row r="2157" spans="1:51" customFormat="1" x14ac:dyDescent="0.25">
      <c r="A2157" t="s">
        <v>953</v>
      </c>
      <c r="B2157" t="s">
        <v>278</v>
      </c>
      <c r="C2157" t="s">
        <v>6090</v>
      </c>
      <c r="D2157" t="s">
        <v>3362</v>
      </c>
      <c r="F2157" t="s">
        <v>261</v>
      </c>
      <c r="I2157" t="s">
        <v>2807</v>
      </c>
      <c r="J2157" t="s">
        <v>37</v>
      </c>
      <c r="K2157" t="s">
        <v>32</v>
      </c>
      <c r="L2157" t="s">
        <v>35</v>
      </c>
      <c r="S2157">
        <v>5</v>
      </c>
      <c r="T2157">
        <v>3</v>
      </c>
      <c r="AC2157">
        <v>1</v>
      </c>
      <c r="AD2157">
        <v>10</v>
      </c>
      <c r="AQ2157">
        <v>25</v>
      </c>
      <c r="AR2157" s="3">
        <f t="shared" si="99"/>
        <v>5</v>
      </c>
      <c r="AS2157" s="3">
        <f t="shared" si="100"/>
        <v>0</v>
      </c>
      <c r="AT2157" s="3" t="str">
        <f>IF(OR(Registered!AM2157&gt;0,Registered!AO2157&gt;0),(IF(Registered!E2157=0,"Size Not Specified",Registered!E2157)),"")</f>
        <v/>
      </c>
      <c r="AU2157" s="3" t="str">
        <f>IF(Registered!AE2157=0,"",IF(Registered!AE2157=1,Registered!AE2157&amp;" Bandana",Registered!AE2157&amp;" Bandanas"))</f>
        <v/>
      </c>
      <c r="AV2157" s="3">
        <f t="shared" si="101"/>
        <v>0</v>
      </c>
      <c r="AW2157" s="2" t="str">
        <f>IF(Registered!AV2157=0,"",IF(Registered!AV2157=1,Registered!AV2157&amp;" Meal",Registered!AV2157&amp;" Meals"))</f>
        <v/>
      </c>
      <c r="AX2157" s="2" t="str">
        <f>IF(Registered!AI2157=0,"",Registered!AI2157&amp;" BG")</f>
        <v/>
      </c>
      <c r="AY2157" s="2" t="str">
        <f>IF(Registered!AG2157=0,"",Registered!AG2157&amp;" DustMask")</f>
        <v/>
      </c>
    </row>
    <row r="2158" spans="1:51" customFormat="1" x14ac:dyDescent="0.25">
      <c r="A2158" t="s">
        <v>2321</v>
      </c>
      <c r="B2158" t="s">
        <v>278</v>
      </c>
      <c r="C2158" t="s">
        <v>6090</v>
      </c>
      <c r="G2158" t="s">
        <v>953</v>
      </c>
      <c r="H2158" t="s">
        <v>278</v>
      </c>
      <c r="I2158" t="s">
        <v>2807</v>
      </c>
      <c r="J2158" t="s">
        <v>37</v>
      </c>
      <c r="K2158" t="s">
        <v>32</v>
      </c>
      <c r="L2158" t="s">
        <v>35</v>
      </c>
      <c r="AQ2158">
        <v>0</v>
      </c>
      <c r="AR2158" s="3">
        <f t="shared" si="99"/>
        <v>0</v>
      </c>
      <c r="AS2158" s="3">
        <f t="shared" si="100"/>
        <v>0</v>
      </c>
      <c r="AT2158" s="3" t="str">
        <f>IF(OR(Registered!AM2158&gt;0,Registered!AO2158&gt;0),(IF(Registered!E2158=0,"Size Not Specified",Registered!E2158)),"")</f>
        <v/>
      </c>
      <c r="AU2158" s="3" t="str">
        <f>IF(Registered!AE2158=0,"",IF(Registered!AE2158=1,Registered!AE2158&amp;" Bandana",Registered!AE2158&amp;" Bandanas"))</f>
        <v/>
      </c>
      <c r="AV2158" s="3">
        <f t="shared" si="101"/>
        <v>0</v>
      </c>
      <c r="AW2158" s="2" t="str">
        <f>IF(Registered!AV2158=0,"",IF(Registered!AV2158=1,Registered!AV2158&amp;" Meal",Registered!AV2158&amp;" Meals"))</f>
        <v/>
      </c>
      <c r="AX2158" s="2" t="str">
        <f>IF(Registered!AI2158=0,"",Registered!AI2158&amp;" BG")</f>
        <v/>
      </c>
      <c r="AY2158" s="2" t="str">
        <f>IF(Registered!AG2158=0,"",Registered!AG2158&amp;" DustMask")</f>
        <v/>
      </c>
    </row>
    <row r="2159" spans="1:51" customFormat="1" x14ac:dyDescent="0.25">
      <c r="A2159" t="s">
        <v>443</v>
      </c>
      <c r="B2159" t="s">
        <v>2322</v>
      </c>
      <c r="C2159" t="s">
        <v>6090</v>
      </c>
      <c r="D2159" t="s">
        <v>2323</v>
      </c>
      <c r="F2159" t="s">
        <v>261</v>
      </c>
      <c r="I2159" t="s">
        <v>2324</v>
      </c>
      <c r="J2159" t="s">
        <v>37</v>
      </c>
      <c r="K2159" t="s">
        <v>32</v>
      </c>
      <c r="L2159" t="s">
        <v>35</v>
      </c>
      <c r="Q2159">
        <v>1</v>
      </c>
      <c r="R2159">
        <v>3</v>
      </c>
      <c r="AC2159">
        <v>1</v>
      </c>
      <c r="AD2159">
        <v>10</v>
      </c>
      <c r="AQ2159">
        <v>13</v>
      </c>
      <c r="AR2159" s="3">
        <f t="shared" si="99"/>
        <v>5</v>
      </c>
      <c r="AS2159" s="3">
        <f t="shared" si="100"/>
        <v>0</v>
      </c>
      <c r="AT2159" s="3" t="str">
        <f>IF(OR(Registered!AM2159&gt;0,Registered!AO2159&gt;0),(IF(Registered!E2159=0,"Size Not Specified",Registered!E2159)),"")</f>
        <v/>
      </c>
      <c r="AU2159" s="3" t="str">
        <f>IF(Registered!AE2159=0,"",IF(Registered!AE2159=1,Registered!AE2159&amp;" Bandana",Registered!AE2159&amp;" Bandanas"))</f>
        <v/>
      </c>
      <c r="AV2159" s="3">
        <f t="shared" si="101"/>
        <v>0</v>
      </c>
      <c r="AW2159" s="2" t="str">
        <f>IF(Registered!AV2159=0,"",IF(Registered!AV2159=1,Registered!AV2159&amp;" Meal",Registered!AV2159&amp;" Meals"))</f>
        <v/>
      </c>
      <c r="AX2159" s="2" t="str">
        <f>IF(Registered!AI2159=0,"",Registered!AI2159&amp;" BG")</f>
        <v/>
      </c>
      <c r="AY2159" s="2" t="str">
        <f>IF(Registered!AG2159=0,"",Registered!AG2159&amp;" DustMask")</f>
        <v/>
      </c>
    </row>
    <row r="2160" spans="1:51" customFormat="1" x14ac:dyDescent="0.25">
      <c r="A2160" t="s">
        <v>2325</v>
      </c>
      <c r="B2160" t="s">
        <v>2326</v>
      </c>
      <c r="C2160" t="s">
        <v>6090</v>
      </c>
      <c r="G2160" t="s">
        <v>144</v>
      </c>
      <c r="H2160" t="s">
        <v>458</v>
      </c>
      <c r="I2160" t="s">
        <v>1415</v>
      </c>
      <c r="J2160" t="s">
        <v>37</v>
      </c>
      <c r="K2160" t="s">
        <v>32</v>
      </c>
      <c r="L2160" t="s">
        <v>35</v>
      </c>
      <c r="AQ2160">
        <v>0</v>
      </c>
      <c r="AR2160" s="3">
        <f t="shared" si="99"/>
        <v>0</v>
      </c>
      <c r="AS2160" s="3">
        <f t="shared" si="100"/>
        <v>0</v>
      </c>
      <c r="AT2160" s="3" t="str">
        <f>IF(OR(Registered!AM2160&gt;0,Registered!AO2160&gt;0),(IF(Registered!E2160=0,"Size Not Specified",Registered!E2160)),"")</f>
        <v/>
      </c>
      <c r="AU2160" s="3" t="str">
        <f>IF(Registered!AE2160=0,"",IF(Registered!AE2160=1,Registered!AE2160&amp;" Bandana",Registered!AE2160&amp;" Bandanas"))</f>
        <v/>
      </c>
      <c r="AV2160" s="3">
        <f t="shared" si="101"/>
        <v>0</v>
      </c>
      <c r="AW2160" s="2" t="str">
        <f>IF(Registered!AV2160=0,"",IF(Registered!AV2160=1,Registered!AV2160&amp;" Meal",Registered!AV2160&amp;" Meals"))</f>
        <v/>
      </c>
      <c r="AX2160" s="2" t="str">
        <f>IF(Registered!AI2160=0,"",Registered!AI2160&amp;" BG")</f>
        <v/>
      </c>
      <c r="AY2160" s="2" t="str">
        <f>IF(Registered!AG2160=0,"",Registered!AG2160&amp;" DustMask")</f>
        <v/>
      </c>
    </row>
    <row r="2161" spans="1:51" customFormat="1" x14ac:dyDescent="0.25">
      <c r="A2161" t="s">
        <v>146</v>
      </c>
      <c r="B2161" t="s">
        <v>5631</v>
      </c>
      <c r="C2161" t="s">
        <v>6090</v>
      </c>
      <c r="G2161" t="s">
        <v>90</v>
      </c>
      <c r="H2161" t="s">
        <v>4596</v>
      </c>
      <c r="I2161" t="s">
        <v>4343</v>
      </c>
      <c r="J2161" t="s">
        <v>37</v>
      </c>
      <c r="K2161" t="s">
        <v>32</v>
      </c>
      <c r="L2161" t="s">
        <v>35</v>
      </c>
      <c r="AQ2161">
        <v>0</v>
      </c>
      <c r="AR2161" s="3">
        <f t="shared" si="99"/>
        <v>0</v>
      </c>
      <c r="AS2161" s="3">
        <f t="shared" si="100"/>
        <v>0</v>
      </c>
      <c r="AT2161" s="3" t="str">
        <f>IF(OR(Registered!AM2161&gt;0,Registered!AO2161&gt;0),(IF(Registered!E2161=0,"Size Not Specified",Registered!E2161)),"")</f>
        <v/>
      </c>
      <c r="AU2161" s="3" t="str">
        <f>IF(Registered!AE2161=0,"",IF(Registered!AE2161=1,Registered!AE2161&amp;" Bandana",Registered!AE2161&amp;" Bandanas"))</f>
        <v/>
      </c>
      <c r="AV2161" s="3">
        <f t="shared" si="101"/>
        <v>0</v>
      </c>
      <c r="AW2161" s="2" t="str">
        <f>IF(Registered!AV2161=0,"",IF(Registered!AV2161=1,Registered!AV2161&amp;" Meal",Registered!AV2161&amp;" Meals"))</f>
        <v/>
      </c>
      <c r="AX2161" s="2" t="str">
        <f>IF(Registered!AI2161=0,"",Registered!AI2161&amp;" BG")</f>
        <v/>
      </c>
      <c r="AY2161" s="2" t="str">
        <f>IF(Registered!AG2161=0,"",Registered!AG2161&amp;" DustMask")</f>
        <v/>
      </c>
    </row>
    <row r="2162" spans="1:51" customFormat="1" x14ac:dyDescent="0.25">
      <c r="A2162" t="s">
        <v>81</v>
      </c>
      <c r="B2162" t="s">
        <v>3363</v>
      </c>
      <c r="C2162" t="s">
        <v>6090</v>
      </c>
      <c r="G2162" t="s">
        <v>2856</v>
      </c>
      <c r="H2162" t="s">
        <v>2857</v>
      </c>
      <c r="I2162" t="s">
        <v>3364</v>
      </c>
      <c r="J2162" t="s">
        <v>37</v>
      </c>
      <c r="K2162" t="s">
        <v>32</v>
      </c>
      <c r="L2162" t="s">
        <v>35</v>
      </c>
      <c r="AQ2162">
        <v>0</v>
      </c>
      <c r="AR2162" s="3">
        <f t="shared" si="99"/>
        <v>0</v>
      </c>
      <c r="AS2162" s="3">
        <f t="shared" si="100"/>
        <v>0</v>
      </c>
      <c r="AT2162" s="3" t="str">
        <f>IF(OR(Registered!AM2162&gt;0,Registered!AO2162&gt;0),(IF(Registered!E2162=0,"Size Not Specified",Registered!E2162)),"")</f>
        <v/>
      </c>
      <c r="AU2162" s="3" t="str">
        <f>IF(Registered!AE2162=0,"",IF(Registered!AE2162=1,Registered!AE2162&amp;" Bandana",Registered!AE2162&amp;" Bandanas"))</f>
        <v/>
      </c>
      <c r="AV2162" s="3">
        <f t="shared" si="101"/>
        <v>0</v>
      </c>
      <c r="AW2162" s="2" t="str">
        <f>IF(Registered!AV2162=0,"",IF(Registered!AV2162=1,Registered!AV2162&amp;" Meal",Registered!AV2162&amp;" Meals"))</f>
        <v/>
      </c>
      <c r="AX2162" s="2" t="str">
        <f>IF(Registered!AI2162=0,"",Registered!AI2162&amp;" BG")</f>
        <v/>
      </c>
      <c r="AY2162" s="2" t="str">
        <f>IF(Registered!AG2162=0,"",Registered!AG2162&amp;" DustMask")</f>
        <v/>
      </c>
    </row>
    <row r="2163" spans="1:51" customFormat="1" x14ac:dyDescent="0.25">
      <c r="A2163" t="s">
        <v>3001</v>
      </c>
      <c r="B2163" t="s">
        <v>3002</v>
      </c>
      <c r="C2163" t="s">
        <v>6090</v>
      </c>
      <c r="D2163" t="s">
        <v>3001</v>
      </c>
      <c r="F2163" t="s">
        <v>261</v>
      </c>
      <c r="I2163" t="s">
        <v>3003</v>
      </c>
      <c r="J2163" t="s">
        <v>37</v>
      </c>
      <c r="K2163" t="s">
        <v>32</v>
      </c>
      <c r="L2163" t="s">
        <v>35</v>
      </c>
      <c r="Q2163">
        <v>9</v>
      </c>
      <c r="R2163">
        <v>3</v>
      </c>
      <c r="U2163">
        <v>1</v>
      </c>
      <c r="V2163">
        <v>20</v>
      </c>
      <c r="AK2163">
        <v>6</v>
      </c>
      <c r="AL2163">
        <v>6</v>
      </c>
      <c r="AQ2163">
        <v>83</v>
      </c>
      <c r="AR2163" s="3">
        <f t="shared" si="99"/>
        <v>10</v>
      </c>
      <c r="AS2163" s="3">
        <f t="shared" si="100"/>
        <v>0</v>
      </c>
      <c r="AT2163" s="3" t="str">
        <f>IF(OR(Registered!AM2163&gt;0,Registered!AO2163&gt;0),(IF(Registered!E2163=0,"Size Not Specified",Registered!E2163)),"")</f>
        <v/>
      </c>
      <c r="AU2163" s="3" t="str">
        <f>IF(Registered!AE2163=0,"",IF(Registered!AE2163=1,Registered!AE2163&amp;" Bandana",Registered!AE2163&amp;" Bandanas"))</f>
        <v/>
      </c>
      <c r="AV2163" s="3">
        <f t="shared" si="101"/>
        <v>6</v>
      </c>
      <c r="AW2163" s="2" t="str">
        <f>IF(Registered!AV2163=0,"",IF(Registered!AV2163=1,Registered!AV2163&amp;" Meal",Registered!AV2163&amp;" Meals"))</f>
        <v>6 Meals</v>
      </c>
      <c r="AX2163" s="2" t="str">
        <f>IF(Registered!AI2163=0,"",Registered!AI2163&amp;" BG")</f>
        <v/>
      </c>
      <c r="AY2163" s="2" t="str">
        <f>IF(Registered!AG2163=0,"",Registered!AG2163&amp;" DustMask")</f>
        <v/>
      </c>
    </row>
    <row r="2164" spans="1:51" customFormat="1" x14ac:dyDescent="0.25">
      <c r="A2164" t="s">
        <v>166</v>
      </c>
      <c r="B2164" t="s">
        <v>490</v>
      </c>
      <c r="C2164" t="s">
        <v>6090</v>
      </c>
      <c r="F2164" t="s">
        <v>261</v>
      </c>
      <c r="I2164" t="s">
        <v>1993</v>
      </c>
      <c r="J2164" t="s">
        <v>37</v>
      </c>
      <c r="K2164" t="s">
        <v>32</v>
      </c>
      <c r="L2164" t="s">
        <v>35</v>
      </c>
      <c r="S2164">
        <v>3</v>
      </c>
      <c r="T2164">
        <v>3</v>
      </c>
      <c r="AQ2164">
        <v>9</v>
      </c>
      <c r="AR2164" s="3">
        <f t="shared" si="99"/>
        <v>0</v>
      </c>
      <c r="AS2164" s="3">
        <f t="shared" si="100"/>
        <v>0</v>
      </c>
      <c r="AT2164" s="3" t="str">
        <f>IF(OR(Registered!AM2164&gt;0,Registered!AO2164&gt;0),(IF(Registered!E2164=0,"Size Not Specified",Registered!E2164)),"")</f>
        <v/>
      </c>
      <c r="AU2164" s="3" t="str">
        <f>IF(Registered!AE2164=0,"",IF(Registered!AE2164=1,Registered!AE2164&amp;" Bandana",Registered!AE2164&amp;" Bandanas"))</f>
        <v/>
      </c>
      <c r="AV2164" s="3">
        <f t="shared" si="101"/>
        <v>0</v>
      </c>
      <c r="AW2164" s="2" t="str">
        <f>IF(Registered!AV2164=0,"",IF(Registered!AV2164=1,Registered!AV2164&amp;" Meal",Registered!AV2164&amp;" Meals"))</f>
        <v/>
      </c>
      <c r="AX2164" s="2" t="str">
        <f>IF(Registered!AI2164=0,"",Registered!AI2164&amp;" BG")</f>
        <v/>
      </c>
      <c r="AY2164" s="2" t="str">
        <f>IF(Registered!AG2164=0,"",Registered!AG2164&amp;" DustMask")</f>
        <v/>
      </c>
    </row>
    <row r="2165" spans="1:51" customFormat="1" x14ac:dyDescent="0.25">
      <c r="A2165" t="s">
        <v>300</v>
      </c>
      <c r="B2165" t="s">
        <v>3365</v>
      </c>
      <c r="C2165" t="s">
        <v>6090</v>
      </c>
      <c r="D2165" t="s">
        <v>3366</v>
      </c>
      <c r="F2165" t="s">
        <v>261</v>
      </c>
      <c r="I2165" t="s">
        <v>3367</v>
      </c>
      <c r="J2165" t="s">
        <v>37</v>
      </c>
      <c r="K2165" t="s">
        <v>32</v>
      </c>
      <c r="L2165" t="s">
        <v>35</v>
      </c>
      <c r="Q2165">
        <v>1</v>
      </c>
      <c r="R2165">
        <v>3</v>
      </c>
      <c r="U2165">
        <v>1</v>
      </c>
      <c r="V2165">
        <v>20</v>
      </c>
      <c r="AQ2165">
        <v>23</v>
      </c>
      <c r="AR2165" s="3">
        <f t="shared" si="99"/>
        <v>10</v>
      </c>
      <c r="AS2165" s="3">
        <f t="shared" si="100"/>
        <v>0</v>
      </c>
      <c r="AT2165" s="3" t="str">
        <f>IF(OR(Registered!AM2165&gt;0,Registered!AO2165&gt;0),(IF(Registered!E2165=0,"Size Not Specified",Registered!E2165)),"")</f>
        <v/>
      </c>
      <c r="AU2165" s="3" t="str">
        <f>IF(Registered!AE2165=0,"",IF(Registered!AE2165=1,Registered!AE2165&amp;" Bandana",Registered!AE2165&amp;" Bandanas"))</f>
        <v/>
      </c>
      <c r="AV2165" s="3">
        <f t="shared" si="101"/>
        <v>0</v>
      </c>
      <c r="AW2165" s="2" t="str">
        <f>IF(Registered!AV2165=0,"",IF(Registered!AV2165=1,Registered!AV2165&amp;" Meal",Registered!AV2165&amp;" Meals"))</f>
        <v/>
      </c>
      <c r="AX2165" s="2" t="str">
        <f>IF(Registered!AI2165=0,"",Registered!AI2165&amp;" BG")</f>
        <v/>
      </c>
      <c r="AY2165" s="2" t="str">
        <f>IF(Registered!AG2165=0,"",Registered!AG2165&amp;" DustMask")</f>
        <v/>
      </c>
    </row>
    <row r="2166" spans="1:51" customFormat="1" x14ac:dyDescent="0.25">
      <c r="A2166" t="s">
        <v>1430</v>
      </c>
      <c r="B2166" t="s">
        <v>945</v>
      </c>
      <c r="C2166" t="s">
        <v>6090</v>
      </c>
      <c r="D2166" t="s">
        <v>2327</v>
      </c>
      <c r="F2166" t="s">
        <v>261</v>
      </c>
      <c r="I2166" t="s">
        <v>1431</v>
      </c>
      <c r="J2166" t="s">
        <v>37</v>
      </c>
      <c r="K2166" t="s">
        <v>32</v>
      </c>
      <c r="L2166" t="s">
        <v>35</v>
      </c>
      <c r="S2166">
        <v>2</v>
      </c>
      <c r="T2166">
        <v>3</v>
      </c>
      <c r="U2166">
        <v>1</v>
      </c>
      <c r="V2166">
        <v>20</v>
      </c>
      <c r="AQ2166">
        <v>26</v>
      </c>
      <c r="AR2166" s="3">
        <f t="shared" si="99"/>
        <v>10</v>
      </c>
      <c r="AS2166" s="3">
        <f t="shared" si="100"/>
        <v>0</v>
      </c>
      <c r="AT2166" s="3" t="str">
        <f>IF(OR(Registered!AM2166&gt;0,Registered!AO2166&gt;0),(IF(Registered!E2166=0,"Size Not Specified",Registered!E2166)),"")</f>
        <v/>
      </c>
      <c r="AU2166" s="3" t="str">
        <f>IF(Registered!AE2166=0,"",IF(Registered!AE2166=1,Registered!AE2166&amp;" Bandana",Registered!AE2166&amp;" Bandanas"))</f>
        <v/>
      </c>
      <c r="AV2166" s="3">
        <f t="shared" si="101"/>
        <v>0</v>
      </c>
      <c r="AW2166" s="2" t="str">
        <f>IF(Registered!AV2166=0,"",IF(Registered!AV2166=1,Registered!AV2166&amp;" Meal",Registered!AV2166&amp;" Meals"))</f>
        <v/>
      </c>
      <c r="AX2166" s="2" t="str">
        <f>IF(Registered!AI2166=0,"",Registered!AI2166&amp;" BG")</f>
        <v/>
      </c>
      <c r="AY2166" s="2" t="str">
        <f>IF(Registered!AG2166=0,"",Registered!AG2166&amp;" DustMask")</f>
        <v/>
      </c>
    </row>
    <row r="2167" spans="1:51" customFormat="1" x14ac:dyDescent="0.25">
      <c r="A2167" t="s">
        <v>2328</v>
      </c>
      <c r="B2167" t="s">
        <v>945</v>
      </c>
      <c r="C2167" t="s">
        <v>6090</v>
      </c>
      <c r="G2167" t="s">
        <v>944</v>
      </c>
      <c r="H2167" t="s">
        <v>945</v>
      </c>
      <c r="I2167" t="s">
        <v>946</v>
      </c>
      <c r="J2167" t="s">
        <v>37</v>
      </c>
      <c r="K2167" t="s">
        <v>32</v>
      </c>
      <c r="L2167" t="s">
        <v>35</v>
      </c>
      <c r="AQ2167">
        <v>0</v>
      </c>
      <c r="AR2167" s="3">
        <f t="shared" si="99"/>
        <v>0</v>
      </c>
      <c r="AS2167" s="3">
        <f t="shared" si="100"/>
        <v>0</v>
      </c>
      <c r="AT2167" s="3" t="str">
        <f>IF(OR(Registered!AM2167&gt;0,Registered!AO2167&gt;0),(IF(Registered!E2167=0,"Size Not Specified",Registered!E2167)),"")</f>
        <v/>
      </c>
      <c r="AU2167" s="3" t="str">
        <f>IF(Registered!AE2167=0,"",IF(Registered!AE2167=1,Registered!AE2167&amp;" Bandana",Registered!AE2167&amp;" Bandanas"))</f>
        <v/>
      </c>
      <c r="AV2167" s="3">
        <f t="shared" si="101"/>
        <v>0</v>
      </c>
      <c r="AW2167" s="2" t="str">
        <f>IF(Registered!AV2167=0,"",IF(Registered!AV2167=1,Registered!AV2167&amp;" Meal",Registered!AV2167&amp;" Meals"))</f>
        <v/>
      </c>
      <c r="AX2167" s="2" t="str">
        <f>IF(Registered!AI2167=0,"",Registered!AI2167&amp;" BG")</f>
        <v/>
      </c>
      <c r="AY2167" s="2" t="str">
        <f>IF(Registered!AG2167=0,"",Registered!AG2167&amp;" DustMask")</f>
        <v/>
      </c>
    </row>
    <row r="2168" spans="1:51" customFormat="1" x14ac:dyDescent="0.25">
      <c r="A2168" t="s">
        <v>944</v>
      </c>
      <c r="B2168" t="s">
        <v>945</v>
      </c>
      <c r="C2168" t="s">
        <v>6090</v>
      </c>
      <c r="D2168" t="s">
        <v>2329</v>
      </c>
      <c r="F2168" t="s">
        <v>261</v>
      </c>
      <c r="I2168" t="s">
        <v>946</v>
      </c>
      <c r="J2168" t="s">
        <v>37</v>
      </c>
      <c r="K2168" t="s">
        <v>32</v>
      </c>
      <c r="L2168" t="s">
        <v>35</v>
      </c>
      <c r="S2168">
        <v>4</v>
      </c>
      <c r="T2168">
        <v>3</v>
      </c>
      <c r="U2168">
        <v>1</v>
      </c>
      <c r="V2168">
        <v>20</v>
      </c>
      <c r="AK2168">
        <v>5</v>
      </c>
      <c r="AL2168">
        <v>6</v>
      </c>
      <c r="AQ2168">
        <v>62</v>
      </c>
      <c r="AR2168" s="3">
        <f t="shared" si="99"/>
        <v>10</v>
      </c>
      <c r="AS2168" s="3">
        <f t="shared" si="100"/>
        <v>0</v>
      </c>
      <c r="AT2168" s="3" t="str">
        <f>IF(OR(Registered!AM2168&gt;0,Registered!AO2168&gt;0),(IF(Registered!E2168=0,"Size Not Specified",Registered!E2168)),"")</f>
        <v/>
      </c>
      <c r="AU2168" s="3" t="str">
        <f>IF(Registered!AE2168=0,"",IF(Registered!AE2168=1,Registered!AE2168&amp;" Bandana",Registered!AE2168&amp;" Bandanas"))</f>
        <v/>
      </c>
      <c r="AV2168" s="3">
        <f t="shared" si="101"/>
        <v>5</v>
      </c>
      <c r="AW2168" s="2" t="str">
        <f>IF(Registered!AV2168=0,"",IF(Registered!AV2168=1,Registered!AV2168&amp;" Meal",Registered!AV2168&amp;" Meals"))</f>
        <v>5 Meals</v>
      </c>
      <c r="AX2168" s="2" t="str">
        <f>IF(Registered!AI2168=0,"",Registered!AI2168&amp;" BG")</f>
        <v/>
      </c>
      <c r="AY2168" s="2" t="str">
        <f>IF(Registered!AG2168=0,"",Registered!AG2168&amp;" DustMask")</f>
        <v/>
      </c>
    </row>
    <row r="2169" spans="1:51" customFormat="1" x14ac:dyDescent="0.25">
      <c r="A2169" t="s">
        <v>5636</v>
      </c>
      <c r="B2169" t="s">
        <v>5637</v>
      </c>
      <c r="C2169" t="s">
        <v>6090</v>
      </c>
      <c r="D2169" t="s">
        <v>5638</v>
      </c>
      <c r="F2169" t="s">
        <v>261</v>
      </c>
      <c r="I2169" t="s">
        <v>5639</v>
      </c>
      <c r="J2169" t="s">
        <v>37</v>
      </c>
      <c r="K2169" t="s">
        <v>32</v>
      </c>
      <c r="L2169" t="s">
        <v>35</v>
      </c>
      <c r="Q2169">
        <v>1</v>
      </c>
      <c r="R2169">
        <v>3</v>
      </c>
      <c r="AC2169">
        <v>1</v>
      </c>
      <c r="AD2169">
        <v>10</v>
      </c>
      <c r="AQ2169">
        <v>13</v>
      </c>
      <c r="AR2169" s="3">
        <f t="shared" si="99"/>
        <v>5</v>
      </c>
      <c r="AS2169" s="3">
        <f t="shared" si="100"/>
        <v>0</v>
      </c>
      <c r="AT2169" s="3" t="str">
        <f>IF(OR(Registered!AM2169&gt;0,Registered!AO2169&gt;0),(IF(Registered!E2169=0,"Size Not Specified",Registered!E2169)),"")</f>
        <v/>
      </c>
      <c r="AU2169" s="3" t="str">
        <f>IF(Registered!AE2169=0,"",IF(Registered!AE2169=1,Registered!AE2169&amp;" Bandana",Registered!AE2169&amp;" Bandanas"))</f>
        <v/>
      </c>
      <c r="AV2169" s="3">
        <f t="shared" si="101"/>
        <v>0</v>
      </c>
      <c r="AW2169" s="2" t="str">
        <f>IF(Registered!AV2169=0,"",IF(Registered!AV2169=1,Registered!AV2169&amp;" Meal",Registered!AV2169&amp;" Meals"))</f>
        <v/>
      </c>
      <c r="AX2169" s="2" t="str">
        <f>IF(Registered!AI2169=0,"",Registered!AI2169&amp;" BG")</f>
        <v/>
      </c>
      <c r="AY2169" s="2" t="str">
        <f>IF(Registered!AG2169=0,"",Registered!AG2169&amp;" DustMask")</f>
        <v/>
      </c>
    </row>
    <row r="2170" spans="1:51" customFormat="1" x14ac:dyDescent="0.25">
      <c r="A2170" t="s">
        <v>3368</v>
      </c>
      <c r="B2170" t="s">
        <v>3369</v>
      </c>
      <c r="C2170" t="s">
        <v>6090</v>
      </c>
      <c r="D2170" t="s">
        <v>3370</v>
      </c>
      <c r="E2170" t="s">
        <v>1056</v>
      </c>
      <c r="F2170" t="s">
        <v>261</v>
      </c>
      <c r="I2170" t="s">
        <v>3371</v>
      </c>
      <c r="J2170" t="s">
        <v>37</v>
      </c>
      <c r="K2170" t="s">
        <v>32</v>
      </c>
      <c r="L2170" t="s">
        <v>35</v>
      </c>
      <c r="Q2170">
        <v>1</v>
      </c>
      <c r="R2170">
        <v>3</v>
      </c>
      <c r="AM2170">
        <v>1</v>
      </c>
      <c r="AN2170">
        <v>25</v>
      </c>
      <c r="AQ2170">
        <v>28</v>
      </c>
      <c r="AR2170" s="3">
        <f t="shared" si="99"/>
        <v>5</v>
      </c>
      <c r="AS2170" s="3">
        <f t="shared" si="100"/>
        <v>1</v>
      </c>
      <c r="AT2170" s="3" t="str">
        <f>IF(OR(Registered!AM2170&gt;0,Registered!AO2170&gt;0),(IF(Registered!E2170=0,"Size Not Specified",Registered!E2170)),"")</f>
        <v>Adult Small</v>
      </c>
      <c r="AU2170" s="3" t="str">
        <f>IF(Registered!AE2170=0,"",IF(Registered!AE2170=1,Registered!AE2170&amp;" Bandana",Registered!AE2170&amp;" Bandanas"))</f>
        <v/>
      </c>
      <c r="AV2170" s="3">
        <f t="shared" si="101"/>
        <v>1</v>
      </c>
      <c r="AW2170" s="2" t="str">
        <f>IF(Registered!AV2170=0,"",IF(Registered!AV2170=1,Registered!AV2170&amp;" Meal",Registered!AV2170&amp;" Meals"))</f>
        <v>1 Meal</v>
      </c>
      <c r="AX2170" s="2" t="str">
        <f>IF(Registered!AI2170=0,"",Registered!AI2170&amp;" BG")</f>
        <v/>
      </c>
      <c r="AY2170" s="2" t="str">
        <f>IF(Registered!AG2170=0,"",Registered!AG2170&amp;" DustMask")</f>
        <v/>
      </c>
    </row>
    <row r="2171" spans="1:51" customFormat="1" x14ac:dyDescent="0.25">
      <c r="A2171" t="s">
        <v>2330</v>
      </c>
      <c r="B2171" t="s">
        <v>459</v>
      </c>
      <c r="C2171" t="s">
        <v>6090</v>
      </c>
      <c r="D2171" t="s">
        <v>1538</v>
      </c>
      <c r="F2171" t="s">
        <v>261</v>
      </c>
      <c r="I2171" t="s">
        <v>2331</v>
      </c>
      <c r="J2171" t="s">
        <v>37</v>
      </c>
      <c r="K2171" t="s">
        <v>32</v>
      </c>
      <c r="L2171" t="s">
        <v>35</v>
      </c>
      <c r="S2171">
        <v>1</v>
      </c>
      <c r="T2171">
        <v>3</v>
      </c>
      <c r="AQ2171">
        <v>3</v>
      </c>
      <c r="AR2171" s="3">
        <f t="shared" si="99"/>
        <v>0</v>
      </c>
      <c r="AS2171" s="3">
        <f t="shared" si="100"/>
        <v>0</v>
      </c>
      <c r="AT2171" s="3" t="str">
        <f>IF(OR(Registered!AM2171&gt;0,Registered!AO2171&gt;0),(IF(Registered!E2171=0,"Size Not Specified",Registered!E2171)),"")</f>
        <v/>
      </c>
      <c r="AU2171" s="3" t="str">
        <f>IF(Registered!AE2171=0,"",IF(Registered!AE2171=1,Registered!AE2171&amp;" Bandana",Registered!AE2171&amp;" Bandanas"))</f>
        <v/>
      </c>
      <c r="AV2171" s="3">
        <f t="shared" si="101"/>
        <v>0</v>
      </c>
      <c r="AW2171" s="2" t="str">
        <f>IF(Registered!AV2171=0,"",IF(Registered!AV2171=1,Registered!AV2171&amp;" Meal",Registered!AV2171&amp;" Meals"))</f>
        <v/>
      </c>
      <c r="AX2171" s="2" t="str">
        <f>IF(Registered!AI2171=0,"",Registered!AI2171&amp;" BG")</f>
        <v/>
      </c>
      <c r="AY2171" s="2" t="str">
        <f>IF(Registered!AG2171=0,"",Registered!AG2171&amp;" DustMask")</f>
        <v/>
      </c>
    </row>
    <row r="2172" spans="1:51" customFormat="1" x14ac:dyDescent="0.25">
      <c r="A2172" t="s">
        <v>222</v>
      </c>
      <c r="B2172" t="s">
        <v>5046</v>
      </c>
      <c r="C2172" t="s">
        <v>6090</v>
      </c>
      <c r="D2172" t="s">
        <v>5645</v>
      </c>
      <c r="E2172" t="s">
        <v>5646</v>
      </c>
      <c r="F2172" t="s">
        <v>261</v>
      </c>
      <c r="I2172" t="s">
        <v>5047</v>
      </c>
      <c r="J2172" t="s">
        <v>37</v>
      </c>
      <c r="K2172" t="s">
        <v>32</v>
      </c>
      <c r="L2172" t="s">
        <v>35</v>
      </c>
      <c r="Q2172">
        <v>2</v>
      </c>
      <c r="R2172">
        <v>3</v>
      </c>
      <c r="AC2172">
        <v>2</v>
      </c>
      <c r="AD2172">
        <v>10</v>
      </c>
      <c r="AO2172">
        <v>2</v>
      </c>
      <c r="AP2172">
        <v>10</v>
      </c>
      <c r="AQ2172">
        <v>46</v>
      </c>
      <c r="AR2172" s="3">
        <f t="shared" si="99"/>
        <v>10</v>
      </c>
      <c r="AS2172" s="3">
        <f t="shared" si="100"/>
        <v>2</v>
      </c>
      <c r="AT2172" s="3" t="str">
        <f>IF(OR(Registered!AM2172&gt;0,Registered!AO2172&gt;0),(IF(Registered!E2172=0,"Size Not Specified",Registered!E2172)),"")</f>
        <v>extra large</v>
      </c>
      <c r="AU2172" s="3" t="str">
        <f>IF(Registered!AE2172=0,"",IF(Registered!AE2172=1,Registered!AE2172&amp;" Bandana",Registered!AE2172&amp;" Bandanas"))</f>
        <v/>
      </c>
      <c r="AV2172" s="3">
        <f t="shared" si="101"/>
        <v>0</v>
      </c>
      <c r="AW2172" s="2" t="str">
        <f>IF(Registered!AV2172=0,"",IF(Registered!AV2172=1,Registered!AV2172&amp;" Meal",Registered!AV2172&amp;" Meals"))</f>
        <v/>
      </c>
      <c r="AX2172" s="2" t="str">
        <f>IF(Registered!AI2172=0,"",Registered!AI2172&amp;" BG")</f>
        <v/>
      </c>
      <c r="AY2172" s="2" t="str">
        <f>IF(Registered!AG2172=0,"",Registered!AG2172&amp;" DustMask")</f>
        <v/>
      </c>
    </row>
    <row r="2173" spans="1:51" customFormat="1" x14ac:dyDescent="0.25">
      <c r="A2173" t="s">
        <v>288</v>
      </c>
      <c r="B2173" t="s">
        <v>202</v>
      </c>
      <c r="C2173" t="s">
        <v>6090</v>
      </c>
      <c r="G2173" t="s">
        <v>47</v>
      </c>
      <c r="H2173" t="s">
        <v>1899</v>
      </c>
      <c r="I2173" t="s">
        <v>1901</v>
      </c>
      <c r="J2173" t="s">
        <v>37</v>
      </c>
      <c r="K2173" t="s">
        <v>32</v>
      </c>
      <c r="L2173" t="s">
        <v>35</v>
      </c>
      <c r="AQ2173">
        <v>0</v>
      </c>
      <c r="AR2173" s="3">
        <f t="shared" si="99"/>
        <v>0</v>
      </c>
      <c r="AS2173" s="3">
        <f t="shared" si="100"/>
        <v>0</v>
      </c>
      <c r="AT2173" s="3" t="str">
        <f>IF(OR(Registered!AM2173&gt;0,Registered!AO2173&gt;0),(IF(Registered!E2173=0,"Size Not Specified",Registered!E2173)),"")</f>
        <v/>
      </c>
      <c r="AU2173" s="3" t="str">
        <f>IF(Registered!AE2173=0,"",IF(Registered!AE2173=1,Registered!AE2173&amp;" Bandana",Registered!AE2173&amp;" Bandanas"))</f>
        <v/>
      </c>
      <c r="AV2173" s="3">
        <f t="shared" si="101"/>
        <v>0</v>
      </c>
      <c r="AW2173" s="2" t="str">
        <f>IF(Registered!AV2173=0,"",IF(Registered!AV2173=1,Registered!AV2173&amp;" Meal",Registered!AV2173&amp;" Meals"))</f>
        <v/>
      </c>
      <c r="AX2173" s="2" t="str">
        <f>IF(Registered!AI2173=0,"",Registered!AI2173&amp;" BG")</f>
        <v/>
      </c>
      <c r="AY2173" s="2" t="str">
        <f>IF(Registered!AG2173=0,"",Registered!AG2173&amp;" DustMask")</f>
        <v/>
      </c>
    </row>
    <row r="2174" spans="1:51" customFormat="1" x14ac:dyDescent="0.25">
      <c r="A2174" t="s">
        <v>2510</v>
      </c>
      <c r="B2174" t="s">
        <v>202</v>
      </c>
      <c r="C2174" t="s">
        <v>6090</v>
      </c>
      <c r="G2174" t="s">
        <v>4104</v>
      </c>
      <c r="H2174" t="s">
        <v>129</v>
      </c>
      <c r="I2174" t="s">
        <v>4107</v>
      </c>
      <c r="J2174" t="s">
        <v>37</v>
      </c>
      <c r="K2174" t="s">
        <v>32</v>
      </c>
      <c r="L2174" t="s">
        <v>35</v>
      </c>
      <c r="AQ2174">
        <v>0</v>
      </c>
      <c r="AR2174" s="3">
        <f t="shared" si="99"/>
        <v>0</v>
      </c>
      <c r="AS2174" s="3">
        <f t="shared" si="100"/>
        <v>0</v>
      </c>
      <c r="AT2174" s="3" t="str">
        <f>IF(OR(Registered!AM2174&gt;0,Registered!AO2174&gt;0),(IF(Registered!E2174=0,"Size Not Specified",Registered!E2174)),"")</f>
        <v/>
      </c>
      <c r="AU2174" s="3" t="str">
        <f>IF(Registered!AE2174=0,"",IF(Registered!AE2174=1,Registered!AE2174&amp;" Bandana",Registered!AE2174&amp;" Bandanas"))</f>
        <v/>
      </c>
      <c r="AV2174" s="3">
        <f t="shared" si="101"/>
        <v>0</v>
      </c>
      <c r="AW2174" s="2" t="str">
        <f>IF(Registered!AV2174=0,"",IF(Registered!AV2174=1,Registered!AV2174&amp;" Meal",Registered!AV2174&amp;" Meals"))</f>
        <v/>
      </c>
      <c r="AX2174" s="2" t="str">
        <f>IF(Registered!AI2174=0,"",Registered!AI2174&amp;" BG")</f>
        <v/>
      </c>
      <c r="AY2174" s="2" t="str">
        <f>IF(Registered!AG2174=0,"",Registered!AG2174&amp;" DustMask")</f>
        <v/>
      </c>
    </row>
    <row r="2175" spans="1:51" customFormat="1" x14ac:dyDescent="0.25">
      <c r="A2175" t="s">
        <v>707</v>
      </c>
      <c r="B2175" t="s">
        <v>202</v>
      </c>
      <c r="C2175" t="s">
        <v>6090</v>
      </c>
      <c r="G2175" t="s">
        <v>149</v>
      </c>
      <c r="H2175" t="s">
        <v>309</v>
      </c>
      <c r="I2175" t="s">
        <v>3372</v>
      </c>
      <c r="J2175" t="s">
        <v>37</v>
      </c>
      <c r="K2175" t="s">
        <v>32</v>
      </c>
      <c r="L2175" t="s">
        <v>35</v>
      </c>
      <c r="AQ2175">
        <v>0</v>
      </c>
      <c r="AR2175" s="3">
        <f t="shared" si="99"/>
        <v>0</v>
      </c>
      <c r="AS2175" s="3">
        <f t="shared" si="100"/>
        <v>0</v>
      </c>
      <c r="AT2175" s="3" t="str">
        <f>IF(OR(Registered!AM2175&gt;0,Registered!AO2175&gt;0),(IF(Registered!E2175=0,"Size Not Specified",Registered!E2175)),"")</f>
        <v/>
      </c>
      <c r="AU2175" s="3" t="str">
        <f>IF(Registered!AE2175=0,"",IF(Registered!AE2175=1,Registered!AE2175&amp;" Bandana",Registered!AE2175&amp;" Bandanas"))</f>
        <v/>
      </c>
      <c r="AV2175" s="3">
        <f t="shared" si="101"/>
        <v>0</v>
      </c>
      <c r="AW2175" s="2" t="str">
        <f>IF(Registered!AV2175=0,"",IF(Registered!AV2175=1,Registered!AV2175&amp;" Meal",Registered!AV2175&amp;" Meals"))</f>
        <v/>
      </c>
      <c r="AX2175" s="2" t="str">
        <f>IF(Registered!AI2175=0,"",Registered!AI2175&amp;" BG")</f>
        <v/>
      </c>
      <c r="AY2175" s="2" t="str">
        <f>IF(Registered!AG2175=0,"",Registered!AG2175&amp;" DustMask")</f>
        <v/>
      </c>
    </row>
    <row r="2176" spans="1:51" customFormat="1" x14ac:dyDescent="0.25">
      <c r="A2176" t="s">
        <v>1904</v>
      </c>
      <c r="B2176" t="s">
        <v>202</v>
      </c>
      <c r="C2176" t="s">
        <v>6090</v>
      </c>
      <c r="G2176" t="s">
        <v>149</v>
      </c>
      <c r="H2176" t="s">
        <v>309</v>
      </c>
      <c r="I2176" t="s">
        <v>3372</v>
      </c>
      <c r="J2176" t="s">
        <v>37</v>
      </c>
      <c r="K2176" t="s">
        <v>32</v>
      </c>
      <c r="L2176" t="s">
        <v>35</v>
      </c>
      <c r="AQ2176">
        <v>0</v>
      </c>
      <c r="AR2176" s="3">
        <f t="shared" si="99"/>
        <v>0</v>
      </c>
      <c r="AS2176" s="3">
        <f t="shared" si="100"/>
        <v>0</v>
      </c>
      <c r="AT2176" s="3" t="str">
        <f>IF(OR(Registered!AM2176&gt;0,Registered!AO2176&gt;0),(IF(Registered!E2176=0,"Size Not Specified",Registered!E2176)),"")</f>
        <v/>
      </c>
      <c r="AU2176" s="3" t="str">
        <f>IF(Registered!AE2176=0,"",IF(Registered!AE2176=1,Registered!AE2176&amp;" Bandana",Registered!AE2176&amp;" Bandanas"))</f>
        <v/>
      </c>
      <c r="AV2176" s="3">
        <f t="shared" si="101"/>
        <v>0</v>
      </c>
      <c r="AW2176" s="2" t="str">
        <f>IF(Registered!AV2176=0,"",IF(Registered!AV2176=1,Registered!AV2176&amp;" Meal",Registered!AV2176&amp;" Meals"))</f>
        <v/>
      </c>
      <c r="AX2176" s="2" t="str">
        <f>IF(Registered!AI2176=0,"",Registered!AI2176&amp;" BG")</f>
        <v/>
      </c>
      <c r="AY2176" s="2" t="str">
        <f>IF(Registered!AG2176=0,"",Registered!AG2176&amp;" DustMask")</f>
        <v/>
      </c>
    </row>
    <row r="2177" spans="1:51" customFormat="1" x14ac:dyDescent="0.25">
      <c r="A2177" t="s">
        <v>3317</v>
      </c>
      <c r="B2177" t="s">
        <v>3318</v>
      </c>
      <c r="C2177" t="s">
        <v>6090</v>
      </c>
      <c r="D2177" t="s">
        <v>3373</v>
      </c>
      <c r="F2177" t="s">
        <v>261</v>
      </c>
      <c r="I2177" t="s">
        <v>3319</v>
      </c>
      <c r="J2177" t="s">
        <v>37</v>
      </c>
      <c r="K2177" t="s">
        <v>32</v>
      </c>
      <c r="L2177" t="s">
        <v>35</v>
      </c>
      <c r="Q2177">
        <v>2</v>
      </c>
      <c r="R2177">
        <v>3</v>
      </c>
      <c r="AC2177">
        <v>2</v>
      </c>
      <c r="AD2177">
        <v>10</v>
      </c>
      <c r="AQ2177">
        <v>26</v>
      </c>
      <c r="AR2177" s="3">
        <f t="shared" si="99"/>
        <v>10</v>
      </c>
      <c r="AS2177" s="3">
        <f t="shared" si="100"/>
        <v>0</v>
      </c>
      <c r="AT2177" s="3" t="str">
        <f>IF(OR(Registered!AM2177&gt;0,Registered!AO2177&gt;0),(IF(Registered!E2177=0,"Size Not Specified",Registered!E2177)),"")</f>
        <v/>
      </c>
      <c r="AU2177" s="3" t="str">
        <f>IF(Registered!AE2177=0,"",IF(Registered!AE2177=1,Registered!AE2177&amp;" Bandana",Registered!AE2177&amp;" Bandanas"))</f>
        <v/>
      </c>
      <c r="AV2177" s="3">
        <f t="shared" si="101"/>
        <v>0</v>
      </c>
      <c r="AW2177" s="2" t="str">
        <f>IF(Registered!AV2177=0,"",IF(Registered!AV2177=1,Registered!AV2177&amp;" Meal",Registered!AV2177&amp;" Meals"))</f>
        <v/>
      </c>
      <c r="AX2177" s="2" t="str">
        <f>IF(Registered!AI2177=0,"",Registered!AI2177&amp;" BG")</f>
        <v/>
      </c>
      <c r="AY2177" s="2" t="str">
        <f>IF(Registered!AG2177=0,"",Registered!AG2177&amp;" DustMask")</f>
        <v/>
      </c>
    </row>
    <row r="2178" spans="1:51" customFormat="1" x14ac:dyDescent="0.25">
      <c r="A2178" t="s">
        <v>3374</v>
      </c>
      <c r="B2178" t="s">
        <v>3375</v>
      </c>
      <c r="C2178" t="s">
        <v>6090</v>
      </c>
      <c r="D2178" t="s">
        <v>3376</v>
      </c>
      <c r="E2178" t="s">
        <v>67</v>
      </c>
      <c r="F2178" t="s">
        <v>261</v>
      </c>
      <c r="I2178" t="s">
        <v>3377</v>
      </c>
      <c r="J2178" t="s">
        <v>37</v>
      </c>
      <c r="K2178" t="s">
        <v>32</v>
      </c>
      <c r="L2178" t="s">
        <v>35</v>
      </c>
      <c r="Q2178">
        <v>1</v>
      </c>
      <c r="R2178">
        <v>3</v>
      </c>
      <c r="AC2178">
        <v>1</v>
      </c>
      <c r="AD2178">
        <v>10</v>
      </c>
      <c r="AQ2178">
        <v>13</v>
      </c>
      <c r="AR2178" s="3">
        <f t="shared" ref="AR2178:AR2241" si="102">IF(ISTEXT(AM2178)=TRUE,"",SUM(U2178*10,W2178*20,Y2178*30,AA2178*40,AC2178*5,AM2178*5))</f>
        <v>5</v>
      </c>
      <c r="AS2178" s="3">
        <f t="shared" ref="AS2178:AS2241" si="103">IF(ISTEXT(AM2178)=TRUE,"",SUM(AM2178,AO2178))</f>
        <v>0</v>
      </c>
      <c r="AT2178" s="3" t="str">
        <f>IF(OR(Registered!AM2178&gt;0,Registered!AO2178&gt;0),(IF(Registered!E2178=0,"Size Not Specified",Registered!E2178)),"")</f>
        <v/>
      </c>
      <c r="AU2178" s="3" t="str">
        <f>IF(Registered!AE2178=0,"",IF(Registered!AE2178=1,Registered!AE2178&amp;" Bandana",Registered!AE2178&amp;" Bandanas"))</f>
        <v/>
      </c>
      <c r="AV2178" s="3">
        <f t="shared" ref="AV2178:AV2241" si="104">IF(ISTEXT(AM2178)=TRUE,"",SUM(AM2178,AK2178))</f>
        <v>0</v>
      </c>
      <c r="AW2178" s="2" t="str">
        <f>IF(Registered!AV2178=0,"",IF(Registered!AV2178=1,Registered!AV2178&amp;" Meal",Registered!AV2178&amp;" Meals"))</f>
        <v/>
      </c>
      <c r="AX2178" s="2" t="str">
        <f>IF(Registered!AI2178=0,"",Registered!AI2178&amp;" BG")</f>
        <v/>
      </c>
      <c r="AY2178" s="2" t="str">
        <f>IF(Registered!AG2178=0,"",Registered!AG2178&amp;" DustMask")</f>
        <v/>
      </c>
    </row>
    <row r="2179" spans="1:51" customFormat="1" x14ac:dyDescent="0.25">
      <c r="A2179" t="s">
        <v>116</v>
      </c>
      <c r="B2179" t="s">
        <v>1804</v>
      </c>
      <c r="C2179" t="s">
        <v>6090</v>
      </c>
      <c r="D2179" t="s">
        <v>2332</v>
      </c>
      <c r="F2179" t="s">
        <v>261</v>
      </c>
      <c r="I2179" t="s">
        <v>1805</v>
      </c>
      <c r="J2179" t="s">
        <v>37</v>
      </c>
      <c r="K2179" t="s">
        <v>32</v>
      </c>
      <c r="L2179" t="s">
        <v>35</v>
      </c>
      <c r="Q2179">
        <v>2</v>
      </c>
      <c r="R2179">
        <v>3</v>
      </c>
      <c r="U2179">
        <v>1</v>
      </c>
      <c r="V2179">
        <v>20</v>
      </c>
      <c r="AQ2179">
        <v>26</v>
      </c>
      <c r="AR2179" s="3">
        <f t="shared" si="102"/>
        <v>10</v>
      </c>
      <c r="AS2179" s="3">
        <f t="shared" si="103"/>
        <v>0</v>
      </c>
      <c r="AT2179" s="3" t="str">
        <f>IF(OR(Registered!AM2179&gt;0,Registered!AO2179&gt;0),(IF(Registered!E2179=0,"Size Not Specified",Registered!E2179)),"")</f>
        <v/>
      </c>
      <c r="AU2179" s="3" t="str">
        <f>IF(Registered!AE2179=0,"",IF(Registered!AE2179=1,Registered!AE2179&amp;" Bandana",Registered!AE2179&amp;" Bandanas"))</f>
        <v/>
      </c>
      <c r="AV2179" s="3">
        <f t="shared" si="104"/>
        <v>0</v>
      </c>
      <c r="AW2179" s="2" t="str">
        <f>IF(Registered!AV2179=0,"",IF(Registered!AV2179=1,Registered!AV2179&amp;" Meal",Registered!AV2179&amp;" Meals"))</f>
        <v/>
      </c>
      <c r="AX2179" s="2" t="str">
        <f>IF(Registered!AI2179=0,"",Registered!AI2179&amp;" BG")</f>
        <v/>
      </c>
      <c r="AY2179" s="2" t="str">
        <f>IF(Registered!AG2179=0,"",Registered!AG2179&amp;" DustMask")</f>
        <v/>
      </c>
    </row>
    <row r="2180" spans="1:51" customFormat="1" x14ac:dyDescent="0.25">
      <c r="A2180" t="s">
        <v>215</v>
      </c>
      <c r="B2180" t="s">
        <v>5647</v>
      </c>
      <c r="C2180" t="s">
        <v>6090</v>
      </c>
      <c r="D2180" t="s">
        <v>5648</v>
      </c>
      <c r="F2180" t="s">
        <v>261</v>
      </c>
      <c r="I2180" t="s">
        <v>5649</v>
      </c>
      <c r="J2180" t="s">
        <v>37</v>
      </c>
      <c r="K2180" t="s">
        <v>32</v>
      </c>
      <c r="L2180" t="s">
        <v>35</v>
      </c>
      <c r="Q2180">
        <v>1</v>
      </c>
      <c r="R2180">
        <v>3</v>
      </c>
      <c r="U2180">
        <v>1</v>
      </c>
      <c r="V2180">
        <v>20</v>
      </c>
      <c r="AE2180">
        <v>1</v>
      </c>
      <c r="AF2180">
        <v>6</v>
      </c>
      <c r="AQ2180">
        <v>29</v>
      </c>
      <c r="AR2180" s="3">
        <f t="shared" si="102"/>
        <v>10</v>
      </c>
      <c r="AS2180" s="3">
        <f t="shared" si="103"/>
        <v>0</v>
      </c>
      <c r="AT2180" s="3" t="str">
        <f>IF(OR(Registered!AM2180&gt;0,Registered!AO2180&gt;0),(IF(Registered!E2180=0,"Size Not Specified",Registered!E2180)),"")</f>
        <v/>
      </c>
      <c r="AU2180" s="3" t="str">
        <f>IF(Registered!AE2180=0,"",IF(Registered!AE2180=1,Registered!AE2180&amp;" Bandana",Registered!AE2180&amp;" Bandanas"))</f>
        <v>1 Bandana</v>
      </c>
      <c r="AV2180" s="3">
        <f t="shared" si="104"/>
        <v>0</v>
      </c>
      <c r="AW2180" s="2" t="str">
        <f>IF(Registered!AV2180=0,"",IF(Registered!AV2180=1,Registered!AV2180&amp;" Meal",Registered!AV2180&amp;" Meals"))</f>
        <v/>
      </c>
      <c r="AX2180" s="2" t="str">
        <f>IF(Registered!AI2180=0,"",Registered!AI2180&amp;" BG")</f>
        <v/>
      </c>
      <c r="AY2180" s="2" t="str">
        <f>IF(Registered!AG2180=0,"",Registered!AG2180&amp;" DustMask")</f>
        <v/>
      </c>
    </row>
    <row r="2181" spans="1:51" customFormat="1" x14ac:dyDescent="0.25">
      <c r="A2181" t="s">
        <v>5650</v>
      </c>
      <c r="B2181" t="s">
        <v>5651</v>
      </c>
      <c r="C2181" t="s">
        <v>6090</v>
      </c>
      <c r="G2181" t="s">
        <v>3703</v>
      </c>
      <c r="H2181" t="s">
        <v>3702</v>
      </c>
      <c r="I2181" t="s">
        <v>3704</v>
      </c>
      <c r="J2181" t="s">
        <v>37</v>
      </c>
      <c r="K2181" t="s">
        <v>32</v>
      </c>
      <c r="L2181" t="s">
        <v>35</v>
      </c>
      <c r="AQ2181">
        <v>0</v>
      </c>
      <c r="AR2181" s="3">
        <f t="shared" si="102"/>
        <v>0</v>
      </c>
      <c r="AS2181" s="3">
        <f t="shared" si="103"/>
        <v>0</v>
      </c>
      <c r="AT2181" s="3" t="str">
        <f>IF(OR(Registered!AM2181&gt;0,Registered!AO2181&gt;0),(IF(Registered!E2181=0,"Size Not Specified",Registered!E2181)),"")</f>
        <v/>
      </c>
      <c r="AU2181" s="3" t="str">
        <f>IF(Registered!AE2181=0,"",IF(Registered!AE2181=1,Registered!AE2181&amp;" Bandana",Registered!AE2181&amp;" Bandanas"))</f>
        <v/>
      </c>
      <c r="AV2181" s="3">
        <f t="shared" si="104"/>
        <v>0</v>
      </c>
      <c r="AW2181" s="2" t="str">
        <f>IF(Registered!AV2181=0,"",IF(Registered!AV2181=1,Registered!AV2181&amp;" Meal",Registered!AV2181&amp;" Meals"))</f>
        <v/>
      </c>
      <c r="AX2181" s="2" t="str">
        <f>IF(Registered!AI2181=0,"",Registered!AI2181&amp;" BG")</f>
        <v/>
      </c>
      <c r="AY2181" s="2" t="str">
        <f>IF(Registered!AG2181=0,"",Registered!AG2181&amp;" DustMask")</f>
        <v/>
      </c>
    </row>
    <row r="2182" spans="1:51" customFormat="1" x14ac:dyDescent="0.25">
      <c r="A2182" t="s">
        <v>2333</v>
      </c>
      <c r="B2182" t="s">
        <v>2334</v>
      </c>
      <c r="C2182" t="s">
        <v>6090</v>
      </c>
      <c r="G2182" t="s">
        <v>413</v>
      </c>
      <c r="H2182" t="s">
        <v>2287</v>
      </c>
      <c r="I2182" t="s">
        <v>2289</v>
      </c>
      <c r="J2182" t="s">
        <v>37</v>
      </c>
      <c r="K2182" t="s">
        <v>32</v>
      </c>
      <c r="L2182" t="s">
        <v>35</v>
      </c>
      <c r="AQ2182">
        <v>0</v>
      </c>
      <c r="AR2182" s="3">
        <f t="shared" si="102"/>
        <v>0</v>
      </c>
      <c r="AS2182" s="3">
        <f t="shared" si="103"/>
        <v>0</v>
      </c>
      <c r="AT2182" s="3" t="str">
        <f>IF(OR(Registered!AM2182&gt;0,Registered!AO2182&gt;0),(IF(Registered!E2182=0,"Size Not Specified",Registered!E2182)),"")</f>
        <v/>
      </c>
      <c r="AU2182" s="3" t="str">
        <f>IF(Registered!AE2182=0,"",IF(Registered!AE2182=1,Registered!AE2182&amp;" Bandana",Registered!AE2182&amp;" Bandanas"))</f>
        <v/>
      </c>
      <c r="AV2182" s="3">
        <f t="shared" si="104"/>
        <v>0</v>
      </c>
      <c r="AW2182" s="2" t="str">
        <f>IF(Registered!AV2182=0,"",IF(Registered!AV2182=1,Registered!AV2182&amp;" Meal",Registered!AV2182&amp;" Meals"))</f>
        <v/>
      </c>
      <c r="AX2182" s="2" t="str">
        <f>IF(Registered!AI2182=0,"",Registered!AI2182&amp;" BG")</f>
        <v/>
      </c>
      <c r="AY2182" s="2" t="str">
        <f>IF(Registered!AG2182=0,"",Registered!AG2182&amp;" DustMask")</f>
        <v/>
      </c>
    </row>
    <row r="2183" spans="1:51" customFormat="1" x14ac:dyDescent="0.25">
      <c r="A2183" t="s">
        <v>352</v>
      </c>
      <c r="B2183" t="s">
        <v>2335</v>
      </c>
      <c r="C2183" t="s">
        <v>6090</v>
      </c>
      <c r="D2183" t="s">
        <v>2336</v>
      </c>
      <c r="I2183" t="s">
        <v>2337</v>
      </c>
      <c r="J2183" t="s">
        <v>37</v>
      </c>
      <c r="K2183" t="s">
        <v>32</v>
      </c>
      <c r="L2183" t="s">
        <v>35</v>
      </c>
      <c r="O2183">
        <v>2</v>
      </c>
      <c r="P2183">
        <v>3</v>
      </c>
      <c r="U2183">
        <v>1</v>
      </c>
      <c r="V2183">
        <v>20</v>
      </c>
      <c r="AQ2183">
        <v>26</v>
      </c>
      <c r="AR2183" s="3">
        <f t="shared" si="102"/>
        <v>10</v>
      </c>
      <c r="AS2183" s="3">
        <f t="shared" si="103"/>
        <v>0</v>
      </c>
      <c r="AT2183" s="3" t="str">
        <f>IF(OR(Registered!AM2183&gt;0,Registered!AO2183&gt;0),(IF(Registered!E2183=0,"Size Not Specified",Registered!E2183)),"")</f>
        <v/>
      </c>
      <c r="AU2183" s="3" t="str">
        <f>IF(Registered!AE2183=0,"",IF(Registered!AE2183=1,Registered!AE2183&amp;" Bandana",Registered!AE2183&amp;" Bandanas"))</f>
        <v/>
      </c>
      <c r="AV2183" s="3">
        <f t="shared" si="104"/>
        <v>0</v>
      </c>
      <c r="AW2183" s="2" t="str">
        <f>IF(Registered!AV2183=0,"",IF(Registered!AV2183=1,Registered!AV2183&amp;" Meal",Registered!AV2183&amp;" Meals"))</f>
        <v/>
      </c>
      <c r="AX2183" s="2" t="str">
        <f>IF(Registered!AI2183=0,"",Registered!AI2183&amp;" BG")</f>
        <v/>
      </c>
      <c r="AY2183" s="2" t="str">
        <f>IF(Registered!AG2183=0,"",Registered!AG2183&amp;" DustMask")</f>
        <v/>
      </c>
    </row>
    <row r="2184" spans="1:51" customFormat="1" x14ac:dyDescent="0.25">
      <c r="A2184" t="s">
        <v>2338</v>
      </c>
      <c r="B2184" t="s">
        <v>2335</v>
      </c>
      <c r="C2184" t="s">
        <v>6090</v>
      </c>
      <c r="D2184" t="s">
        <v>2339</v>
      </c>
      <c r="F2184" t="s">
        <v>261</v>
      </c>
      <c r="I2184" t="s">
        <v>2340</v>
      </c>
      <c r="J2184" t="s">
        <v>37</v>
      </c>
      <c r="K2184" t="s">
        <v>32</v>
      </c>
      <c r="L2184" t="s">
        <v>35</v>
      </c>
      <c r="S2184">
        <v>1</v>
      </c>
      <c r="T2184">
        <v>3</v>
      </c>
      <c r="Y2184">
        <v>1</v>
      </c>
      <c r="Z2184">
        <v>60</v>
      </c>
      <c r="AQ2184">
        <v>63</v>
      </c>
      <c r="AR2184" s="3">
        <f t="shared" si="102"/>
        <v>30</v>
      </c>
      <c r="AS2184" s="3">
        <f t="shared" si="103"/>
        <v>0</v>
      </c>
      <c r="AT2184" s="3" t="str">
        <f>IF(OR(Registered!AM2184&gt;0,Registered!AO2184&gt;0),(IF(Registered!E2184=0,"Size Not Specified",Registered!E2184)),"")</f>
        <v/>
      </c>
      <c r="AU2184" s="3" t="str">
        <f>IF(Registered!AE2184=0,"",IF(Registered!AE2184=1,Registered!AE2184&amp;" Bandana",Registered!AE2184&amp;" Bandanas"))</f>
        <v/>
      </c>
      <c r="AV2184" s="3">
        <f t="shared" si="104"/>
        <v>0</v>
      </c>
      <c r="AW2184" s="2" t="str">
        <f>IF(Registered!AV2184=0,"",IF(Registered!AV2184=1,Registered!AV2184&amp;" Meal",Registered!AV2184&amp;" Meals"))</f>
        <v/>
      </c>
      <c r="AX2184" s="2" t="str">
        <f>IF(Registered!AI2184=0,"",Registered!AI2184&amp;" BG")</f>
        <v/>
      </c>
      <c r="AY2184" s="2" t="str">
        <f>IF(Registered!AG2184=0,"",Registered!AG2184&amp;" DustMask")</f>
        <v/>
      </c>
    </row>
    <row r="2185" spans="1:51" customFormat="1" x14ac:dyDescent="0.25">
      <c r="A2185" t="s">
        <v>75</v>
      </c>
      <c r="B2185" t="s">
        <v>2335</v>
      </c>
      <c r="C2185" t="s">
        <v>6090</v>
      </c>
      <c r="G2185" t="s">
        <v>352</v>
      </c>
      <c r="H2185" t="s">
        <v>2335</v>
      </c>
      <c r="I2185" t="s">
        <v>2337</v>
      </c>
      <c r="J2185" t="s">
        <v>37</v>
      </c>
      <c r="K2185" t="s">
        <v>32</v>
      </c>
      <c r="L2185" t="s">
        <v>35</v>
      </c>
      <c r="AQ2185">
        <v>0</v>
      </c>
      <c r="AR2185" s="3">
        <f t="shared" si="102"/>
        <v>0</v>
      </c>
      <c r="AS2185" s="3">
        <f t="shared" si="103"/>
        <v>0</v>
      </c>
      <c r="AT2185" s="3" t="str">
        <f>IF(OR(Registered!AM2185&gt;0,Registered!AO2185&gt;0),(IF(Registered!E2185=0,"Size Not Specified",Registered!E2185)),"")</f>
        <v/>
      </c>
      <c r="AU2185" s="3" t="str">
        <f>IF(Registered!AE2185=0,"",IF(Registered!AE2185=1,Registered!AE2185&amp;" Bandana",Registered!AE2185&amp;" Bandanas"))</f>
        <v/>
      </c>
      <c r="AV2185" s="3">
        <f t="shared" si="104"/>
        <v>0</v>
      </c>
      <c r="AW2185" s="2" t="str">
        <f>IF(Registered!AV2185=0,"",IF(Registered!AV2185=1,Registered!AV2185&amp;" Meal",Registered!AV2185&amp;" Meals"))</f>
        <v/>
      </c>
      <c r="AX2185" s="2" t="str">
        <f>IF(Registered!AI2185=0,"",Registered!AI2185&amp;" BG")</f>
        <v/>
      </c>
      <c r="AY2185" s="2" t="str">
        <f>IF(Registered!AG2185=0,"",Registered!AG2185&amp;" DustMask")</f>
        <v/>
      </c>
    </row>
    <row r="2186" spans="1:51" customFormat="1" x14ac:dyDescent="0.25">
      <c r="A2186" t="s">
        <v>208</v>
      </c>
      <c r="B2186" t="s">
        <v>985</v>
      </c>
      <c r="C2186" t="s">
        <v>6090</v>
      </c>
      <c r="G2186" t="s">
        <v>434</v>
      </c>
      <c r="H2186" t="s">
        <v>985</v>
      </c>
      <c r="I2186" t="s">
        <v>986</v>
      </c>
      <c r="J2186" t="s">
        <v>37</v>
      </c>
      <c r="K2186" t="s">
        <v>32</v>
      </c>
      <c r="L2186" t="s">
        <v>35</v>
      </c>
      <c r="AQ2186">
        <v>0</v>
      </c>
      <c r="AR2186" s="3">
        <f t="shared" si="102"/>
        <v>0</v>
      </c>
      <c r="AS2186" s="3">
        <f t="shared" si="103"/>
        <v>0</v>
      </c>
      <c r="AT2186" s="3" t="str">
        <f>IF(OR(Registered!AM2186&gt;0,Registered!AO2186&gt;0),(IF(Registered!E2186=0,"Size Not Specified",Registered!E2186)),"")</f>
        <v/>
      </c>
      <c r="AU2186" s="3" t="str">
        <f>IF(Registered!AE2186=0,"",IF(Registered!AE2186=1,Registered!AE2186&amp;" Bandana",Registered!AE2186&amp;" Bandanas"))</f>
        <v/>
      </c>
      <c r="AV2186" s="3">
        <f t="shared" si="104"/>
        <v>0</v>
      </c>
      <c r="AW2186" s="2" t="str">
        <f>IF(Registered!AV2186=0,"",IF(Registered!AV2186=1,Registered!AV2186&amp;" Meal",Registered!AV2186&amp;" Meals"))</f>
        <v/>
      </c>
      <c r="AX2186" s="2" t="str">
        <f>IF(Registered!AI2186=0,"",Registered!AI2186&amp;" BG")</f>
        <v/>
      </c>
      <c r="AY2186" s="2" t="str">
        <f>IF(Registered!AG2186=0,"",Registered!AG2186&amp;" DustMask")</f>
        <v/>
      </c>
    </row>
    <row r="2187" spans="1:51" customFormat="1" x14ac:dyDescent="0.25">
      <c r="A2187" t="s">
        <v>2341</v>
      </c>
      <c r="B2187" t="s">
        <v>985</v>
      </c>
      <c r="C2187" t="s">
        <v>6090</v>
      </c>
      <c r="G2187" t="s">
        <v>434</v>
      </c>
      <c r="H2187" t="s">
        <v>985</v>
      </c>
      <c r="I2187" t="s">
        <v>986</v>
      </c>
      <c r="J2187" t="s">
        <v>37</v>
      </c>
      <c r="K2187" t="s">
        <v>32</v>
      </c>
      <c r="L2187" t="s">
        <v>35</v>
      </c>
      <c r="AQ2187">
        <v>0</v>
      </c>
      <c r="AR2187" s="3">
        <f t="shared" si="102"/>
        <v>0</v>
      </c>
      <c r="AS2187" s="3">
        <f t="shared" si="103"/>
        <v>0</v>
      </c>
      <c r="AT2187" s="3" t="str">
        <f>IF(OR(Registered!AM2187&gt;0,Registered!AO2187&gt;0),(IF(Registered!E2187=0,"Size Not Specified",Registered!E2187)),"")</f>
        <v/>
      </c>
      <c r="AU2187" s="3" t="str">
        <f>IF(Registered!AE2187=0,"",IF(Registered!AE2187=1,Registered!AE2187&amp;" Bandana",Registered!AE2187&amp;" Bandanas"))</f>
        <v/>
      </c>
      <c r="AV2187" s="3">
        <f t="shared" si="104"/>
        <v>0</v>
      </c>
      <c r="AW2187" s="2" t="str">
        <f>IF(Registered!AV2187=0,"",IF(Registered!AV2187=1,Registered!AV2187&amp;" Meal",Registered!AV2187&amp;" Meals"))</f>
        <v/>
      </c>
      <c r="AX2187" s="2" t="str">
        <f>IF(Registered!AI2187=0,"",Registered!AI2187&amp;" BG")</f>
        <v/>
      </c>
      <c r="AY2187" s="2" t="str">
        <f>IF(Registered!AG2187=0,"",Registered!AG2187&amp;" DustMask")</f>
        <v/>
      </c>
    </row>
    <row r="2188" spans="1:51" customFormat="1" x14ac:dyDescent="0.25">
      <c r="A2188" t="s">
        <v>434</v>
      </c>
      <c r="B2188" t="s">
        <v>985</v>
      </c>
      <c r="C2188" t="s">
        <v>6090</v>
      </c>
      <c r="D2188" t="s">
        <v>2342</v>
      </c>
      <c r="E2188" t="s">
        <v>53</v>
      </c>
      <c r="I2188" t="s">
        <v>986</v>
      </c>
      <c r="J2188" t="s">
        <v>37</v>
      </c>
      <c r="K2188" t="s">
        <v>32</v>
      </c>
      <c r="L2188" t="s">
        <v>35</v>
      </c>
      <c r="S2188">
        <v>5</v>
      </c>
      <c r="T2188">
        <v>3</v>
      </c>
      <c r="U2188">
        <v>1</v>
      </c>
      <c r="V2188">
        <v>20</v>
      </c>
      <c r="AE2188">
        <v>3</v>
      </c>
      <c r="AF2188">
        <v>6</v>
      </c>
      <c r="AQ2188">
        <v>53</v>
      </c>
      <c r="AR2188" s="3">
        <f t="shared" si="102"/>
        <v>10</v>
      </c>
      <c r="AS2188" s="3">
        <f t="shared" si="103"/>
        <v>0</v>
      </c>
      <c r="AT2188" s="3" t="str">
        <f>IF(OR(Registered!AM2188&gt;0,Registered!AO2188&gt;0),(IF(Registered!E2188=0,"Size Not Specified",Registered!E2188)),"")</f>
        <v/>
      </c>
      <c r="AU2188" s="3" t="str">
        <f>IF(Registered!AE2188=0,"",IF(Registered!AE2188=1,Registered!AE2188&amp;" Bandana",Registered!AE2188&amp;" Bandanas"))</f>
        <v>3 Bandanas</v>
      </c>
      <c r="AV2188" s="3">
        <f t="shared" si="104"/>
        <v>0</v>
      </c>
      <c r="AW2188" s="2" t="str">
        <f>IF(Registered!AV2188=0,"",IF(Registered!AV2188=1,Registered!AV2188&amp;" Meal",Registered!AV2188&amp;" Meals"))</f>
        <v/>
      </c>
      <c r="AX2188" s="2" t="str">
        <f>IF(Registered!AI2188=0,"",Registered!AI2188&amp;" BG")</f>
        <v/>
      </c>
      <c r="AY2188" s="2" t="str">
        <f>IF(Registered!AG2188=0,"",Registered!AG2188&amp;" DustMask")</f>
        <v/>
      </c>
    </row>
    <row r="2189" spans="1:51" customFormat="1" x14ac:dyDescent="0.25">
      <c r="A2189" t="s">
        <v>210</v>
      </c>
      <c r="B2189" t="s">
        <v>985</v>
      </c>
      <c r="C2189" t="s">
        <v>6090</v>
      </c>
      <c r="D2189" t="s">
        <v>2343</v>
      </c>
      <c r="F2189" t="s">
        <v>261</v>
      </c>
      <c r="I2189" t="s">
        <v>2263</v>
      </c>
      <c r="J2189" t="s">
        <v>37</v>
      </c>
      <c r="K2189" t="s">
        <v>32</v>
      </c>
      <c r="L2189" t="s">
        <v>35</v>
      </c>
      <c r="S2189">
        <v>2</v>
      </c>
      <c r="T2189">
        <v>3</v>
      </c>
      <c r="U2189">
        <v>1</v>
      </c>
      <c r="V2189">
        <v>20</v>
      </c>
      <c r="AQ2189">
        <v>26</v>
      </c>
      <c r="AR2189" s="3">
        <f t="shared" si="102"/>
        <v>10</v>
      </c>
      <c r="AS2189" s="3">
        <f t="shared" si="103"/>
        <v>0</v>
      </c>
      <c r="AT2189" s="3" t="str">
        <f>IF(OR(Registered!AM2189&gt;0,Registered!AO2189&gt;0),(IF(Registered!E2189=0,"Size Not Specified",Registered!E2189)),"")</f>
        <v/>
      </c>
      <c r="AU2189" s="3" t="str">
        <f>IF(Registered!AE2189=0,"",IF(Registered!AE2189=1,Registered!AE2189&amp;" Bandana",Registered!AE2189&amp;" Bandanas"))</f>
        <v/>
      </c>
      <c r="AV2189" s="3">
        <f t="shared" si="104"/>
        <v>0</v>
      </c>
      <c r="AW2189" s="2" t="str">
        <f>IF(Registered!AV2189=0,"",IF(Registered!AV2189=1,Registered!AV2189&amp;" Meal",Registered!AV2189&amp;" Meals"))</f>
        <v/>
      </c>
      <c r="AX2189" s="2" t="str">
        <f>IF(Registered!AI2189=0,"",Registered!AI2189&amp;" BG")</f>
        <v/>
      </c>
      <c r="AY2189" s="2" t="str">
        <f>IF(Registered!AG2189=0,"",Registered!AG2189&amp;" DustMask")</f>
        <v/>
      </c>
    </row>
    <row r="2190" spans="1:51" customFormat="1" x14ac:dyDescent="0.25">
      <c r="A2190" t="s">
        <v>336</v>
      </c>
      <c r="B2190" t="s">
        <v>5652</v>
      </c>
      <c r="C2190" t="s">
        <v>6090</v>
      </c>
      <c r="G2190" t="s">
        <v>2700</v>
      </c>
      <c r="H2190" t="s">
        <v>5653</v>
      </c>
      <c r="I2190" t="s">
        <v>5654</v>
      </c>
      <c r="J2190" t="s">
        <v>37</v>
      </c>
      <c r="K2190" t="s">
        <v>32</v>
      </c>
      <c r="L2190" t="s">
        <v>35</v>
      </c>
      <c r="AQ2190">
        <v>0</v>
      </c>
      <c r="AR2190" s="3">
        <f t="shared" si="102"/>
        <v>0</v>
      </c>
      <c r="AS2190" s="3">
        <f t="shared" si="103"/>
        <v>0</v>
      </c>
      <c r="AT2190" s="3" t="str">
        <f>IF(OR(Registered!AM2190&gt;0,Registered!AO2190&gt;0),(IF(Registered!E2190=0,"Size Not Specified",Registered!E2190)),"")</f>
        <v/>
      </c>
      <c r="AU2190" s="3" t="str">
        <f>IF(Registered!AE2190=0,"",IF(Registered!AE2190=1,Registered!AE2190&amp;" Bandana",Registered!AE2190&amp;" Bandanas"))</f>
        <v/>
      </c>
      <c r="AV2190" s="3">
        <f t="shared" si="104"/>
        <v>0</v>
      </c>
      <c r="AW2190" s="2" t="str">
        <f>IF(Registered!AV2190=0,"",IF(Registered!AV2190=1,Registered!AV2190&amp;" Meal",Registered!AV2190&amp;" Meals"))</f>
        <v/>
      </c>
      <c r="AX2190" s="2" t="str">
        <f>IF(Registered!AI2190=0,"",Registered!AI2190&amp;" BG")</f>
        <v/>
      </c>
      <c r="AY2190" s="2" t="str">
        <f>IF(Registered!AG2190=0,"",Registered!AG2190&amp;" DustMask")</f>
        <v/>
      </c>
    </row>
    <row r="2191" spans="1:51" customFormat="1" x14ac:dyDescent="0.25">
      <c r="A2191" t="s">
        <v>1575</v>
      </c>
      <c r="B2191" t="s">
        <v>1918</v>
      </c>
      <c r="C2191" t="s">
        <v>6090</v>
      </c>
      <c r="D2191" t="s">
        <v>1575</v>
      </c>
      <c r="I2191" t="s">
        <v>1919</v>
      </c>
      <c r="J2191" t="s">
        <v>37</v>
      </c>
      <c r="K2191" t="s">
        <v>32</v>
      </c>
      <c r="L2191" t="s">
        <v>35</v>
      </c>
      <c r="O2191">
        <v>2</v>
      </c>
      <c r="P2191">
        <v>3</v>
      </c>
      <c r="U2191">
        <v>1</v>
      </c>
      <c r="V2191">
        <v>20</v>
      </c>
      <c r="AK2191">
        <v>2</v>
      </c>
      <c r="AL2191">
        <v>6</v>
      </c>
      <c r="AQ2191">
        <v>38</v>
      </c>
      <c r="AR2191" s="3">
        <f t="shared" si="102"/>
        <v>10</v>
      </c>
      <c r="AS2191" s="3">
        <f t="shared" si="103"/>
        <v>0</v>
      </c>
      <c r="AT2191" s="3" t="str">
        <f>IF(OR(Registered!AM2191&gt;0,Registered!AO2191&gt;0),(IF(Registered!E2191=0,"Size Not Specified",Registered!E2191)),"")</f>
        <v/>
      </c>
      <c r="AU2191" s="3" t="str">
        <f>IF(Registered!AE2191=0,"",IF(Registered!AE2191=1,Registered!AE2191&amp;" Bandana",Registered!AE2191&amp;" Bandanas"))</f>
        <v/>
      </c>
      <c r="AV2191" s="3">
        <f t="shared" si="104"/>
        <v>2</v>
      </c>
      <c r="AW2191" s="2" t="str">
        <f>IF(Registered!AV2191=0,"",IF(Registered!AV2191=1,Registered!AV2191&amp;" Meal",Registered!AV2191&amp;" Meals"))</f>
        <v>2 Meals</v>
      </c>
      <c r="AX2191" s="2" t="str">
        <f>IF(Registered!AI2191=0,"",Registered!AI2191&amp;" BG")</f>
        <v/>
      </c>
      <c r="AY2191" s="2" t="str">
        <f>IF(Registered!AG2191=0,"",Registered!AG2191&amp;" DustMask")</f>
        <v/>
      </c>
    </row>
    <row r="2192" spans="1:51" customFormat="1" x14ac:dyDescent="0.25">
      <c r="A2192" t="s">
        <v>5657</v>
      </c>
      <c r="B2192" t="s">
        <v>5658</v>
      </c>
      <c r="C2192" t="s">
        <v>6090</v>
      </c>
      <c r="G2192" t="s">
        <v>3803</v>
      </c>
      <c r="H2192" t="s">
        <v>4611</v>
      </c>
      <c r="I2192" t="s">
        <v>4612</v>
      </c>
      <c r="J2192" t="s">
        <v>37</v>
      </c>
      <c r="K2192" t="s">
        <v>32</v>
      </c>
      <c r="L2192" t="s">
        <v>35</v>
      </c>
      <c r="AQ2192">
        <v>0</v>
      </c>
      <c r="AR2192" s="3">
        <f t="shared" si="102"/>
        <v>0</v>
      </c>
      <c r="AS2192" s="3">
        <f t="shared" si="103"/>
        <v>0</v>
      </c>
      <c r="AT2192" s="3" t="str">
        <f>IF(OR(Registered!AM2192&gt;0,Registered!AO2192&gt;0),(IF(Registered!E2192=0,"Size Not Specified",Registered!E2192)),"")</f>
        <v/>
      </c>
      <c r="AU2192" s="3" t="str">
        <f>IF(Registered!AE2192=0,"",IF(Registered!AE2192=1,Registered!AE2192&amp;" Bandana",Registered!AE2192&amp;" Bandanas"))</f>
        <v/>
      </c>
      <c r="AV2192" s="3">
        <f t="shared" si="104"/>
        <v>0</v>
      </c>
      <c r="AW2192" s="2" t="str">
        <f>IF(Registered!AV2192=0,"",IF(Registered!AV2192=1,Registered!AV2192&amp;" Meal",Registered!AV2192&amp;" Meals"))</f>
        <v/>
      </c>
      <c r="AX2192" s="2" t="str">
        <f>IF(Registered!AI2192=0,"",Registered!AI2192&amp;" BG")</f>
        <v/>
      </c>
      <c r="AY2192" s="2" t="str">
        <f>IF(Registered!AG2192=0,"",Registered!AG2192&amp;" DustMask")</f>
        <v/>
      </c>
    </row>
    <row r="2193" spans="1:51" customFormat="1" x14ac:dyDescent="0.25">
      <c r="A2193" t="s">
        <v>188</v>
      </c>
      <c r="B2193" t="s">
        <v>2347</v>
      </c>
      <c r="C2193" t="s">
        <v>6090</v>
      </c>
      <c r="D2193" t="s">
        <v>1971</v>
      </c>
      <c r="E2193" t="s">
        <v>232</v>
      </c>
      <c r="I2193" t="s">
        <v>2348</v>
      </c>
      <c r="J2193" t="s">
        <v>37</v>
      </c>
      <c r="K2193" t="s">
        <v>32</v>
      </c>
      <c r="L2193" t="s">
        <v>35</v>
      </c>
      <c r="O2193">
        <v>1</v>
      </c>
      <c r="P2193">
        <v>3</v>
      </c>
      <c r="AM2193">
        <v>1</v>
      </c>
      <c r="AN2193">
        <v>25</v>
      </c>
      <c r="AQ2193">
        <v>28</v>
      </c>
      <c r="AR2193" s="3">
        <f t="shared" si="102"/>
        <v>5</v>
      </c>
      <c r="AS2193" s="3">
        <f t="shared" si="103"/>
        <v>1</v>
      </c>
      <c r="AT2193" s="3" t="str">
        <f>IF(OR(Registered!AM2193&gt;0,Registered!AO2193&gt;0),(IF(Registered!E2193=0,"Size Not Specified",Registered!E2193)),"")</f>
        <v>M</v>
      </c>
      <c r="AU2193" s="3" t="str">
        <f>IF(Registered!AE2193=0,"",IF(Registered!AE2193=1,Registered!AE2193&amp;" Bandana",Registered!AE2193&amp;" Bandanas"))</f>
        <v/>
      </c>
      <c r="AV2193" s="3">
        <f t="shared" si="104"/>
        <v>1</v>
      </c>
      <c r="AW2193" s="2" t="str">
        <f>IF(Registered!AV2193=0,"",IF(Registered!AV2193=1,Registered!AV2193&amp;" Meal",Registered!AV2193&amp;" Meals"))</f>
        <v>1 Meal</v>
      </c>
      <c r="AX2193" s="2" t="str">
        <f>IF(Registered!AI2193=0,"",Registered!AI2193&amp;" BG")</f>
        <v/>
      </c>
      <c r="AY2193" s="2" t="str">
        <f>IF(Registered!AG2193=0,"",Registered!AG2193&amp;" DustMask")</f>
        <v/>
      </c>
    </row>
    <row r="2194" spans="1:51" customFormat="1" x14ac:dyDescent="0.25">
      <c r="A2194" t="s">
        <v>263</v>
      </c>
      <c r="B2194" t="s">
        <v>2347</v>
      </c>
      <c r="C2194" t="s">
        <v>6090</v>
      </c>
      <c r="D2194" t="s">
        <v>2349</v>
      </c>
      <c r="E2194" t="s">
        <v>201</v>
      </c>
      <c r="I2194" t="s">
        <v>2350</v>
      </c>
      <c r="J2194" t="s">
        <v>37</v>
      </c>
      <c r="K2194" t="s">
        <v>32</v>
      </c>
      <c r="L2194" t="s">
        <v>35</v>
      </c>
      <c r="O2194">
        <v>1</v>
      </c>
      <c r="P2194">
        <v>3</v>
      </c>
      <c r="AA2194">
        <v>1</v>
      </c>
      <c r="AB2194">
        <v>75</v>
      </c>
      <c r="AM2194">
        <v>1</v>
      </c>
      <c r="AN2194">
        <v>25</v>
      </c>
      <c r="AQ2194">
        <v>103</v>
      </c>
      <c r="AR2194" s="3">
        <f t="shared" si="102"/>
        <v>45</v>
      </c>
      <c r="AS2194" s="3">
        <f t="shared" si="103"/>
        <v>1</v>
      </c>
      <c r="AT2194" s="3" t="str">
        <f>IF(OR(Registered!AM2194&gt;0,Registered!AO2194&gt;0),(IF(Registered!E2194=0,"Size Not Specified",Registered!E2194)),"")</f>
        <v>XL</v>
      </c>
      <c r="AU2194" s="3" t="str">
        <f>IF(Registered!AE2194=0,"",IF(Registered!AE2194=1,Registered!AE2194&amp;" Bandana",Registered!AE2194&amp;" Bandanas"))</f>
        <v/>
      </c>
      <c r="AV2194" s="3">
        <f t="shared" si="104"/>
        <v>1</v>
      </c>
      <c r="AW2194" s="2" t="str">
        <f>IF(Registered!AV2194=0,"",IF(Registered!AV2194=1,Registered!AV2194&amp;" Meal",Registered!AV2194&amp;" Meals"))</f>
        <v>1 Meal</v>
      </c>
      <c r="AX2194" s="2" t="str">
        <f>IF(Registered!AI2194=0,"",Registered!AI2194&amp;" BG")</f>
        <v/>
      </c>
      <c r="AY2194" s="2" t="str">
        <f>IF(Registered!AG2194=0,"",Registered!AG2194&amp;" DustMask")</f>
        <v/>
      </c>
    </row>
    <row r="2195" spans="1:51" customFormat="1" x14ac:dyDescent="0.25">
      <c r="A2195" t="s">
        <v>2351</v>
      </c>
      <c r="B2195" t="s">
        <v>2352</v>
      </c>
      <c r="C2195" t="s">
        <v>6090</v>
      </c>
      <c r="G2195" t="s">
        <v>578</v>
      </c>
      <c r="H2195" t="s">
        <v>579</v>
      </c>
      <c r="I2195" t="s">
        <v>580</v>
      </c>
      <c r="J2195" t="s">
        <v>37</v>
      </c>
      <c r="K2195" t="s">
        <v>32</v>
      </c>
      <c r="L2195" t="s">
        <v>35</v>
      </c>
      <c r="AQ2195">
        <v>0</v>
      </c>
      <c r="AR2195" s="3">
        <f t="shared" si="102"/>
        <v>0</v>
      </c>
      <c r="AS2195" s="3">
        <f t="shared" si="103"/>
        <v>0</v>
      </c>
      <c r="AT2195" s="3" t="str">
        <f>IF(OR(Registered!AM2195&gt;0,Registered!AO2195&gt;0),(IF(Registered!E2195=0,"Size Not Specified",Registered!E2195)),"")</f>
        <v/>
      </c>
      <c r="AU2195" s="3" t="str">
        <f>IF(Registered!AE2195=0,"",IF(Registered!AE2195=1,Registered!AE2195&amp;" Bandana",Registered!AE2195&amp;" Bandanas"))</f>
        <v/>
      </c>
      <c r="AV2195" s="3">
        <f t="shared" si="104"/>
        <v>0</v>
      </c>
      <c r="AW2195" s="2" t="str">
        <f>IF(Registered!AV2195=0,"",IF(Registered!AV2195=1,Registered!AV2195&amp;" Meal",Registered!AV2195&amp;" Meals"))</f>
        <v/>
      </c>
      <c r="AX2195" s="2" t="str">
        <f>IF(Registered!AI2195=0,"",Registered!AI2195&amp;" BG")</f>
        <v/>
      </c>
      <c r="AY2195" s="2" t="str">
        <f>IF(Registered!AG2195=0,"",Registered!AG2195&amp;" DustMask")</f>
        <v/>
      </c>
    </row>
    <row r="2196" spans="1:51" customFormat="1" x14ac:dyDescent="0.25">
      <c r="A2196" t="s">
        <v>118</v>
      </c>
      <c r="B2196" t="s">
        <v>5659</v>
      </c>
      <c r="C2196" t="s">
        <v>6090</v>
      </c>
      <c r="G2196" t="s">
        <v>2700</v>
      </c>
      <c r="H2196" t="s">
        <v>3897</v>
      </c>
      <c r="I2196" t="s">
        <v>3898</v>
      </c>
      <c r="J2196" t="s">
        <v>37</v>
      </c>
      <c r="K2196" t="s">
        <v>32</v>
      </c>
      <c r="L2196" t="s">
        <v>35</v>
      </c>
      <c r="AQ2196">
        <v>0</v>
      </c>
      <c r="AR2196" s="3">
        <f t="shared" si="102"/>
        <v>0</v>
      </c>
      <c r="AS2196" s="3">
        <f t="shared" si="103"/>
        <v>0</v>
      </c>
      <c r="AT2196" s="3" t="str">
        <f>IF(OR(Registered!AM2196&gt;0,Registered!AO2196&gt;0),(IF(Registered!E2196=0,"Size Not Specified",Registered!E2196)),"")</f>
        <v/>
      </c>
      <c r="AU2196" s="3" t="str">
        <f>IF(Registered!AE2196=0,"",IF(Registered!AE2196=1,Registered!AE2196&amp;" Bandana",Registered!AE2196&amp;" Bandanas"))</f>
        <v/>
      </c>
      <c r="AV2196" s="3">
        <f t="shared" si="104"/>
        <v>0</v>
      </c>
      <c r="AW2196" s="2" t="str">
        <f>IF(Registered!AV2196=0,"",IF(Registered!AV2196=1,Registered!AV2196&amp;" Meal",Registered!AV2196&amp;" Meals"))</f>
        <v/>
      </c>
      <c r="AX2196" s="2" t="str">
        <f>IF(Registered!AI2196=0,"",Registered!AI2196&amp;" BG")</f>
        <v/>
      </c>
      <c r="AY2196" s="2" t="str">
        <f>IF(Registered!AG2196=0,"",Registered!AG2196&amp;" DustMask")</f>
        <v/>
      </c>
    </row>
    <row r="2197" spans="1:51" customFormat="1" x14ac:dyDescent="0.25">
      <c r="A2197" t="s">
        <v>2333</v>
      </c>
      <c r="B2197" t="s">
        <v>282</v>
      </c>
      <c r="C2197" t="s">
        <v>6090</v>
      </c>
      <c r="G2197" t="s">
        <v>869</v>
      </c>
      <c r="H2197" t="s">
        <v>1620</v>
      </c>
      <c r="I2197" t="s">
        <v>2353</v>
      </c>
      <c r="J2197" t="s">
        <v>37</v>
      </c>
      <c r="K2197" t="s">
        <v>32</v>
      </c>
      <c r="L2197" t="s">
        <v>35</v>
      </c>
      <c r="AQ2197">
        <v>0</v>
      </c>
      <c r="AR2197" s="3">
        <f t="shared" si="102"/>
        <v>0</v>
      </c>
      <c r="AS2197" s="3">
        <f t="shared" si="103"/>
        <v>0</v>
      </c>
      <c r="AT2197" s="3" t="str">
        <f>IF(OR(Registered!AM2197&gt;0,Registered!AO2197&gt;0),(IF(Registered!E2197=0,"Size Not Specified",Registered!E2197)),"")</f>
        <v/>
      </c>
      <c r="AU2197" s="3" t="str">
        <f>IF(Registered!AE2197=0,"",IF(Registered!AE2197=1,Registered!AE2197&amp;" Bandana",Registered!AE2197&amp;" Bandanas"))</f>
        <v/>
      </c>
      <c r="AV2197" s="3">
        <f t="shared" si="104"/>
        <v>0</v>
      </c>
      <c r="AW2197" s="2" t="str">
        <f>IF(Registered!AV2197=0,"",IF(Registered!AV2197=1,Registered!AV2197&amp;" Meal",Registered!AV2197&amp;" Meals"))</f>
        <v/>
      </c>
      <c r="AX2197" s="2" t="str">
        <f>IF(Registered!AI2197=0,"",Registered!AI2197&amp;" BG")</f>
        <v/>
      </c>
      <c r="AY2197" s="2" t="str">
        <f>IF(Registered!AG2197=0,"",Registered!AG2197&amp;" DustMask")</f>
        <v/>
      </c>
    </row>
    <row r="2198" spans="1:51" customFormat="1" x14ac:dyDescent="0.25">
      <c r="A2198" t="s">
        <v>46</v>
      </c>
      <c r="B2198" t="s">
        <v>1300</v>
      </c>
      <c r="C2198" t="s">
        <v>6090</v>
      </c>
      <c r="D2198" t="s">
        <v>46</v>
      </c>
      <c r="F2198" t="s">
        <v>261</v>
      </c>
      <c r="I2198" t="s">
        <v>2354</v>
      </c>
      <c r="J2198" t="s">
        <v>37</v>
      </c>
      <c r="K2198" t="s">
        <v>32</v>
      </c>
      <c r="L2198" t="s">
        <v>35</v>
      </c>
      <c r="Q2198">
        <v>2</v>
      </c>
      <c r="R2198">
        <v>3</v>
      </c>
      <c r="U2198">
        <v>1</v>
      </c>
      <c r="V2198">
        <v>20</v>
      </c>
      <c r="AK2198">
        <v>2</v>
      </c>
      <c r="AL2198">
        <v>6</v>
      </c>
      <c r="AQ2198">
        <v>38</v>
      </c>
      <c r="AR2198" s="3">
        <f t="shared" si="102"/>
        <v>10</v>
      </c>
      <c r="AS2198" s="3">
        <f t="shared" si="103"/>
        <v>0</v>
      </c>
      <c r="AT2198" s="3" t="str">
        <f>IF(OR(Registered!AM2198&gt;0,Registered!AO2198&gt;0),(IF(Registered!E2198=0,"Size Not Specified",Registered!E2198)),"")</f>
        <v/>
      </c>
      <c r="AU2198" s="3" t="str">
        <f>IF(Registered!AE2198=0,"",IF(Registered!AE2198=1,Registered!AE2198&amp;" Bandana",Registered!AE2198&amp;" Bandanas"))</f>
        <v/>
      </c>
      <c r="AV2198" s="3">
        <f t="shared" si="104"/>
        <v>2</v>
      </c>
      <c r="AW2198" s="2" t="str">
        <f>IF(Registered!AV2198=0,"",IF(Registered!AV2198=1,Registered!AV2198&amp;" Meal",Registered!AV2198&amp;" Meals"))</f>
        <v>2 Meals</v>
      </c>
      <c r="AX2198" s="2" t="str">
        <f>IF(Registered!AI2198=0,"",Registered!AI2198&amp;" BG")</f>
        <v/>
      </c>
      <c r="AY2198" s="2" t="str">
        <f>IF(Registered!AG2198=0,"",Registered!AG2198&amp;" DustMask")</f>
        <v/>
      </c>
    </row>
    <row r="2199" spans="1:51" customFormat="1" x14ac:dyDescent="0.25">
      <c r="A2199" t="s">
        <v>2355</v>
      </c>
      <c r="B2199" t="s">
        <v>283</v>
      </c>
      <c r="C2199" t="s">
        <v>6090</v>
      </c>
      <c r="G2199" t="s">
        <v>578</v>
      </c>
      <c r="H2199" t="s">
        <v>579</v>
      </c>
      <c r="I2199" t="s">
        <v>580</v>
      </c>
      <c r="J2199" t="s">
        <v>37</v>
      </c>
      <c r="K2199" t="s">
        <v>32</v>
      </c>
      <c r="L2199" t="s">
        <v>35</v>
      </c>
      <c r="AQ2199">
        <v>0</v>
      </c>
      <c r="AR2199" s="3">
        <f t="shared" si="102"/>
        <v>0</v>
      </c>
      <c r="AS2199" s="3">
        <f t="shared" si="103"/>
        <v>0</v>
      </c>
      <c r="AT2199" s="3" t="str">
        <f>IF(OR(Registered!AM2199&gt;0,Registered!AO2199&gt;0),(IF(Registered!E2199=0,"Size Not Specified",Registered!E2199)),"")</f>
        <v/>
      </c>
      <c r="AU2199" s="3" t="str">
        <f>IF(Registered!AE2199=0,"",IF(Registered!AE2199=1,Registered!AE2199&amp;" Bandana",Registered!AE2199&amp;" Bandanas"))</f>
        <v/>
      </c>
      <c r="AV2199" s="3">
        <f t="shared" si="104"/>
        <v>0</v>
      </c>
      <c r="AW2199" s="2" t="str">
        <f>IF(Registered!AV2199=0,"",IF(Registered!AV2199=1,Registered!AV2199&amp;" Meal",Registered!AV2199&amp;" Meals"))</f>
        <v/>
      </c>
      <c r="AX2199" s="2" t="str">
        <f>IF(Registered!AI2199=0,"",Registered!AI2199&amp;" BG")</f>
        <v/>
      </c>
      <c r="AY2199" s="2" t="str">
        <f>IF(Registered!AG2199=0,"",Registered!AG2199&amp;" DustMask")</f>
        <v/>
      </c>
    </row>
    <row r="2200" spans="1:51" customFormat="1" x14ac:dyDescent="0.25">
      <c r="A2200" t="s">
        <v>3379</v>
      </c>
      <c r="B2200" t="s">
        <v>283</v>
      </c>
      <c r="C2200" t="s">
        <v>6090</v>
      </c>
      <c r="D2200" t="s">
        <v>3380</v>
      </c>
      <c r="F2200" t="s">
        <v>261</v>
      </c>
      <c r="I2200" t="s">
        <v>3381</v>
      </c>
      <c r="J2200" t="s">
        <v>37</v>
      </c>
      <c r="K2200" t="s">
        <v>32</v>
      </c>
      <c r="L2200" t="s">
        <v>35</v>
      </c>
      <c r="Q2200">
        <v>1</v>
      </c>
      <c r="R2200">
        <v>3</v>
      </c>
      <c r="AC2200">
        <v>1</v>
      </c>
      <c r="AD2200">
        <v>10</v>
      </c>
      <c r="AK2200">
        <v>1</v>
      </c>
      <c r="AL2200">
        <v>6</v>
      </c>
      <c r="AQ2200">
        <v>19</v>
      </c>
      <c r="AR2200" s="3">
        <f t="shared" si="102"/>
        <v>5</v>
      </c>
      <c r="AS2200" s="3">
        <f t="shared" si="103"/>
        <v>0</v>
      </c>
      <c r="AT2200" s="3" t="str">
        <f>IF(OR(Registered!AM2200&gt;0,Registered!AO2200&gt;0),(IF(Registered!E2200=0,"Size Not Specified",Registered!E2200)),"")</f>
        <v/>
      </c>
      <c r="AU2200" s="3" t="str">
        <f>IF(Registered!AE2200=0,"",IF(Registered!AE2200=1,Registered!AE2200&amp;" Bandana",Registered!AE2200&amp;" Bandanas"))</f>
        <v/>
      </c>
      <c r="AV2200" s="3">
        <f t="shared" si="104"/>
        <v>1</v>
      </c>
      <c r="AW2200" s="2" t="str">
        <f>IF(Registered!AV2200=0,"",IF(Registered!AV2200=1,Registered!AV2200&amp;" Meal",Registered!AV2200&amp;" Meals"))</f>
        <v>1 Meal</v>
      </c>
      <c r="AX2200" s="2" t="str">
        <f>IF(Registered!AI2200=0,"",Registered!AI2200&amp;" BG")</f>
        <v/>
      </c>
      <c r="AY2200" s="2" t="str">
        <f>IF(Registered!AG2200=0,"",Registered!AG2200&amp;" DustMask")</f>
        <v/>
      </c>
    </row>
    <row r="2201" spans="1:51" customFormat="1" x14ac:dyDescent="0.25">
      <c r="A2201" t="s">
        <v>2356</v>
      </c>
      <c r="B2201" t="s">
        <v>283</v>
      </c>
      <c r="C2201" t="s">
        <v>6090</v>
      </c>
      <c r="G2201" t="s">
        <v>578</v>
      </c>
      <c r="H2201" t="s">
        <v>579</v>
      </c>
      <c r="I2201" t="s">
        <v>580</v>
      </c>
      <c r="J2201" t="s">
        <v>37</v>
      </c>
      <c r="K2201" t="s">
        <v>32</v>
      </c>
      <c r="L2201" t="s">
        <v>35</v>
      </c>
      <c r="AQ2201">
        <v>0</v>
      </c>
      <c r="AR2201" s="3">
        <f t="shared" si="102"/>
        <v>0</v>
      </c>
      <c r="AS2201" s="3">
        <f t="shared" si="103"/>
        <v>0</v>
      </c>
      <c r="AT2201" s="3" t="str">
        <f>IF(OR(Registered!AM2201&gt;0,Registered!AO2201&gt;0),(IF(Registered!E2201=0,"Size Not Specified",Registered!E2201)),"")</f>
        <v/>
      </c>
      <c r="AU2201" s="3" t="str">
        <f>IF(Registered!AE2201=0,"",IF(Registered!AE2201=1,Registered!AE2201&amp;" Bandana",Registered!AE2201&amp;" Bandanas"))</f>
        <v/>
      </c>
      <c r="AV2201" s="3">
        <f t="shared" si="104"/>
        <v>0</v>
      </c>
      <c r="AW2201" s="2" t="str">
        <f>IF(Registered!AV2201=0,"",IF(Registered!AV2201=1,Registered!AV2201&amp;" Meal",Registered!AV2201&amp;" Meals"))</f>
        <v/>
      </c>
      <c r="AX2201" s="2" t="str">
        <f>IF(Registered!AI2201=0,"",Registered!AI2201&amp;" BG")</f>
        <v/>
      </c>
      <c r="AY2201" s="2" t="str">
        <f>IF(Registered!AG2201=0,"",Registered!AG2201&amp;" DustMask")</f>
        <v/>
      </c>
    </row>
    <row r="2202" spans="1:51" customFormat="1" x14ac:dyDescent="0.25">
      <c r="A2202" t="s">
        <v>368</v>
      </c>
      <c r="B2202" t="s">
        <v>2357</v>
      </c>
      <c r="C2202" t="s">
        <v>6090</v>
      </c>
      <c r="G2202" t="s">
        <v>91</v>
      </c>
      <c r="H2202" t="s">
        <v>2358</v>
      </c>
      <c r="I2202" t="s">
        <v>2359</v>
      </c>
      <c r="J2202" t="s">
        <v>37</v>
      </c>
      <c r="K2202" t="s">
        <v>32</v>
      </c>
      <c r="L2202" t="s">
        <v>35</v>
      </c>
      <c r="AQ2202">
        <v>0</v>
      </c>
      <c r="AR2202" s="3">
        <f t="shared" si="102"/>
        <v>0</v>
      </c>
      <c r="AS2202" s="3">
        <f t="shared" si="103"/>
        <v>0</v>
      </c>
      <c r="AT2202" s="3" t="str">
        <f>IF(OR(Registered!AM2202&gt;0,Registered!AO2202&gt;0),(IF(Registered!E2202=0,"Size Not Specified",Registered!E2202)),"")</f>
        <v/>
      </c>
      <c r="AU2202" s="3" t="str">
        <f>IF(Registered!AE2202=0,"",IF(Registered!AE2202=1,Registered!AE2202&amp;" Bandana",Registered!AE2202&amp;" Bandanas"))</f>
        <v/>
      </c>
      <c r="AV2202" s="3">
        <f t="shared" si="104"/>
        <v>0</v>
      </c>
      <c r="AW2202" s="2" t="str">
        <f>IF(Registered!AV2202=0,"",IF(Registered!AV2202=1,Registered!AV2202&amp;" Meal",Registered!AV2202&amp;" Meals"))</f>
        <v/>
      </c>
      <c r="AX2202" s="2" t="str">
        <f>IF(Registered!AI2202=0,"",Registered!AI2202&amp;" BG")</f>
        <v/>
      </c>
      <c r="AY2202" s="2" t="str">
        <f>IF(Registered!AG2202=0,"",Registered!AG2202&amp;" DustMask")</f>
        <v/>
      </c>
    </row>
    <row r="2203" spans="1:51" customFormat="1" x14ac:dyDescent="0.25">
      <c r="A2203" t="s">
        <v>299</v>
      </c>
      <c r="B2203" t="s">
        <v>284</v>
      </c>
      <c r="C2203" t="s">
        <v>6090</v>
      </c>
      <c r="D2203" t="s">
        <v>187</v>
      </c>
      <c r="F2203" t="s">
        <v>261</v>
      </c>
      <c r="I2203" t="s">
        <v>5008</v>
      </c>
      <c r="J2203" t="s">
        <v>37</v>
      </c>
      <c r="K2203" t="s">
        <v>32</v>
      </c>
      <c r="L2203" t="s">
        <v>35</v>
      </c>
      <c r="Q2203">
        <v>3</v>
      </c>
      <c r="R2203">
        <v>3</v>
      </c>
      <c r="AC2203">
        <v>3</v>
      </c>
      <c r="AD2203">
        <v>10</v>
      </c>
      <c r="AG2203">
        <v>1</v>
      </c>
      <c r="AH2203">
        <v>1</v>
      </c>
      <c r="AQ2203">
        <v>40</v>
      </c>
      <c r="AR2203" s="3">
        <f t="shared" si="102"/>
        <v>15</v>
      </c>
      <c r="AS2203" s="3">
        <f t="shared" si="103"/>
        <v>0</v>
      </c>
      <c r="AT2203" s="3" t="str">
        <f>IF(OR(Registered!AM2203&gt;0,Registered!AO2203&gt;0),(IF(Registered!E2203=0,"Size Not Specified",Registered!E2203)),"")</f>
        <v/>
      </c>
      <c r="AU2203" s="3" t="str">
        <f>IF(Registered!AE2203=0,"",IF(Registered!AE2203=1,Registered!AE2203&amp;" Bandana",Registered!AE2203&amp;" Bandanas"))</f>
        <v/>
      </c>
      <c r="AV2203" s="3">
        <f t="shared" si="104"/>
        <v>0</v>
      </c>
      <c r="AW2203" s="2" t="str">
        <f>IF(Registered!AV2203=0,"",IF(Registered!AV2203=1,Registered!AV2203&amp;" Meal",Registered!AV2203&amp;" Meals"))</f>
        <v/>
      </c>
      <c r="AX2203" s="2" t="str">
        <f>IF(Registered!AI2203=0,"",Registered!AI2203&amp;" BG")</f>
        <v/>
      </c>
      <c r="AY2203" s="2" t="str">
        <f>IF(Registered!AG2203=0,"",Registered!AG2203&amp;" DustMask")</f>
        <v>1 DustMask</v>
      </c>
    </row>
    <row r="2204" spans="1:51" customFormat="1" x14ac:dyDescent="0.25">
      <c r="A2204" t="s">
        <v>2360</v>
      </c>
      <c r="B2204" t="s">
        <v>2361</v>
      </c>
      <c r="C2204" t="s">
        <v>6090</v>
      </c>
      <c r="G2204" t="s">
        <v>578</v>
      </c>
      <c r="H2204" t="s">
        <v>579</v>
      </c>
      <c r="I2204" t="s">
        <v>580</v>
      </c>
      <c r="J2204" t="s">
        <v>37</v>
      </c>
      <c r="K2204" t="s">
        <v>32</v>
      </c>
      <c r="L2204" t="s">
        <v>35</v>
      </c>
      <c r="AQ2204">
        <v>0</v>
      </c>
      <c r="AR2204" s="3">
        <f t="shared" si="102"/>
        <v>0</v>
      </c>
      <c r="AS2204" s="3">
        <f t="shared" si="103"/>
        <v>0</v>
      </c>
      <c r="AT2204" s="3" t="str">
        <f>IF(OR(Registered!AM2204&gt;0,Registered!AO2204&gt;0),(IF(Registered!E2204=0,"Size Not Specified",Registered!E2204)),"")</f>
        <v/>
      </c>
      <c r="AU2204" s="3" t="str">
        <f>IF(Registered!AE2204=0,"",IF(Registered!AE2204=1,Registered!AE2204&amp;" Bandana",Registered!AE2204&amp;" Bandanas"))</f>
        <v/>
      </c>
      <c r="AV2204" s="3">
        <f t="shared" si="104"/>
        <v>0</v>
      </c>
      <c r="AW2204" s="2" t="str">
        <f>IF(Registered!AV2204=0,"",IF(Registered!AV2204=1,Registered!AV2204&amp;" Meal",Registered!AV2204&amp;" Meals"))</f>
        <v/>
      </c>
      <c r="AX2204" s="2" t="str">
        <f>IF(Registered!AI2204=0,"",Registered!AI2204&amp;" BG")</f>
        <v/>
      </c>
      <c r="AY2204" s="2" t="str">
        <f>IF(Registered!AG2204=0,"",Registered!AG2204&amp;" DustMask")</f>
        <v/>
      </c>
    </row>
    <row r="2205" spans="1:51" customFormat="1" x14ac:dyDescent="0.25">
      <c r="A2205" t="s">
        <v>584</v>
      </c>
      <c r="B2205" t="s">
        <v>31</v>
      </c>
      <c r="C2205" t="s">
        <v>6090</v>
      </c>
      <c r="D2205" t="s">
        <v>5660</v>
      </c>
      <c r="F2205" t="s">
        <v>261</v>
      </c>
      <c r="I2205" t="s">
        <v>3537</v>
      </c>
      <c r="J2205" t="s">
        <v>37</v>
      </c>
      <c r="K2205" t="s">
        <v>32</v>
      </c>
      <c r="L2205" t="s">
        <v>35</v>
      </c>
      <c r="Q2205">
        <v>2</v>
      </c>
      <c r="R2205">
        <v>3</v>
      </c>
      <c r="U2205">
        <v>1</v>
      </c>
      <c r="V2205">
        <v>20</v>
      </c>
      <c r="AE2205">
        <v>1</v>
      </c>
      <c r="AF2205">
        <v>6</v>
      </c>
      <c r="AQ2205">
        <v>32</v>
      </c>
      <c r="AR2205" s="3">
        <f t="shared" si="102"/>
        <v>10</v>
      </c>
      <c r="AS2205" s="3">
        <f t="shared" si="103"/>
        <v>0</v>
      </c>
      <c r="AT2205" s="3" t="str">
        <f>IF(OR(Registered!AM2205&gt;0,Registered!AO2205&gt;0),(IF(Registered!E2205=0,"Size Not Specified",Registered!E2205)),"")</f>
        <v/>
      </c>
      <c r="AU2205" s="3" t="str">
        <f>IF(Registered!AE2205=0,"",IF(Registered!AE2205=1,Registered!AE2205&amp;" Bandana",Registered!AE2205&amp;" Bandanas"))</f>
        <v>1 Bandana</v>
      </c>
      <c r="AV2205" s="3">
        <f t="shared" si="104"/>
        <v>0</v>
      </c>
      <c r="AW2205" s="2" t="str">
        <f>IF(Registered!AV2205=0,"",IF(Registered!AV2205=1,Registered!AV2205&amp;" Meal",Registered!AV2205&amp;" Meals"))</f>
        <v/>
      </c>
      <c r="AX2205" s="2" t="str">
        <f>IF(Registered!AI2205=0,"",Registered!AI2205&amp;" BG")</f>
        <v/>
      </c>
      <c r="AY2205" s="2" t="str">
        <f>IF(Registered!AG2205=0,"",Registered!AG2205&amp;" DustMask")</f>
        <v/>
      </c>
    </row>
    <row r="2206" spans="1:51" customFormat="1" x14ac:dyDescent="0.25">
      <c r="A2206" t="s">
        <v>166</v>
      </c>
      <c r="B2206" t="s">
        <v>2183</v>
      </c>
      <c r="C2206" t="s">
        <v>6090</v>
      </c>
      <c r="D2206" t="s">
        <v>2362</v>
      </c>
      <c r="I2206" t="s">
        <v>2184</v>
      </c>
      <c r="J2206" t="s">
        <v>37</v>
      </c>
      <c r="K2206" t="s">
        <v>32</v>
      </c>
      <c r="L2206" t="s">
        <v>35</v>
      </c>
      <c r="S2206">
        <v>2</v>
      </c>
      <c r="T2206">
        <v>3</v>
      </c>
      <c r="U2206">
        <v>1</v>
      </c>
      <c r="V2206">
        <v>20</v>
      </c>
      <c r="AK2206">
        <v>2</v>
      </c>
      <c r="AL2206">
        <v>6</v>
      </c>
      <c r="AQ2206">
        <v>38</v>
      </c>
      <c r="AR2206" s="3">
        <f t="shared" si="102"/>
        <v>10</v>
      </c>
      <c r="AS2206" s="3">
        <f t="shared" si="103"/>
        <v>0</v>
      </c>
      <c r="AT2206" s="3" t="str">
        <f>IF(OR(Registered!AM2206&gt;0,Registered!AO2206&gt;0),(IF(Registered!E2206=0,"Size Not Specified",Registered!E2206)),"")</f>
        <v/>
      </c>
      <c r="AU2206" s="3" t="str">
        <f>IF(Registered!AE2206=0,"",IF(Registered!AE2206=1,Registered!AE2206&amp;" Bandana",Registered!AE2206&amp;" Bandanas"))</f>
        <v/>
      </c>
      <c r="AV2206" s="3">
        <f t="shared" si="104"/>
        <v>2</v>
      </c>
      <c r="AW2206" s="2" t="str">
        <f>IF(Registered!AV2206=0,"",IF(Registered!AV2206=1,Registered!AV2206&amp;" Meal",Registered!AV2206&amp;" Meals"))</f>
        <v>2 Meals</v>
      </c>
      <c r="AX2206" s="2" t="str">
        <f>IF(Registered!AI2206=0,"",Registered!AI2206&amp;" BG")</f>
        <v/>
      </c>
      <c r="AY2206" s="2" t="str">
        <f>IF(Registered!AG2206=0,"",Registered!AG2206&amp;" DustMask")</f>
        <v/>
      </c>
    </row>
    <row r="2207" spans="1:51" customFormat="1" x14ac:dyDescent="0.25">
      <c r="A2207" t="s">
        <v>130</v>
      </c>
      <c r="B2207" t="s">
        <v>2183</v>
      </c>
      <c r="C2207" t="s">
        <v>6090</v>
      </c>
      <c r="D2207" t="s">
        <v>5661</v>
      </c>
      <c r="E2207" t="s">
        <v>5662</v>
      </c>
      <c r="F2207" t="s">
        <v>261</v>
      </c>
      <c r="I2207" t="s">
        <v>5663</v>
      </c>
      <c r="J2207" t="s">
        <v>37</v>
      </c>
      <c r="K2207" t="s">
        <v>32</v>
      </c>
      <c r="L2207" t="s">
        <v>35</v>
      </c>
      <c r="Q2207">
        <v>1</v>
      </c>
      <c r="R2207">
        <v>3</v>
      </c>
      <c r="U2207">
        <v>1</v>
      </c>
      <c r="V2207">
        <v>20</v>
      </c>
      <c r="AG2207">
        <v>1</v>
      </c>
      <c r="AH2207">
        <v>1</v>
      </c>
      <c r="AK2207">
        <v>2</v>
      </c>
      <c r="AL2207">
        <v>6</v>
      </c>
      <c r="AQ2207">
        <v>36</v>
      </c>
      <c r="AR2207" s="3">
        <f t="shared" si="102"/>
        <v>10</v>
      </c>
      <c r="AS2207" s="3">
        <f t="shared" si="103"/>
        <v>0</v>
      </c>
      <c r="AT2207" s="3" t="str">
        <f>IF(OR(Registered!AM2207&gt;0,Registered!AO2207&gt;0),(IF(Registered!E2207=0,"Size Not Specified",Registered!E2207)),"")</f>
        <v/>
      </c>
      <c r="AU2207" s="3" t="str">
        <f>IF(Registered!AE2207=0,"",IF(Registered!AE2207=1,Registered!AE2207&amp;" Bandana",Registered!AE2207&amp;" Bandanas"))</f>
        <v/>
      </c>
      <c r="AV2207" s="3">
        <f t="shared" si="104"/>
        <v>2</v>
      </c>
      <c r="AW2207" s="2" t="str">
        <f>IF(Registered!AV2207=0,"",IF(Registered!AV2207=1,Registered!AV2207&amp;" Meal",Registered!AV2207&amp;" Meals"))</f>
        <v>2 Meals</v>
      </c>
      <c r="AX2207" s="2" t="str">
        <f>IF(Registered!AI2207=0,"",Registered!AI2207&amp;" BG")</f>
        <v/>
      </c>
      <c r="AY2207" s="2" t="str">
        <f>IF(Registered!AG2207=0,"",Registered!AG2207&amp;" DustMask")</f>
        <v>1 DustMask</v>
      </c>
    </row>
    <row r="2208" spans="1:51" customFormat="1" x14ac:dyDescent="0.25">
      <c r="A2208" t="s">
        <v>386</v>
      </c>
      <c r="B2208" t="s">
        <v>2852</v>
      </c>
      <c r="C2208" t="s">
        <v>6090</v>
      </c>
      <c r="D2208" t="s">
        <v>3382</v>
      </c>
      <c r="F2208" t="s">
        <v>261</v>
      </c>
      <c r="I2208" t="s">
        <v>2853</v>
      </c>
      <c r="J2208" t="s">
        <v>37</v>
      </c>
      <c r="K2208" t="s">
        <v>32</v>
      </c>
      <c r="L2208" t="s">
        <v>35</v>
      </c>
      <c r="Q2208">
        <v>2</v>
      </c>
      <c r="R2208">
        <v>3</v>
      </c>
      <c r="U2208">
        <v>1</v>
      </c>
      <c r="V2208">
        <v>20</v>
      </c>
      <c r="AQ2208">
        <v>26</v>
      </c>
      <c r="AR2208" s="3">
        <f t="shared" si="102"/>
        <v>10</v>
      </c>
      <c r="AS2208" s="3">
        <f t="shared" si="103"/>
        <v>0</v>
      </c>
      <c r="AT2208" s="3" t="str">
        <f>IF(OR(Registered!AM2208&gt;0,Registered!AO2208&gt;0),(IF(Registered!E2208=0,"Size Not Specified",Registered!E2208)),"")</f>
        <v/>
      </c>
      <c r="AU2208" s="3" t="str">
        <f>IF(Registered!AE2208=0,"",IF(Registered!AE2208=1,Registered!AE2208&amp;" Bandana",Registered!AE2208&amp;" Bandanas"))</f>
        <v/>
      </c>
      <c r="AV2208" s="3">
        <f t="shared" si="104"/>
        <v>0</v>
      </c>
      <c r="AW2208" s="2" t="str">
        <f>IF(Registered!AV2208=0,"",IF(Registered!AV2208=1,Registered!AV2208&amp;" Meal",Registered!AV2208&amp;" Meals"))</f>
        <v/>
      </c>
      <c r="AX2208" s="2" t="str">
        <f>IF(Registered!AI2208=0,"",Registered!AI2208&amp;" BG")</f>
        <v/>
      </c>
      <c r="AY2208" s="2" t="str">
        <f>IF(Registered!AG2208=0,"",Registered!AG2208&amp;" DustMask")</f>
        <v/>
      </c>
    </row>
    <row r="2209" spans="1:51" customFormat="1" x14ac:dyDescent="0.25">
      <c r="A2209" t="s">
        <v>199</v>
      </c>
      <c r="B2209" t="s">
        <v>2363</v>
      </c>
      <c r="C2209" t="s">
        <v>6090</v>
      </c>
      <c r="D2209" t="s">
        <v>2364</v>
      </c>
      <c r="E2209" t="s">
        <v>117</v>
      </c>
      <c r="F2209" t="s">
        <v>261</v>
      </c>
      <c r="I2209" t="s">
        <v>2365</v>
      </c>
      <c r="J2209" t="s">
        <v>37</v>
      </c>
      <c r="K2209" t="s">
        <v>32</v>
      </c>
      <c r="L2209" t="s">
        <v>35</v>
      </c>
      <c r="S2209">
        <v>1</v>
      </c>
      <c r="T2209">
        <v>3</v>
      </c>
      <c r="AC2209">
        <v>1</v>
      </c>
      <c r="AD2209">
        <v>10</v>
      </c>
      <c r="AE2209">
        <v>1</v>
      </c>
      <c r="AF2209">
        <v>6</v>
      </c>
      <c r="AO2209">
        <v>1</v>
      </c>
      <c r="AP2209">
        <v>10</v>
      </c>
      <c r="AQ2209">
        <v>29</v>
      </c>
      <c r="AR2209" s="3">
        <f t="shared" si="102"/>
        <v>5</v>
      </c>
      <c r="AS2209" s="3">
        <f t="shared" si="103"/>
        <v>1</v>
      </c>
      <c r="AT2209" s="3" t="str">
        <f>IF(OR(Registered!AM2209&gt;0,Registered!AO2209&gt;0),(IF(Registered!E2209=0,"Size Not Specified",Registered!E2209)),"")</f>
        <v>Large</v>
      </c>
      <c r="AU2209" s="3" t="str">
        <f>IF(Registered!AE2209=0,"",IF(Registered!AE2209=1,Registered!AE2209&amp;" Bandana",Registered!AE2209&amp;" Bandanas"))</f>
        <v>1 Bandana</v>
      </c>
      <c r="AV2209" s="3">
        <f t="shared" si="104"/>
        <v>0</v>
      </c>
      <c r="AW2209" s="2" t="str">
        <f>IF(Registered!AV2209=0,"",IF(Registered!AV2209=1,Registered!AV2209&amp;" Meal",Registered!AV2209&amp;" Meals"))</f>
        <v/>
      </c>
      <c r="AX2209" s="2" t="str">
        <f>IF(Registered!AI2209=0,"",Registered!AI2209&amp;" BG")</f>
        <v/>
      </c>
      <c r="AY2209" s="2" t="str">
        <f>IF(Registered!AG2209=0,"",Registered!AG2209&amp;" DustMask")</f>
        <v/>
      </c>
    </row>
    <row r="2210" spans="1:51" customFormat="1" x14ac:dyDescent="0.25">
      <c r="A2210" t="s">
        <v>140</v>
      </c>
      <c r="B2210" t="s">
        <v>3383</v>
      </c>
      <c r="C2210" t="s">
        <v>6090</v>
      </c>
      <c r="G2210" t="s">
        <v>671</v>
      </c>
      <c r="H2210" t="s">
        <v>1252</v>
      </c>
      <c r="I2210" t="s">
        <v>2951</v>
      </c>
      <c r="J2210" t="s">
        <v>37</v>
      </c>
      <c r="K2210" t="s">
        <v>32</v>
      </c>
      <c r="L2210" t="s">
        <v>35</v>
      </c>
      <c r="AQ2210">
        <v>0</v>
      </c>
      <c r="AR2210" s="3">
        <f t="shared" si="102"/>
        <v>0</v>
      </c>
      <c r="AS2210" s="3">
        <f t="shared" si="103"/>
        <v>0</v>
      </c>
      <c r="AT2210" s="3" t="str">
        <f>IF(OR(Registered!AM2210&gt;0,Registered!AO2210&gt;0),(IF(Registered!E2210=0,"Size Not Specified",Registered!E2210)),"")</f>
        <v/>
      </c>
      <c r="AU2210" s="3" t="str">
        <f>IF(Registered!AE2210=0,"",IF(Registered!AE2210=1,Registered!AE2210&amp;" Bandana",Registered!AE2210&amp;" Bandanas"))</f>
        <v/>
      </c>
      <c r="AV2210" s="3">
        <f t="shared" si="104"/>
        <v>0</v>
      </c>
      <c r="AW2210" s="2" t="str">
        <f>IF(Registered!AV2210=0,"",IF(Registered!AV2210=1,Registered!AV2210&amp;" Meal",Registered!AV2210&amp;" Meals"))</f>
        <v/>
      </c>
      <c r="AX2210" s="2" t="str">
        <f>IF(Registered!AI2210=0,"",Registered!AI2210&amp;" BG")</f>
        <v/>
      </c>
      <c r="AY2210" s="2" t="str">
        <f>IF(Registered!AG2210=0,"",Registered!AG2210&amp;" DustMask")</f>
        <v/>
      </c>
    </row>
    <row r="2211" spans="1:51" customFormat="1" x14ac:dyDescent="0.25">
      <c r="A2211" t="s">
        <v>3384</v>
      </c>
      <c r="B2211" t="s">
        <v>3385</v>
      </c>
      <c r="C2211" t="s">
        <v>6090</v>
      </c>
      <c r="D2211" t="s">
        <v>3386</v>
      </c>
      <c r="F2211" t="s">
        <v>261</v>
      </c>
      <c r="I2211" t="s">
        <v>3387</v>
      </c>
      <c r="J2211" t="s">
        <v>37</v>
      </c>
      <c r="K2211" t="s">
        <v>32</v>
      </c>
      <c r="L2211" t="s">
        <v>35</v>
      </c>
      <c r="Q2211">
        <v>1</v>
      </c>
      <c r="R2211">
        <v>3</v>
      </c>
      <c r="AC2211">
        <v>1</v>
      </c>
      <c r="AD2211">
        <v>10</v>
      </c>
      <c r="AQ2211">
        <v>13</v>
      </c>
      <c r="AR2211" s="3">
        <f t="shared" si="102"/>
        <v>5</v>
      </c>
      <c r="AS2211" s="3">
        <f t="shared" si="103"/>
        <v>0</v>
      </c>
      <c r="AT2211" s="3" t="str">
        <f>IF(OR(Registered!AM2211&gt;0,Registered!AO2211&gt;0),(IF(Registered!E2211=0,"Size Not Specified",Registered!E2211)),"")</f>
        <v/>
      </c>
      <c r="AU2211" s="3" t="str">
        <f>IF(Registered!AE2211=0,"",IF(Registered!AE2211=1,Registered!AE2211&amp;" Bandana",Registered!AE2211&amp;" Bandanas"))</f>
        <v/>
      </c>
      <c r="AV2211" s="3">
        <f t="shared" si="104"/>
        <v>0</v>
      </c>
      <c r="AW2211" s="2" t="str">
        <f>IF(Registered!AV2211=0,"",IF(Registered!AV2211=1,Registered!AV2211&amp;" Meal",Registered!AV2211&amp;" Meals"))</f>
        <v/>
      </c>
      <c r="AX2211" s="2" t="str">
        <f>IF(Registered!AI2211=0,"",Registered!AI2211&amp;" BG")</f>
        <v/>
      </c>
      <c r="AY2211" s="2" t="str">
        <f>IF(Registered!AG2211=0,"",Registered!AG2211&amp;" DustMask")</f>
        <v/>
      </c>
    </row>
    <row r="2212" spans="1:51" customFormat="1" x14ac:dyDescent="0.25">
      <c r="A2212" t="s">
        <v>5165</v>
      </c>
      <c r="B2212" t="s">
        <v>5664</v>
      </c>
      <c r="C2212" t="s">
        <v>6090</v>
      </c>
      <c r="G2212" t="s">
        <v>220</v>
      </c>
      <c r="H2212" t="s">
        <v>4238</v>
      </c>
      <c r="I2212" t="s">
        <v>4240</v>
      </c>
      <c r="J2212" t="s">
        <v>37</v>
      </c>
      <c r="K2212" t="s">
        <v>32</v>
      </c>
      <c r="L2212" t="s">
        <v>35</v>
      </c>
      <c r="AQ2212">
        <v>0</v>
      </c>
      <c r="AR2212" s="3">
        <f t="shared" si="102"/>
        <v>0</v>
      </c>
      <c r="AS2212" s="3">
        <f t="shared" si="103"/>
        <v>0</v>
      </c>
      <c r="AT2212" s="3" t="str">
        <f>IF(OR(Registered!AM2212&gt;0,Registered!AO2212&gt;0),(IF(Registered!E2212=0,"Size Not Specified",Registered!E2212)),"")</f>
        <v/>
      </c>
      <c r="AU2212" s="3" t="str">
        <f>IF(Registered!AE2212=0,"",IF(Registered!AE2212=1,Registered!AE2212&amp;" Bandana",Registered!AE2212&amp;" Bandanas"))</f>
        <v/>
      </c>
      <c r="AV2212" s="3">
        <f t="shared" si="104"/>
        <v>0</v>
      </c>
      <c r="AW2212" s="2" t="str">
        <f>IF(Registered!AV2212=0,"",IF(Registered!AV2212=1,Registered!AV2212&amp;" Meal",Registered!AV2212&amp;" Meals"))</f>
        <v/>
      </c>
      <c r="AX2212" s="2" t="str">
        <f>IF(Registered!AI2212=0,"",Registered!AI2212&amp;" BG")</f>
        <v/>
      </c>
      <c r="AY2212" s="2" t="str">
        <f>IF(Registered!AG2212=0,"",Registered!AG2212&amp;" DustMask")</f>
        <v/>
      </c>
    </row>
    <row r="2213" spans="1:51" customFormat="1" x14ac:dyDescent="0.25">
      <c r="A2213" t="s">
        <v>5668</v>
      </c>
      <c r="B2213" t="s">
        <v>5669</v>
      </c>
      <c r="C2213" t="s">
        <v>6090</v>
      </c>
      <c r="D2213" t="s">
        <v>5670</v>
      </c>
      <c r="F2213" t="s">
        <v>261</v>
      </c>
      <c r="I2213" t="s">
        <v>5671</v>
      </c>
      <c r="J2213" t="s">
        <v>37</v>
      </c>
      <c r="K2213" t="s">
        <v>32</v>
      </c>
      <c r="L2213" t="s">
        <v>35</v>
      </c>
      <c r="Q2213">
        <v>2</v>
      </c>
      <c r="R2213">
        <v>3</v>
      </c>
      <c r="AC2213">
        <v>1</v>
      </c>
      <c r="AD2213">
        <v>10</v>
      </c>
      <c r="AK2213">
        <v>2</v>
      </c>
      <c r="AL2213">
        <v>6</v>
      </c>
      <c r="AQ2213">
        <v>28</v>
      </c>
      <c r="AR2213" s="3">
        <f t="shared" si="102"/>
        <v>5</v>
      </c>
      <c r="AS2213" s="3">
        <f t="shared" si="103"/>
        <v>0</v>
      </c>
      <c r="AT2213" s="3" t="str">
        <f>IF(OR(Registered!AM2213&gt;0,Registered!AO2213&gt;0),(IF(Registered!E2213=0,"Size Not Specified",Registered!E2213)),"")</f>
        <v/>
      </c>
      <c r="AU2213" s="3" t="str">
        <f>IF(Registered!AE2213=0,"",IF(Registered!AE2213=1,Registered!AE2213&amp;" Bandana",Registered!AE2213&amp;" Bandanas"))</f>
        <v/>
      </c>
      <c r="AV2213" s="3">
        <f t="shared" si="104"/>
        <v>2</v>
      </c>
      <c r="AW2213" s="2" t="str">
        <f>IF(Registered!AV2213=0,"",IF(Registered!AV2213=1,Registered!AV2213&amp;" Meal",Registered!AV2213&amp;" Meals"))</f>
        <v>2 Meals</v>
      </c>
      <c r="AX2213" s="2" t="str">
        <f>IF(Registered!AI2213=0,"",Registered!AI2213&amp;" BG")</f>
        <v/>
      </c>
      <c r="AY2213" s="2" t="str">
        <f>IF(Registered!AG2213=0,"",Registered!AG2213&amp;" DustMask")</f>
        <v/>
      </c>
    </row>
    <row r="2214" spans="1:51" customFormat="1" x14ac:dyDescent="0.25">
      <c r="A2214" t="s">
        <v>75</v>
      </c>
      <c r="B2214" t="s">
        <v>3388</v>
      </c>
      <c r="C2214" t="s">
        <v>6090</v>
      </c>
      <c r="G2214" t="s">
        <v>136</v>
      </c>
      <c r="H2214" t="s">
        <v>3072</v>
      </c>
      <c r="I2214" t="s">
        <v>3074</v>
      </c>
      <c r="J2214" t="s">
        <v>37</v>
      </c>
      <c r="K2214" t="s">
        <v>32</v>
      </c>
      <c r="L2214" t="s">
        <v>35</v>
      </c>
      <c r="AQ2214">
        <v>0</v>
      </c>
      <c r="AR2214" s="3">
        <f t="shared" si="102"/>
        <v>0</v>
      </c>
      <c r="AS2214" s="3">
        <f t="shared" si="103"/>
        <v>0</v>
      </c>
      <c r="AT2214" s="3" t="str">
        <f>IF(OR(Registered!AM2214&gt;0,Registered!AO2214&gt;0),(IF(Registered!E2214=0,"Size Not Specified",Registered!E2214)),"")</f>
        <v/>
      </c>
      <c r="AU2214" s="3" t="str">
        <f>IF(Registered!AE2214=0,"",IF(Registered!AE2214=1,Registered!AE2214&amp;" Bandana",Registered!AE2214&amp;" Bandanas"))</f>
        <v/>
      </c>
      <c r="AV2214" s="3">
        <f t="shared" si="104"/>
        <v>0</v>
      </c>
      <c r="AW2214" s="2" t="str">
        <f>IF(Registered!AV2214=0,"",IF(Registered!AV2214=1,Registered!AV2214&amp;" Meal",Registered!AV2214&amp;" Meals"))</f>
        <v/>
      </c>
      <c r="AX2214" s="2" t="str">
        <f>IF(Registered!AI2214=0,"",Registered!AI2214&amp;" BG")</f>
        <v/>
      </c>
      <c r="AY2214" s="2" t="str">
        <f>IF(Registered!AG2214=0,"",Registered!AG2214&amp;" DustMask")</f>
        <v/>
      </c>
    </row>
    <row r="2215" spans="1:51" customFormat="1" x14ac:dyDescent="0.25">
      <c r="A2215" t="s">
        <v>49</v>
      </c>
      <c r="B2215" t="s">
        <v>2366</v>
      </c>
      <c r="C2215" t="s">
        <v>6090</v>
      </c>
      <c r="G2215" t="s">
        <v>2367</v>
      </c>
      <c r="H2215" t="s">
        <v>2366</v>
      </c>
      <c r="I2215" t="s">
        <v>2368</v>
      </c>
      <c r="J2215" t="s">
        <v>37</v>
      </c>
      <c r="K2215" t="s">
        <v>32</v>
      </c>
      <c r="L2215" t="s">
        <v>35</v>
      </c>
      <c r="AQ2215">
        <v>0</v>
      </c>
      <c r="AR2215" s="3">
        <f t="shared" si="102"/>
        <v>0</v>
      </c>
      <c r="AS2215" s="3">
        <f t="shared" si="103"/>
        <v>0</v>
      </c>
      <c r="AT2215" s="3" t="str">
        <f>IF(OR(Registered!AM2215&gt;0,Registered!AO2215&gt;0),(IF(Registered!E2215=0,"Size Not Specified",Registered!E2215)),"")</f>
        <v/>
      </c>
      <c r="AU2215" s="3" t="str">
        <f>IF(Registered!AE2215=0,"",IF(Registered!AE2215=1,Registered!AE2215&amp;" Bandana",Registered!AE2215&amp;" Bandanas"))</f>
        <v/>
      </c>
      <c r="AV2215" s="3">
        <f t="shared" si="104"/>
        <v>0</v>
      </c>
      <c r="AW2215" s="2" t="str">
        <f>IF(Registered!AV2215=0,"",IF(Registered!AV2215=1,Registered!AV2215&amp;" Meal",Registered!AV2215&amp;" Meals"))</f>
        <v/>
      </c>
      <c r="AX2215" s="2" t="str">
        <f>IF(Registered!AI2215=0,"",Registered!AI2215&amp;" BG")</f>
        <v/>
      </c>
      <c r="AY2215" s="2" t="str">
        <f>IF(Registered!AG2215=0,"",Registered!AG2215&amp;" DustMask")</f>
        <v/>
      </c>
    </row>
    <row r="2216" spans="1:51" customFormat="1" x14ac:dyDescent="0.25">
      <c r="A2216" t="s">
        <v>2367</v>
      </c>
      <c r="B2216" t="s">
        <v>2366</v>
      </c>
      <c r="C2216" t="s">
        <v>6090</v>
      </c>
      <c r="D2216" t="s">
        <v>49</v>
      </c>
      <c r="I2216" t="s">
        <v>2368</v>
      </c>
      <c r="J2216" t="s">
        <v>37</v>
      </c>
      <c r="K2216" t="s">
        <v>32</v>
      </c>
      <c r="L2216" t="s">
        <v>35</v>
      </c>
      <c r="O2216">
        <v>2</v>
      </c>
      <c r="P2216">
        <v>3</v>
      </c>
      <c r="AC2216">
        <v>1</v>
      </c>
      <c r="AD2216">
        <v>10</v>
      </c>
      <c r="AK2216">
        <v>2</v>
      </c>
      <c r="AL2216">
        <v>6</v>
      </c>
      <c r="AQ2216">
        <v>28</v>
      </c>
      <c r="AR2216" s="3">
        <f t="shared" si="102"/>
        <v>5</v>
      </c>
      <c r="AS2216" s="3">
        <f t="shared" si="103"/>
        <v>0</v>
      </c>
      <c r="AT2216" s="3" t="str">
        <f>IF(OR(Registered!AM2216&gt;0,Registered!AO2216&gt;0),(IF(Registered!E2216=0,"Size Not Specified",Registered!E2216)),"")</f>
        <v/>
      </c>
      <c r="AU2216" s="3" t="str">
        <f>IF(Registered!AE2216=0,"",IF(Registered!AE2216=1,Registered!AE2216&amp;" Bandana",Registered!AE2216&amp;" Bandanas"))</f>
        <v/>
      </c>
      <c r="AV2216" s="3">
        <f t="shared" si="104"/>
        <v>2</v>
      </c>
      <c r="AW2216" s="2" t="str">
        <f>IF(Registered!AV2216=0,"",IF(Registered!AV2216=1,Registered!AV2216&amp;" Meal",Registered!AV2216&amp;" Meals"))</f>
        <v>2 Meals</v>
      </c>
      <c r="AX2216" s="2" t="str">
        <f>IF(Registered!AI2216=0,"",Registered!AI2216&amp;" BG")</f>
        <v/>
      </c>
      <c r="AY2216" s="2" t="str">
        <f>IF(Registered!AG2216=0,"",Registered!AG2216&amp;" DustMask")</f>
        <v/>
      </c>
    </row>
    <row r="2217" spans="1:51" customFormat="1" x14ac:dyDescent="0.25">
      <c r="A2217" t="s">
        <v>4323</v>
      </c>
      <c r="B2217" t="s">
        <v>5672</v>
      </c>
      <c r="C2217" t="s">
        <v>6090</v>
      </c>
      <c r="D2217" t="s">
        <v>5673</v>
      </c>
      <c r="F2217" t="s">
        <v>261</v>
      </c>
      <c r="I2217" t="s">
        <v>5674</v>
      </c>
      <c r="J2217" t="s">
        <v>37</v>
      </c>
      <c r="K2217" t="s">
        <v>32</v>
      </c>
      <c r="L2217" t="s">
        <v>35</v>
      </c>
      <c r="Q2217">
        <v>1</v>
      </c>
      <c r="R2217">
        <v>3</v>
      </c>
      <c r="AC2217">
        <v>1</v>
      </c>
      <c r="AD2217">
        <v>10</v>
      </c>
      <c r="AQ2217">
        <v>13</v>
      </c>
      <c r="AR2217" s="3">
        <f t="shared" si="102"/>
        <v>5</v>
      </c>
      <c r="AS2217" s="3">
        <f t="shared" si="103"/>
        <v>0</v>
      </c>
      <c r="AT2217" s="3" t="str">
        <f>IF(OR(Registered!AM2217&gt;0,Registered!AO2217&gt;0),(IF(Registered!E2217=0,"Size Not Specified",Registered!E2217)),"")</f>
        <v/>
      </c>
      <c r="AU2217" s="3" t="str">
        <f>IF(Registered!AE2217=0,"",IF(Registered!AE2217=1,Registered!AE2217&amp;" Bandana",Registered!AE2217&amp;" Bandanas"))</f>
        <v/>
      </c>
      <c r="AV2217" s="3">
        <f t="shared" si="104"/>
        <v>0</v>
      </c>
      <c r="AW2217" s="2" t="str">
        <f>IF(Registered!AV2217=0,"",IF(Registered!AV2217=1,Registered!AV2217&amp;" Meal",Registered!AV2217&amp;" Meals"))</f>
        <v/>
      </c>
      <c r="AX2217" s="2" t="str">
        <f>IF(Registered!AI2217=0,"",Registered!AI2217&amp;" BG")</f>
        <v/>
      </c>
      <c r="AY2217" s="2" t="str">
        <f>IF(Registered!AG2217=0,"",Registered!AG2217&amp;" DustMask")</f>
        <v/>
      </c>
    </row>
    <row r="2218" spans="1:51" customFormat="1" x14ac:dyDescent="0.25">
      <c r="A2218" t="s">
        <v>2370</v>
      </c>
      <c r="B2218" t="s">
        <v>2371</v>
      </c>
      <c r="C2218" t="s">
        <v>6090</v>
      </c>
      <c r="G2218" t="s">
        <v>150</v>
      </c>
      <c r="H2218" t="s">
        <v>2371</v>
      </c>
      <c r="I2218" t="s">
        <v>2372</v>
      </c>
      <c r="J2218" t="s">
        <v>37</v>
      </c>
      <c r="K2218" t="s">
        <v>32</v>
      </c>
      <c r="L2218" t="s">
        <v>35</v>
      </c>
      <c r="AQ2218">
        <v>0</v>
      </c>
      <c r="AR2218" s="3">
        <f t="shared" si="102"/>
        <v>0</v>
      </c>
      <c r="AS2218" s="3">
        <f t="shared" si="103"/>
        <v>0</v>
      </c>
      <c r="AT2218" s="3" t="str">
        <f>IF(OR(Registered!AM2218&gt;0,Registered!AO2218&gt;0),(IF(Registered!E2218=0,"Size Not Specified",Registered!E2218)),"")</f>
        <v/>
      </c>
      <c r="AU2218" s="3" t="str">
        <f>IF(Registered!AE2218=0,"",IF(Registered!AE2218=1,Registered!AE2218&amp;" Bandana",Registered!AE2218&amp;" Bandanas"))</f>
        <v/>
      </c>
      <c r="AV2218" s="3">
        <f t="shared" si="104"/>
        <v>0</v>
      </c>
      <c r="AW2218" s="2" t="str">
        <f>IF(Registered!AV2218=0,"",IF(Registered!AV2218=1,Registered!AV2218&amp;" Meal",Registered!AV2218&amp;" Meals"))</f>
        <v/>
      </c>
      <c r="AX2218" s="2" t="str">
        <f>IF(Registered!AI2218=0,"",Registered!AI2218&amp;" BG")</f>
        <v/>
      </c>
      <c r="AY2218" s="2" t="str">
        <f>IF(Registered!AG2218=0,"",Registered!AG2218&amp;" DustMask")</f>
        <v/>
      </c>
    </row>
    <row r="2219" spans="1:51" customFormat="1" x14ac:dyDescent="0.25">
      <c r="A2219" t="s">
        <v>150</v>
      </c>
      <c r="B2219" t="s">
        <v>2371</v>
      </c>
      <c r="C2219" t="s">
        <v>6090</v>
      </c>
      <c r="D2219" t="s">
        <v>2373</v>
      </c>
      <c r="E2219" t="s">
        <v>2374</v>
      </c>
      <c r="I2219" t="s">
        <v>2372</v>
      </c>
      <c r="J2219" t="s">
        <v>37</v>
      </c>
      <c r="K2219" t="s">
        <v>32</v>
      </c>
      <c r="L2219" t="s">
        <v>35</v>
      </c>
      <c r="M2219">
        <v>6</v>
      </c>
      <c r="N2219">
        <v>3</v>
      </c>
      <c r="W2219">
        <v>1</v>
      </c>
      <c r="X2219">
        <v>40</v>
      </c>
      <c r="Y2219">
        <v>1</v>
      </c>
      <c r="Z2219">
        <v>60</v>
      </c>
      <c r="AK2219">
        <v>3</v>
      </c>
      <c r="AL2219">
        <v>6</v>
      </c>
      <c r="AM2219">
        <v>3</v>
      </c>
      <c r="AN2219">
        <v>25</v>
      </c>
      <c r="AQ2219">
        <v>211</v>
      </c>
      <c r="AR2219" s="3">
        <f t="shared" si="102"/>
        <v>65</v>
      </c>
      <c r="AS2219" s="3">
        <f t="shared" si="103"/>
        <v>3</v>
      </c>
      <c r="AT2219" s="3" t="str">
        <f>IF(OR(Registered!AM2219&gt;0,Registered!AO2219&gt;0),(IF(Registered!E2219=0,"Size Not Specified",Registered!E2219)),"")</f>
        <v>all Med</v>
      </c>
      <c r="AU2219" s="3" t="str">
        <f>IF(Registered!AE2219=0,"",IF(Registered!AE2219=1,Registered!AE2219&amp;" Bandana",Registered!AE2219&amp;" Bandanas"))</f>
        <v/>
      </c>
      <c r="AV2219" s="3">
        <f t="shared" si="104"/>
        <v>6</v>
      </c>
      <c r="AW2219" s="2" t="str">
        <f>IF(Registered!AV2219=0,"",IF(Registered!AV2219=1,Registered!AV2219&amp;" Meal",Registered!AV2219&amp;" Meals"))</f>
        <v>6 Meals</v>
      </c>
      <c r="AX2219" s="2" t="str">
        <f>IF(Registered!AI2219=0,"",Registered!AI2219&amp;" BG")</f>
        <v/>
      </c>
      <c r="AY2219" s="2" t="str">
        <f>IF(Registered!AG2219=0,"",Registered!AG2219&amp;" DustMask")</f>
        <v/>
      </c>
    </row>
    <row r="2220" spans="1:51" customFormat="1" x14ac:dyDescent="0.25">
      <c r="A2220" t="s">
        <v>2370</v>
      </c>
      <c r="B2220" t="s">
        <v>2375</v>
      </c>
      <c r="C2220" t="s">
        <v>6090</v>
      </c>
      <c r="G2220" t="s">
        <v>150</v>
      </c>
      <c r="H2220" t="s">
        <v>2371</v>
      </c>
      <c r="I2220" t="s">
        <v>2372</v>
      </c>
      <c r="J2220" t="s">
        <v>37</v>
      </c>
      <c r="K2220" t="s">
        <v>32</v>
      </c>
      <c r="L2220" t="s">
        <v>35</v>
      </c>
      <c r="AQ2220">
        <v>0</v>
      </c>
      <c r="AR2220" s="3">
        <f t="shared" si="102"/>
        <v>0</v>
      </c>
      <c r="AS2220" s="3">
        <f t="shared" si="103"/>
        <v>0</v>
      </c>
      <c r="AT2220" s="3" t="str">
        <f>IF(OR(Registered!AM2220&gt;0,Registered!AO2220&gt;0),(IF(Registered!E2220=0,"Size Not Specified",Registered!E2220)),"")</f>
        <v/>
      </c>
      <c r="AU2220" s="3" t="str">
        <f>IF(Registered!AE2220=0,"",IF(Registered!AE2220=1,Registered!AE2220&amp;" Bandana",Registered!AE2220&amp;" Bandanas"))</f>
        <v/>
      </c>
      <c r="AV2220" s="3">
        <f t="shared" si="104"/>
        <v>0</v>
      </c>
      <c r="AW2220" s="2" t="str">
        <f>IF(Registered!AV2220=0,"",IF(Registered!AV2220=1,Registered!AV2220&amp;" Meal",Registered!AV2220&amp;" Meals"))</f>
        <v/>
      </c>
      <c r="AX2220" s="2" t="str">
        <f>IF(Registered!AI2220=0,"",Registered!AI2220&amp;" BG")</f>
        <v/>
      </c>
      <c r="AY2220" s="2" t="str">
        <f>IF(Registered!AG2220=0,"",Registered!AG2220&amp;" DustMask")</f>
        <v/>
      </c>
    </row>
    <row r="2221" spans="1:51" customFormat="1" x14ac:dyDescent="0.25">
      <c r="A2221" t="s">
        <v>150</v>
      </c>
      <c r="B2221" t="s">
        <v>2375</v>
      </c>
      <c r="C2221" t="s">
        <v>6090</v>
      </c>
      <c r="G2221" t="s">
        <v>150</v>
      </c>
      <c r="H2221" t="s">
        <v>2371</v>
      </c>
      <c r="I2221" t="s">
        <v>2372</v>
      </c>
      <c r="J2221" t="s">
        <v>37</v>
      </c>
      <c r="K2221" t="s">
        <v>32</v>
      </c>
      <c r="L2221" t="s">
        <v>35</v>
      </c>
      <c r="AQ2221">
        <v>0</v>
      </c>
      <c r="AR2221" s="3">
        <f t="shared" si="102"/>
        <v>0</v>
      </c>
      <c r="AS2221" s="3">
        <f t="shared" si="103"/>
        <v>0</v>
      </c>
      <c r="AT2221" s="3" t="str">
        <f>IF(OR(Registered!AM2221&gt;0,Registered!AO2221&gt;0),(IF(Registered!E2221=0,"Size Not Specified",Registered!E2221)),"")</f>
        <v/>
      </c>
      <c r="AU2221" s="3" t="str">
        <f>IF(Registered!AE2221=0,"",IF(Registered!AE2221=1,Registered!AE2221&amp;" Bandana",Registered!AE2221&amp;" Bandanas"))</f>
        <v/>
      </c>
      <c r="AV2221" s="3">
        <f t="shared" si="104"/>
        <v>0</v>
      </c>
      <c r="AW2221" s="2" t="str">
        <f>IF(Registered!AV2221=0,"",IF(Registered!AV2221=1,Registered!AV2221&amp;" Meal",Registered!AV2221&amp;" Meals"))</f>
        <v/>
      </c>
      <c r="AX2221" s="2" t="str">
        <f>IF(Registered!AI2221=0,"",Registered!AI2221&amp;" BG")</f>
        <v/>
      </c>
      <c r="AY2221" s="2" t="str">
        <f>IF(Registered!AG2221=0,"",Registered!AG2221&amp;" DustMask")</f>
        <v/>
      </c>
    </row>
    <row r="2222" spans="1:51" customFormat="1" x14ac:dyDescent="0.25">
      <c r="A2222" t="s">
        <v>47</v>
      </c>
      <c r="B2222" t="s">
        <v>5675</v>
      </c>
      <c r="C2222" t="s">
        <v>6090</v>
      </c>
      <c r="I2222" t="s">
        <v>5676</v>
      </c>
      <c r="J2222" t="s">
        <v>37</v>
      </c>
      <c r="K2222" t="s">
        <v>32</v>
      </c>
      <c r="L2222" t="s">
        <v>35</v>
      </c>
      <c r="Q2222">
        <v>1</v>
      </c>
      <c r="R2222">
        <v>3</v>
      </c>
      <c r="AQ2222">
        <v>3</v>
      </c>
      <c r="AR2222" s="3">
        <f t="shared" si="102"/>
        <v>0</v>
      </c>
      <c r="AS2222" s="3">
        <f t="shared" si="103"/>
        <v>0</v>
      </c>
      <c r="AT2222" s="3" t="str">
        <f>IF(OR(Registered!AM2222&gt;0,Registered!AO2222&gt;0),(IF(Registered!E2222=0,"Size Not Specified",Registered!E2222)),"")</f>
        <v/>
      </c>
      <c r="AU2222" s="3" t="str">
        <f>IF(Registered!AE2222=0,"",IF(Registered!AE2222=1,Registered!AE2222&amp;" Bandana",Registered!AE2222&amp;" Bandanas"))</f>
        <v/>
      </c>
      <c r="AV2222" s="3">
        <f t="shared" si="104"/>
        <v>0</v>
      </c>
      <c r="AW2222" s="2" t="str">
        <f>IF(Registered!AV2222=0,"",IF(Registered!AV2222=1,Registered!AV2222&amp;" Meal",Registered!AV2222&amp;" Meals"))</f>
        <v/>
      </c>
      <c r="AX2222" s="2" t="str">
        <f>IF(Registered!AI2222=0,"",Registered!AI2222&amp;" BG")</f>
        <v/>
      </c>
      <c r="AY2222" s="2" t="str">
        <f>IF(Registered!AG2222=0,"",Registered!AG2222&amp;" DustMask")</f>
        <v/>
      </c>
    </row>
    <row r="2223" spans="1:51" customFormat="1" x14ac:dyDescent="0.25">
      <c r="A2223" t="s">
        <v>3389</v>
      </c>
      <c r="B2223" t="s">
        <v>3390</v>
      </c>
      <c r="C2223" t="s">
        <v>6090</v>
      </c>
      <c r="G2223" t="s">
        <v>3312</v>
      </c>
      <c r="H2223" t="s">
        <v>3313</v>
      </c>
      <c r="I2223" t="s">
        <v>3315</v>
      </c>
      <c r="J2223" t="s">
        <v>37</v>
      </c>
      <c r="K2223" t="s">
        <v>32</v>
      </c>
      <c r="L2223" t="s">
        <v>35</v>
      </c>
      <c r="AQ2223">
        <v>0</v>
      </c>
      <c r="AR2223" s="3">
        <f t="shared" si="102"/>
        <v>0</v>
      </c>
      <c r="AS2223" s="3">
        <f t="shared" si="103"/>
        <v>0</v>
      </c>
      <c r="AT2223" s="3" t="str">
        <f>IF(OR(Registered!AM2223&gt;0,Registered!AO2223&gt;0),(IF(Registered!E2223=0,"Size Not Specified",Registered!E2223)),"")</f>
        <v/>
      </c>
      <c r="AU2223" s="3" t="str">
        <f>IF(Registered!AE2223=0,"",IF(Registered!AE2223=1,Registered!AE2223&amp;" Bandana",Registered!AE2223&amp;" Bandanas"))</f>
        <v/>
      </c>
      <c r="AV2223" s="3">
        <f t="shared" si="104"/>
        <v>0</v>
      </c>
      <c r="AW2223" s="2" t="str">
        <f>IF(Registered!AV2223=0,"",IF(Registered!AV2223=1,Registered!AV2223&amp;" Meal",Registered!AV2223&amp;" Meals"))</f>
        <v/>
      </c>
      <c r="AX2223" s="2" t="str">
        <f>IF(Registered!AI2223=0,"",Registered!AI2223&amp;" BG")</f>
        <v/>
      </c>
      <c r="AY2223" s="2" t="str">
        <f>IF(Registered!AG2223=0,"",Registered!AG2223&amp;" DustMask")</f>
        <v/>
      </c>
    </row>
    <row r="2224" spans="1:51" customFormat="1" x14ac:dyDescent="0.25">
      <c r="A2224" t="s">
        <v>2214</v>
      </c>
      <c r="B2224" t="s">
        <v>3391</v>
      </c>
      <c r="C2224" t="s">
        <v>6090</v>
      </c>
      <c r="D2224" t="s">
        <v>3392</v>
      </c>
      <c r="F2224" t="s">
        <v>261</v>
      </c>
      <c r="I2224" t="s">
        <v>3393</v>
      </c>
      <c r="J2224" t="s">
        <v>37</v>
      </c>
      <c r="K2224" t="s">
        <v>32</v>
      </c>
      <c r="L2224" t="s">
        <v>35</v>
      </c>
      <c r="Q2224">
        <v>2</v>
      </c>
      <c r="R2224">
        <v>3</v>
      </c>
      <c r="U2224">
        <v>1</v>
      </c>
      <c r="V2224">
        <v>20</v>
      </c>
      <c r="AQ2224">
        <v>26</v>
      </c>
      <c r="AR2224" s="3">
        <f t="shared" si="102"/>
        <v>10</v>
      </c>
      <c r="AS2224" s="3">
        <f t="shared" si="103"/>
        <v>0</v>
      </c>
      <c r="AT2224" s="3" t="str">
        <f>IF(OR(Registered!AM2224&gt;0,Registered!AO2224&gt;0),(IF(Registered!E2224=0,"Size Not Specified",Registered!E2224)),"")</f>
        <v/>
      </c>
      <c r="AU2224" s="3" t="str">
        <f>IF(Registered!AE2224=0,"",IF(Registered!AE2224=1,Registered!AE2224&amp;" Bandana",Registered!AE2224&amp;" Bandanas"))</f>
        <v/>
      </c>
      <c r="AV2224" s="3">
        <f t="shared" si="104"/>
        <v>0</v>
      </c>
      <c r="AW2224" s="2" t="str">
        <f>IF(Registered!AV2224=0,"",IF(Registered!AV2224=1,Registered!AV2224&amp;" Meal",Registered!AV2224&amp;" Meals"))</f>
        <v/>
      </c>
      <c r="AX2224" s="2" t="str">
        <f>IF(Registered!AI2224=0,"",Registered!AI2224&amp;" BG")</f>
        <v/>
      </c>
      <c r="AY2224" s="2" t="str">
        <f>IF(Registered!AG2224=0,"",Registered!AG2224&amp;" DustMask")</f>
        <v/>
      </c>
    </row>
    <row r="2225" spans="1:51" customFormat="1" x14ac:dyDescent="0.25">
      <c r="A2225" t="s">
        <v>373</v>
      </c>
      <c r="B2225" t="s">
        <v>3391</v>
      </c>
      <c r="C2225" t="s">
        <v>6090</v>
      </c>
      <c r="G2225" t="s">
        <v>2214</v>
      </c>
      <c r="H2225" t="s">
        <v>3391</v>
      </c>
      <c r="I2225" t="s">
        <v>3393</v>
      </c>
      <c r="J2225" t="s">
        <v>37</v>
      </c>
      <c r="K2225" t="s">
        <v>32</v>
      </c>
      <c r="L2225" t="s">
        <v>35</v>
      </c>
      <c r="AQ2225">
        <v>0</v>
      </c>
      <c r="AR2225" s="3">
        <f t="shared" si="102"/>
        <v>0</v>
      </c>
      <c r="AS2225" s="3">
        <f t="shared" si="103"/>
        <v>0</v>
      </c>
      <c r="AT2225" s="3" t="str">
        <f>IF(OR(Registered!AM2225&gt;0,Registered!AO2225&gt;0),(IF(Registered!E2225=0,"Size Not Specified",Registered!E2225)),"")</f>
        <v/>
      </c>
      <c r="AU2225" s="3" t="str">
        <f>IF(Registered!AE2225=0,"",IF(Registered!AE2225=1,Registered!AE2225&amp;" Bandana",Registered!AE2225&amp;" Bandanas"))</f>
        <v/>
      </c>
      <c r="AV2225" s="3">
        <f t="shared" si="104"/>
        <v>0</v>
      </c>
      <c r="AW2225" s="2" t="str">
        <f>IF(Registered!AV2225=0,"",IF(Registered!AV2225=1,Registered!AV2225&amp;" Meal",Registered!AV2225&amp;" Meals"))</f>
        <v/>
      </c>
      <c r="AX2225" s="2" t="str">
        <f>IF(Registered!AI2225=0,"",Registered!AI2225&amp;" BG")</f>
        <v/>
      </c>
      <c r="AY2225" s="2" t="str">
        <f>IF(Registered!AG2225=0,"",Registered!AG2225&amp;" DustMask")</f>
        <v/>
      </c>
    </row>
    <row r="2226" spans="1:51" customFormat="1" x14ac:dyDescent="0.25">
      <c r="A2226" t="s">
        <v>1818</v>
      </c>
      <c r="B2226" t="s">
        <v>5677</v>
      </c>
      <c r="C2226" t="s">
        <v>6090</v>
      </c>
      <c r="G2226" t="s">
        <v>130</v>
      </c>
      <c r="H2226" t="s">
        <v>5678</v>
      </c>
      <c r="I2226" t="s">
        <v>5679</v>
      </c>
      <c r="J2226" t="s">
        <v>37</v>
      </c>
      <c r="K2226" t="s">
        <v>32</v>
      </c>
      <c r="L2226" t="s">
        <v>35</v>
      </c>
      <c r="AQ2226">
        <v>0</v>
      </c>
      <c r="AR2226" s="3">
        <f t="shared" si="102"/>
        <v>0</v>
      </c>
      <c r="AS2226" s="3">
        <f t="shared" si="103"/>
        <v>0</v>
      </c>
      <c r="AT2226" s="3" t="str">
        <f>IF(OR(Registered!AM2226&gt;0,Registered!AO2226&gt;0),(IF(Registered!E2226=0,"Size Not Specified",Registered!E2226)),"")</f>
        <v/>
      </c>
      <c r="AU2226" s="3" t="str">
        <f>IF(Registered!AE2226=0,"",IF(Registered!AE2226=1,Registered!AE2226&amp;" Bandana",Registered!AE2226&amp;" Bandanas"))</f>
        <v/>
      </c>
      <c r="AV2226" s="3">
        <f t="shared" si="104"/>
        <v>0</v>
      </c>
      <c r="AW2226" s="2" t="str">
        <f>IF(Registered!AV2226=0,"",IF(Registered!AV2226=1,Registered!AV2226&amp;" Meal",Registered!AV2226&amp;" Meals"))</f>
        <v/>
      </c>
      <c r="AX2226" s="2" t="str">
        <f>IF(Registered!AI2226=0,"",Registered!AI2226&amp;" BG")</f>
        <v/>
      </c>
      <c r="AY2226" s="2" t="str">
        <f>IF(Registered!AG2226=0,"",Registered!AG2226&amp;" DustMask")</f>
        <v/>
      </c>
    </row>
    <row r="2227" spans="1:51" customFormat="1" x14ac:dyDescent="0.25">
      <c r="A2227" t="s">
        <v>2376</v>
      </c>
      <c r="B2227" t="s">
        <v>2358</v>
      </c>
      <c r="C2227" t="s">
        <v>6090</v>
      </c>
      <c r="G2227" t="s">
        <v>91</v>
      </c>
      <c r="H2227" t="s">
        <v>2358</v>
      </c>
      <c r="I2227" t="s">
        <v>2359</v>
      </c>
      <c r="J2227" t="s">
        <v>37</v>
      </c>
      <c r="K2227" t="s">
        <v>32</v>
      </c>
      <c r="L2227" t="s">
        <v>35</v>
      </c>
      <c r="AQ2227">
        <v>0</v>
      </c>
      <c r="AR2227" s="3">
        <f t="shared" si="102"/>
        <v>0</v>
      </c>
      <c r="AS2227" s="3">
        <f t="shared" si="103"/>
        <v>0</v>
      </c>
      <c r="AT2227" s="3" t="str">
        <f>IF(OR(Registered!AM2227&gt;0,Registered!AO2227&gt;0),(IF(Registered!E2227=0,"Size Not Specified",Registered!E2227)),"")</f>
        <v/>
      </c>
      <c r="AU2227" s="3" t="str">
        <f>IF(Registered!AE2227=0,"",IF(Registered!AE2227=1,Registered!AE2227&amp;" Bandana",Registered!AE2227&amp;" Bandanas"))</f>
        <v/>
      </c>
      <c r="AV2227" s="3">
        <f t="shared" si="104"/>
        <v>0</v>
      </c>
      <c r="AW2227" s="2" t="str">
        <f>IF(Registered!AV2227=0,"",IF(Registered!AV2227=1,Registered!AV2227&amp;" Meal",Registered!AV2227&amp;" Meals"))</f>
        <v/>
      </c>
      <c r="AX2227" s="2" t="str">
        <f>IF(Registered!AI2227=0,"",Registered!AI2227&amp;" BG")</f>
        <v/>
      </c>
      <c r="AY2227" s="2" t="str">
        <f>IF(Registered!AG2227=0,"",Registered!AG2227&amp;" DustMask")</f>
        <v/>
      </c>
    </row>
    <row r="2228" spans="1:51" customFormat="1" x14ac:dyDescent="0.25">
      <c r="A2228" t="s">
        <v>91</v>
      </c>
      <c r="B2228" t="s">
        <v>2358</v>
      </c>
      <c r="C2228" t="s">
        <v>6090</v>
      </c>
      <c r="D2228" t="s">
        <v>2377</v>
      </c>
      <c r="F2228" t="s">
        <v>261</v>
      </c>
      <c r="I2228" t="s">
        <v>2359</v>
      </c>
      <c r="J2228" t="s">
        <v>37</v>
      </c>
      <c r="K2228" t="s">
        <v>32</v>
      </c>
      <c r="L2228" t="s">
        <v>35</v>
      </c>
      <c r="S2228">
        <v>3</v>
      </c>
      <c r="T2228">
        <v>3</v>
      </c>
      <c r="U2228">
        <v>1</v>
      </c>
      <c r="V2228">
        <v>20</v>
      </c>
      <c r="AQ2228">
        <v>29</v>
      </c>
      <c r="AR2228" s="3">
        <f t="shared" si="102"/>
        <v>10</v>
      </c>
      <c r="AS2228" s="3">
        <f t="shared" si="103"/>
        <v>0</v>
      </c>
      <c r="AT2228" s="3" t="str">
        <f>IF(OR(Registered!AM2228&gt;0,Registered!AO2228&gt;0),(IF(Registered!E2228=0,"Size Not Specified",Registered!E2228)),"")</f>
        <v/>
      </c>
      <c r="AU2228" s="3" t="str">
        <f>IF(Registered!AE2228=0,"",IF(Registered!AE2228=1,Registered!AE2228&amp;" Bandana",Registered!AE2228&amp;" Bandanas"))</f>
        <v/>
      </c>
      <c r="AV2228" s="3">
        <f t="shared" si="104"/>
        <v>0</v>
      </c>
      <c r="AW2228" s="2" t="str">
        <f>IF(Registered!AV2228=0,"",IF(Registered!AV2228=1,Registered!AV2228&amp;" Meal",Registered!AV2228&amp;" Meals"))</f>
        <v/>
      </c>
      <c r="AX2228" s="2" t="str">
        <f>IF(Registered!AI2228=0,"",Registered!AI2228&amp;" BG")</f>
        <v/>
      </c>
      <c r="AY2228" s="2" t="str">
        <f>IF(Registered!AG2228=0,"",Registered!AG2228&amp;" DustMask")</f>
        <v/>
      </c>
    </row>
    <row r="2229" spans="1:51" customFormat="1" x14ac:dyDescent="0.25">
      <c r="A2229" t="s">
        <v>2378</v>
      </c>
      <c r="B2229" t="s">
        <v>1628</v>
      </c>
      <c r="C2229" t="s">
        <v>6090</v>
      </c>
      <c r="G2229" t="s">
        <v>1627</v>
      </c>
      <c r="H2229" t="s">
        <v>1628</v>
      </c>
      <c r="I2229" t="s">
        <v>1629</v>
      </c>
      <c r="J2229" t="s">
        <v>37</v>
      </c>
      <c r="K2229" t="s">
        <v>32</v>
      </c>
      <c r="L2229" t="s">
        <v>35</v>
      </c>
      <c r="AQ2229">
        <v>0</v>
      </c>
      <c r="AR2229" s="3">
        <f t="shared" si="102"/>
        <v>0</v>
      </c>
      <c r="AS2229" s="3">
        <f t="shared" si="103"/>
        <v>0</v>
      </c>
      <c r="AT2229" s="3" t="str">
        <f>IF(OR(Registered!AM2229&gt;0,Registered!AO2229&gt;0),(IF(Registered!E2229=0,"Size Not Specified",Registered!E2229)),"")</f>
        <v/>
      </c>
      <c r="AU2229" s="3" t="str">
        <f>IF(Registered!AE2229=0,"",IF(Registered!AE2229=1,Registered!AE2229&amp;" Bandana",Registered!AE2229&amp;" Bandanas"))</f>
        <v/>
      </c>
      <c r="AV2229" s="3">
        <f t="shared" si="104"/>
        <v>0</v>
      </c>
      <c r="AW2229" s="2" t="str">
        <f>IF(Registered!AV2229=0,"",IF(Registered!AV2229=1,Registered!AV2229&amp;" Meal",Registered!AV2229&amp;" Meals"))</f>
        <v/>
      </c>
      <c r="AX2229" s="2" t="str">
        <f>IF(Registered!AI2229=0,"",Registered!AI2229&amp;" BG")</f>
        <v/>
      </c>
      <c r="AY2229" s="2" t="str">
        <f>IF(Registered!AG2229=0,"",Registered!AG2229&amp;" DustMask")</f>
        <v/>
      </c>
    </row>
    <row r="2230" spans="1:51" customFormat="1" x14ac:dyDescent="0.25">
      <c r="A2230" t="s">
        <v>1627</v>
      </c>
      <c r="B2230" t="s">
        <v>1628</v>
      </c>
      <c r="C2230" t="s">
        <v>6090</v>
      </c>
      <c r="D2230" t="s">
        <v>2379</v>
      </c>
      <c r="F2230" t="s">
        <v>261</v>
      </c>
      <c r="I2230" t="s">
        <v>1629</v>
      </c>
      <c r="J2230" t="s">
        <v>37</v>
      </c>
      <c r="K2230" t="s">
        <v>32</v>
      </c>
      <c r="L2230" t="s">
        <v>35</v>
      </c>
      <c r="S2230">
        <v>5</v>
      </c>
      <c r="T2230">
        <v>3</v>
      </c>
      <c r="Y2230">
        <v>1</v>
      </c>
      <c r="Z2230">
        <v>60</v>
      </c>
      <c r="AQ2230">
        <v>75</v>
      </c>
      <c r="AR2230" s="3">
        <f t="shared" si="102"/>
        <v>30</v>
      </c>
      <c r="AS2230" s="3">
        <f t="shared" si="103"/>
        <v>0</v>
      </c>
      <c r="AT2230" s="3" t="str">
        <f>IF(OR(Registered!AM2230&gt;0,Registered!AO2230&gt;0),(IF(Registered!E2230=0,"Size Not Specified",Registered!E2230)),"")</f>
        <v/>
      </c>
      <c r="AU2230" s="3" t="str">
        <f>IF(Registered!AE2230=0,"",IF(Registered!AE2230=1,Registered!AE2230&amp;" Bandana",Registered!AE2230&amp;" Bandanas"))</f>
        <v/>
      </c>
      <c r="AV2230" s="3">
        <f t="shared" si="104"/>
        <v>0</v>
      </c>
      <c r="AW2230" s="2" t="str">
        <f>IF(Registered!AV2230=0,"",IF(Registered!AV2230=1,Registered!AV2230&amp;" Meal",Registered!AV2230&amp;" Meals"))</f>
        <v/>
      </c>
      <c r="AX2230" s="2" t="str">
        <f>IF(Registered!AI2230=0,"",Registered!AI2230&amp;" BG")</f>
        <v/>
      </c>
      <c r="AY2230" s="2" t="str">
        <f>IF(Registered!AG2230=0,"",Registered!AG2230&amp;" DustMask")</f>
        <v/>
      </c>
    </row>
    <row r="2231" spans="1:51" customFormat="1" x14ac:dyDescent="0.25">
      <c r="A2231" t="s">
        <v>4284</v>
      </c>
      <c r="B2231" t="s">
        <v>5680</v>
      </c>
      <c r="C2231" t="s">
        <v>6090</v>
      </c>
      <c r="G2231" t="s">
        <v>288</v>
      </c>
      <c r="H2231" t="s">
        <v>4216</v>
      </c>
      <c r="I2231" t="s">
        <v>4217</v>
      </c>
      <c r="J2231" t="s">
        <v>37</v>
      </c>
      <c r="K2231" t="s">
        <v>32</v>
      </c>
      <c r="L2231" t="s">
        <v>35</v>
      </c>
      <c r="AQ2231">
        <v>0</v>
      </c>
      <c r="AR2231" s="3">
        <f t="shared" si="102"/>
        <v>0</v>
      </c>
      <c r="AS2231" s="3">
        <f t="shared" si="103"/>
        <v>0</v>
      </c>
      <c r="AT2231" s="3" t="str">
        <f>IF(OR(Registered!AM2231&gt;0,Registered!AO2231&gt;0),(IF(Registered!E2231=0,"Size Not Specified",Registered!E2231)),"")</f>
        <v/>
      </c>
      <c r="AU2231" s="3" t="str">
        <f>IF(Registered!AE2231=0,"",IF(Registered!AE2231=1,Registered!AE2231&amp;" Bandana",Registered!AE2231&amp;" Bandanas"))</f>
        <v/>
      </c>
      <c r="AV2231" s="3">
        <f t="shared" si="104"/>
        <v>0</v>
      </c>
      <c r="AW2231" s="2" t="str">
        <f>IF(Registered!AV2231=0,"",IF(Registered!AV2231=1,Registered!AV2231&amp;" Meal",Registered!AV2231&amp;" Meals"))</f>
        <v/>
      </c>
      <c r="AX2231" s="2" t="str">
        <f>IF(Registered!AI2231=0,"",Registered!AI2231&amp;" BG")</f>
        <v/>
      </c>
      <c r="AY2231" s="2" t="str">
        <f>IF(Registered!AG2231=0,"",Registered!AG2231&amp;" DustMask")</f>
        <v/>
      </c>
    </row>
    <row r="2232" spans="1:51" customFormat="1" x14ac:dyDescent="0.25">
      <c r="A2232" t="s">
        <v>5681</v>
      </c>
      <c r="B2232" t="s">
        <v>5682</v>
      </c>
      <c r="C2232" t="s">
        <v>6090</v>
      </c>
      <c r="G2232" t="s">
        <v>4979</v>
      </c>
      <c r="H2232" t="s">
        <v>4980</v>
      </c>
      <c r="I2232" t="s">
        <v>4981</v>
      </c>
      <c r="J2232" t="s">
        <v>37</v>
      </c>
      <c r="K2232" t="s">
        <v>32</v>
      </c>
      <c r="L2232" t="s">
        <v>35</v>
      </c>
      <c r="AQ2232">
        <v>0</v>
      </c>
      <c r="AR2232" s="3">
        <f t="shared" si="102"/>
        <v>0</v>
      </c>
      <c r="AS2232" s="3">
        <f t="shared" si="103"/>
        <v>0</v>
      </c>
      <c r="AT2232" s="3" t="str">
        <f>IF(OR(Registered!AM2232&gt;0,Registered!AO2232&gt;0),(IF(Registered!E2232=0,"Size Not Specified",Registered!E2232)),"")</f>
        <v/>
      </c>
      <c r="AU2232" s="3" t="str">
        <f>IF(Registered!AE2232=0,"",IF(Registered!AE2232=1,Registered!AE2232&amp;" Bandana",Registered!AE2232&amp;" Bandanas"))</f>
        <v/>
      </c>
      <c r="AV2232" s="3">
        <f t="shared" si="104"/>
        <v>0</v>
      </c>
      <c r="AW2232" s="2" t="str">
        <f>IF(Registered!AV2232=0,"",IF(Registered!AV2232=1,Registered!AV2232&amp;" Meal",Registered!AV2232&amp;" Meals"))</f>
        <v/>
      </c>
      <c r="AX2232" s="2" t="str">
        <f>IF(Registered!AI2232=0,"",Registered!AI2232&amp;" BG")</f>
        <v/>
      </c>
      <c r="AY2232" s="2" t="str">
        <f>IF(Registered!AG2232=0,"",Registered!AG2232&amp;" DustMask")</f>
        <v/>
      </c>
    </row>
    <row r="2233" spans="1:51" customFormat="1" x14ac:dyDescent="0.25">
      <c r="A2233" t="s">
        <v>1443</v>
      </c>
      <c r="B2233" t="s">
        <v>3394</v>
      </c>
      <c r="C2233" t="s">
        <v>6090</v>
      </c>
      <c r="G2233" t="s">
        <v>136</v>
      </c>
      <c r="H2233" t="s">
        <v>3251</v>
      </c>
      <c r="I2233" t="s">
        <v>3253</v>
      </c>
      <c r="J2233" t="s">
        <v>37</v>
      </c>
      <c r="K2233" t="s">
        <v>32</v>
      </c>
      <c r="L2233" t="s">
        <v>35</v>
      </c>
      <c r="AQ2233">
        <v>0</v>
      </c>
      <c r="AR2233" s="3">
        <f t="shared" si="102"/>
        <v>0</v>
      </c>
      <c r="AS2233" s="3">
        <f t="shared" si="103"/>
        <v>0</v>
      </c>
      <c r="AT2233" s="3" t="str">
        <f>IF(OR(Registered!AM2233&gt;0,Registered!AO2233&gt;0),(IF(Registered!E2233=0,"Size Not Specified",Registered!E2233)),"")</f>
        <v/>
      </c>
      <c r="AU2233" s="3" t="str">
        <f>IF(Registered!AE2233=0,"",IF(Registered!AE2233=1,Registered!AE2233&amp;" Bandana",Registered!AE2233&amp;" Bandanas"))</f>
        <v/>
      </c>
      <c r="AV2233" s="3">
        <f t="shared" si="104"/>
        <v>0</v>
      </c>
      <c r="AW2233" s="2" t="str">
        <f>IF(Registered!AV2233=0,"",IF(Registered!AV2233=1,Registered!AV2233&amp;" Meal",Registered!AV2233&amp;" Meals"))</f>
        <v/>
      </c>
      <c r="AX2233" s="2" t="str">
        <f>IF(Registered!AI2233=0,"",Registered!AI2233&amp;" BG")</f>
        <v/>
      </c>
      <c r="AY2233" s="2" t="str">
        <f>IF(Registered!AG2233=0,"",Registered!AG2233&amp;" DustMask")</f>
        <v/>
      </c>
    </row>
    <row r="2234" spans="1:51" customFormat="1" x14ac:dyDescent="0.25">
      <c r="A2234" t="s">
        <v>91</v>
      </c>
      <c r="B2234" t="s">
        <v>2380</v>
      </c>
      <c r="C2234" t="s">
        <v>6090</v>
      </c>
      <c r="D2234" t="s">
        <v>70</v>
      </c>
      <c r="F2234" t="s">
        <v>261</v>
      </c>
      <c r="I2234" t="s">
        <v>2381</v>
      </c>
      <c r="J2234" t="s">
        <v>37</v>
      </c>
      <c r="K2234" t="s">
        <v>32</v>
      </c>
      <c r="L2234" t="s">
        <v>35</v>
      </c>
      <c r="S2234">
        <v>2</v>
      </c>
      <c r="T2234">
        <v>3</v>
      </c>
      <c r="U2234">
        <v>1</v>
      </c>
      <c r="V2234">
        <v>20</v>
      </c>
      <c r="AK2234">
        <v>2</v>
      </c>
      <c r="AL2234">
        <v>6</v>
      </c>
      <c r="AQ2234">
        <v>38</v>
      </c>
      <c r="AR2234" s="3">
        <f t="shared" si="102"/>
        <v>10</v>
      </c>
      <c r="AS2234" s="3">
        <f t="shared" si="103"/>
        <v>0</v>
      </c>
      <c r="AT2234" s="3" t="str">
        <f>IF(OR(Registered!AM2234&gt;0,Registered!AO2234&gt;0),(IF(Registered!E2234=0,"Size Not Specified",Registered!E2234)),"")</f>
        <v/>
      </c>
      <c r="AU2234" s="3" t="str">
        <f>IF(Registered!AE2234=0,"",IF(Registered!AE2234=1,Registered!AE2234&amp;" Bandana",Registered!AE2234&amp;" Bandanas"))</f>
        <v/>
      </c>
      <c r="AV2234" s="3">
        <f t="shared" si="104"/>
        <v>2</v>
      </c>
      <c r="AW2234" s="2" t="str">
        <f>IF(Registered!AV2234=0,"",IF(Registered!AV2234=1,Registered!AV2234&amp;" Meal",Registered!AV2234&amp;" Meals"))</f>
        <v>2 Meals</v>
      </c>
      <c r="AX2234" s="2" t="str">
        <f>IF(Registered!AI2234=0,"",Registered!AI2234&amp;" BG")</f>
        <v/>
      </c>
      <c r="AY2234" s="2" t="str">
        <f>IF(Registered!AG2234=0,"",Registered!AG2234&amp;" DustMask")</f>
        <v/>
      </c>
    </row>
    <row r="2235" spans="1:51" customFormat="1" x14ac:dyDescent="0.25">
      <c r="A2235" t="s">
        <v>839</v>
      </c>
      <c r="B2235" t="s">
        <v>2380</v>
      </c>
      <c r="C2235" t="s">
        <v>6090</v>
      </c>
      <c r="G2235" t="s">
        <v>5407</v>
      </c>
      <c r="H2235" t="s">
        <v>5408</v>
      </c>
      <c r="I2235" t="s">
        <v>5409</v>
      </c>
      <c r="J2235" t="s">
        <v>37</v>
      </c>
      <c r="K2235" t="s">
        <v>32</v>
      </c>
      <c r="L2235" t="s">
        <v>35</v>
      </c>
      <c r="AQ2235">
        <v>0</v>
      </c>
      <c r="AR2235" s="3">
        <f t="shared" si="102"/>
        <v>0</v>
      </c>
      <c r="AS2235" s="3">
        <f t="shared" si="103"/>
        <v>0</v>
      </c>
      <c r="AT2235" s="3" t="str">
        <f>IF(OR(Registered!AM2235&gt;0,Registered!AO2235&gt;0),(IF(Registered!E2235=0,"Size Not Specified",Registered!E2235)),"")</f>
        <v/>
      </c>
      <c r="AU2235" s="3" t="str">
        <f>IF(Registered!AE2235=0,"",IF(Registered!AE2235=1,Registered!AE2235&amp;" Bandana",Registered!AE2235&amp;" Bandanas"))</f>
        <v/>
      </c>
      <c r="AV2235" s="3">
        <f t="shared" si="104"/>
        <v>0</v>
      </c>
      <c r="AW2235" s="2" t="str">
        <f>IF(Registered!AV2235=0,"",IF(Registered!AV2235=1,Registered!AV2235&amp;" Meal",Registered!AV2235&amp;" Meals"))</f>
        <v/>
      </c>
      <c r="AX2235" s="2" t="str">
        <f>IF(Registered!AI2235=0,"",Registered!AI2235&amp;" BG")</f>
        <v/>
      </c>
      <c r="AY2235" s="2" t="str">
        <f>IF(Registered!AG2235=0,"",Registered!AG2235&amp;" DustMask")</f>
        <v/>
      </c>
    </row>
    <row r="2236" spans="1:51" customFormat="1" x14ac:dyDescent="0.25">
      <c r="A2236" t="s">
        <v>173</v>
      </c>
      <c r="B2236" t="s">
        <v>2380</v>
      </c>
      <c r="C2236" t="s">
        <v>6090</v>
      </c>
      <c r="G2236" t="s">
        <v>91</v>
      </c>
      <c r="H2236" t="s">
        <v>2380</v>
      </c>
      <c r="I2236" t="s">
        <v>2381</v>
      </c>
      <c r="J2236" t="s">
        <v>37</v>
      </c>
      <c r="K2236" t="s">
        <v>32</v>
      </c>
      <c r="L2236" t="s">
        <v>35</v>
      </c>
      <c r="AQ2236">
        <v>0</v>
      </c>
      <c r="AR2236" s="3">
        <f t="shared" si="102"/>
        <v>0</v>
      </c>
      <c r="AS2236" s="3">
        <f t="shared" si="103"/>
        <v>0</v>
      </c>
      <c r="AT2236" s="3" t="str">
        <f>IF(OR(Registered!AM2236&gt;0,Registered!AO2236&gt;0),(IF(Registered!E2236=0,"Size Not Specified",Registered!E2236)),"")</f>
        <v/>
      </c>
      <c r="AU2236" s="3" t="str">
        <f>IF(Registered!AE2236=0,"",IF(Registered!AE2236=1,Registered!AE2236&amp;" Bandana",Registered!AE2236&amp;" Bandanas"))</f>
        <v/>
      </c>
      <c r="AV2236" s="3">
        <f t="shared" si="104"/>
        <v>0</v>
      </c>
      <c r="AW2236" s="2" t="str">
        <f>IF(Registered!AV2236=0,"",IF(Registered!AV2236=1,Registered!AV2236&amp;" Meal",Registered!AV2236&amp;" Meals"))</f>
        <v/>
      </c>
      <c r="AX2236" s="2" t="str">
        <f>IF(Registered!AI2236=0,"",Registered!AI2236&amp;" BG")</f>
        <v/>
      </c>
      <c r="AY2236" s="2" t="str">
        <f>IF(Registered!AG2236=0,"",Registered!AG2236&amp;" DustMask")</f>
        <v/>
      </c>
    </row>
    <row r="2237" spans="1:51" customFormat="1" x14ac:dyDescent="0.25">
      <c r="A2237" t="s">
        <v>180</v>
      </c>
      <c r="B2237" t="s">
        <v>2382</v>
      </c>
      <c r="C2237" t="s">
        <v>6090</v>
      </c>
      <c r="D2237" t="s">
        <v>2383</v>
      </c>
      <c r="E2237" t="s">
        <v>2384</v>
      </c>
      <c r="F2237" t="s">
        <v>261</v>
      </c>
      <c r="I2237" t="s">
        <v>2385</v>
      </c>
      <c r="J2237" t="s">
        <v>37</v>
      </c>
      <c r="K2237" t="s">
        <v>32</v>
      </c>
      <c r="L2237" t="s">
        <v>35</v>
      </c>
      <c r="S2237">
        <v>2</v>
      </c>
      <c r="T2237">
        <v>3</v>
      </c>
      <c r="AE2237">
        <v>2</v>
      </c>
      <c r="AF2237">
        <v>6</v>
      </c>
      <c r="AI2237">
        <v>1</v>
      </c>
      <c r="AJ2237">
        <v>10</v>
      </c>
      <c r="AM2237">
        <v>2</v>
      </c>
      <c r="AN2237">
        <v>25</v>
      </c>
      <c r="AQ2237">
        <v>78</v>
      </c>
      <c r="AR2237" s="3">
        <f t="shared" si="102"/>
        <v>10</v>
      </c>
      <c r="AS2237" s="3">
        <f t="shared" si="103"/>
        <v>2</v>
      </c>
      <c r="AT2237" s="3" t="str">
        <f>IF(OR(Registered!AM2237&gt;0,Registered!AO2237&gt;0),(IF(Registered!E2237=0,"Size Not Specified",Registered!E2237)),"")</f>
        <v>XXXL and Medium</v>
      </c>
      <c r="AU2237" s="3" t="str">
        <f>IF(Registered!AE2237=0,"",IF(Registered!AE2237=1,Registered!AE2237&amp;" Bandana",Registered!AE2237&amp;" Bandanas"))</f>
        <v>2 Bandanas</v>
      </c>
      <c r="AV2237" s="3">
        <f t="shared" si="104"/>
        <v>2</v>
      </c>
      <c r="AW2237" s="2" t="str">
        <f>IF(Registered!AV2237=0,"",IF(Registered!AV2237=1,Registered!AV2237&amp;" Meal",Registered!AV2237&amp;" Meals"))</f>
        <v>2 Meals</v>
      </c>
      <c r="AX2237" s="2" t="str">
        <f>IF(Registered!AI2237=0,"",Registered!AI2237&amp;" BG")</f>
        <v>1 BG</v>
      </c>
      <c r="AY2237" s="2" t="str">
        <f>IF(Registered!AG2237=0,"",Registered!AG2237&amp;" DustMask")</f>
        <v/>
      </c>
    </row>
    <row r="2238" spans="1:51" customFormat="1" x14ac:dyDescent="0.25">
      <c r="A2238" t="s">
        <v>202</v>
      </c>
      <c r="B2238" t="s">
        <v>2382</v>
      </c>
      <c r="C2238" t="s">
        <v>6090</v>
      </c>
      <c r="G2238" t="s">
        <v>180</v>
      </c>
      <c r="H2238" t="s">
        <v>2382</v>
      </c>
      <c r="I2238" t="s">
        <v>2385</v>
      </c>
      <c r="J2238" t="s">
        <v>37</v>
      </c>
      <c r="K2238" t="s">
        <v>32</v>
      </c>
      <c r="L2238" t="s">
        <v>35</v>
      </c>
      <c r="AQ2238">
        <v>0</v>
      </c>
      <c r="AR2238" s="3">
        <f t="shared" si="102"/>
        <v>0</v>
      </c>
      <c r="AS2238" s="3">
        <f t="shared" si="103"/>
        <v>0</v>
      </c>
      <c r="AT2238" s="3" t="str">
        <f>IF(OR(Registered!AM2238&gt;0,Registered!AO2238&gt;0),(IF(Registered!E2238=0,"Size Not Specified",Registered!E2238)),"")</f>
        <v/>
      </c>
      <c r="AU2238" s="3" t="str">
        <f>IF(Registered!AE2238=0,"",IF(Registered!AE2238=1,Registered!AE2238&amp;" Bandana",Registered!AE2238&amp;" Bandanas"))</f>
        <v/>
      </c>
      <c r="AV2238" s="3">
        <f t="shared" si="104"/>
        <v>0</v>
      </c>
      <c r="AW2238" s="2" t="str">
        <f>IF(Registered!AV2238=0,"",IF(Registered!AV2238=1,Registered!AV2238&amp;" Meal",Registered!AV2238&amp;" Meals"))</f>
        <v/>
      </c>
      <c r="AX2238" s="2" t="str">
        <f>IF(Registered!AI2238=0,"",Registered!AI2238&amp;" BG")</f>
        <v/>
      </c>
      <c r="AY2238" s="2" t="str">
        <f>IF(Registered!AG2238=0,"",Registered!AG2238&amp;" DustMask")</f>
        <v/>
      </c>
    </row>
    <row r="2239" spans="1:51" customFormat="1" x14ac:dyDescent="0.25">
      <c r="A2239" t="s">
        <v>5686</v>
      </c>
      <c r="B2239" t="s">
        <v>5687</v>
      </c>
      <c r="C2239" t="s">
        <v>6090</v>
      </c>
      <c r="G2239" t="s">
        <v>3739</v>
      </c>
      <c r="H2239" t="s">
        <v>3740</v>
      </c>
      <c r="I2239" t="s">
        <v>3742</v>
      </c>
      <c r="J2239" t="s">
        <v>37</v>
      </c>
      <c r="K2239" t="s">
        <v>32</v>
      </c>
      <c r="L2239" t="s">
        <v>35</v>
      </c>
      <c r="AQ2239">
        <v>0</v>
      </c>
      <c r="AR2239" s="3">
        <f t="shared" si="102"/>
        <v>0</v>
      </c>
      <c r="AS2239" s="3">
        <f t="shared" si="103"/>
        <v>0</v>
      </c>
      <c r="AT2239" s="3" t="str">
        <f>IF(OR(Registered!AM2239&gt;0,Registered!AO2239&gt;0),(IF(Registered!E2239=0,"Size Not Specified",Registered!E2239)),"")</f>
        <v/>
      </c>
      <c r="AU2239" s="3" t="str">
        <f>IF(Registered!AE2239=0,"",IF(Registered!AE2239=1,Registered!AE2239&amp;" Bandana",Registered!AE2239&amp;" Bandanas"))</f>
        <v/>
      </c>
      <c r="AV2239" s="3">
        <f t="shared" si="104"/>
        <v>0</v>
      </c>
      <c r="AW2239" s="2" t="str">
        <f>IF(Registered!AV2239=0,"",IF(Registered!AV2239=1,Registered!AV2239&amp;" Meal",Registered!AV2239&amp;" Meals"))</f>
        <v/>
      </c>
      <c r="AX2239" s="2" t="str">
        <f>IF(Registered!AI2239=0,"",Registered!AI2239&amp;" BG")</f>
        <v/>
      </c>
      <c r="AY2239" s="2" t="str">
        <f>IF(Registered!AG2239=0,"",Registered!AG2239&amp;" DustMask")</f>
        <v/>
      </c>
    </row>
    <row r="2240" spans="1:51" customFormat="1" x14ac:dyDescent="0.25">
      <c r="A2240" t="s">
        <v>93</v>
      </c>
      <c r="B2240" t="s">
        <v>3395</v>
      </c>
      <c r="C2240" t="s">
        <v>6090</v>
      </c>
      <c r="G2240" t="s">
        <v>89</v>
      </c>
      <c r="H2240" t="s">
        <v>3395</v>
      </c>
      <c r="I2240" t="s">
        <v>3396</v>
      </c>
      <c r="J2240" t="s">
        <v>37</v>
      </c>
      <c r="K2240" t="s">
        <v>32</v>
      </c>
      <c r="L2240" t="s">
        <v>35</v>
      </c>
      <c r="AQ2240">
        <v>0</v>
      </c>
      <c r="AR2240" s="3">
        <f t="shared" si="102"/>
        <v>0</v>
      </c>
      <c r="AS2240" s="3">
        <f t="shared" si="103"/>
        <v>0</v>
      </c>
      <c r="AT2240" s="3" t="str">
        <f>IF(OR(Registered!AM2240&gt;0,Registered!AO2240&gt;0),(IF(Registered!E2240=0,"Size Not Specified",Registered!E2240)),"")</f>
        <v/>
      </c>
      <c r="AU2240" s="3" t="str">
        <f>IF(Registered!AE2240=0,"",IF(Registered!AE2240=1,Registered!AE2240&amp;" Bandana",Registered!AE2240&amp;" Bandanas"))</f>
        <v/>
      </c>
      <c r="AV2240" s="3">
        <f t="shared" si="104"/>
        <v>0</v>
      </c>
      <c r="AW2240" s="2" t="str">
        <f>IF(Registered!AV2240=0,"",IF(Registered!AV2240=1,Registered!AV2240&amp;" Meal",Registered!AV2240&amp;" Meals"))</f>
        <v/>
      </c>
      <c r="AX2240" s="2" t="str">
        <f>IF(Registered!AI2240=0,"",Registered!AI2240&amp;" BG")</f>
        <v/>
      </c>
      <c r="AY2240" s="2" t="str">
        <f>IF(Registered!AG2240=0,"",Registered!AG2240&amp;" DustMask")</f>
        <v/>
      </c>
    </row>
    <row r="2241" spans="1:51" customFormat="1" x14ac:dyDescent="0.25">
      <c r="A2241" t="s">
        <v>89</v>
      </c>
      <c r="B2241" t="s">
        <v>3395</v>
      </c>
      <c r="C2241" t="s">
        <v>6090</v>
      </c>
      <c r="D2241" t="s">
        <v>3397</v>
      </c>
      <c r="F2241" t="s">
        <v>261</v>
      </c>
      <c r="I2241" t="s">
        <v>3396</v>
      </c>
      <c r="J2241" t="s">
        <v>37</v>
      </c>
      <c r="K2241" t="s">
        <v>32</v>
      </c>
      <c r="L2241" t="s">
        <v>35</v>
      </c>
      <c r="Q2241">
        <v>3</v>
      </c>
      <c r="R2241">
        <v>3</v>
      </c>
      <c r="AC2241">
        <v>3</v>
      </c>
      <c r="AD2241">
        <v>10</v>
      </c>
      <c r="AQ2241">
        <v>39</v>
      </c>
      <c r="AR2241" s="3">
        <f t="shared" si="102"/>
        <v>15</v>
      </c>
      <c r="AS2241" s="3">
        <f t="shared" si="103"/>
        <v>0</v>
      </c>
      <c r="AT2241" s="3" t="str">
        <f>IF(OR(Registered!AM2241&gt;0,Registered!AO2241&gt;0),(IF(Registered!E2241=0,"Size Not Specified",Registered!E2241)),"")</f>
        <v/>
      </c>
      <c r="AU2241" s="3" t="str">
        <f>IF(Registered!AE2241=0,"",IF(Registered!AE2241=1,Registered!AE2241&amp;" Bandana",Registered!AE2241&amp;" Bandanas"))</f>
        <v/>
      </c>
      <c r="AV2241" s="3">
        <f t="shared" si="104"/>
        <v>0</v>
      </c>
      <c r="AW2241" s="2" t="str">
        <f>IF(Registered!AV2241=0,"",IF(Registered!AV2241=1,Registered!AV2241&amp;" Meal",Registered!AV2241&amp;" Meals"))</f>
        <v/>
      </c>
      <c r="AX2241" s="2" t="str">
        <f>IF(Registered!AI2241=0,"",Registered!AI2241&amp;" BG")</f>
        <v/>
      </c>
      <c r="AY2241" s="2" t="str">
        <f>IF(Registered!AG2241=0,"",Registered!AG2241&amp;" DustMask")</f>
        <v/>
      </c>
    </row>
    <row r="2242" spans="1:51" customFormat="1" x14ac:dyDescent="0.25">
      <c r="A2242" t="s">
        <v>5690</v>
      </c>
      <c r="B2242" t="s">
        <v>5691</v>
      </c>
      <c r="C2242" t="s">
        <v>6090</v>
      </c>
      <c r="G2242" t="s">
        <v>5315</v>
      </c>
      <c r="H2242" t="s">
        <v>5316</v>
      </c>
      <c r="I2242" t="s">
        <v>5318</v>
      </c>
      <c r="J2242" t="s">
        <v>37</v>
      </c>
      <c r="K2242" t="s">
        <v>32</v>
      </c>
      <c r="L2242" t="s">
        <v>35</v>
      </c>
      <c r="AQ2242">
        <v>0</v>
      </c>
      <c r="AR2242" s="3">
        <f t="shared" ref="AR2242:AR2305" si="105">IF(ISTEXT(AM2242)=TRUE,"",SUM(U2242*10,W2242*20,Y2242*30,AA2242*40,AC2242*5,AM2242*5))</f>
        <v>0</v>
      </c>
      <c r="AS2242" s="3">
        <f t="shared" ref="AS2242:AS2305" si="106">IF(ISTEXT(AM2242)=TRUE,"",SUM(AM2242,AO2242))</f>
        <v>0</v>
      </c>
      <c r="AT2242" s="3" t="str">
        <f>IF(OR(Registered!AM2242&gt;0,Registered!AO2242&gt;0),(IF(Registered!E2242=0,"Size Not Specified",Registered!E2242)),"")</f>
        <v/>
      </c>
      <c r="AU2242" s="3" t="str">
        <f>IF(Registered!AE2242=0,"",IF(Registered!AE2242=1,Registered!AE2242&amp;" Bandana",Registered!AE2242&amp;" Bandanas"))</f>
        <v/>
      </c>
      <c r="AV2242" s="3">
        <f t="shared" ref="AV2242:AV2305" si="107">IF(ISTEXT(AM2242)=TRUE,"",SUM(AM2242,AK2242))</f>
        <v>0</v>
      </c>
      <c r="AW2242" s="2" t="str">
        <f>IF(Registered!AV2242=0,"",IF(Registered!AV2242=1,Registered!AV2242&amp;" Meal",Registered!AV2242&amp;" Meals"))</f>
        <v/>
      </c>
      <c r="AX2242" s="2" t="str">
        <f>IF(Registered!AI2242=0,"",Registered!AI2242&amp;" BG")</f>
        <v/>
      </c>
      <c r="AY2242" s="2" t="str">
        <f>IF(Registered!AG2242=0,"",Registered!AG2242&amp;" DustMask")</f>
        <v/>
      </c>
    </row>
    <row r="2243" spans="1:51" customFormat="1" x14ac:dyDescent="0.25">
      <c r="A2243" t="s">
        <v>4814</v>
      </c>
      <c r="B2243" t="s">
        <v>4815</v>
      </c>
      <c r="C2243" t="s">
        <v>6090</v>
      </c>
      <c r="D2243" t="s">
        <v>5692</v>
      </c>
      <c r="F2243" t="s">
        <v>261</v>
      </c>
      <c r="I2243" t="s">
        <v>5693</v>
      </c>
      <c r="J2243" t="s">
        <v>37</v>
      </c>
      <c r="K2243" t="s">
        <v>32</v>
      </c>
      <c r="L2243" t="s">
        <v>35</v>
      </c>
      <c r="Q2243">
        <v>2</v>
      </c>
      <c r="R2243">
        <v>3</v>
      </c>
      <c r="AC2243">
        <v>1</v>
      </c>
      <c r="AD2243">
        <v>10</v>
      </c>
      <c r="AQ2243">
        <v>16</v>
      </c>
      <c r="AR2243" s="3">
        <f t="shared" si="105"/>
        <v>5</v>
      </c>
      <c r="AS2243" s="3">
        <f t="shared" si="106"/>
        <v>0</v>
      </c>
      <c r="AT2243" s="3" t="str">
        <f>IF(OR(Registered!AM2243&gt;0,Registered!AO2243&gt;0),(IF(Registered!E2243=0,"Size Not Specified",Registered!E2243)),"")</f>
        <v/>
      </c>
      <c r="AU2243" s="3" t="str">
        <f>IF(Registered!AE2243=0,"",IF(Registered!AE2243=1,Registered!AE2243&amp;" Bandana",Registered!AE2243&amp;" Bandanas"))</f>
        <v/>
      </c>
      <c r="AV2243" s="3">
        <f t="shared" si="107"/>
        <v>0</v>
      </c>
      <c r="AW2243" s="2" t="str">
        <f>IF(Registered!AV2243=0,"",IF(Registered!AV2243=1,Registered!AV2243&amp;" Meal",Registered!AV2243&amp;" Meals"))</f>
        <v/>
      </c>
      <c r="AX2243" s="2" t="str">
        <f>IF(Registered!AI2243=0,"",Registered!AI2243&amp;" BG")</f>
        <v/>
      </c>
      <c r="AY2243" s="2" t="str">
        <f>IF(Registered!AG2243=0,"",Registered!AG2243&amp;" DustMask")</f>
        <v/>
      </c>
    </row>
    <row r="2244" spans="1:51" customFormat="1" x14ac:dyDescent="0.25">
      <c r="A2244" t="s">
        <v>394</v>
      </c>
      <c r="B2244" t="s">
        <v>1429</v>
      </c>
      <c r="C2244" t="s">
        <v>6090</v>
      </c>
      <c r="D2244" t="s">
        <v>5694</v>
      </c>
      <c r="E2244" t="s">
        <v>5695</v>
      </c>
      <c r="F2244" t="s">
        <v>261</v>
      </c>
      <c r="I2244" t="s">
        <v>5181</v>
      </c>
      <c r="J2244" t="s">
        <v>37</v>
      </c>
      <c r="K2244" t="s">
        <v>32</v>
      </c>
      <c r="L2244" t="s">
        <v>35</v>
      </c>
      <c r="S2244">
        <v>2</v>
      </c>
      <c r="T2244">
        <v>3</v>
      </c>
      <c r="AC2244">
        <v>2</v>
      </c>
      <c r="AD2244">
        <v>10</v>
      </c>
      <c r="AK2244">
        <v>2</v>
      </c>
      <c r="AL2244">
        <v>6</v>
      </c>
      <c r="AQ2244">
        <v>38</v>
      </c>
      <c r="AR2244" s="3">
        <f t="shared" si="105"/>
        <v>10</v>
      </c>
      <c r="AS2244" s="3">
        <f t="shared" si="106"/>
        <v>0</v>
      </c>
      <c r="AT2244" s="3" t="str">
        <f>IF(OR(Registered!AM2244&gt;0,Registered!AO2244&gt;0),(IF(Registered!E2244=0,"Size Not Specified",Registered!E2244)),"")</f>
        <v/>
      </c>
      <c r="AU2244" s="3" t="str">
        <f>IF(Registered!AE2244=0,"",IF(Registered!AE2244=1,Registered!AE2244&amp;" Bandana",Registered!AE2244&amp;" Bandanas"))</f>
        <v/>
      </c>
      <c r="AV2244" s="3">
        <f t="shared" si="107"/>
        <v>2</v>
      </c>
      <c r="AW2244" s="2" t="str">
        <f>IF(Registered!AV2244=0,"",IF(Registered!AV2244=1,Registered!AV2244&amp;" Meal",Registered!AV2244&amp;" Meals"))</f>
        <v>2 Meals</v>
      </c>
      <c r="AX2244" s="2" t="str">
        <f>IF(Registered!AI2244=0,"",Registered!AI2244&amp;" BG")</f>
        <v/>
      </c>
      <c r="AY2244" s="2" t="str">
        <f>IF(Registered!AG2244=0,"",Registered!AG2244&amp;" DustMask")</f>
        <v/>
      </c>
    </row>
    <row r="2245" spans="1:51" customFormat="1" x14ac:dyDescent="0.25">
      <c r="A2245" t="s">
        <v>3569</v>
      </c>
      <c r="B2245" t="s">
        <v>4156</v>
      </c>
      <c r="C2245" t="s">
        <v>6090</v>
      </c>
      <c r="I2245" t="s">
        <v>4157</v>
      </c>
      <c r="J2245" t="s">
        <v>37</v>
      </c>
      <c r="K2245" t="s">
        <v>32</v>
      </c>
      <c r="L2245" t="s">
        <v>35</v>
      </c>
      <c r="Q2245">
        <v>2</v>
      </c>
      <c r="R2245">
        <v>3</v>
      </c>
      <c r="AQ2245">
        <v>6</v>
      </c>
      <c r="AR2245" s="3">
        <f t="shared" si="105"/>
        <v>0</v>
      </c>
      <c r="AS2245" s="3">
        <f t="shared" si="106"/>
        <v>0</v>
      </c>
      <c r="AT2245" s="3" t="str">
        <f>IF(OR(Registered!AM2245&gt;0,Registered!AO2245&gt;0),(IF(Registered!E2245=0,"Size Not Specified",Registered!E2245)),"")</f>
        <v/>
      </c>
      <c r="AU2245" s="3" t="str">
        <f>IF(Registered!AE2245=0,"",IF(Registered!AE2245=1,Registered!AE2245&amp;" Bandana",Registered!AE2245&amp;" Bandanas"))</f>
        <v/>
      </c>
      <c r="AV2245" s="3">
        <f t="shared" si="107"/>
        <v>0</v>
      </c>
      <c r="AW2245" s="2" t="str">
        <f>IF(Registered!AV2245=0,"",IF(Registered!AV2245=1,Registered!AV2245&amp;" Meal",Registered!AV2245&amp;" Meals"))</f>
        <v/>
      </c>
      <c r="AX2245" s="2" t="str">
        <f>IF(Registered!AI2245=0,"",Registered!AI2245&amp;" BG")</f>
        <v/>
      </c>
      <c r="AY2245" s="2" t="str">
        <f>IF(Registered!AG2245=0,"",Registered!AG2245&amp;" DustMask")</f>
        <v/>
      </c>
    </row>
    <row r="2246" spans="1:51" customFormat="1" x14ac:dyDescent="0.25">
      <c r="A2246" t="s">
        <v>3548</v>
      </c>
      <c r="B2246" t="s">
        <v>3222</v>
      </c>
      <c r="C2246" t="s">
        <v>6090</v>
      </c>
      <c r="F2246" t="s">
        <v>261</v>
      </c>
      <c r="I2246" t="s">
        <v>4400</v>
      </c>
      <c r="J2246" t="s">
        <v>37</v>
      </c>
      <c r="K2246" t="s">
        <v>32</v>
      </c>
      <c r="L2246" t="s">
        <v>35</v>
      </c>
      <c r="Q2246">
        <v>2</v>
      </c>
      <c r="R2246">
        <v>3</v>
      </c>
      <c r="AQ2246">
        <v>6</v>
      </c>
      <c r="AR2246" s="3">
        <f t="shared" si="105"/>
        <v>0</v>
      </c>
      <c r="AS2246" s="3">
        <f t="shared" si="106"/>
        <v>0</v>
      </c>
      <c r="AT2246" s="3" t="str">
        <f>IF(OR(Registered!AM2246&gt;0,Registered!AO2246&gt;0),(IF(Registered!E2246=0,"Size Not Specified",Registered!E2246)),"")</f>
        <v/>
      </c>
      <c r="AU2246" s="3" t="str">
        <f>IF(Registered!AE2246=0,"",IF(Registered!AE2246=1,Registered!AE2246&amp;" Bandana",Registered!AE2246&amp;" Bandanas"))</f>
        <v/>
      </c>
      <c r="AV2246" s="3">
        <f t="shared" si="107"/>
        <v>0</v>
      </c>
      <c r="AW2246" s="2" t="str">
        <f>IF(Registered!AV2246=0,"",IF(Registered!AV2246=1,Registered!AV2246&amp;" Meal",Registered!AV2246&amp;" Meals"))</f>
        <v/>
      </c>
      <c r="AX2246" s="2" t="str">
        <f>IF(Registered!AI2246=0,"",Registered!AI2246&amp;" BG")</f>
        <v/>
      </c>
      <c r="AY2246" s="2" t="str">
        <f>IF(Registered!AG2246=0,"",Registered!AG2246&amp;" DustMask")</f>
        <v/>
      </c>
    </row>
    <row r="2247" spans="1:51" customFormat="1" x14ac:dyDescent="0.25">
      <c r="A2247" t="s">
        <v>140</v>
      </c>
      <c r="B2247" t="s">
        <v>3222</v>
      </c>
      <c r="C2247" t="s">
        <v>6090</v>
      </c>
      <c r="D2247" t="s">
        <v>3398</v>
      </c>
      <c r="F2247" t="s">
        <v>261</v>
      </c>
      <c r="I2247" t="s">
        <v>3223</v>
      </c>
      <c r="J2247" t="s">
        <v>37</v>
      </c>
      <c r="K2247" t="s">
        <v>32</v>
      </c>
      <c r="L2247" t="s">
        <v>35</v>
      </c>
      <c r="Q2247">
        <v>5</v>
      </c>
      <c r="R2247">
        <v>3</v>
      </c>
      <c r="W2247">
        <v>1</v>
      </c>
      <c r="X2247">
        <v>40</v>
      </c>
      <c r="AQ2247">
        <v>55</v>
      </c>
      <c r="AR2247" s="3">
        <f t="shared" si="105"/>
        <v>20</v>
      </c>
      <c r="AS2247" s="3">
        <f t="shared" si="106"/>
        <v>0</v>
      </c>
      <c r="AT2247" s="3" t="str">
        <f>IF(OR(Registered!AM2247&gt;0,Registered!AO2247&gt;0),(IF(Registered!E2247=0,"Size Not Specified",Registered!E2247)),"")</f>
        <v/>
      </c>
      <c r="AU2247" s="3" t="str">
        <f>IF(Registered!AE2247=0,"",IF(Registered!AE2247=1,Registered!AE2247&amp;" Bandana",Registered!AE2247&amp;" Bandanas"))</f>
        <v/>
      </c>
      <c r="AV2247" s="3">
        <f t="shared" si="107"/>
        <v>0</v>
      </c>
      <c r="AW2247" s="2" t="str">
        <f>IF(Registered!AV2247=0,"",IF(Registered!AV2247=1,Registered!AV2247&amp;" Meal",Registered!AV2247&amp;" Meals"))</f>
        <v/>
      </c>
      <c r="AX2247" s="2" t="str">
        <f>IF(Registered!AI2247=0,"",Registered!AI2247&amp;" BG")</f>
        <v/>
      </c>
      <c r="AY2247" s="2" t="str">
        <f>IF(Registered!AG2247=0,"",Registered!AG2247&amp;" DustMask")</f>
        <v/>
      </c>
    </row>
    <row r="2248" spans="1:51" customFormat="1" x14ac:dyDescent="0.25">
      <c r="A2248" t="s">
        <v>336</v>
      </c>
      <c r="B2248" t="s">
        <v>3222</v>
      </c>
      <c r="C2248" t="s">
        <v>6090</v>
      </c>
      <c r="G2248" t="s">
        <v>140</v>
      </c>
      <c r="H2248" t="s">
        <v>3222</v>
      </c>
      <c r="I2248" t="s">
        <v>3223</v>
      </c>
      <c r="J2248" t="s">
        <v>37</v>
      </c>
      <c r="K2248" t="s">
        <v>32</v>
      </c>
      <c r="L2248" t="s">
        <v>35</v>
      </c>
      <c r="AQ2248">
        <v>0</v>
      </c>
      <c r="AR2248" s="3">
        <f t="shared" si="105"/>
        <v>0</v>
      </c>
      <c r="AS2248" s="3">
        <f t="shared" si="106"/>
        <v>0</v>
      </c>
      <c r="AT2248" s="3" t="str">
        <f>IF(OR(Registered!AM2248&gt;0,Registered!AO2248&gt;0),(IF(Registered!E2248=0,"Size Not Specified",Registered!E2248)),"")</f>
        <v/>
      </c>
      <c r="AU2248" s="3" t="str">
        <f>IF(Registered!AE2248=0,"",IF(Registered!AE2248=1,Registered!AE2248&amp;" Bandana",Registered!AE2248&amp;" Bandanas"))</f>
        <v/>
      </c>
      <c r="AV2248" s="3">
        <f t="shared" si="107"/>
        <v>0</v>
      </c>
      <c r="AW2248" s="2" t="str">
        <f>IF(Registered!AV2248=0,"",IF(Registered!AV2248=1,Registered!AV2248&amp;" Meal",Registered!AV2248&amp;" Meals"))</f>
        <v/>
      </c>
      <c r="AX2248" s="2" t="str">
        <f>IF(Registered!AI2248=0,"",Registered!AI2248&amp;" BG")</f>
        <v/>
      </c>
      <c r="AY2248" s="2" t="str">
        <f>IF(Registered!AG2248=0,"",Registered!AG2248&amp;" DustMask")</f>
        <v/>
      </c>
    </row>
    <row r="2249" spans="1:51" customFormat="1" x14ac:dyDescent="0.25">
      <c r="A2249" t="s">
        <v>3399</v>
      </c>
      <c r="B2249" t="s">
        <v>3222</v>
      </c>
      <c r="C2249" t="s">
        <v>6090</v>
      </c>
      <c r="G2249" t="s">
        <v>140</v>
      </c>
      <c r="H2249" t="s">
        <v>3222</v>
      </c>
      <c r="I2249" t="s">
        <v>3223</v>
      </c>
      <c r="J2249" t="s">
        <v>37</v>
      </c>
      <c r="K2249" t="s">
        <v>32</v>
      </c>
      <c r="L2249" t="s">
        <v>35</v>
      </c>
      <c r="AQ2249">
        <v>0</v>
      </c>
      <c r="AR2249" s="3">
        <f t="shared" si="105"/>
        <v>0</v>
      </c>
      <c r="AS2249" s="3">
        <f t="shared" si="106"/>
        <v>0</v>
      </c>
      <c r="AT2249" s="3" t="str">
        <f>IF(OR(Registered!AM2249&gt;0,Registered!AO2249&gt;0),(IF(Registered!E2249=0,"Size Not Specified",Registered!E2249)),"")</f>
        <v/>
      </c>
      <c r="AU2249" s="3" t="str">
        <f>IF(Registered!AE2249=0,"",IF(Registered!AE2249=1,Registered!AE2249&amp;" Bandana",Registered!AE2249&amp;" Bandanas"))</f>
        <v/>
      </c>
      <c r="AV2249" s="3">
        <f t="shared" si="107"/>
        <v>0</v>
      </c>
      <c r="AW2249" s="2" t="str">
        <f>IF(Registered!AV2249=0,"",IF(Registered!AV2249=1,Registered!AV2249&amp;" Meal",Registered!AV2249&amp;" Meals"))</f>
        <v/>
      </c>
      <c r="AX2249" s="2" t="str">
        <f>IF(Registered!AI2249=0,"",Registered!AI2249&amp;" BG")</f>
        <v/>
      </c>
      <c r="AY2249" s="2" t="str">
        <f>IF(Registered!AG2249=0,"",Registered!AG2249&amp;" DustMask")</f>
        <v/>
      </c>
    </row>
    <row r="2250" spans="1:51" customFormat="1" x14ac:dyDescent="0.25">
      <c r="A2250" t="s">
        <v>3400</v>
      </c>
      <c r="B2250" t="s">
        <v>3222</v>
      </c>
      <c r="C2250" t="s">
        <v>6090</v>
      </c>
      <c r="G2250" t="s">
        <v>140</v>
      </c>
      <c r="H2250" t="s">
        <v>3222</v>
      </c>
      <c r="I2250" t="s">
        <v>3223</v>
      </c>
      <c r="J2250" t="s">
        <v>37</v>
      </c>
      <c r="K2250" t="s">
        <v>32</v>
      </c>
      <c r="L2250" t="s">
        <v>35</v>
      </c>
      <c r="AQ2250">
        <v>0</v>
      </c>
      <c r="AR2250" s="3">
        <f t="shared" si="105"/>
        <v>0</v>
      </c>
      <c r="AS2250" s="3">
        <f t="shared" si="106"/>
        <v>0</v>
      </c>
      <c r="AT2250" s="3" t="str">
        <f>IF(OR(Registered!AM2250&gt;0,Registered!AO2250&gt;0),(IF(Registered!E2250=0,"Size Not Specified",Registered!E2250)),"")</f>
        <v/>
      </c>
      <c r="AU2250" s="3" t="str">
        <f>IF(Registered!AE2250=0,"",IF(Registered!AE2250=1,Registered!AE2250&amp;" Bandana",Registered!AE2250&amp;" Bandanas"))</f>
        <v/>
      </c>
      <c r="AV2250" s="3">
        <f t="shared" si="107"/>
        <v>0</v>
      </c>
      <c r="AW2250" s="2" t="str">
        <f>IF(Registered!AV2250=0,"",IF(Registered!AV2250=1,Registered!AV2250&amp;" Meal",Registered!AV2250&amp;" Meals"))</f>
        <v/>
      </c>
      <c r="AX2250" s="2" t="str">
        <f>IF(Registered!AI2250=0,"",Registered!AI2250&amp;" BG")</f>
        <v/>
      </c>
      <c r="AY2250" s="2" t="str">
        <f>IF(Registered!AG2250=0,"",Registered!AG2250&amp;" DustMask")</f>
        <v/>
      </c>
    </row>
    <row r="2251" spans="1:51" customFormat="1" x14ac:dyDescent="0.25">
      <c r="A2251" t="s">
        <v>338</v>
      </c>
      <c r="B2251" t="s">
        <v>2386</v>
      </c>
      <c r="C2251" t="s">
        <v>6090</v>
      </c>
      <c r="G2251" t="s">
        <v>118</v>
      </c>
      <c r="H2251" t="s">
        <v>2386</v>
      </c>
      <c r="I2251" t="s">
        <v>2387</v>
      </c>
      <c r="J2251" t="s">
        <v>37</v>
      </c>
      <c r="K2251" t="s">
        <v>32</v>
      </c>
      <c r="L2251" t="s">
        <v>35</v>
      </c>
      <c r="AQ2251">
        <v>0</v>
      </c>
      <c r="AR2251" s="3">
        <f t="shared" si="105"/>
        <v>0</v>
      </c>
      <c r="AS2251" s="3">
        <f t="shared" si="106"/>
        <v>0</v>
      </c>
      <c r="AT2251" s="3" t="str">
        <f>IF(OR(Registered!AM2251&gt;0,Registered!AO2251&gt;0),(IF(Registered!E2251=0,"Size Not Specified",Registered!E2251)),"")</f>
        <v/>
      </c>
      <c r="AU2251" s="3" t="str">
        <f>IF(Registered!AE2251=0,"",IF(Registered!AE2251=1,Registered!AE2251&amp;" Bandana",Registered!AE2251&amp;" Bandanas"))</f>
        <v/>
      </c>
      <c r="AV2251" s="3">
        <f t="shared" si="107"/>
        <v>0</v>
      </c>
      <c r="AW2251" s="2" t="str">
        <f>IF(Registered!AV2251=0,"",IF(Registered!AV2251=1,Registered!AV2251&amp;" Meal",Registered!AV2251&amp;" Meals"))</f>
        <v/>
      </c>
      <c r="AX2251" s="2" t="str">
        <f>IF(Registered!AI2251=0,"",Registered!AI2251&amp;" BG")</f>
        <v/>
      </c>
      <c r="AY2251" s="2" t="str">
        <f>IF(Registered!AG2251=0,"",Registered!AG2251&amp;" DustMask")</f>
        <v/>
      </c>
    </row>
    <row r="2252" spans="1:51" customFormat="1" x14ac:dyDescent="0.25">
      <c r="A2252" t="s">
        <v>118</v>
      </c>
      <c r="B2252" t="s">
        <v>2386</v>
      </c>
      <c r="C2252" t="s">
        <v>6090</v>
      </c>
      <c r="D2252" t="s">
        <v>2388</v>
      </c>
      <c r="E2252" t="s">
        <v>2389</v>
      </c>
      <c r="F2252" t="s">
        <v>261</v>
      </c>
      <c r="I2252" t="s">
        <v>2390</v>
      </c>
      <c r="J2252" t="s">
        <v>37</v>
      </c>
      <c r="K2252" t="s">
        <v>32</v>
      </c>
      <c r="L2252" t="s">
        <v>35</v>
      </c>
      <c r="S2252">
        <v>3</v>
      </c>
      <c r="T2252">
        <v>3</v>
      </c>
      <c r="AE2252">
        <v>2</v>
      </c>
      <c r="AF2252">
        <v>6</v>
      </c>
      <c r="AM2252">
        <v>4</v>
      </c>
      <c r="AN2252">
        <v>25</v>
      </c>
      <c r="AQ2252">
        <v>121</v>
      </c>
      <c r="AR2252" s="3">
        <f t="shared" si="105"/>
        <v>20</v>
      </c>
      <c r="AS2252" s="3">
        <f t="shared" si="106"/>
        <v>4</v>
      </c>
      <c r="AT2252" s="3" t="str">
        <f>IF(OR(Registered!AM2252&gt;0,Registered!AO2252&gt;0),(IF(Registered!E2252=0,"Size Not Specified",Registered!E2252)),"")</f>
        <v>2 Med Adult, 1 Large Adult, 1 Small Adult</v>
      </c>
      <c r="AU2252" s="3" t="str">
        <f>IF(Registered!AE2252=0,"",IF(Registered!AE2252=1,Registered!AE2252&amp;" Bandana",Registered!AE2252&amp;" Bandanas"))</f>
        <v>2 Bandanas</v>
      </c>
      <c r="AV2252" s="3">
        <f t="shared" si="107"/>
        <v>4</v>
      </c>
      <c r="AW2252" s="2" t="str">
        <f>IF(Registered!AV2252=0,"",IF(Registered!AV2252=1,Registered!AV2252&amp;" Meal",Registered!AV2252&amp;" Meals"))</f>
        <v>4 Meals</v>
      </c>
      <c r="AX2252" s="2" t="str">
        <f>IF(Registered!AI2252=0,"",Registered!AI2252&amp;" BG")</f>
        <v/>
      </c>
      <c r="AY2252" s="2" t="str">
        <f>IF(Registered!AG2252=0,"",Registered!AG2252&amp;" DustMask")</f>
        <v/>
      </c>
    </row>
    <row r="2253" spans="1:51" customFormat="1" x14ac:dyDescent="0.25">
      <c r="A2253" t="s">
        <v>3401</v>
      </c>
      <c r="B2253" t="s">
        <v>53</v>
      </c>
      <c r="C2253" t="s">
        <v>6090</v>
      </c>
      <c r="G2253" t="s">
        <v>727</v>
      </c>
      <c r="H2253" t="s">
        <v>337</v>
      </c>
      <c r="I2253" t="s">
        <v>3402</v>
      </c>
      <c r="J2253" t="s">
        <v>37</v>
      </c>
      <c r="K2253" t="s">
        <v>32</v>
      </c>
      <c r="L2253" t="s">
        <v>35</v>
      </c>
      <c r="AQ2253">
        <v>0</v>
      </c>
      <c r="AR2253" s="3">
        <f t="shared" si="105"/>
        <v>0</v>
      </c>
      <c r="AS2253" s="3">
        <f t="shared" si="106"/>
        <v>0</v>
      </c>
      <c r="AT2253" s="3" t="str">
        <f>IF(OR(Registered!AM2253&gt;0,Registered!AO2253&gt;0),(IF(Registered!E2253=0,"Size Not Specified",Registered!E2253)),"")</f>
        <v/>
      </c>
      <c r="AU2253" s="3" t="str">
        <f>IF(Registered!AE2253=0,"",IF(Registered!AE2253=1,Registered!AE2253&amp;" Bandana",Registered!AE2253&amp;" Bandanas"))</f>
        <v/>
      </c>
      <c r="AV2253" s="3">
        <f t="shared" si="107"/>
        <v>0</v>
      </c>
      <c r="AW2253" s="2" t="str">
        <f>IF(Registered!AV2253=0,"",IF(Registered!AV2253=1,Registered!AV2253&amp;" Meal",Registered!AV2253&amp;" Meals"))</f>
        <v/>
      </c>
      <c r="AX2253" s="2" t="str">
        <f>IF(Registered!AI2253=0,"",Registered!AI2253&amp;" BG")</f>
        <v/>
      </c>
      <c r="AY2253" s="2" t="str">
        <f>IF(Registered!AG2253=0,"",Registered!AG2253&amp;" DustMask")</f>
        <v/>
      </c>
    </row>
    <row r="2254" spans="1:51" customFormat="1" x14ac:dyDescent="0.25">
      <c r="A2254" t="s">
        <v>140</v>
      </c>
      <c r="B2254" t="s">
        <v>287</v>
      </c>
      <c r="C2254" t="s">
        <v>6090</v>
      </c>
      <c r="G2254" t="s">
        <v>1818</v>
      </c>
      <c r="H2254" t="s">
        <v>1604</v>
      </c>
      <c r="I2254" t="s">
        <v>4795</v>
      </c>
      <c r="J2254" t="s">
        <v>37</v>
      </c>
      <c r="K2254" t="s">
        <v>32</v>
      </c>
      <c r="L2254" t="s">
        <v>35</v>
      </c>
      <c r="AQ2254">
        <v>0</v>
      </c>
      <c r="AR2254" s="3">
        <f t="shared" si="105"/>
        <v>0</v>
      </c>
      <c r="AS2254" s="3">
        <f t="shared" si="106"/>
        <v>0</v>
      </c>
      <c r="AT2254" s="3" t="str">
        <f>IF(OR(Registered!AM2254&gt;0,Registered!AO2254&gt;0),(IF(Registered!E2254=0,"Size Not Specified",Registered!E2254)),"")</f>
        <v/>
      </c>
      <c r="AU2254" s="3" t="str">
        <f>IF(Registered!AE2254=0,"",IF(Registered!AE2254=1,Registered!AE2254&amp;" Bandana",Registered!AE2254&amp;" Bandanas"))</f>
        <v/>
      </c>
      <c r="AV2254" s="3">
        <f t="shared" si="107"/>
        <v>0</v>
      </c>
      <c r="AW2254" s="2" t="str">
        <f>IF(Registered!AV2254=0,"",IF(Registered!AV2254=1,Registered!AV2254&amp;" Meal",Registered!AV2254&amp;" Meals"))</f>
        <v/>
      </c>
      <c r="AX2254" s="2" t="str">
        <f>IF(Registered!AI2254=0,"",Registered!AI2254&amp;" BG")</f>
        <v/>
      </c>
      <c r="AY2254" s="2" t="str">
        <f>IF(Registered!AG2254=0,"",Registered!AG2254&amp;" DustMask")</f>
        <v/>
      </c>
    </row>
    <row r="2255" spans="1:51" customFormat="1" x14ac:dyDescent="0.25">
      <c r="A2255" t="s">
        <v>79</v>
      </c>
      <c r="B2255" t="s">
        <v>287</v>
      </c>
      <c r="C2255" t="s">
        <v>6090</v>
      </c>
      <c r="G2255" t="s">
        <v>354</v>
      </c>
      <c r="H2255" t="s">
        <v>1500</v>
      </c>
      <c r="I2255" t="s">
        <v>1503</v>
      </c>
      <c r="J2255" t="s">
        <v>37</v>
      </c>
      <c r="K2255" t="s">
        <v>32</v>
      </c>
      <c r="L2255" t="s">
        <v>35</v>
      </c>
      <c r="AQ2255">
        <v>0</v>
      </c>
      <c r="AR2255" s="3">
        <f t="shared" si="105"/>
        <v>0</v>
      </c>
      <c r="AS2255" s="3">
        <f t="shared" si="106"/>
        <v>0</v>
      </c>
      <c r="AT2255" s="3" t="str">
        <f>IF(OR(Registered!AM2255&gt;0,Registered!AO2255&gt;0),(IF(Registered!E2255=0,"Size Not Specified",Registered!E2255)),"")</f>
        <v/>
      </c>
      <c r="AU2255" s="3" t="str">
        <f>IF(Registered!AE2255=0,"",IF(Registered!AE2255=1,Registered!AE2255&amp;" Bandana",Registered!AE2255&amp;" Bandanas"))</f>
        <v/>
      </c>
      <c r="AV2255" s="3">
        <f t="shared" si="107"/>
        <v>0</v>
      </c>
      <c r="AW2255" s="2" t="str">
        <f>IF(Registered!AV2255=0,"",IF(Registered!AV2255=1,Registered!AV2255&amp;" Meal",Registered!AV2255&amp;" Meals"))</f>
        <v/>
      </c>
      <c r="AX2255" s="2" t="str">
        <f>IF(Registered!AI2255=0,"",Registered!AI2255&amp;" BG")</f>
        <v/>
      </c>
      <c r="AY2255" s="2" t="str">
        <f>IF(Registered!AG2255=0,"",Registered!AG2255&amp;" DustMask")</f>
        <v/>
      </c>
    </row>
    <row r="2256" spans="1:51" customFormat="1" x14ac:dyDescent="0.25">
      <c r="A2256" t="s">
        <v>1818</v>
      </c>
      <c r="B2256" t="s">
        <v>287</v>
      </c>
      <c r="C2256" t="s">
        <v>6090</v>
      </c>
      <c r="G2256" t="s">
        <v>153</v>
      </c>
      <c r="H2256" t="s">
        <v>5281</v>
      </c>
      <c r="I2256" t="s">
        <v>5282</v>
      </c>
      <c r="J2256" t="s">
        <v>37</v>
      </c>
      <c r="K2256" t="s">
        <v>32</v>
      </c>
      <c r="L2256" t="s">
        <v>35</v>
      </c>
      <c r="AQ2256">
        <v>0</v>
      </c>
      <c r="AR2256" s="3">
        <f t="shared" si="105"/>
        <v>0</v>
      </c>
      <c r="AS2256" s="3">
        <f t="shared" si="106"/>
        <v>0</v>
      </c>
      <c r="AT2256" s="3" t="str">
        <f>IF(OR(Registered!AM2256&gt;0,Registered!AO2256&gt;0),(IF(Registered!E2256=0,"Size Not Specified",Registered!E2256)),"")</f>
        <v/>
      </c>
      <c r="AU2256" s="3" t="str">
        <f>IF(Registered!AE2256=0,"",IF(Registered!AE2256=1,Registered!AE2256&amp;" Bandana",Registered!AE2256&amp;" Bandanas"))</f>
        <v/>
      </c>
      <c r="AV2256" s="3">
        <f t="shared" si="107"/>
        <v>0</v>
      </c>
      <c r="AW2256" s="2" t="str">
        <f>IF(Registered!AV2256=0,"",IF(Registered!AV2256=1,Registered!AV2256&amp;" Meal",Registered!AV2256&amp;" Meals"))</f>
        <v/>
      </c>
      <c r="AX2256" s="2" t="str">
        <f>IF(Registered!AI2256=0,"",Registered!AI2256&amp;" BG")</f>
        <v/>
      </c>
      <c r="AY2256" s="2" t="str">
        <f>IF(Registered!AG2256=0,"",Registered!AG2256&amp;" DustMask")</f>
        <v/>
      </c>
    </row>
    <row r="2257" spans="1:51" customFormat="1" x14ac:dyDescent="0.25">
      <c r="A2257" t="s">
        <v>385</v>
      </c>
      <c r="B2257" t="s">
        <v>287</v>
      </c>
      <c r="C2257" t="s">
        <v>6090</v>
      </c>
      <c r="G2257" t="s">
        <v>288</v>
      </c>
      <c r="H2257" t="s">
        <v>302</v>
      </c>
      <c r="I2257" t="s">
        <v>2391</v>
      </c>
      <c r="J2257" t="s">
        <v>37</v>
      </c>
      <c r="K2257" t="s">
        <v>32</v>
      </c>
      <c r="L2257" t="s">
        <v>35</v>
      </c>
      <c r="AQ2257">
        <v>0</v>
      </c>
      <c r="AR2257" s="3">
        <f t="shared" si="105"/>
        <v>0</v>
      </c>
      <c r="AS2257" s="3">
        <f t="shared" si="106"/>
        <v>0</v>
      </c>
      <c r="AT2257" s="3" t="str">
        <f>IF(OR(Registered!AM2257&gt;0,Registered!AO2257&gt;0),(IF(Registered!E2257=0,"Size Not Specified",Registered!E2257)),"")</f>
        <v/>
      </c>
      <c r="AU2257" s="3" t="str">
        <f>IF(Registered!AE2257=0,"",IF(Registered!AE2257=1,Registered!AE2257&amp;" Bandana",Registered!AE2257&amp;" Bandanas"))</f>
        <v/>
      </c>
      <c r="AV2257" s="3">
        <f t="shared" si="107"/>
        <v>0</v>
      </c>
      <c r="AW2257" s="2" t="str">
        <f>IF(Registered!AV2257=0,"",IF(Registered!AV2257=1,Registered!AV2257&amp;" Meal",Registered!AV2257&amp;" Meals"))</f>
        <v/>
      </c>
      <c r="AX2257" s="2" t="str">
        <f>IF(Registered!AI2257=0,"",Registered!AI2257&amp;" BG")</f>
        <v/>
      </c>
      <c r="AY2257" s="2" t="str">
        <f>IF(Registered!AG2257=0,"",Registered!AG2257&amp;" DustMask")</f>
        <v/>
      </c>
    </row>
    <row r="2258" spans="1:51" customFormat="1" x14ac:dyDescent="0.25">
      <c r="A2258" t="s">
        <v>5696</v>
      </c>
      <c r="B2258" t="s">
        <v>287</v>
      </c>
      <c r="C2258" t="s">
        <v>6090</v>
      </c>
      <c r="G2258" t="s">
        <v>1818</v>
      </c>
      <c r="H2258" t="s">
        <v>1604</v>
      </c>
      <c r="I2258" t="s">
        <v>4795</v>
      </c>
      <c r="J2258" t="s">
        <v>37</v>
      </c>
      <c r="K2258" t="s">
        <v>32</v>
      </c>
      <c r="L2258" t="s">
        <v>35</v>
      </c>
      <c r="AQ2258">
        <v>0</v>
      </c>
      <c r="AR2258" s="3">
        <f t="shared" si="105"/>
        <v>0</v>
      </c>
      <c r="AS2258" s="3">
        <f t="shared" si="106"/>
        <v>0</v>
      </c>
      <c r="AT2258" s="3" t="str">
        <f>IF(OR(Registered!AM2258&gt;0,Registered!AO2258&gt;0),(IF(Registered!E2258=0,"Size Not Specified",Registered!E2258)),"")</f>
        <v/>
      </c>
      <c r="AU2258" s="3" t="str">
        <f>IF(Registered!AE2258=0,"",IF(Registered!AE2258=1,Registered!AE2258&amp;" Bandana",Registered!AE2258&amp;" Bandanas"))</f>
        <v/>
      </c>
      <c r="AV2258" s="3">
        <f t="shared" si="107"/>
        <v>0</v>
      </c>
      <c r="AW2258" s="2" t="str">
        <f>IF(Registered!AV2258=0,"",IF(Registered!AV2258=1,Registered!AV2258&amp;" Meal",Registered!AV2258&amp;" Meals"))</f>
        <v/>
      </c>
      <c r="AX2258" s="2" t="str">
        <f>IF(Registered!AI2258=0,"",Registered!AI2258&amp;" BG")</f>
        <v/>
      </c>
      <c r="AY2258" s="2" t="str">
        <f>IF(Registered!AG2258=0,"",Registered!AG2258&amp;" DustMask")</f>
        <v/>
      </c>
    </row>
    <row r="2259" spans="1:51" customFormat="1" x14ac:dyDescent="0.25">
      <c r="A2259" t="s">
        <v>2392</v>
      </c>
      <c r="B2259" t="s">
        <v>287</v>
      </c>
      <c r="C2259" t="s">
        <v>6090</v>
      </c>
      <c r="G2259" t="s">
        <v>1165</v>
      </c>
      <c r="H2259" t="s">
        <v>340</v>
      </c>
      <c r="I2259" t="s">
        <v>1168</v>
      </c>
      <c r="J2259" t="s">
        <v>37</v>
      </c>
      <c r="K2259" t="s">
        <v>32</v>
      </c>
      <c r="L2259" t="s">
        <v>35</v>
      </c>
      <c r="AQ2259">
        <v>0</v>
      </c>
      <c r="AR2259" s="3">
        <f t="shared" si="105"/>
        <v>0</v>
      </c>
      <c r="AS2259" s="3">
        <f t="shared" si="106"/>
        <v>0</v>
      </c>
      <c r="AT2259" s="3" t="str">
        <f>IF(OR(Registered!AM2259&gt;0,Registered!AO2259&gt;0),(IF(Registered!E2259=0,"Size Not Specified",Registered!E2259)),"")</f>
        <v/>
      </c>
      <c r="AU2259" s="3" t="str">
        <f>IF(Registered!AE2259=0,"",IF(Registered!AE2259=1,Registered!AE2259&amp;" Bandana",Registered!AE2259&amp;" Bandanas"))</f>
        <v/>
      </c>
      <c r="AV2259" s="3">
        <f t="shared" si="107"/>
        <v>0</v>
      </c>
      <c r="AW2259" s="2" t="str">
        <f>IF(Registered!AV2259=0,"",IF(Registered!AV2259=1,Registered!AV2259&amp;" Meal",Registered!AV2259&amp;" Meals"))</f>
        <v/>
      </c>
      <c r="AX2259" s="2" t="str">
        <f>IF(Registered!AI2259=0,"",Registered!AI2259&amp;" BG")</f>
        <v/>
      </c>
      <c r="AY2259" s="2" t="str">
        <f>IF(Registered!AG2259=0,"",Registered!AG2259&amp;" DustMask")</f>
        <v/>
      </c>
    </row>
    <row r="2260" spans="1:51" customFormat="1" x14ac:dyDescent="0.25">
      <c r="A2260" t="s">
        <v>5697</v>
      </c>
      <c r="B2260" t="s">
        <v>287</v>
      </c>
      <c r="C2260" t="s">
        <v>6090</v>
      </c>
      <c r="G2260" t="s">
        <v>274</v>
      </c>
      <c r="H2260" t="s">
        <v>287</v>
      </c>
      <c r="I2260" t="s">
        <v>5698</v>
      </c>
      <c r="J2260" t="s">
        <v>37</v>
      </c>
      <c r="K2260" t="s">
        <v>32</v>
      </c>
      <c r="L2260" t="s">
        <v>35</v>
      </c>
      <c r="AQ2260">
        <v>0</v>
      </c>
      <c r="AR2260" s="3">
        <f t="shared" si="105"/>
        <v>0</v>
      </c>
      <c r="AS2260" s="3">
        <f t="shared" si="106"/>
        <v>0</v>
      </c>
      <c r="AT2260" s="3" t="str">
        <f>IF(OR(Registered!AM2260&gt;0,Registered!AO2260&gt;0),(IF(Registered!E2260=0,"Size Not Specified",Registered!E2260)),"")</f>
        <v/>
      </c>
      <c r="AU2260" s="3" t="str">
        <f>IF(Registered!AE2260=0,"",IF(Registered!AE2260=1,Registered!AE2260&amp;" Bandana",Registered!AE2260&amp;" Bandanas"))</f>
        <v/>
      </c>
      <c r="AV2260" s="3">
        <f t="shared" si="107"/>
        <v>0</v>
      </c>
      <c r="AW2260" s="2" t="str">
        <f>IF(Registered!AV2260=0,"",IF(Registered!AV2260=1,Registered!AV2260&amp;" Meal",Registered!AV2260&amp;" Meals"))</f>
        <v/>
      </c>
      <c r="AX2260" s="2" t="str">
        <f>IF(Registered!AI2260=0,"",Registered!AI2260&amp;" BG")</f>
        <v/>
      </c>
      <c r="AY2260" s="2" t="str">
        <f>IF(Registered!AG2260=0,"",Registered!AG2260&amp;" DustMask")</f>
        <v/>
      </c>
    </row>
    <row r="2261" spans="1:51" customFormat="1" x14ac:dyDescent="0.25">
      <c r="A2261" t="s">
        <v>50</v>
      </c>
      <c r="B2261" t="s">
        <v>287</v>
      </c>
      <c r="C2261" t="s">
        <v>6090</v>
      </c>
      <c r="G2261" t="s">
        <v>107</v>
      </c>
      <c r="H2261" t="s">
        <v>1485</v>
      </c>
      <c r="I2261" t="s">
        <v>1486</v>
      </c>
      <c r="J2261" t="s">
        <v>37</v>
      </c>
      <c r="K2261" t="s">
        <v>32</v>
      </c>
      <c r="L2261" t="s">
        <v>35</v>
      </c>
      <c r="AQ2261">
        <v>0</v>
      </c>
      <c r="AR2261" s="3">
        <f t="shared" si="105"/>
        <v>0</v>
      </c>
      <c r="AS2261" s="3">
        <f t="shared" si="106"/>
        <v>0</v>
      </c>
      <c r="AT2261" s="3" t="str">
        <f>IF(OR(Registered!AM2261&gt;0,Registered!AO2261&gt;0),(IF(Registered!E2261=0,"Size Not Specified",Registered!E2261)),"")</f>
        <v/>
      </c>
      <c r="AU2261" s="3" t="str">
        <f>IF(Registered!AE2261=0,"",IF(Registered!AE2261=1,Registered!AE2261&amp;" Bandana",Registered!AE2261&amp;" Bandanas"))</f>
        <v/>
      </c>
      <c r="AV2261" s="3">
        <f t="shared" si="107"/>
        <v>0</v>
      </c>
      <c r="AW2261" s="2" t="str">
        <f>IF(Registered!AV2261=0,"",IF(Registered!AV2261=1,Registered!AV2261&amp;" Meal",Registered!AV2261&amp;" Meals"))</f>
        <v/>
      </c>
      <c r="AX2261" s="2" t="str">
        <f>IF(Registered!AI2261=0,"",Registered!AI2261&amp;" BG")</f>
        <v/>
      </c>
      <c r="AY2261" s="2" t="str">
        <f>IF(Registered!AG2261=0,"",Registered!AG2261&amp;" DustMask")</f>
        <v/>
      </c>
    </row>
    <row r="2262" spans="1:51" customFormat="1" x14ac:dyDescent="0.25">
      <c r="A2262" t="s">
        <v>153</v>
      </c>
      <c r="B2262" t="s">
        <v>287</v>
      </c>
      <c r="C2262" t="s">
        <v>6090</v>
      </c>
      <c r="G2262" t="s">
        <v>1408</v>
      </c>
      <c r="H2262" t="s">
        <v>1406</v>
      </c>
      <c r="I2262" t="s">
        <v>1409</v>
      </c>
      <c r="J2262" t="s">
        <v>37</v>
      </c>
      <c r="K2262" t="s">
        <v>32</v>
      </c>
      <c r="L2262" t="s">
        <v>35</v>
      </c>
      <c r="AQ2262">
        <v>0</v>
      </c>
      <c r="AR2262" s="3">
        <f t="shared" si="105"/>
        <v>0</v>
      </c>
      <c r="AS2262" s="3">
        <f t="shared" si="106"/>
        <v>0</v>
      </c>
      <c r="AT2262" s="3" t="str">
        <f>IF(OR(Registered!AM2262&gt;0,Registered!AO2262&gt;0),(IF(Registered!E2262=0,"Size Not Specified",Registered!E2262)),"")</f>
        <v/>
      </c>
      <c r="AU2262" s="3" t="str">
        <f>IF(Registered!AE2262=0,"",IF(Registered!AE2262=1,Registered!AE2262&amp;" Bandana",Registered!AE2262&amp;" Bandanas"))</f>
        <v/>
      </c>
      <c r="AV2262" s="3">
        <f t="shared" si="107"/>
        <v>0</v>
      </c>
      <c r="AW2262" s="2" t="str">
        <f>IF(Registered!AV2262=0,"",IF(Registered!AV2262=1,Registered!AV2262&amp;" Meal",Registered!AV2262&amp;" Meals"))</f>
        <v/>
      </c>
      <c r="AX2262" s="2" t="str">
        <f>IF(Registered!AI2262=0,"",Registered!AI2262&amp;" BG")</f>
        <v/>
      </c>
      <c r="AY2262" s="2" t="str">
        <f>IF(Registered!AG2262=0,"",Registered!AG2262&amp;" DustMask")</f>
        <v/>
      </c>
    </row>
    <row r="2263" spans="1:51" customFormat="1" x14ac:dyDescent="0.25">
      <c r="A2263" t="s">
        <v>236</v>
      </c>
      <c r="B2263" t="s">
        <v>287</v>
      </c>
      <c r="C2263" t="s">
        <v>6090</v>
      </c>
      <c r="G2263" t="s">
        <v>178</v>
      </c>
      <c r="H2263" t="s">
        <v>671</v>
      </c>
      <c r="I2263" t="s">
        <v>672</v>
      </c>
      <c r="J2263" t="s">
        <v>37</v>
      </c>
      <c r="K2263" t="s">
        <v>32</v>
      </c>
      <c r="L2263" t="s">
        <v>35</v>
      </c>
      <c r="AQ2263">
        <v>0</v>
      </c>
      <c r="AR2263" s="3">
        <f t="shared" si="105"/>
        <v>0</v>
      </c>
      <c r="AS2263" s="3">
        <f t="shared" si="106"/>
        <v>0</v>
      </c>
      <c r="AT2263" s="3" t="str">
        <f>IF(OR(Registered!AM2263&gt;0,Registered!AO2263&gt;0),(IF(Registered!E2263=0,"Size Not Specified",Registered!E2263)),"")</f>
        <v/>
      </c>
      <c r="AU2263" s="3" t="str">
        <f>IF(Registered!AE2263=0,"",IF(Registered!AE2263=1,Registered!AE2263&amp;" Bandana",Registered!AE2263&amp;" Bandanas"))</f>
        <v/>
      </c>
      <c r="AV2263" s="3">
        <f t="shared" si="107"/>
        <v>0</v>
      </c>
      <c r="AW2263" s="2" t="str">
        <f>IF(Registered!AV2263=0,"",IF(Registered!AV2263=1,Registered!AV2263&amp;" Meal",Registered!AV2263&amp;" Meals"))</f>
        <v/>
      </c>
      <c r="AX2263" s="2" t="str">
        <f>IF(Registered!AI2263=0,"",Registered!AI2263&amp;" BG")</f>
        <v/>
      </c>
      <c r="AY2263" s="2" t="str">
        <f>IF(Registered!AG2263=0,"",Registered!AG2263&amp;" DustMask")</f>
        <v/>
      </c>
    </row>
    <row r="2264" spans="1:51" customFormat="1" x14ac:dyDescent="0.25">
      <c r="A2264" t="s">
        <v>91</v>
      </c>
      <c r="B2264" t="s">
        <v>287</v>
      </c>
      <c r="C2264" t="s">
        <v>6090</v>
      </c>
      <c r="G2264" t="s">
        <v>4304</v>
      </c>
      <c r="H2264" t="s">
        <v>4305</v>
      </c>
      <c r="I2264" t="s">
        <v>4306</v>
      </c>
      <c r="J2264" t="s">
        <v>37</v>
      </c>
      <c r="K2264" t="s">
        <v>32</v>
      </c>
      <c r="L2264" t="s">
        <v>35</v>
      </c>
      <c r="AQ2264">
        <v>0</v>
      </c>
      <c r="AR2264" s="3">
        <f t="shared" si="105"/>
        <v>0</v>
      </c>
      <c r="AS2264" s="3">
        <f t="shared" si="106"/>
        <v>0</v>
      </c>
      <c r="AT2264" s="3" t="str">
        <f>IF(OR(Registered!AM2264&gt;0,Registered!AO2264&gt;0),(IF(Registered!E2264=0,"Size Not Specified",Registered!E2264)),"")</f>
        <v/>
      </c>
      <c r="AU2264" s="3" t="str">
        <f>IF(Registered!AE2264=0,"",IF(Registered!AE2264=1,Registered!AE2264&amp;" Bandana",Registered!AE2264&amp;" Bandanas"))</f>
        <v/>
      </c>
      <c r="AV2264" s="3">
        <f t="shared" si="107"/>
        <v>0</v>
      </c>
      <c r="AW2264" s="2" t="str">
        <f>IF(Registered!AV2264=0,"",IF(Registered!AV2264=1,Registered!AV2264&amp;" Meal",Registered!AV2264&amp;" Meals"))</f>
        <v/>
      </c>
      <c r="AX2264" s="2" t="str">
        <f>IF(Registered!AI2264=0,"",Registered!AI2264&amp;" BG")</f>
        <v/>
      </c>
      <c r="AY2264" s="2" t="str">
        <f>IF(Registered!AG2264=0,"",Registered!AG2264&amp;" DustMask")</f>
        <v/>
      </c>
    </row>
    <row r="2265" spans="1:51" customFormat="1" x14ac:dyDescent="0.25">
      <c r="A2265" t="s">
        <v>354</v>
      </c>
      <c r="B2265" t="s">
        <v>287</v>
      </c>
      <c r="C2265" t="s">
        <v>6090</v>
      </c>
      <c r="D2265" t="s">
        <v>2394</v>
      </c>
      <c r="I2265" t="s">
        <v>2395</v>
      </c>
      <c r="J2265" t="s">
        <v>37</v>
      </c>
      <c r="K2265" t="s">
        <v>32</v>
      </c>
      <c r="L2265" t="s">
        <v>35</v>
      </c>
      <c r="S2265">
        <v>1</v>
      </c>
      <c r="T2265">
        <v>3</v>
      </c>
      <c r="AQ2265">
        <v>3</v>
      </c>
      <c r="AR2265" s="3">
        <f t="shared" si="105"/>
        <v>0</v>
      </c>
      <c r="AS2265" s="3">
        <f t="shared" si="106"/>
        <v>0</v>
      </c>
      <c r="AT2265" s="3" t="str">
        <f>IF(OR(Registered!AM2265&gt;0,Registered!AO2265&gt;0),(IF(Registered!E2265=0,"Size Not Specified",Registered!E2265)),"")</f>
        <v/>
      </c>
      <c r="AU2265" s="3" t="str">
        <f>IF(Registered!AE2265=0,"",IF(Registered!AE2265=1,Registered!AE2265&amp;" Bandana",Registered!AE2265&amp;" Bandanas"))</f>
        <v/>
      </c>
      <c r="AV2265" s="3">
        <f t="shared" si="107"/>
        <v>0</v>
      </c>
      <c r="AW2265" s="2" t="str">
        <f>IF(Registered!AV2265=0,"",IF(Registered!AV2265=1,Registered!AV2265&amp;" Meal",Registered!AV2265&amp;" Meals"))</f>
        <v/>
      </c>
      <c r="AX2265" s="2" t="str">
        <f>IF(Registered!AI2265=0,"",Registered!AI2265&amp;" BG")</f>
        <v/>
      </c>
      <c r="AY2265" s="2" t="str">
        <f>IF(Registered!AG2265=0,"",Registered!AG2265&amp;" DustMask")</f>
        <v/>
      </c>
    </row>
    <row r="2266" spans="1:51" customFormat="1" x14ac:dyDescent="0.25">
      <c r="A2266" t="s">
        <v>196</v>
      </c>
      <c r="B2266" t="s">
        <v>287</v>
      </c>
      <c r="C2266" t="s">
        <v>6090</v>
      </c>
      <c r="G2266" t="s">
        <v>3144</v>
      </c>
      <c r="H2266" t="s">
        <v>3145</v>
      </c>
      <c r="I2266" t="s">
        <v>3146</v>
      </c>
      <c r="J2266" t="s">
        <v>37</v>
      </c>
      <c r="K2266" t="s">
        <v>32</v>
      </c>
      <c r="L2266" t="s">
        <v>35</v>
      </c>
      <c r="AQ2266">
        <v>0</v>
      </c>
      <c r="AR2266" s="3">
        <f t="shared" si="105"/>
        <v>0</v>
      </c>
      <c r="AS2266" s="3">
        <f t="shared" si="106"/>
        <v>0</v>
      </c>
      <c r="AT2266" s="3" t="str">
        <f>IF(OR(Registered!AM2266&gt;0,Registered!AO2266&gt;0),(IF(Registered!E2266=0,"Size Not Specified",Registered!E2266)),"")</f>
        <v/>
      </c>
      <c r="AU2266" s="3" t="str">
        <f>IF(Registered!AE2266=0,"",IF(Registered!AE2266=1,Registered!AE2266&amp;" Bandana",Registered!AE2266&amp;" Bandanas"))</f>
        <v/>
      </c>
      <c r="AV2266" s="3">
        <f t="shared" si="107"/>
        <v>0</v>
      </c>
      <c r="AW2266" s="2" t="str">
        <f>IF(Registered!AV2266=0,"",IF(Registered!AV2266=1,Registered!AV2266&amp;" Meal",Registered!AV2266&amp;" Meals"))</f>
        <v/>
      </c>
      <c r="AX2266" s="2" t="str">
        <f>IF(Registered!AI2266=0,"",Registered!AI2266&amp;" BG")</f>
        <v/>
      </c>
      <c r="AY2266" s="2" t="str">
        <f>IF(Registered!AG2266=0,"",Registered!AG2266&amp;" DustMask")</f>
        <v/>
      </c>
    </row>
    <row r="2267" spans="1:51" customFormat="1" x14ac:dyDescent="0.25">
      <c r="A2267" t="s">
        <v>274</v>
      </c>
      <c r="B2267" t="s">
        <v>287</v>
      </c>
      <c r="C2267" t="s">
        <v>6090</v>
      </c>
      <c r="D2267" t="s">
        <v>274</v>
      </c>
      <c r="F2267" t="s">
        <v>261</v>
      </c>
      <c r="I2267" t="s">
        <v>5698</v>
      </c>
      <c r="J2267" t="s">
        <v>37</v>
      </c>
      <c r="K2267" t="s">
        <v>32</v>
      </c>
      <c r="L2267" t="s">
        <v>35</v>
      </c>
      <c r="Q2267">
        <v>2</v>
      </c>
      <c r="R2267">
        <v>3</v>
      </c>
      <c r="AC2267">
        <v>1</v>
      </c>
      <c r="AD2267">
        <v>10</v>
      </c>
      <c r="AK2267">
        <v>1</v>
      </c>
      <c r="AL2267">
        <v>6</v>
      </c>
      <c r="AQ2267">
        <v>22</v>
      </c>
      <c r="AR2267" s="3">
        <f t="shared" si="105"/>
        <v>5</v>
      </c>
      <c r="AS2267" s="3">
        <f t="shared" si="106"/>
        <v>0</v>
      </c>
      <c r="AT2267" s="3" t="str">
        <f>IF(OR(Registered!AM2267&gt;0,Registered!AO2267&gt;0),(IF(Registered!E2267=0,"Size Not Specified",Registered!E2267)),"")</f>
        <v/>
      </c>
      <c r="AU2267" s="3" t="str">
        <f>IF(Registered!AE2267=0,"",IF(Registered!AE2267=1,Registered!AE2267&amp;" Bandana",Registered!AE2267&amp;" Bandanas"))</f>
        <v/>
      </c>
      <c r="AV2267" s="3">
        <f t="shared" si="107"/>
        <v>1</v>
      </c>
      <c r="AW2267" s="2" t="str">
        <f>IF(Registered!AV2267=0,"",IF(Registered!AV2267=1,Registered!AV2267&amp;" Meal",Registered!AV2267&amp;" Meals"))</f>
        <v>1 Meal</v>
      </c>
      <c r="AX2267" s="2" t="str">
        <f>IF(Registered!AI2267=0,"",Registered!AI2267&amp;" BG")</f>
        <v/>
      </c>
      <c r="AY2267" s="2" t="str">
        <f>IF(Registered!AG2267=0,"",Registered!AG2267&amp;" DustMask")</f>
        <v/>
      </c>
    </row>
    <row r="2268" spans="1:51" customFormat="1" x14ac:dyDescent="0.25">
      <c r="A2268" t="s">
        <v>4602</v>
      </c>
      <c r="B2268" t="s">
        <v>287</v>
      </c>
      <c r="C2268" t="s">
        <v>6090</v>
      </c>
      <c r="G2268" t="s">
        <v>150</v>
      </c>
      <c r="H2268" t="s">
        <v>5297</v>
      </c>
      <c r="I2268" t="s">
        <v>5299</v>
      </c>
      <c r="J2268" t="s">
        <v>37</v>
      </c>
      <c r="K2268" t="s">
        <v>32</v>
      </c>
      <c r="L2268" t="s">
        <v>35</v>
      </c>
      <c r="AQ2268">
        <v>0</v>
      </c>
      <c r="AR2268" s="3">
        <f t="shared" si="105"/>
        <v>0</v>
      </c>
      <c r="AS2268" s="3">
        <f t="shared" si="106"/>
        <v>0</v>
      </c>
      <c r="AT2268" s="3" t="str">
        <f>IF(OR(Registered!AM2268&gt;0,Registered!AO2268&gt;0),(IF(Registered!E2268=0,"Size Not Specified",Registered!E2268)),"")</f>
        <v/>
      </c>
      <c r="AU2268" s="3" t="str">
        <f>IF(Registered!AE2268=0,"",IF(Registered!AE2268=1,Registered!AE2268&amp;" Bandana",Registered!AE2268&amp;" Bandanas"))</f>
        <v/>
      </c>
      <c r="AV2268" s="3">
        <f t="shared" si="107"/>
        <v>0</v>
      </c>
      <c r="AW2268" s="2" t="str">
        <f>IF(Registered!AV2268=0,"",IF(Registered!AV2268=1,Registered!AV2268&amp;" Meal",Registered!AV2268&amp;" Meals"))</f>
        <v/>
      </c>
      <c r="AX2268" s="2" t="str">
        <f>IF(Registered!AI2268=0,"",Registered!AI2268&amp;" BG")</f>
        <v/>
      </c>
      <c r="AY2268" s="2" t="str">
        <f>IF(Registered!AG2268=0,"",Registered!AG2268&amp;" DustMask")</f>
        <v/>
      </c>
    </row>
    <row r="2269" spans="1:51" customFormat="1" x14ac:dyDescent="0.25">
      <c r="A2269" t="s">
        <v>400</v>
      </c>
      <c r="B2269" t="s">
        <v>287</v>
      </c>
      <c r="C2269" t="s">
        <v>6090</v>
      </c>
      <c r="D2269" t="s">
        <v>2397</v>
      </c>
      <c r="I2269" t="s">
        <v>2398</v>
      </c>
      <c r="J2269" t="s">
        <v>37</v>
      </c>
      <c r="K2269" t="s">
        <v>32</v>
      </c>
      <c r="L2269" t="s">
        <v>35</v>
      </c>
      <c r="S2269">
        <v>2</v>
      </c>
      <c r="T2269">
        <v>3</v>
      </c>
      <c r="U2269">
        <v>1</v>
      </c>
      <c r="V2269">
        <v>20</v>
      </c>
      <c r="AQ2269">
        <v>26</v>
      </c>
      <c r="AR2269" s="3">
        <f t="shared" si="105"/>
        <v>10</v>
      </c>
      <c r="AS2269" s="3">
        <f t="shared" si="106"/>
        <v>0</v>
      </c>
      <c r="AT2269" s="3" t="str">
        <f>IF(OR(Registered!AM2269&gt;0,Registered!AO2269&gt;0),(IF(Registered!E2269=0,"Size Not Specified",Registered!E2269)),"")</f>
        <v/>
      </c>
      <c r="AU2269" s="3" t="str">
        <f>IF(Registered!AE2269=0,"",IF(Registered!AE2269=1,Registered!AE2269&amp;" Bandana",Registered!AE2269&amp;" Bandanas"))</f>
        <v/>
      </c>
      <c r="AV2269" s="3">
        <f t="shared" si="107"/>
        <v>0</v>
      </c>
      <c r="AW2269" s="2" t="str">
        <f>IF(Registered!AV2269=0,"",IF(Registered!AV2269=1,Registered!AV2269&amp;" Meal",Registered!AV2269&amp;" Meals"))</f>
        <v/>
      </c>
      <c r="AX2269" s="2" t="str">
        <f>IF(Registered!AI2269=0,"",Registered!AI2269&amp;" BG")</f>
        <v/>
      </c>
      <c r="AY2269" s="2" t="str">
        <f>IF(Registered!AG2269=0,"",Registered!AG2269&amp;" DustMask")</f>
        <v/>
      </c>
    </row>
    <row r="2270" spans="1:51" customFormat="1" x14ac:dyDescent="0.25">
      <c r="A2270" t="s">
        <v>456</v>
      </c>
      <c r="B2270" t="s">
        <v>287</v>
      </c>
      <c r="C2270" t="s">
        <v>6090</v>
      </c>
      <c r="G2270" t="s">
        <v>102</v>
      </c>
      <c r="H2270" t="s">
        <v>176</v>
      </c>
      <c r="I2270" t="s">
        <v>1325</v>
      </c>
      <c r="J2270" t="s">
        <v>37</v>
      </c>
      <c r="K2270" t="s">
        <v>32</v>
      </c>
      <c r="L2270" t="s">
        <v>35</v>
      </c>
      <c r="AQ2270">
        <v>0</v>
      </c>
      <c r="AR2270" s="3">
        <f t="shared" si="105"/>
        <v>0</v>
      </c>
      <c r="AS2270" s="3">
        <f t="shared" si="106"/>
        <v>0</v>
      </c>
      <c r="AT2270" s="3" t="str">
        <f>IF(OR(Registered!AM2270&gt;0,Registered!AO2270&gt;0),(IF(Registered!E2270=0,"Size Not Specified",Registered!E2270)),"")</f>
        <v/>
      </c>
      <c r="AU2270" s="3" t="str">
        <f>IF(Registered!AE2270=0,"",IF(Registered!AE2270=1,Registered!AE2270&amp;" Bandana",Registered!AE2270&amp;" Bandanas"))</f>
        <v/>
      </c>
      <c r="AV2270" s="3">
        <f t="shared" si="107"/>
        <v>0</v>
      </c>
      <c r="AW2270" s="2" t="str">
        <f>IF(Registered!AV2270=0,"",IF(Registered!AV2270=1,Registered!AV2270&amp;" Meal",Registered!AV2270&amp;" Meals"))</f>
        <v/>
      </c>
      <c r="AX2270" s="2" t="str">
        <f>IF(Registered!AI2270=0,"",Registered!AI2270&amp;" BG")</f>
        <v/>
      </c>
      <c r="AY2270" s="2" t="str">
        <f>IF(Registered!AG2270=0,"",Registered!AG2270&amp;" DustMask")</f>
        <v/>
      </c>
    </row>
    <row r="2271" spans="1:51" customFormat="1" x14ac:dyDescent="0.25">
      <c r="A2271" t="s">
        <v>98</v>
      </c>
      <c r="B2271" t="s">
        <v>287</v>
      </c>
      <c r="C2271" t="s">
        <v>6090</v>
      </c>
      <c r="D2271" t="s">
        <v>57</v>
      </c>
      <c r="E2271" t="s">
        <v>201</v>
      </c>
      <c r="F2271" t="s">
        <v>261</v>
      </c>
      <c r="I2271" t="s">
        <v>2399</v>
      </c>
      <c r="J2271" t="s">
        <v>37</v>
      </c>
      <c r="K2271" t="s">
        <v>32</v>
      </c>
      <c r="L2271" t="s">
        <v>35</v>
      </c>
      <c r="Q2271">
        <v>1</v>
      </c>
      <c r="R2271">
        <v>3</v>
      </c>
      <c r="AC2271">
        <v>1</v>
      </c>
      <c r="AD2271">
        <v>10</v>
      </c>
      <c r="AE2271">
        <v>1</v>
      </c>
      <c r="AF2271">
        <v>6</v>
      </c>
      <c r="AO2271">
        <v>1</v>
      </c>
      <c r="AP2271">
        <v>10</v>
      </c>
      <c r="AQ2271">
        <v>29</v>
      </c>
      <c r="AR2271" s="3">
        <f t="shared" si="105"/>
        <v>5</v>
      </c>
      <c r="AS2271" s="3">
        <f t="shared" si="106"/>
        <v>1</v>
      </c>
      <c r="AT2271" s="3" t="str">
        <f>IF(OR(Registered!AM2271&gt;0,Registered!AO2271&gt;0),(IF(Registered!E2271=0,"Size Not Specified",Registered!E2271)),"")</f>
        <v>XL</v>
      </c>
      <c r="AU2271" s="3" t="str">
        <f>IF(Registered!AE2271=0,"",IF(Registered!AE2271=1,Registered!AE2271&amp;" Bandana",Registered!AE2271&amp;" Bandanas"))</f>
        <v>1 Bandana</v>
      </c>
      <c r="AV2271" s="3">
        <f t="shared" si="107"/>
        <v>0</v>
      </c>
      <c r="AW2271" s="2" t="str">
        <f>IF(Registered!AV2271=0,"",IF(Registered!AV2271=1,Registered!AV2271&amp;" Meal",Registered!AV2271&amp;" Meals"))</f>
        <v/>
      </c>
      <c r="AX2271" s="2" t="str">
        <f>IF(Registered!AI2271=0,"",Registered!AI2271&amp;" BG")</f>
        <v/>
      </c>
      <c r="AY2271" s="2" t="str">
        <f>IF(Registered!AG2271=0,"",Registered!AG2271&amp;" DustMask")</f>
        <v/>
      </c>
    </row>
    <row r="2272" spans="1:51" customFormat="1" x14ac:dyDescent="0.25">
      <c r="A2272" t="s">
        <v>100</v>
      </c>
      <c r="B2272" t="s">
        <v>287</v>
      </c>
      <c r="C2272" t="s">
        <v>6090</v>
      </c>
      <c r="D2272" t="s">
        <v>5702</v>
      </c>
      <c r="E2272" t="s">
        <v>76</v>
      </c>
      <c r="F2272" t="s">
        <v>261</v>
      </c>
      <c r="I2272" t="s">
        <v>5703</v>
      </c>
      <c r="J2272" t="s">
        <v>37</v>
      </c>
      <c r="K2272" t="s">
        <v>32</v>
      </c>
      <c r="L2272" t="s">
        <v>35</v>
      </c>
      <c r="Q2272">
        <v>1</v>
      </c>
      <c r="R2272">
        <v>3</v>
      </c>
      <c r="AM2272">
        <v>1</v>
      </c>
      <c r="AN2272">
        <v>25</v>
      </c>
      <c r="AQ2272">
        <v>28</v>
      </c>
      <c r="AR2272" s="3">
        <f t="shared" si="105"/>
        <v>5</v>
      </c>
      <c r="AS2272" s="3">
        <f t="shared" si="106"/>
        <v>1</v>
      </c>
      <c r="AT2272" s="3" t="str">
        <f>IF(OR(Registered!AM2272&gt;0,Registered!AO2272&gt;0),(IF(Registered!E2272=0,"Size Not Specified",Registered!E2272)),"")</f>
        <v>L</v>
      </c>
      <c r="AU2272" s="3" t="str">
        <f>IF(Registered!AE2272=0,"",IF(Registered!AE2272=1,Registered!AE2272&amp;" Bandana",Registered!AE2272&amp;" Bandanas"))</f>
        <v/>
      </c>
      <c r="AV2272" s="3">
        <f t="shared" si="107"/>
        <v>1</v>
      </c>
      <c r="AW2272" s="2" t="str">
        <f>IF(Registered!AV2272=0,"",IF(Registered!AV2272=1,Registered!AV2272&amp;" Meal",Registered!AV2272&amp;" Meals"))</f>
        <v>1 Meal</v>
      </c>
      <c r="AX2272" s="2" t="str">
        <f>IF(Registered!AI2272=0,"",Registered!AI2272&amp;" BG")</f>
        <v/>
      </c>
      <c r="AY2272" s="2" t="str">
        <f>IF(Registered!AG2272=0,"",Registered!AG2272&amp;" DustMask")</f>
        <v/>
      </c>
    </row>
    <row r="2273" spans="1:51" customFormat="1" x14ac:dyDescent="0.25">
      <c r="A2273" t="s">
        <v>614</v>
      </c>
      <c r="B2273" t="s">
        <v>287</v>
      </c>
      <c r="C2273" t="s">
        <v>6090</v>
      </c>
      <c r="D2273" t="s">
        <v>5704</v>
      </c>
      <c r="E2273" t="s">
        <v>232</v>
      </c>
      <c r="F2273" t="s">
        <v>261</v>
      </c>
      <c r="I2273" t="s">
        <v>5705</v>
      </c>
      <c r="J2273" t="s">
        <v>37</v>
      </c>
      <c r="K2273" t="s">
        <v>32</v>
      </c>
      <c r="L2273" t="s">
        <v>35</v>
      </c>
      <c r="Q2273">
        <v>1</v>
      </c>
      <c r="R2273">
        <v>3</v>
      </c>
      <c r="AM2273">
        <v>1</v>
      </c>
      <c r="AN2273">
        <v>25</v>
      </c>
      <c r="AQ2273">
        <v>28</v>
      </c>
      <c r="AR2273" s="3">
        <f t="shared" si="105"/>
        <v>5</v>
      </c>
      <c r="AS2273" s="3">
        <f t="shared" si="106"/>
        <v>1</v>
      </c>
      <c r="AT2273" s="3" t="str">
        <f>IF(OR(Registered!AM2273&gt;0,Registered!AO2273&gt;0),(IF(Registered!E2273=0,"Size Not Specified",Registered!E2273)),"")</f>
        <v>M</v>
      </c>
      <c r="AU2273" s="3" t="str">
        <f>IF(Registered!AE2273=0,"",IF(Registered!AE2273=1,Registered!AE2273&amp;" Bandana",Registered!AE2273&amp;" Bandanas"))</f>
        <v/>
      </c>
      <c r="AV2273" s="3">
        <f t="shared" si="107"/>
        <v>1</v>
      </c>
      <c r="AW2273" s="2" t="str">
        <f>IF(Registered!AV2273=0,"",IF(Registered!AV2273=1,Registered!AV2273&amp;" Meal",Registered!AV2273&amp;" Meals"))</f>
        <v>1 Meal</v>
      </c>
      <c r="AX2273" s="2" t="str">
        <f>IF(Registered!AI2273=0,"",Registered!AI2273&amp;" BG")</f>
        <v/>
      </c>
      <c r="AY2273" s="2" t="str">
        <f>IF(Registered!AG2273=0,"",Registered!AG2273&amp;" DustMask")</f>
        <v/>
      </c>
    </row>
    <row r="2274" spans="1:51" customFormat="1" x14ac:dyDescent="0.25">
      <c r="A2274" t="s">
        <v>5706</v>
      </c>
      <c r="B2274" t="s">
        <v>287</v>
      </c>
      <c r="C2274" t="s">
        <v>6090</v>
      </c>
      <c r="G2274" t="s">
        <v>5308</v>
      </c>
      <c r="H2274" t="s">
        <v>3240</v>
      </c>
      <c r="I2274" t="s">
        <v>5310</v>
      </c>
      <c r="J2274" t="s">
        <v>37</v>
      </c>
      <c r="K2274" t="s">
        <v>32</v>
      </c>
      <c r="L2274" t="s">
        <v>35</v>
      </c>
      <c r="AQ2274">
        <v>0</v>
      </c>
      <c r="AR2274" s="3">
        <f t="shared" si="105"/>
        <v>0</v>
      </c>
      <c r="AS2274" s="3">
        <f t="shared" si="106"/>
        <v>0</v>
      </c>
      <c r="AT2274" s="3" t="str">
        <f>IF(OR(Registered!AM2274&gt;0,Registered!AO2274&gt;0),(IF(Registered!E2274=0,"Size Not Specified",Registered!E2274)),"")</f>
        <v/>
      </c>
      <c r="AU2274" s="3" t="str">
        <f>IF(Registered!AE2274=0,"",IF(Registered!AE2274=1,Registered!AE2274&amp;" Bandana",Registered!AE2274&amp;" Bandanas"))</f>
        <v/>
      </c>
      <c r="AV2274" s="3">
        <f t="shared" si="107"/>
        <v>0</v>
      </c>
      <c r="AW2274" s="2" t="str">
        <f>IF(Registered!AV2274=0,"",IF(Registered!AV2274=1,Registered!AV2274&amp;" Meal",Registered!AV2274&amp;" Meals"))</f>
        <v/>
      </c>
      <c r="AX2274" s="2" t="str">
        <f>IF(Registered!AI2274=0,"",Registered!AI2274&amp;" BG")</f>
        <v/>
      </c>
      <c r="AY2274" s="2" t="str">
        <f>IF(Registered!AG2274=0,"",Registered!AG2274&amp;" DustMask")</f>
        <v/>
      </c>
    </row>
    <row r="2275" spans="1:51" customFormat="1" x14ac:dyDescent="0.25">
      <c r="A2275" t="s">
        <v>284</v>
      </c>
      <c r="B2275" t="s">
        <v>287</v>
      </c>
      <c r="C2275" t="s">
        <v>6090</v>
      </c>
      <c r="G2275" t="s">
        <v>647</v>
      </c>
      <c r="H2275" t="s">
        <v>628</v>
      </c>
      <c r="I2275" t="s">
        <v>649</v>
      </c>
      <c r="J2275" t="s">
        <v>37</v>
      </c>
      <c r="K2275" t="s">
        <v>32</v>
      </c>
      <c r="L2275" t="s">
        <v>35</v>
      </c>
      <c r="AQ2275">
        <v>0</v>
      </c>
      <c r="AR2275" s="3">
        <f t="shared" si="105"/>
        <v>0</v>
      </c>
      <c r="AS2275" s="3">
        <f t="shared" si="106"/>
        <v>0</v>
      </c>
      <c r="AT2275" s="3" t="str">
        <f>IF(OR(Registered!AM2275&gt;0,Registered!AO2275&gt;0),(IF(Registered!E2275=0,"Size Not Specified",Registered!E2275)),"")</f>
        <v/>
      </c>
      <c r="AU2275" s="3" t="str">
        <f>IF(Registered!AE2275=0,"",IF(Registered!AE2275=1,Registered!AE2275&amp;" Bandana",Registered!AE2275&amp;" Bandanas"))</f>
        <v/>
      </c>
      <c r="AV2275" s="3">
        <f t="shared" si="107"/>
        <v>0</v>
      </c>
      <c r="AW2275" s="2" t="str">
        <f>IF(Registered!AV2275=0,"",IF(Registered!AV2275=1,Registered!AV2275&amp;" Meal",Registered!AV2275&amp;" Meals"))</f>
        <v/>
      </c>
      <c r="AX2275" s="2" t="str">
        <f>IF(Registered!AI2275=0,"",Registered!AI2275&amp;" BG")</f>
        <v/>
      </c>
      <c r="AY2275" s="2" t="str">
        <f>IF(Registered!AG2275=0,"",Registered!AG2275&amp;" DustMask")</f>
        <v/>
      </c>
    </row>
    <row r="2276" spans="1:51" customFormat="1" x14ac:dyDescent="0.25">
      <c r="A2276" t="s">
        <v>262</v>
      </c>
      <c r="B2276" t="s">
        <v>287</v>
      </c>
      <c r="C2276" t="s">
        <v>6090</v>
      </c>
      <c r="G2276" t="s">
        <v>400</v>
      </c>
      <c r="H2276" t="s">
        <v>287</v>
      </c>
      <c r="I2276" t="s">
        <v>2400</v>
      </c>
      <c r="J2276" t="s">
        <v>37</v>
      </c>
      <c r="K2276" t="s">
        <v>32</v>
      </c>
      <c r="L2276" t="s">
        <v>35</v>
      </c>
      <c r="AQ2276">
        <v>0</v>
      </c>
      <c r="AR2276" s="3">
        <f t="shared" si="105"/>
        <v>0</v>
      </c>
      <c r="AS2276" s="3">
        <f t="shared" si="106"/>
        <v>0</v>
      </c>
      <c r="AT2276" s="3" t="str">
        <f>IF(OR(Registered!AM2276&gt;0,Registered!AO2276&gt;0),(IF(Registered!E2276=0,"Size Not Specified",Registered!E2276)),"")</f>
        <v/>
      </c>
      <c r="AU2276" s="3" t="str">
        <f>IF(Registered!AE2276=0,"",IF(Registered!AE2276=1,Registered!AE2276&amp;" Bandana",Registered!AE2276&amp;" Bandanas"))</f>
        <v/>
      </c>
      <c r="AV2276" s="3">
        <f t="shared" si="107"/>
        <v>0</v>
      </c>
      <c r="AW2276" s="2" t="str">
        <f>IF(Registered!AV2276=0,"",IF(Registered!AV2276=1,Registered!AV2276&amp;" Meal",Registered!AV2276&amp;" Meals"))</f>
        <v/>
      </c>
      <c r="AX2276" s="2" t="str">
        <f>IF(Registered!AI2276=0,"",Registered!AI2276&amp;" BG")</f>
        <v/>
      </c>
      <c r="AY2276" s="2" t="str">
        <f>IF(Registered!AG2276=0,"",Registered!AG2276&amp;" DustMask")</f>
        <v/>
      </c>
    </row>
    <row r="2277" spans="1:51" customFormat="1" x14ac:dyDescent="0.25">
      <c r="A2277" t="s">
        <v>83</v>
      </c>
      <c r="B2277" t="s">
        <v>287</v>
      </c>
      <c r="C2277" t="s">
        <v>6090</v>
      </c>
      <c r="D2277" t="s">
        <v>3403</v>
      </c>
      <c r="F2277" t="s">
        <v>261</v>
      </c>
      <c r="I2277" t="s">
        <v>2702</v>
      </c>
      <c r="J2277" t="s">
        <v>37</v>
      </c>
      <c r="K2277" t="s">
        <v>32</v>
      </c>
      <c r="L2277" t="s">
        <v>35</v>
      </c>
      <c r="Q2277">
        <v>4</v>
      </c>
      <c r="R2277">
        <v>3</v>
      </c>
      <c r="Y2277">
        <v>1</v>
      </c>
      <c r="Z2277">
        <v>60</v>
      </c>
      <c r="AQ2277">
        <v>72</v>
      </c>
      <c r="AR2277" s="3">
        <f t="shared" si="105"/>
        <v>30</v>
      </c>
      <c r="AS2277" s="3">
        <f t="shared" si="106"/>
        <v>0</v>
      </c>
      <c r="AT2277" s="3" t="str">
        <f>IF(OR(Registered!AM2277&gt;0,Registered!AO2277&gt;0),(IF(Registered!E2277=0,"Size Not Specified",Registered!E2277)),"")</f>
        <v/>
      </c>
      <c r="AU2277" s="3" t="str">
        <f>IF(Registered!AE2277=0,"",IF(Registered!AE2277=1,Registered!AE2277&amp;" Bandana",Registered!AE2277&amp;" Bandanas"))</f>
        <v/>
      </c>
      <c r="AV2277" s="3">
        <f t="shared" si="107"/>
        <v>0</v>
      </c>
      <c r="AW2277" s="2" t="str">
        <f>IF(Registered!AV2277=0,"",IF(Registered!AV2277=1,Registered!AV2277&amp;" Meal",Registered!AV2277&amp;" Meals"))</f>
        <v/>
      </c>
      <c r="AX2277" s="2" t="str">
        <f>IF(Registered!AI2277=0,"",Registered!AI2277&amp;" BG")</f>
        <v/>
      </c>
      <c r="AY2277" s="2" t="str">
        <f>IF(Registered!AG2277=0,"",Registered!AG2277&amp;" DustMask")</f>
        <v/>
      </c>
    </row>
    <row r="2278" spans="1:51" customFormat="1" x14ac:dyDescent="0.25">
      <c r="A2278" t="s">
        <v>3890</v>
      </c>
      <c r="B2278" t="s">
        <v>287</v>
      </c>
      <c r="C2278" t="s">
        <v>6090</v>
      </c>
      <c r="G2278" t="s">
        <v>203</v>
      </c>
      <c r="H2278" t="s">
        <v>477</v>
      </c>
      <c r="I2278" t="s">
        <v>5329</v>
      </c>
      <c r="J2278" t="s">
        <v>37</v>
      </c>
      <c r="K2278" t="s">
        <v>32</v>
      </c>
      <c r="L2278" t="s">
        <v>35</v>
      </c>
      <c r="AQ2278">
        <v>0</v>
      </c>
      <c r="AR2278" s="3">
        <f t="shared" si="105"/>
        <v>0</v>
      </c>
      <c r="AS2278" s="3">
        <f t="shared" si="106"/>
        <v>0</v>
      </c>
      <c r="AT2278" s="3" t="str">
        <f>IF(OR(Registered!AM2278&gt;0,Registered!AO2278&gt;0),(IF(Registered!E2278=0,"Size Not Specified",Registered!E2278)),"")</f>
        <v/>
      </c>
      <c r="AU2278" s="3" t="str">
        <f>IF(Registered!AE2278=0,"",IF(Registered!AE2278=1,Registered!AE2278&amp;" Bandana",Registered!AE2278&amp;" Bandanas"))</f>
        <v/>
      </c>
      <c r="AV2278" s="3">
        <f t="shared" si="107"/>
        <v>0</v>
      </c>
      <c r="AW2278" s="2" t="str">
        <f>IF(Registered!AV2278=0,"",IF(Registered!AV2278=1,Registered!AV2278&amp;" Meal",Registered!AV2278&amp;" Meals"))</f>
        <v/>
      </c>
      <c r="AX2278" s="2" t="str">
        <f>IF(Registered!AI2278=0,"",Registered!AI2278&amp;" BG")</f>
        <v/>
      </c>
      <c r="AY2278" s="2" t="str">
        <f>IF(Registered!AG2278=0,"",Registered!AG2278&amp;" DustMask")</f>
        <v/>
      </c>
    </row>
    <row r="2279" spans="1:51" customFormat="1" x14ac:dyDescent="0.25">
      <c r="A2279" t="s">
        <v>2879</v>
      </c>
      <c r="B2279" t="s">
        <v>3404</v>
      </c>
      <c r="C2279" t="s">
        <v>6090</v>
      </c>
      <c r="D2279" t="s">
        <v>198</v>
      </c>
      <c r="F2279" t="s">
        <v>261</v>
      </c>
      <c r="I2279" t="s">
        <v>3405</v>
      </c>
      <c r="J2279" t="s">
        <v>37</v>
      </c>
      <c r="K2279" t="s">
        <v>32</v>
      </c>
      <c r="L2279" t="s">
        <v>35</v>
      </c>
      <c r="Q2279">
        <v>1</v>
      </c>
      <c r="R2279">
        <v>3</v>
      </c>
      <c r="AC2279">
        <v>1</v>
      </c>
      <c r="AD2279">
        <v>10</v>
      </c>
      <c r="AQ2279">
        <v>13</v>
      </c>
      <c r="AR2279" s="3">
        <f t="shared" si="105"/>
        <v>5</v>
      </c>
      <c r="AS2279" s="3">
        <f t="shared" si="106"/>
        <v>0</v>
      </c>
      <c r="AT2279" s="3" t="str">
        <f>IF(OR(Registered!AM2279&gt;0,Registered!AO2279&gt;0),(IF(Registered!E2279=0,"Size Not Specified",Registered!E2279)),"")</f>
        <v/>
      </c>
      <c r="AU2279" s="3" t="str">
        <f>IF(Registered!AE2279=0,"",IF(Registered!AE2279=1,Registered!AE2279&amp;" Bandana",Registered!AE2279&amp;" Bandanas"))</f>
        <v/>
      </c>
      <c r="AV2279" s="3">
        <f t="shared" si="107"/>
        <v>0</v>
      </c>
      <c r="AW2279" s="2" t="str">
        <f>IF(Registered!AV2279=0,"",IF(Registered!AV2279=1,Registered!AV2279&amp;" Meal",Registered!AV2279&amp;" Meals"))</f>
        <v/>
      </c>
      <c r="AX2279" s="2" t="str">
        <f>IF(Registered!AI2279=0,"",Registered!AI2279&amp;" BG")</f>
        <v/>
      </c>
      <c r="AY2279" s="2" t="str">
        <f>IF(Registered!AG2279=0,"",Registered!AG2279&amp;" DustMask")</f>
        <v/>
      </c>
    </row>
    <row r="2280" spans="1:51" customFormat="1" x14ac:dyDescent="0.25">
      <c r="A2280" t="s">
        <v>2403</v>
      </c>
      <c r="B2280" t="s">
        <v>2404</v>
      </c>
      <c r="C2280" t="s">
        <v>6090</v>
      </c>
      <c r="D2280" t="s">
        <v>2405</v>
      </c>
      <c r="F2280" t="s">
        <v>261</v>
      </c>
      <c r="I2280" t="s">
        <v>2406</v>
      </c>
      <c r="J2280" t="s">
        <v>37</v>
      </c>
      <c r="K2280" t="s">
        <v>32</v>
      </c>
      <c r="L2280" t="s">
        <v>35</v>
      </c>
      <c r="Q2280">
        <v>1</v>
      </c>
      <c r="R2280">
        <v>3</v>
      </c>
      <c r="AC2280">
        <v>2</v>
      </c>
      <c r="AD2280">
        <v>10</v>
      </c>
      <c r="AQ2280">
        <v>23</v>
      </c>
      <c r="AR2280" s="3">
        <f t="shared" si="105"/>
        <v>10</v>
      </c>
      <c r="AS2280" s="3">
        <f t="shared" si="106"/>
        <v>0</v>
      </c>
      <c r="AT2280" s="3" t="str">
        <f>IF(OR(Registered!AM2280&gt;0,Registered!AO2280&gt;0),(IF(Registered!E2280=0,"Size Not Specified",Registered!E2280)),"")</f>
        <v/>
      </c>
      <c r="AU2280" s="3" t="str">
        <f>IF(Registered!AE2280=0,"",IF(Registered!AE2280=1,Registered!AE2280&amp;" Bandana",Registered!AE2280&amp;" Bandanas"))</f>
        <v/>
      </c>
      <c r="AV2280" s="3">
        <f t="shared" si="107"/>
        <v>0</v>
      </c>
      <c r="AW2280" s="2" t="str">
        <f>IF(Registered!AV2280=0,"",IF(Registered!AV2280=1,Registered!AV2280&amp;" Meal",Registered!AV2280&amp;" Meals"))</f>
        <v/>
      </c>
      <c r="AX2280" s="2" t="str">
        <f>IF(Registered!AI2280=0,"",Registered!AI2280&amp;" BG")</f>
        <v/>
      </c>
      <c r="AY2280" s="2" t="str">
        <f>IF(Registered!AG2280=0,"",Registered!AG2280&amp;" DustMask")</f>
        <v/>
      </c>
    </row>
    <row r="2281" spans="1:51" customFormat="1" x14ac:dyDescent="0.25">
      <c r="A2281" t="s">
        <v>156</v>
      </c>
      <c r="B2281" t="s">
        <v>5707</v>
      </c>
      <c r="C2281" t="s">
        <v>6090</v>
      </c>
      <c r="G2281" t="s">
        <v>5708</v>
      </c>
      <c r="H2281" t="s">
        <v>4190</v>
      </c>
      <c r="I2281" t="s">
        <v>5709</v>
      </c>
      <c r="J2281" t="s">
        <v>37</v>
      </c>
      <c r="K2281" t="s">
        <v>32</v>
      </c>
      <c r="L2281" t="s">
        <v>35</v>
      </c>
      <c r="AQ2281">
        <v>0</v>
      </c>
      <c r="AR2281" s="3">
        <f t="shared" si="105"/>
        <v>0</v>
      </c>
      <c r="AS2281" s="3">
        <f t="shared" si="106"/>
        <v>0</v>
      </c>
      <c r="AT2281" s="3" t="str">
        <f>IF(OR(Registered!AM2281&gt;0,Registered!AO2281&gt;0),(IF(Registered!E2281=0,"Size Not Specified",Registered!E2281)),"")</f>
        <v/>
      </c>
      <c r="AU2281" s="3" t="str">
        <f>IF(Registered!AE2281=0,"",IF(Registered!AE2281=1,Registered!AE2281&amp;" Bandana",Registered!AE2281&amp;" Bandanas"))</f>
        <v/>
      </c>
      <c r="AV2281" s="3">
        <f t="shared" si="107"/>
        <v>0</v>
      </c>
      <c r="AW2281" s="2" t="str">
        <f>IF(Registered!AV2281=0,"",IF(Registered!AV2281=1,Registered!AV2281&amp;" Meal",Registered!AV2281&amp;" Meals"))</f>
        <v/>
      </c>
      <c r="AX2281" s="2" t="str">
        <f>IF(Registered!AI2281=0,"",Registered!AI2281&amp;" BG")</f>
        <v/>
      </c>
      <c r="AY2281" s="2" t="str">
        <f>IF(Registered!AG2281=0,"",Registered!AG2281&amp;" DustMask")</f>
        <v/>
      </c>
    </row>
    <row r="2282" spans="1:51" customFormat="1" x14ac:dyDescent="0.25">
      <c r="A2282" t="s">
        <v>122</v>
      </c>
      <c r="B2282" t="s">
        <v>2407</v>
      </c>
      <c r="C2282" t="s">
        <v>6090</v>
      </c>
      <c r="G2282" t="s">
        <v>479</v>
      </c>
      <c r="H2282" t="s">
        <v>267</v>
      </c>
      <c r="I2282" t="s">
        <v>2408</v>
      </c>
      <c r="J2282" t="s">
        <v>37</v>
      </c>
      <c r="K2282" t="s">
        <v>32</v>
      </c>
      <c r="L2282" t="s">
        <v>35</v>
      </c>
      <c r="AQ2282">
        <v>0</v>
      </c>
      <c r="AR2282" s="3">
        <f t="shared" si="105"/>
        <v>0</v>
      </c>
      <c r="AS2282" s="3">
        <f t="shared" si="106"/>
        <v>0</v>
      </c>
      <c r="AT2282" s="3" t="str">
        <f>IF(OR(Registered!AM2282&gt;0,Registered!AO2282&gt;0),(IF(Registered!E2282=0,"Size Not Specified",Registered!E2282)),"")</f>
        <v/>
      </c>
      <c r="AU2282" s="3" t="str">
        <f>IF(Registered!AE2282=0,"",IF(Registered!AE2282=1,Registered!AE2282&amp;" Bandana",Registered!AE2282&amp;" Bandanas"))</f>
        <v/>
      </c>
      <c r="AV2282" s="3">
        <f t="shared" si="107"/>
        <v>0</v>
      </c>
      <c r="AW2282" s="2" t="str">
        <f>IF(Registered!AV2282=0,"",IF(Registered!AV2282=1,Registered!AV2282&amp;" Meal",Registered!AV2282&amp;" Meals"))</f>
        <v/>
      </c>
      <c r="AX2282" s="2" t="str">
        <f>IF(Registered!AI2282=0,"",Registered!AI2282&amp;" BG")</f>
        <v/>
      </c>
      <c r="AY2282" s="2" t="str">
        <f>IF(Registered!AG2282=0,"",Registered!AG2282&amp;" DustMask")</f>
        <v/>
      </c>
    </row>
    <row r="2283" spans="1:51" customFormat="1" x14ac:dyDescent="0.25">
      <c r="A2283" t="s">
        <v>199</v>
      </c>
      <c r="B2283" t="s">
        <v>2407</v>
      </c>
      <c r="C2283" t="s">
        <v>6090</v>
      </c>
      <c r="D2283" t="s">
        <v>199</v>
      </c>
      <c r="F2283" t="s">
        <v>261</v>
      </c>
      <c r="I2283" t="s">
        <v>3006</v>
      </c>
      <c r="J2283" t="s">
        <v>37</v>
      </c>
      <c r="K2283" t="s">
        <v>32</v>
      </c>
      <c r="L2283" t="s">
        <v>35</v>
      </c>
      <c r="Q2283">
        <v>2</v>
      </c>
      <c r="R2283">
        <v>3</v>
      </c>
      <c r="AC2283">
        <v>1</v>
      </c>
      <c r="AD2283">
        <v>10</v>
      </c>
      <c r="AE2283">
        <v>1</v>
      </c>
      <c r="AF2283">
        <v>6</v>
      </c>
      <c r="AQ2283">
        <v>22</v>
      </c>
      <c r="AR2283" s="3">
        <f t="shared" si="105"/>
        <v>5</v>
      </c>
      <c r="AS2283" s="3">
        <f t="shared" si="106"/>
        <v>0</v>
      </c>
      <c r="AT2283" s="3" t="str">
        <f>IF(OR(Registered!AM2283&gt;0,Registered!AO2283&gt;0),(IF(Registered!E2283=0,"Size Not Specified",Registered!E2283)),"")</f>
        <v/>
      </c>
      <c r="AU2283" s="3" t="str">
        <f>IF(Registered!AE2283=0,"",IF(Registered!AE2283=1,Registered!AE2283&amp;" Bandana",Registered!AE2283&amp;" Bandanas"))</f>
        <v>1 Bandana</v>
      </c>
      <c r="AV2283" s="3">
        <f t="shared" si="107"/>
        <v>0</v>
      </c>
      <c r="AW2283" s="2" t="str">
        <f>IF(Registered!AV2283=0,"",IF(Registered!AV2283=1,Registered!AV2283&amp;" Meal",Registered!AV2283&amp;" Meals"))</f>
        <v/>
      </c>
      <c r="AX2283" s="2" t="str">
        <f>IF(Registered!AI2283=0,"",Registered!AI2283&amp;" BG")</f>
        <v/>
      </c>
      <c r="AY2283" s="2" t="str">
        <f>IF(Registered!AG2283=0,"",Registered!AG2283&amp;" DustMask")</f>
        <v/>
      </c>
    </row>
    <row r="2284" spans="1:51" customFormat="1" x14ac:dyDescent="0.25">
      <c r="A2284" t="s">
        <v>255</v>
      </c>
      <c r="B2284" t="s">
        <v>2407</v>
      </c>
      <c r="C2284" t="s">
        <v>6090</v>
      </c>
      <c r="D2284" t="s">
        <v>255</v>
      </c>
      <c r="E2284" t="s">
        <v>3406</v>
      </c>
      <c r="F2284" t="s">
        <v>261</v>
      </c>
      <c r="I2284" t="s">
        <v>2843</v>
      </c>
      <c r="J2284" t="s">
        <v>37</v>
      </c>
      <c r="K2284" t="s">
        <v>32</v>
      </c>
      <c r="L2284" t="s">
        <v>35</v>
      </c>
      <c r="Q2284">
        <v>2</v>
      </c>
      <c r="R2284">
        <v>3</v>
      </c>
      <c r="AC2284">
        <v>2</v>
      </c>
      <c r="AD2284">
        <v>10</v>
      </c>
      <c r="AO2284">
        <v>2</v>
      </c>
      <c r="AP2284">
        <v>10</v>
      </c>
      <c r="AQ2284">
        <v>46</v>
      </c>
      <c r="AR2284" s="3">
        <f t="shared" si="105"/>
        <v>10</v>
      </c>
      <c r="AS2284" s="3">
        <f t="shared" si="106"/>
        <v>2</v>
      </c>
      <c r="AT2284" s="3" t="str">
        <f>IF(OR(Registered!AM2284&gt;0,Registered!AO2284&gt;0),(IF(Registered!E2284=0,"Size Not Specified",Registered!E2284)),"")</f>
        <v>1 womens large and 1 womens extra large</v>
      </c>
      <c r="AU2284" s="3" t="str">
        <f>IF(Registered!AE2284=0,"",IF(Registered!AE2284=1,Registered!AE2284&amp;" Bandana",Registered!AE2284&amp;" Bandanas"))</f>
        <v/>
      </c>
      <c r="AV2284" s="3">
        <f t="shared" si="107"/>
        <v>0</v>
      </c>
      <c r="AW2284" s="2" t="str">
        <f>IF(Registered!AV2284=0,"",IF(Registered!AV2284=1,Registered!AV2284&amp;" Meal",Registered!AV2284&amp;" Meals"))</f>
        <v/>
      </c>
      <c r="AX2284" s="2" t="str">
        <f>IF(Registered!AI2284=0,"",Registered!AI2284&amp;" BG")</f>
        <v/>
      </c>
      <c r="AY2284" s="2" t="str">
        <f>IF(Registered!AG2284=0,"",Registered!AG2284&amp;" DustMask")</f>
        <v/>
      </c>
    </row>
    <row r="2285" spans="1:51" customFormat="1" x14ac:dyDescent="0.25">
      <c r="A2285" t="s">
        <v>5710</v>
      </c>
      <c r="B2285" t="s">
        <v>2815</v>
      </c>
      <c r="C2285" t="s">
        <v>6090</v>
      </c>
      <c r="D2285" t="s">
        <v>5710</v>
      </c>
      <c r="F2285" t="s">
        <v>261</v>
      </c>
      <c r="I2285" t="s">
        <v>5711</v>
      </c>
      <c r="J2285" t="s">
        <v>37</v>
      </c>
      <c r="K2285" t="s">
        <v>32</v>
      </c>
      <c r="L2285" t="s">
        <v>35</v>
      </c>
      <c r="Q2285">
        <v>2</v>
      </c>
      <c r="R2285">
        <v>3</v>
      </c>
      <c r="W2285">
        <v>1</v>
      </c>
      <c r="X2285">
        <v>40</v>
      </c>
      <c r="AQ2285">
        <v>46</v>
      </c>
      <c r="AR2285" s="3">
        <f t="shared" si="105"/>
        <v>20</v>
      </c>
      <c r="AS2285" s="3">
        <f t="shared" si="106"/>
        <v>0</v>
      </c>
      <c r="AT2285" s="3" t="str">
        <f>IF(OR(Registered!AM2285&gt;0,Registered!AO2285&gt;0),(IF(Registered!E2285=0,"Size Not Specified",Registered!E2285)),"")</f>
        <v/>
      </c>
      <c r="AU2285" s="3" t="str">
        <f>IF(Registered!AE2285=0,"",IF(Registered!AE2285=1,Registered!AE2285&amp;" Bandana",Registered!AE2285&amp;" Bandanas"))</f>
        <v/>
      </c>
      <c r="AV2285" s="3">
        <f t="shared" si="107"/>
        <v>0</v>
      </c>
      <c r="AW2285" s="2" t="str">
        <f>IF(Registered!AV2285=0,"",IF(Registered!AV2285=1,Registered!AV2285&amp;" Meal",Registered!AV2285&amp;" Meals"))</f>
        <v/>
      </c>
      <c r="AX2285" s="2" t="str">
        <f>IF(Registered!AI2285=0,"",Registered!AI2285&amp;" BG")</f>
        <v/>
      </c>
      <c r="AY2285" s="2" t="str">
        <f>IF(Registered!AG2285=0,"",Registered!AG2285&amp;" DustMask")</f>
        <v/>
      </c>
    </row>
    <row r="2286" spans="1:51" customFormat="1" x14ac:dyDescent="0.25">
      <c r="A2286" t="s">
        <v>130</v>
      </c>
      <c r="B2286" t="s">
        <v>2815</v>
      </c>
      <c r="C2286" t="s">
        <v>6090</v>
      </c>
      <c r="D2286" t="s">
        <v>3407</v>
      </c>
      <c r="E2286" t="s">
        <v>41</v>
      </c>
      <c r="F2286" t="s">
        <v>261</v>
      </c>
      <c r="I2286" t="s">
        <v>2816</v>
      </c>
      <c r="J2286" t="s">
        <v>37</v>
      </c>
      <c r="K2286" t="s">
        <v>32</v>
      </c>
      <c r="L2286" t="s">
        <v>35</v>
      </c>
      <c r="Q2286">
        <v>2</v>
      </c>
      <c r="R2286">
        <v>3</v>
      </c>
      <c r="AC2286">
        <v>2</v>
      </c>
      <c r="AD2286">
        <v>10</v>
      </c>
      <c r="AE2286">
        <v>2</v>
      </c>
      <c r="AF2286">
        <v>6</v>
      </c>
      <c r="AQ2286">
        <v>38</v>
      </c>
      <c r="AR2286" s="3">
        <f t="shared" si="105"/>
        <v>10</v>
      </c>
      <c r="AS2286" s="3">
        <f t="shared" si="106"/>
        <v>0</v>
      </c>
      <c r="AT2286" s="3" t="str">
        <f>IF(OR(Registered!AM2286&gt;0,Registered!AO2286&gt;0),(IF(Registered!E2286=0,"Size Not Specified",Registered!E2286)),"")</f>
        <v/>
      </c>
      <c r="AU2286" s="3" t="str">
        <f>IF(Registered!AE2286=0,"",IF(Registered!AE2286=1,Registered!AE2286&amp;" Bandana",Registered!AE2286&amp;" Bandanas"))</f>
        <v>2 Bandanas</v>
      </c>
      <c r="AV2286" s="3">
        <f t="shared" si="107"/>
        <v>0</v>
      </c>
      <c r="AW2286" s="2" t="str">
        <f>IF(Registered!AV2286=0,"",IF(Registered!AV2286=1,Registered!AV2286&amp;" Meal",Registered!AV2286&amp;" Meals"))</f>
        <v/>
      </c>
      <c r="AX2286" s="2" t="str">
        <f>IF(Registered!AI2286=0,"",Registered!AI2286&amp;" BG")</f>
        <v/>
      </c>
      <c r="AY2286" s="2" t="str">
        <f>IF(Registered!AG2286=0,"",Registered!AG2286&amp;" DustMask")</f>
        <v/>
      </c>
    </row>
    <row r="2287" spans="1:51" customFormat="1" x14ac:dyDescent="0.25">
      <c r="A2287" t="s">
        <v>5712</v>
      </c>
      <c r="B2287" t="s">
        <v>2815</v>
      </c>
      <c r="C2287" t="s">
        <v>6090</v>
      </c>
      <c r="G2287" t="s">
        <v>3960</v>
      </c>
      <c r="H2287" t="s">
        <v>630</v>
      </c>
      <c r="I2287" t="s">
        <v>3961</v>
      </c>
      <c r="J2287" t="s">
        <v>37</v>
      </c>
      <c r="K2287" t="s">
        <v>32</v>
      </c>
      <c r="L2287" t="s">
        <v>35</v>
      </c>
      <c r="AQ2287">
        <v>0</v>
      </c>
      <c r="AR2287" s="3">
        <f t="shared" si="105"/>
        <v>0</v>
      </c>
      <c r="AS2287" s="3">
        <f t="shared" si="106"/>
        <v>0</v>
      </c>
      <c r="AT2287" s="3" t="str">
        <f>IF(OR(Registered!AM2287&gt;0,Registered!AO2287&gt;0),(IF(Registered!E2287=0,"Size Not Specified",Registered!E2287)),"")</f>
        <v/>
      </c>
      <c r="AU2287" s="3" t="str">
        <f>IF(Registered!AE2287=0,"",IF(Registered!AE2287=1,Registered!AE2287&amp;" Bandana",Registered!AE2287&amp;" Bandanas"))</f>
        <v/>
      </c>
      <c r="AV2287" s="3">
        <f t="shared" si="107"/>
        <v>0</v>
      </c>
      <c r="AW2287" s="2" t="str">
        <f>IF(Registered!AV2287=0,"",IF(Registered!AV2287=1,Registered!AV2287&amp;" Meal",Registered!AV2287&amp;" Meals"))</f>
        <v/>
      </c>
      <c r="AX2287" s="2" t="str">
        <f>IF(Registered!AI2287=0,"",Registered!AI2287&amp;" BG")</f>
        <v/>
      </c>
      <c r="AY2287" s="2" t="str">
        <f>IF(Registered!AG2287=0,"",Registered!AG2287&amp;" DustMask")</f>
        <v/>
      </c>
    </row>
    <row r="2288" spans="1:51" customFormat="1" x14ac:dyDescent="0.25">
      <c r="A2288" t="s">
        <v>3341</v>
      </c>
      <c r="B2288" t="s">
        <v>2815</v>
      </c>
      <c r="C2288" t="s">
        <v>6090</v>
      </c>
      <c r="G2288" t="s">
        <v>5710</v>
      </c>
      <c r="H2288" t="s">
        <v>2815</v>
      </c>
      <c r="I2288" t="s">
        <v>5711</v>
      </c>
      <c r="J2288" t="s">
        <v>37</v>
      </c>
      <c r="K2288" t="s">
        <v>32</v>
      </c>
      <c r="L2288" t="s">
        <v>35</v>
      </c>
      <c r="AQ2288">
        <v>0</v>
      </c>
      <c r="AR2288" s="3">
        <f t="shared" si="105"/>
        <v>0</v>
      </c>
      <c r="AS2288" s="3">
        <f t="shared" si="106"/>
        <v>0</v>
      </c>
      <c r="AT2288" s="3" t="str">
        <f>IF(OR(Registered!AM2288&gt;0,Registered!AO2288&gt;0),(IF(Registered!E2288=0,"Size Not Specified",Registered!E2288)),"")</f>
        <v/>
      </c>
      <c r="AU2288" s="3" t="str">
        <f>IF(Registered!AE2288=0,"",IF(Registered!AE2288=1,Registered!AE2288&amp;" Bandana",Registered!AE2288&amp;" Bandanas"))</f>
        <v/>
      </c>
      <c r="AV2288" s="3">
        <f t="shared" si="107"/>
        <v>0</v>
      </c>
      <c r="AW2288" s="2" t="str">
        <f>IF(Registered!AV2288=0,"",IF(Registered!AV2288=1,Registered!AV2288&amp;" Meal",Registered!AV2288&amp;" Meals"))</f>
        <v/>
      </c>
      <c r="AX2288" s="2" t="str">
        <f>IF(Registered!AI2288=0,"",Registered!AI2288&amp;" BG")</f>
        <v/>
      </c>
      <c r="AY2288" s="2" t="str">
        <f>IF(Registered!AG2288=0,"",Registered!AG2288&amp;" DustMask")</f>
        <v/>
      </c>
    </row>
    <row r="2289" spans="1:51" customFormat="1" x14ac:dyDescent="0.25">
      <c r="A2289" t="s">
        <v>1947</v>
      </c>
      <c r="B2289" t="s">
        <v>1948</v>
      </c>
      <c r="C2289" t="s">
        <v>6090</v>
      </c>
      <c r="D2289" t="s">
        <v>2409</v>
      </c>
      <c r="E2289" t="s">
        <v>2410</v>
      </c>
      <c r="F2289" t="s">
        <v>261</v>
      </c>
      <c r="I2289" t="s">
        <v>1949</v>
      </c>
      <c r="J2289" t="s">
        <v>37</v>
      </c>
      <c r="K2289" t="s">
        <v>32</v>
      </c>
      <c r="L2289" t="s">
        <v>35</v>
      </c>
      <c r="S2289">
        <v>2</v>
      </c>
      <c r="T2289">
        <v>3</v>
      </c>
      <c r="AM2289">
        <v>2</v>
      </c>
      <c r="AN2289">
        <v>25</v>
      </c>
      <c r="AQ2289">
        <v>56</v>
      </c>
      <c r="AR2289" s="3">
        <f t="shared" si="105"/>
        <v>10</v>
      </c>
      <c r="AS2289" s="3">
        <f t="shared" si="106"/>
        <v>2</v>
      </c>
      <c r="AT2289" s="3" t="str">
        <f>IF(OR(Registered!AM2289&gt;0,Registered!AO2289&gt;0),(IF(Registered!E2289=0,"Size Not Specified",Registered!E2289)),"")</f>
        <v>Adult small and adult X-large</v>
      </c>
      <c r="AU2289" s="3" t="str">
        <f>IF(Registered!AE2289=0,"",IF(Registered!AE2289=1,Registered!AE2289&amp;" Bandana",Registered!AE2289&amp;" Bandanas"))</f>
        <v/>
      </c>
      <c r="AV2289" s="3">
        <f t="shared" si="107"/>
        <v>2</v>
      </c>
      <c r="AW2289" s="2" t="str">
        <f>IF(Registered!AV2289=0,"",IF(Registered!AV2289=1,Registered!AV2289&amp;" Meal",Registered!AV2289&amp;" Meals"))</f>
        <v>2 Meals</v>
      </c>
      <c r="AX2289" s="2" t="str">
        <f>IF(Registered!AI2289=0,"",Registered!AI2289&amp;" BG")</f>
        <v/>
      </c>
      <c r="AY2289" s="2" t="str">
        <f>IF(Registered!AG2289=0,"",Registered!AG2289&amp;" DustMask")</f>
        <v/>
      </c>
    </row>
    <row r="2290" spans="1:51" customFormat="1" x14ac:dyDescent="0.25">
      <c r="A2290" t="s">
        <v>5713</v>
      </c>
      <c r="B2290" t="s">
        <v>5714</v>
      </c>
      <c r="C2290" t="s">
        <v>6090</v>
      </c>
      <c r="D2290" t="s">
        <v>3366</v>
      </c>
      <c r="F2290" t="s">
        <v>261</v>
      </c>
      <c r="I2290" t="s">
        <v>5715</v>
      </c>
      <c r="J2290" t="s">
        <v>37</v>
      </c>
      <c r="K2290" t="s">
        <v>32</v>
      </c>
      <c r="L2290" t="s">
        <v>35</v>
      </c>
      <c r="Q2290">
        <v>1</v>
      </c>
      <c r="R2290">
        <v>3</v>
      </c>
      <c r="AC2290">
        <v>1</v>
      </c>
      <c r="AD2290">
        <v>10</v>
      </c>
      <c r="AQ2290">
        <v>13</v>
      </c>
      <c r="AR2290" s="3">
        <f t="shared" si="105"/>
        <v>5</v>
      </c>
      <c r="AS2290" s="3">
        <f t="shared" si="106"/>
        <v>0</v>
      </c>
      <c r="AT2290" s="3" t="str">
        <f>IF(OR(Registered!AM2290&gt;0,Registered!AO2290&gt;0),(IF(Registered!E2290=0,"Size Not Specified",Registered!E2290)),"")</f>
        <v/>
      </c>
      <c r="AU2290" s="3" t="str">
        <f>IF(Registered!AE2290=0,"",IF(Registered!AE2290=1,Registered!AE2290&amp;" Bandana",Registered!AE2290&amp;" Bandanas"))</f>
        <v/>
      </c>
      <c r="AV2290" s="3">
        <f t="shared" si="107"/>
        <v>0</v>
      </c>
      <c r="AW2290" s="2" t="str">
        <f>IF(Registered!AV2290=0,"",IF(Registered!AV2290=1,Registered!AV2290&amp;" Meal",Registered!AV2290&amp;" Meals"))</f>
        <v/>
      </c>
      <c r="AX2290" s="2" t="str">
        <f>IF(Registered!AI2290=0,"",Registered!AI2290&amp;" BG")</f>
        <v/>
      </c>
      <c r="AY2290" s="2" t="str">
        <f>IF(Registered!AG2290=0,"",Registered!AG2290&amp;" DustMask")</f>
        <v/>
      </c>
    </row>
    <row r="2291" spans="1:51" customFormat="1" x14ac:dyDescent="0.25">
      <c r="A2291" t="s">
        <v>91</v>
      </c>
      <c r="B2291" t="s">
        <v>1091</v>
      </c>
      <c r="C2291" t="s">
        <v>6090</v>
      </c>
      <c r="D2291" t="s">
        <v>91</v>
      </c>
      <c r="F2291" t="s">
        <v>261</v>
      </c>
      <c r="I2291" t="s">
        <v>1092</v>
      </c>
      <c r="J2291" t="s">
        <v>37</v>
      </c>
      <c r="K2291" t="s">
        <v>32</v>
      </c>
      <c r="L2291" t="s">
        <v>35</v>
      </c>
      <c r="S2291">
        <v>3</v>
      </c>
      <c r="T2291">
        <v>3</v>
      </c>
      <c r="W2291">
        <v>1</v>
      </c>
      <c r="X2291">
        <v>40</v>
      </c>
      <c r="AQ2291">
        <v>49</v>
      </c>
      <c r="AR2291" s="3">
        <f t="shared" si="105"/>
        <v>20</v>
      </c>
      <c r="AS2291" s="3">
        <f t="shared" si="106"/>
        <v>0</v>
      </c>
      <c r="AT2291" s="3" t="str">
        <f>IF(OR(Registered!AM2291&gt;0,Registered!AO2291&gt;0),(IF(Registered!E2291=0,"Size Not Specified",Registered!E2291)),"")</f>
        <v/>
      </c>
      <c r="AU2291" s="3" t="str">
        <f>IF(Registered!AE2291=0,"",IF(Registered!AE2291=1,Registered!AE2291&amp;" Bandana",Registered!AE2291&amp;" Bandanas"))</f>
        <v/>
      </c>
      <c r="AV2291" s="3">
        <f t="shared" si="107"/>
        <v>0</v>
      </c>
      <c r="AW2291" s="2" t="str">
        <f>IF(Registered!AV2291=0,"",IF(Registered!AV2291=1,Registered!AV2291&amp;" Meal",Registered!AV2291&amp;" Meals"))</f>
        <v/>
      </c>
      <c r="AX2291" s="2" t="str">
        <f>IF(Registered!AI2291=0,"",Registered!AI2291&amp;" BG")</f>
        <v/>
      </c>
      <c r="AY2291" s="2" t="str">
        <f>IF(Registered!AG2291=0,"",Registered!AG2291&amp;" DustMask")</f>
        <v/>
      </c>
    </row>
    <row r="2292" spans="1:51" customFormat="1" x14ac:dyDescent="0.25">
      <c r="A2292" t="s">
        <v>94</v>
      </c>
      <c r="B2292" t="s">
        <v>1091</v>
      </c>
      <c r="C2292" t="s">
        <v>6090</v>
      </c>
      <c r="D2292" t="s">
        <v>3408</v>
      </c>
      <c r="F2292" t="s">
        <v>261</v>
      </c>
      <c r="I2292" t="s">
        <v>3021</v>
      </c>
      <c r="J2292" t="s">
        <v>37</v>
      </c>
      <c r="K2292" t="s">
        <v>32</v>
      </c>
      <c r="L2292" t="s">
        <v>35</v>
      </c>
      <c r="Q2292">
        <v>3</v>
      </c>
      <c r="R2292">
        <v>3</v>
      </c>
      <c r="AC2292">
        <v>3</v>
      </c>
      <c r="AD2292">
        <v>10</v>
      </c>
      <c r="AQ2292">
        <v>39</v>
      </c>
      <c r="AR2292" s="3">
        <f t="shared" si="105"/>
        <v>15</v>
      </c>
      <c r="AS2292" s="3">
        <f t="shared" si="106"/>
        <v>0</v>
      </c>
      <c r="AT2292" s="3" t="str">
        <f>IF(OR(Registered!AM2292&gt;0,Registered!AO2292&gt;0),(IF(Registered!E2292=0,"Size Not Specified",Registered!E2292)),"")</f>
        <v/>
      </c>
      <c r="AU2292" s="3" t="str">
        <f>IF(Registered!AE2292=0,"",IF(Registered!AE2292=1,Registered!AE2292&amp;" Bandana",Registered!AE2292&amp;" Bandanas"))</f>
        <v/>
      </c>
      <c r="AV2292" s="3">
        <f t="shared" si="107"/>
        <v>0</v>
      </c>
      <c r="AW2292" s="2" t="str">
        <f>IF(Registered!AV2292=0,"",IF(Registered!AV2292=1,Registered!AV2292&amp;" Meal",Registered!AV2292&amp;" Meals"))</f>
        <v/>
      </c>
      <c r="AX2292" s="2" t="str">
        <f>IF(Registered!AI2292=0,"",Registered!AI2292&amp;" BG")</f>
        <v/>
      </c>
      <c r="AY2292" s="2" t="str">
        <f>IF(Registered!AG2292=0,"",Registered!AG2292&amp;" DustMask")</f>
        <v/>
      </c>
    </row>
    <row r="2293" spans="1:51" customFormat="1" x14ac:dyDescent="0.25">
      <c r="A2293" t="s">
        <v>93</v>
      </c>
      <c r="B2293" t="s">
        <v>5719</v>
      </c>
      <c r="C2293" t="s">
        <v>6090</v>
      </c>
      <c r="G2293" t="s">
        <v>3960</v>
      </c>
      <c r="H2293" t="s">
        <v>630</v>
      </c>
      <c r="I2293" t="s">
        <v>3961</v>
      </c>
      <c r="J2293" t="s">
        <v>37</v>
      </c>
      <c r="K2293" t="s">
        <v>32</v>
      </c>
      <c r="L2293" t="s">
        <v>35</v>
      </c>
      <c r="AQ2293">
        <v>0</v>
      </c>
      <c r="AR2293" s="3">
        <f t="shared" si="105"/>
        <v>0</v>
      </c>
      <c r="AS2293" s="3">
        <f t="shared" si="106"/>
        <v>0</v>
      </c>
      <c r="AT2293" s="3" t="str">
        <f>IF(OR(Registered!AM2293&gt;0,Registered!AO2293&gt;0),(IF(Registered!E2293=0,"Size Not Specified",Registered!E2293)),"")</f>
        <v/>
      </c>
      <c r="AU2293" s="3" t="str">
        <f>IF(Registered!AE2293=0,"",IF(Registered!AE2293=1,Registered!AE2293&amp;" Bandana",Registered!AE2293&amp;" Bandanas"))</f>
        <v/>
      </c>
      <c r="AV2293" s="3">
        <f t="shared" si="107"/>
        <v>0</v>
      </c>
      <c r="AW2293" s="2" t="str">
        <f>IF(Registered!AV2293=0,"",IF(Registered!AV2293=1,Registered!AV2293&amp;" Meal",Registered!AV2293&amp;" Meals"))</f>
        <v/>
      </c>
      <c r="AX2293" s="2" t="str">
        <f>IF(Registered!AI2293=0,"",Registered!AI2293&amp;" BG")</f>
        <v/>
      </c>
      <c r="AY2293" s="2" t="str">
        <f>IF(Registered!AG2293=0,"",Registered!AG2293&amp;" DustMask")</f>
        <v/>
      </c>
    </row>
    <row r="2294" spans="1:51" customFormat="1" x14ac:dyDescent="0.25">
      <c r="A2294" t="s">
        <v>3548</v>
      </c>
      <c r="B2294" t="s">
        <v>5497</v>
      </c>
      <c r="C2294" t="s">
        <v>6090</v>
      </c>
      <c r="D2294" t="s">
        <v>5720</v>
      </c>
      <c r="E2294" t="s">
        <v>5721</v>
      </c>
      <c r="F2294" t="s">
        <v>261</v>
      </c>
      <c r="I2294" t="s">
        <v>5498</v>
      </c>
      <c r="J2294" t="s">
        <v>37</v>
      </c>
      <c r="K2294" t="s">
        <v>32</v>
      </c>
      <c r="L2294" t="s">
        <v>35</v>
      </c>
      <c r="Q2294">
        <v>2</v>
      </c>
      <c r="R2294">
        <v>3</v>
      </c>
      <c r="U2294">
        <v>1</v>
      </c>
      <c r="V2294">
        <v>20</v>
      </c>
      <c r="AM2294">
        <v>2</v>
      </c>
      <c r="AN2294">
        <v>25</v>
      </c>
      <c r="AQ2294">
        <v>76</v>
      </c>
      <c r="AR2294" s="3">
        <f t="shared" si="105"/>
        <v>20</v>
      </c>
      <c r="AS2294" s="3">
        <f t="shared" si="106"/>
        <v>2</v>
      </c>
      <c r="AT2294" s="3" t="str">
        <f>IF(OR(Registered!AM2294&gt;0,Registered!AO2294&gt;0),(IF(Registered!E2294=0,"Size Not Specified",Registered!E2294)),"")</f>
        <v>Large, and medium</v>
      </c>
      <c r="AU2294" s="3" t="str">
        <f>IF(Registered!AE2294=0,"",IF(Registered!AE2294=1,Registered!AE2294&amp;" Bandana",Registered!AE2294&amp;" Bandanas"))</f>
        <v/>
      </c>
      <c r="AV2294" s="3">
        <f t="shared" si="107"/>
        <v>2</v>
      </c>
      <c r="AW2294" s="2" t="str">
        <f>IF(Registered!AV2294=0,"",IF(Registered!AV2294=1,Registered!AV2294&amp;" Meal",Registered!AV2294&amp;" Meals"))</f>
        <v>2 Meals</v>
      </c>
      <c r="AX2294" s="2" t="str">
        <f>IF(Registered!AI2294=0,"",Registered!AI2294&amp;" BG")</f>
        <v/>
      </c>
      <c r="AY2294" s="2" t="str">
        <f>IF(Registered!AG2294=0,"",Registered!AG2294&amp;" DustMask")</f>
        <v/>
      </c>
    </row>
    <row r="2295" spans="1:51" customFormat="1" x14ac:dyDescent="0.25">
      <c r="A2295" t="s">
        <v>295</v>
      </c>
      <c r="B2295" t="s">
        <v>3409</v>
      </c>
      <c r="C2295" t="s">
        <v>6090</v>
      </c>
      <c r="G2295" t="s">
        <v>2977</v>
      </c>
      <c r="H2295" t="s">
        <v>2978</v>
      </c>
      <c r="I2295" t="s">
        <v>2980</v>
      </c>
      <c r="J2295" t="s">
        <v>37</v>
      </c>
      <c r="K2295" t="s">
        <v>32</v>
      </c>
      <c r="L2295" t="s">
        <v>35</v>
      </c>
      <c r="AQ2295">
        <v>0</v>
      </c>
      <c r="AR2295" s="3">
        <f t="shared" si="105"/>
        <v>0</v>
      </c>
      <c r="AS2295" s="3">
        <f t="shared" si="106"/>
        <v>0</v>
      </c>
      <c r="AT2295" s="3" t="str">
        <f>IF(OR(Registered!AM2295&gt;0,Registered!AO2295&gt;0),(IF(Registered!E2295=0,"Size Not Specified",Registered!E2295)),"")</f>
        <v/>
      </c>
      <c r="AU2295" s="3" t="str">
        <f>IF(Registered!AE2295=0,"",IF(Registered!AE2295=1,Registered!AE2295&amp;" Bandana",Registered!AE2295&amp;" Bandanas"))</f>
        <v/>
      </c>
      <c r="AV2295" s="3">
        <f t="shared" si="107"/>
        <v>0</v>
      </c>
      <c r="AW2295" s="2" t="str">
        <f>IF(Registered!AV2295=0,"",IF(Registered!AV2295=1,Registered!AV2295&amp;" Meal",Registered!AV2295&amp;" Meals"))</f>
        <v/>
      </c>
      <c r="AX2295" s="2" t="str">
        <f>IF(Registered!AI2295=0,"",Registered!AI2295&amp;" BG")</f>
        <v/>
      </c>
      <c r="AY2295" s="2" t="str">
        <f>IF(Registered!AG2295=0,"",Registered!AG2295&amp;" DustMask")</f>
        <v/>
      </c>
    </row>
    <row r="2296" spans="1:51" customFormat="1" x14ac:dyDescent="0.25">
      <c r="A2296" t="s">
        <v>434</v>
      </c>
      <c r="B2296" t="s">
        <v>5722</v>
      </c>
      <c r="C2296" t="s">
        <v>6090</v>
      </c>
      <c r="D2296" t="s">
        <v>5723</v>
      </c>
      <c r="F2296" t="s">
        <v>261</v>
      </c>
      <c r="I2296" t="s">
        <v>5724</v>
      </c>
      <c r="J2296" t="s">
        <v>37</v>
      </c>
      <c r="K2296" t="s">
        <v>32</v>
      </c>
      <c r="L2296" t="s">
        <v>35</v>
      </c>
      <c r="Q2296">
        <v>1</v>
      </c>
      <c r="R2296">
        <v>3</v>
      </c>
      <c r="U2296">
        <v>1</v>
      </c>
      <c r="V2296">
        <v>20</v>
      </c>
      <c r="AG2296">
        <v>1</v>
      </c>
      <c r="AH2296">
        <v>1</v>
      </c>
      <c r="AQ2296">
        <v>24</v>
      </c>
      <c r="AR2296" s="3">
        <f t="shared" si="105"/>
        <v>10</v>
      </c>
      <c r="AS2296" s="3">
        <f t="shared" si="106"/>
        <v>0</v>
      </c>
      <c r="AT2296" s="3" t="str">
        <f>IF(OR(Registered!AM2296&gt;0,Registered!AO2296&gt;0),(IF(Registered!E2296=0,"Size Not Specified",Registered!E2296)),"")</f>
        <v/>
      </c>
      <c r="AU2296" s="3" t="str">
        <f>IF(Registered!AE2296=0,"",IF(Registered!AE2296=1,Registered!AE2296&amp;" Bandana",Registered!AE2296&amp;" Bandanas"))</f>
        <v/>
      </c>
      <c r="AV2296" s="3">
        <f t="shared" si="107"/>
        <v>0</v>
      </c>
      <c r="AW2296" s="2" t="str">
        <f>IF(Registered!AV2296=0,"",IF(Registered!AV2296=1,Registered!AV2296&amp;" Meal",Registered!AV2296&amp;" Meals"))</f>
        <v/>
      </c>
      <c r="AX2296" s="2" t="str">
        <f>IF(Registered!AI2296=0,"",Registered!AI2296&amp;" BG")</f>
        <v/>
      </c>
      <c r="AY2296" s="2" t="str">
        <f>IF(Registered!AG2296=0,"",Registered!AG2296&amp;" DustMask")</f>
        <v>1 DustMask</v>
      </c>
    </row>
    <row r="2297" spans="1:51" customFormat="1" x14ac:dyDescent="0.25">
      <c r="A2297" t="s">
        <v>220</v>
      </c>
      <c r="B2297" t="s">
        <v>5726</v>
      </c>
      <c r="C2297" t="s">
        <v>6090</v>
      </c>
      <c r="G2297" t="s">
        <v>92</v>
      </c>
      <c r="H2297" t="s">
        <v>2773</v>
      </c>
      <c r="I2297" t="s">
        <v>3828</v>
      </c>
      <c r="J2297" t="s">
        <v>37</v>
      </c>
      <c r="K2297" t="s">
        <v>32</v>
      </c>
      <c r="L2297" t="s">
        <v>35</v>
      </c>
      <c r="AQ2297">
        <v>0</v>
      </c>
      <c r="AR2297" s="3">
        <f t="shared" si="105"/>
        <v>0</v>
      </c>
      <c r="AS2297" s="3">
        <f t="shared" si="106"/>
        <v>0</v>
      </c>
      <c r="AT2297" s="3" t="str">
        <f>IF(OR(Registered!AM2297&gt;0,Registered!AO2297&gt;0),(IF(Registered!E2297=0,"Size Not Specified",Registered!E2297)),"")</f>
        <v/>
      </c>
      <c r="AU2297" s="3" t="str">
        <f>IF(Registered!AE2297=0,"",IF(Registered!AE2297=1,Registered!AE2297&amp;" Bandana",Registered!AE2297&amp;" Bandanas"))</f>
        <v/>
      </c>
      <c r="AV2297" s="3">
        <f t="shared" si="107"/>
        <v>0</v>
      </c>
      <c r="AW2297" s="2" t="str">
        <f>IF(Registered!AV2297=0,"",IF(Registered!AV2297=1,Registered!AV2297&amp;" Meal",Registered!AV2297&amp;" Meals"))</f>
        <v/>
      </c>
      <c r="AX2297" s="2" t="str">
        <f>IF(Registered!AI2297=0,"",Registered!AI2297&amp;" BG")</f>
        <v/>
      </c>
      <c r="AY2297" s="2" t="str">
        <f>IF(Registered!AG2297=0,"",Registered!AG2297&amp;" DustMask")</f>
        <v/>
      </c>
    </row>
    <row r="2298" spans="1:51" customFormat="1" x14ac:dyDescent="0.25">
      <c r="A2298" t="s">
        <v>151</v>
      </c>
      <c r="B2298" t="s">
        <v>840</v>
      </c>
      <c r="C2298" t="s">
        <v>6090</v>
      </c>
      <c r="D2298" t="s">
        <v>151</v>
      </c>
      <c r="I2298" t="s">
        <v>841</v>
      </c>
      <c r="J2298" t="s">
        <v>37</v>
      </c>
      <c r="K2298" t="s">
        <v>32</v>
      </c>
      <c r="L2298" t="s">
        <v>35</v>
      </c>
      <c r="S2298">
        <v>3</v>
      </c>
      <c r="T2298">
        <v>3</v>
      </c>
      <c r="AA2298">
        <v>1</v>
      </c>
      <c r="AB2298">
        <v>75</v>
      </c>
      <c r="AK2298">
        <v>2</v>
      </c>
      <c r="AL2298">
        <v>6</v>
      </c>
      <c r="AQ2298">
        <v>96</v>
      </c>
      <c r="AR2298" s="3">
        <f t="shared" si="105"/>
        <v>40</v>
      </c>
      <c r="AS2298" s="3">
        <f t="shared" si="106"/>
        <v>0</v>
      </c>
      <c r="AT2298" s="3" t="str">
        <f>IF(OR(Registered!AM2298&gt;0,Registered!AO2298&gt;0),(IF(Registered!E2298=0,"Size Not Specified",Registered!E2298)),"")</f>
        <v/>
      </c>
      <c r="AU2298" s="3" t="str">
        <f>IF(Registered!AE2298=0,"",IF(Registered!AE2298=1,Registered!AE2298&amp;" Bandana",Registered!AE2298&amp;" Bandanas"))</f>
        <v/>
      </c>
      <c r="AV2298" s="3">
        <f t="shared" si="107"/>
        <v>2</v>
      </c>
      <c r="AW2298" s="2" t="str">
        <f>IF(Registered!AV2298=0,"",IF(Registered!AV2298=1,Registered!AV2298&amp;" Meal",Registered!AV2298&amp;" Meals"))</f>
        <v>2 Meals</v>
      </c>
      <c r="AX2298" s="2" t="str">
        <f>IF(Registered!AI2298=0,"",Registered!AI2298&amp;" BG")</f>
        <v/>
      </c>
      <c r="AY2298" s="2" t="str">
        <f>IF(Registered!AG2298=0,"",Registered!AG2298&amp;" DustMask")</f>
        <v/>
      </c>
    </row>
    <row r="2299" spans="1:51" customFormat="1" x14ac:dyDescent="0.25">
      <c r="A2299" t="s">
        <v>639</v>
      </c>
      <c r="B2299" t="s">
        <v>3410</v>
      </c>
      <c r="C2299" t="s">
        <v>6090</v>
      </c>
      <c r="G2299" t="s">
        <v>3040</v>
      </c>
      <c r="H2299" t="s">
        <v>3041</v>
      </c>
      <c r="I2299" t="s">
        <v>3042</v>
      </c>
      <c r="J2299" t="s">
        <v>37</v>
      </c>
      <c r="K2299" t="s">
        <v>32</v>
      </c>
      <c r="L2299" t="s">
        <v>35</v>
      </c>
      <c r="AQ2299">
        <v>0</v>
      </c>
      <c r="AR2299" s="3">
        <f t="shared" si="105"/>
        <v>0</v>
      </c>
      <c r="AS2299" s="3">
        <f t="shared" si="106"/>
        <v>0</v>
      </c>
      <c r="AT2299" s="3" t="str">
        <f>IF(OR(Registered!AM2299&gt;0,Registered!AO2299&gt;0),(IF(Registered!E2299=0,"Size Not Specified",Registered!E2299)),"")</f>
        <v/>
      </c>
      <c r="AU2299" s="3" t="str">
        <f>IF(Registered!AE2299=0,"",IF(Registered!AE2299=1,Registered!AE2299&amp;" Bandana",Registered!AE2299&amp;" Bandanas"))</f>
        <v/>
      </c>
      <c r="AV2299" s="3">
        <f t="shared" si="107"/>
        <v>0</v>
      </c>
      <c r="AW2299" s="2" t="str">
        <f>IF(Registered!AV2299=0,"",IF(Registered!AV2299=1,Registered!AV2299&amp;" Meal",Registered!AV2299&amp;" Meals"))</f>
        <v/>
      </c>
      <c r="AX2299" s="2" t="str">
        <f>IF(Registered!AI2299=0,"",Registered!AI2299&amp;" BG")</f>
        <v/>
      </c>
      <c r="AY2299" s="2" t="str">
        <f>IF(Registered!AG2299=0,"",Registered!AG2299&amp;" DustMask")</f>
        <v/>
      </c>
    </row>
    <row r="2300" spans="1:51" customFormat="1" x14ac:dyDescent="0.25">
      <c r="A2300" t="s">
        <v>371</v>
      </c>
      <c r="B2300" t="s">
        <v>159</v>
      </c>
      <c r="C2300" t="s">
        <v>6090</v>
      </c>
      <c r="D2300" t="s">
        <v>3411</v>
      </c>
      <c r="F2300" t="s">
        <v>261</v>
      </c>
      <c r="I2300" t="s">
        <v>3412</v>
      </c>
      <c r="J2300" t="s">
        <v>37</v>
      </c>
      <c r="K2300" t="s">
        <v>32</v>
      </c>
      <c r="L2300" t="s">
        <v>35</v>
      </c>
      <c r="Q2300">
        <v>1</v>
      </c>
      <c r="R2300">
        <v>3</v>
      </c>
      <c r="U2300">
        <v>1</v>
      </c>
      <c r="V2300">
        <v>20</v>
      </c>
      <c r="AE2300">
        <v>2</v>
      </c>
      <c r="AF2300">
        <v>6</v>
      </c>
      <c r="AQ2300">
        <v>35</v>
      </c>
      <c r="AR2300" s="3">
        <f t="shared" si="105"/>
        <v>10</v>
      </c>
      <c r="AS2300" s="3">
        <f t="shared" si="106"/>
        <v>0</v>
      </c>
      <c r="AT2300" s="3" t="str">
        <f>IF(OR(Registered!AM2300&gt;0,Registered!AO2300&gt;0),(IF(Registered!E2300=0,"Size Not Specified",Registered!E2300)),"")</f>
        <v/>
      </c>
      <c r="AU2300" s="3" t="str">
        <f>IF(Registered!AE2300=0,"",IF(Registered!AE2300=1,Registered!AE2300&amp;" Bandana",Registered!AE2300&amp;" Bandanas"))</f>
        <v>2 Bandanas</v>
      </c>
      <c r="AV2300" s="3">
        <f t="shared" si="107"/>
        <v>0</v>
      </c>
      <c r="AW2300" s="2" t="str">
        <f>IF(Registered!AV2300=0,"",IF(Registered!AV2300=1,Registered!AV2300&amp;" Meal",Registered!AV2300&amp;" Meals"))</f>
        <v/>
      </c>
      <c r="AX2300" s="2" t="str">
        <f>IF(Registered!AI2300=0,"",Registered!AI2300&amp;" BG")</f>
        <v/>
      </c>
      <c r="AY2300" s="2" t="str">
        <f>IF(Registered!AG2300=0,"",Registered!AG2300&amp;" DustMask")</f>
        <v/>
      </c>
    </row>
    <row r="2301" spans="1:51" customFormat="1" x14ac:dyDescent="0.25">
      <c r="A2301" t="s">
        <v>1354</v>
      </c>
      <c r="B2301" t="s">
        <v>159</v>
      </c>
      <c r="C2301" t="s">
        <v>6090</v>
      </c>
      <c r="G2301" t="s">
        <v>2055</v>
      </c>
      <c r="H2301" t="s">
        <v>3868</v>
      </c>
      <c r="I2301" t="s">
        <v>3869</v>
      </c>
      <c r="J2301" t="s">
        <v>37</v>
      </c>
      <c r="K2301" t="s">
        <v>32</v>
      </c>
      <c r="L2301" t="s">
        <v>35</v>
      </c>
      <c r="AQ2301">
        <v>0</v>
      </c>
      <c r="AR2301" s="3">
        <f t="shared" si="105"/>
        <v>0</v>
      </c>
      <c r="AS2301" s="3">
        <f t="shared" si="106"/>
        <v>0</v>
      </c>
      <c r="AT2301" s="3" t="str">
        <f>IF(OR(Registered!AM2301&gt;0,Registered!AO2301&gt;0),(IF(Registered!E2301=0,"Size Not Specified",Registered!E2301)),"")</f>
        <v/>
      </c>
      <c r="AU2301" s="3" t="str">
        <f>IF(Registered!AE2301=0,"",IF(Registered!AE2301=1,Registered!AE2301&amp;" Bandana",Registered!AE2301&amp;" Bandanas"))</f>
        <v/>
      </c>
      <c r="AV2301" s="3">
        <f t="shared" si="107"/>
        <v>0</v>
      </c>
      <c r="AW2301" s="2" t="str">
        <f>IF(Registered!AV2301=0,"",IF(Registered!AV2301=1,Registered!AV2301&amp;" Meal",Registered!AV2301&amp;" Meals"))</f>
        <v/>
      </c>
      <c r="AX2301" s="2" t="str">
        <f>IF(Registered!AI2301=0,"",Registered!AI2301&amp;" BG")</f>
        <v/>
      </c>
      <c r="AY2301" s="2" t="str">
        <f>IF(Registered!AG2301=0,"",Registered!AG2301&amp;" DustMask")</f>
        <v/>
      </c>
    </row>
    <row r="2302" spans="1:51" customFormat="1" x14ac:dyDescent="0.25">
      <c r="A2302" t="s">
        <v>4218</v>
      </c>
      <c r="B2302" t="s">
        <v>159</v>
      </c>
      <c r="C2302" t="s">
        <v>6090</v>
      </c>
      <c r="G2302" t="s">
        <v>4129</v>
      </c>
      <c r="H2302" t="s">
        <v>4130</v>
      </c>
      <c r="I2302" t="s">
        <v>4132</v>
      </c>
      <c r="J2302" t="s">
        <v>37</v>
      </c>
      <c r="K2302" t="s">
        <v>32</v>
      </c>
      <c r="L2302" t="s">
        <v>35</v>
      </c>
      <c r="AQ2302">
        <v>0</v>
      </c>
      <c r="AR2302" s="3">
        <f t="shared" si="105"/>
        <v>0</v>
      </c>
      <c r="AS2302" s="3">
        <f t="shared" si="106"/>
        <v>0</v>
      </c>
      <c r="AT2302" s="3" t="str">
        <f>IF(OR(Registered!AM2302&gt;0,Registered!AO2302&gt;0),(IF(Registered!E2302=0,"Size Not Specified",Registered!E2302)),"")</f>
        <v/>
      </c>
      <c r="AU2302" s="3" t="str">
        <f>IF(Registered!AE2302=0,"",IF(Registered!AE2302=1,Registered!AE2302&amp;" Bandana",Registered!AE2302&amp;" Bandanas"))</f>
        <v/>
      </c>
      <c r="AV2302" s="3">
        <f t="shared" si="107"/>
        <v>0</v>
      </c>
      <c r="AW2302" s="2" t="str">
        <f>IF(Registered!AV2302=0,"",IF(Registered!AV2302=1,Registered!AV2302&amp;" Meal",Registered!AV2302&amp;" Meals"))</f>
        <v/>
      </c>
      <c r="AX2302" s="2" t="str">
        <f>IF(Registered!AI2302=0,"",Registered!AI2302&amp;" BG")</f>
        <v/>
      </c>
      <c r="AY2302" s="2" t="str">
        <f>IF(Registered!AG2302=0,"",Registered!AG2302&amp;" DustMask")</f>
        <v/>
      </c>
    </row>
    <row r="2303" spans="1:51" customFormat="1" x14ac:dyDescent="0.25">
      <c r="A2303" t="s">
        <v>166</v>
      </c>
      <c r="B2303" t="s">
        <v>159</v>
      </c>
      <c r="C2303" t="s">
        <v>6090</v>
      </c>
      <c r="D2303" t="s">
        <v>2411</v>
      </c>
      <c r="F2303" t="s">
        <v>261</v>
      </c>
      <c r="I2303" t="s">
        <v>636</v>
      </c>
      <c r="J2303" t="s">
        <v>37</v>
      </c>
      <c r="K2303" t="s">
        <v>32</v>
      </c>
      <c r="L2303" t="s">
        <v>35</v>
      </c>
      <c r="S2303">
        <v>4</v>
      </c>
      <c r="T2303">
        <v>3</v>
      </c>
      <c r="U2303">
        <v>1</v>
      </c>
      <c r="V2303">
        <v>20</v>
      </c>
      <c r="AC2303">
        <v>1</v>
      </c>
      <c r="AD2303">
        <v>10</v>
      </c>
      <c r="AQ2303">
        <v>42</v>
      </c>
      <c r="AR2303" s="3">
        <f t="shared" si="105"/>
        <v>15</v>
      </c>
      <c r="AS2303" s="3">
        <f t="shared" si="106"/>
        <v>0</v>
      </c>
      <c r="AT2303" s="3" t="str">
        <f>IF(OR(Registered!AM2303&gt;0,Registered!AO2303&gt;0),(IF(Registered!E2303=0,"Size Not Specified",Registered!E2303)),"")</f>
        <v/>
      </c>
      <c r="AU2303" s="3" t="str">
        <f>IF(Registered!AE2303=0,"",IF(Registered!AE2303=1,Registered!AE2303&amp;" Bandana",Registered!AE2303&amp;" Bandanas"))</f>
        <v/>
      </c>
      <c r="AV2303" s="3">
        <f t="shared" si="107"/>
        <v>0</v>
      </c>
      <c r="AW2303" s="2" t="str">
        <f>IF(Registered!AV2303=0,"",IF(Registered!AV2303=1,Registered!AV2303&amp;" Meal",Registered!AV2303&amp;" Meals"))</f>
        <v/>
      </c>
      <c r="AX2303" s="2" t="str">
        <f>IF(Registered!AI2303=0,"",Registered!AI2303&amp;" BG")</f>
        <v/>
      </c>
      <c r="AY2303" s="2" t="str">
        <f>IF(Registered!AG2303=0,"",Registered!AG2303&amp;" DustMask")</f>
        <v/>
      </c>
    </row>
    <row r="2304" spans="1:51" customFormat="1" x14ac:dyDescent="0.25">
      <c r="A2304" t="s">
        <v>258</v>
      </c>
      <c r="B2304" t="s">
        <v>2412</v>
      </c>
      <c r="C2304" t="s">
        <v>6090</v>
      </c>
      <c r="G2304" t="s">
        <v>151</v>
      </c>
      <c r="H2304" t="s">
        <v>1215</v>
      </c>
      <c r="I2304" t="s">
        <v>1741</v>
      </c>
      <c r="J2304" t="s">
        <v>37</v>
      </c>
      <c r="K2304" t="s">
        <v>32</v>
      </c>
      <c r="L2304" t="s">
        <v>35</v>
      </c>
      <c r="AQ2304">
        <v>0</v>
      </c>
      <c r="AR2304" s="3">
        <f t="shared" si="105"/>
        <v>0</v>
      </c>
      <c r="AS2304" s="3">
        <f t="shared" si="106"/>
        <v>0</v>
      </c>
      <c r="AT2304" s="3" t="str">
        <f>IF(OR(Registered!AM2304&gt;0,Registered!AO2304&gt;0),(IF(Registered!E2304=0,"Size Not Specified",Registered!E2304)),"")</f>
        <v/>
      </c>
      <c r="AU2304" s="3" t="str">
        <f>IF(Registered!AE2304=0,"",IF(Registered!AE2304=1,Registered!AE2304&amp;" Bandana",Registered!AE2304&amp;" Bandanas"))</f>
        <v/>
      </c>
      <c r="AV2304" s="3">
        <f t="shared" si="107"/>
        <v>0</v>
      </c>
      <c r="AW2304" s="2" t="str">
        <f>IF(Registered!AV2304=0,"",IF(Registered!AV2304=1,Registered!AV2304&amp;" Meal",Registered!AV2304&amp;" Meals"))</f>
        <v/>
      </c>
      <c r="AX2304" s="2" t="str">
        <f>IF(Registered!AI2304=0,"",Registered!AI2304&amp;" BG")</f>
        <v/>
      </c>
      <c r="AY2304" s="2" t="str">
        <f>IF(Registered!AG2304=0,"",Registered!AG2304&amp;" DustMask")</f>
        <v/>
      </c>
    </row>
    <row r="2305" spans="1:51" customFormat="1" x14ac:dyDescent="0.25">
      <c r="A2305" t="s">
        <v>121</v>
      </c>
      <c r="B2305" t="s">
        <v>4082</v>
      </c>
      <c r="C2305" t="s">
        <v>6090</v>
      </c>
      <c r="D2305" t="s">
        <v>121</v>
      </c>
      <c r="F2305" t="s">
        <v>261</v>
      </c>
      <c r="I2305" t="s">
        <v>4083</v>
      </c>
      <c r="J2305" t="s">
        <v>37</v>
      </c>
      <c r="K2305" t="s">
        <v>32</v>
      </c>
      <c r="L2305" t="s">
        <v>35</v>
      </c>
      <c r="Q2305">
        <v>2</v>
      </c>
      <c r="R2305">
        <v>3</v>
      </c>
      <c r="AC2305">
        <v>1</v>
      </c>
      <c r="AD2305">
        <v>10</v>
      </c>
      <c r="AQ2305">
        <v>16</v>
      </c>
      <c r="AR2305" s="3">
        <f t="shared" si="105"/>
        <v>5</v>
      </c>
      <c r="AS2305" s="3">
        <f t="shared" si="106"/>
        <v>0</v>
      </c>
      <c r="AT2305" s="3" t="str">
        <f>IF(OR(Registered!AM2305&gt;0,Registered!AO2305&gt;0),(IF(Registered!E2305=0,"Size Not Specified",Registered!E2305)),"")</f>
        <v/>
      </c>
      <c r="AU2305" s="3" t="str">
        <f>IF(Registered!AE2305=0,"",IF(Registered!AE2305=1,Registered!AE2305&amp;" Bandana",Registered!AE2305&amp;" Bandanas"))</f>
        <v/>
      </c>
      <c r="AV2305" s="3">
        <f t="shared" si="107"/>
        <v>0</v>
      </c>
      <c r="AW2305" s="2" t="str">
        <f>IF(Registered!AV2305=0,"",IF(Registered!AV2305=1,Registered!AV2305&amp;" Meal",Registered!AV2305&amp;" Meals"))</f>
        <v/>
      </c>
      <c r="AX2305" s="2" t="str">
        <f>IF(Registered!AI2305=0,"",Registered!AI2305&amp;" BG")</f>
        <v/>
      </c>
      <c r="AY2305" s="2" t="str">
        <f>IF(Registered!AG2305=0,"",Registered!AG2305&amp;" DustMask")</f>
        <v/>
      </c>
    </row>
    <row r="2306" spans="1:51" customFormat="1" x14ac:dyDescent="0.25">
      <c r="A2306" t="s">
        <v>2413</v>
      </c>
      <c r="B2306" t="s">
        <v>2414</v>
      </c>
      <c r="C2306" t="s">
        <v>6090</v>
      </c>
      <c r="G2306" t="s">
        <v>317</v>
      </c>
      <c r="H2306" t="s">
        <v>472</v>
      </c>
      <c r="I2306" t="s">
        <v>2201</v>
      </c>
      <c r="J2306" t="s">
        <v>37</v>
      </c>
      <c r="K2306" t="s">
        <v>32</v>
      </c>
      <c r="L2306" t="s">
        <v>35</v>
      </c>
      <c r="AQ2306">
        <v>0</v>
      </c>
      <c r="AR2306" s="3">
        <f t="shared" ref="AR2306:AR2369" si="108">IF(ISTEXT(AM2306)=TRUE,"",SUM(U2306*10,W2306*20,Y2306*30,AA2306*40,AC2306*5,AM2306*5))</f>
        <v>0</v>
      </c>
      <c r="AS2306" s="3">
        <f t="shared" ref="AS2306:AS2369" si="109">IF(ISTEXT(AM2306)=TRUE,"",SUM(AM2306,AO2306))</f>
        <v>0</v>
      </c>
      <c r="AT2306" s="3" t="str">
        <f>IF(OR(Registered!AM2306&gt;0,Registered!AO2306&gt;0),(IF(Registered!E2306=0,"Size Not Specified",Registered!E2306)),"")</f>
        <v/>
      </c>
      <c r="AU2306" s="3" t="str">
        <f>IF(Registered!AE2306=0,"",IF(Registered!AE2306=1,Registered!AE2306&amp;" Bandana",Registered!AE2306&amp;" Bandanas"))</f>
        <v/>
      </c>
      <c r="AV2306" s="3">
        <f t="shared" ref="AV2306:AV2369" si="110">IF(ISTEXT(AM2306)=TRUE,"",SUM(AM2306,AK2306))</f>
        <v>0</v>
      </c>
      <c r="AW2306" s="2" t="str">
        <f>IF(Registered!AV2306=0,"",IF(Registered!AV2306=1,Registered!AV2306&amp;" Meal",Registered!AV2306&amp;" Meals"))</f>
        <v/>
      </c>
      <c r="AX2306" s="2" t="str">
        <f>IF(Registered!AI2306=0,"",Registered!AI2306&amp;" BG")</f>
        <v/>
      </c>
      <c r="AY2306" s="2" t="str">
        <f>IF(Registered!AG2306=0,"",Registered!AG2306&amp;" DustMask")</f>
        <v/>
      </c>
    </row>
    <row r="2307" spans="1:51" customFormat="1" x14ac:dyDescent="0.25">
      <c r="A2307" t="s">
        <v>3413</v>
      </c>
      <c r="B2307" t="s">
        <v>3414</v>
      </c>
      <c r="C2307" t="s">
        <v>6090</v>
      </c>
      <c r="G2307" t="s">
        <v>3185</v>
      </c>
      <c r="H2307" t="s">
        <v>3186</v>
      </c>
      <c r="I2307" t="s">
        <v>3188</v>
      </c>
      <c r="J2307" t="s">
        <v>37</v>
      </c>
      <c r="K2307" t="s">
        <v>32</v>
      </c>
      <c r="L2307" t="s">
        <v>35</v>
      </c>
      <c r="AQ2307">
        <v>0</v>
      </c>
      <c r="AR2307" s="3">
        <f t="shared" si="108"/>
        <v>0</v>
      </c>
      <c r="AS2307" s="3">
        <f t="shared" si="109"/>
        <v>0</v>
      </c>
      <c r="AT2307" s="3" t="str">
        <f>IF(OR(Registered!AM2307&gt;0,Registered!AO2307&gt;0),(IF(Registered!E2307=0,"Size Not Specified",Registered!E2307)),"")</f>
        <v/>
      </c>
      <c r="AU2307" s="3" t="str">
        <f>IF(Registered!AE2307=0,"",IF(Registered!AE2307=1,Registered!AE2307&amp;" Bandana",Registered!AE2307&amp;" Bandanas"))</f>
        <v/>
      </c>
      <c r="AV2307" s="3">
        <f t="shared" si="110"/>
        <v>0</v>
      </c>
      <c r="AW2307" s="2" t="str">
        <f>IF(Registered!AV2307=0,"",IF(Registered!AV2307=1,Registered!AV2307&amp;" Meal",Registered!AV2307&amp;" Meals"))</f>
        <v/>
      </c>
      <c r="AX2307" s="2" t="str">
        <f>IF(Registered!AI2307=0,"",Registered!AI2307&amp;" BG")</f>
        <v/>
      </c>
      <c r="AY2307" s="2" t="str">
        <f>IF(Registered!AG2307=0,"",Registered!AG2307&amp;" DustMask")</f>
        <v/>
      </c>
    </row>
    <row r="2308" spans="1:51" customFormat="1" x14ac:dyDescent="0.25">
      <c r="A2308" t="s">
        <v>3923</v>
      </c>
      <c r="B2308" t="s">
        <v>5729</v>
      </c>
      <c r="C2308" t="s">
        <v>6090</v>
      </c>
      <c r="D2308" t="s">
        <v>3923</v>
      </c>
      <c r="F2308" t="s">
        <v>261</v>
      </c>
      <c r="I2308" t="s">
        <v>5730</v>
      </c>
      <c r="J2308" t="s">
        <v>37</v>
      </c>
      <c r="K2308" t="s">
        <v>32</v>
      </c>
      <c r="L2308" t="s">
        <v>35</v>
      </c>
      <c r="Q2308">
        <v>1</v>
      </c>
      <c r="R2308">
        <v>3</v>
      </c>
      <c r="AC2308">
        <v>1</v>
      </c>
      <c r="AD2308">
        <v>10</v>
      </c>
      <c r="AQ2308">
        <v>13</v>
      </c>
      <c r="AR2308" s="3">
        <f t="shared" si="108"/>
        <v>5</v>
      </c>
      <c r="AS2308" s="3">
        <f t="shared" si="109"/>
        <v>0</v>
      </c>
      <c r="AT2308" s="3" t="str">
        <f>IF(OR(Registered!AM2308&gt;0,Registered!AO2308&gt;0),(IF(Registered!E2308=0,"Size Not Specified",Registered!E2308)),"")</f>
        <v/>
      </c>
      <c r="AU2308" s="3" t="str">
        <f>IF(Registered!AE2308=0,"",IF(Registered!AE2308=1,Registered!AE2308&amp;" Bandana",Registered!AE2308&amp;" Bandanas"))</f>
        <v/>
      </c>
      <c r="AV2308" s="3">
        <f t="shared" si="110"/>
        <v>0</v>
      </c>
      <c r="AW2308" s="2" t="str">
        <f>IF(Registered!AV2308=0,"",IF(Registered!AV2308=1,Registered!AV2308&amp;" Meal",Registered!AV2308&amp;" Meals"))</f>
        <v/>
      </c>
      <c r="AX2308" s="2" t="str">
        <f>IF(Registered!AI2308=0,"",Registered!AI2308&amp;" BG")</f>
        <v/>
      </c>
      <c r="AY2308" s="2" t="str">
        <f>IF(Registered!AG2308=0,"",Registered!AG2308&amp;" DustMask")</f>
        <v/>
      </c>
    </row>
    <row r="2309" spans="1:51" customFormat="1" x14ac:dyDescent="0.25">
      <c r="A2309" t="s">
        <v>5731</v>
      </c>
      <c r="B2309" t="s">
        <v>5732</v>
      </c>
      <c r="C2309" t="s">
        <v>6090</v>
      </c>
      <c r="G2309" t="s">
        <v>3739</v>
      </c>
      <c r="H2309" t="s">
        <v>3740</v>
      </c>
      <c r="I2309" t="s">
        <v>3742</v>
      </c>
      <c r="J2309" t="s">
        <v>37</v>
      </c>
      <c r="K2309" t="s">
        <v>32</v>
      </c>
      <c r="L2309" t="s">
        <v>35</v>
      </c>
      <c r="AQ2309">
        <v>0</v>
      </c>
      <c r="AR2309" s="3">
        <f t="shared" si="108"/>
        <v>0</v>
      </c>
      <c r="AS2309" s="3">
        <f t="shared" si="109"/>
        <v>0</v>
      </c>
      <c r="AT2309" s="3" t="str">
        <f>IF(OR(Registered!AM2309&gt;0,Registered!AO2309&gt;0),(IF(Registered!E2309=0,"Size Not Specified",Registered!E2309)),"")</f>
        <v/>
      </c>
      <c r="AU2309" s="3" t="str">
        <f>IF(Registered!AE2309=0,"",IF(Registered!AE2309=1,Registered!AE2309&amp;" Bandana",Registered!AE2309&amp;" Bandanas"))</f>
        <v/>
      </c>
      <c r="AV2309" s="3">
        <f t="shared" si="110"/>
        <v>0</v>
      </c>
      <c r="AW2309" s="2" t="str">
        <f>IF(Registered!AV2309=0,"",IF(Registered!AV2309=1,Registered!AV2309&amp;" Meal",Registered!AV2309&amp;" Meals"))</f>
        <v/>
      </c>
      <c r="AX2309" s="2" t="str">
        <f>IF(Registered!AI2309=0,"",Registered!AI2309&amp;" BG")</f>
        <v/>
      </c>
      <c r="AY2309" s="2" t="str">
        <f>IF(Registered!AG2309=0,"",Registered!AG2309&amp;" DustMask")</f>
        <v/>
      </c>
    </row>
    <row r="2310" spans="1:51" customFormat="1" x14ac:dyDescent="0.25">
      <c r="A2310" t="s">
        <v>2418</v>
      </c>
      <c r="B2310" t="s">
        <v>2419</v>
      </c>
      <c r="C2310" t="s">
        <v>6090</v>
      </c>
      <c r="G2310" t="s">
        <v>1154</v>
      </c>
      <c r="H2310" t="s">
        <v>1155</v>
      </c>
      <c r="I2310" t="s">
        <v>1157</v>
      </c>
      <c r="J2310" t="s">
        <v>37</v>
      </c>
      <c r="K2310" t="s">
        <v>32</v>
      </c>
      <c r="L2310" t="s">
        <v>35</v>
      </c>
      <c r="AQ2310">
        <v>0</v>
      </c>
      <c r="AR2310" s="3">
        <f t="shared" si="108"/>
        <v>0</v>
      </c>
      <c r="AS2310" s="3">
        <f t="shared" si="109"/>
        <v>0</v>
      </c>
      <c r="AT2310" s="3" t="str">
        <f>IF(OR(Registered!AM2310&gt;0,Registered!AO2310&gt;0),(IF(Registered!E2310=0,"Size Not Specified",Registered!E2310)),"")</f>
        <v/>
      </c>
      <c r="AU2310" s="3" t="str">
        <f>IF(Registered!AE2310=0,"",IF(Registered!AE2310=1,Registered!AE2310&amp;" Bandana",Registered!AE2310&amp;" Bandanas"))</f>
        <v/>
      </c>
      <c r="AV2310" s="3">
        <f t="shared" si="110"/>
        <v>0</v>
      </c>
      <c r="AW2310" s="2" t="str">
        <f>IF(Registered!AV2310=0,"",IF(Registered!AV2310=1,Registered!AV2310&amp;" Meal",Registered!AV2310&amp;" Meals"))</f>
        <v/>
      </c>
      <c r="AX2310" s="2" t="str">
        <f>IF(Registered!AI2310=0,"",Registered!AI2310&amp;" BG")</f>
        <v/>
      </c>
      <c r="AY2310" s="2" t="str">
        <f>IF(Registered!AG2310=0,"",Registered!AG2310&amp;" DustMask")</f>
        <v/>
      </c>
    </row>
    <row r="2311" spans="1:51" customFormat="1" x14ac:dyDescent="0.25">
      <c r="A2311" t="s">
        <v>1354</v>
      </c>
      <c r="B2311" t="s">
        <v>2420</v>
      </c>
      <c r="C2311" t="s">
        <v>6090</v>
      </c>
      <c r="G2311" t="s">
        <v>137</v>
      </c>
      <c r="H2311" t="s">
        <v>2218</v>
      </c>
      <c r="I2311" t="s">
        <v>2220</v>
      </c>
      <c r="J2311" t="s">
        <v>37</v>
      </c>
      <c r="K2311" t="s">
        <v>32</v>
      </c>
      <c r="L2311" t="s">
        <v>35</v>
      </c>
      <c r="AQ2311">
        <v>0</v>
      </c>
      <c r="AR2311" s="3">
        <f t="shared" si="108"/>
        <v>0</v>
      </c>
      <c r="AS2311" s="3">
        <f t="shared" si="109"/>
        <v>0</v>
      </c>
      <c r="AT2311" s="3" t="str">
        <f>IF(OR(Registered!AM2311&gt;0,Registered!AO2311&gt;0),(IF(Registered!E2311=0,"Size Not Specified",Registered!E2311)),"")</f>
        <v/>
      </c>
      <c r="AU2311" s="3" t="str">
        <f>IF(Registered!AE2311=0,"",IF(Registered!AE2311=1,Registered!AE2311&amp;" Bandana",Registered!AE2311&amp;" Bandanas"))</f>
        <v/>
      </c>
      <c r="AV2311" s="3">
        <f t="shared" si="110"/>
        <v>0</v>
      </c>
      <c r="AW2311" s="2" t="str">
        <f>IF(Registered!AV2311=0,"",IF(Registered!AV2311=1,Registered!AV2311&amp;" Meal",Registered!AV2311&amp;" Meals"))</f>
        <v/>
      </c>
      <c r="AX2311" s="2" t="str">
        <f>IF(Registered!AI2311=0,"",Registered!AI2311&amp;" BG")</f>
        <v/>
      </c>
      <c r="AY2311" s="2" t="str">
        <f>IF(Registered!AG2311=0,"",Registered!AG2311&amp;" DustMask")</f>
        <v/>
      </c>
    </row>
    <row r="2312" spans="1:51" customFormat="1" x14ac:dyDescent="0.25">
      <c r="A2312" t="s">
        <v>2700</v>
      </c>
      <c r="B2312" t="s">
        <v>5733</v>
      </c>
      <c r="C2312" t="s">
        <v>6090</v>
      </c>
      <c r="D2312" t="s">
        <v>198</v>
      </c>
      <c r="E2312" t="s">
        <v>232</v>
      </c>
      <c r="F2312" t="s">
        <v>261</v>
      </c>
      <c r="I2312" t="s">
        <v>5734</v>
      </c>
      <c r="J2312" t="s">
        <v>37</v>
      </c>
      <c r="K2312" t="s">
        <v>32</v>
      </c>
      <c r="L2312" t="s">
        <v>35</v>
      </c>
      <c r="Q2312">
        <v>1</v>
      </c>
      <c r="R2312">
        <v>3</v>
      </c>
      <c r="AM2312">
        <v>1</v>
      </c>
      <c r="AN2312">
        <v>25</v>
      </c>
      <c r="AQ2312">
        <v>28</v>
      </c>
      <c r="AR2312" s="3">
        <f t="shared" si="108"/>
        <v>5</v>
      </c>
      <c r="AS2312" s="3">
        <f t="shared" si="109"/>
        <v>1</v>
      </c>
      <c r="AT2312" s="3" t="str">
        <f>IF(OR(Registered!AM2312&gt;0,Registered!AO2312&gt;0),(IF(Registered!E2312=0,"Size Not Specified",Registered!E2312)),"")</f>
        <v>M</v>
      </c>
      <c r="AU2312" s="3" t="str">
        <f>IF(Registered!AE2312=0,"",IF(Registered!AE2312=1,Registered!AE2312&amp;" Bandana",Registered!AE2312&amp;" Bandanas"))</f>
        <v/>
      </c>
      <c r="AV2312" s="3">
        <f t="shared" si="110"/>
        <v>1</v>
      </c>
      <c r="AW2312" s="2" t="str">
        <f>IF(Registered!AV2312=0,"",IF(Registered!AV2312=1,Registered!AV2312&amp;" Meal",Registered!AV2312&amp;" Meals"))</f>
        <v>1 Meal</v>
      </c>
      <c r="AX2312" s="2" t="str">
        <f>IF(Registered!AI2312=0,"",Registered!AI2312&amp;" BG")</f>
        <v/>
      </c>
      <c r="AY2312" s="2" t="str">
        <f>IF(Registered!AG2312=0,"",Registered!AG2312&amp;" DustMask")</f>
        <v/>
      </c>
    </row>
    <row r="2313" spans="1:51" customFormat="1" x14ac:dyDescent="0.25">
      <c r="A2313" t="s">
        <v>5735</v>
      </c>
      <c r="B2313" t="s">
        <v>4415</v>
      </c>
      <c r="C2313" t="s">
        <v>6090</v>
      </c>
      <c r="G2313" t="s">
        <v>4414</v>
      </c>
      <c r="H2313" t="s">
        <v>4415</v>
      </c>
      <c r="I2313" t="s">
        <v>4416</v>
      </c>
      <c r="J2313" t="s">
        <v>37</v>
      </c>
      <c r="K2313" t="s">
        <v>32</v>
      </c>
      <c r="L2313" t="s">
        <v>35</v>
      </c>
      <c r="AQ2313">
        <v>0</v>
      </c>
      <c r="AR2313" s="3">
        <f t="shared" si="108"/>
        <v>0</v>
      </c>
      <c r="AS2313" s="3">
        <f t="shared" si="109"/>
        <v>0</v>
      </c>
      <c r="AT2313" s="3" t="str">
        <f>IF(OR(Registered!AM2313&gt;0,Registered!AO2313&gt;0),(IF(Registered!E2313=0,"Size Not Specified",Registered!E2313)),"")</f>
        <v/>
      </c>
      <c r="AU2313" s="3" t="str">
        <f>IF(Registered!AE2313=0,"",IF(Registered!AE2313=1,Registered!AE2313&amp;" Bandana",Registered!AE2313&amp;" Bandanas"))</f>
        <v/>
      </c>
      <c r="AV2313" s="3">
        <f t="shared" si="110"/>
        <v>0</v>
      </c>
      <c r="AW2313" s="2" t="str">
        <f>IF(Registered!AV2313=0,"",IF(Registered!AV2313=1,Registered!AV2313&amp;" Meal",Registered!AV2313&amp;" Meals"))</f>
        <v/>
      </c>
      <c r="AX2313" s="2" t="str">
        <f>IF(Registered!AI2313=0,"",Registered!AI2313&amp;" BG")</f>
        <v/>
      </c>
      <c r="AY2313" s="2" t="str">
        <f>IF(Registered!AG2313=0,"",Registered!AG2313&amp;" DustMask")</f>
        <v/>
      </c>
    </row>
    <row r="2314" spans="1:51" customFormat="1" x14ac:dyDescent="0.25">
      <c r="A2314" t="s">
        <v>4414</v>
      </c>
      <c r="B2314" t="s">
        <v>4415</v>
      </c>
      <c r="C2314" t="s">
        <v>6090</v>
      </c>
      <c r="D2314" t="s">
        <v>4414</v>
      </c>
      <c r="F2314" t="s">
        <v>261</v>
      </c>
      <c r="I2314" t="s">
        <v>4416</v>
      </c>
      <c r="J2314" t="s">
        <v>37</v>
      </c>
      <c r="K2314" t="s">
        <v>32</v>
      </c>
      <c r="L2314" t="s">
        <v>35</v>
      </c>
      <c r="Q2314">
        <v>5</v>
      </c>
      <c r="R2314">
        <v>3</v>
      </c>
      <c r="AC2314">
        <v>1</v>
      </c>
      <c r="AD2314">
        <v>10</v>
      </c>
      <c r="AQ2314">
        <v>25</v>
      </c>
      <c r="AR2314" s="3">
        <f t="shared" si="108"/>
        <v>5</v>
      </c>
      <c r="AS2314" s="3">
        <f t="shared" si="109"/>
        <v>0</v>
      </c>
      <c r="AT2314" s="3" t="str">
        <f>IF(OR(Registered!AM2314&gt;0,Registered!AO2314&gt;0),(IF(Registered!E2314=0,"Size Not Specified",Registered!E2314)),"")</f>
        <v/>
      </c>
      <c r="AU2314" s="3" t="str">
        <f>IF(Registered!AE2314=0,"",IF(Registered!AE2314=1,Registered!AE2314&amp;" Bandana",Registered!AE2314&amp;" Bandanas"))</f>
        <v/>
      </c>
      <c r="AV2314" s="3">
        <f t="shared" si="110"/>
        <v>0</v>
      </c>
      <c r="AW2314" s="2" t="str">
        <f>IF(Registered!AV2314=0,"",IF(Registered!AV2314=1,Registered!AV2314&amp;" Meal",Registered!AV2314&amp;" Meals"))</f>
        <v/>
      </c>
      <c r="AX2314" s="2" t="str">
        <f>IF(Registered!AI2314=0,"",Registered!AI2314&amp;" BG")</f>
        <v/>
      </c>
      <c r="AY2314" s="2" t="str">
        <f>IF(Registered!AG2314=0,"",Registered!AG2314&amp;" DustMask")</f>
        <v/>
      </c>
    </row>
    <row r="2315" spans="1:51" customFormat="1" x14ac:dyDescent="0.25">
      <c r="A2315" t="s">
        <v>5736</v>
      </c>
      <c r="B2315" t="s">
        <v>4415</v>
      </c>
      <c r="C2315" t="s">
        <v>6090</v>
      </c>
      <c r="G2315" t="s">
        <v>4414</v>
      </c>
      <c r="H2315" t="s">
        <v>4415</v>
      </c>
      <c r="I2315" t="s">
        <v>4416</v>
      </c>
      <c r="J2315" t="s">
        <v>37</v>
      </c>
      <c r="K2315" t="s">
        <v>32</v>
      </c>
      <c r="L2315" t="s">
        <v>35</v>
      </c>
      <c r="AQ2315">
        <v>0</v>
      </c>
      <c r="AR2315" s="3">
        <f t="shared" si="108"/>
        <v>0</v>
      </c>
      <c r="AS2315" s="3">
        <f t="shared" si="109"/>
        <v>0</v>
      </c>
      <c r="AT2315" s="3" t="str">
        <f>IF(OR(Registered!AM2315&gt;0,Registered!AO2315&gt;0),(IF(Registered!E2315=0,"Size Not Specified",Registered!E2315)),"")</f>
        <v/>
      </c>
      <c r="AU2315" s="3" t="str">
        <f>IF(Registered!AE2315=0,"",IF(Registered!AE2315=1,Registered!AE2315&amp;" Bandana",Registered!AE2315&amp;" Bandanas"))</f>
        <v/>
      </c>
      <c r="AV2315" s="3">
        <f t="shared" si="110"/>
        <v>0</v>
      </c>
      <c r="AW2315" s="2" t="str">
        <f>IF(Registered!AV2315=0,"",IF(Registered!AV2315=1,Registered!AV2315&amp;" Meal",Registered!AV2315&amp;" Meals"))</f>
        <v/>
      </c>
      <c r="AX2315" s="2" t="str">
        <f>IF(Registered!AI2315=0,"",Registered!AI2315&amp;" BG")</f>
        <v/>
      </c>
      <c r="AY2315" s="2" t="str">
        <f>IF(Registered!AG2315=0,"",Registered!AG2315&amp;" DustMask")</f>
        <v/>
      </c>
    </row>
    <row r="2316" spans="1:51" customFormat="1" x14ac:dyDescent="0.25">
      <c r="A2316" t="s">
        <v>848</v>
      </c>
      <c r="B2316" t="s">
        <v>4415</v>
      </c>
      <c r="C2316" t="s">
        <v>6090</v>
      </c>
      <c r="G2316" t="s">
        <v>4414</v>
      </c>
      <c r="H2316" t="s">
        <v>4415</v>
      </c>
      <c r="I2316" t="s">
        <v>4416</v>
      </c>
      <c r="J2316" t="s">
        <v>37</v>
      </c>
      <c r="K2316" t="s">
        <v>32</v>
      </c>
      <c r="L2316" t="s">
        <v>35</v>
      </c>
      <c r="AQ2316">
        <v>0</v>
      </c>
      <c r="AR2316" s="3">
        <f t="shared" si="108"/>
        <v>0</v>
      </c>
      <c r="AS2316" s="3">
        <f t="shared" si="109"/>
        <v>0</v>
      </c>
      <c r="AT2316" s="3" t="str">
        <f>IF(OR(Registered!AM2316&gt;0,Registered!AO2316&gt;0),(IF(Registered!E2316=0,"Size Not Specified",Registered!E2316)),"")</f>
        <v/>
      </c>
      <c r="AU2316" s="3" t="str">
        <f>IF(Registered!AE2316=0,"",IF(Registered!AE2316=1,Registered!AE2316&amp;" Bandana",Registered!AE2316&amp;" Bandanas"))</f>
        <v/>
      </c>
      <c r="AV2316" s="3">
        <f t="shared" si="110"/>
        <v>0</v>
      </c>
      <c r="AW2316" s="2" t="str">
        <f>IF(Registered!AV2316=0,"",IF(Registered!AV2316=1,Registered!AV2316&amp;" Meal",Registered!AV2316&amp;" Meals"))</f>
        <v/>
      </c>
      <c r="AX2316" s="2" t="str">
        <f>IF(Registered!AI2316=0,"",Registered!AI2316&amp;" BG")</f>
        <v/>
      </c>
      <c r="AY2316" s="2" t="str">
        <f>IF(Registered!AG2316=0,"",Registered!AG2316&amp;" DustMask")</f>
        <v/>
      </c>
    </row>
    <row r="2317" spans="1:51" customFormat="1" x14ac:dyDescent="0.25">
      <c r="A2317" t="s">
        <v>387</v>
      </c>
      <c r="B2317" t="s">
        <v>2421</v>
      </c>
      <c r="C2317" t="s">
        <v>6090</v>
      </c>
      <c r="G2317" t="s">
        <v>203</v>
      </c>
      <c r="H2317" t="s">
        <v>2126</v>
      </c>
      <c r="I2317" t="s">
        <v>2127</v>
      </c>
      <c r="J2317" t="s">
        <v>37</v>
      </c>
      <c r="K2317" t="s">
        <v>32</v>
      </c>
      <c r="L2317" t="s">
        <v>35</v>
      </c>
      <c r="AQ2317">
        <v>0</v>
      </c>
      <c r="AR2317" s="3">
        <f t="shared" si="108"/>
        <v>0</v>
      </c>
      <c r="AS2317" s="3">
        <f t="shared" si="109"/>
        <v>0</v>
      </c>
      <c r="AT2317" s="3" t="str">
        <f>IF(OR(Registered!AM2317&gt;0,Registered!AO2317&gt;0),(IF(Registered!E2317=0,"Size Not Specified",Registered!E2317)),"")</f>
        <v/>
      </c>
      <c r="AU2317" s="3" t="str">
        <f>IF(Registered!AE2317=0,"",IF(Registered!AE2317=1,Registered!AE2317&amp;" Bandana",Registered!AE2317&amp;" Bandanas"))</f>
        <v/>
      </c>
      <c r="AV2317" s="3">
        <f t="shared" si="110"/>
        <v>0</v>
      </c>
      <c r="AW2317" s="2" t="str">
        <f>IF(Registered!AV2317=0,"",IF(Registered!AV2317=1,Registered!AV2317&amp;" Meal",Registered!AV2317&amp;" Meals"))</f>
        <v/>
      </c>
      <c r="AX2317" s="2" t="str">
        <f>IF(Registered!AI2317=0,"",Registered!AI2317&amp;" BG")</f>
        <v/>
      </c>
      <c r="AY2317" s="2" t="str">
        <f>IF(Registered!AG2317=0,"",Registered!AG2317&amp;" DustMask")</f>
        <v/>
      </c>
    </row>
    <row r="2318" spans="1:51" customFormat="1" x14ac:dyDescent="0.25">
      <c r="A2318" t="s">
        <v>2700</v>
      </c>
      <c r="B2318" t="s">
        <v>5653</v>
      </c>
      <c r="C2318" t="s">
        <v>6090</v>
      </c>
      <c r="D2318" t="s">
        <v>5738</v>
      </c>
      <c r="F2318" t="s">
        <v>261</v>
      </c>
      <c r="I2318" t="s">
        <v>5654</v>
      </c>
      <c r="J2318" t="s">
        <v>37</v>
      </c>
      <c r="K2318" t="s">
        <v>32</v>
      </c>
      <c r="L2318" t="s">
        <v>35</v>
      </c>
      <c r="Q2318">
        <v>2</v>
      </c>
      <c r="R2318">
        <v>3</v>
      </c>
      <c r="W2318">
        <v>1</v>
      </c>
      <c r="X2318">
        <v>40</v>
      </c>
      <c r="AQ2318">
        <v>46</v>
      </c>
      <c r="AR2318" s="3">
        <f t="shared" si="108"/>
        <v>20</v>
      </c>
      <c r="AS2318" s="3">
        <f t="shared" si="109"/>
        <v>0</v>
      </c>
      <c r="AT2318" s="3" t="str">
        <f>IF(OR(Registered!AM2318&gt;0,Registered!AO2318&gt;0),(IF(Registered!E2318=0,"Size Not Specified",Registered!E2318)),"")</f>
        <v/>
      </c>
      <c r="AU2318" s="3" t="str">
        <f>IF(Registered!AE2318=0,"",IF(Registered!AE2318=1,Registered!AE2318&amp;" Bandana",Registered!AE2318&amp;" Bandanas"))</f>
        <v/>
      </c>
      <c r="AV2318" s="3">
        <f t="shared" si="110"/>
        <v>0</v>
      </c>
      <c r="AW2318" s="2" t="str">
        <f>IF(Registered!AV2318=0,"",IF(Registered!AV2318=1,Registered!AV2318&amp;" Meal",Registered!AV2318&amp;" Meals"))</f>
        <v/>
      </c>
      <c r="AX2318" s="2" t="str">
        <f>IF(Registered!AI2318=0,"",Registered!AI2318&amp;" BG")</f>
        <v/>
      </c>
      <c r="AY2318" s="2" t="str">
        <f>IF(Registered!AG2318=0,"",Registered!AG2318&amp;" DustMask")</f>
        <v/>
      </c>
    </row>
    <row r="2319" spans="1:51" customFormat="1" x14ac:dyDescent="0.25">
      <c r="A2319" t="s">
        <v>90</v>
      </c>
      <c r="B2319" t="s">
        <v>4596</v>
      </c>
      <c r="C2319" t="s">
        <v>6090</v>
      </c>
      <c r="D2319" t="s">
        <v>5739</v>
      </c>
      <c r="I2319" t="s">
        <v>4343</v>
      </c>
      <c r="J2319" t="s">
        <v>37</v>
      </c>
      <c r="K2319" t="s">
        <v>32</v>
      </c>
      <c r="L2319" t="s">
        <v>35</v>
      </c>
      <c r="Q2319">
        <v>3</v>
      </c>
      <c r="R2319">
        <v>3</v>
      </c>
      <c r="AC2319">
        <v>1</v>
      </c>
      <c r="AD2319">
        <v>10</v>
      </c>
      <c r="AQ2319">
        <v>19</v>
      </c>
      <c r="AR2319" s="3">
        <f t="shared" si="108"/>
        <v>5</v>
      </c>
      <c r="AS2319" s="3">
        <f t="shared" si="109"/>
        <v>0</v>
      </c>
      <c r="AT2319" s="3" t="str">
        <f>IF(OR(Registered!AM2319&gt;0,Registered!AO2319&gt;0),(IF(Registered!E2319=0,"Size Not Specified",Registered!E2319)),"")</f>
        <v/>
      </c>
      <c r="AU2319" s="3" t="str">
        <f>IF(Registered!AE2319=0,"",IF(Registered!AE2319=1,Registered!AE2319&amp;" Bandana",Registered!AE2319&amp;" Bandanas"))</f>
        <v/>
      </c>
      <c r="AV2319" s="3">
        <f t="shared" si="110"/>
        <v>0</v>
      </c>
      <c r="AW2319" s="2" t="str">
        <f>IF(Registered!AV2319=0,"",IF(Registered!AV2319=1,Registered!AV2319&amp;" Meal",Registered!AV2319&amp;" Meals"))</f>
        <v/>
      </c>
      <c r="AX2319" s="2" t="str">
        <f>IF(Registered!AI2319=0,"",Registered!AI2319&amp;" BG")</f>
        <v/>
      </c>
      <c r="AY2319" s="2" t="str">
        <f>IF(Registered!AG2319=0,"",Registered!AG2319&amp;" DustMask")</f>
        <v/>
      </c>
    </row>
    <row r="2320" spans="1:51" customFormat="1" x14ac:dyDescent="0.25">
      <c r="A2320" t="s">
        <v>294</v>
      </c>
      <c r="B2320" t="s">
        <v>2423</v>
      </c>
      <c r="C2320" t="s">
        <v>6090</v>
      </c>
      <c r="G2320" t="s">
        <v>4129</v>
      </c>
      <c r="H2320" t="s">
        <v>4130</v>
      </c>
      <c r="I2320" t="s">
        <v>4132</v>
      </c>
      <c r="J2320" t="s">
        <v>37</v>
      </c>
      <c r="K2320" t="s">
        <v>32</v>
      </c>
      <c r="L2320" t="s">
        <v>35</v>
      </c>
      <c r="AQ2320">
        <v>0</v>
      </c>
      <c r="AR2320" s="3">
        <f t="shared" si="108"/>
        <v>0</v>
      </c>
      <c r="AS2320" s="3">
        <f t="shared" si="109"/>
        <v>0</v>
      </c>
      <c r="AT2320" s="3" t="str">
        <f>IF(OR(Registered!AM2320&gt;0,Registered!AO2320&gt;0),(IF(Registered!E2320=0,"Size Not Specified",Registered!E2320)),"")</f>
        <v/>
      </c>
      <c r="AU2320" s="3" t="str">
        <f>IF(Registered!AE2320=0,"",IF(Registered!AE2320=1,Registered!AE2320&amp;" Bandana",Registered!AE2320&amp;" Bandanas"))</f>
        <v/>
      </c>
      <c r="AV2320" s="3">
        <f t="shared" si="110"/>
        <v>0</v>
      </c>
      <c r="AW2320" s="2" t="str">
        <f>IF(Registered!AV2320=0,"",IF(Registered!AV2320=1,Registered!AV2320&amp;" Meal",Registered!AV2320&amp;" Meals"))</f>
        <v/>
      </c>
      <c r="AX2320" s="2" t="str">
        <f>IF(Registered!AI2320=0,"",Registered!AI2320&amp;" BG")</f>
        <v/>
      </c>
      <c r="AY2320" s="2" t="str">
        <f>IF(Registered!AG2320=0,"",Registered!AG2320&amp;" DustMask")</f>
        <v/>
      </c>
    </row>
    <row r="2321" spans="1:51" customFormat="1" x14ac:dyDescent="0.25">
      <c r="A2321" t="s">
        <v>248</v>
      </c>
      <c r="B2321" t="s">
        <v>2423</v>
      </c>
      <c r="C2321" t="s">
        <v>6090</v>
      </c>
      <c r="G2321" t="s">
        <v>4129</v>
      </c>
      <c r="H2321" t="s">
        <v>4130</v>
      </c>
      <c r="I2321" t="s">
        <v>4132</v>
      </c>
      <c r="J2321" t="s">
        <v>37</v>
      </c>
      <c r="K2321" t="s">
        <v>32</v>
      </c>
      <c r="L2321" t="s">
        <v>35</v>
      </c>
      <c r="AQ2321">
        <v>0</v>
      </c>
      <c r="AR2321" s="3">
        <f t="shared" si="108"/>
        <v>0</v>
      </c>
      <c r="AS2321" s="3">
        <f t="shared" si="109"/>
        <v>0</v>
      </c>
      <c r="AT2321" s="3" t="str">
        <f>IF(OR(Registered!AM2321&gt;0,Registered!AO2321&gt;0),(IF(Registered!E2321=0,"Size Not Specified",Registered!E2321)),"")</f>
        <v/>
      </c>
      <c r="AU2321" s="3" t="str">
        <f>IF(Registered!AE2321=0,"",IF(Registered!AE2321=1,Registered!AE2321&amp;" Bandana",Registered!AE2321&amp;" Bandanas"))</f>
        <v/>
      </c>
      <c r="AV2321" s="3">
        <f t="shared" si="110"/>
        <v>0</v>
      </c>
      <c r="AW2321" s="2" t="str">
        <f>IF(Registered!AV2321=0,"",IF(Registered!AV2321=1,Registered!AV2321&amp;" Meal",Registered!AV2321&amp;" Meals"))</f>
        <v/>
      </c>
      <c r="AX2321" s="2" t="str">
        <f>IF(Registered!AI2321=0,"",Registered!AI2321&amp;" BG")</f>
        <v/>
      </c>
      <c r="AY2321" s="2" t="str">
        <f>IF(Registered!AG2321=0,"",Registered!AG2321&amp;" DustMask")</f>
        <v/>
      </c>
    </row>
    <row r="2322" spans="1:51" customFormat="1" x14ac:dyDescent="0.25">
      <c r="A2322" t="s">
        <v>2422</v>
      </c>
      <c r="B2322" t="s">
        <v>2423</v>
      </c>
      <c r="C2322" t="s">
        <v>6090</v>
      </c>
      <c r="G2322" t="s">
        <v>2424</v>
      </c>
      <c r="H2322" t="s">
        <v>2425</v>
      </c>
      <c r="I2322" t="s">
        <v>2426</v>
      </c>
      <c r="J2322" t="s">
        <v>37</v>
      </c>
      <c r="K2322" t="s">
        <v>32</v>
      </c>
      <c r="L2322" t="s">
        <v>35</v>
      </c>
      <c r="AQ2322">
        <v>0</v>
      </c>
      <c r="AR2322" s="3">
        <f t="shared" si="108"/>
        <v>0</v>
      </c>
      <c r="AS2322" s="3">
        <f t="shared" si="109"/>
        <v>0</v>
      </c>
      <c r="AT2322" s="3" t="str">
        <f>IF(OR(Registered!AM2322&gt;0,Registered!AO2322&gt;0),(IF(Registered!E2322=0,"Size Not Specified",Registered!E2322)),"")</f>
        <v/>
      </c>
      <c r="AU2322" s="3" t="str">
        <f>IF(Registered!AE2322=0,"",IF(Registered!AE2322=1,Registered!AE2322&amp;" Bandana",Registered!AE2322&amp;" Bandanas"))</f>
        <v/>
      </c>
      <c r="AV2322" s="3">
        <f t="shared" si="110"/>
        <v>0</v>
      </c>
      <c r="AW2322" s="2" t="str">
        <f>IF(Registered!AV2322=0,"",IF(Registered!AV2322=1,Registered!AV2322&amp;" Meal",Registered!AV2322&amp;" Meals"))</f>
        <v/>
      </c>
      <c r="AX2322" s="2" t="str">
        <f>IF(Registered!AI2322=0,"",Registered!AI2322&amp;" BG")</f>
        <v/>
      </c>
      <c r="AY2322" s="2" t="str">
        <f>IF(Registered!AG2322=0,"",Registered!AG2322&amp;" DustMask")</f>
        <v/>
      </c>
    </row>
    <row r="2323" spans="1:51" customFormat="1" x14ac:dyDescent="0.25">
      <c r="A2323" t="s">
        <v>5740</v>
      </c>
      <c r="B2323" t="s">
        <v>5678</v>
      </c>
      <c r="C2323" t="s">
        <v>6090</v>
      </c>
      <c r="G2323" t="s">
        <v>130</v>
      </c>
      <c r="H2323" t="s">
        <v>5678</v>
      </c>
      <c r="I2323" t="s">
        <v>5679</v>
      </c>
      <c r="J2323" t="s">
        <v>37</v>
      </c>
      <c r="K2323" t="s">
        <v>32</v>
      </c>
      <c r="L2323" t="s">
        <v>35</v>
      </c>
      <c r="AQ2323">
        <v>0</v>
      </c>
      <c r="AR2323" s="3">
        <f t="shared" si="108"/>
        <v>0</v>
      </c>
      <c r="AS2323" s="3">
        <f t="shared" si="109"/>
        <v>0</v>
      </c>
      <c r="AT2323" s="3" t="str">
        <f>IF(OR(Registered!AM2323&gt;0,Registered!AO2323&gt;0),(IF(Registered!E2323=0,"Size Not Specified",Registered!E2323)),"")</f>
        <v/>
      </c>
      <c r="AU2323" s="3" t="str">
        <f>IF(Registered!AE2323=0,"",IF(Registered!AE2323=1,Registered!AE2323&amp;" Bandana",Registered!AE2323&amp;" Bandanas"))</f>
        <v/>
      </c>
      <c r="AV2323" s="3">
        <f t="shared" si="110"/>
        <v>0</v>
      </c>
      <c r="AW2323" s="2" t="str">
        <f>IF(Registered!AV2323=0,"",IF(Registered!AV2323=1,Registered!AV2323&amp;" Meal",Registered!AV2323&amp;" Meals"))</f>
        <v/>
      </c>
      <c r="AX2323" s="2" t="str">
        <f>IF(Registered!AI2323=0,"",Registered!AI2323&amp;" BG")</f>
        <v/>
      </c>
      <c r="AY2323" s="2" t="str">
        <f>IF(Registered!AG2323=0,"",Registered!AG2323&amp;" DustMask")</f>
        <v/>
      </c>
    </row>
    <row r="2324" spans="1:51" customFormat="1" x14ac:dyDescent="0.25">
      <c r="A2324" t="s">
        <v>130</v>
      </c>
      <c r="B2324" t="s">
        <v>5678</v>
      </c>
      <c r="C2324" t="s">
        <v>6090</v>
      </c>
      <c r="D2324" t="s">
        <v>5741</v>
      </c>
      <c r="F2324" t="s">
        <v>261</v>
      </c>
      <c r="I2324" t="s">
        <v>5679</v>
      </c>
      <c r="J2324" t="s">
        <v>37</v>
      </c>
      <c r="K2324" t="s">
        <v>32</v>
      </c>
      <c r="L2324" t="s">
        <v>35</v>
      </c>
      <c r="Q2324">
        <v>4</v>
      </c>
      <c r="R2324">
        <v>3</v>
      </c>
      <c r="Y2324">
        <v>1</v>
      </c>
      <c r="Z2324">
        <v>60</v>
      </c>
      <c r="AQ2324">
        <v>72</v>
      </c>
      <c r="AR2324" s="3">
        <f t="shared" si="108"/>
        <v>30</v>
      </c>
      <c r="AS2324" s="3">
        <f t="shared" si="109"/>
        <v>0</v>
      </c>
      <c r="AT2324" s="3" t="str">
        <f>IF(OR(Registered!AM2324&gt;0,Registered!AO2324&gt;0),(IF(Registered!E2324=0,"Size Not Specified",Registered!E2324)),"")</f>
        <v/>
      </c>
      <c r="AU2324" s="3" t="str">
        <f>IF(Registered!AE2324=0,"",IF(Registered!AE2324=1,Registered!AE2324&amp;" Bandana",Registered!AE2324&amp;" Bandanas"))</f>
        <v/>
      </c>
      <c r="AV2324" s="3">
        <f t="shared" si="110"/>
        <v>0</v>
      </c>
      <c r="AW2324" s="2" t="str">
        <f>IF(Registered!AV2324=0,"",IF(Registered!AV2324=1,Registered!AV2324&amp;" Meal",Registered!AV2324&amp;" Meals"))</f>
        <v/>
      </c>
      <c r="AX2324" s="2" t="str">
        <f>IF(Registered!AI2324=0,"",Registered!AI2324&amp;" BG")</f>
        <v/>
      </c>
      <c r="AY2324" s="2" t="str">
        <f>IF(Registered!AG2324=0,"",Registered!AG2324&amp;" DustMask")</f>
        <v/>
      </c>
    </row>
    <row r="2325" spans="1:51" customFormat="1" x14ac:dyDescent="0.25">
      <c r="A2325" t="s">
        <v>1506</v>
      </c>
      <c r="B2325" t="s">
        <v>5678</v>
      </c>
      <c r="C2325" t="s">
        <v>6090</v>
      </c>
      <c r="G2325" t="s">
        <v>130</v>
      </c>
      <c r="H2325" t="s">
        <v>5678</v>
      </c>
      <c r="I2325" t="s">
        <v>5679</v>
      </c>
      <c r="J2325" t="s">
        <v>37</v>
      </c>
      <c r="K2325" t="s">
        <v>32</v>
      </c>
      <c r="L2325" t="s">
        <v>35</v>
      </c>
      <c r="AQ2325">
        <v>0</v>
      </c>
      <c r="AR2325" s="3">
        <f t="shared" si="108"/>
        <v>0</v>
      </c>
      <c r="AS2325" s="3">
        <f t="shared" si="109"/>
        <v>0</v>
      </c>
      <c r="AT2325" s="3" t="str">
        <f>IF(OR(Registered!AM2325&gt;0,Registered!AO2325&gt;0),(IF(Registered!E2325=0,"Size Not Specified",Registered!E2325)),"")</f>
        <v/>
      </c>
      <c r="AU2325" s="3" t="str">
        <f>IF(Registered!AE2325=0,"",IF(Registered!AE2325=1,Registered!AE2325&amp;" Bandana",Registered!AE2325&amp;" Bandanas"))</f>
        <v/>
      </c>
      <c r="AV2325" s="3">
        <f t="shared" si="110"/>
        <v>0</v>
      </c>
      <c r="AW2325" s="2" t="str">
        <f>IF(Registered!AV2325=0,"",IF(Registered!AV2325=1,Registered!AV2325&amp;" Meal",Registered!AV2325&amp;" Meals"))</f>
        <v/>
      </c>
      <c r="AX2325" s="2" t="str">
        <f>IF(Registered!AI2325=0,"",Registered!AI2325&amp;" BG")</f>
        <v/>
      </c>
      <c r="AY2325" s="2" t="str">
        <f>IF(Registered!AG2325=0,"",Registered!AG2325&amp;" DustMask")</f>
        <v/>
      </c>
    </row>
    <row r="2326" spans="1:51" customFormat="1" x14ac:dyDescent="0.25">
      <c r="A2326" t="s">
        <v>3415</v>
      </c>
      <c r="B2326" t="s">
        <v>3416</v>
      </c>
      <c r="C2326" t="s">
        <v>6090</v>
      </c>
      <c r="G2326" t="s">
        <v>2832</v>
      </c>
      <c r="H2326" t="s">
        <v>2833</v>
      </c>
      <c r="I2326" t="s">
        <v>2834</v>
      </c>
      <c r="J2326" t="s">
        <v>37</v>
      </c>
      <c r="K2326" t="s">
        <v>32</v>
      </c>
      <c r="L2326" t="s">
        <v>35</v>
      </c>
      <c r="AQ2326">
        <v>0</v>
      </c>
      <c r="AR2326" s="3">
        <f t="shared" si="108"/>
        <v>0</v>
      </c>
      <c r="AS2326" s="3">
        <f t="shared" si="109"/>
        <v>0</v>
      </c>
      <c r="AT2326" s="3" t="str">
        <f>IF(OR(Registered!AM2326&gt;0,Registered!AO2326&gt;0),(IF(Registered!E2326=0,"Size Not Specified",Registered!E2326)),"")</f>
        <v/>
      </c>
      <c r="AU2326" s="3" t="str">
        <f>IF(Registered!AE2326=0,"",IF(Registered!AE2326=1,Registered!AE2326&amp;" Bandana",Registered!AE2326&amp;" Bandanas"))</f>
        <v/>
      </c>
      <c r="AV2326" s="3">
        <f t="shared" si="110"/>
        <v>0</v>
      </c>
      <c r="AW2326" s="2" t="str">
        <f>IF(Registered!AV2326=0,"",IF(Registered!AV2326=1,Registered!AV2326&amp;" Meal",Registered!AV2326&amp;" Meals"))</f>
        <v/>
      </c>
      <c r="AX2326" s="2" t="str">
        <f>IF(Registered!AI2326=0,"",Registered!AI2326&amp;" BG")</f>
        <v/>
      </c>
      <c r="AY2326" s="2" t="str">
        <f>IF(Registered!AG2326=0,"",Registered!AG2326&amp;" DustMask")</f>
        <v/>
      </c>
    </row>
    <row r="2327" spans="1:51" customFormat="1" x14ac:dyDescent="0.25">
      <c r="A2327" t="s">
        <v>134</v>
      </c>
      <c r="B2327" t="s">
        <v>5742</v>
      </c>
      <c r="C2327" t="s">
        <v>6090</v>
      </c>
      <c r="G2327" t="s">
        <v>5743</v>
      </c>
      <c r="H2327" t="s">
        <v>426</v>
      </c>
      <c r="I2327" t="s">
        <v>5744</v>
      </c>
      <c r="J2327" t="s">
        <v>37</v>
      </c>
      <c r="K2327" t="s">
        <v>32</v>
      </c>
      <c r="L2327" t="s">
        <v>35</v>
      </c>
      <c r="AQ2327">
        <v>0</v>
      </c>
      <c r="AR2327" s="3">
        <f t="shared" si="108"/>
        <v>0</v>
      </c>
      <c r="AS2327" s="3">
        <f t="shared" si="109"/>
        <v>0</v>
      </c>
      <c r="AT2327" s="3" t="str">
        <f>IF(OR(Registered!AM2327&gt;0,Registered!AO2327&gt;0),(IF(Registered!E2327=0,"Size Not Specified",Registered!E2327)),"")</f>
        <v/>
      </c>
      <c r="AU2327" s="3" t="str">
        <f>IF(Registered!AE2327=0,"",IF(Registered!AE2327=1,Registered!AE2327&amp;" Bandana",Registered!AE2327&amp;" Bandanas"))</f>
        <v/>
      </c>
      <c r="AV2327" s="3">
        <f t="shared" si="110"/>
        <v>0</v>
      </c>
      <c r="AW2327" s="2" t="str">
        <f>IF(Registered!AV2327=0,"",IF(Registered!AV2327=1,Registered!AV2327&amp;" Meal",Registered!AV2327&amp;" Meals"))</f>
        <v/>
      </c>
      <c r="AX2327" s="2" t="str">
        <f>IF(Registered!AI2327=0,"",Registered!AI2327&amp;" BG")</f>
        <v/>
      </c>
      <c r="AY2327" s="2" t="str">
        <f>IF(Registered!AG2327=0,"",Registered!AG2327&amp;" DustMask")</f>
        <v/>
      </c>
    </row>
    <row r="2328" spans="1:51" customFormat="1" x14ac:dyDescent="0.25">
      <c r="A2328" t="s">
        <v>5745</v>
      </c>
      <c r="B2328" t="s">
        <v>5746</v>
      </c>
      <c r="C2328" t="s">
        <v>6090</v>
      </c>
      <c r="G2328" t="s">
        <v>43</v>
      </c>
      <c r="H2328" t="s">
        <v>5746</v>
      </c>
      <c r="I2328" t="s">
        <v>5747</v>
      </c>
      <c r="J2328" t="s">
        <v>37</v>
      </c>
      <c r="K2328" t="s">
        <v>32</v>
      </c>
      <c r="L2328" t="s">
        <v>35</v>
      </c>
      <c r="AQ2328">
        <v>0</v>
      </c>
      <c r="AR2328" s="3">
        <f t="shared" si="108"/>
        <v>0</v>
      </c>
      <c r="AS2328" s="3">
        <f t="shared" si="109"/>
        <v>0</v>
      </c>
      <c r="AT2328" s="3" t="str">
        <f>IF(OR(Registered!AM2328&gt;0,Registered!AO2328&gt;0),(IF(Registered!E2328=0,"Size Not Specified",Registered!E2328)),"")</f>
        <v/>
      </c>
      <c r="AU2328" s="3" t="str">
        <f>IF(Registered!AE2328=0,"",IF(Registered!AE2328=1,Registered!AE2328&amp;" Bandana",Registered!AE2328&amp;" Bandanas"))</f>
        <v/>
      </c>
      <c r="AV2328" s="3">
        <f t="shared" si="110"/>
        <v>0</v>
      </c>
      <c r="AW2328" s="2" t="str">
        <f>IF(Registered!AV2328=0,"",IF(Registered!AV2328=1,Registered!AV2328&amp;" Meal",Registered!AV2328&amp;" Meals"))</f>
        <v/>
      </c>
      <c r="AX2328" s="2" t="str">
        <f>IF(Registered!AI2328=0,"",Registered!AI2328&amp;" BG")</f>
        <v/>
      </c>
      <c r="AY2328" s="2" t="str">
        <f>IF(Registered!AG2328=0,"",Registered!AG2328&amp;" DustMask")</f>
        <v/>
      </c>
    </row>
    <row r="2329" spans="1:51" customFormat="1" x14ac:dyDescent="0.25">
      <c r="A2329" t="s">
        <v>43</v>
      </c>
      <c r="B2329" t="s">
        <v>5746</v>
      </c>
      <c r="C2329" t="s">
        <v>6090</v>
      </c>
      <c r="D2329" t="s">
        <v>5748</v>
      </c>
      <c r="F2329" t="s">
        <v>261</v>
      </c>
      <c r="I2329" t="s">
        <v>5747</v>
      </c>
      <c r="J2329" t="s">
        <v>37</v>
      </c>
      <c r="K2329" t="s">
        <v>32</v>
      </c>
      <c r="L2329" t="s">
        <v>35</v>
      </c>
      <c r="Q2329">
        <v>4</v>
      </c>
      <c r="R2329">
        <v>3</v>
      </c>
      <c r="U2329">
        <v>1</v>
      </c>
      <c r="V2329">
        <v>20</v>
      </c>
      <c r="AC2329">
        <v>1</v>
      </c>
      <c r="AD2329">
        <v>10</v>
      </c>
      <c r="AQ2329">
        <v>42</v>
      </c>
      <c r="AR2329" s="3">
        <f t="shared" si="108"/>
        <v>15</v>
      </c>
      <c r="AS2329" s="3">
        <f t="shared" si="109"/>
        <v>0</v>
      </c>
      <c r="AT2329" s="3" t="str">
        <f>IF(OR(Registered!AM2329&gt;0,Registered!AO2329&gt;0),(IF(Registered!E2329=0,"Size Not Specified",Registered!E2329)),"")</f>
        <v/>
      </c>
      <c r="AU2329" s="3" t="str">
        <f>IF(Registered!AE2329=0,"",IF(Registered!AE2329=1,Registered!AE2329&amp;" Bandana",Registered!AE2329&amp;" Bandanas"))</f>
        <v/>
      </c>
      <c r="AV2329" s="3">
        <f t="shared" si="110"/>
        <v>0</v>
      </c>
      <c r="AW2329" s="2" t="str">
        <f>IF(Registered!AV2329=0,"",IF(Registered!AV2329=1,Registered!AV2329&amp;" Meal",Registered!AV2329&amp;" Meals"))</f>
        <v/>
      </c>
      <c r="AX2329" s="2" t="str">
        <f>IF(Registered!AI2329=0,"",Registered!AI2329&amp;" BG")</f>
        <v/>
      </c>
      <c r="AY2329" s="2" t="str">
        <f>IF(Registered!AG2329=0,"",Registered!AG2329&amp;" DustMask")</f>
        <v/>
      </c>
    </row>
    <row r="2330" spans="1:51" customFormat="1" x14ac:dyDescent="0.25">
      <c r="A2330" t="s">
        <v>125</v>
      </c>
      <c r="B2330" t="s">
        <v>5746</v>
      </c>
      <c r="C2330" t="s">
        <v>6090</v>
      </c>
      <c r="G2330" t="s">
        <v>43</v>
      </c>
      <c r="H2330" t="s">
        <v>5746</v>
      </c>
      <c r="I2330" t="s">
        <v>5747</v>
      </c>
      <c r="J2330" t="s">
        <v>37</v>
      </c>
      <c r="K2330" t="s">
        <v>32</v>
      </c>
      <c r="L2330" t="s">
        <v>35</v>
      </c>
      <c r="AQ2330">
        <v>0</v>
      </c>
      <c r="AR2330" s="3">
        <f t="shared" si="108"/>
        <v>0</v>
      </c>
      <c r="AS2330" s="3">
        <f t="shared" si="109"/>
        <v>0</v>
      </c>
      <c r="AT2330" s="3" t="str">
        <f>IF(OR(Registered!AM2330&gt;0,Registered!AO2330&gt;0),(IF(Registered!E2330=0,"Size Not Specified",Registered!E2330)),"")</f>
        <v/>
      </c>
      <c r="AU2330" s="3" t="str">
        <f>IF(Registered!AE2330=0,"",IF(Registered!AE2330=1,Registered!AE2330&amp;" Bandana",Registered!AE2330&amp;" Bandanas"))</f>
        <v/>
      </c>
      <c r="AV2330" s="3">
        <f t="shared" si="110"/>
        <v>0</v>
      </c>
      <c r="AW2330" s="2" t="str">
        <f>IF(Registered!AV2330=0,"",IF(Registered!AV2330=1,Registered!AV2330&amp;" Meal",Registered!AV2330&amp;" Meals"))</f>
        <v/>
      </c>
      <c r="AX2330" s="2" t="str">
        <f>IF(Registered!AI2330=0,"",Registered!AI2330&amp;" BG")</f>
        <v/>
      </c>
      <c r="AY2330" s="2" t="str">
        <f>IF(Registered!AG2330=0,"",Registered!AG2330&amp;" DustMask")</f>
        <v/>
      </c>
    </row>
    <row r="2331" spans="1:51" customFormat="1" x14ac:dyDescent="0.25">
      <c r="A2331" t="s">
        <v>3430</v>
      </c>
      <c r="B2331" t="s">
        <v>4541</v>
      </c>
      <c r="C2331" t="s">
        <v>6090</v>
      </c>
      <c r="D2331" t="s">
        <v>5749</v>
      </c>
      <c r="F2331" t="s">
        <v>261</v>
      </c>
      <c r="I2331" t="s">
        <v>4542</v>
      </c>
      <c r="J2331" t="s">
        <v>37</v>
      </c>
      <c r="K2331" t="s">
        <v>32</v>
      </c>
      <c r="L2331" t="s">
        <v>35</v>
      </c>
      <c r="Q2331">
        <v>2</v>
      </c>
      <c r="R2331">
        <v>3</v>
      </c>
      <c r="AQ2331">
        <v>6</v>
      </c>
      <c r="AR2331" s="3">
        <f t="shared" si="108"/>
        <v>0</v>
      </c>
      <c r="AS2331" s="3">
        <f t="shared" si="109"/>
        <v>0</v>
      </c>
      <c r="AT2331" s="3" t="str">
        <f>IF(OR(Registered!AM2331&gt;0,Registered!AO2331&gt;0),(IF(Registered!E2331=0,"Size Not Specified",Registered!E2331)),"")</f>
        <v/>
      </c>
      <c r="AU2331" s="3" t="str">
        <f>IF(Registered!AE2331=0,"",IF(Registered!AE2331=1,Registered!AE2331&amp;" Bandana",Registered!AE2331&amp;" Bandanas"))</f>
        <v/>
      </c>
      <c r="AV2331" s="3">
        <f t="shared" si="110"/>
        <v>0</v>
      </c>
      <c r="AW2331" s="2" t="str">
        <f>IF(Registered!AV2331=0,"",IF(Registered!AV2331=1,Registered!AV2331&amp;" Meal",Registered!AV2331&amp;" Meals"))</f>
        <v/>
      </c>
      <c r="AX2331" s="2" t="str">
        <f>IF(Registered!AI2331=0,"",Registered!AI2331&amp;" BG")</f>
        <v/>
      </c>
      <c r="AY2331" s="2" t="str">
        <f>IF(Registered!AG2331=0,"",Registered!AG2331&amp;" DustMask")</f>
        <v/>
      </c>
    </row>
    <row r="2332" spans="1:51" customFormat="1" x14ac:dyDescent="0.25">
      <c r="A2332" t="s">
        <v>4014</v>
      </c>
      <c r="B2332" t="s">
        <v>4015</v>
      </c>
      <c r="C2332" t="s">
        <v>6090</v>
      </c>
      <c r="D2332" t="s">
        <v>5750</v>
      </c>
      <c r="F2332" t="s">
        <v>261</v>
      </c>
      <c r="I2332" t="s">
        <v>4016</v>
      </c>
      <c r="J2332" t="s">
        <v>37</v>
      </c>
      <c r="K2332" t="s">
        <v>32</v>
      </c>
      <c r="L2332" t="s">
        <v>35</v>
      </c>
      <c r="Q2332">
        <v>2</v>
      </c>
      <c r="R2332">
        <v>3</v>
      </c>
      <c r="AC2332">
        <v>1</v>
      </c>
      <c r="AD2332">
        <v>10</v>
      </c>
      <c r="AQ2332">
        <v>16</v>
      </c>
      <c r="AR2332" s="3">
        <f t="shared" si="108"/>
        <v>5</v>
      </c>
      <c r="AS2332" s="3">
        <f t="shared" si="109"/>
        <v>0</v>
      </c>
      <c r="AT2332" s="3" t="str">
        <f>IF(OR(Registered!AM2332&gt;0,Registered!AO2332&gt;0),(IF(Registered!E2332=0,"Size Not Specified",Registered!E2332)),"")</f>
        <v/>
      </c>
      <c r="AU2332" s="3" t="str">
        <f>IF(Registered!AE2332=0,"",IF(Registered!AE2332=1,Registered!AE2332&amp;" Bandana",Registered!AE2332&amp;" Bandanas"))</f>
        <v/>
      </c>
      <c r="AV2332" s="3">
        <f t="shared" si="110"/>
        <v>0</v>
      </c>
      <c r="AW2332" s="2" t="str">
        <f>IF(Registered!AV2332=0,"",IF(Registered!AV2332=1,Registered!AV2332&amp;" Meal",Registered!AV2332&amp;" Meals"))</f>
        <v/>
      </c>
      <c r="AX2332" s="2" t="str">
        <f>IF(Registered!AI2332=0,"",Registered!AI2332&amp;" BG")</f>
        <v/>
      </c>
      <c r="AY2332" s="2" t="str">
        <f>IF(Registered!AG2332=0,"",Registered!AG2332&amp;" DustMask")</f>
        <v/>
      </c>
    </row>
    <row r="2333" spans="1:51" customFormat="1" x14ac:dyDescent="0.25">
      <c r="A2333" t="s">
        <v>2427</v>
      </c>
      <c r="B2333" t="s">
        <v>2428</v>
      </c>
      <c r="C2333" t="s">
        <v>6090</v>
      </c>
      <c r="D2333" t="s">
        <v>2427</v>
      </c>
      <c r="F2333" t="s">
        <v>261</v>
      </c>
      <c r="I2333" t="s">
        <v>2429</v>
      </c>
      <c r="J2333" t="s">
        <v>37</v>
      </c>
      <c r="K2333" t="s">
        <v>32</v>
      </c>
      <c r="L2333" t="s">
        <v>35</v>
      </c>
      <c r="S2333">
        <v>1</v>
      </c>
      <c r="T2333">
        <v>3</v>
      </c>
      <c r="U2333">
        <v>1</v>
      </c>
      <c r="V2333">
        <v>20</v>
      </c>
      <c r="AK2333">
        <v>1</v>
      </c>
      <c r="AL2333">
        <v>6</v>
      </c>
      <c r="AQ2333">
        <v>29</v>
      </c>
      <c r="AR2333" s="3">
        <f t="shared" si="108"/>
        <v>10</v>
      </c>
      <c r="AS2333" s="3">
        <f t="shared" si="109"/>
        <v>0</v>
      </c>
      <c r="AT2333" s="3" t="str">
        <f>IF(OR(Registered!AM2333&gt;0,Registered!AO2333&gt;0),(IF(Registered!E2333=0,"Size Not Specified",Registered!E2333)),"")</f>
        <v/>
      </c>
      <c r="AU2333" s="3" t="str">
        <f>IF(Registered!AE2333=0,"",IF(Registered!AE2333=1,Registered!AE2333&amp;" Bandana",Registered!AE2333&amp;" Bandanas"))</f>
        <v/>
      </c>
      <c r="AV2333" s="3">
        <f t="shared" si="110"/>
        <v>1</v>
      </c>
      <c r="AW2333" s="2" t="str">
        <f>IF(Registered!AV2333=0,"",IF(Registered!AV2333=1,Registered!AV2333&amp;" Meal",Registered!AV2333&amp;" Meals"))</f>
        <v>1 Meal</v>
      </c>
      <c r="AX2333" s="2" t="str">
        <f>IF(Registered!AI2333=0,"",Registered!AI2333&amp;" BG")</f>
        <v/>
      </c>
      <c r="AY2333" s="2" t="str">
        <f>IF(Registered!AG2333=0,"",Registered!AG2333&amp;" DustMask")</f>
        <v/>
      </c>
    </row>
    <row r="2334" spans="1:51" customFormat="1" x14ac:dyDescent="0.25">
      <c r="A2334" t="s">
        <v>46</v>
      </c>
      <c r="B2334" t="s">
        <v>2428</v>
      </c>
      <c r="C2334" t="s">
        <v>6090</v>
      </c>
      <c r="D2334" t="s">
        <v>46</v>
      </c>
      <c r="F2334" t="s">
        <v>261</v>
      </c>
      <c r="I2334" t="s">
        <v>2430</v>
      </c>
      <c r="J2334" t="s">
        <v>37</v>
      </c>
      <c r="K2334" t="s">
        <v>32</v>
      </c>
      <c r="L2334" t="s">
        <v>35</v>
      </c>
      <c r="S2334">
        <v>2</v>
      </c>
      <c r="T2334">
        <v>3</v>
      </c>
      <c r="AC2334">
        <v>1</v>
      </c>
      <c r="AD2334">
        <v>10</v>
      </c>
      <c r="AQ2334">
        <v>16</v>
      </c>
      <c r="AR2334" s="3">
        <f t="shared" si="108"/>
        <v>5</v>
      </c>
      <c r="AS2334" s="3">
        <f t="shared" si="109"/>
        <v>0</v>
      </c>
      <c r="AT2334" s="3" t="str">
        <f>IF(OR(Registered!AM2334&gt;0,Registered!AO2334&gt;0),(IF(Registered!E2334=0,"Size Not Specified",Registered!E2334)),"")</f>
        <v/>
      </c>
      <c r="AU2334" s="3" t="str">
        <f>IF(Registered!AE2334=0,"",IF(Registered!AE2334=1,Registered!AE2334&amp;" Bandana",Registered!AE2334&amp;" Bandanas"))</f>
        <v/>
      </c>
      <c r="AV2334" s="3">
        <f t="shared" si="110"/>
        <v>0</v>
      </c>
      <c r="AW2334" s="2" t="str">
        <f>IF(Registered!AV2334=0,"",IF(Registered!AV2334=1,Registered!AV2334&amp;" Meal",Registered!AV2334&amp;" Meals"))</f>
        <v/>
      </c>
      <c r="AX2334" s="2" t="str">
        <f>IF(Registered!AI2334=0,"",Registered!AI2334&amp;" BG")</f>
        <v/>
      </c>
      <c r="AY2334" s="2" t="str">
        <f>IF(Registered!AG2334=0,"",Registered!AG2334&amp;" DustMask")</f>
        <v/>
      </c>
    </row>
    <row r="2335" spans="1:51" customFormat="1" x14ac:dyDescent="0.25">
      <c r="A2335" t="s">
        <v>4569</v>
      </c>
      <c r="B2335" t="s">
        <v>4570</v>
      </c>
      <c r="C2335" t="s">
        <v>6090</v>
      </c>
      <c r="D2335" t="s">
        <v>2700</v>
      </c>
      <c r="F2335" t="s">
        <v>261</v>
      </c>
      <c r="I2335" t="s">
        <v>5751</v>
      </c>
      <c r="J2335" t="s">
        <v>37</v>
      </c>
      <c r="K2335" t="s">
        <v>32</v>
      </c>
      <c r="L2335" t="s">
        <v>35</v>
      </c>
      <c r="Q2335">
        <v>3</v>
      </c>
      <c r="R2335">
        <v>3</v>
      </c>
      <c r="AQ2335">
        <v>9</v>
      </c>
      <c r="AR2335" s="3">
        <f t="shared" si="108"/>
        <v>0</v>
      </c>
      <c r="AS2335" s="3">
        <f t="shared" si="109"/>
        <v>0</v>
      </c>
      <c r="AT2335" s="3" t="str">
        <f>IF(OR(Registered!AM2335&gt;0,Registered!AO2335&gt;0),(IF(Registered!E2335=0,"Size Not Specified",Registered!E2335)),"")</f>
        <v/>
      </c>
      <c r="AU2335" s="3" t="str">
        <f>IF(Registered!AE2335=0,"",IF(Registered!AE2335=1,Registered!AE2335&amp;" Bandana",Registered!AE2335&amp;" Bandanas"))</f>
        <v/>
      </c>
      <c r="AV2335" s="3">
        <f t="shared" si="110"/>
        <v>0</v>
      </c>
      <c r="AW2335" s="2" t="str">
        <f>IF(Registered!AV2335=0,"",IF(Registered!AV2335=1,Registered!AV2335&amp;" Meal",Registered!AV2335&amp;" Meals"))</f>
        <v/>
      </c>
      <c r="AX2335" s="2" t="str">
        <f>IF(Registered!AI2335=0,"",Registered!AI2335&amp;" BG")</f>
        <v/>
      </c>
      <c r="AY2335" s="2" t="str">
        <f>IF(Registered!AG2335=0,"",Registered!AG2335&amp;" DustMask")</f>
        <v/>
      </c>
    </row>
    <row r="2336" spans="1:51" customFormat="1" x14ac:dyDescent="0.25">
      <c r="A2336" t="s">
        <v>5752</v>
      </c>
      <c r="B2336" t="s">
        <v>5753</v>
      </c>
      <c r="C2336" t="s">
        <v>6090</v>
      </c>
      <c r="D2336" t="s">
        <v>5754</v>
      </c>
      <c r="E2336" t="s">
        <v>117</v>
      </c>
      <c r="F2336" t="s">
        <v>261</v>
      </c>
      <c r="I2336" t="s">
        <v>5755</v>
      </c>
      <c r="J2336" t="s">
        <v>37</v>
      </c>
      <c r="K2336" t="s">
        <v>32</v>
      </c>
      <c r="L2336" t="s">
        <v>35</v>
      </c>
      <c r="Q2336">
        <v>1</v>
      </c>
      <c r="R2336">
        <v>3</v>
      </c>
      <c r="AM2336">
        <v>1</v>
      </c>
      <c r="AN2336">
        <v>25</v>
      </c>
      <c r="AQ2336">
        <v>28</v>
      </c>
      <c r="AR2336" s="3">
        <f t="shared" si="108"/>
        <v>5</v>
      </c>
      <c r="AS2336" s="3">
        <f t="shared" si="109"/>
        <v>1</v>
      </c>
      <c r="AT2336" s="3" t="str">
        <f>IF(OR(Registered!AM2336&gt;0,Registered!AO2336&gt;0),(IF(Registered!E2336=0,"Size Not Specified",Registered!E2336)),"")</f>
        <v>Large</v>
      </c>
      <c r="AU2336" s="3" t="str">
        <f>IF(Registered!AE2336=0,"",IF(Registered!AE2336=1,Registered!AE2336&amp;" Bandana",Registered!AE2336&amp;" Bandanas"))</f>
        <v/>
      </c>
      <c r="AV2336" s="3">
        <f t="shared" si="110"/>
        <v>1</v>
      </c>
      <c r="AW2336" s="2" t="str">
        <f>IF(Registered!AV2336=0,"",IF(Registered!AV2336=1,Registered!AV2336&amp;" Meal",Registered!AV2336&amp;" Meals"))</f>
        <v>1 Meal</v>
      </c>
      <c r="AX2336" s="2" t="str">
        <f>IF(Registered!AI2336=0,"",Registered!AI2336&amp;" BG")</f>
        <v/>
      </c>
      <c r="AY2336" s="2" t="str">
        <f>IF(Registered!AG2336=0,"",Registered!AG2336&amp;" DustMask")</f>
        <v/>
      </c>
    </row>
    <row r="2337" spans="1:51" customFormat="1" x14ac:dyDescent="0.25">
      <c r="A2337" t="s">
        <v>5756</v>
      </c>
      <c r="B2337" t="s">
        <v>5757</v>
      </c>
      <c r="C2337" t="s">
        <v>6090</v>
      </c>
      <c r="D2337" t="s">
        <v>5758</v>
      </c>
      <c r="F2337" t="s">
        <v>261</v>
      </c>
      <c r="I2337" t="s">
        <v>5759</v>
      </c>
      <c r="J2337" t="s">
        <v>37</v>
      </c>
      <c r="K2337" t="s">
        <v>32</v>
      </c>
      <c r="L2337" t="s">
        <v>35</v>
      </c>
      <c r="Q2337">
        <v>1</v>
      </c>
      <c r="R2337">
        <v>3</v>
      </c>
      <c r="AC2337">
        <v>1</v>
      </c>
      <c r="AD2337">
        <v>10</v>
      </c>
      <c r="AQ2337">
        <v>13</v>
      </c>
      <c r="AR2337" s="3">
        <f t="shared" si="108"/>
        <v>5</v>
      </c>
      <c r="AS2337" s="3">
        <f t="shared" si="109"/>
        <v>0</v>
      </c>
      <c r="AT2337" s="3" t="str">
        <f>IF(OR(Registered!AM2337&gt;0,Registered!AO2337&gt;0),(IF(Registered!E2337=0,"Size Not Specified",Registered!E2337)),"")</f>
        <v/>
      </c>
      <c r="AU2337" s="3" t="str">
        <f>IF(Registered!AE2337=0,"",IF(Registered!AE2337=1,Registered!AE2337&amp;" Bandana",Registered!AE2337&amp;" Bandanas"))</f>
        <v/>
      </c>
      <c r="AV2337" s="3">
        <f t="shared" si="110"/>
        <v>0</v>
      </c>
      <c r="AW2337" s="2" t="str">
        <f>IF(Registered!AV2337=0,"",IF(Registered!AV2337=1,Registered!AV2337&amp;" Meal",Registered!AV2337&amp;" Meals"))</f>
        <v/>
      </c>
      <c r="AX2337" s="2" t="str">
        <f>IF(Registered!AI2337=0,"",Registered!AI2337&amp;" BG")</f>
        <v/>
      </c>
      <c r="AY2337" s="2" t="str">
        <f>IF(Registered!AG2337=0,"",Registered!AG2337&amp;" DustMask")</f>
        <v/>
      </c>
    </row>
    <row r="2338" spans="1:51" customFormat="1" x14ac:dyDescent="0.25">
      <c r="A2338" t="s">
        <v>220</v>
      </c>
      <c r="B2338" t="s">
        <v>5760</v>
      </c>
      <c r="C2338" t="s">
        <v>6090</v>
      </c>
      <c r="G2338" t="s">
        <v>4149</v>
      </c>
      <c r="H2338" t="s">
        <v>365</v>
      </c>
      <c r="I2338" t="s">
        <v>4150</v>
      </c>
      <c r="J2338" t="s">
        <v>37</v>
      </c>
      <c r="K2338" t="s">
        <v>32</v>
      </c>
      <c r="L2338" t="s">
        <v>35</v>
      </c>
      <c r="AQ2338">
        <v>0</v>
      </c>
      <c r="AR2338" s="3">
        <f t="shared" si="108"/>
        <v>0</v>
      </c>
      <c r="AS2338" s="3">
        <f t="shared" si="109"/>
        <v>0</v>
      </c>
      <c r="AT2338" s="3" t="str">
        <f>IF(OR(Registered!AM2338&gt;0,Registered!AO2338&gt;0),(IF(Registered!E2338=0,"Size Not Specified",Registered!E2338)),"")</f>
        <v/>
      </c>
      <c r="AU2338" s="3" t="str">
        <f>IF(Registered!AE2338=0,"",IF(Registered!AE2338=1,Registered!AE2338&amp;" Bandana",Registered!AE2338&amp;" Bandanas"))</f>
        <v/>
      </c>
      <c r="AV2338" s="3">
        <f t="shared" si="110"/>
        <v>0</v>
      </c>
      <c r="AW2338" s="2" t="str">
        <f>IF(Registered!AV2338=0,"",IF(Registered!AV2338=1,Registered!AV2338&amp;" Meal",Registered!AV2338&amp;" Meals"))</f>
        <v/>
      </c>
      <c r="AX2338" s="2" t="str">
        <f>IF(Registered!AI2338=0,"",Registered!AI2338&amp;" BG")</f>
        <v/>
      </c>
      <c r="AY2338" s="2" t="str">
        <f>IF(Registered!AG2338=0,"",Registered!AG2338&amp;" DustMask")</f>
        <v/>
      </c>
    </row>
    <row r="2339" spans="1:51" customFormat="1" x14ac:dyDescent="0.25">
      <c r="A2339" t="s">
        <v>297</v>
      </c>
      <c r="B2339" t="s">
        <v>5761</v>
      </c>
      <c r="C2339" t="s">
        <v>6090</v>
      </c>
      <c r="G2339" t="s">
        <v>155</v>
      </c>
      <c r="H2339" t="s">
        <v>4921</v>
      </c>
      <c r="I2339" t="s">
        <v>4922</v>
      </c>
      <c r="J2339" t="s">
        <v>37</v>
      </c>
      <c r="K2339" t="s">
        <v>32</v>
      </c>
      <c r="L2339" t="s">
        <v>35</v>
      </c>
      <c r="AQ2339">
        <v>0</v>
      </c>
      <c r="AR2339" s="3">
        <f t="shared" si="108"/>
        <v>0</v>
      </c>
      <c r="AS2339" s="3">
        <f t="shared" si="109"/>
        <v>0</v>
      </c>
      <c r="AT2339" s="3" t="str">
        <f>IF(OR(Registered!AM2339&gt;0,Registered!AO2339&gt;0),(IF(Registered!E2339=0,"Size Not Specified",Registered!E2339)),"")</f>
        <v/>
      </c>
      <c r="AU2339" s="3" t="str">
        <f>IF(Registered!AE2339=0,"",IF(Registered!AE2339=1,Registered!AE2339&amp;" Bandana",Registered!AE2339&amp;" Bandanas"))</f>
        <v/>
      </c>
      <c r="AV2339" s="3">
        <f t="shared" si="110"/>
        <v>0</v>
      </c>
      <c r="AW2339" s="2" t="str">
        <f>IF(Registered!AV2339=0,"",IF(Registered!AV2339=1,Registered!AV2339&amp;" Meal",Registered!AV2339&amp;" Meals"))</f>
        <v/>
      </c>
      <c r="AX2339" s="2" t="str">
        <f>IF(Registered!AI2339=0,"",Registered!AI2339&amp;" BG")</f>
        <v/>
      </c>
      <c r="AY2339" s="2" t="str">
        <f>IF(Registered!AG2339=0,"",Registered!AG2339&amp;" DustMask")</f>
        <v/>
      </c>
    </row>
    <row r="2340" spans="1:51" customFormat="1" x14ac:dyDescent="0.25">
      <c r="A2340" t="s">
        <v>146</v>
      </c>
      <c r="B2340" t="s">
        <v>2432</v>
      </c>
      <c r="C2340" t="s">
        <v>6090</v>
      </c>
      <c r="G2340" t="s">
        <v>42</v>
      </c>
      <c r="H2340" t="s">
        <v>404</v>
      </c>
      <c r="I2340" t="s">
        <v>1404</v>
      </c>
      <c r="J2340" t="s">
        <v>37</v>
      </c>
      <c r="K2340" t="s">
        <v>32</v>
      </c>
      <c r="L2340" t="s">
        <v>35</v>
      </c>
      <c r="AQ2340">
        <v>0</v>
      </c>
      <c r="AR2340" s="3">
        <f t="shared" si="108"/>
        <v>0</v>
      </c>
      <c r="AS2340" s="3">
        <f t="shared" si="109"/>
        <v>0</v>
      </c>
      <c r="AT2340" s="3" t="str">
        <f>IF(OR(Registered!AM2340&gt;0,Registered!AO2340&gt;0),(IF(Registered!E2340=0,"Size Not Specified",Registered!E2340)),"")</f>
        <v/>
      </c>
      <c r="AU2340" s="3" t="str">
        <f>IF(Registered!AE2340=0,"",IF(Registered!AE2340=1,Registered!AE2340&amp;" Bandana",Registered!AE2340&amp;" Bandanas"))</f>
        <v/>
      </c>
      <c r="AV2340" s="3">
        <f t="shared" si="110"/>
        <v>0</v>
      </c>
      <c r="AW2340" s="2" t="str">
        <f>IF(Registered!AV2340=0,"",IF(Registered!AV2340=1,Registered!AV2340&amp;" Meal",Registered!AV2340&amp;" Meals"))</f>
        <v/>
      </c>
      <c r="AX2340" s="2" t="str">
        <f>IF(Registered!AI2340=0,"",Registered!AI2340&amp;" BG")</f>
        <v/>
      </c>
      <c r="AY2340" s="2" t="str">
        <f>IF(Registered!AG2340=0,"",Registered!AG2340&amp;" DustMask")</f>
        <v/>
      </c>
    </row>
    <row r="2341" spans="1:51" customFormat="1" x14ac:dyDescent="0.25">
      <c r="A2341" t="s">
        <v>398</v>
      </c>
      <c r="B2341" t="s">
        <v>5762</v>
      </c>
      <c r="C2341" t="s">
        <v>6090</v>
      </c>
      <c r="G2341" t="s">
        <v>111</v>
      </c>
      <c r="H2341" t="s">
        <v>3970</v>
      </c>
      <c r="I2341" t="s">
        <v>3974</v>
      </c>
      <c r="J2341" t="s">
        <v>37</v>
      </c>
      <c r="K2341" t="s">
        <v>32</v>
      </c>
      <c r="L2341" t="s">
        <v>35</v>
      </c>
      <c r="AQ2341">
        <v>0</v>
      </c>
      <c r="AR2341" s="3">
        <f t="shared" si="108"/>
        <v>0</v>
      </c>
      <c r="AS2341" s="3">
        <f t="shared" si="109"/>
        <v>0</v>
      </c>
      <c r="AT2341" s="3" t="str">
        <f>IF(OR(Registered!AM2341&gt;0,Registered!AO2341&gt;0),(IF(Registered!E2341=0,"Size Not Specified",Registered!E2341)),"")</f>
        <v/>
      </c>
      <c r="AU2341" s="3" t="str">
        <f>IF(Registered!AE2341=0,"",IF(Registered!AE2341=1,Registered!AE2341&amp;" Bandana",Registered!AE2341&amp;" Bandanas"))</f>
        <v/>
      </c>
      <c r="AV2341" s="3">
        <f t="shared" si="110"/>
        <v>0</v>
      </c>
      <c r="AW2341" s="2" t="str">
        <f>IF(Registered!AV2341=0,"",IF(Registered!AV2341=1,Registered!AV2341&amp;" Meal",Registered!AV2341&amp;" Meals"))</f>
        <v/>
      </c>
      <c r="AX2341" s="2" t="str">
        <f>IF(Registered!AI2341=0,"",Registered!AI2341&amp;" BG")</f>
        <v/>
      </c>
      <c r="AY2341" s="2" t="str">
        <f>IF(Registered!AG2341=0,"",Registered!AG2341&amp;" DustMask")</f>
        <v/>
      </c>
    </row>
    <row r="2342" spans="1:51" customFormat="1" x14ac:dyDescent="0.25">
      <c r="A2342" t="s">
        <v>121</v>
      </c>
      <c r="B2342" t="s">
        <v>5762</v>
      </c>
      <c r="C2342" t="s">
        <v>6090</v>
      </c>
      <c r="G2342" t="s">
        <v>5763</v>
      </c>
      <c r="H2342" t="s">
        <v>5762</v>
      </c>
      <c r="I2342" t="s">
        <v>5764</v>
      </c>
      <c r="J2342" t="s">
        <v>37</v>
      </c>
      <c r="K2342" t="s">
        <v>32</v>
      </c>
      <c r="L2342" t="s">
        <v>35</v>
      </c>
      <c r="AQ2342">
        <v>0</v>
      </c>
      <c r="AR2342" s="3">
        <f t="shared" si="108"/>
        <v>0</v>
      </c>
      <c r="AS2342" s="3">
        <f t="shared" si="109"/>
        <v>0</v>
      </c>
      <c r="AT2342" s="3" t="str">
        <f>IF(OR(Registered!AM2342&gt;0,Registered!AO2342&gt;0),(IF(Registered!E2342=0,"Size Not Specified",Registered!E2342)),"")</f>
        <v/>
      </c>
      <c r="AU2342" s="3" t="str">
        <f>IF(Registered!AE2342=0,"",IF(Registered!AE2342=1,Registered!AE2342&amp;" Bandana",Registered!AE2342&amp;" Bandanas"))</f>
        <v/>
      </c>
      <c r="AV2342" s="3">
        <f t="shared" si="110"/>
        <v>0</v>
      </c>
      <c r="AW2342" s="2" t="str">
        <f>IF(Registered!AV2342=0,"",IF(Registered!AV2342=1,Registered!AV2342&amp;" Meal",Registered!AV2342&amp;" Meals"))</f>
        <v/>
      </c>
      <c r="AX2342" s="2" t="str">
        <f>IF(Registered!AI2342=0,"",Registered!AI2342&amp;" BG")</f>
        <v/>
      </c>
      <c r="AY2342" s="2" t="str">
        <f>IF(Registered!AG2342=0,"",Registered!AG2342&amp;" DustMask")</f>
        <v/>
      </c>
    </row>
    <row r="2343" spans="1:51" customFormat="1" x14ac:dyDescent="0.25">
      <c r="A2343" t="s">
        <v>5763</v>
      </c>
      <c r="B2343" t="s">
        <v>5762</v>
      </c>
      <c r="C2343" t="s">
        <v>6090</v>
      </c>
      <c r="D2343" t="s">
        <v>5765</v>
      </c>
      <c r="E2343" t="s">
        <v>5442</v>
      </c>
      <c r="F2343" t="s">
        <v>261</v>
      </c>
      <c r="I2343" t="s">
        <v>5764</v>
      </c>
      <c r="J2343" t="s">
        <v>37</v>
      </c>
      <c r="K2343" t="s">
        <v>32</v>
      </c>
      <c r="L2343" t="s">
        <v>35</v>
      </c>
      <c r="Q2343">
        <v>2</v>
      </c>
      <c r="R2343">
        <v>3</v>
      </c>
      <c r="AC2343">
        <v>1</v>
      </c>
      <c r="AD2343">
        <v>10</v>
      </c>
      <c r="AQ2343">
        <v>16</v>
      </c>
      <c r="AR2343" s="3">
        <f t="shared" si="108"/>
        <v>5</v>
      </c>
      <c r="AS2343" s="3">
        <f t="shared" si="109"/>
        <v>0</v>
      </c>
      <c r="AT2343" s="3" t="str">
        <f>IF(OR(Registered!AM2343&gt;0,Registered!AO2343&gt;0),(IF(Registered!E2343=0,"Size Not Specified",Registered!E2343)),"")</f>
        <v/>
      </c>
      <c r="AU2343" s="3" t="str">
        <f>IF(Registered!AE2343=0,"",IF(Registered!AE2343=1,Registered!AE2343&amp;" Bandana",Registered!AE2343&amp;" Bandanas"))</f>
        <v/>
      </c>
      <c r="AV2343" s="3">
        <f t="shared" si="110"/>
        <v>0</v>
      </c>
      <c r="AW2343" s="2" t="str">
        <f>IF(Registered!AV2343=0,"",IF(Registered!AV2343=1,Registered!AV2343&amp;" Meal",Registered!AV2343&amp;" Meals"))</f>
        <v/>
      </c>
      <c r="AX2343" s="2" t="str">
        <f>IF(Registered!AI2343=0,"",Registered!AI2343&amp;" BG")</f>
        <v/>
      </c>
      <c r="AY2343" s="2" t="str">
        <f>IF(Registered!AG2343=0,"",Registered!AG2343&amp;" DustMask")</f>
        <v/>
      </c>
    </row>
    <row r="2344" spans="1:51" customFormat="1" x14ac:dyDescent="0.25">
      <c r="A2344" t="s">
        <v>2794</v>
      </c>
      <c r="B2344" t="s">
        <v>493</v>
      </c>
      <c r="C2344" t="s">
        <v>6090</v>
      </c>
      <c r="D2344" t="s">
        <v>2794</v>
      </c>
      <c r="F2344" t="s">
        <v>261</v>
      </c>
      <c r="I2344" t="s">
        <v>3100</v>
      </c>
      <c r="J2344" t="s">
        <v>37</v>
      </c>
      <c r="K2344" t="s">
        <v>32</v>
      </c>
      <c r="L2344" t="s">
        <v>35</v>
      </c>
      <c r="Q2344">
        <v>3</v>
      </c>
      <c r="R2344">
        <v>3</v>
      </c>
      <c r="AC2344">
        <v>1</v>
      </c>
      <c r="AD2344">
        <v>10</v>
      </c>
      <c r="AQ2344">
        <v>19</v>
      </c>
      <c r="AR2344" s="3">
        <f t="shared" si="108"/>
        <v>5</v>
      </c>
      <c r="AS2344" s="3">
        <f t="shared" si="109"/>
        <v>0</v>
      </c>
      <c r="AT2344" s="3" t="str">
        <f>IF(OR(Registered!AM2344&gt;0,Registered!AO2344&gt;0),(IF(Registered!E2344=0,"Size Not Specified",Registered!E2344)),"")</f>
        <v/>
      </c>
      <c r="AU2344" s="3" t="str">
        <f>IF(Registered!AE2344=0,"",IF(Registered!AE2344=1,Registered!AE2344&amp;" Bandana",Registered!AE2344&amp;" Bandanas"))</f>
        <v/>
      </c>
      <c r="AV2344" s="3">
        <f t="shared" si="110"/>
        <v>0</v>
      </c>
      <c r="AW2344" s="2" t="str">
        <f>IF(Registered!AV2344=0,"",IF(Registered!AV2344=1,Registered!AV2344&amp;" Meal",Registered!AV2344&amp;" Meals"))</f>
        <v/>
      </c>
      <c r="AX2344" s="2" t="str">
        <f>IF(Registered!AI2344=0,"",Registered!AI2344&amp;" BG")</f>
        <v/>
      </c>
      <c r="AY2344" s="2" t="str">
        <f>IF(Registered!AG2344=0,"",Registered!AG2344&amp;" DustMask")</f>
        <v/>
      </c>
    </row>
    <row r="2345" spans="1:51" customFormat="1" x14ac:dyDescent="0.25">
      <c r="A2345" t="s">
        <v>62</v>
      </c>
      <c r="B2345" t="s">
        <v>493</v>
      </c>
      <c r="C2345" t="s">
        <v>6090</v>
      </c>
      <c r="D2345" t="s">
        <v>198</v>
      </c>
      <c r="E2345" t="s">
        <v>227</v>
      </c>
      <c r="F2345" t="s">
        <v>261</v>
      </c>
      <c r="I2345" t="s">
        <v>4402</v>
      </c>
      <c r="J2345" t="s">
        <v>37</v>
      </c>
      <c r="K2345" t="s">
        <v>32</v>
      </c>
      <c r="L2345" t="s">
        <v>35</v>
      </c>
      <c r="Q2345">
        <v>2</v>
      </c>
      <c r="R2345">
        <v>3</v>
      </c>
      <c r="U2345">
        <v>1</v>
      </c>
      <c r="V2345">
        <v>20</v>
      </c>
      <c r="AM2345">
        <v>1</v>
      </c>
      <c r="AN2345">
        <v>25</v>
      </c>
      <c r="AQ2345">
        <v>51</v>
      </c>
      <c r="AR2345" s="3">
        <f t="shared" si="108"/>
        <v>15</v>
      </c>
      <c r="AS2345" s="3">
        <f t="shared" si="109"/>
        <v>1</v>
      </c>
      <c r="AT2345" s="3" t="str">
        <f>IF(OR(Registered!AM2345&gt;0,Registered!AO2345&gt;0),(IF(Registered!E2345=0,"Size Not Specified",Registered!E2345)),"")</f>
        <v>xl</v>
      </c>
      <c r="AU2345" s="3" t="str">
        <f>IF(Registered!AE2345=0,"",IF(Registered!AE2345=1,Registered!AE2345&amp;" Bandana",Registered!AE2345&amp;" Bandanas"))</f>
        <v/>
      </c>
      <c r="AV2345" s="3">
        <f t="shared" si="110"/>
        <v>1</v>
      </c>
      <c r="AW2345" s="2" t="str">
        <f>IF(Registered!AV2345=0,"",IF(Registered!AV2345=1,Registered!AV2345&amp;" Meal",Registered!AV2345&amp;" Meals"))</f>
        <v>1 Meal</v>
      </c>
      <c r="AX2345" s="2" t="str">
        <f>IF(Registered!AI2345=0,"",Registered!AI2345&amp;" BG")</f>
        <v/>
      </c>
      <c r="AY2345" s="2" t="str">
        <f>IF(Registered!AG2345=0,"",Registered!AG2345&amp;" DustMask")</f>
        <v/>
      </c>
    </row>
    <row r="2346" spans="1:51" customFormat="1" x14ac:dyDescent="0.25">
      <c r="A2346" t="s">
        <v>174</v>
      </c>
      <c r="B2346" t="s">
        <v>493</v>
      </c>
      <c r="C2346" t="s">
        <v>6090</v>
      </c>
      <c r="G2346" t="s">
        <v>163</v>
      </c>
      <c r="H2346" t="s">
        <v>493</v>
      </c>
      <c r="I2346" t="s">
        <v>5766</v>
      </c>
      <c r="J2346" t="s">
        <v>37</v>
      </c>
      <c r="K2346" t="s">
        <v>32</v>
      </c>
      <c r="L2346" t="s">
        <v>35</v>
      </c>
      <c r="AQ2346">
        <v>0</v>
      </c>
      <c r="AR2346" s="3">
        <f t="shared" si="108"/>
        <v>0</v>
      </c>
      <c r="AS2346" s="3">
        <f t="shared" si="109"/>
        <v>0</v>
      </c>
      <c r="AT2346" s="3" t="str">
        <f>IF(OR(Registered!AM2346&gt;0,Registered!AO2346&gt;0),(IF(Registered!E2346=0,"Size Not Specified",Registered!E2346)),"")</f>
        <v/>
      </c>
      <c r="AU2346" s="3" t="str">
        <f>IF(Registered!AE2346=0,"",IF(Registered!AE2346=1,Registered!AE2346&amp;" Bandana",Registered!AE2346&amp;" Bandanas"))</f>
        <v/>
      </c>
      <c r="AV2346" s="3">
        <f t="shared" si="110"/>
        <v>0</v>
      </c>
      <c r="AW2346" s="2" t="str">
        <f>IF(Registered!AV2346=0,"",IF(Registered!AV2346=1,Registered!AV2346&amp;" Meal",Registered!AV2346&amp;" Meals"))</f>
        <v/>
      </c>
      <c r="AX2346" s="2" t="str">
        <f>IF(Registered!AI2346=0,"",Registered!AI2346&amp;" BG")</f>
        <v/>
      </c>
      <c r="AY2346" s="2" t="str">
        <f>IF(Registered!AG2346=0,"",Registered!AG2346&amp;" DustMask")</f>
        <v/>
      </c>
    </row>
    <row r="2347" spans="1:51" customFormat="1" x14ac:dyDescent="0.25">
      <c r="A2347" t="s">
        <v>1862</v>
      </c>
      <c r="B2347" t="s">
        <v>493</v>
      </c>
      <c r="C2347" t="s">
        <v>6090</v>
      </c>
      <c r="D2347" t="s">
        <v>2433</v>
      </c>
      <c r="E2347" t="s">
        <v>2434</v>
      </c>
      <c r="I2347" t="s">
        <v>2435</v>
      </c>
      <c r="J2347" t="s">
        <v>37</v>
      </c>
      <c r="K2347" t="s">
        <v>32</v>
      </c>
      <c r="L2347" t="s">
        <v>35</v>
      </c>
      <c r="O2347">
        <v>2</v>
      </c>
      <c r="P2347">
        <v>3</v>
      </c>
      <c r="U2347">
        <v>2</v>
      </c>
      <c r="V2347">
        <v>20</v>
      </c>
      <c r="AO2347">
        <v>2</v>
      </c>
      <c r="AP2347">
        <v>10</v>
      </c>
      <c r="AQ2347">
        <v>66</v>
      </c>
      <c r="AR2347" s="3">
        <f t="shared" si="108"/>
        <v>20</v>
      </c>
      <c r="AS2347" s="3">
        <f t="shared" si="109"/>
        <v>2</v>
      </c>
      <c r="AT2347" s="3" t="str">
        <f>IF(OR(Registered!AM2347&gt;0,Registered!AO2347&gt;0),(IF(Registered!E2347=0,"Size Not Specified",Registered!E2347)),"")</f>
        <v>X-Small or Small and Large</v>
      </c>
      <c r="AU2347" s="3" t="str">
        <f>IF(Registered!AE2347=0,"",IF(Registered!AE2347=1,Registered!AE2347&amp;" Bandana",Registered!AE2347&amp;" Bandanas"))</f>
        <v/>
      </c>
      <c r="AV2347" s="3">
        <f t="shared" si="110"/>
        <v>0</v>
      </c>
      <c r="AW2347" s="2" t="str">
        <f>IF(Registered!AV2347=0,"",IF(Registered!AV2347=1,Registered!AV2347&amp;" Meal",Registered!AV2347&amp;" Meals"))</f>
        <v/>
      </c>
      <c r="AX2347" s="2" t="str">
        <f>IF(Registered!AI2347=0,"",Registered!AI2347&amp;" BG")</f>
        <v/>
      </c>
      <c r="AY2347" s="2" t="str">
        <f>IF(Registered!AG2347=0,"",Registered!AG2347&amp;" DustMask")</f>
        <v/>
      </c>
    </row>
    <row r="2348" spans="1:51" customFormat="1" x14ac:dyDescent="0.25">
      <c r="A2348" t="s">
        <v>163</v>
      </c>
      <c r="B2348" t="s">
        <v>493</v>
      </c>
      <c r="C2348" t="s">
        <v>6090</v>
      </c>
      <c r="D2348" t="s">
        <v>5767</v>
      </c>
      <c r="F2348" t="s">
        <v>261</v>
      </c>
      <c r="I2348" t="s">
        <v>5766</v>
      </c>
      <c r="J2348" t="s">
        <v>37</v>
      </c>
      <c r="K2348" t="s">
        <v>32</v>
      </c>
      <c r="L2348" t="s">
        <v>35</v>
      </c>
      <c r="Q2348">
        <v>2</v>
      </c>
      <c r="R2348">
        <v>3</v>
      </c>
      <c r="U2348">
        <v>1</v>
      </c>
      <c r="V2348">
        <v>20</v>
      </c>
      <c r="AC2348">
        <v>1</v>
      </c>
      <c r="AD2348">
        <v>10</v>
      </c>
      <c r="AQ2348">
        <v>36</v>
      </c>
      <c r="AR2348" s="3">
        <f t="shared" si="108"/>
        <v>15</v>
      </c>
      <c r="AS2348" s="3">
        <f t="shared" si="109"/>
        <v>0</v>
      </c>
      <c r="AT2348" s="3" t="str">
        <f>IF(OR(Registered!AM2348&gt;0,Registered!AO2348&gt;0),(IF(Registered!E2348=0,"Size Not Specified",Registered!E2348)),"")</f>
        <v/>
      </c>
      <c r="AU2348" s="3" t="str">
        <f>IF(Registered!AE2348=0,"",IF(Registered!AE2348=1,Registered!AE2348&amp;" Bandana",Registered!AE2348&amp;" Bandanas"))</f>
        <v/>
      </c>
      <c r="AV2348" s="3">
        <f t="shared" si="110"/>
        <v>0</v>
      </c>
      <c r="AW2348" s="2" t="str">
        <f>IF(Registered!AV2348=0,"",IF(Registered!AV2348=1,Registered!AV2348&amp;" Meal",Registered!AV2348&amp;" Meals"))</f>
        <v/>
      </c>
      <c r="AX2348" s="2" t="str">
        <f>IF(Registered!AI2348=0,"",Registered!AI2348&amp;" BG")</f>
        <v/>
      </c>
      <c r="AY2348" s="2" t="str">
        <f>IF(Registered!AG2348=0,"",Registered!AG2348&amp;" DustMask")</f>
        <v/>
      </c>
    </row>
    <row r="2349" spans="1:51" customFormat="1" x14ac:dyDescent="0.25">
      <c r="A2349" t="s">
        <v>2436</v>
      </c>
      <c r="B2349" t="s">
        <v>289</v>
      </c>
      <c r="C2349" t="s">
        <v>6090</v>
      </c>
      <c r="G2349" t="s">
        <v>1182</v>
      </c>
      <c r="H2349" t="s">
        <v>745</v>
      </c>
      <c r="I2349" t="s">
        <v>1183</v>
      </c>
      <c r="J2349" t="s">
        <v>37</v>
      </c>
      <c r="K2349" t="s">
        <v>32</v>
      </c>
      <c r="L2349" t="s">
        <v>35</v>
      </c>
      <c r="AQ2349">
        <v>0</v>
      </c>
      <c r="AR2349" s="3">
        <f t="shared" si="108"/>
        <v>0</v>
      </c>
      <c r="AS2349" s="3">
        <f t="shared" si="109"/>
        <v>0</v>
      </c>
      <c r="AT2349" s="3" t="str">
        <f>IF(OR(Registered!AM2349&gt;0,Registered!AO2349&gt;0),(IF(Registered!E2349=0,"Size Not Specified",Registered!E2349)),"")</f>
        <v/>
      </c>
      <c r="AU2349" s="3" t="str">
        <f>IF(Registered!AE2349=0,"",IF(Registered!AE2349=1,Registered!AE2349&amp;" Bandana",Registered!AE2349&amp;" Bandanas"))</f>
        <v/>
      </c>
      <c r="AV2349" s="3">
        <f t="shared" si="110"/>
        <v>0</v>
      </c>
      <c r="AW2349" s="2" t="str">
        <f>IF(Registered!AV2349=0,"",IF(Registered!AV2349=1,Registered!AV2349&amp;" Meal",Registered!AV2349&amp;" Meals"))</f>
        <v/>
      </c>
      <c r="AX2349" s="2" t="str">
        <f>IF(Registered!AI2349=0,"",Registered!AI2349&amp;" BG")</f>
        <v/>
      </c>
      <c r="AY2349" s="2" t="str">
        <f>IF(Registered!AG2349=0,"",Registered!AG2349&amp;" DustMask")</f>
        <v/>
      </c>
    </row>
    <row r="2350" spans="1:51" customFormat="1" x14ac:dyDescent="0.25">
      <c r="A2350" t="s">
        <v>5768</v>
      </c>
      <c r="B2350" t="s">
        <v>289</v>
      </c>
      <c r="C2350" t="s">
        <v>6090</v>
      </c>
      <c r="G2350" t="s">
        <v>96</v>
      </c>
      <c r="H2350" t="s">
        <v>414</v>
      </c>
      <c r="I2350" t="s">
        <v>3732</v>
      </c>
      <c r="J2350" t="s">
        <v>37</v>
      </c>
      <c r="K2350" t="s">
        <v>32</v>
      </c>
      <c r="L2350" t="s">
        <v>35</v>
      </c>
      <c r="AQ2350">
        <v>0</v>
      </c>
      <c r="AR2350" s="3">
        <f t="shared" si="108"/>
        <v>0</v>
      </c>
      <c r="AS2350" s="3">
        <f t="shared" si="109"/>
        <v>0</v>
      </c>
      <c r="AT2350" s="3" t="str">
        <f>IF(OR(Registered!AM2350&gt;0,Registered!AO2350&gt;0),(IF(Registered!E2350=0,"Size Not Specified",Registered!E2350)),"")</f>
        <v/>
      </c>
      <c r="AU2350" s="3" t="str">
        <f>IF(Registered!AE2350=0,"",IF(Registered!AE2350=1,Registered!AE2350&amp;" Bandana",Registered!AE2350&amp;" Bandanas"))</f>
        <v/>
      </c>
      <c r="AV2350" s="3">
        <f t="shared" si="110"/>
        <v>0</v>
      </c>
      <c r="AW2350" s="2" t="str">
        <f>IF(Registered!AV2350=0,"",IF(Registered!AV2350=1,Registered!AV2350&amp;" Meal",Registered!AV2350&amp;" Meals"))</f>
        <v/>
      </c>
      <c r="AX2350" s="2" t="str">
        <f>IF(Registered!AI2350=0,"",Registered!AI2350&amp;" BG")</f>
        <v/>
      </c>
      <c r="AY2350" s="2" t="str">
        <f>IF(Registered!AG2350=0,"",Registered!AG2350&amp;" DustMask")</f>
        <v/>
      </c>
    </row>
    <row r="2351" spans="1:51" customFormat="1" x14ac:dyDescent="0.25">
      <c r="A2351" t="s">
        <v>2437</v>
      </c>
      <c r="B2351" t="s">
        <v>289</v>
      </c>
      <c r="C2351" t="s">
        <v>6090</v>
      </c>
      <c r="G2351" t="s">
        <v>883</v>
      </c>
      <c r="H2351" t="s">
        <v>1834</v>
      </c>
      <c r="I2351" t="s">
        <v>1836</v>
      </c>
      <c r="J2351" t="s">
        <v>37</v>
      </c>
      <c r="K2351" t="s">
        <v>32</v>
      </c>
      <c r="L2351" t="s">
        <v>35</v>
      </c>
      <c r="AQ2351">
        <v>0</v>
      </c>
      <c r="AR2351" s="3">
        <f t="shared" si="108"/>
        <v>0</v>
      </c>
      <c r="AS2351" s="3">
        <f t="shared" si="109"/>
        <v>0</v>
      </c>
      <c r="AT2351" s="3" t="str">
        <f>IF(OR(Registered!AM2351&gt;0,Registered!AO2351&gt;0),(IF(Registered!E2351=0,"Size Not Specified",Registered!E2351)),"")</f>
        <v/>
      </c>
      <c r="AU2351" s="3" t="str">
        <f>IF(Registered!AE2351=0,"",IF(Registered!AE2351=1,Registered!AE2351&amp;" Bandana",Registered!AE2351&amp;" Bandanas"))</f>
        <v/>
      </c>
      <c r="AV2351" s="3">
        <f t="shared" si="110"/>
        <v>0</v>
      </c>
      <c r="AW2351" s="2" t="str">
        <f>IF(Registered!AV2351=0,"",IF(Registered!AV2351=1,Registered!AV2351&amp;" Meal",Registered!AV2351&amp;" Meals"))</f>
        <v/>
      </c>
      <c r="AX2351" s="2" t="str">
        <f>IF(Registered!AI2351=0,"",Registered!AI2351&amp;" BG")</f>
        <v/>
      </c>
      <c r="AY2351" s="2" t="str">
        <f>IF(Registered!AG2351=0,"",Registered!AG2351&amp;" DustMask")</f>
        <v/>
      </c>
    </row>
    <row r="2352" spans="1:51" customFormat="1" x14ac:dyDescent="0.25">
      <c r="A2352" t="s">
        <v>2438</v>
      </c>
      <c r="B2352" t="s">
        <v>2439</v>
      </c>
      <c r="C2352" t="s">
        <v>6090</v>
      </c>
      <c r="F2352" t="s">
        <v>261</v>
      </c>
      <c r="I2352" t="s">
        <v>2440</v>
      </c>
      <c r="J2352" t="s">
        <v>37</v>
      </c>
      <c r="K2352" t="s">
        <v>32</v>
      </c>
      <c r="L2352" t="s">
        <v>35</v>
      </c>
      <c r="S2352">
        <v>1</v>
      </c>
      <c r="T2352">
        <v>3</v>
      </c>
      <c r="AC2352">
        <v>1</v>
      </c>
      <c r="AD2352">
        <v>10</v>
      </c>
      <c r="AQ2352">
        <v>13</v>
      </c>
      <c r="AR2352" s="3">
        <f t="shared" si="108"/>
        <v>5</v>
      </c>
      <c r="AS2352" s="3">
        <f t="shared" si="109"/>
        <v>0</v>
      </c>
      <c r="AT2352" s="3" t="str">
        <f>IF(OR(Registered!AM2352&gt;0,Registered!AO2352&gt;0),(IF(Registered!E2352=0,"Size Not Specified",Registered!E2352)),"")</f>
        <v/>
      </c>
      <c r="AU2352" s="3" t="str">
        <f>IF(Registered!AE2352=0,"",IF(Registered!AE2352=1,Registered!AE2352&amp;" Bandana",Registered!AE2352&amp;" Bandanas"))</f>
        <v/>
      </c>
      <c r="AV2352" s="3">
        <f t="shared" si="110"/>
        <v>0</v>
      </c>
      <c r="AW2352" s="2" t="str">
        <f>IF(Registered!AV2352=0,"",IF(Registered!AV2352=1,Registered!AV2352&amp;" Meal",Registered!AV2352&amp;" Meals"))</f>
        <v/>
      </c>
      <c r="AX2352" s="2" t="str">
        <f>IF(Registered!AI2352=0,"",Registered!AI2352&amp;" BG")</f>
        <v/>
      </c>
      <c r="AY2352" s="2" t="str">
        <f>IF(Registered!AG2352=0,"",Registered!AG2352&amp;" DustMask")</f>
        <v/>
      </c>
    </row>
    <row r="2353" spans="1:51" customFormat="1" x14ac:dyDescent="0.25">
      <c r="A2353" t="s">
        <v>3589</v>
      </c>
      <c r="B2353" t="s">
        <v>2446</v>
      </c>
      <c r="C2353" t="s">
        <v>6090</v>
      </c>
      <c r="D2353" t="s">
        <v>5769</v>
      </c>
      <c r="F2353" t="s">
        <v>261</v>
      </c>
      <c r="I2353" t="s">
        <v>3590</v>
      </c>
      <c r="J2353" t="s">
        <v>37</v>
      </c>
      <c r="K2353" t="s">
        <v>32</v>
      </c>
      <c r="L2353" t="s">
        <v>35</v>
      </c>
      <c r="Q2353">
        <v>3</v>
      </c>
      <c r="R2353">
        <v>3</v>
      </c>
      <c r="AC2353">
        <v>3</v>
      </c>
      <c r="AD2353">
        <v>10</v>
      </c>
      <c r="AQ2353">
        <v>39</v>
      </c>
      <c r="AR2353" s="3">
        <f t="shared" si="108"/>
        <v>15</v>
      </c>
      <c r="AS2353" s="3">
        <f t="shared" si="109"/>
        <v>0</v>
      </c>
      <c r="AT2353" s="3" t="str">
        <f>IF(OR(Registered!AM2353&gt;0,Registered!AO2353&gt;0),(IF(Registered!E2353=0,"Size Not Specified",Registered!E2353)),"")</f>
        <v/>
      </c>
      <c r="AU2353" s="3" t="str">
        <f>IF(Registered!AE2353=0,"",IF(Registered!AE2353=1,Registered!AE2353&amp;" Bandana",Registered!AE2353&amp;" Bandanas"))</f>
        <v/>
      </c>
      <c r="AV2353" s="3">
        <f t="shared" si="110"/>
        <v>0</v>
      </c>
      <c r="AW2353" s="2" t="str">
        <f>IF(Registered!AV2353=0,"",IF(Registered!AV2353=1,Registered!AV2353&amp;" Meal",Registered!AV2353&amp;" Meals"))</f>
        <v/>
      </c>
      <c r="AX2353" s="2" t="str">
        <f>IF(Registered!AI2353=0,"",Registered!AI2353&amp;" BG")</f>
        <v/>
      </c>
      <c r="AY2353" s="2" t="str">
        <f>IF(Registered!AG2353=0,"",Registered!AG2353&amp;" DustMask")</f>
        <v/>
      </c>
    </row>
    <row r="2354" spans="1:51" customFormat="1" x14ac:dyDescent="0.25">
      <c r="A2354" t="s">
        <v>60</v>
      </c>
      <c r="B2354" t="s">
        <v>2725</v>
      </c>
      <c r="C2354" t="s">
        <v>6090</v>
      </c>
      <c r="D2354" t="s">
        <v>3417</v>
      </c>
      <c r="F2354" t="s">
        <v>261</v>
      </c>
      <c r="I2354" t="s">
        <v>2726</v>
      </c>
      <c r="J2354" t="s">
        <v>37</v>
      </c>
      <c r="K2354" t="s">
        <v>32</v>
      </c>
      <c r="L2354" t="s">
        <v>35</v>
      </c>
      <c r="Q2354">
        <v>4</v>
      </c>
      <c r="R2354">
        <v>3</v>
      </c>
      <c r="U2354">
        <v>1</v>
      </c>
      <c r="V2354">
        <v>20</v>
      </c>
      <c r="AQ2354">
        <v>32</v>
      </c>
      <c r="AR2354" s="3">
        <f t="shared" si="108"/>
        <v>10</v>
      </c>
      <c r="AS2354" s="3">
        <f t="shared" si="109"/>
        <v>0</v>
      </c>
      <c r="AT2354" s="3" t="str">
        <f>IF(OR(Registered!AM2354&gt;0,Registered!AO2354&gt;0),(IF(Registered!E2354=0,"Size Not Specified",Registered!E2354)),"")</f>
        <v/>
      </c>
      <c r="AU2354" s="3" t="str">
        <f>IF(Registered!AE2354=0,"",IF(Registered!AE2354=1,Registered!AE2354&amp;" Bandana",Registered!AE2354&amp;" Bandanas"))</f>
        <v/>
      </c>
      <c r="AV2354" s="3">
        <f t="shared" si="110"/>
        <v>0</v>
      </c>
      <c r="AW2354" s="2" t="str">
        <f>IF(Registered!AV2354=0,"",IF(Registered!AV2354=1,Registered!AV2354&amp;" Meal",Registered!AV2354&amp;" Meals"))</f>
        <v/>
      </c>
      <c r="AX2354" s="2" t="str">
        <f>IF(Registered!AI2354=0,"",Registered!AI2354&amp;" BG")</f>
        <v/>
      </c>
      <c r="AY2354" s="2" t="str">
        <f>IF(Registered!AG2354=0,"",Registered!AG2354&amp;" DustMask")</f>
        <v/>
      </c>
    </row>
    <row r="2355" spans="1:51" customFormat="1" x14ac:dyDescent="0.25">
      <c r="A2355" t="s">
        <v>3418</v>
      </c>
      <c r="B2355" t="s">
        <v>3419</v>
      </c>
      <c r="C2355" t="s">
        <v>6090</v>
      </c>
      <c r="G2355" t="s">
        <v>3420</v>
      </c>
      <c r="H2355" t="s">
        <v>2459</v>
      </c>
      <c r="I2355" t="s">
        <v>3421</v>
      </c>
      <c r="J2355" t="s">
        <v>37</v>
      </c>
      <c r="K2355" t="s">
        <v>32</v>
      </c>
      <c r="L2355" t="s">
        <v>35</v>
      </c>
      <c r="AQ2355">
        <v>0</v>
      </c>
      <c r="AR2355" s="3">
        <f t="shared" si="108"/>
        <v>0</v>
      </c>
      <c r="AS2355" s="3">
        <f t="shared" si="109"/>
        <v>0</v>
      </c>
      <c r="AT2355" s="3" t="str">
        <f>IF(OR(Registered!AM2355&gt;0,Registered!AO2355&gt;0),(IF(Registered!E2355=0,"Size Not Specified",Registered!E2355)),"")</f>
        <v/>
      </c>
      <c r="AU2355" s="3" t="str">
        <f>IF(Registered!AE2355=0,"",IF(Registered!AE2355=1,Registered!AE2355&amp;" Bandana",Registered!AE2355&amp;" Bandanas"))</f>
        <v/>
      </c>
      <c r="AV2355" s="3">
        <f t="shared" si="110"/>
        <v>0</v>
      </c>
      <c r="AW2355" s="2" t="str">
        <f>IF(Registered!AV2355=0,"",IF(Registered!AV2355=1,Registered!AV2355&amp;" Meal",Registered!AV2355&amp;" Meals"))</f>
        <v/>
      </c>
      <c r="AX2355" s="2" t="str">
        <f>IF(Registered!AI2355=0,"",Registered!AI2355&amp;" BG")</f>
        <v/>
      </c>
      <c r="AY2355" s="2" t="str">
        <f>IF(Registered!AG2355=0,"",Registered!AG2355&amp;" DustMask")</f>
        <v/>
      </c>
    </row>
    <row r="2356" spans="1:51" customFormat="1" x14ac:dyDescent="0.25">
      <c r="A2356" t="s">
        <v>188</v>
      </c>
      <c r="B2356" t="s">
        <v>3422</v>
      </c>
      <c r="C2356" t="s">
        <v>6090</v>
      </c>
      <c r="D2356" t="s">
        <v>5774</v>
      </c>
      <c r="F2356" t="s">
        <v>261</v>
      </c>
      <c r="I2356" t="s">
        <v>4516</v>
      </c>
      <c r="J2356" t="s">
        <v>37</v>
      </c>
      <c r="K2356" t="s">
        <v>32</v>
      </c>
      <c r="L2356" t="s">
        <v>35</v>
      </c>
      <c r="Q2356">
        <v>5</v>
      </c>
      <c r="R2356">
        <v>3</v>
      </c>
      <c r="W2356">
        <v>1</v>
      </c>
      <c r="X2356">
        <v>40</v>
      </c>
      <c r="AQ2356">
        <v>55</v>
      </c>
      <c r="AR2356" s="3">
        <f t="shared" si="108"/>
        <v>20</v>
      </c>
      <c r="AS2356" s="3">
        <f t="shared" si="109"/>
        <v>0</v>
      </c>
      <c r="AT2356" s="3" t="str">
        <f>IF(OR(Registered!AM2356&gt;0,Registered!AO2356&gt;0),(IF(Registered!E2356=0,"Size Not Specified",Registered!E2356)),"")</f>
        <v/>
      </c>
      <c r="AU2356" s="3" t="str">
        <f>IF(Registered!AE2356=0,"",IF(Registered!AE2356=1,Registered!AE2356&amp;" Bandana",Registered!AE2356&amp;" Bandanas"))</f>
        <v/>
      </c>
      <c r="AV2356" s="3">
        <f t="shared" si="110"/>
        <v>0</v>
      </c>
      <c r="AW2356" s="2" t="str">
        <f>IF(Registered!AV2356=0,"",IF(Registered!AV2356=1,Registered!AV2356&amp;" Meal",Registered!AV2356&amp;" Meals"))</f>
        <v/>
      </c>
      <c r="AX2356" s="2" t="str">
        <f>IF(Registered!AI2356=0,"",Registered!AI2356&amp;" BG")</f>
        <v/>
      </c>
      <c r="AY2356" s="2" t="str">
        <f>IF(Registered!AG2356=0,"",Registered!AG2356&amp;" DustMask")</f>
        <v/>
      </c>
    </row>
    <row r="2357" spans="1:51" customFormat="1" x14ac:dyDescent="0.25">
      <c r="A2357" t="s">
        <v>430</v>
      </c>
      <c r="B2357" t="s">
        <v>3422</v>
      </c>
      <c r="C2357" t="s">
        <v>6090</v>
      </c>
      <c r="D2357" t="s">
        <v>3423</v>
      </c>
      <c r="F2357" t="s">
        <v>261</v>
      </c>
      <c r="I2357" t="s">
        <v>3424</v>
      </c>
      <c r="J2357" t="s">
        <v>37</v>
      </c>
      <c r="K2357" t="s">
        <v>32</v>
      </c>
      <c r="L2357" t="s">
        <v>35</v>
      </c>
      <c r="Q2357">
        <v>1</v>
      </c>
      <c r="R2357">
        <v>3</v>
      </c>
      <c r="AC2357">
        <v>1</v>
      </c>
      <c r="AD2357">
        <v>10</v>
      </c>
      <c r="AQ2357">
        <v>13</v>
      </c>
      <c r="AR2357" s="3">
        <f t="shared" si="108"/>
        <v>5</v>
      </c>
      <c r="AS2357" s="3">
        <f t="shared" si="109"/>
        <v>0</v>
      </c>
      <c r="AT2357" s="3" t="str">
        <f>IF(OR(Registered!AM2357&gt;0,Registered!AO2357&gt;0),(IF(Registered!E2357=0,"Size Not Specified",Registered!E2357)),"")</f>
        <v/>
      </c>
      <c r="AU2357" s="3" t="str">
        <f>IF(Registered!AE2357=0,"",IF(Registered!AE2357=1,Registered!AE2357&amp;" Bandana",Registered!AE2357&amp;" Bandanas"))</f>
        <v/>
      </c>
      <c r="AV2357" s="3">
        <f t="shared" si="110"/>
        <v>0</v>
      </c>
      <c r="AW2357" s="2" t="str">
        <f>IF(Registered!AV2357=0,"",IF(Registered!AV2357=1,Registered!AV2357&amp;" Meal",Registered!AV2357&amp;" Meals"))</f>
        <v/>
      </c>
      <c r="AX2357" s="2" t="str">
        <f>IF(Registered!AI2357=0,"",Registered!AI2357&amp;" BG")</f>
        <v/>
      </c>
      <c r="AY2357" s="2" t="str">
        <f>IF(Registered!AG2357=0,"",Registered!AG2357&amp;" DustMask")</f>
        <v/>
      </c>
    </row>
    <row r="2358" spans="1:51" customFormat="1" x14ac:dyDescent="0.25">
      <c r="A2358" t="s">
        <v>4617</v>
      </c>
      <c r="B2358" t="s">
        <v>4864</v>
      </c>
      <c r="C2358" t="s">
        <v>6090</v>
      </c>
      <c r="D2358" t="s">
        <v>5775</v>
      </c>
      <c r="F2358" t="s">
        <v>261</v>
      </c>
      <c r="I2358" t="s">
        <v>4865</v>
      </c>
      <c r="J2358" t="s">
        <v>37</v>
      </c>
      <c r="K2358" t="s">
        <v>32</v>
      </c>
      <c r="L2358" t="s">
        <v>35</v>
      </c>
      <c r="Q2358">
        <v>2</v>
      </c>
      <c r="R2358">
        <v>3</v>
      </c>
      <c r="AC2358">
        <v>1</v>
      </c>
      <c r="AD2358">
        <v>10</v>
      </c>
      <c r="AQ2358">
        <v>16</v>
      </c>
      <c r="AR2358" s="3">
        <f t="shared" si="108"/>
        <v>5</v>
      </c>
      <c r="AS2358" s="3">
        <f t="shared" si="109"/>
        <v>0</v>
      </c>
      <c r="AT2358" s="3" t="str">
        <f>IF(OR(Registered!AM2358&gt;0,Registered!AO2358&gt;0),(IF(Registered!E2358=0,"Size Not Specified",Registered!E2358)),"")</f>
        <v/>
      </c>
      <c r="AU2358" s="3" t="str">
        <f>IF(Registered!AE2358=0,"",IF(Registered!AE2358=1,Registered!AE2358&amp;" Bandana",Registered!AE2358&amp;" Bandanas"))</f>
        <v/>
      </c>
      <c r="AV2358" s="3">
        <f t="shared" si="110"/>
        <v>0</v>
      </c>
      <c r="AW2358" s="2" t="str">
        <f>IF(Registered!AV2358=0,"",IF(Registered!AV2358=1,Registered!AV2358&amp;" Meal",Registered!AV2358&amp;" Meals"))</f>
        <v/>
      </c>
      <c r="AX2358" s="2" t="str">
        <f>IF(Registered!AI2358=0,"",Registered!AI2358&amp;" BG")</f>
        <v/>
      </c>
      <c r="AY2358" s="2" t="str">
        <f>IF(Registered!AG2358=0,"",Registered!AG2358&amp;" DustMask")</f>
        <v/>
      </c>
    </row>
    <row r="2359" spans="1:51" customFormat="1" x14ac:dyDescent="0.25">
      <c r="A2359" t="s">
        <v>140</v>
      </c>
      <c r="B2359" t="s">
        <v>1894</v>
      </c>
      <c r="C2359" t="s">
        <v>6090</v>
      </c>
      <c r="D2359" t="s">
        <v>2447</v>
      </c>
      <c r="F2359" t="s">
        <v>261</v>
      </c>
      <c r="I2359" t="s">
        <v>2448</v>
      </c>
      <c r="J2359" t="s">
        <v>37</v>
      </c>
      <c r="K2359" t="s">
        <v>32</v>
      </c>
      <c r="L2359" t="s">
        <v>35</v>
      </c>
      <c r="Q2359">
        <v>2</v>
      </c>
      <c r="R2359">
        <v>3</v>
      </c>
      <c r="U2359">
        <v>1</v>
      </c>
      <c r="V2359">
        <v>20</v>
      </c>
      <c r="AI2359">
        <v>1</v>
      </c>
      <c r="AJ2359">
        <v>10</v>
      </c>
      <c r="AQ2359">
        <v>36</v>
      </c>
      <c r="AR2359" s="3">
        <f t="shared" si="108"/>
        <v>10</v>
      </c>
      <c r="AS2359" s="3">
        <f t="shared" si="109"/>
        <v>0</v>
      </c>
      <c r="AT2359" s="3" t="str">
        <f>IF(OR(Registered!AM2359&gt;0,Registered!AO2359&gt;0),(IF(Registered!E2359=0,"Size Not Specified",Registered!E2359)),"")</f>
        <v/>
      </c>
      <c r="AU2359" s="3" t="str">
        <f>IF(Registered!AE2359=0,"",IF(Registered!AE2359=1,Registered!AE2359&amp;" Bandana",Registered!AE2359&amp;" Bandanas"))</f>
        <v/>
      </c>
      <c r="AV2359" s="3">
        <f t="shared" si="110"/>
        <v>0</v>
      </c>
      <c r="AW2359" s="2" t="str">
        <f>IF(Registered!AV2359=0,"",IF(Registered!AV2359=1,Registered!AV2359&amp;" Meal",Registered!AV2359&amp;" Meals"))</f>
        <v/>
      </c>
      <c r="AX2359" s="2" t="str">
        <f>IF(Registered!AI2359=0,"",Registered!AI2359&amp;" BG")</f>
        <v>1 BG</v>
      </c>
      <c r="AY2359" s="2" t="str">
        <f>IF(Registered!AG2359=0,"",Registered!AG2359&amp;" DustMask")</f>
        <v/>
      </c>
    </row>
    <row r="2360" spans="1:51" customFormat="1" x14ac:dyDescent="0.25">
      <c r="A2360" t="s">
        <v>407</v>
      </c>
      <c r="B2360" t="s">
        <v>2449</v>
      </c>
      <c r="C2360" t="s">
        <v>6090</v>
      </c>
      <c r="D2360" t="s">
        <v>2450</v>
      </c>
      <c r="I2360" t="s">
        <v>2451</v>
      </c>
      <c r="J2360" t="s">
        <v>37</v>
      </c>
      <c r="K2360" t="s">
        <v>32</v>
      </c>
      <c r="L2360" t="s">
        <v>35</v>
      </c>
      <c r="S2360">
        <v>1</v>
      </c>
      <c r="T2360">
        <v>3</v>
      </c>
      <c r="AA2360">
        <v>1</v>
      </c>
      <c r="AB2360">
        <v>75</v>
      </c>
      <c r="AQ2360">
        <v>78</v>
      </c>
      <c r="AR2360" s="3">
        <f t="shared" si="108"/>
        <v>40</v>
      </c>
      <c r="AS2360" s="3">
        <f t="shared" si="109"/>
        <v>0</v>
      </c>
      <c r="AT2360" s="3" t="str">
        <f>IF(OR(Registered!AM2360&gt;0,Registered!AO2360&gt;0),(IF(Registered!E2360=0,"Size Not Specified",Registered!E2360)),"")</f>
        <v/>
      </c>
      <c r="AU2360" s="3" t="str">
        <f>IF(Registered!AE2360=0,"",IF(Registered!AE2360=1,Registered!AE2360&amp;" Bandana",Registered!AE2360&amp;" Bandanas"))</f>
        <v/>
      </c>
      <c r="AV2360" s="3">
        <f t="shared" si="110"/>
        <v>0</v>
      </c>
      <c r="AW2360" s="2" t="str">
        <f>IF(Registered!AV2360=0,"",IF(Registered!AV2360=1,Registered!AV2360&amp;" Meal",Registered!AV2360&amp;" Meals"))</f>
        <v/>
      </c>
      <c r="AX2360" s="2" t="str">
        <f>IF(Registered!AI2360=0,"",Registered!AI2360&amp;" BG")</f>
        <v/>
      </c>
      <c r="AY2360" s="2" t="str">
        <f>IF(Registered!AG2360=0,"",Registered!AG2360&amp;" DustMask")</f>
        <v/>
      </c>
    </row>
    <row r="2361" spans="1:51" customFormat="1" x14ac:dyDescent="0.25">
      <c r="A2361" t="s">
        <v>316</v>
      </c>
      <c r="B2361" t="s">
        <v>5776</v>
      </c>
      <c r="C2361" t="s">
        <v>6090</v>
      </c>
      <c r="G2361" t="s">
        <v>140</v>
      </c>
      <c r="H2361" t="s">
        <v>4371</v>
      </c>
      <c r="I2361" t="s">
        <v>4373</v>
      </c>
      <c r="J2361" t="s">
        <v>37</v>
      </c>
      <c r="K2361" t="s">
        <v>32</v>
      </c>
      <c r="L2361" t="s">
        <v>35</v>
      </c>
      <c r="AQ2361">
        <v>0</v>
      </c>
      <c r="AR2361" s="3">
        <f t="shared" si="108"/>
        <v>0</v>
      </c>
      <c r="AS2361" s="3">
        <f t="shared" si="109"/>
        <v>0</v>
      </c>
      <c r="AT2361" s="3" t="str">
        <f>IF(OR(Registered!AM2361&gt;0,Registered!AO2361&gt;0),(IF(Registered!E2361=0,"Size Not Specified",Registered!E2361)),"")</f>
        <v/>
      </c>
      <c r="AU2361" s="3" t="str">
        <f>IF(Registered!AE2361=0,"",IF(Registered!AE2361=1,Registered!AE2361&amp;" Bandana",Registered!AE2361&amp;" Bandanas"))</f>
        <v/>
      </c>
      <c r="AV2361" s="3">
        <f t="shared" si="110"/>
        <v>0</v>
      </c>
      <c r="AW2361" s="2" t="str">
        <f>IF(Registered!AV2361=0,"",IF(Registered!AV2361=1,Registered!AV2361&amp;" Meal",Registered!AV2361&amp;" Meals"))</f>
        <v/>
      </c>
      <c r="AX2361" s="2" t="str">
        <f>IF(Registered!AI2361=0,"",Registered!AI2361&amp;" BG")</f>
        <v/>
      </c>
      <c r="AY2361" s="2" t="str">
        <f>IF(Registered!AG2361=0,"",Registered!AG2361&amp;" DustMask")</f>
        <v/>
      </c>
    </row>
    <row r="2362" spans="1:51" customFormat="1" x14ac:dyDescent="0.25">
      <c r="A2362" t="s">
        <v>142</v>
      </c>
      <c r="B2362" t="s">
        <v>5777</v>
      </c>
      <c r="C2362" t="s">
        <v>6090</v>
      </c>
      <c r="D2362" t="s">
        <v>5778</v>
      </c>
      <c r="F2362" t="s">
        <v>261</v>
      </c>
      <c r="I2362" t="s">
        <v>5779</v>
      </c>
      <c r="J2362" t="s">
        <v>37</v>
      </c>
      <c r="K2362" t="s">
        <v>32</v>
      </c>
      <c r="L2362" t="s">
        <v>35</v>
      </c>
      <c r="Q2362">
        <v>1</v>
      </c>
      <c r="R2362">
        <v>3</v>
      </c>
      <c r="AC2362">
        <v>1</v>
      </c>
      <c r="AD2362">
        <v>10</v>
      </c>
      <c r="AE2362">
        <v>1</v>
      </c>
      <c r="AF2362">
        <v>6</v>
      </c>
      <c r="AI2362">
        <v>1</v>
      </c>
      <c r="AJ2362">
        <v>10</v>
      </c>
      <c r="AQ2362">
        <v>29</v>
      </c>
      <c r="AR2362" s="3">
        <f t="shared" si="108"/>
        <v>5</v>
      </c>
      <c r="AS2362" s="3">
        <f t="shared" si="109"/>
        <v>0</v>
      </c>
      <c r="AT2362" s="3" t="str">
        <f>IF(OR(Registered!AM2362&gt;0,Registered!AO2362&gt;0),(IF(Registered!E2362=0,"Size Not Specified",Registered!E2362)),"")</f>
        <v/>
      </c>
      <c r="AU2362" s="3" t="str">
        <f>IF(Registered!AE2362=0,"",IF(Registered!AE2362=1,Registered!AE2362&amp;" Bandana",Registered!AE2362&amp;" Bandanas"))</f>
        <v>1 Bandana</v>
      </c>
      <c r="AV2362" s="3">
        <f t="shared" si="110"/>
        <v>0</v>
      </c>
      <c r="AW2362" s="2" t="str">
        <f>IF(Registered!AV2362=0,"",IF(Registered!AV2362=1,Registered!AV2362&amp;" Meal",Registered!AV2362&amp;" Meals"))</f>
        <v/>
      </c>
      <c r="AX2362" s="2" t="str">
        <f>IF(Registered!AI2362=0,"",Registered!AI2362&amp;" BG")</f>
        <v>1 BG</v>
      </c>
      <c r="AY2362" s="2" t="str">
        <f>IF(Registered!AG2362=0,"",Registered!AG2362&amp;" DustMask")</f>
        <v/>
      </c>
    </row>
    <row r="2363" spans="1:51" customFormat="1" x14ac:dyDescent="0.25">
      <c r="A2363" t="s">
        <v>42</v>
      </c>
      <c r="B2363" t="s">
        <v>3425</v>
      </c>
      <c r="C2363" t="s">
        <v>6090</v>
      </c>
      <c r="G2363" t="s">
        <v>3426</v>
      </c>
      <c r="H2363" t="s">
        <v>3173</v>
      </c>
      <c r="I2363" t="s">
        <v>3427</v>
      </c>
      <c r="J2363" t="s">
        <v>37</v>
      </c>
      <c r="K2363" t="s">
        <v>32</v>
      </c>
      <c r="L2363" t="s">
        <v>35</v>
      </c>
      <c r="AQ2363">
        <v>0</v>
      </c>
      <c r="AR2363" s="3">
        <f t="shared" si="108"/>
        <v>0</v>
      </c>
      <c r="AS2363" s="3">
        <f t="shared" si="109"/>
        <v>0</v>
      </c>
      <c r="AT2363" s="3" t="str">
        <f>IF(OR(Registered!AM2363&gt;0,Registered!AO2363&gt;0),(IF(Registered!E2363=0,"Size Not Specified",Registered!E2363)),"")</f>
        <v/>
      </c>
      <c r="AU2363" s="3" t="str">
        <f>IF(Registered!AE2363=0,"",IF(Registered!AE2363=1,Registered!AE2363&amp;" Bandana",Registered!AE2363&amp;" Bandanas"))</f>
        <v/>
      </c>
      <c r="AV2363" s="3">
        <f t="shared" si="110"/>
        <v>0</v>
      </c>
      <c r="AW2363" s="2" t="str">
        <f>IF(Registered!AV2363=0,"",IF(Registered!AV2363=1,Registered!AV2363&amp;" Meal",Registered!AV2363&amp;" Meals"))</f>
        <v/>
      </c>
      <c r="AX2363" s="2" t="str">
        <f>IF(Registered!AI2363=0,"",Registered!AI2363&amp;" BG")</f>
        <v/>
      </c>
      <c r="AY2363" s="2" t="str">
        <f>IF(Registered!AG2363=0,"",Registered!AG2363&amp;" DustMask")</f>
        <v/>
      </c>
    </row>
    <row r="2364" spans="1:51" customFormat="1" x14ac:dyDescent="0.25">
      <c r="A2364" t="s">
        <v>4787</v>
      </c>
      <c r="B2364" t="s">
        <v>4788</v>
      </c>
      <c r="C2364" t="s">
        <v>6090</v>
      </c>
      <c r="D2364" t="s">
        <v>4790</v>
      </c>
      <c r="F2364" t="s">
        <v>261</v>
      </c>
      <c r="I2364" t="s">
        <v>4789</v>
      </c>
      <c r="J2364" t="s">
        <v>37</v>
      </c>
      <c r="K2364" t="s">
        <v>32</v>
      </c>
      <c r="L2364" t="s">
        <v>35</v>
      </c>
      <c r="Q2364">
        <v>2</v>
      </c>
      <c r="R2364">
        <v>3</v>
      </c>
      <c r="AC2364">
        <v>1</v>
      </c>
      <c r="AD2364">
        <v>10</v>
      </c>
      <c r="AQ2364">
        <v>16</v>
      </c>
      <c r="AR2364" s="3">
        <f t="shared" si="108"/>
        <v>5</v>
      </c>
      <c r="AS2364" s="3">
        <f t="shared" si="109"/>
        <v>0</v>
      </c>
      <c r="AT2364" s="3" t="str">
        <f>IF(OR(Registered!AM2364&gt;0,Registered!AO2364&gt;0),(IF(Registered!E2364=0,"Size Not Specified",Registered!E2364)),"")</f>
        <v/>
      </c>
      <c r="AU2364" s="3" t="str">
        <f>IF(Registered!AE2364=0,"",IF(Registered!AE2364=1,Registered!AE2364&amp;" Bandana",Registered!AE2364&amp;" Bandanas"))</f>
        <v/>
      </c>
      <c r="AV2364" s="3">
        <f t="shared" si="110"/>
        <v>0</v>
      </c>
      <c r="AW2364" s="2" t="str">
        <f>IF(Registered!AV2364=0,"",IF(Registered!AV2364=1,Registered!AV2364&amp;" Meal",Registered!AV2364&amp;" Meals"))</f>
        <v/>
      </c>
      <c r="AX2364" s="2" t="str">
        <f>IF(Registered!AI2364=0,"",Registered!AI2364&amp;" BG")</f>
        <v/>
      </c>
      <c r="AY2364" s="2" t="str">
        <f>IF(Registered!AG2364=0,"",Registered!AG2364&amp;" DustMask")</f>
        <v/>
      </c>
    </row>
    <row r="2365" spans="1:51" customFormat="1" x14ac:dyDescent="0.25">
      <c r="A2365" t="s">
        <v>2452</v>
      </c>
      <c r="B2365" t="s">
        <v>495</v>
      </c>
      <c r="C2365" t="s">
        <v>6090</v>
      </c>
      <c r="G2365" t="s">
        <v>1265</v>
      </c>
      <c r="H2365" t="s">
        <v>1262</v>
      </c>
      <c r="I2365" t="s">
        <v>1267</v>
      </c>
      <c r="J2365" t="s">
        <v>37</v>
      </c>
      <c r="K2365" t="s">
        <v>32</v>
      </c>
      <c r="L2365" t="s">
        <v>35</v>
      </c>
      <c r="AQ2365">
        <v>0</v>
      </c>
      <c r="AR2365" s="3">
        <f t="shared" si="108"/>
        <v>0</v>
      </c>
      <c r="AS2365" s="3">
        <f t="shared" si="109"/>
        <v>0</v>
      </c>
      <c r="AT2365" s="3" t="str">
        <f>IF(OR(Registered!AM2365&gt;0,Registered!AO2365&gt;0),(IF(Registered!E2365=0,"Size Not Specified",Registered!E2365)),"")</f>
        <v/>
      </c>
      <c r="AU2365" s="3" t="str">
        <f>IF(Registered!AE2365=0,"",IF(Registered!AE2365=1,Registered!AE2365&amp;" Bandana",Registered!AE2365&amp;" Bandanas"))</f>
        <v/>
      </c>
      <c r="AV2365" s="3">
        <f t="shared" si="110"/>
        <v>0</v>
      </c>
      <c r="AW2365" s="2" t="str">
        <f>IF(Registered!AV2365=0,"",IF(Registered!AV2365=1,Registered!AV2365&amp;" Meal",Registered!AV2365&amp;" Meals"))</f>
        <v/>
      </c>
      <c r="AX2365" s="2" t="str">
        <f>IF(Registered!AI2365=0,"",Registered!AI2365&amp;" BG")</f>
        <v/>
      </c>
      <c r="AY2365" s="2" t="str">
        <f>IF(Registered!AG2365=0,"",Registered!AG2365&amp;" DustMask")</f>
        <v/>
      </c>
    </row>
    <row r="2366" spans="1:51" customFormat="1" x14ac:dyDescent="0.25">
      <c r="A2366" t="s">
        <v>200</v>
      </c>
      <c r="B2366" t="s">
        <v>290</v>
      </c>
      <c r="C2366" t="s">
        <v>6090</v>
      </c>
      <c r="D2366" t="s">
        <v>2453</v>
      </c>
      <c r="I2366" t="s">
        <v>2454</v>
      </c>
      <c r="J2366" t="s">
        <v>37</v>
      </c>
      <c r="K2366" t="s">
        <v>32</v>
      </c>
      <c r="L2366" t="s">
        <v>35</v>
      </c>
      <c r="O2366">
        <v>1</v>
      </c>
      <c r="P2366">
        <v>3</v>
      </c>
      <c r="AC2366">
        <v>1</v>
      </c>
      <c r="AD2366">
        <v>10</v>
      </c>
      <c r="AK2366">
        <v>1</v>
      </c>
      <c r="AL2366">
        <v>6</v>
      </c>
      <c r="AQ2366">
        <v>19</v>
      </c>
      <c r="AR2366" s="3">
        <f t="shared" si="108"/>
        <v>5</v>
      </c>
      <c r="AS2366" s="3">
        <f t="shared" si="109"/>
        <v>0</v>
      </c>
      <c r="AT2366" s="3" t="str">
        <f>IF(OR(Registered!AM2366&gt;0,Registered!AO2366&gt;0),(IF(Registered!E2366=0,"Size Not Specified",Registered!E2366)),"")</f>
        <v/>
      </c>
      <c r="AU2366" s="3" t="str">
        <f>IF(Registered!AE2366=0,"",IF(Registered!AE2366=1,Registered!AE2366&amp;" Bandana",Registered!AE2366&amp;" Bandanas"))</f>
        <v/>
      </c>
      <c r="AV2366" s="3">
        <f t="shared" si="110"/>
        <v>1</v>
      </c>
      <c r="AW2366" s="2" t="str">
        <f>IF(Registered!AV2366=0,"",IF(Registered!AV2366=1,Registered!AV2366&amp;" Meal",Registered!AV2366&amp;" Meals"))</f>
        <v>1 Meal</v>
      </c>
      <c r="AX2366" s="2" t="str">
        <f>IF(Registered!AI2366=0,"",Registered!AI2366&amp;" BG")</f>
        <v/>
      </c>
      <c r="AY2366" s="2" t="str">
        <f>IF(Registered!AG2366=0,"",Registered!AG2366&amp;" DustMask")</f>
        <v/>
      </c>
    </row>
    <row r="2367" spans="1:51" customFormat="1" x14ac:dyDescent="0.25">
      <c r="A2367" t="s">
        <v>47</v>
      </c>
      <c r="B2367" t="s">
        <v>290</v>
      </c>
      <c r="C2367" t="s">
        <v>6090</v>
      </c>
      <c r="G2367" t="s">
        <v>465</v>
      </c>
      <c r="H2367" t="s">
        <v>1623</v>
      </c>
      <c r="I2367" t="s">
        <v>1624</v>
      </c>
      <c r="J2367" t="s">
        <v>37</v>
      </c>
      <c r="K2367" t="s">
        <v>32</v>
      </c>
      <c r="L2367" t="s">
        <v>35</v>
      </c>
      <c r="AQ2367">
        <v>0</v>
      </c>
      <c r="AR2367" s="3">
        <f t="shared" si="108"/>
        <v>0</v>
      </c>
      <c r="AS2367" s="3">
        <f t="shared" si="109"/>
        <v>0</v>
      </c>
      <c r="AT2367" s="3" t="str">
        <f>IF(OR(Registered!AM2367&gt;0,Registered!AO2367&gt;0),(IF(Registered!E2367=0,"Size Not Specified",Registered!E2367)),"")</f>
        <v/>
      </c>
      <c r="AU2367" s="3" t="str">
        <f>IF(Registered!AE2367=0,"",IF(Registered!AE2367=1,Registered!AE2367&amp;" Bandana",Registered!AE2367&amp;" Bandanas"))</f>
        <v/>
      </c>
      <c r="AV2367" s="3">
        <f t="shared" si="110"/>
        <v>0</v>
      </c>
      <c r="AW2367" s="2" t="str">
        <f>IF(Registered!AV2367=0,"",IF(Registered!AV2367=1,Registered!AV2367&amp;" Meal",Registered!AV2367&amp;" Meals"))</f>
        <v/>
      </c>
      <c r="AX2367" s="2" t="str">
        <f>IF(Registered!AI2367=0,"",Registered!AI2367&amp;" BG")</f>
        <v/>
      </c>
      <c r="AY2367" s="2" t="str">
        <f>IF(Registered!AG2367=0,"",Registered!AG2367&amp;" DustMask")</f>
        <v/>
      </c>
    </row>
    <row r="2368" spans="1:51" customFormat="1" x14ac:dyDescent="0.25">
      <c r="A2368" t="s">
        <v>4584</v>
      </c>
      <c r="B2368" t="s">
        <v>4585</v>
      </c>
      <c r="C2368" t="s">
        <v>6090</v>
      </c>
      <c r="D2368" t="s">
        <v>57</v>
      </c>
      <c r="F2368" t="s">
        <v>261</v>
      </c>
      <c r="I2368" t="s">
        <v>4586</v>
      </c>
      <c r="J2368" t="s">
        <v>37</v>
      </c>
      <c r="K2368" t="s">
        <v>32</v>
      </c>
      <c r="L2368" t="s">
        <v>35</v>
      </c>
      <c r="Q2368">
        <v>4</v>
      </c>
      <c r="R2368">
        <v>3</v>
      </c>
      <c r="AA2368">
        <v>1</v>
      </c>
      <c r="AB2368">
        <v>75</v>
      </c>
      <c r="AQ2368">
        <v>87</v>
      </c>
      <c r="AR2368" s="3">
        <f t="shared" si="108"/>
        <v>40</v>
      </c>
      <c r="AS2368" s="3">
        <f t="shared" si="109"/>
        <v>0</v>
      </c>
      <c r="AT2368" s="3" t="str">
        <f>IF(OR(Registered!AM2368&gt;0,Registered!AO2368&gt;0),(IF(Registered!E2368=0,"Size Not Specified",Registered!E2368)),"")</f>
        <v/>
      </c>
      <c r="AU2368" s="3" t="str">
        <f>IF(Registered!AE2368=0,"",IF(Registered!AE2368=1,Registered!AE2368&amp;" Bandana",Registered!AE2368&amp;" Bandanas"))</f>
        <v/>
      </c>
      <c r="AV2368" s="3">
        <f t="shared" si="110"/>
        <v>0</v>
      </c>
      <c r="AW2368" s="2" t="str">
        <f>IF(Registered!AV2368=0,"",IF(Registered!AV2368=1,Registered!AV2368&amp;" Meal",Registered!AV2368&amp;" Meals"))</f>
        <v/>
      </c>
      <c r="AX2368" s="2" t="str">
        <f>IF(Registered!AI2368=0,"",Registered!AI2368&amp;" BG")</f>
        <v/>
      </c>
      <c r="AY2368" s="2" t="str">
        <f>IF(Registered!AG2368=0,"",Registered!AG2368&amp;" DustMask")</f>
        <v/>
      </c>
    </row>
    <row r="2369" spans="1:51" customFormat="1" x14ac:dyDescent="0.25">
      <c r="A2369" t="s">
        <v>140</v>
      </c>
      <c r="B2369" t="s">
        <v>2455</v>
      </c>
      <c r="C2369" t="s">
        <v>6090</v>
      </c>
      <c r="D2369" t="s">
        <v>2456</v>
      </c>
      <c r="F2369" t="s">
        <v>261</v>
      </c>
      <c r="I2369" t="s">
        <v>2457</v>
      </c>
      <c r="J2369" t="s">
        <v>37</v>
      </c>
      <c r="K2369" t="s">
        <v>32</v>
      </c>
      <c r="L2369" t="s">
        <v>35</v>
      </c>
      <c r="S2369">
        <v>1</v>
      </c>
      <c r="T2369">
        <v>3</v>
      </c>
      <c r="AC2369">
        <v>1</v>
      </c>
      <c r="AD2369">
        <v>10</v>
      </c>
      <c r="AQ2369">
        <v>13</v>
      </c>
      <c r="AR2369" s="3">
        <f t="shared" si="108"/>
        <v>5</v>
      </c>
      <c r="AS2369" s="3">
        <f t="shared" si="109"/>
        <v>0</v>
      </c>
      <c r="AT2369" s="3" t="str">
        <f>IF(OR(Registered!AM2369&gt;0,Registered!AO2369&gt;0),(IF(Registered!E2369=0,"Size Not Specified",Registered!E2369)),"")</f>
        <v/>
      </c>
      <c r="AU2369" s="3" t="str">
        <f>IF(Registered!AE2369=0,"",IF(Registered!AE2369=1,Registered!AE2369&amp;" Bandana",Registered!AE2369&amp;" Bandanas"))</f>
        <v/>
      </c>
      <c r="AV2369" s="3">
        <f t="shared" si="110"/>
        <v>0</v>
      </c>
      <c r="AW2369" s="2" t="str">
        <f>IF(Registered!AV2369=0,"",IF(Registered!AV2369=1,Registered!AV2369&amp;" Meal",Registered!AV2369&amp;" Meals"))</f>
        <v/>
      </c>
      <c r="AX2369" s="2" t="str">
        <f>IF(Registered!AI2369=0,"",Registered!AI2369&amp;" BG")</f>
        <v/>
      </c>
      <c r="AY2369" s="2" t="str">
        <f>IF(Registered!AG2369=0,"",Registered!AG2369&amp;" DustMask")</f>
        <v/>
      </c>
    </row>
    <row r="2370" spans="1:51" customFormat="1" x14ac:dyDescent="0.25">
      <c r="A2370" t="s">
        <v>249</v>
      </c>
      <c r="B2370" t="s">
        <v>2458</v>
      </c>
      <c r="C2370" t="s">
        <v>6090</v>
      </c>
      <c r="D2370" t="s">
        <v>249</v>
      </c>
      <c r="E2370" t="s">
        <v>232</v>
      </c>
      <c r="F2370" t="s">
        <v>261</v>
      </c>
      <c r="I2370" t="s">
        <v>3428</v>
      </c>
      <c r="J2370" t="s">
        <v>37</v>
      </c>
      <c r="K2370" t="s">
        <v>32</v>
      </c>
      <c r="L2370" t="s">
        <v>35</v>
      </c>
      <c r="S2370">
        <v>1</v>
      </c>
      <c r="T2370">
        <v>3</v>
      </c>
      <c r="AM2370">
        <v>1</v>
      </c>
      <c r="AN2370">
        <v>25</v>
      </c>
      <c r="AQ2370">
        <v>28</v>
      </c>
      <c r="AR2370" s="3">
        <f t="shared" ref="AR2370:AR2433" si="111">IF(ISTEXT(AM2370)=TRUE,"",SUM(U2370*10,W2370*20,Y2370*30,AA2370*40,AC2370*5,AM2370*5))</f>
        <v>5</v>
      </c>
      <c r="AS2370" s="3">
        <f t="shared" ref="AS2370:AS2433" si="112">IF(ISTEXT(AM2370)=TRUE,"",SUM(AM2370,AO2370))</f>
        <v>1</v>
      </c>
      <c r="AT2370" s="3" t="str">
        <f>IF(OR(Registered!AM2370&gt;0,Registered!AO2370&gt;0),(IF(Registered!E2370=0,"Size Not Specified",Registered!E2370)),"")</f>
        <v>M</v>
      </c>
      <c r="AU2370" s="3" t="str">
        <f>IF(Registered!AE2370=0,"",IF(Registered!AE2370=1,Registered!AE2370&amp;" Bandana",Registered!AE2370&amp;" Bandanas"))</f>
        <v/>
      </c>
      <c r="AV2370" s="3">
        <f t="shared" ref="AV2370:AV2433" si="113">IF(ISTEXT(AM2370)=TRUE,"",SUM(AM2370,AK2370))</f>
        <v>1</v>
      </c>
      <c r="AW2370" s="2" t="str">
        <f>IF(Registered!AV2370=0,"",IF(Registered!AV2370=1,Registered!AV2370&amp;" Meal",Registered!AV2370&amp;" Meals"))</f>
        <v>1 Meal</v>
      </c>
      <c r="AX2370" s="2" t="str">
        <f>IF(Registered!AI2370=0,"",Registered!AI2370&amp;" BG")</f>
        <v/>
      </c>
      <c r="AY2370" s="2" t="str">
        <f>IF(Registered!AG2370=0,"",Registered!AG2370&amp;" DustMask")</f>
        <v/>
      </c>
    </row>
    <row r="2371" spans="1:51" customFormat="1" x14ac:dyDescent="0.25">
      <c r="A2371" t="s">
        <v>3420</v>
      </c>
      <c r="B2371" t="s">
        <v>2459</v>
      </c>
      <c r="C2371" t="s">
        <v>6090</v>
      </c>
      <c r="D2371" t="s">
        <v>57</v>
      </c>
      <c r="F2371" t="s">
        <v>261</v>
      </c>
      <c r="I2371" t="s">
        <v>3421</v>
      </c>
      <c r="J2371" t="s">
        <v>37</v>
      </c>
      <c r="K2371" t="s">
        <v>32</v>
      </c>
      <c r="L2371" t="s">
        <v>35</v>
      </c>
      <c r="Q2371">
        <v>2</v>
      </c>
      <c r="R2371">
        <v>3</v>
      </c>
      <c r="U2371">
        <v>1</v>
      </c>
      <c r="V2371">
        <v>20</v>
      </c>
      <c r="AQ2371">
        <v>26</v>
      </c>
      <c r="AR2371" s="3">
        <f t="shared" si="111"/>
        <v>10</v>
      </c>
      <c r="AS2371" s="3">
        <f t="shared" si="112"/>
        <v>0</v>
      </c>
      <c r="AT2371" s="3" t="str">
        <f>IF(OR(Registered!AM2371&gt;0,Registered!AO2371&gt;0),(IF(Registered!E2371=0,"Size Not Specified",Registered!E2371)),"")</f>
        <v/>
      </c>
      <c r="AU2371" s="3" t="str">
        <f>IF(Registered!AE2371=0,"",IF(Registered!AE2371=1,Registered!AE2371&amp;" Bandana",Registered!AE2371&amp;" Bandanas"))</f>
        <v/>
      </c>
      <c r="AV2371" s="3">
        <f t="shared" si="113"/>
        <v>0</v>
      </c>
      <c r="AW2371" s="2" t="str">
        <f>IF(Registered!AV2371=0,"",IF(Registered!AV2371=1,Registered!AV2371&amp;" Meal",Registered!AV2371&amp;" Meals"))</f>
        <v/>
      </c>
      <c r="AX2371" s="2" t="str">
        <f>IF(Registered!AI2371=0,"",Registered!AI2371&amp;" BG")</f>
        <v/>
      </c>
      <c r="AY2371" s="2" t="str">
        <f>IF(Registered!AG2371=0,"",Registered!AG2371&amp;" DustMask")</f>
        <v/>
      </c>
    </row>
    <row r="2372" spans="1:51" customFormat="1" x14ac:dyDescent="0.25">
      <c r="A2372" t="s">
        <v>220</v>
      </c>
      <c r="B2372" t="s">
        <v>2459</v>
      </c>
      <c r="C2372" t="s">
        <v>6090</v>
      </c>
      <c r="D2372" t="s">
        <v>2460</v>
      </c>
      <c r="I2372" t="s">
        <v>2461</v>
      </c>
      <c r="J2372" t="s">
        <v>37</v>
      </c>
      <c r="K2372" t="s">
        <v>32</v>
      </c>
      <c r="L2372" t="s">
        <v>35</v>
      </c>
      <c r="O2372">
        <v>2</v>
      </c>
      <c r="P2372">
        <v>3</v>
      </c>
      <c r="AC2372">
        <v>1</v>
      </c>
      <c r="AD2372">
        <v>10</v>
      </c>
      <c r="AM2372">
        <v>1</v>
      </c>
      <c r="AN2372">
        <v>25</v>
      </c>
      <c r="AQ2372">
        <v>41</v>
      </c>
      <c r="AR2372" s="3">
        <f t="shared" si="111"/>
        <v>10</v>
      </c>
      <c r="AS2372" s="3">
        <f t="shared" si="112"/>
        <v>1</v>
      </c>
      <c r="AT2372" s="3" t="str">
        <f>IF(OR(Registered!AM2372&gt;0,Registered!AO2372&gt;0),(IF(Registered!E2372=0,"Size Not Specified",Registered!E2372)),"")</f>
        <v>Size Not Specified</v>
      </c>
      <c r="AU2372" s="3" t="str">
        <f>IF(Registered!AE2372=0,"",IF(Registered!AE2372=1,Registered!AE2372&amp;" Bandana",Registered!AE2372&amp;" Bandanas"))</f>
        <v/>
      </c>
      <c r="AV2372" s="3">
        <f t="shared" si="113"/>
        <v>1</v>
      </c>
      <c r="AW2372" s="2" t="str">
        <f>IF(Registered!AV2372=0,"",IF(Registered!AV2372=1,Registered!AV2372&amp;" Meal",Registered!AV2372&amp;" Meals"))</f>
        <v>1 Meal</v>
      </c>
      <c r="AX2372" s="2" t="str">
        <f>IF(Registered!AI2372=0,"",Registered!AI2372&amp;" BG")</f>
        <v/>
      </c>
      <c r="AY2372" s="2" t="str">
        <f>IF(Registered!AG2372=0,"",Registered!AG2372&amp;" DustMask")</f>
        <v/>
      </c>
    </row>
    <row r="2373" spans="1:51" customFormat="1" x14ac:dyDescent="0.25">
      <c r="A2373" t="s">
        <v>153</v>
      </c>
      <c r="B2373" t="s">
        <v>5281</v>
      </c>
      <c r="C2373" t="s">
        <v>6090</v>
      </c>
      <c r="D2373" t="s">
        <v>5780</v>
      </c>
      <c r="I2373" t="s">
        <v>5282</v>
      </c>
      <c r="J2373" t="s">
        <v>37</v>
      </c>
      <c r="K2373" t="s">
        <v>32</v>
      </c>
      <c r="L2373" t="s">
        <v>35</v>
      </c>
      <c r="Q2373">
        <v>4</v>
      </c>
      <c r="R2373">
        <v>3</v>
      </c>
      <c r="AC2373">
        <v>2</v>
      </c>
      <c r="AD2373">
        <v>10</v>
      </c>
      <c r="AQ2373">
        <v>32</v>
      </c>
      <c r="AR2373" s="3">
        <f t="shared" si="111"/>
        <v>10</v>
      </c>
      <c r="AS2373" s="3">
        <f t="shared" si="112"/>
        <v>0</v>
      </c>
      <c r="AT2373" s="3" t="str">
        <f>IF(OR(Registered!AM2373&gt;0,Registered!AO2373&gt;0),(IF(Registered!E2373=0,"Size Not Specified",Registered!E2373)),"")</f>
        <v/>
      </c>
      <c r="AU2373" s="3" t="str">
        <f>IF(Registered!AE2373=0,"",IF(Registered!AE2373=1,Registered!AE2373&amp;" Bandana",Registered!AE2373&amp;" Bandanas"))</f>
        <v/>
      </c>
      <c r="AV2373" s="3">
        <f t="shared" si="113"/>
        <v>0</v>
      </c>
      <c r="AW2373" s="2" t="str">
        <f>IF(Registered!AV2373=0,"",IF(Registered!AV2373=1,Registered!AV2373&amp;" Meal",Registered!AV2373&amp;" Meals"))</f>
        <v/>
      </c>
      <c r="AX2373" s="2" t="str">
        <f>IF(Registered!AI2373=0,"",Registered!AI2373&amp;" BG")</f>
        <v/>
      </c>
      <c r="AY2373" s="2" t="str">
        <f>IF(Registered!AG2373=0,"",Registered!AG2373&amp;" DustMask")</f>
        <v/>
      </c>
    </row>
    <row r="2374" spans="1:51" customFormat="1" x14ac:dyDescent="0.25">
      <c r="A2374" t="s">
        <v>384</v>
      </c>
      <c r="B2374" t="s">
        <v>5281</v>
      </c>
      <c r="C2374" t="s">
        <v>6090</v>
      </c>
      <c r="G2374" t="s">
        <v>153</v>
      </c>
      <c r="H2374" t="s">
        <v>5281</v>
      </c>
      <c r="I2374" t="s">
        <v>5282</v>
      </c>
      <c r="J2374" t="s">
        <v>37</v>
      </c>
      <c r="K2374" t="s">
        <v>32</v>
      </c>
      <c r="L2374" t="s">
        <v>35</v>
      </c>
      <c r="AQ2374">
        <v>0</v>
      </c>
      <c r="AR2374" s="3">
        <f t="shared" si="111"/>
        <v>0</v>
      </c>
      <c r="AS2374" s="3">
        <f t="shared" si="112"/>
        <v>0</v>
      </c>
      <c r="AT2374" s="3" t="str">
        <f>IF(OR(Registered!AM2374&gt;0,Registered!AO2374&gt;0),(IF(Registered!E2374=0,"Size Not Specified",Registered!E2374)),"")</f>
        <v/>
      </c>
      <c r="AU2374" s="3" t="str">
        <f>IF(Registered!AE2374=0,"",IF(Registered!AE2374=1,Registered!AE2374&amp;" Bandana",Registered!AE2374&amp;" Bandanas"))</f>
        <v/>
      </c>
      <c r="AV2374" s="3">
        <f t="shared" si="113"/>
        <v>0</v>
      </c>
      <c r="AW2374" s="2" t="str">
        <f>IF(Registered!AV2374=0,"",IF(Registered!AV2374=1,Registered!AV2374&amp;" Meal",Registered!AV2374&amp;" Meals"))</f>
        <v/>
      </c>
      <c r="AX2374" s="2" t="str">
        <f>IF(Registered!AI2374=0,"",Registered!AI2374&amp;" BG")</f>
        <v/>
      </c>
      <c r="AY2374" s="2" t="str">
        <f>IF(Registered!AG2374=0,"",Registered!AG2374&amp;" DustMask")</f>
        <v/>
      </c>
    </row>
    <row r="2375" spans="1:51" customFormat="1" x14ac:dyDescent="0.25">
      <c r="A2375" t="s">
        <v>502</v>
      </c>
      <c r="B2375" t="s">
        <v>2462</v>
      </c>
      <c r="C2375" t="s">
        <v>6090</v>
      </c>
      <c r="D2375" t="s">
        <v>502</v>
      </c>
      <c r="E2375" t="s">
        <v>2463</v>
      </c>
      <c r="I2375" t="s">
        <v>2464</v>
      </c>
      <c r="J2375" t="s">
        <v>37</v>
      </c>
      <c r="K2375" t="s">
        <v>32</v>
      </c>
      <c r="L2375" t="s">
        <v>35</v>
      </c>
      <c r="O2375">
        <v>2</v>
      </c>
      <c r="P2375">
        <v>3</v>
      </c>
      <c r="U2375">
        <v>2</v>
      </c>
      <c r="V2375">
        <v>20</v>
      </c>
      <c r="AE2375">
        <v>1</v>
      </c>
      <c r="AF2375">
        <v>6</v>
      </c>
      <c r="AO2375">
        <v>2</v>
      </c>
      <c r="AP2375">
        <v>10</v>
      </c>
      <c r="AQ2375">
        <v>72</v>
      </c>
      <c r="AR2375" s="3">
        <f t="shared" si="111"/>
        <v>20</v>
      </c>
      <c r="AS2375" s="3">
        <f t="shared" si="112"/>
        <v>2</v>
      </c>
      <c r="AT2375" s="3" t="str">
        <f>IF(OR(Registered!AM2375&gt;0,Registered!AO2375&gt;0),(IF(Registered!E2375=0,"Size Not Specified",Registered!E2375)),"")</f>
        <v>(2) Large</v>
      </c>
      <c r="AU2375" s="3" t="str">
        <f>IF(Registered!AE2375=0,"",IF(Registered!AE2375=1,Registered!AE2375&amp;" Bandana",Registered!AE2375&amp;" Bandanas"))</f>
        <v>1 Bandana</v>
      </c>
      <c r="AV2375" s="3">
        <f t="shared" si="113"/>
        <v>0</v>
      </c>
      <c r="AW2375" s="2" t="str">
        <f>IF(Registered!AV2375=0,"",IF(Registered!AV2375=1,Registered!AV2375&amp;" Meal",Registered!AV2375&amp;" Meals"))</f>
        <v/>
      </c>
      <c r="AX2375" s="2" t="str">
        <f>IF(Registered!AI2375=0,"",Registered!AI2375&amp;" BG")</f>
        <v/>
      </c>
      <c r="AY2375" s="2" t="str">
        <f>IF(Registered!AG2375=0,"",Registered!AG2375&amp;" DustMask")</f>
        <v/>
      </c>
    </row>
    <row r="2376" spans="1:51" customFormat="1" x14ac:dyDescent="0.25">
      <c r="A2376" t="s">
        <v>60</v>
      </c>
      <c r="B2376" t="s">
        <v>5428</v>
      </c>
      <c r="C2376" t="s">
        <v>6090</v>
      </c>
      <c r="D2376" t="s">
        <v>5781</v>
      </c>
      <c r="E2376" t="s">
        <v>5782</v>
      </c>
      <c r="F2376" t="s">
        <v>261</v>
      </c>
      <c r="I2376" t="s">
        <v>5429</v>
      </c>
      <c r="J2376" t="s">
        <v>37</v>
      </c>
      <c r="K2376" t="s">
        <v>32</v>
      </c>
      <c r="L2376" t="s">
        <v>35</v>
      </c>
      <c r="Q2376">
        <v>2</v>
      </c>
      <c r="R2376">
        <v>3</v>
      </c>
      <c r="AG2376">
        <v>2</v>
      </c>
      <c r="AH2376">
        <v>1</v>
      </c>
      <c r="AM2376">
        <v>2</v>
      </c>
      <c r="AN2376">
        <v>25</v>
      </c>
      <c r="AQ2376">
        <v>58</v>
      </c>
      <c r="AR2376" s="3">
        <f t="shared" si="111"/>
        <v>10</v>
      </c>
      <c r="AS2376" s="3">
        <f t="shared" si="112"/>
        <v>2</v>
      </c>
      <c r="AT2376" s="3" t="str">
        <f>IF(OR(Registered!AM2376&gt;0,Registered!AO2376&gt;0),(IF(Registered!E2376=0,"Size Not Specified",Registered!E2376)),"")</f>
        <v>2-medium</v>
      </c>
      <c r="AU2376" s="3" t="str">
        <f>IF(Registered!AE2376=0,"",IF(Registered!AE2376=1,Registered!AE2376&amp;" Bandana",Registered!AE2376&amp;" Bandanas"))</f>
        <v/>
      </c>
      <c r="AV2376" s="3">
        <f t="shared" si="113"/>
        <v>2</v>
      </c>
      <c r="AW2376" s="2" t="str">
        <f>IF(Registered!AV2376=0,"",IF(Registered!AV2376=1,Registered!AV2376&amp;" Meal",Registered!AV2376&amp;" Meals"))</f>
        <v>2 Meals</v>
      </c>
      <c r="AX2376" s="2" t="str">
        <f>IF(Registered!AI2376=0,"",Registered!AI2376&amp;" BG")</f>
        <v/>
      </c>
      <c r="AY2376" s="2" t="str">
        <f>IF(Registered!AG2376=0,"",Registered!AG2376&amp;" DustMask")</f>
        <v>2 DustMask</v>
      </c>
    </row>
    <row r="2377" spans="1:51" customFormat="1" x14ac:dyDescent="0.25">
      <c r="A2377" t="s">
        <v>5783</v>
      </c>
      <c r="B2377" t="s">
        <v>5209</v>
      </c>
      <c r="C2377" t="s">
        <v>6090</v>
      </c>
      <c r="G2377" t="s">
        <v>255</v>
      </c>
      <c r="H2377" t="s">
        <v>5209</v>
      </c>
      <c r="I2377" t="s">
        <v>5210</v>
      </c>
      <c r="J2377" t="s">
        <v>37</v>
      </c>
      <c r="K2377" t="s">
        <v>32</v>
      </c>
      <c r="L2377" t="s">
        <v>35</v>
      </c>
      <c r="AQ2377">
        <v>0</v>
      </c>
      <c r="AR2377" s="3">
        <f t="shared" si="111"/>
        <v>0</v>
      </c>
      <c r="AS2377" s="3">
        <f t="shared" si="112"/>
        <v>0</v>
      </c>
      <c r="AT2377" s="3" t="str">
        <f>IF(OR(Registered!AM2377&gt;0,Registered!AO2377&gt;0),(IF(Registered!E2377=0,"Size Not Specified",Registered!E2377)),"")</f>
        <v/>
      </c>
      <c r="AU2377" s="3" t="str">
        <f>IF(Registered!AE2377=0,"",IF(Registered!AE2377=1,Registered!AE2377&amp;" Bandana",Registered!AE2377&amp;" Bandanas"))</f>
        <v/>
      </c>
      <c r="AV2377" s="3">
        <f t="shared" si="113"/>
        <v>0</v>
      </c>
      <c r="AW2377" s="2" t="str">
        <f>IF(Registered!AV2377=0,"",IF(Registered!AV2377=1,Registered!AV2377&amp;" Meal",Registered!AV2377&amp;" Meals"))</f>
        <v/>
      </c>
      <c r="AX2377" s="2" t="str">
        <f>IF(Registered!AI2377=0,"",Registered!AI2377&amp;" BG")</f>
        <v/>
      </c>
      <c r="AY2377" s="2" t="str">
        <f>IF(Registered!AG2377=0,"",Registered!AG2377&amp;" DustMask")</f>
        <v/>
      </c>
    </row>
    <row r="2378" spans="1:51" customFormat="1" x14ac:dyDescent="0.25">
      <c r="A2378" t="s">
        <v>255</v>
      </c>
      <c r="B2378" t="s">
        <v>5209</v>
      </c>
      <c r="C2378" t="s">
        <v>6090</v>
      </c>
      <c r="D2378" t="s">
        <v>5784</v>
      </c>
      <c r="F2378" t="s">
        <v>261</v>
      </c>
      <c r="I2378" t="s">
        <v>5210</v>
      </c>
      <c r="J2378" t="s">
        <v>37</v>
      </c>
      <c r="K2378" t="s">
        <v>32</v>
      </c>
      <c r="L2378" t="s">
        <v>35</v>
      </c>
      <c r="Q2378">
        <v>3</v>
      </c>
      <c r="R2378">
        <v>3</v>
      </c>
      <c r="U2378">
        <v>1</v>
      </c>
      <c r="V2378">
        <v>20</v>
      </c>
      <c r="AQ2378">
        <v>29</v>
      </c>
      <c r="AR2378" s="3">
        <f t="shared" si="111"/>
        <v>10</v>
      </c>
      <c r="AS2378" s="3">
        <f t="shared" si="112"/>
        <v>0</v>
      </c>
      <c r="AT2378" s="3" t="str">
        <f>IF(OR(Registered!AM2378&gt;0,Registered!AO2378&gt;0),(IF(Registered!E2378=0,"Size Not Specified",Registered!E2378)),"")</f>
        <v/>
      </c>
      <c r="AU2378" s="3" t="str">
        <f>IF(Registered!AE2378=0,"",IF(Registered!AE2378=1,Registered!AE2378&amp;" Bandana",Registered!AE2378&amp;" Bandanas"))</f>
        <v/>
      </c>
      <c r="AV2378" s="3">
        <f t="shared" si="113"/>
        <v>0</v>
      </c>
      <c r="AW2378" s="2" t="str">
        <f>IF(Registered!AV2378=0,"",IF(Registered!AV2378=1,Registered!AV2378&amp;" Meal",Registered!AV2378&amp;" Meals"))</f>
        <v/>
      </c>
      <c r="AX2378" s="2" t="str">
        <f>IF(Registered!AI2378=0,"",Registered!AI2378&amp;" BG")</f>
        <v/>
      </c>
      <c r="AY2378" s="2" t="str">
        <f>IF(Registered!AG2378=0,"",Registered!AG2378&amp;" DustMask")</f>
        <v/>
      </c>
    </row>
    <row r="2379" spans="1:51" customFormat="1" x14ac:dyDescent="0.25">
      <c r="A2379" t="s">
        <v>942</v>
      </c>
      <c r="B2379" t="s">
        <v>2465</v>
      </c>
      <c r="C2379" t="s">
        <v>6090</v>
      </c>
      <c r="D2379" t="s">
        <v>2466</v>
      </c>
      <c r="F2379" t="s">
        <v>261</v>
      </c>
      <c r="I2379" t="s">
        <v>2467</v>
      </c>
      <c r="J2379" t="s">
        <v>37</v>
      </c>
      <c r="K2379" t="s">
        <v>32</v>
      </c>
      <c r="L2379" t="s">
        <v>35</v>
      </c>
      <c r="S2379">
        <v>1</v>
      </c>
      <c r="T2379">
        <v>3</v>
      </c>
      <c r="U2379">
        <v>1</v>
      </c>
      <c r="V2379">
        <v>20</v>
      </c>
      <c r="AQ2379">
        <v>23</v>
      </c>
      <c r="AR2379" s="3">
        <f t="shared" si="111"/>
        <v>10</v>
      </c>
      <c r="AS2379" s="3">
        <f t="shared" si="112"/>
        <v>0</v>
      </c>
      <c r="AT2379" s="3" t="str">
        <f>IF(OR(Registered!AM2379&gt;0,Registered!AO2379&gt;0),(IF(Registered!E2379=0,"Size Not Specified",Registered!E2379)),"")</f>
        <v/>
      </c>
      <c r="AU2379" s="3" t="str">
        <f>IF(Registered!AE2379=0,"",IF(Registered!AE2379=1,Registered!AE2379&amp;" Bandana",Registered!AE2379&amp;" Bandanas"))</f>
        <v/>
      </c>
      <c r="AV2379" s="3">
        <f t="shared" si="113"/>
        <v>0</v>
      </c>
      <c r="AW2379" s="2" t="str">
        <f>IF(Registered!AV2379=0,"",IF(Registered!AV2379=1,Registered!AV2379&amp;" Meal",Registered!AV2379&amp;" Meals"))</f>
        <v/>
      </c>
      <c r="AX2379" s="2" t="str">
        <f>IF(Registered!AI2379=0,"",Registered!AI2379&amp;" BG")</f>
        <v/>
      </c>
      <c r="AY2379" s="2" t="str">
        <f>IF(Registered!AG2379=0,"",Registered!AG2379&amp;" DustMask")</f>
        <v/>
      </c>
    </row>
    <row r="2380" spans="1:51" customFormat="1" x14ac:dyDescent="0.25">
      <c r="A2380" t="s">
        <v>848</v>
      </c>
      <c r="B2380" t="s">
        <v>5786</v>
      </c>
      <c r="C2380" t="s">
        <v>6090</v>
      </c>
      <c r="G2380" t="s">
        <v>43</v>
      </c>
      <c r="H2380" t="s">
        <v>5746</v>
      </c>
      <c r="I2380" t="s">
        <v>5747</v>
      </c>
      <c r="J2380" t="s">
        <v>37</v>
      </c>
      <c r="K2380" t="s">
        <v>32</v>
      </c>
      <c r="L2380" t="s">
        <v>35</v>
      </c>
      <c r="AQ2380">
        <v>0</v>
      </c>
      <c r="AR2380" s="3">
        <f t="shared" si="111"/>
        <v>0</v>
      </c>
      <c r="AS2380" s="3">
        <f t="shared" si="112"/>
        <v>0</v>
      </c>
      <c r="AT2380" s="3" t="str">
        <f>IF(OR(Registered!AM2380&gt;0,Registered!AO2380&gt;0),(IF(Registered!E2380=0,"Size Not Specified",Registered!E2380)),"")</f>
        <v/>
      </c>
      <c r="AU2380" s="3" t="str">
        <f>IF(Registered!AE2380=0,"",IF(Registered!AE2380=1,Registered!AE2380&amp;" Bandana",Registered!AE2380&amp;" Bandanas"))</f>
        <v/>
      </c>
      <c r="AV2380" s="3">
        <f t="shared" si="113"/>
        <v>0</v>
      </c>
      <c r="AW2380" s="2" t="str">
        <f>IF(Registered!AV2380=0,"",IF(Registered!AV2380=1,Registered!AV2380&amp;" Meal",Registered!AV2380&amp;" Meals"))</f>
        <v/>
      </c>
      <c r="AX2380" s="2" t="str">
        <f>IF(Registered!AI2380=0,"",Registered!AI2380&amp;" BG")</f>
        <v/>
      </c>
      <c r="AY2380" s="2" t="str">
        <f>IF(Registered!AG2380=0,"",Registered!AG2380&amp;" DustMask")</f>
        <v/>
      </c>
    </row>
    <row r="2381" spans="1:51" customFormat="1" x14ac:dyDescent="0.25">
      <c r="A2381" t="s">
        <v>434</v>
      </c>
      <c r="B2381" t="s">
        <v>5787</v>
      </c>
      <c r="C2381" t="s">
        <v>6090</v>
      </c>
      <c r="D2381" t="s">
        <v>5788</v>
      </c>
      <c r="E2381" t="s">
        <v>232</v>
      </c>
      <c r="F2381" t="s">
        <v>261</v>
      </c>
      <c r="I2381" t="s">
        <v>5789</v>
      </c>
      <c r="J2381" t="s">
        <v>37</v>
      </c>
      <c r="K2381" t="s">
        <v>32</v>
      </c>
      <c r="L2381" t="s">
        <v>35</v>
      </c>
      <c r="Q2381">
        <v>1</v>
      </c>
      <c r="R2381">
        <v>3</v>
      </c>
      <c r="U2381">
        <v>1</v>
      </c>
      <c r="V2381">
        <v>20</v>
      </c>
      <c r="AO2381">
        <v>1</v>
      </c>
      <c r="AP2381">
        <v>10</v>
      </c>
      <c r="AQ2381">
        <v>33</v>
      </c>
      <c r="AR2381" s="3">
        <f t="shared" si="111"/>
        <v>10</v>
      </c>
      <c r="AS2381" s="3">
        <f t="shared" si="112"/>
        <v>1</v>
      </c>
      <c r="AT2381" s="3" t="str">
        <f>IF(OR(Registered!AM2381&gt;0,Registered!AO2381&gt;0),(IF(Registered!E2381=0,"Size Not Specified",Registered!E2381)),"")</f>
        <v>M</v>
      </c>
      <c r="AU2381" s="3" t="str">
        <f>IF(Registered!AE2381=0,"",IF(Registered!AE2381=1,Registered!AE2381&amp;" Bandana",Registered!AE2381&amp;" Bandanas"))</f>
        <v/>
      </c>
      <c r="AV2381" s="3">
        <f t="shared" si="113"/>
        <v>0</v>
      </c>
      <c r="AW2381" s="2" t="str">
        <f>IF(Registered!AV2381=0,"",IF(Registered!AV2381=1,Registered!AV2381&amp;" Meal",Registered!AV2381&amp;" Meals"))</f>
        <v/>
      </c>
      <c r="AX2381" s="2" t="str">
        <f>IF(Registered!AI2381=0,"",Registered!AI2381&amp;" BG")</f>
        <v/>
      </c>
      <c r="AY2381" s="2" t="str">
        <f>IF(Registered!AG2381=0,"",Registered!AG2381&amp;" DustMask")</f>
        <v/>
      </c>
    </row>
    <row r="2382" spans="1:51" customFormat="1" x14ac:dyDescent="0.25">
      <c r="A2382" t="s">
        <v>317</v>
      </c>
      <c r="B2382" t="s">
        <v>507</v>
      </c>
      <c r="C2382" t="s">
        <v>6090</v>
      </c>
      <c r="D2382" t="s">
        <v>3429</v>
      </c>
      <c r="F2382" t="s">
        <v>261</v>
      </c>
      <c r="I2382" t="s">
        <v>2673</v>
      </c>
      <c r="J2382" t="s">
        <v>37</v>
      </c>
      <c r="K2382" t="s">
        <v>32</v>
      </c>
      <c r="L2382" t="s">
        <v>35</v>
      </c>
      <c r="Q2382">
        <v>5</v>
      </c>
      <c r="R2382">
        <v>3</v>
      </c>
      <c r="AC2382">
        <v>1</v>
      </c>
      <c r="AD2382">
        <v>10</v>
      </c>
      <c r="AQ2382">
        <v>25</v>
      </c>
      <c r="AR2382" s="3">
        <f t="shared" si="111"/>
        <v>5</v>
      </c>
      <c r="AS2382" s="3">
        <f t="shared" si="112"/>
        <v>0</v>
      </c>
      <c r="AT2382" s="3" t="str">
        <f>IF(OR(Registered!AM2382&gt;0,Registered!AO2382&gt;0),(IF(Registered!E2382=0,"Size Not Specified",Registered!E2382)),"")</f>
        <v/>
      </c>
      <c r="AU2382" s="3" t="str">
        <f>IF(Registered!AE2382=0,"",IF(Registered!AE2382=1,Registered!AE2382&amp;" Bandana",Registered!AE2382&amp;" Bandanas"))</f>
        <v/>
      </c>
      <c r="AV2382" s="3">
        <f t="shared" si="113"/>
        <v>0</v>
      </c>
      <c r="AW2382" s="2" t="str">
        <f>IF(Registered!AV2382=0,"",IF(Registered!AV2382=1,Registered!AV2382&amp;" Meal",Registered!AV2382&amp;" Meals"))</f>
        <v/>
      </c>
      <c r="AX2382" s="2" t="str">
        <f>IF(Registered!AI2382=0,"",Registered!AI2382&amp;" BG")</f>
        <v/>
      </c>
      <c r="AY2382" s="2" t="str">
        <f>IF(Registered!AG2382=0,"",Registered!AG2382&amp;" DustMask")</f>
        <v/>
      </c>
    </row>
    <row r="2383" spans="1:51" customFormat="1" x14ac:dyDescent="0.25">
      <c r="A2383" t="s">
        <v>2291</v>
      </c>
      <c r="B2383" t="s">
        <v>507</v>
      </c>
      <c r="C2383" t="s">
        <v>6090</v>
      </c>
      <c r="G2383" t="s">
        <v>107</v>
      </c>
      <c r="H2383" t="s">
        <v>1485</v>
      </c>
      <c r="I2383" t="s">
        <v>1486</v>
      </c>
      <c r="J2383" t="s">
        <v>37</v>
      </c>
      <c r="K2383" t="s">
        <v>32</v>
      </c>
      <c r="L2383" t="s">
        <v>35</v>
      </c>
      <c r="AQ2383">
        <v>0</v>
      </c>
      <c r="AR2383" s="3">
        <f t="shared" si="111"/>
        <v>0</v>
      </c>
      <c r="AS2383" s="3">
        <f t="shared" si="112"/>
        <v>0</v>
      </c>
      <c r="AT2383" s="3" t="str">
        <f>IF(OR(Registered!AM2383&gt;0,Registered!AO2383&gt;0),(IF(Registered!E2383=0,"Size Not Specified",Registered!E2383)),"")</f>
        <v/>
      </c>
      <c r="AU2383" s="3" t="str">
        <f>IF(Registered!AE2383=0,"",IF(Registered!AE2383=1,Registered!AE2383&amp;" Bandana",Registered!AE2383&amp;" Bandanas"))</f>
        <v/>
      </c>
      <c r="AV2383" s="3">
        <f t="shared" si="113"/>
        <v>0</v>
      </c>
      <c r="AW2383" s="2" t="str">
        <f>IF(Registered!AV2383=0,"",IF(Registered!AV2383=1,Registered!AV2383&amp;" Meal",Registered!AV2383&amp;" Meals"))</f>
        <v/>
      </c>
      <c r="AX2383" s="2" t="str">
        <f>IF(Registered!AI2383=0,"",Registered!AI2383&amp;" BG")</f>
        <v/>
      </c>
      <c r="AY2383" s="2" t="str">
        <f>IF(Registered!AG2383=0,"",Registered!AG2383&amp;" DustMask")</f>
        <v/>
      </c>
    </row>
    <row r="2384" spans="1:51" customFormat="1" x14ac:dyDescent="0.25">
      <c r="A2384" t="s">
        <v>434</v>
      </c>
      <c r="B2384" t="s">
        <v>4590</v>
      </c>
      <c r="C2384" t="s">
        <v>6090</v>
      </c>
      <c r="D2384" t="s">
        <v>5790</v>
      </c>
      <c r="F2384" t="s">
        <v>261</v>
      </c>
      <c r="I2384" t="s">
        <v>4591</v>
      </c>
      <c r="J2384" t="s">
        <v>37</v>
      </c>
      <c r="K2384" t="s">
        <v>32</v>
      </c>
      <c r="L2384" t="s">
        <v>35</v>
      </c>
      <c r="Q2384">
        <v>2</v>
      </c>
      <c r="R2384">
        <v>3</v>
      </c>
      <c r="U2384">
        <v>1</v>
      </c>
      <c r="V2384">
        <v>20</v>
      </c>
      <c r="AQ2384">
        <v>26</v>
      </c>
      <c r="AR2384" s="3">
        <f t="shared" si="111"/>
        <v>10</v>
      </c>
      <c r="AS2384" s="3">
        <f t="shared" si="112"/>
        <v>0</v>
      </c>
      <c r="AT2384" s="3" t="str">
        <f>IF(OR(Registered!AM2384&gt;0,Registered!AO2384&gt;0),(IF(Registered!E2384=0,"Size Not Specified",Registered!E2384)),"")</f>
        <v/>
      </c>
      <c r="AU2384" s="3" t="str">
        <f>IF(Registered!AE2384=0,"",IF(Registered!AE2384=1,Registered!AE2384&amp;" Bandana",Registered!AE2384&amp;" Bandanas"))</f>
        <v/>
      </c>
      <c r="AV2384" s="3">
        <f t="shared" si="113"/>
        <v>0</v>
      </c>
      <c r="AW2384" s="2" t="str">
        <f>IF(Registered!AV2384=0,"",IF(Registered!AV2384=1,Registered!AV2384&amp;" Meal",Registered!AV2384&amp;" Meals"))</f>
        <v/>
      </c>
      <c r="AX2384" s="2" t="str">
        <f>IF(Registered!AI2384=0,"",Registered!AI2384&amp;" BG")</f>
        <v/>
      </c>
      <c r="AY2384" s="2" t="str">
        <f>IF(Registered!AG2384=0,"",Registered!AG2384&amp;" DustMask")</f>
        <v/>
      </c>
    </row>
    <row r="2385" spans="1:51" customFormat="1" x14ac:dyDescent="0.25">
      <c r="A2385" t="s">
        <v>5791</v>
      </c>
      <c r="B2385" t="s">
        <v>3587</v>
      </c>
      <c r="C2385" t="s">
        <v>6090</v>
      </c>
      <c r="G2385" t="s">
        <v>3586</v>
      </c>
      <c r="H2385" t="s">
        <v>3587</v>
      </c>
      <c r="I2385" t="s">
        <v>3588</v>
      </c>
      <c r="J2385" t="s">
        <v>37</v>
      </c>
      <c r="K2385" t="s">
        <v>32</v>
      </c>
      <c r="L2385" t="s">
        <v>35</v>
      </c>
      <c r="AQ2385">
        <v>0</v>
      </c>
      <c r="AR2385" s="3">
        <f t="shared" si="111"/>
        <v>0</v>
      </c>
      <c r="AS2385" s="3">
        <f t="shared" si="112"/>
        <v>0</v>
      </c>
      <c r="AT2385" s="3" t="str">
        <f>IF(OR(Registered!AM2385&gt;0,Registered!AO2385&gt;0),(IF(Registered!E2385=0,"Size Not Specified",Registered!E2385)),"")</f>
        <v/>
      </c>
      <c r="AU2385" s="3" t="str">
        <f>IF(Registered!AE2385=0,"",IF(Registered!AE2385=1,Registered!AE2385&amp;" Bandana",Registered!AE2385&amp;" Bandanas"))</f>
        <v/>
      </c>
      <c r="AV2385" s="3">
        <f t="shared" si="113"/>
        <v>0</v>
      </c>
      <c r="AW2385" s="2" t="str">
        <f>IF(Registered!AV2385=0,"",IF(Registered!AV2385=1,Registered!AV2385&amp;" Meal",Registered!AV2385&amp;" Meals"))</f>
        <v/>
      </c>
      <c r="AX2385" s="2" t="str">
        <f>IF(Registered!AI2385=0,"",Registered!AI2385&amp;" BG")</f>
        <v/>
      </c>
      <c r="AY2385" s="2" t="str">
        <f>IF(Registered!AG2385=0,"",Registered!AG2385&amp;" DustMask")</f>
        <v/>
      </c>
    </row>
    <row r="2386" spans="1:51" customFormat="1" x14ac:dyDescent="0.25">
      <c r="A2386" t="s">
        <v>3586</v>
      </c>
      <c r="B2386" t="s">
        <v>3587</v>
      </c>
      <c r="C2386" t="s">
        <v>6090</v>
      </c>
      <c r="D2386" t="s">
        <v>5792</v>
      </c>
      <c r="F2386" t="s">
        <v>261</v>
      </c>
      <c r="I2386" t="s">
        <v>3588</v>
      </c>
      <c r="J2386" t="s">
        <v>37</v>
      </c>
      <c r="K2386" t="s">
        <v>32</v>
      </c>
      <c r="L2386" t="s">
        <v>35</v>
      </c>
      <c r="Q2386">
        <v>4</v>
      </c>
      <c r="R2386">
        <v>3</v>
      </c>
      <c r="U2386">
        <v>1</v>
      </c>
      <c r="V2386">
        <v>20</v>
      </c>
      <c r="AG2386">
        <v>1</v>
      </c>
      <c r="AH2386">
        <v>1</v>
      </c>
      <c r="AQ2386">
        <v>33</v>
      </c>
      <c r="AR2386" s="3">
        <f t="shared" si="111"/>
        <v>10</v>
      </c>
      <c r="AS2386" s="3">
        <f t="shared" si="112"/>
        <v>0</v>
      </c>
      <c r="AT2386" s="3" t="str">
        <f>IF(OR(Registered!AM2386&gt;0,Registered!AO2386&gt;0),(IF(Registered!E2386=0,"Size Not Specified",Registered!E2386)),"")</f>
        <v/>
      </c>
      <c r="AU2386" s="3" t="str">
        <f>IF(Registered!AE2386=0,"",IF(Registered!AE2386=1,Registered!AE2386&amp;" Bandana",Registered!AE2386&amp;" Bandanas"))</f>
        <v/>
      </c>
      <c r="AV2386" s="3">
        <f t="shared" si="113"/>
        <v>0</v>
      </c>
      <c r="AW2386" s="2" t="str">
        <f>IF(Registered!AV2386=0,"",IF(Registered!AV2386=1,Registered!AV2386&amp;" Meal",Registered!AV2386&amp;" Meals"))</f>
        <v/>
      </c>
      <c r="AX2386" s="2" t="str">
        <f>IF(Registered!AI2386=0,"",Registered!AI2386&amp;" BG")</f>
        <v/>
      </c>
      <c r="AY2386" s="2" t="str">
        <f>IF(Registered!AG2386=0,"",Registered!AG2386&amp;" DustMask")</f>
        <v>1 DustMask</v>
      </c>
    </row>
    <row r="2387" spans="1:51" customFormat="1" x14ac:dyDescent="0.25">
      <c r="A2387" t="s">
        <v>731</v>
      </c>
      <c r="B2387" t="s">
        <v>1102</v>
      </c>
      <c r="C2387" t="s">
        <v>6090</v>
      </c>
      <c r="G2387" t="s">
        <v>281</v>
      </c>
      <c r="H2387" t="s">
        <v>938</v>
      </c>
      <c r="I2387" t="s">
        <v>3930</v>
      </c>
      <c r="J2387" t="s">
        <v>37</v>
      </c>
      <c r="K2387" t="s">
        <v>32</v>
      </c>
      <c r="L2387" t="s">
        <v>35</v>
      </c>
      <c r="AQ2387">
        <v>0</v>
      </c>
      <c r="AR2387" s="3">
        <f t="shared" si="111"/>
        <v>0</v>
      </c>
      <c r="AS2387" s="3">
        <f t="shared" si="112"/>
        <v>0</v>
      </c>
      <c r="AT2387" s="3" t="str">
        <f>IF(OR(Registered!AM2387&gt;0,Registered!AO2387&gt;0),(IF(Registered!E2387=0,"Size Not Specified",Registered!E2387)),"")</f>
        <v/>
      </c>
      <c r="AU2387" s="3" t="str">
        <f>IF(Registered!AE2387=0,"",IF(Registered!AE2387=1,Registered!AE2387&amp;" Bandana",Registered!AE2387&amp;" Bandanas"))</f>
        <v/>
      </c>
      <c r="AV2387" s="3">
        <f t="shared" si="113"/>
        <v>0</v>
      </c>
      <c r="AW2387" s="2" t="str">
        <f>IF(Registered!AV2387=0,"",IF(Registered!AV2387=1,Registered!AV2387&amp;" Meal",Registered!AV2387&amp;" Meals"))</f>
        <v/>
      </c>
      <c r="AX2387" s="2" t="str">
        <f>IF(Registered!AI2387=0,"",Registered!AI2387&amp;" BG")</f>
        <v/>
      </c>
      <c r="AY2387" s="2" t="str">
        <f>IF(Registered!AG2387=0,"",Registered!AG2387&amp;" DustMask")</f>
        <v/>
      </c>
    </row>
    <row r="2388" spans="1:51" customFormat="1" x14ac:dyDescent="0.25">
      <c r="A2388" t="s">
        <v>5793</v>
      </c>
      <c r="B2388" t="s">
        <v>5794</v>
      </c>
      <c r="C2388" t="s">
        <v>6090</v>
      </c>
      <c r="G2388" t="s">
        <v>403</v>
      </c>
      <c r="H2388" t="s">
        <v>1175</v>
      </c>
      <c r="I2388" t="s">
        <v>4036</v>
      </c>
      <c r="J2388" t="s">
        <v>37</v>
      </c>
      <c r="K2388" t="s">
        <v>32</v>
      </c>
      <c r="L2388" t="s">
        <v>35</v>
      </c>
      <c r="AQ2388">
        <v>0</v>
      </c>
      <c r="AR2388" s="3">
        <f t="shared" si="111"/>
        <v>0</v>
      </c>
      <c r="AS2388" s="3">
        <f t="shared" si="112"/>
        <v>0</v>
      </c>
      <c r="AT2388" s="3" t="str">
        <f>IF(OR(Registered!AM2388&gt;0,Registered!AO2388&gt;0),(IF(Registered!E2388=0,"Size Not Specified",Registered!E2388)),"")</f>
        <v/>
      </c>
      <c r="AU2388" s="3" t="str">
        <f>IF(Registered!AE2388=0,"",IF(Registered!AE2388=1,Registered!AE2388&amp;" Bandana",Registered!AE2388&amp;" Bandanas"))</f>
        <v/>
      </c>
      <c r="AV2388" s="3">
        <f t="shared" si="113"/>
        <v>0</v>
      </c>
      <c r="AW2388" s="2" t="str">
        <f>IF(Registered!AV2388=0,"",IF(Registered!AV2388=1,Registered!AV2388&amp;" Meal",Registered!AV2388&amp;" Meals"))</f>
        <v/>
      </c>
      <c r="AX2388" s="2" t="str">
        <f>IF(Registered!AI2388=0,"",Registered!AI2388&amp;" BG")</f>
        <v/>
      </c>
      <c r="AY2388" s="2" t="str">
        <f>IF(Registered!AG2388=0,"",Registered!AG2388&amp;" DustMask")</f>
        <v/>
      </c>
    </row>
    <row r="2389" spans="1:51" customFormat="1" x14ac:dyDescent="0.25">
      <c r="A2389" t="s">
        <v>79</v>
      </c>
      <c r="B2389" t="s">
        <v>5485</v>
      </c>
      <c r="C2389" t="s">
        <v>6090</v>
      </c>
      <c r="D2389" t="s">
        <v>5795</v>
      </c>
      <c r="F2389" t="s">
        <v>261</v>
      </c>
      <c r="I2389" t="s">
        <v>5486</v>
      </c>
      <c r="J2389" t="s">
        <v>37</v>
      </c>
      <c r="K2389" t="s">
        <v>32</v>
      </c>
      <c r="L2389" t="s">
        <v>35</v>
      </c>
      <c r="Q2389">
        <v>2</v>
      </c>
      <c r="R2389">
        <v>3</v>
      </c>
      <c r="U2389">
        <v>2</v>
      </c>
      <c r="V2389">
        <v>20</v>
      </c>
      <c r="AQ2389">
        <v>46</v>
      </c>
      <c r="AR2389" s="3">
        <f t="shared" si="111"/>
        <v>20</v>
      </c>
      <c r="AS2389" s="3">
        <f t="shared" si="112"/>
        <v>0</v>
      </c>
      <c r="AT2389" s="3" t="str">
        <f>IF(OR(Registered!AM2389&gt;0,Registered!AO2389&gt;0),(IF(Registered!E2389=0,"Size Not Specified",Registered!E2389)),"")</f>
        <v/>
      </c>
      <c r="AU2389" s="3" t="str">
        <f>IF(Registered!AE2389=0,"",IF(Registered!AE2389=1,Registered!AE2389&amp;" Bandana",Registered!AE2389&amp;" Bandanas"))</f>
        <v/>
      </c>
      <c r="AV2389" s="3">
        <f t="shared" si="113"/>
        <v>0</v>
      </c>
      <c r="AW2389" s="2" t="str">
        <f>IF(Registered!AV2389=0,"",IF(Registered!AV2389=1,Registered!AV2389&amp;" Meal",Registered!AV2389&amp;" Meals"))</f>
        <v/>
      </c>
      <c r="AX2389" s="2" t="str">
        <f>IF(Registered!AI2389=0,"",Registered!AI2389&amp;" BG")</f>
        <v/>
      </c>
      <c r="AY2389" s="2" t="str">
        <f>IF(Registered!AG2389=0,"",Registered!AG2389&amp;" DustMask")</f>
        <v/>
      </c>
    </row>
    <row r="2390" spans="1:51" customFormat="1" x14ac:dyDescent="0.25">
      <c r="A2390" t="s">
        <v>456</v>
      </c>
      <c r="B2390" t="s">
        <v>2468</v>
      </c>
      <c r="C2390" t="s">
        <v>6090</v>
      </c>
      <c r="G2390" t="s">
        <v>1986</v>
      </c>
      <c r="H2390" t="s">
        <v>333</v>
      </c>
      <c r="I2390" t="s">
        <v>1987</v>
      </c>
      <c r="J2390" t="s">
        <v>37</v>
      </c>
      <c r="K2390" t="s">
        <v>32</v>
      </c>
      <c r="L2390" t="s">
        <v>35</v>
      </c>
      <c r="AQ2390">
        <v>0</v>
      </c>
      <c r="AR2390" s="3">
        <f t="shared" si="111"/>
        <v>0</v>
      </c>
      <c r="AS2390" s="3">
        <f t="shared" si="112"/>
        <v>0</v>
      </c>
      <c r="AT2390" s="3" t="str">
        <f>IF(OR(Registered!AM2390&gt;0,Registered!AO2390&gt;0),(IF(Registered!E2390=0,"Size Not Specified",Registered!E2390)),"")</f>
        <v/>
      </c>
      <c r="AU2390" s="3" t="str">
        <f>IF(Registered!AE2390=0,"",IF(Registered!AE2390=1,Registered!AE2390&amp;" Bandana",Registered!AE2390&amp;" Bandanas"))</f>
        <v/>
      </c>
      <c r="AV2390" s="3">
        <f t="shared" si="113"/>
        <v>0</v>
      </c>
      <c r="AW2390" s="2" t="str">
        <f>IF(Registered!AV2390=0,"",IF(Registered!AV2390=1,Registered!AV2390&amp;" Meal",Registered!AV2390&amp;" Meals"))</f>
        <v/>
      </c>
      <c r="AX2390" s="2" t="str">
        <f>IF(Registered!AI2390=0,"",Registered!AI2390&amp;" BG")</f>
        <v/>
      </c>
      <c r="AY2390" s="2" t="str">
        <f>IF(Registered!AG2390=0,"",Registered!AG2390&amp;" DustMask")</f>
        <v/>
      </c>
    </row>
    <row r="2391" spans="1:51" customFormat="1" x14ac:dyDescent="0.25">
      <c r="A2391" t="s">
        <v>100</v>
      </c>
      <c r="B2391" t="s">
        <v>2468</v>
      </c>
      <c r="C2391" t="s">
        <v>6090</v>
      </c>
      <c r="G2391" t="s">
        <v>1986</v>
      </c>
      <c r="H2391" t="s">
        <v>333</v>
      </c>
      <c r="I2391" t="s">
        <v>1987</v>
      </c>
      <c r="J2391" t="s">
        <v>37</v>
      </c>
      <c r="K2391" t="s">
        <v>32</v>
      </c>
      <c r="L2391" t="s">
        <v>35</v>
      </c>
      <c r="AQ2391">
        <v>0</v>
      </c>
      <c r="AR2391" s="3">
        <f t="shared" si="111"/>
        <v>0</v>
      </c>
      <c r="AS2391" s="3">
        <f t="shared" si="112"/>
        <v>0</v>
      </c>
      <c r="AT2391" s="3" t="str">
        <f>IF(OR(Registered!AM2391&gt;0,Registered!AO2391&gt;0),(IF(Registered!E2391=0,"Size Not Specified",Registered!E2391)),"")</f>
        <v/>
      </c>
      <c r="AU2391" s="3" t="str">
        <f>IF(Registered!AE2391=0,"",IF(Registered!AE2391=1,Registered!AE2391&amp;" Bandana",Registered!AE2391&amp;" Bandanas"))</f>
        <v/>
      </c>
      <c r="AV2391" s="3">
        <f t="shared" si="113"/>
        <v>0</v>
      </c>
      <c r="AW2391" s="2" t="str">
        <f>IF(Registered!AV2391=0,"",IF(Registered!AV2391=1,Registered!AV2391&amp;" Meal",Registered!AV2391&amp;" Meals"))</f>
        <v/>
      </c>
      <c r="AX2391" s="2" t="str">
        <f>IF(Registered!AI2391=0,"",Registered!AI2391&amp;" BG")</f>
        <v/>
      </c>
      <c r="AY2391" s="2" t="str">
        <f>IF(Registered!AG2391=0,"",Registered!AG2391&amp;" DustMask")</f>
        <v/>
      </c>
    </row>
    <row r="2392" spans="1:51" customFormat="1" x14ac:dyDescent="0.25">
      <c r="A2392" t="s">
        <v>194</v>
      </c>
      <c r="B2392" t="s">
        <v>3431</v>
      </c>
      <c r="C2392" t="s">
        <v>6090</v>
      </c>
      <c r="G2392" t="s">
        <v>3759</v>
      </c>
      <c r="H2392" t="s">
        <v>3760</v>
      </c>
      <c r="I2392" t="s">
        <v>3761</v>
      </c>
      <c r="J2392" t="s">
        <v>37</v>
      </c>
      <c r="K2392" t="s">
        <v>32</v>
      </c>
      <c r="L2392" t="s">
        <v>35</v>
      </c>
      <c r="AQ2392">
        <v>0</v>
      </c>
      <c r="AR2392" s="3">
        <f t="shared" si="111"/>
        <v>0</v>
      </c>
      <c r="AS2392" s="3">
        <f t="shared" si="112"/>
        <v>0</v>
      </c>
      <c r="AT2392" s="3" t="str">
        <f>IF(OR(Registered!AM2392&gt;0,Registered!AO2392&gt;0),(IF(Registered!E2392=0,"Size Not Specified",Registered!E2392)),"")</f>
        <v/>
      </c>
      <c r="AU2392" s="3" t="str">
        <f>IF(Registered!AE2392=0,"",IF(Registered!AE2392=1,Registered!AE2392&amp;" Bandana",Registered!AE2392&amp;" Bandanas"))</f>
        <v/>
      </c>
      <c r="AV2392" s="3">
        <f t="shared" si="113"/>
        <v>0</v>
      </c>
      <c r="AW2392" s="2" t="str">
        <f>IF(Registered!AV2392=0,"",IF(Registered!AV2392=1,Registered!AV2392&amp;" Meal",Registered!AV2392&amp;" Meals"))</f>
        <v/>
      </c>
      <c r="AX2392" s="2" t="str">
        <f>IF(Registered!AI2392=0,"",Registered!AI2392&amp;" BG")</f>
        <v/>
      </c>
      <c r="AY2392" s="2" t="str">
        <f>IF(Registered!AG2392=0,"",Registered!AG2392&amp;" DustMask")</f>
        <v/>
      </c>
    </row>
    <row r="2393" spans="1:51" customFormat="1" x14ac:dyDescent="0.25">
      <c r="A2393" t="s">
        <v>5796</v>
      </c>
      <c r="B2393" t="s">
        <v>3431</v>
      </c>
      <c r="C2393" t="s">
        <v>6090</v>
      </c>
      <c r="D2393" t="s">
        <v>5797</v>
      </c>
      <c r="F2393" t="s">
        <v>261</v>
      </c>
      <c r="I2393" t="s">
        <v>5798</v>
      </c>
      <c r="J2393" t="s">
        <v>37</v>
      </c>
      <c r="K2393" t="s">
        <v>32</v>
      </c>
      <c r="L2393" t="s">
        <v>35</v>
      </c>
      <c r="Q2393">
        <v>1</v>
      </c>
      <c r="R2393">
        <v>3</v>
      </c>
      <c r="AC2393">
        <v>1</v>
      </c>
      <c r="AD2393">
        <v>10</v>
      </c>
      <c r="AQ2393">
        <v>13</v>
      </c>
      <c r="AR2393" s="3">
        <f t="shared" si="111"/>
        <v>5</v>
      </c>
      <c r="AS2393" s="3">
        <f t="shared" si="112"/>
        <v>0</v>
      </c>
      <c r="AT2393" s="3" t="str">
        <f>IF(OR(Registered!AM2393&gt;0,Registered!AO2393&gt;0),(IF(Registered!E2393=0,"Size Not Specified",Registered!E2393)),"")</f>
        <v/>
      </c>
      <c r="AU2393" s="3" t="str">
        <f>IF(Registered!AE2393=0,"",IF(Registered!AE2393=1,Registered!AE2393&amp;" Bandana",Registered!AE2393&amp;" Bandanas"))</f>
        <v/>
      </c>
      <c r="AV2393" s="3">
        <f t="shared" si="113"/>
        <v>0</v>
      </c>
      <c r="AW2393" s="2" t="str">
        <f>IF(Registered!AV2393=0,"",IF(Registered!AV2393=1,Registered!AV2393&amp;" Meal",Registered!AV2393&amp;" Meals"))</f>
        <v/>
      </c>
      <c r="AX2393" s="2" t="str">
        <f>IF(Registered!AI2393=0,"",Registered!AI2393&amp;" BG")</f>
        <v/>
      </c>
      <c r="AY2393" s="2" t="str">
        <f>IF(Registered!AG2393=0,"",Registered!AG2393&amp;" DustMask")</f>
        <v/>
      </c>
    </row>
    <row r="2394" spans="1:51" customFormat="1" x14ac:dyDescent="0.25">
      <c r="A2394" t="s">
        <v>3430</v>
      </c>
      <c r="B2394" t="s">
        <v>3431</v>
      </c>
      <c r="C2394" t="s">
        <v>6090</v>
      </c>
      <c r="G2394" t="s">
        <v>83</v>
      </c>
      <c r="H2394" t="s">
        <v>287</v>
      </c>
      <c r="I2394" t="s">
        <v>2702</v>
      </c>
      <c r="J2394" t="s">
        <v>37</v>
      </c>
      <c r="K2394" t="s">
        <v>32</v>
      </c>
      <c r="L2394" t="s">
        <v>35</v>
      </c>
      <c r="AQ2394">
        <v>0</v>
      </c>
      <c r="AR2394" s="3">
        <f t="shared" si="111"/>
        <v>0</v>
      </c>
      <c r="AS2394" s="3">
        <f t="shared" si="112"/>
        <v>0</v>
      </c>
      <c r="AT2394" s="3" t="str">
        <f>IF(OR(Registered!AM2394&gt;0,Registered!AO2394&gt;0),(IF(Registered!E2394=0,"Size Not Specified",Registered!E2394)),"")</f>
        <v/>
      </c>
      <c r="AU2394" s="3" t="str">
        <f>IF(Registered!AE2394=0,"",IF(Registered!AE2394=1,Registered!AE2394&amp;" Bandana",Registered!AE2394&amp;" Bandanas"))</f>
        <v/>
      </c>
      <c r="AV2394" s="3">
        <f t="shared" si="113"/>
        <v>0</v>
      </c>
      <c r="AW2394" s="2" t="str">
        <f>IF(Registered!AV2394=0,"",IF(Registered!AV2394=1,Registered!AV2394&amp;" Meal",Registered!AV2394&amp;" Meals"))</f>
        <v/>
      </c>
      <c r="AX2394" s="2" t="str">
        <f>IF(Registered!AI2394=0,"",Registered!AI2394&amp;" BG")</f>
        <v/>
      </c>
      <c r="AY2394" s="2" t="str">
        <f>IF(Registered!AG2394=0,"",Registered!AG2394&amp;" DustMask")</f>
        <v/>
      </c>
    </row>
    <row r="2395" spans="1:51" customFormat="1" x14ac:dyDescent="0.25">
      <c r="A2395" t="s">
        <v>151</v>
      </c>
      <c r="B2395" t="s">
        <v>3431</v>
      </c>
      <c r="C2395" t="s">
        <v>6090</v>
      </c>
      <c r="G2395" t="s">
        <v>83</v>
      </c>
      <c r="H2395" t="s">
        <v>287</v>
      </c>
      <c r="I2395" t="s">
        <v>2702</v>
      </c>
      <c r="J2395" t="s">
        <v>37</v>
      </c>
      <c r="K2395" t="s">
        <v>32</v>
      </c>
      <c r="L2395" t="s">
        <v>35</v>
      </c>
      <c r="AQ2395">
        <v>0</v>
      </c>
      <c r="AR2395" s="3">
        <f t="shared" si="111"/>
        <v>0</v>
      </c>
      <c r="AS2395" s="3">
        <f t="shared" si="112"/>
        <v>0</v>
      </c>
      <c r="AT2395" s="3" t="str">
        <f>IF(OR(Registered!AM2395&gt;0,Registered!AO2395&gt;0),(IF(Registered!E2395=0,"Size Not Specified",Registered!E2395)),"")</f>
        <v/>
      </c>
      <c r="AU2395" s="3" t="str">
        <f>IF(Registered!AE2395=0,"",IF(Registered!AE2395=1,Registered!AE2395&amp;" Bandana",Registered!AE2395&amp;" Bandanas"))</f>
        <v/>
      </c>
      <c r="AV2395" s="3">
        <f t="shared" si="113"/>
        <v>0</v>
      </c>
      <c r="AW2395" s="2" t="str">
        <f>IF(Registered!AV2395=0,"",IF(Registered!AV2395=1,Registered!AV2395&amp;" Meal",Registered!AV2395&amp;" Meals"))</f>
        <v/>
      </c>
      <c r="AX2395" s="2" t="str">
        <f>IF(Registered!AI2395=0,"",Registered!AI2395&amp;" BG")</f>
        <v/>
      </c>
      <c r="AY2395" s="2" t="str">
        <f>IF(Registered!AG2395=0,"",Registered!AG2395&amp;" DustMask")</f>
        <v/>
      </c>
    </row>
    <row r="2396" spans="1:51" customFormat="1" x14ac:dyDescent="0.25">
      <c r="A2396" t="s">
        <v>5799</v>
      </c>
      <c r="B2396" t="s">
        <v>5800</v>
      </c>
      <c r="C2396" t="s">
        <v>6090</v>
      </c>
      <c r="G2396" t="s">
        <v>1557</v>
      </c>
      <c r="H2396" t="s">
        <v>151</v>
      </c>
      <c r="I2396" t="s">
        <v>4443</v>
      </c>
      <c r="J2396" t="s">
        <v>37</v>
      </c>
      <c r="K2396" t="s">
        <v>32</v>
      </c>
      <c r="L2396" t="s">
        <v>35</v>
      </c>
      <c r="AQ2396">
        <v>0</v>
      </c>
      <c r="AR2396" s="3">
        <f t="shared" si="111"/>
        <v>0</v>
      </c>
      <c r="AS2396" s="3">
        <f t="shared" si="112"/>
        <v>0</v>
      </c>
      <c r="AT2396" s="3" t="str">
        <f>IF(OR(Registered!AM2396&gt;0,Registered!AO2396&gt;0),(IF(Registered!E2396=0,"Size Not Specified",Registered!E2396)),"")</f>
        <v/>
      </c>
      <c r="AU2396" s="3" t="str">
        <f>IF(Registered!AE2396=0,"",IF(Registered!AE2396=1,Registered!AE2396&amp;" Bandana",Registered!AE2396&amp;" Bandanas"))</f>
        <v/>
      </c>
      <c r="AV2396" s="3">
        <f t="shared" si="113"/>
        <v>0</v>
      </c>
      <c r="AW2396" s="2" t="str">
        <f>IF(Registered!AV2396=0,"",IF(Registered!AV2396=1,Registered!AV2396&amp;" Meal",Registered!AV2396&amp;" Meals"))</f>
        <v/>
      </c>
      <c r="AX2396" s="2" t="str">
        <f>IF(Registered!AI2396=0,"",Registered!AI2396&amp;" BG")</f>
        <v/>
      </c>
      <c r="AY2396" s="2" t="str">
        <f>IF(Registered!AG2396=0,"",Registered!AG2396&amp;" DustMask")</f>
        <v/>
      </c>
    </row>
    <row r="2397" spans="1:51" customFormat="1" x14ac:dyDescent="0.25">
      <c r="A2397" t="s">
        <v>175</v>
      </c>
      <c r="B2397" t="s">
        <v>219</v>
      </c>
      <c r="C2397" t="s">
        <v>6090</v>
      </c>
      <c r="D2397" t="s">
        <v>5801</v>
      </c>
      <c r="F2397" t="s">
        <v>261</v>
      </c>
      <c r="I2397" t="s">
        <v>5802</v>
      </c>
      <c r="J2397" t="s">
        <v>37</v>
      </c>
      <c r="K2397" t="s">
        <v>32</v>
      </c>
      <c r="L2397" t="s">
        <v>35</v>
      </c>
      <c r="Q2397">
        <v>1</v>
      </c>
      <c r="R2397">
        <v>3</v>
      </c>
      <c r="AC2397">
        <v>1</v>
      </c>
      <c r="AD2397">
        <v>10</v>
      </c>
      <c r="AQ2397">
        <v>13</v>
      </c>
      <c r="AR2397" s="3">
        <f t="shared" si="111"/>
        <v>5</v>
      </c>
      <c r="AS2397" s="3">
        <f t="shared" si="112"/>
        <v>0</v>
      </c>
      <c r="AT2397" s="3" t="str">
        <f>IF(OR(Registered!AM2397&gt;0,Registered!AO2397&gt;0),(IF(Registered!E2397=0,"Size Not Specified",Registered!E2397)),"")</f>
        <v/>
      </c>
      <c r="AU2397" s="3" t="str">
        <f>IF(Registered!AE2397=0,"",IF(Registered!AE2397=1,Registered!AE2397&amp;" Bandana",Registered!AE2397&amp;" Bandanas"))</f>
        <v/>
      </c>
      <c r="AV2397" s="3">
        <f t="shared" si="113"/>
        <v>0</v>
      </c>
      <c r="AW2397" s="2" t="str">
        <f>IF(Registered!AV2397=0,"",IF(Registered!AV2397=1,Registered!AV2397&amp;" Meal",Registered!AV2397&amp;" Meals"))</f>
        <v/>
      </c>
      <c r="AX2397" s="2" t="str">
        <f>IF(Registered!AI2397=0,"",Registered!AI2397&amp;" BG")</f>
        <v/>
      </c>
      <c r="AY2397" s="2" t="str">
        <f>IF(Registered!AG2397=0,"",Registered!AG2397&amp;" DustMask")</f>
        <v/>
      </c>
    </row>
    <row r="2398" spans="1:51" customFormat="1" x14ac:dyDescent="0.25">
      <c r="A2398" t="s">
        <v>2120</v>
      </c>
      <c r="B2398" t="s">
        <v>219</v>
      </c>
      <c r="C2398" t="s">
        <v>6090</v>
      </c>
      <c r="D2398" t="s">
        <v>5803</v>
      </c>
      <c r="E2398" t="s">
        <v>201</v>
      </c>
      <c r="F2398" t="s">
        <v>261</v>
      </c>
      <c r="I2398" t="s">
        <v>5804</v>
      </c>
      <c r="J2398" t="s">
        <v>37</v>
      </c>
      <c r="K2398" t="s">
        <v>32</v>
      </c>
      <c r="L2398" t="s">
        <v>35</v>
      </c>
      <c r="Q2398">
        <v>1</v>
      </c>
      <c r="R2398">
        <v>3</v>
      </c>
      <c r="U2398">
        <v>1</v>
      </c>
      <c r="V2398">
        <v>20</v>
      </c>
      <c r="AE2398">
        <v>1</v>
      </c>
      <c r="AF2398">
        <v>6</v>
      </c>
      <c r="AG2398">
        <v>1</v>
      </c>
      <c r="AH2398">
        <v>1</v>
      </c>
      <c r="AO2398">
        <v>1</v>
      </c>
      <c r="AP2398">
        <v>10</v>
      </c>
      <c r="AQ2398">
        <v>40</v>
      </c>
      <c r="AR2398" s="3">
        <f t="shared" si="111"/>
        <v>10</v>
      </c>
      <c r="AS2398" s="3">
        <f t="shared" si="112"/>
        <v>1</v>
      </c>
      <c r="AT2398" s="3" t="str">
        <f>IF(OR(Registered!AM2398&gt;0,Registered!AO2398&gt;0),(IF(Registered!E2398=0,"Size Not Specified",Registered!E2398)),"")</f>
        <v>XL</v>
      </c>
      <c r="AU2398" s="3" t="str">
        <f>IF(Registered!AE2398=0,"",IF(Registered!AE2398=1,Registered!AE2398&amp;" Bandana",Registered!AE2398&amp;" Bandanas"))</f>
        <v>1 Bandana</v>
      </c>
      <c r="AV2398" s="3">
        <f t="shared" si="113"/>
        <v>0</v>
      </c>
      <c r="AW2398" s="2" t="str">
        <f>IF(Registered!AV2398=0,"",IF(Registered!AV2398=1,Registered!AV2398&amp;" Meal",Registered!AV2398&amp;" Meals"))</f>
        <v/>
      </c>
      <c r="AX2398" s="2" t="str">
        <f>IF(Registered!AI2398=0,"",Registered!AI2398&amp;" BG")</f>
        <v/>
      </c>
      <c r="AY2398" s="2" t="str">
        <f>IF(Registered!AG2398=0,"",Registered!AG2398&amp;" DustMask")</f>
        <v>1 DustMask</v>
      </c>
    </row>
    <row r="2399" spans="1:51" customFormat="1" x14ac:dyDescent="0.25">
      <c r="A2399" t="s">
        <v>2268</v>
      </c>
      <c r="B2399" t="s">
        <v>5805</v>
      </c>
      <c r="C2399" t="s">
        <v>6090</v>
      </c>
      <c r="G2399" t="s">
        <v>485</v>
      </c>
      <c r="H2399" t="s">
        <v>5211</v>
      </c>
      <c r="I2399" t="s">
        <v>5212</v>
      </c>
      <c r="J2399" t="s">
        <v>37</v>
      </c>
      <c r="K2399" t="s">
        <v>32</v>
      </c>
      <c r="L2399" t="s">
        <v>35</v>
      </c>
      <c r="AQ2399">
        <v>0</v>
      </c>
      <c r="AR2399" s="3">
        <f t="shared" si="111"/>
        <v>0</v>
      </c>
      <c r="AS2399" s="3">
        <f t="shared" si="112"/>
        <v>0</v>
      </c>
      <c r="AT2399" s="3" t="str">
        <f>IF(OR(Registered!AM2399&gt;0,Registered!AO2399&gt;0),(IF(Registered!E2399=0,"Size Not Specified",Registered!E2399)),"")</f>
        <v/>
      </c>
      <c r="AU2399" s="3" t="str">
        <f>IF(Registered!AE2399=0,"",IF(Registered!AE2399=1,Registered!AE2399&amp;" Bandana",Registered!AE2399&amp;" Bandanas"))</f>
        <v/>
      </c>
      <c r="AV2399" s="3">
        <f t="shared" si="113"/>
        <v>0</v>
      </c>
      <c r="AW2399" s="2" t="str">
        <f>IF(Registered!AV2399=0,"",IF(Registered!AV2399=1,Registered!AV2399&amp;" Meal",Registered!AV2399&amp;" Meals"))</f>
        <v/>
      </c>
      <c r="AX2399" s="2" t="str">
        <f>IF(Registered!AI2399=0,"",Registered!AI2399&amp;" BG")</f>
        <v/>
      </c>
      <c r="AY2399" s="2" t="str">
        <f>IF(Registered!AG2399=0,"",Registered!AG2399&amp;" DustMask")</f>
        <v/>
      </c>
    </row>
    <row r="2400" spans="1:51" customFormat="1" x14ac:dyDescent="0.25">
      <c r="A2400" t="s">
        <v>292</v>
      </c>
      <c r="B2400" t="s">
        <v>5805</v>
      </c>
      <c r="C2400" t="s">
        <v>6090</v>
      </c>
      <c r="G2400" t="s">
        <v>485</v>
      </c>
      <c r="H2400" t="s">
        <v>5211</v>
      </c>
      <c r="I2400" t="s">
        <v>5212</v>
      </c>
      <c r="J2400" t="s">
        <v>37</v>
      </c>
      <c r="K2400" t="s">
        <v>32</v>
      </c>
      <c r="L2400" t="s">
        <v>35</v>
      </c>
      <c r="AQ2400">
        <v>0</v>
      </c>
      <c r="AR2400" s="3">
        <f t="shared" si="111"/>
        <v>0</v>
      </c>
      <c r="AS2400" s="3">
        <f t="shared" si="112"/>
        <v>0</v>
      </c>
      <c r="AT2400" s="3" t="str">
        <f>IF(OR(Registered!AM2400&gt;0,Registered!AO2400&gt;0),(IF(Registered!E2400=0,"Size Not Specified",Registered!E2400)),"")</f>
        <v/>
      </c>
      <c r="AU2400" s="3" t="str">
        <f>IF(Registered!AE2400=0,"",IF(Registered!AE2400=1,Registered!AE2400&amp;" Bandana",Registered!AE2400&amp;" Bandanas"))</f>
        <v/>
      </c>
      <c r="AV2400" s="3">
        <f t="shared" si="113"/>
        <v>0</v>
      </c>
      <c r="AW2400" s="2" t="str">
        <f>IF(Registered!AV2400=0,"",IF(Registered!AV2400=1,Registered!AV2400&amp;" Meal",Registered!AV2400&amp;" Meals"))</f>
        <v/>
      </c>
      <c r="AX2400" s="2" t="str">
        <f>IF(Registered!AI2400=0,"",Registered!AI2400&amp;" BG")</f>
        <v/>
      </c>
      <c r="AY2400" s="2" t="str">
        <f>IF(Registered!AG2400=0,"",Registered!AG2400&amp;" DustMask")</f>
        <v/>
      </c>
    </row>
    <row r="2401" spans="1:51" customFormat="1" x14ac:dyDescent="0.25">
      <c r="A2401" t="s">
        <v>5806</v>
      </c>
      <c r="B2401" t="s">
        <v>5807</v>
      </c>
      <c r="C2401" t="s">
        <v>6090</v>
      </c>
      <c r="I2401" t="s">
        <v>5808</v>
      </c>
      <c r="J2401" t="s">
        <v>37</v>
      </c>
      <c r="K2401" t="s">
        <v>32</v>
      </c>
      <c r="L2401" t="s">
        <v>35</v>
      </c>
      <c r="Q2401">
        <v>1</v>
      </c>
      <c r="R2401">
        <v>3</v>
      </c>
      <c r="AQ2401">
        <v>3</v>
      </c>
      <c r="AR2401" s="3">
        <f t="shared" si="111"/>
        <v>0</v>
      </c>
      <c r="AS2401" s="3">
        <f t="shared" si="112"/>
        <v>0</v>
      </c>
      <c r="AT2401" s="3" t="str">
        <f>IF(OR(Registered!AM2401&gt;0,Registered!AO2401&gt;0),(IF(Registered!E2401=0,"Size Not Specified",Registered!E2401)),"")</f>
        <v/>
      </c>
      <c r="AU2401" s="3" t="str">
        <f>IF(Registered!AE2401=0,"",IF(Registered!AE2401=1,Registered!AE2401&amp;" Bandana",Registered!AE2401&amp;" Bandanas"))</f>
        <v/>
      </c>
      <c r="AV2401" s="3">
        <f t="shared" si="113"/>
        <v>0</v>
      </c>
      <c r="AW2401" s="2" t="str">
        <f>IF(Registered!AV2401=0,"",IF(Registered!AV2401=1,Registered!AV2401&amp;" Meal",Registered!AV2401&amp;" Meals"))</f>
        <v/>
      </c>
      <c r="AX2401" s="2" t="str">
        <f>IF(Registered!AI2401=0,"",Registered!AI2401&amp;" BG")</f>
        <v/>
      </c>
      <c r="AY2401" s="2" t="str">
        <f>IF(Registered!AG2401=0,"",Registered!AG2401&amp;" DustMask")</f>
        <v/>
      </c>
    </row>
    <row r="2402" spans="1:51" customFormat="1" x14ac:dyDescent="0.25">
      <c r="A2402" t="s">
        <v>970</v>
      </c>
      <c r="B2402" t="s">
        <v>3432</v>
      </c>
      <c r="C2402" t="s">
        <v>6090</v>
      </c>
      <c r="G2402" t="s">
        <v>4649</v>
      </c>
      <c r="H2402" t="s">
        <v>223</v>
      </c>
      <c r="I2402" t="s">
        <v>4650</v>
      </c>
      <c r="J2402" t="s">
        <v>37</v>
      </c>
      <c r="K2402" t="s">
        <v>32</v>
      </c>
      <c r="L2402" t="s">
        <v>35</v>
      </c>
      <c r="AQ2402">
        <v>0</v>
      </c>
      <c r="AR2402" s="3">
        <f t="shared" si="111"/>
        <v>0</v>
      </c>
      <c r="AS2402" s="3">
        <f t="shared" si="112"/>
        <v>0</v>
      </c>
      <c r="AT2402" s="3" t="str">
        <f>IF(OR(Registered!AM2402&gt;0,Registered!AO2402&gt;0),(IF(Registered!E2402=0,"Size Not Specified",Registered!E2402)),"")</f>
        <v/>
      </c>
      <c r="AU2402" s="3" t="str">
        <f>IF(Registered!AE2402=0,"",IF(Registered!AE2402=1,Registered!AE2402&amp;" Bandana",Registered!AE2402&amp;" Bandanas"))</f>
        <v/>
      </c>
      <c r="AV2402" s="3">
        <f t="shared" si="113"/>
        <v>0</v>
      </c>
      <c r="AW2402" s="2" t="str">
        <f>IF(Registered!AV2402=0,"",IF(Registered!AV2402=1,Registered!AV2402&amp;" Meal",Registered!AV2402&amp;" Meals"))</f>
        <v/>
      </c>
      <c r="AX2402" s="2" t="str">
        <f>IF(Registered!AI2402=0,"",Registered!AI2402&amp;" BG")</f>
        <v/>
      </c>
      <c r="AY2402" s="2" t="str">
        <f>IF(Registered!AG2402=0,"",Registered!AG2402&amp;" DustMask")</f>
        <v/>
      </c>
    </row>
    <row r="2403" spans="1:51" customFormat="1" x14ac:dyDescent="0.25">
      <c r="A2403" t="s">
        <v>5809</v>
      </c>
      <c r="B2403" t="s">
        <v>5810</v>
      </c>
      <c r="C2403" t="s">
        <v>6090</v>
      </c>
      <c r="D2403" t="s">
        <v>5809</v>
      </c>
      <c r="F2403" t="s">
        <v>261</v>
      </c>
      <c r="I2403" t="s">
        <v>5811</v>
      </c>
      <c r="J2403" t="s">
        <v>37</v>
      </c>
      <c r="K2403" t="s">
        <v>32</v>
      </c>
      <c r="L2403" t="s">
        <v>35</v>
      </c>
      <c r="Q2403">
        <v>2</v>
      </c>
      <c r="R2403">
        <v>3</v>
      </c>
      <c r="U2403">
        <v>1</v>
      </c>
      <c r="V2403">
        <v>20</v>
      </c>
      <c r="AC2403">
        <v>1</v>
      </c>
      <c r="AD2403">
        <v>10</v>
      </c>
      <c r="AQ2403">
        <v>36</v>
      </c>
      <c r="AR2403" s="3">
        <f t="shared" si="111"/>
        <v>15</v>
      </c>
      <c r="AS2403" s="3">
        <f t="shared" si="112"/>
        <v>0</v>
      </c>
      <c r="AT2403" s="3" t="str">
        <f>IF(OR(Registered!AM2403&gt;0,Registered!AO2403&gt;0),(IF(Registered!E2403=0,"Size Not Specified",Registered!E2403)),"")</f>
        <v/>
      </c>
      <c r="AU2403" s="3" t="str">
        <f>IF(Registered!AE2403=0,"",IF(Registered!AE2403=1,Registered!AE2403&amp;" Bandana",Registered!AE2403&amp;" Bandanas"))</f>
        <v/>
      </c>
      <c r="AV2403" s="3">
        <f t="shared" si="113"/>
        <v>0</v>
      </c>
      <c r="AW2403" s="2" t="str">
        <f>IF(Registered!AV2403=0,"",IF(Registered!AV2403=1,Registered!AV2403&amp;" Meal",Registered!AV2403&amp;" Meals"))</f>
        <v/>
      </c>
      <c r="AX2403" s="2" t="str">
        <f>IF(Registered!AI2403=0,"",Registered!AI2403&amp;" BG")</f>
        <v/>
      </c>
      <c r="AY2403" s="2" t="str">
        <f>IF(Registered!AG2403=0,"",Registered!AG2403&amp;" DustMask")</f>
        <v/>
      </c>
    </row>
    <row r="2404" spans="1:51" customFormat="1" x14ac:dyDescent="0.25">
      <c r="A2404" t="s">
        <v>381</v>
      </c>
      <c r="B2404" t="s">
        <v>5810</v>
      </c>
      <c r="C2404" t="s">
        <v>6090</v>
      </c>
      <c r="G2404" t="s">
        <v>5809</v>
      </c>
      <c r="H2404" t="s">
        <v>5810</v>
      </c>
      <c r="I2404" t="s">
        <v>5811</v>
      </c>
      <c r="J2404" t="s">
        <v>37</v>
      </c>
      <c r="K2404" t="s">
        <v>32</v>
      </c>
      <c r="L2404" t="s">
        <v>35</v>
      </c>
      <c r="AQ2404">
        <v>0</v>
      </c>
      <c r="AR2404" s="3">
        <f t="shared" si="111"/>
        <v>0</v>
      </c>
      <c r="AS2404" s="3">
        <f t="shared" si="112"/>
        <v>0</v>
      </c>
      <c r="AT2404" s="3" t="str">
        <f>IF(OR(Registered!AM2404&gt;0,Registered!AO2404&gt;0),(IF(Registered!E2404=0,"Size Not Specified",Registered!E2404)),"")</f>
        <v/>
      </c>
      <c r="AU2404" s="3" t="str">
        <f>IF(Registered!AE2404=0,"",IF(Registered!AE2404=1,Registered!AE2404&amp;" Bandana",Registered!AE2404&amp;" Bandanas"))</f>
        <v/>
      </c>
      <c r="AV2404" s="3">
        <f t="shared" si="113"/>
        <v>0</v>
      </c>
      <c r="AW2404" s="2" t="str">
        <f>IF(Registered!AV2404=0,"",IF(Registered!AV2404=1,Registered!AV2404&amp;" Meal",Registered!AV2404&amp;" Meals"))</f>
        <v/>
      </c>
      <c r="AX2404" s="2" t="str">
        <f>IF(Registered!AI2404=0,"",Registered!AI2404&amp;" BG")</f>
        <v/>
      </c>
      <c r="AY2404" s="2" t="str">
        <f>IF(Registered!AG2404=0,"",Registered!AG2404&amp;" DustMask")</f>
        <v/>
      </c>
    </row>
    <row r="2405" spans="1:51" customFormat="1" x14ac:dyDescent="0.25">
      <c r="A2405" t="s">
        <v>4952</v>
      </c>
      <c r="B2405" t="s">
        <v>4953</v>
      </c>
      <c r="C2405" t="s">
        <v>6090</v>
      </c>
      <c r="D2405" t="s">
        <v>4952</v>
      </c>
      <c r="F2405" t="s">
        <v>261</v>
      </c>
      <c r="I2405" t="s">
        <v>4954</v>
      </c>
      <c r="J2405" t="s">
        <v>37</v>
      </c>
      <c r="K2405" t="s">
        <v>32</v>
      </c>
      <c r="L2405" t="s">
        <v>35</v>
      </c>
      <c r="Q2405">
        <v>5</v>
      </c>
      <c r="R2405">
        <v>3</v>
      </c>
      <c r="W2405">
        <v>1</v>
      </c>
      <c r="X2405">
        <v>40</v>
      </c>
      <c r="AG2405">
        <v>2</v>
      </c>
      <c r="AH2405">
        <v>1</v>
      </c>
      <c r="AQ2405">
        <v>57</v>
      </c>
      <c r="AR2405" s="3">
        <f t="shared" si="111"/>
        <v>20</v>
      </c>
      <c r="AS2405" s="3">
        <f t="shared" si="112"/>
        <v>0</v>
      </c>
      <c r="AT2405" s="3" t="str">
        <f>IF(OR(Registered!AM2405&gt;0,Registered!AO2405&gt;0),(IF(Registered!E2405=0,"Size Not Specified",Registered!E2405)),"")</f>
        <v/>
      </c>
      <c r="AU2405" s="3" t="str">
        <f>IF(Registered!AE2405=0,"",IF(Registered!AE2405=1,Registered!AE2405&amp;" Bandana",Registered!AE2405&amp;" Bandanas"))</f>
        <v/>
      </c>
      <c r="AV2405" s="3">
        <f t="shared" si="113"/>
        <v>0</v>
      </c>
      <c r="AW2405" s="2" t="str">
        <f>IF(Registered!AV2405=0,"",IF(Registered!AV2405=1,Registered!AV2405&amp;" Meal",Registered!AV2405&amp;" Meals"))</f>
        <v/>
      </c>
      <c r="AX2405" s="2" t="str">
        <f>IF(Registered!AI2405=0,"",Registered!AI2405&amp;" BG")</f>
        <v/>
      </c>
      <c r="AY2405" s="2" t="str">
        <f>IF(Registered!AG2405=0,"",Registered!AG2405&amp;" DustMask")</f>
        <v>2 DustMask</v>
      </c>
    </row>
    <row r="2406" spans="1:51" customFormat="1" x14ac:dyDescent="0.25">
      <c r="A2406" t="s">
        <v>4169</v>
      </c>
      <c r="B2406" t="s">
        <v>4953</v>
      </c>
      <c r="C2406" t="s">
        <v>6090</v>
      </c>
      <c r="G2406" t="s">
        <v>4952</v>
      </c>
      <c r="H2406" t="s">
        <v>4953</v>
      </c>
      <c r="I2406" t="s">
        <v>4954</v>
      </c>
      <c r="J2406" t="s">
        <v>37</v>
      </c>
      <c r="K2406" t="s">
        <v>32</v>
      </c>
      <c r="L2406" t="s">
        <v>35</v>
      </c>
      <c r="AQ2406">
        <v>0</v>
      </c>
      <c r="AR2406" s="3">
        <f t="shared" si="111"/>
        <v>0</v>
      </c>
      <c r="AS2406" s="3">
        <f t="shared" si="112"/>
        <v>0</v>
      </c>
      <c r="AT2406" s="3" t="str">
        <f>IF(OR(Registered!AM2406&gt;0,Registered!AO2406&gt;0),(IF(Registered!E2406=0,"Size Not Specified",Registered!E2406)),"")</f>
        <v/>
      </c>
      <c r="AU2406" s="3" t="str">
        <f>IF(Registered!AE2406=0,"",IF(Registered!AE2406=1,Registered!AE2406&amp;" Bandana",Registered!AE2406&amp;" Bandanas"))</f>
        <v/>
      </c>
      <c r="AV2406" s="3">
        <f t="shared" si="113"/>
        <v>0</v>
      </c>
      <c r="AW2406" s="2" t="str">
        <f>IF(Registered!AV2406=0,"",IF(Registered!AV2406=1,Registered!AV2406&amp;" Meal",Registered!AV2406&amp;" Meals"))</f>
        <v/>
      </c>
      <c r="AX2406" s="2" t="str">
        <f>IF(Registered!AI2406=0,"",Registered!AI2406&amp;" BG")</f>
        <v/>
      </c>
      <c r="AY2406" s="2" t="str">
        <f>IF(Registered!AG2406=0,"",Registered!AG2406&amp;" DustMask")</f>
        <v/>
      </c>
    </row>
    <row r="2407" spans="1:51" customFormat="1" x14ac:dyDescent="0.25">
      <c r="A2407" t="s">
        <v>5812</v>
      </c>
      <c r="B2407" t="s">
        <v>5813</v>
      </c>
      <c r="C2407" t="s">
        <v>6090</v>
      </c>
      <c r="G2407" t="s">
        <v>3545</v>
      </c>
      <c r="H2407" t="s">
        <v>3546</v>
      </c>
      <c r="I2407" t="s">
        <v>3547</v>
      </c>
      <c r="J2407" t="s">
        <v>37</v>
      </c>
      <c r="K2407" t="s">
        <v>32</v>
      </c>
      <c r="L2407" t="s">
        <v>35</v>
      </c>
      <c r="AQ2407">
        <v>0</v>
      </c>
      <c r="AR2407" s="3">
        <f t="shared" si="111"/>
        <v>0</v>
      </c>
      <c r="AS2407" s="3">
        <f t="shared" si="112"/>
        <v>0</v>
      </c>
      <c r="AT2407" s="3" t="str">
        <f>IF(OR(Registered!AM2407&gt;0,Registered!AO2407&gt;0),(IF(Registered!E2407=0,"Size Not Specified",Registered!E2407)),"")</f>
        <v/>
      </c>
      <c r="AU2407" s="3" t="str">
        <f>IF(Registered!AE2407=0,"",IF(Registered!AE2407=1,Registered!AE2407&amp;" Bandana",Registered!AE2407&amp;" Bandanas"))</f>
        <v/>
      </c>
      <c r="AV2407" s="3">
        <f t="shared" si="113"/>
        <v>0</v>
      </c>
      <c r="AW2407" s="2" t="str">
        <f>IF(Registered!AV2407=0,"",IF(Registered!AV2407=1,Registered!AV2407&amp;" Meal",Registered!AV2407&amp;" Meals"))</f>
        <v/>
      </c>
      <c r="AX2407" s="2" t="str">
        <f>IF(Registered!AI2407=0,"",Registered!AI2407&amp;" BG")</f>
        <v/>
      </c>
      <c r="AY2407" s="2" t="str">
        <f>IF(Registered!AG2407=0,"",Registered!AG2407&amp;" DustMask")</f>
        <v/>
      </c>
    </row>
    <row r="2408" spans="1:51" customFormat="1" x14ac:dyDescent="0.25">
      <c r="A2408" t="s">
        <v>92</v>
      </c>
      <c r="B2408" t="s">
        <v>292</v>
      </c>
      <c r="C2408" t="s">
        <v>6090</v>
      </c>
      <c r="G2408" t="s">
        <v>159</v>
      </c>
      <c r="H2408" t="s">
        <v>2735</v>
      </c>
      <c r="I2408" t="s">
        <v>2738</v>
      </c>
      <c r="J2408" t="s">
        <v>37</v>
      </c>
      <c r="K2408" t="s">
        <v>32</v>
      </c>
      <c r="L2408" t="s">
        <v>35</v>
      </c>
      <c r="AQ2408">
        <v>0</v>
      </c>
      <c r="AR2408" s="3">
        <f t="shared" si="111"/>
        <v>0</v>
      </c>
      <c r="AS2408" s="3">
        <f t="shared" si="112"/>
        <v>0</v>
      </c>
      <c r="AT2408" s="3" t="str">
        <f>IF(OR(Registered!AM2408&gt;0,Registered!AO2408&gt;0),(IF(Registered!E2408=0,"Size Not Specified",Registered!E2408)),"")</f>
        <v/>
      </c>
      <c r="AU2408" s="3" t="str">
        <f>IF(Registered!AE2408=0,"",IF(Registered!AE2408=1,Registered!AE2408&amp;" Bandana",Registered!AE2408&amp;" Bandanas"))</f>
        <v/>
      </c>
      <c r="AV2408" s="3">
        <f t="shared" si="113"/>
        <v>0</v>
      </c>
      <c r="AW2408" s="2" t="str">
        <f>IF(Registered!AV2408=0,"",IF(Registered!AV2408=1,Registered!AV2408&amp;" Meal",Registered!AV2408&amp;" Meals"))</f>
        <v/>
      </c>
      <c r="AX2408" s="2" t="str">
        <f>IF(Registered!AI2408=0,"",Registered!AI2408&amp;" BG")</f>
        <v/>
      </c>
      <c r="AY2408" s="2" t="str">
        <f>IF(Registered!AG2408=0,"",Registered!AG2408&amp;" DustMask")</f>
        <v/>
      </c>
    </row>
    <row r="2409" spans="1:51" customFormat="1" x14ac:dyDescent="0.25">
      <c r="A2409" t="s">
        <v>5814</v>
      </c>
      <c r="B2409" t="s">
        <v>292</v>
      </c>
      <c r="C2409" t="s">
        <v>6090</v>
      </c>
      <c r="G2409" t="s">
        <v>316</v>
      </c>
      <c r="H2409" t="s">
        <v>1491</v>
      </c>
      <c r="I2409" t="s">
        <v>4197</v>
      </c>
      <c r="J2409" t="s">
        <v>37</v>
      </c>
      <c r="K2409" t="s">
        <v>32</v>
      </c>
      <c r="L2409" t="s">
        <v>35</v>
      </c>
      <c r="AQ2409">
        <v>0</v>
      </c>
      <c r="AR2409" s="3">
        <f t="shared" si="111"/>
        <v>0</v>
      </c>
      <c r="AS2409" s="3">
        <f t="shared" si="112"/>
        <v>0</v>
      </c>
      <c r="AT2409" s="3" t="str">
        <f>IF(OR(Registered!AM2409&gt;0,Registered!AO2409&gt;0),(IF(Registered!E2409=0,"Size Not Specified",Registered!E2409)),"")</f>
        <v/>
      </c>
      <c r="AU2409" s="3" t="str">
        <f>IF(Registered!AE2409=0,"",IF(Registered!AE2409=1,Registered!AE2409&amp;" Bandana",Registered!AE2409&amp;" Bandanas"))</f>
        <v/>
      </c>
      <c r="AV2409" s="3">
        <f t="shared" si="113"/>
        <v>0</v>
      </c>
      <c r="AW2409" s="2" t="str">
        <f>IF(Registered!AV2409=0,"",IF(Registered!AV2409=1,Registered!AV2409&amp;" Meal",Registered!AV2409&amp;" Meals"))</f>
        <v/>
      </c>
      <c r="AX2409" s="2" t="str">
        <f>IF(Registered!AI2409=0,"",Registered!AI2409&amp;" BG")</f>
        <v/>
      </c>
      <c r="AY2409" s="2" t="str">
        <f>IF(Registered!AG2409=0,"",Registered!AG2409&amp;" DustMask")</f>
        <v/>
      </c>
    </row>
    <row r="2410" spans="1:51" customFormat="1" x14ac:dyDescent="0.25">
      <c r="A2410" t="s">
        <v>156</v>
      </c>
      <c r="B2410" t="s">
        <v>292</v>
      </c>
      <c r="C2410" t="s">
        <v>6090</v>
      </c>
      <c r="G2410" t="s">
        <v>179</v>
      </c>
      <c r="H2410" t="s">
        <v>292</v>
      </c>
      <c r="I2410" t="s">
        <v>2469</v>
      </c>
      <c r="J2410" t="s">
        <v>37</v>
      </c>
      <c r="K2410" t="s">
        <v>32</v>
      </c>
      <c r="L2410" t="s">
        <v>35</v>
      </c>
      <c r="AQ2410">
        <v>0</v>
      </c>
      <c r="AR2410" s="3">
        <f t="shared" si="111"/>
        <v>0</v>
      </c>
      <c r="AS2410" s="3">
        <f t="shared" si="112"/>
        <v>0</v>
      </c>
      <c r="AT2410" s="3" t="str">
        <f>IF(OR(Registered!AM2410&gt;0,Registered!AO2410&gt;0),(IF(Registered!E2410=0,"Size Not Specified",Registered!E2410)),"")</f>
        <v/>
      </c>
      <c r="AU2410" s="3" t="str">
        <f>IF(Registered!AE2410=0,"",IF(Registered!AE2410=1,Registered!AE2410&amp;" Bandana",Registered!AE2410&amp;" Bandanas"))</f>
        <v/>
      </c>
      <c r="AV2410" s="3">
        <f t="shared" si="113"/>
        <v>0</v>
      </c>
      <c r="AW2410" s="2" t="str">
        <f>IF(Registered!AV2410=0,"",IF(Registered!AV2410=1,Registered!AV2410&amp;" Meal",Registered!AV2410&amp;" Meals"))</f>
        <v/>
      </c>
      <c r="AX2410" s="2" t="str">
        <f>IF(Registered!AI2410=0,"",Registered!AI2410&amp;" BG")</f>
        <v/>
      </c>
      <c r="AY2410" s="2" t="str">
        <f>IF(Registered!AG2410=0,"",Registered!AG2410&amp;" DustMask")</f>
        <v/>
      </c>
    </row>
    <row r="2411" spans="1:51" customFormat="1" x14ac:dyDescent="0.25">
      <c r="A2411" t="s">
        <v>436</v>
      </c>
      <c r="B2411" t="s">
        <v>292</v>
      </c>
      <c r="C2411" t="s">
        <v>6090</v>
      </c>
      <c r="D2411" t="s">
        <v>2470</v>
      </c>
      <c r="E2411" t="s">
        <v>2471</v>
      </c>
      <c r="I2411" t="s">
        <v>2472</v>
      </c>
      <c r="J2411" t="s">
        <v>37</v>
      </c>
      <c r="K2411" t="s">
        <v>32</v>
      </c>
      <c r="L2411" t="s">
        <v>35</v>
      </c>
      <c r="O2411">
        <v>1</v>
      </c>
      <c r="P2411">
        <v>3</v>
      </c>
      <c r="AC2411">
        <v>2</v>
      </c>
      <c r="AD2411">
        <v>10</v>
      </c>
      <c r="AO2411">
        <v>2</v>
      </c>
      <c r="AP2411">
        <v>10</v>
      </c>
      <c r="AQ2411">
        <v>43</v>
      </c>
      <c r="AR2411" s="3">
        <f t="shared" si="111"/>
        <v>10</v>
      </c>
      <c r="AS2411" s="3">
        <f t="shared" si="112"/>
        <v>2</v>
      </c>
      <c r="AT2411" s="3" t="str">
        <f>IF(OR(Registered!AM2411&gt;0,Registered!AO2411&gt;0),(IF(Registered!E2411=0,"Size Not Specified",Registered!E2411)),"")</f>
        <v>both sizes large</v>
      </c>
      <c r="AU2411" s="3" t="str">
        <f>IF(Registered!AE2411=0,"",IF(Registered!AE2411=1,Registered!AE2411&amp;" Bandana",Registered!AE2411&amp;" Bandanas"))</f>
        <v/>
      </c>
      <c r="AV2411" s="3">
        <f t="shared" si="113"/>
        <v>0</v>
      </c>
      <c r="AW2411" s="2" t="str">
        <f>IF(Registered!AV2411=0,"",IF(Registered!AV2411=1,Registered!AV2411&amp;" Meal",Registered!AV2411&amp;" Meals"))</f>
        <v/>
      </c>
      <c r="AX2411" s="2" t="str">
        <f>IF(Registered!AI2411=0,"",Registered!AI2411&amp;" BG")</f>
        <v/>
      </c>
      <c r="AY2411" s="2" t="str">
        <f>IF(Registered!AG2411=0,"",Registered!AG2411&amp;" DustMask")</f>
        <v/>
      </c>
    </row>
    <row r="2412" spans="1:51" customFormat="1" x14ac:dyDescent="0.25">
      <c r="A2412" t="s">
        <v>2733</v>
      </c>
      <c r="B2412" t="s">
        <v>292</v>
      </c>
      <c r="C2412" t="s">
        <v>6090</v>
      </c>
      <c r="F2412" t="s">
        <v>261</v>
      </c>
      <c r="I2412" t="s">
        <v>5815</v>
      </c>
      <c r="J2412" t="s">
        <v>37</v>
      </c>
      <c r="K2412" t="s">
        <v>32</v>
      </c>
      <c r="L2412" t="s">
        <v>35</v>
      </c>
      <c r="Q2412">
        <v>1</v>
      </c>
      <c r="R2412">
        <v>3</v>
      </c>
      <c r="AQ2412">
        <v>3</v>
      </c>
      <c r="AR2412" s="3">
        <f t="shared" si="111"/>
        <v>0</v>
      </c>
      <c r="AS2412" s="3">
        <f t="shared" si="112"/>
        <v>0</v>
      </c>
      <c r="AT2412" s="3" t="str">
        <f>IF(OR(Registered!AM2412&gt;0,Registered!AO2412&gt;0),(IF(Registered!E2412=0,"Size Not Specified",Registered!E2412)),"")</f>
        <v/>
      </c>
      <c r="AU2412" s="3" t="str">
        <f>IF(Registered!AE2412=0,"",IF(Registered!AE2412=1,Registered!AE2412&amp;" Bandana",Registered!AE2412&amp;" Bandanas"))</f>
        <v/>
      </c>
      <c r="AV2412" s="3">
        <f t="shared" si="113"/>
        <v>0</v>
      </c>
      <c r="AW2412" s="2" t="str">
        <f>IF(Registered!AV2412=0,"",IF(Registered!AV2412=1,Registered!AV2412&amp;" Meal",Registered!AV2412&amp;" Meals"))</f>
        <v/>
      </c>
      <c r="AX2412" s="2" t="str">
        <f>IF(Registered!AI2412=0,"",Registered!AI2412&amp;" BG")</f>
        <v/>
      </c>
      <c r="AY2412" s="2" t="str">
        <f>IF(Registered!AG2412=0,"",Registered!AG2412&amp;" DustMask")</f>
        <v/>
      </c>
    </row>
    <row r="2413" spans="1:51" customFormat="1" x14ac:dyDescent="0.25">
      <c r="A2413" t="s">
        <v>179</v>
      </c>
      <c r="B2413" t="s">
        <v>292</v>
      </c>
      <c r="C2413" t="s">
        <v>6090</v>
      </c>
      <c r="D2413" t="s">
        <v>2473</v>
      </c>
      <c r="I2413" t="s">
        <v>2469</v>
      </c>
      <c r="J2413" t="s">
        <v>37</v>
      </c>
      <c r="K2413" t="s">
        <v>32</v>
      </c>
      <c r="L2413" t="s">
        <v>35</v>
      </c>
      <c r="O2413">
        <v>2</v>
      </c>
      <c r="P2413">
        <v>3</v>
      </c>
      <c r="U2413">
        <v>1</v>
      </c>
      <c r="V2413">
        <v>20</v>
      </c>
      <c r="AQ2413">
        <v>26</v>
      </c>
      <c r="AR2413" s="3">
        <f t="shared" si="111"/>
        <v>10</v>
      </c>
      <c r="AS2413" s="3">
        <f t="shared" si="112"/>
        <v>0</v>
      </c>
      <c r="AT2413" s="3" t="str">
        <f>IF(OR(Registered!AM2413&gt;0,Registered!AO2413&gt;0),(IF(Registered!E2413=0,"Size Not Specified",Registered!E2413)),"")</f>
        <v/>
      </c>
      <c r="AU2413" s="3" t="str">
        <f>IF(Registered!AE2413=0,"",IF(Registered!AE2413=1,Registered!AE2413&amp;" Bandana",Registered!AE2413&amp;" Bandanas"))</f>
        <v/>
      </c>
      <c r="AV2413" s="3">
        <f t="shared" si="113"/>
        <v>0</v>
      </c>
      <c r="AW2413" s="2" t="str">
        <f>IF(Registered!AV2413=0,"",IF(Registered!AV2413=1,Registered!AV2413&amp;" Meal",Registered!AV2413&amp;" Meals"))</f>
        <v/>
      </c>
      <c r="AX2413" s="2" t="str">
        <f>IF(Registered!AI2413=0,"",Registered!AI2413&amp;" BG")</f>
        <v/>
      </c>
      <c r="AY2413" s="2" t="str">
        <f>IF(Registered!AG2413=0,"",Registered!AG2413&amp;" DustMask")</f>
        <v/>
      </c>
    </row>
    <row r="2414" spans="1:51" customFormat="1" x14ac:dyDescent="0.25">
      <c r="A2414" t="s">
        <v>5816</v>
      </c>
      <c r="B2414" t="s">
        <v>292</v>
      </c>
      <c r="C2414" t="s">
        <v>6090</v>
      </c>
      <c r="G2414" t="s">
        <v>4340</v>
      </c>
      <c r="H2414" t="s">
        <v>4341</v>
      </c>
      <c r="I2414" t="s">
        <v>4343</v>
      </c>
      <c r="J2414" t="s">
        <v>37</v>
      </c>
      <c r="K2414" t="s">
        <v>32</v>
      </c>
      <c r="L2414" t="s">
        <v>35</v>
      </c>
      <c r="AQ2414">
        <v>0</v>
      </c>
      <c r="AR2414" s="3">
        <f t="shared" si="111"/>
        <v>0</v>
      </c>
      <c r="AS2414" s="3">
        <f t="shared" si="112"/>
        <v>0</v>
      </c>
      <c r="AT2414" s="3" t="str">
        <f>IF(OR(Registered!AM2414&gt;0,Registered!AO2414&gt;0),(IF(Registered!E2414=0,"Size Not Specified",Registered!E2414)),"")</f>
        <v/>
      </c>
      <c r="AU2414" s="3" t="str">
        <f>IF(Registered!AE2414=0,"",IF(Registered!AE2414=1,Registered!AE2414&amp;" Bandana",Registered!AE2414&amp;" Bandanas"))</f>
        <v/>
      </c>
      <c r="AV2414" s="3">
        <f t="shared" si="113"/>
        <v>0</v>
      </c>
      <c r="AW2414" s="2" t="str">
        <f>IF(Registered!AV2414=0,"",IF(Registered!AV2414=1,Registered!AV2414&amp;" Meal",Registered!AV2414&amp;" Meals"))</f>
        <v/>
      </c>
      <c r="AX2414" s="2" t="str">
        <f>IF(Registered!AI2414=0,"",Registered!AI2414&amp;" BG")</f>
        <v/>
      </c>
      <c r="AY2414" s="2" t="str">
        <f>IF(Registered!AG2414=0,"",Registered!AG2414&amp;" DustMask")</f>
        <v/>
      </c>
    </row>
    <row r="2415" spans="1:51" customFormat="1" x14ac:dyDescent="0.25">
      <c r="A2415" t="s">
        <v>5817</v>
      </c>
      <c r="B2415" t="s">
        <v>292</v>
      </c>
      <c r="C2415" t="s">
        <v>6090</v>
      </c>
      <c r="G2415" t="s">
        <v>4340</v>
      </c>
      <c r="H2415" t="s">
        <v>4341</v>
      </c>
      <c r="I2415" t="s">
        <v>4343</v>
      </c>
      <c r="J2415" t="s">
        <v>37</v>
      </c>
      <c r="K2415" t="s">
        <v>32</v>
      </c>
      <c r="L2415" t="s">
        <v>35</v>
      </c>
      <c r="AQ2415">
        <v>0</v>
      </c>
      <c r="AR2415" s="3">
        <f t="shared" si="111"/>
        <v>0</v>
      </c>
      <c r="AS2415" s="3">
        <f t="shared" si="112"/>
        <v>0</v>
      </c>
      <c r="AT2415" s="3" t="str">
        <f>IF(OR(Registered!AM2415&gt;0,Registered!AO2415&gt;0),(IF(Registered!E2415=0,"Size Not Specified",Registered!E2415)),"")</f>
        <v/>
      </c>
      <c r="AU2415" s="3" t="str">
        <f>IF(Registered!AE2415=0,"",IF(Registered!AE2415=1,Registered!AE2415&amp;" Bandana",Registered!AE2415&amp;" Bandanas"))</f>
        <v/>
      </c>
      <c r="AV2415" s="3">
        <f t="shared" si="113"/>
        <v>0</v>
      </c>
      <c r="AW2415" s="2" t="str">
        <f>IF(Registered!AV2415=0,"",IF(Registered!AV2415=1,Registered!AV2415&amp;" Meal",Registered!AV2415&amp;" Meals"))</f>
        <v/>
      </c>
      <c r="AX2415" s="2" t="str">
        <f>IF(Registered!AI2415=0,"",Registered!AI2415&amp;" BG")</f>
        <v/>
      </c>
      <c r="AY2415" s="2" t="str">
        <f>IF(Registered!AG2415=0,"",Registered!AG2415&amp;" DustMask")</f>
        <v/>
      </c>
    </row>
    <row r="2416" spans="1:51" customFormat="1" x14ac:dyDescent="0.25">
      <c r="A2416" t="s">
        <v>447</v>
      </c>
      <c r="B2416" t="s">
        <v>292</v>
      </c>
      <c r="C2416" t="s">
        <v>6090</v>
      </c>
      <c r="G2416" t="s">
        <v>440</v>
      </c>
      <c r="H2416" t="s">
        <v>824</v>
      </c>
      <c r="I2416" t="s">
        <v>825</v>
      </c>
      <c r="J2416" t="s">
        <v>37</v>
      </c>
      <c r="K2416" t="s">
        <v>32</v>
      </c>
      <c r="L2416" t="s">
        <v>35</v>
      </c>
      <c r="AQ2416">
        <v>0</v>
      </c>
      <c r="AR2416" s="3">
        <f t="shared" si="111"/>
        <v>0</v>
      </c>
      <c r="AS2416" s="3">
        <f t="shared" si="112"/>
        <v>0</v>
      </c>
      <c r="AT2416" s="3" t="str">
        <f>IF(OR(Registered!AM2416&gt;0,Registered!AO2416&gt;0),(IF(Registered!E2416=0,"Size Not Specified",Registered!E2416)),"")</f>
        <v/>
      </c>
      <c r="AU2416" s="3" t="str">
        <f>IF(Registered!AE2416=0,"",IF(Registered!AE2416=1,Registered!AE2416&amp;" Bandana",Registered!AE2416&amp;" Bandanas"))</f>
        <v/>
      </c>
      <c r="AV2416" s="3">
        <f t="shared" si="113"/>
        <v>0</v>
      </c>
      <c r="AW2416" s="2" t="str">
        <f>IF(Registered!AV2416=0,"",IF(Registered!AV2416=1,Registered!AV2416&amp;" Meal",Registered!AV2416&amp;" Meals"))</f>
        <v/>
      </c>
      <c r="AX2416" s="2" t="str">
        <f>IF(Registered!AI2416=0,"",Registered!AI2416&amp;" BG")</f>
        <v/>
      </c>
      <c r="AY2416" s="2" t="str">
        <f>IF(Registered!AG2416=0,"",Registered!AG2416&amp;" DustMask")</f>
        <v/>
      </c>
    </row>
    <row r="2417" spans="1:51" customFormat="1" x14ac:dyDescent="0.25">
      <c r="A2417" t="s">
        <v>300</v>
      </c>
      <c r="B2417" t="s">
        <v>2474</v>
      </c>
      <c r="C2417" t="s">
        <v>6090</v>
      </c>
      <c r="G2417" t="s">
        <v>93</v>
      </c>
      <c r="H2417" t="s">
        <v>505</v>
      </c>
      <c r="I2417" t="s">
        <v>1874</v>
      </c>
      <c r="J2417" t="s">
        <v>37</v>
      </c>
      <c r="K2417" t="s">
        <v>32</v>
      </c>
      <c r="L2417" t="s">
        <v>35</v>
      </c>
      <c r="AQ2417">
        <v>0</v>
      </c>
      <c r="AR2417" s="3">
        <f t="shared" si="111"/>
        <v>0</v>
      </c>
      <c r="AS2417" s="3">
        <f t="shared" si="112"/>
        <v>0</v>
      </c>
      <c r="AT2417" s="3" t="str">
        <f>IF(OR(Registered!AM2417&gt;0,Registered!AO2417&gt;0),(IF(Registered!E2417=0,"Size Not Specified",Registered!E2417)),"")</f>
        <v/>
      </c>
      <c r="AU2417" s="3" t="str">
        <f>IF(Registered!AE2417=0,"",IF(Registered!AE2417=1,Registered!AE2417&amp;" Bandana",Registered!AE2417&amp;" Bandanas"))</f>
        <v/>
      </c>
      <c r="AV2417" s="3">
        <f t="shared" si="113"/>
        <v>0</v>
      </c>
      <c r="AW2417" s="2" t="str">
        <f>IF(Registered!AV2417=0,"",IF(Registered!AV2417=1,Registered!AV2417&amp;" Meal",Registered!AV2417&amp;" Meals"))</f>
        <v/>
      </c>
      <c r="AX2417" s="2" t="str">
        <f>IF(Registered!AI2417=0,"",Registered!AI2417&amp;" BG")</f>
        <v/>
      </c>
      <c r="AY2417" s="2" t="str">
        <f>IF(Registered!AG2417=0,"",Registered!AG2417&amp;" DustMask")</f>
        <v/>
      </c>
    </row>
    <row r="2418" spans="1:51" customFormat="1" x14ac:dyDescent="0.25">
      <c r="A2418" t="s">
        <v>3439</v>
      </c>
      <c r="B2418" t="s">
        <v>3440</v>
      </c>
      <c r="C2418" t="s">
        <v>6090</v>
      </c>
      <c r="D2418" t="s">
        <v>3441</v>
      </c>
      <c r="F2418" t="s">
        <v>261</v>
      </c>
      <c r="I2418" t="s">
        <v>3442</v>
      </c>
      <c r="J2418" t="s">
        <v>37</v>
      </c>
      <c r="K2418" t="s">
        <v>32</v>
      </c>
      <c r="L2418" t="s">
        <v>35</v>
      </c>
      <c r="Q2418">
        <v>2</v>
      </c>
      <c r="R2418">
        <v>3</v>
      </c>
      <c r="U2418">
        <v>1</v>
      </c>
      <c r="V2418">
        <v>20</v>
      </c>
      <c r="AG2418">
        <v>2</v>
      </c>
      <c r="AH2418">
        <v>1</v>
      </c>
      <c r="AI2418">
        <v>1</v>
      </c>
      <c r="AJ2418">
        <v>10</v>
      </c>
      <c r="AQ2418">
        <v>38</v>
      </c>
      <c r="AR2418" s="3">
        <f t="shared" si="111"/>
        <v>10</v>
      </c>
      <c r="AS2418" s="3">
        <f t="shared" si="112"/>
        <v>0</v>
      </c>
      <c r="AT2418" s="3" t="str">
        <f>IF(OR(Registered!AM2418&gt;0,Registered!AO2418&gt;0),(IF(Registered!E2418=0,"Size Not Specified",Registered!E2418)),"")</f>
        <v/>
      </c>
      <c r="AU2418" s="3" t="str">
        <f>IF(Registered!AE2418=0,"",IF(Registered!AE2418=1,Registered!AE2418&amp;" Bandana",Registered!AE2418&amp;" Bandanas"))</f>
        <v/>
      </c>
      <c r="AV2418" s="3">
        <f t="shared" si="113"/>
        <v>0</v>
      </c>
      <c r="AW2418" s="2" t="str">
        <f>IF(Registered!AV2418=0,"",IF(Registered!AV2418=1,Registered!AV2418&amp;" Meal",Registered!AV2418&amp;" Meals"))</f>
        <v/>
      </c>
      <c r="AX2418" s="2" t="str">
        <f>IF(Registered!AI2418=0,"",Registered!AI2418&amp;" BG")</f>
        <v>1 BG</v>
      </c>
      <c r="AY2418" s="2" t="str">
        <f>IF(Registered!AG2418=0,"",Registered!AG2418&amp;" DustMask")</f>
        <v>2 DustMask</v>
      </c>
    </row>
    <row r="2419" spans="1:51" customFormat="1" x14ac:dyDescent="0.25">
      <c r="A2419" t="s">
        <v>121</v>
      </c>
      <c r="B2419" t="s">
        <v>3440</v>
      </c>
      <c r="C2419" t="s">
        <v>6090</v>
      </c>
      <c r="G2419" t="s">
        <v>3439</v>
      </c>
      <c r="H2419" t="s">
        <v>3440</v>
      </c>
      <c r="I2419" t="s">
        <v>3442</v>
      </c>
      <c r="J2419" t="s">
        <v>37</v>
      </c>
      <c r="K2419" t="s">
        <v>32</v>
      </c>
      <c r="L2419" t="s">
        <v>35</v>
      </c>
      <c r="AQ2419">
        <v>0</v>
      </c>
      <c r="AR2419" s="3">
        <f t="shared" si="111"/>
        <v>0</v>
      </c>
      <c r="AS2419" s="3">
        <f t="shared" si="112"/>
        <v>0</v>
      </c>
      <c r="AT2419" s="3" t="str">
        <f>IF(OR(Registered!AM2419&gt;0,Registered!AO2419&gt;0),(IF(Registered!E2419=0,"Size Not Specified",Registered!E2419)),"")</f>
        <v/>
      </c>
      <c r="AU2419" s="3" t="str">
        <f>IF(Registered!AE2419=0,"",IF(Registered!AE2419=1,Registered!AE2419&amp;" Bandana",Registered!AE2419&amp;" Bandanas"))</f>
        <v/>
      </c>
      <c r="AV2419" s="3">
        <f t="shared" si="113"/>
        <v>0</v>
      </c>
      <c r="AW2419" s="2" t="str">
        <f>IF(Registered!AV2419=0,"",IF(Registered!AV2419=1,Registered!AV2419&amp;" Meal",Registered!AV2419&amp;" Meals"))</f>
        <v/>
      </c>
      <c r="AX2419" s="2" t="str">
        <f>IF(Registered!AI2419=0,"",Registered!AI2419&amp;" BG")</f>
        <v/>
      </c>
      <c r="AY2419" s="2" t="str">
        <f>IF(Registered!AG2419=0,"",Registered!AG2419&amp;" DustMask")</f>
        <v/>
      </c>
    </row>
    <row r="2420" spans="1:51" customFormat="1" x14ac:dyDescent="0.25">
      <c r="A2420" t="s">
        <v>64</v>
      </c>
      <c r="B2420" t="s">
        <v>276</v>
      </c>
      <c r="C2420" t="s">
        <v>6090</v>
      </c>
      <c r="D2420" t="s">
        <v>5818</v>
      </c>
      <c r="F2420" t="s">
        <v>261</v>
      </c>
      <c r="I2420" t="s">
        <v>5440</v>
      </c>
      <c r="J2420" t="s">
        <v>37</v>
      </c>
      <c r="K2420" t="s">
        <v>32</v>
      </c>
      <c r="L2420" t="s">
        <v>35</v>
      </c>
      <c r="Q2420">
        <v>2</v>
      </c>
      <c r="R2420">
        <v>3</v>
      </c>
      <c r="U2420">
        <v>1</v>
      </c>
      <c r="V2420">
        <v>20</v>
      </c>
      <c r="AQ2420">
        <v>26</v>
      </c>
      <c r="AR2420" s="3">
        <f t="shared" si="111"/>
        <v>10</v>
      </c>
      <c r="AS2420" s="3">
        <f t="shared" si="112"/>
        <v>0</v>
      </c>
      <c r="AT2420" s="3" t="str">
        <f>IF(OR(Registered!AM2420&gt;0,Registered!AO2420&gt;0),(IF(Registered!E2420=0,"Size Not Specified",Registered!E2420)),"")</f>
        <v/>
      </c>
      <c r="AU2420" s="3" t="str">
        <f>IF(Registered!AE2420=0,"",IF(Registered!AE2420=1,Registered!AE2420&amp;" Bandana",Registered!AE2420&amp;" Bandanas"))</f>
        <v/>
      </c>
      <c r="AV2420" s="3">
        <f t="shared" si="113"/>
        <v>0</v>
      </c>
      <c r="AW2420" s="2" t="str">
        <f>IF(Registered!AV2420=0,"",IF(Registered!AV2420=1,Registered!AV2420&amp;" Meal",Registered!AV2420&amp;" Meals"))</f>
        <v/>
      </c>
      <c r="AX2420" s="2" t="str">
        <f>IF(Registered!AI2420=0,"",Registered!AI2420&amp;" BG")</f>
        <v/>
      </c>
      <c r="AY2420" s="2" t="str">
        <f>IF(Registered!AG2420=0,"",Registered!AG2420&amp;" DustMask")</f>
        <v/>
      </c>
    </row>
    <row r="2421" spans="1:51" customFormat="1" x14ac:dyDescent="0.25">
      <c r="A2421" t="s">
        <v>263</v>
      </c>
      <c r="B2421" t="s">
        <v>276</v>
      </c>
      <c r="C2421" t="s">
        <v>6090</v>
      </c>
      <c r="G2421" t="s">
        <v>250</v>
      </c>
      <c r="H2421" t="s">
        <v>1003</v>
      </c>
      <c r="I2421" t="s">
        <v>1442</v>
      </c>
      <c r="J2421" t="s">
        <v>37</v>
      </c>
      <c r="K2421" t="s">
        <v>32</v>
      </c>
      <c r="L2421" t="s">
        <v>35</v>
      </c>
      <c r="AQ2421">
        <v>0</v>
      </c>
      <c r="AR2421" s="3">
        <f t="shared" si="111"/>
        <v>0</v>
      </c>
      <c r="AS2421" s="3">
        <f t="shared" si="112"/>
        <v>0</v>
      </c>
      <c r="AT2421" s="3" t="str">
        <f>IF(OR(Registered!AM2421&gt;0,Registered!AO2421&gt;0),(IF(Registered!E2421=0,"Size Not Specified",Registered!E2421)),"")</f>
        <v/>
      </c>
      <c r="AU2421" s="3" t="str">
        <f>IF(Registered!AE2421=0,"",IF(Registered!AE2421=1,Registered!AE2421&amp;" Bandana",Registered!AE2421&amp;" Bandanas"))</f>
        <v/>
      </c>
      <c r="AV2421" s="3">
        <f t="shared" si="113"/>
        <v>0</v>
      </c>
      <c r="AW2421" s="2" t="str">
        <f>IF(Registered!AV2421=0,"",IF(Registered!AV2421=1,Registered!AV2421&amp;" Meal",Registered!AV2421&amp;" Meals"))</f>
        <v/>
      </c>
      <c r="AX2421" s="2" t="str">
        <f>IF(Registered!AI2421=0,"",Registered!AI2421&amp;" BG")</f>
        <v/>
      </c>
      <c r="AY2421" s="2" t="str">
        <f>IF(Registered!AG2421=0,"",Registered!AG2421&amp;" DustMask")</f>
        <v/>
      </c>
    </row>
    <row r="2422" spans="1:51" customFormat="1" x14ac:dyDescent="0.25">
      <c r="A2422" t="s">
        <v>489</v>
      </c>
      <c r="B2422" t="s">
        <v>2476</v>
      </c>
      <c r="C2422" t="s">
        <v>6090</v>
      </c>
      <c r="G2422" t="s">
        <v>140</v>
      </c>
      <c r="H2422" t="s">
        <v>1384</v>
      </c>
      <c r="I2422" t="s">
        <v>2477</v>
      </c>
      <c r="J2422" t="s">
        <v>37</v>
      </c>
      <c r="K2422" t="s">
        <v>32</v>
      </c>
      <c r="L2422" t="s">
        <v>35</v>
      </c>
      <c r="AQ2422">
        <v>0</v>
      </c>
      <c r="AR2422" s="3">
        <f t="shared" si="111"/>
        <v>0</v>
      </c>
      <c r="AS2422" s="3">
        <f t="shared" si="112"/>
        <v>0</v>
      </c>
      <c r="AT2422" s="3" t="str">
        <f>IF(OR(Registered!AM2422&gt;0,Registered!AO2422&gt;0),(IF(Registered!E2422=0,"Size Not Specified",Registered!E2422)),"")</f>
        <v/>
      </c>
      <c r="AU2422" s="3" t="str">
        <f>IF(Registered!AE2422=0,"",IF(Registered!AE2422=1,Registered!AE2422&amp;" Bandana",Registered!AE2422&amp;" Bandanas"))</f>
        <v/>
      </c>
      <c r="AV2422" s="3">
        <f t="shared" si="113"/>
        <v>0</v>
      </c>
      <c r="AW2422" s="2" t="str">
        <f>IF(Registered!AV2422=0,"",IF(Registered!AV2422=1,Registered!AV2422&amp;" Meal",Registered!AV2422&amp;" Meals"))</f>
        <v/>
      </c>
      <c r="AX2422" s="2" t="str">
        <f>IF(Registered!AI2422=0,"",Registered!AI2422&amp;" BG")</f>
        <v/>
      </c>
      <c r="AY2422" s="2" t="str">
        <f>IF(Registered!AG2422=0,"",Registered!AG2422&amp;" DustMask")</f>
        <v/>
      </c>
    </row>
    <row r="2423" spans="1:51" customFormat="1" x14ac:dyDescent="0.25">
      <c r="A2423" t="s">
        <v>88</v>
      </c>
      <c r="B2423" t="s">
        <v>5819</v>
      </c>
      <c r="C2423" t="s">
        <v>6090</v>
      </c>
      <c r="D2423" t="s">
        <v>5820</v>
      </c>
      <c r="F2423" t="s">
        <v>261</v>
      </c>
      <c r="I2423" t="s">
        <v>5821</v>
      </c>
      <c r="J2423" t="s">
        <v>37</v>
      </c>
      <c r="K2423" t="s">
        <v>32</v>
      </c>
      <c r="L2423" t="s">
        <v>35</v>
      </c>
      <c r="Q2423">
        <v>1</v>
      </c>
      <c r="R2423">
        <v>3</v>
      </c>
      <c r="AQ2423">
        <v>3</v>
      </c>
      <c r="AR2423" s="3">
        <f t="shared" si="111"/>
        <v>0</v>
      </c>
      <c r="AS2423" s="3">
        <f t="shared" si="112"/>
        <v>0</v>
      </c>
      <c r="AT2423" s="3" t="str">
        <f>IF(OR(Registered!AM2423&gt;0,Registered!AO2423&gt;0),(IF(Registered!E2423=0,"Size Not Specified",Registered!E2423)),"")</f>
        <v/>
      </c>
      <c r="AU2423" s="3" t="str">
        <f>IF(Registered!AE2423=0,"",IF(Registered!AE2423=1,Registered!AE2423&amp;" Bandana",Registered!AE2423&amp;" Bandanas"))</f>
        <v/>
      </c>
      <c r="AV2423" s="3">
        <f t="shared" si="113"/>
        <v>0</v>
      </c>
      <c r="AW2423" s="2" t="str">
        <f>IF(Registered!AV2423=0,"",IF(Registered!AV2423=1,Registered!AV2423&amp;" Meal",Registered!AV2423&amp;" Meals"))</f>
        <v/>
      </c>
      <c r="AX2423" s="2" t="str">
        <f>IF(Registered!AI2423=0,"",Registered!AI2423&amp;" BG")</f>
        <v/>
      </c>
      <c r="AY2423" s="2" t="str">
        <f>IF(Registered!AG2423=0,"",Registered!AG2423&amp;" DustMask")</f>
        <v/>
      </c>
    </row>
    <row r="2424" spans="1:51" customFormat="1" x14ac:dyDescent="0.25">
      <c r="A2424" t="s">
        <v>2478</v>
      </c>
      <c r="B2424" t="s">
        <v>108</v>
      </c>
      <c r="C2424" t="s">
        <v>6090</v>
      </c>
      <c r="G2424" t="s">
        <v>586</v>
      </c>
      <c r="H2424" t="s">
        <v>587</v>
      </c>
      <c r="I2424" t="s">
        <v>588</v>
      </c>
      <c r="J2424" t="s">
        <v>37</v>
      </c>
      <c r="K2424" t="s">
        <v>32</v>
      </c>
      <c r="L2424" t="s">
        <v>35</v>
      </c>
      <c r="AQ2424">
        <v>0</v>
      </c>
      <c r="AR2424" s="3">
        <f t="shared" si="111"/>
        <v>0</v>
      </c>
      <c r="AS2424" s="3">
        <f t="shared" si="112"/>
        <v>0</v>
      </c>
      <c r="AT2424" s="3" t="str">
        <f>IF(OR(Registered!AM2424&gt;0,Registered!AO2424&gt;0),(IF(Registered!E2424=0,"Size Not Specified",Registered!E2424)),"")</f>
        <v/>
      </c>
      <c r="AU2424" s="3" t="str">
        <f>IF(Registered!AE2424=0,"",IF(Registered!AE2424=1,Registered!AE2424&amp;" Bandana",Registered!AE2424&amp;" Bandanas"))</f>
        <v/>
      </c>
      <c r="AV2424" s="3">
        <f t="shared" si="113"/>
        <v>0</v>
      </c>
      <c r="AW2424" s="2" t="str">
        <f>IF(Registered!AV2424=0,"",IF(Registered!AV2424=1,Registered!AV2424&amp;" Meal",Registered!AV2424&amp;" Meals"))</f>
        <v/>
      </c>
      <c r="AX2424" s="2" t="str">
        <f>IF(Registered!AI2424=0,"",Registered!AI2424&amp;" BG")</f>
        <v/>
      </c>
      <c r="AY2424" s="2" t="str">
        <f>IF(Registered!AG2424=0,"",Registered!AG2424&amp;" DustMask")</f>
        <v/>
      </c>
    </row>
    <row r="2425" spans="1:51" customFormat="1" x14ac:dyDescent="0.25">
      <c r="A2425" t="s">
        <v>92</v>
      </c>
      <c r="B2425" t="s">
        <v>108</v>
      </c>
      <c r="C2425" t="s">
        <v>6090</v>
      </c>
      <c r="D2425" t="s">
        <v>2479</v>
      </c>
      <c r="F2425" t="s">
        <v>261</v>
      </c>
      <c r="I2425" t="s">
        <v>788</v>
      </c>
      <c r="J2425" t="s">
        <v>37</v>
      </c>
      <c r="K2425" t="s">
        <v>32</v>
      </c>
      <c r="L2425" t="s">
        <v>35</v>
      </c>
      <c r="Q2425">
        <v>2</v>
      </c>
      <c r="R2425">
        <v>3</v>
      </c>
      <c r="U2425">
        <v>1</v>
      </c>
      <c r="V2425">
        <v>20</v>
      </c>
      <c r="AQ2425">
        <v>26</v>
      </c>
      <c r="AR2425" s="3">
        <f t="shared" si="111"/>
        <v>10</v>
      </c>
      <c r="AS2425" s="3">
        <f t="shared" si="112"/>
        <v>0</v>
      </c>
      <c r="AT2425" s="3" t="str">
        <f>IF(OR(Registered!AM2425&gt;0,Registered!AO2425&gt;0),(IF(Registered!E2425=0,"Size Not Specified",Registered!E2425)),"")</f>
        <v/>
      </c>
      <c r="AU2425" s="3" t="str">
        <f>IF(Registered!AE2425=0,"",IF(Registered!AE2425=1,Registered!AE2425&amp;" Bandana",Registered!AE2425&amp;" Bandanas"))</f>
        <v/>
      </c>
      <c r="AV2425" s="3">
        <f t="shared" si="113"/>
        <v>0</v>
      </c>
      <c r="AW2425" s="2" t="str">
        <f>IF(Registered!AV2425=0,"",IF(Registered!AV2425=1,Registered!AV2425&amp;" Meal",Registered!AV2425&amp;" Meals"))</f>
        <v/>
      </c>
      <c r="AX2425" s="2" t="str">
        <f>IF(Registered!AI2425=0,"",Registered!AI2425&amp;" BG")</f>
        <v/>
      </c>
      <c r="AY2425" s="2" t="str">
        <f>IF(Registered!AG2425=0,"",Registered!AG2425&amp;" DustMask")</f>
        <v/>
      </c>
    </row>
    <row r="2426" spans="1:51" customFormat="1" x14ac:dyDescent="0.25">
      <c r="A2426" t="s">
        <v>390</v>
      </c>
      <c r="B2426" t="s">
        <v>108</v>
      </c>
      <c r="C2426" t="s">
        <v>6090</v>
      </c>
      <c r="D2426" t="s">
        <v>2480</v>
      </c>
      <c r="E2426" t="s">
        <v>6049</v>
      </c>
      <c r="F2426" t="s">
        <v>261</v>
      </c>
      <c r="I2426" t="s">
        <v>2481</v>
      </c>
      <c r="J2426" t="s">
        <v>37</v>
      </c>
      <c r="K2426" t="s">
        <v>32</v>
      </c>
      <c r="L2426" t="s">
        <v>35</v>
      </c>
      <c r="S2426">
        <v>1</v>
      </c>
      <c r="T2426">
        <v>3</v>
      </c>
      <c r="U2426">
        <v>1</v>
      </c>
      <c r="V2426">
        <v>20</v>
      </c>
      <c r="AI2426">
        <v>1</v>
      </c>
      <c r="AJ2426">
        <v>10</v>
      </c>
      <c r="AO2426">
        <v>2</v>
      </c>
      <c r="AP2426">
        <v>10</v>
      </c>
      <c r="AQ2426">
        <v>53</v>
      </c>
      <c r="AR2426" s="3">
        <f t="shared" si="111"/>
        <v>10</v>
      </c>
      <c r="AS2426" s="3">
        <f t="shared" si="112"/>
        <v>2</v>
      </c>
      <c r="AT2426" s="3" t="str">
        <f>IF(OR(Registered!AM2426&gt;0,Registered!AO2426&gt;0),(IF(Registered!E2426=0,"Size Not Specified",Registered!E2426)),"")</f>
        <v>M, YM</v>
      </c>
      <c r="AU2426" s="3" t="str">
        <f>IF(Registered!AE2426=0,"",IF(Registered!AE2426=1,Registered!AE2426&amp;" Bandana",Registered!AE2426&amp;" Bandanas"))</f>
        <v/>
      </c>
      <c r="AV2426" s="3">
        <f t="shared" si="113"/>
        <v>0</v>
      </c>
      <c r="AW2426" s="2" t="str">
        <f>IF(Registered!AV2426=0,"",IF(Registered!AV2426=1,Registered!AV2426&amp;" Meal",Registered!AV2426&amp;" Meals"))</f>
        <v/>
      </c>
      <c r="AX2426" s="2" t="str">
        <f>IF(Registered!AI2426=0,"",Registered!AI2426&amp;" BG")</f>
        <v>1 BG</v>
      </c>
      <c r="AY2426" s="2" t="str">
        <f>IF(Registered!AG2426=0,"",Registered!AG2426&amp;" DustMask")</f>
        <v/>
      </c>
    </row>
    <row r="2427" spans="1:51" customFormat="1" x14ac:dyDescent="0.25">
      <c r="A2427" t="s">
        <v>3347</v>
      </c>
      <c r="B2427" t="s">
        <v>108</v>
      </c>
      <c r="C2427" t="s">
        <v>6090</v>
      </c>
      <c r="D2427" t="s">
        <v>3443</v>
      </c>
      <c r="F2427" t="s">
        <v>261</v>
      </c>
      <c r="I2427" t="s">
        <v>3444</v>
      </c>
      <c r="J2427" t="s">
        <v>37</v>
      </c>
      <c r="K2427" t="s">
        <v>32</v>
      </c>
      <c r="L2427" t="s">
        <v>35</v>
      </c>
      <c r="Q2427">
        <v>1</v>
      </c>
      <c r="R2427">
        <v>3</v>
      </c>
      <c r="AC2427">
        <v>5</v>
      </c>
      <c r="AD2427">
        <v>10</v>
      </c>
      <c r="AQ2427">
        <v>53</v>
      </c>
      <c r="AR2427" s="3">
        <f t="shared" si="111"/>
        <v>25</v>
      </c>
      <c r="AS2427" s="3">
        <f t="shared" si="112"/>
        <v>0</v>
      </c>
      <c r="AT2427" s="3" t="str">
        <f>IF(OR(Registered!AM2427&gt;0,Registered!AO2427&gt;0),(IF(Registered!E2427=0,"Size Not Specified",Registered!E2427)),"")</f>
        <v/>
      </c>
      <c r="AU2427" s="3" t="str">
        <f>IF(Registered!AE2427=0,"",IF(Registered!AE2427=1,Registered!AE2427&amp;" Bandana",Registered!AE2427&amp;" Bandanas"))</f>
        <v/>
      </c>
      <c r="AV2427" s="3">
        <f t="shared" si="113"/>
        <v>0</v>
      </c>
      <c r="AW2427" s="2" t="str">
        <f>IF(Registered!AV2427=0,"",IF(Registered!AV2427=1,Registered!AV2427&amp;" Meal",Registered!AV2427&amp;" Meals"))</f>
        <v/>
      </c>
      <c r="AX2427" s="2" t="str">
        <f>IF(Registered!AI2427=0,"",Registered!AI2427&amp;" BG")</f>
        <v/>
      </c>
      <c r="AY2427" s="2" t="str">
        <f>IF(Registered!AG2427=0,"",Registered!AG2427&amp;" DustMask")</f>
        <v/>
      </c>
    </row>
    <row r="2428" spans="1:51" customFormat="1" x14ac:dyDescent="0.25">
      <c r="A2428" t="s">
        <v>152</v>
      </c>
      <c r="B2428" t="s">
        <v>630</v>
      </c>
      <c r="C2428" t="s">
        <v>6090</v>
      </c>
      <c r="D2428" t="s">
        <v>5822</v>
      </c>
      <c r="F2428" t="s">
        <v>261</v>
      </c>
      <c r="I2428" t="s">
        <v>4799</v>
      </c>
      <c r="J2428" t="s">
        <v>37</v>
      </c>
      <c r="K2428" t="s">
        <v>32</v>
      </c>
      <c r="L2428" t="s">
        <v>35</v>
      </c>
      <c r="Q2428">
        <v>2</v>
      </c>
      <c r="R2428">
        <v>3</v>
      </c>
      <c r="W2428">
        <v>1</v>
      </c>
      <c r="X2428">
        <v>40</v>
      </c>
      <c r="AE2428">
        <v>4</v>
      </c>
      <c r="AF2428">
        <v>6</v>
      </c>
      <c r="AQ2428">
        <v>70</v>
      </c>
      <c r="AR2428" s="3">
        <f t="shared" si="111"/>
        <v>20</v>
      </c>
      <c r="AS2428" s="3">
        <f t="shared" si="112"/>
        <v>0</v>
      </c>
      <c r="AT2428" s="3" t="str">
        <f>IF(OR(Registered!AM2428&gt;0,Registered!AO2428&gt;0),(IF(Registered!E2428=0,"Size Not Specified",Registered!E2428)),"")</f>
        <v/>
      </c>
      <c r="AU2428" s="3" t="str">
        <f>IF(Registered!AE2428=0,"",IF(Registered!AE2428=1,Registered!AE2428&amp;" Bandana",Registered!AE2428&amp;" Bandanas"))</f>
        <v>4 Bandanas</v>
      </c>
      <c r="AV2428" s="3">
        <f t="shared" si="113"/>
        <v>0</v>
      </c>
      <c r="AW2428" s="2" t="str">
        <f>IF(Registered!AV2428=0,"",IF(Registered!AV2428=1,Registered!AV2428&amp;" Meal",Registered!AV2428&amp;" Meals"))</f>
        <v/>
      </c>
      <c r="AX2428" s="2" t="str">
        <f>IF(Registered!AI2428=0,"",Registered!AI2428&amp;" BG")</f>
        <v/>
      </c>
      <c r="AY2428" s="2" t="str">
        <f>IF(Registered!AG2428=0,"",Registered!AG2428&amp;" DustMask")</f>
        <v/>
      </c>
    </row>
    <row r="2429" spans="1:51" customFormat="1" x14ac:dyDescent="0.25">
      <c r="A2429" t="s">
        <v>288</v>
      </c>
      <c r="B2429" t="s">
        <v>630</v>
      </c>
      <c r="C2429" t="s">
        <v>6090</v>
      </c>
      <c r="G2429" t="s">
        <v>403</v>
      </c>
      <c r="H2429" t="s">
        <v>1175</v>
      </c>
      <c r="I2429" t="s">
        <v>4036</v>
      </c>
      <c r="J2429" t="s">
        <v>37</v>
      </c>
      <c r="K2429" t="s">
        <v>32</v>
      </c>
      <c r="L2429" t="s">
        <v>35</v>
      </c>
      <c r="AQ2429">
        <v>0</v>
      </c>
      <c r="AR2429" s="3">
        <f t="shared" si="111"/>
        <v>0</v>
      </c>
      <c r="AS2429" s="3">
        <f t="shared" si="112"/>
        <v>0</v>
      </c>
      <c r="AT2429" s="3" t="str">
        <f>IF(OR(Registered!AM2429&gt;0,Registered!AO2429&gt;0),(IF(Registered!E2429=0,"Size Not Specified",Registered!E2429)),"")</f>
        <v/>
      </c>
      <c r="AU2429" s="3" t="str">
        <f>IF(Registered!AE2429=0,"",IF(Registered!AE2429=1,Registered!AE2429&amp;" Bandana",Registered!AE2429&amp;" Bandanas"))</f>
        <v/>
      </c>
      <c r="AV2429" s="3">
        <f t="shared" si="113"/>
        <v>0</v>
      </c>
      <c r="AW2429" s="2" t="str">
        <f>IF(Registered!AV2429=0,"",IF(Registered!AV2429=1,Registered!AV2429&amp;" Meal",Registered!AV2429&amp;" Meals"))</f>
        <v/>
      </c>
      <c r="AX2429" s="2" t="str">
        <f>IF(Registered!AI2429=0,"",Registered!AI2429&amp;" BG")</f>
        <v/>
      </c>
      <c r="AY2429" s="2" t="str">
        <f>IF(Registered!AG2429=0,"",Registered!AG2429&amp;" DustMask")</f>
        <v/>
      </c>
    </row>
    <row r="2430" spans="1:51" customFormat="1" x14ac:dyDescent="0.25">
      <c r="A2430" t="s">
        <v>629</v>
      </c>
      <c r="B2430" t="s">
        <v>630</v>
      </c>
      <c r="C2430" t="s">
        <v>6090</v>
      </c>
      <c r="D2430" t="s">
        <v>2482</v>
      </c>
      <c r="F2430" t="s">
        <v>261</v>
      </c>
      <c r="I2430" t="s">
        <v>631</v>
      </c>
      <c r="J2430" t="s">
        <v>37</v>
      </c>
      <c r="K2430" t="s">
        <v>32</v>
      </c>
      <c r="L2430" t="s">
        <v>35</v>
      </c>
      <c r="Q2430">
        <v>2</v>
      </c>
      <c r="R2430">
        <v>3</v>
      </c>
      <c r="AA2430">
        <v>1</v>
      </c>
      <c r="AB2430">
        <v>75</v>
      </c>
      <c r="AQ2430">
        <v>81</v>
      </c>
      <c r="AR2430" s="3">
        <f t="shared" si="111"/>
        <v>40</v>
      </c>
      <c r="AS2430" s="3">
        <f t="shared" si="112"/>
        <v>0</v>
      </c>
      <c r="AT2430" s="3" t="str">
        <f>IF(OR(Registered!AM2430&gt;0,Registered!AO2430&gt;0),(IF(Registered!E2430=0,"Size Not Specified",Registered!E2430)),"")</f>
        <v/>
      </c>
      <c r="AU2430" s="3" t="str">
        <f>IF(Registered!AE2430=0,"",IF(Registered!AE2430=1,Registered!AE2430&amp;" Bandana",Registered!AE2430&amp;" Bandanas"))</f>
        <v/>
      </c>
      <c r="AV2430" s="3">
        <f t="shared" si="113"/>
        <v>0</v>
      </c>
      <c r="AW2430" s="2" t="str">
        <f>IF(Registered!AV2430=0,"",IF(Registered!AV2430=1,Registered!AV2430&amp;" Meal",Registered!AV2430&amp;" Meals"))</f>
        <v/>
      </c>
      <c r="AX2430" s="2" t="str">
        <f>IF(Registered!AI2430=0,"",Registered!AI2430&amp;" BG")</f>
        <v/>
      </c>
      <c r="AY2430" s="2" t="str">
        <f>IF(Registered!AG2430=0,"",Registered!AG2430&amp;" DustMask")</f>
        <v/>
      </c>
    </row>
    <row r="2431" spans="1:51" customFormat="1" x14ac:dyDescent="0.25">
      <c r="A2431" t="s">
        <v>92</v>
      </c>
      <c r="B2431" t="s">
        <v>630</v>
      </c>
      <c r="C2431" t="s">
        <v>6090</v>
      </c>
      <c r="G2431" t="s">
        <v>170</v>
      </c>
      <c r="H2431" t="s">
        <v>1445</v>
      </c>
      <c r="I2431" t="s">
        <v>1446</v>
      </c>
      <c r="J2431" t="s">
        <v>37</v>
      </c>
      <c r="K2431" t="s">
        <v>32</v>
      </c>
      <c r="L2431" t="s">
        <v>35</v>
      </c>
      <c r="AQ2431">
        <v>0</v>
      </c>
      <c r="AR2431" s="3">
        <f t="shared" si="111"/>
        <v>0</v>
      </c>
      <c r="AS2431" s="3">
        <f t="shared" si="112"/>
        <v>0</v>
      </c>
      <c r="AT2431" s="3" t="str">
        <f>IF(OR(Registered!AM2431&gt;0,Registered!AO2431&gt;0),(IF(Registered!E2431=0,"Size Not Specified",Registered!E2431)),"")</f>
        <v/>
      </c>
      <c r="AU2431" s="3" t="str">
        <f>IF(Registered!AE2431=0,"",IF(Registered!AE2431=1,Registered!AE2431&amp;" Bandana",Registered!AE2431&amp;" Bandanas"))</f>
        <v/>
      </c>
      <c r="AV2431" s="3">
        <f t="shared" si="113"/>
        <v>0</v>
      </c>
      <c r="AW2431" s="2" t="str">
        <f>IF(Registered!AV2431=0,"",IF(Registered!AV2431=1,Registered!AV2431&amp;" Meal",Registered!AV2431&amp;" Meals"))</f>
        <v/>
      </c>
      <c r="AX2431" s="2" t="str">
        <f>IF(Registered!AI2431=0,"",Registered!AI2431&amp;" BG")</f>
        <v/>
      </c>
      <c r="AY2431" s="2" t="str">
        <f>IF(Registered!AG2431=0,"",Registered!AG2431&amp;" DustMask")</f>
        <v/>
      </c>
    </row>
    <row r="2432" spans="1:51" customFormat="1" x14ac:dyDescent="0.25">
      <c r="A2432" t="s">
        <v>151</v>
      </c>
      <c r="B2432" t="s">
        <v>630</v>
      </c>
      <c r="C2432" t="s">
        <v>6090</v>
      </c>
      <c r="D2432" t="s">
        <v>5823</v>
      </c>
      <c r="F2432" t="s">
        <v>261</v>
      </c>
      <c r="I2432" t="s">
        <v>5824</v>
      </c>
      <c r="J2432" t="s">
        <v>37</v>
      </c>
      <c r="K2432" t="s">
        <v>32</v>
      </c>
      <c r="L2432" t="s">
        <v>35</v>
      </c>
      <c r="Q2432">
        <v>1</v>
      </c>
      <c r="R2432">
        <v>3</v>
      </c>
      <c r="AQ2432">
        <v>3</v>
      </c>
      <c r="AR2432" s="3">
        <f t="shared" si="111"/>
        <v>0</v>
      </c>
      <c r="AS2432" s="3">
        <f t="shared" si="112"/>
        <v>0</v>
      </c>
      <c r="AT2432" s="3" t="str">
        <f>IF(OR(Registered!AM2432&gt;0,Registered!AO2432&gt;0),(IF(Registered!E2432=0,"Size Not Specified",Registered!E2432)),"")</f>
        <v/>
      </c>
      <c r="AU2432" s="3" t="str">
        <f>IF(Registered!AE2432=0,"",IF(Registered!AE2432=1,Registered!AE2432&amp;" Bandana",Registered!AE2432&amp;" Bandanas"))</f>
        <v/>
      </c>
      <c r="AV2432" s="3">
        <f t="shared" si="113"/>
        <v>0</v>
      </c>
      <c r="AW2432" s="2" t="str">
        <f>IF(Registered!AV2432=0,"",IF(Registered!AV2432=1,Registered!AV2432&amp;" Meal",Registered!AV2432&amp;" Meals"))</f>
        <v/>
      </c>
      <c r="AX2432" s="2" t="str">
        <f>IF(Registered!AI2432=0,"",Registered!AI2432&amp;" BG")</f>
        <v/>
      </c>
      <c r="AY2432" s="2" t="str">
        <f>IF(Registered!AG2432=0,"",Registered!AG2432&amp;" DustMask")</f>
        <v/>
      </c>
    </row>
    <row r="2433" spans="1:51" customFormat="1" x14ac:dyDescent="0.25">
      <c r="A2433" t="s">
        <v>410</v>
      </c>
      <c r="B2433" t="s">
        <v>630</v>
      </c>
      <c r="C2433" t="s">
        <v>6090</v>
      </c>
      <c r="D2433" t="s">
        <v>2483</v>
      </c>
      <c r="F2433" t="s">
        <v>261</v>
      </c>
      <c r="I2433" t="s">
        <v>2484</v>
      </c>
      <c r="J2433" t="s">
        <v>37</v>
      </c>
      <c r="K2433" t="s">
        <v>32</v>
      </c>
      <c r="L2433" t="s">
        <v>35</v>
      </c>
      <c r="Q2433">
        <v>1</v>
      </c>
      <c r="R2433">
        <v>3</v>
      </c>
      <c r="AC2433">
        <v>1</v>
      </c>
      <c r="AD2433">
        <v>10</v>
      </c>
      <c r="AQ2433">
        <v>13</v>
      </c>
      <c r="AR2433" s="3">
        <f t="shared" si="111"/>
        <v>5</v>
      </c>
      <c r="AS2433" s="3">
        <f t="shared" si="112"/>
        <v>0</v>
      </c>
      <c r="AT2433" s="3" t="str">
        <f>IF(OR(Registered!AM2433&gt;0,Registered!AO2433&gt;0),(IF(Registered!E2433=0,"Size Not Specified",Registered!E2433)),"")</f>
        <v/>
      </c>
      <c r="AU2433" s="3" t="str">
        <f>IF(Registered!AE2433=0,"",IF(Registered!AE2433=1,Registered!AE2433&amp;" Bandana",Registered!AE2433&amp;" Bandanas"))</f>
        <v/>
      </c>
      <c r="AV2433" s="3">
        <f t="shared" si="113"/>
        <v>0</v>
      </c>
      <c r="AW2433" s="2" t="str">
        <f>IF(Registered!AV2433=0,"",IF(Registered!AV2433=1,Registered!AV2433&amp;" Meal",Registered!AV2433&amp;" Meals"))</f>
        <v/>
      </c>
      <c r="AX2433" s="2" t="str">
        <f>IF(Registered!AI2433=0,"",Registered!AI2433&amp;" BG")</f>
        <v/>
      </c>
      <c r="AY2433" s="2" t="str">
        <f>IF(Registered!AG2433=0,"",Registered!AG2433&amp;" DustMask")</f>
        <v/>
      </c>
    </row>
    <row r="2434" spans="1:51" customFormat="1" x14ac:dyDescent="0.25">
      <c r="A2434" t="s">
        <v>434</v>
      </c>
      <c r="B2434" t="s">
        <v>630</v>
      </c>
      <c r="C2434" t="s">
        <v>6090</v>
      </c>
      <c r="D2434" t="s">
        <v>2485</v>
      </c>
      <c r="E2434" t="s">
        <v>2486</v>
      </c>
      <c r="I2434" t="s">
        <v>2487</v>
      </c>
      <c r="J2434" t="s">
        <v>37</v>
      </c>
      <c r="K2434" t="s">
        <v>32</v>
      </c>
      <c r="L2434" t="s">
        <v>35</v>
      </c>
      <c r="O2434">
        <v>1</v>
      </c>
      <c r="P2434">
        <v>3</v>
      </c>
      <c r="U2434">
        <v>1</v>
      </c>
      <c r="V2434">
        <v>20</v>
      </c>
      <c r="AE2434">
        <v>1</v>
      </c>
      <c r="AF2434">
        <v>5</v>
      </c>
      <c r="AM2434">
        <v>1</v>
      </c>
      <c r="AN2434">
        <v>25</v>
      </c>
      <c r="AQ2434">
        <v>53</v>
      </c>
      <c r="AR2434" s="3">
        <f t="shared" ref="AR2434:AR2497" si="114">IF(ISTEXT(AM2434)=TRUE,"",SUM(U2434*10,W2434*20,Y2434*30,AA2434*40,AC2434*5,AM2434*5))</f>
        <v>15</v>
      </c>
      <c r="AS2434" s="3">
        <f t="shared" ref="AS2434:AS2497" si="115">IF(ISTEXT(AM2434)=TRUE,"",SUM(AM2434,AO2434))</f>
        <v>1</v>
      </c>
      <c r="AT2434" s="3" t="str">
        <f>IF(OR(Registered!AM2434&gt;0,Registered!AO2434&gt;0),(IF(Registered!E2434=0,"Size Not Specified",Registered!E2434)),"")</f>
        <v>Adult XL</v>
      </c>
      <c r="AU2434" s="3" t="str">
        <f>IF(Registered!AE2434=0,"",IF(Registered!AE2434=1,Registered!AE2434&amp;" Bandana",Registered!AE2434&amp;" Bandanas"))</f>
        <v>1 Bandana</v>
      </c>
      <c r="AV2434" s="3">
        <f t="shared" ref="AV2434:AV2497" si="116">IF(ISTEXT(AM2434)=TRUE,"",SUM(AM2434,AK2434))</f>
        <v>1</v>
      </c>
      <c r="AW2434" s="2" t="str">
        <f>IF(Registered!AV2434=0,"",IF(Registered!AV2434=1,Registered!AV2434&amp;" Meal",Registered!AV2434&amp;" Meals"))</f>
        <v>1 Meal</v>
      </c>
      <c r="AX2434" s="2" t="str">
        <f>IF(Registered!AI2434=0,"",Registered!AI2434&amp;" BG")</f>
        <v/>
      </c>
      <c r="AY2434" s="2" t="str">
        <f>IF(Registered!AG2434=0,"",Registered!AG2434&amp;" DustMask")</f>
        <v/>
      </c>
    </row>
    <row r="2435" spans="1:51" customFormat="1" x14ac:dyDescent="0.25">
      <c r="A2435" t="s">
        <v>3960</v>
      </c>
      <c r="B2435" t="s">
        <v>630</v>
      </c>
      <c r="C2435" t="s">
        <v>6090</v>
      </c>
      <c r="D2435" t="s">
        <v>5825</v>
      </c>
      <c r="F2435" t="s">
        <v>261</v>
      </c>
      <c r="I2435" t="s">
        <v>3961</v>
      </c>
      <c r="J2435" t="s">
        <v>37</v>
      </c>
      <c r="K2435" t="s">
        <v>32</v>
      </c>
      <c r="L2435" t="s">
        <v>35</v>
      </c>
      <c r="Q2435">
        <v>7</v>
      </c>
      <c r="R2435">
        <v>3</v>
      </c>
      <c r="AC2435">
        <v>7</v>
      </c>
      <c r="AD2435">
        <v>10</v>
      </c>
      <c r="AQ2435">
        <v>91</v>
      </c>
      <c r="AR2435" s="3">
        <f t="shared" si="114"/>
        <v>35</v>
      </c>
      <c r="AS2435" s="3">
        <f t="shared" si="115"/>
        <v>0</v>
      </c>
      <c r="AT2435" s="3" t="str">
        <f>IF(OR(Registered!AM2435&gt;0,Registered!AO2435&gt;0),(IF(Registered!E2435=0,"Size Not Specified",Registered!E2435)),"")</f>
        <v/>
      </c>
      <c r="AU2435" s="3" t="str">
        <f>IF(Registered!AE2435=0,"",IF(Registered!AE2435=1,Registered!AE2435&amp;" Bandana",Registered!AE2435&amp;" Bandanas"))</f>
        <v/>
      </c>
      <c r="AV2435" s="3">
        <f t="shared" si="116"/>
        <v>0</v>
      </c>
      <c r="AW2435" s="2" t="str">
        <f>IF(Registered!AV2435=0,"",IF(Registered!AV2435=1,Registered!AV2435&amp;" Meal",Registered!AV2435&amp;" Meals"))</f>
        <v/>
      </c>
      <c r="AX2435" s="2" t="str">
        <f>IF(Registered!AI2435=0,"",Registered!AI2435&amp;" BG")</f>
        <v/>
      </c>
      <c r="AY2435" s="2" t="str">
        <f>IF(Registered!AG2435=0,"",Registered!AG2435&amp;" DustMask")</f>
        <v/>
      </c>
    </row>
    <row r="2436" spans="1:51" customFormat="1" x14ac:dyDescent="0.25">
      <c r="A2436" t="s">
        <v>351</v>
      </c>
      <c r="B2436" t="s">
        <v>630</v>
      </c>
      <c r="C2436" t="s">
        <v>6090</v>
      </c>
      <c r="F2436" t="s">
        <v>261</v>
      </c>
      <c r="I2436" t="s">
        <v>4138</v>
      </c>
      <c r="J2436" t="s">
        <v>37</v>
      </c>
      <c r="K2436" t="s">
        <v>32</v>
      </c>
      <c r="L2436" t="s">
        <v>35</v>
      </c>
      <c r="Q2436">
        <v>4</v>
      </c>
      <c r="R2436">
        <v>3</v>
      </c>
      <c r="AQ2436">
        <v>12</v>
      </c>
      <c r="AR2436" s="3">
        <f t="shared" si="114"/>
        <v>0</v>
      </c>
      <c r="AS2436" s="3">
        <f t="shared" si="115"/>
        <v>0</v>
      </c>
      <c r="AT2436" s="3" t="str">
        <f>IF(OR(Registered!AM2436&gt;0,Registered!AO2436&gt;0),(IF(Registered!E2436=0,"Size Not Specified",Registered!E2436)),"")</f>
        <v/>
      </c>
      <c r="AU2436" s="3" t="str">
        <f>IF(Registered!AE2436=0,"",IF(Registered!AE2436=1,Registered!AE2436&amp;" Bandana",Registered!AE2436&amp;" Bandanas"))</f>
        <v/>
      </c>
      <c r="AV2436" s="3">
        <f t="shared" si="116"/>
        <v>0</v>
      </c>
      <c r="AW2436" s="2" t="str">
        <f>IF(Registered!AV2436=0,"",IF(Registered!AV2436=1,Registered!AV2436&amp;" Meal",Registered!AV2436&amp;" Meals"))</f>
        <v/>
      </c>
      <c r="AX2436" s="2" t="str">
        <f>IF(Registered!AI2436=0,"",Registered!AI2436&amp;" BG")</f>
        <v/>
      </c>
      <c r="AY2436" s="2" t="str">
        <f>IF(Registered!AG2436=0,"",Registered!AG2436&amp;" DustMask")</f>
        <v/>
      </c>
    </row>
    <row r="2437" spans="1:51" customFormat="1" x14ac:dyDescent="0.25">
      <c r="A2437" t="s">
        <v>3445</v>
      </c>
      <c r="B2437" t="s">
        <v>3446</v>
      </c>
      <c r="C2437" t="s">
        <v>6090</v>
      </c>
      <c r="G2437" t="s">
        <v>2864</v>
      </c>
      <c r="H2437" t="s">
        <v>2865</v>
      </c>
      <c r="I2437" t="s">
        <v>2866</v>
      </c>
      <c r="J2437" t="s">
        <v>37</v>
      </c>
      <c r="K2437" t="s">
        <v>32</v>
      </c>
      <c r="L2437" t="s">
        <v>35</v>
      </c>
      <c r="AQ2437">
        <v>0</v>
      </c>
      <c r="AR2437" s="3">
        <f t="shared" si="114"/>
        <v>0</v>
      </c>
      <c r="AS2437" s="3">
        <f t="shared" si="115"/>
        <v>0</v>
      </c>
      <c r="AT2437" s="3" t="str">
        <f>IF(OR(Registered!AM2437&gt;0,Registered!AO2437&gt;0),(IF(Registered!E2437=0,"Size Not Specified",Registered!E2437)),"")</f>
        <v/>
      </c>
      <c r="AU2437" s="3" t="str">
        <f>IF(Registered!AE2437=0,"",IF(Registered!AE2437=1,Registered!AE2437&amp;" Bandana",Registered!AE2437&amp;" Bandanas"))</f>
        <v/>
      </c>
      <c r="AV2437" s="3">
        <f t="shared" si="116"/>
        <v>0</v>
      </c>
      <c r="AW2437" s="2" t="str">
        <f>IF(Registered!AV2437=0,"",IF(Registered!AV2437=1,Registered!AV2437&amp;" Meal",Registered!AV2437&amp;" Meals"))</f>
        <v/>
      </c>
      <c r="AX2437" s="2" t="str">
        <f>IF(Registered!AI2437=0,"",Registered!AI2437&amp;" BG")</f>
        <v/>
      </c>
      <c r="AY2437" s="2" t="str">
        <f>IF(Registered!AG2437=0,"",Registered!AG2437&amp;" DustMask")</f>
        <v/>
      </c>
    </row>
    <row r="2438" spans="1:51" customFormat="1" x14ac:dyDescent="0.25">
      <c r="A2438" t="s">
        <v>42</v>
      </c>
      <c r="B2438" t="s">
        <v>5826</v>
      </c>
      <c r="C2438" t="s">
        <v>6090</v>
      </c>
      <c r="D2438" t="s">
        <v>5827</v>
      </c>
      <c r="F2438" t="s">
        <v>261</v>
      </c>
      <c r="I2438" t="s">
        <v>5828</v>
      </c>
      <c r="J2438" t="s">
        <v>37</v>
      </c>
      <c r="K2438" t="s">
        <v>32</v>
      </c>
      <c r="L2438" t="s">
        <v>35</v>
      </c>
      <c r="Q2438">
        <v>1</v>
      </c>
      <c r="R2438">
        <v>3</v>
      </c>
      <c r="AC2438">
        <v>1</v>
      </c>
      <c r="AD2438">
        <v>10</v>
      </c>
      <c r="AQ2438">
        <v>13</v>
      </c>
      <c r="AR2438" s="3">
        <f t="shared" si="114"/>
        <v>5</v>
      </c>
      <c r="AS2438" s="3">
        <f t="shared" si="115"/>
        <v>0</v>
      </c>
      <c r="AT2438" s="3" t="str">
        <f>IF(OR(Registered!AM2438&gt;0,Registered!AO2438&gt;0),(IF(Registered!E2438=0,"Size Not Specified",Registered!E2438)),"")</f>
        <v/>
      </c>
      <c r="AU2438" s="3" t="str">
        <f>IF(Registered!AE2438=0,"",IF(Registered!AE2438=1,Registered!AE2438&amp;" Bandana",Registered!AE2438&amp;" Bandanas"))</f>
        <v/>
      </c>
      <c r="AV2438" s="3">
        <f t="shared" si="116"/>
        <v>0</v>
      </c>
      <c r="AW2438" s="2" t="str">
        <f>IF(Registered!AV2438=0,"",IF(Registered!AV2438=1,Registered!AV2438&amp;" Meal",Registered!AV2438&amp;" Meals"))</f>
        <v/>
      </c>
      <c r="AX2438" s="2" t="str">
        <f>IF(Registered!AI2438=0,"",Registered!AI2438&amp;" BG")</f>
        <v/>
      </c>
      <c r="AY2438" s="2" t="str">
        <f>IF(Registered!AG2438=0,"",Registered!AG2438&amp;" DustMask")</f>
        <v/>
      </c>
    </row>
    <row r="2439" spans="1:51" customFormat="1" x14ac:dyDescent="0.25">
      <c r="A2439" t="s">
        <v>255</v>
      </c>
      <c r="B2439" t="s">
        <v>5829</v>
      </c>
      <c r="C2439" t="s">
        <v>6090</v>
      </c>
      <c r="G2439" t="s">
        <v>166</v>
      </c>
      <c r="H2439" t="s">
        <v>421</v>
      </c>
      <c r="I2439" t="s">
        <v>4552</v>
      </c>
      <c r="J2439" t="s">
        <v>37</v>
      </c>
      <c r="K2439" t="s">
        <v>32</v>
      </c>
      <c r="L2439" t="s">
        <v>35</v>
      </c>
      <c r="AQ2439">
        <v>0</v>
      </c>
      <c r="AR2439" s="3">
        <f t="shared" si="114"/>
        <v>0</v>
      </c>
      <c r="AS2439" s="3">
        <f t="shared" si="115"/>
        <v>0</v>
      </c>
      <c r="AT2439" s="3" t="str">
        <f>IF(OR(Registered!AM2439&gt;0,Registered!AO2439&gt;0),(IF(Registered!E2439=0,"Size Not Specified",Registered!E2439)),"")</f>
        <v/>
      </c>
      <c r="AU2439" s="3" t="str">
        <f>IF(Registered!AE2439=0,"",IF(Registered!AE2439=1,Registered!AE2439&amp;" Bandana",Registered!AE2439&amp;" Bandanas"))</f>
        <v/>
      </c>
      <c r="AV2439" s="3">
        <f t="shared" si="116"/>
        <v>0</v>
      </c>
      <c r="AW2439" s="2" t="str">
        <f>IF(Registered!AV2439=0,"",IF(Registered!AV2439=1,Registered!AV2439&amp;" Meal",Registered!AV2439&amp;" Meals"))</f>
        <v/>
      </c>
      <c r="AX2439" s="2" t="str">
        <f>IF(Registered!AI2439=0,"",Registered!AI2439&amp;" BG")</f>
        <v/>
      </c>
      <c r="AY2439" s="2" t="str">
        <f>IF(Registered!AG2439=0,"",Registered!AG2439&amp;" DustMask")</f>
        <v/>
      </c>
    </row>
    <row r="2440" spans="1:51" customFormat="1" x14ac:dyDescent="0.25">
      <c r="A2440" t="s">
        <v>2488</v>
      </c>
      <c r="B2440" t="s">
        <v>2489</v>
      </c>
      <c r="C2440" t="s">
        <v>6090</v>
      </c>
      <c r="G2440" t="s">
        <v>1826</v>
      </c>
      <c r="H2440" t="s">
        <v>402</v>
      </c>
      <c r="I2440" t="s">
        <v>1828</v>
      </c>
      <c r="J2440" t="s">
        <v>37</v>
      </c>
      <c r="K2440" t="s">
        <v>32</v>
      </c>
      <c r="L2440" t="s">
        <v>35</v>
      </c>
      <c r="AQ2440">
        <v>0</v>
      </c>
      <c r="AR2440" s="3">
        <f t="shared" si="114"/>
        <v>0</v>
      </c>
      <c r="AS2440" s="3">
        <f t="shared" si="115"/>
        <v>0</v>
      </c>
      <c r="AT2440" s="3" t="str">
        <f>IF(OR(Registered!AM2440&gt;0,Registered!AO2440&gt;0),(IF(Registered!E2440=0,"Size Not Specified",Registered!E2440)),"")</f>
        <v/>
      </c>
      <c r="AU2440" s="3" t="str">
        <f>IF(Registered!AE2440=0,"",IF(Registered!AE2440=1,Registered!AE2440&amp;" Bandana",Registered!AE2440&amp;" Bandanas"))</f>
        <v/>
      </c>
      <c r="AV2440" s="3">
        <f t="shared" si="116"/>
        <v>0</v>
      </c>
      <c r="AW2440" s="2" t="str">
        <f>IF(Registered!AV2440=0,"",IF(Registered!AV2440=1,Registered!AV2440&amp;" Meal",Registered!AV2440&amp;" Meals"))</f>
        <v/>
      </c>
      <c r="AX2440" s="2" t="str">
        <f>IF(Registered!AI2440=0,"",Registered!AI2440&amp;" BG")</f>
        <v/>
      </c>
      <c r="AY2440" s="2" t="str">
        <f>IF(Registered!AG2440=0,"",Registered!AG2440&amp;" DustMask")</f>
        <v/>
      </c>
    </row>
    <row r="2441" spans="1:51" customFormat="1" x14ac:dyDescent="0.25">
      <c r="A2441" t="s">
        <v>439</v>
      </c>
      <c r="B2441" t="s">
        <v>5830</v>
      </c>
      <c r="C2441" t="s">
        <v>6090</v>
      </c>
      <c r="D2441" t="s">
        <v>439</v>
      </c>
      <c r="F2441" t="s">
        <v>261</v>
      </c>
      <c r="I2441" t="s">
        <v>5831</v>
      </c>
      <c r="J2441" t="s">
        <v>37</v>
      </c>
      <c r="K2441" t="s">
        <v>32</v>
      </c>
      <c r="L2441" t="s">
        <v>35</v>
      </c>
      <c r="Q2441">
        <v>1</v>
      </c>
      <c r="R2441">
        <v>3</v>
      </c>
      <c r="AC2441">
        <v>1</v>
      </c>
      <c r="AD2441">
        <v>10</v>
      </c>
      <c r="AQ2441">
        <v>13</v>
      </c>
      <c r="AR2441" s="3">
        <f t="shared" si="114"/>
        <v>5</v>
      </c>
      <c r="AS2441" s="3">
        <f t="shared" si="115"/>
        <v>0</v>
      </c>
      <c r="AT2441" s="3" t="str">
        <f>IF(OR(Registered!AM2441&gt;0,Registered!AO2441&gt;0),(IF(Registered!E2441=0,"Size Not Specified",Registered!E2441)),"")</f>
        <v/>
      </c>
      <c r="AU2441" s="3" t="str">
        <f>IF(Registered!AE2441=0,"",IF(Registered!AE2441=1,Registered!AE2441&amp;" Bandana",Registered!AE2441&amp;" Bandanas"))</f>
        <v/>
      </c>
      <c r="AV2441" s="3">
        <f t="shared" si="116"/>
        <v>0</v>
      </c>
      <c r="AW2441" s="2" t="str">
        <f>IF(Registered!AV2441=0,"",IF(Registered!AV2441=1,Registered!AV2441&amp;" Meal",Registered!AV2441&amp;" Meals"))</f>
        <v/>
      </c>
      <c r="AX2441" s="2" t="str">
        <f>IF(Registered!AI2441=0,"",Registered!AI2441&amp;" BG")</f>
        <v/>
      </c>
      <c r="AY2441" s="2" t="str">
        <f>IF(Registered!AG2441=0,"",Registered!AG2441&amp;" DustMask")</f>
        <v/>
      </c>
    </row>
    <row r="2442" spans="1:51" customFormat="1" x14ac:dyDescent="0.25">
      <c r="A2442" t="s">
        <v>2490</v>
      </c>
      <c r="B2442" t="s">
        <v>2491</v>
      </c>
      <c r="C2442" t="s">
        <v>6090</v>
      </c>
      <c r="G2442" t="s">
        <v>398</v>
      </c>
      <c r="H2442" t="s">
        <v>987</v>
      </c>
      <c r="I2442" t="s">
        <v>989</v>
      </c>
      <c r="J2442" t="s">
        <v>37</v>
      </c>
      <c r="K2442" t="s">
        <v>32</v>
      </c>
      <c r="L2442" t="s">
        <v>35</v>
      </c>
      <c r="AQ2442">
        <v>0</v>
      </c>
      <c r="AR2442" s="3">
        <f t="shared" si="114"/>
        <v>0</v>
      </c>
      <c r="AS2442" s="3">
        <f t="shared" si="115"/>
        <v>0</v>
      </c>
      <c r="AT2442" s="3" t="str">
        <f>IF(OR(Registered!AM2442&gt;0,Registered!AO2442&gt;0),(IF(Registered!E2442=0,"Size Not Specified",Registered!E2442)),"")</f>
        <v/>
      </c>
      <c r="AU2442" s="3" t="str">
        <f>IF(Registered!AE2442=0,"",IF(Registered!AE2442=1,Registered!AE2442&amp;" Bandana",Registered!AE2442&amp;" Bandanas"))</f>
        <v/>
      </c>
      <c r="AV2442" s="3">
        <f t="shared" si="116"/>
        <v>0</v>
      </c>
      <c r="AW2442" s="2" t="str">
        <f>IF(Registered!AV2442=0,"",IF(Registered!AV2442=1,Registered!AV2442&amp;" Meal",Registered!AV2442&amp;" Meals"))</f>
        <v/>
      </c>
      <c r="AX2442" s="2" t="str">
        <f>IF(Registered!AI2442=0,"",Registered!AI2442&amp;" BG")</f>
        <v/>
      </c>
      <c r="AY2442" s="2" t="str">
        <f>IF(Registered!AG2442=0,"",Registered!AG2442&amp;" DustMask")</f>
        <v/>
      </c>
    </row>
    <row r="2443" spans="1:51" customFormat="1" x14ac:dyDescent="0.25">
      <c r="A2443" t="s">
        <v>5832</v>
      </c>
      <c r="B2443" t="s">
        <v>5833</v>
      </c>
      <c r="C2443" t="s">
        <v>6090</v>
      </c>
      <c r="G2443" t="s">
        <v>3749</v>
      </c>
      <c r="H2443" t="s">
        <v>472</v>
      </c>
      <c r="I2443" t="s">
        <v>3751</v>
      </c>
      <c r="J2443" t="s">
        <v>37</v>
      </c>
      <c r="K2443" t="s">
        <v>32</v>
      </c>
      <c r="L2443" t="s">
        <v>35</v>
      </c>
      <c r="AQ2443">
        <v>0</v>
      </c>
      <c r="AR2443" s="3">
        <f t="shared" si="114"/>
        <v>0</v>
      </c>
      <c r="AS2443" s="3">
        <f t="shared" si="115"/>
        <v>0</v>
      </c>
      <c r="AT2443" s="3" t="str">
        <f>IF(OR(Registered!AM2443&gt;0,Registered!AO2443&gt;0),(IF(Registered!E2443=0,"Size Not Specified",Registered!E2443)),"")</f>
        <v/>
      </c>
      <c r="AU2443" s="3" t="str">
        <f>IF(Registered!AE2443=0,"",IF(Registered!AE2443=1,Registered!AE2443&amp;" Bandana",Registered!AE2443&amp;" Bandanas"))</f>
        <v/>
      </c>
      <c r="AV2443" s="3">
        <f t="shared" si="116"/>
        <v>0</v>
      </c>
      <c r="AW2443" s="2" t="str">
        <f>IF(Registered!AV2443=0,"",IF(Registered!AV2443=1,Registered!AV2443&amp;" Meal",Registered!AV2443&amp;" Meals"))</f>
        <v/>
      </c>
      <c r="AX2443" s="2" t="str">
        <f>IF(Registered!AI2443=0,"",Registered!AI2443&amp;" BG")</f>
        <v/>
      </c>
      <c r="AY2443" s="2" t="str">
        <f>IF(Registered!AG2443=0,"",Registered!AG2443&amp;" DustMask")</f>
        <v/>
      </c>
    </row>
    <row r="2444" spans="1:51" customFormat="1" x14ac:dyDescent="0.25">
      <c r="A2444" t="s">
        <v>357</v>
      </c>
      <c r="B2444" t="s">
        <v>1526</v>
      </c>
      <c r="C2444" t="s">
        <v>6090</v>
      </c>
      <c r="D2444" t="s">
        <v>2492</v>
      </c>
      <c r="E2444" t="s">
        <v>3447</v>
      </c>
      <c r="F2444" t="s">
        <v>261</v>
      </c>
      <c r="I2444" t="s">
        <v>3039</v>
      </c>
      <c r="J2444" t="s">
        <v>37</v>
      </c>
      <c r="K2444" t="s">
        <v>32</v>
      </c>
      <c r="L2444" t="s">
        <v>35</v>
      </c>
      <c r="Q2444">
        <v>2</v>
      </c>
      <c r="R2444">
        <v>3</v>
      </c>
      <c r="U2444">
        <v>1</v>
      </c>
      <c r="V2444">
        <v>20</v>
      </c>
      <c r="AO2444">
        <v>2</v>
      </c>
      <c r="AP2444">
        <v>10</v>
      </c>
      <c r="AQ2444">
        <v>46</v>
      </c>
      <c r="AR2444" s="3">
        <f t="shared" si="114"/>
        <v>10</v>
      </c>
      <c r="AS2444" s="3">
        <f t="shared" si="115"/>
        <v>2</v>
      </c>
      <c r="AT2444" s="3" t="str">
        <f>IF(OR(Registered!AM2444&gt;0,Registered!AO2444&gt;0),(IF(Registered!E2444=0,"Size Not Specified",Registered!E2444)),"")</f>
        <v>Medium, Large</v>
      </c>
      <c r="AU2444" s="3" t="str">
        <f>IF(Registered!AE2444=0,"",IF(Registered!AE2444=1,Registered!AE2444&amp;" Bandana",Registered!AE2444&amp;" Bandanas"))</f>
        <v/>
      </c>
      <c r="AV2444" s="3">
        <f t="shared" si="116"/>
        <v>0</v>
      </c>
      <c r="AW2444" s="2" t="str">
        <f>IF(Registered!AV2444=0,"",IF(Registered!AV2444=1,Registered!AV2444&amp;" Meal",Registered!AV2444&amp;" Meals"))</f>
        <v/>
      </c>
      <c r="AX2444" s="2" t="str">
        <f>IF(Registered!AI2444=0,"",Registered!AI2444&amp;" BG")</f>
        <v/>
      </c>
      <c r="AY2444" s="2" t="str">
        <f>IF(Registered!AG2444=0,"",Registered!AG2444&amp;" DustMask")</f>
        <v/>
      </c>
    </row>
    <row r="2445" spans="1:51" customFormat="1" x14ac:dyDescent="0.25">
      <c r="A2445" t="s">
        <v>3720</v>
      </c>
      <c r="B2445" t="s">
        <v>5834</v>
      </c>
      <c r="C2445" t="s">
        <v>6090</v>
      </c>
      <c r="G2445" t="s">
        <v>3559</v>
      </c>
      <c r="H2445" t="s">
        <v>3560</v>
      </c>
      <c r="I2445" t="s">
        <v>3561</v>
      </c>
      <c r="J2445" t="s">
        <v>37</v>
      </c>
      <c r="K2445" t="s">
        <v>32</v>
      </c>
      <c r="L2445" t="s">
        <v>35</v>
      </c>
      <c r="AQ2445">
        <v>0</v>
      </c>
      <c r="AR2445" s="3">
        <f t="shared" si="114"/>
        <v>0</v>
      </c>
      <c r="AS2445" s="3">
        <f t="shared" si="115"/>
        <v>0</v>
      </c>
      <c r="AT2445" s="3" t="str">
        <f>IF(OR(Registered!AM2445&gt;0,Registered!AO2445&gt;0),(IF(Registered!E2445=0,"Size Not Specified",Registered!E2445)),"")</f>
        <v/>
      </c>
      <c r="AU2445" s="3" t="str">
        <f>IF(Registered!AE2445=0,"",IF(Registered!AE2445=1,Registered!AE2445&amp;" Bandana",Registered!AE2445&amp;" Bandanas"))</f>
        <v/>
      </c>
      <c r="AV2445" s="3">
        <f t="shared" si="116"/>
        <v>0</v>
      </c>
      <c r="AW2445" s="2" t="str">
        <f>IF(Registered!AV2445=0,"",IF(Registered!AV2445=1,Registered!AV2445&amp;" Meal",Registered!AV2445&amp;" Meals"))</f>
        <v/>
      </c>
      <c r="AX2445" s="2" t="str">
        <f>IF(Registered!AI2445=0,"",Registered!AI2445&amp;" BG")</f>
        <v/>
      </c>
      <c r="AY2445" s="2" t="str">
        <f>IF(Registered!AG2445=0,"",Registered!AG2445&amp;" DustMask")</f>
        <v/>
      </c>
    </row>
    <row r="2446" spans="1:51" customFormat="1" x14ac:dyDescent="0.25">
      <c r="A2446" t="s">
        <v>5835</v>
      </c>
      <c r="B2446" t="s">
        <v>5836</v>
      </c>
      <c r="C2446" t="s">
        <v>6090</v>
      </c>
      <c r="G2446" t="s">
        <v>79</v>
      </c>
      <c r="H2446" t="s">
        <v>3840</v>
      </c>
      <c r="I2446" t="s">
        <v>3841</v>
      </c>
      <c r="J2446" t="s">
        <v>37</v>
      </c>
      <c r="K2446" t="s">
        <v>32</v>
      </c>
      <c r="L2446" t="s">
        <v>35</v>
      </c>
      <c r="AQ2446">
        <v>0</v>
      </c>
      <c r="AR2446" s="3">
        <f t="shared" si="114"/>
        <v>0</v>
      </c>
      <c r="AS2446" s="3">
        <f t="shared" si="115"/>
        <v>0</v>
      </c>
      <c r="AT2446" s="3" t="str">
        <f>IF(OR(Registered!AM2446&gt;0,Registered!AO2446&gt;0),(IF(Registered!E2446=0,"Size Not Specified",Registered!E2446)),"")</f>
        <v/>
      </c>
      <c r="AU2446" s="3" t="str">
        <f>IF(Registered!AE2446=0,"",IF(Registered!AE2446=1,Registered!AE2446&amp;" Bandana",Registered!AE2446&amp;" Bandanas"))</f>
        <v/>
      </c>
      <c r="AV2446" s="3">
        <f t="shared" si="116"/>
        <v>0</v>
      </c>
      <c r="AW2446" s="2" t="str">
        <f>IF(Registered!AV2446=0,"",IF(Registered!AV2446=1,Registered!AV2446&amp;" Meal",Registered!AV2446&amp;" Meals"))</f>
        <v/>
      </c>
      <c r="AX2446" s="2" t="str">
        <f>IF(Registered!AI2446=0,"",Registered!AI2446&amp;" BG")</f>
        <v/>
      </c>
      <c r="AY2446" s="2" t="str">
        <f>IF(Registered!AG2446=0,"",Registered!AG2446&amp;" DustMask")</f>
        <v/>
      </c>
    </row>
    <row r="2447" spans="1:51" customFormat="1" x14ac:dyDescent="0.25">
      <c r="A2447" t="s">
        <v>263</v>
      </c>
      <c r="B2447" t="s">
        <v>2493</v>
      </c>
      <c r="C2447" t="s">
        <v>6090</v>
      </c>
      <c r="G2447" t="s">
        <v>118</v>
      </c>
      <c r="H2447" t="s">
        <v>2386</v>
      </c>
      <c r="I2447" t="s">
        <v>2387</v>
      </c>
      <c r="J2447" t="s">
        <v>37</v>
      </c>
      <c r="K2447" t="s">
        <v>32</v>
      </c>
      <c r="L2447" t="s">
        <v>35</v>
      </c>
      <c r="AQ2447">
        <v>0</v>
      </c>
      <c r="AR2447" s="3">
        <f t="shared" si="114"/>
        <v>0</v>
      </c>
      <c r="AS2447" s="3">
        <f t="shared" si="115"/>
        <v>0</v>
      </c>
      <c r="AT2447" s="3" t="str">
        <f>IF(OR(Registered!AM2447&gt;0,Registered!AO2447&gt;0),(IF(Registered!E2447=0,"Size Not Specified",Registered!E2447)),"")</f>
        <v/>
      </c>
      <c r="AU2447" s="3" t="str">
        <f>IF(Registered!AE2447=0,"",IF(Registered!AE2447=1,Registered!AE2447&amp;" Bandana",Registered!AE2447&amp;" Bandanas"))</f>
        <v/>
      </c>
      <c r="AV2447" s="3">
        <f t="shared" si="116"/>
        <v>0</v>
      </c>
      <c r="AW2447" s="2" t="str">
        <f>IF(Registered!AV2447=0,"",IF(Registered!AV2447=1,Registered!AV2447&amp;" Meal",Registered!AV2447&amp;" Meals"))</f>
        <v/>
      </c>
      <c r="AX2447" s="2" t="str">
        <f>IF(Registered!AI2447=0,"",Registered!AI2447&amp;" BG")</f>
        <v/>
      </c>
      <c r="AY2447" s="2" t="str">
        <f>IF(Registered!AG2447=0,"",Registered!AG2447&amp;" DustMask")</f>
        <v/>
      </c>
    </row>
    <row r="2448" spans="1:51" customFormat="1" x14ac:dyDescent="0.25">
      <c r="A2448" t="s">
        <v>140</v>
      </c>
      <c r="B2448" t="s">
        <v>5837</v>
      </c>
      <c r="C2448" t="s">
        <v>6090</v>
      </c>
      <c r="G2448" t="s">
        <v>187</v>
      </c>
      <c r="H2448" t="s">
        <v>5837</v>
      </c>
      <c r="I2448" t="s">
        <v>5838</v>
      </c>
      <c r="J2448" t="s">
        <v>37</v>
      </c>
      <c r="K2448" t="s">
        <v>32</v>
      </c>
      <c r="L2448" t="s">
        <v>35</v>
      </c>
      <c r="AQ2448">
        <v>0</v>
      </c>
      <c r="AR2448" s="3">
        <f t="shared" si="114"/>
        <v>0</v>
      </c>
      <c r="AS2448" s="3">
        <f t="shared" si="115"/>
        <v>0</v>
      </c>
      <c r="AT2448" s="3" t="str">
        <f>IF(OR(Registered!AM2448&gt;0,Registered!AO2448&gt;0),(IF(Registered!E2448=0,"Size Not Specified",Registered!E2448)),"")</f>
        <v/>
      </c>
      <c r="AU2448" s="3" t="str">
        <f>IF(Registered!AE2448=0,"",IF(Registered!AE2448=1,Registered!AE2448&amp;" Bandana",Registered!AE2448&amp;" Bandanas"))</f>
        <v/>
      </c>
      <c r="AV2448" s="3">
        <f t="shared" si="116"/>
        <v>0</v>
      </c>
      <c r="AW2448" s="2" t="str">
        <f>IF(Registered!AV2448=0,"",IF(Registered!AV2448=1,Registered!AV2448&amp;" Meal",Registered!AV2448&amp;" Meals"))</f>
        <v/>
      </c>
      <c r="AX2448" s="2" t="str">
        <f>IF(Registered!AI2448=0,"",Registered!AI2448&amp;" BG")</f>
        <v/>
      </c>
      <c r="AY2448" s="2" t="str">
        <f>IF(Registered!AG2448=0,"",Registered!AG2448&amp;" DustMask")</f>
        <v/>
      </c>
    </row>
    <row r="2449" spans="1:51" customFormat="1" x14ac:dyDescent="0.25">
      <c r="A2449" t="s">
        <v>187</v>
      </c>
      <c r="B2449" t="s">
        <v>5837</v>
      </c>
      <c r="C2449" t="s">
        <v>6090</v>
      </c>
      <c r="D2449" t="s">
        <v>5839</v>
      </c>
      <c r="F2449" t="s">
        <v>261</v>
      </c>
      <c r="I2449" t="s">
        <v>5838</v>
      </c>
      <c r="J2449" t="s">
        <v>37</v>
      </c>
      <c r="K2449" t="s">
        <v>32</v>
      </c>
      <c r="L2449" t="s">
        <v>35</v>
      </c>
      <c r="Q2449">
        <v>2</v>
      </c>
      <c r="R2449">
        <v>3</v>
      </c>
      <c r="U2449">
        <v>1</v>
      </c>
      <c r="V2449">
        <v>20</v>
      </c>
      <c r="AC2449">
        <v>1</v>
      </c>
      <c r="AD2449">
        <v>10</v>
      </c>
      <c r="AE2449">
        <v>1</v>
      </c>
      <c r="AF2449">
        <v>6</v>
      </c>
      <c r="AG2449">
        <v>1</v>
      </c>
      <c r="AH2449">
        <v>1</v>
      </c>
      <c r="AQ2449">
        <v>43</v>
      </c>
      <c r="AR2449" s="3">
        <f t="shared" si="114"/>
        <v>15</v>
      </c>
      <c r="AS2449" s="3">
        <f t="shared" si="115"/>
        <v>0</v>
      </c>
      <c r="AT2449" s="3" t="str">
        <f>IF(OR(Registered!AM2449&gt;0,Registered!AO2449&gt;0),(IF(Registered!E2449=0,"Size Not Specified",Registered!E2449)),"")</f>
        <v/>
      </c>
      <c r="AU2449" s="3" t="str">
        <f>IF(Registered!AE2449=0,"",IF(Registered!AE2449=1,Registered!AE2449&amp;" Bandana",Registered!AE2449&amp;" Bandanas"))</f>
        <v>1 Bandana</v>
      </c>
      <c r="AV2449" s="3">
        <f t="shared" si="116"/>
        <v>0</v>
      </c>
      <c r="AW2449" s="2" t="str">
        <f>IF(Registered!AV2449=0,"",IF(Registered!AV2449=1,Registered!AV2449&amp;" Meal",Registered!AV2449&amp;" Meals"))</f>
        <v/>
      </c>
      <c r="AX2449" s="2" t="str">
        <f>IF(Registered!AI2449=0,"",Registered!AI2449&amp;" BG")</f>
        <v/>
      </c>
      <c r="AY2449" s="2" t="str">
        <f>IF(Registered!AG2449=0,"",Registered!AG2449&amp;" DustMask")</f>
        <v>1 DustMask</v>
      </c>
    </row>
    <row r="2450" spans="1:51" customFormat="1" x14ac:dyDescent="0.25">
      <c r="A2450" t="s">
        <v>2494</v>
      </c>
      <c r="B2450" t="s">
        <v>2495</v>
      </c>
      <c r="C2450" t="s">
        <v>6090</v>
      </c>
      <c r="D2450" t="s">
        <v>2496</v>
      </c>
      <c r="E2450" t="s">
        <v>65</v>
      </c>
      <c r="F2450" t="s">
        <v>261</v>
      </c>
      <c r="I2450" t="s">
        <v>2497</v>
      </c>
      <c r="J2450" t="s">
        <v>37</v>
      </c>
      <c r="K2450" t="s">
        <v>32</v>
      </c>
      <c r="L2450" t="s">
        <v>35</v>
      </c>
      <c r="Q2450">
        <v>1</v>
      </c>
      <c r="R2450">
        <v>3</v>
      </c>
      <c r="W2450">
        <v>1</v>
      </c>
      <c r="X2450">
        <v>40</v>
      </c>
      <c r="AE2450">
        <v>1</v>
      </c>
      <c r="AF2450">
        <v>6</v>
      </c>
      <c r="AO2450">
        <v>1</v>
      </c>
      <c r="AP2450">
        <v>10</v>
      </c>
      <c r="AQ2450">
        <v>59</v>
      </c>
      <c r="AR2450" s="3">
        <f t="shared" si="114"/>
        <v>20</v>
      </c>
      <c r="AS2450" s="3">
        <f t="shared" si="115"/>
        <v>1</v>
      </c>
      <c r="AT2450" s="3" t="str">
        <f>IF(OR(Registered!AM2450&gt;0,Registered!AO2450&gt;0),(IF(Registered!E2450=0,"Size Not Specified",Registered!E2450)),"")</f>
        <v>Medium</v>
      </c>
      <c r="AU2450" s="3" t="str">
        <f>IF(Registered!AE2450=0,"",IF(Registered!AE2450=1,Registered!AE2450&amp;" Bandana",Registered!AE2450&amp;" Bandanas"))</f>
        <v>1 Bandana</v>
      </c>
      <c r="AV2450" s="3">
        <f t="shared" si="116"/>
        <v>0</v>
      </c>
      <c r="AW2450" s="2" t="str">
        <f>IF(Registered!AV2450=0,"",IF(Registered!AV2450=1,Registered!AV2450&amp;" Meal",Registered!AV2450&amp;" Meals"))</f>
        <v/>
      </c>
      <c r="AX2450" s="2" t="str">
        <f>IF(Registered!AI2450=0,"",Registered!AI2450&amp;" BG")</f>
        <v/>
      </c>
      <c r="AY2450" s="2" t="str">
        <f>IF(Registered!AG2450=0,"",Registered!AG2450&amp;" DustMask")</f>
        <v/>
      </c>
    </row>
    <row r="2451" spans="1:51" customFormat="1" x14ac:dyDescent="0.25">
      <c r="A2451" t="s">
        <v>396</v>
      </c>
      <c r="B2451" t="s">
        <v>266</v>
      </c>
      <c r="C2451" t="s">
        <v>6090</v>
      </c>
      <c r="G2451" t="s">
        <v>1671</v>
      </c>
      <c r="H2451" t="s">
        <v>362</v>
      </c>
      <c r="I2451" t="s">
        <v>1672</v>
      </c>
      <c r="J2451" t="s">
        <v>37</v>
      </c>
      <c r="K2451" t="s">
        <v>32</v>
      </c>
      <c r="L2451" t="s">
        <v>35</v>
      </c>
      <c r="AQ2451">
        <v>0</v>
      </c>
      <c r="AR2451" s="3">
        <f t="shared" si="114"/>
        <v>0</v>
      </c>
      <c r="AS2451" s="3">
        <f t="shared" si="115"/>
        <v>0</v>
      </c>
      <c r="AT2451" s="3" t="str">
        <f>IF(OR(Registered!AM2451&gt;0,Registered!AO2451&gt;0),(IF(Registered!E2451=0,"Size Not Specified",Registered!E2451)),"")</f>
        <v/>
      </c>
      <c r="AU2451" s="3" t="str">
        <f>IF(Registered!AE2451=0,"",IF(Registered!AE2451=1,Registered!AE2451&amp;" Bandana",Registered!AE2451&amp;" Bandanas"))</f>
        <v/>
      </c>
      <c r="AV2451" s="3">
        <f t="shared" si="116"/>
        <v>0</v>
      </c>
      <c r="AW2451" s="2" t="str">
        <f>IF(Registered!AV2451=0,"",IF(Registered!AV2451=1,Registered!AV2451&amp;" Meal",Registered!AV2451&amp;" Meals"))</f>
        <v/>
      </c>
      <c r="AX2451" s="2" t="str">
        <f>IF(Registered!AI2451=0,"",Registered!AI2451&amp;" BG")</f>
        <v/>
      </c>
      <c r="AY2451" s="2" t="str">
        <f>IF(Registered!AG2451=0,"",Registered!AG2451&amp;" DustMask")</f>
        <v/>
      </c>
    </row>
    <row r="2452" spans="1:51" customFormat="1" x14ac:dyDescent="0.25">
      <c r="A2452" t="s">
        <v>142</v>
      </c>
      <c r="B2452" t="s">
        <v>5842</v>
      </c>
      <c r="C2452" t="s">
        <v>6090</v>
      </c>
      <c r="D2452" t="s">
        <v>5843</v>
      </c>
      <c r="F2452" t="s">
        <v>261</v>
      </c>
      <c r="I2452" t="s">
        <v>5356</v>
      </c>
      <c r="J2452" t="s">
        <v>37</v>
      </c>
      <c r="K2452" t="s">
        <v>32</v>
      </c>
      <c r="L2452" t="s">
        <v>35</v>
      </c>
      <c r="Q2452">
        <v>2</v>
      </c>
      <c r="R2452">
        <v>3</v>
      </c>
      <c r="U2452">
        <v>1</v>
      </c>
      <c r="V2452">
        <v>20</v>
      </c>
      <c r="AQ2452">
        <v>26</v>
      </c>
      <c r="AR2452" s="3">
        <f t="shared" si="114"/>
        <v>10</v>
      </c>
      <c r="AS2452" s="3">
        <f t="shared" si="115"/>
        <v>0</v>
      </c>
      <c r="AT2452" s="3" t="str">
        <f>IF(OR(Registered!AM2452&gt;0,Registered!AO2452&gt;0),(IF(Registered!E2452=0,"Size Not Specified",Registered!E2452)),"")</f>
        <v/>
      </c>
      <c r="AU2452" s="3" t="str">
        <f>IF(Registered!AE2452=0,"",IF(Registered!AE2452=1,Registered!AE2452&amp;" Bandana",Registered!AE2452&amp;" Bandanas"))</f>
        <v/>
      </c>
      <c r="AV2452" s="3">
        <f t="shared" si="116"/>
        <v>0</v>
      </c>
      <c r="AW2452" s="2" t="str">
        <f>IF(Registered!AV2452=0,"",IF(Registered!AV2452=1,Registered!AV2452&amp;" Meal",Registered!AV2452&amp;" Meals"))</f>
        <v/>
      </c>
      <c r="AX2452" s="2" t="str">
        <f>IF(Registered!AI2452=0,"",Registered!AI2452&amp;" BG")</f>
        <v/>
      </c>
      <c r="AY2452" s="2" t="str">
        <f>IF(Registered!AG2452=0,"",Registered!AG2452&amp;" DustMask")</f>
        <v/>
      </c>
    </row>
    <row r="2453" spans="1:51" customFormat="1" x14ac:dyDescent="0.25">
      <c r="A2453" t="s">
        <v>108</v>
      </c>
      <c r="B2453" t="s">
        <v>5842</v>
      </c>
      <c r="C2453" t="s">
        <v>6090</v>
      </c>
      <c r="G2453" t="s">
        <v>142</v>
      </c>
      <c r="H2453" t="s">
        <v>5842</v>
      </c>
      <c r="I2453" t="s">
        <v>5356</v>
      </c>
      <c r="J2453" t="s">
        <v>37</v>
      </c>
      <c r="K2453" t="s">
        <v>32</v>
      </c>
      <c r="L2453" t="s">
        <v>35</v>
      </c>
      <c r="AQ2453">
        <v>0</v>
      </c>
      <c r="AR2453" s="3">
        <f t="shared" si="114"/>
        <v>0</v>
      </c>
      <c r="AS2453" s="3">
        <f t="shared" si="115"/>
        <v>0</v>
      </c>
      <c r="AT2453" s="3" t="str">
        <f>IF(OR(Registered!AM2453&gt;0,Registered!AO2453&gt;0),(IF(Registered!E2453=0,"Size Not Specified",Registered!E2453)),"")</f>
        <v/>
      </c>
      <c r="AU2453" s="3" t="str">
        <f>IF(Registered!AE2453=0,"",IF(Registered!AE2453=1,Registered!AE2453&amp;" Bandana",Registered!AE2453&amp;" Bandanas"))</f>
        <v/>
      </c>
      <c r="AV2453" s="3">
        <f t="shared" si="116"/>
        <v>0</v>
      </c>
      <c r="AW2453" s="2" t="str">
        <f>IF(Registered!AV2453=0,"",IF(Registered!AV2453=1,Registered!AV2453&amp;" Meal",Registered!AV2453&amp;" Meals"))</f>
        <v/>
      </c>
      <c r="AX2453" s="2" t="str">
        <f>IF(Registered!AI2453=0,"",Registered!AI2453&amp;" BG")</f>
        <v/>
      </c>
      <c r="AY2453" s="2" t="str">
        <f>IF(Registered!AG2453=0,"",Registered!AG2453&amp;" DustMask")</f>
        <v/>
      </c>
    </row>
    <row r="2454" spans="1:51" customFormat="1" x14ac:dyDescent="0.25">
      <c r="A2454" t="s">
        <v>296</v>
      </c>
      <c r="B2454" t="s">
        <v>5844</v>
      </c>
      <c r="C2454" t="s">
        <v>6090</v>
      </c>
      <c r="D2454" t="s">
        <v>5845</v>
      </c>
      <c r="F2454" t="s">
        <v>261</v>
      </c>
      <c r="I2454" t="s">
        <v>5846</v>
      </c>
      <c r="J2454" t="s">
        <v>37</v>
      </c>
      <c r="K2454" t="s">
        <v>32</v>
      </c>
      <c r="L2454" t="s">
        <v>35</v>
      </c>
      <c r="Q2454">
        <v>1</v>
      </c>
      <c r="R2454">
        <v>3</v>
      </c>
      <c r="AC2454">
        <v>1</v>
      </c>
      <c r="AD2454">
        <v>10</v>
      </c>
      <c r="AQ2454">
        <v>13</v>
      </c>
      <c r="AR2454" s="3">
        <f t="shared" si="114"/>
        <v>5</v>
      </c>
      <c r="AS2454" s="3">
        <f t="shared" si="115"/>
        <v>0</v>
      </c>
      <c r="AT2454" s="3" t="str">
        <f>IF(OR(Registered!AM2454&gt;0,Registered!AO2454&gt;0),(IF(Registered!E2454=0,"Size Not Specified",Registered!E2454)),"")</f>
        <v/>
      </c>
      <c r="AU2454" s="3" t="str">
        <f>IF(Registered!AE2454=0,"",IF(Registered!AE2454=1,Registered!AE2454&amp;" Bandana",Registered!AE2454&amp;" Bandanas"))</f>
        <v/>
      </c>
      <c r="AV2454" s="3">
        <f t="shared" si="116"/>
        <v>0</v>
      </c>
      <c r="AW2454" s="2" t="str">
        <f>IF(Registered!AV2454=0,"",IF(Registered!AV2454=1,Registered!AV2454&amp;" Meal",Registered!AV2454&amp;" Meals"))</f>
        <v/>
      </c>
      <c r="AX2454" s="2" t="str">
        <f>IF(Registered!AI2454=0,"",Registered!AI2454&amp;" BG")</f>
        <v/>
      </c>
      <c r="AY2454" s="2" t="str">
        <f>IF(Registered!AG2454=0,"",Registered!AG2454&amp;" DustMask")</f>
        <v/>
      </c>
    </row>
    <row r="2455" spans="1:51" customFormat="1" x14ac:dyDescent="0.25">
      <c r="A2455" t="s">
        <v>3426</v>
      </c>
      <c r="B2455" t="s">
        <v>3173</v>
      </c>
      <c r="C2455" t="s">
        <v>6090</v>
      </c>
      <c r="D2455" t="s">
        <v>3426</v>
      </c>
      <c r="E2455" t="s">
        <v>3448</v>
      </c>
      <c r="F2455" t="s">
        <v>261</v>
      </c>
      <c r="I2455" t="s">
        <v>3427</v>
      </c>
      <c r="J2455" t="s">
        <v>37</v>
      </c>
      <c r="K2455" t="s">
        <v>32</v>
      </c>
      <c r="L2455" t="s">
        <v>35</v>
      </c>
      <c r="Q2455">
        <v>2</v>
      </c>
      <c r="R2455">
        <v>3</v>
      </c>
      <c r="U2455">
        <v>1</v>
      </c>
      <c r="V2455">
        <v>20</v>
      </c>
      <c r="AE2455">
        <v>2</v>
      </c>
      <c r="AF2455">
        <v>6</v>
      </c>
      <c r="AO2455">
        <v>2</v>
      </c>
      <c r="AP2455">
        <v>10</v>
      </c>
      <c r="AQ2455">
        <v>58</v>
      </c>
      <c r="AR2455" s="3">
        <f t="shared" si="114"/>
        <v>10</v>
      </c>
      <c r="AS2455" s="3">
        <f t="shared" si="115"/>
        <v>2</v>
      </c>
      <c r="AT2455" s="3" t="str">
        <f>IF(OR(Registered!AM2455&gt;0,Registered!AO2455&gt;0),(IF(Registered!E2455=0,"Size Not Specified",Registered!E2455)),"")</f>
        <v>1 Small, 1 Large</v>
      </c>
      <c r="AU2455" s="3" t="str">
        <f>IF(Registered!AE2455=0,"",IF(Registered!AE2455=1,Registered!AE2455&amp;" Bandana",Registered!AE2455&amp;" Bandanas"))</f>
        <v>2 Bandanas</v>
      </c>
      <c r="AV2455" s="3">
        <f t="shared" si="116"/>
        <v>0</v>
      </c>
      <c r="AW2455" s="2" t="str">
        <f>IF(Registered!AV2455=0,"",IF(Registered!AV2455=1,Registered!AV2455&amp;" Meal",Registered!AV2455&amp;" Meals"))</f>
        <v/>
      </c>
      <c r="AX2455" s="2" t="str">
        <f>IF(Registered!AI2455=0,"",Registered!AI2455&amp;" BG")</f>
        <v/>
      </c>
      <c r="AY2455" s="2" t="str">
        <f>IF(Registered!AG2455=0,"",Registered!AG2455&amp;" DustMask")</f>
        <v/>
      </c>
    </row>
    <row r="2456" spans="1:51" customFormat="1" x14ac:dyDescent="0.25">
      <c r="A2456" t="s">
        <v>2498</v>
      </c>
      <c r="B2456" t="s">
        <v>2499</v>
      </c>
      <c r="C2456" t="s">
        <v>6090</v>
      </c>
      <c r="G2456" t="s">
        <v>487</v>
      </c>
      <c r="H2456" t="s">
        <v>733</v>
      </c>
      <c r="I2456" t="s">
        <v>734</v>
      </c>
      <c r="J2456" t="s">
        <v>37</v>
      </c>
      <c r="K2456" t="s">
        <v>32</v>
      </c>
      <c r="L2456" t="s">
        <v>35</v>
      </c>
      <c r="AQ2456">
        <v>0</v>
      </c>
      <c r="AR2456" s="3">
        <f t="shared" si="114"/>
        <v>0</v>
      </c>
      <c r="AS2456" s="3">
        <f t="shared" si="115"/>
        <v>0</v>
      </c>
      <c r="AT2456" s="3" t="str">
        <f>IF(OR(Registered!AM2456&gt;0,Registered!AO2456&gt;0),(IF(Registered!E2456=0,"Size Not Specified",Registered!E2456)),"")</f>
        <v/>
      </c>
      <c r="AU2456" s="3" t="str">
        <f>IF(Registered!AE2456=0,"",IF(Registered!AE2456=1,Registered!AE2456&amp;" Bandana",Registered!AE2456&amp;" Bandanas"))</f>
        <v/>
      </c>
      <c r="AV2456" s="3">
        <f t="shared" si="116"/>
        <v>0</v>
      </c>
      <c r="AW2456" s="2" t="str">
        <f>IF(Registered!AV2456=0,"",IF(Registered!AV2456=1,Registered!AV2456&amp;" Meal",Registered!AV2456&amp;" Meals"))</f>
        <v/>
      </c>
      <c r="AX2456" s="2" t="str">
        <f>IF(Registered!AI2456=0,"",Registered!AI2456&amp;" BG")</f>
        <v/>
      </c>
      <c r="AY2456" s="2" t="str">
        <f>IF(Registered!AG2456=0,"",Registered!AG2456&amp;" DustMask")</f>
        <v/>
      </c>
    </row>
    <row r="2457" spans="1:51" customFormat="1" x14ac:dyDescent="0.25">
      <c r="A2457" t="s">
        <v>5847</v>
      </c>
      <c r="B2457" t="s">
        <v>5848</v>
      </c>
      <c r="C2457" t="s">
        <v>6090</v>
      </c>
      <c r="G2457" t="s">
        <v>1557</v>
      </c>
      <c r="H2457" t="s">
        <v>151</v>
      </c>
      <c r="I2457" t="s">
        <v>4443</v>
      </c>
      <c r="J2457" t="s">
        <v>37</v>
      </c>
      <c r="K2457" t="s">
        <v>32</v>
      </c>
      <c r="L2457" t="s">
        <v>35</v>
      </c>
      <c r="AQ2457">
        <v>0</v>
      </c>
      <c r="AR2457" s="3">
        <f t="shared" si="114"/>
        <v>0</v>
      </c>
      <c r="AS2457" s="3">
        <f t="shared" si="115"/>
        <v>0</v>
      </c>
      <c r="AT2457" s="3" t="str">
        <f>IF(OR(Registered!AM2457&gt;0,Registered!AO2457&gt;0),(IF(Registered!E2457=0,"Size Not Specified",Registered!E2457)),"")</f>
        <v/>
      </c>
      <c r="AU2457" s="3" t="str">
        <f>IF(Registered!AE2457=0,"",IF(Registered!AE2457=1,Registered!AE2457&amp;" Bandana",Registered!AE2457&amp;" Bandanas"))</f>
        <v/>
      </c>
      <c r="AV2457" s="3">
        <f t="shared" si="116"/>
        <v>0</v>
      </c>
      <c r="AW2457" s="2" t="str">
        <f>IF(Registered!AV2457=0,"",IF(Registered!AV2457=1,Registered!AV2457&amp;" Meal",Registered!AV2457&amp;" Meals"))</f>
        <v/>
      </c>
      <c r="AX2457" s="2" t="str">
        <f>IF(Registered!AI2457=0,"",Registered!AI2457&amp;" BG")</f>
        <v/>
      </c>
      <c r="AY2457" s="2" t="str">
        <f>IF(Registered!AG2457=0,"",Registered!AG2457&amp;" DustMask")</f>
        <v/>
      </c>
    </row>
    <row r="2458" spans="1:51" customFormat="1" x14ac:dyDescent="0.25">
      <c r="A2458" t="s">
        <v>317</v>
      </c>
      <c r="B2458" t="s">
        <v>1240</v>
      </c>
      <c r="C2458" t="s">
        <v>6090</v>
      </c>
      <c r="D2458" t="s">
        <v>2500</v>
      </c>
      <c r="F2458" t="s">
        <v>261</v>
      </c>
      <c r="I2458" t="s">
        <v>1241</v>
      </c>
      <c r="J2458" t="s">
        <v>37</v>
      </c>
      <c r="K2458" t="s">
        <v>32</v>
      </c>
      <c r="L2458" t="s">
        <v>35</v>
      </c>
      <c r="S2458">
        <v>2</v>
      </c>
      <c r="T2458">
        <v>3</v>
      </c>
      <c r="U2458">
        <v>1</v>
      </c>
      <c r="V2458">
        <v>20</v>
      </c>
      <c r="AQ2458">
        <v>26</v>
      </c>
      <c r="AR2458" s="3">
        <f t="shared" si="114"/>
        <v>10</v>
      </c>
      <c r="AS2458" s="3">
        <f t="shared" si="115"/>
        <v>0</v>
      </c>
      <c r="AT2458" s="3" t="str">
        <f>IF(OR(Registered!AM2458&gt;0,Registered!AO2458&gt;0),(IF(Registered!E2458=0,"Size Not Specified",Registered!E2458)),"")</f>
        <v/>
      </c>
      <c r="AU2458" s="3" t="str">
        <f>IF(Registered!AE2458=0,"",IF(Registered!AE2458=1,Registered!AE2458&amp;" Bandana",Registered!AE2458&amp;" Bandanas"))</f>
        <v/>
      </c>
      <c r="AV2458" s="3">
        <f t="shared" si="116"/>
        <v>0</v>
      </c>
      <c r="AW2458" s="2" t="str">
        <f>IF(Registered!AV2458=0,"",IF(Registered!AV2458=1,Registered!AV2458&amp;" Meal",Registered!AV2458&amp;" Meals"))</f>
        <v/>
      </c>
      <c r="AX2458" s="2" t="str">
        <f>IF(Registered!AI2458=0,"",Registered!AI2458&amp;" BG")</f>
        <v/>
      </c>
      <c r="AY2458" s="2" t="str">
        <f>IF(Registered!AG2458=0,"",Registered!AG2458&amp;" DustMask")</f>
        <v/>
      </c>
    </row>
    <row r="2459" spans="1:51" customFormat="1" x14ac:dyDescent="0.25">
      <c r="A2459" t="s">
        <v>294</v>
      </c>
      <c r="B2459" t="s">
        <v>2501</v>
      </c>
      <c r="C2459" t="s">
        <v>6090</v>
      </c>
      <c r="G2459" t="s">
        <v>144</v>
      </c>
      <c r="H2459" t="s">
        <v>458</v>
      </c>
      <c r="I2459" t="s">
        <v>1415</v>
      </c>
      <c r="J2459" t="s">
        <v>37</v>
      </c>
      <c r="K2459" t="s">
        <v>32</v>
      </c>
      <c r="L2459" t="s">
        <v>35</v>
      </c>
      <c r="AQ2459">
        <v>0</v>
      </c>
      <c r="AR2459" s="3">
        <f t="shared" si="114"/>
        <v>0</v>
      </c>
      <c r="AS2459" s="3">
        <f t="shared" si="115"/>
        <v>0</v>
      </c>
      <c r="AT2459" s="3" t="str">
        <f>IF(OR(Registered!AM2459&gt;0,Registered!AO2459&gt;0),(IF(Registered!E2459=0,"Size Not Specified",Registered!E2459)),"")</f>
        <v/>
      </c>
      <c r="AU2459" s="3" t="str">
        <f>IF(Registered!AE2459=0,"",IF(Registered!AE2459=1,Registered!AE2459&amp;" Bandana",Registered!AE2459&amp;" Bandanas"))</f>
        <v/>
      </c>
      <c r="AV2459" s="3">
        <f t="shared" si="116"/>
        <v>0</v>
      </c>
      <c r="AW2459" s="2" t="str">
        <f>IF(Registered!AV2459=0,"",IF(Registered!AV2459=1,Registered!AV2459&amp;" Meal",Registered!AV2459&amp;" Meals"))</f>
        <v/>
      </c>
      <c r="AX2459" s="2" t="str">
        <f>IF(Registered!AI2459=0,"",Registered!AI2459&amp;" BG")</f>
        <v/>
      </c>
      <c r="AY2459" s="2" t="str">
        <f>IF(Registered!AG2459=0,"",Registered!AG2459&amp;" DustMask")</f>
        <v/>
      </c>
    </row>
    <row r="2460" spans="1:51" customFormat="1" x14ac:dyDescent="0.25">
      <c r="A2460" t="s">
        <v>5849</v>
      </c>
      <c r="B2460" t="s">
        <v>5850</v>
      </c>
      <c r="C2460" t="s">
        <v>6090</v>
      </c>
      <c r="G2460" t="s">
        <v>390</v>
      </c>
      <c r="H2460" t="s">
        <v>3776</v>
      </c>
      <c r="I2460" t="s">
        <v>3778</v>
      </c>
      <c r="J2460" t="s">
        <v>37</v>
      </c>
      <c r="K2460" t="s">
        <v>32</v>
      </c>
      <c r="L2460" t="s">
        <v>35</v>
      </c>
      <c r="AQ2460">
        <v>0</v>
      </c>
      <c r="AR2460" s="3">
        <f t="shared" si="114"/>
        <v>0</v>
      </c>
      <c r="AS2460" s="3">
        <f t="shared" si="115"/>
        <v>0</v>
      </c>
      <c r="AT2460" s="3" t="str">
        <f>IF(OR(Registered!AM2460&gt;0,Registered!AO2460&gt;0),(IF(Registered!E2460=0,"Size Not Specified",Registered!E2460)),"")</f>
        <v/>
      </c>
      <c r="AU2460" s="3" t="str">
        <f>IF(Registered!AE2460=0,"",IF(Registered!AE2460=1,Registered!AE2460&amp;" Bandana",Registered!AE2460&amp;" Bandanas"))</f>
        <v/>
      </c>
      <c r="AV2460" s="3">
        <f t="shared" si="116"/>
        <v>0</v>
      </c>
      <c r="AW2460" s="2" t="str">
        <f>IF(Registered!AV2460=0,"",IF(Registered!AV2460=1,Registered!AV2460&amp;" Meal",Registered!AV2460&amp;" Meals"))</f>
        <v/>
      </c>
      <c r="AX2460" s="2" t="str">
        <f>IF(Registered!AI2460=0,"",Registered!AI2460&amp;" BG")</f>
        <v/>
      </c>
      <c r="AY2460" s="2" t="str">
        <f>IF(Registered!AG2460=0,"",Registered!AG2460&amp;" DustMask")</f>
        <v/>
      </c>
    </row>
    <row r="2461" spans="1:51" customFormat="1" x14ac:dyDescent="0.25">
      <c r="A2461" t="s">
        <v>2502</v>
      </c>
      <c r="B2461" t="s">
        <v>2503</v>
      </c>
      <c r="C2461" t="s">
        <v>6090</v>
      </c>
      <c r="G2461" t="s">
        <v>141</v>
      </c>
      <c r="H2461" t="s">
        <v>843</v>
      </c>
      <c r="I2461" t="s">
        <v>844</v>
      </c>
      <c r="J2461" t="s">
        <v>37</v>
      </c>
      <c r="K2461" t="s">
        <v>32</v>
      </c>
      <c r="L2461" t="s">
        <v>35</v>
      </c>
      <c r="AQ2461">
        <v>0</v>
      </c>
      <c r="AR2461" s="3">
        <f t="shared" si="114"/>
        <v>0</v>
      </c>
      <c r="AS2461" s="3">
        <f t="shared" si="115"/>
        <v>0</v>
      </c>
      <c r="AT2461" s="3" t="str">
        <f>IF(OR(Registered!AM2461&gt;0,Registered!AO2461&gt;0),(IF(Registered!E2461=0,"Size Not Specified",Registered!E2461)),"")</f>
        <v/>
      </c>
      <c r="AU2461" s="3" t="str">
        <f>IF(Registered!AE2461=0,"",IF(Registered!AE2461=1,Registered!AE2461&amp;" Bandana",Registered!AE2461&amp;" Bandanas"))</f>
        <v/>
      </c>
      <c r="AV2461" s="3">
        <f t="shared" si="116"/>
        <v>0</v>
      </c>
      <c r="AW2461" s="2" t="str">
        <f>IF(Registered!AV2461=0,"",IF(Registered!AV2461=1,Registered!AV2461&amp;" Meal",Registered!AV2461&amp;" Meals"))</f>
        <v/>
      </c>
      <c r="AX2461" s="2" t="str">
        <f>IF(Registered!AI2461=0,"",Registered!AI2461&amp;" BG")</f>
        <v/>
      </c>
      <c r="AY2461" s="2" t="str">
        <f>IF(Registered!AG2461=0,"",Registered!AG2461&amp;" DustMask")</f>
        <v/>
      </c>
    </row>
    <row r="2462" spans="1:51" customFormat="1" x14ac:dyDescent="0.25">
      <c r="A2462" t="s">
        <v>5851</v>
      </c>
      <c r="B2462" t="s">
        <v>5852</v>
      </c>
      <c r="C2462" t="s">
        <v>6090</v>
      </c>
      <c r="D2462" t="s">
        <v>5853</v>
      </c>
      <c r="F2462" t="s">
        <v>261</v>
      </c>
      <c r="I2462" t="s">
        <v>5854</v>
      </c>
      <c r="J2462" t="s">
        <v>37</v>
      </c>
      <c r="K2462" t="s">
        <v>32</v>
      </c>
      <c r="L2462" t="s">
        <v>35</v>
      </c>
      <c r="Q2462">
        <v>1</v>
      </c>
      <c r="R2462">
        <v>3</v>
      </c>
      <c r="AC2462">
        <v>1</v>
      </c>
      <c r="AD2462">
        <v>10</v>
      </c>
      <c r="AK2462">
        <v>1</v>
      </c>
      <c r="AL2462">
        <v>6</v>
      </c>
      <c r="AQ2462">
        <v>19</v>
      </c>
      <c r="AR2462" s="3">
        <f t="shared" si="114"/>
        <v>5</v>
      </c>
      <c r="AS2462" s="3">
        <f t="shared" si="115"/>
        <v>0</v>
      </c>
      <c r="AT2462" s="3" t="str">
        <f>IF(OR(Registered!AM2462&gt;0,Registered!AO2462&gt;0),(IF(Registered!E2462=0,"Size Not Specified",Registered!E2462)),"")</f>
        <v/>
      </c>
      <c r="AU2462" s="3" t="str">
        <f>IF(Registered!AE2462=0,"",IF(Registered!AE2462=1,Registered!AE2462&amp;" Bandana",Registered!AE2462&amp;" Bandanas"))</f>
        <v/>
      </c>
      <c r="AV2462" s="3">
        <f t="shared" si="116"/>
        <v>1</v>
      </c>
      <c r="AW2462" s="2" t="str">
        <f>IF(Registered!AV2462=0,"",IF(Registered!AV2462=1,Registered!AV2462&amp;" Meal",Registered!AV2462&amp;" Meals"))</f>
        <v>1 Meal</v>
      </c>
      <c r="AX2462" s="2" t="str">
        <f>IF(Registered!AI2462=0,"",Registered!AI2462&amp;" BG")</f>
        <v/>
      </c>
      <c r="AY2462" s="2" t="str">
        <f>IF(Registered!AG2462=0,"",Registered!AG2462&amp;" DustMask")</f>
        <v/>
      </c>
    </row>
    <row r="2463" spans="1:51" customFormat="1" x14ac:dyDescent="0.25">
      <c r="A2463" t="s">
        <v>217</v>
      </c>
      <c r="B2463" t="s">
        <v>5855</v>
      </c>
      <c r="C2463" t="s">
        <v>6090</v>
      </c>
      <c r="D2463" t="s">
        <v>5856</v>
      </c>
      <c r="F2463" t="s">
        <v>261</v>
      </c>
      <c r="I2463" t="s">
        <v>4912</v>
      </c>
      <c r="J2463" t="s">
        <v>37</v>
      </c>
      <c r="K2463" t="s">
        <v>32</v>
      </c>
      <c r="L2463" t="s">
        <v>35</v>
      </c>
      <c r="Q2463">
        <v>2</v>
      </c>
      <c r="R2463">
        <v>3</v>
      </c>
      <c r="AC2463">
        <v>1</v>
      </c>
      <c r="AD2463">
        <v>10</v>
      </c>
      <c r="AG2463">
        <v>1</v>
      </c>
      <c r="AH2463">
        <v>1</v>
      </c>
      <c r="AO2463">
        <v>2</v>
      </c>
      <c r="AP2463">
        <v>10</v>
      </c>
      <c r="AQ2463">
        <v>37</v>
      </c>
      <c r="AR2463" s="3">
        <f t="shared" si="114"/>
        <v>5</v>
      </c>
      <c r="AS2463" s="3">
        <f t="shared" si="115"/>
        <v>2</v>
      </c>
      <c r="AT2463" s="3" t="str">
        <f>IF(OR(Registered!AM2463&gt;0,Registered!AO2463&gt;0),(IF(Registered!E2463=0,"Size Not Specified",Registered!E2463)),"")</f>
        <v>Size Not Specified</v>
      </c>
      <c r="AU2463" s="3" t="str">
        <f>IF(Registered!AE2463=0,"",IF(Registered!AE2463=1,Registered!AE2463&amp;" Bandana",Registered!AE2463&amp;" Bandanas"))</f>
        <v/>
      </c>
      <c r="AV2463" s="3">
        <f t="shared" si="116"/>
        <v>0</v>
      </c>
      <c r="AW2463" s="2" t="str">
        <f>IF(Registered!AV2463=0,"",IF(Registered!AV2463=1,Registered!AV2463&amp;" Meal",Registered!AV2463&amp;" Meals"))</f>
        <v/>
      </c>
      <c r="AX2463" s="2" t="str">
        <f>IF(Registered!AI2463=0,"",Registered!AI2463&amp;" BG")</f>
        <v/>
      </c>
      <c r="AY2463" s="2" t="str">
        <f>IF(Registered!AG2463=0,"",Registered!AG2463&amp;" DustMask")</f>
        <v>1 DustMask</v>
      </c>
    </row>
    <row r="2464" spans="1:51" customFormat="1" x14ac:dyDescent="0.25">
      <c r="A2464" t="s">
        <v>2122</v>
      </c>
      <c r="B2464" t="s">
        <v>5855</v>
      </c>
      <c r="C2464" t="s">
        <v>6090</v>
      </c>
      <c r="G2464" t="s">
        <v>217</v>
      </c>
      <c r="H2464" t="s">
        <v>5855</v>
      </c>
      <c r="I2464" t="s">
        <v>4912</v>
      </c>
      <c r="J2464" t="s">
        <v>37</v>
      </c>
      <c r="K2464" t="s">
        <v>32</v>
      </c>
      <c r="L2464" t="s">
        <v>35</v>
      </c>
      <c r="AQ2464">
        <v>0</v>
      </c>
      <c r="AR2464" s="3">
        <f t="shared" si="114"/>
        <v>0</v>
      </c>
      <c r="AS2464" s="3">
        <f t="shared" si="115"/>
        <v>0</v>
      </c>
      <c r="AT2464" s="3" t="str">
        <f>IF(OR(Registered!AM2464&gt;0,Registered!AO2464&gt;0),(IF(Registered!E2464=0,"Size Not Specified",Registered!E2464)),"")</f>
        <v/>
      </c>
      <c r="AU2464" s="3" t="str">
        <f>IF(Registered!AE2464=0,"",IF(Registered!AE2464=1,Registered!AE2464&amp;" Bandana",Registered!AE2464&amp;" Bandanas"))</f>
        <v/>
      </c>
      <c r="AV2464" s="3">
        <f t="shared" si="116"/>
        <v>0</v>
      </c>
      <c r="AW2464" s="2" t="str">
        <f>IF(Registered!AV2464=0,"",IF(Registered!AV2464=1,Registered!AV2464&amp;" Meal",Registered!AV2464&amp;" Meals"))</f>
        <v/>
      </c>
      <c r="AX2464" s="2" t="str">
        <f>IF(Registered!AI2464=0,"",Registered!AI2464&amp;" BG")</f>
        <v/>
      </c>
      <c r="AY2464" s="2" t="str">
        <f>IF(Registered!AG2464=0,"",Registered!AG2464&amp;" DustMask")</f>
        <v/>
      </c>
    </row>
    <row r="2465" spans="1:51" customFormat="1" x14ac:dyDescent="0.25">
      <c r="A2465" t="s">
        <v>1347</v>
      </c>
      <c r="B2465" t="s">
        <v>2504</v>
      </c>
      <c r="C2465" t="s">
        <v>6090</v>
      </c>
      <c r="I2465" t="s">
        <v>2505</v>
      </c>
      <c r="J2465" t="s">
        <v>37</v>
      </c>
      <c r="K2465" t="s">
        <v>32</v>
      </c>
      <c r="L2465" t="s">
        <v>35</v>
      </c>
      <c r="S2465">
        <v>1</v>
      </c>
      <c r="T2465">
        <v>3</v>
      </c>
      <c r="AQ2465">
        <v>3</v>
      </c>
      <c r="AR2465" s="3">
        <f t="shared" si="114"/>
        <v>0</v>
      </c>
      <c r="AS2465" s="3">
        <f t="shared" si="115"/>
        <v>0</v>
      </c>
      <c r="AT2465" s="3" t="str">
        <f>IF(OR(Registered!AM2465&gt;0,Registered!AO2465&gt;0),(IF(Registered!E2465=0,"Size Not Specified",Registered!E2465)),"")</f>
        <v/>
      </c>
      <c r="AU2465" s="3" t="str">
        <f>IF(Registered!AE2465=0,"",IF(Registered!AE2465=1,Registered!AE2465&amp;" Bandana",Registered!AE2465&amp;" Bandanas"))</f>
        <v/>
      </c>
      <c r="AV2465" s="3">
        <f t="shared" si="116"/>
        <v>0</v>
      </c>
      <c r="AW2465" s="2" t="str">
        <f>IF(Registered!AV2465=0,"",IF(Registered!AV2465=1,Registered!AV2465&amp;" Meal",Registered!AV2465&amp;" Meals"))</f>
        <v/>
      </c>
      <c r="AX2465" s="2" t="str">
        <f>IF(Registered!AI2465=0,"",Registered!AI2465&amp;" BG")</f>
        <v/>
      </c>
      <c r="AY2465" s="2" t="str">
        <f>IF(Registered!AG2465=0,"",Registered!AG2465&amp;" DustMask")</f>
        <v/>
      </c>
    </row>
    <row r="2466" spans="1:51" customFormat="1" x14ac:dyDescent="0.25">
      <c r="A2466" t="s">
        <v>357</v>
      </c>
      <c r="B2466" t="s">
        <v>5861</v>
      </c>
      <c r="C2466" t="s">
        <v>6090</v>
      </c>
      <c r="D2466" t="s">
        <v>5862</v>
      </c>
      <c r="F2466" t="s">
        <v>261</v>
      </c>
      <c r="I2466" t="s">
        <v>5863</v>
      </c>
      <c r="J2466" t="s">
        <v>37</v>
      </c>
      <c r="K2466" t="s">
        <v>32</v>
      </c>
      <c r="L2466" t="s">
        <v>35</v>
      </c>
      <c r="Q2466">
        <v>1</v>
      </c>
      <c r="R2466">
        <v>3</v>
      </c>
      <c r="W2466">
        <v>1</v>
      </c>
      <c r="X2466">
        <v>40</v>
      </c>
      <c r="AQ2466">
        <v>43</v>
      </c>
      <c r="AR2466" s="3">
        <f t="shared" si="114"/>
        <v>20</v>
      </c>
      <c r="AS2466" s="3">
        <f t="shared" si="115"/>
        <v>0</v>
      </c>
      <c r="AT2466" s="3" t="str">
        <f>IF(OR(Registered!AM2466&gt;0,Registered!AO2466&gt;0),(IF(Registered!E2466=0,"Size Not Specified",Registered!E2466)),"")</f>
        <v/>
      </c>
      <c r="AU2466" s="3" t="str">
        <f>IF(Registered!AE2466=0,"",IF(Registered!AE2466=1,Registered!AE2466&amp;" Bandana",Registered!AE2466&amp;" Bandanas"))</f>
        <v/>
      </c>
      <c r="AV2466" s="3">
        <f t="shared" si="116"/>
        <v>0</v>
      </c>
      <c r="AW2466" s="2" t="str">
        <f>IF(Registered!AV2466=0,"",IF(Registered!AV2466=1,Registered!AV2466&amp;" Meal",Registered!AV2466&amp;" Meals"))</f>
        <v/>
      </c>
      <c r="AX2466" s="2" t="str">
        <f>IF(Registered!AI2466=0,"",Registered!AI2466&amp;" BG")</f>
        <v/>
      </c>
      <c r="AY2466" s="2" t="str">
        <f>IF(Registered!AG2466=0,"",Registered!AG2466&amp;" DustMask")</f>
        <v/>
      </c>
    </row>
    <row r="2467" spans="1:51" customFormat="1" x14ac:dyDescent="0.25">
      <c r="A2467" t="s">
        <v>47</v>
      </c>
      <c r="B2467" t="s">
        <v>5368</v>
      </c>
      <c r="C2467" t="s">
        <v>6090</v>
      </c>
      <c r="D2467" t="s">
        <v>5864</v>
      </c>
      <c r="E2467" t="s">
        <v>65</v>
      </c>
      <c r="F2467" t="s">
        <v>261</v>
      </c>
      <c r="I2467" t="s">
        <v>5865</v>
      </c>
      <c r="J2467" t="s">
        <v>37</v>
      </c>
      <c r="K2467" t="s">
        <v>32</v>
      </c>
      <c r="L2467" t="s">
        <v>35</v>
      </c>
      <c r="Q2467">
        <v>2</v>
      </c>
      <c r="R2467">
        <v>3</v>
      </c>
      <c r="U2467">
        <v>1</v>
      </c>
      <c r="V2467">
        <v>20</v>
      </c>
      <c r="AQ2467">
        <v>26</v>
      </c>
      <c r="AR2467" s="3">
        <f t="shared" si="114"/>
        <v>10</v>
      </c>
      <c r="AS2467" s="3">
        <f t="shared" si="115"/>
        <v>0</v>
      </c>
      <c r="AT2467" s="3" t="str">
        <f>IF(OR(Registered!AM2467&gt;0,Registered!AO2467&gt;0),(IF(Registered!E2467=0,"Size Not Specified",Registered!E2467)),"")</f>
        <v/>
      </c>
      <c r="AU2467" s="3" t="str">
        <f>IF(Registered!AE2467=0,"",IF(Registered!AE2467=1,Registered!AE2467&amp;" Bandana",Registered!AE2467&amp;" Bandanas"))</f>
        <v/>
      </c>
      <c r="AV2467" s="3">
        <f t="shared" si="116"/>
        <v>0</v>
      </c>
      <c r="AW2467" s="2" t="str">
        <f>IF(Registered!AV2467=0,"",IF(Registered!AV2467=1,Registered!AV2467&amp;" Meal",Registered!AV2467&amp;" Meals"))</f>
        <v/>
      </c>
      <c r="AX2467" s="2" t="str">
        <f>IF(Registered!AI2467=0,"",Registered!AI2467&amp;" BG")</f>
        <v/>
      </c>
      <c r="AY2467" s="2" t="str">
        <f>IF(Registered!AG2467=0,"",Registered!AG2467&amp;" DustMask")</f>
        <v/>
      </c>
    </row>
    <row r="2468" spans="1:51" customFormat="1" x14ac:dyDescent="0.25">
      <c r="A2468" t="s">
        <v>2506</v>
      </c>
      <c r="B2468" t="s">
        <v>2507</v>
      </c>
      <c r="C2468" t="s">
        <v>6090</v>
      </c>
      <c r="D2468" t="s">
        <v>2508</v>
      </c>
      <c r="F2468" t="s">
        <v>261</v>
      </c>
      <c r="I2468" t="s">
        <v>2509</v>
      </c>
      <c r="J2468" t="s">
        <v>37</v>
      </c>
      <c r="K2468" t="s">
        <v>32</v>
      </c>
      <c r="L2468" t="s">
        <v>35</v>
      </c>
      <c r="Q2468">
        <v>1</v>
      </c>
      <c r="R2468">
        <v>3</v>
      </c>
      <c r="AC2468">
        <v>1</v>
      </c>
      <c r="AD2468">
        <v>10</v>
      </c>
      <c r="AQ2468">
        <v>13</v>
      </c>
      <c r="AR2468" s="3">
        <f t="shared" si="114"/>
        <v>5</v>
      </c>
      <c r="AS2468" s="3">
        <f t="shared" si="115"/>
        <v>0</v>
      </c>
      <c r="AT2468" s="3" t="str">
        <f>IF(OR(Registered!AM2468&gt;0,Registered!AO2468&gt;0),(IF(Registered!E2468=0,"Size Not Specified",Registered!E2468)),"")</f>
        <v/>
      </c>
      <c r="AU2468" s="3" t="str">
        <f>IF(Registered!AE2468=0,"",IF(Registered!AE2468=1,Registered!AE2468&amp;" Bandana",Registered!AE2468&amp;" Bandanas"))</f>
        <v/>
      </c>
      <c r="AV2468" s="3">
        <f t="shared" si="116"/>
        <v>0</v>
      </c>
      <c r="AW2468" s="2" t="str">
        <f>IF(Registered!AV2468=0,"",IF(Registered!AV2468=1,Registered!AV2468&amp;" Meal",Registered!AV2468&amp;" Meals"))</f>
        <v/>
      </c>
      <c r="AX2468" s="2" t="str">
        <f>IF(Registered!AI2468=0,"",Registered!AI2468&amp;" BG")</f>
        <v/>
      </c>
      <c r="AY2468" s="2" t="str">
        <f>IF(Registered!AG2468=0,"",Registered!AG2468&amp;" DustMask")</f>
        <v/>
      </c>
    </row>
    <row r="2469" spans="1:51" customFormat="1" x14ac:dyDescent="0.25">
      <c r="A2469" t="s">
        <v>5866</v>
      </c>
      <c r="B2469" t="s">
        <v>5867</v>
      </c>
      <c r="C2469" t="s">
        <v>6090</v>
      </c>
      <c r="G2469" t="s">
        <v>165</v>
      </c>
      <c r="H2469" t="s">
        <v>4072</v>
      </c>
      <c r="I2469" t="s">
        <v>4601</v>
      </c>
      <c r="J2469" t="s">
        <v>37</v>
      </c>
      <c r="K2469" t="s">
        <v>32</v>
      </c>
      <c r="L2469" t="s">
        <v>35</v>
      </c>
      <c r="AQ2469">
        <v>0</v>
      </c>
      <c r="AR2469" s="3">
        <f t="shared" si="114"/>
        <v>0</v>
      </c>
      <c r="AS2469" s="3">
        <f t="shared" si="115"/>
        <v>0</v>
      </c>
      <c r="AT2469" s="3" t="str">
        <f>IF(OR(Registered!AM2469&gt;0,Registered!AO2469&gt;0),(IF(Registered!E2469=0,"Size Not Specified",Registered!E2469)),"")</f>
        <v/>
      </c>
      <c r="AU2469" s="3" t="str">
        <f>IF(Registered!AE2469=0,"",IF(Registered!AE2469=1,Registered!AE2469&amp;" Bandana",Registered!AE2469&amp;" Bandanas"))</f>
        <v/>
      </c>
      <c r="AV2469" s="3">
        <f t="shared" si="116"/>
        <v>0</v>
      </c>
      <c r="AW2469" s="2" t="str">
        <f>IF(Registered!AV2469=0,"",IF(Registered!AV2469=1,Registered!AV2469&amp;" Meal",Registered!AV2469&amp;" Meals"))</f>
        <v/>
      </c>
      <c r="AX2469" s="2" t="str">
        <f>IF(Registered!AI2469=0,"",Registered!AI2469&amp;" BG")</f>
        <v/>
      </c>
      <c r="AY2469" s="2" t="str">
        <f>IF(Registered!AG2469=0,"",Registered!AG2469&amp;" DustMask")</f>
        <v/>
      </c>
    </row>
    <row r="2470" spans="1:51" customFormat="1" x14ac:dyDescent="0.25">
      <c r="A2470" t="s">
        <v>2510</v>
      </c>
      <c r="B2470" t="s">
        <v>2511</v>
      </c>
      <c r="C2470" t="s">
        <v>6090</v>
      </c>
      <c r="G2470" t="s">
        <v>320</v>
      </c>
      <c r="H2470" t="s">
        <v>321</v>
      </c>
      <c r="I2470" t="s">
        <v>1307</v>
      </c>
      <c r="J2470" t="s">
        <v>37</v>
      </c>
      <c r="K2470" t="s">
        <v>32</v>
      </c>
      <c r="L2470" t="s">
        <v>35</v>
      </c>
      <c r="AQ2470">
        <v>0</v>
      </c>
      <c r="AR2470" s="3">
        <f t="shared" si="114"/>
        <v>0</v>
      </c>
      <c r="AS2470" s="3">
        <f t="shared" si="115"/>
        <v>0</v>
      </c>
      <c r="AT2470" s="3" t="str">
        <f>IF(OR(Registered!AM2470&gt;0,Registered!AO2470&gt;0),(IF(Registered!E2470=0,"Size Not Specified",Registered!E2470)),"")</f>
        <v/>
      </c>
      <c r="AU2470" s="3" t="str">
        <f>IF(Registered!AE2470=0,"",IF(Registered!AE2470=1,Registered!AE2470&amp;" Bandana",Registered!AE2470&amp;" Bandanas"))</f>
        <v/>
      </c>
      <c r="AV2470" s="3">
        <f t="shared" si="116"/>
        <v>0</v>
      </c>
      <c r="AW2470" s="2" t="str">
        <f>IF(Registered!AV2470=0,"",IF(Registered!AV2470=1,Registered!AV2470&amp;" Meal",Registered!AV2470&amp;" Meals"))</f>
        <v/>
      </c>
      <c r="AX2470" s="2" t="str">
        <f>IF(Registered!AI2470=0,"",Registered!AI2470&amp;" BG")</f>
        <v/>
      </c>
      <c r="AY2470" s="2" t="str">
        <f>IF(Registered!AG2470=0,"",Registered!AG2470&amp;" DustMask")</f>
        <v/>
      </c>
    </row>
    <row r="2471" spans="1:51" customFormat="1" x14ac:dyDescent="0.25">
      <c r="A2471" t="s">
        <v>5868</v>
      </c>
      <c r="B2471" t="s">
        <v>5869</v>
      </c>
      <c r="C2471" t="s">
        <v>6090</v>
      </c>
      <c r="D2471" t="s">
        <v>5870</v>
      </c>
      <c r="E2471" t="s">
        <v>216</v>
      </c>
      <c r="F2471" t="s">
        <v>261</v>
      </c>
      <c r="I2471" t="s">
        <v>5871</v>
      </c>
      <c r="J2471" t="s">
        <v>37</v>
      </c>
      <c r="K2471" t="s">
        <v>32</v>
      </c>
      <c r="L2471" t="s">
        <v>35</v>
      </c>
      <c r="Q2471">
        <v>2</v>
      </c>
      <c r="R2471">
        <v>3</v>
      </c>
      <c r="U2471">
        <v>1</v>
      </c>
      <c r="V2471">
        <v>20</v>
      </c>
      <c r="AG2471">
        <v>1</v>
      </c>
      <c r="AH2471">
        <v>1</v>
      </c>
      <c r="AK2471">
        <v>3</v>
      </c>
      <c r="AL2471">
        <v>6</v>
      </c>
      <c r="AQ2471">
        <v>45</v>
      </c>
      <c r="AR2471" s="3">
        <f t="shared" si="114"/>
        <v>10</v>
      </c>
      <c r="AS2471" s="3">
        <f t="shared" si="115"/>
        <v>0</v>
      </c>
      <c r="AT2471" s="3" t="str">
        <f>IF(OR(Registered!AM2471&gt;0,Registered!AO2471&gt;0),(IF(Registered!E2471=0,"Size Not Specified",Registered!E2471)),"")</f>
        <v/>
      </c>
      <c r="AU2471" s="3" t="str">
        <f>IF(Registered!AE2471=0,"",IF(Registered!AE2471=1,Registered!AE2471&amp;" Bandana",Registered!AE2471&amp;" Bandanas"))</f>
        <v/>
      </c>
      <c r="AV2471" s="3">
        <f t="shared" si="116"/>
        <v>3</v>
      </c>
      <c r="AW2471" s="2" t="str">
        <f>IF(Registered!AV2471=0,"",IF(Registered!AV2471=1,Registered!AV2471&amp;" Meal",Registered!AV2471&amp;" Meals"))</f>
        <v>3 Meals</v>
      </c>
      <c r="AX2471" s="2" t="str">
        <f>IF(Registered!AI2471=0,"",Registered!AI2471&amp;" BG")</f>
        <v/>
      </c>
      <c r="AY2471" s="2" t="str">
        <f>IF(Registered!AG2471=0,"",Registered!AG2471&amp;" DustMask")</f>
        <v>1 DustMask</v>
      </c>
    </row>
    <row r="2472" spans="1:51" customFormat="1" x14ac:dyDescent="0.25">
      <c r="A2472" t="s">
        <v>5872</v>
      </c>
      <c r="B2472" t="s">
        <v>5869</v>
      </c>
      <c r="C2472" t="s">
        <v>6090</v>
      </c>
      <c r="G2472" t="s">
        <v>5868</v>
      </c>
      <c r="H2472" t="s">
        <v>5869</v>
      </c>
      <c r="I2472" t="s">
        <v>5871</v>
      </c>
      <c r="J2472" t="s">
        <v>37</v>
      </c>
      <c r="K2472" t="s">
        <v>32</v>
      </c>
      <c r="L2472" t="s">
        <v>35</v>
      </c>
      <c r="AQ2472">
        <v>0</v>
      </c>
      <c r="AR2472" s="3">
        <f t="shared" si="114"/>
        <v>0</v>
      </c>
      <c r="AS2472" s="3">
        <f t="shared" si="115"/>
        <v>0</v>
      </c>
      <c r="AT2472" s="3" t="str">
        <f>IF(OR(Registered!AM2472&gt;0,Registered!AO2472&gt;0),(IF(Registered!E2472=0,"Size Not Specified",Registered!E2472)),"")</f>
        <v/>
      </c>
      <c r="AU2472" s="3" t="str">
        <f>IF(Registered!AE2472=0,"",IF(Registered!AE2472=1,Registered!AE2472&amp;" Bandana",Registered!AE2472&amp;" Bandanas"))</f>
        <v/>
      </c>
      <c r="AV2472" s="3">
        <f t="shared" si="116"/>
        <v>0</v>
      </c>
      <c r="AW2472" s="2" t="str">
        <f>IF(Registered!AV2472=0,"",IF(Registered!AV2472=1,Registered!AV2472&amp;" Meal",Registered!AV2472&amp;" Meals"))</f>
        <v/>
      </c>
      <c r="AX2472" s="2" t="str">
        <f>IF(Registered!AI2472=0,"",Registered!AI2472&amp;" BG")</f>
        <v/>
      </c>
      <c r="AY2472" s="2" t="str">
        <f>IF(Registered!AG2472=0,"",Registered!AG2472&amp;" DustMask")</f>
        <v/>
      </c>
    </row>
    <row r="2473" spans="1:51" customFormat="1" x14ac:dyDescent="0.25">
      <c r="A2473" t="s">
        <v>373</v>
      </c>
      <c r="B2473" t="s">
        <v>2512</v>
      </c>
      <c r="C2473" t="s">
        <v>6090</v>
      </c>
      <c r="G2473" t="s">
        <v>166</v>
      </c>
      <c r="H2473" t="s">
        <v>831</v>
      </c>
      <c r="I2473" t="s">
        <v>832</v>
      </c>
      <c r="J2473" t="s">
        <v>37</v>
      </c>
      <c r="K2473" t="s">
        <v>32</v>
      </c>
      <c r="L2473" t="s">
        <v>35</v>
      </c>
      <c r="AQ2473">
        <v>0</v>
      </c>
      <c r="AR2473" s="3">
        <f t="shared" si="114"/>
        <v>0</v>
      </c>
      <c r="AS2473" s="3">
        <f t="shared" si="115"/>
        <v>0</v>
      </c>
      <c r="AT2473" s="3" t="str">
        <f>IF(OR(Registered!AM2473&gt;0,Registered!AO2473&gt;0),(IF(Registered!E2473=0,"Size Not Specified",Registered!E2473)),"")</f>
        <v/>
      </c>
      <c r="AU2473" s="3" t="str">
        <f>IF(Registered!AE2473=0,"",IF(Registered!AE2473=1,Registered!AE2473&amp;" Bandana",Registered!AE2473&amp;" Bandanas"))</f>
        <v/>
      </c>
      <c r="AV2473" s="3">
        <f t="shared" si="116"/>
        <v>0</v>
      </c>
      <c r="AW2473" s="2" t="str">
        <f>IF(Registered!AV2473=0,"",IF(Registered!AV2473=1,Registered!AV2473&amp;" Meal",Registered!AV2473&amp;" Meals"))</f>
        <v/>
      </c>
      <c r="AX2473" s="2" t="str">
        <f>IF(Registered!AI2473=0,"",Registered!AI2473&amp;" BG")</f>
        <v/>
      </c>
      <c r="AY2473" s="2" t="str">
        <f>IF(Registered!AG2473=0,"",Registered!AG2473&amp;" DustMask")</f>
        <v/>
      </c>
    </row>
    <row r="2474" spans="1:51" customFormat="1" x14ac:dyDescent="0.25">
      <c r="A2474" t="s">
        <v>1549</v>
      </c>
      <c r="B2474" t="s">
        <v>2513</v>
      </c>
      <c r="C2474" t="s">
        <v>6090</v>
      </c>
      <c r="G2474" t="s">
        <v>652</v>
      </c>
      <c r="H2474" t="s">
        <v>628</v>
      </c>
      <c r="I2474" t="s">
        <v>653</v>
      </c>
      <c r="J2474" t="s">
        <v>37</v>
      </c>
      <c r="K2474" t="s">
        <v>32</v>
      </c>
      <c r="L2474" t="s">
        <v>35</v>
      </c>
      <c r="AQ2474">
        <v>0</v>
      </c>
      <c r="AR2474" s="3">
        <f t="shared" si="114"/>
        <v>0</v>
      </c>
      <c r="AS2474" s="3">
        <f t="shared" si="115"/>
        <v>0</v>
      </c>
      <c r="AT2474" s="3" t="str">
        <f>IF(OR(Registered!AM2474&gt;0,Registered!AO2474&gt;0),(IF(Registered!E2474=0,"Size Not Specified",Registered!E2474)),"")</f>
        <v/>
      </c>
      <c r="AU2474" s="3" t="str">
        <f>IF(Registered!AE2474=0,"",IF(Registered!AE2474=1,Registered!AE2474&amp;" Bandana",Registered!AE2474&amp;" Bandanas"))</f>
        <v/>
      </c>
      <c r="AV2474" s="3">
        <f t="shared" si="116"/>
        <v>0</v>
      </c>
      <c r="AW2474" s="2" t="str">
        <f>IF(Registered!AV2474=0,"",IF(Registered!AV2474=1,Registered!AV2474&amp;" Meal",Registered!AV2474&amp;" Meals"))</f>
        <v/>
      </c>
      <c r="AX2474" s="2" t="str">
        <f>IF(Registered!AI2474=0,"",Registered!AI2474&amp;" BG")</f>
        <v/>
      </c>
      <c r="AY2474" s="2" t="str">
        <f>IF(Registered!AG2474=0,"",Registered!AG2474&amp;" DustMask")</f>
        <v/>
      </c>
    </row>
    <row r="2475" spans="1:51" customFormat="1" x14ac:dyDescent="0.25">
      <c r="A2475" t="s">
        <v>56</v>
      </c>
      <c r="B2475" t="s">
        <v>2514</v>
      </c>
      <c r="C2475" t="s">
        <v>6090</v>
      </c>
      <c r="D2475" t="s">
        <v>2515</v>
      </c>
      <c r="I2475" t="s">
        <v>2516</v>
      </c>
      <c r="J2475" t="s">
        <v>37</v>
      </c>
      <c r="K2475" t="s">
        <v>32</v>
      </c>
      <c r="L2475" t="s">
        <v>35</v>
      </c>
      <c r="O2475">
        <v>1</v>
      </c>
      <c r="P2475">
        <v>3</v>
      </c>
      <c r="AC2475">
        <v>1</v>
      </c>
      <c r="AD2475">
        <v>10</v>
      </c>
      <c r="AQ2475">
        <v>13</v>
      </c>
      <c r="AR2475" s="3">
        <f t="shared" si="114"/>
        <v>5</v>
      </c>
      <c r="AS2475" s="3">
        <f t="shared" si="115"/>
        <v>0</v>
      </c>
      <c r="AT2475" s="3" t="str">
        <f>IF(OR(Registered!AM2475&gt;0,Registered!AO2475&gt;0),(IF(Registered!E2475=0,"Size Not Specified",Registered!E2475)),"")</f>
        <v/>
      </c>
      <c r="AU2475" s="3" t="str">
        <f>IF(Registered!AE2475=0,"",IF(Registered!AE2475=1,Registered!AE2475&amp;" Bandana",Registered!AE2475&amp;" Bandanas"))</f>
        <v/>
      </c>
      <c r="AV2475" s="3">
        <f t="shared" si="116"/>
        <v>0</v>
      </c>
      <c r="AW2475" s="2" t="str">
        <f>IF(Registered!AV2475=0,"",IF(Registered!AV2475=1,Registered!AV2475&amp;" Meal",Registered!AV2475&amp;" Meals"))</f>
        <v/>
      </c>
      <c r="AX2475" s="2" t="str">
        <f>IF(Registered!AI2475=0,"",Registered!AI2475&amp;" BG")</f>
        <v/>
      </c>
      <c r="AY2475" s="2" t="str">
        <f>IF(Registered!AG2475=0,"",Registered!AG2475&amp;" DustMask")</f>
        <v/>
      </c>
    </row>
    <row r="2476" spans="1:51" customFormat="1" x14ac:dyDescent="0.25">
      <c r="A2476" t="s">
        <v>349</v>
      </c>
      <c r="B2476" t="s">
        <v>3599</v>
      </c>
      <c r="C2476" t="s">
        <v>6090</v>
      </c>
      <c r="G2476" t="s">
        <v>5873</v>
      </c>
      <c r="H2476" t="s">
        <v>3599</v>
      </c>
      <c r="I2476" t="s">
        <v>5874</v>
      </c>
      <c r="J2476" t="s">
        <v>37</v>
      </c>
      <c r="K2476" t="s">
        <v>32</v>
      </c>
      <c r="L2476" t="s">
        <v>35</v>
      </c>
      <c r="AQ2476">
        <v>0</v>
      </c>
      <c r="AR2476" s="3">
        <f t="shared" si="114"/>
        <v>0</v>
      </c>
      <c r="AS2476" s="3">
        <f t="shared" si="115"/>
        <v>0</v>
      </c>
      <c r="AT2476" s="3" t="str">
        <f>IF(OR(Registered!AM2476&gt;0,Registered!AO2476&gt;0),(IF(Registered!E2476=0,"Size Not Specified",Registered!E2476)),"")</f>
        <v/>
      </c>
      <c r="AU2476" s="3" t="str">
        <f>IF(Registered!AE2476=0,"",IF(Registered!AE2476=1,Registered!AE2476&amp;" Bandana",Registered!AE2476&amp;" Bandanas"))</f>
        <v/>
      </c>
      <c r="AV2476" s="3">
        <f t="shared" si="116"/>
        <v>0</v>
      </c>
      <c r="AW2476" s="2" t="str">
        <f>IF(Registered!AV2476=0,"",IF(Registered!AV2476=1,Registered!AV2476&amp;" Meal",Registered!AV2476&amp;" Meals"))</f>
        <v/>
      </c>
      <c r="AX2476" s="2" t="str">
        <f>IF(Registered!AI2476=0,"",Registered!AI2476&amp;" BG")</f>
        <v/>
      </c>
      <c r="AY2476" s="2" t="str">
        <f>IF(Registered!AG2476=0,"",Registered!AG2476&amp;" DustMask")</f>
        <v/>
      </c>
    </row>
    <row r="2477" spans="1:51" customFormat="1" x14ac:dyDescent="0.25">
      <c r="A2477" t="s">
        <v>185</v>
      </c>
      <c r="B2477" t="s">
        <v>3599</v>
      </c>
      <c r="C2477" t="s">
        <v>6090</v>
      </c>
      <c r="G2477" t="s">
        <v>2108</v>
      </c>
      <c r="H2477" t="s">
        <v>992</v>
      </c>
      <c r="I2477" t="s">
        <v>4049</v>
      </c>
      <c r="J2477" t="s">
        <v>37</v>
      </c>
      <c r="K2477" t="s">
        <v>32</v>
      </c>
      <c r="L2477" t="s">
        <v>35</v>
      </c>
      <c r="AQ2477">
        <v>0</v>
      </c>
      <c r="AR2477" s="3">
        <f t="shared" si="114"/>
        <v>0</v>
      </c>
      <c r="AS2477" s="3">
        <f t="shared" si="115"/>
        <v>0</v>
      </c>
      <c r="AT2477" s="3" t="str">
        <f>IF(OR(Registered!AM2477&gt;0,Registered!AO2477&gt;0),(IF(Registered!E2477=0,"Size Not Specified",Registered!E2477)),"")</f>
        <v/>
      </c>
      <c r="AU2477" s="3" t="str">
        <f>IF(Registered!AE2477=0,"",IF(Registered!AE2477=1,Registered!AE2477&amp;" Bandana",Registered!AE2477&amp;" Bandanas"))</f>
        <v/>
      </c>
      <c r="AV2477" s="3">
        <f t="shared" si="116"/>
        <v>0</v>
      </c>
      <c r="AW2477" s="2" t="str">
        <f>IF(Registered!AV2477=0,"",IF(Registered!AV2477=1,Registered!AV2477&amp;" Meal",Registered!AV2477&amp;" Meals"))</f>
        <v/>
      </c>
      <c r="AX2477" s="2" t="str">
        <f>IF(Registered!AI2477=0,"",Registered!AI2477&amp;" BG")</f>
        <v/>
      </c>
      <c r="AY2477" s="2" t="str">
        <f>IF(Registered!AG2477=0,"",Registered!AG2477&amp;" DustMask")</f>
        <v/>
      </c>
    </row>
    <row r="2478" spans="1:51" customFormat="1" x14ac:dyDescent="0.25">
      <c r="A2478" t="s">
        <v>4602</v>
      </c>
      <c r="B2478" t="s">
        <v>3599</v>
      </c>
      <c r="C2478" t="s">
        <v>6090</v>
      </c>
      <c r="G2478" t="s">
        <v>5873</v>
      </c>
      <c r="H2478" t="s">
        <v>3599</v>
      </c>
      <c r="I2478" t="s">
        <v>5874</v>
      </c>
      <c r="J2478" t="s">
        <v>37</v>
      </c>
      <c r="K2478" t="s">
        <v>32</v>
      </c>
      <c r="L2478" t="s">
        <v>35</v>
      </c>
      <c r="AQ2478">
        <v>0</v>
      </c>
      <c r="AR2478" s="3">
        <f t="shared" si="114"/>
        <v>0</v>
      </c>
      <c r="AS2478" s="3">
        <f t="shared" si="115"/>
        <v>0</v>
      </c>
      <c r="AT2478" s="3" t="str">
        <f>IF(OR(Registered!AM2478&gt;0,Registered!AO2478&gt;0),(IF(Registered!E2478=0,"Size Not Specified",Registered!E2478)),"")</f>
        <v/>
      </c>
      <c r="AU2478" s="3" t="str">
        <f>IF(Registered!AE2478=0,"",IF(Registered!AE2478=1,Registered!AE2478&amp;" Bandana",Registered!AE2478&amp;" Bandanas"))</f>
        <v/>
      </c>
      <c r="AV2478" s="3">
        <f t="shared" si="116"/>
        <v>0</v>
      </c>
      <c r="AW2478" s="2" t="str">
        <f>IF(Registered!AV2478=0,"",IF(Registered!AV2478=1,Registered!AV2478&amp;" Meal",Registered!AV2478&amp;" Meals"))</f>
        <v/>
      </c>
      <c r="AX2478" s="2" t="str">
        <f>IF(Registered!AI2478=0,"",Registered!AI2478&amp;" BG")</f>
        <v/>
      </c>
      <c r="AY2478" s="2" t="str">
        <f>IF(Registered!AG2478=0,"",Registered!AG2478&amp;" DustMask")</f>
        <v/>
      </c>
    </row>
    <row r="2479" spans="1:51" customFormat="1" x14ac:dyDescent="0.25">
      <c r="A2479" t="s">
        <v>2527</v>
      </c>
      <c r="B2479" t="s">
        <v>3599</v>
      </c>
      <c r="C2479" t="s">
        <v>6090</v>
      </c>
      <c r="G2479" t="s">
        <v>377</v>
      </c>
      <c r="H2479" t="s">
        <v>3690</v>
      </c>
      <c r="I2479" t="s">
        <v>3691</v>
      </c>
      <c r="J2479" t="s">
        <v>37</v>
      </c>
      <c r="K2479" t="s">
        <v>32</v>
      </c>
      <c r="L2479" t="s">
        <v>35</v>
      </c>
      <c r="AQ2479">
        <v>0</v>
      </c>
      <c r="AR2479" s="3">
        <f t="shared" si="114"/>
        <v>0</v>
      </c>
      <c r="AS2479" s="3">
        <f t="shared" si="115"/>
        <v>0</v>
      </c>
      <c r="AT2479" s="3" t="str">
        <f>IF(OR(Registered!AM2479&gt;0,Registered!AO2479&gt;0),(IF(Registered!E2479=0,"Size Not Specified",Registered!E2479)),"")</f>
        <v/>
      </c>
      <c r="AU2479" s="3" t="str">
        <f>IF(Registered!AE2479=0,"",IF(Registered!AE2479=1,Registered!AE2479&amp;" Bandana",Registered!AE2479&amp;" Bandanas"))</f>
        <v/>
      </c>
      <c r="AV2479" s="3">
        <f t="shared" si="116"/>
        <v>0</v>
      </c>
      <c r="AW2479" s="2" t="str">
        <f>IF(Registered!AV2479=0,"",IF(Registered!AV2479=1,Registered!AV2479&amp;" Meal",Registered!AV2479&amp;" Meals"))</f>
        <v/>
      </c>
      <c r="AX2479" s="2" t="str">
        <f>IF(Registered!AI2479=0,"",Registered!AI2479&amp;" BG")</f>
        <v/>
      </c>
      <c r="AY2479" s="2" t="str">
        <f>IF(Registered!AG2479=0,"",Registered!AG2479&amp;" DustMask")</f>
        <v/>
      </c>
    </row>
    <row r="2480" spans="1:51" customFormat="1" x14ac:dyDescent="0.25">
      <c r="A2480" t="s">
        <v>5873</v>
      </c>
      <c r="B2480" t="s">
        <v>3599</v>
      </c>
      <c r="C2480" t="s">
        <v>6090</v>
      </c>
      <c r="D2480" t="s">
        <v>57</v>
      </c>
      <c r="F2480" t="s">
        <v>261</v>
      </c>
      <c r="I2480" t="s">
        <v>5874</v>
      </c>
      <c r="J2480" t="s">
        <v>37</v>
      </c>
      <c r="K2480" t="s">
        <v>32</v>
      </c>
      <c r="L2480" t="s">
        <v>35</v>
      </c>
      <c r="Q2480">
        <v>3</v>
      </c>
      <c r="R2480">
        <v>3</v>
      </c>
      <c r="AC2480">
        <v>1</v>
      </c>
      <c r="AD2480">
        <v>10</v>
      </c>
      <c r="AQ2480">
        <v>19</v>
      </c>
      <c r="AR2480" s="3">
        <f t="shared" si="114"/>
        <v>5</v>
      </c>
      <c r="AS2480" s="3">
        <f t="shared" si="115"/>
        <v>0</v>
      </c>
      <c r="AT2480" s="3" t="str">
        <f>IF(OR(Registered!AM2480&gt;0,Registered!AO2480&gt;0),(IF(Registered!E2480=0,"Size Not Specified",Registered!E2480)),"")</f>
        <v/>
      </c>
      <c r="AU2480" s="3" t="str">
        <f>IF(Registered!AE2480=0,"",IF(Registered!AE2480=1,Registered!AE2480&amp;" Bandana",Registered!AE2480&amp;" Bandanas"))</f>
        <v/>
      </c>
      <c r="AV2480" s="3">
        <f t="shared" si="116"/>
        <v>0</v>
      </c>
      <c r="AW2480" s="2" t="str">
        <f>IF(Registered!AV2480=0,"",IF(Registered!AV2480=1,Registered!AV2480&amp;" Meal",Registered!AV2480&amp;" Meals"))</f>
        <v/>
      </c>
      <c r="AX2480" s="2" t="str">
        <f>IF(Registered!AI2480=0,"",Registered!AI2480&amp;" BG")</f>
        <v/>
      </c>
      <c r="AY2480" s="2" t="str">
        <f>IF(Registered!AG2480=0,"",Registered!AG2480&amp;" DustMask")</f>
        <v/>
      </c>
    </row>
    <row r="2481" spans="1:51" customFormat="1" x14ac:dyDescent="0.25">
      <c r="A2481" t="s">
        <v>79</v>
      </c>
      <c r="B2481" t="s">
        <v>2517</v>
      </c>
      <c r="C2481" t="s">
        <v>6090</v>
      </c>
      <c r="D2481" t="s">
        <v>2518</v>
      </c>
      <c r="I2481" t="s">
        <v>2519</v>
      </c>
      <c r="J2481" t="s">
        <v>37</v>
      </c>
      <c r="K2481" t="s">
        <v>32</v>
      </c>
      <c r="L2481" t="s">
        <v>35</v>
      </c>
      <c r="S2481">
        <v>1</v>
      </c>
      <c r="T2481">
        <v>3</v>
      </c>
      <c r="AC2481">
        <v>1</v>
      </c>
      <c r="AD2481">
        <v>10</v>
      </c>
      <c r="AQ2481">
        <v>13</v>
      </c>
      <c r="AR2481" s="3">
        <f t="shared" si="114"/>
        <v>5</v>
      </c>
      <c r="AS2481" s="3">
        <f t="shared" si="115"/>
        <v>0</v>
      </c>
      <c r="AT2481" s="3" t="str">
        <f>IF(OR(Registered!AM2481&gt;0,Registered!AO2481&gt;0),(IF(Registered!E2481=0,"Size Not Specified",Registered!E2481)),"")</f>
        <v/>
      </c>
      <c r="AU2481" s="3" t="str">
        <f>IF(Registered!AE2481=0,"",IF(Registered!AE2481=1,Registered!AE2481&amp;" Bandana",Registered!AE2481&amp;" Bandanas"))</f>
        <v/>
      </c>
      <c r="AV2481" s="3">
        <f t="shared" si="116"/>
        <v>0</v>
      </c>
      <c r="AW2481" s="2" t="str">
        <f>IF(Registered!AV2481=0,"",IF(Registered!AV2481=1,Registered!AV2481&amp;" Meal",Registered!AV2481&amp;" Meals"))</f>
        <v/>
      </c>
      <c r="AX2481" s="2" t="str">
        <f>IF(Registered!AI2481=0,"",Registered!AI2481&amp;" BG")</f>
        <v/>
      </c>
      <c r="AY2481" s="2" t="str">
        <f>IF(Registered!AG2481=0,"",Registered!AG2481&amp;" DustMask")</f>
        <v/>
      </c>
    </row>
    <row r="2482" spans="1:51" customFormat="1" x14ac:dyDescent="0.25">
      <c r="A2482" t="s">
        <v>255</v>
      </c>
      <c r="B2482" t="s">
        <v>2520</v>
      </c>
      <c r="C2482" t="s">
        <v>6090</v>
      </c>
      <c r="G2482" t="s">
        <v>323</v>
      </c>
      <c r="H2482" t="s">
        <v>880</v>
      </c>
      <c r="I2482" t="s">
        <v>882</v>
      </c>
      <c r="J2482" t="s">
        <v>37</v>
      </c>
      <c r="K2482" t="s">
        <v>32</v>
      </c>
      <c r="L2482" t="s">
        <v>35</v>
      </c>
      <c r="AQ2482">
        <v>0</v>
      </c>
      <c r="AR2482" s="3">
        <f t="shared" si="114"/>
        <v>0</v>
      </c>
      <c r="AS2482" s="3">
        <f t="shared" si="115"/>
        <v>0</v>
      </c>
      <c r="AT2482" s="3" t="str">
        <f>IF(OR(Registered!AM2482&gt;0,Registered!AO2482&gt;0),(IF(Registered!E2482=0,"Size Not Specified",Registered!E2482)),"")</f>
        <v/>
      </c>
      <c r="AU2482" s="3" t="str">
        <f>IF(Registered!AE2482=0,"",IF(Registered!AE2482=1,Registered!AE2482&amp;" Bandana",Registered!AE2482&amp;" Bandanas"))</f>
        <v/>
      </c>
      <c r="AV2482" s="3">
        <f t="shared" si="116"/>
        <v>0</v>
      </c>
      <c r="AW2482" s="2" t="str">
        <f>IF(Registered!AV2482=0,"",IF(Registered!AV2482=1,Registered!AV2482&amp;" Meal",Registered!AV2482&amp;" Meals"))</f>
        <v/>
      </c>
      <c r="AX2482" s="2" t="str">
        <f>IF(Registered!AI2482=0,"",Registered!AI2482&amp;" BG")</f>
        <v/>
      </c>
      <c r="AY2482" s="2" t="str">
        <f>IF(Registered!AG2482=0,"",Registered!AG2482&amp;" DustMask")</f>
        <v/>
      </c>
    </row>
    <row r="2483" spans="1:51" customFormat="1" x14ac:dyDescent="0.25">
      <c r="A2483" t="s">
        <v>3013</v>
      </c>
      <c r="B2483" t="s">
        <v>3014</v>
      </c>
      <c r="C2483" t="s">
        <v>6090</v>
      </c>
      <c r="D2483" t="s">
        <v>3449</v>
      </c>
      <c r="F2483" t="s">
        <v>261</v>
      </c>
      <c r="I2483" t="s">
        <v>3015</v>
      </c>
      <c r="J2483" t="s">
        <v>37</v>
      </c>
      <c r="K2483" t="s">
        <v>32</v>
      </c>
      <c r="L2483" t="s">
        <v>35</v>
      </c>
      <c r="Q2483">
        <v>6</v>
      </c>
      <c r="R2483">
        <v>3</v>
      </c>
      <c r="Y2483">
        <v>1</v>
      </c>
      <c r="Z2483">
        <v>60</v>
      </c>
      <c r="AQ2483">
        <v>78</v>
      </c>
      <c r="AR2483" s="3">
        <f t="shared" si="114"/>
        <v>30</v>
      </c>
      <c r="AS2483" s="3">
        <f t="shared" si="115"/>
        <v>0</v>
      </c>
      <c r="AT2483" s="3" t="str">
        <f>IF(OR(Registered!AM2483&gt;0,Registered!AO2483&gt;0),(IF(Registered!E2483=0,"Size Not Specified",Registered!E2483)),"")</f>
        <v/>
      </c>
      <c r="AU2483" s="3" t="str">
        <f>IF(Registered!AE2483=0,"",IF(Registered!AE2483=1,Registered!AE2483&amp;" Bandana",Registered!AE2483&amp;" Bandanas"))</f>
        <v/>
      </c>
      <c r="AV2483" s="3">
        <f t="shared" si="116"/>
        <v>0</v>
      </c>
      <c r="AW2483" s="2" t="str">
        <f>IF(Registered!AV2483=0,"",IF(Registered!AV2483=1,Registered!AV2483&amp;" Meal",Registered!AV2483&amp;" Meals"))</f>
        <v/>
      </c>
      <c r="AX2483" s="2" t="str">
        <f>IF(Registered!AI2483=0,"",Registered!AI2483&amp;" BG")</f>
        <v/>
      </c>
      <c r="AY2483" s="2" t="str">
        <f>IF(Registered!AG2483=0,"",Registered!AG2483&amp;" DustMask")</f>
        <v/>
      </c>
    </row>
    <row r="2484" spans="1:51" customFormat="1" x14ac:dyDescent="0.25">
      <c r="A2484" t="s">
        <v>200</v>
      </c>
      <c r="B2484" t="s">
        <v>5875</v>
      </c>
      <c r="C2484" t="s">
        <v>6090</v>
      </c>
      <c r="D2484" t="s">
        <v>5876</v>
      </c>
      <c r="E2484" t="s">
        <v>117</v>
      </c>
      <c r="F2484" t="s">
        <v>261</v>
      </c>
      <c r="I2484" t="s">
        <v>5877</v>
      </c>
      <c r="J2484" t="s">
        <v>37</v>
      </c>
      <c r="K2484" t="s">
        <v>32</v>
      </c>
      <c r="L2484" t="s">
        <v>35</v>
      </c>
      <c r="Q2484">
        <v>1</v>
      </c>
      <c r="R2484">
        <v>3</v>
      </c>
      <c r="AC2484">
        <v>1</v>
      </c>
      <c r="AD2484">
        <v>10</v>
      </c>
      <c r="AO2484">
        <v>1</v>
      </c>
      <c r="AP2484">
        <v>10</v>
      </c>
      <c r="AQ2484">
        <v>23</v>
      </c>
      <c r="AR2484" s="3">
        <f t="shared" si="114"/>
        <v>5</v>
      </c>
      <c r="AS2484" s="3">
        <f t="shared" si="115"/>
        <v>1</v>
      </c>
      <c r="AT2484" s="3" t="str">
        <f>IF(OR(Registered!AM2484&gt;0,Registered!AO2484&gt;0),(IF(Registered!E2484=0,"Size Not Specified",Registered!E2484)),"")</f>
        <v>Large</v>
      </c>
      <c r="AU2484" s="3" t="str">
        <f>IF(Registered!AE2484=0,"",IF(Registered!AE2484=1,Registered!AE2484&amp;" Bandana",Registered!AE2484&amp;" Bandanas"))</f>
        <v/>
      </c>
      <c r="AV2484" s="3">
        <f t="shared" si="116"/>
        <v>0</v>
      </c>
      <c r="AW2484" s="2" t="str">
        <f>IF(Registered!AV2484=0,"",IF(Registered!AV2484=1,Registered!AV2484&amp;" Meal",Registered!AV2484&amp;" Meals"))</f>
        <v/>
      </c>
      <c r="AX2484" s="2" t="str">
        <f>IF(Registered!AI2484=0,"",Registered!AI2484&amp;" BG")</f>
        <v/>
      </c>
      <c r="AY2484" s="2" t="str">
        <f>IF(Registered!AG2484=0,"",Registered!AG2484&amp;" DustMask")</f>
        <v/>
      </c>
    </row>
    <row r="2485" spans="1:51" customFormat="1" x14ac:dyDescent="0.25">
      <c r="A2485" t="s">
        <v>5491</v>
      </c>
      <c r="B2485" t="s">
        <v>5492</v>
      </c>
      <c r="C2485" t="s">
        <v>6090</v>
      </c>
      <c r="D2485" t="s">
        <v>5878</v>
      </c>
      <c r="F2485" t="s">
        <v>261</v>
      </c>
      <c r="I2485" t="s">
        <v>5493</v>
      </c>
      <c r="J2485" t="s">
        <v>37</v>
      </c>
      <c r="K2485" t="s">
        <v>32</v>
      </c>
      <c r="L2485" t="s">
        <v>35</v>
      </c>
      <c r="Q2485">
        <v>2</v>
      </c>
      <c r="R2485">
        <v>3</v>
      </c>
      <c r="AC2485">
        <v>2</v>
      </c>
      <c r="AD2485">
        <v>10</v>
      </c>
      <c r="AQ2485">
        <v>26</v>
      </c>
      <c r="AR2485" s="3">
        <f t="shared" si="114"/>
        <v>10</v>
      </c>
      <c r="AS2485" s="3">
        <f t="shared" si="115"/>
        <v>0</v>
      </c>
      <c r="AT2485" s="3" t="str">
        <f>IF(OR(Registered!AM2485&gt;0,Registered!AO2485&gt;0),(IF(Registered!E2485=0,"Size Not Specified",Registered!E2485)),"")</f>
        <v/>
      </c>
      <c r="AU2485" s="3" t="str">
        <f>IF(Registered!AE2485=0,"",IF(Registered!AE2485=1,Registered!AE2485&amp;" Bandana",Registered!AE2485&amp;" Bandanas"))</f>
        <v/>
      </c>
      <c r="AV2485" s="3">
        <f t="shared" si="116"/>
        <v>0</v>
      </c>
      <c r="AW2485" s="2" t="str">
        <f>IF(Registered!AV2485=0,"",IF(Registered!AV2485=1,Registered!AV2485&amp;" Meal",Registered!AV2485&amp;" Meals"))</f>
        <v/>
      </c>
      <c r="AX2485" s="2" t="str">
        <f>IF(Registered!AI2485=0,"",Registered!AI2485&amp;" BG")</f>
        <v/>
      </c>
      <c r="AY2485" s="2" t="str">
        <f>IF(Registered!AG2485=0,"",Registered!AG2485&amp;" DustMask")</f>
        <v/>
      </c>
    </row>
    <row r="2486" spans="1:51" customFormat="1" x14ac:dyDescent="0.25">
      <c r="A2486" t="s">
        <v>141</v>
      </c>
      <c r="B2486" t="s">
        <v>2521</v>
      </c>
      <c r="C2486" t="s">
        <v>6090</v>
      </c>
      <c r="G2486" t="s">
        <v>299</v>
      </c>
      <c r="H2486" t="s">
        <v>3657</v>
      </c>
      <c r="I2486" t="s">
        <v>3996</v>
      </c>
      <c r="J2486" t="s">
        <v>37</v>
      </c>
      <c r="K2486" t="s">
        <v>32</v>
      </c>
      <c r="L2486" t="s">
        <v>35</v>
      </c>
      <c r="AQ2486">
        <v>0</v>
      </c>
      <c r="AR2486" s="3">
        <f t="shared" si="114"/>
        <v>0</v>
      </c>
      <c r="AS2486" s="3">
        <f t="shared" si="115"/>
        <v>0</v>
      </c>
      <c r="AT2486" s="3" t="str">
        <f>IF(OR(Registered!AM2486&gt;0,Registered!AO2486&gt;0),(IF(Registered!E2486=0,"Size Not Specified",Registered!E2486)),"")</f>
        <v/>
      </c>
      <c r="AU2486" s="3" t="str">
        <f>IF(Registered!AE2486=0,"",IF(Registered!AE2486=1,Registered!AE2486&amp;" Bandana",Registered!AE2486&amp;" Bandanas"))</f>
        <v/>
      </c>
      <c r="AV2486" s="3">
        <f t="shared" si="116"/>
        <v>0</v>
      </c>
      <c r="AW2486" s="2" t="str">
        <f>IF(Registered!AV2486=0,"",IF(Registered!AV2486=1,Registered!AV2486&amp;" Meal",Registered!AV2486&amp;" Meals"))</f>
        <v/>
      </c>
      <c r="AX2486" s="2" t="str">
        <f>IF(Registered!AI2486=0,"",Registered!AI2486&amp;" BG")</f>
        <v/>
      </c>
      <c r="AY2486" s="2" t="str">
        <f>IF(Registered!AG2486=0,"",Registered!AG2486&amp;" DustMask")</f>
        <v/>
      </c>
    </row>
    <row r="2487" spans="1:51" customFormat="1" x14ac:dyDescent="0.25">
      <c r="A2487" t="s">
        <v>121</v>
      </c>
      <c r="B2487" t="s">
        <v>2521</v>
      </c>
      <c r="C2487" t="s">
        <v>6090</v>
      </c>
      <c r="D2487" t="s">
        <v>2522</v>
      </c>
      <c r="F2487" t="s">
        <v>261</v>
      </c>
      <c r="I2487" t="s">
        <v>2523</v>
      </c>
      <c r="J2487" t="s">
        <v>37</v>
      </c>
      <c r="K2487" t="s">
        <v>32</v>
      </c>
      <c r="L2487" t="s">
        <v>35</v>
      </c>
      <c r="S2487">
        <v>1</v>
      </c>
      <c r="T2487">
        <v>3</v>
      </c>
      <c r="AC2487">
        <v>1</v>
      </c>
      <c r="AD2487">
        <v>10</v>
      </c>
      <c r="AQ2487">
        <v>13</v>
      </c>
      <c r="AR2487" s="3">
        <f t="shared" si="114"/>
        <v>5</v>
      </c>
      <c r="AS2487" s="3">
        <f t="shared" si="115"/>
        <v>0</v>
      </c>
      <c r="AT2487" s="3" t="str">
        <f>IF(OR(Registered!AM2487&gt;0,Registered!AO2487&gt;0),(IF(Registered!E2487=0,"Size Not Specified",Registered!E2487)),"")</f>
        <v/>
      </c>
      <c r="AU2487" s="3" t="str">
        <f>IF(Registered!AE2487=0,"",IF(Registered!AE2487=1,Registered!AE2487&amp;" Bandana",Registered!AE2487&amp;" Bandanas"))</f>
        <v/>
      </c>
      <c r="AV2487" s="3">
        <f t="shared" si="116"/>
        <v>0</v>
      </c>
      <c r="AW2487" s="2" t="str">
        <f>IF(Registered!AV2487=0,"",IF(Registered!AV2487=1,Registered!AV2487&amp;" Meal",Registered!AV2487&amp;" Meals"))</f>
        <v/>
      </c>
      <c r="AX2487" s="2" t="str">
        <f>IF(Registered!AI2487=0,"",Registered!AI2487&amp;" BG")</f>
        <v/>
      </c>
      <c r="AY2487" s="2" t="str">
        <f>IF(Registered!AG2487=0,"",Registered!AG2487&amp;" DustMask")</f>
        <v/>
      </c>
    </row>
    <row r="2488" spans="1:51" customFormat="1" x14ac:dyDescent="0.25">
      <c r="A2488" t="s">
        <v>146</v>
      </c>
      <c r="B2488" t="s">
        <v>620</v>
      </c>
      <c r="C2488" t="s">
        <v>6090</v>
      </c>
      <c r="D2488" t="s">
        <v>2524</v>
      </c>
      <c r="E2488" t="s">
        <v>106</v>
      </c>
      <c r="F2488" t="s">
        <v>261</v>
      </c>
      <c r="I2488" t="s">
        <v>2525</v>
      </c>
      <c r="J2488" t="s">
        <v>37</v>
      </c>
      <c r="K2488" t="s">
        <v>32</v>
      </c>
      <c r="L2488" t="s">
        <v>35</v>
      </c>
      <c r="S2488">
        <v>2</v>
      </c>
      <c r="T2488">
        <v>3</v>
      </c>
      <c r="AM2488">
        <v>2</v>
      </c>
      <c r="AN2488">
        <v>25</v>
      </c>
      <c r="AQ2488">
        <v>56</v>
      </c>
      <c r="AR2488" s="3">
        <f t="shared" si="114"/>
        <v>10</v>
      </c>
      <c r="AS2488" s="3">
        <f t="shared" si="115"/>
        <v>2</v>
      </c>
      <c r="AT2488" s="3" t="str">
        <f>IF(OR(Registered!AM2488&gt;0,Registered!AO2488&gt;0),(IF(Registered!E2488=0,"Size Not Specified",Registered!E2488)),"")</f>
        <v>Small and Large</v>
      </c>
      <c r="AU2488" s="3" t="str">
        <f>IF(Registered!AE2488=0,"",IF(Registered!AE2488=1,Registered!AE2488&amp;" Bandana",Registered!AE2488&amp;" Bandanas"))</f>
        <v/>
      </c>
      <c r="AV2488" s="3">
        <f t="shared" si="116"/>
        <v>2</v>
      </c>
      <c r="AW2488" s="2" t="str">
        <f>IF(Registered!AV2488=0,"",IF(Registered!AV2488=1,Registered!AV2488&amp;" Meal",Registered!AV2488&amp;" Meals"))</f>
        <v>2 Meals</v>
      </c>
      <c r="AX2488" s="2" t="str">
        <f>IF(Registered!AI2488=0,"",Registered!AI2488&amp;" BG")</f>
        <v/>
      </c>
      <c r="AY2488" s="2" t="str">
        <f>IF(Registered!AG2488=0,"",Registered!AG2488&amp;" DustMask")</f>
        <v/>
      </c>
    </row>
    <row r="2489" spans="1:51" customFormat="1" x14ac:dyDescent="0.25">
      <c r="A2489" t="s">
        <v>3450</v>
      </c>
      <c r="B2489" t="s">
        <v>3451</v>
      </c>
      <c r="C2489" t="s">
        <v>6090</v>
      </c>
      <c r="G2489" t="s">
        <v>3216</v>
      </c>
      <c r="H2489" t="s">
        <v>1954</v>
      </c>
      <c r="I2489" t="s">
        <v>3218</v>
      </c>
      <c r="J2489" t="s">
        <v>37</v>
      </c>
      <c r="K2489" t="s">
        <v>32</v>
      </c>
      <c r="L2489" t="s">
        <v>35</v>
      </c>
      <c r="AQ2489">
        <v>0</v>
      </c>
      <c r="AR2489" s="3">
        <f t="shared" si="114"/>
        <v>0</v>
      </c>
      <c r="AS2489" s="3">
        <f t="shared" si="115"/>
        <v>0</v>
      </c>
      <c r="AT2489" s="3" t="str">
        <f>IF(OR(Registered!AM2489&gt;0,Registered!AO2489&gt;0),(IF(Registered!E2489=0,"Size Not Specified",Registered!E2489)),"")</f>
        <v/>
      </c>
      <c r="AU2489" s="3" t="str">
        <f>IF(Registered!AE2489=0,"",IF(Registered!AE2489=1,Registered!AE2489&amp;" Bandana",Registered!AE2489&amp;" Bandanas"))</f>
        <v/>
      </c>
      <c r="AV2489" s="3">
        <f t="shared" si="116"/>
        <v>0</v>
      </c>
      <c r="AW2489" s="2" t="str">
        <f>IF(Registered!AV2489=0,"",IF(Registered!AV2489=1,Registered!AV2489&amp;" Meal",Registered!AV2489&amp;" Meals"))</f>
        <v/>
      </c>
      <c r="AX2489" s="2" t="str">
        <f>IF(Registered!AI2489=0,"",Registered!AI2489&amp;" BG")</f>
        <v/>
      </c>
      <c r="AY2489" s="2" t="str">
        <f>IF(Registered!AG2489=0,"",Registered!AG2489&amp;" DustMask")</f>
        <v/>
      </c>
    </row>
    <row r="2490" spans="1:51" customFormat="1" x14ac:dyDescent="0.25">
      <c r="A2490" t="s">
        <v>5879</v>
      </c>
      <c r="B2490" t="s">
        <v>5880</v>
      </c>
      <c r="C2490" t="s">
        <v>6090</v>
      </c>
      <c r="G2490" t="s">
        <v>5668</v>
      </c>
      <c r="H2490" t="s">
        <v>5669</v>
      </c>
      <c r="I2490" t="s">
        <v>5671</v>
      </c>
      <c r="J2490" t="s">
        <v>37</v>
      </c>
      <c r="K2490" t="s">
        <v>32</v>
      </c>
      <c r="L2490" t="s">
        <v>35</v>
      </c>
      <c r="AQ2490">
        <v>0</v>
      </c>
      <c r="AR2490" s="3">
        <f t="shared" si="114"/>
        <v>0</v>
      </c>
      <c r="AS2490" s="3">
        <f t="shared" si="115"/>
        <v>0</v>
      </c>
      <c r="AT2490" s="3" t="str">
        <f>IF(OR(Registered!AM2490&gt;0,Registered!AO2490&gt;0),(IF(Registered!E2490=0,"Size Not Specified",Registered!E2490)),"")</f>
        <v/>
      </c>
      <c r="AU2490" s="3" t="str">
        <f>IF(Registered!AE2490=0,"",IF(Registered!AE2490=1,Registered!AE2490&amp;" Bandana",Registered!AE2490&amp;" Bandanas"))</f>
        <v/>
      </c>
      <c r="AV2490" s="3">
        <f t="shared" si="116"/>
        <v>0</v>
      </c>
      <c r="AW2490" s="2" t="str">
        <f>IF(Registered!AV2490=0,"",IF(Registered!AV2490=1,Registered!AV2490&amp;" Meal",Registered!AV2490&amp;" Meals"))</f>
        <v/>
      </c>
      <c r="AX2490" s="2" t="str">
        <f>IF(Registered!AI2490=0,"",Registered!AI2490&amp;" BG")</f>
        <v/>
      </c>
      <c r="AY2490" s="2" t="str">
        <f>IF(Registered!AG2490=0,"",Registered!AG2490&amp;" DustMask")</f>
        <v/>
      </c>
    </row>
    <row r="2491" spans="1:51" customFormat="1" x14ac:dyDescent="0.25">
      <c r="A2491" t="s">
        <v>3452</v>
      </c>
      <c r="B2491" t="s">
        <v>3453</v>
      </c>
      <c r="C2491" t="s">
        <v>6090</v>
      </c>
      <c r="D2491" t="s">
        <v>3454</v>
      </c>
      <c r="F2491" t="s">
        <v>261</v>
      </c>
      <c r="I2491" t="s">
        <v>3455</v>
      </c>
      <c r="J2491" t="s">
        <v>37</v>
      </c>
      <c r="K2491" t="s">
        <v>32</v>
      </c>
      <c r="L2491" t="s">
        <v>35</v>
      </c>
      <c r="Q2491">
        <v>1</v>
      </c>
      <c r="R2491">
        <v>3</v>
      </c>
      <c r="AC2491">
        <v>1</v>
      </c>
      <c r="AD2491">
        <v>10</v>
      </c>
      <c r="AQ2491">
        <v>13</v>
      </c>
      <c r="AR2491" s="3">
        <f t="shared" si="114"/>
        <v>5</v>
      </c>
      <c r="AS2491" s="3">
        <f t="shared" si="115"/>
        <v>0</v>
      </c>
      <c r="AT2491" s="3" t="str">
        <f>IF(OR(Registered!AM2491&gt;0,Registered!AO2491&gt;0),(IF(Registered!E2491=0,"Size Not Specified",Registered!E2491)),"")</f>
        <v/>
      </c>
      <c r="AU2491" s="3" t="str">
        <f>IF(Registered!AE2491=0,"",IF(Registered!AE2491=1,Registered!AE2491&amp;" Bandana",Registered!AE2491&amp;" Bandanas"))</f>
        <v/>
      </c>
      <c r="AV2491" s="3">
        <f t="shared" si="116"/>
        <v>0</v>
      </c>
      <c r="AW2491" s="2" t="str">
        <f>IF(Registered!AV2491=0,"",IF(Registered!AV2491=1,Registered!AV2491&amp;" Meal",Registered!AV2491&amp;" Meals"))</f>
        <v/>
      </c>
      <c r="AX2491" s="2" t="str">
        <f>IF(Registered!AI2491=0,"",Registered!AI2491&amp;" BG")</f>
        <v/>
      </c>
      <c r="AY2491" s="2" t="str">
        <f>IF(Registered!AG2491=0,"",Registered!AG2491&amp;" DustMask")</f>
        <v/>
      </c>
    </row>
    <row r="2492" spans="1:51" customFormat="1" x14ac:dyDescent="0.25">
      <c r="A2492" t="s">
        <v>136</v>
      </c>
      <c r="B2492" t="s">
        <v>1514</v>
      </c>
      <c r="C2492" t="s">
        <v>6090</v>
      </c>
      <c r="D2492" t="s">
        <v>2526</v>
      </c>
      <c r="F2492" t="s">
        <v>261</v>
      </c>
      <c r="I2492" t="s">
        <v>1515</v>
      </c>
      <c r="J2492" t="s">
        <v>37</v>
      </c>
      <c r="K2492" t="s">
        <v>32</v>
      </c>
      <c r="L2492" t="s">
        <v>35</v>
      </c>
      <c r="S2492">
        <v>2</v>
      </c>
      <c r="T2492">
        <v>3</v>
      </c>
      <c r="U2492">
        <v>1</v>
      </c>
      <c r="V2492">
        <v>20</v>
      </c>
      <c r="AM2492">
        <v>2</v>
      </c>
      <c r="AN2492">
        <v>25</v>
      </c>
      <c r="AQ2492">
        <v>76</v>
      </c>
      <c r="AR2492" s="3">
        <f t="shared" si="114"/>
        <v>20</v>
      </c>
      <c r="AS2492" s="3">
        <f t="shared" si="115"/>
        <v>2</v>
      </c>
      <c r="AT2492" s="3" t="str">
        <f>IF(OR(Registered!AM2492&gt;0,Registered!AO2492&gt;0),(IF(Registered!E2492=0,"Size Not Specified",Registered!E2492)),"")</f>
        <v>Size Not Specified</v>
      </c>
      <c r="AU2492" s="3" t="str">
        <f>IF(Registered!AE2492=0,"",IF(Registered!AE2492=1,Registered!AE2492&amp;" Bandana",Registered!AE2492&amp;" Bandanas"))</f>
        <v/>
      </c>
      <c r="AV2492" s="3">
        <f t="shared" si="116"/>
        <v>2</v>
      </c>
      <c r="AW2492" s="2" t="str">
        <f>IF(Registered!AV2492=0,"",IF(Registered!AV2492=1,Registered!AV2492&amp;" Meal",Registered!AV2492&amp;" Meals"))</f>
        <v>2 Meals</v>
      </c>
      <c r="AX2492" s="2" t="str">
        <f>IF(Registered!AI2492=0,"",Registered!AI2492&amp;" BG")</f>
        <v/>
      </c>
      <c r="AY2492" s="2" t="str">
        <f>IF(Registered!AG2492=0,"",Registered!AG2492&amp;" DustMask")</f>
        <v/>
      </c>
    </row>
    <row r="2493" spans="1:51" customFormat="1" x14ac:dyDescent="0.25">
      <c r="A2493" t="s">
        <v>2992</v>
      </c>
      <c r="B2493" t="s">
        <v>2993</v>
      </c>
      <c r="C2493" t="s">
        <v>6090</v>
      </c>
      <c r="D2493" t="s">
        <v>3282</v>
      </c>
      <c r="F2493" t="s">
        <v>261</v>
      </c>
      <c r="I2493" t="s">
        <v>2994</v>
      </c>
      <c r="J2493" t="s">
        <v>37</v>
      </c>
      <c r="K2493" t="s">
        <v>32</v>
      </c>
      <c r="L2493" t="s">
        <v>35</v>
      </c>
      <c r="Q2493">
        <v>4</v>
      </c>
      <c r="R2493">
        <v>3</v>
      </c>
      <c r="AC2493">
        <v>4</v>
      </c>
      <c r="AD2493">
        <v>10</v>
      </c>
      <c r="AQ2493">
        <v>52</v>
      </c>
      <c r="AR2493" s="3">
        <f t="shared" si="114"/>
        <v>20</v>
      </c>
      <c r="AS2493" s="3">
        <f t="shared" si="115"/>
        <v>0</v>
      </c>
      <c r="AT2493" s="3" t="str">
        <f>IF(OR(Registered!AM2493&gt;0,Registered!AO2493&gt;0),(IF(Registered!E2493=0,"Size Not Specified",Registered!E2493)),"")</f>
        <v/>
      </c>
      <c r="AU2493" s="3" t="str">
        <f>IF(Registered!AE2493=0,"",IF(Registered!AE2493=1,Registered!AE2493&amp;" Bandana",Registered!AE2493&amp;" Bandanas"))</f>
        <v/>
      </c>
      <c r="AV2493" s="3">
        <f t="shared" si="116"/>
        <v>0</v>
      </c>
      <c r="AW2493" s="2" t="str">
        <f>IF(Registered!AV2493=0,"",IF(Registered!AV2493=1,Registered!AV2493&amp;" Meal",Registered!AV2493&amp;" Meals"))</f>
        <v/>
      </c>
      <c r="AX2493" s="2" t="str">
        <f>IF(Registered!AI2493=0,"",Registered!AI2493&amp;" BG")</f>
        <v/>
      </c>
      <c r="AY2493" s="2" t="str">
        <f>IF(Registered!AG2493=0,"",Registered!AG2493&amp;" DustMask")</f>
        <v/>
      </c>
    </row>
    <row r="2494" spans="1:51" customFormat="1" x14ac:dyDescent="0.25">
      <c r="A2494" t="s">
        <v>236</v>
      </c>
      <c r="B2494" t="s">
        <v>5881</v>
      </c>
      <c r="C2494" t="s">
        <v>6090</v>
      </c>
      <c r="G2494" t="s">
        <v>393</v>
      </c>
      <c r="H2494" t="s">
        <v>486</v>
      </c>
      <c r="I2494" t="s">
        <v>3949</v>
      </c>
      <c r="J2494" t="s">
        <v>37</v>
      </c>
      <c r="K2494" t="s">
        <v>32</v>
      </c>
      <c r="L2494" t="s">
        <v>35</v>
      </c>
      <c r="AQ2494">
        <v>0</v>
      </c>
      <c r="AR2494" s="3">
        <f t="shared" si="114"/>
        <v>0</v>
      </c>
      <c r="AS2494" s="3">
        <f t="shared" si="115"/>
        <v>0</v>
      </c>
      <c r="AT2494" s="3" t="str">
        <f>IF(OR(Registered!AM2494&gt;0,Registered!AO2494&gt;0),(IF(Registered!E2494=0,"Size Not Specified",Registered!E2494)),"")</f>
        <v/>
      </c>
      <c r="AU2494" s="3" t="str">
        <f>IF(Registered!AE2494=0,"",IF(Registered!AE2494=1,Registered!AE2494&amp;" Bandana",Registered!AE2494&amp;" Bandanas"))</f>
        <v/>
      </c>
      <c r="AV2494" s="3">
        <f t="shared" si="116"/>
        <v>0</v>
      </c>
      <c r="AW2494" s="2" t="str">
        <f>IF(Registered!AV2494=0,"",IF(Registered!AV2494=1,Registered!AV2494&amp;" Meal",Registered!AV2494&amp;" Meals"))</f>
        <v/>
      </c>
      <c r="AX2494" s="2" t="str">
        <f>IF(Registered!AI2494=0,"",Registered!AI2494&amp;" BG")</f>
        <v/>
      </c>
      <c r="AY2494" s="2" t="str">
        <f>IF(Registered!AG2494=0,"",Registered!AG2494&amp;" DustMask")</f>
        <v/>
      </c>
    </row>
    <row r="2495" spans="1:51" customFormat="1" x14ac:dyDescent="0.25">
      <c r="A2495" t="s">
        <v>292</v>
      </c>
      <c r="B2495" t="s">
        <v>3017</v>
      </c>
      <c r="C2495" t="s">
        <v>6090</v>
      </c>
      <c r="D2495" t="s">
        <v>5882</v>
      </c>
      <c r="E2495" t="s">
        <v>5883</v>
      </c>
      <c r="F2495" t="s">
        <v>261</v>
      </c>
      <c r="I2495" t="s">
        <v>3615</v>
      </c>
      <c r="J2495" t="s">
        <v>37</v>
      </c>
      <c r="K2495" t="s">
        <v>32</v>
      </c>
      <c r="L2495" t="s">
        <v>35</v>
      </c>
      <c r="Q2495">
        <v>3</v>
      </c>
      <c r="R2495">
        <v>3</v>
      </c>
      <c r="U2495">
        <v>1</v>
      </c>
      <c r="V2495">
        <v>20</v>
      </c>
      <c r="AE2495">
        <v>1</v>
      </c>
      <c r="AF2495">
        <v>6</v>
      </c>
      <c r="AG2495">
        <v>2</v>
      </c>
      <c r="AH2495">
        <v>1</v>
      </c>
      <c r="AI2495">
        <v>1</v>
      </c>
      <c r="AJ2495">
        <v>10</v>
      </c>
      <c r="AM2495">
        <v>3</v>
      </c>
      <c r="AN2495">
        <v>25</v>
      </c>
      <c r="AQ2495">
        <v>122</v>
      </c>
      <c r="AR2495" s="3">
        <f t="shared" si="114"/>
        <v>25</v>
      </c>
      <c r="AS2495" s="3">
        <f t="shared" si="115"/>
        <v>3</v>
      </c>
      <c r="AT2495" s="3" t="str">
        <f>IF(OR(Registered!AM2495&gt;0,Registered!AO2495&gt;0),(IF(Registered!E2495=0,"Size Not Specified",Registered!E2495)),"")</f>
        <v>small, large,large</v>
      </c>
      <c r="AU2495" s="3" t="str">
        <f>IF(Registered!AE2495=0,"",IF(Registered!AE2495=1,Registered!AE2495&amp;" Bandana",Registered!AE2495&amp;" Bandanas"))</f>
        <v>1 Bandana</v>
      </c>
      <c r="AV2495" s="3">
        <f t="shared" si="116"/>
        <v>3</v>
      </c>
      <c r="AW2495" s="2" t="str">
        <f>IF(Registered!AV2495=0,"",IF(Registered!AV2495=1,Registered!AV2495&amp;" Meal",Registered!AV2495&amp;" Meals"))</f>
        <v>3 Meals</v>
      </c>
      <c r="AX2495" s="2" t="str">
        <f>IF(Registered!AI2495=0,"",Registered!AI2495&amp;" BG")</f>
        <v>1 BG</v>
      </c>
      <c r="AY2495" s="2" t="str">
        <f>IF(Registered!AG2495=0,"",Registered!AG2495&amp;" DustMask")</f>
        <v>2 DustMask</v>
      </c>
    </row>
    <row r="2496" spans="1:51" customFormat="1" x14ac:dyDescent="0.25">
      <c r="A2496" t="s">
        <v>5884</v>
      </c>
      <c r="B2496" t="s">
        <v>4888</v>
      </c>
      <c r="C2496" t="s">
        <v>6090</v>
      </c>
      <c r="G2496" t="s">
        <v>3964</v>
      </c>
      <c r="H2496" t="s">
        <v>3965</v>
      </c>
      <c r="I2496" t="s">
        <v>3966</v>
      </c>
      <c r="J2496" t="s">
        <v>37</v>
      </c>
      <c r="K2496" t="s">
        <v>32</v>
      </c>
      <c r="L2496" t="s">
        <v>35</v>
      </c>
      <c r="AQ2496">
        <v>0</v>
      </c>
      <c r="AR2496" s="3">
        <f t="shared" si="114"/>
        <v>0</v>
      </c>
      <c r="AS2496" s="3">
        <f t="shared" si="115"/>
        <v>0</v>
      </c>
      <c r="AT2496" s="3" t="str">
        <f>IF(OR(Registered!AM2496&gt;0,Registered!AO2496&gt;0),(IF(Registered!E2496=0,"Size Not Specified",Registered!E2496)),"")</f>
        <v/>
      </c>
      <c r="AU2496" s="3" t="str">
        <f>IF(Registered!AE2496=0,"",IF(Registered!AE2496=1,Registered!AE2496&amp;" Bandana",Registered!AE2496&amp;" Bandanas"))</f>
        <v/>
      </c>
      <c r="AV2496" s="3">
        <f t="shared" si="116"/>
        <v>0</v>
      </c>
      <c r="AW2496" s="2" t="str">
        <f>IF(Registered!AV2496=0,"",IF(Registered!AV2496=1,Registered!AV2496&amp;" Meal",Registered!AV2496&amp;" Meals"))</f>
        <v/>
      </c>
      <c r="AX2496" s="2" t="str">
        <f>IF(Registered!AI2496=0,"",Registered!AI2496&amp;" BG")</f>
        <v/>
      </c>
      <c r="AY2496" s="2" t="str">
        <f>IF(Registered!AG2496=0,"",Registered!AG2496&amp;" DustMask")</f>
        <v/>
      </c>
    </row>
    <row r="2497" spans="1:51" customFormat="1" x14ac:dyDescent="0.25">
      <c r="A2497" t="s">
        <v>776</v>
      </c>
      <c r="B2497" t="s">
        <v>4888</v>
      </c>
      <c r="C2497" t="s">
        <v>6090</v>
      </c>
      <c r="D2497" t="s">
        <v>776</v>
      </c>
      <c r="F2497" t="s">
        <v>261</v>
      </c>
      <c r="I2497" t="s">
        <v>4889</v>
      </c>
      <c r="J2497" t="s">
        <v>37</v>
      </c>
      <c r="K2497" t="s">
        <v>32</v>
      </c>
      <c r="L2497" t="s">
        <v>35</v>
      </c>
      <c r="Q2497">
        <v>2</v>
      </c>
      <c r="R2497">
        <v>3</v>
      </c>
      <c r="AC2497">
        <v>1</v>
      </c>
      <c r="AD2497">
        <v>10</v>
      </c>
      <c r="AQ2497">
        <v>16</v>
      </c>
      <c r="AR2497" s="3">
        <f t="shared" si="114"/>
        <v>5</v>
      </c>
      <c r="AS2497" s="3">
        <f t="shared" si="115"/>
        <v>0</v>
      </c>
      <c r="AT2497" s="3" t="str">
        <f>IF(OR(Registered!AM2497&gt;0,Registered!AO2497&gt;0),(IF(Registered!E2497=0,"Size Not Specified",Registered!E2497)),"")</f>
        <v/>
      </c>
      <c r="AU2497" s="3" t="str">
        <f>IF(Registered!AE2497=0,"",IF(Registered!AE2497=1,Registered!AE2497&amp;" Bandana",Registered!AE2497&amp;" Bandanas"))</f>
        <v/>
      </c>
      <c r="AV2497" s="3">
        <f t="shared" si="116"/>
        <v>0</v>
      </c>
      <c r="AW2497" s="2" t="str">
        <f>IF(Registered!AV2497=0,"",IF(Registered!AV2497=1,Registered!AV2497&amp;" Meal",Registered!AV2497&amp;" Meals"))</f>
        <v/>
      </c>
      <c r="AX2497" s="2" t="str">
        <f>IF(Registered!AI2497=0,"",Registered!AI2497&amp;" BG")</f>
        <v/>
      </c>
      <c r="AY2497" s="2" t="str">
        <f>IF(Registered!AG2497=0,"",Registered!AG2497&amp;" DustMask")</f>
        <v/>
      </c>
    </row>
    <row r="2498" spans="1:51" customFormat="1" x14ac:dyDescent="0.25">
      <c r="A2498" t="s">
        <v>2333</v>
      </c>
      <c r="B2498" t="s">
        <v>4888</v>
      </c>
      <c r="C2498" t="s">
        <v>6090</v>
      </c>
      <c r="D2498" t="s">
        <v>2333</v>
      </c>
      <c r="F2498" t="s">
        <v>261</v>
      </c>
      <c r="I2498" t="s">
        <v>5885</v>
      </c>
      <c r="J2498" t="s">
        <v>37</v>
      </c>
      <c r="K2498" t="s">
        <v>32</v>
      </c>
      <c r="L2498" t="s">
        <v>35</v>
      </c>
      <c r="Q2498">
        <v>1</v>
      </c>
      <c r="R2498">
        <v>3</v>
      </c>
      <c r="U2498">
        <v>1</v>
      </c>
      <c r="V2498">
        <v>20</v>
      </c>
      <c r="AQ2498">
        <v>23</v>
      </c>
      <c r="AR2498" s="3">
        <f t="shared" ref="AR2498:AR2561" si="117">IF(ISTEXT(AM2498)=TRUE,"",SUM(U2498*10,W2498*20,Y2498*30,AA2498*40,AC2498*5,AM2498*5))</f>
        <v>10</v>
      </c>
      <c r="AS2498" s="3">
        <f t="shared" ref="AS2498:AS2561" si="118">IF(ISTEXT(AM2498)=TRUE,"",SUM(AM2498,AO2498))</f>
        <v>0</v>
      </c>
      <c r="AT2498" s="3" t="str">
        <f>IF(OR(Registered!AM2498&gt;0,Registered!AO2498&gt;0),(IF(Registered!E2498=0,"Size Not Specified",Registered!E2498)),"")</f>
        <v/>
      </c>
      <c r="AU2498" s="3" t="str">
        <f>IF(Registered!AE2498=0,"",IF(Registered!AE2498=1,Registered!AE2498&amp;" Bandana",Registered!AE2498&amp;" Bandanas"))</f>
        <v/>
      </c>
      <c r="AV2498" s="3">
        <f t="shared" ref="AV2498:AV2561" si="119">IF(ISTEXT(AM2498)=TRUE,"",SUM(AM2498,AK2498))</f>
        <v>0</v>
      </c>
      <c r="AW2498" s="2" t="str">
        <f>IF(Registered!AV2498=0,"",IF(Registered!AV2498=1,Registered!AV2498&amp;" Meal",Registered!AV2498&amp;" Meals"))</f>
        <v/>
      </c>
      <c r="AX2498" s="2" t="str">
        <f>IF(Registered!AI2498=0,"",Registered!AI2498&amp;" BG")</f>
        <v/>
      </c>
      <c r="AY2498" s="2" t="str">
        <f>IF(Registered!AG2498=0,"",Registered!AG2498&amp;" DustMask")</f>
        <v/>
      </c>
    </row>
    <row r="2499" spans="1:51" customFormat="1" x14ac:dyDescent="0.25">
      <c r="A2499" t="s">
        <v>2527</v>
      </c>
      <c r="B2499" t="s">
        <v>2528</v>
      </c>
      <c r="C2499" t="s">
        <v>6090</v>
      </c>
      <c r="G2499" t="s">
        <v>2529</v>
      </c>
      <c r="H2499" t="s">
        <v>2528</v>
      </c>
      <c r="I2499" t="s">
        <v>2530</v>
      </c>
      <c r="J2499" t="s">
        <v>37</v>
      </c>
      <c r="K2499" t="s">
        <v>32</v>
      </c>
      <c r="L2499" t="s">
        <v>35</v>
      </c>
      <c r="AQ2499">
        <v>0</v>
      </c>
      <c r="AR2499" s="3">
        <f t="shared" si="117"/>
        <v>0</v>
      </c>
      <c r="AS2499" s="3">
        <f t="shared" si="118"/>
        <v>0</v>
      </c>
      <c r="AT2499" s="3" t="str">
        <f>IF(OR(Registered!AM2499&gt;0,Registered!AO2499&gt;0),(IF(Registered!E2499=0,"Size Not Specified",Registered!E2499)),"")</f>
        <v/>
      </c>
      <c r="AU2499" s="3" t="str">
        <f>IF(Registered!AE2499=0,"",IF(Registered!AE2499=1,Registered!AE2499&amp;" Bandana",Registered!AE2499&amp;" Bandanas"))</f>
        <v/>
      </c>
      <c r="AV2499" s="3">
        <f t="shared" si="119"/>
        <v>0</v>
      </c>
      <c r="AW2499" s="2" t="str">
        <f>IF(Registered!AV2499=0,"",IF(Registered!AV2499=1,Registered!AV2499&amp;" Meal",Registered!AV2499&amp;" Meals"))</f>
        <v/>
      </c>
      <c r="AX2499" s="2" t="str">
        <f>IF(Registered!AI2499=0,"",Registered!AI2499&amp;" BG")</f>
        <v/>
      </c>
      <c r="AY2499" s="2" t="str">
        <f>IF(Registered!AG2499=0,"",Registered!AG2499&amp;" DustMask")</f>
        <v/>
      </c>
    </row>
    <row r="2500" spans="1:51" customFormat="1" x14ac:dyDescent="0.25">
      <c r="A2500" t="s">
        <v>2529</v>
      </c>
      <c r="B2500" t="s">
        <v>2528</v>
      </c>
      <c r="C2500" t="s">
        <v>6090</v>
      </c>
      <c r="D2500" t="s">
        <v>2531</v>
      </c>
      <c r="F2500" t="s">
        <v>261</v>
      </c>
      <c r="I2500" t="s">
        <v>2530</v>
      </c>
      <c r="J2500" t="s">
        <v>37</v>
      </c>
      <c r="K2500" t="s">
        <v>32</v>
      </c>
      <c r="L2500" t="s">
        <v>35</v>
      </c>
      <c r="S2500">
        <v>2</v>
      </c>
      <c r="T2500">
        <v>3</v>
      </c>
      <c r="U2500">
        <v>1</v>
      </c>
      <c r="V2500">
        <v>20</v>
      </c>
      <c r="AQ2500">
        <v>26</v>
      </c>
      <c r="AR2500" s="3">
        <f t="shared" si="117"/>
        <v>10</v>
      </c>
      <c r="AS2500" s="3">
        <f t="shared" si="118"/>
        <v>0</v>
      </c>
      <c r="AT2500" s="3" t="str">
        <f>IF(OR(Registered!AM2500&gt;0,Registered!AO2500&gt;0),(IF(Registered!E2500=0,"Size Not Specified",Registered!E2500)),"")</f>
        <v/>
      </c>
      <c r="AU2500" s="3" t="str">
        <f>IF(Registered!AE2500=0,"",IF(Registered!AE2500=1,Registered!AE2500&amp;" Bandana",Registered!AE2500&amp;" Bandanas"))</f>
        <v/>
      </c>
      <c r="AV2500" s="3">
        <f t="shared" si="119"/>
        <v>0</v>
      </c>
      <c r="AW2500" s="2" t="str">
        <f>IF(Registered!AV2500=0,"",IF(Registered!AV2500=1,Registered!AV2500&amp;" Meal",Registered!AV2500&amp;" Meals"))</f>
        <v/>
      </c>
      <c r="AX2500" s="2" t="str">
        <f>IF(Registered!AI2500=0,"",Registered!AI2500&amp;" BG")</f>
        <v/>
      </c>
      <c r="AY2500" s="2" t="str">
        <f>IF(Registered!AG2500=0,"",Registered!AG2500&amp;" DustMask")</f>
        <v/>
      </c>
    </row>
    <row r="2501" spans="1:51" customFormat="1" x14ac:dyDescent="0.25">
      <c r="A2501" t="s">
        <v>1686</v>
      </c>
      <c r="B2501" t="s">
        <v>1687</v>
      </c>
      <c r="C2501" t="s">
        <v>6090</v>
      </c>
      <c r="D2501" t="s">
        <v>1686</v>
      </c>
      <c r="F2501" t="s">
        <v>261</v>
      </c>
      <c r="I2501" t="s">
        <v>3112</v>
      </c>
      <c r="J2501" t="s">
        <v>37</v>
      </c>
      <c r="K2501" t="s">
        <v>32</v>
      </c>
      <c r="L2501" t="s">
        <v>35</v>
      </c>
      <c r="S2501">
        <v>2</v>
      </c>
      <c r="T2501">
        <v>3</v>
      </c>
      <c r="AC2501">
        <v>2</v>
      </c>
      <c r="AD2501">
        <v>10</v>
      </c>
      <c r="AE2501">
        <v>2</v>
      </c>
      <c r="AF2501">
        <v>6</v>
      </c>
      <c r="AQ2501">
        <v>38</v>
      </c>
      <c r="AR2501" s="3">
        <f t="shared" si="117"/>
        <v>10</v>
      </c>
      <c r="AS2501" s="3">
        <f t="shared" si="118"/>
        <v>0</v>
      </c>
      <c r="AT2501" s="3" t="str">
        <f>IF(OR(Registered!AM2501&gt;0,Registered!AO2501&gt;0),(IF(Registered!E2501=0,"Size Not Specified",Registered!E2501)),"")</f>
        <v/>
      </c>
      <c r="AU2501" s="3" t="str">
        <f>IF(Registered!AE2501=0,"",IF(Registered!AE2501=1,Registered!AE2501&amp;" Bandana",Registered!AE2501&amp;" Bandanas"))</f>
        <v>2 Bandanas</v>
      </c>
      <c r="AV2501" s="3">
        <f t="shared" si="119"/>
        <v>0</v>
      </c>
      <c r="AW2501" s="2" t="str">
        <f>IF(Registered!AV2501=0,"",IF(Registered!AV2501=1,Registered!AV2501&amp;" Meal",Registered!AV2501&amp;" Meals"))</f>
        <v/>
      </c>
      <c r="AX2501" s="2" t="str">
        <f>IF(Registered!AI2501=0,"",Registered!AI2501&amp;" BG")</f>
        <v/>
      </c>
      <c r="AY2501" s="2" t="str">
        <f>IF(Registered!AG2501=0,"",Registered!AG2501&amp;" DustMask")</f>
        <v/>
      </c>
    </row>
    <row r="2502" spans="1:51" customFormat="1" x14ac:dyDescent="0.25">
      <c r="A2502" t="s">
        <v>5886</v>
      </c>
      <c r="B2502" t="s">
        <v>5887</v>
      </c>
      <c r="C2502" t="s">
        <v>6090</v>
      </c>
      <c r="G2502" t="s">
        <v>3545</v>
      </c>
      <c r="H2502" t="s">
        <v>3546</v>
      </c>
      <c r="I2502" t="s">
        <v>3547</v>
      </c>
      <c r="J2502" t="s">
        <v>37</v>
      </c>
      <c r="K2502" t="s">
        <v>32</v>
      </c>
      <c r="L2502" t="s">
        <v>35</v>
      </c>
      <c r="AQ2502">
        <v>0</v>
      </c>
      <c r="AR2502" s="3">
        <f t="shared" si="117"/>
        <v>0</v>
      </c>
      <c r="AS2502" s="3">
        <f t="shared" si="118"/>
        <v>0</v>
      </c>
      <c r="AT2502" s="3" t="str">
        <f>IF(OR(Registered!AM2502&gt;0,Registered!AO2502&gt;0),(IF(Registered!E2502=0,"Size Not Specified",Registered!E2502)),"")</f>
        <v/>
      </c>
      <c r="AU2502" s="3" t="str">
        <f>IF(Registered!AE2502=0,"",IF(Registered!AE2502=1,Registered!AE2502&amp;" Bandana",Registered!AE2502&amp;" Bandanas"))</f>
        <v/>
      </c>
      <c r="AV2502" s="3">
        <f t="shared" si="119"/>
        <v>0</v>
      </c>
      <c r="AW2502" s="2" t="str">
        <f>IF(Registered!AV2502=0,"",IF(Registered!AV2502=1,Registered!AV2502&amp;" Meal",Registered!AV2502&amp;" Meals"))</f>
        <v/>
      </c>
      <c r="AX2502" s="2" t="str">
        <f>IF(Registered!AI2502=0,"",Registered!AI2502&amp;" BG")</f>
        <v/>
      </c>
      <c r="AY2502" s="2" t="str">
        <f>IF(Registered!AG2502=0,"",Registered!AG2502&amp;" DustMask")</f>
        <v/>
      </c>
    </row>
    <row r="2503" spans="1:51" customFormat="1" x14ac:dyDescent="0.25">
      <c r="A2503" t="s">
        <v>2534</v>
      </c>
      <c r="B2503" t="s">
        <v>1211</v>
      </c>
      <c r="C2503" t="s">
        <v>6090</v>
      </c>
      <c r="G2503" t="s">
        <v>389</v>
      </c>
      <c r="H2503" t="s">
        <v>1211</v>
      </c>
      <c r="I2503" t="s">
        <v>2535</v>
      </c>
      <c r="J2503" t="s">
        <v>37</v>
      </c>
      <c r="K2503" t="s">
        <v>32</v>
      </c>
      <c r="L2503" t="s">
        <v>35</v>
      </c>
      <c r="AQ2503">
        <v>0</v>
      </c>
      <c r="AR2503" s="3">
        <f t="shared" si="117"/>
        <v>0</v>
      </c>
      <c r="AS2503" s="3">
        <f t="shared" si="118"/>
        <v>0</v>
      </c>
      <c r="AT2503" s="3" t="str">
        <f>IF(OR(Registered!AM2503&gt;0,Registered!AO2503&gt;0),(IF(Registered!E2503=0,"Size Not Specified",Registered!E2503)),"")</f>
        <v/>
      </c>
      <c r="AU2503" s="3" t="str">
        <f>IF(Registered!AE2503=0,"",IF(Registered!AE2503=1,Registered!AE2503&amp;" Bandana",Registered!AE2503&amp;" Bandanas"))</f>
        <v/>
      </c>
      <c r="AV2503" s="3">
        <f t="shared" si="119"/>
        <v>0</v>
      </c>
      <c r="AW2503" s="2" t="str">
        <f>IF(Registered!AV2503=0,"",IF(Registered!AV2503=1,Registered!AV2503&amp;" Meal",Registered!AV2503&amp;" Meals"))</f>
        <v/>
      </c>
      <c r="AX2503" s="2" t="str">
        <f>IF(Registered!AI2503=0,"",Registered!AI2503&amp;" BG")</f>
        <v/>
      </c>
      <c r="AY2503" s="2" t="str">
        <f>IF(Registered!AG2503=0,"",Registered!AG2503&amp;" DustMask")</f>
        <v/>
      </c>
    </row>
    <row r="2504" spans="1:51" customFormat="1" x14ac:dyDescent="0.25">
      <c r="A2504" t="s">
        <v>389</v>
      </c>
      <c r="B2504" t="s">
        <v>1211</v>
      </c>
      <c r="C2504" t="s">
        <v>6090</v>
      </c>
      <c r="D2504" t="s">
        <v>2536</v>
      </c>
      <c r="F2504" t="s">
        <v>261</v>
      </c>
      <c r="I2504" t="s">
        <v>2535</v>
      </c>
      <c r="J2504" t="s">
        <v>37</v>
      </c>
      <c r="K2504" t="s">
        <v>32</v>
      </c>
      <c r="L2504" t="s">
        <v>35</v>
      </c>
      <c r="S2504">
        <v>2</v>
      </c>
      <c r="T2504">
        <v>3</v>
      </c>
      <c r="AC2504">
        <v>1</v>
      </c>
      <c r="AD2504">
        <v>10</v>
      </c>
      <c r="AQ2504">
        <v>16</v>
      </c>
      <c r="AR2504" s="3">
        <f t="shared" si="117"/>
        <v>5</v>
      </c>
      <c r="AS2504" s="3">
        <f t="shared" si="118"/>
        <v>0</v>
      </c>
      <c r="AT2504" s="3" t="str">
        <f>IF(OR(Registered!AM2504&gt;0,Registered!AO2504&gt;0),(IF(Registered!E2504=0,"Size Not Specified",Registered!E2504)),"")</f>
        <v/>
      </c>
      <c r="AU2504" s="3" t="str">
        <f>IF(Registered!AE2504=0,"",IF(Registered!AE2504=1,Registered!AE2504&amp;" Bandana",Registered!AE2504&amp;" Bandanas"))</f>
        <v/>
      </c>
      <c r="AV2504" s="3">
        <f t="shared" si="119"/>
        <v>0</v>
      </c>
      <c r="AW2504" s="2" t="str">
        <f>IF(Registered!AV2504=0,"",IF(Registered!AV2504=1,Registered!AV2504&amp;" Meal",Registered!AV2504&amp;" Meals"))</f>
        <v/>
      </c>
      <c r="AX2504" s="2" t="str">
        <f>IF(Registered!AI2504=0,"",Registered!AI2504&amp;" BG")</f>
        <v/>
      </c>
      <c r="AY2504" s="2" t="str">
        <f>IF(Registered!AG2504=0,"",Registered!AG2504&amp;" DustMask")</f>
        <v/>
      </c>
    </row>
    <row r="2505" spans="1:51" customFormat="1" x14ac:dyDescent="0.25">
      <c r="A2505" t="s">
        <v>848</v>
      </c>
      <c r="B2505" t="s">
        <v>2537</v>
      </c>
      <c r="C2505" t="s">
        <v>6090</v>
      </c>
      <c r="G2505" t="s">
        <v>152</v>
      </c>
      <c r="H2505" t="s">
        <v>698</v>
      </c>
      <c r="I2505" t="s">
        <v>700</v>
      </c>
      <c r="J2505" t="s">
        <v>37</v>
      </c>
      <c r="K2505" t="s">
        <v>32</v>
      </c>
      <c r="L2505" t="s">
        <v>35</v>
      </c>
      <c r="AQ2505">
        <v>0</v>
      </c>
      <c r="AR2505" s="3">
        <f t="shared" si="117"/>
        <v>0</v>
      </c>
      <c r="AS2505" s="3">
        <f t="shared" si="118"/>
        <v>0</v>
      </c>
      <c r="AT2505" s="3" t="str">
        <f>IF(OR(Registered!AM2505&gt;0,Registered!AO2505&gt;0),(IF(Registered!E2505=0,"Size Not Specified",Registered!E2505)),"")</f>
        <v/>
      </c>
      <c r="AU2505" s="3" t="str">
        <f>IF(Registered!AE2505=0,"",IF(Registered!AE2505=1,Registered!AE2505&amp;" Bandana",Registered!AE2505&amp;" Bandanas"))</f>
        <v/>
      </c>
      <c r="AV2505" s="3">
        <f t="shared" si="119"/>
        <v>0</v>
      </c>
      <c r="AW2505" s="2" t="str">
        <f>IF(Registered!AV2505=0,"",IF(Registered!AV2505=1,Registered!AV2505&amp;" Meal",Registered!AV2505&amp;" Meals"))</f>
        <v/>
      </c>
      <c r="AX2505" s="2" t="str">
        <f>IF(Registered!AI2505=0,"",Registered!AI2505&amp;" BG")</f>
        <v/>
      </c>
      <c r="AY2505" s="2" t="str">
        <f>IF(Registered!AG2505=0,"",Registered!AG2505&amp;" DustMask")</f>
        <v/>
      </c>
    </row>
    <row r="2506" spans="1:51" customFormat="1" x14ac:dyDescent="0.25">
      <c r="A2506" t="s">
        <v>2890</v>
      </c>
      <c r="B2506" t="s">
        <v>2891</v>
      </c>
      <c r="C2506" t="s">
        <v>6090</v>
      </c>
      <c r="D2506" t="s">
        <v>3456</v>
      </c>
      <c r="F2506" t="s">
        <v>261</v>
      </c>
      <c r="I2506" t="s">
        <v>2892</v>
      </c>
      <c r="J2506" t="s">
        <v>37</v>
      </c>
      <c r="K2506" t="s">
        <v>32</v>
      </c>
      <c r="L2506" t="s">
        <v>35</v>
      </c>
      <c r="Q2506">
        <v>3</v>
      </c>
      <c r="R2506">
        <v>3</v>
      </c>
      <c r="AQ2506">
        <v>9</v>
      </c>
      <c r="AR2506" s="3">
        <f t="shared" si="117"/>
        <v>0</v>
      </c>
      <c r="AS2506" s="3">
        <f t="shared" si="118"/>
        <v>0</v>
      </c>
      <c r="AT2506" s="3" t="str">
        <f>IF(OR(Registered!AM2506&gt;0,Registered!AO2506&gt;0),(IF(Registered!E2506=0,"Size Not Specified",Registered!E2506)),"")</f>
        <v/>
      </c>
      <c r="AU2506" s="3" t="str">
        <f>IF(Registered!AE2506=0,"",IF(Registered!AE2506=1,Registered!AE2506&amp;" Bandana",Registered!AE2506&amp;" Bandanas"))</f>
        <v/>
      </c>
      <c r="AV2506" s="3">
        <f t="shared" si="119"/>
        <v>0</v>
      </c>
      <c r="AW2506" s="2" t="str">
        <f>IF(Registered!AV2506=0,"",IF(Registered!AV2506=1,Registered!AV2506&amp;" Meal",Registered!AV2506&amp;" Meals"))</f>
        <v/>
      </c>
      <c r="AX2506" s="2" t="str">
        <f>IF(Registered!AI2506=0,"",Registered!AI2506&amp;" BG")</f>
        <v/>
      </c>
      <c r="AY2506" s="2" t="str">
        <f>IF(Registered!AG2506=0,"",Registered!AG2506&amp;" DustMask")</f>
        <v/>
      </c>
    </row>
    <row r="2507" spans="1:51" customFormat="1" x14ac:dyDescent="0.25">
      <c r="A2507" t="s">
        <v>2937</v>
      </c>
      <c r="B2507" t="s">
        <v>2938</v>
      </c>
      <c r="C2507" t="s">
        <v>6090</v>
      </c>
      <c r="D2507" t="s">
        <v>3457</v>
      </c>
      <c r="E2507" t="s">
        <v>3458</v>
      </c>
      <c r="F2507" t="s">
        <v>261</v>
      </c>
      <c r="I2507" t="s">
        <v>2939</v>
      </c>
      <c r="J2507" t="s">
        <v>37</v>
      </c>
      <c r="K2507" t="s">
        <v>32</v>
      </c>
      <c r="L2507" t="s">
        <v>35</v>
      </c>
      <c r="Q2507">
        <v>2</v>
      </c>
      <c r="R2507">
        <v>3</v>
      </c>
      <c r="AC2507">
        <v>2</v>
      </c>
      <c r="AD2507">
        <v>10</v>
      </c>
      <c r="AE2507">
        <v>1</v>
      </c>
      <c r="AF2507">
        <v>6</v>
      </c>
      <c r="AO2507">
        <v>2</v>
      </c>
      <c r="AP2507">
        <v>10</v>
      </c>
      <c r="AQ2507">
        <v>52</v>
      </c>
      <c r="AR2507" s="3">
        <f t="shared" si="117"/>
        <v>10</v>
      </c>
      <c r="AS2507" s="3">
        <f t="shared" si="118"/>
        <v>2</v>
      </c>
      <c r="AT2507" s="3" t="str">
        <f>IF(OR(Registered!AM2507&gt;0,Registered!AO2507&gt;0),(IF(Registered!E2507=0,"Size Not Specified",Registered!E2507)),"")</f>
        <v>(XS) Extra Small and (M) Medium</v>
      </c>
      <c r="AU2507" s="3" t="str">
        <f>IF(Registered!AE2507=0,"",IF(Registered!AE2507=1,Registered!AE2507&amp;" Bandana",Registered!AE2507&amp;" Bandanas"))</f>
        <v>1 Bandana</v>
      </c>
      <c r="AV2507" s="3">
        <f t="shared" si="119"/>
        <v>0</v>
      </c>
      <c r="AW2507" s="2" t="str">
        <f>IF(Registered!AV2507=0,"",IF(Registered!AV2507=1,Registered!AV2507&amp;" Meal",Registered!AV2507&amp;" Meals"))</f>
        <v/>
      </c>
      <c r="AX2507" s="2" t="str">
        <f>IF(Registered!AI2507=0,"",Registered!AI2507&amp;" BG")</f>
        <v/>
      </c>
      <c r="AY2507" s="2" t="str">
        <f>IF(Registered!AG2507=0,"",Registered!AG2507&amp;" DustMask")</f>
        <v/>
      </c>
    </row>
    <row r="2508" spans="1:51" customFormat="1" x14ac:dyDescent="0.25">
      <c r="A2508" t="s">
        <v>5891</v>
      </c>
      <c r="B2508" t="s">
        <v>2938</v>
      </c>
      <c r="C2508" t="s">
        <v>6090</v>
      </c>
      <c r="G2508" t="s">
        <v>3526</v>
      </c>
      <c r="H2508" t="s">
        <v>4002</v>
      </c>
      <c r="I2508" t="s">
        <v>4003</v>
      </c>
      <c r="J2508" t="s">
        <v>37</v>
      </c>
      <c r="K2508" t="s">
        <v>32</v>
      </c>
      <c r="L2508" t="s">
        <v>35</v>
      </c>
      <c r="AQ2508">
        <v>0</v>
      </c>
      <c r="AR2508" s="3">
        <f t="shared" si="117"/>
        <v>0</v>
      </c>
      <c r="AS2508" s="3">
        <f t="shared" si="118"/>
        <v>0</v>
      </c>
      <c r="AT2508" s="3" t="str">
        <f>IF(OR(Registered!AM2508&gt;0,Registered!AO2508&gt;0),(IF(Registered!E2508=0,"Size Not Specified",Registered!E2508)),"")</f>
        <v/>
      </c>
      <c r="AU2508" s="3" t="str">
        <f>IF(Registered!AE2508=0,"",IF(Registered!AE2508=1,Registered!AE2508&amp;" Bandana",Registered!AE2508&amp;" Bandanas"))</f>
        <v/>
      </c>
      <c r="AV2508" s="3">
        <f t="shared" si="119"/>
        <v>0</v>
      </c>
      <c r="AW2508" s="2" t="str">
        <f>IF(Registered!AV2508=0,"",IF(Registered!AV2508=1,Registered!AV2508&amp;" Meal",Registered!AV2508&amp;" Meals"))</f>
        <v/>
      </c>
      <c r="AX2508" s="2" t="str">
        <f>IF(Registered!AI2508=0,"",Registered!AI2508&amp;" BG")</f>
        <v/>
      </c>
      <c r="AY2508" s="2" t="str">
        <f>IF(Registered!AG2508=0,"",Registered!AG2508&amp;" DustMask")</f>
        <v/>
      </c>
    </row>
    <row r="2509" spans="1:51" customFormat="1" x14ac:dyDescent="0.25">
      <c r="A2509" t="s">
        <v>141</v>
      </c>
      <c r="B2509" t="s">
        <v>5892</v>
      </c>
      <c r="C2509" t="s">
        <v>6090</v>
      </c>
      <c r="D2509" t="s">
        <v>5893</v>
      </c>
      <c r="F2509" t="s">
        <v>261</v>
      </c>
      <c r="I2509" t="s">
        <v>5894</v>
      </c>
      <c r="J2509" t="s">
        <v>37</v>
      </c>
      <c r="K2509" t="s">
        <v>32</v>
      </c>
      <c r="L2509" t="s">
        <v>35</v>
      </c>
      <c r="Q2509">
        <v>1</v>
      </c>
      <c r="R2509">
        <v>3</v>
      </c>
      <c r="AC2509">
        <v>1</v>
      </c>
      <c r="AD2509">
        <v>10</v>
      </c>
      <c r="AQ2509">
        <v>13</v>
      </c>
      <c r="AR2509" s="3">
        <f t="shared" si="117"/>
        <v>5</v>
      </c>
      <c r="AS2509" s="3">
        <f t="shared" si="118"/>
        <v>0</v>
      </c>
      <c r="AT2509" s="3" t="str">
        <f>IF(OR(Registered!AM2509&gt;0,Registered!AO2509&gt;0),(IF(Registered!E2509=0,"Size Not Specified",Registered!E2509)),"")</f>
        <v/>
      </c>
      <c r="AU2509" s="3" t="str">
        <f>IF(Registered!AE2509=0,"",IF(Registered!AE2509=1,Registered!AE2509&amp;" Bandana",Registered!AE2509&amp;" Bandanas"))</f>
        <v/>
      </c>
      <c r="AV2509" s="3">
        <f t="shared" si="119"/>
        <v>0</v>
      </c>
      <c r="AW2509" s="2" t="str">
        <f>IF(Registered!AV2509=0,"",IF(Registered!AV2509=1,Registered!AV2509&amp;" Meal",Registered!AV2509&amp;" Meals"))</f>
        <v/>
      </c>
      <c r="AX2509" s="2" t="str">
        <f>IF(Registered!AI2509=0,"",Registered!AI2509&amp;" BG")</f>
        <v/>
      </c>
      <c r="AY2509" s="2" t="str">
        <f>IF(Registered!AG2509=0,"",Registered!AG2509&amp;" DustMask")</f>
        <v/>
      </c>
    </row>
    <row r="2510" spans="1:51" customFormat="1" x14ac:dyDescent="0.25">
      <c r="A2510" t="s">
        <v>2541</v>
      </c>
      <c r="B2510" t="s">
        <v>2542</v>
      </c>
      <c r="C2510" t="s">
        <v>6090</v>
      </c>
      <c r="G2510" t="s">
        <v>150</v>
      </c>
      <c r="H2510" t="s">
        <v>2371</v>
      </c>
      <c r="I2510" t="s">
        <v>2372</v>
      </c>
      <c r="J2510" t="s">
        <v>37</v>
      </c>
      <c r="K2510" t="s">
        <v>32</v>
      </c>
      <c r="L2510" t="s">
        <v>35</v>
      </c>
      <c r="AQ2510">
        <v>0</v>
      </c>
      <c r="AR2510" s="3">
        <f t="shared" si="117"/>
        <v>0</v>
      </c>
      <c r="AS2510" s="3">
        <f t="shared" si="118"/>
        <v>0</v>
      </c>
      <c r="AT2510" s="3" t="str">
        <f>IF(OR(Registered!AM2510&gt;0,Registered!AO2510&gt;0),(IF(Registered!E2510=0,"Size Not Specified",Registered!E2510)),"")</f>
        <v/>
      </c>
      <c r="AU2510" s="3" t="str">
        <f>IF(Registered!AE2510=0,"",IF(Registered!AE2510=1,Registered!AE2510&amp;" Bandana",Registered!AE2510&amp;" Bandanas"))</f>
        <v/>
      </c>
      <c r="AV2510" s="3">
        <f t="shared" si="119"/>
        <v>0</v>
      </c>
      <c r="AW2510" s="2" t="str">
        <f>IF(Registered!AV2510=0,"",IF(Registered!AV2510=1,Registered!AV2510&amp;" Meal",Registered!AV2510&amp;" Meals"))</f>
        <v/>
      </c>
      <c r="AX2510" s="2" t="str">
        <f>IF(Registered!AI2510=0,"",Registered!AI2510&amp;" BG")</f>
        <v/>
      </c>
      <c r="AY2510" s="2" t="str">
        <f>IF(Registered!AG2510=0,"",Registered!AG2510&amp;" DustMask")</f>
        <v/>
      </c>
    </row>
    <row r="2511" spans="1:51" customFormat="1" x14ac:dyDescent="0.25">
      <c r="A2511" t="s">
        <v>2541</v>
      </c>
      <c r="B2511" t="s">
        <v>2543</v>
      </c>
      <c r="C2511" t="s">
        <v>6090</v>
      </c>
      <c r="G2511" t="s">
        <v>150</v>
      </c>
      <c r="H2511" t="s">
        <v>2371</v>
      </c>
      <c r="I2511" t="s">
        <v>2372</v>
      </c>
      <c r="J2511" t="s">
        <v>37</v>
      </c>
      <c r="K2511" t="s">
        <v>32</v>
      </c>
      <c r="L2511" t="s">
        <v>35</v>
      </c>
      <c r="AQ2511">
        <v>0</v>
      </c>
      <c r="AR2511" s="3">
        <f t="shared" si="117"/>
        <v>0</v>
      </c>
      <c r="AS2511" s="3">
        <f t="shared" si="118"/>
        <v>0</v>
      </c>
      <c r="AT2511" s="3" t="str">
        <f>IF(OR(Registered!AM2511&gt;0,Registered!AO2511&gt;0),(IF(Registered!E2511=0,"Size Not Specified",Registered!E2511)),"")</f>
        <v/>
      </c>
      <c r="AU2511" s="3" t="str">
        <f>IF(Registered!AE2511=0,"",IF(Registered!AE2511=1,Registered!AE2511&amp;" Bandana",Registered!AE2511&amp;" Bandanas"))</f>
        <v/>
      </c>
      <c r="AV2511" s="3">
        <f t="shared" si="119"/>
        <v>0</v>
      </c>
      <c r="AW2511" s="2" t="str">
        <f>IF(Registered!AV2511=0,"",IF(Registered!AV2511=1,Registered!AV2511&amp;" Meal",Registered!AV2511&amp;" Meals"))</f>
        <v/>
      </c>
      <c r="AX2511" s="2" t="str">
        <f>IF(Registered!AI2511=0,"",Registered!AI2511&amp;" BG")</f>
        <v/>
      </c>
      <c r="AY2511" s="2" t="str">
        <f>IF(Registered!AG2511=0,"",Registered!AG2511&amp;" DustMask")</f>
        <v/>
      </c>
    </row>
    <row r="2512" spans="1:51" customFormat="1" x14ac:dyDescent="0.25">
      <c r="A2512" t="s">
        <v>2733</v>
      </c>
      <c r="B2512" t="s">
        <v>3459</v>
      </c>
      <c r="C2512" t="s">
        <v>6090</v>
      </c>
      <c r="G2512" t="s">
        <v>2731</v>
      </c>
      <c r="H2512" t="s">
        <v>2732</v>
      </c>
      <c r="I2512" t="s">
        <v>3460</v>
      </c>
      <c r="J2512" t="s">
        <v>37</v>
      </c>
      <c r="K2512" t="s">
        <v>32</v>
      </c>
      <c r="L2512" t="s">
        <v>35</v>
      </c>
      <c r="AQ2512">
        <v>0</v>
      </c>
      <c r="AR2512" s="3">
        <f t="shared" si="117"/>
        <v>0</v>
      </c>
      <c r="AS2512" s="3">
        <f t="shared" si="118"/>
        <v>0</v>
      </c>
      <c r="AT2512" s="3" t="str">
        <f>IF(OR(Registered!AM2512&gt;0,Registered!AO2512&gt;0),(IF(Registered!E2512=0,"Size Not Specified",Registered!E2512)),"")</f>
        <v/>
      </c>
      <c r="AU2512" s="3" t="str">
        <f>IF(Registered!AE2512=0,"",IF(Registered!AE2512=1,Registered!AE2512&amp;" Bandana",Registered!AE2512&amp;" Bandanas"))</f>
        <v/>
      </c>
      <c r="AV2512" s="3">
        <f t="shared" si="119"/>
        <v>0</v>
      </c>
      <c r="AW2512" s="2" t="str">
        <f>IF(Registered!AV2512=0,"",IF(Registered!AV2512=1,Registered!AV2512&amp;" Meal",Registered!AV2512&amp;" Meals"))</f>
        <v/>
      </c>
      <c r="AX2512" s="2" t="str">
        <f>IF(Registered!AI2512=0,"",Registered!AI2512&amp;" BG")</f>
        <v/>
      </c>
      <c r="AY2512" s="2" t="str">
        <f>IF(Registered!AG2512=0,"",Registered!AG2512&amp;" DustMask")</f>
        <v/>
      </c>
    </row>
    <row r="2513" spans="1:51" customFormat="1" x14ac:dyDescent="0.25">
      <c r="A2513" t="s">
        <v>1175</v>
      </c>
      <c r="B2513" t="s">
        <v>5899</v>
      </c>
      <c r="C2513" t="s">
        <v>6090</v>
      </c>
      <c r="G2513" t="s">
        <v>288</v>
      </c>
      <c r="H2513" t="s">
        <v>4216</v>
      </c>
      <c r="I2513" t="s">
        <v>4217</v>
      </c>
      <c r="J2513" t="s">
        <v>37</v>
      </c>
      <c r="K2513" t="s">
        <v>32</v>
      </c>
      <c r="L2513" t="s">
        <v>35</v>
      </c>
      <c r="AQ2513">
        <v>0</v>
      </c>
      <c r="AR2513" s="3">
        <f t="shared" si="117"/>
        <v>0</v>
      </c>
      <c r="AS2513" s="3">
        <f t="shared" si="118"/>
        <v>0</v>
      </c>
      <c r="AT2513" s="3" t="str">
        <f>IF(OR(Registered!AM2513&gt;0,Registered!AO2513&gt;0),(IF(Registered!E2513=0,"Size Not Specified",Registered!E2513)),"")</f>
        <v/>
      </c>
      <c r="AU2513" s="3" t="str">
        <f>IF(Registered!AE2513=0,"",IF(Registered!AE2513=1,Registered!AE2513&amp;" Bandana",Registered!AE2513&amp;" Bandanas"))</f>
        <v/>
      </c>
      <c r="AV2513" s="3">
        <f t="shared" si="119"/>
        <v>0</v>
      </c>
      <c r="AW2513" s="2" t="str">
        <f>IF(Registered!AV2513=0,"",IF(Registered!AV2513=1,Registered!AV2513&amp;" Meal",Registered!AV2513&amp;" Meals"))</f>
        <v/>
      </c>
      <c r="AX2513" s="2" t="str">
        <f>IF(Registered!AI2513=0,"",Registered!AI2513&amp;" BG")</f>
        <v/>
      </c>
      <c r="AY2513" s="2" t="str">
        <f>IF(Registered!AG2513=0,"",Registered!AG2513&amp;" DustMask")</f>
        <v/>
      </c>
    </row>
    <row r="2514" spans="1:51" customFormat="1" x14ac:dyDescent="0.25">
      <c r="A2514" t="s">
        <v>5900</v>
      </c>
      <c r="B2514" t="s">
        <v>579</v>
      </c>
      <c r="C2514" t="s">
        <v>6090</v>
      </c>
      <c r="D2514" t="s">
        <v>5901</v>
      </c>
      <c r="F2514" t="s">
        <v>261</v>
      </c>
      <c r="I2514" t="s">
        <v>5902</v>
      </c>
      <c r="J2514" t="s">
        <v>37</v>
      </c>
      <c r="K2514" t="s">
        <v>32</v>
      </c>
      <c r="L2514" t="s">
        <v>35</v>
      </c>
      <c r="Q2514">
        <v>2</v>
      </c>
      <c r="R2514">
        <v>3</v>
      </c>
      <c r="AC2514">
        <v>1</v>
      </c>
      <c r="AD2514">
        <v>10</v>
      </c>
      <c r="AK2514">
        <v>2</v>
      </c>
      <c r="AL2514">
        <v>6</v>
      </c>
      <c r="AQ2514">
        <v>28</v>
      </c>
      <c r="AR2514" s="3">
        <f t="shared" si="117"/>
        <v>5</v>
      </c>
      <c r="AS2514" s="3">
        <f t="shared" si="118"/>
        <v>0</v>
      </c>
      <c r="AT2514" s="3" t="str">
        <f>IF(OR(Registered!AM2514&gt;0,Registered!AO2514&gt;0),(IF(Registered!E2514=0,"Size Not Specified",Registered!E2514)),"")</f>
        <v/>
      </c>
      <c r="AU2514" s="3" t="str">
        <f>IF(Registered!AE2514=0,"",IF(Registered!AE2514=1,Registered!AE2514&amp;" Bandana",Registered!AE2514&amp;" Bandanas"))</f>
        <v/>
      </c>
      <c r="AV2514" s="3">
        <f t="shared" si="119"/>
        <v>2</v>
      </c>
      <c r="AW2514" s="2" t="str">
        <f>IF(Registered!AV2514=0,"",IF(Registered!AV2514=1,Registered!AV2514&amp;" Meal",Registered!AV2514&amp;" Meals"))</f>
        <v>2 Meals</v>
      </c>
      <c r="AX2514" s="2" t="str">
        <f>IF(Registered!AI2514=0,"",Registered!AI2514&amp;" BG")</f>
        <v/>
      </c>
      <c r="AY2514" s="2" t="str">
        <f>IF(Registered!AG2514=0,"",Registered!AG2514&amp;" DustMask")</f>
        <v/>
      </c>
    </row>
    <row r="2515" spans="1:51" customFormat="1" x14ac:dyDescent="0.25">
      <c r="A2515" t="s">
        <v>578</v>
      </c>
      <c r="B2515" t="s">
        <v>579</v>
      </c>
      <c r="C2515" t="s">
        <v>6090</v>
      </c>
      <c r="D2515" t="s">
        <v>2544</v>
      </c>
      <c r="F2515" t="s">
        <v>261</v>
      </c>
      <c r="I2515" t="s">
        <v>580</v>
      </c>
      <c r="J2515" t="s">
        <v>37</v>
      </c>
      <c r="K2515" t="s">
        <v>32</v>
      </c>
      <c r="L2515" t="s">
        <v>35</v>
      </c>
      <c r="S2515">
        <v>9</v>
      </c>
      <c r="T2515">
        <v>3</v>
      </c>
      <c r="Y2515">
        <v>1</v>
      </c>
      <c r="Z2515">
        <v>60</v>
      </c>
      <c r="AK2515">
        <v>9</v>
      </c>
      <c r="AL2515">
        <v>6</v>
      </c>
      <c r="AQ2515">
        <v>141</v>
      </c>
      <c r="AR2515" s="3">
        <f t="shared" si="117"/>
        <v>30</v>
      </c>
      <c r="AS2515" s="3">
        <f t="shared" si="118"/>
        <v>0</v>
      </c>
      <c r="AT2515" s="3" t="str">
        <f>IF(OR(Registered!AM2515&gt;0,Registered!AO2515&gt;0),(IF(Registered!E2515=0,"Size Not Specified",Registered!E2515)),"")</f>
        <v/>
      </c>
      <c r="AU2515" s="3" t="str">
        <f>IF(Registered!AE2515=0,"",IF(Registered!AE2515=1,Registered!AE2515&amp;" Bandana",Registered!AE2515&amp;" Bandanas"))</f>
        <v/>
      </c>
      <c r="AV2515" s="3">
        <f t="shared" si="119"/>
        <v>9</v>
      </c>
      <c r="AW2515" s="2" t="str">
        <f>IF(Registered!AV2515=0,"",IF(Registered!AV2515=1,Registered!AV2515&amp;" Meal",Registered!AV2515&amp;" Meals"))</f>
        <v>9 Meals</v>
      </c>
      <c r="AX2515" s="2" t="str">
        <f>IF(Registered!AI2515=0,"",Registered!AI2515&amp;" BG")</f>
        <v/>
      </c>
      <c r="AY2515" s="2" t="str">
        <f>IF(Registered!AG2515=0,"",Registered!AG2515&amp;" DustMask")</f>
        <v/>
      </c>
    </row>
    <row r="2516" spans="1:51" customFormat="1" x14ac:dyDescent="0.25">
      <c r="A2516" t="s">
        <v>5903</v>
      </c>
      <c r="B2516" t="s">
        <v>579</v>
      </c>
      <c r="C2516" t="s">
        <v>6090</v>
      </c>
      <c r="G2516" t="s">
        <v>5900</v>
      </c>
      <c r="H2516" t="s">
        <v>579</v>
      </c>
      <c r="I2516" t="s">
        <v>5902</v>
      </c>
      <c r="J2516" t="s">
        <v>37</v>
      </c>
      <c r="K2516" t="s">
        <v>32</v>
      </c>
      <c r="L2516" t="s">
        <v>35</v>
      </c>
      <c r="AQ2516">
        <v>0</v>
      </c>
      <c r="AR2516" s="3">
        <f t="shared" si="117"/>
        <v>0</v>
      </c>
      <c r="AS2516" s="3">
        <f t="shared" si="118"/>
        <v>0</v>
      </c>
      <c r="AT2516" s="3" t="str">
        <f>IF(OR(Registered!AM2516&gt;0,Registered!AO2516&gt;0),(IF(Registered!E2516=0,"Size Not Specified",Registered!E2516)),"")</f>
        <v/>
      </c>
      <c r="AU2516" s="3" t="str">
        <f>IF(Registered!AE2516=0,"",IF(Registered!AE2516=1,Registered!AE2516&amp;" Bandana",Registered!AE2516&amp;" Bandanas"))</f>
        <v/>
      </c>
      <c r="AV2516" s="3">
        <f t="shared" si="119"/>
        <v>0</v>
      </c>
      <c r="AW2516" s="2" t="str">
        <f>IF(Registered!AV2516=0,"",IF(Registered!AV2516=1,Registered!AV2516&amp;" Meal",Registered!AV2516&amp;" Meals"))</f>
        <v/>
      </c>
      <c r="AX2516" s="2" t="str">
        <f>IF(Registered!AI2516=0,"",Registered!AI2516&amp;" BG")</f>
        <v/>
      </c>
      <c r="AY2516" s="2" t="str">
        <f>IF(Registered!AG2516=0,"",Registered!AG2516&amp;" DustMask")</f>
        <v/>
      </c>
    </row>
    <row r="2517" spans="1:51" customFormat="1" x14ac:dyDescent="0.25">
      <c r="A2517" t="s">
        <v>3009</v>
      </c>
      <c r="B2517" t="s">
        <v>579</v>
      </c>
      <c r="C2517" t="s">
        <v>6090</v>
      </c>
      <c r="D2517" t="s">
        <v>307</v>
      </c>
      <c r="F2517" t="s">
        <v>261</v>
      </c>
      <c r="I2517" t="s">
        <v>5904</v>
      </c>
      <c r="J2517" t="s">
        <v>37</v>
      </c>
      <c r="K2517" t="s">
        <v>32</v>
      </c>
      <c r="L2517" t="s">
        <v>35</v>
      </c>
      <c r="Q2517">
        <v>1</v>
      </c>
      <c r="R2517">
        <v>3</v>
      </c>
      <c r="AC2517">
        <v>1</v>
      </c>
      <c r="AD2517">
        <v>10</v>
      </c>
      <c r="AQ2517">
        <v>13</v>
      </c>
      <c r="AR2517" s="3">
        <f t="shared" si="117"/>
        <v>5</v>
      </c>
      <c r="AS2517" s="3">
        <f t="shared" si="118"/>
        <v>0</v>
      </c>
      <c r="AT2517" s="3" t="str">
        <f>IF(OR(Registered!AM2517&gt;0,Registered!AO2517&gt;0),(IF(Registered!E2517=0,"Size Not Specified",Registered!E2517)),"")</f>
        <v/>
      </c>
      <c r="AU2517" s="3" t="str">
        <f>IF(Registered!AE2517=0,"",IF(Registered!AE2517=1,Registered!AE2517&amp;" Bandana",Registered!AE2517&amp;" Bandanas"))</f>
        <v/>
      </c>
      <c r="AV2517" s="3">
        <f t="shared" si="119"/>
        <v>0</v>
      </c>
      <c r="AW2517" s="2" t="str">
        <f>IF(Registered!AV2517=0,"",IF(Registered!AV2517=1,Registered!AV2517&amp;" Meal",Registered!AV2517&amp;" Meals"))</f>
        <v/>
      </c>
      <c r="AX2517" s="2" t="str">
        <f>IF(Registered!AI2517=0,"",Registered!AI2517&amp;" BG")</f>
        <v/>
      </c>
      <c r="AY2517" s="2" t="str">
        <f>IF(Registered!AG2517=0,"",Registered!AG2517&amp;" DustMask")</f>
        <v/>
      </c>
    </row>
    <row r="2518" spans="1:51" customFormat="1" x14ac:dyDescent="0.25">
      <c r="A2518" t="s">
        <v>100</v>
      </c>
      <c r="B2518" t="s">
        <v>2545</v>
      </c>
      <c r="C2518" t="s">
        <v>6090</v>
      </c>
      <c r="G2518" t="s">
        <v>140</v>
      </c>
      <c r="H2518" t="s">
        <v>898</v>
      </c>
      <c r="I2518" t="s">
        <v>899</v>
      </c>
      <c r="J2518" t="s">
        <v>37</v>
      </c>
      <c r="K2518" t="s">
        <v>32</v>
      </c>
      <c r="L2518" t="s">
        <v>35</v>
      </c>
      <c r="AQ2518">
        <v>0</v>
      </c>
      <c r="AR2518" s="3">
        <f t="shared" si="117"/>
        <v>0</v>
      </c>
      <c r="AS2518" s="3">
        <f t="shared" si="118"/>
        <v>0</v>
      </c>
      <c r="AT2518" s="3" t="str">
        <f>IF(OR(Registered!AM2518&gt;0,Registered!AO2518&gt;0),(IF(Registered!E2518=0,"Size Not Specified",Registered!E2518)),"")</f>
        <v/>
      </c>
      <c r="AU2518" s="3" t="str">
        <f>IF(Registered!AE2518=0,"",IF(Registered!AE2518=1,Registered!AE2518&amp;" Bandana",Registered!AE2518&amp;" Bandanas"))</f>
        <v/>
      </c>
      <c r="AV2518" s="3">
        <f t="shared" si="119"/>
        <v>0</v>
      </c>
      <c r="AW2518" s="2" t="str">
        <f>IF(Registered!AV2518=0,"",IF(Registered!AV2518=1,Registered!AV2518&amp;" Meal",Registered!AV2518&amp;" Meals"))</f>
        <v/>
      </c>
      <c r="AX2518" s="2" t="str">
        <f>IF(Registered!AI2518=0,"",Registered!AI2518&amp;" BG")</f>
        <v/>
      </c>
      <c r="AY2518" s="2" t="str">
        <f>IF(Registered!AG2518=0,"",Registered!AG2518&amp;" DustMask")</f>
        <v/>
      </c>
    </row>
    <row r="2519" spans="1:51" customFormat="1" x14ac:dyDescent="0.25">
      <c r="A2519" t="s">
        <v>3461</v>
      </c>
      <c r="B2519" t="s">
        <v>3462</v>
      </c>
      <c r="C2519" t="s">
        <v>6090</v>
      </c>
      <c r="G2519" t="s">
        <v>317</v>
      </c>
      <c r="H2519" t="s">
        <v>507</v>
      </c>
      <c r="I2519" t="s">
        <v>2673</v>
      </c>
      <c r="J2519" t="s">
        <v>37</v>
      </c>
      <c r="K2519" t="s">
        <v>32</v>
      </c>
      <c r="L2519" t="s">
        <v>35</v>
      </c>
      <c r="AQ2519">
        <v>0</v>
      </c>
      <c r="AR2519" s="3">
        <f t="shared" si="117"/>
        <v>0</v>
      </c>
      <c r="AS2519" s="3">
        <f t="shared" si="118"/>
        <v>0</v>
      </c>
      <c r="AT2519" s="3" t="str">
        <f>IF(OR(Registered!AM2519&gt;0,Registered!AO2519&gt;0),(IF(Registered!E2519=0,"Size Not Specified",Registered!E2519)),"")</f>
        <v/>
      </c>
      <c r="AU2519" s="3" t="str">
        <f>IF(Registered!AE2519=0,"",IF(Registered!AE2519=1,Registered!AE2519&amp;" Bandana",Registered!AE2519&amp;" Bandanas"))</f>
        <v/>
      </c>
      <c r="AV2519" s="3">
        <f t="shared" si="119"/>
        <v>0</v>
      </c>
      <c r="AW2519" s="2" t="str">
        <f>IF(Registered!AV2519=0,"",IF(Registered!AV2519=1,Registered!AV2519&amp;" Meal",Registered!AV2519&amp;" Meals"))</f>
        <v/>
      </c>
      <c r="AX2519" s="2" t="str">
        <f>IF(Registered!AI2519=0,"",Registered!AI2519&amp;" BG")</f>
        <v/>
      </c>
      <c r="AY2519" s="2" t="str">
        <f>IF(Registered!AG2519=0,"",Registered!AG2519&amp;" DustMask")</f>
        <v/>
      </c>
    </row>
    <row r="2520" spans="1:51" customFormat="1" x14ac:dyDescent="0.25">
      <c r="A2520" t="s">
        <v>92</v>
      </c>
      <c r="B2520" t="s">
        <v>2425</v>
      </c>
      <c r="C2520" t="s">
        <v>6090</v>
      </c>
      <c r="G2520" t="s">
        <v>2424</v>
      </c>
      <c r="H2520" t="s">
        <v>2425</v>
      </c>
      <c r="I2520" t="s">
        <v>2426</v>
      </c>
      <c r="J2520" t="s">
        <v>37</v>
      </c>
      <c r="K2520" t="s">
        <v>32</v>
      </c>
      <c r="L2520" t="s">
        <v>35</v>
      </c>
      <c r="AQ2520">
        <v>0</v>
      </c>
      <c r="AR2520" s="3">
        <f t="shared" si="117"/>
        <v>0</v>
      </c>
      <c r="AS2520" s="3">
        <f t="shared" si="118"/>
        <v>0</v>
      </c>
      <c r="AT2520" s="3" t="str">
        <f>IF(OR(Registered!AM2520&gt;0,Registered!AO2520&gt;0),(IF(Registered!E2520=0,"Size Not Specified",Registered!E2520)),"")</f>
        <v/>
      </c>
      <c r="AU2520" s="3" t="str">
        <f>IF(Registered!AE2520=0,"",IF(Registered!AE2520=1,Registered!AE2520&amp;" Bandana",Registered!AE2520&amp;" Bandanas"))</f>
        <v/>
      </c>
      <c r="AV2520" s="3">
        <f t="shared" si="119"/>
        <v>0</v>
      </c>
      <c r="AW2520" s="2" t="str">
        <f>IF(Registered!AV2520=0,"",IF(Registered!AV2520=1,Registered!AV2520&amp;" Meal",Registered!AV2520&amp;" Meals"))</f>
        <v/>
      </c>
      <c r="AX2520" s="2" t="str">
        <f>IF(Registered!AI2520=0,"",Registered!AI2520&amp;" BG")</f>
        <v/>
      </c>
      <c r="AY2520" s="2" t="str">
        <f>IF(Registered!AG2520=0,"",Registered!AG2520&amp;" DustMask")</f>
        <v/>
      </c>
    </row>
    <row r="2521" spans="1:51" customFormat="1" x14ac:dyDescent="0.25">
      <c r="A2521" t="s">
        <v>2424</v>
      </c>
      <c r="B2521" t="s">
        <v>2425</v>
      </c>
      <c r="C2521" t="s">
        <v>6090</v>
      </c>
      <c r="D2521" t="s">
        <v>2546</v>
      </c>
      <c r="F2521" t="s">
        <v>261</v>
      </c>
      <c r="I2521" t="s">
        <v>2426</v>
      </c>
      <c r="J2521" t="s">
        <v>37</v>
      </c>
      <c r="K2521" t="s">
        <v>32</v>
      </c>
      <c r="L2521" t="s">
        <v>35</v>
      </c>
      <c r="S2521">
        <v>4</v>
      </c>
      <c r="T2521">
        <v>3</v>
      </c>
      <c r="U2521">
        <v>1</v>
      </c>
      <c r="V2521">
        <v>20</v>
      </c>
      <c r="AQ2521">
        <v>32</v>
      </c>
      <c r="AR2521" s="3">
        <f t="shared" si="117"/>
        <v>10</v>
      </c>
      <c r="AS2521" s="3">
        <f t="shared" si="118"/>
        <v>0</v>
      </c>
      <c r="AT2521" s="3" t="str">
        <f>IF(OR(Registered!AM2521&gt;0,Registered!AO2521&gt;0),(IF(Registered!E2521=0,"Size Not Specified",Registered!E2521)),"")</f>
        <v/>
      </c>
      <c r="AU2521" s="3" t="str">
        <f>IF(Registered!AE2521=0,"",IF(Registered!AE2521=1,Registered!AE2521&amp;" Bandana",Registered!AE2521&amp;" Bandanas"))</f>
        <v/>
      </c>
      <c r="AV2521" s="3">
        <f t="shared" si="119"/>
        <v>0</v>
      </c>
      <c r="AW2521" s="2" t="str">
        <f>IF(Registered!AV2521=0,"",IF(Registered!AV2521=1,Registered!AV2521&amp;" Meal",Registered!AV2521&amp;" Meals"))</f>
        <v/>
      </c>
      <c r="AX2521" s="2" t="str">
        <f>IF(Registered!AI2521=0,"",Registered!AI2521&amp;" BG")</f>
        <v/>
      </c>
      <c r="AY2521" s="2" t="str">
        <f>IF(Registered!AG2521=0,"",Registered!AG2521&amp;" DustMask")</f>
        <v/>
      </c>
    </row>
    <row r="2522" spans="1:51" customFormat="1" x14ac:dyDescent="0.25">
      <c r="A2522" t="s">
        <v>2547</v>
      </c>
      <c r="B2522" t="s">
        <v>2425</v>
      </c>
      <c r="C2522" t="s">
        <v>6090</v>
      </c>
      <c r="G2522" t="s">
        <v>2424</v>
      </c>
      <c r="H2522" t="s">
        <v>2425</v>
      </c>
      <c r="I2522" t="s">
        <v>2426</v>
      </c>
      <c r="J2522" t="s">
        <v>37</v>
      </c>
      <c r="K2522" t="s">
        <v>32</v>
      </c>
      <c r="L2522" t="s">
        <v>35</v>
      </c>
      <c r="AQ2522">
        <v>0</v>
      </c>
      <c r="AR2522" s="3">
        <f t="shared" si="117"/>
        <v>0</v>
      </c>
      <c r="AS2522" s="3">
        <f t="shared" si="118"/>
        <v>0</v>
      </c>
      <c r="AT2522" s="3" t="str">
        <f>IF(OR(Registered!AM2522&gt;0,Registered!AO2522&gt;0),(IF(Registered!E2522=0,"Size Not Specified",Registered!E2522)),"")</f>
        <v/>
      </c>
      <c r="AU2522" s="3" t="str">
        <f>IF(Registered!AE2522=0,"",IF(Registered!AE2522=1,Registered!AE2522&amp;" Bandana",Registered!AE2522&amp;" Bandanas"))</f>
        <v/>
      </c>
      <c r="AV2522" s="3">
        <f t="shared" si="119"/>
        <v>0</v>
      </c>
      <c r="AW2522" s="2" t="str">
        <f>IF(Registered!AV2522=0,"",IF(Registered!AV2522=1,Registered!AV2522&amp;" Meal",Registered!AV2522&amp;" Meals"))</f>
        <v/>
      </c>
      <c r="AX2522" s="2" t="str">
        <f>IF(Registered!AI2522=0,"",Registered!AI2522&amp;" BG")</f>
        <v/>
      </c>
      <c r="AY2522" s="2" t="str">
        <f>IF(Registered!AG2522=0,"",Registered!AG2522&amp;" DustMask")</f>
        <v/>
      </c>
    </row>
    <row r="2523" spans="1:51" customFormat="1" x14ac:dyDescent="0.25">
      <c r="A2523" t="s">
        <v>255</v>
      </c>
      <c r="B2523" t="s">
        <v>4084</v>
      </c>
      <c r="C2523" t="s">
        <v>6090</v>
      </c>
      <c r="D2523" t="s">
        <v>5905</v>
      </c>
      <c r="F2523" t="s">
        <v>261</v>
      </c>
      <c r="I2523" t="s">
        <v>4085</v>
      </c>
      <c r="J2523" t="s">
        <v>37</v>
      </c>
      <c r="K2523" t="s">
        <v>32</v>
      </c>
      <c r="L2523" t="s">
        <v>35</v>
      </c>
      <c r="Q2523">
        <v>5</v>
      </c>
      <c r="R2523">
        <v>3</v>
      </c>
      <c r="Y2523">
        <v>1</v>
      </c>
      <c r="Z2523">
        <v>60</v>
      </c>
      <c r="AQ2523">
        <v>75</v>
      </c>
      <c r="AR2523" s="3">
        <f t="shared" si="117"/>
        <v>30</v>
      </c>
      <c r="AS2523" s="3">
        <f t="shared" si="118"/>
        <v>0</v>
      </c>
      <c r="AT2523" s="3" t="str">
        <f>IF(OR(Registered!AM2523&gt;0,Registered!AO2523&gt;0),(IF(Registered!E2523=0,"Size Not Specified",Registered!E2523)),"")</f>
        <v/>
      </c>
      <c r="AU2523" s="3" t="str">
        <f>IF(Registered!AE2523=0,"",IF(Registered!AE2523=1,Registered!AE2523&amp;" Bandana",Registered!AE2523&amp;" Bandanas"))</f>
        <v/>
      </c>
      <c r="AV2523" s="3">
        <f t="shared" si="119"/>
        <v>0</v>
      </c>
      <c r="AW2523" s="2" t="str">
        <f>IF(Registered!AV2523=0,"",IF(Registered!AV2523=1,Registered!AV2523&amp;" Meal",Registered!AV2523&amp;" Meals"))</f>
        <v/>
      </c>
      <c r="AX2523" s="2" t="str">
        <f>IF(Registered!AI2523=0,"",Registered!AI2523&amp;" BG")</f>
        <v/>
      </c>
      <c r="AY2523" s="2" t="str">
        <f>IF(Registered!AG2523=0,"",Registered!AG2523&amp;" DustMask")</f>
        <v/>
      </c>
    </row>
    <row r="2524" spans="1:51" customFormat="1" x14ac:dyDescent="0.25">
      <c r="A2524" t="s">
        <v>94</v>
      </c>
      <c r="B2524" t="s">
        <v>4084</v>
      </c>
      <c r="C2524" t="s">
        <v>6090</v>
      </c>
      <c r="G2524" t="s">
        <v>255</v>
      </c>
      <c r="H2524" t="s">
        <v>4084</v>
      </c>
      <c r="I2524" t="s">
        <v>4085</v>
      </c>
      <c r="J2524" t="s">
        <v>37</v>
      </c>
      <c r="K2524" t="s">
        <v>32</v>
      </c>
      <c r="L2524" t="s">
        <v>35</v>
      </c>
      <c r="AQ2524">
        <v>0</v>
      </c>
      <c r="AR2524" s="3">
        <f t="shared" si="117"/>
        <v>0</v>
      </c>
      <c r="AS2524" s="3">
        <f t="shared" si="118"/>
        <v>0</v>
      </c>
      <c r="AT2524" s="3" t="str">
        <f>IF(OR(Registered!AM2524&gt;0,Registered!AO2524&gt;0),(IF(Registered!E2524=0,"Size Not Specified",Registered!E2524)),"")</f>
        <v/>
      </c>
      <c r="AU2524" s="3" t="str">
        <f>IF(Registered!AE2524=0,"",IF(Registered!AE2524=1,Registered!AE2524&amp;" Bandana",Registered!AE2524&amp;" Bandanas"))</f>
        <v/>
      </c>
      <c r="AV2524" s="3">
        <f t="shared" si="119"/>
        <v>0</v>
      </c>
      <c r="AW2524" s="2" t="str">
        <f>IF(Registered!AV2524=0,"",IF(Registered!AV2524=1,Registered!AV2524&amp;" Meal",Registered!AV2524&amp;" Meals"))</f>
        <v/>
      </c>
      <c r="AX2524" s="2" t="str">
        <f>IF(Registered!AI2524=0,"",Registered!AI2524&amp;" BG")</f>
        <v/>
      </c>
      <c r="AY2524" s="2" t="str">
        <f>IF(Registered!AG2524=0,"",Registered!AG2524&amp;" DustMask")</f>
        <v/>
      </c>
    </row>
    <row r="2525" spans="1:51" customFormat="1" x14ac:dyDescent="0.25">
      <c r="A2525" t="s">
        <v>152</v>
      </c>
      <c r="B2525" t="s">
        <v>3463</v>
      </c>
      <c r="C2525" t="s">
        <v>6090</v>
      </c>
      <c r="G2525" t="s">
        <v>2896</v>
      </c>
      <c r="H2525" t="s">
        <v>2897</v>
      </c>
      <c r="I2525" t="s">
        <v>2899</v>
      </c>
      <c r="J2525" t="s">
        <v>37</v>
      </c>
      <c r="K2525" t="s">
        <v>32</v>
      </c>
      <c r="L2525" t="s">
        <v>35</v>
      </c>
      <c r="AQ2525">
        <v>0</v>
      </c>
      <c r="AR2525" s="3">
        <f t="shared" si="117"/>
        <v>0</v>
      </c>
      <c r="AS2525" s="3">
        <f t="shared" si="118"/>
        <v>0</v>
      </c>
      <c r="AT2525" s="3" t="str">
        <f>IF(OR(Registered!AM2525&gt;0,Registered!AO2525&gt;0),(IF(Registered!E2525=0,"Size Not Specified",Registered!E2525)),"")</f>
        <v/>
      </c>
      <c r="AU2525" s="3" t="str">
        <f>IF(Registered!AE2525=0,"",IF(Registered!AE2525=1,Registered!AE2525&amp;" Bandana",Registered!AE2525&amp;" Bandanas"))</f>
        <v/>
      </c>
      <c r="AV2525" s="3">
        <f t="shared" si="119"/>
        <v>0</v>
      </c>
      <c r="AW2525" s="2" t="str">
        <f>IF(Registered!AV2525=0,"",IF(Registered!AV2525=1,Registered!AV2525&amp;" Meal",Registered!AV2525&amp;" Meals"))</f>
        <v/>
      </c>
      <c r="AX2525" s="2" t="str">
        <f>IF(Registered!AI2525=0,"",Registered!AI2525&amp;" BG")</f>
        <v/>
      </c>
      <c r="AY2525" s="2" t="str">
        <f>IF(Registered!AG2525=0,"",Registered!AG2525&amp;" DustMask")</f>
        <v/>
      </c>
    </row>
    <row r="2526" spans="1:51" customFormat="1" x14ac:dyDescent="0.25">
      <c r="A2526" t="s">
        <v>2896</v>
      </c>
      <c r="B2526" t="s">
        <v>5906</v>
      </c>
      <c r="C2526" t="s">
        <v>6090</v>
      </c>
      <c r="D2526" t="s">
        <v>5907</v>
      </c>
      <c r="F2526" t="s">
        <v>261</v>
      </c>
      <c r="I2526" t="s">
        <v>5908</v>
      </c>
      <c r="J2526" t="s">
        <v>37</v>
      </c>
      <c r="K2526" t="s">
        <v>32</v>
      </c>
      <c r="L2526" t="s">
        <v>35</v>
      </c>
      <c r="Q2526">
        <v>1</v>
      </c>
      <c r="R2526">
        <v>3</v>
      </c>
      <c r="AC2526">
        <v>1</v>
      </c>
      <c r="AD2526">
        <v>10</v>
      </c>
      <c r="AQ2526">
        <v>13</v>
      </c>
      <c r="AR2526" s="3">
        <f t="shared" si="117"/>
        <v>5</v>
      </c>
      <c r="AS2526" s="3">
        <f t="shared" si="118"/>
        <v>0</v>
      </c>
      <c r="AT2526" s="3" t="str">
        <f>IF(OR(Registered!AM2526&gt;0,Registered!AO2526&gt;0),(IF(Registered!E2526=0,"Size Not Specified",Registered!E2526)),"")</f>
        <v/>
      </c>
      <c r="AU2526" s="3" t="str">
        <f>IF(Registered!AE2526=0,"",IF(Registered!AE2526=1,Registered!AE2526&amp;" Bandana",Registered!AE2526&amp;" Bandanas"))</f>
        <v/>
      </c>
      <c r="AV2526" s="3">
        <f t="shared" si="119"/>
        <v>0</v>
      </c>
      <c r="AW2526" s="2" t="str">
        <f>IF(Registered!AV2526=0,"",IF(Registered!AV2526=1,Registered!AV2526&amp;" Meal",Registered!AV2526&amp;" Meals"))</f>
        <v/>
      </c>
      <c r="AX2526" s="2" t="str">
        <f>IF(Registered!AI2526=0,"",Registered!AI2526&amp;" BG")</f>
        <v/>
      </c>
      <c r="AY2526" s="2" t="str">
        <f>IF(Registered!AG2526=0,"",Registered!AG2526&amp;" DustMask")</f>
        <v/>
      </c>
    </row>
    <row r="2527" spans="1:51" customFormat="1" x14ac:dyDescent="0.25">
      <c r="A2527" t="s">
        <v>3464</v>
      </c>
      <c r="B2527" t="s">
        <v>3465</v>
      </c>
      <c r="C2527" t="s">
        <v>6090</v>
      </c>
      <c r="G2527" t="s">
        <v>2664</v>
      </c>
      <c r="H2527" t="s">
        <v>2665</v>
      </c>
      <c r="I2527" t="s">
        <v>3522</v>
      </c>
      <c r="J2527" t="s">
        <v>37</v>
      </c>
      <c r="K2527" t="s">
        <v>32</v>
      </c>
      <c r="L2527" t="s">
        <v>35</v>
      </c>
      <c r="AQ2527">
        <v>0</v>
      </c>
      <c r="AR2527" s="3">
        <f t="shared" si="117"/>
        <v>0</v>
      </c>
      <c r="AS2527" s="3">
        <f t="shared" si="118"/>
        <v>0</v>
      </c>
      <c r="AT2527" s="3" t="str">
        <f>IF(OR(Registered!AM2527&gt;0,Registered!AO2527&gt;0),(IF(Registered!E2527=0,"Size Not Specified",Registered!E2527)),"")</f>
        <v/>
      </c>
      <c r="AU2527" s="3" t="str">
        <f>IF(Registered!AE2527=0,"",IF(Registered!AE2527=1,Registered!AE2527&amp;" Bandana",Registered!AE2527&amp;" Bandanas"))</f>
        <v/>
      </c>
      <c r="AV2527" s="3">
        <f t="shared" si="119"/>
        <v>0</v>
      </c>
      <c r="AW2527" s="2" t="str">
        <f>IF(Registered!AV2527=0,"",IF(Registered!AV2527=1,Registered!AV2527&amp;" Meal",Registered!AV2527&amp;" Meals"))</f>
        <v/>
      </c>
      <c r="AX2527" s="2" t="str">
        <f>IF(Registered!AI2527=0,"",Registered!AI2527&amp;" BG")</f>
        <v/>
      </c>
      <c r="AY2527" s="2" t="str">
        <f>IF(Registered!AG2527=0,"",Registered!AG2527&amp;" DustMask")</f>
        <v/>
      </c>
    </row>
    <row r="2528" spans="1:51" customFormat="1" x14ac:dyDescent="0.25">
      <c r="A2528" t="s">
        <v>142</v>
      </c>
      <c r="B2528" t="s">
        <v>2549</v>
      </c>
      <c r="C2528" t="s">
        <v>6090</v>
      </c>
      <c r="D2528" t="s">
        <v>2550</v>
      </c>
      <c r="F2528" t="s">
        <v>261</v>
      </c>
      <c r="I2528" t="s">
        <v>2551</v>
      </c>
      <c r="J2528" t="s">
        <v>37</v>
      </c>
      <c r="K2528" t="s">
        <v>32</v>
      </c>
      <c r="L2528" t="s">
        <v>35</v>
      </c>
      <c r="S2528">
        <v>1</v>
      </c>
      <c r="T2528">
        <v>3</v>
      </c>
      <c r="U2528">
        <v>1</v>
      </c>
      <c r="V2528">
        <v>20</v>
      </c>
      <c r="AQ2528">
        <v>23</v>
      </c>
      <c r="AR2528" s="3">
        <f t="shared" si="117"/>
        <v>10</v>
      </c>
      <c r="AS2528" s="3">
        <f t="shared" si="118"/>
        <v>0</v>
      </c>
      <c r="AT2528" s="3" t="str">
        <f>IF(OR(Registered!AM2528&gt;0,Registered!AO2528&gt;0),(IF(Registered!E2528=0,"Size Not Specified",Registered!E2528)),"")</f>
        <v/>
      </c>
      <c r="AU2528" s="3" t="str">
        <f>IF(Registered!AE2528=0,"",IF(Registered!AE2528=1,Registered!AE2528&amp;" Bandana",Registered!AE2528&amp;" Bandanas"))</f>
        <v/>
      </c>
      <c r="AV2528" s="3">
        <f t="shared" si="119"/>
        <v>0</v>
      </c>
      <c r="AW2528" s="2" t="str">
        <f>IF(Registered!AV2528=0,"",IF(Registered!AV2528=1,Registered!AV2528&amp;" Meal",Registered!AV2528&amp;" Meals"))</f>
        <v/>
      </c>
      <c r="AX2528" s="2" t="str">
        <f>IF(Registered!AI2528=0,"",Registered!AI2528&amp;" BG")</f>
        <v/>
      </c>
      <c r="AY2528" s="2" t="str">
        <f>IF(Registered!AG2528=0,"",Registered!AG2528&amp;" DustMask")</f>
        <v/>
      </c>
    </row>
    <row r="2529" spans="1:51" customFormat="1" x14ac:dyDescent="0.25">
      <c r="A2529" t="s">
        <v>136</v>
      </c>
      <c r="B2529" t="s">
        <v>5909</v>
      </c>
      <c r="C2529" t="s">
        <v>6090</v>
      </c>
      <c r="D2529" t="s">
        <v>5910</v>
      </c>
      <c r="E2529" t="s">
        <v>5911</v>
      </c>
      <c r="F2529" t="s">
        <v>261</v>
      </c>
      <c r="I2529" t="s">
        <v>5912</v>
      </c>
      <c r="J2529" t="s">
        <v>37</v>
      </c>
      <c r="K2529" t="s">
        <v>32</v>
      </c>
      <c r="L2529" t="s">
        <v>35</v>
      </c>
      <c r="Q2529">
        <v>1</v>
      </c>
      <c r="R2529">
        <v>3</v>
      </c>
      <c r="AC2529">
        <v>1</v>
      </c>
      <c r="AD2529">
        <v>10</v>
      </c>
      <c r="AO2529">
        <v>1</v>
      </c>
      <c r="AP2529">
        <v>10</v>
      </c>
      <c r="AQ2529">
        <v>23</v>
      </c>
      <c r="AR2529" s="3">
        <f t="shared" si="117"/>
        <v>5</v>
      </c>
      <c r="AS2529" s="3">
        <f t="shared" si="118"/>
        <v>1</v>
      </c>
      <c r="AT2529" s="3" t="str">
        <f>IF(OR(Registered!AM2529&gt;0,Registered!AO2529&gt;0),(IF(Registered!E2529=0,"Size Not Specified",Registered!E2529)),"")</f>
        <v>size medium, if it's the unisex t-shirt.</v>
      </c>
      <c r="AU2529" s="3" t="str">
        <f>IF(Registered!AE2529=0,"",IF(Registered!AE2529=1,Registered!AE2529&amp;" Bandana",Registered!AE2529&amp;" Bandanas"))</f>
        <v/>
      </c>
      <c r="AV2529" s="3">
        <f t="shared" si="119"/>
        <v>0</v>
      </c>
      <c r="AW2529" s="2" t="str">
        <f>IF(Registered!AV2529=0,"",IF(Registered!AV2529=1,Registered!AV2529&amp;" Meal",Registered!AV2529&amp;" Meals"))</f>
        <v/>
      </c>
      <c r="AX2529" s="2" t="str">
        <f>IF(Registered!AI2529=0,"",Registered!AI2529&amp;" BG")</f>
        <v/>
      </c>
      <c r="AY2529" s="2" t="str">
        <f>IF(Registered!AG2529=0,"",Registered!AG2529&amp;" DustMask")</f>
        <v/>
      </c>
    </row>
    <row r="2530" spans="1:51" customFormat="1" x14ac:dyDescent="0.25">
      <c r="A2530" t="s">
        <v>294</v>
      </c>
      <c r="B2530" t="s">
        <v>5913</v>
      </c>
      <c r="C2530" t="s">
        <v>6090</v>
      </c>
      <c r="G2530" t="s">
        <v>3643</v>
      </c>
      <c r="H2530" t="s">
        <v>391</v>
      </c>
      <c r="I2530" t="s">
        <v>3644</v>
      </c>
      <c r="J2530" t="s">
        <v>37</v>
      </c>
      <c r="K2530" t="s">
        <v>32</v>
      </c>
      <c r="L2530" t="s">
        <v>35</v>
      </c>
      <c r="AQ2530">
        <v>0</v>
      </c>
      <c r="AR2530" s="3">
        <f t="shared" si="117"/>
        <v>0</v>
      </c>
      <c r="AS2530" s="3">
        <f t="shared" si="118"/>
        <v>0</v>
      </c>
      <c r="AT2530" s="3" t="str">
        <f>IF(OR(Registered!AM2530&gt;0,Registered!AO2530&gt;0),(IF(Registered!E2530=0,"Size Not Specified",Registered!E2530)),"")</f>
        <v/>
      </c>
      <c r="AU2530" s="3" t="str">
        <f>IF(Registered!AE2530=0,"",IF(Registered!AE2530=1,Registered!AE2530&amp;" Bandana",Registered!AE2530&amp;" Bandanas"))</f>
        <v/>
      </c>
      <c r="AV2530" s="3">
        <f t="shared" si="119"/>
        <v>0</v>
      </c>
      <c r="AW2530" s="2" t="str">
        <f>IF(Registered!AV2530=0,"",IF(Registered!AV2530=1,Registered!AV2530&amp;" Meal",Registered!AV2530&amp;" Meals"))</f>
        <v/>
      </c>
      <c r="AX2530" s="2" t="str">
        <f>IF(Registered!AI2530=0,"",Registered!AI2530&amp;" BG")</f>
        <v/>
      </c>
      <c r="AY2530" s="2" t="str">
        <f>IF(Registered!AG2530=0,"",Registered!AG2530&amp;" DustMask")</f>
        <v/>
      </c>
    </row>
    <row r="2531" spans="1:51" customFormat="1" x14ac:dyDescent="0.25">
      <c r="A2531" t="s">
        <v>165</v>
      </c>
      <c r="B2531" t="s">
        <v>2552</v>
      </c>
      <c r="C2531" t="s">
        <v>6090</v>
      </c>
      <c r="D2531" t="s">
        <v>2553</v>
      </c>
      <c r="E2531" t="s">
        <v>117</v>
      </c>
      <c r="I2531" t="s">
        <v>2554</v>
      </c>
      <c r="J2531" t="s">
        <v>37</v>
      </c>
      <c r="K2531" t="s">
        <v>32</v>
      </c>
      <c r="L2531" t="s">
        <v>35</v>
      </c>
      <c r="O2531">
        <v>1</v>
      </c>
      <c r="P2531">
        <v>3</v>
      </c>
      <c r="AE2531">
        <v>1</v>
      </c>
      <c r="AF2531">
        <v>5</v>
      </c>
      <c r="AM2531">
        <v>1</v>
      </c>
      <c r="AN2531">
        <v>25</v>
      </c>
      <c r="AQ2531">
        <v>33</v>
      </c>
      <c r="AR2531" s="3">
        <f t="shared" si="117"/>
        <v>5</v>
      </c>
      <c r="AS2531" s="3">
        <f t="shared" si="118"/>
        <v>1</v>
      </c>
      <c r="AT2531" s="3" t="str">
        <f>IF(OR(Registered!AM2531&gt;0,Registered!AO2531&gt;0),(IF(Registered!E2531=0,"Size Not Specified",Registered!E2531)),"")</f>
        <v>Large</v>
      </c>
      <c r="AU2531" s="3" t="str">
        <f>IF(Registered!AE2531=0,"",IF(Registered!AE2531=1,Registered!AE2531&amp;" Bandana",Registered!AE2531&amp;" Bandanas"))</f>
        <v>1 Bandana</v>
      </c>
      <c r="AV2531" s="3">
        <f t="shared" si="119"/>
        <v>1</v>
      </c>
      <c r="AW2531" s="2" t="str">
        <f>IF(Registered!AV2531=0,"",IF(Registered!AV2531=1,Registered!AV2531&amp;" Meal",Registered!AV2531&amp;" Meals"))</f>
        <v>1 Meal</v>
      </c>
      <c r="AX2531" s="2" t="str">
        <f>IF(Registered!AI2531=0,"",Registered!AI2531&amp;" BG")</f>
        <v/>
      </c>
      <c r="AY2531" s="2" t="str">
        <f>IF(Registered!AG2531=0,"",Registered!AG2531&amp;" DustMask")</f>
        <v/>
      </c>
    </row>
    <row r="2532" spans="1:51" customFormat="1" x14ac:dyDescent="0.25">
      <c r="A2532" t="s">
        <v>5914</v>
      </c>
      <c r="B2532" t="s">
        <v>5915</v>
      </c>
      <c r="C2532" t="s">
        <v>6090</v>
      </c>
      <c r="G2532" t="s">
        <v>4485</v>
      </c>
      <c r="H2532" t="s">
        <v>4486</v>
      </c>
      <c r="I2532" t="s">
        <v>4487</v>
      </c>
      <c r="J2532" t="s">
        <v>37</v>
      </c>
      <c r="K2532" t="s">
        <v>32</v>
      </c>
      <c r="L2532" t="s">
        <v>35</v>
      </c>
      <c r="AQ2532">
        <v>0</v>
      </c>
      <c r="AR2532" s="3">
        <f t="shared" si="117"/>
        <v>0</v>
      </c>
      <c r="AS2532" s="3">
        <f t="shared" si="118"/>
        <v>0</v>
      </c>
      <c r="AT2532" s="3" t="str">
        <f>IF(OR(Registered!AM2532&gt;0,Registered!AO2532&gt;0),(IF(Registered!E2532=0,"Size Not Specified",Registered!E2532)),"")</f>
        <v/>
      </c>
      <c r="AU2532" s="3" t="str">
        <f>IF(Registered!AE2532=0,"",IF(Registered!AE2532=1,Registered!AE2532&amp;" Bandana",Registered!AE2532&amp;" Bandanas"))</f>
        <v/>
      </c>
      <c r="AV2532" s="3">
        <f t="shared" si="119"/>
        <v>0</v>
      </c>
      <c r="AW2532" s="2" t="str">
        <f>IF(Registered!AV2532=0,"",IF(Registered!AV2532=1,Registered!AV2532&amp;" Meal",Registered!AV2532&amp;" Meals"))</f>
        <v/>
      </c>
      <c r="AX2532" s="2" t="str">
        <f>IF(Registered!AI2532=0,"",Registered!AI2532&amp;" BG")</f>
        <v/>
      </c>
      <c r="AY2532" s="2" t="str">
        <f>IF(Registered!AG2532=0,"",Registered!AG2532&amp;" DustMask")</f>
        <v/>
      </c>
    </row>
    <row r="2533" spans="1:51" customFormat="1" x14ac:dyDescent="0.25">
      <c r="A2533" t="s">
        <v>107</v>
      </c>
      <c r="B2533" t="s">
        <v>1485</v>
      </c>
      <c r="C2533" t="s">
        <v>6090</v>
      </c>
      <c r="D2533" t="s">
        <v>2555</v>
      </c>
      <c r="F2533" t="s">
        <v>261</v>
      </c>
      <c r="I2533" t="s">
        <v>2556</v>
      </c>
      <c r="J2533" t="s">
        <v>37</v>
      </c>
      <c r="K2533" t="s">
        <v>32</v>
      </c>
      <c r="L2533" t="s">
        <v>35</v>
      </c>
      <c r="S2533">
        <v>4</v>
      </c>
      <c r="T2533">
        <v>3</v>
      </c>
      <c r="U2533">
        <v>2</v>
      </c>
      <c r="V2533">
        <v>20</v>
      </c>
      <c r="AK2533">
        <v>4</v>
      </c>
      <c r="AL2533">
        <v>6</v>
      </c>
      <c r="AQ2533">
        <v>76</v>
      </c>
      <c r="AR2533" s="3">
        <f t="shared" si="117"/>
        <v>20</v>
      </c>
      <c r="AS2533" s="3">
        <f t="shared" si="118"/>
        <v>0</v>
      </c>
      <c r="AT2533" s="3" t="str">
        <f>IF(OR(Registered!AM2533&gt;0,Registered!AO2533&gt;0),(IF(Registered!E2533=0,"Size Not Specified",Registered!E2533)),"")</f>
        <v/>
      </c>
      <c r="AU2533" s="3" t="str">
        <f>IF(Registered!AE2533=0,"",IF(Registered!AE2533=1,Registered!AE2533&amp;" Bandana",Registered!AE2533&amp;" Bandanas"))</f>
        <v/>
      </c>
      <c r="AV2533" s="3">
        <f t="shared" si="119"/>
        <v>4</v>
      </c>
      <c r="AW2533" s="2" t="str">
        <f>IF(Registered!AV2533=0,"",IF(Registered!AV2533=1,Registered!AV2533&amp;" Meal",Registered!AV2533&amp;" Meals"))</f>
        <v>4 Meals</v>
      </c>
      <c r="AX2533" s="2" t="str">
        <f>IF(Registered!AI2533=0,"",Registered!AI2533&amp;" BG")</f>
        <v/>
      </c>
      <c r="AY2533" s="2" t="str">
        <f>IF(Registered!AG2533=0,"",Registered!AG2533&amp;" DustMask")</f>
        <v/>
      </c>
    </row>
    <row r="2534" spans="1:51" customFormat="1" x14ac:dyDescent="0.25">
      <c r="A2534" t="s">
        <v>93</v>
      </c>
      <c r="B2534" t="s">
        <v>2557</v>
      </c>
      <c r="C2534" t="s">
        <v>6090</v>
      </c>
      <c r="D2534" t="s">
        <v>2558</v>
      </c>
      <c r="F2534" t="s">
        <v>261</v>
      </c>
      <c r="I2534" t="s">
        <v>2559</v>
      </c>
      <c r="J2534" t="s">
        <v>37</v>
      </c>
      <c r="K2534" t="s">
        <v>32</v>
      </c>
      <c r="L2534" t="s">
        <v>35</v>
      </c>
      <c r="S2534">
        <v>1</v>
      </c>
      <c r="T2534">
        <v>3</v>
      </c>
      <c r="AC2534">
        <v>1</v>
      </c>
      <c r="AD2534">
        <v>10</v>
      </c>
      <c r="AQ2534">
        <v>13</v>
      </c>
      <c r="AR2534" s="3">
        <f t="shared" si="117"/>
        <v>5</v>
      </c>
      <c r="AS2534" s="3">
        <f t="shared" si="118"/>
        <v>0</v>
      </c>
      <c r="AT2534" s="3" t="str">
        <f>IF(OR(Registered!AM2534&gt;0,Registered!AO2534&gt;0),(IF(Registered!E2534=0,"Size Not Specified",Registered!E2534)),"")</f>
        <v/>
      </c>
      <c r="AU2534" s="3" t="str">
        <f>IF(Registered!AE2534=0,"",IF(Registered!AE2534=1,Registered!AE2534&amp;" Bandana",Registered!AE2534&amp;" Bandanas"))</f>
        <v/>
      </c>
      <c r="AV2534" s="3">
        <f t="shared" si="119"/>
        <v>0</v>
      </c>
      <c r="AW2534" s="2" t="str">
        <f>IF(Registered!AV2534=0,"",IF(Registered!AV2534=1,Registered!AV2534&amp;" Meal",Registered!AV2534&amp;" Meals"))</f>
        <v/>
      </c>
      <c r="AX2534" s="2" t="str">
        <f>IF(Registered!AI2534=0,"",Registered!AI2534&amp;" BG")</f>
        <v/>
      </c>
      <c r="AY2534" s="2" t="str">
        <f>IF(Registered!AG2534=0,"",Registered!AG2534&amp;" DustMask")</f>
        <v/>
      </c>
    </row>
    <row r="2535" spans="1:51" customFormat="1" x14ac:dyDescent="0.25">
      <c r="A2535" t="s">
        <v>883</v>
      </c>
      <c r="B2535" t="s">
        <v>5919</v>
      </c>
      <c r="C2535" t="s">
        <v>6090</v>
      </c>
      <c r="D2535" t="s">
        <v>5920</v>
      </c>
      <c r="E2535" t="s">
        <v>450</v>
      </c>
      <c r="F2535" t="s">
        <v>261</v>
      </c>
      <c r="I2535" t="s">
        <v>5921</v>
      </c>
      <c r="J2535" t="s">
        <v>37</v>
      </c>
      <c r="K2535" t="s">
        <v>32</v>
      </c>
      <c r="L2535" t="s">
        <v>35</v>
      </c>
      <c r="Q2535">
        <v>1</v>
      </c>
      <c r="R2535">
        <v>3</v>
      </c>
      <c r="AC2535">
        <v>1</v>
      </c>
      <c r="AD2535">
        <v>10</v>
      </c>
      <c r="AE2535">
        <v>1</v>
      </c>
      <c r="AF2535">
        <v>6</v>
      </c>
      <c r="AO2535">
        <v>1</v>
      </c>
      <c r="AP2535">
        <v>10</v>
      </c>
      <c r="AQ2535">
        <v>29</v>
      </c>
      <c r="AR2535" s="3">
        <f t="shared" si="117"/>
        <v>5</v>
      </c>
      <c r="AS2535" s="3">
        <f t="shared" si="118"/>
        <v>1</v>
      </c>
      <c r="AT2535" s="3" t="str">
        <f>IF(OR(Registered!AM2535&gt;0,Registered!AO2535&gt;0),(IF(Registered!E2535=0,"Size Not Specified",Registered!E2535)),"")</f>
        <v>XXL</v>
      </c>
      <c r="AU2535" s="3" t="str">
        <f>IF(Registered!AE2535=0,"",IF(Registered!AE2535=1,Registered!AE2535&amp;" Bandana",Registered!AE2535&amp;" Bandanas"))</f>
        <v>1 Bandana</v>
      </c>
      <c r="AV2535" s="3">
        <f t="shared" si="119"/>
        <v>0</v>
      </c>
      <c r="AW2535" s="2" t="str">
        <f>IF(Registered!AV2535=0,"",IF(Registered!AV2535=1,Registered!AV2535&amp;" Meal",Registered!AV2535&amp;" Meals"))</f>
        <v/>
      </c>
      <c r="AX2535" s="2" t="str">
        <f>IF(Registered!AI2535=0,"",Registered!AI2535&amp;" BG")</f>
        <v/>
      </c>
      <c r="AY2535" s="2" t="str">
        <f>IF(Registered!AG2535=0,"",Registered!AG2535&amp;" DustMask")</f>
        <v/>
      </c>
    </row>
    <row r="2536" spans="1:51" customFormat="1" x14ac:dyDescent="0.25">
      <c r="A2536" t="s">
        <v>5475</v>
      </c>
      <c r="B2536" t="s">
        <v>5476</v>
      </c>
      <c r="C2536" t="s">
        <v>6090</v>
      </c>
      <c r="D2536" t="s">
        <v>5475</v>
      </c>
      <c r="F2536" t="s">
        <v>261</v>
      </c>
      <c r="I2536" t="s">
        <v>5477</v>
      </c>
      <c r="J2536" t="s">
        <v>37</v>
      </c>
      <c r="K2536" t="s">
        <v>32</v>
      </c>
      <c r="L2536" t="s">
        <v>35</v>
      </c>
      <c r="Q2536">
        <v>2</v>
      </c>
      <c r="R2536">
        <v>3</v>
      </c>
      <c r="U2536">
        <v>1</v>
      </c>
      <c r="V2536">
        <v>20</v>
      </c>
      <c r="AQ2536">
        <v>26</v>
      </c>
      <c r="AR2536" s="3">
        <f t="shared" si="117"/>
        <v>10</v>
      </c>
      <c r="AS2536" s="3">
        <f t="shared" si="118"/>
        <v>0</v>
      </c>
      <c r="AT2536" s="3" t="str">
        <f>IF(OR(Registered!AM2536&gt;0,Registered!AO2536&gt;0),(IF(Registered!E2536=0,"Size Not Specified",Registered!E2536)),"")</f>
        <v/>
      </c>
      <c r="AU2536" s="3" t="str">
        <f>IF(Registered!AE2536=0,"",IF(Registered!AE2536=1,Registered!AE2536&amp;" Bandana",Registered!AE2536&amp;" Bandanas"))</f>
        <v/>
      </c>
      <c r="AV2536" s="3">
        <f t="shared" si="119"/>
        <v>0</v>
      </c>
      <c r="AW2536" s="2" t="str">
        <f>IF(Registered!AV2536=0,"",IF(Registered!AV2536=1,Registered!AV2536&amp;" Meal",Registered!AV2536&amp;" Meals"))</f>
        <v/>
      </c>
      <c r="AX2536" s="2" t="str">
        <f>IF(Registered!AI2536=0,"",Registered!AI2536&amp;" BG")</f>
        <v/>
      </c>
      <c r="AY2536" s="2" t="str">
        <f>IF(Registered!AG2536=0,"",Registered!AG2536&amp;" DustMask")</f>
        <v/>
      </c>
    </row>
    <row r="2537" spans="1:51" customFormat="1" x14ac:dyDescent="0.25">
      <c r="A2537" t="s">
        <v>199</v>
      </c>
      <c r="B2537" t="s">
        <v>3467</v>
      </c>
      <c r="C2537" t="s">
        <v>6090</v>
      </c>
      <c r="D2537" t="s">
        <v>5922</v>
      </c>
      <c r="F2537" t="s">
        <v>261</v>
      </c>
      <c r="I2537" t="s">
        <v>5624</v>
      </c>
      <c r="J2537" t="s">
        <v>37</v>
      </c>
      <c r="K2537" t="s">
        <v>32</v>
      </c>
      <c r="L2537" t="s">
        <v>35</v>
      </c>
      <c r="Q2537">
        <v>2</v>
      </c>
      <c r="R2537">
        <v>3</v>
      </c>
      <c r="U2537">
        <v>1</v>
      </c>
      <c r="V2537">
        <v>20</v>
      </c>
      <c r="AQ2537">
        <v>26</v>
      </c>
      <c r="AR2537" s="3">
        <f t="shared" si="117"/>
        <v>10</v>
      </c>
      <c r="AS2537" s="3">
        <f t="shared" si="118"/>
        <v>0</v>
      </c>
      <c r="AT2537" s="3" t="str">
        <f>IF(OR(Registered!AM2537&gt;0,Registered!AO2537&gt;0),(IF(Registered!E2537=0,"Size Not Specified",Registered!E2537)),"")</f>
        <v/>
      </c>
      <c r="AU2537" s="3" t="str">
        <f>IF(Registered!AE2537=0,"",IF(Registered!AE2537=1,Registered!AE2537&amp;" Bandana",Registered!AE2537&amp;" Bandanas"))</f>
        <v/>
      </c>
      <c r="AV2537" s="3">
        <f t="shared" si="119"/>
        <v>0</v>
      </c>
      <c r="AW2537" s="2" t="str">
        <f>IF(Registered!AV2537=0,"",IF(Registered!AV2537=1,Registered!AV2537&amp;" Meal",Registered!AV2537&amp;" Meals"))</f>
        <v/>
      </c>
      <c r="AX2537" s="2" t="str">
        <f>IF(Registered!AI2537=0,"",Registered!AI2537&amp;" BG")</f>
        <v/>
      </c>
      <c r="AY2537" s="2" t="str">
        <f>IF(Registered!AG2537=0,"",Registered!AG2537&amp;" DustMask")</f>
        <v/>
      </c>
    </row>
    <row r="2538" spans="1:51" customFormat="1" x14ac:dyDescent="0.25">
      <c r="A2538" t="s">
        <v>3466</v>
      </c>
      <c r="B2538" t="s">
        <v>3467</v>
      </c>
      <c r="C2538" t="s">
        <v>6090</v>
      </c>
      <c r="D2538" t="s">
        <v>3366</v>
      </c>
      <c r="E2538" t="s">
        <v>3468</v>
      </c>
      <c r="F2538" t="s">
        <v>261</v>
      </c>
      <c r="I2538" t="s">
        <v>3469</v>
      </c>
      <c r="J2538" t="s">
        <v>37</v>
      </c>
      <c r="K2538" t="s">
        <v>32</v>
      </c>
      <c r="L2538" t="s">
        <v>35</v>
      </c>
      <c r="Q2538">
        <v>2</v>
      </c>
      <c r="R2538">
        <v>3</v>
      </c>
      <c r="AM2538">
        <v>2</v>
      </c>
      <c r="AN2538">
        <v>25</v>
      </c>
      <c r="AQ2538">
        <v>56</v>
      </c>
      <c r="AR2538" s="3">
        <f t="shared" si="117"/>
        <v>10</v>
      </c>
      <c r="AS2538" s="3">
        <f t="shared" si="118"/>
        <v>2</v>
      </c>
      <c r="AT2538" s="3" t="str">
        <f>IF(OR(Registered!AM2538&gt;0,Registered!AO2538&gt;0),(IF(Registered!E2538=0,"Size Not Specified",Registered!E2538)),"")</f>
        <v>xxl (2xl) &amp; L</v>
      </c>
      <c r="AU2538" s="3" t="str">
        <f>IF(Registered!AE2538=0,"",IF(Registered!AE2538=1,Registered!AE2538&amp;" Bandana",Registered!AE2538&amp;" Bandanas"))</f>
        <v/>
      </c>
      <c r="AV2538" s="3">
        <f t="shared" si="119"/>
        <v>2</v>
      </c>
      <c r="AW2538" s="2" t="str">
        <f>IF(Registered!AV2538=0,"",IF(Registered!AV2538=1,Registered!AV2538&amp;" Meal",Registered!AV2538&amp;" Meals"))</f>
        <v>2 Meals</v>
      </c>
      <c r="AX2538" s="2" t="str">
        <f>IF(Registered!AI2538=0,"",Registered!AI2538&amp;" BG")</f>
        <v/>
      </c>
      <c r="AY2538" s="2" t="str">
        <f>IF(Registered!AG2538=0,"",Registered!AG2538&amp;" DustMask")</f>
        <v/>
      </c>
    </row>
    <row r="2539" spans="1:51" customFormat="1" x14ac:dyDescent="0.25">
      <c r="A2539" t="s">
        <v>3470</v>
      </c>
      <c r="B2539" t="s">
        <v>3467</v>
      </c>
      <c r="C2539" t="s">
        <v>6090</v>
      </c>
      <c r="G2539" t="s">
        <v>3466</v>
      </c>
      <c r="H2539" t="s">
        <v>3467</v>
      </c>
      <c r="I2539" t="s">
        <v>3469</v>
      </c>
      <c r="J2539" t="s">
        <v>37</v>
      </c>
      <c r="K2539" t="s">
        <v>32</v>
      </c>
      <c r="L2539" t="s">
        <v>35</v>
      </c>
      <c r="AQ2539">
        <v>0</v>
      </c>
      <c r="AR2539" s="3">
        <f t="shared" si="117"/>
        <v>0</v>
      </c>
      <c r="AS2539" s="3">
        <f t="shared" si="118"/>
        <v>0</v>
      </c>
      <c r="AT2539" s="3" t="str">
        <f>IF(OR(Registered!AM2539&gt;0,Registered!AO2539&gt;0),(IF(Registered!E2539=0,"Size Not Specified",Registered!E2539)),"")</f>
        <v/>
      </c>
      <c r="AU2539" s="3" t="str">
        <f>IF(Registered!AE2539=0,"",IF(Registered!AE2539=1,Registered!AE2539&amp;" Bandana",Registered!AE2539&amp;" Bandanas"))</f>
        <v/>
      </c>
      <c r="AV2539" s="3">
        <f t="shared" si="119"/>
        <v>0</v>
      </c>
      <c r="AW2539" s="2" t="str">
        <f>IF(Registered!AV2539=0,"",IF(Registered!AV2539=1,Registered!AV2539&amp;" Meal",Registered!AV2539&amp;" Meals"))</f>
        <v/>
      </c>
      <c r="AX2539" s="2" t="str">
        <f>IF(Registered!AI2539=0,"",Registered!AI2539&amp;" BG")</f>
        <v/>
      </c>
      <c r="AY2539" s="2" t="str">
        <f>IF(Registered!AG2539=0,"",Registered!AG2539&amp;" DustMask")</f>
        <v/>
      </c>
    </row>
    <row r="2540" spans="1:51" customFormat="1" x14ac:dyDescent="0.25">
      <c r="A2540" t="s">
        <v>396</v>
      </c>
      <c r="B2540" t="s">
        <v>3467</v>
      </c>
      <c r="C2540" t="s">
        <v>6090</v>
      </c>
      <c r="F2540" t="s">
        <v>261</v>
      </c>
      <c r="I2540" t="s">
        <v>3471</v>
      </c>
      <c r="J2540" t="s">
        <v>37</v>
      </c>
      <c r="K2540" t="s">
        <v>32</v>
      </c>
      <c r="L2540" t="s">
        <v>35</v>
      </c>
      <c r="Q2540">
        <v>1</v>
      </c>
      <c r="R2540">
        <v>3</v>
      </c>
      <c r="AQ2540">
        <v>3</v>
      </c>
      <c r="AR2540" s="3">
        <f t="shared" si="117"/>
        <v>0</v>
      </c>
      <c r="AS2540" s="3">
        <f t="shared" si="118"/>
        <v>0</v>
      </c>
      <c r="AT2540" s="3" t="str">
        <f>IF(OR(Registered!AM2540&gt;0,Registered!AO2540&gt;0),(IF(Registered!E2540=0,"Size Not Specified",Registered!E2540)),"")</f>
        <v/>
      </c>
      <c r="AU2540" s="3" t="str">
        <f>IF(Registered!AE2540=0,"",IF(Registered!AE2540=1,Registered!AE2540&amp;" Bandana",Registered!AE2540&amp;" Bandanas"))</f>
        <v/>
      </c>
      <c r="AV2540" s="3">
        <f t="shared" si="119"/>
        <v>0</v>
      </c>
      <c r="AW2540" s="2" t="str">
        <f>IF(Registered!AV2540=0,"",IF(Registered!AV2540=1,Registered!AV2540&amp;" Meal",Registered!AV2540&amp;" Meals"))</f>
        <v/>
      </c>
      <c r="AX2540" s="2" t="str">
        <f>IF(Registered!AI2540=0,"",Registered!AI2540&amp;" BG")</f>
        <v/>
      </c>
      <c r="AY2540" s="2" t="str">
        <f>IF(Registered!AG2540=0,"",Registered!AG2540&amp;" DustMask")</f>
        <v/>
      </c>
    </row>
    <row r="2541" spans="1:51" customFormat="1" x14ac:dyDescent="0.25">
      <c r="A2541" t="s">
        <v>296</v>
      </c>
      <c r="B2541" t="s">
        <v>2564</v>
      </c>
      <c r="C2541" t="s">
        <v>6090</v>
      </c>
      <c r="G2541" t="s">
        <v>64</v>
      </c>
      <c r="H2541" t="s">
        <v>4496</v>
      </c>
      <c r="I2541" t="s">
        <v>4498</v>
      </c>
      <c r="J2541" t="s">
        <v>37</v>
      </c>
      <c r="K2541" t="s">
        <v>32</v>
      </c>
      <c r="L2541" t="s">
        <v>35</v>
      </c>
      <c r="AQ2541">
        <v>0</v>
      </c>
      <c r="AR2541" s="3">
        <f t="shared" si="117"/>
        <v>0</v>
      </c>
      <c r="AS2541" s="3">
        <f t="shared" si="118"/>
        <v>0</v>
      </c>
      <c r="AT2541" s="3" t="str">
        <f>IF(OR(Registered!AM2541&gt;0,Registered!AO2541&gt;0),(IF(Registered!E2541=0,"Size Not Specified",Registered!E2541)),"")</f>
        <v/>
      </c>
      <c r="AU2541" s="3" t="str">
        <f>IF(Registered!AE2541=0,"",IF(Registered!AE2541=1,Registered!AE2541&amp;" Bandana",Registered!AE2541&amp;" Bandanas"))</f>
        <v/>
      </c>
      <c r="AV2541" s="3">
        <f t="shared" si="119"/>
        <v>0</v>
      </c>
      <c r="AW2541" s="2" t="str">
        <f>IF(Registered!AV2541=0,"",IF(Registered!AV2541=1,Registered!AV2541&amp;" Meal",Registered!AV2541&amp;" Meals"))</f>
        <v/>
      </c>
      <c r="AX2541" s="2" t="str">
        <f>IF(Registered!AI2541=0,"",Registered!AI2541&amp;" BG")</f>
        <v/>
      </c>
      <c r="AY2541" s="2" t="str">
        <f>IF(Registered!AG2541=0,"",Registered!AG2541&amp;" DustMask")</f>
        <v/>
      </c>
    </row>
    <row r="2542" spans="1:51" customFormat="1" x14ac:dyDescent="0.25">
      <c r="A2542" t="s">
        <v>166</v>
      </c>
      <c r="B2542" t="s">
        <v>2564</v>
      </c>
      <c r="C2542" t="s">
        <v>6090</v>
      </c>
      <c r="D2542" t="s">
        <v>2565</v>
      </c>
      <c r="F2542" t="s">
        <v>261</v>
      </c>
      <c r="I2542" t="s">
        <v>2566</v>
      </c>
      <c r="J2542" t="s">
        <v>37</v>
      </c>
      <c r="K2542" t="s">
        <v>32</v>
      </c>
      <c r="L2542" t="s">
        <v>35</v>
      </c>
      <c r="S2542">
        <v>3</v>
      </c>
      <c r="T2542">
        <v>3</v>
      </c>
      <c r="U2542">
        <v>1</v>
      </c>
      <c r="V2542">
        <v>20</v>
      </c>
      <c r="AQ2542">
        <v>29</v>
      </c>
      <c r="AR2542" s="3">
        <f t="shared" si="117"/>
        <v>10</v>
      </c>
      <c r="AS2542" s="3">
        <f t="shared" si="118"/>
        <v>0</v>
      </c>
      <c r="AT2542" s="3" t="str">
        <f>IF(OR(Registered!AM2542&gt;0,Registered!AO2542&gt;0),(IF(Registered!E2542=0,"Size Not Specified",Registered!E2542)),"")</f>
        <v/>
      </c>
      <c r="AU2542" s="3" t="str">
        <f>IF(Registered!AE2542=0,"",IF(Registered!AE2542=1,Registered!AE2542&amp;" Bandana",Registered!AE2542&amp;" Bandanas"))</f>
        <v/>
      </c>
      <c r="AV2542" s="3">
        <f t="shared" si="119"/>
        <v>0</v>
      </c>
      <c r="AW2542" s="2" t="str">
        <f>IF(Registered!AV2542=0,"",IF(Registered!AV2542=1,Registered!AV2542&amp;" Meal",Registered!AV2542&amp;" Meals"))</f>
        <v/>
      </c>
      <c r="AX2542" s="2" t="str">
        <f>IF(Registered!AI2542=0,"",Registered!AI2542&amp;" BG")</f>
        <v/>
      </c>
      <c r="AY2542" s="2" t="str">
        <f>IF(Registered!AG2542=0,"",Registered!AG2542&amp;" DustMask")</f>
        <v/>
      </c>
    </row>
    <row r="2543" spans="1:51" customFormat="1" x14ac:dyDescent="0.25">
      <c r="A2543" t="s">
        <v>2567</v>
      </c>
      <c r="B2543" t="s">
        <v>2564</v>
      </c>
      <c r="C2543" t="s">
        <v>6090</v>
      </c>
      <c r="D2543" t="s">
        <v>57</v>
      </c>
      <c r="E2543" t="s">
        <v>450</v>
      </c>
      <c r="F2543" t="s">
        <v>261</v>
      </c>
      <c r="I2543" t="s">
        <v>2568</v>
      </c>
      <c r="J2543" t="s">
        <v>37</v>
      </c>
      <c r="K2543" t="s">
        <v>32</v>
      </c>
      <c r="L2543" t="s">
        <v>35</v>
      </c>
      <c r="S2543">
        <v>1</v>
      </c>
      <c r="T2543">
        <v>3</v>
      </c>
      <c r="AM2543">
        <v>1</v>
      </c>
      <c r="AN2543">
        <v>25</v>
      </c>
      <c r="AQ2543">
        <v>28</v>
      </c>
      <c r="AR2543" s="3">
        <f t="shared" si="117"/>
        <v>5</v>
      </c>
      <c r="AS2543" s="3">
        <f t="shared" si="118"/>
        <v>1</v>
      </c>
      <c r="AT2543" s="3" t="str">
        <f>IF(OR(Registered!AM2543&gt;0,Registered!AO2543&gt;0),(IF(Registered!E2543=0,"Size Not Specified",Registered!E2543)),"")</f>
        <v>XXL</v>
      </c>
      <c r="AU2543" s="3" t="str">
        <f>IF(Registered!AE2543=0,"",IF(Registered!AE2543=1,Registered!AE2543&amp;" Bandana",Registered!AE2543&amp;" Bandanas"))</f>
        <v/>
      </c>
      <c r="AV2543" s="3">
        <f t="shared" si="119"/>
        <v>1</v>
      </c>
      <c r="AW2543" s="2" t="str">
        <f>IF(Registered!AV2543=0,"",IF(Registered!AV2543=1,Registered!AV2543&amp;" Meal",Registered!AV2543&amp;" Meals"))</f>
        <v>1 Meal</v>
      </c>
      <c r="AX2543" s="2" t="str">
        <f>IF(Registered!AI2543=0,"",Registered!AI2543&amp;" BG")</f>
        <v/>
      </c>
      <c r="AY2543" s="2" t="str">
        <f>IF(Registered!AG2543=0,"",Registered!AG2543&amp;" DustMask")</f>
        <v/>
      </c>
    </row>
    <row r="2544" spans="1:51" customFormat="1" x14ac:dyDescent="0.25">
      <c r="A2544" t="s">
        <v>1024</v>
      </c>
      <c r="B2544" t="s">
        <v>2564</v>
      </c>
      <c r="C2544" t="s">
        <v>6090</v>
      </c>
      <c r="G2544" t="s">
        <v>166</v>
      </c>
      <c r="H2544" t="s">
        <v>2564</v>
      </c>
      <c r="I2544" t="s">
        <v>2566</v>
      </c>
      <c r="J2544" t="s">
        <v>37</v>
      </c>
      <c r="K2544" t="s">
        <v>32</v>
      </c>
      <c r="L2544" t="s">
        <v>35</v>
      </c>
      <c r="AQ2544">
        <v>0</v>
      </c>
      <c r="AR2544" s="3">
        <f t="shared" si="117"/>
        <v>0</v>
      </c>
      <c r="AS2544" s="3">
        <f t="shared" si="118"/>
        <v>0</v>
      </c>
      <c r="AT2544" s="3" t="str">
        <f>IF(OR(Registered!AM2544&gt;0,Registered!AO2544&gt;0),(IF(Registered!E2544=0,"Size Not Specified",Registered!E2544)),"")</f>
        <v/>
      </c>
      <c r="AU2544" s="3" t="str">
        <f>IF(Registered!AE2544=0,"",IF(Registered!AE2544=1,Registered!AE2544&amp;" Bandana",Registered!AE2544&amp;" Bandanas"))</f>
        <v/>
      </c>
      <c r="AV2544" s="3">
        <f t="shared" si="119"/>
        <v>0</v>
      </c>
      <c r="AW2544" s="2" t="str">
        <f>IF(Registered!AV2544=0,"",IF(Registered!AV2544=1,Registered!AV2544&amp;" Meal",Registered!AV2544&amp;" Meals"))</f>
        <v/>
      </c>
      <c r="AX2544" s="2" t="str">
        <f>IF(Registered!AI2544=0,"",Registered!AI2544&amp;" BG")</f>
        <v/>
      </c>
      <c r="AY2544" s="2" t="str">
        <f>IF(Registered!AG2544=0,"",Registered!AG2544&amp;" DustMask")</f>
        <v/>
      </c>
    </row>
    <row r="2545" spans="1:51" customFormat="1" x14ac:dyDescent="0.25">
      <c r="A2545" t="s">
        <v>2569</v>
      </c>
      <c r="B2545" t="s">
        <v>2564</v>
      </c>
      <c r="C2545" t="s">
        <v>6090</v>
      </c>
      <c r="G2545" t="s">
        <v>166</v>
      </c>
      <c r="H2545" t="s">
        <v>2564</v>
      </c>
      <c r="I2545" t="s">
        <v>2566</v>
      </c>
      <c r="J2545" t="s">
        <v>37</v>
      </c>
      <c r="K2545" t="s">
        <v>32</v>
      </c>
      <c r="L2545" t="s">
        <v>35</v>
      </c>
      <c r="AQ2545">
        <v>0</v>
      </c>
      <c r="AR2545" s="3">
        <f t="shared" si="117"/>
        <v>0</v>
      </c>
      <c r="AS2545" s="3">
        <f t="shared" si="118"/>
        <v>0</v>
      </c>
      <c r="AT2545" s="3" t="str">
        <f>IF(OR(Registered!AM2545&gt;0,Registered!AO2545&gt;0),(IF(Registered!E2545=0,"Size Not Specified",Registered!E2545)),"")</f>
        <v/>
      </c>
      <c r="AU2545" s="3" t="str">
        <f>IF(Registered!AE2545=0,"",IF(Registered!AE2545=1,Registered!AE2545&amp;" Bandana",Registered!AE2545&amp;" Bandanas"))</f>
        <v/>
      </c>
      <c r="AV2545" s="3">
        <f t="shared" si="119"/>
        <v>0</v>
      </c>
      <c r="AW2545" s="2" t="str">
        <f>IF(Registered!AV2545=0,"",IF(Registered!AV2545=1,Registered!AV2545&amp;" Meal",Registered!AV2545&amp;" Meals"))</f>
        <v/>
      </c>
      <c r="AX2545" s="2" t="str">
        <f>IF(Registered!AI2545=0,"",Registered!AI2545&amp;" BG")</f>
        <v/>
      </c>
      <c r="AY2545" s="2" t="str">
        <f>IF(Registered!AG2545=0,"",Registered!AG2545&amp;" DustMask")</f>
        <v/>
      </c>
    </row>
    <row r="2546" spans="1:51" customFormat="1" x14ac:dyDescent="0.25">
      <c r="A2546" t="s">
        <v>2570</v>
      </c>
      <c r="B2546" t="s">
        <v>425</v>
      </c>
      <c r="C2546" t="s">
        <v>6090</v>
      </c>
      <c r="G2546" t="s">
        <v>88</v>
      </c>
      <c r="H2546" t="s">
        <v>594</v>
      </c>
      <c r="I2546" t="s">
        <v>596</v>
      </c>
      <c r="J2546" t="s">
        <v>37</v>
      </c>
      <c r="K2546" t="s">
        <v>32</v>
      </c>
      <c r="L2546" t="s">
        <v>35</v>
      </c>
      <c r="AQ2546">
        <v>0</v>
      </c>
      <c r="AR2546" s="3">
        <f t="shared" si="117"/>
        <v>0</v>
      </c>
      <c r="AS2546" s="3">
        <f t="shared" si="118"/>
        <v>0</v>
      </c>
      <c r="AT2546" s="3" t="str">
        <f>IF(OR(Registered!AM2546&gt;0,Registered!AO2546&gt;0),(IF(Registered!E2546=0,"Size Not Specified",Registered!E2546)),"")</f>
        <v/>
      </c>
      <c r="AU2546" s="3" t="str">
        <f>IF(Registered!AE2546=0,"",IF(Registered!AE2546=1,Registered!AE2546&amp;" Bandana",Registered!AE2546&amp;" Bandanas"))</f>
        <v/>
      </c>
      <c r="AV2546" s="3">
        <f t="shared" si="119"/>
        <v>0</v>
      </c>
      <c r="AW2546" s="2" t="str">
        <f>IF(Registered!AV2546=0,"",IF(Registered!AV2546=1,Registered!AV2546&amp;" Meal",Registered!AV2546&amp;" Meals"))</f>
        <v/>
      </c>
      <c r="AX2546" s="2" t="str">
        <f>IF(Registered!AI2546=0,"",Registered!AI2546&amp;" BG")</f>
        <v/>
      </c>
      <c r="AY2546" s="2" t="str">
        <f>IF(Registered!AG2546=0,"",Registered!AG2546&amp;" DustMask")</f>
        <v/>
      </c>
    </row>
    <row r="2547" spans="1:51" customFormat="1" x14ac:dyDescent="0.25">
      <c r="A2547" t="s">
        <v>107</v>
      </c>
      <c r="B2547" t="s">
        <v>5925</v>
      </c>
      <c r="C2547" t="s">
        <v>6090</v>
      </c>
      <c r="G2547" t="s">
        <v>88</v>
      </c>
      <c r="H2547" t="s">
        <v>149</v>
      </c>
      <c r="I2547" t="s">
        <v>4937</v>
      </c>
      <c r="J2547" t="s">
        <v>37</v>
      </c>
      <c r="K2547" t="s">
        <v>32</v>
      </c>
      <c r="L2547" t="s">
        <v>35</v>
      </c>
      <c r="AQ2547">
        <v>0</v>
      </c>
      <c r="AR2547" s="3">
        <f t="shared" si="117"/>
        <v>0</v>
      </c>
      <c r="AS2547" s="3">
        <f t="shared" si="118"/>
        <v>0</v>
      </c>
      <c r="AT2547" s="3" t="str">
        <f>IF(OR(Registered!AM2547&gt;0,Registered!AO2547&gt;0),(IF(Registered!E2547=0,"Size Not Specified",Registered!E2547)),"")</f>
        <v/>
      </c>
      <c r="AU2547" s="3" t="str">
        <f>IF(Registered!AE2547=0,"",IF(Registered!AE2547=1,Registered!AE2547&amp;" Bandana",Registered!AE2547&amp;" Bandanas"))</f>
        <v/>
      </c>
      <c r="AV2547" s="3">
        <f t="shared" si="119"/>
        <v>0</v>
      </c>
      <c r="AW2547" s="2" t="str">
        <f>IF(Registered!AV2547=0,"",IF(Registered!AV2547=1,Registered!AV2547&amp;" Meal",Registered!AV2547&amp;" Meals"))</f>
        <v/>
      </c>
      <c r="AX2547" s="2" t="str">
        <f>IF(Registered!AI2547=0,"",Registered!AI2547&amp;" BG")</f>
        <v/>
      </c>
      <c r="AY2547" s="2" t="str">
        <f>IF(Registered!AG2547=0,"",Registered!AG2547&amp;" DustMask")</f>
        <v/>
      </c>
    </row>
    <row r="2548" spans="1:51" customFormat="1" x14ac:dyDescent="0.25">
      <c r="A2548" t="s">
        <v>359</v>
      </c>
      <c r="B2548" t="s">
        <v>928</v>
      </c>
      <c r="C2548" t="s">
        <v>6090</v>
      </c>
      <c r="G2548" t="s">
        <v>46</v>
      </c>
      <c r="H2548" t="s">
        <v>2428</v>
      </c>
      <c r="I2548" t="s">
        <v>2430</v>
      </c>
      <c r="J2548" t="s">
        <v>37</v>
      </c>
      <c r="K2548" t="s">
        <v>32</v>
      </c>
      <c r="L2548" t="s">
        <v>35</v>
      </c>
      <c r="AQ2548">
        <v>0</v>
      </c>
      <c r="AR2548" s="3">
        <f t="shared" si="117"/>
        <v>0</v>
      </c>
      <c r="AS2548" s="3">
        <f t="shared" si="118"/>
        <v>0</v>
      </c>
      <c r="AT2548" s="3" t="str">
        <f>IF(OR(Registered!AM2548&gt;0,Registered!AO2548&gt;0),(IF(Registered!E2548=0,"Size Not Specified",Registered!E2548)),"")</f>
        <v/>
      </c>
      <c r="AU2548" s="3" t="str">
        <f>IF(Registered!AE2548=0,"",IF(Registered!AE2548=1,Registered!AE2548&amp;" Bandana",Registered!AE2548&amp;" Bandanas"))</f>
        <v/>
      </c>
      <c r="AV2548" s="3">
        <f t="shared" si="119"/>
        <v>0</v>
      </c>
      <c r="AW2548" s="2" t="str">
        <f>IF(Registered!AV2548=0,"",IF(Registered!AV2548=1,Registered!AV2548&amp;" Meal",Registered!AV2548&amp;" Meals"))</f>
        <v/>
      </c>
      <c r="AX2548" s="2" t="str">
        <f>IF(Registered!AI2548=0,"",Registered!AI2548&amp;" BG")</f>
        <v/>
      </c>
      <c r="AY2548" s="2" t="str">
        <f>IF(Registered!AG2548=0,"",Registered!AG2548&amp;" DustMask")</f>
        <v/>
      </c>
    </row>
    <row r="2549" spans="1:51" customFormat="1" x14ac:dyDescent="0.25">
      <c r="A2549" t="s">
        <v>2151</v>
      </c>
      <c r="B2549" t="s">
        <v>872</v>
      </c>
      <c r="C2549" t="s">
        <v>6090</v>
      </c>
      <c r="G2549" t="s">
        <v>871</v>
      </c>
      <c r="H2549" t="s">
        <v>872</v>
      </c>
      <c r="I2549" t="s">
        <v>873</v>
      </c>
      <c r="J2549" t="s">
        <v>37</v>
      </c>
      <c r="K2549" t="s">
        <v>32</v>
      </c>
      <c r="L2549" t="s">
        <v>35</v>
      </c>
      <c r="AQ2549">
        <v>0</v>
      </c>
      <c r="AR2549" s="3">
        <f t="shared" si="117"/>
        <v>0</v>
      </c>
      <c r="AS2549" s="3">
        <f t="shared" si="118"/>
        <v>0</v>
      </c>
      <c r="AT2549" s="3" t="str">
        <f>IF(OR(Registered!AM2549&gt;0,Registered!AO2549&gt;0),(IF(Registered!E2549=0,"Size Not Specified",Registered!E2549)),"")</f>
        <v/>
      </c>
      <c r="AU2549" s="3" t="str">
        <f>IF(Registered!AE2549=0,"",IF(Registered!AE2549=1,Registered!AE2549&amp;" Bandana",Registered!AE2549&amp;" Bandanas"))</f>
        <v/>
      </c>
      <c r="AV2549" s="3">
        <f t="shared" si="119"/>
        <v>0</v>
      </c>
      <c r="AW2549" s="2" t="str">
        <f>IF(Registered!AV2549=0,"",IF(Registered!AV2549=1,Registered!AV2549&amp;" Meal",Registered!AV2549&amp;" Meals"))</f>
        <v/>
      </c>
      <c r="AX2549" s="2" t="str">
        <f>IF(Registered!AI2549=0,"",Registered!AI2549&amp;" BG")</f>
        <v/>
      </c>
      <c r="AY2549" s="2" t="str">
        <f>IF(Registered!AG2549=0,"",Registered!AG2549&amp;" DustMask")</f>
        <v/>
      </c>
    </row>
    <row r="2550" spans="1:51" customFormat="1" x14ac:dyDescent="0.25">
      <c r="A2550" t="s">
        <v>871</v>
      </c>
      <c r="B2550" t="s">
        <v>872</v>
      </c>
      <c r="C2550" t="s">
        <v>6090</v>
      </c>
      <c r="D2550" t="s">
        <v>871</v>
      </c>
      <c r="F2550" t="s">
        <v>261</v>
      </c>
      <c r="I2550" t="s">
        <v>873</v>
      </c>
      <c r="J2550" t="s">
        <v>37</v>
      </c>
      <c r="K2550" t="s">
        <v>32</v>
      </c>
      <c r="L2550" t="s">
        <v>35</v>
      </c>
      <c r="Q2550">
        <v>4</v>
      </c>
      <c r="R2550">
        <v>3</v>
      </c>
      <c r="Y2550">
        <v>1</v>
      </c>
      <c r="Z2550">
        <v>60</v>
      </c>
      <c r="AI2550">
        <v>1</v>
      </c>
      <c r="AJ2550">
        <v>10</v>
      </c>
      <c r="AQ2550">
        <v>82</v>
      </c>
      <c r="AR2550" s="3">
        <f t="shared" si="117"/>
        <v>30</v>
      </c>
      <c r="AS2550" s="3">
        <f t="shared" si="118"/>
        <v>0</v>
      </c>
      <c r="AT2550" s="3" t="str">
        <f>IF(OR(Registered!AM2550&gt;0,Registered!AO2550&gt;0),(IF(Registered!E2550=0,"Size Not Specified",Registered!E2550)),"")</f>
        <v/>
      </c>
      <c r="AU2550" s="3" t="str">
        <f>IF(Registered!AE2550=0,"",IF(Registered!AE2550=1,Registered!AE2550&amp;" Bandana",Registered!AE2550&amp;" Bandanas"))</f>
        <v/>
      </c>
      <c r="AV2550" s="3">
        <f t="shared" si="119"/>
        <v>0</v>
      </c>
      <c r="AW2550" s="2" t="str">
        <f>IF(Registered!AV2550=0,"",IF(Registered!AV2550=1,Registered!AV2550&amp;" Meal",Registered!AV2550&amp;" Meals"))</f>
        <v/>
      </c>
      <c r="AX2550" s="2" t="str">
        <f>IF(Registered!AI2550=0,"",Registered!AI2550&amp;" BG")</f>
        <v>1 BG</v>
      </c>
      <c r="AY2550" s="2" t="str">
        <f>IF(Registered!AG2550=0,"",Registered!AG2550&amp;" DustMask")</f>
        <v/>
      </c>
    </row>
    <row r="2551" spans="1:51" customFormat="1" x14ac:dyDescent="0.25">
      <c r="A2551" t="s">
        <v>297</v>
      </c>
      <c r="B2551" t="s">
        <v>4861</v>
      </c>
      <c r="C2551" t="s">
        <v>6090</v>
      </c>
      <c r="G2551" t="s">
        <v>3659</v>
      </c>
      <c r="H2551" t="s">
        <v>1456</v>
      </c>
      <c r="I2551" t="s">
        <v>3669</v>
      </c>
      <c r="J2551" t="s">
        <v>37</v>
      </c>
      <c r="K2551" t="s">
        <v>32</v>
      </c>
      <c r="L2551" t="s">
        <v>35</v>
      </c>
      <c r="AQ2551">
        <v>0</v>
      </c>
      <c r="AR2551" s="3">
        <f t="shared" si="117"/>
        <v>0</v>
      </c>
      <c r="AS2551" s="3">
        <f t="shared" si="118"/>
        <v>0</v>
      </c>
      <c r="AT2551" s="3" t="str">
        <f>IF(OR(Registered!AM2551&gt;0,Registered!AO2551&gt;0),(IF(Registered!E2551=0,"Size Not Specified",Registered!E2551)),"")</f>
        <v/>
      </c>
      <c r="AU2551" s="3" t="str">
        <f>IF(Registered!AE2551=0,"",IF(Registered!AE2551=1,Registered!AE2551&amp;" Bandana",Registered!AE2551&amp;" Bandanas"))</f>
        <v/>
      </c>
      <c r="AV2551" s="3">
        <f t="shared" si="119"/>
        <v>0</v>
      </c>
      <c r="AW2551" s="2" t="str">
        <f>IF(Registered!AV2551=0,"",IF(Registered!AV2551=1,Registered!AV2551&amp;" Meal",Registered!AV2551&amp;" Meals"))</f>
        <v/>
      </c>
      <c r="AX2551" s="2" t="str">
        <f>IF(Registered!AI2551=0,"",Registered!AI2551&amp;" BG")</f>
        <v/>
      </c>
      <c r="AY2551" s="2" t="str">
        <f>IF(Registered!AG2551=0,"",Registered!AG2551&amp;" DustMask")</f>
        <v/>
      </c>
    </row>
    <row r="2552" spans="1:51" customFormat="1" x14ac:dyDescent="0.25">
      <c r="A2552" t="s">
        <v>4860</v>
      </c>
      <c r="B2552" t="s">
        <v>4861</v>
      </c>
      <c r="C2552" t="s">
        <v>6090</v>
      </c>
      <c r="D2552" t="s">
        <v>5926</v>
      </c>
      <c r="F2552" t="s">
        <v>261</v>
      </c>
      <c r="I2552" t="s">
        <v>4862</v>
      </c>
      <c r="J2552" t="s">
        <v>37</v>
      </c>
      <c r="K2552" t="s">
        <v>32</v>
      </c>
      <c r="L2552" t="s">
        <v>35</v>
      </c>
      <c r="Q2552">
        <v>2</v>
      </c>
      <c r="R2552">
        <v>3</v>
      </c>
      <c r="W2552">
        <v>1</v>
      </c>
      <c r="X2552">
        <v>40</v>
      </c>
      <c r="AQ2552">
        <v>46</v>
      </c>
      <c r="AR2552" s="3">
        <f t="shared" si="117"/>
        <v>20</v>
      </c>
      <c r="AS2552" s="3">
        <f t="shared" si="118"/>
        <v>0</v>
      </c>
      <c r="AT2552" s="3" t="str">
        <f>IF(OR(Registered!AM2552&gt;0,Registered!AO2552&gt;0),(IF(Registered!E2552=0,"Size Not Specified",Registered!E2552)),"")</f>
        <v/>
      </c>
      <c r="AU2552" s="3" t="str">
        <f>IF(Registered!AE2552=0,"",IF(Registered!AE2552=1,Registered!AE2552&amp;" Bandana",Registered!AE2552&amp;" Bandanas"))</f>
        <v/>
      </c>
      <c r="AV2552" s="3">
        <f t="shared" si="119"/>
        <v>0</v>
      </c>
      <c r="AW2552" s="2" t="str">
        <f>IF(Registered!AV2552=0,"",IF(Registered!AV2552=1,Registered!AV2552&amp;" Meal",Registered!AV2552&amp;" Meals"))</f>
        <v/>
      </c>
      <c r="AX2552" s="2" t="str">
        <f>IF(Registered!AI2552=0,"",Registered!AI2552&amp;" BG")</f>
        <v/>
      </c>
      <c r="AY2552" s="2" t="str">
        <f>IF(Registered!AG2552=0,"",Registered!AG2552&amp;" DustMask")</f>
        <v/>
      </c>
    </row>
    <row r="2553" spans="1:51" customFormat="1" x14ac:dyDescent="0.25">
      <c r="A2553" t="s">
        <v>121</v>
      </c>
      <c r="B2553" t="s">
        <v>4861</v>
      </c>
      <c r="C2553" t="s">
        <v>6090</v>
      </c>
      <c r="G2553" t="s">
        <v>137</v>
      </c>
      <c r="H2553" t="s">
        <v>4271</v>
      </c>
      <c r="I2553" t="s">
        <v>4272</v>
      </c>
      <c r="J2553" t="s">
        <v>37</v>
      </c>
      <c r="K2553" t="s">
        <v>32</v>
      </c>
      <c r="L2553" t="s">
        <v>35</v>
      </c>
      <c r="AQ2553">
        <v>0</v>
      </c>
      <c r="AR2553" s="3">
        <f t="shared" si="117"/>
        <v>0</v>
      </c>
      <c r="AS2553" s="3">
        <f t="shared" si="118"/>
        <v>0</v>
      </c>
      <c r="AT2553" s="3" t="str">
        <f>IF(OR(Registered!AM2553&gt;0,Registered!AO2553&gt;0),(IF(Registered!E2553=0,"Size Not Specified",Registered!E2553)),"")</f>
        <v/>
      </c>
      <c r="AU2553" s="3" t="str">
        <f>IF(Registered!AE2553=0,"",IF(Registered!AE2553=1,Registered!AE2553&amp;" Bandana",Registered!AE2553&amp;" Bandanas"))</f>
        <v/>
      </c>
      <c r="AV2553" s="3">
        <f t="shared" si="119"/>
        <v>0</v>
      </c>
      <c r="AW2553" s="2" t="str">
        <f>IF(Registered!AV2553=0,"",IF(Registered!AV2553=1,Registered!AV2553&amp;" Meal",Registered!AV2553&amp;" Meals"))</f>
        <v/>
      </c>
      <c r="AX2553" s="2" t="str">
        <f>IF(Registered!AI2553=0,"",Registered!AI2553&amp;" BG")</f>
        <v/>
      </c>
      <c r="AY2553" s="2" t="str">
        <f>IF(Registered!AG2553=0,"",Registered!AG2553&amp;" DustMask")</f>
        <v/>
      </c>
    </row>
    <row r="2554" spans="1:51" customFormat="1" x14ac:dyDescent="0.25">
      <c r="A2554" t="s">
        <v>4823</v>
      </c>
      <c r="B2554" t="s">
        <v>4824</v>
      </c>
      <c r="C2554" t="s">
        <v>6090</v>
      </c>
      <c r="D2554" t="s">
        <v>5927</v>
      </c>
      <c r="F2554" t="s">
        <v>261</v>
      </c>
      <c r="I2554" t="s">
        <v>4825</v>
      </c>
      <c r="J2554" t="s">
        <v>37</v>
      </c>
      <c r="K2554" t="s">
        <v>32</v>
      </c>
      <c r="L2554" t="s">
        <v>35</v>
      </c>
      <c r="Q2554">
        <v>2</v>
      </c>
      <c r="R2554">
        <v>3</v>
      </c>
      <c r="AC2554">
        <v>1</v>
      </c>
      <c r="AD2554">
        <v>10</v>
      </c>
      <c r="AQ2554">
        <v>16</v>
      </c>
      <c r="AR2554" s="3">
        <f t="shared" si="117"/>
        <v>5</v>
      </c>
      <c r="AS2554" s="3">
        <f t="shared" si="118"/>
        <v>0</v>
      </c>
      <c r="AT2554" s="3" t="str">
        <f>IF(OR(Registered!AM2554&gt;0,Registered!AO2554&gt;0),(IF(Registered!E2554=0,"Size Not Specified",Registered!E2554)),"")</f>
        <v/>
      </c>
      <c r="AU2554" s="3" t="str">
        <f>IF(Registered!AE2554=0,"",IF(Registered!AE2554=1,Registered!AE2554&amp;" Bandana",Registered!AE2554&amp;" Bandanas"))</f>
        <v/>
      </c>
      <c r="AV2554" s="3">
        <f t="shared" si="119"/>
        <v>0</v>
      </c>
      <c r="AW2554" s="2" t="str">
        <f>IF(Registered!AV2554=0,"",IF(Registered!AV2554=1,Registered!AV2554&amp;" Meal",Registered!AV2554&amp;" Meals"))</f>
        <v/>
      </c>
      <c r="AX2554" s="2" t="str">
        <f>IF(Registered!AI2554=0,"",Registered!AI2554&amp;" BG")</f>
        <v/>
      </c>
      <c r="AY2554" s="2" t="str">
        <f>IF(Registered!AG2554=0,"",Registered!AG2554&amp;" DustMask")</f>
        <v/>
      </c>
    </row>
    <row r="2555" spans="1:51" customFormat="1" x14ac:dyDescent="0.25">
      <c r="A2555" t="s">
        <v>5928</v>
      </c>
      <c r="B2555" t="s">
        <v>5929</v>
      </c>
      <c r="C2555" t="s">
        <v>6090</v>
      </c>
      <c r="D2555" t="s">
        <v>5930</v>
      </c>
      <c r="E2555" t="s">
        <v>3541</v>
      </c>
      <c r="F2555" t="s">
        <v>261</v>
      </c>
      <c r="I2555" t="s">
        <v>5931</v>
      </c>
      <c r="J2555" t="s">
        <v>37</v>
      </c>
      <c r="K2555" t="s">
        <v>32</v>
      </c>
      <c r="L2555" t="s">
        <v>35</v>
      </c>
      <c r="Q2555">
        <v>1</v>
      </c>
      <c r="R2555">
        <v>3</v>
      </c>
      <c r="AI2555">
        <v>1</v>
      </c>
      <c r="AJ2555">
        <v>10</v>
      </c>
      <c r="AM2555">
        <v>1</v>
      </c>
      <c r="AN2555">
        <v>25</v>
      </c>
      <c r="AQ2555">
        <v>38</v>
      </c>
      <c r="AR2555" s="3">
        <f t="shared" si="117"/>
        <v>5</v>
      </c>
      <c r="AS2555" s="3">
        <f t="shared" si="118"/>
        <v>1</v>
      </c>
      <c r="AT2555" s="3" t="str">
        <f>IF(OR(Registered!AM2555&gt;0,Registered!AO2555&gt;0),(IF(Registered!E2555=0,"Size Not Specified",Registered!E2555)),"")</f>
        <v>Adult Medium</v>
      </c>
      <c r="AU2555" s="3" t="str">
        <f>IF(Registered!AE2555=0,"",IF(Registered!AE2555=1,Registered!AE2555&amp;" Bandana",Registered!AE2555&amp;" Bandanas"))</f>
        <v/>
      </c>
      <c r="AV2555" s="3">
        <f t="shared" si="119"/>
        <v>1</v>
      </c>
      <c r="AW2555" s="2" t="str">
        <f>IF(Registered!AV2555=0,"",IF(Registered!AV2555=1,Registered!AV2555&amp;" Meal",Registered!AV2555&amp;" Meals"))</f>
        <v>1 Meal</v>
      </c>
      <c r="AX2555" s="2" t="str">
        <f>IF(Registered!AI2555=0,"",Registered!AI2555&amp;" BG")</f>
        <v>1 BG</v>
      </c>
      <c r="AY2555" s="2" t="str">
        <f>IF(Registered!AG2555=0,"",Registered!AG2555&amp;" DustMask")</f>
        <v/>
      </c>
    </row>
    <row r="2556" spans="1:51" customFormat="1" x14ac:dyDescent="0.25">
      <c r="A2556" t="s">
        <v>296</v>
      </c>
      <c r="B2556" t="s">
        <v>2572</v>
      </c>
      <c r="C2556" t="s">
        <v>6090</v>
      </c>
      <c r="G2556" t="s">
        <v>1627</v>
      </c>
      <c r="H2556" t="s">
        <v>1628</v>
      </c>
      <c r="I2556" t="s">
        <v>1629</v>
      </c>
      <c r="J2556" t="s">
        <v>37</v>
      </c>
      <c r="K2556" t="s">
        <v>32</v>
      </c>
      <c r="L2556" t="s">
        <v>35</v>
      </c>
      <c r="AQ2556">
        <v>0</v>
      </c>
      <c r="AR2556" s="3">
        <f t="shared" si="117"/>
        <v>0</v>
      </c>
      <c r="AS2556" s="3">
        <f t="shared" si="118"/>
        <v>0</v>
      </c>
      <c r="AT2556" s="3" t="str">
        <f>IF(OR(Registered!AM2556&gt;0,Registered!AO2556&gt;0),(IF(Registered!E2556=0,"Size Not Specified",Registered!E2556)),"")</f>
        <v/>
      </c>
      <c r="AU2556" s="3" t="str">
        <f>IF(Registered!AE2556=0,"",IF(Registered!AE2556=1,Registered!AE2556&amp;" Bandana",Registered!AE2556&amp;" Bandanas"))</f>
        <v/>
      </c>
      <c r="AV2556" s="3">
        <f t="shared" si="119"/>
        <v>0</v>
      </c>
      <c r="AW2556" s="2" t="str">
        <f>IF(Registered!AV2556=0,"",IF(Registered!AV2556=1,Registered!AV2556&amp;" Meal",Registered!AV2556&amp;" Meals"))</f>
        <v/>
      </c>
      <c r="AX2556" s="2" t="str">
        <f>IF(Registered!AI2556=0,"",Registered!AI2556&amp;" BG")</f>
        <v/>
      </c>
      <c r="AY2556" s="2" t="str">
        <f>IF(Registered!AG2556=0,"",Registered!AG2556&amp;" DustMask")</f>
        <v/>
      </c>
    </row>
    <row r="2557" spans="1:51" customFormat="1" x14ac:dyDescent="0.25">
      <c r="A2557" t="s">
        <v>5629</v>
      </c>
      <c r="B2557" t="s">
        <v>2572</v>
      </c>
      <c r="C2557" t="s">
        <v>6090</v>
      </c>
      <c r="F2557" t="s">
        <v>261</v>
      </c>
      <c r="I2557" t="s">
        <v>5630</v>
      </c>
      <c r="J2557" t="s">
        <v>37</v>
      </c>
      <c r="K2557" t="s">
        <v>32</v>
      </c>
      <c r="L2557" t="s">
        <v>35</v>
      </c>
      <c r="Q2557">
        <v>2</v>
      </c>
      <c r="R2557">
        <v>3</v>
      </c>
      <c r="AQ2557">
        <v>6</v>
      </c>
      <c r="AR2557" s="3">
        <f t="shared" si="117"/>
        <v>0</v>
      </c>
      <c r="AS2557" s="3">
        <f t="shared" si="118"/>
        <v>0</v>
      </c>
      <c r="AT2557" s="3" t="str">
        <f>IF(OR(Registered!AM2557&gt;0,Registered!AO2557&gt;0),(IF(Registered!E2557=0,"Size Not Specified",Registered!E2557)),"")</f>
        <v/>
      </c>
      <c r="AU2557" s="3" t="str">
        <f>IF(Registered!AE2557=0,"",IF(Registered!AE2557=1,Registered!AE2557&amp;" Bandana",Registered!AE2557&amp;" Bandanas"))</f>
        <v/>
      </c>
      <c r="AV2557" s="3">
        <f t="shared" si="119"/>
        <v>0</v>
      </c>
      <c r="AW2557" s="2" t="str">
        <f>IF(Registered!AV2557=0,"",IF(Registered!AV2557=1,Registered!AV2557&amp;" Meal",Registered!AV2557&amp;" Meals"))</f>
        <v/>
      </c>
      <c r="AX2557" s="2" t="str">
        <f>IF(Registered!AI2557=0,"",Registered!AI2557&amp;" BG")</f>
        <v/>
      </c>
      <c r="AY2557" s="2" t="str">
        <f>IF(Registered!AG2557=0,"",Registered!AG2557&amp;" DustMask")</f>
        <v/>
      </c>
    </row>
    <row r="2558" spans="1:51" customFormat="1" x14ac:dyDescent="0.25">
      <c r="A2558" t="s">
        <v>47</v>
      </c>
      <c r="B2558" t="s">
        <v>3472</v>
      </c>
      <c r="C2558" t="s">
        <v>6090</v>
      </c>
      <c r="G2558" t="s">
        <v>359</v>
      </c>
      <c r="H2558" t="s">
        <v>2872</v>
      </c>
      <c r="I2558" t="s">
        <v>2874</v>
      </c>
      <c r="J2558" t="s">
        <v>37</v>
      </c>
      <c r="K2558" t="s">
        <v>32</v>
      </c>
      <c r="L2558" t="s">
        <v>35</v>
      </c>
      <c r="AQ2558">
        <v>0</v>
      </c>
      <c r="AR2558" s="3">
        <f t="shared" si="117"/>
        <v>0</v>
      </c>
      <c r="AS2558" s="3">
        <f t="shared" si="118"/>
        <v>0</v>
      </c>
      <c r="AT2558" s="3" t="str">
        <f>IF(OR(Registered!AM2558&gt;0,Registered!AO2558&gt;0),(IF(Registered!E2558=0,"Size Not Specified",Registered!E2558)),"")</f>
        <v/>
      </c>
      <c r="AU2558" s="3" t="str">
        <f>IF(Registered!AE2558=0,"",IF(Registered!AE2558=1,Registered!AE2558&amp;" Bandana",Registered!AE2558&amp;" Bandanas"))</f>
        <v/>
      </c>
      <c r="AV2558" s="3">
        <f t="shared" si="119"/>
        <v>0</v>
      </c>
      <c r="AW2558" s="2" t="str">
        <f>IF(Registered!AV2558=0,"",IF(Registered!AV2558=1,Registered!AV2558&amp;" Meal",Registered!AV2558&amp;" Meals"))</f>
        <v/>
      </c>
      <c r="AX2558" s="2" t="str">
        <f>IF(Registered!AI2558=0,"",Registered!AI2558&amp;" BG")</f>
        <v/>
      </c>
      <c r="AY2558" s="2" t="str">
        <f>IF(Registered!AG2558=0,"",Registered!AG2558&amp;" DustMask")</f>
        <v/>
      </c>
    </row>
    <row r="2559" spans="1:51" customFormat="1" x14ac:dyDescent="0.25">
      <c r="A2559" t="s">
        <v>3476</v>
      </c>
      <c r="B2559" t="s">
        <v>3477</v>
      </c>
      <c r="C2559" t="s">
        <v>6090</v>
      </c>
      <c r="D2559" t="s">
        <v>3478</v>
      </c>
      <c r="F2559" t="s">
        <v>261</v>
      </c>
      <c r="I2559" t="s">
        <v>3479</v>
      </c>
      <c r="J2559" t="s">
        <v>37</v>
      </c>
      <c r="K2559" t="s">
        <v>32</v>
      </c>
      <c r="L2559" t="s">
        <v>35</v>
      </c>
      <c r="Q2559">
        <v>1</v>
      </c>
      <c r="R2559">
        <v>3</v>
      </c>
      <c r="AC2559">
        <v>1</v>
      </c>
      <c r="AD2559">
        <v>10</v>
      </c>
      <c r="AQ2559">
        <v>13</v>
      </c>
      <c r="AR2559" s="3">
        <f t="shared" si="117"/>
        <v>5</v>
      </c>
      <c r="AS2559" s="3">
        <f t="shared" si="118"/>
        <v>0</v>
      </c>
      <c r="AT2559" s="3" t="str">
        <f>IF(OR(Registered!AM2559&gt;0,Registered!AO2559&gt;0),(IF(Registered!E2559=0,"Size Not Specified",Registered!E2559)),"")</f>
        <v/>
      </c>
      <c r="AU2559" s="3" t="str">
        <f>IF(Registered!AE2559=0,"",IF(Registered!AE2559=1,Registered!AE2559&amp;" Bandana",Registered!AE2559&amp;" Bandanas"))</f>
        <v/>
      </c>
      <c r="AV2559" s="3">
        <f t="shared" si="119"/>
        <v>0</v>
      </c>
      <c r="AW2559" s="2" t="str">
        <f>IF(Registered!AV2559=0,"",IF(Registered!AV2559=1,Registered!AV2559&amp;" Meal",Registered!AV2559&amp;" Meals"))</f>
        <v/>
      </c>
      <c r="AX2559" s="2" t="str">
        <f>IF(Registered!AI2559=0,"",Registered!AI2559&amp;" BG")</f>
        <v/>
      </c>
      <c r="AY2559" s="2" t="str">
        <f>IF(Registered!AG2559=0,"",Registered!AG2559&amp;" DustMask")</f>
        <v/>
      </c>
    </row>
    <row r="2560" spans="1:51" customFormat="1" x14ac:dyDescent="0.25">
      <c r="A2560" t="s">
        <v>431</v>
      </c>
      <c r="B2560" t="s">
        <v>5932</v>
      </c>
      <c r="C2560" t="s">
        <v>6090</v>
      </c>
      <c r="D2560" t="s">
        <v>5933</v>
      </c>
      <c r="F2560" t="s">
        <v>261</v>
      </c>
      <c r="I2560" t="s">
        <v>5934</v>
      </c>
      <c r="J2560" t="s">
        <v>37</v>
      </c>
      <c r="K2560" t="s">
        <v>32</v>
      </c>
      <c r="L2560" t="s">
        <v>35</v>
      </c>
      <c r="Q2560">
        <v>1</v>
      </c>
      <c r="R2560">
        <v>3</v>
      </c>
      <c r="AC2560">
        <v>1</v>
      </c>
      <c r="AD2560">
        <v>10</v>
      </c>
      <c r="AQ2560">
        <v>13</v>
      </c>
      <c r="AR2560" s="3">
        <f t="shared" si="117"/>
        <v>5</v>
      </c>
      <c r="AS2560" s="3">
        <f t="shared" si="118"/>
        <v>0</v>
      </c>
      <c r="AT2560" s="3" t="str">
        <f>IF(OR(Registered!AM2560&gt;0,Registered!AO2560&gt;0),(IF(Registered!E2560=0,"Size Not Specified",Registered!E2560)),"")</f>
        <v/>
      </c>
      <c r="AU2560" s="3" t="str">
        <f>IF(Registered!AE2560=0,"",IF(Registered!AE2560=1,Registered!AE2560&amp;" Bandana",Registered!AE2560&amp;" Bandanas"))</f>
        <v/>
      </c>
      <c r="AV2560" s="3">
        <f t="shared" si="119"/>
        <v>0</v>
      </c>
      <c r="AW2560" s="2" t="str">
        <f>IF(Registered!AV2560=0,"",IF(Registered!AV2560=1,Registered!AV2560&amp;" Meal",Registered!AV2560&amp;" Meals"))</f>
        <v/>
      </c>
      <c r="AX2560" s="2" t="str">
        <f>IF(Registered!AI2560=0,"",Registered!AI2560&amp;" BG")</f>
        <v/>
      </c>
      <c r="AY2560" s="2" t="str">
        <f>IF(Registered!AG2560=0,"",Registered!AG2560&amp;" DustMask")</f>
        <v/>
      </c>
    </row>
    <row r="2561" spans="1:51" customFormat="1" x14ac:dyDescent="0.25">
      <c r="A2561" t="s">
        <v>639</v>
      </c>
      <c r="B2561" t="s">
        <v>5935</v>
      </c>
      <c r="C2561" t="s">
        <v>6090</v>
      </c>
      <c r="G2561" t="s">
        <v>3420</v>
      </c>
      <c r="H2561" t="s">
        <v>4716</v>
      </c>
      <c r="I2561" t="s">
        <v>4717</v>
      </c>
      <c r="J2561" t="s">
        <v>37</v>
      </c>
      <c r="K2561" t="s">
        <v>32</v>
      </c>
      <c r="L2561" t="s">
        <v>35</v>
      </c>
      <c r="AQ2561">
        <v>0</v>
      </c>
      <c r="AR2561" s="3">
        <f t="shared" si="117"/>
        <v>0</v>
      </c>
      <c r="AS2561" s="3">
        <f t="shared" si="118"/>
        <v>0</v>
      </c>
      <c r="AT2561" s="3" t="str">
        <f>IF(OR(Registered!AM2561&gt;0,Registered!AO2561&gt;0),(IF(Registered!E2561=0,"Size Not Specified",Registered!E2561)),"")</f>
        <v/>
      </c>
      <c r="AU2561" s="3" t="str">
        <f>IF(Registered!AE2561=0,"",IF(Registered!AE2561=1,Registered!AE2561&amp;" Bandana",Registered!AE2561&amp;" Bandanas"))</f>
        <v/>
      </c>
      <c r="AV2561" s="3">
        <f t="shared" si="119"/>
        <v>0</v>
      </c>
      <c r="AW2561" s="2" t="str">
        <f>IF(Registered!AV2561=0,"",IF(Registered!AV2561=1,Registered!AV2561&amp;" Meal",Registered!AV2561&amp;" Meals"))</f>
        <v/>
      </c>
      <c r="AX2561" s="2" t="str">
        <f>IF(Registered!AI2561=0,"",Registered!AI2561&amp;" BG")</f>
        <v/>
      </c>
      <c r="AY2561" s="2" t="str">
        <f>IF(Registered!AG2561=0,"",Registered!AG2561&amp;" DustMask")</f>
        <v/>
      </c>
    </row>
    <row r="2562" spans="1:51" customFormat="1" x14ac:dyDescent="0.25">
      <c r="A2562" t="s">
        <v>64</v>
      </c>
      <c r="B2562" t="s">
        <v>2301</v>
      </c>
      <c r="C2562" t="s">
        <v>6090</v>
      </c>
      <c r="D2562" t="s">
        <v>2573</v>
      </c>
      <c r="F2562" t="s">
        <v>261</v>
      </c>
      <c r="I2562" t="s">
        <v>2302</v>
      </c>
      <c r="J2562" t="s">
        <v>37</v>
      </c>
      <c r="K2562" t="s">
        <v>32</v>
      </c>
      <c r="L2562" t="s">
        <v>35</v>
      </c>
      <c r="Q2562">
        <v>2</v>
      </c>
      <c r="R2562">
        <v>3</v>
      </c>
      <c r="AC2562">
        <v>1</v>
      </c>
      <c r="AD2562">
        <v>10</v>
      </c>
      <c r="AQ2562">
        <v>16</v>
      </c>
      <c r="AR2562" s="3">
        <f t="shared" ref="AR2562:AR2625" si="120">IF(ISTEXT(AM2562)=TRUE,"",SUM(U2562*10,W2562*20,Y2562*30,AA2562*40,AC2562*5,AM2562*5))</f>
        <v>5</v>
      </c>
      <c r="AS2562" s="3">
        <f t="shared" ref="AS2562:AS2625" si="121">IF(ISTEXT(AM2562)=TRUE,"",SUM(AM2562,AO2562))</f>
        <v>0</v>
      </c>
      <c r="AT2562" s="3" t="str">
        <f>IF(OR(Registered!AM2562&gt;0,Registered!AO2562&gt;0),(IF(Registered!E2562=0,"Size Not Specified",Registered!E2562)),"")</f>
        <v/>
      </c>
      <c r="AU2562" s="3" t="str">
        <f>IF(Registered!AE2562=0,"",IF(Registered!AE2562=1,Registered!AE2562&amp;" Bandana",Registered!AE2562&amp;" Bandanas"))</f>
        <v/>
      </c>
      <c r="AV2562" s="3">
        <f t="shared" ref="AV2562:AV2625" si="122">IF(ISTEXT(AM2562)=TRUE,"",SUM(AM2562,AK2562))</f>
        <v>0</v>
      </c>
      <c r="AW2562" s="2" t="str">
        <f>IF(Registered!AV2562=0,"",IF(Registered!AV2562=1,Registered!AV2562&amp;" Meal",Registered!AV2562&amp;" Meals"))</f>
        <v/>
      </c>
      <c r="AX2562" s="2" t="str">
        <f>IF(Registered!AI2562=0,"",Registered!AI2562&amp;" BG")</f>
        <v/>
      </c>
      <c r="AY2562" s="2" t="str">
        <f>IF(Registered!AG2562=0,"",Registered!AG2562&amp;" DustMask")</f>
        <v/>
      </c>
    </row>
    <row r="2563" spans="1:51" customFormat="1" x14ac:dyDescent="0.25">
      <c r="A2563" t="s">
        <v>5936</v>
      </c>
      <c r="B2563" t="s">
        <v>3837</v>
      </c>
      <c r="C2563" t="s">
        <v>6090</v>
      </c>
      <c r="G2563" t="s">
        <v>3836</v>
      </c>
      <c r="H2563" t="s">
        <v>3837</v>
      </c>
      <c r="I2563" t="s">
        <v>3838</v>
      </c>
      <c r="J2563" t="s">
        <v>37</v>
      </c>
      <c r="K2563" t="s">
        <v>32</v>
      </c>
      <c r="L2563" t="s">
        <v>35</v>
      </c>
      <c r="AQ2563">
        <v>0</v>
      </c>
      <c r="AR2563" s="3">
        <f t="shared" si="120"/>
        <v>0</v>
      </c>
      <c r="AS2563" s="3">
        <f t="shared" si="121"/>
        <v>0</v>
      </c>
      <c r="AT2563" s="3" t="str">
        <f>IF(OR(Registered!AM2563&gt;0,Registered!AO2563&gt;0),(IF(Registered!E2563=0,"Size Not Specified",Registered!E2563)),"")</f>
        <v/>
      </c>
      <c r="AU2563" s="3" t="str">
        <f>IF(Registered!AE2563=0,"",IF(Registered!AE2563=1,Registered!AE2563&amp;" Bandana",Registered!AE2563&amp;" Bandanas"))</f>
        <v/>
      </c>
      <c r="AV2563" s="3">
        <f t="shared" si="122"/>
        <v>0</v>
      </c>
      <c r="AW2563" s="2" t="str">
        <f>IF(Registered!AV2563=0,"",IF(Registered!AV2563=1,Registered!AV2563&amp;" Meal",Registered!AV2563&amp;" Meals"))</f>
        <v/>
      </c>
      <c r="AX2563" s="2" t="str">
        <f>IF(Registered!AI2563=0,"",Registered!AI2563&amp;" BG")</f>
        <v/>
      </c>
      <c r="AY2563" s="2" t="str">
        <f>IF(Registered!AG2563=0,"",Registered!AG2563&amp;" DustMask")</f>
        <v/>
      </c>
    </row>
    <row r="2564" spans="1:51" customFormat="1" x14ac:dyDescent="0.25">
      <c r="A2564" t="s">
        <v>3836</v>
      </c>
      <c r="B2564" t="s">
        <v>3837</v>
      </c>
      <c r="C2564" t="s">
        <v>6090</v>
      </c>
      <c r="D2564" t="s">
        <v>5937</v>
      </c>
      <c r="I2564" t="s">
        <v>3838</v>
      </c>
      <c r="J2564" t="s">
        <v>37</v>
      </c>
      <c r="K2564" t="s">
        <v>32</v>
      </c>
      <c r="L2564" t="s">
        <v>35</v>
      </c>
      <c r="Q2564">
        <v>3</v>
      </c>
      <c r="R2564">
        <v>3</v>
      </c>
      <c r="Y2564">
        <v>1</v>
      </c>
      <c r="Z2564">
        <v>60</v>
      </c>
      <c r="AE2564">
        <v>3</v>
      </c>
      <c r="AF2564">
        <v>6</v>
      </c>
      <c r="AG2564">
        <v>4</v>
      </c>
      <c r="AH2564">
        <v>1</v>
      </c>
      <c r="AQ2564">
        <v>91</v>
      </c>
      <c r="AR2564" s="3">
        <f t="shared" si="120"/>
        <v>30</v>
      </c>
      <c r="AS2564" s="3">
        <f t="shared" si="121"/>
        <v>0</v>
      </c>
      <c r="AT2564" s="3" t="str">
        <f>IF(OR(Registered!AM2564&gt;0,Registered!AO2564&gt;0),(IF(Registered!E2564=0,"Size Not Specified",Registered!E2564)),"")</f>
        <v/>
      </c>
      <c r="AU2564" s="3" t="str">
        <f>IF(Registered!AE2564=0,"",IF(Registered!AE2564=1,Registered!AE2564&amp;" Bandana",Registered!AE2564&amp;" Bandanas"))</f>
        <v>3 Bandanas</v>
      </c>
      <c r="AV2564" s="3">
        <f t="shared" si="122"/>
        <v>0</v>
      </c>
      <c r="AW2564" s="2" t="str">
        <f>IF(Registered!AV2564=0,"",IF(Registered!AV2564=1,Registered!AV2564&amp;" Meal",Registered!AV2564&amp;" Meals"))</f>
        <v/>
      </c>
      <c r="AX2564" s="2" t="str">
        <f>IF(Registered!AI2564=0,"",Registered!AI2564&amp;" BG")</f>
        <v/>
      </c>
      <c r="AY2564" s="2" t="str">
        <f>IF(Registered!AG2564=0,"",Registered!AG2564&amp;" DustMask")</f>
        <v>4 DustMask</v>
      </c>
    </row>
    <row r="2565" spans="1:51" customFormat="1" x14ac:dyDescent="0.25">
      <c r="A2565" t="s">
        <v>5938</v>
      </c>
      <c r="B2565" t="s">
        <v>5939</v>
      </c>
      <c r="C2565" t="s">
        <v>6090</v>
      </c>
      <c r="G2565" t="s">
        <v>3514</v>
      </c>
      <c r="H2565" t="s">
        <v>4594</v>
      </c>
      <c r="I2565" t="s">
        <v>4595</v>
      </c>
      <c r="J2565" t="s">
        <v>37</v>
      </c>
      <c r="K2565" t="s">
        <v>32</v>
      </c>
      <c r="L2565" t="s">
        <v>35</v>
      </c>
      <c r="AQ2565">
        <v>0</v>
      </c>
      <c r="AR2565" s="3">
        <f t="shared" si="120"/>
        <v>0</v>
      </c>
      <c r="AS2565" s="3">
        <f t="shared" si="121"/>
        <v>0</v>
      </c>
      <c r="AT2565" s="3" t="str">
        <f>IF(OR(Registered!AM2565&gt;0,Registered!AO2565&gt;0),(IF(Registered!E2565=0,"Size Not Specified",Registered!E2565)),"")</f>
        <v/>
      </c>
      <c r="AU2565" s="3" t="str">
        <f>IF(Registered!AE2565=0,"",IF(Registered!AE2565=1,Registered!AE2565&amp;" Bandana",Registered!AE2565&amp;" Bandanas"))</f>
        <v/>
      </c>
      <c r="AV2565" s="3">
        <f t="shared" si="122"/>
        <v>0</v>
      </c>
      <c r="AW2565" s="2" t="str">
        <f>IF(Registered!AV2565=0,"",IF(Registered!AV2565=1,Registered!AV2565&amp;" Meal",Registered!AV2565&amp;" Meals"))</f>
        <v/>
      </c>
      <c r="AX2565" s="2" t="str">
        <f>IF(Registered!AI2565=0,"",Registered!AI2565&amp;" BG")</f>
        <v/>
      </c>
      <c r="AY2565" s="2" t="str">
        <f>IF(Registered!AG2565=0,"",Registered!AG2565&amp;" DustMask")</f>
        <v/>
      </c>
    </row>
    <row r="2566" spans="1:51" customFormat="1" x14ac:dyDescent="0.25">
      <c r="A2566" t="s">
        <v>2574</v>
      </c>
      <c r="B2566" t="s">
        <v>2575</v>
      </c>
      <c r="C2566" t="s">
        <v>6090</v>
      </c>
      <c r="D2566" t="s">
        <v>2576</v>
      </c>
      <c r="F2566" t="s">
        <v>261</v>
      </c>
      <c r="I2566" t="s">
        <v>2577</v>
      </c>
      <c r="J2566" t="s">
        <v>37</v>
      </c>
      <c r="K2566" t="s">
        <v>32</v>
      </c>
      <c r="L2566" t="s">
        <v>35</v>
      </c>
      <c r="S2566">
        <v>5</v>
      </c>
      <c r="T2566">
        <v>3</v>
      </c>
      <c r="U2566">
        <v>1</v>
      </c>
      <c r="V2566">
        <v>20</v>
      </c>
      <c r="AQ2566">
        <v>35</v>
      </c>
      <c r="AR2566" s="3">
        <f t="shared" si="120"/>
        <v>10</v>
      </c>
      <c r="AS2566" s="3">
        <f t="shared" si="121"/>
        <v>0</v>
      </c>
      <c r="AT2566" s="3" t="str">
        <f>IF(OR(Registered!AM2566&gt;0,Registered!AO2566&gt;0),(IF(Registered!E2566=0,"Size Not Specified",Registered!E2566)),"")</f>
        <v/>
      </c>
      <c r="AU2566" s="3" t="str">
        <f>IF(Registered!AE2566=0,"",IF(Registered!AE2566=1,Registered!AE2566&amp;" Bandana",Registered!AE2566&amp;" Bandanas"))</f>
        <v/>
      </c>
      <c r="AV2566" s="3">
        <f t="shared" si="122"/>
        <v>0</v>
      </c>
      <c r="AW2566" s="2" t="str">
        <f>IF(Registered!AV2566=0,"",IF(Registered!AV2566=1,Registered!AV2566&amp;" Meal",Registered!AV2566&amp;" Meals"))</f>
        <v/>
      </c>
      <c r="AX2566" s="2" t="str">
        <f>IF(Registered!AI2566=0,"",Registered!AI2566&amp;" BG")</f>
        <v/>
      </c>
      <c r="AY2566" s="2" t="str">
        <f>IF(Registered!AG2566=0,"",Registered!AG2566&amp;" DustMask")</f>
        <v/>
      </c>
    </row>
    <row r="2567" spans="1:51" customFormat="1" x14ac:dyDescent="0.25">
      <c r="A2567" t="s">
        <v>2578</v>
      </c>
      <c r="B2567" t="s">
        <v>2575</v>
      </c>
      <c r="C2567" t="s">
        <v>6090</v>
      </c>
      <c r="G2567" t="s">
        <v>2574</v>
      </c>
      <c r="H2567" t="s">
        <v>2575</v>
      </c>
      <c r="I2567" t="s">
        <v>2579</v>
      </c>
      <c r="J2567" t="s">
        <v>37</v>
      </c>
      <c r="K2567" t="s">
        <v>32</v>
      </c>
      <c r="L2567" t="s">
        <v>35</v>
      </c>
      <c r="AQ2567">
        <v>0</v>
      </c>
      <c r="AR2567" s="3">
        <f t="shared" si="120"/>
        <v>0</v>
      </c>
      <c r="AS2567" s="3">
        <f t="shared" si="121"/>
        <v>0</v>
      </c>
      <c r="AT2567" s="3" t="str">
        <f>IF(OR(Registered!AM2567&gt;0,Registered!AO2567&gt;0),(IF(Registered!E2567=0,"Size Not Specified",Registered!E2567)),"")</f>
        <v/>
      </c>
      <c r="AU2567" s="3" t="str">
        <f>IF(Registered!AE2567=0,"",IF(Registered!AE2567=1,Registered!AE2567&amp;" Bandana",Registered!AE2567&amp;" Bandanas"))</f>
        <v/>
      </c>
      <c r="AV2567" s="3">
        <f t="shared" si="122"/>
        <v>0</v>
      </c>
      <c r="AW2567" s="2" t="str">
        <f>IF(Registered!AV2567=0,"",IF(Registered!AV2567=1,Registered!AV2567&amp;" Meal",Registered!AV2567&amp;" Meals"))</f>
        <v/>
      </c>
      <c r="AX2567" s="2" t="str">
        <f>IF(Registered!AI2567=0,"",Registered!AI2567&amp;" BG")</f>
        <v/>
      </c>
      <c r="AY2567" s="2" t="str">
        <f>IF(Registered!AG2567=0,"",Registered!AG2567&amp;" DustMask")</f>
        <v/>
      </c>
    </row>
    <row r="2568" spans="1:51" customFormat="1" x14ac:dyDescent="0.25">
      <c r="A2568" t="s">
        <v>2580</v>
      </c>
      <c r="B2568" t="s">
        <v>2575</v>
      </c>
      <c r="C2568" t="s">
        <v>6090</v>
      </c>
      <c r="G2568" t="s">
        <v>2574</v>
      </c>
      <c r="H2568" t="s">
        <v>2575</v>
      </c>
      <c r="I2568" t="s">
        <v>2579</v>
      </c>
      <c r="J2568" t="s">
        <v>37</v>
      </c>
      <c r="K2568" t="s">
        <v>32</v>
      </c>
      <c r="L2568" t="s">
        <v>35</v>
      </c>
      <c r="AQ2568">
        <v>0</v>
      </c>
      <c r="AR2568" s="3">
        <f t="shared" si="120"/>
        <v>0</v>
      </c>
      <c r="AS2568" s="3">
        <f t="shared" si="121"/>
        <v>0</v>
      </c>
      <c r="AT2568" s="3" t="str">
        <f>IF(OR(Registered!AM2568&gt;0,Registered!AO2568&gt;0),(IF(Registered!E2568=0,"Size Not Specified",Registered!E2568)),"")</f>
        <v/>
      </c>
      <c r="AU2568" s="3" t="str">
        <f>IF(Registered!AE2568=0,"",IF(Registered!AE2568=1,Registered!AE2568&amp;" Bandana",Registered!AE2568&amp;" Bandanas"))</f>
        <v/>
      </c>
      <c r="AV2568" s="3">
        <f t="shared" si="122"/>
        <v>0</v>
      </c>
      <c r="AW2568" s="2" t="str">
        <f>IF(Registered!AV2568=0,"",IF(Registered!AV2568=1,Registered!AV2568&amp;" Meal",Registered!AV2568&amp;" Meals"))</f>
        <v/>
      </c>
      <c r="AX2568" s="2" t="str">
        <f>IF(Registered!AI2568=0,"",Registered!AI2568&amp;" BG")</f>
        <v/>
      </c>
      <c r="AY2568" s="2" t="str">
        <f>IF(Registered!AG2568=0,"",Registered!AG2568&amp;" DustMask")</f>
        <v/>
      </c>
    </row>
    <row r="2569" spans="1:51" customFormat="1" x14ac:dyDescent="0.25">
      <c r="A2569" t="s">
        <v>2581</v>
      </c>
      <c r="B2569" t="s">
        <v>2575</v>
      </c>
      <c r="C2569" t="s">
        <v>6090</v>
      </c>
      <c r="G2569" t="s">
        <v>2574</v>
      </c>
      <c r="H2569" t="s">
        <v>2575</v>
      </c>
      <c r="I2569" t="s">
        <v>2579</v>
      </c>
      <c r="J2569" t="s">
        <v>37</v>
      </c>
      <c r="K2569" t="s">
        <v>32</v>
      </c>
      <c r="L2569" t="s">
        <v>35</v>
      </c>
      <c r="AQ2569">
        <v>0</v>
      </c>
      <c r="AR2569" s="3">
        <f t="shared" si="120"/>
        <v>0</v>
      </c>
      <c r="AS2569" s="3">
        <f t="shared" si="121"/>
        <v>0</v>
      </c>
      <c r="AT2569" s="3" t="str">
        <f>IF(OR(Registered!AM2569&gt;0,Registered!AO2569&gt;0),(IF(Registered!E2569=0,"Size Not Specified",Registered!E2569)),"")</f>
        <v/>
      </c>
      <c r="AU2569" s="3" t="str">
        <f>IF(Registered!AE2569=0,"",IF(Registered!AE2569=1,Registered!AE2569&amp;" Bandana",Registered!AE2569&amp;" Bandanas"))</f>
        <v/>
      </c>
      <c r="AV2569" s="3">
        <f t="shared" si="122"/>
        <v>0</v>
      </c>
      <c r="AW2569" s="2" t="str">
        <f>IF(Registered!AV2569=0,"",IF(Registered!AV2569=1,Registered!AV2569&amp;" Meal",Registered!AV2569&amp;" Meals"))</f>
        <v/>
      </c>
      <c r="AX2569" s="2" t="str">
        <f>IF(Registered!AI2569=0,"",Registered!AI2569&amp;" BG")</f>
        <v/>
      </c>
      <c r="AY2569" s="2" t="str">
        <f>IF(Registered!AG2569=0,"",Registered!AG2569&amp;" DustMask")</f>
        <v/>
      </c>
    </row>
    <row r="2570" spans="1:51" customFormat="1" x14ac:dyDescent="0.25">
      <c r="A2570" t="s">
        <v>2582</v>
      </c>
      <c r="B2570" t="s">
        <v>2575</v>
      </c>
      <c r="C2570" t="s">
        <v>6090</v>
      </c>
      <c r="G2570" t="s">
        <v>2574</v>
      </c>
      <c r="H2570" t="s">
        <v>2575</v>
      </c>
      <c r="I2570" t="s">
        <v>2579</v>
      </c>
      <c r="J2570" t="s">
        <v>37</v>
      </c>
      <c r="K2570" t="s">
        <v>32</v>
      </c>
      <c r="L2570" t="s">
        <v>35</v>
      </c>
      <c r="AQ2570">
        <v>0</v>
      </c>
      <c r="AR2570" s="3">
        <f t="shared" si="120"/>
        <v>0</v>
      </c>
      <c r="AS2570" s="3">
        <f t="shared" si="121"/>
        <v>0</v>
      </c>
      <c r="AT2570" s="3" t="str">
        <f>IF(OR(Registered!AM2570&gt;0,Registered!AO2570&gt;0),(IF(Registered!E2570=0,"Size Not Specified",Registered!E2570)),"")</f>
        <v/>
      </c>
      <c r="AU2570" s="3" t="str">
        <f>IF(Registered!AE2570=0,"",IF(Registered!AE2570=1,Registered!AE2570&amp;" Bandana",Registered!AE2570&amp;" Bandanas"))</f>
        <v/>
      </c>
      <c r="AV2570" s="3">
        <f t="shared" si="122"/>
        <v>0</v>
      </c>
      <c r="AW2570" s="2" t="str">
        <f>IF(Registered!AV2570=0,"",IF(Registered!AV2570=1,Registered!AV2570&amp;" Meal",Registered!AV2570&amp;" Meals"))</f>
        <v/>
      </c>
      <c r="AX2570" s="2" t="str">
        <f>IF(Registered!AI2570=0,"",Registered!AI2570&amp;" BG")</f>
        <v/>
      </c>
      <c r="AY2570" s="2" t="str">
        <f>IF(Registered!AG2570=0,"",Registered!AG2570&amp;" DustMask")</f>
        <v/>
      </c>
    </row>
    <row r="2571" spans="1:51" customFormat="1" x14ac:dyDescent="0.25">
      <c r="A2571" t="s">
        <v>2582</v>
      </c>
      <c r="B2571" t="s">
        <v>2575</v>
      </c>
      <c r="C2571" t="s">
        <v>6090</v>
      </c>
      <c r="D2571" t="s">
        <v>2582</v>
      </c>
      <c r="F2571" t="s">
        <v>261</v>
      </c>
      <c r="I2571" t="s">
        <v>3480</v>
      </c>
      <c r="J2571" t="s">
        <v>37</v>
      </c>
      <c r="K2571" t="s">
        <v>32</v>
      </c>
      <c r="L2571" t="s">
        <v>35</v>
      </c>
      <c r="Q2571">
        <v>1</v>
      </c>
      <c r="R2571">
        <v>3</v>
      </c>
      <c r="AC2571">
        <v>1</v>
      </c>
      <c r="AD2571">
        <v>10</v>
      </c>
      <c r="AQ2571">
        <v>13</v>
      </c>
      <c r="AR2571" s="3">
        <f t="shared" si="120"/>
        <v>5</v>
      </c>
      <c r="AS2571" s="3">
        <f t="shared" si="121"/>
        <v>0</v>
      </c>
      <c r="AT2571" s="3" t="str">
        <f>IF(OR(Registered!AM2571&gt;0,Registered!AO2571&gt;0),(IF(Registered!E2571=0,"Size Not Specified",Registered!E2571)),"")</f>
        <v/>
      </c>
      <c r="AU2571" s="3" t="str">
        <f>IF(Registered!AE2571=0,"",IF(Registered!AE2571=1,Registered!AE2571&amp;" Bandana",Registered!AE2571&amp;" Bandanas"))</f>
        <v/>
      </c>
      <c r="AV2571" s="3">
        <f t="shared" si="122"/>
        <v>0</v>
      </c>
      <c r="AW2571" s="2" t="str">
        <f>IF(Registered!AV2571=0,"",IF(Registered!AV2571=1,Registered!AV2571&amp;" Meal",Registered!AV2571&amp;" Meals"))</f>
        <v/>
      </c>
      <c r="AX2571" s="2" t="str">
        <f>IF(Registered!AI2571=0,"",Registered!AI2571&amp;" BG")</f>
        <v/>
      </c>
      <c r="AY2571" s="2" t="str">
        <f>IF(Registered!AG2571=0,"",Registered!AG2571&amp;" DustMask")</f>
        <v/>
      </c>
    </row>
    <row r="2572" spans="1:51" customFormat="1" x14ac:dyDescent="0.25">
      <c r="A2572" t="s">
        <v>220</v>
      </c>
      <c r="B2572" t="s">
        <v>4190</v>
      </c>
      <c r="C2572" t="s">
        <v>6090</v>
      </c>
      <c r="D2572" t="s">
        <v>220</v>
      </c>
      <c r="F2572" t="s">
        <v>261</v>
      </c>
      <c r="I2572" t="s">
        <v>4191</v>
      </c>
      <c r="J2572" t="s">
        <v>37</v>
      </c>
      <c r="K2572" t="s">
        <v>32</v>
      </c>
      <c r="L2572" t="s">
        <v>35</v>
      </c>
      <c r="Q2572">
        <v>4</v>
      </c>
      <c r="R2572">
        <v>3</v>
      </c>
      <c r="AC2572">
        <v>4</v>
      </c>
      <c r="AD2572">
        <v>10</v>
      </c>
      <c r="AQ2572">
        <v>52</v>
      </c>
      <c r="AR2572" s="3">
        <f t="shared" si="120"/>
        <v>20</v>
      </c>
      <c r="AS2572" s="3">
        <f t="shared" si="121"/>
        <v>0</v>
      </c>
      <c r="AT2572" s="3" t="str">
        <f>IF(OR(Registered!AM2572&gt;0,Registered!AO2572&gt;0),(IF(Registered!E2572=0,"Size Not Specified",Registered!E2572)),"")</f>
        <v/>
      </c>
      <c r="AU2572" s="3" t="str">
        <f>IF(Registered!AE2572=0,"",IF(Registered!AE2572=1,Registered!AE2572&amp;" Bandana",Registered!AE2572&amp;" Bandanas"))</f>
        <v/>
      </c>
      <c r="AV2572" s="3">
        <f t="shared" si="122"/>
        <v>0</v>
      </c>
      <c r="AW2572" s="2" t="str">
        <f>IF(Registered!AV2572=0,"",IF(Registered!AV2572=1,Registered!AV2572&amp;" Meal",Registered!AV2572&amp;" Meals"))</f>
        <v/>
      </c>
      <c r="AX2572" s="2" t="str">
        <f>IF(Registered!AI2572=0,"",Registered!AI2572&amp;" BG")</f>
        <v/>
      </c>
      <c r="AY2572" s="2" t="str">
        <f>IF(Registered!AG2572=0,"",Registered!AG2572&amp;" DustMask")</f>
        <v/>
      </c>
    </row>
    <row r="2573" spans="1:51" customFormat="1" x14ac:dyDescent="0.25">
      <c r="A2573" t="s">
        <v>5708</v>
      </c>
      <c r="B2573" t="s">
        <v>4190</v>
      </c>
      <c r="C2573" t="s">
        <v>6090</v>
      </c>
      <c r="D2573" t="s">
        <v>5941</v>
      </c>
      <c r="F2573" t="s">
        <v>261</v>
      </c>
      <c r="I2573" t="s">
        <v>5709</v>
      </c>
      <c r="J2573" t="s">
        <v>37</v>
      </c>
      <c r="K2573" t="s">
        <v>32</v>
      </c>
      <c r="L2573" t="s">
        <v>35</v>
      </c>
      <c r="Q2573">
        <v>2</v>
      </c>
      <c r="R2573">
        <v>3</v>
      </c>
      <c r="U2573">
        <v>2</v>
      </c>
      <c r="V2573">
        <v>20</v>
      </c>
      <c r="AQ2573">
        <v>46</v>
      </c>
      <c r="AR2573" s="3">
        <f t="shared" si="120"/>
        <v>20</v>
      </c>
      <c r="AS2573" s="3">
        <f t="shared" si="121"/>
        <v>0</v>
      </c>
      <c r="AT2573" s="3" t="str">
        <f>IF(OR(Registered!AM2573&gt;0,Registered!AO2573&gt;0),(IF(Registered!E2573=0,"Size Not Specified",Registered!E2573)),"")</f>
        <v/>
      </c>
      <c r="AU2573" s="3" t="str">
        <f>IF(Registered!AE2573=0,"",IF(Registered!AE2573=1,Registered!AE2573&amp;" Bandana",Registered!AE2573&amp;" Bandanas"))</f>
        <v/>
      </c>
      <c r="AV2573" s="3">
        <f t="shared" si="122"/>
        <v>0</v>
      </c>
      <c r="AW2573" s="2" t="str">
        <f>IF(Registered!AV2573=0,"",IF(Registered!AV2573=1,Registered!AV2573&amp;" Meal",Registered!AV2573&amp;" Meals"))</f>
        <v/>
      </c>
      <c r="AX2573" s="2" t="str">
        <f>IF(Registered!AI2573=0,"",Registered!AI2573&amp;" BG")</f>
        <v/>
      </c>
      <c r="AY2573" s="2" t="str">
        <f>IF(Registered!AG2573=0,"",Registered!AG2573&amp;" DustMask")</f>
        <v/>
      </c>
    </row>
    <row r="2574" spans="1:51" customFormat="1" x14ac:dyDescent="0.25">
      <c r="A2574" t="s">
        <v>296</v>
      </c>
      <c r="B2574" t="s">
        <v>2583</v>
      </c>
      <c r="C2574" t="s">
        <v>6090</v>
      </c>
      <c r="G2574" t="s">
        <v>1118</v>
      </c>
      <c r="H2574" t="s">
        <v>1119</v>
      </c>
      <c r="I2574" t="s">
        <v>1121</v>
      </c>
      <c r="J2574" t="s">
        <v>37</v>
      </c>
      <c r="K2574" t="s">
        <v>32</v>
      </c>
      <c r="L2574" t="s">
        <v>35</v>
      </c>
      <c r="AQ2574">
        <v>0</v>
      </c>
      <c r="AR2574" s="3">
        <f t="shared" si="120"/>
        <v>0</v>
      </c>
      <c r="AS2574" s="3">
        <f t="shared" si="121"/>
        <v>0</v>
      </c>
      <c r="AT2574" s="3" t="str">
        <f>IF(OR(Registered!AM2574&gt;0,Registered!AO2574&gt;0),(IF(Registered!E2574=0,"Size Not Specified",Registered!E2574)),"")</f>
        <v/>
      </c>
      <c r="AU2574" s="3" t="str">
        <f>IF(Registered!AE2574=0,"",IF(Registered!AE2574=1,Registered!AE2574&amp;" Bandana",Registered!AE2574&amp;" Bandanas"))</f>
        <v/>
      </c>
      <c r="AV2574" s="3">
        <f t="shared" si="122"/>
        <v>0</v>
      </c>
      <c r="AW2574" s="2" t="str">
        <f>IF(Registered!AV2574=0,"",IF(Registered!AV2574=1,Registered!AV2574&amp;" Meal",Registered!AV2574&amp;" Meals"))</f>
        <v/>
      </c>
      <c r="AX2574" s="2" t="str">
        <f>IF(Registered!AI2574=0,"",Registered!AI2574&amp;" BG")</f>
        <v/>
      </c>
      <c r="AY2574" s="2" t="str">
        <f>IF(Registered!AG2574=0,"",Registered!AG2574&amp;" DustMask")</f>
        <v/>
      </c>
    </row>
    <row r="2575" spans="1:51" customFormat="1" x14ac:dyDescent="0.25">
      <c r="A2575" t="s">
        <v>2584</v>
      </c>
      <c r="B2575" t="s">
        <v>2583</v>
      </c>
      <c r="C2575" t="s">
        <v>6090</v>
      </c>
      <c r="G2575" t="s">
        <v>1118</v>
      </c>
      <c r="H2575" t="s">
        <v>1119</v>
      </c>
      <c r="I2575" t="s">
        <v>1121</v>
      </c>
      <c r="J2575" t="s">
        <v>37</v>
      </c>
      <c r="K2575" t="s">
        <v>32</v>
      </c>
      <c r="L2575" t="s">
        <v>35</v>
      </c>
      <c r="AQ2575">
        <v>0</v>
      </c>
      <c r="AR2575" s="3">
        <f t="shared" si="120"/>
        <v>0</v>
      </c>
      <c r="AS2575" s="3">
        <f t="shared" si="121"/>
        <v>0</v>
      </c>
      <c r="AT2575" s="3" t="str">
        <f>IF(OR(Registered!AM2575&gt;0,Registered!AO2575&gt;0),(IF(Registered!E2575=0,"Size Not Specified",Registered!E2575)),"")</f>
        <v/>
      </c>
      <c r="AU2575" s="3" t="str">
        <f>IF(Registered!AE2575=0,"",IF(Registered!AE2575=1,Registered!AE2575&amp;" Bandana",Registered!AE2575&amp;" Bandanas"))</f>
        <v/>
      </c>
      <c r="AV2575" s="3">
        <f t="shared" si="122"/>
        <v>0</v>
      </c>
      <c r="AW2575" s="2" t="str">
        <f>IF(Registered!AV2575=0,"",IF(Registered!AV2575=1,Registered!AV2575&amp;" Meal",Registered!AV2575&amp;" Meals"))</f>
        <v/>
      </c>
      <c r="AX2575" s="2" t="str">
        <f>IF(Registered!AI2575=0,"",Registered!AI2575&amp;" BG")</f>
        <v/>
      </c>
      <c r="AY2575" s="2" t="str">
        <f>IF(Registered!AG2575=0,"",Registered!AG2575&amp;" DustMask")</f>
        <v/>
      </c>
    </row>
    <row r="2576" spans="1:51" customFormat="1" x14ac:dyDescent="0.25">
      <c r="A2576" t="s">
        <v>262</v>
      </c>
      <c r="B2576" t="s">
        <v>5548</v>
      </c>
      <c r="C2576" t="s">
        <v>6090</v>
      </c>
      <c r="D2576" t="s">
        <v>2441</v>
      </c>
      <c r="F2576" t="s">
        <v>261</v>
      </c>
      <c r="I2576" t="s">
        <v>5549</v>
      </c>
      <c r="J2576" t="s">
        <v>37</v>
      </c>
      <c r="K2576" t="s">
        <v>32</v>
      </c>
      <c r="L2576" t="s">
        <v>35</v>
      </c>
      <c r="Q2576">
        <v>2</v>
      </c>
      <c r="R2576">
        <v>3</v>
      </c>
      <c r="W2576">
        <v>1</v>
      </c>
      <c r="X2576">
        <v>40</v>
      </c>
      <c r="AQ2576">
        <v>46</v>
      </c>
      <c r="AR2576" s="3">
        <f t="shared" si="120"/>
        <v>20</v>
      </c>
      <c r="AS2576" s="3">
        <f t="shared" si="121"/>
        <v>0</v>
      </c>
      <c r="AT2576" s="3" t="str">
        <f>IF(OR(Registered!AM2576&gt;0,Registered!AO2576&gt;0),(IF(Registered!E2576=0,"Size Not Specified",Registered!E2576)),"")</f>
        <v/>
      </c>
      <c r="AU2576" s="3" t="str">
        <f>IF(Registered!AE2576=0,"",IF(Registered!AE2576=1,Registered!AE2576&amp;" Bandana",Registered!AE2576&amp;" Bandanas"))</f>
        <v/>
      </c>
      <c r="AV2576" s="3">
        <f t="shared" si="122"/>
        <v>0</v>
      </c>
      <c r="AW2576" s="2" t="str">
        <f>IF(Registered!AV2576=0,"",IF(Registered!AV2576=1,Registered!AV2576&amp;" Meal",Registered!AV2576&amp;" Meals"))</f>
        <v/>
      </c>
      <c r="AX2576" s="2" t="str">
        <f>IF(Registered!AI2576=0,"",Registered!AI2576&amp;" BG")</f>
        <v/>
      </c>
      <c r="AY2576" s="2" t="str">
        <f>IF(Registered!AG2576=0,"",Registered!AG2576&amp;" DustMask")</f>
        <v/>
      </c>
    </row>
    <row r="2577" spans="1:51" customFormat="1" x14ac:dyDescent="0.25">
      <c r="A2577" t="s">
        <v>213</v>
      </c>
      <c r="B2577" t="s">
        <v>3481</v>
      </c>
      <c r="C2577" t="s">
        <v>6090</v>
      </c>
      <c r="G2577" t="s">
        <v>105</v>
      </c>
      <c r="H2577" t="s">
        <v>2862</v>
      </c>
      <c r="I2577" t="s">
        <v>2863</v>
      </c>
      <c r="J2577" t="s">
        <v>37</v>
      </c>
      <c r="K2577" t="s">
        <v>32</v>
      </c>
      <c r="L2577" t="s">
        <v>35</v>
      </c>
      <c r="AQ2577">
        <v>0</v>
      </c>
      <c r="AR2577" s="3">
        <f t="shared" si="120"/>
        <v>0</v>
      </c>
      <c r="AS2577" s="3">
        <f t="shared" si="121"/>
        <v>0</v>
      </c>
      <c r="AT2577" s="3" t="str">
        <f>IF(OR(Registered!AM2577&gt;0,Registered!AO2577&gt;0),(IF(Registered!E2577=0,"Size Not Specified",Registered!E2577)),"")</f>
        <v/>
      </c>
      <c r="AU2577" s="3" t="str">
        <f>IF(Registered!AE2577=0,"",IF(Registered!AE2577=1,Registered!AE2577&amp;" Bandana",Registered!AE2577&amp;" Bandanas"))</f>
        <v/>
      </c>
      <c r="AV2577" s="3">
        <f t="shared" si="122"/>
        <v>0</v>
      </c>
      <c r="AW2577" s="2" t="str">
        <f>IF(Registered!AV2577=0,"",IF(Registered!AV2577=1,Registered!AV2577&amp;" Meal",Registered!AV2577&amp;" Meals"))</f>
        <v/>
      </c>
      <c r="AX2577" s="2" t="str">
        <f>IF(Registered!AI2577=0,"",Registered!AI2577&amp;" BG")</f>
        <v/>
      </c>
      <c r="AY2577" s="2" t="str">
        <f>IF(Registered!AG2577=0,"",Registered!AG2577&amp;" DustMask")</f>
        <v/>
      </c>
    </row>
    <row r="2578" spans="1:51" customFormat="1" x14ac:dyDescent="0.25">
      <c r="A2578" t="s">
        <v>2585</v>
      </c>
      <c r="B2578" t="s">
        <v>2586</v>
      </c>
      <c r="C2578" t="s">
        <v>6090</v>
      </c>
      <c r="D2578" t="s">
        <v>2587</v>
      </c>
      <c r="E2578" t="s">
        <v>65</v>
      </c>
      <c r="F2578" t="s">
        <v>261</v>
      </c>
      <c r="I2578" t="s">
        <v>2588</v>
      </c>
      <c r="J2578" t="s">
        <v>37</v>
      </c>
      <c r="K2578" t="s">
        <v>32</v>
      </c>
      <c r="L2578" t="s">
        <v>35</v>
      </c>
      <c r="S2578">
        <v>1</v>
      </c>
      <c r="T2578">
        <v>3</v>
      </c>
      <c r="AM2578">
        <v>1</v>
      </c>
      <c r="AN2578">
        <v>25</v>
      </c>
      <c r="AQ2578">
        <v>28</v>
      </c>
      <c r="AR2578" s="3">
        <f t="shared" si="120"/>
        <v>5</v>
      </c>
      <c r="AS2578" s="3">
        <f t="shared" si="121"/>
        <v>1</v>
      </c>
      <c r="AT2578" s="3" t="str">
        <f>IF(OR(Registered!AM2578&gt;0,Registered!AO2578&gt;0),(IF(Registered!E2578=0,"Size Not Specified",Registered!E2578)),"")</f>
        <v>Medium</v>
      </c>
      <c r="AU2578" s="3" t="str">
        <f>IF(Registered!AE2578=0,"",IF(Registered!AE2578=1,Registered!AE2578&amp;" Bandana",Registered!AE2578&amp;" Bandanas"))</f>
        <v/>
      </c>
      <c r="AV2578" s="3">
        <f t="shared" si="122"/>
        <v>1</v>
      </c>
      <c r="AW2578" s="2" t="str">
        <f>IF(Registered!AV2578=0,"",IF(Registered!AV2578=1,Registered!AV2578&amp;" Meal",Registered!AV2578&amp;" Meals"))</f>
        <v>1 Meal</v>
      </c>
      <c r="AX2578" s="2" t="str">
        <f>IF(Registered!AI2578=0,"",Registered!AI2578&amp;" BG")</f>
        <v/>
      </c>
      <c r="AY2578" s="2" t="str">
        <f>IF(Registered!AG2578=0,"",Registered!AG2578&amp;" DustMask")</f>
        <v/>
      </c>
    </row>
    <row r="2579" spans="1:51" customFormat="1" x14ac:dyDescent="0.25">
      <c r="A2579" t="s">
        <v>5017</v>
      </c>
      <c r="B2579" t="s">
        <v>5943</v>
      </c>
      <c r="C2579" t="s">
        <v>6090</v>
      </c>
      <c r="G2579" t="s">
        <v>90</v>
      </c>
      <c r="H2579" t="s">
        <v>313</v>
      </c>
      <c r="I2579" t="s">
        <v>3679</v>
      </c>
      <c r="J2579" t="s">
        <v>37</v>
      </c>
      <c r="K2579" t="s">
        <v>32</v>
      </c>
      <c r="L2579" t="s">
        <v>35</v>
      </c>
      <c r="AQ2579">
        <v>0</v>
      </c>
      <c r="AR2579" s="3">
        <f t="shared" si="120"/>
        <v>0</v>
      </c>
      <c r="AS2579" s="3">
        <f t="shared" si="121"/>
        <v>0</v>
      </c>
      <c r="AT2579" s="3" t="str">
        <f>IF(OR(Registered!AM2579&gt;0,Registered!AO2579&gt;0),(IF(Registered!E2579=0,"Size Not Specified",Registered!E2579)),"")</f>
        <v/>
      </c>
      <c r="AU2579" s="3" t="str">
        <f>IF(Registered!AE2579=0,"",IF(Registered!AE2579=1,Registered!AE2579&amp;" Bandana",Registered!AE2579&amp;" Bandanas"))</f>
        <v/>
      </c>
      <c r="AV2579" s="3">
        <f t="shared" si="122"/>
        <v>0</v>
      </c>
      <c r="AW2579" s="2" t="str">
        <f>IF(Registered!AV2579=0,"",IF(Registered!AV2579=1,Registered!AV2579&amp;" Meal",Registered!AV2579&amp;" Meals"))</f>
        <v/>
      </c>
      <c r="AX2579" s="2" t="str">
        <f>IF(Registered!AI2579=0,"",Registered!AI2579&amp;" BG")</f>
        <v/>
      </c>
      <c r="AY2579" s="2" t="str">
        <f>IF(Registered!AG2579=0,"",Registered!AG2579&amp;" DustMask")</f>
        <v/>
      </c>
    </row>
    <row r="2580" spans="1:51" customFormat="1" x14ac:dyDescent="0.25">
      <c r="A2580" t="s">
        <v>3482</v>
      </c>
      <c r="B2580" t="s">
        <v>3483</v>
      </c>
      <c r="C2580" t="s">
        <v>6090</v>
      </c>
      <c r="D2580" t="s">
        <v>3482</v>
      </c>
      <c r="F2580" t="s">
        <v>261</v>
      </c>
      <c r="I2580" t="s">
        <v>3484</v>
      </c>
      <c r="J2580" t="s">
        <v>37</v>
      </c>
      <c r="K2580" t="s">
        <v>32</v>
      </c>
      <c r="L2580" t="s">
        <v>35</v>
      </c>
      <c r="Q2580">
        <v>1</v>
      </c>
      <c r="R2580">
        <v>3</v>
      </c>
      <c r="AC2580">
        <v>1</v>
      </c>
      <c r="AD2580">
        <v>10</v>
      </c>
      <c r="AQ2580">
        <v>13</v>
      </c>
      <c r="AR2580" s="3">
        <f t="shared" si="120"/>
        <v>5</v>
      </c>
      <c r="AS2580" s="3">
        <f t="shared" si="121"/>
        <v>0</v>
      </c>
      <c r="AT2580" s="3" t="str">
        <f>IF(OR(Registered!AM2580&gt;0,Registered!AO2580&gt;0),(IF(Registered!E2580=0,"Size Not Specified",Registered!E2580)),"")</f>
        <v/>
      </c>
      <c r="AU2580" s="3" t="str">
        <f>IF(Registered!AE2580=0,"",IF(Registered!AE2580=1,Registered!AE2580&amp;" Bandana",Registered!AE2580&amp;" Bandanas"))</f>
        <v/>
      </c>
      <c r="AV2580" s="3">
        <f t="shared" si="122"/>
        <v>0</v>
      </c>
      <c r="AW2580" s="2" t="str">
        <f>IF(Registered!AV2580=0,"",IF(Registered!AV2580=1,Registered!AV2580&amp;" Meal",Registered!AV2580&amp;" Meals"))</f>
        <v/>
      </c>
      <c r="AX2580" s="2" t="str">
        <f>IF(Registered!AI2580=0,"",Registered!AI2580&amp;" BG")</f>
        <v/>
      </c>
      <c r="AY2580" s="2" t="str">
        <f>IF(Registered!AG2580=0,"",Registered!AG2580&amp;" DustMask")</f>
        <v/>
      </c>
    </row>
    <row r="2581" spans="1:51" customFormat="1" x14ac:dyDescent="0.25">
      <c r="A2581" t="s">
        <v>1373</v>
      </c>
      <c r="B2581" t="s">
        <v>1374</v>
      </c>
      <c r="C2581" t="s">
        <v>6090</v>
      </c>
      <c r="D2581" t="s">
        <v>307</v>
      </c>
      <c r="F2581" t="s">
        <v>261</v>
      </c>
      <c r="I2581" t="s">
        <v>1375</v>
      </c>
      <c r="J2581" t="s">
        <v>37</v>
      </c>
      <c r="K2581" t="s">
        <v>32</v>
      </c>
      <c r="L2581" t="s">
        <v>35</v>
      </c>
      <c r="S2581">
        <v>2</v>
      </c>
      <c r="T2581">
        <v>3</v>
      </c>
      <c r="U2581">
        <v>1</v>
      </c>
      <c r="V2581">
        <v>20</v>
      </c>
      <c r="AQ2581">
        <v>26</v>
      </c>
      <c r="AR2581" s="3">
        <f t="shared" si="120"/>
        <v>10</v>
      </c>
      <c r="AS2581" s="3">
        <f t="shared" si="121"/>
        <v>0</v>
      </c>
      <c r="AT2581" s="3" t="str">
        <f>IF(OR(Registered!AM2581&gt;0,Registered!AO2581&gt;0),(IF(Registered!E2581=0,"Size Not Specified",Registered!E2581)),"")</f>
        <v/>
      </c>
      <c r="AU2581" s="3" t="str">
        <f>IF(Registered!AE2581=0,"",IF(Registered!AE2581=1,Registered!AE2581&amp;" Bandana",Registered!AE2581&amp;" Bandanas"))</f>
        <v/>
      </c>
      <c r="AV2581" s="3">
        <f t="shared" si="122"/>
        <v>0</v>
      </c>
      <c r="AW2581" s="2" t="str">
        <f>IF(Registered!AV2581=0,"",IF(Registered!AV2581=1,Registered!AV2581&amp;" Meal",Registered!AV2581&amp;" Meals"))</f>
        <v/>
      </c>
      <c r="AX2581" s="2" t="str">
        <f>IF(Registered!AI2581=0,"",Registered!AI2581&amp;" BG")</f>
        <v/>
      </c>
      <c r="AY2581" s="2" t="str">
        <f>IF(Registered!AG2581=0,"",Registered!AG2581&amp;" DustMask")</f>
        <v/>
      </c>
    </row>
    <row r="2582" spans="1:51" customFormat="1" x14ac:dyDescent="0.25">
      <c r="A2582" t="s">
        <v>3182</v>
      </c>
      <c r="B2582" t="s">
        <v>1374</v>
      </c>
      <c r="C2582" t="s">
        <v>6090</v>
      </c>
      <c r="D2582" t="s">
        <v>3485</v>
      </c>
      <c r="F2582" t="s">
        <v>261</v>
      </c>
      <c r="I2582" t="s">
        <v>3183</v>
      </c>
      <c r="J2582" t="s">
        <v>37</v>
      </c>
      <c r="K2582" t="s">
        <v>32</v>
      </c>
      <c r="L2582" t="s">
        <v>35</v>
      </c>
      <c r="Q2582">
        <v>2</v>
      </c>
      <c r="R2582">
        <v>3</v>
      </c>
      <c r="U2582">
        <v>1</v>
      </c>
      <c r="V2582">
        <v>20</v>
      </c>
      <c r="AQ2582">
        <v>26</v>
      </c>
      <c r="AR2582" s="3">
        <f t="shared" si="120"/>
        <v>10</v>
      </c>
      <c r="AS2582" s="3">
        <f t="shared" si="121"/>
        <v>0</v>
      </c>
      <c r="AT2582" s="3" t="str">
        <f>IF(OR(Registered!AM2582&gt;0,Registered!AO2582&gt;0),(IF(Registered!E2582=0,"Size Not Specified",Registered!E2582)),"")</f>
        <v/>
      </c>
      <c r="AU2582" s="3" t="str">
        <f>IF(Registered!AE2582=0,"",IF(Registered!AE2582=1,Registered!AE2582&amp;" Bandana",Registered!AE2582&amp;" Bandanas"))</f>
        <v/>
      </c>
      <c r="AV2582" s="3">
        <f t="shared" si="122"/>
        <v>0</v>
      </c>
      <c r="AW2582" s="2" t="str">
        <f>IF(Registered!AV2582=0,"",IF(Registered!AV2582=1,Registered!AV2582&amp;" Meal",Registered!AV2582&amp;" Meals"))</f>
        <v/>
      </c>
      <c r="AX2582" s="2" t="str">
        <f>IF(Registered!AI2582=0,"",Registered!AI2582&amp;" BG")</f>
        <v/>
      </c>
      <c r="AY2582" s="2" t="str">
        <f>IF(Registered!AG2582=0,"",Registered!AG2582&amp;" DustMask")</f>
        <v/>
      </c>
    </row>
    <row r="2583" spans="1:51" customFormat="1" x14ac:dyDescent="0.25">
      <c r="A2583" t="s">
        <v>258</v>
      </c>
      <c r="B2583" t="s">
        <v>2589</v>
      </c>
      <c r="C2583" t="s">
        <v>6090</v>
      </c>
      <c r="D2583" t="s">
        <v>57</v>
      </c>
      <c r="F2583" t="s">
        <v>261</v>
      </c>
      <c r="I2583" t="s">
        <v>2590</v>
      </c>
      <c r="J2583" t="s">
        <v>37</v>
      </c>
      <c r="K2583" t="s">
        <v>32</v>
      </c>
      <c r="L2583" t="s">
        <v>35</v>
      </c>
      <c r="S2583">
        <v>1</v>
      </c>
      <c r="T2583">
        <v>3</v>
      </c>
      <c r="AC2583">
        <v>1</v>
      </c>
      <c r="AD2583">
        <v>10</v>
      </c>
      <c r="AK2583">
        <v>1</v>
      </c>
      <c r="AL2583">
        <v>6</v>
      </c>
      <c r="AQ2583">
        <v>19</v>
      </c>
      <c r="AR2583" s="3">
        <f t="shared" si="120"/>
        <v>5</v>
      </c>
      <c r="AS2583" s="3">
        <f t="shared" si="121"/>
        <v>0</v>
      </c>
      <c r="AT2583" s="3" t="str">
        <f>IF(OR(Registered!AM2583&gt;0,Registered!AO2583&gt;0),(IF(Registered!E2583=0,"Size Not Specified",Registered!E2583)),"")</f>
        <v/>
      </c>
      <c r="AU2583" s="3" t="str">
        <f>IF(Registered!AE2583=0,"",IF(Registered!AE2583=1,Registered!AE2583&amp;" Bandana",Registered!AE2583&amp;" Bandanas"))</f>
        <v/>
      </c>
      <c r="AV2583" s="3">
        <f t="shared" si="122"/>
        <v>1</v>
      </c>
      <c r="AW2583" s="2" t="str">
        <f>IF(Registered!AV2583=0,"",IF(Registered!AV2583=1,Registered!AV2583&amp;" Meal",Registered!AV2583&amp;" Meals"))</f>
        <v>1 Meal</v>
      </c>
      <c r="AX2583" s="2" t="str">
        <f>IF(Registered!AI2583=0,"",Registered!AI2583&amp;" BG")</f>
        <v/>
      </c>
      <c r="AY2583" s="2" t="str">
        <f>IF(Registered!AG2583=0,"",Registered!AG2583&amp;" DustMask")</f>
        <v/>
      </c>
    </row>
    <row r="2584" spans="1:51" customFormat="1" x14ac:dyDescent="0.25">
      <c r="A2584" t="s">
        <v>114</v>
      </c>
      <c r="B2584" t="s">
        <v>380</v>
      </c>
      <c r="C2584" t="s">
        <v>6090</v>
      </c>
      <c r="D2584" t="s">
        <v>2591</v>
      </c>
      <c r="F2584" t="s">
        <v>261</v>
      </c>
      <c r="I2584" t="s">
        <v>2592</v>
      </c>
      <c r="J2584" t="s">
        <v>37</v>
      </c>
      <c r="K2584" t="s">
        <v>32</v>
      </c>
      <c r="L2584" t="s">
        <v>35</v>
      </c>
      <c r="S2584">
        <v>1</v>
      </c>
      <c r="T2584">
        <v>3</v>
      </c>
      <c r="AC2584">
        <v>1</v>
      </c>
      <c r="AD2584">
        <v>10</v>
      </c>
      <c r="AQ2584">
        <v>13</v>
      </c>
      <c r="AR2584" s="3">
        <f t="shared" si="120"/>
        <v>5</v>
      </c>
      <c r="AS2584" s="3">
        <f t="shared" si="121"/>
        <v>0</v>
      </c>
      <c r="AT2584" s="3" t="str">
        <f>IF(OR(Registered!AM2584&gt;0,Registered!AO2584&gt;0),(IF(Registered!E2584=0,"Size Not Specified",Registered!E2584)),"")</f>
        <v/>
      </c>
      <c r="AU2584" s="3" t="str">
        <f>IF(Registered!AE2584=0,"",IF(Registered!AE2584=1,Registered!AE2584&amp;" Bandana",Registered!AE2584&amp;" Bandanas"))</f>
        <v/>
      </c>
      <c r="AV2584" s="3">
        <f t="shared" si="122"/>
        <v>0</v>
      </c>
      <c r="AW2584" s="2" t="str">
        <f>IF(Registered!AV2584=0,"",IF(Registered!AV2584=1,Registered!AV2584&amp;" Meal",Registered!AV2584&amp;" Meals"))</f>
        <v/>
      </c>
      <c r="AX2584" s="2" t="str">
        <f>IF(Registered!AI2584=0,"",Registered!AI2584&amp;" BG")</f>
        <v/>
      </c>
      <c r="AY2584" s="2" t="str">
        <f>IF(Registered!AG2584=0,"",Registered!AG2584&amp;" DustMask")</f>
        <v/>
      </c>
    </row>
    <row r="2585" spans="1:51" customFormat="1" x14ac:dyDescent="0.25">
      <c r="A2585" t="s">
        <v>2093</v>
      </c>
      <c r="B2585" t="s">
        <v>380</v>
      </c>
      <c r="C2585" t="s">
        <v>6090</v>
      </c>
      <c r="D2585" t="s">
        <v>2093</v>
      </c>
      <c r="F2585" t="s">
        <v>261</v>
      </c>
      <c r="I2585" t="s">
        <v>2094</v>
      </c>
      <c r="J2585" t="s">
        <v>37</v>
      </c>
      <c r="K2585" t="s">
        <v>32</v>
      </c>
      <c r="L2585" t="s">
        <v>35</v>
      </c>
      <c r="S2585">
        <v>2</v>
      </c>
      <c r="T2585">
        <v>3</v>
      </c>
      <c r="AC2585">
        <v>1</v>
      </c>
      <c r="AD2585">
        <v>10</v>
      </c>
      <c r="AQ2585">
        <v>16</v>
      </c>
      <c r="AR2585" s="3">
        <f t="shared" si="120"/>
        <v>5</v>
      </c>
      <c r="AS2585" s="3">
        <f t="shared" si="121"/>
        <v>0</v>
      </c>
      <c r="AT2585" s="3" t="str">
        <f>IF(OR(Registered!AM2585&gt;0,Registered!AO2585&gt;0),(IF(Registered!E2585=0,"Size Not Specified",Registered!E2585)),"")</f>
        <v/>
      </c>
      <c r="AU2585" s="3" t="str">
        <f>IF(Registered!AE2585=0,"",IF(Registered!AE2585=1,Registered!AE2585&amp;" Bandana",Registered!AE2585&amp;" Bandanas"))</f>
        <v/>
      </c>
      <c r="AV2585" s="3">
        <f t="shared" si="122"/>
        <v>0</v>
      </c>
      <c r="AW2585" s="2" t="str">
        <f>IF(Registered!AV2585=0,"",IF(Registered!AV2585=1,Registered!AV2585&amp;" Meal",Registered!AV2585&amp;" Meals"))</f>
        <v/>
      </c>
      <c r="AX2585" s="2" t="str">
        <f>IF(Registered!AI2585=0,"",Registered!AI2585&amp;" BG")</f>
        <v/>
      </c>
      <c r="AY2585" s="2" t="str">
        <f>IF(Registered!AG2585=0,"",Registered!AG2585&amp;" DustMask")</f>
        <v/>
      </c>
    </row>
    <row r="2586" spans="1:51" customFormat="1" x14ac:dyDescent="0.25">
      <c r="A2586" t="s">
        <v>1641</v>
      </c>
      <c r="B2586" t="s">
        <v>380</v>
      </c>
      <c r="C2586" t="s">
        <v>6090</v>
      </c>
      <c r="D2586" t="s">
        <v>1641</v>
      </c>
      <c r="F2586" t="s">
        <v>261</v>
      </c>
      <c r="I2586" t="s">
        <v>5177</v>
      </c>
      <c r="J2586" t="s">
        <v>37</v>
      </c>
      <c r="K2586" t="s">
        <v>32</v>
      </c>
      <c r="L2586" t="s">
        <v>35</v>
      </c>
      <c r="Q2586">
        <v>2</v>
      </c>
      <c r="R2586">
        <v>3</v>
      </c>
      <c r="U2586">
        <v>1</v>
      </c>
      <c r="V2586">
        <v>20</v>
      </c>
      <c r="AG2586">
        <v>1</v>
      </c>
      <c r="AH2586">
        <v>1</v>
      </c>
      <c r="AQ2586">
        <v>27</v>
      </c>
      <c r="AR2586" s="3">
        <f t="shared" si="120"/>
        <v>10</v>
      </c>
      <c r="AS2586" s="3">
        <f t="shared" si="121"/>
        <v>0</v>
      </c>
      <c r="AT2586" s="3" t="str">
        <f>IF(OR(Registered!AM2586&gt;0,Registered!AO2586&gt;0),(IF(Registered!E2586=0,"Size Not Specified",Registered!E2586)),"")</f>
        <v/>
      </c>
      <c r="AU2586" s="3" t="str">
        <f>IF(Registered!AE2586=0,"",IF(Registered!AE2586=1,Registered!AE2586&amp;" Bandana",Registered!AE2586&amp;" Bandanas"))</f>
        <v/>
      </c>
      <c r="AV2586" s="3">
        <f t="shared" si="122"/>
        <v>0</v>
      </c>
      <c r="AW2586" s="2" t="str">
        <f>IF(Registered!AV2586=0,"",IF(Registered!AV2586=1,Registered!AV2586&amp;" Meal",Registered!AV2586&amp;" Meals"))</f>
        <v/>
      </c>
      <c r="AX2586" s="2" t="str">
        <f>IF(Registered!AI2586=0,"",Registered!AI2586&amp;" BG")</f>
        <v/>
      </c>
      <c r="AY2586" s="2" t="str">
        <f>IF(Registered!AG2586=0,"",Registered!AG2586&amp;" DustMask")</f>
        <v>1 DustMask</v>
      </c>
    </row>
    <row r="2587" spans="1:51" customFormat="1" x14ac:dyDescent="0.25">
      <c r="A2587" t="s">
        <v>121</v>
      </c>
      <c r="B2587" t="s">
        <v>380</v>
      </c>
      <c r="C2587" t="s">
        <v>6090</v>
      </c>
      <c r="D2587" t="s">
        <v>121</v>
      </c>
      <c r="F2587" t="s">
        <v>261</v>
      </c>
      <c r="I2587" t="s">
        <v>5944</v>
      </c>
      <c r="J2587" t="s">
        <v>37</v>
      </c>
      <c r="K2587" t="s">
        <v>32</v>
      </c>
      <c r="L2587" t="s">
        <v>35</v>
      </c>
      <c r="Q2587">
        <v>3</v>
      </c>
      <c r="R2587">
        <v>3</v>
      </c>
      <c r="AC2587">
        <v>3</v>
      </c>
      <c r="AD2587">
        <v>10</v>
      </c>
      <c r="AQ2587">
        <v>39</v>
      </c>
      <c r="AR2587" s="3">
        <f t="shared" si="120"/>
        <v>15</v>
      </c>
      <c r="AS2587" s="3">
        <f t="shared" si="121"/>
        <v>0</v>
      </c>
      <c r="AT2587" s="3" t="str">
        <f>IF(OR(Registered!AM2587&gt;0,Registered!AO2587&gt;0),(IF(Registered!E2587=0,"Size Not Specified",Registered!E2587)),"")</f>
        <v/>
      </c>
      <c r="AU2587" s="3" t="str">
        <f>IF(Registered!AE2587=0,"",IF(Registered!AE2587=1,Registered!AE2587&amp;" Bandana",Registered!AE2587&amp;" Bandanas"))</f>
        <v/>
      </c>
      <c r="AV2587" s="3">
        <f t="shared" si="122"/>
        <v>0</v>
      </c>
      <c r="AW2587" s="2" t="str">
        <f>IF(Registered!AV2587=0,"",IF(Registered!AV2587=1,Registered!AV2587&amp;" Meal",Registered!AV2587&amp;" Meals"))</f>
        <v/>
      </c>
      <c r="AX2587" s="2" t="str">
        <f>IF(Registered!AI2587=0,"",Registered!AI2587&amp;" BG")</f>
        <v/>
      </c>
      <c r="AY2587" s="2" t="str">
        <f>IF(Registered!AG2587=0,"",Registered!AG2587&amp;" DustMask")</f>
        <v/>
      </c>
    </row>
    <row r="2588" spans="1:51" customFormat="1" x14ac:dyDescent="0.25">
      <c r="A2588" t="s">
        <v>377</v>
      </c>
      <c r="B2588" t="s">
        <v>2593</v>
      </c>
      <c r="C2588" t="s">
        <v>6090</v>
      </c>
      <c r="D2588" t="s">
        <v>2594</v>
      </c>
      <c r="F2588" t="s">
        <v>261</v>
      </c>
      <c r="I2588" t="s">
        <v>2595</v>
      </c>
      <c r="J2588" t="s">
        <v>37</v>
      </c>
      <c r="K2588" t="s">
        <v>32</v>
      </c>
      <c r="L2588" t="s">
        <v>35</v>
      </c>
      <c r="S2588">
        <v>4</v>
      </c>
      <c r="T2588">
        <v>3</v>
      </c>
      <c r="U2588">
        <v>1</v>
      </c>
      <c r="V2588">
        <v>20</v>
      </c>
      <c r="AK2588">
        <v>4</v>
      </c>
      <c r="AL2588">
        <v>6</v>
      </c>
      <c r="AQ2588">
        <v>56</v>
      </c>
      <c r="AR2588" s="3">
        <f t="shared" si="120"/>
        <v>10</v>
      </c>
      <c r="AS2588" s="3">
        <f t="shared" si="121"/>
        <v>0</v>
      </c>
      <c r="AT2588" s="3" t="str">
        <f>IF(OR(Registered!AM2588&gt;0,Registered!AO2588&gt;0),(IF(Registered!E2588=0,"Size Not Specified",Registered!E2588)),"")</f>
        <v/>
      </c>
      <c r="AU2588" s="3" t="str">
        <f>IF(Registered!AE2588=0,"",IF(Registered!AE2588=1,Registered!AE2588&amp;" Bandana",Registered!AE2588&amp;" Bandanas"))</f>
        <v/>
      </c>
      <c r="AV2588" s="3">
        <f t="shared" si="122"/>
        <v>4</v>
      </c>
      <c r="AW2588" s="2" t="str">
        <f>IF(Registered!AV2588=0,"",IF(Registered!AV2588=1,Registered!AV2588&amp;" Meal",Registered!AV2588&amp;" Meals"))</f>
        <v>4 Meals</v>
      </c>
      <c r="AX2588" s="2" t="str">
        <f>IF(Registered!AI2588=0,"",Registered!AI2588&amp;" BG")</f>
        <v/>
      </c>
      <c r="AY2588" s="2" t="str">
        <f>IF(Registered!AG2588=0,"",Registered!AG2588&amp;" DustMask")</f>
        <v/>
      </c>
    </row>
    <row r="2589" spans="1:51" customFormat="1" x14ac:dyDescent="0.25">
      <c r="A2589" t="s">
        <v>453</v>
      </c>
      <c r="B2589" t="s">
        <v>2593</v>
      </c>
      <c r="C2589" t="s">
        <v>6090</v>
      </c>
      <c r="G2589" t="s">
        <v>377</v>
      </c>
      <c r="H2589" t="s">
        <v>2593</v>
      </c>
      <c r="I2589" t="s">
        <v>2595</v>
      </c>
      <c r="J2589" t="s">
        <v>37</v>
      </c>
      <c r="K2589" t="s">
        <v>32</v>
      </c>
      <c r="L2589" t="s">
        <v>35</v>
      </c>
      <c r="AQ2589">
        <v>0</v>
      </c>
      <c r="AR2589" s="3">
        <f t="shared" si="120"/>
        <v>0</v>
      </c>
      <c r="AS2589" s="3">
        <f t="shared" si="121"/>
        <v>0</v>
      </c>
      <c r="AT2589" s="3" t="str">
        <f>IF(OR(Registered!AM2589&gt;0,Registered!AO2589&gt;0),(IF(Registered!E2589=0,"Size Not Specified",Registered!E2589)),"")</f>
        <v/>
      </c>
      <c r="AU2589" s="3" t="str">
        <f>IF(Registered!AE2589=0,"",IF(Registered!AE2589=1,Registered!AE2589&amp;" Bandana",Registered!AE2589&amp;" Bandanas"))</f>
        <v/>
      </c>
      <c r="AV2589" s="3">
        <f t="shared" si="122"/>
        <v>0</v>
      </c>
      <c r="AW2589" s="2" t="str">
        <f>IF(Registered!AV2589=0,"",IF(Registered!AV2589=1,Registered!AV2589&amp;" Meal",Registered!AV2589&amp;" Meals"))</f>
        <v/>
      </c>
      <c r="AX2589" s="2" t="str">
        <f>IF(Registered!AI2589=0,"",Registered!AI2589&amp;" BG")</f>
        <v/>
      </c>
      <c r="AY2589" s="2" t="str">
        <f>IF(Registered!AG2589=0,"",Registered!AG2589&amp;" DustMask")</f>
        <v/>
      </c>
    </row>
    <row r="2590" spans="1:51" customFormat="1" x14ac:dyDescent="0.25">
      <c r="A2590" t="s">
        <v>103</v>
      </c>
      <c r="B2590" t="s">
        <v>2593</v>
      </c>
      <c r="C2590" t="s">
        <v>6090</v>
      </c>
      <c r="G2590" t="s">
        <v>377</v>
      </c>
      <c r="H2590" t="s">
        <v>2593</v>
      </c>
      <c r="I2590" t="s">
        <v>2595</v>
      </c>
      <c r="J2590" t="s">
        <v>37</v>
      </c>
      <c r="K2590" t="s">
        <v>32</v>
      </c>
      <c r="L2590" t="s">
        <v>35</v>
      </c>
      <c r="AQ2590">
        <v>0</v>
      </c>
      <c r="AR2590" s="3">
        <f t="shared" si="120"/>
        <v>0</v>
      </c>
      <c r="AS2590" s="3">
        <f t="shared" si="121"/>
        <v>0</v>
      </c>
      <c r="AT2590" s="3" t="str">
        <f>IF(OR(Registered!AM2590&gt;0,Registered!AO2590&gt;0),(IF(Registered!E2590=0,"Size Not Specified",Registered!E2590)),"")</f>
        <v/>
      </c>
      <c r="AU2590" s="3" t="str">
        <f>IF(Registered!AE2590=0,"",IF(Registered!AE2590=1,Registered!AE2590&amp;" Bandana",Registered!AE2590&amp;" Bandanas"))</f>
        <v/>
      </c>
      <c r="AV2590" s="3">
        <f t="shared" si="122"/>
        <v>0</v>
      </c>
      <c r="AW2590" s="2" t="str">
        <f>IF(Registered!AV2590=0,"",IF(Registered!AV2590=1,Registered!AV2590&amp;" Meal",Registered!AV2590&amp;" Meals"))</f>
        <v/>
      </c>
      <c r="AX2590" s="2" t="str">
        <f>IF(Registered!AI2590=0,"",Registered!AI2590&amp;" BG")</f>
        <v/>
      </c>
      <c r="AY2590" s="2" t="str">
        <f>IF(Registered!AG2590=0,"",Registered!AG2590&amp;" DustMask")</f>
        <v/>
      </c>
    </row>
    <row r="2591" spans="1:51" customFormat="1" x14ac:dyDescent="0.25">
      <c r="A2591" t="s">
        <v>1688</v>
      </c>
      <c r="B2591" t="s">
        <v>2593</v>
      </c>
      <c r="C2591" t="s">
        <v>6090</v>
      </c>
      <c r="G2591" t="s">
        <v>377</v>
      </c>
      <c r="H2591" t="s">
        <v>2593</v>
      </c>
      <c r="I2591" t="s">
        <v>2595</v>
      </c>
      <c r="J2591" t="s">
        <v>37</v>
      </c>
      <c r="K2591" t="s">
        <v>32</v>
      </c>
      <c r="L2591" t="s">
        <v>35</v>
      </c>
      <c r="AQ2591">
        <v>0</v>
      </c>
      <c r="AR2591" s="3">
        <f t="shared" si="120"/>
        <v>0</v>
      </c>
      <c r="AS2591" s="3">
        <f t="shared" si="121"/>
        <v>0</v>
      </c>
      <c r="AT2591" s="3" t="str">
        <f>IF(OR(Registered!AM2591&gt;0,Registered!AO2591&gt;0),(IF(Registered!E2591=0,"Size Not Specified",Registered!E2591)),"")</f>
        <v/>
      </c>
      <c r="AU2591" s="3" t="str">
        <f>IF(Registered!AE2591=0,"",IF(Registered!AE2591=1,Registered!AE2591&amp;" Bandana",Registered!AE2591&amp;" Bandanas"))</f>
        <v/>
      </c>
      <c r="AV2591" s="3">
        <f t="shared" si="122"/>
        <v>0</v>
      </c>
      <c r="AW2591" s="2" t="str">
        <f>IF(Registered!AV2591=0,"",IF(Registered!AV2591=1,Registered!AV2591&amp;" Meal",Registered!AV2591&amp;" Meals"))</f>
        <v/>
      </c>
      <c r="AX2591" s="2" t="str">
        <f>IF(Registered!AI2591=0,"",Registered!AI2591&amp;" BG")</f>
        <v/>
      </c>
      <c r="AY2591" s="2" t="str">
        <f>IF(Registered!AG2591=0,"",Registered!AG2591&amp;" DustMask")</f>
        <v/>
      </c>
    </row>
    <row r="2592" spans="1:51" customFormat="1" x14ac:dyDescent="0.25">
      <c r="A2592" t="s">
        <v>212</v>
      </c>
      <c r="B2592" t="s">
        <v>5029</v>
      </c>
      <c r="C2592" t="s">
        <v>6090</v>
      </c>
      <c r="D2592" t="s">
        <v>5945</v>
      </c>
      <c r="F2592" t="s">
        <v>261</v>
      </c>
      <c r="I2592" t="s">
        <v>5030</v>
      </c>
      <c r="J2592" t="s">
        <v>37</v>
      </c>
      <c r="K2592" t="s">
        <v>32</v>
      </c>
      <c r="L2592" t="s">
        <v>35</v>
      </c>
      <c r="Q2592">
        <v>2</v>
      </c>
      <c r="R2592">
        <v>3</v>
      </c>
      <c r="AC2592">
        <v>2</v>
      </c>
      <c r="AD2592">
        <v>10</v>
      </c>
      <c r="AE2592">
        <v>1</v>
      </c>
      <c r="AF2592">
        <v>6</v>
      </c>
      <c r="AQ2592">
        <v>32</v>
      </c>
      <c r="AR2592" s="3">
        <f t="shared" si="120"/>
        <v>10</v>
      </c>
      <c r="AS2592" s="3">
        <f t="shared" si="121"/>
        <v>0</v>
      </c>
      <c r="AT2592" s="3" t="str">
        <f>IF(OR(Registered!AM2592&gt;0,Registered!AO2592&gt;0),(IF(Registered!E2592=0,"Size Not Specified",Registered!E2592)),"")</f>
        <v/>
      </c>
      <c r="AU2592" s="3" t="str">
        <f>IF(Registered!AE2592=0,"",IF(Registered!AE2592=1,Registered!AE2592&amp;" Bandana",Registered!AE2592&amp;" Bandanas"))</f>
        <v>1 Bandana</v>
      </c>
      <c r="AV2592" s="3">
        <f t="shared" si="122"/>
        <v>0</v>
      </c>
      <c r="AW2592" s="2" t="str">
        <f>IF(Registered!AV2592=0,"",IF(Registered!AV2592=1,Registered!AV2592&amp;" Meal",Registered!AV2592&amp;" Meals"))</f>
        <v/>
      </c>
      <c r="AX2592" s="2" t="str">
        <f>IF(Registered!AI2592=0,"",Registered!AI2592&amp;" BG")</f>
        <v/>
      </c>
      <c r="AY2592" s="2" t="str">
        <f>IF(Registered!AG2592=0,"",Registered!AG2592&amp;" DustMask")</f>
        <v/>
      </c>
    </row>
    <row r="2593" spans="1:51" customFormat="1" x14ac:dyDescent="0.25">
      <c r="A2593" t="s">
        <v>4662</v>
      </c>
      <c r="B2593" t="s">
        <v>5029</v>
      </c>
      <c r="C2593" t="s">
        <v>6090</v>
      </c>
      <c r="D2593" t="s">
        <v>5946</v>
      </c>
      <c r="F2593" t="s">
        <v>261</v>
      </c>
      <c r="I2593" t="s">
        <v>5947</v>
      </c>
      <c r="J2593" t="s">
        <v>37</v>
      </c>
      <c r="K2593" t="s">
        <v>32</v>
      </c>
      <c r="L2593" t="s">
        <v>35</v>
      </c>
      <c r="Q2593">
        <v>1</v>
      </c>
      <c r="R2593">
        <v>3</v>
      </c>
      <c r="U2593">
        <v>1</v>
      </c>
      <c r="V2593">
        <v>20</v>
      </c>
      <c r="AK2593">
        <v>1</v>
      </c>
      <c r="AL2593">
        <v>6</v>
      </c>
      <c r="AQ2593">
        <v>29</v>
      </c>
      <c r="AR2593" s="3">
        <f t="shared" si="120"/>
        <v>10</v>
      </c>
      <c r="AS2593" s="3">
        <f t="shared" si="121"/>
        <v>0</v>
      </c>
      <c r="AT2593" s="3" t="str">
        <f>IF(OR(Registered!AM2593&gt;0,Registered!AO2593&gt;0),(IF(Registered!E2593=0,"Size Not Specified",Registered!E2593)),"")</f>
        <v/>
      </c>
      <c r="AU2593" s="3" t="str">
        <f>IF(Registered!AE2593=0,"",IF(Registered!AE2593=1,Registered!AE2593&amp;" Bandana",Registered!AE2593&amp;" Bandanas"))</f>
        <v/>
      </c>
      <c r="AV2593" s="3">
        <f t="shared" si="122"/>
        <v>1</v>
      </c>
      <c r="AW2593" s="2" t="str">
        <f>IF(Registered!AV2593=0,"",IF(Registered!AV2593=1,Registered!AV2593&amp;" Meal",Registered!AV2593&amp;" Meals"))</f>
        <v>1 Meal</v>
      </c>
      <c r="AX2593" s="2" t="str">
        <f>IF(Registered!AI2593=0,"",Registered!AI2593&amp;" BG")</f>
        <v/>
      </c>
      <c r="AY2593" s="2" t="str">
        <f>IF(Registered!AG2593=0,"",Registered!AG2593&amp;" DustMask")</f>
        <v/>
      </c>
    </row>
    <row r="2594" spans="1:51" customFormat="1" x14ac:dyDescent="0.25">
      <c r="A2594" t="s">
        <v>92</v>
      </c>
      <c r="B2594" t="s">
        <v>2596</v>
      </c>
      <c r="C2594" t="s">
        <v>6090</v>
      </c>
      <c r="G2594" t="s">
        <v>214</v>
      </c>
      <c r="H2594" t="s">
        <v>267</v>
      </c>
      <c r="I2594" t="s">
        <v>2597</v>
      </c>
      <c r="J2594" t="s">
        <v>37</v>
      </c>
      <c r="K2594" t="s">
        <v>32</v>
      </c>
      <c r="L2594" t="s">
        <v>35</v>
      </c>
      <c r="AQ2594">
        <v>0</v>
      </c>
      <c r="AR2594" s="3">
        <f t="shared" si="120"/>
        <v>0</v>
      </c>
      <c r="AS2594" s="3">
        <f t="shared" si="121"/>
        <v>0</v>
      </c>
      <c r="AT2594" s="3" t="str">
        <f>IF(OR(Registered!AM2594&gt;0,Registered!AO2594&gt;0),(IF(Registered!E2594=0,"Size Not Specified",Registered!E2594)),"")</f>
        <v/>
      </c>
      <c r="AU2594" s="3" t="str">
        <f>IF(Registered!AE2594=0,"",IF(Registered!AE2594=1,Registered!AE2594&amp;" Bandana",Registered!AE2594&amp;" Bandanas"))</f>
        <v/>
      </c>
      <c r="AV2594" s="3">
        <f t="shared" si="122"/>
        <v>0</v>
      </c>
      <c r="AW2594" s="2" t="str">
        <f>IF(Registered!AV2594=0,"",IF(Registered!AV2594=1,Registered!AV2594&amp;" Meal",Registered!AV2594&amp;" Meals"))</f>
        <v/>
      </c>
      <c r="AX2594" s="2" t="str">
        <f>IF(Registered!AI2594=0,"",Registered!AI2594&amp;" BG")</f>
        <v/>
      </c>
      <c r="AY2594" s="2" t="str">
        <f>IF(Registered!AG2594=0,"",Registered!AG2594&amp;" DustMask")</f>
        <v/>
      </c>
    </row>
    <row r="2595" spans="1:51" customFormat="1" x14ac:dyDescent="0.25">
      <c r="A2595" t="s">
        <v>170</v>
      </c>
      <c r="B2595" t="s">
        <v>1445</v>
      </c>
      <c r="C2595" t="s">
        <v>6090</v>
      </c>
      <c r="D2595" t="s">
        <v>2598</v>
      </c>
      <c r="F2595" t="s">
        <v>261</v>
      </c>
      <c r="I2595" t="s">
        <v>1446</v>
      </c>
      <c r="J2595" t="s">
        <v>37</v>
      </c>
      <c r="K2595" t="s">
        <v>32</v>
      </c>
      <c r="L2595" t="s">
        <v>35</v>
      </c>
      <c r="S2595">
        <v>5</v>
      </c>
      <c r="T2595">
        <v>3</v>
      </c>
      <c r="W2595">
        <v>1</v>
      </c>
      <c r="X2595">
        <v>40</v>
      </c>
      <c r="AC2595">
        <v>1</v>
      </c>
      <c r="AD2595">
        <v>10</v>
      </c>
      <c r="AQ2595">
        <v>65</v>
      </c>
      <c r="AR2595" s="3">
        <f t="shared" si="120"/>
        <v>25</v>
      </c>
      <c r="AS2595" s="3">
        <f t="shared" si="121"/>
        <v>0</v>
      </c>
      <c r="AT2595" s="3" t="str">
        <f>IF(OR(Registered!AM2595&gt;0,Registered!AO2595&gt;0),(IF(Registered!E2595=0,"Size Not Specified",Registered!E2595)),"")</f>
        <v/>
      </c>
      <c r="AU2595" s="3" t="str">
        <f>IF(Registered!AE2595=0,"",IF(Registered!AE2595=1,Registered!AE2595&amp;" Bandana",Registered!AE2595&amp;" Bandanas"))</f>
        <v/>
      </c>
      <c r="AV2595" s="3">
        <f t="shared" si="122"/>
        <v>0</v>
      </c>
      <c r="AW2595" s="2" t="str">
        <f>IF(Registered!AV2595=0,"",IF(Registered!AV2595=1,Registered!AV2595&amp;" Meal",Registered!AV2595&amp;" Meals"))</f>
        <v/>
      </c>
      <c r="AX2595" s="2" t="str">
        <f>IF(Registered!AI2595=0,"",Registered!AI2595&amp;" BG")</f>
        <v/>
      </c>
      <c r="AY2595" s="2" t="str">
        <f>IF(Registered!AG2595=0,"",Registered!AG2595&amp;" DustMask")</f>
        <v/>
      </c>
    </row>
    <row r="2596" spans="1:51" customFormat="1" x14ac:dyDescent="0.25">
      <c r="A2596" t="s">
        <v>4169</v>
      </c>
      <c r="B2596" t="s">
        <v>5948</v>
      </c>
      <c r="C2596" t="s">
        <v>6090</v>
      </c>
      <c r="G2596" t="s">
        <v>253</v>
      </c>
      <c r="H2596" t="s">
        <v>291</v>
      </c>
      <c r="I2596" t="s">
        <v>4949</v>
      </c>
      <c r="J2596" t="s">
        <v>37</v>
      </c>
      <c r="K2596" t="s">
        <v>32</v>
      </c>
      <c r="L2596" t="s">
        <v>35</v>
      </c>
      <c r="AQ2596">
        <v>0</v>
      </c>
      <c r="AR2596" s="3">
        <f t="shared" si="120"/>
        <v>0</v>
      </c>
      <c r="AS2596" s="3">
        <f t="shared" si="121"/>
        <v>0</v>
      </c>
      <c r="AT2596" s="3" t="str">
        <f>IF(OR(Registered!AM2596&gt;0,Registered!AO2596&gt;0),(IF(Registered!E2596=0,"Size Not Specified",Registered!E2596)),"")</f>
        <v/>
      </c>
      <c r="AU2596" s="3" t="str">
        <f>IF(Registered!AE2596=0,"",IF(Registered!AE2596=1,Registered!AE2596&amp;" Bandana",Registered!AE2596&amp;" Bandanas"))</f>
        <v/>
      </c>
      <c r="AV2596" s="3">
        <f t="shared" si="122"/>
        <v>0</v>
      </c>
      <c r="AW2596" s="2" t="str">
        <f>IF(Registered!AV2596=0,"",IF(Registered!AV2596=1,Registered!AV2596&amp;" Meal",Registered!AV2596&amp;" Meals"))</f>
        <v/>
      </c>
      <c r="AX2596" s="2" t="str">
        <f>IF(Registered!AI2596=0,"",Registered!AI2596&amp;" BG")</f>
        <v/>
      </c>
      <c r="AY2596" s="2" t="str">
        <f>IF(Registered!AG2596=0,"",Registered!AG2596&amp;" DustMask")</f>
        <v/>
      </c>
    </row>
    <row r="2597" spans="1:51" customFormat="1" x14ac:dyDescent="0.25">
      <c r="A2597" t="s">
        <v>2717</v>
      </c>
      <c r="B2597" t="s">
        <v>3486</v>
      </c>
      <c r="C2597" t="s">
        <v>6090</v>
      </c>
      <c r="G2597" t="s">
        <v>2917</v>
      </c>
      <c r="H2597" t="s">
        <v>460</v>
      </c>
      <c r="I2597" t="s">
        <v>2918</v>
      </c>
      <c r="J2597" t="s">
        <v>37</v>
      </c>
      <c r="K2597" t="s">
        <v>32</v>
      </c>
      <c r="L2597" t="s">
        <v>35</v>
      </c>
      <c r="AQ2597">
        <v>0</v>
      </c>
      <c r="AR2597" s="3">
        <f t="shared" si="120"/>
        <v>0</v>
      </c>
      <c r="AS2597" s="3">
        <f t="shared" si="121"/>
        <v>0</v>
      </c>
      <c r="AT2597" s="3" t="str">
        <f>IF(OR(Registered!AM2597&gt;0,Registered!AO2597&gt;0),(IF(Registered!E2597=0,"Size Not Specified",Registered!E2597)),"")</f>
        <v/>
      </c>
      <c r="AU2597" s="3" t="str">
        <f>IF(Registered!AE2597=0,"",IF(Registered!AE2597=1,Registered!AE2597&amp;" Bandana",Registered!AE2597&amp;" Bandanas"))</f>
        <v/>
      </c>
      <c r="AV2597" s="3">
        <f t="shared" si="122"/>
        <v>0</v>
      </c>
      <c r="AW2597" s="2" t="str">
        <f>IF(Registered!AV2597=0,"",IF(Registered!AV2597=1,Registered!AV2597&amp;" Meal",Registered!AV2597&amp;" Meals"))</f>
        <v/>
      </c>
      <c r="AX2597" s="2" t="str">
        <f>IF(Registered!AI2597=0,"",Registered!AI2597&amp;" BG")</f>
        <v/>
      </c>
      <c r="AY2597" s="2" t="str">
        <f>IF(Registered!AG2597=0,"",Registered!AG2597&amp;" DustMask")</f>
        <v/>
      </c>
    </row>
    <row r="2598" spans="1:51" customFormat="1" x14ac:dyDescent="0.25">
      <c r="A2598" t="s">
        <v>1724</v>
      </c>
      <c r="B2598" t="s">
        <v>2599</v>
      </c>
      <c r="C2598" t="s">
        <v>6090</v>
      </c>
      <c r="G2598" t="s">
        <v>116</v>
      </c>
      <c r="H2598" t="s">
        <v>826</v>
      </c>
      <c r="I2598" t="s">
        <v>828</v>
      </c>
      <c r="J2598" t="s">
        <v>37</v>
      </c>
      <c r="K2598" t="s">
        <v>32</v>
      </c>
      <c r="L2598" t="s">
        <v>35</v>
      </c>
      <c r="AQ2598">
        <v>0</v>
      </c>
      <c r="AR2598" s="3">
        <f t="shared" si="120"/>
        <v>0</v>
      </c>
      <c r="AS2598" s="3">
        <f t="shared" si="121"/>
        <v>0</v>
      </c>
      <c r="AT2598" s="3" t="str">
        <f>IF(OR(Registered!AM2598&gt;0,Registered!AO2598&gt;0),(IF(Registered!E2598=0,"Size Not Specified",Registered!E2598)),"")</f>
        <v/>
      </c>
      <c r="AU2598" s="3" t="str">
        <f>IF(Registered!AE2598=0,"",IF(Registered!AE2598=1,Registered!AE2598&amp;" Bandana",Registered!AE2598&amp;" Bandanas"))</f>
        <v/>
      </c>
      <c r="AV2598" s="3">
        <f t="shared" si="122"/>
        <v>0</v>
      </c>
      <c r="AW2598" s="2" t="str">
        <f>IF(Registered!AV2598=0,"",IF(Registered!AV2598=1,Registered!AV2598&amp;" Meal",Registered!AV2598&amp;" Meals"))</f>
        <v/>
      </c>
      <c r="AX2598" s="2" t="str">
        <f>IF(Registered!AI2598=0,"",Registered!AI2598&amp;" BG")</f>
        <v/>
      </c>
      <c r="AY2598" s="2" t="str">
        <f>IF(Registered!AG2598=0,"",Registered!AG2598&amp;" DustMask")</f>
        <v/>
      </c>
    </row>
    <row r="2599" spans="1:51" customFormat="1" x14ac:dyDescent="0.25">
      <c r="A2599" t="s">
        <v>248</v>
      </c>
      <c r="B2599" t="s">
        <v>342</v>
      </c>
      <c r="C2599" t="s">
        <v>6090</v>
      </c>
      <c r="G2599" t="s">
        <v>3087</v>
      </c>
      <c r="H2599" t="s">
        <v>3088</v>
      </c>
      <c r="I2599" t="s">
        <v>3089</v>
      </c>
      <c r="J2599" t="s">
        <v>37</v>
      </c>
      <c r="K2599" t="s">
        <v>32</v>
      </c>
      <c r="L2599" t="s">
        <v>35</v>
      </c>
      <c r="AQ2599">
        <v>0</v>
      </c>
      <c r="AR2599" s="3">
        <f t="shared" si="120"/>
        <v>0</v>
      </c>
      <c r="AS2599" s="3">
        <f t="shared" si="121"/>
        <v>0</v>
      </c>
      <c r="AT2599" s="3" t="str">
        <f>IF(OR(Registered!AM2599&gt;0,Registered!AO2599&gt;0),(IF(Registered!E2599=0,"Size Not Specified",Registered!E2599)),"")</f>
        <v/>
      </c>
      <c r="AU2599" s="3" t="str">
        <f>IF(Registered!AE2599=0,"",IF(Registered!AE2599=1,Registered!AE2599&amp;" Bandana",Registered!AE2599&amp;" Bandanas"))</f>
        <v/>
      </c>
      <c r="AV2599" s="3">
        <f t="shared" si="122"/>
        <v>0</v>
      </c>
      <c r="AW2599" s="2" t="str">
        <f>IF(Registered!AV2599=0,"",IF(Registered!AV2599=1,Registered!AV2599&amp;" Meal",Registered!AV2599&amp;" Meals"))</f>
        <v/>
      </c>
      <c r="AX2599" s="2" t="str">
        <f>IF(Registered!AI2599=0,"",Registered!AI2599&amp;" BG")</f>
        <v/>
      </c>
      <c r="AY2599" s="2" t="str">
        <f>IF(Registered!AG2599=0,"",Registered!AG2599&amp;" DustMask")</f>
        <v/>
      </c>
    </row>
    <row r="2600" spans="1:51" customFormat="1" x14ac:dyDescent="0.25">
      <c r="A2600" t="s">
        <v>2600</v>
      </c>
      <c r="B2600" t="s">
        <v>342</v>
      </c>
      <c r="C2600" t="s">
        <v>6090</v>
      </c>
      <c r="G2600" t="s">
        <v>586</v>
      </c>
      <c r="H2600" t="s">
        <v>587</v>
      </c>
      <c r="I2600" t="s">
        <v>588</v>
      </c>
      <c r="J2600" t="s">
        <v>37</v>
      </c>
      <c r="K2600" t="s">
        <v>32</v>
      </c>
      <c r="L2600" t="s">
        <v>35</v>
      </c>
      <c r="AQ2600">
        <v>0</v>
      </c>
      <c r="AR2600" s="3">
        <f t="shared" si="120"/>
        <v>0</v>
      </c>
      <c r="AS2600" s="3">
        <f t="shared" si="121"/>
        <v>0</v>
      </c>
      <c r="AT2600" s="3" t="str">
        <f>IF(OR(Registered!AM2600&gt;0,Registered!AO2600&gt;0),(IF(Registered!E2600=0,"Size Not Specified",Registered!E2600)),"")</f>
        <v/>
      </c>
      <c r="AU2600" s="3" t="str">
        <f>IF(Registered!AE2600=0,"",IF(Registered!AE2600=1,Registered!AE2600&amp;" Bandana",Registered!AE2600&amp;" Bandanas"))</f>
        <v/>
      </c>
      <c r="AV2600" s="3">
        <f t="shared" si="122"/>
        <v>0</v>
      </c>
      <c r="AW2600" s="2" t="str">
        <f>IF(Registered!AV2600=0,"",IF(Registered!AV2600=1,Registered!AV2600&amp;" Meal",Registered!AV2600&amp;" Meals"))</f>
        <v/>
      </c>
      <c r="AX2600" s="2" t="str">
        <f>IF(Registered!AI2600=0,"",Registered!AI2600&amp;" BG")</f>
        <v/>
      </c>
      <c r="AY2600" s="2" t="str">
        <f>IF(Registered!AG2600=0,"",Registered!AG2600&amp;" DustMask")</f>
        <v/>
      </c>
    </row>
    <row r="2601" spans="1:51" customFormat="1" x14ac:dyDescent="0.25">
      <c r="A2601" t="s">
        <v>151</v>
      </c>
      <c r="B2601" t="s">
        <v>342</v>
      </c>
      <c r="C2601" t="s">
        <v>6090</v>
      </c>
      <c r="G2601" t="s">
        <v>1158</v>
      </c>
      <c r="H2601" t="s">
        <v>4779</v>
      </c>
      <c r="I2601" t="s">
        <v>4780</v>
      </c>
      <c r="J2601" t="s">
        <v>37</v>
      </c>
      <c r="K2601" t="s">
        <v>32</v>
      </c>
      <c r="L2601" t="s">
        <v>35</v>
      </c>
      <c r="AQ2601">
        <v>0</v>
      </c>
      <c r="AR2601" s="3">
        <f t="shared" si="120"/>
        <v>0</v>
      </c>
      <c r="AS2601" s="3">
        <f t="shared" si="121"/>
        <v>0</v>
      </c>
      <c r="AT2601" s="3" t="str">
        <f>IF(OR(Registered!AM2601&gt;0,Registered!AO2601&gt;0),(IF(Registered!E2601=0,"Size Not Specified",Registered!E2601)),"")</f>
        <v/>
      </c>
      <c r="AU2601" s="3" t="str">
        <f>IF(Registered!AE2601=0,"",IF(Registered!AE2601=1,Registered!AE2601&amp;" Bandana",Registered!AE2601&amp;" Bandanas"))</f>
        <v/>
      </c>
      <c r="AV2601" s="3">
        <f t="shared" si="122"/>
        <v>0</v>
      </c>
      <c r="AW2601" s="2" t="str">
        <f>IF(Registered!AV2601=0,"",IF(Registered!AV2601=1,Registered!AV2601&amp;" Meal",Registered!AV2601&amp;" Meals"))</f>
        <v/>
      </c>
      <c r="AX2601" s="2" t="str">
        <f>IF(Registered!AI2601=0,"",Registered!AI2601&amp;" BG")</f>
        <v/>
      </c>
      <c r="AY2601" s="2" t="str">
        <f>IF(Registered!AG2601=0,"",Registered!AG2601&amp;" DustMask")</f>
        <v/>
      </c>
    </row>
    <row r="2602" spans="1:51" customFormat="1" x14ac:dyDescent="0.25">
      <c r="A2602" t="s">
        <v>2601</v>
      </c>
      <c r="B2602" t="s">
        <v>342</v>
      </c>
      <c r="C2602" t="s">
        <v>6090</v>
      </c>
      <c r="D2602" t="s">
        <v>2601</v>
      </c>
      <c r="E2602" t="s">
        <v>201</v>
      </c>
      <c r="F2602" t="s">
        <v>261</v>
      </c>
      <c r="I2602" t="s">
        <v>2602</v>
      </c>
      <c r="J2602" t="s">
        <v>37</v>
      </c>
      <c r="K2602" t="s">
        <v>32</v>
      </c>
      <c r="L2602" t="s">
        <v>35</v>
      </c>
      <c r="Q2602">
        <v>1</v>
      </c>
      <c r="R2602">
        <v>3</v>
      </c>
      <c r="AC2602">
        <v>1</v>
      </c>
      <c r="AD2602">
        <v>10</v>
      </c>
      <c r="AO2602">
        <v>1</v>
      </c>
      <c r="AP2602">
        <v>10</v>
      </c>
      <c r="AQ2602">
        <v>23</v>
      </c>
      <c r="AR2602" s="3">
        <f t="shared" si="120"/>
        <v>5</v>
      </c>
      <c r="AS2602" s="3">
        <f t="shared" si="121"/>
        <v>1</v>
      </c>
      <c r="AT2602" s="3" t="str">
        <f>IF(OR(Registered!AM2602&gt;0,Registered!AO2602&gt;0),(IF(Registered!E2602=0,"Size Not Specified",Registered!E2602)),"")</f>
        <v>XL</v>
      </c>
      <c r="AU2602" s="3" t="str">
        <f>IF(Registered!AE2602=0,"",IF(Registered!AE2602=1,Registered!AE2602&amp;" Bandana",Registered!AE2602&amp;" Bandanas"))</f>
        <v/>
      </c>
      <c r="AV2602" s="3">
        <f t="shared" si="122"/>
        <v>0</v>
      </c>
      <c r="AW2602" s="2" t="str">
        <f>IF(Registered!AV2602=0,"",IF(Registered!AV2602=1,Registered!AV2602&amp;" Meal",Registered!AV2602&amp;" Meals"))</f>
        <v/>
      </c>
      <c r="AX2602" s="2" t="str">
        <f>IF(Registered!AI2602=0,"",Registered!AI2602&amp;" BG")</f>
        <v/>
      </c>
      <c r="AY2602" s="2" t="str">
        <f>IF(Registered!AG2602=0,"",Registered!AG2602&amp;" DustMask")</f>
        <v/>
      </c>
    </row>
    <row r="2603" spans="1:51" customFormat="1" x14ac:dyDescent="0.25">
      <c r="A2603" t="s">
        <v>143</v>
      </c>
      <c r="B2603" t="s">
        <v>342</v>
      </c>
      <c r="C2603" t="s">
        <v>6090</v>
      </c>
      <c r="G2603" t="s">
        <v>4208</v>
      </c>
      <c r="H2603" t="s">
        <v>4209</v>
      </c>
      <c r="I2603" t="s">
        <v>4210</v>
      </c>
      <c r="J2603" t="s">
        <v>37</v>
      </c>
      <c r="K2603" t="s">
        <v>32</v>
      </c>
      <c r="L2603" t="s">
        <v>35</v>
      </c>
      <c r="AQ2603">
        <v>0</v>
      </c>
      <c r="AR2603" s="3">
        <f t="shared" si="120"/>
        <v>0</v>
      </c>
      <c r="AS2603" s="3">
        <f t="shared" si="121"/>
        <v>0</v>
      </c>
      <c r="AT2603" s="3" t="str">
        <f>IF(OR(Registered!AM2603&gt;0,Registered!AO2603&gt;0),(IF(Registered!E2603=0,"Size Not Specified",Registered!E2603)),"")</f>
        <v/>
      </c>
      <c r="AU2603" s="3" t="str">
        <f>IF(Registered!AE2603=0,"",IF(Registered!AE2603=1,Registered!AE2603&amp;" Bandana",Registered!AE2603&amp;" Bandanas"))</f>
        <v/>
      </c>
      <c r="AV2603" s="3">
        <f t="shared" si="122"/>
        <v>0</v>
      </c>
      <c r="AW2603" s="2" t="str">
        <f>IF(Registered!AV2603=0,"",IF(Registered!AV2603=1,Registered!AV2603&amp;" Meal",Registered!AV2603&amp;" Meals"))</f>
        <v/>
      </c>
      <c r="AX2603" s="2" t="str">
        <f>IF(Registered!AI2603=0,"",Registered!AI2603&amp;" BG")</f>
        <v/>
      </c>
      <c r="AY2603" s="2" t="str">
        <f>IF(Registered!AG2603=0,"",Registered!AG2603&amp;" DustMask")</f>
        <v/>
      </c>
    </row>
    <row r="2604" spans="1:51" customFormat="1" x14ac:dyDescent="0.25">
      <c r="A2604" t="s">
        <v>2603</v>
      </c>
      <c r="B2604" t="s">
        <v>342</v>
      </c>
      <c r="C2604" t="s">
        <v>6090</v>
      </c>
      <c r="D2604" t="s">
        <v>2603</v>
      </c>
      <c r="F2604" t="s">
        <v>261</v>
      </c>
      <c r="I2604" t="s">
        <v>2604</v>
      </c>
      <c r="J2604" t="s">
        <v>37</v>
      </c>
      <c r="K2604" t="s">
        <v>32</v>
      </c>
      <c r="L2604" t="s">
        <v>35</v>
      </c>
      <c r="Q2604">
        <v>1</v>
      </c>
      <c r="R2604">
        <v>3</v>
      </c>
      <c r="W2604">
        <v>1</v>
      </c>
      <c r="X2604">
        <v>40</v>
      </c>
      <c r="AA2604">
        <v>1</v>
      </c>
      <c r="AB2604">
        <v>75</v>
      </c>
      <c r="AQ2604">
        <v>118</v>
      </c>
      <c r="AR2604" s="3">
        <f t="shared" si="120"/>
        <v>60</v>
      </c>
      <c r="AS2604" s="3">
        <f t="shared" si="121"/>
        <v>0</v>
      </c>
      <c r="AT2604" s="3" t="str">
        <f>IF(OR(Registered!AM2604&gt;0,Registered!AO2604&gt;0),(IF(Registered!E2604=0,"Size Not Specified",Registered!E2604)),"")</f>
        <v/>
      </c>
      <c r="AU2604" s="3" t="str">
        <f>IF(Registered!AE2604=0,"",IF(Registered!AE2604=1,Registered!AE2604&amp;" Bandana",Registered!AE2604&amp;" Bandanas"))</f>
        <v/>
      </c>
      <c r="AV2604" s="3">
        <f t="shared" si="122"/>
        <v>0</v>
      </c>
      <c r="AW2604" s="2" t="str">
        <f>IF(Registered!AV2604=0,"",IF(Registered!AV2604=1,Registered!AV2604&amp;" Meal",Registered!AV2604&amp;" Meals"))</f>
        <v/>
      </c>
      <c r="AX2604" s="2" t="str">
        <f>IF(Registered!AI2604=0,"",Registered!AI2604&amp;" BG")</f>
        <v/>
      </c>
      <c r="AY2604" s="2" t="str">
        <f>IF(Registered!AG2604=0,"",Registered!AG2604&amp;" DustMask")</f>
        <v/>
      </c>
    </row>
    <row r="2605" spans="1:51" customFormat="1" x14ac:dyDescent="0.25">
      <c r="A2605" t="s">
        <v>133</v>
      </c>
      <c r="B2605" t="s">
        <v>3487</v>
      </c>
      <c r="C2605" t="s">
        <v>6090</v>
      </c>
      <c r="G2605" t="s">
        <v>137</v>
      </c>
      <c r="H2605" t="s">
        <v>3231</v>
      </c>
      <c r="I2605" t="s">
        <v>3232</v>
      </c>
      <c r="J2605" t="s">
        <v>37</v>
      </c>
      <c r="K2605" t="s">
        <v>32</v>
      </c>
      <c r="L2605" t="s">
        <v>35</v>
      </c>
      <c r="AQ2605">
        <v>0</v>
      </c>
      <c r="AR2605" s="3">
        <f t="shared" si="120"/>
        <v>0</v>
      </c>
      <c r="AS2605" s="3">
        <f t="shared" si="121"/>
        <v>0</v>
      </c>
      <c r="AT2605" s="3" t="str">
        <f>IF(OR(Registered!AM2605&gt;0,Registered!AO2605&gt;0),(IF(Registered!E2605=0,"Size Not Specified",Registered!E2605)),"")</f>
        <v/>
      </c>
      <c r="AU2605" s="3" t="str">
        <f>IF(Registered!AE2605=0,"",IF(Registered!AE2605=1,Registered!AE2605&amp;" Bandana",Registered!AE2605&amp;" Bandanas"))</f>
        <v/>
      </c>
      <c r="AV2605" s="3">
        <f t="shared" si="122"/>
        <v>0</v>
      </c>
      <c r="AW2605" s="2" t="str">
        <f>IF(Registered!AV2605=0,"",IF(Registered!AV2605=1,Registered!AV2605&amp;" Meal",Registered!AV2605&amp;" Meals"))</f>
        <v/>
      </c>
      <c r="AX2605" s="2" t="str">
        <f>IF(Registered!AI2605=0,"",Registered!AI2605&amp;" BG")</f>
        <v/>
      </c>
      <c r="AY2605" s="2" t="str">
        <f>IF(Registered!AG2605=0,"",Registered!AG2605&amp;" DustMask")</f>
        <v/>
      </c>
    </row>
    <row r="2606" spans="1:51" customFormat="1" x14ac:dyDescent="0.25">
      <c r="A2606" t="s">
        <v>1069</v>
      </c>
      <c r="B2606" t="s">
        <v>2606</v>
      </c>
      <c r="C2606" t="s">
        <v>6090</v>
      </c>
      <c r="F2606" t="s">
        <v>261</v>
      </c>
      <c r="I2606" t="s">
        <v>5949</v>
      </c>
      <c r="J2606" t="s">
        <v>37</v>
      </c>
      <c r="K2606" t="s">
        <v>32</v>
      </c>
      <c r="L2606" t="s">
        <v>35</v>
      </c>
      <c r="Q2606">
        <v>1</v>
      </c>
      <c r="R2606">
        <v>3</v>
      </c>
      <c r="AC2606">
        <v>1</v>
      </c>
      <c r="AD2606">
        <v>10</v>
      </c>
      <c r="AK2606">
        <v>1</v>
      </c>
      <c r="AL2606">
        <v>6</v>
      </c>
      <c r="AQ2606">
        <v>19</v>
      </c>
      <c r="AR2606" s="3">
        <f t="shared" si="120"/>
        <v>5</v>
      </c>
      <c r="AS2606" s="3">
        <f t="shared" si="121"/>
        <v>0</v>
      </c>
      <c r="AT2606" s="3" t="str">
        <f>IF(OR(Registered!AM2606&gt;0,Registered!AO2606&gt;0),(IF(Registered!E2606=0,"Size Not Specified",Registered!E2606)),"")</f>
        <v/>
      </c>
      <c r="AU2606" s="3" t="str">
        <f>IF(Registered!AE2606=0,"",IF(Registered!AE2606=1,Registered!AE2606&amp;" Bandana",Registered!AE2606&amp;" Bandanas"))</f>
        <v/>
      </c>
      <c r="AV2606" s="3">
        <f t="shared" si="122"/>
        <v>1</v>
      </c>
      <c r="AW2606" s="2" t="str">
        <f>IF(Registered!AV2606=0,"",IF(Registered!AV2606=1,Registered!AV2606&amp;" Meal",Registered!AV2606&amp;" Meals"))</f>
        <v>1 Meal</v>
      </c>
      <c r="AX2606" s="2" t="str">
        <f>IF(Registered!AI2606=0,"",Registered!AI2606&amp;" BG")</f>
        <v/>
      </c>
      <c r="AY2606" s="2" t="str">
        <f>IF(Registered!AG2606=0,"",Registered!AG2606&amp;" DustMask")</f>
        <v/>
      </c>
    </row>
    <row r="2607" spans="1:51" customFormat="1" x14ac:dyDescent="0.25">
      <c r="A2607" t="s">
        <v>5950</v>
      </c>
      <c r="B2607" t="s">
        <v>2055</v>
      </c>
      <c r="C2607" t="s">
        <v>6090</v>
      </c>
      <c r="G2607" t="s">
        <v>131</v>
      </c>
      <c r="H2607" t="s">
        <v>2055</v>
      </c>
      <c r="I2607" t="s">
        <v>5951</v>
      </c>
      <c r="J2607" t="s">
        <v>37</v>
      </c>
      <c r="K2607" t="s">
        <v>32</v>
      </c>
      <c r="L2607" t="s">
        <v>35</v>
      </c>
      <c r="AQ2607">
        <v>0</v>
      </c>
      <c r="AR2607" s="3">
        <f t="shared" si="120"/>
        <v>0</v>
      </c>
      <c r="AS2607" s="3">
        <f t="shared" si="121"/>
        <v>0</v>
      </c>
      <c r="AT2607" s="3" t="str">
        <f>IF(OR(Registered!AM2607&gt;0,Registered!AO2607&gt;0),(IF(Registered!E2607=0,"Size Not Specified",Registered!E2607)),"")</f>
        <v/>
      </c>
      <c r="AU2607" s="3" t="str">
        <f>IF(Registered!AE2607=0,"",IF(Registered!AE2607=1,Registered!AE2607&amp;" Bandana",Registered!AE2607&amp;" Bandanas"))</f>
        <v/>
      </c>
      <c r="AV2607" s="3">
        <f t="shared" si="122"/>
        <v>0</v>
      </c>
      <c r="AW2607" s="2" t="str">
        <f>IF(Registered!AV2607=0,"",IF(Registered!AV2607=1,Registered!AV2607&amp;" Meal",Registered!AV2607&amp;" Meals"))</f>
        <v/>
      </c>
      <c r="AX2607" s="2" t="str">
        <f>IF(Registered!AI2607=0,"",Registered!AI2607&amp;" BG")</f>
        <v/>
      </c>
      <c r="AY2607" s="2" t="str">
        <f>IF(Registered!AG2607=0,"",Registered!AG2607&amp;" DustMask")</f>
        <v/>
      </c>
    </row>
    <row r="2608" spans="1:51" customFormat="1" x14ac:dyDescent="0.25">
      <c r="A2608" t="s">
        <v>213</v>
      </c>
      <c r="B2608" t="s">
        <v>2055</v>
      </c>
      <c r="C2608" t="s">
        <v>6090</v>
      </c>
      <c r="F2608" t="s">
        <v>261</v>
      </c>
      <c r="I2608" t="s">
        <v>5952</v>
      </c>
      <c r="J2608" t="s">
        <v>37</v>
      </c>
      <c r="K2608" t="s">
        <v>32</v>
      </c>
      <c r="L2608" t="s">
        <v>35</v>
      </c>
      <c r="Q2608">
        <v>1</v>
      </c>
      <c r="R2608">
        <v>3</v>
      </c>
      <c r="AC2608">
        <v>1</v>
      </c>
      <c r="AD2608">
        <v>10</v>
      </c>
      <c r="AQ2608">
        <v>13</v>
      </c>
      <c r="AR2608" s="3">
        <f t="shared" si="120"/>
        <v>5</v>
      </c>
      <c r="AS2608" s="3">
        <f t="shared" si="121"/>
        <v>0</v>
      </c>
      <c r="AT2608" s="3" t="str">
        <f>IF(OR(Registered!AM2608&gt;0,Registered!AO2608&gt;0),(IF(Registered!E2608=0,"Size Not Specified",Registered!E2608)),"")</f>
        <v/>
      </c>
      <c r="AU2608" s="3" t="str">
        <f>IF(Registered!AE2608=0,"",IF(Registered!AE2608=1,Registered!AE2608&amp;" Bandana",Registered!AE2608&amp;" Bandanas"))</f>
        <v/>
      </c>
      <c r="AV2608" s="3">
        <f t="shared" si="122"/>
        <v>0</v>
      </c>
      <c r="AW2608" s="2" t="str">
        <f>IF(Registered!AV2608=0,"",IF(Registered!AV2608=1,Registered!AV2608&amp;" Meal",Registered!AV2608&amp;" Meals"))</f>
        <v/>
      </c>
      <c r="AX2608" s="2" t="str">
        <f>IF(Registered!AI2608=0,"",Registered!AI2608&amp;" BG")</f>
        <v/>
      </c>
      <c r="AY2608" s="2" t="str">
        <f>IF(Registered!AG2608=0,"",Registered!AG2608&amp;" DustMask")</f>
        <v/>
      </c>
    </row>
    <row r="2609" spans="1:51" customFormat="1" x14ac:dyDescent="0.25">
      <c r="A2609" t="s">
        <v>100</v>
      </c>
      <c r="B2609" t="s">
        <v>2055</v>
      </c>
      <c r="C2609" t="s">
        <v>6090</v>
      </c>
      <c r="G2609" t="s">
        <v>131</v>
      </c>
      <c r="H2609" t="s">
        <v>2055</v>
      </c>
      <c r="I2609" t="s">
        <v>5951</v>
      </c>
      <c r="J2609" t="s">
        <v>37</v>
      </c>
      <c r="K2609" t="s">
        <v>32</v>
      </c>
      <c r="L2609" t="s">
        <v>35</v>
      </c>
      <c r="AQ2609">
        <v>0</v>
      </c>
      <c r="AR2609" s="3">
        <f t="shared" si="120"/>
        <v>0</v>
      </c>
      <c r="AS2609" s="3">
        <f t="shared" si="121"/>
        <v>0</v>
      </c>
      <c r="AT2609" s="3" t="str">
        <f>IF(OR(Registered!AM2609&gt;0,Registered!AO2609&gt;0),(IF(Registered!E2609=0,"Size Not Specified",Registered!E2609)),"")</f>
        <v/>
      </c>
      <c r="AU2609" s="3" t="str">
        <f>IF(Registered!AE2609=0,"",IF(Registered!AE2609=1,Registered!AE2609&amp;" Bandana",Registered!AE2609&amp;" Bandanas"))</f>
        <v/>
      </c>
      <c r="AV2609" s="3">
        <f t="shared" si="122"/>
        <v>0</v>
      </c>
      <c r="AW2609" s="2" t="str">
        <f>IF(Registered!AV2609=0,"",IF(Registered!AV2609=1,Registered!AV2609&amp;" Meal",Registered!AV2609&amp;" Meals"))</f>
        <v/>
      </c>
      <c r="AX2609" s="2" t="str">
        <f>IF(Registered!AI2609=0,"",Registered!AI2609&amp;" BG")</f>
        <v/>
      </c>
      <c r="AY2609" s="2" t="str">
        <f>IF(Registered!AG2609=0,"",Registered!AG2609&amp;" DustMask")</f>
        <v/>
      </c>
    </row>
    <row r="2610" spans="1:51" customFormat="1" x14ac:dyDescent="0.25">
      <c r="A2610" t="s">
        <v>131</v>
      </c>
      <c r="B2610" t="s">
        <v>2055</v>
      </c>
      <c r="C2610" t="s">
        <v>6090</v>
      </c>
      <c r="D2610" t="s">
        <v>5953</v>
      </c>
      <c r="F2610" t="s">
        <v>261</v>
      </c>
      <c r="I2610" t="s">
        <v>5951</v>
      </c>
      <c r="J2610" t="s">
        <v>37</v>
      </c>
      <c r="K2610" t="s">
        <v>32</v>
      </c>
      <c r="L2610" t="s">
        <v>35</v>
      </c>
      <c r="Q2610">
        <v>3</v>
      </c>
      <c r="R2610">
        <v>3</v>
      </c>
      <c r="U2610">
        <v>1</v>
      </c>
      <c r="V2610">
        <v>20</v>
      </c>
      <c r="AQ2610">
        <v>29</v>
      </c>
      <c r="AR2610" s="3">
        <f t="shared" si="120"/>
        <v>10</v>
      </c>
      <c r="AS2610" s="3">
        <f t="shared" si="121"/>
        <v>0</v>
      </c>
      <c r="AT2610" s="3" t="str">
        <f>IF(OR(Registered!AM2610&gt;0,Registered!AO2610&gt;0),(IF(Registered!E2610=0,"Size Not Specified",Registered!E2610)),"")</f>
        <v/>
      </c>
      <c r="AU2610" s="3" t="str">
        <f>IF(Registered!AE2610=0,"",IF(Registered!AE2610=1,Registered!AE2610&amp;" Bandana",Registered!AE2610&amp;" Bandanas"))</f>
        <v/>
      </c>
      <c r="AV2610" s="3">
        <f t="shared" si="122"/>
        <v>0</v>
      </c>
      <c r="AW2610" s="2" t="str">
        <f>IF(Registered!AV2610=0,"",IF(Registered!AV2610=1,Registered!AV2610&amp;" Meal",Registered!AV2610&amp;" Meals"))</f>
        <v/>
      </c>
      <c r="AX2610" s="2" t="str">
        <f>IF(Registered!AI2610=0,"",Registered!AI2610&amp;" BG")</f>
        <v/>
      </c>
      <c r="AY2610" s="2" t="str">
        <f>IF(Registered!AG2610=0,"",Registered!AG2610&amp;" DustMask")</f>
        <v/>
      </c>
    </row>
    <row r="2611" spans="1:51" customFormat="1" x14ac:dyDescent="0.25">
      <c r="A2611" t="s">
        <v>2609</v>
      </c>
      <c r="B2611" t="s">
        <v>2610</v>
      </c>
      <c r="C2611" t="s">
        <v>6090</v>
      </c>
      <c r="G2611" t="s">
        <v>739</v>
      </c>
      <c r="H2611" t="s">
        <v>740</v>
      </c>
      <c r="I2611" t="s">
        <v>741</v>
      </c>
      <c r="J2611" t="s">
        <v>37</v>
      </c>
      <c r="K2611" t="s">
        <v>32</v>
      </c>
      <c r="L2611" t="s">
        <v>35</v>
      </c>
      <c r="AQ2611">
        <v>0</v>
      </c>
      <c r="AR2611" s="3">
        <f t="shared" si="120"/>
        <v>0</v>
      </c>
      <c r="AS2611" s="3">
        <f t="shared" si="121"/>
        <v>0</v>
      </c>
      <c r="AT2611" s="3" t="str">
        <f>IF(OR(Registered!AM2611&gt;0,Registered!AO2611&gt;0),(IF(Registered!E2611=0,"Size Not Specified",Registered!E2611)),"")</f>
        <v/>
      </c>
      <c r="AU2611" s="3" t="str">
        <f>IF(Registered!AE2611=0,"",IF(Registered!AE2611=1,Registered!AE2611&amp;" Bandana",Registered!AE2611&amp;" Bandanas"))</f>
        <v/>
      </c>
      <c r="AV2611" s="3">
        <f t="shared" si="122"/>
        <v>0</v>
      </c>
      <c r="AW2611" s="2" t="str">
        <f>IF(Registered!AV2611=0,"",IF(Registered!AV2611=1,Registered!AV2611&amp;" Meal",Registered!AV2611&amp;" Meals"))</f>
        <v/>
      </c>
      <c r="AX2611" s="2" t="str">
        <f>IF(Registered!AI2611=0,"",Registered!AI2611&amp;" BG")</f>
        <v/>
      </c>
      <c r="AY2611" s="2" t="str">
        <f>IF(Registered!AG2611=0,"",Registered!AG2611&amp;" DustMask")</f>
        <v/>
      </c>
    </row>
    <row r="2612" spans="1:51" customFormat="1" x14ac:dyDescent="0.25">
      <c r="A2612" t="s">
        <v>2611</v>
      </c>
      <c r="B2612" t="s">
        <v>2612</v>
      </c>
      <c r="C2612" t="s">
        <v>6090</v>
      </c>
      <c r="G2612" t="s">
        <v>502</v>
      </c>
      <c r="H2612" t="s">
        <v>2462</v>
      </c>
      <c r="I2612" t="s">
        <v>2464</v>
      </c>
      <c r="J2612" t="s">
        <v>37</v>
      </c>
      <c r="K2612" t="s">
        <v>32</v>
      </c>
      <c r="L2612" t="s">
        <v>35</v>
      </c>
      <c r="AQ2612">
        <v>0</v>
      </c>
      <c r="AR2612" s="3">
        <f t="shared" si="120"/>
        <v>0</v>
      </c>
      <c r="AS2612" s="3">
        <f t="shared" si="121"/>
        <v>0</v>
      </c>
      <c r="AT2612" s="3" t="str">
        <f>IF(OR(Registered!AM2612&gt;0,Registered!AO2612&gt;0),(IF(Registered!E2612=0,"Size Not Specified",Registered!E2612)),"")</f>
        <v/>
      </c>
      <c r="AU2612" s="3" t="str">
        <f>IF(Registered!AE2612=0,"",IF(Registered!AE2612=1,Registered!AE2612&amp;" Bandana",Registered!AE2612&amp;" Bandanas"))</f>
        <v/>
      </c>
      <c r="AV2612" s="3">
        <f t="shared" si="122"/>
        <v>0</v>
      </c>
      <c r="AW2612" s="2" t="str">
        <f>IF(Registered!AV2612=0,"",IF(Registered!AV2612=1,Registered!AV2612&amp;" Meal",Registered!AV2612&amp;" Meals"))</f>
        <v/>
      </c>
      <c r="AX2612" s="2" t="str">
        <f>IF(Registered!AI2612=0,"",Registered!AI2612&amp;" BG")</f>
        <v/>
      </c>
      <c r="AY2612" s="2" t="str">
        <f>IF(Registered!AG2612=0,"",Registered!AG2612&amp;" DustMask")</f>
        <v/>
      </c>
    </row>
    <row r="2613" spans="1:51" customFormat="1" x14ac:dyDescent="0.25">
      <c r="A2613" t="s">
        <v>2613</v>
      </c>
      <c r="B2613" t="s">
        <v>2614</v>
      </c>
      <c r="C2613" t="s">
        <v>6090</v>
      </c>
      <c r="G2613" t="s">
        <v>1820</v>
      </c>
      <c r="H2613" t="s">
        <v>1821</v>
      </c>
      <c r="I2613" t="s">
        <v>1823</v>
      </c>
      <c r="J2613" t="s">
        <v>37</v>
      </c>
      <c r="K2613" t="s">
        <v>32</v>
      </c>
      <c r="L2613" t="s">
        <v>35</v>
      </c>
      <c r="AQ2613">
        <v>0</v>
      </c>
      <c r="AR2613" s="3">
        <f t="shared" si="120"/>
        <v>0</v>
      </c>
      <c r="AS2613" s="3">
        <f t="shared" si="121"/>
        <v>0</v>
      </c>
      <c r="AT2613" s="3" t="str">
        <f>IF(OR(Registered!AM2613&gt;0,Registered!AO2613&gt;0),(IF(Registered!E2613=0,"Size Not Specified",Registered!E2613)),"")</f>
        <v/>
      </c>
      <c r="AU2613" s="3" t="str">
        <f>IF(Registered!AE2613=0,"",IF(Registered!AE2613=1,Registered!AE2613&amp;" Bandana",Registered!AE2613&amp;" Bandanas"))</f>
        <v/>
      </c>
      <c r="AV2613" s="3">
        <f t="shared" si="122"/>
        <v>0</v>
      </c>
      <c r="AW2613" s="2" t="str">
        <f>IF(Registered!AV2613=0,"",IF(Registered!AV2613=1,Registered!AV2613&amp;" Meal",Registered!AV2613&amp;" Meals"))</f>
        <v/>
      </c>
      <c r="AX2613" s="2" t="str">
        <f>IF(Registered!AI2613=0,"",Registered!AI2613&amp;" BG")</f>
        <v/>
      </c>
      <c r="AY2613" s="2" t="str">
        <f>IF(Registered!AG2613=0,"",Registered!AG2613&amp;" DustMask")</f>
        <v/>
      </c>
    </row>
    <row r="2614" spans="1:51" customFormat="1" x14ac:dyDescent="0.25">
      <c r="A2614" t="s">
        <v>5954</v>
      </c>
      <c r="B2614" t="s">
        <v>5955</v>
      </c>
      <c r="C2614" t="s">
        <v>6090</v>
      </c>
      <c r="G2614" t="s">
        <v>4511</v>
      </c>
      <c r="H2614" t="s">
        <v>4512</v>
      </c>
      <c r="I2614" t="s">
        <v>4514</v>
      </c>
      <c r="J2614" t="s">
        <v>37</v>
      </c>
      <c r="K2614" t="s">
        <v>32</v>
      </c>
      <c r="L2614" t="s">
        <v>35</v>
      </c>
      <c r="AQ2614">
        <v>0</v>
      </c>
      <c r="AR2614" s="3">
        <f t="shared" si="120"/>
        <v>0</v>
      </c>
      <c r="AS2614" s="3">
        <f t="shared" si="121"/>
        <v>0</v>
      </c>
      <c r="AT2614" s="3" t="str">
        <f>IF(OR(Registered!AM2614&gt;0,Registered!AO2614&gt;0),(IF(Registered!E2614=0,"Size Not Specified",Registered!E2614)),"")</f>
        <v/>
      </c>
      <c r="AU2614" s="3" t="str">
        <f>IF(Registered!AE2614=0,"",IF(Registered!AE2614=1,Registered!AE2614&amp;" Bandana",Registered!AE2614&amp;" Bandanas"))</f>
        <v/>
      </c>
      <c r="AV2614" s="3">
        <f t="shared" si="122"/>
        <v>0</v>
      </c>
      <c r="AW2614" s="2" t="str">
        <f>IF(Registered!AV2614=0,"",IF(Registered!AV2614=1,Registered!AV2614&amp;" Meal",Registered!AV2614&amp;" Meals"))</f>
        <v/>
      </c>
      <c r="AX2614" s="2" t="str">
        <f>IF(Registered!AI2614=0,"",Registered!AI2614&amp;" BG")</f>
        <v/>
      </c>
      <c r="AY2614" s="2" t="str">
        <f>IF(Registered!AG2614=0,"",Registered!AG2614&amp;" DustMask")</f>
        <v/>
      </c>
    </row>
    <row r="2615" spans="1:51" customFormat="1" x14ac:dyDescent="0.25">
      <c r="A2615" t="s">
        <v>789</v>
      </c>
      <c r="B2615" t="s">
        <v>1642</v>
      </c>
      <c r="C2615" t="s">
        <v>6090</v>
      </c>
      <c r="D2615" t="s">
        <v>2615</v>
      </c>
      <c r="E2615" t="s">
        <v>117</v>
      </c>
      <c r="I2615" t="s">
        <v>2616</v>
      </c>
      <c r="J2615" t="s">
        <v>37</v>
      </c>
      <c r="K2615" t="s">
        <v>32</v>
      </c>
      <c r="L2615" t="s">
        <v>35</v>
      </c>
      <c r="O2615">
        <v>1</v>
      </c>
      <c r="P2615">
        <v>3</v>
      </c>
      <c r="AC2615">
        <v>1</v>
      </c>
      <c r="AD2615">
        <v>10</v>
      </c>
      <c r="AQ2615">
        <v>13</v>
      </c>
      <c r="AR2615" s="3">
        <f t="shared" si="120"/>
        <v>5</v>
      </c>
      <c r="AS2615" s="3">
        <f t="shared" si="121"/>
        <v>0</v>
      </c>
      <c r="AT2615" s="3" t="str">
        <f>IF(OR(Registered!AM2615&gt;0,Registered!AO2615&gt;0),(IF(Registered!E2615=0,"Size Not Specified",Registered!E2615)),"")</f>
        <v/>
      </c>
      <c r="AU2615" s="3" t="str">
        <f>IF(Registered!AE2615=0,"",IF(Registered!AE2615=1,Registered!AE2615&amp;" Bandana",Registered!AE2615&amp;" Bandanas"))</f>
        <v/>
      </c>
      <c r="AV2615" s="3">
        <f t="shared" si="122"/>
        <v>0</v>
      </c>
      <c r="AW2615" s="2" t="str">
        <f>IF(Registered!AV2615=0,"",IF(Registered!AV2615=1,Registered!AV2615&amp;" Meal",Registered!AV2615&amp;" Meals"))</f>
        <v/>
      </c>
      <c r="AX2615" s="2" t="str">
        <f>IF(Registered!AI2615=0,"",Registered!AI2615&amp;" BG")</f>
        <v/>
      </c>
      <c r="AY2615" s="2" t="str">
        <f>IF(Registered!AG2615=0,"",Registered!AG2615&amp;" DustMask")</f>
        <v/>
      </c>
    </row>
    <row r="2616" spans="1:51" customFormat="1" x14ac:dyDescent="0.25">
      <c r="A2616" t="s">
        <v>789</v>
      </c>
      <c r="B2616" t="s">
        <v>1642</v>
      </c>
      <c r="C2616" t="s">
        <v>6090</v>
      </c>
      <c r="D2616" t="s">
        <v>2615</v>
      </c>
      <c r="F2616" t="s">
        <v>261</v>
      </c>
      <c r="I2616" t="s">
        <v>5956</v>
      </c>
      <c r="J2616" t="s">
        <v>37</v>
      </c>
      <c r="K2616" t="s">
        <v>32</v>
      </c>
      <c r="L2616" t="s">
        <v>35</v>
      </c>
      <c r="Q2616">
        <v>1</v>
      </c>
      <c r="R2616">
        <v>3</v>
      </c>
      <c r="AQ2616">
        <v>3</v>
      </c>
      <c r="AR2616" s="3">
        <f t="shared" si="120"/>
        <v>0</v>
      </c>
      <c r="AS2616" s="3">
        <f t="shared" si="121"/>
        <v>0</v>
      </c>
      <c r="AT2616" s="3" t="str">
        <f>IF(OR(Registered!AM2616&gt;0,Registered!AO2616&gt;0),(IF(Registered!E2616=0,"Size Not Specified",Registered!E2616)),"")</f>
        <v/>
      </c>
      <c r="AU2616" s="3" t="str">
        <f>IF(Registered!AE2616=0,"",IF(Registered!AE2616=1,Registered!AE2616&amp;" Bandana",Registered!AE2616&amp;" Bandanas"))</f>
        <v/>
      </c>
      <c r="AV2616" s="3">
        <f t="shared" si="122"/>
        <v>0</v>
      </c>
      <c r="AW2616" s="2" t="str">
        <f>IF(Registered!AV2616=0,"",IF(Registered!AV2616=1,Registered!AV2616&amp;" Meal",Registered!AV2616&amp;" Meals"))</f>
        <v/>
      </c>
      <c r="AX2616" s="2" t="str">
        <f>IF(Registered!AI2616=0,"",Registered!AI2616&amp;" BG")</f>
        <v/>
      </c>
      <c r="AY2616" s="2" t="str">
        <f>IF(Registered!AG2616=0,"",Registered!AG2616&amp;" DustMask")</f>
        <v/>
      </c>
    </row>
    <row r="2617" spans="1:51" customFormat="1" x14ac:dyDescent="0.25">
      <c r="A2617" t="s">
        <v>2687</v>
      </c>
      <c r="B2617" t="s">
        <v>2688</v>
      </c>
      <c r="C2617" t="s">
        <v>6090</v>
      </c>
      <c r="D2617" t="s">
        <v>3488</v>
      </c>
      <c r="E2617" t="s">
        <v>201</v>
      </c>
      <c r="F2617" t="s">
        <v>261</v>
      </c>
      <c r="I2617" t="s">
        <v>2689</v>
      </c>
      <c r="J2617" t="s">
        <v>37</v>
      </c>
      <c r="K2617" t="s">
        <v>32</v>
      </c>
      <c r="L2617" t="s">
        <v>35</v>
      </c>
      <c r="Q2617">
        <v>3</v>
      </c>
      <c r="R2617">
        <v>3</v>
      </c>
      <c r="U2617">
        <v>1</v>
      </c>
      <c r="V2617">
        <v>20</v>
      </c>
      <c r="AQ2617">
        <v>29</v>
      </c>
      <c r="AR2617" s="3">
        <f t="shared" si="120"/>
        <v>10</v>
      </c>
      <c r="AS2617" s="3">
        <f t="shared" si="121"/>
        <v>0</v>
      </c>
      <c r="AT2617" s="3" t="str">
        <f>IF(OR(Registered!AM2617&gt;0,Registered!AO2617&gt;0),(IF(Registered!E2617=0,"Size Not Specified",Registered!E2617)),"")</f>
        <v/>
      </c>
      <c r="AU2617" s="3" t="str">
        <f>IF(Registered!AE2617=0,"",IF(Registered!AE2617=1,Registered!AE2617&amp;" Bandana",Registered!AE2617&amp;" Bandanas"))</f>
        <v/>
      </c>
      <c r="AV2617" s="3">
        <f t="shared" si="122"/>
        <v>0</v>
      </c>
      <c r="AW2617" s="2" t="str">
        <f>IF(Registered!AV2617=0,"",IF(Registered!AV2617=1,Registered!AV2617&amp;" Meal",Registered!AV2617&amp;" Meals"))</f>
        <v/>
      </c>
      <c r="AX2617" s="2" t="str">
        <f>IF(Registered!AI2617=0,"",Registered!AI2617&amp;" BG")</f>
        <v/>
      </c>
      <c r="AY2617" s="2" t="str">
        <f>IF(Registered!AG2617=0,"",Registered!AG2617&amp;" DustMask")</f>
        <v/>
      </c>
    </row>
    <row r="2618" spans="1:51" customFormat="1" x14ac:dyDescent="0.25">
      <c r="A2618" t="s">
        <v>3489</v>
      </c>
      <c r="B2618" t="s">
        <v>3490</v>
      </c>
      <c r="C2618" t="s">
        <v>6090</v>
      </c>
      <c r="G2618" t="s">
        <v>151</v>
      </c>
      <c r="H2618" t="s">
        <v>3161</v>
      </c>
      <c r="I2618" t="s">
        <v>3163</v>
      </c>
      <c r="J2618" t="s">
        <v>37</v>
      </c>
      <c r="K2618" t="s">
        <v>32</v>
      </c>
      <c r="L2618" t="s">
        <v>35</v>
      </c>
      <c r="AQ2618">
        <v>0</v>
      </c>
      <c r="AR2618" s="3">
        <f t="shared" si="120"/>
        <v>0</v>
      </c>
      <c r="AS2618" s="3">
        <f t="shared" si="121"/>
        <v>0</v>
      </c>
      <c r="AT2618" s="3" t="str">
        <f>IF(OR(Registered!AM2618&gt;0,Registered!AO2618&gt;0),(IF(Registered!E2618=0,"Size Not Specified",Registered!E2618)),"")</f>
        <v/>
      </c>
      <c r="AU2618" s="3" t="str">
        <f>IF(Registered!AE2618=0,"",IF(Registered!AE2618=1,Registered!AE2618&amp;" Bandana",Registered!AE2618&amp;" Bandanas"))</f>
        <v/>
      </c>
      <c r="AV2618" s="3">
        <f t="shared" si="122"/>
        <v>0</v>
      </c>
      <c r="AW2618" s="2" t="str">
        <f>IF(Registered!AV2618=0,"",IF(Registered!AV2618=1,Registered!AV2618&amp;" Meal",Registered!AV2618&amp;" Meals"))</f>
        <v/>
      </c>
      <c r="AX2618" s="2" t="str">
        <f>IF(Registered!AI2618=0,"",Registered!AI2618&amp;" BG")</f>
        <v/>
      </c>
      <c r="AY2618" s="2" t="str">
        <f>IF(Registered!AG2618=0,"",Registered!AG2618&amp;" DustMask")</f>
        <v/>
      </c>
    </row>
    <row r="2619" spans="1:51" customFormat="1" x14ac:dyDescent="0.25">
      <c r="A2619" t="s">
        <v>125</v>
      </c>
      <c r="B2619" t="s">
        <v>2618</v>
      </c>
      <c r="C2619" t="s">
        <v>6090</v>
      </c>
      <c r="G2619" t="s">
        <v>2224</v>
      </c>
      <c r="H2619" t="s">
        <v>1142</v>
      </c>
      <c r="I2619" t="s">
        <v>2226</v>
      </c>
      <c r="J2619" t="s">
        <v>37</v>
      </c>
      <c r="K2619" t="s">
        <v>32</v>
      </c>
      <c r="L2619" t="s">
        <v>35</v>
      </c>
      <c r="AQ2619">
        <v>0</v>
      </c>
      <c r="AR2619" s="3">
        <f t="shared" si="120"/>
        <v>0</v>
      </c>
      <c r="AS2619" s="3">
        <f t="shared" si="121"/>
        <v>0</v>
      </c>
      <c r="AT2619" s="3" t="str">
        <f>IF(OR(Registered!AM2619&gt;0,Registered!AO2619&gt;0),(IF(Registered!E2619=0,"Size Not Specified",Registered!E2619)),"")</f>
        <v/>
      </c>
      <c r="AU2619" s="3" t="str">
        <f>IF(Registered!AE2619=0,"",IF(Registered!AE2619=1,Registered!AE2619&amp;" Bandana",Registered!AE2619&amp;" Bandanas"))</f>
        <v/>
      </c>
      <c r="AV2619" s="3">
        <f t="shared" si="122"/>
        <v>0</v>
      </c>
      <c r="AW2619" s="2" t="str">
        <f>IF(Registered!AV2619=0,"",IF(Registered!AV2619=1,Registered!AV2619&amp;" Meal",Registered!AV2619&amp;" Meals"))</f>
        <v/>
      </c>
      <c r="AX2619" s="2" t="str">
        <f>IF(Registered!AI2619=0,"",Registered!AI2619&amp;" BG")</f>
        <v/>
      </c>
      <c r="AY2619" s="2" t="str">
        <f>IF(Registered!AG2619=0,"",Registered!AG2619&amp;" DustMask")</f>
        <v/>
      </c>
    </row>
    <row r="2620" spans="1:51" customFormat="1" x14ac:dyDescent="0.25">
      <c r="A2620" t="s">
        <v>3752</v>
      </c>
      <c r="B2620" t="s">
        <v>3753</v>
      </c>
      <c r="C2620" t="s">
        <v>6090</v>
      </c>
      <c r="D2620" t="s">
        <v>5957</v>
      </c>
      <c r="F2620" t="s">
        <v>261</v>
      </c>
      <c r="I2620" t="s">
        <v>3754</v>
      </c>
      <c r="J2620" t="s">
        <v>37</v>
      </c>
      <c r="K2620" t="s">
        <v>32</v>
      </c>
      <c r="L2620" t="s">
        <v>35</v>
      </c>
      <c r="Q2620">
        <v>4</v>
      </c>
      <c r="R2620">
        <v>3</v>
      </c>
      <c r="AC2620">
        <v>4</v>
      </c>
      <c r="AD2620">
        <v>10</v>
      </c>
      <c r="AQ2620">
        <v>52</v>
      </c>
      <c r="AR2620" s="3">
        <f t="shared" si="120"/>
        <v>20</v>
      </c>
      <c r="AS2620" s="3">
        <f t="shared" si="121"/>
        <v>0</v>
      </c>
      <c r="AT2620" s="3" t="str">
        <f>IF(OR(Registered!AM2620&gt;0,Registered!AO2620&gt;0),(IF(Registered!E2620=0,"Size Not Specified",Registered!E2620)),"")</f>
        <v/>
      </c>
      <c r="AU2620" s="3" t="str">
        <f>IF(Registered!AE2620=0,"",IF(Registered!AE2620=1,Registered!AE2620&amp;" Bandana",Registered!AE2620&amp;" Bandanas"))</f>
        <v/>
      </c>
      <c r="AV2620" s="3">
        <f t="shared" si="122"/>
        <v>0</v>
      </c>
      <c r="AW2620" s="2" t="str">
        <f>IF(Registered!AV2620=0,"",IF(Registered!AV2620=1,Registered!AV2620&amp;" Meal",Registered!AV2620&amp;" Meals"))</f>
        <v/>
      </c>
      <c r="AX2620" s="2" t="str">
        <f>IF(Registered!AI2620=0,"",Registered!AI2620&amp;" BG")</f>
        <v/>
      </c>
      <c r="AY2620" s="2" t="str">
        <f>IF(Registered!AG2620=0,"",Registered!AG2620&amp;" DustMask")</f>
        <v/>
      </c>
    </row>
    <row r="2621" spans="1:51" customFormat="1" x14ac:dyDescent="0.25">
      <c r="A2621" t="s">
        <v>5958</v>
      </c>
      <c r="B2621" t="s">
        <v>3753</v>
      </c>
      <c r="C2621" t="s">
        <v>6090</v>
      </c>
      <c r="G2621" t="s">
        <v>3752</v>
      </c>
      <c r="H2621" t="s">
        <v>3753</v>
      </c>
      <c r="I2621" t="s">
        <v>3754</v>
      </c>
      <c r="J2621" t="s">
        <v>37</v>
      </c>
      <c r="K2621" t="s">
        <v>32</v>
      </c>
      <c r="L2621" t="s">
        <v>35</v>
      </c>
      <c r="AQ2621">
        <v>0</v>
      </c>
      <c r="AR2621" s="3">
        <f t="shared" si="120"/>
        <v>0</v>
      </c>
      <c r="AS2621" s="3">
        <f t="shared" si="121"/>
        <v>0</v>
      </c>
      <c r="AT2621" s="3" t="str">
        <f>IF(OR(Registered!AM2621&gt;0,Registered!AO2621&gt;0),(IF(Registered!E2621=0,"Size Not Specified",Registered!E2621)),"")</f>
        <v/>
      </c>
      <c r="AU2621" s="3" t="str">
        <f>IF(Registered!AE2621=0,"",IF(Registered!AE2621=1,Registered!AE2621&amp;" Bandana",Registered!AE2621&amp;" Bandanas"))</f>
        <v/>
      </c>
      <c r="AV2621" s="3">
        <f t="shared" si="122"/>
        <v>0</v>
      </c>
      <c r="AW2621" s="2" t="str">
        <f>IF(Registered!AV2621=0,"",IF(Registered!AV2621=1,Registered!AV2621&amp;" Meal",Registered!AV2621&amp;" Meals"))</f>
        <v/>
      </c>
      <c r="AX2621" s="2" t="str">
        <f>IF(Registered!AI2621=0,"",Registered!AI2621&amp;" BG")</f>
        <v/>
      </c>
      <c r="AY2621" s="2" t="str">
        <f>IF(Registered!AG2621=0,"",Registered!AG2621&amp;" DustMask")</f>
        <v/>
      </c>
    </row>
    <row r="2622" spans="1:51" customFormat="1" x14ac:dyDescent="0.25">
      <c r="A2622" t="s">
        <v>50</v>
      </c>
      <c r="B2622" t="s">
        <v>3753</v>
      </c>
      <c r="C2622" t="s">
        <v>6090</v>
      </c>
      <c r="G2622" t="s">
        <v>88</v>
      </c>
      <c r="H2622" t="s">
        <v>302</v>
      </c>
      <c r="I2622" t="s">
        <v>5959</v>
      </c>
      <c r="J2622" t="s">
        <v>37</v>
      </c>
      <c r="K2622" t="s">
        <v>32</v>
      </c>
      <c r="L2622" t="s">
        <v>35</v>
      </c>
      <c r="AQ2622">
        <v>0</v>
      </c>
      <c r="AR2622" s="3">
        <f t="shared" si="120"/>
        <v>0</v>
      </c>
      <c r="AS2622" s="3">
        <f t="shared" si="121"/>
        <v>0</v>
      </c>
      <c r="AT2622" s="3" t="str">
        <f>IF(OR(Registered!AM2622&gt;0,Registered!AO2622&gt;0),(IF(Registered!E2622=0,"Size Not Specified",Registered!E2622)),"")</f>
        <v/>
      </c>
      <c r="AU2622" s="3" t="str">
        <f>IF(Registered!AE2622=0,"",IF(Registered!AE2622=1,Registered!AE2622&amp;" Bandana",Registered!AE2622&amp;" Bandanas"))</f>
        <v/>
      </c>
      <c r="AV2622" s="3">
        <f t="shared" si="122"/>
        <v>0</v>
      </c>
      <c r="AW2622" s="2" t="str">
        <f>IF(Registered!AV2622=0,"",IF(Registered!AV2622=1,Registered!AV2622&amp;" Meal",Registered!AV2622&amp;" Meals"))</f>
        <v/>
      </c>
      <c r="AX2622" s="2" t="str">
        <f>IF(Registered!AI2622=0,"",Registered!AI2622&amp;" BG")</f>
        <v/>
      </c>
      <c r="AY2622" s="2" t="str">
        <f>IF(Registered!AG2622=0,"",Registered!AG2622&amp;" DustMask")</f>
        <v/>
      </c>
    </row>
    <row r="2623" spans="1:51" customFormat="1" x14ac:dyDescent="0.25">
      <c r="A2623" t="s">
        <v>5960</v>
      </c>
      <c r="B2623" t="s">
        <v>3753</v>
      </c>
      <c r="C2623" t="s">
        <v>6090</v>
      </c>
      <c r="G2623" t="s">
        <v>3752</v>
      </c>
      <c r="H2623" t="s">
        <v>3753</v>
      </c>
      <c r="I2623" t="s">
        <v>3754</v>
      </c>
      <c r="J2623" t="s">
        <v>37</v>
      </c>
      <c r="K2623" t="s">
        <v>32</v>
      </c>
      <c r="L2623" t="s">
        <v>35</v>
      </c>
      <c r="AQ2623">
        <v>0</v>
      </c>
      <c r="AR2623" s="3">
        <f t="shared" si="120"/>
        <v>0</v>
      </c>
      <c r="AS2623" s="3">
        <f t="shared" si="121"/>
        <v>0</v>
      </c>
      <c r="AT2623" s="3" t="str">
        <f>IF(OR(Registered!AM2623&gt;0,Registered!AO2623&gt;0),(IF(Registered!E2623=0,"Size Not Specified",Registered!E2623)),"")</f>
        <v/>
      </c>
      <c r="AU2623" s="3" t="str">
        <f>IF(Registered!AE2623=0,"",IF(Registered!AE2623=1,Registered!AE2623&amp;" Bandana",Registered!AE2623&amp;" Bandanas"))</f>
        <v/>
      </c>
      <c r="AV2623" s="3">
        <f t="shared" si="122"/>
        <v>0</v>
      </c>
      <c r="AW2623" s="2" t="str">
        <f>IF(Registered!AV2623=0,"",IF(Registered!AV2623=1,Registered!AV2623&amp;" Meal",Registered!AV2623&amp;" Meals"))</f>
        <v/>
      </c>
      <c r="AX2623" s="2" t="str">
        <f>IF(Registered!AI2623=0,"",Registered!AI2623&amp;" BG")</f>
        <v/>
      </c>
      <c r="AY2623" s="2" t="str">
        <f>IF(Registered!AG2623=0,"",Registered!AG2623&amp;" DustMask")</f>
        <v/>
      </c>
    </row>
    <row r="2624" spans="1:51" customFormat="1" x14ac:dyDescent="0.25">
      <c r="A2624" t="s">
        <v>263</v>
      </c>
      <c r="B2624" t="s">
        <v>5963</v>
      </c>
      <c r="C2624" t="s">
        <v>6090</v>
      </c>
      <c r="D2624" t="s">
        <v>5964</v>
      </c>
      <c r="F2624" t="s">
        <v>261</v>
      </c>
      <c r="I2624" t="s">
        <v>5965</v>
      </c>
      <c r="J2624" t="s">
        <v>37</v>
      </c>
      <c r="K2624" t="s">
        <v>32</v>
      </c>
      <c r="L2624" t="s">
        <v>35</v>
      </c>
      <c r="Q2624">
        <v>1</v>
      </c>
      <c r="R2624">
        <v>3</v>
      </c>
      <c r="AC2624">
        <v>2</v>
      </c>
      <c r="AD2624">
        <v>10</v>
      </c>
      <c r="AQ2624">
        <v>23</v>
      </c>
      <c r="AR2624" s="3">
        <f t="shared" si="120"/>
        <v>10</v>
      </c>
      <c r="AS2624" s="3">
        <f t="shared" si="121"/>
        <v>0</v>
      </c>
      <c r="AT2624" s="3" t="str">
        <f>IF(OR(Registered!AM2624&gt;0,Registered!AO2624&gt;0),(IF(Registered!E2624=0,"Size Not Specified",Registered!E2624)),"")</f>
        <v/>
      </c>
      <c r="AU2624" s="3" t="str">
        <f>IF(Registered!AE2624=0,"",IF(Registered!AE2624=1,Registered!AE2624&amp;" Bandana",Registered!AE2624&amp;" Bandanas"))</f>
        <v/>
      </c>
      <c r="AV2624" s="3">
        <f t="shared" si="122"/>
        <v>0</v>
      </c>
      <c r="AW2624" s="2" t="str">
        <f>IF(Registered!AV2624=0,"",IF(Registered!AV2624=1,Registered!AV2624&amp;" Meal",Registered!AV2624&amp;" Meals"))</f>
        <v/>
      </c>
      <c r="AX2624" s="2" t="str">
        <f>IF(Registered!AI2624=0,"",Registered!AI2624&amp;" BG")</f>
        <v/>
      </c>
      <c r="AY2624" s="2" t="str">
        <f>IF(Registered!AG2624=0,"",Registered!AG2624&amp;" DustMask")</f>
        <v/>
      </c>
    </row>
    <row r="2625" spans="1:51" customFormat="1" x14ac:dyDescent="0.25">
      <c r="A2625" t="s">
        <v>5966</v>
      </c>
      <c r="B2625" t="s">
        <v>5963</v>
      </c>
      <c r="C2625" t="s">
        <v>6090</v>
      </c>
      <c r="D2625" t="s">
        <v>5967</v>
      </c>
      <c r="F2625" t="s">
        <v>261</v>
      </c>
      <c r="I2625" t="s">
        <v>5968</v>
      </c>
      <c r="J2625" t="s">
        <v>37</v>
      </c>
      <c r="K2625" t="s">
        <v>32</v>
      </c>
      <c r="L2625" t="s">
        <v>35</v>
      </c>
      <c r="Q2625">
        <v>1</v>
      </c>
      <c r="R2625">
        <v>3</v>
      </c>
      <c r="AC2625">
        <v>1</v>
      </c>
      <c r="AD2625">
        <v>10</v>
      </c>
      <c r="AQ2625">
        <v>13</v>
      </c>
      <c r="AR2625" s="3">
        <f t="shared" si="120"/>
        <v>5</v>
      </c>
      <c r="AS2625" s="3">
        <f t="shared" si="121"/>
        <v>0</v>
      </c>
      <c r="AT2625" s="3" t="str">
        <f>IF(OR(Registered!AM2625&gt;0,Registered!AO2625&gt;0),(IF(Registered!E2625=0,"Size Not Specified",Registered!E2625)),"")</f>
        <v/>
      </c>
      <c r="AU2625" s="3" t="str">
        <f>IF(Registered!AE2625=0,"",IF(Registered!AE2625=1,Registered!AE2625&amp;" Bandana",Registered!AE2625&amp;" Bandanas"))</f>
        <v/>
      </c>
      <c r="AV2625" s="3">
        <f t="shared" si="122"/>
        <v>0</v>
      </c>
      <c r="AW2625" s="2" t="str">
        <f>IF(Registered!AV2625=0,"",IF(Registered!AV2625=1,Registered!AV2625&amp;" Meal",Registered!AV2625&amp;" Meals"))</f>
        <v/>
      </c>
      <c r="AX2625" s="2" t="str">
        <f>IF(Registered!AI2625=0,"",Registered!AI2625&amp;" BG")</f>
        <v/>
      </c>
      <c r="AY2625" s="2" t="str">
        <f>IF(Registered!AG2625=0,"",Registered!AG2625&amp;" DustMask")</f>
        <v/>
      </c>
    </row>
    <row r="2626" spans="1:51" customFormat="1" x14ac:dyDescent="0.25">
      <c r="A2626" t="s">
        <v>105</v>
      </c>
      <c r="B2626" t="s">
        <v>3627</v>
      </c>
      <c r="C2626" t="s">
        <v>6090</v>
      </c>
      <c r="D2626" t="s">
        <v>5969</v>
      </c>
      <c r="F2626" t="s">
        <v>261</v>
      </c>
      <c r="I2626" t="s">
        <v>3628</v>
      </c>
      <c r="J2626" t="s">
        <v>37</v>
      </c>
      <c r="K2626" t="s">
        <v>32</v>
      </c>
      <c r="L2626" t="s">
        <v>35</v>
      </c>
      <c r="Q2626">
        <v>2</v>
      </c>
      <c r="R2626">
        <v>3</v>
      </c>
      <c r="AC2626">
        <v>1</v>
      </c>
      <c r="AD2626">
        <v>10</v>
      </c>
      <c r="AQ2626">
        <v>16</v>
      </c>
      <c r="AR2626" s="3">
        <f t="shared" ref="AR2626:AR2689" si="123">IF(ISTEXT(AM2626)=TRUE,"",SUM(U2626*10,W2626*20,Y2626*30,AA2626*40,AC2626*5,AM2626*5))</f>
        <v>5</v>
      </c>
      <c r="AS2626" s="3">
        <f t="shared" ref="AS2626:AS2689" si="124">IF(ISTEXT(AM2626)=TRUE,"",SUM(AM2626,AO2626))</f>
        <v>0</v>
      </c>
      <c r="AT2626" s="3" t="str">
        <f>IF(OR(Registered!AM2626&gt;0,Registered!AO2626&gt;0),(IF(Registered!E2626=0,"Size Not Specified",Registered!E2626)),"")</f>
        <v/>
      </c>
      <c r="AU2626" s="3" t="str">
        <f>IF(Registered!AE2626=0,"",IF(Registered!AE2626=1,Registered!AE2626&amp;" Bandana",Registered!AE2626&amp;" Bandanas"))</f>
        <v/>
      </c>
      <c r="AV2626" s="3">
        <f t="shared" ref="AV2626:AV2689" si="125">IF(ISTEXT(AM2626)=TRUE,"",SUM(AM2626,AK2626))</f>
        <v>0</v>
      </c>
      <c r="AW2626" s="2" t="str">
        <f>IF(Registered!AV2626=0,"",IF(Registered!AV2626=1,Registered!AV2626&amp;" Meal",Registered!AV2626&amp;" Meals"))</f>
        <v/>
      </c>
      <c r="AX2626" s="2" t="str">
        <f>IF(Registered!AI2626=0,"",Registered!AI2626&amp;" BG")</f>
        <v/>
      </c>
      <c r="AY2626" s="2" t="str">
        <f>IF(Registered!AG2626=0,"",Registered!AG2626&amp;" DustMask")</f>
        <v/>
      </c>
    </row>
    <row r="2627" spans="1:51" customFormat="1" x14ac:dyDescent="0.25">
      <c r="A2627" t="s">
        <v>288</v>
      </c>
      <c r="B2627" t="s">
        <v>302</v>
      </c>
      <c r="C2627" t="s">
        <v>6090</v>
      </c>
      <c r="D2627" t="s">
        <v>2619</v>
      </c>
      <c r="F2627" t="s">
        <v>261</v>
      </c>
      <c r="I2627" t="s">
        <v>2391</v>
      </c>
      <c r="J2627" t="s">
        <v>37</v>
      </c>
      <c r="K2627" t="s">
        <v>32</v>
      </c>
      <c r="L2627" t="s">
        <v>35</v>
      </c>
      <c r="S2627">
        <v>2</v>
      </c>
      <c r="T2627">
        <v>3</v>
      </c>
      <c r="W2627">
        <v>1</v>
      </c>
      <c r="X2627">
        <v>40</v>
      </c>
      <c r="AQ2627">
        <v>46</v>
      </c>
      <c r="AR2627" s="3">
        <f t="shared" si="123"/>
        <v>20</v>
      </c>
      <c r="AS2627" s="3">
        <f t="shared" si="124"/>
        <v>0</v>
      </c>
      <c r="AT2627" s="3" t="str">
        <f>IF(OR(Registered!AM2627&gt;0,Registered!AO2627&gt;0),(IF(Registered!E2627=0,"Size Not Specified",Registered!E2627)),"")</f>
        <v/>
      </c>
      <c r="AU2627" s="3" t="str">
        <f>IF(Registered!AE2627=0,"",IF(Registered!AE2627=1,Registered!AE2627&amp;" Bandana",Registered!AE2627&amp;" Bandanas"))</f>
        <v/>
      </c>
      <c r="AV2627" s="3">
        <f t="shared" si="125"/>
        <v>0</v>
      </c>
      <c r="AW2627" s="2" t="str">
        <f>IF(Registered!AV2627=0,"",IF(Registered!AV2627=1,Registered!AV2627&amp;" Meal",Registered!AV2627&amp;" Meals"))</f>
        <v/>
      </c>
      <c r="AX2627" s="2" t="str">
        <f>IF(Registered!AI2627=0,"",Registered!AI2627&amp;" BG")</f>
        <v/>
      </c>
      <c r="AY2627" s="2" t="str">
        <f>IF(Registered!AG2627=0,"",Registered!AG2627&amp;" DustMask")</f>
        <v/>
      </c>
    </row>
    <row r="2628" spans="1:51" customFormat="1" x14ac:dyDescent="0.25">
      <c r="A2628" t="s">
        <v>5062</v>
      </c>
      <c r="B2628" t="s">
        <v>302</v>
      </c>
      <c r="C2628" t="s">
        <v>6090</v>
      </c>
      <c r="F2628" t="s">
        <v>261</v>
      </c>
      <c r="I2628" t="s">
        <v>5063</v>
      </c>
      <c r="J2628" t="s">
        <v>37</v>
      </c>
      <c r="K2628" t="s">
        <v>32</v>
      </c>
      <c r="L2628" t="s">
        <v>35</v>
      </c>
      <c r="Q2628">
        <v>2</v>
      </c>
      <c r="R2628">
        <v>3</v>
      </c>
      <c r="AC2628">
        <v>1</v>
      </c>
      <c r="AD2628">
        <v>10</v>
      </c>
      <c r="AQ2628">
        <v>16</v>
      </c>
      <c r="AR2628" s="3">
        <f t="shared" si="123"/>
        <v>5</v>
      </c>
      <c r="AS2628" s="3">
        <f t="shared" si="124"/>
        <v>0</v>
      </c>
      <c r="AT2628" s="3" t="str">
        <f>IF(OR(Registered!AM2628&gt;0,Registered!AO2628&gt;0),(IF(Registered!E2628=0,"Size Not Specified",Registered!E2628)),"")</f>
        <v/>
      </c>
      <c r="AU2628" s="3" t="str">
        <f>IF(Registered!AE2628=0,"",IF(Registered!AE2628=1,Registered!AE2628&amp;" Bandana",Registered!AE2628&amp;" Bandanas"))</f>
        <v/>
      </c>
      <c r="AV2628" s="3">
        <f t="shared" si="125"/>
        <v>0</v>
      </c>
      <c r="AW2628" s="2" t="str">
        <f>IF(Registered!AV2628=0,"",IF(Registered!AV2628=1,Registered!AV2628&amp;" Meal",Registered!AV2628&amp;" Meals"))</f>
        <v/>
      </c>
      <c r="AX2628" s="2" t="str">
        <f>IF(Registered!AI2628=0,"",Registered!AI2628&amp;" BG")</f>
        <v/>
      </c>
      <c r="AY2628" s="2" t="str">
        <f>IF(Registered!AG2628=0,"",Registered!AG2628&amp;" DustMask")</f>
        <v/>
      </c>
    </row>
    <row r="2629" spans="1:51" customFormat="1" x14ac:dyDescent="0.25">
      <c r="A2629" t="s">
        <v>3491</v>
      </c>
      <c r="B2629" t="s">
        <v>302</v>
      </c>
      <c r="C2629" t="s">
        <v>6090</v>
      </c>
      <c r="D2629" t="s">
        <v>3492</v>
      </c>
      <c r="F2629" t="s">
        <v>261</v>
      </c>
      <c r="I2629" t="s">
        <v>3493</v>
      </c>
      <c r="J2629" t="s">
        <v>37</v>
      </c>
      <c r="K2629" t="s">
        <v>32</v>
      </c>
      <c r="L2629" t="s">
        <v>35</v>
      </c>
      <c r="Q2629">
        <v>1</v>
      </c>
      <c r="R2629">
        <v>3</v>
      </c>
      <c r="AC2629">
        <v>1</v>
      </c>
      <c r="AD2629">
        <v>10</v>
      </c>
      <c r="AQ2629">
        <v>13</v>
      </c>
      <c r="AR2629" s="3">
        <f t="shared" si="123"/>
        <v>5</v>
      </c>
      <c r="AS2629" s="3">
        <f t="shared" si="124"/>
        <v>0</v>
      </c>
      <c r="AT2629" s="3" t="str">
        <f>IF(OR(Registered!AM2629&gt;0,Registered!AO2629&gt;0),(IF(Registered!E2629=0,"Size Not Specified",Registered!E2629)),"")</f>
        <v/>
      </c>
      <c r="AU2629" s="3" t="str">
        <f>IF(Registered!AE2629=0,"",IF(Registered!AE2629=1,Registered!AE2629&amp;" Bandana",Registered!AE2629&amp;" Bandanas"))</f>
        <v/>
      </c>
      <c r="AV2629" s="3">
        <f t="shared" si="125"/>
        <v>0</v>
      </c>
      <c r="AW2629" s="2" t="str">
        <f>IF(Registered!AV2629=0,"",IF(Registered!AV2629=1,Registered!AV2629&amp;" Meal",Registered!AV2629&amp;" Meals"))</f>
        <v/>
      </c>
      <c r="AX2629" s="2" t="str">
        <f>IF(Registered!AI2629=0,"",Registered!AI2629&amp;" BG")</f>
        <v/>
      </c>
      <c r="AY2629" s="2" t="str">
        <f>IF(Registered!AG2629=0,"",Registered!AG2629&amp;" DustMask")</f>
        <v/>
      </c>
    </row>
    <row r="2630" spans="1:51" customFormat="1" x14ac:dyDescent="0.25">
      <c r="A2630" t="s">
        <v>349</v>
      </c>
      <c r="B2630" t="s">
        <v>302</v>
      </c>
      <c r="C2630" t="s">
        <v>6090</v>
      </c>
      <c r="G2630" t="s">
        <v>2137</v>
      </c>
      <c r="H2630" t="s">
        <v>2138</v>
      </c>
      <c r="I2630" t="s">
        <v>2140</v>
      </c>
      <c r="J2630" t="s">
        <v>37</v>
      </c>
      <c r="K2630" t="s">
        <v>32</v>
      </c>
      <c r="L2630" t="s">
        <v>35</v>
      </c>
      <c r="AQ2630">
        <v>0</v>
      </c>
      <c r="AR2630" s="3">
        <f t="shared" si="123"/>
        <v>0</v>
      </c>
      <c r="AS2630" s="3">
        <f t="shared" si="124"/>
        <v>0</v>
      </c>
      <c r="AT2630" s="3" t="str">
        <f>IF(OR(Registered!AM2630&gt;0,Registered!AO2630&gt;0),(IF(Registered!E2630=0,"Size Not Specified",Registered!E2630)),"")</f>
        <v/>
      </c>
      <c r="AU2630" s="3" t="str">
        <f>IF(Registered!AE2630=0,"",IF(Registered!AE2630=1,Registered!AE2630&amp;" Bandana",Registered!AE2630&amp;" Bandanas"))</f>
        <v/>
      </c>
      <c r="AV2630" s="3">
        <f t="shared" si="125"/>
        <v>0</v>
      </c>
      <c r="AW2630" s="2" t="str">
        <f>IF(Registered!AV2630=0,"",IF(Registered!AV2630=1,Registered!AV2630&amp;" Meal",Registered!AV2630&amp;" Meals"))</f>
        <v/>
      </c>
      <c r="AX2630" s="2" t="str">
        <f>IF(Registered!AI2630=0,"",Registered!AI2630&amp;" BG")</f>
        <v/>
      </c>
      <c r="AY2630" s="2" t="str">
        <f>IF(Registered!AG2630=0,"",Registered!AG2630&amp;" DustMask")</f>
        <v/>
      </c>
    </row>
    <row r="2631" spans="1:51" customFormat="1" x14ac:dyDescent="0.25">
      <c r="A2631" t="s">
        <v>54</v>
      </c>
      <c r="B2631" t="s">
        <v>302</v>
      </c>
      <c r="C2631" t="s">
        <v>6090</v>
      </c>
      <c r="D2631" t="s">
        <v>2620</v>
      </c>
      <c r="E2631" t="s">
        <v>117</v>
      </c>
      <c r="F2631" t="s">
        <v>261</v>
      </c>
      <c r="I2631" t="s">
        <v>2621</v>
      </c>
      <c r="J2631" t="s">
        <v>37</v>
      </c>
      <c r="K2631" t="s">
        <v>32</v>
      </c>
      <c r="L2631" t="s">
        <v>35</v>
      </c>
      <c r="S2631">
        <v>1</v>
      </c>
      <c r="T2631">
        <v>3</v>
      </c>
      <c r="AE2631">
        <v>2</v>
      </c>
      <c r="AF2631">
        <v>6</v>
      </c>
      <c r="AM2631">
        <v>1</v>
      </c>
      <c r="AN2631">
        <v>25</v>
      </c>
      <c r="AQ2631">
        <v>40</v>
      </c>
      <c r="AR2631" s="3">
        <f t="shared" si="123"/>
        <v>5</v>
      </c>
      <c r="AS2631" s="3">
        <f t="shared" si="124"/>
        <v>1</v>
      </c>
      <c r="AT2631" s="3" t="str">
        <f>IF(OR(Registered!AM2631&gt;0,Registered!AO2631&gt;0),(IF(Registered!E2631=0,"Size Not Specified",Registered!E2631)),"")</f>
        <v>Large</v>
      </c>
      <c r="AU2631" s="3" t="str">
        <f>IF(Registered!AE2631=0,"",IF(Registered!AE2631=1,Registered!AE2631&amp;" Bandana",Registered!AE2631&amp;" Bandanas"))</f>
        <v>2 Bandanas</v>
      </c>
      <c r="AV2631" s="3">
        <f t="shared" si="125"/>
        <v>1</v>
      </c>
      <c r="AW2631" s="2" t="str">
        <f>IF(Registered!AV2631=0,"",IF(Registered!AV2631=1,Registered!AV2631&amp;" Meal",Registered!AV2631&amp;" Meals"))</f>
        <v>1 Meal</v>
      </c>
      <c r="AX2631" s="2" t="str">
        <f>IF(Registered!AI2631=0,"",Registered!AI2631&amp;" BG")</f>
        <v/>
      </c>
      <c r="AY2631" s="2" t="str">
        <f>IF(Registered!AG2631=0,"",Registered!AG2631&amp;" DustMask")</f>
        <v/>
      </c>
    </row>
    <row r="2632" spans="1:51" customFormat="1" x14ac:dyDescent="0.25">
      <c r="A2632" t="s">
        <v>2622</v>
      </c>
      <c r="B2632" t="s">
        <v>302</v>
      </c>
      <c r="C2632" t="s">
        <v>6090</v>
      </c>
      <c r="G2632" t="s">
        <v>1182</v>
      </c>
      <c r="H2632" t="s">
        <v>745</v>
      </c>
      <c r="I2632" t="s">
        <v>1183</v>
      </c>
      <c r="J2632" t="s">
        <v>37</v>
      </c>
      <c r="K2632" t="s">
        <v>32</v>
      </c>
      <c r="L2632" t="s">
        <v>35</v>
      </c>
      <c r="AQ2632">
        <v>0</v>
      </c>
      <c r="AR2632" s="3">
        <f t="shared" si="123"/>
        <v>0</v>
      </c>
      <c r="AS2632" s="3">
        <f t="shared" si="124"/>
        <v>0</v>
      </c>
      <c r="AT2632" s="3" t="str">
        <f>IF(OR(Registered!AM2632&gt;0,Registered!AO2632&gt;0),(IF(Registered!E2632=0,"Size Not Specified",Registered!E2632)),"")</f>
        <v/>
      </c>
      <c r="AU2632" s="3" t="str">
        <f>IF(Registered!AE2632=0,"",IF(Registered!AE2632=1,Registered!AE2632&amp;" Bandana",Registered!AE2632&amp;" Bandanas"))</f>
        <v/>
      </c>
      <c r="AV2632" s="3">
        <f t="shared" si="125"/>
        <v>0</v>
      </c>
      <c r="AW2632" s="2" t="str">
        <f>IF(Registered!AV2632=0,"",IF(Registered!AV2632=1,Registered!AV2632&amp;" Meal",Registered!AV2632&amp;" Meals"))</f>
        <v/>
      </c>
      <c r="AX2632" s="2" t="str">
        <f>IF(Registered!AI2632=0,"",Registered!AI2632&amp;" BG")</f>
        <v/>
      </c>
      <c r="AY2632" s="2" t="str">
        <f>IF(Registered!AG2632=0,"",Registered!AG2632&amp;" DustMask")</f>
        <v/>
      </c>
    </row>
    <row r="2633" spans="1:51" customFormat="1" x14ac:dyDescent="0.25">
      <c r="A2633" t="s">
        <v>88</v>
      </c>
      <c r="B2633" t="s">
        <v>302</v>
      </c>
      <c r="C2633" t="s">
        <v>6090</v>
      </c>
      <c r="D2633" t="s">
        <v>5970</v>
      </c>
      <c r="E2633" t="s">
        <v>5971</v>
      </c>
      <c r="F2633" t="s">
        <v>261</v>
      </c>
      <c r="I2633" t="s">
        <v>5959</v>
      </c>
      <c r="J2633" t="s">
        <v>37</v>
      </c>
      <c r="K2633" t="s">
        <v>32</v>
      </c>
      <c r="L2633" t="s">
        <v>35</v>
      </c>
      <c r="Q2633">
        <v>2</v>
      </c>
      <c r="R2633">
        <v>3</v>
      </c>
      <c r="AM2633">
        <v>2</v>
      </c>
      <c r="AN2633">
        <v>25</v>
      </c>
      <c r="AQ2633">
        <v>56</v>
      </c>
      <c r="AR2633" s="3">
        <f t="shared" si="123"/>
        <v>10</v>
      </c>
      <c r="AS2633" s="3">
        <f t="shared" si="124"/>
        <v>2</v>
      </c>
      <c r="AT2633" s="3" t="str">
        <f>IF(OR(Registered!AM2633&gt;0,Registered!AO2633&gt;0),(IF(Registered!E2633=0,"Size Not Specified",Registered!E2633)),"")</f>
        <v>Small and,medium</v>
      </c>
      <c r="AU2633" s="3" t="str">
        <f>IF(Registered!AE2633=0,"",IF(Registered!AE2633=1,Registered!AE2633&amp;" Bandana",Registered!AE2633&amp;" Bandanas"))</f>
        <v/>
      </c>
      <c r="AV2633" s="3">
        <f t="shared" si="125"/>
        <v>2</v>
      </c>
      <c r="AW2633" s="2" t="str">
        <f>IF(Registered!AV2633=0,"",IF(Registered!AV2633=1,Registered!AV2633&amp;" Meal",Registered!AV2633&amp;" Meals"))</f>
        <v>2 Meals</v>
      </c>
      <c r="AX2633" s="2" t="str">
        <f>IF(Registered!AI2633=0,"",Registered!AI2633&amp;" BG")</f>
        <v/>
      </c>
      <c r="AY2633" s="2" t="str">
        <f>IF(Registered!AG2633=0,"",Registered!AG2633&amp;" DustMask")</f>
        <v/>
      </c>
    </row>
    <row r="2634" spans="1:51" customFormat="1" x14ac:dyDescent="0.25">
      <c r="A2634" t="s">
        <v>88</v>
      </c>
      <c r="B2634" t="s">
        <v>302</v>
      </c>
      <c r="C2634" t="s">
        <v>6090</v>
      </c>
      <c r="E2634" t="s">
        <v>1056</v>
      </c>
      <c r="F2634" t="s">
        <v>261</v>
      </c>
      <c r="I2634" t="s">
        <v>5972</v>
      </c>
      <c r="J2634" t="s">
        <v>37</v>
      </c>
      <c r="K2634" t="s">
        <v>32</v>
      </c>
      <c r="L2634" t="s">
        <v>35</v>
      </c>
      <c r="Q2634">
        <v>1</v>
      </c>
      <c r="R2634">
        <v>3</v>
      </c>
      <c r="AO2634">
        <v>1</v>
      </c>
      <c r="AP2634">
        <v>10</v>
      </c>
      <c r="AQ2634">
        <v>13</v>
      </c>
      <c r="AR2634" s="3">
        <f t="shared" si="123"/>
        <v>0</v>
      </c>
      <c r="AS2634" s="3">
        <f t="shared" si="124"/>
        <v>1</v>
      </c>
      <c r="AT2634" s="3" t="str">
        <f>IF(OR(Registered!AM2634&gt;0,Registered!AO2634&gt;0),(IF(Registered!E2634=0,"Size Not Specified",Registered!E2634)),"")</f>
        <v>Adult Small</v>
      </c>
      <c r="AU2634" s="3" t="str">
        <f>IF(Registered!AE2634=0,"",IF(Registered!AE2634=1,Registered!AE2634&amp;" Bandana",Registered!AE2634&amp;" Bandanas"))</f>
        <v/>
      </c>
      <c r="AV2634" s="3">
        <f t="shared" si="125"/>
        <v>0</v>
      </c>
      <c r="AW2634" s="2" t="str">
        <f>IF(Registered!AV2634=0,"",IF(Registered!AV2634=1,Registered!AV2634&amp;" Meal",Registered!AV2634&amp;" Meals"))</f>
        <v/>
      </c>
      <c r="AX2634" s="2" t="str">
        <f>IF(Registered!AI2634=0,"",Registered!AI2634&amp;" BG")</f>
        <v/>
      </c>
      <c r="AY2634" s="2" t="str">
        <f>IF(Registered!AG2634=0,"",Registered!AG2634&amp;" DustMask")</f>
        <v/>
      </c>
    </row>
    <row r="2635" spans="1:51" customFormat="1" x14ac:dyDescent="0.25">
      <c r="A2635" t="s">
        <v>3076</v>
      </c>
      <c r="B2635" t="s">
        <v>302</v>
      </c>
      <c r="C2635" t="s">
        <v>6090</v>
      </c>
      <c r="D2635" t="s">
        <v>3496</v>
      </c>
      <c r="E2635" t="s">
        <v>3497</v>
      </c>
      <c r="F2635" t="s">
        <v>261</v>
      </c>
      <c r="I2635" t="s">
        <v>3077</v>
      </c>
      <c r="J2635" t="s">
        <v>37</v>
      </c>
      <c r="K2635" t="s">
        <v>32</v>
      </c>
      <c r="L2635" t="s">
        <v>35</v>
      </c>
      <c r="Q2635">
        <v>2</v>
      </c>
      <c r="R2635">
        <v>3</v>
      </c>
      <c r="AC2635">
        <v>2</v>
      </c>
      <c r="AD2635">
        <v>10</v>
      </c>
      <c r="AO2635">
        <v>2</v>
      </c>
      <c r="AP2635">
        <v>10</v>
      </c>
      <c r="AQ2635">
        <v>46</v>
      </c>
      <c r="AR2635" s="3">
        <f t="shared" si="123"/>
        <v>10</v>
      </c>
      <c r="AS2635" s="3">
        <f t="shared" si="124"/>
        <v>2</v>
      </c>
      <c r="AT2635" s="3" t="str">
        <f>IF(OR(Registered!AM2635&gt;0,Registered!AO2635&gt;0),(IF(Registered!E2635=0,"Size Not Specified",Registered!E2635)),"")</f>
        <v>1 large and 1 small</v>
      </c>
      <c r="AU2635" s="3" t="str">
        <f>IF(Registered!AE2635=0,"",IF(Registered!AE2635=1,Registered!AE2635&amp;" Bandana",Registered!AE2635&amp;" Bandanas"))</f>
        <v/>
      </c>
      <c r="AV2635" s="3">
        <f t="shared" si="125"/>
        <v>0</v>
      </c>
      <c r="AW2635" s="2" t="str">
        <f>IF(Registered!AV2635=0,"",IF(Registered!AV2635=1,Registered!AV2635&amp;" Meal",Registered!AV2635&amp;" Meals"))</f>
        <v/>
      </c>
      <c r="AX2635" s="2" t="str">
        <f>IF(Registered!AI2635=0,"",Registered!AI2635&amp;" BG")</f>
        <v/>
      </c>
      <c r="AY2635" s="2" t="str">
        <f>IF(Registered!AG2635=0,"",Registered!AG2635&amp;" DustMask")</f>
        <v/>
      </c>
    </row>
    <row r="2636" spans="1:51" customFormat="1" x14ac:dyDescent="0.25">
      <c r="A2636" t="s">
        <v>1758</v>
      </c>
      <c r="B2636" t="s">
        <v>302</v>
      </c>
      <c r="C2636" t="s">
        <v>6090</v>
      </c>
      <c r="D2636" t="s">
        <v>2624</v>
      </c>
      <c r="F2636" t="s">
        <v>261</v>
      </c>
      <c r="I2636" t="s">
        <v>1759</v>
      </c>
      <c r="J2636" t="s">
        <v>37</v>
      </c>
      <c r="K2636" t="s">
        <v>32</v>
      </c>
      <c r="L2636" t="s">
        <v>35</v>
      </c>
      <c r="S2636">
        <v>4</v>
      </c>
      <c r="T2636">
        <v>3</v>
      </c>
      <c r="W2636">
        <v>1</v>
      </c>
      <c r="X2636">
        <v>40</v>
      </c>
      <c r="AQ2636">
        <v>52</v>
      </c>
      <c r="AR2636" s="3">
        <f t="shared" si="123"/>
        <v>20</v>
      </c>
      <c r="AS2636" s="3">
        <f t="shared" si="124"/>
        <v>0</v>
      </c>
      <c r="AT2636" s="3" t="str">
        <f>IF(OR(Registered!AM2636&gt;0,Registered!AO2636&gt;0),(IF(Registered!E2636=0,"Size Not Specified",Registered!E2636)),"")</f>
        <v/>
      </c>
      <c r="AU2636" s="3" t="str">
        <f>IF(Registered!AE2636=0,"",IF(Registered!AE2636=1,Registered!AE2636&amp;" Bandana",Registered!AE2636&amp;" Bandanas"))</f>
        <v/>
      </c>
      <c r="AV2636" s="3">
        <f t="shared" si="125"/>
        <v>0</v>
      </c>
      <c r="AW2636" s="2" t="str">
        <f>IF(Registered!AV2636=0,"",IF(Registered!AV2636=1,Registered!AV2636&amp;" Meal",Registered!AV2636&amp;" Meals"))</f>
        <v/>
      </c>
      <c r="AX2636" s="2" t="str">
        <f>IF(Registered!AI2636=0,"",Registered!AI2636&amp;" BG")</f>
        <v/>
      </c>
      <c r="AY2636" s="2" t="str">
        <f>IF(Registered!AG2636=0,"",Registered!AG2636&amp;" DustMask")</f>
        <v/>
      </c>
    </row>
    <row r="2637" spans="1:51" customFormat="1" x14ac:dyDescent="0.25">
      <c r="A2637" t="s">
        <v>2625</v>
      </c>
      <c r="B2637" t="s">
        <v>2626</v>
      </c>
      <c r="C2637" t="s">
        <v>6090</v>
      </c>
      <c r="F2637" t="s">
        <v>261</v>
      </c>
      <c r="I2637" t="s">
        <v>2627</v>
      </c>
      <c r="J2637" t="s">
        <v>37</v>
      </c>
      <c r="K2637" t="s">
        <v>32</v>
      </c>
      <c r="L2637" t="s">
        <v>35</v>
      </c>
      <c r="S2637">
        <v>1</v>
      </c>
      <c r="T2637">
        <v>3</v>
      </c>
      <c r="AQ2637">
        <v>3</v>
      </c>
      <c r="AR2637" s="3">
        <f t="shared" si="123"/>
        <v>0</v>
      </c>
      <c r="AS2637" s="3">
        <f t="shared" si="124"/>
        <v>0</v>
      </c>
      <c r="AT2637" s="3" t="str">
        <f>IF(OR(Registered!AM2637&gt;0,Registered!AO2637&gt;0),(IF(Registered!E2637=0,"Size Not Specified",Registered!E2637)),"")</f>
        <v/>
      </c>
      <c r="AU2637" s="3" t="str">
        <f>IF(Registered!AE2637=0,"",IF(Registered!AE2637=1,Registered!AE2637&amp;" Bandana",Registered!AE2637&amp;" Bandanas"))</f>
        <v/>
      </c>
      <c r="AV2637" s="3">
        <f t="shared" si="125"/>
        <v>0</v>
      </c>
      <c r="AW2637" s="2" t="str">
        <f>IF(Registered!AV2637=0,"",IF(Registered!AV2637=1,Registered!AV2637&amp;" Meal",Registered!AV2637&amp;" Meals"))</f>
        <v/>
      </c>
      <c r="AX2637" s="2" t="str">
        <f>IF(Registered!AI2637=0,"",Registered!AI2637&amp;" BG")</f>
        <v/>
      </c>
      <c r="AY2637" s="2" t="str">
        <f>IF(Registered!AG2637=0,"",Registered!AG2637&amp;" DustMask")</f>
        <v/>
      </c>
    </row>
    <row r="2638" spans="1:51" customFormat="1" x14ac:dyDescent="0.25">
      <c r="A2638" t="s">
        <v>143</v>
      </c>
      <c r="B2638" t="s">
        <v>2628</v>
      </c>
      <c r="C2638" t="s">
        <v>6090</v>
      </c>
      <c r="D2638" t="s">
        <v>2629</v>
      </c>
      <c r="F2638" t="s">
        <v>261</v>
      </c>
      <c r="I2638" t="s">
        <v>2630</v>
      </c>
      <c r="J2638" t="s">
        <v>37</v>
      </c>
      <c r="K2638" t="s">
        <v>32</v>
      </c>
      <c r="L2638" t="s">
        <v>35</v>
      </c>
      <c r="S2638">
        <v>1</v>
      </c>
      <c r="T2638">
        <v>3</v>
      </c>
      <c r="AC2638">
        <v>1</v>
      </c>
      <c r="AD2638">
        <v>10</v>
      </c>
      <c r="AO2638">
        <v>1</v>
      </c>
      <c r="AP2638">
        <v>10</v>
      </c>
      <c r="AQ2638">
        <v>23</v>
      </c>
      <c r="AR2638" s="3">
        <f t="shared" si="123"/>
        <v>5</v>
      </c>
      <c r="AS2638" s="3">
        <f t="shared" si="124"/>
        <v>1</v>
      </c>
      <c r="AT2638" s="3" t="str">
        <f>IF(OR(Registered!AM2638&gt;0,Registered!AO2638&gt;0),(IF(Registered!E2638=0,"Size Not Specified",Registered!E2638)),"")</f>
        <v>Size Not Specified</v>
      </c>
      <c r="AU2638" s="3" t="str">
        <f>IF(Registered!AE2638=0,"",IF(Registered!AE2638=1,Registered!AE2638&amp;" Bandana",Registered!AE2638&amp;" Bandanas"))</f>
        <v/>
      </c>
      <c r="AV2638" s="3">
        <f t="shared" si="125"/>
        <v>0</v>
      </c>
      <c r="AW2638" s="2" t="str">
        <f>IF(Registered!AV2638=0,"",IF(Registered!AV2638=1,Registered!AV2638&amp;" Meal",Registered!AV2638&amp;" Meals"))</f>
        <v/>
      </c>
      <c r="AX2638" s="2" t="str">
        <f>IF(Registered!AI2638=0,"",Registered!AI2638&amp;" BG")</f>
        <v/>
      </c>
      <c r="AY2638" s="2" t="str">
        <f>IF(Registered!AG2638=0,"",Registered!AG2638&amp;" DustMask")</f>
        <v/>
      </c>
    </row>
    <row r="2639" spans="1:51" customFormat="1" x14ac:dyDescent="0.25">
      <c r="A2639" t="s">
        <v>5973</v>
      </c>
      <c r="B2639" t="s">
        <v>267</v>
      </c>
      <c r="C2639" t="s">
        <v>6090</v>
      </c>
      <c r="G2639" t="s">
        <v>1869</v>
      </c>
      <c r="H2639" t="s">
        <v>243</v>
      </c>
      <c r="I2639" t="s">
        <v>5288</v>
      </c>
      <c r="J2639" t="s">
        <v>37</v>
      </c>
      <c r="K2639" t="s">
        <v>32</v>
      </c>
      <c r="L2639" t="s">
        <v>35</v>
      </c>
      <c r="AQ2639">
        <v>0</v>
      </c>
      <c r="AR2639" s="3">
        <f t="shared" si="123"/>
        <v>0</v>
      </c>
      <c r="AS2639" s="3">
        <f t="shared" si="124"/>
        <v>0</v>
      </c>
      <c r="AT2639" s="3" t="str">
        <f>IF(OR(Registered!AM2639&gt;0,Registered!AO2639&gt;0),(IF(Registered!E2639=0,"Size Not Specified",Registered!E2639)),"")</f>
        <v/>
      </c>
      <c r="AU2639" s="3" t="str">
        <f>IF(Registered!AE2639=0,"",IF(Registered!AE2639=1,Registered!AE2639&amp;" Bandana",Registered!AE2639&amp;" Bandanas"))</f>
        <v/>
      </c>
      <c r="AV2639" s="3">
        <f t="shared" si="125"/>
        <v>0</v>
      </c>
      <c r="AW2639" s="2" t="str">
        <f>IF(Registered!AV2639=0,"",IF(Registered!AV2639=1,Registered!AV2639&amp;" Meal",Registered!AV2639&amp;" Meals"))</f>
        <v/>
      </c>
      <c r="AX2639" s="2" t="str">
        <f>IF(Registered!AI2639=0,"",Registered!AI2639&amp;" BG")</f>
        <v/>
      </c>
      <c r="AY2639" s="2" t="str">
        <f>IF(Registered!AG2639=0,"",Registered!AG2639&amp;" DustMask")</f>
        <v/>
      </c>
    </row>
    <row r="2640" spans="1:51" customFormat="1" x14ac:dyDescent="0.25">
      <c r="A2640" t="s">
        <v>3498</v>
      </c>
      <c r="B2640" t="s">
        <v>267</v>
      </c>
      <c r="C2640" t="s">
        <v>6090</v>
      </c>
      <c r="G2640" t="s">
        <v>3013</v>
      </c>
      <c r="H2640" t="s">
        <v>3014</v>
      </c>
      <c r="I2640" t="s">
        <v>3015</v>
      </c>
      <c r="J2640" t="s">
        <v>37</v>
      </c>
      <c r="K2640" t="s">
        <v>32</v>
      </c>
      <c r="L2640" t="s">
        <v>35</v>
      </c>
      <c r="AQ2640">
        <v>0</v>
      </c>
      <c r="AR2640" s="3">
        <f t="shared" si="123"/>
        <v>0</v>
      </c>
      <c r="AS2640" s="3">
        <f t="shared" si="124"/>
        <v>0</v>
      </c>
      <c r="AT2640" s="3" t="str">
        <f>IF(OR(Registered!AM2640&gt;0,Registered!AO2640&gt;0),(IF(Registered!E2640=0,"Size Not Specified",Registered!E2640)),"")</f>
        <v/>
      </c>
      <c r="AU2640" s="3" t="str">
        <f>IF(Registered!AE2640=0,"",IF(Registered!AE2640=1,Registered!AE2640&amp;" Bandana",Registered!AE2640&amp;" Bandanas"))</f>
        <v/>
      </c>
      <c r="AV2640" s="3">
        <f t="shared" si="125"/>
        <v>0</v>
      </c>
      <c r="AW2640" s="2" t="str">
        <f>IF(Registered!AV2640=0,"",IF(Registered!AV2640=1,Registered!AV2640&amp;" Meal",Registered!AV2640&amp;" Meals"))</f>
        <v/>
      </c>
      <c r="AX2640" s="2" t="str">
        <f>IF(Registered!AI2640=0,"",Registered!AI2640&amp;" BG")</f>
        <v/>
      </c>
      <c r="AY2640" s="2" t="str">
        <f>IF(Registered!AG2640=0,"",Registered!AG2640&amp;" DustMask")</f>
        <v/>
      </c>
    </row>
    <row r="2641" spans="1:51" customFormat="1" x14ac:dyDescent="0.25">
      <c r="A2641" t="s">
        <v>163</v>
      </c>
      <c r="B2641" t="s">
        <v>267</v>
      </c>
      <c r="C2641" t="s">
        <v>6090</v>
      </c>
      <c r="D2641" t="s">
        <v>5974</v>
      </c>
      <c r="F2641" t="s">
        <v>261</v>
      </c>
      <c r="I2641" t="s">
        <v>5975</v>
      </c>
      <c r="J2641" t="s">
        <v>37</v>
      </c>
      <c r="K2641" t="s">
        <v>32</v>
      </c>
      <c r="L2641" t="s">
        <v>35</v>
      </c>
      <c r="Q2641">
        <v>1</v>
      </c>
      <c r="R2641">
        <v>3</v>
      </c>
      <c r="AC2641">
        <v>1</v>
      </c>
      <c r="AD2641">
        <v>10</v>
      </c>
      <c r="AQ2641">
        <v>13</v>
      </c>
      <c r="AR2641" s="3">
        <f t="shared" si="123"/>
        <v>5</v>
      </c>
      <c r="AS2641" s="3">
        <f t="shared" si="124"/>
        <v>0</v>
      </c>
      <c r="AT2641" s="3" t="str">
        <f>IF(OR(Registered!AM2641&gt;0,Registered!AO2641&gt;0),(IF(Registered!E2641=0,"Size Not Specified",Registered!E2641)),"")</f>
        <v/>
      </c>
      <c r="AU2641" s="3" t="str">
        <f>IF(Registered!AE2641=0,"",IF(Registered!AE2641=1,Registered!AE2641&amp;" Bandana",Registered!AE2641&amp;" Bandanas"))</f>
        <v/>
      </c>
      <c r="AV2641" s="3">
        <f t="shared" si="125"/>
        <v>0</v>
      </c>
      <c r="AW2641" s="2" t="str">
        <f>IF(Registered!AV2641=0,"",IF(Registered!AV2641=1,Registered!AV2641&amp;" Meal",Registered!AV2641&amp;" Meals"))</f>
        <v/>
      </c>
      <c r="AX2641" s="2" t="str">
        <f>IF(Registered!AI2641=0,"",Registered!AI2641&amp;" BG")</f>
        <v/>
      </c>
      <c r="AY2641" s="2" t="str">
        <f>IF(Registered!AG2641=0,"",Registered!AG2641&amp;" DustMask")</f>
        <v/>
      </c>
    </row>
    <row r="2642" spans="1:51" customFormat="1" x14ac:dyDescent="0.25">
      <c r="A2642" t="s">
        <v>479</v>
      </c>
      <c r="B2642" t="s">
        <v>267</v>
      </c>
      <c r="C2642" t="s">
        <v>6090</v>
      </c>
      <c r="D2642" t="s">
        <v>2631</v>
      </c>
      <c r="F2642" t="s">
        <v>261</v>
      </c>
      <c r="I2642" t="s">
        <v>2408</v>
      </c>
      <c r="J2642" t="s">
        <v>37</v>
      </c>
      <c r="K2642" t="s">
        <v>32</v>
      </c>
      <c r="L2642" t="s">
        <v>35</v>
      </c>
      <c r="S2642">
        <v>2</v>
      </c>
      <c r="T2642">
        <v>3</v>
      </c>
      <c r="W2642">
        <v>1</v>
      </c>
      <c r="X2642">
        <v>40</v>
      </c>
      <c r="AQ2642">
        <v>46</v>
      </c>
      <c r="AR2642" s="3">
        <f t="shared" si="123"/>
        <v>20</v>
      </c>
      <c r="AS2642" s="3">
        <f t="shared" si="124"/>
        <v>0</v>
      </c>
      <c r="AT2642" s="3" t="str">
        <f>IF(OR(Registered!AM2642&gt;0,Registered!AO2642&gt;0),(IF(Registered!E2642=0,"Size Not Specified",Registered!E2642)),"")</f>
        <v/>
      </c>
      <c r="AU2642" s="3" t="str">
        <f>IF(Registered!AE2642=0,"",IF(Registered!AE2642=1,Registered!AE2642&amp;" Bandana",Registered!AE2642&amp;" Bandanas"))</f>
        <v/>
      </c>
      <c r="AV2642" s="3">
        <f t="shared" si="125"/>
        <v>0</v>
      </c>
      <c r="AW2642" s="2" t="str">
        <f>IF(Registered!AV2642=0,"",IF(Registered!AV2642=1,Registered!AV2642&amp;" Meal",Registered!AV2642&amp;" Meals"))</f>
        <v/>
      </c>
      <c r="AX2642" s="2" t="str">
        <f>IF(Registered!AI2642=0,"",Registered!AI2642&amp;" BG")</f>
        <v/>
      </c>
      <c r="AY2642" s="2" t="str">
        <f>IF(Registered!AG2642=0,"",Registered!AG2642&amp;" DustMask")</f>
        <v/>
      </c>
    </row>
    <row r="2643" spans="1:51" customFormat="1" x14ac:dyDescent="0.25">
      <c r="A2643" t="s">
        <v>4309</v>
      </c>
      <c r="B2643" t="s">
        <v>267</v>
      </c>
      <c r="C2643" t="s">
        <v>6090</v>
      </c>
      <c r="D2643" t="s">
        <v>4309</v>
      </c>
      <c r="F2643" t="s">
        <v>261</v>
      </c>
      <c r="I2643" t="s">
        <v>4310</v>
      </c>
      <c r="J2643" t="s">
        <v>37</v>
      </c>
      <c r="K2643" t="s">
        <v>32</v>
      </c>
      <c r="L2643" t="s">
        <v>35</v>
      </c>
      <c r="Q2643">
        <v>2</v>
      </c>
      <c r="R2643">
        <v>3</v>
      </c>
      <c r="U2643">
        <v>1</v>
      </c>
      <c r="V2643">
        <v>20</v>
      </c>
      <c r="AQ2643">
        <v>26</v>
      </c>
      <c r="AR2643" s="3">
        <f t="shared" si="123"/>
        <v>10</v>
      </c>
      <c r="AS2643" s="3">
        <f t="shared" si="124"/>
        <v>0</v>
      </c>
      <c r="AT2643" s="3" t="str">
        <f>IF(OR(Registered!AM2643&gt;0,Registered!AO2643&gt;0),(IF(Registered!E2643=0,"Size Not Specified",Registered!E2643)),"")</f>
        <v/>
      </c>
      <c r="AU2643" s="3" t="str">
        <f>IF(Registered!AE2643=0,"",IF(Registered!AE2643=1,Registered!AE2643&amp;" Bandana",Registered!AE2643&amp;" Bandanas"))</f>
        <v/>
      </c>
      <c r="AV2643" s="3">
        <f t="shared" si="125"/>
        <v>0</v>
      </c>
      <c r="AW2643" s="2" t="str">
        <f>IF(Registered!AV2643=0,"",IF(Registered!AV2643=1,Registered!AV2643&amp;" Meal",Registered!AV2643&amp;" Meals"))</f>
        <v/>
      </c>
      <c r="AX2643" s="2" t="str">
        <f>IF(Registered!AI2643=0,"",Registered!AI2643&amp;" BG")</f>
        <v/>
      </c>
      <c r="AY2643" s="2" t="str">
        <f>IF(Registered!AG2643=0,"",Registered!AG2643&amp;" DustMask")</f>
        <v/>
      </c>
    </row>
    <row r="2644" spans="1:51" customFormat="1" x14ac:dyDescent="0.25">
      <c r="A2644" t="s">
        <v>214</v>
      </c>
      <c r="B2644" t="s">
        <v>267</v>
      </c>
      <c r="C2644" t="s">
        <v>6090</v>
      </c>
      <c r="D2644" t="s">
        <v>2632</v>
      </c>
      <c r="E2644" t="s">
        <v>2633</v>
      </c>
      <c r="I2644" t="s">
        <v>2597</v>
      </c>
      <c r="J2644" t="s">
        <v>37</v>
      </c>
      <c r="K2644" t="s">
        <v>32</v>
      </c>
      <c r="L2644" t="s">
        <v>35</v>
      </c>
      <c r="O2644">
        <v>3</v>
      </c>
      <c r="P2644">
        <v>3</v>
      </c>
      <c r="AE2644">
        <v>3</v>
      </c>
      <c r="AF2644">
        <v>6</v>
      </c>
      <c r="AM2644">
        <v>3</v>
      </c>
      <c r="AN2644">
        <v>25</v>
      </c>
      <c r="AQ2644">
        <v>102</v>
      </c>
      <c r="AR2644" s="3">
        <f t="shared" si="123"/>
        <v>15</v>
      </c>
      <c r="AS2644" s="3">
        <f t="shared" si="124"/>
        <v>3</v>
      </c>
      <c r="AT2644" s="3" t="str">
        <f>IF(OR(Registered!AM2644&gt;0,Registered!AO2644&gt;0),(IF(Registered!E2644=0,"Size Not Specified",Registered!E2644)),"")</f>
        <v>1 large 2 smalls</v>
      </c>
      <c r="AU2644" s="3" t="str">
        <f>IF(Registered!AE2644=0,"",IF(Registered!AE2644=1,Registered!AE2644&amp;" Bandana",Registered!AE2644&amp;" Bandanas"))</f>
        <v>3 Bandanas</v>
      </c>
      <c r="AV2644" s="3">
        <f t="shared" si="125"/>
        <v>3</v>
      </c>
      <c r="AW2644" s="2" t="str">
        <f>IF(Registered!AV2644=0,"",IF(Registered!AV2644=1,Registered!AV2644&amp;" Meal",Registered!AV2644&amp;" Meals"))</f>
        <v>3 Meals</v>
      </c>
      <c r="AX2644" s="2" t="str">
        <f>IF(Registered!AI2644=0,"",Registered!AI2644&amp;" BG")</f>
        <v/>
      </c>
      <c r="AY2644" s="2" t="str">
        <f>IF(Registered!AG2644=0,"",Registered!AG2644&amp;" DustMask")</f>
        <v/>
      </c>
    </row>
    <row r="2645" spans="1:51" customFormat="1" x14ac:dyDescent="0.25">
      <c r="A2645" t="s">
        <v>2634</v>
      </c>
      <c r="B2645" t="s">
        <v>2635</v>
      </c>
      <c r="C2645" t="s">
        <v>6090</v>
      </c>
      <c r="G2645" t="s">
        <v>944</v>
      </c>
      <c r="H2645" t="s">
        <v>945</v>
      </c>
      <c r="I2645" t="s">
        <v>946</v>
      </c>
      <c r="J2645" t="s">
        <v>37</v>
      </c>
      <c r="K2645" t="s">
        <v>32</v>
      </c>
      <c r="L2645" t="s">
        <v>35</v>
      </c>
      <c r="AQ2645">
        <v>0</v>
      </c>
      <c r="AR2645" s="3">
        <f t="shared" si="123"/>
        <v>0</v>
      </c>
      <c r="AS2645" s="3">
        <f t="shared" si="124"/>
        <v>0</v>
      </c>
      <c r="AT2645" s="3" t="str">
        <f>IF(OR(Registered!AM2645&gt;0,Registered!AO2645&gt;0),(IF(Registered!E2645=0,"Size Not Specified",Registered!E2645)),"")</f>
        <v/>
      </c>
      <c r="AU2645" s="3" t="str">
        <f>IF(Registered!AE2645=0,"",IF(Registered!AE2645=1,Registered!AE2645&amp;" Bandana",Registered!AE2645&amp;" Bandanas"))</f>
        <v/>
      </c>
      <c r="AV2645" s="3">
        <f t="shared" si="125"/>
        <v>0</v>
      </c>
      <c r="AW2645" s="2" t="str">
        <f>IF(Registered!AV2645=0,"",IF(Registered!AV2645=1,Registered!AV2645&amp;" Meal",Registered!AV2645&amp;" Meals"))</f>
        <v/>
      </c>
      <c r="AX2645" s="2" t="str">
        <f>IF(Registered!AI2645=0,"",Registered!AI2645&amp;" BG")</f>
        <v/>
      </c>
      <c r="AY2645" s="2" t="str">
        <f>IF(Registered!AG2645=0,"",Registered!AG2645&amp;" DustMask")</f>
        <v/>
      </c>
    </row>
    <row r="2646" spans="1:51" customFormat="1" x14ac:dyDescent="0.25">
      <c r="A2646" t="s">
        <v>266</v>
      </c>
      <c r="B2646" t="s">
        <v>2802</v>
      </c>
      <c r="C2646" t="s">
        <v>6090</v>
      </c>
      <c r="D2646" t="s">
        <v>3366</v>
      </c>
      <c r="F2646" t="s">
        <v>261</v>
      </c>
      <c r="I2646" t="s">
        <v>2803</v>
      </c>
      <c r="J2646" t="s">
        <v>37</v>
      </c>
      <c r="K2646" t="s">
        <v>32</v>
      </c>
      <c r="L2646" t="s">
        <v>35</v>
      </c>
      <c r="Q2646">
        <v>4</v>
      </c>
      <c r="R2646">
        <v>3</v>
      </c>
      <c r="U2646">
        <v>1</v>
      </c>
      <c r="V2646">
        <v>20</v>
      </c>
      <c r="AQ2646">
        <v>32</v>
      </c>
      <c r="AR2646" s="3">
        <f t="shared" si="123"/>
        <v>10</v>
      </c>
      <c r="AS2646" s="3">
        <f t="shared" si="124"/>
        <v>0</v>
      </c>
      <c r="AT2646" s="3" t="str">
        <f>IF(OR(Registered!AM2646&gt;0,Registered!AO2646&gt;0),(IF(Registered!E2646=0,"Size Not Specified",Registered!E2646)),"")</f>
        <v/>
      </c>
      <c r="AU2646" s="3" t="str">
        <f>IF(Registered!AE2646=0,"",IF(Registered!AE2646=1,Registered!AE2646&amp;" Bandana",Registered!AE2646&amp;" Bandanas"))</f>
        <v/>
      </c>
      <c r="AV2646" s="3">
        <f t="shared" si="125"/>
        <v>0</v>
      </c>
      <c r="AW2646" s="2" t="str">
        <f>IF(Registered!AV2646=0,"",IF(Registered!AV2646=1,Registered!AV2646&amp;" Meal",Registered!AV2646&amp;" Meals"))</f>
        <v/>
      </c>
      <c r="AX2646" s="2" t="str">
        <f>IF(Registered!AI2646=0,"",Registered!AI2646&amp;" BG")</f>
        <v/>
      </c>
      <c r="AY2646" s="2" t="str">
        <f>IF(Registered!AG2646=0,"",Registered!AG2646&amp;" DustMask")</f>
        <v/>
      </c>
    </row>
    <row r="2647" spans="1:51" customFormat="1" x14ac:dyDescent="0.25">
      <c r="A2647" t="s">
        <v>642</v>
      </c>
      <c r="B2647" t="s">
        <v>4893</v>
      </c>
      <c r="C2647" t="s">
        <v>6090</v>
      </c>
      <c r="D2647" t="s">
        <v>5976</v>
      </c>
      <c r="F2647" t="s">
        <v>261</v>
      </c>
      <c r="I2647" t="s">
        <v>4894</v>
      </c>
      <c r="J2647" t="s">
        <v>37</v>
      </c>
      <c r="K2647" t="s">
        <v>32</v>
      </c>
      <c r="L2647" t="s">
        <v>35</v>
      </c>
      <c r="Q2647">
        <v>4</v>
      </c>
      <c r="R2647">
        <v>3</v>
      </c>
      <c r="U2647">
        <v>1</v>
      </c>
      <c r="V2647">
        <v>20</v>
      </c>
      <c r="AQ2647">
        <v>32</v>
      </c>
      <c r="AR2647" s="3">
        <f t="shared" si="123"/>
        <v>10</v>
      </c>
      <c r="AS2647" s="3">
        <f t="shared" si="124"/>
        <v>0</v>
      </c>
      <c r="AT2647" s="3" t="str">
        <f>IF(OR(Registered!AM2647&gt;0,Registered!AO2647&gt;0),(IF(Registered!E2647=0,"Size Not Specified",Registered!E2647)),"")</f>
        <v/>
      </c>
      <c r="AU2647" s="3" t="str">
        <f>IF(Registered!AE2647=0,"",IF(Registered!AE2647=1,Registered!AE2647&amp;" Bandana",Registered!AE2647&amp;" Bandanas"))</f>
        <v/>
      </c>
      <c r="AV2647" s="3">
        <f t="shared" si="125"/>
        <v>0</v>
      </c>
      <c r="AW2647" s="2" t="str">
        <f>IF(Registered!AV2647=0,"",IF(Registered!AV2647=1,Registered!AV2647&amp;" Meal",Registered!AV2647&amp;" Meals"))</f>
        <v/>
      </c>
      <c r="AX2647" s="2" t="str">
        <f>IF(Registered!AI2647=0,"",Registered!AI2647&amp;" BG")</f>
        <v/>
      </c>
      <c r="AY2647" s="2" t="str">
        <f>IF(Registered!AG2647=0,"",Registered!AG2647&amp;" DustMask")</f>
        <v/>
      </c>
    </row>
    <row r="2648" spans="1:51" customFormat="1" x14ac:dyDescent="0.25">
      <c r="A2648" t="s">
        <v>38</v>
      </c>
      <c r="B2648" t="s">
        <v>2757</v>
      </c>
      <c r="C2648" t="s">
        <v>6090</v>
      </c>
      <c r="D2648" t="s">
        <v>3499</v>
      </c>
      <c r="E2648" t="s">
        <v>3500</v>
      </c>
      <c r="F2648" t="s">
        <v>261</v>
      </c>
      <c r="I2648" t="s">
        <v>2758</v>
      </c>
      <c r="J2648" t="s">
        <v>37</v>
      </c>
      <c r="K2648" t="s">
        <v>32</v>
      </c>
      <c r="L2648" t="s">
        <v>35</v>
      </c>
      <c r="Q2648">
        <v>2</v>
      </c>
      <c r="R2648">
        <v>3</v>
      </c>
      <c r="AC2648">
        <v>1</v>
      </c>
      <c r="AD2648">
        <v>10</v>
      </c>
      <c r="AO2648">
        <v>2</v>
      </c>
      <c r="AP2648">
        <v>10</v>
      </c>
      <c r="AQ2648">
        <v>36</v>
      </c>
      <c r="AR2648" s="3">
        <f t="shared" si="123"/>
        <v>5</v>
      </c>
      <c r="AS2648" s="3">
        <f t="shared" si="124"/>
        <v>2</v>
      </c>
      <c r="AT2648" s="3" t="str">
        <f>IF(OR(Registered!AM2648&gt;0,Registered!AO2648&gt;0),(IF(Registered!E2648=0,"Size Not Specified",Registered!E2648)),"")</f>
        <v>2 - Large</v>
      </c>
      <c r="AU2648" s="3" t="str">
        <f>IF(Registered!AE2648=0,"",IF(Registered!AE2648=1,Registered!AE2648&amp;" Bandana",Registered!AE2648&amp;" Bandanas"))</f>
        <v/>
      </c>
      <c r="AV2648" s="3">
        <f t="shared" si="125"/>
        <v>0</v>
      </c>
      <c r="AW2648" s="2" t="str">
        <f>IF(Registered!AV2648=0,"",IF(Registered!AV2648=1,Registered!AV2648&amp;" Meal",Registered!AV2648&amp;" Meals"))</f>
        <v/>
      </c>
      <c r="AX2648" s="2" t="str">
        <f>IF(Registered!AI2648=0,"",Registered!AI2648&amp;" BG")</f>
        <v/>
      </c>
      <c r="AY2648" s="2" t="str">
        <f>IF(Registered!AG2648=0,"",Registered!AG2648&amp;" DustMask")</f>
        <v/>
      </c>
    </row>
    <row r="2649" spans="1:51" customFormat="1" x14ac:dyDescent="0.25">
      <c r="A2649" t="s">
        <v>103</v>
      </c>
      <c r="B2649" t="s">
        <v>5977</v>
      </c>
      <c r="C2649" t="s">
        <v>6090</v>
      </c>
      <c r="G2649" t="s">
        <v>2582</v>
      </c>
      <c r="H2649" t="s">
        <v>4562</v>
      </c>
      <c r="I2649" t="s">
        <v>4563</v>
      </c>
      <c r="J2649" t="s">
        <v>37</v>
      </c>
      <c r="K2649" t="s">
        <v>32</v>
      </c>
      <c r="L2649" t="s">
        <v>35</v>
      </c>
      <c r="AQ2649">
        <v>0</v>
      </c>
      <c r="AR2649" s="3">
        <f t="shared" si="123"/>
        <v>0</v>
      </c>
      <c r="AS2649" s="3">
        <f t="shared" si="124"/>
        <v>0</v>
      </c>
      <c r="AT2649" s="3" t="str">
        <f>IF(OR(Registered!AM2649&gt;0,Registered!AO2649&gt;0),(IF(Registered!E2649=0,"Size Not Specified",Registered!E2649)),"")</f>
        <v/>
      </c>
      <c r="AU2649" s="3" t="str">
        <f>IF(Registered!AE2649=0,"",IF(Registered!AE2649=1,Registered!AE2649&amp;" Bandana",Registered!AE2649&amp;" Bandanas"))</f>
        <v/>
      </c>
      <c r="AV2649" s="3">
        <f t="shared" si="125"/>
        <v>0</v>
      </c>
      <c r="AW2649" s="2" t="str">
        <f>IF(Registered!AV2649=0,"",IF(Registered!AV2649=1,Registered!AV2649&amp;" Meal",Registered!AV2649&amp;" Meals"))</f>
        <v/>
      </c>
      <c r="AX2649" s="2" t="str">
        <f>IF(Registered!AI2649=0,"",Registered!AI2649&amp;" BG")</f>
        <v/>
      </c>
      <c r="AY2649" s="2" t="str">
        <f>IF(Registered!AG2649=0,"",Registered!AG2649&amp;" DustMask")</f>
        <v/>
      </c>
    </row>
    <row r="2650" spans="1:51" customFormat="1" x14ac:dyDescent="0.25">
      <c r="A2650" t="s">
        <v>255</v>
      </c>
      <c r="B2650" t="s">
        <v>5978</v>
      </c>
      <c r="C2650" t="s">
        <v>6090</v>
      </c>
      <c r="G2650" t="s">
        <v>103</v>
      </c>
      <c r="H2650" t="s">
        <v>4800</v>
      </c>
      <c r="I2650" t="s">
        <v>4801</v>
      </c>
      <c r="J2650" t="s">
        <v>37</v>
      </c>
      <c r="K2650" t="s">
        <v>32</v>
      </c>
      <c r="L2650" t="s">
        <v>35</v>
      </c>
      <c r="AQ2650">
        <v>0</v>
      </c>
      <c r="AR2650" s="3">
        <f t="shared" si="123"/>
        <v>0</v>
      </c>
      <c r="AS2650" s="3">
        <f t="shared" si="124"/>
        <v>0</v>
      </c>
      <c r="AT2650" s="3" t="str">
        <f>IF(OR(Registered!AM2650&gt;0,Registered!AO2650&gt;0),(IF(Registered!E2650=0,"Size Not Specified",Registered!E2650)),"")</f>
        <v/>
      </c>
      <c r="AU2650" s="3" t="str">
        <f>IF(Registered!AE2650=0,"",IF(Registered!AE2650=1,Registered!AE2650&amp;" Bandana",Registered!AE2650&amp;" Bandanas"))</f>
        <v/>
      </c>
      <c r="AV2650" s="3">
        <f t="shared" si="125"/>
        <v>0</v>
      </c>
      <c r="AW2650" s="2" t="str">
        <f>IF(Registered!AV2650=0,"",IF(Registered!AV2650=1,Registered!AV2650&amp;" Meal",Registered!AV2650&amp;" Meals"))</f>
        <v/>
      </c>
      <c r="AX2650" s="2" t="str">
        <f>IF(Registered!AI2650=0,"",Registered!AI2650&amp;" BG")</f>
        <v/>
      </c>
      <c r="AY2650" s="2" t="str">
        <f>IF(Registered!AG2650=0,"",Registered!AG2650&amp;" DustMask")</f>
        <v/>
      </c>
    </row>
    <row r="2651" spans="1:51" customFormat="1" x14ac:dyDescent="0.25">
      <c r="A2651" t="s">
        <v>647</v>
      </c>
      <c r="B2651" t="s">
        <v>5979</v>
      </c>
      <c r="C2651" t="s">
        <v>6090</v>
      </c>
      <c r="D2651" t="s">
        <v>5980</v>
      </c>
      <c r="F2651" t="s">
        <v>261</v>
      </c>
      <c r="I2651" t="s">
        <v>5981</v>
      </c>
      <c r="J2651" t="s">
        <v>37</v>
      </c>
      <c r="K2651" t="s">
        <v>32</v>
      </c>
      <c r="L2651" t="s">
        <v>35</v>
      </c>
      <c r="Q2651">
        <v>1</v>
      </c>
      <c r="R2651">
        <v>3</v>
      </c>
      <c r="AC2651">
        <v>1</v>
      </c>
      <c r="AD2651">
        <v>10</v>
      </c>
      <c r="AQ2651">
        <v>13</v>
      </c>
      <c r="AR2651" s="3">
        <f t="shared" si="123"/>
        <v>5</v>
      </c>
      <c r="AS2651" s="3">
        <f t="shared" si="124"/>
        <v>0</v>
      </c>
      <c r="AT2651" s="3" t="str">
        <f>IF(OR(Registered!AM2651&gt;0,Registered!AO2651&gt;0),(IF(Registered!E2651=0,"Size Not Specified",Registered!E2651)),"")</f>
        <v/>
      </c>
      <c r="AU2651" s="3" t="str">
        <f>IF(Registered!AE2651=0,"",IF(Registered!AE2651=1,Registered!AE2651&amp;" Bandana",Registered!AE2651&amp;" Bandanas"))</f>
        <v/>
      </c>
      <c r="AV2651" s="3">
        <f t="shared" si="125"/>
        <v>0</v>
      </c>
      <c r="AW2651" s="2" t="str">
        <f>IF(Registered!AV2651=0,"",IF(Registered!AV2651=1,Registered!AV2651&amp;" Meal",Registered!AV2651&amp;" Meals"))</f>
        <v/>
      </c>
      <c r="AX2651" s="2" t="str">
        <f>IF(Registered!AI2651=0,"",Registered!AI2651&amp;" BG")</f>
        <v/>
      </c>
      <c r="AY2651" s="2" t="str">
        <f>IF(Registered!AG2651=0,"",Registered!AG2651&amp;" DustMask")</f>
        <v/>
      </c>
    </row>
    <row r="2652" spans="1:51" customFormat="1" x14ac:dyDescent="0.25">
      <c r="A2652" t="s">
        <v>4436</v>
      </c>
      <c r="B2652" t="s">
        <v>5982</v>
      </c>
      <c r="C2652" t="s">
        <v>6090</v>
      </c>
      <c r="F2652" t="s">
        <v>261</v>
      </c>
      <c r="I2652" t="s">
        <v>5983</v>
      </c>
      <c r="J2652" t="s">
        <v>37</v>
      </c>
      <c r="K2652" t="s">
        <v>32</v>
      </c>
      <c r="L2652" t="s">
        <v>35</v>
      </c>
      <c r="Q2652">
        <v>1</v>
      </c>
      <c r="R2652">
        <v>3</v>
      </c>
      <c r="AQ2652">
        <v>3</v>
      </c>
      <c r="AR2652" s="3">
        <f t="shared" si="123"/>
        <v>0</v>
      </c>
      <c r="AS2652" s="3">
        <f t="shared" si="124"/>
        <v>0</v>
      </c>
      <c r="AT2652" s="3" t="str">
        <f>IF(OR(Registered!AM2652&gt;0,Registered!AO2652&gt;0),(IF(Registered!E2652=0,"Size Not Specified",Registered!E2652)),"")</f>
        <v/>
      </c>
      <c r="AU2652" s="3" t="str">
        <f>IF(Registered!AE2652=0,"",IF(Registered!AE2652=1,Registered!AE2652&amp;" Bandana",Registered!AE2652&amp;" Bandanas"))</f>
        <v/>
      </c>
      <c r="AV2652" s="3">
        <f t="shared" si="125"/>
        <v>0</v>
      </c>
      <c r="AW2652" s="2" t="str">
        <f>IF(Registered!AV2652=0,"",IF(Registered!AV2652=1,Registered!AV2652&amp;" Meal",Registered!AV2652&amp;" Meals"))</f>
        <v/>
      </c>
      <c r="AX2652" s="2" t="str">
        <f>IF(Registered!AI2652=0,"",Registered!AI2652&amp;" BG")</f>
        <v/>
      </c>
      <c r="AY2652" s="2" t="str">
        <f>IF(Registered!AG2652=0,"",Registered!AG2652&amp;" DustMask")</f>
        <v/>
      </c>
    </row>
    <row r="2653" spans="1:51" customFormat="1" x14ac:dyDescent="0.25">
      <c r="A2653" t="s">
        <v>79</v>
      </c>
      <c r="B2653" t="s">
        <v>2100</v>
      </c>
      <c r="C2653" t="s">
        <v>6090</v>
      </c>
      <c r="D2653" t="s">
        <v>79</v>
      </c>
      <c r="F2653" t="s">
        <v>261</v>
      </c>
      <c r="I2653" t="s">
        <v>2101</v>
      </c>
      <c r="J2653" t="s">
        <v>37</v>
      </c>
      <c r="K2653" t="s">
        <v>32</v>
      </c>
      <c r="L2653" t="s">
        <v>35</v>
      </c>
      <c r="S2653">
        <v>2</v>
      </c>
      <c r="T2653">
        <v>3</v>
      </c>
      <c r="AC2653">
        <v>2</v>
      </c>
      <c r="AD2653">
        <v>10</v>
      </c>
      <c r="AQ2653">
        <v>26</v>
      </c>
      <c r="AR2653" s="3">
        <f t="shared" si="123"/>
        <v>10</v>
      </c>
      <c r="AS2653" s="3">
        <f t="shared" si="124"/>
        <v>0</v>
      </c>
      <c r="AT2653" s="3" t="str">
        <f>IF(OR(Registered!AM2653&gt;0,Registered!AO2653&gt;0),(IF(Registered!E2653=0,"Size Not Specified",Registered!E2653)),"")</f>
        <v/>
      </c>
      <c r="AU2653" s="3" t="str">
        <f>IF(Registered!AE2653=0,"",IF(Registered!AE2653=1,Registered!AE2653&amp;" Bandana",Registered!AE2653&amp;" Bandanas"))</f>
        <v/>
      </c>
      <c r="AV2653" s="3">
        <f t="shared" si="125"/>
        <v>0</v>
      </c>
      <c r="AW2653" s="2" t="str">
        <f>IF(Registered!AV2653=0,"",IF(Registered!AV2653=1,Registered!AV2653&amp;" Meal",Registered!AV2653&amp;" Meals"))</f>
        <v/>
      </c>
      <c r="AX2653" s="2" t="str">
        <f>IF(Registered!AI2653=0,"",Registered!AI2653&amp;" BG")</f>
        <v/>
      </c>
      <c r="AY2653" s="2" t="str">
        <f>IF(Registered!AG2653=0,"",Registered!AG2653&amp;" DustMask")</f>
        <v/>
      </c>
    </row>
    <row r="2654" spans="1:51" customFormat="1" x14ac:dyDescent="0.25">
      <c r="A2654" t="s">
        <v>3856</v>
      </c>
      <c r="B2654" t="s">
        <v>5984</v>
      </c>
      <c r="C2654" t="s">
        <v>6090</v>
      </c>
      <c r="D2654" t="s">
        <v>5985</v>
      </c>
      <c r="F2654" t="s">
        <v>261</v>
      </c>
      <c r="I2654" t="s">
        <v>5986</v>
      </c>
      <c r="J2654" t="s">
        <v>37</v>
      </c>
      <c r="K2654" t="s">
        <v>32</v>
      </c>
      <c r="L2654" t="s">
        <v>35</v>
      </c>
      <c r="Q2654">
        <v>2</v>
      </c>
      <c r="R2654">
        <v>3</v>
      </c>
      <c r="AC2654">
        <v>1</v>
      </c>
      <c r="AD2654">
        <v>10</v>
      </c>
      <c r="AQ2654">
        <v>16</v>
      </c>
      <c r="AR2654" s="3">
        <f t="shared" si="123"/>
        <v>5</v>
      </c>
      <c r="AS2654" s="3">
        <f t="shared" si="124"/>
        <v>0</v>
      </c>
      <c r="AT2654" s="3" t="str">
        <f>IF(OR(Registered!AM2654&gt;0,Registered!AO2654&gt;0),(IF(Registered!E2654=0,"Size Not Specified",Registered!E2654)),"")</f>
        <v/>
      </c>
      <c r="AU2654" s="3" t="str">
        <f>IF(Registered!AE2654=0,"",IF(Registered!AE2654=1,Registered!AE2654&amp;" Bandana",Registered!AE2654&amp;" Bandanas"))</f>
        <v/>
      </c>
      <c r="AV2654" s="3">
        <f t="shared" si="125"/>
        <v>0</v>
      </c>
      <c r="AW2654" s="2" t="str">
        <f>IF(Registered!AV2654=0,"",IF(Registered!AV2654=1,Registered!AV2654&amp;" Meal",Registered!AV2654&amp;" Meals"))</f>
        <v/>
      </c>
      <c r="AX2654" s="2" t="str">
        <f>IF(Registered!AI2654=0,"",Registered!AI2654&amp;" BG")</f>
        <v/>
      </c>
      <c r="AY2654" s="2" t="str">
        <f>IF(Registered!AG2654=0,"",Registered!AG2654&amp;" DustMask")</f>
        <v/>
      </c>
    </row>
    <row r="2655" spans="1:51" customFormat="1" x14ac:dyDescent="0.25">
      <c r="A2655" t="s">
        <v>1019</v>
      </c>
      <c r="B2655" t="s">
        <v>5984</v>
      </c>
      <c r="C2655" t="s">
        <v>6090</v>
      </c>
      <c r="G2655" t="s">
        <v>3856</v>
      </c>
      <c r="H2655" t="s">
        <v>5984</v>
      </c>
      <c r="I2655" t="s">
        <v>5986</v>
      </c>
      <c r="J2655" t="s">
        <v>37</v>
      </c>
      <c r="K2655" t="s">
        <v>32</v>
      </c>
      <c r="L2655" t="s">
        <v>35</v>
      </c>
      <c r="AQ2655">
        <v>0</v>
      </c>
      <c r="AR2655" s="3">
        <f t="shared" si="123"/>
        <v>0</v>
      </c>
      <c r="AS2655" s="3">
        <f t="shared" si="124"/>
        <v>0</v>
      </c>
      <c r="AT2655" s="3" t="str">
        <f>IF(OR(Registered!AM2655&gt;0,Registered!AO2655&gt;0),(IF(Registered!E2655=0,"Size Not Specified",Registered!E2655)),"")</f>
        <v/>
      </c>
      <c r="AU2655" s="3" t="str">
        <f>IF(Registered!AE2655=0,"",IF(Registered!AE2655=1,Registered!AE2655&amp;" Bandana",Registered!AE2655&amp;" Bandanas"))</f>
        <v/>
      </c>
      <c r="AV2655" s="3">
        <f t="shared" si="125"/>
        <v>0</v>
      </c>
      <c r="AW2655" s="2" t="str">
        <f>IF(Registered!AV2655=0,"",IF(Registered!AV2655=1,Registered!AV2655&amp;" Meal",Registered!AV2655&amp;" Meals"))</f>
        <v/>
      </c>
      <c r="AX2655" s="2" t="str">
        <f>IF(Registered!AI2655=0,"",Registered!AI2655&amp;" BG")</f>
        <v/>
      </c>
      <c r="AY2655" s="2" t="str">
        <f>IF(Registered!AG2655=0,"",Registered!AG2655&amp;" DustMask")</f>
        <v/>
      </c>
    </row>
    <row r="2656" spans="1:51" customFormat="1" x14ac:dyDescent="0.25">
      <c r="A2656" t="s">
        <v>5407</v>
      </c>
      <c r="B2656" t="s">
        <v>5408</v>
      </c>
      <c r="C2656" t="s">
        <v>6090</v>
      </c>
      <c r="D2656" t="s">
        <v>5407</v>
      </c>
      <c r="F2656" t="s">
        <v>261</v>
      </c>
      <c r="I2656" t="s">
        <v>5409</v>
      </c>
      <c r="J2656" t="s">
        <v>37</v>
      </c>
      <c r="K2656" t="s">
        <v>32</v>
      </c>
      <c r="L2656" t="s">
        <v>35</v>
      </c>
      <c r="Q2656">
        <v>3</v>
      </c>
      <c r="R2656">
        <v>3</v>
      </c>
      <c r="AC2656">
        <v>1</v>
      </c>
      <c r="AD2656">
        <v>10</v>
      </c>
      <c r="AQ2656">
        <v>19</v>
      </c>
      <c r="AR2656" s="3">
        <f t="shared" si="123"/>
        <v>5</v>
      </c>
      <c r="AS2656" s="3">
        <f t="shared" si="124"/>
        <v>0</v>
      </c>
      <c r="AT2656" s="3" t="str">
        <f>IF(OR(Registered!AM2656&gt;0,Registered!AO2656&gt;0),(IF(Registered!E2656=0,"Size Not Specified",Registered!E2656)),"")</f>
        <v/>
      </c>
      <c r="AU2656" s="3" t="str">
        <f>IF(Registered!AE2656=0,"",IF(Registered!AE2656=1,Registered!AE2656&amp;" Bandana",Registered!AE2656&amp;" Bandanas"))</f>
        <v/>
      </c>
      <c r="AV2656" s="3">
        <f t="shared" si="125"/>
        <v>0</v>
      </c>
      <c r="AW2656" s="2" t="str">
        <f>IF(Registered!AV2656=0,"",IF(Registered!AV2656=1,Registered!AV2656&amp;" Meal",Registered!AV2656&amp;" Meals"))</f>
        <v/>
      </c>
      <c r="AX2656" s="2" t="str">
        <f>IF(Registered!AI2656=0,"",Registered!AI2656&amp;" BG")</f>
        <v/>
      </c>
      <c r="AY2656" s="2" t="str">
        <f>IF(Registered!AG2656=0,"",Registered!AG2656&amp;" DustMask")</f>
        <v/>
      </c>
    </row>
    <row r="2657" spans="1:51" customFormat="1" x14ac:dyDescent="0.25">
      <c r="A2657" t="s">
        <v>354</v>
      </c>
      <c r="B2657" t="s">
        <v>2636</v>
      </c>
      <c r="C2657" t="s">
        <v>6090</v>
      </c>
      <c r="G2657" t="s">
        <v>166</v>
      </c>
      <c r="H2657" t="s">
        <v>490</v>
      </c>
      <c r="I2657" t="s">
        <v>1993</v>
      </c>
      <c r="J2657" t="s">
        <v>37</v>
      </c>
      <c r="K2657" t="s">
        <v>32</v>
      </c>
      <c r="L2657" t="s">
        <v>35</v>
      </c>
      <c r="AQ2657">
        <v>0</v>
      </c>
      <c r="AR2657" s="3">
        <f t="shared" si="123"/>
        <v>0</v>
      </c>
      <c r="AS2657" s="3">
        <f t="shared" si="124"/>
        <v>0</v>
      </c>
      <c r="AT2657" s="3" t="str">
        <f>IF(OR(Registered!AM2657&gt;0,Registered!AO2657&gt;0),(IF(Registered!E2657=0,"Size Not Specified",Registered!E2657)),"")</f>
        <v/>
      </c>
      <c r="AU2657" s="3" t="str">
        <f>IF(Registered!AE2657=0,"",IF(Registered!AE2657=1,Registered!AE2657&amp;" Bandana",Registered!AE2657&amp;" Bandanas"))</f>
        <v/>
      </c>
      <c r="AV2657" s="3">
        <f t="shared" si="125"/>
        <v>0</v>
      </c>
      <c r="AW2657" s="2" t="str">
        <f>IF(Registered!AV2657=0,"",IF(Registered!AV2657=1,Registered!AV2657&amp;" Meal",Registered!AV2657&amp;" Meals"))</f>
        <v/>
      </c>
      <c r="AX2657" s="2" t="str">
        <f>IF(Registered!AI2657=0,"",Registered!AI2657&amp;" BG")</f>
        <v/>
      </c>
      <c r="AY2657" s="2" t="str">
        <f>IF(Registered!AG2657=0,"",Registered!AG2657&amp;" DustMask")</f>
        <v/>
      </c>
    </row>
    <row r="2658" spans="1:51" customFormat="1" x14ac:dyDescent="0.25">
      <c r="A2658" t="s">
        <v>4230</v>
      </c>
      <c r="B2658" t="s">
        <v>4231</v>
      </c>
      <c r="C2658" t="s">
        <v>6090</v>
      </c>
      <c r="F2658" t="s">
        <v>261</v>
      </c>
      <c r="I2658" t="s">
        <v>4232</v>
      </c>
      <c r="J2658" t="s">
        <v>37</v>
      </c>
      <c r="K2658" t="s">
        <v>32</v>
      </c>
      <c r="L2658" t="s">
        <v>35</v>
      </c>
      <c r="Q2658">
        <v>2</v>
      </c>
      <c r="R2658">
        <v>3</v>
      </c>
      <c r="U2658">
        <v>1</v>
      </c>
      <c r="V2658">
        <v>20</v>
      </c>
      <c r="AQ2658">
        <v>26</v>
      </c>
      <c r="AR2658" s="3">
        <f t="shared" si="123"/>
        <v>10</v>
      </c>
      <c r="AS2658" s="3">
        <f t="shared" si="124"/>
        <v>0</v>
      </c>
      <c r="AT2658" s="3" t="str">
        <f>IF(OR(Registered!AM2658&gt;0,Registered!AO2658&gt;0),(IF(Registered!E2658=0,"Size Not Specified",Registered!E2658)),"")</f>
        <v/>
      </c>
      <c r="AU2658" s="3" t="str">
        <f>IF(Registered!AE2658=0,"",IF(Registered!AE2658=1,Registered!AE2658&amp;" Bandana",Registered!AE2658&amp;" Bandanas"))</f>
        <v/>
      </c>
      <c r="AV2658" s="3">
        <f t="shared" si="125"/>
        <v>0</v>
      </c>
      <c r="AW2658" s="2" t="str">
        <f>IF(Registered!AV2658=0,"",IF(Registered!AV2658=1,Registered!AV2658&amp;" Meal",Registered!AV2658&amp;" Meals"))</f>
        <v/>
      </c>
      <c r="AX2658" s="2" t="str">
        <f>IF(Registered!AI2658=0,"",Registered!AI2658&amp;" BG")</f>
        <v/>
      </c>
      <c r="AY2658" s="2" t="str">
        <f>IF(Registered!AG2658=0,"",Registered!AG2658&amp;" DustMask")</f>
        <v/>
      </c>
    </row>
    <row r="2659" spans="1:51" customFormat="1" x14ac:dyDescent="0.25">
      <c r="A2659" t="s">
        <v>297</v>
      </c>
      <c r="B2659" t="s">
        <v>3504</v>
      </c>
      <c r="C2659" t="s">
        <v>6090</v>
      </c>
      <c r="G2659" t="s">
        <v>2437</v>
      </c>
      <c r="H2659" t="s">
        <v>2926</v>
      </c>
      <c r="I2659" t="s">
        <v>2927</v>
      </c>
      <c r="J2659" t="s">
        <v>37</v>
      </c>
      <c r="K2659" t="s">
        <v>32</v>
      </c>
      <c r="L2659" t="s">
        <v>35</v>
      </c>
      <c r="AQ2659">
        <v>0</v>
      </c>
      <c r="AR2659" s="3">
        <f t="shared" si="123"/>
        <v>0</v>
      </c>
      <c r="AS2659" s="3">
        <f t="shared" si="124"/>
        <v>0</v>
      </c>
      <c r="AT2659" s="3" t="str">
        <f>IF(OR(Registered!AM2659&gt;0,Registered!AO2659&gt;0),(IF(Registered!E2659=0,"Size Not Specified",Registered!E2659)),"")</f>
        <v/>
      </c>
      <c r="AU2659" s="3" t="str">
        <f>IF(Registered!AE2659=0,"",IF(Registered!AE2659=1,Registered!AE2659&amp;" Bandana",Registered!AE2659&amp;" Bandanas"))</f>
        <v/>
      </c>
      <c r="AV2659" s="3">
        <f t="shared" si="125"/>
        <v>0</v>
      </c>
      <c r="AW2659" s="2" t="str">
        <f>IF(Registered!AV2659=0,"",IF(Registered!AV2659=1,Registered!AV2659&amp;" Meal",Registered!AV2659&amp;" Meals"))</f>
        <v/>
      </c>
      <c r="AX2659" s="2" t="str">
        <f>IF(Registered!AI2659=0,"",Registered!AI2659&amp;" BG")</f>
        <v/>
      </c>
      <c r="AY2659" s="2" t="str">
        <f>IF(Registered!AG2659=0,"",Registered!AG2659&amp;" DustMask")</f>
        <v/>
      </c>
    </row>
    <row r="2660" spans="1:51" customFormat="1" x14ac:dyDescent="0.25">
      <c r="A2660" t="s">
        <v>5987</v>
      </c>
      <c r="B2660" t="s">
        <v>426</v>
      </c>
      <c r="C2660" t="s">
        <v>6090</v>
      </c>
      <c r="G2660" t="s">
        <v>384</v>
      </c>
      <c r="H2660" t="s">
        <v>423</v>
      </c>
      <c r="I2660" t="s">
        <v>5538</v>
      </c>
      <c r="J2660" t="s">
        <v>37</v>
      </c>
      <c r="K2660" t="s">
        <v>32</v>
      </c>
      <c r="L2660" t="s">
        <v>35</v>
      </c>
      <c r="AQ2660">
        <v>0</v>
      </c>
      <c r="AR2660" s="3">
        <f t="shared" si="123"/>
        <v>0</v>
      </c>
      <c r="AS2660" s="3">
        <f t="shared" si="124"/>
        <v>0</v>
      </c>
      <c r="AT2660" s="3" t="str">
        <f>IF(OR(Registered!AM2660&gt;0,Registered!AO2660&gt;0),(IF(Registered!E2660=0,"Size Not Specified",Registered!E2660)),"")</f>
        <v/>
      </c>
      <c r="AU2660" s="3" t="str">
        <f>IF(Registered!AE2660=0,"",IF(Registered!AE2660=1,Registered!AE2660&amp;" Bandana",Registered!AE2660&amp;" Bandanas"))</f>
        <v/>
      </c>
      <c r="AV2660" s="3">
        <f t="shared" si="125"/>
        <v>0</v>
      </c>
      <c r="AW2660" s="2" t="str">
        <f>IF(Registered!AV2660=0,"",IF(Registered!AV2660=1,Registered!AV2660&amp;" Meal",Registered!AV2660&amp;" Meals"))</f>
        <v/>
      </c>
      <c r="AX2660" s="2" t="str">
        <f>IF(Registered!AI2660=0,"",Registered!AI2660&amp;" BG")</f>
        <v/>
      </c>
      <c r="AY2660" s="2" t="str">
        <f>IF(Registered!AG2660=0,"",Registered!AG2660&amp;" DustMask")</f>
        <v/>
      </c>
    </row>
    <row r="2661" spans="1:51" customFormat="1" x14ac:dyDescent="0.25">
      <c r="A2661" t="s">
        <v>38</v>
      </c>
      <c r="B2661" t="s">
        <v>426</v>
      </c>
      <c r="C2661" t="s">
        <v>6090</v>
      </c>
      <c r="D2661" t="s">
        <v>38</v>
      </c>
      <c r="F2661" t="s">
        <v>261</v>
      </c>
      <c r="I2661" t="s">
        <v>645</v>
      </c>
      <c r="J2661" t="s">
        <v>37</v>
      </c>
      <c r="K2661" t="s">
        <v>32</v>
      </c>
      <c r="L2661" t="s">
        <v>35</v>
      </c>
      <c r="Q2661">
        <v>4</v>
      </c>
      <c r="R2661">
        <v>3</v>
      </c>
      <c r="AA2661">
        <v>1</v>
      </c>
      <c r="AB2661">
        <v>75</v>
      </c>
      <c r="AQ2661">
        <v>87</v>
      </c>
      <c r="AR2661" s="3">
        <f t="shared" si="123"/>
        <v>40</v>
      </c>
      <c r="AS2661" s="3">
        <f t="shared" si="124"/>
        <v>0</v>
      </c>
      <c r="AT2661" s="3" t="str">
        <f>IF(OR(Registered!AM2661&gt;0,Registered!AO2661&gt;0),(IF(Registered!E2661=0,"Size Not Specified",Registered!E2661)),"")</f>
        <v/>
      </c>
      <c r="AU2661" s="3" t="str">
        <f>IF(Registered!AE2661=0,"",IF(Registered!AE2661=1,Registered!AE2661&amp;" Bandana",Registered!AE2661&amp;" Bandanas"))</f>
        <v/>
      </c>
      <c r="AV2661" s="3">
        <f t="shared" si="125"/>
        <v>0</v>
      </c>
      <c r="AW2661" s="2" t="str">
        <f>IF(Registered!AV2661=0,"",IF(Registered!AV2661=1,Registered!AV2661&amp;" Meal",Registered!AV2661&amp;" Meals"))</f>
        <v/>
      </c>
      <c r="AX2661" s="2" t="str">
        <f>IF(Registered!AI2661=0,"",Registered!AI2661&amp;" BG")</f>
        <v/>
      </c>
      <c r="AY2661" s="2" t="str">
        <f>IF(Registered!AG2661=0,"",Registered!AG2661&amp;" DustMask")</f>
        <v/>
      </c>
    </row>
    <row r="2662" spans="1:51" customFormat="1" x14ac:dyDescent="0.25">
      <c r="A2662" t="s">
        <v>91</v>
      </c>
      <c r="B2662" t="s">
        <v>426</v>
      </c>
      <c r="C2662" t="s">
        <v>6090</v>
      </c>
      <c r="G2662" t="s">
        <v>151</v>
      </c>
      <c r="H2662" t="s">
        <v>642</v>
      </c>
      <c r="I2662" t="s">
        <v>1710</v>
      </c>
      <c r="J2662" t="s">
        <v>37</v>
      </c>
      <c r="K2662" t="s">
        <v>32</v>
      </c>
      <c r="L2662" t="s">
        <v>35</v>
      </c>
      <c r="AQ2662">
        <v>0</v>
      </c>
      <c r="AR2662" s="3">
        <f t="shared" si="123"/>
        <v>0</v>
      </c>
      <c r="AS2662" s="3">
        <f t="shared" si="124"/>
        <v>0</v>
      </c>
      <c r="AT2662" s="3" t="str">
        <f>IF(OR(Registered!AM2662&gt;0,Registered!AO2662&gt;0),(IF(Registered!E2662=0,"Size Not Specified",Registered!E2662)),"")</f>
        <v/>
      </c>
      <c r="AU2662" s="3" t="str">
        <f>IF(Registered!AE2662=0,"",IF(Registered!AE2662=1,Registered!AE2662&amp;" Bandana",Registered!AE2662&amp;" Bandanas"))</f>
        <v/>
      </c>
      <c r="AV2662" s="3">
        <f t="shared" si="125"/>
        <v>0</v>
      </c>
      <c r="AW2662" s="2" t="str">
        <f>IF(Registered!AV2662=0,"",IF(Registered!AV2662=1,Registered!AV2662&amp;" Meal",Registered!AV2662&amp;" Meals"))</f>
        <v/>
      </c>
      <c r="AX2662" s="2" t="str">
        <f>IF(Registered!AI2662=0,"",Registered!AI2662&amp;" BG")</f>
        <v/>
      </c>
      <c r="AY2662" s="2" t="str">
        <f>IF(Registered!AG2662=0,"",Registered!AG2662&amp;" DustMask")</f>
        <v/>
      </c>
    </row>
    <row r="2663" spans="1:51" customFormat="1" x14ac:dyDescent="0.25">
      <c r="A2663" t="s">
        <v>5988</v>
      </c>
      <c r="B2663" t="s">
        <v>426</v>
      </c>
      <c r="C2663" t="s">
        <v>6090</v>
      </c>
      <c r="D2663" t="s">
        <v>57</v>
      </c>
      <c r="F2663" t="s">
        <v>261</v>
      </c>
      <c r="I2663" t="s">
        <v>5989</v>
      </c>
      <c r="J2663" t="s">
        <v>37</v>
      </c>
      <c r="K2663" t="s">
        <v>32</v>
      </c>
      <c r="L2663" t="s">
        <v>35</v>
      </c>
      <c r="Q2663">
        <v>1</v>
      </c>
      <c r="R2663">
        <v>3</v>
      </c>
      <c r="AC2663">
        <v>1</v>
      </c>
      <c r="AD2663">
        <v>10</v>
      </c>
      <c r="AQ2663">
        <v>13</v>
      </c>
      <c r="AR2663" s="3">
        <f t="shared" si="123"/>
        <v>5</v>
      </c>
      <c r="AS2663" s="3">
        <f t="shared" si="124"/>
        <v>0</v>
      </c>
      <c r="AT2663" s="3" t="str">
        <f>IF(OR(Registered!AM2663&gt;0,Registered!AO2663&gt;0),(IF(Registered!E2663=0,"Size Not Specified",Registered!E2663)),"")</f>
        <v/>
      </c>
      <c r="AU2663" s="3" t="str">
        <f>IF(Registered!AE2663=0,"",IF(Registered!AE2663=1,Registered!AE2663&amp;" Bandana",Registered!AE2663&amp;" Bandanas"))</f>
        <v/>
      </c>
      <c r="AV2663" s="3">
        <f t="shared" si="125"/>
        <v>0</v>
      </c>
      <c r="AW2663" s="2" t="str">
        <f>IF(Registered!AV2663=0,"",IF(Registered!AV2663=1,Registered!AV2663&amp;" Meal",Registered!AV2663&amp;" Meals"))</f>
        <v/>
      </c>
      <c r="AX2663" s="2" t="str">
        <f>IF(Registered!AI2663=0,"",Registered!AI2663&amp;" BG")</f>
        <v/>
      </c>
      <c r="AY2663" s="2" t="str">
        <f>IF(Registered!AG2663=0,"",Registered!AG2663&amp;" DustMask")</f>
        <v/>
      </c>
    </row>
    <row r="2664" spans="1:51" customFormat="1" x14ac:dyDescent="0.25">
      <c r="A2664" t="s">
        <v>258</v>
      </c>
      <c r="B2664" t="s">
        <v>426</v>
      </c>
      <c r="C2664" t="s">
        <v>6090</v>
      </c>
      <c r="G2664" t="s">
        <v>2890</v>
      </c>
      <c r="H2664" t="s">
        <v>2891</v>
      </c>
      <c r="I2664" t="s">
        <v>2892</v>
      </c>
      <c r="J2664" t="s">
        <v>37</v>
      </c>
      <c r="K2664" t="s">
        <v>32</v>
      </c>
      <c r="L2664" t="s">
        <v>35</v>
      </c>
      <c r="AQ2664">
        <v>0</v>
      </c>
      <c r="AR2664" s="3">
        <f t="shared" si="123"/>
        <v>0</v>
      </c>
      <c r="AS2664" s="3">
        <f t="shared" si="124"/>
        <v>0</v>
      </c>
      <c r="AT2664" s="3" t="str">
        <f>IF(OR(Registered!AM2664&gt;0,Registered!AO2664&gt;0),(IF(Registered!E2664=0,"Size Not Specified",Registered!E2664)),"")</f>
        <v/>
      </c>
      <c r="AU2664" s="3" t="str">
        <f>IF(Registered!AE2664=0,"",IF(Registered!AE2664=1,Registered!AE2664&amp;" Bandana",Registered!AE2664&amp;" Bandanas"))</f>
        <v/>
      </c>
      <c r="AV2664" s="3">
        <f t="shared" si="125"/>
        <v>0</v>
      </c>
      <c r="AW2664" s="2" t="str">
        <f>IF(Registered!AV2664=0,"",IF(Registered!AV2664=1,Registered!AV2664&amp;" Meal",Registered!AV2664&amp;" Meals"))</f>
        <v/>
      </c>
      <c r="AX2664" s="2" t="str">
        <f>IF(Registered!AI2664=0,"",Registered!AI2664&amp;" BG")</f>
        <v/>
      </c>
      <c r="AY2664" s="2" t="str">
        <f>IF(Registered!AG2664=0,"",Registered!AG2664&amp;" DustMask")</f>
        <v/>
      </c>
    </row>
    <row r="2665" spans="1:51" customFormat="1" x14ac:dyDescent="0.25">
      <c r="A2665" t="s">
        <v>5743</v>
      </c>
      <c r="B2665" t="s">
        <v>426</v>
      </c>
      <c r="C2665" t="s">
        <v>6090</v>
      </c>
      <c r="D2665" t="s">
        <v>5990</v>
      </c>
      <c r="F2665" t="s">
        <v>261</v>
      </c>
      <c r="I2665" t="s">
        <v>5991</v>
      </c>
      <c r="J2665" t="s">
        <v>37</v>
      </c>
      <c r="K2665" t="s">
        <v>32</v>
      </c>
      <c r="L2665" t="s">
        <v>35</v>
      </c>
      <c r="Q2665">
        <v>2</v>
      </c>
      <c r="R2665">
        <v>3</v>
      </c>
      <c r="U2665">
        <v>1</v>
      </c>
      <c r="V2665">
        <v>20</v>
      </c>
      <c r="AK2665">
        <v>2</v>
      </c>
      <c r="AL2665">
        <v>6</v>
      </c>
      <c r="AQ2665">
        <v>38</v>
      </c>
      <c r="AR2665" s="3">
        <f t="shared" si="123"/>
        <v>10</v>
      </c>
      <c r="AS2665" s="3">
        <f t="shared" si="124"/>
        <v>0</v>
      </c>
      <c r="AT2665" s="3" t="str">
        <f>IF(OR(Registered!AM2665&gt;0,Registered!AO2665&gt;0),(IF(Registered!E2665=0,"Size Not Specified",Registered!E2665)),"")</f>
        <v/>
      </c>
      <c r="AU2665" s="3" t="str">
        <f>IF(Registered!AE2665=0,"",IF(Registered!AE2665=1,Registered!AE2665&amp;" Bandana",Registered!AE2665&amp;" Bandanas"))</f>
        <v/>
      </c>
      <c r="AV2665" s="3">
        <f t="shared" si="125"/>
        <v>2</v>
      </c>
      <c r="AW2665" s="2" t="str">
        <f>IF(Registered!AV2665=0,"",IF(Registered!AV2665=1,Registered!AV2665&amp;" Meal",Registered!AV2665&amp;" Meals"))</f>
        <v>2 Meals</v>
      </c>
      <c r="AX2665" s="2" t="str">
        <f>IF(Registered!AI2665=0,"",Registered!AI2665&amp;" BG")</f>
        <v/>
      </c>
      <c r="AY2665" s="2" t="str">
        <f>IF(Registered!AG2665=0,"",Registered!AG2665&amp;" DustMask")</f>
        <v/>
      </c>
    </row>
    <row r="2666" spans="1:51" customFormat="1" x14ac:dyDescent="0.25">
      <c r="A2666" t="s">
        <v>2637</v>
      </c>
      <c r="B2666" t="s">
        <v>426</v>
      </c>
      <c r="C2666" t="s">
        <v>6090</v>
      </c>
      <c r="G2666" t="s">
        <v>38</v>
      </c>
      <c r="H2666" t="s">
        <v>426</v>
      </c>
      <c r="I2666" t="s">
        <v>645</v>
      </c>
      <c r="J2666" t="s">
        <v>37</v>
      </c>
      <c r="K2666" t="s">
        <v>32</v>
      </c>
      <c r="L2666" t="s">
        <v>35</v>
      </c>
      <c r="AQ2666">
        <v>0</v>
      </c>
      <c r="AR2666" s="3">
        <f t="shared" si="123"/>
        <v>0</v>
      </c>
      <c r="AS2666" s="3">
        <f t="shared" si="124"/>
        <v>0</v>
      </c>
      <c r="AT2666" s="3" t="str">
        <f>IF(OR(Registered!AM2666&gt;0,Registered!AO2666&gt;0),(IF(Registered!E2666=0,"Size Not Specified",Registered!E2666)),"")</f>
        <v/>
      </c>
      <c r="AU2666" s="3" t="str">
        <f>IF(Registered!AE2666=0,"",IF(Registered!AE2666=1,Registered!AE2666&amp;" Bandana",Registered!AE2666&amp;" Bandanas"))</f>
        <v/>
      </c>
      <c r="AV2666" s="3">
        <f t="shared" si="125"/>
        <v>0</v>
      </c>
      <c r="AW2666" s="2" t="str">
        <f>IF(Registered!AV2666=0,"",IF(Registered!AV2666=1,Registered!AV2666&amp;" Meal",Registered!AV2666&amp;" Meals"))</f>
        <v/>
      </c>
      <c r="AX2666" s="2" t="str">
        <f>IF(Registered!AI2666=0,"",Registered!AI2666&amp;" BG")</f>
        <v/>
      </c>
      <c r="AY2666" s="2" t="str">
        <f>IF(Registered!AG2666=0,"",Registered!AG2666&amp;" DustMask")</f>
        <v/>
      </c>
    </row>
    <row r="2667" spans="1:51" customFormat="1" x14ac:dyDescent="0.25">
      <c r="A2667" t="s">
        <v>418</v>
      </c>
      <c r="B2667" t="s">
        <v>2638</v>
      </c>
      <c r="C2667" t="s">
        <v>6090</v>
      </c>
      <c r="G2667" t="s">
        <v>2055</v>
      </c>
      <c r="H2667" t="s">
        <v>2046</v>
      </c>
      <c r="I2667" t="s">
        <v>2639</v>
      </c>
      <c r="J2667" t="s">
        <v>37</v>
      </c>
      <c r="K2667" t="s">
        <v>32</v>
      </c>
      <c r="L2667" t="s">
        <v>35</v>
      </c>
      <c r="AQ2667">
        <v>0</v>
      </c>
      <c r="AR2667" s="3">
        <f t="shared" si="123"/>
        <v>0</v>
      </c>
      <c r="AS2667" s="3">
        <f t="shared" si="124"/>
        <v>0</v>
      </c>
      <c r="AT2667" s="3" t="str">
        <f>IF(OR(Registered!AM2667&gt;0,Registered!AO2667&gt;0),(IF(Registered!E2667=0,"Size Not Specified",Registered!E2667)),"")</f>
        <v/>
      </c>
      <c r="AU2667" s="3" t="str">
        <f>IF(Registered!AE2667=0,"",IF(Registered!AE2667=1,Registered!AE2667&amp;" Bandana",Registered!AE2667&amp;" Bandanas"))</f>
        <v/>
      </c>
      <c r="AV2667" s="3">
        <f t="shared" si="125"/>
        <v>0</v>
      </c>
      <c r="AW2667" s="2" t="str">
        <f>IF(Registered!AV2667=0,"",IF(Registered!AV2667=1,Registered!AV2667&amp;" Meal",Registered!AV2667&amp;" Meals"))</f>
        <v/>
      </c>
      <c r="AX2667" s="2" t="str">
        <f>IF(Registered!AI2667=0,"",Registered!AI2667&amp;" BG")</f>
        <v/>
      </c>
      <c r="AY2667" s="2" t="str">
        <f>IF(Registered!AG2667=0,"",Registered!AG2667&amp;" DustMask")</f>
        <v/>
      </c>
    </row>
    <row r="2668" spans="1:51" customFormat="1" x14ac:dyDescent="0.25">
      <c r="A2668" t="s">
        <v>141</v>
      </c>
      <c r="B2668" t="s">
        <v>5992</v>
      </c>
      <c r="C2668" t="s">
        <v>6090</v>
      </c>
      <c r="D2668" t="s">
        <v>5993</v>
      </c>
      <c r="F2668" t="s">
        <v>907</v>
      </c>
      <c r="I2668" t="s">
        <v>5994</v>
      </c>
      <c r="J2668" t="s">
        <v>37</v>
      </c>
      <c r="K2668" t="s">
        <v>32</v>
      </c>
      <c r="L2668" t="s">
        <v>35</v>
      </c>
      <c r="Q2668">
        <v>1</v>
      </c>
      <c r="R2668">
        <v>3</v>
      </c>
      <c r="AC2668">
        <v>1</v>
      </c>
      <c r="AD2668">
        <v>10</v>
      </c>
      <c r="AQ2668">
        <v>13</v>
      </c>
      <c r="AR2668" s="3">
        <f t="shared" si="123"/>
        <v>5</v>
      </c>
      <c r="AS2668" s="3">
        <f t="shared" si="124"/>
        <v>0</v>
      </c>
      <c r="AT2668" s="3" t="str">
        <f>IF(OR(Registered!AM2668&gt;0,Registered!AO2668&gt;0),(IF(Registered!E2668=0,"Size Not Specified",Registered!E2668)),"")</f>
        <v/>
      </c>
      <c r="AU2668" s="3" t="str">
        <f>IF(Registered!AE2668=0,"",IF(Registered!AE2668=1,Registered!AE2668&amp;" Bandana",Registered!AE2668&amp;" Bandanas"))</f>
        <v/>
      </c>
      <c r="AV2668" s="3">
        <f t="shared" si="125"/>
        <v>0</v>
      </c>
      <c r="AW2668" s="2" t="str">
        <f>IF(Registered!AV2668=0,"",IF(Registered!AV2668=1,Registered!AV2668&amp;" Meal",Registered!AV2668&amp;" Meals"))</f>
        <v/>
      </c>
      <c r="AX2668" s="2" t="str">
        <f>IF(Registered!AI2668=0,"",Registered!AI2668&amp;" BG")</f>
        <v/>
      </c>
      <c r="AY2668" s="2" t="str">
        <f>IF(Registered!AG2668=0,"",Registered!AG2668&amp;" DustMask")</f>
        <v/>
      </c>
    </row>
    <row r="2669" spans="1:51" customFormat="1" x14ac:dyDescent="0.25">
      <c r="A2669" t="s">
        <v>2640</v>
      </c>
      <c r="B2669" t="s">
        <v>2641</v>
      </c>
      <c r="C2669" t="s">
        <v>6090</v>
      </c>
      <c r="D2669" t="s">
        <v>2642</v>
      </c>
      <c r="F2669" t="s">
        <v>261</v>
      </c>
      <c r="I2669" t="s">
        <v>2643</v>
      </c>
      <c r="J2669" t="s">
        <v>37</v>
      </c>
      <c r="K2669" t="s">
        <v>32</v>
      </c>
      <c r="L2669" t="s">
        <v>35</v>
      </c>
      <c r="S2669">
        <v>1</v>
      </c>
      <c r="T2669">
        <v>3</v>
      </c>
      <c r="AC2669">
        <v>1</v>
      </c>
      <c r="AD2669">
        <v>10</v>
      </c>
      <c r="AQ2669">
        <v>13</v>
      </c>
      <c r="AR2669" s="3">
        <f t="shared" si="123"/>
        <v>5</v>
      </c>
      <c r="AS2669" s="3">
        <f t="shared" si="124"/>
        <v>0</v>
      </c>
      <c r="AT2669" s="3" t="str">
        <f>IF(OR(Registered!AM2669&gt;0,Registered!AO2669&gt;0),(IF(Registered!E2669=0,"Size Not Specified",Registered!E2669)),"")</f>
        <v/>
      </c>
      <c r="AU2669" s="3" t="str">
        <f>IF(Registered!AE2669=0,"",IF(Registered!AE2669=1,Registered!AE2669&amp;" Bandana",Registered!AE2669&amp;" Bandanas"))</f>
        <v/>
      </c>
      <c r="AV2669" s="3">
        <f t="shared" si="125"/>
        <v>0</v>
      </c>
      <c r="AW2669" s="2" t="str">
        <f>IF(Registered!AV2669=0,"",IF(Registered!AV2669=1,Registered!AV2669&amp;" Meal",Registered!AV2669&amp;" Meals"))</f>
        <v/>
      </c>
      <c r="AX2669" s="2" t="str">
        <f>IF(Registered!AI2669=0,"",Registered!AI2669&amp;" BG")</f>
        <v/>
      </c>
      <c r="AY2669" s="2" t="str">
        <f>IF(Registered!AG2669=0,"",Registered!AG2669&amp;" DustMask")</f>
        <v/>
      </c>
    </row>
    <row r="2670" spans="1:51" customFormat="1" x14ac:dyDescent="0.25">
      <c r="A2670" t="s">
        <v>298</v>
      </c>
      <c r="B2670" t="s">
        <v>1256</v>
      </c>
      <c r="C2670" t="s">
        <v>6090</v>
      </c>
      <c r="G2670" t="s">
        <v>1255</v>
      </c>
      <c r="H2670" t="s">
        <v>1256</v>
      </c>
      <c r="I2670" t="s">
        <v>1257</v>
      </c>
      <c r="J2670" t="s">
        <v>37</v>
      </c>
      <c r="K2670" t="s">
        <v>32</v>
      </c>
      <c r="L2670" t="s">
        <v>35</v>
      </c>
      <c r="AQ2670">
        <v>0</v>
      </c>
      <c r="AR2670" s="3">
        <f t="shared" si="123"/>
        <v>0</v>
      </c>
      <c r="AS2670" s="3">
        <f t="shared" si="124"/>
        <v>0</v>
      </c>
      <c r="AT2670" s="3" t="str">
        <f>IF(OR(Registered!AM2670&gt;0,Registered!AO2670&gt;0),(IF(Registered!E2670=0,"Size Not Specified",Registered!E2670)),"")</f>
        <v/>
      </c>
      <c r="AU2670" s="3" t="str">
        <f>IF(Registered!AE2670=0,"",IF(Registered!AE2670=1,Registered!AE2670&amp;" Bandana",Registered!AE2670&amp;" Bandanas"))</f>
        <v/>
      </c>
      <c r="AV2670" s="3">
        <f t="shared" si="125"/>
        <v>0</v>
      </c>
      <c r="AW2670" s="2" t="str">
        <f>IF(Registered!AV2670=0,"",IF(Registered!AV2670=1,Registered!AV2670&amp;" Meal",Registered!AV2670&amp;" Meals"))</f>
        <v/>
      </c>
      <c r="AX2670" s="2" t="str">
        <f>IF(Registered!AI2670=0,"",Registered!AI2670&amp;" BG")</f>
        <v/>
      </c>
      <c r="AY2670" s="2" t="str">
        <f>IF(Registered!AG2670=0,"",Registered!AG2670&amp;" DustMask")</f>
        <v/>
      </c>
    </row>
    <row r="2671" spans="1:51" customFormat="1" x14ac:dyDescent="0.25">
      <c r="A2671" t="s">
        <v>2644</v>
      </c>
      <c r="B2671" t="s">
        <v>1256</v>
      </c>
      <c r="C2671" t="s">
        <v>6090</v>
      </c>
      <c r="G2671" t="s">
        <v>56</v>
      </c>
      <c r="H2671" t="s">
        <v>1256</v>
      </c>
      <c r="I2671" t="s">
        <v>2645</v>
      </c>
      <c r="J2671" t="s">
        <v>37</v>
      </c>
      <c r="K2671" t="s">
        <v>32</v>
      </c>
      <c r="L2671" t="s">
        <v>35</v>
      </c>
      <c r="AQ2671">
        <v>0</v>
      </c>
      <c r="AR2671" s="3">
        <f t="shared" si="123"/>
        <v>0</v>
      </c>
      <c r="AS2671" s="3">
        <f t="shared" si="124"/>
        <v>0</v>
      </c>
      <c r="AT2671" s="3" t="str">
        <f>IF(OR(Registered!AM2671&gt;0,Registered!AO2671&gt;0),(IF(Registered!E2671=0,"Size Not Specified",Registered!E2671)),"")</f>
        <v/>
      </c>
      <c r="AU2671" s="3" t="str">
        <f>IF(Registered!AE2671=0,"",IF(Registered!AE2671=1,Registered!AE2671&amp;" Bandana",Registered!AE2671&amp;" Bandanas"))</f>
        <v/>
      </c>
      <c r="AV2671" s="3">
        <f t="shared" si="125"/>
        <v>0</v>
      </c>
      <c r="AW2671" s="2" t="str">
        <f>IF(Registered!AV2671=0,"",IF(Registered!AV2671=1,Registered!AV2671&amp;" Meal",Registered!AV2671&amp;" Meals"))</f>
        <v/>
      </c>
      <c r="AX2671" s="2" t="str">
        <f>IF(Registered!AI2671=0,"",Registered!AI2671&amp;" BG")</f>
        <v/>
      </c>
      <c r="AY2671" s="2" t="str">
        <f>IF(Registered!AG2671=0,"",Registered!AG2671&amp;" DustMask")</f>
        <v/>
      </c>
    </row>
    <row r="2672" spans="1:51" customFormat="1" x14ac:dyDescent="0.25">
      <c r="A2672" t="s">
        <v>56</v>
      </c>
      <c r="B2672" t="s">
        <v>1256</v>
      </c>
      <c r="C2672" t="s">
        <v>6090</v>
      </c>
      <c r="D2672" t="s">
        <v>2646</v>
      </c>
      <c r="I2672" t="s">
        <v>2645</v>
      </c>
      <c r="J2672" t="s">
        <v>37</v>
      </c>
      <c r="K2672" t="s">
        <v>32</v>
      </c>
      <c r="L2672" t="s">
        <v>35</v>
      </c>
      <c r="S2672">
        <v>3</v>
      </c>
      <c r="T2672">
        <v>3</v>
      </c>
      <c r="U2672">
        <v>1</v>
      </c>
      <c r="V2672">
        <v>20</v>
      </c>
      <c r="AE2672">
        <v>3</v>
      </c>
      <c r="AF2672">
        <v>6</v>
      </c>
      <c r="AQ2672">
        <v>47</v>
      </c>
      <c r="AR2672" s="3">
        <f t="shared" si="123"/>
        <v>10</v>
      </c>
      <c r="AS2672" s="3">
        <f t="shared" si="124"/>
        <v>0</v>
      </c>
      <c r="AT2672" s="3" t="str">
        <f>IF(OR(Registered!AM2672&gt;0,Registered!AO2672&gt;0),(IF(Registered!E2672=0,"Size Not Specified",Registered!E2672)),"")</f>
        <v/>
      </c>
      <c r="AU2672" s="3" t="str">
        <f>IF(Registered!AE2672=0,"",IF(Registered!AE2672=1,Registered!AE2672&amp;" Bandana",Registered!AE2672&amp;" Bandanas"))</f>
        <v>3 Bandanas</v>
      </c>
      <c r="AV2672" s="3">
        <f t="shared" si="125"/>
        <v>0</v>
      </c>
      <c r="AW2672" s="2" t="str">
        <f>IF(Registered!AV2672=0,"",IF(Registered!AV2672=1,Registered!AV2672&amp;" Meal",Registered!AV2672&amp;" Meals"))</f>
        <v/>
      </c>
      <c r="AX2672" s="2" t="str">
        <f>IF(Registered!AI2672=0,"",Registered!AI2672&amp;" BG")</f>
        <v/>
      </c>
      <c r="AY2672" s="2" t="str">
        <f>IF(Registered!AG2672=0,"",Registered!AG2672&amp;" DustMask")</f>
        <v/>
      </c>
    </row>
    <row r="2673" spans="1:51" customFormat="1" x14ac:dyDescent="0.25">
      <c r="A2673" t="s">
        <v>1255</v>
      </c>
      <c r="B2673" t="s">
        <v>1256</v>
      </c>
      <c r="C2673" t="s">
        <v>6090</v>
      </c>
      <c r="D2673" t="s">
        <v>2647</v>
      </c>
      <c r="F2673" t="s">
        <v>907</v>
      </c>
      <c r="I2673" t="s">
        <v>1257</v>
      </c>
      <c r="J2673" t="s">
        <v>37</v>
      </c>
      <c r="K2673" t="s">
        <v>32</v>
      </c>
      <c r="L2673" t="s">
        <v>35</v>
      </c>
      <c r="S2673">
        <v>3</v>
      </c>
      <c r="T2673">
        <v>3</v>
      </c>
      <c r="AC2673">
        <v>6</v>
      </c>
      <c r="AD2673">
        <v>10</v>
      </c>
      <c r="AQ2673">
        <v>69</v>
      </c>
      <c r="AR2673" s="3">
        <f t="shared" si="123"/>
        <v>30</v>
      </c>
      <c r="AS2673" s="3">
        <f t="shared" si="124"/>
        <v>0</v>
      </c>
      <c r="AT2673" s="3" t="str">
        <f>IF(OR(Registered!AM2673&gt;0,Registered!AO2673&gt;0),(IF(Registered!E2673=0,"Size Not Specified",Registered!E2673)),"")</f>
        <v/>
      </c>
      <c r="AU2673" s="3" t="str">
        <f>IF(Registered!AE2673=0,"",IF(Registered!AE2673=1,Registered!AE2673&amp;" Bandana",Registered!AE2673&amp;" Bandanas"))</f>
        <v/>
      </c>
      <c r="AV2673" s="3">
        <f t="shared" si="125"/>
        <v>0</v>
      </c>
      <c r="AW2673" s="2" t="str">
        <f>IF(Registered!AV2673=0,"",IF(Registered!AV2673=1,Registered!AV2673&amp;" Meal",Registered!AV2673&amp;" Meals"))</f>
        <v/>
      </c>
      <c r="AX2673" s="2" t="str">
        <f>IF(Registered!AI2673=0,"",Registered!AI2673&amp;" BG")</f>
        <v/>
      </c>
      <c r="AY2673" s="2" t="str">
        <f>IF(Registered!AG2673=0,"",Registered!AG2673&amp;" DustMask")</f>
        <v/>
      </c>
    </row>
    <row r="2674" spans="1:51" customFormat="1" x14ac:dyDescent="0.25">
      <c r="A2674" t="s">
        <v>125</v>
      </c>
      <c r="B2674" t="s">
        <v>1256</v>
      </c>
      <c r="C2674" t="s">
        <v>6090</v>
      </c>
      <c r="G2674" t="s">
        <v>56</v>
      </c>
      <c r="H2674" t="s">
        <v>1256</v>
      </c>
      <c r="I2674" t="s">
        <v>2645</v>
      </c>
      <c r="J2674" t="s">
        <v>37</v>
      </c>
      <c r="K2674" t="s">
        <v>32</v>
      </c>
      <c r="L2674" t="s">
        <v>35</v>
      </c>
      <c r="AQ2674">
        <v>0</v>
      </c>
      <c r="AR2674" s="3">
        <f t="shared" si="123"/>
        <v>0</v>
      </c>
      <c r="AS2674" s="3">
        <f t="shared" si="124"/>
        <v>0</v>
      </c>
      <c r="AT2674" s="3" t="str">
        <f>IF(OR(Registered!AM2674&gt;0,Registered!AO2674&gt;0),(IF(Registered!E2674=0,"Size Not Specified",Registered!E2674)),"")</f>
        <v/>
      </c>
      <c r="AU2674" s="3" t="str">
        <f>IF(Registered!AE2674=0,"",IF(Registered!AE2674=1,Registered!AE2674&amp;" Bandana",Registered!AE2674&amp;" Bandanas"))</f>
        <v/>
      </c>
      <c r="AV2674" s="3">
        <f t="shared" si="125"/>
        <v>0</v>
      </c>
      <c r="AW2674" s="2" t="str">
        <f>IF(Registered!AV2674=0,"",IF(Registered!AV2674=1,Registered!AV2674&amp;" Meal",Registered!AV2674&amp;" Meals"))</f>
        <v/>
      </c>
      <c r="AX2674" s="2" t="str">
        <f>IF(Registered!AI2674=0,"",Registered!AI2674&amp;" BG")</f>
        <v/>
      </c>
      <c r="AY2674" s="2" t="str">
        <f>IF(Registered!AG2674=0,"",Registered!AG2674&amp;" DustMask")</f>
        <v/>
      </c>
    </row>
    <row r="2675" spans="1:51" customFormat="1" x14ac:dyDescent="0.25">
      <c r="A2675" t="s">
        <v>5995</v>
      </c>
      <c r="B2675" t="s">
        <v>5996</v>
      </c>
      <c r="C2675" t="s">
        <v>6090</v>
      </c>
      <c r="F2675" t="s">
        <v>261</v>
      </c>
      <c r="I2675" t="s">
        <v>5997</v>
      </c>
      <c r="J2675" t="s">
        <v>37</v>
      </c>
      <c r="K2675" t="s">
        <v>32</v>
      </c>
      <c r="L2675" t="s">
        <v>35</v>
      </c>
      <c r="Q2675">
        <v>1</v>
      </c>
      <c r="R2675">
        <v>3</v>
      </c>
      <c r="AQ2675">
        <v>3</v>
      </c>
      <c r="AR2675" s="3">
        <f t="shared" si="123"/>
        <v>0</v>
      </c>
      <c r="AS2675" s="3">
        <f t="shared" si="124"/>
        <v>0</v>
      </c>
      <c r="AT2675" s="3" t="str">
        <f>IF(OR(Registered!AM2675&gt;0,Registered!AO2675&gt;0),(IF(Registered!E2675=0,"Size Not Specified",Registered!E2675)),"")</f>
        <v/>
      </c>
      <c r="AU2675" s="3" t="str">
        <f>IF(Registered!AE2675=0,"",IF(Registered!AE2675=1,Registered!AE2675&amp;" Bandana",Registered!AE2675&amp;" Bandanas"))</f>
        <v/>
      </c>
      <c r="AV2675" s="3">
        <f t="shared" si="125"/>
        <v>0</v>
      </c>
      <c r="AW2675" s="2" t="str">
        <f>IF(Registered!AV2675=0,"",IF(Registered!AV2675=1,Registered!AV2675&amp;" Meal",Registered!AV2675&amp;" Meals"))</f>
        <v/>
      </c>
      <c r="AX2675" s="2" t="str">
        <f>IF(Registered!AI2675=0,"",Registered!AI2675&amp;" BG")</f>
        <v/>
      </c>
      <c r="AY2675" s="2" t="str">
        <f>IF(Registered!AG2675=0,"",Registered!AG2675&amp;" DustMask")</f>
        <v/>
      </c>
    </row>
    <row r="2676" spans="1:51" customFormat="1" x14ac:dyDescent="0.25">
      <c r="A2676" t="s">
        <v>165</v>
      </c>
      <c r="B2676" t="s">
        <v>309</v>
      </c>
      <c r="C2676" t="s">
        <v>6090</v>
      </c>
      <c r="G2676" t="s">
        <v>739</v>
      </c>
      <c r="H2676" t="s">
        <v>309</v>
      </c>
      <c r="I2676" t="s">
        <v>2648</v>
      </c>
      <c r="J2676" t="s">
        <v>37</v>
      </c>
      <c r="K2676" t="s">
        <v>32</v>
      </c>
      <c r="L2676" t="s">
        <v>35</v>
      </c>
      <c r="AQ2676">
        <v>0</v>
      </c>
      <c r="AR2676" s="3">
        <f t="shared" si="123"/>
        <v>0</v>
      </c>
      <c r="AS2676" s="3">
        <f t="shared" si="124"/>
        <v>0</v>
      </c>
      <c r="AT2676" s="3" t="str">
        <f>IF(OR(Registered!AM2676&gt;0,Registered!AO2676&gt;0),(IF(Registered!E2676=0,"Size Not Specified",Registered!E2676)),"")</f>
        <v/>
      </c>
      <c r="AU2676" s="3" t="str">
        <f>IF(Registered!AE2676=0,"",IF(Registered!AE2676=1,Registered!AE2676&amp;" Bandana",Registered!AE2676&amp;" Bandanas"))</f>
        <v/>
      </c>
      <c r="AV2676" s="3">
        <f t="shared" si="125"/>
        <v>0</v>
      </c>
      <c r="AW2676" s="2" t="str">
        <f>IF(Registered!AV2676=0,"",IF(Registered!AV2676=1,Registered!AV2676&amp;" Meal",Registered!AV2676&amp;" Meals"))</f>
        <v/>
      </c>
      <c r="AX2676" s="2" t="str">
        <f>IF(Registered!AI2676=0,"",Registered!AI2676&amp;" BG")</f>
        <v/>
      </c>
      <c r="AY2676" s="2" t="str">
        <f>IF(Registered!AG2676=0,"",Registered!AG2676&amp;" DustMask")</f>
        <v/>
      </c>
    </row>
    <row r="2677" spans="1:51" customFormat="1" x14ac:dyDescent="0.25">
      <c r="A2677" t="s">
        <v>288</v>
      </c>
      <c r="B2677" t="s">
        <v>309</v>
      </c>
      <c r="C2677" t="s">
        <v>6090</v>
      </c>
      <c r="G2677" t="s">
        <v>2605</v>
      </c>
      <c r="H2677" t="s">
        <v>309</v>
      </c>
      <c r="I2677" t="s">
        <v>2649</v>
      </c>
      <c r="J2677" t="s">
        <v>37</v>
      </c>
      <c r="K2677" t="s">
        <v>32</v>
      </c>
      <c r="L2677" t="s">
        <v>35</v>
      </c>
      <c r="AQ2677">
        <v>0</v>
      </c>
      <c r="AR2677" s="3">
        <f t="shared" si="123"/>
        <v>0</v>
      </c>
      <c r="AS2677" s="3">
        <f t="shared" si="124"/>
        <v>0</v>
      </c>
      <c r="AT2677" s="3" t="str">
        <f>IF(OR(Registered!AM2677&gt;0,Registered!AO2677&gt;0),(IF(Registered!E2677=0,"Size Not Specified",Registered!E2677)),"")</f>
        <v/>
      </c>
      <c r="AU2677" s="3" t="str">
        <f>IF(Registered!AE2677=0,"",IF(Registered!AE2677=1,Registered!AE2677&amp;" Bandana",Registered!AE2677&amp;" Bandanas"))</f>
        <v/>
      </c>
      <c r="AV2677" s="3">
        <f t="shared" si="125"/>
        <v>0</v>
      </c>
      <c r="AW2677" s="2" t="str">
        <f>IF(Registered!AV2677=0,"",IF(Registered!AV2677=1,Registered!AV2677&amp;" Meal",Registered!AV2677&amp;" Meals"))</f>
        <v/>
      </c>
      <c r="AX2677" s="2" t="str">
        <f>IF(Registered!AI2677=0,"",Registered!AI2677&amp;" BG")</f>
        <v/>
      </c>
      <c r="AY2677" s="2" t="str">
        <f>IF(Registered!AG2677=0,"",Registered!AG2677&amp;" DustMask")</f>
        <v/>
      </c>
    </row>
    <row r="2678" spans="1:51" customFormat="1" x14ac:dyDescent="0.25">
      <c r="A2678" t="s">
        <v>739</v>
      </c>
      <c r="B2678" t="s">
        <v>309</v>
      </c>
      <c r="C2678" t="s">
        <v>6090</v>
      </c>
      <c r="D2678" t="s">
        <v>739</v>
      </c>
      <c r="E2678" t="s">
        <v>2650</v>
      </c>
      <c r="I2678" t="s">
        <v>2648</v>
      </c>
      <c r="J2678" t="s">
        <v>37</v>
      </c>
      <c r="K2678" t="s">
        <v>32</v>
      </c>
      <c r="L2678" t="s">
        <v>35</v>
      </c>
      <c r="S2678">
        <v>2</v>
      </c>
      <c r="T2678">
        <v>3</v>
      </c>
      <c r="AE2678">
        <v>2</v>
      </c>
      <c r="AF2678">
        <v>6</v>
      </c>
      <c r="AM2678">
        <v>2</v>
      </c>
      <c r="AN2678">
        <v>25</v>
      </c>
      <c r="AQ2678">
        <v>68</v>
      </c>
      <c r="AR2678" s="3">
        <f t="shared" si="123"/>
        <v>10</v>
      </c>
      <c r="AS2678" s="3">
        <f t="shared" si="124"/>
        <v>2</v>
      </c>
      <c r="AT2678" s="3" t="str">
        <f>IF(OR(Registered!AM2678&gt;0,Registered!AO2678&gt;0),(IF(Registered!E2678=0,"Size Not Specified",Registered!E2678)),"")</f>
        <v>Small and Medium Adult</v>
      </c>
      <c r="AU2678" s="3" t="str">
        <f>IF(Registered!AE2678=0,"",IF(Registered!AE2678=1,Registered!AE2678&amp;" Bandana",Registered!AE2678&amp;" Bandanas"))</f>
        <v>2 Bandanas</v>
      </c>
      <c r="AV2678" s="3">
        <f t="shared" si="125"/>
        <v>2</v>
      </c>
      <c r="AW2678" s="2" t="str">
        <f>IF(Registered!AV2678=0,"",IF(Registered!AV2678=1,Registered!AV2678&amp;" Meal",Registered!AV2678&amp;" Meals"))</f>
        <v>2 Meals</v>
      </c>
      <c r="AX2678" s="2" t="str">
        <f>IF(Registered!AI2678=0,"",Registered!AI2678&amp;" BG")</f>
        <v/>
      </c>
      <c r="AY2678" s="2" t="str">
        <f>IF(Registered!AG2678=0,"",Registered!AG2678&amp;" DustMask")</f>
        <v/>
      </c>
    </row>
    <row r="2679" spans="1:51" customFormat="1" x14ac:dyDescent="0.25">
      <c r="A2679" t="s">
        <v>3508</v>
      </c>
      <c r="B2679" t="s">
        <v>309</v>
      </c>
      <c r="C2679" t="s">
        <v>6090</v>
      </c>
      <c r="G2679" t="s">
        <v>2864</v>
      </c>
      <c r="H2679" t="s">
        <v>2865</v>
      </c>
      <c r="I2679" t="s">
        <v>2866</v>
      </c>
      <c r="J2679" t="s">
        <v>37</v>
      </c>
      <c r="K2679" t="s">
        <v>32</v>
      </c>
      <c r="L2679" t="s">
        <v>35</v>
      </c>
      <c r="AQ2679">
        <v>0</v>
      </c>
      <c r="AR2679" s="3">
        <f t="shared" si="123"/>
        <v>0</v>
      </c>
      <c r="AS2679" s="3">
        <f t="shared" si="124"/>
        <v>0</v>
      </c>
      <c r="AT2679" s="3" t="str">
        <f>IF(OR(Registered!AM2679&gt;0,Registered!AO2679&gt;0),(IF(Registered!E2679=0,"Size Not Specified",Registered!E2679)),"")</f>
        <v/>
      </c>
      <c r="AU2679" s="3" t="str">
        <f>IF(Registered!AE2679=0,"",IF(Registered!AE2679=1,Registered!AE2679&amp;" Bandana",Registered!AE2679&amp;" Bandanas"))</f>
        <v/>
      </c>
      <c r="AV2679" s="3">
        <f t="shared" si="125"/>
        <v>0</v>
      </c>
      <c r="AW2679" s="2" t="str">
        <f>IF(Registered!AV2679=0,"",IF(Registered!AV2679=1,Registered!AV2679&amp;" Meal",Registered!AV2679&amp;" Meals"))</f>
        <v/>
      </c>
      <c r="AX2679" s="2" t="str">
        <f>IF(Registered!AI2679=0,"",Registered!AI2679&amp;" BG")</f>
        <v/>
      </c>
      <c r="AY2679" s="2" t="str">
        <f>IF(Registered!AG2679=0,"",Registered!AG2679&amp;" DustMask")</f>
        <v/>
      </c>
    </row>
    <row r="2680" spans="1:51" customFormat="1" x14ac:dyDescent="0.25">
      <c r="A2680" t="s">
        <v>149</v>
      </c>
      <c r="B2680" t="s">
        <v>309</v>
      </c>
      <c r="C2680" t="s">
        <v>6090</v>
      </c>
      <c r="D2680" t="s">
        <v>3509</v>
      </c>
      <c r="F2680" t="s">
        <v>261</v>
      </c>
      <c r="I2680" t="s">
        <v>3372</v>
      </c>
      <c r="J2680" t="s">
        <v>37</v>
      </c>
      <c r="K2680" t="s">
        <v>32</v>
      </c>
      <c r="L2680" t="s">
        <v>35</v>
      </c>
      <c r="Q2680">
        <v>3</v>
      </c>
      <c r="R2680">
        <v>3</v>
      </c>
      <c r="Y2680">
        <v>1</v>
      </c>
      <c r="Z2680">
        <v>60</v>
      </c>
      <c r="AQ2680">
        <v>69</v>
      </c>
      <c r="AR2680" s="3">
        <f t="shared" si="123"/>
        <v>30</v>
      </c>
      <c r="AS2680" s="3">
        <f t="shared" si="124"/>
        <v>0</v>
      </c>
      <c r="AT2680" s="3" t="str">
        <f>IF(OR(Registered!AM2680&gt;0,Registered!AO2680&gt;0),(IF(Registered!E2680=0,"Size Not Specified",Registered!E2680)),"")</f>
        <v/>
      </c>
      <c r="AU2680" s="3" t="str">
        <f>IF(Registered!AE2680=0,"",IF(Registered!AE2680=1,Registered!AE2680&amp;" Bandana",Registered!AE2680&amp;" Bandanas"))</f>
        <v/>
      </c>
      <c r="AV2680" s="3">
        <f t="shared" si="125"/>
        <v>0</v>
      </c>
      <c r="AW2680" s="2" t="str">
        <f>IF(Registered!AV2680=0,"",IF(Registered!AV2680=1,Registered!AV2680&amp;" Meal",Registered!AV2680&amp;" Meals"))</f>
        <v/>
      </c>
      <c r="AX2680" s="2" t="str">
        <f>IF(Registered!AI2680=0,"",Registered!AI2680&amp;" BG")</f>
        <v/>
      </c>
      <c r="AY2680" s="2" t="str">
        <f>IF(Registered!AG2680=0,"",Registered!AG2680&amp;" DustMask")</f>
        <v/>
      </c>
    </row>
    <row r="2681" spans="1:51" customFormat="1" x14ac:dyDescent="0.25">
      <c r="A2681" t="s">
        <v>5336</v>
      </c>
      <c r="B2681" t="s">
        <v>309</v>
      </c>
      <c r="C2681" t="s">
        <v>6090</v>
      </c>
      <c r="G2681" t="s">
        <v>270</v>
      </c>
      <c r="H2681" t="s">
        <v>4291</v>
      </c>
      <c r="I2681" t="s">
        <v>4294</v>
      </c>
      <c r="J2681" t="s">
        <v>37</v>
      </c>
      <c r="K2681" t="s">
        <v>32</v>
      </c>
      <c r="L2681" t="s">
        <v>35</v>
      </c>
      <c r="AQ2681">
        <v>0</v>
      </c>
      <c r="AR2681" s="3">
        <f t="shared" si="123"/>
        <v>0</v>
      </c>
      <c r="AS2681" s="3">
        <f t="shared" si="124"/>
        <v>0</v>
      </c>
      <c r="AT2681" s="3" t="str">
        <f>IF(OR(Registered!AM2681&gt;0,Registered!AO2681&gt;0),(IF(Registered!E2681=0,"Size Not Specified",Registered!E2681)),"")</f>
        <v/>
      </c>
      <c r="AU2681" s="3" t="str">
        <f>IF(Registered!AE2681=0,"",IF(Registered!AE2681=1,Registered!AE2681&amp;" Bandana",Registered!AE2681&amp;" Bandanas"))</f>
        <v/>
      </c>
      <c r="AV2681" s="3">
        <f t="shared" si="125"/>
        <v>0</v>
      </c>
      <c r="AW2681" s="2" t="str">
        <f>IF(Registered!AV2681=0,"",IF(Registered!AV2681=1,Registered!AV2681&amp;" Meal",Registered!AV2681&amp;" Meals"))</f>
        <v/>
      </c>
      <c r="AX2681" s="2" t="str">
        <f>IF(Registered!AI2681=0,"",Registered!AI2681&amp;" BG")</f>
        <v/>
      </c>
      <c r="AY2681" s="2" t="str">
        <f>IF(Registered!AG2681=0,"",Registered!AG2681&amp;" DustMask")</f>
        <v/>
      </c>
    </row>
    <row r="2682" spans="1:51" customFormat="1" x14ac:dyDescent="0.25">
      <c r="A2682" t="s">
        <v>5998</v>
      </c>
      <c r="B2682" t="s">
        <v>309</v>
      </c>
      <c r="C2682" t="s">
        <v>6090</v>
      </c>
      <c r="G2682" t="s">
        <v>107</v>
      </c>
      <c r="H2682" t="s">
        <v>4109</v>
      </c>
      <c r="I2682" t="s">
        <v>4111</v>
      </c>
      <c r="J2682" t="s">
        <v>37</v>
      </c>
      <c r="K2682" t="s">
        <v>32</v>
      </c>
      <c r="L2682" t="s">
        <v>35</v>
      </c>
      <c r="AQ2682">
        <v>0</v>
      </c>
      <c r="AR2682" s="3">
        <f t="shared" si="123"/>
        <v>0</v>
      </c>
      <c r="AS2682" s="3">
        <f t="shared" si="124"/>
        <v>0</v>
      </c>
      <c r="AT2682" s="3" t="str">
        <f>IF(OR(Registered!AM2682&gt;0,Registered!AO2682&gt;0),(IF(Registered!E2682=0,"Size Not Specified",Registered!E2682)),"")</f>
        <v/>
      </c>
      <c r="AU2682" s="3" t="str">
        <f>IF(Registered!AE2682=0,"",IF(Registered!AE2682=1,Registered!AE2682&amp;" Bandana",Registered!AE2682&amp;" Bandanas"))</f>
        <v/>
      </c>
      <c r="AV2682" s="3">
        <f t="shared" si="125"/>
        <v>0</v>
      </c>
      <c r="AW2682" s="2" t="str">
        <f>IF(Registered!AV2682=0,"",IF(Registered!AV2682=1,Registered!AV2682&amp;" Meal",Registered!AV2682&amp;" Meals"))</f>
        <v/>
      </c>
      <c r="AX2682" s="2" t="str">
        <f>IF(Registered!AI2682=0,"",Registered!AI2682&amp;" BG")</f>
        <v/>
      </c>
      <c r="AY2682" s="2" t="str">
        <f>IF(Registered!AG2682=0,"",Registered!AG2682&amp;" DustMask")</f>
        <v/>
      </c>
    </row>
    <row r="2683" spans="1:51" customFormat="1" x14ac:dyDescent="0.25">
      <c r="A2683" t="s">
        <v>5999</v>
      </c>
      <c r="B2683" t="s">
        <v>309</v>
      </c>
      <c r="C2683" t="s">
        <v>6090</v>
      </c>
      <c r="G2683" t="s">
        <v>3792</v>
      </c>
      <c r="H2683" t="s">
        <v>4167</v>
      </c>
      <c r="I2683" t="s">
        <v>4168</v>
      </c>
      <c r="J2683" t="s">
        <v>37</v>
      </c>
      <c r="K2683" t="s">
        <v>32</v>
      </c>
      <c r="L2683" t="s">
        <v>35</v>
      </c>
      <c r="AQ2683">
        <v>0</v>
      </c>
      <c r="AR2683" s="3">
        <f t="shared" si="123"/>
        <v>0</v>
      </c>
      <c r="AS2683" s="3">
        <f t="shared" si="124"/>
        <v>0</v>
      </c>
      <c r="AT2683" s="3" t="str">
        <f>IF(OR(Registered!AM2683&gt;0,Registered!AO2683&gt;0),(IF(Registered!E2683=0,"Size Not Specified",Registered!E2683)),"")</f>
        <v/>
      </c>
      <c r="AU2683" s="3" t="str">
        <f>IF(Registered!AE2683=0,"",IF(Registered!AE2683=1,Registered!AE2683&amp;" Bandana",Registered!AE2683&amp;" Bandanas"))</f>
        <v/>
      </c>
      <c r="AV2683" s="3">
        <f t="shared" si="125"/>
        <v>0</v>
      </c>
      <c r="AW2683" s="2" t="str">
        <f>IF(Registered!AV2683=0,"",IF(Registered!AV2683=1,Registered!AV2683&amp;" Meal",Registered!AV2683&amp;" Meals"))</f>
        <v/>
      </c>
      <c r="AX2683" s="2" t="str">
        <f>IF(Registered!AI2683=0,"",Registered!AI2683&amp;" BG")</f>
        <v/>
      </c>
      <c r="AY2683" s="2" t="str">
        <f>IF(Registered!AG2683=0,"",Registered!AG2683&amp;" DustMask")</f>
        <v/>
      </c>
    </row>
    <row r="2684" spans="1:51" customFormat="1" x14ac:dyDescent="0.25">
      <c r="A2684" t="s">
        <v>2605</v>
      </c>
      <c r="B2684" t="s">
        <v>309</v>
      </c>
      <c r="C2684" t="s">
        <v>6090</v>
      </c>
      <c r="D2684" t="s">
        <v>2651</v>
      </c>
      <c r="F2684" t="s">
        <v>261</v>
      </c>
      <c r="I2684" t="s">
        <v>2649</v>
      </c>
      <c r="J2684" t="s">
        <v>37</v>
      </c>
      <c r="K2684" t="s">
        <v>32</v>
      </c>
      <c r="L2684" t="s">
        <v>35</v>
      </c>
      <c r="S2684">
        <v>2</v>
      </c>
      <c r="T2684">
        <v>3</v>
      </c>
      <c r="U2684">
        <v>1</v>
      </c>
      <c r="V2684">
        <v>20</v>
      </c>
      <c r="AC2684">
        <v>1</v>
      </c>
      <c r="AD2684">
        <v>10</v>
      </c>
      <c r="AQ2684">
        <v>36</v>
      </c>
      <c r="AR2684" s="3">
        <f t="shared" si="123"/>
        <v>15</v>
      </c>
      <c r="AS2684" s="3">
        <f t="shared" si="124"/>
        <v>0</v>
      </c>
      <c r="AT2684" s="3" t="str">
        <f>IF(OR(Registered!AM2684&gt;0,Registered!AO2684&gt;0),(IF(Registered!E2684=0,"Size Not Specified",Registered!E2684)),"")</f>
        <v/>
      </c>
      <c r="AU2684" s="3" t="str">
        <f>IF(Registered!AE2684=0,"",IF(Registered!AE2684=1,Registered!AE2684&amp;" Bandana",Registered!AE2684&amp;" Bandanas"))</f>
        <v/>
      </c>
      <c r="AV2684" s="3">
        <f t="shared" si="125"/>
        <v>0</v>
      </c>
      <c r="AW2684" s="2" t="str">
        <f>IF(Registered!AV2684=0,"",IF(Registered!AV2684=1,Registered!AV2684&amp;" Meal",Registered!AV2684&amp;" Meals"))</f>
        <v/>
      </c>
      <c r="AX2684" s="2" t="str">
        <f>IF(Registered!AI2684=0,"",Registered!AI2684&amp;" BG")</f>
        <v/>
      </c>
      <c r="AY2684" s="2" t="str">
        <f>IF(Registered!AG2684=0,"",Registered!AG2684&amp;" DustMask")</f>
        <v/>
      </c>
    </row>
    <row r="2685" spans="1:51" customFormat="1" x14ac:dyDescent="0.25">
      <c r="A2685" t="s">
        <v>75</v>
      </c>
      <c r="B2685" t="s">
        <v>309</v>
      </c>
      <c r="C2685" t="s">
        <v>6090</v>
      </c>
      <c r="G2685" t="s">
        <v>229</v>
      </c>
      <c r="H2685" t="s">
        <v>4180</v>
      </c>
      <c r="I2685" t="s">
        <v>4183</v>
      </c>
      <c r="J2685" t="s">
        <v>37</v>
      </c>
      <c r="K2685" t="s">
        <v>32</v>
      </c>
      <c r="L2685" t="s">
        <v>35</v>
      </c>
      <c r="AQ2685">
        <v>0</v>
      </c>
      <c r="AR2685" s="3">
        <f t="shared" si="123"/>
        <v>0</v>
      </c>
      <c r="AS2685" s="3">
        <f t="shared" si="124"/>
        <v>0</v>
      </c>
      <c r="AT2685" s="3" t="str">
        <f>IF(OR(Registered!AM2685&gt;0,Registered!AO2685&gt;0),(IF(Registered!E2685=0,"Size Not Specified",Registered!E2685)),"")</f>
        <v/>
      </c>
      <c r="AU2685" s="3" t="str">
        <f>IF(Registered!AE2685=0,"",IF(Registered!AE2685=1,Registered!AE2685&amp;" Bandana",Registered!AE2685&amp;" Bandanas"))</f>
        <v/>
      </c>
      <c r="AV2685" s="3">
        <f t="shared" si="125"/>
        <v>0</v>
      </c>
      <c r="AW2685" s="2" t="str">
        <f>IF(Registered!AV2685=0,"",IF(Registered!AV2685=1,Registered!AV2685&amp;" Meal",Registered!AV2685&amp;" Meals"))</f>
        <v/>
      </c>
      <c r="AX2685" s="2" t="str">
        <f>IF(Registered!AI2685=0,"",Registered!AI2685&amp;" BG")</f>
        <v/>
      </c>
      <c r="AY2685" s="2" t="str">
        <f>IF(Registered!AG2685=0,"",Registered!AG2685&amp;" DustMask")</f>
        <v/>
      </c>
    </row>
    <row r="2686" spans="1:51" customFormat="1" x14ac:dyDescent="0.25">
      <c r="A2686" t="s">
        <v>3510</v>
      </c>
      <c r="B2686" t="s">
        <v>3511</v>
      </c>
      <c r="C2686" t="s">
        <v>6090</v>
      </c>
      <c r="G2686" t="s">
        <v>89</v>
      </c>
      <c r="H2686" t="s">
        <v>3395</v>
      </c>
      <c r="I2686" t="s">
        <v>3396</v>
      </c>
      <c r="J2686" t="s">
        <v>37</v>
      </c>
      <c r="K2686" t="s">
        <v>32</v>
      </c>
      <c r="L2686" t="s">
        <v>35</v>
      </c>
      <c r="AQ2686">
        <v>0</v>
      </c>
      <c r="AR2686" s="3">
        <f t="shared" si="123"/>
        <v>0</v>
      </c>
      <c r="AS2686" s="3">
        <f t="shared" si="124"/>
        <v>0</v>
      </c>
      <c r="AT2686" s="3" t="str">
        <f>IF(OR(Registered!AM2686&gt;0,Registered!AO2686&gt;0),(IF(Registered!E2686=0,"Size Not Specified",Registered!E2686)),"")</f>
        <v/>
      </c>
      <c r="AU2686" s="3" t="str">
        <f>IF(Registered!AE2686=0,"",IF(Registered!AE2686=1,Registered!AE2686&amp;" Bandana",Registered!AE2686&amp;" Bandanas"))</f>
        <v/>
      </c>
      <c r="AV2686" s="3">
        <f t="shared" si="125"/>
        <v>0</v>
      </c>
      <c r="AW2686" s="2" t="str">
        <f>IF(Registered!AV2686=0,"",IF(Registered!AV2686=1,Registered!AV2686&amp;" Meal",Registered!AV2686&amp;" Meals"))</f>
        <v/>
      </c>
      <c r="AX2686" s="2" t="str">
        <f>IF(Registered!AI2686=0,"",Registered!AI2686&amp;" BG")</f>
        <v/>
      </c>
      <c r="AY2686" s="2" t="str">
        <f>IF(Registered!AG2686=0,"",Registered!AG2686&amp;" DustMask")</f>
        <v/>
      </c>
    </row>
    <row r="2687" spans="1:51" customFormat="1" x14ac:dyDescent="0.25">
      <c r="A2687" t="s">
        <v>6000</v>
      </c>
      <c r="B2687" t="s">
        <v>6001</v>
      </c>
      <c r="C2687" t="s">
        <v>6090</v>
      </c>
      <c r="D2687" t="s">
        <v>6002</v>
      </c>
      <c r="I2687" t="s">
        <v>6003</v>
      </c>
      <c r="J2687" t="s">
        <v>37</v>
      </c>
      <c r="K2687" t="s">
        <v>32</v>
      </c>
      <c r="L2687" t="s">
        <v>35</v>
      </c>
      <c r="Q2687">
        <v>1</v>
      </c>
      <c r="R2687">
        <v>3</v>
      </c>
      <c r="AC2687">
        <v>1</v>
      </c>
      <c r="AD2687">
        <v>10</v>
      </c>
      <c r="AQ2687">
        <v>13</v>
      </c>
      <c r="AR2687" s="3">
        <f t="shared" si="123"/>
        <v>5</v>
      </c>
      <c r="AS2687" s="3">
        <f t="shared" si="124"/>
        <v>0</v>
      </c>
      <c r="AT2687" s="3" t="str">
        <f>IF(OR(Registered!AM2687&gt;0,Registered!AO2687&gt;0),(IF(Registered!E2687=0,"Size Not Specified",Registered!E2687)),"")</f>
        <v/>
      </c>
      <c r="AU2687" s="3" t="str">
        <f>IF(Registered!AE2687=0,"",IF(Registered!AE2687=1,Registered!AE2687&amp;" Bandana",Registered!AE2687&amp;" Bandanas"))</f>
        <v/>
      </c>
      <c r="AV2687" s="3">
        <f t="shared" si="125"/>
        <v>0</v>
      </c>
      <c r="AW2687" s="2" t="str">
        <f>IF(Registered!AV2687=0,"",IF(Registered!AV2687=1,Registered!AV2687&amp;" Meal",Registered!AV2687&amp;" Meals"))</f>
        <v/>
      </c>
      <c r="AX2687" s="2" t="str">
        <f>IF(Registered!AI2687=0,"",Registered!AI2687&amp;" BG")</f>
        <v/>
      </c>
      <c r="AY2687" s="2" t="str">
        <f>IF(Registered!AG2687=0,"",Registered!AG2687&amp;" DustMask")</f>
        <v/>
      </c>
    </row>
    <row r="2688" spans="1:51" customFormat="1" x14ac:dyDescent="0.25">
      <c r="A2688" t="s">
        <v>189</v>
      </c>
      <c r="B2688" t="s">
        <v>6004</v>
      </c>
      <c r="C2688" t="s">
        <v>6090</v>
      </c>
      <c r="G2688" t="s">
        <v>202</v>
      </c>
      <c r="H2688" t="s">
        <v>2809</v>
      </c>
      <c r="I2688" t="s">
        <v>3962</v>
      </c>
      <c r="J2688" t="s">
        <v>37</v>
      </c>
      <c r="K2688" t="s">
        <v>32</v>
      </c>
      <c r="L2688" t="s">
        <v>35</v>
      </c>
      <c r="AQ2688">
        <v>0</v>
      </c>
      <c r="AR2688" s="3">
        <f t="shared" si="123"/>
        <v>0</v>
      </c>
      <c r="AS2688" s="3">
        <f t="shared" si="124"/>
        <v>0</v>
      </c>
      <c r="AT2688" s="3" t="str">
        <f>IF(OR(Registered!AM2688&gt;0,Registered!AO2688&gt;0),(IF(Registered!E2688=0,"Size Not Specified",Registered!E2688)),"")</f>
        <v/>
      </c>
      <c r="AU2688" s="3" t="str">
        <f>IF(Registered!AE2688=0,"",IF(Registered!AE2688=1,Registered!AE2688&amp;" Bandana",Registered!AE2688&amp;" Bandanas"))</f>
        <v/>
      </c>
      <c r="AV2688" s="3">
        <f t="shared" si="125"/>
        <v>0</v>
      </c>
      <c r="AW2688" s="2" t="str">
        <f>IF(Registered!AV2688=0,"",IF(Registered!AV2688=1,Registered!AV2688&amp;" Meal",Registered!AV2688&amp;" Meals"))</f>
        <v/>
      </c>
      <c r="AX2688" s="2" t="str">
        <f>IF(Registered!AI2688=0,"",Registered!AI2688&amp;" BG")</f>
        <v/>
      </c>
      <c r="AY2688" s="2" t="str">
        <f>IF(Registered!AG2688=0,"",Registered!AG2688&amp;" DustMask")</f>
        <v/>
      </c>
    </row>
    <row r="2689" spans="1:51" customFormat="1" x14ac:dyDescent="0.25">
      <c r="A2689" t="s">
        <v>187</v>
      </c>
      <c r="B2689" t="s">
        <v>2652</v>
      </c>
      <c r="C2689" t="s">
        <v>6090</v>
      </c>
      <c r="G2689" t="s">
        <v>100</v>
      </c>
      <c r="H2689" t="s">
        <v>1845</v>
      </c>
      <c r="I2689" t="s">
        <v>1847</v>
      </c>
      <c r="J2689" t="s">
        <v>37</v>
      </c>
      <c r="K2689" t="s">
        <v>32</v>
      </c>
      <c r="L2689" t="s">
        <v>35</v>
      </c>
      <c r="AQ2689">
        <v>0</v>
      </c>
      <c r="AR2689" s="3">
        <f t="shared" si="123"/>
        <v>0</v>
      </c>
      <c r="AS2689" s="3">
        <f t="shared" si="124"/>
        <v>0</v>
      </c>
      <c r="AT2689" s="3" t="str">
        <f>IF(OR(Registered!AM2689&gt;0,Registered!AO2689&gt;0),(IF(Registered!E2689=0,"Size Not Specified",Registered!E2689)),"")</f>
        <v/>
      </c>
      <c r="AU2689" s="3" t="str">
        <f>IF(Registered!AE2689=0,"",IF(Registered!AE2689=1,Registered!AE2689&amp;" Bandana",Registered!AE2689&amp;" Bandanas"))</f>
        <v/>
      </c>
      <c r="AV2689" s="3">
        <f t="shared" si="125"/>
        <v>0</v>
      </c>
      <c r="AW2689" s="2" t="str">
        <f>IF(Registered!AV2689=0,"",IF(Registered!AV2689=1,Registered!AV2689&amp;" Meal",Registered!AV2689&amp;" Meals"))</f>
        <v/>
      </c>
      <c r="AX2689" s="2" t="str">
        <f>IF(Registered!AI2689=0,"",Registered!AI2689&amp;" BG")</f>
        <v/>
      </c>
      <c r="AY2689" s="2" t="str">
        <f>IF(Registered!AG2689=0,"",Registered!AG2689&amp;" DustMask")</f>
        <v/>
      </c>
    </row>
    <row r="2690" spans="1:51" customFormat="1" x14ac:dyDescent="0.25">
      <c r="A2690" t="s">
        <v>158</v>
      </c>
      <c r="B2690" t="s">
        <v>2653</v>
      </c>
      <c r="C2690" t="s">
        <v>6090</v>
      </c>
      <c r="G2690" t="s">
        <v>420</v>
      </c>
      <c r="H2690" t="s">
        <v>2177</v>
      </c>
      <c r="I2690" t="s">
        <v>2179</v>
      </c>
      <c r="J2690" t="s">
        <v>37</v>
      </c>
      <c r="K2690" t="s">
        <v>32</v>
      </c>
      <c r="L2690" t="s">
        <v>35</v>
      </c>
      <c r="AQ2690">
        <v>0</v>
      </c>
      <c r="AR2690" s="3">
        <f t="shared" ref="AR2690:AR2753" si="126">IF(ISTEXT(AM2690)=TRUE,"",SUM(U2690*10,W2690*20,Y2690*30,AA2690*40,AC2690*5,AM2690*5))</f>
        <v>0</v>
      </c>
      <c r="AS2690" s="3">
        <f t="shared" ref="AS2690:AS2753" si="127">IF(ISTEXT(AM2690)=TRUE,"",SUM(AM2690,AO2690))</f>
        <v>0</v>
      </c>
      <c r="AT2690" s="3" t="str">
        <f>IF(OR(Registered!AM2690&gt;0,Registered!AO2690&gt;0),(IF(Registered!E2690=0,"Size Not Specified",Registered!E2690)),"")</f>
        <v/>
      </c>
      <c r="AU2690" s="3" t="str">
        <f>IF(Registered!AE2690=0,"",IF(Registered!AE2690=1,Registered!AE2690&amp;" Bandana",Registered!AE2690&amp;" Bandanas"))</f>
        <v/>
      </c>
      <c r="AV2690" s="3">
        <f t="shared" ref="AV2690:AV2753" si="128">IF(ISTEXT(AM2690)=TRUE,"",SUM(AM2690,AK2690))</f>
        <v>0</v>
      </c>
      <c r="AW2690" s="2" t="str">
        <f>IF(Registered!AV2690=0,"",IF(Registered!AV2690=1,Registered!AV2690&amp;" Meal",Registered!AV2690&amp;" Meals"))</f>
        <v/>
      </c>
      <c r="AX2690" s="2" t="str">
        <f>IF(Registered!AI2690=0,"",Registered!AI2690&amp;" BG")</f>
        <v/>
      </c>
      <c r="AY2690" s="2" t="str">
        <f>IF(Registered!AG2690=0,"",Registered!AG2690&amp;" DustMask")</f>
        <v/>
      </c>
    </row>
    <row r="2691" spans="1:51" customFormat="1" x14ac:dyDescent="0.25">
      <c r="A2691" t="s">
        <v>770</v>
      </c>
      <c r="B2691" t="s">
        <v>6006</v>
      </c>
      <c r="C2691" t="s">
        <v>6090</v>
      </c>
      <c r="G2691" t="s">
        <v>167</v>
      </c>
      <c r="H2691" t="s">
        <v>3723</v>
      </c>
      <c r="I2691" t="s">
        <v>3726</v>
      </c>
      <c r="J2691" t="s">
        <v>37</v>
      </c>
      <c r="K2691" t="s">
        <v>32</v>
      </c>
      <c r="L2691" t="s">
        <v>35</v>
      </c>
      <c r="AQ2691">
        <v>0</v>
      </c>
      <c r="AR2691" s="3">
        <f t="shared" si="126"/>
        <v>0</v>
      </c>
      <c r="AS2691" s="3">
        <f t="shared" si="127"/>
        <v>0</v>
      </c>
      <c r="AT2691" s="3" t="str">
        <f>IF(OR(Registered!AM2691&gt;0,Registered!AO2691&gt;0),(IF(Registered!E2691=0,"Size Not Specified",Registered!E2691)),"")</f>
        <v/>
      </c>
      <c r="AU2691" s="3" t="str">
        <f>IF(Registered!AE2691=0,"",IF(Registered!AE2691=1,Registered!AE2691&amp;" Bandana",Registered!AE2691&amp;" Bandanas"))</f>
        <v/>
      </c>
      <c r="AV2691" s="3">
        <f t="shared" si="128"/>
        <v>0</v>
      </c>
      <c r="AW2691" s="2" t="str">
        <f>IF(Registered!AV2691=0,"",IF(Registered!AV2691=1,Registered!AV2691&amp;" Meal",Registered!AV2691&amp;" Meals"))</f>
        <v/>
      </c>
      <c r="AX2691" s="2" t="str">
        <f>IF(Registered!AI2691=0,"",Registered!AI2691&amp;" BG")</f>
        <v/>
      </c>
      <c r="AY2691" s="2" t="str">
        <f>IF(Registered!AG2691=0,"",Registered!AG2691&amp;" DustMask")</f>
        <v/>
      </c>
    </row>
    <row r="2692" spans="1:51" customFormat="1" x14ac:dyDescent="0.25">
      <c r="A2692" t="s">
        <v>255</v>
      </c>
      <c r="B2692" t="s">
        <v>2654</v>
      </c>
      <c r="C2692" t="s">
        <v>6090</v>
      </c>
      <c r="G2692" t="s">
        <v>1603</v>
      </c>
      <c r="H2692" t="s">
        <v>1604</v>
      </c>
      <c r="I2692" t="s">
        <v>1605</v>
      </c>
      <c r="J2692" t="s">
        <v>37</v>
      </c>
      <c r="K2692" t="s">
        <v>32</v>
      </c>
      <c r="L2692" t="s">
        <v>35</v>
      </c>
      <c r="AQ2692">
        <v>0</v>
      </c>
      <c r="AR2692" s="3">
        <f t="shared" si="126"/>
        <v>0</v>
      </c>
      <c r="AS2692" s="3">
        <f t="shared" si="127"/>
        <v>0</v>
      </c>
      <c r="AT2692" s="3" t="str">
        <f>IF(OR(Registered!AM2692&gt;0,Registered!AO2692&gt;0),(IF(Registered!E2692=0,"Size Not Specified",Registered!E2692)),"")</f>
        <v/>
      </c>
      <c r="AU2692" s="3" t="str">
        <f>IF(Registered!AE2692=0,"",IF(Registered!AE2692=1,Registered!AE2692&amp;" Bandana",Registered!AE2692&amp;" Bandanas"))</f>
        <v/>
      </c>
      <c r="AV2692" s="3">
        <f t="shared" si="128"/>
        <v>0</v>
      </c>
      <c r="AW2692" s="2" t="str">
        <f>IF(Registered!AV2692=0,"",IF(Registered!AV2692=1,Registered!AV2692&amp;" Meal",Registered!AV2692&amp;" Meals"))</f>
        <v/>
      </c>
      <c r="AX2692" s="2" t="str">
        <f>IF(Registered!AI2692=0,"",Registered!AI2692&amp;" BG")</f>
        <v/>
      </c>
      <c r="AY2692" s="2" t="str">
        <f>IF(Registered!AG2692=0,"",Registered!AG2692&amp;" DustMask")</f>
        <v/>
      </c>
    </row>
    <row r="2693" spans="1:51" customFormat="1" x14ac:dyDescent="0.25">
      <c r="A2693" t="s">
        <v>2655</v>
      </c>
      <c r="B2693" t="s">
        <v>404</v>
      </c>
      <c r="C2693" t="s">
        <v>6090</v>
      </c>
      <c r="G2693" t="s">
        <v>220</v>
      </c>
      <c r="H2693" t="s">
        <v>2459</v>
      </c>
      <c r="I2693" t="s">
        <v>2461</v>
      </c>
      <c r="J2693" t="s">
        <v>37</v>
      </c>
      <c r="K2693" t="s">
        <v>32</v>
      </c>
      <c r="L2693" t="s">
        <v>35</v>
      </c>
      <c r="AQ2693">
        <v>0</v>
      </c>
      <c r="AR2693" s="3">
        <f t="shared" si="126"/>
        <v>0</v>
      </c>
      <c r="AS2693" s="3">
        <f t="shared" si="127"/>
        <v>0</v>
      </c>
      <c r="AT2693" s="3" t="str">
        <f>IF(OR(Registered!AM2693&gt;0,Registered!AO2693&gt;0),(IF(Registered!E2693=0,"Size Not Specified",Registered!E2693)),"")</f>
        <v/>
      </c>
      <c r="AU2693" s="3" t="str">
        <f>IF(Registered!AE2693=0,"",IF(Registered!AE2693=1,Registered!AE2693&amp;" Bandana",Registered!AE2693&amp;" Bandanas"))</f>
        <v/>
      </c>
      <c r="AV2693" s="3">
        <f t="shared" si="128"/>
        <v>0</v>
      </c>
      <c r="AW2693" s="2" t="str">
        <f>IF(Registered!AV2693=0,"",IF(Registered!AV2693=1,Registered!AV2693&amp;" Meal",Registered!AV2693&amp;" Meals"))</f>
        <v/>
      </c>
      <c r="AX2693" s="2" t="str">
        <f>IF(Registered!AI2693=0,"",Registered!AI2693&amp;" BG")</f>
        <v/>
      </c>
      <c r="AY2693" s="2" t="str">
        <f>IF(Registered!AG2693=0,"",Registered!AG2693&amp;" DustMask")</f>
        <v/>
      </c>
    </row>
    <row r="2694" spans="1:51" customFormat="1" x14ac:dyDescent="0.25">
      <c r="A2694" t="s">
        <v>165</v>
      </c>
      <c r="B2694" t="s">
        <v>404</v>
      </c>
      <c r="C2694" t="s">
        <v>6090</v>
      </c>
      <c r="D2694" t="s">
        <v>6007</v>
      </c>
      <c r="F2694" t="s">
        <v>261</v>
      </c>
      <c r="I2694" t="s">
        <v>5039</v>
      </c>
      <c r="J2694" t="s">
        <v>37</v>
      </c>
      <c r="K2694" t="s">
        <v>32</v>
      </c>
      <c r="L2694" t="s">
        <v>35</v>
      </c>
      <c r="Q2694">
        <v>4</v>
      </c>
      <c r="R2694">
        <v>3</v>
      </c>
      <c r="U2694">
        <v>1</v>
      </c>
      <c r="V2694">
        <v>20</v>
      </c>
      <c r="AQ2694">
        <v>32</v>
      </c>
      <c r="AR2694" s="3">
        <f t="shared" si="126"/>
        <v>10</v>
      </c>
      <c r="AS2694" s="3">
        <f t="shared" si="127"/>
        <v>0</v>
      </c>
      <c r="AT2694" s="3" t="str">
        <f>IF(OR(Registered!AM2694&gt;0,Registered!AO2694&gt;0),(IF(Registered!E2694=0,"Size Not Specified",Registered!E2694)),"")</f>
        <v/>
      </c>
      <c r="AU2694" s="3" t="str">
        <f>IF(Registered!AE2694=0,"",IF(Registered!AE2694=1,Registered!AE2694&amp;" Bandana",Registered!AE2694&amp;" Bandanas"))</f>
        <v/>
      </c>
      <c r="AV2694" s="3">
        <f t="shared" si="128"/>
        <v>0</v>
      </c>
      <c r="AW2694" s="2" t="str">
        <f>IF(Registered!AV2694=0,"",IF(Registered!AV2694=1,Registered!AV2694&amp;" Meal",Registered!AV2694&amp;" Meals"))</f>
        <v/>
      </c>
      <c r="AX2694" s="2" t="str">
        <f>IF(Registered!AI2694=0,"",Registered!AI2694&amp;" BG")</f>
        <v/>
      </c>
      <c r="AY2694" s="2" t="str">
        <f>IF(Registered!AG2694=0,"",Registered!AG2694&amp;" DustMask")</f>
        <v/>
      </c>
    </row>
    <row r="2695" spans="1:51" customFormat="1" x14ac:dyDescent="0.25">
      <c r="A2695" t="s">
        <v>157</v>
      </c>
      <c r="B2695" t="s">
        <v>404</v>
      </c>
      <c r="C2695" t="s">
        <v>6090</v>
      </c>
      <c r="D2695" t="s">
        <v>3512</v>
      </c>
      <c r="E2695" t="s">
        <v>3513</v>
      </c>
      <c r="F2695" t="s">
        <v>261</v>
      </c>
      <c r="I2695" t="s">
        <v>3271</v>
      </c>
      <c r="J2695" t="s">
        <v>37</v>
      </c>
      <c r="K2695" t="s">
        <v>32</v>
      </c>
      <c r="L2695" t="s">
        <v>35</v>
      </c>
      <c r="Q2695">
        <v>2</v>
      </c>
      <c r="R2695">
        <v>3</v>
      </c>
      <c r="W2695">
        <v>1</v>
      </c>
      <c r="X2695">
        <v>40</v>
      </c>
      <c r="AO2695">
        <v>2</v>
      </c>
      <c r="AP2695">
        <v>10</v>
      </c>
      <c r="AQ2695">
        <v>66</v>
      </c>
      <c r="AR2695" s="3">
        <f t="shared" si="126"/>
        <v>20</v>
      </c>
      <c r="AS2695" s="3">
        <f t="shared" si="127"/>
        <v>2</v>
      </c>
      <c r="AT2695" s="3" t="str">
        <f>IF(OR(Registered!AM2695&gt;0,Registered!AO2695&gt;0),(IF(Registered!E2695=0,"Size Not Specified",Registered!E2695)),"")</f>
        <v>large and extra large</v>
      </c>
      <c r="AU2695" s="3" t="str">
        <f>IF(Registered!AE2695=0,"",IF(Registered!AE2695=1,Registered!AE2695&amp;" Bandana",Registered!AE2695&amp;" Bandanas"))</f>
        <v/>
      </c>
      <c r="AV2695" s="3">
        <f t="shared" si="128"/>
        <v>0</v>
      </c>
      <c r="AW2695" s="2" t="str">
        <f>IF(Registered!AV2695=0,"",IF(Registered!AV2695=1,Registered!AV2695&amp;" Meal",Registered!AV2695&amp;" Meals"))</f>
        <v/>
      </c>
      <c r="AX2695" s="2" t="str">
        <f>IF(Registered!AI2695=0,"",Registered!AI2695&amp;" BG")</f>
        <v/>
      </c>
      <c r="AY2695" s="2" t="str">
        <f>IF(Registered!AG2695=0,"",Registered!AG2695&amp;" DustMask")</f>
        <v/>
      </c>
    </row>
    <row r="2696" spans="1:51" customFormat="1" x14ac:dyDescent="0.25">
      <c r="A2696" t="s">
        <v>6008</v>
      </c>
      <c r="B2696" t="s">
        <v>404</v>
      </c>
      <c r="C2696" t="s">
        <v>6090</v>
      </c>
      <c r="G2696" t="s">
        <v>166</v>
      </c>
      <c r="H2696" t="s">
        <v>404</v>
      </c>
      <c r="I2696" t="s">
        <v>6009</v>
      </c>
      <c r="J2696" t="s">
        <v>37</v>
      </c>
      <c r="K2696" t="s">
        <v>32</v>
      </c>
      <c r="L2696" t="s">
        <v>35</v>
      </c>
      <c r="AQ2696">
        <v>0</v>
      </c>
      <c r="AR2696" s="3">
        <f t="shared" si="126"/>
        <v>0</v>
      </c>
      <c r="AS2696" s="3">
        <f t="shared" si="127"/>
        <v>0</v>
      </c>
      <c r="AT2696" s="3" t="str">
        <f>IF(OR(Registered!AM2696&gt;0,Registered!AO2696&gt;0),(IF(Registered!E2696=0,"Size Not Specified",Registered!E2696)),"")</f>
        <v/>
      </c>
      <c r="AU2696" s="3" t="str">
        <f>IF(Registered!AE2696=0,"",IF(Registered!AE2696=1,Registered!AE2696&amp;" Bandana",Registered!AE2696&amp;" Bandanas"))</f>
        <v/>
      </c>
      <c r="AV2696" s="3">
        <f t="shared" si="128"/>
        <v>0</v>
      </c>
      <c r="AW2696" s="2" t="str">
        <f>IF(Registered!AV2696=0,"",IF(Registered!AV2696=1,Registered!AV2696&amp;" Meal",Registered!AV2696&amp;" Meals"))</f>
        <v/>
      </c>
      <c r="AX2696" s="2" t="str">
        <f>IF(Registered!AI2696=0,"",Registered!AI2696&amp;" BG")</f>
        <v/>
      </c>
      <c r="AY2696" s="2" t="str">
        <f>IF(Registered!AG2696=0,"",Registered!AG2696&amp;" DustMask")</f>
        <v/>
      </c>
    </row>
    <row r="2697" spans="1:51" customFormat="1" x14ac:dyDescent="0.25">
      <c r="A2697" t="s">
        <v>200</v>
      </c>
      <c r="B2697" t="s">
        <v>404</v>
      </c>
      <c r="C2697" t="s">
        <v>6090</v>
      </c>
      <c r="G2697" t="s">
        <v>78</v>
      </c>
      <c r="H2697" t="s">
        <v>470</v>
      </c>
      <c r="I2697" t="s">
        <v>1782</v>
      </c>
      <c r="J2697" t="s">
        <v>37</v>
      </c>
      <c r="K2697" t="s">
        <v>32</v>
      </c>
      <c r="L2697" t="s">
        <v>35</v>
      </c>
      <c r="AQ2697">
        <v>0</v>
      </c>
      <c r="AR2697" s="3">
        <f t="shared" si="126"/>
        <v>0</v>
      </c>
      <c r="AS2697" s="3">
        <f t="shared" si="127"/>
        <v>0</v>
      </c>
      <c r="AT2697" s="3" t="str">
        <f>IF(OR(Registered!AM2697&gt;0,Registered!AO2697&gt;0),(IF(Registered!E2697=0,"Size Not Specified",Registered!E2697)),"")</f>
        <v/>
      </c>
      <c r="AU2697" s="3" t="str">
        <f>IF(Registered!AE2697=0,"",IF(Registered!AE2697=1,Registered!AE2697&amp;" Bandana",Registered!AE2697&amp;" Bandanas"))</f>
        <v/>
      </c>
      <c r="AV2697" s="3">
        <f t="shared" si="128"/>
        <v>0</v>
      </c>
      <c r="AW2697" s="2" t="str">
        <f>IF(Registered!AV2697=0,"",IF(Registered!AV2697=1,Registered!AV2697&amp;" Meal",Registered!AV2697&amp;" Meals"))</f>
        <v/>
      </c>
      <c r="AX2697" s="2" t="str">
        <f>IF(Registered!AI2697=0,"",Registered!AI2697&amp;" BG")</f>
        <v/>
      </c>
      <c r="AY2697" s="2" t="str">
        <f>IF(Registered!AG2697=0,"",Registered!AG2697&amp;" DustMask")</f>
        <v/>
      </c>
    </row>
    <row r="2698" spans="1:51" customFormat="1" x14ac:dyDescent="0.25">
      <c r="A2698" t="s">
        <v>166</v>
      </c>
      <c r="B2698" t="s">
        <v>404</v>
      </c>
      <c r="C2698" t="s">
        <v>6090</v>
      </c>
      <c r="D2698" t="s">
        <v>6010</v>
      </c>
      <c r="F2698" t="s">
        <v>261</v>
      </c>
      <c r="I2698" t="s">
        <v>6009</v>
      </c>
      <c r="J2698" t="s">
        <v>37</v>
      </c>
      <c r="K2698" t="s">
        <v>32</v>
      </c>
      <c r="L2698" t="s">
        <v>35</v>
      </c>
      <c r="Q2698">
        <v>5</v>
      </c>
      <c r="R2698">
        <v>3</v>
      </c>
      <c r="U2698">
        <v>2</v>
      </c>
      <c r="V2698">
        <v>20</v>
      </c>
      <c r="AQ2698">
        <v>55</v>
      </c>
      <c r="AR2698" s="3">
        <f t="shared" si="126"/>
        <v>20</v>
      </c>
      <c r="AS2698" s="3">
        <f t="shared" si="127"/>
        <v>0</v>
      </c>
      <c r="AT2698" s="3" t="str">
        <f>IF(OR(Registered!AM2698&gt;0,Registered!AO2698&gt;0),(IF(Registered!E2698=0,"Size Not Specified",Registered!E2698)),"")</f>
        <v/>
      </c>
      <c r="AU2698" s="3" t="str">
        <f>IF(Registered!AE2698=0,"",IF(Registered!AE2698=1,Registered!AE2698&amp;" Bandana",Registered!AE2698&amp;" Bandanas"))</f>
        <v/>
      </c>
      <c r="AV2698" s="3">
        <f t="shared" si="128"/>
        <v>0</v>
      </c>
      <c r="AW2698" s="2" t="str">
        <f>IF(Registered!AV2698=0,"",IF(Registered!AV2698=1,Registered!AV2698&amp;" Meal",Registered!AV2698&amp;" Meals"))</f>
        <v/>
      </c>
      <c r="AX2698" s="2" t="str">
        <f>IF(Registered!AI2698=0,"",Registered!AI2698&amp;" BG")</f>
        <v/>
      </c>
      <c r="AY2698" s="2" t="str">
        <f>IF(Registered!AG2698=0,"",Registered!AG2698&amp;" DustMask")</f>
        <v/>
      </c>
    </row>
    <row r="2699" spans="1:51" customFormat="1" x14ac:dyDescent="0.25">
      <c r="A2699" t="s">
        <v>78</v>
      </c>
      <c r="B2699" t="s">
        <v>404</v>
      </c>
      <c r="C2699" t="s">
        <v>6090</v>
      </c>
      <c r="G2699" t="s">
        <v>165</v>
      </c>
      <c r="H2699" t="s">
        <v>404</v>
      </c>
      <c r="I2699" t="s">
        <v>5039</v>
      </c>
      <c r="J2699" t="s">
        <v>37</v>
      </c>
      <c r="K2699" t="s">
        <v>32</v>
      </c>
      <c r="L2699" t="s">
        <v>35</v>
      </c>
      <c r="AQ2699">
        <v>0</v>
      </c>
      <c r="AR2699" s="3">
        <f t="shared" si="126"/>
        <v>0</v>
      </c>
      <c r="AS2699" s="3">
        <f t="shared" si="127"/>
        <v>0</v>
      </c>
      <c r="AT2699" s="3" t="str">
        <f>IF(OR(Registered!AM2699&gt;0,Registered!AO2699&gt;0),(IF(Registered!E2699=0,"Size Not Specified",Registered!E2699)),"")</f>
        <v/>
      </c>
      <c r="AU2699" s="3" t="str">
        <f>IF(Registered!AE2699=0,"",IF(Registered!AE2699=1,Registered!AE2699&amp;" Bandana",Registered!AE2699&amp;" Bandanas"))</f>
        <v/>
      </c>
      <c r="AV2699" s="3">
        <f t="shared" si="128"/>
        <v>0</v>
      </c>
      <c r="AW2699" s="2" t="str">
        <f>IF(Registered!AV2699=0,"",IF(Registered!AV2699=1,Registered!AV2699&amp;" Meal",Registered!AV2699&amp;" Meals"))</f>
        <v/>
      </c>
      <c r="AX2699" s="2" t="str">
        <f>IF(Registered!AI2699=0,"",Registered!AI2699&amp;" BG")</f>
        <v/>
      </c>
      <c r="AY2699" s="2" t="str">
        <f>IF(Registered!AG2699=0,"",Registered!AG2699&amp;" DustMask")</f>
        <v/>
      </c>
    </row>
    <row r="2700" spans="1:51" customFormat="1" x14ac:dyDescent="0.25">
      <c r="A2700" t="s">
        <v>42</v>
      </c>
      <c r="B2700" t="s">
        <v>404</v>
      </c>
      <c r="C2700" t="s">
        <v>6090</v>
      </c>
      <c r="D2700" t="s">
        <v>2656</v>
      </c>
      <c r="I2700" t="s">
        <v>1404</v>
      </c>
      <c r="J2700" t="s">
        <v>37</v>
      </c>
      <c r="K2700" t="s">
        <v>32</v>
      </c>
      <c r="L2700" t="s">
        <v>35</v>
      </c>
      <c r="S2700">
        <v>3</v>
      </c>
      <c r="T2700">
        <v>3</v>
      </c>
      <c r="U2700">
        <v>2</v>
      </c>
      <c r="V2700">
        <v>20</v>
      </c>
      <c r="AK2700">
        <v>3</v>
      </c>
      <c r="AL2700">
        <v>6</v>
      </c>
      <c r="AQ2700">
        <v>67</v>
      </c>
      <c r="AR2700" s="3">
        <f t="shared" si="126"/>
        <v>20</v>
      </c>
      <c r="AS2700" s="3">
        <f t="shared" si="127"/>
        <v>0</v>
      </c>
      <c r="AT2700" s="3" t="str">
        <f>IF(OR(Registered!AM2700&gt;0,Registered!AO2700&gt;0),(IF(Registered!E2700=0,"Size Not Specified",Registered!E2700)),"")</f>
        <v/>
      </c>
      <c r="AU2700" s="3" t="str">
        <f>IF(Registered!AE2700=0,"",IF(Registered!AE2700=1,Registered!AE2700&amp;" Bandana",Registered!AE2700&amp;" Bandanas"))</f>
        <v/>
      </c>
      <c r="AV2700" s="3">
        <f t="shared" si="128"/>
        <v>3</v>
      </c>
      <c r="AW2700" s="2" t="str">
        <f>IF(Registered!AV2700=0,"",IF(Registered!AV2700=1,Registered!AV2700&amp;" Meal",Registered!AV2700&amp;" Meals"))</f>
        <v>3 Meals</v>
      </c>
      <c r="AX2700" s="2" t="str">
        <f>IF(Registered!AI2700=0,"",Registered!AI2700&amp;" BG")</f>
        <v/>
      </c>
      <c r="AY2700" s="2" t="str">
        <f>IF(Registered!AG2700=0,"",Registered!AG2700&amp;" DustMask")</f>
        <v/>
      </c>
    </row>
    <row r="2701" spans="1:51" customFormat="1" x14ac:dyDescent="0.25">
      <c r="A2701" t="s">
        <v>141</v>
      </c>
      <c r="B2701" t="s">
        <v>404</v>
      </c>
      <c r="C2701" t="s">
        <v>6090</v>
      </c>
      <c r="G2701" t="s">
        <v>166</v>
      </c>
      <c r="H2701" t="s">
        <v>404</v>
      </c>
      <c r="I2701" t="s">
        <v>6009</v>
      </c>
      <c r="J2701" t="s">
        <v>37</v>
      </c>
      <c r="K2701" t="s">
        <v>32</v>
      </c>
      <c r="L2701" t="s">
        <v>35</v>
      </c>
      <c r="AQ2701">
        <v>0</v>
      </c>
      <c r="AR2701" s="3">
        <f t="shared" si="126"/>
        <v>0</v>
      </c>
      <c r="AS2701" s="3">
        <f t="shared" si="127"/>
        <v>0</v>
      </c>
      <c r="AT2701" s="3" t="str">
        <f>IF(OR(Registered!AM2701&gt;0,Registered!AO2701&gt;0),(IF(Registered!E2701=0,"Size Not Specified",Registered!E2701)),"")</f>
        <v/>
      </c>
      <c r="AU2701" s="3" t="str">
        <f>IF(Registered!AE2701=0,"",IF(Registered!AE2701=1,Registered!AE2701&amp;" Bandana",Registered!AE2701&amp;" Bandanas"))</f>
        <v/>
      </c>
      <c r="AV2701" s="3">
        <f t="shared" si="128"/>
        <v>0</v>
      </c>
      <c r="AW2701" s="2" t="str">
        <f>IF(Registered!AV2701=0,"",IF(Registered!AV2701=1,Registered!AV2701&amp;" Meal",Registered!AV2701&amp;" Meals"))</f>
        <v/>
      </c>
      <c r="AX2701" s="2" t="str">
        <f>IF(Registered!AI2701=0,"",Registered!AI2701&amp;" BG")</f>
        <v/>
      </c>
      <c r="AY2701" s="2" t="str">
        <f>IF(Registered!AG2701=0,"",Registered!AG2701&amp;" DustMask")</f>
        <v/>
      </c>
    </row>
    <row r="2702" spans="1:51" customFormat="1" x14ac:dyDescent="0.25">
      <c r="A2702" t="s">
        <v>163</v>
      </c>
      <c r="B2702" t="s">
        <v>404</v>
      </c>
      <c r="C2702" t="s">
        <v>6090</v>
      </c>
      <c r="G2702" t="s">
        <v>166</v>
      </c>
      <c r="H2702" t="s">
        <v>404</v>
      </c>
      <c r="I2702" t="s">
        <v>6009</v>
      </c>
      <c r="J2702" t="s">
        <v>37</v>
      </c>
      <c r="K2702" t="s">
        <v>32</v>
      </c>
      <c r="L2702" t="s">
        <v>35</v>
      </c>
      <c r="AQ2702">
        <v>0</v>
      </c>
      <c r="AR2702" s="3">
        <f t="shared" si="126"/>
        <v>0</v>
      </c>
      <c r="AS2702" s="3">
        <f t="shared" si="127"/>
        <v>0</v>
      </c>
      <c r="AT2702" s="3" t="str">
        <f>IF(OR(Registered!AM2702&gt;0,Registered!AO2702&gt;0),(IF(Registered!E2702=0,"Size Not Specified",Registered!E2702)),"")</f>
        <v/>
      </c>
      <c r="AU2702" s="3" t="str">
        <f>IF(Registered!AE2702=0,"",IF(Registered!AE2702=1,Registered!AE2702&amp;" Bandana",Registered!AE2702&amp;" Bandanas"))</f>
        <v/>
      </c>
      <c r="AV2702" s="3">
        <f t="shared" si="128"/>
        <v>0</v>
      </c>
      <c r="AW2702" s="2" t="str">
        <f>IF(Registered!AV2702=0,"",IF(Registered!AV2702=1,Registered!AV2702&amp;" Meal",Registered!AV2702&amp;" Meals"))</f>
        <v/>
      </c>
      <c r="AX2702" s="2" t="str">
        <f>IF(Registered!AI2702=0,"",Registered!AI2702&amp;" BG")</f>
        <v/>
      </c>
      <c r="AY2702" s="2" t="str">
        <f>IF(Registered!AG2702=0,"",Registered!AG2702&amp;" DustMask")</f>
        <v/>
      </c>
    </row>
    <row r="2703" spans="1:51" customFormat="1" x14ac:dyDescent="0.25">
      <c r="A2703" t="s">
        <v>4608</v>
      </c>
      <c r="B2703" t="s">
        <v>404</v>
      </c>
      <c r="C2703" t="s">
        <v>6090</v>
      </c>
      <c r="G2703" t="s">
        <v>1030</v>
      </c>
      <c r="H2703" t="s">
        <v>218</v>
      </c>
      <c r="I2703" t="s">
        <v>4665</v>
      </c>
      <c r="J2703" t="s">
        <v>37</v>
      </c>
      <c r="K2703" t="s">
        <v>32</v>
      </c>
      <c r="L2703" t="s">
        <v>35</v>
      </c>
      <c r="AQ2703">
        <v>0</v>
      </c>
      <c r="AR2703" s="3">
        <f t="shared" si="126"/>
        <v>0</v>
      </c>
      <c r="AS2703" s="3">
        <f t="shared" si="127"/>
        <v>0</v>
      </c>
      <c r="AT2703" s="3" t="str">
        <f>IF(OR(Registered!AM2703&gt;0,Registered!AO2703&gt;0),(IF(Registered!E2703=0,"Size Not Specified",Registered!E2703)),"")</f>
        <v/>
      </c>
      <c r="AU2703" s="3" t="str">
        <f>IF(Registered!AE2703=0,"",IF(Registered!AE2703=1,Registered!AE2703&amp;" Bandana",Registered!AE2703&amp;" Bandanas"))</f>
        <v/>
      </c>
      <c r="AV2703" s="3">
        <f t="shared" si="128"/>
        <v>0</v>
      </c>
      <c r="AW2703" s="2" t="str">
        <f>IF(Registered!AV2703=0,"",IF(Registered!AV2703=1,Registered!AV2703&amp;" Meal",Registered!AV2703&amp;" Meals"))</f>
        <v/>
      </c>
      <c r="AX2703" s="2" t="str">
        <f>IF(Registered!AI2703=0,"",Registered!AI2703&amp;" BG")</f>
        <v/>
      </c>
      <c r="AY2703" s="2" t="str">
        <f>IF(Registered!AG2703=0,"",Registered!AG2703&amp;" DustMask")</f>
        <v/>
      </c>
    </row>
    <row r="2704" spans="1:51" customFormat="1" x14ac:dyDescent="0.25">
      <c r="A2704" t="s">
        <v>6011</v>
      </c>
      <c r="B2704" t="s">
        <v>404</v>
      </c>
      <c r="C2704" t="s">
        <v>6090</v>
      </c>
      <c r="G2704" t="s">
        <v>166</v>
      </c>
      <c r="H2704" t="s">
        <v>404</v>
      </c>
      <c r="I2704" t="s">
        <v>6009</v>
      </c>
      <c r="J2704" t="s">
        <v>37</v>
      </c>
      <c r="K2704" t="s">
        <v>32</v>
      </c>
      <c r="L2704" t="s">
        <v>35</v>
      </c>
      <c r="AQ2704">
        <v>0</v>
      </c>
      <c r="AR2704" s="3">
        <f t="shared" si="126"/>
        <v>0</v>
      </c>
      <c r="AS2704" s="3">
        <f t="shared" si="127"/>
        <v>0</v>
      </c>
      <c r="AT2704" s="3" t="str">
        <f>IF(OR(Registered!AM2704&gt;0,Registered!AO2704&gt;0),(IF(Registered!E2704=0,"Size Not Specified",Registered!E2704)),"")</f>
        <v/>
      </c>
      <c r="AU2704" s="3" t="str">
        <f>IF(Registered!AE2704=0,"",IF(Registered!AE2704=1,Registered!AE2704&amp;" Bandana",Registered!AE2704&amp;" Bandanas"))</f>
        <v/>
      </c>
      <c r="AV2704" s="3">
        <f t="shared" si="128"/>
        <v>0</v>
      </c>
      <c r="AW2704" s="2" t="str">
        <f>IF(Registered!AV2704=0,"",IF(Registered!AV2704=1,Registered!AV2704&amp;" Meal",Registered!AV2704&amp;" Meals"))</f>
        <v/>
      </c>
      <c r="AX2704" s="2" t="str">
        <f>IF(Registered!AI2704=0,"",Registered!AI2704&amp;" BG")</f>
        <v/>
      </c>
      <c r="AY2704" s="2" t="str">
        <f>IF(Registered!AG2704=0,"",Registered!AG2704&amp;" DustMask")</f>
        <v/>
      </c>
    </row>
    <row r="2705" spans="1:51" customFormat="1" x14ac:dyDescent="0.25">
      <c r="A2705" t="s">
        <v>3514</v>
      </c>
      <c r="B2705" t="s">
        <v>3515</v>
      </c>
      <c r="C2705" t="s">
        <v>6090</v>
      </c>
      <c r="D2705" t="s">
        <v>3516</v>
      </c>
      <c r="F2705" t="s">
        <v>261</v>
      </c>
      <c r="I2705" t="s">
        <v>3517</v>
      </c>
      <c r="J2705" t="s">
        <v>37</v>
      </c>
      <c r="K2705" t="s">
        <v>32</v>
      </c>
      <c r="L2705" t="s">
        <v>35</v>
      </c>
      <c r="Q2705">
        <v>1</v>
      </c>
      <c r="R2705">
        <v>3</v>
      </c>
      <c r="U2705">
        <v>1</v>
      </c>
      <c r="V2705">
        <v>20</v>
      </c>
      <c r="AQ2705">
        <v>23</v>
      </c>
      <c r="AR2705" s="3">
        <f t="shared" si="126"/>
        <v>10</v>
      </c>
      <c r="AS2705" s="3">
        <f t="shared" si="127"/>
        <v>0</v>
      </c>
      <c r="AT2705" s="3" t="str">
        <f>IF(OR(Registered!AM2705&gt;0,Registered!AO2705&gt;0),(IF(Registered!E2705=0,"Size Not Specified",Registered!E2705)),"")</f>
        <v/>
      </c>
      <c r="AU2705" s="3" t="str">
        <f>IF(Registered!AE2705=0,"",IF(Registered!AE2705=1,Registered!AE2705&amp;" Bandana",Registered!AE2705&amp;" Bandanas"))</f>
        <v/>
      </c>
      <c r="AV2705" s="3">
        <f t="shared" si="128"/>
        <v>0</v>
      </c>
      <c r="AW2705" s="2" t="str">
        <f>IF(Registered!AV2705=0,"",IF(Registered!AV2705=1,Registered!AV2705&amp;" Meal",Registered!AV2705&amp;" Meals"))</f>
        <v/>
      </c>
      <c r="AX2705" s="2" t="str">
        <f>IF(Registered!AI2705=0,"",Registered!AI2705&amp;" BG")</f>
        <v/>
      </c>
      <c r="AY2705" s="2" t="str">
        <f>IF(Registered!AG2705=0,"",Registered!AG2705&amp;" DustMask")</f>
        <v/>
      </c>
    </row>
    <row r="2706" spans="1:51" customFormat="1" x14ac:dyDescent="0.25">
      <c r="A2706" t="s">
        <v>1577</v>
      </c>
      <c r="B2706" t="s">
        <v>3518</v>
      </c>
      <c r="C2706" t="s">
        <v>6090</v>
      </c>
      <c r="G2706" t="s">
        <v>2982</v>
      </c>
      <c r="H2706" t="s">
        <v>218</v>
      </c>
      <c r="I2706" t="s">
        <v>2983</v>
      </c>
      <c r="J2706" t="s">
        <v>37</v>
      </c>
      <c r="K2706" t="s">
        <v>32</v>
      </c>
      <c r="L2706" t="s">
        <v>35</v>
      </c>
      <c r="AQ2706">
        <v>0</v>
      </c>
      <c r="AR2706" s="3">
        <f t="shared" si="126"/>
        <v>0</v>
      </c>
      <c r="AS2706" s="3">
        <f t="shared" si="127"/>
        <v>0</v>
      </c>
      <c r="AT2706" s="3" t="str">
        <f>IF(OR(Registered!AM2706&gt;0,Registered!AO2706&gt;0),(IF(Registered!E2706=0,"Size Not Specified",Registered!E2706)),"")</f>
        <v/>
      </c>
      <c r="AU2706" s="3" t="str">
        <f>IF(Registered!AE2706=0,"",IF(Registered!AE2706=1,Registered!AE2706&amp;" Bandana",Registered!AE2706&amp;" Bandanas"))</f>
        <v/>
      </c>
      <c r="AV2706" s="3">
        <f t="shared" si="128"/>
        <v>0</v>
      </c>
      <c r="AW2706" s="2" t="str">
        <f>IF(Registered!AV2706=0,"",IF(Registered!AV2706=1,Registered!AV2706&amp;" Meal",Registered!AV2706&amp;" Meals"))</f>
        <v/>
      </c>
      <c r="AX2706" s="2" t="str">
        <f>IF(Registered!AI2706=0,"",Registered!AI2706&amp;" BG")</f>
        <v/>
      </c>
      <c r="AY2706" s="2" t="str">
        <f>IF(Registered!AG2706=0,"",Registered!AG2706&amp;" DustMask")</f>
        <v/>
      </c>
    </row>
    <row r="2707" spans="1:51" customFormat="1" x14ac:dyDescent="0.25">
      <c r="A2707" t="s">
        <v>58</v>
      </c>
      <c r="B2707" t="s">
        <v>6012</v>
      </c>
      <c r="C2707" t="s">
        <v>6090</v>
      </c>
      <c r="G2707" t="s">
        <v>185</v>
      </c>
      <c r="H2707" t="s">
        <v>4282</v>
      </c>
      <c r="I2707" t="s">
        <v>4283</v>
      </c>
      <c r="J2707" t="s">
        <v>37</v>
      </c>
      <c r="K2707" t="s">
        <v>32</v>
      </c>
      <c r="L2707" t="s">
        <v>35</v>
      </c>
      <c r="AQ2707">
        <v>0</v>
      </c>
      <c r="AR2707" s="3">
        <f t="shared" si="126"/>
        <v>0</v>
      </c>
      <c r="AS2707" s="3">
        <f t="shared" si="127"/>
        <v>0</v>
      </c>
      <c r="AT2707" s="3" t="str">
        <f>IF(OR(Registered!AM2707&gt;0,Registered!AO2707&gt;0),(IF(Registered!E2707=0,"Size Not Specified",Registered!E2707)),"")</f>
        <v/>
      </c>
      <c r="AU2707" s="3" t="str">
        <f>IF(Registered!AE2707=0,"",IF(Registered!AE2707=1,Registered!AE2707&amp;" Bandana",Registered!AE2707&amp;" Bandanas"))</f>
        <v/>
      </c>
      <c r="AV2707" s="3">
        <f t="shared" si="128"/>
        <v>0</v>
      </c>
      <c r="AW2707" s="2" t="str">
        <f>IF(Registered!AV2707=0,"",IF(Registered!AV2707=1,Registered!AV2707&amp;" Meal",Registered!AV2707&amp;" Meals"))</f>
        <v/>
      </c>
      <c r="AX2707" s="2" t="str">
        <f>IF(Registered!AI2707=0,"",Registered!AI2707&amp;" BG")</f>
        <v/>
      </c>
      <c r="AY2707" s="2" t="str">
        <f>IF(Registered!AG2707=0,"",Registered!AG2707&amp;" DustMask")</f>
        <v/>
      </c>
    </row>
    <row r="2708" spans="1:51" customFormat="1" x14ac:dyDescent="0.25">
      <c r="A2708" t="s">
        <v>6013</v>
      </c>
      <c r="B2708" t="s">
        <v>6014</v>
      </c>
      <c r="C2708" t="s">
        <v>6090</v>
      </c>
      <c r="D2708" t="s">
        <v>6015</v>
      </c>
      <c r="F2708" t="s">
        <v>261</v>
      </c>
      <c r="I2708" t="s">
        <v>6016</v>
      </c>
      <c r="J2708" t="s">
        <v>37</v>
      </c>
      <c r="K2708" t="s">
        <v>32</v>
      </c>
      <c r="L2708" t="s">
        <v>35</v>
      </c>
      <c r="Q2708">
        <v>3</v>
      </c>
      <c r="R2708">
        <v>3</v>
      </c>
      <c r="U2708">
        <v>2</v>
      </c>
      <c r="V2708">
        <v>20</v>
      </c>
      <c r="AG2708">
        <v>1</v>
      </c>
      <c r="AH2708">
        <v>1</v>
      </c>
      <c r="AQ2708">
        <v>50</v>
      </c>
      <c r="AR2708" s="3">
        <f t="shared" si="126"/>
        <v>20</v>
      </c>
      <c r="AS2708" s="3">
        <f t="shared" si="127"/>
        <v>0</v>
      </c>
      <c r="AT2708" s="3" t="str">
        <f>IF(OR(Registered!AM2708&gt;0,Registered!AO2708&gt;0),(IF(Registered!E2708=0,"Size Not Specified",Registered!E2708)),"")</f>
        <v/>
      </c>
      <c r="AU2708" s="3" t="str">
        <f>IF(Registered!AE2708=0,"",IF(Registered!AE2708=1,Registered!AE2708&amp;" Bandana",Registered!AE2708&amp;" Bandanas"))</f>
        <v/>
      </c>
      <c r="AV2708" s="3">
        <f t="shared" si="128"/>
        <v>0</v>
      </c>
      <c r="AW2708" s="2" t="str">
        <f>IF(Registered!AV2708=0,"",IF(Registered!AV2708=1,Registered!AV2708&amp;" Meal",Registered!AV2708&amp;" Meals"))</f>
        <v/>
      </c>
      <c r="AX2708" s="2" t="str">
        <f>IF(Registered!AI2708=0,"",Registered!AI2708&amp;" BG")</f>
        <v/>
      </c>
      <c r="AY2708" s="2" t="str">
        <f>IF(Registered!AG2708=0,"",Registered!AG2708&amp;" DustMask")</f>
        <v>1 DustMask</v>
      </c>
    </row>
    <row r="2709" spans="1:51" customFormat="1" x14ac:dyDescent="0.25">
      <c r="A2709" t="s">
        <v>6017</v>
      </c>
      <c r="B2709" t="s">
        <v>6014</v>
      </c>
      <c r="C2709" t="s">
        <v>6090</v>
      </c>
      <c r="G2709" t="s">
        <v>6013</v>
      </c>
      <c r="H2709" t="s">
        <v>6014</v>
      </c>
      <c r="I2709" t="s">
        <v>6016</v>
      </c>
      <c r="J2709" t="s">
        <v>37</v>
      </c>
      <c r="K2709" t="s">
        <v>32</v>
      </c>
      <c r="L2709" t="s">
        <v>35</v>
      </c>
      <c r="AQ2709">
        <v>0</v>
      </c>
      <c r="AR2709" s="3">
        <f t="shared" si="126"/>
        <v>0</v>
      </c>
      <c r="AS2709" s="3">
        <f t="shared" si="127"/>
        <v>0</v>
      </c>
      <c r="AT2709" s="3" t="str">
        <f>IF(OR(Registered!AM2709&gt;0,Registered!AO2709&gt;0),(IF(Registered!E2709=0,"Size Not Specified",Registered!E2709)),"")</f>
        <v/>
      </c>
      <c r="AU2709" s="3" t="str">
        <f>IF(Registered!AE2709=0,"",IF(Registered!AE2709=1,Registered!AE2709&amp;" Bandana",Registered!AE2709&amp;" Bandanas"))</f>
        <v/>
      </c>
      <c r="AV2709" s="3">
        <f t="shared" si="128"/>
        <v>0</v>
      </c>
      <c r="AW2709" s="2" t="str">
        <f>IF(Registered!AV2709=0,"",IF(Registered!AV2709=1,Registered!AV2709&amp;" Meal",Registered!AV2709&amp;" Meals"))</f>
        <v/>
      </c>
      <c r="AX2709" s="2" t="str">
        <f>IF(Registered!AI2709=0,"",Registered!AI2709&amp;" BG")</f>
        <v/>
      </c>
      <c r="AY2709" s="2" t="str">
        <f>IF(Registered!AG2709=0,"",Registered!AG2709&amp;" DustMask")</f>
        <v/>
      </c>
    </row>
    <row r="2710" spans="1:51" customFormat="1" x14ac:dyDescent="0.25">
      <c r="A2710" t="s">
        <v>153</v>
      </c>
      <c r="B2710" t="s">
        <v>6014</v>
      </c>
      <c r="C2710" t="s">
        <v>6090</v>
      </c>
      <c r="G2710" t="s">
        <v>6013</v>
      </c>
      <c r="H2710" t="s">
        <v>6014</v>
      </c>
      <c r="I2710" t="s">
        <v>6016</v>
      </c>
      <c r="J2710" t="s">
        <v>37</v>
      </c>
      <c r="K2710" t="s">
        <v>32</v>
      </c>
      <c r="L2710" t="s">
        <v>35</v>
      </c>
      <c r="AQ2710">
        <v>0</v>
      </c>
      <c r="AR2710" s="3">
        <f t="shared" si="126"/>
        <v>0</v>
      </c>
      <c r="AS2710" s="3">
        <f t="shared" si="127"/>
        <v>0</v>
      </c>
      <c r="AT2710" s="3" t="str">
        <f>IF(OR(Registered!AM2710&gt;0,Registered!AO2710&gt;0),(IF(Registered!E2710=0,"Size Not Specified",Registered!E2710)),"")</f>
        <v/>
      </c>
      <c r="AU2710" s="3" t="str">
        <f>IF(Registered!AE2710=0,"",IF(Registered!AE2710=1,Registered!AE2710&amp;" Bandana",Registered!AE2710&amp;" Bandanas"))</f>
        <v/>
      </c>
      <c r="AV2710" s="3">
        <f t="shared" si="128"/>
        <v>0</v>
      </c>
      <c r="AW2710" s="2" t="str">
        <f>IF(Registered!AV2710=0,"",IF(Registered!AV2710=1,Registered!AV2710&amp;" Meal",Registered!AV2710&amp;" Meals"))</f>
        <v/>
      </c>
      <c r="AX2710" s="2" t="str">
        <f>IF(Registered!AI2710=0,"",Registered!AI2710&amp;" BG")</f>
        <v/>
      </c>
      <c r="AY2710" s="2" t="str">
        <f>IF(Registered!AG2710=0,"",Registered!AG2710&amp;" DustMask")</f>
        <v/>
      </c>
    </row>
    <row r="2711" spans="1:51" customFormat="1" x14ac:dyDescent="0.25">
      <c r="A2711" t="s">
        <v>6018</v>
      </c>
      <c r="B2711" t="s">
        <v>6019</v>
      </c>
      <c r="C2711" t="s">
        <v>6090</v>
      </c>
      <c r="F2711" t="s">
        <v>261</v>
      </c>
      <c r="I2711" t="s">
        <v>6020</v>
      </c>
      <c r="J2711" t="s">
        <v>37</v>
      </c>
      <c r="K2711" t="s">
        <v>32</v>
      </c>
      <c r="L2711" t="s">
        <v>35</v>
      </c>
      <c r="Q2711">
        <v>1</v>
      </c>
      <c r="R2711">
        <v>3</v>
      </c>
      <c r="AC2711">
        <v>1</v>
      </c>
      <c r="AD2711">
        <v>10</v>
      </c>
      <c r="AG2711">
        <v>1</v>
      </c>
      <c r="AH2711">
        <v>1</v>
      </c>
      <c r="AK2711">
        <v>1</v>
      </c>
      <c r="AL2711">
        <v>6</v>
      </c>
      <c r="AQ2711">
        <v>20</v>
      </c>
      <c r="AR2711" s="3">
        <f t="shared" si="126"/>
        <v>5</v>
      </c>
      <c r="AS2711" s="3">
        <f t="shared" si="127"/>
        <v>0</v>
      </c>
      <c r="AT2711" s="3" t="str">
        <f>IF(OR(Registered!AM2711&gt;0,Registered!AO2711&gt;0),(IF(Registered!E2711=0,"Size Not Specified",Registered!E2711)),"")</f>
        <v/>
      </c>
      <c r="AU2711" s="3" t="str">
        <f>IF(Registered!AE2711=0,"",IF(Registered!AE2711=1,Registered!AE2711&amp;" Bandana",Registered!AE2711&amp;" Bandanas"))</f>
        <v/>
      </c>
      <c r="AV2711" s="3">
        <f t="shared" si="128"/>
        <v>1</v>
      </c>
      <c r="AW2711" s="2" t="str">
        <f>IF(Registered!AV2711=0,"",IF(Registered!AV2711=1,Registered!AV2711&amp;" Meal",Registered!AV2711&amp;" Meals"))</f>
        <v>1 Meal</v>
      </c>
      <c r="AX2711" s="2" t="str">
        <f>IF(Registered!AI2711=0,"",Registered!AI2711&amp;" BG")</f>
        <v/>
      </c>
      <c r="AY2711" s="2" t="str">
        <f>IF(Registered!AG2711=0,"",Registered!AG2711&amp;" DustMask")</f>
        <v>1 DustMask</v>
      </c>
    </row>
    <row r="2712" spans="1:51" customFormat="1" x14ac:dyDescent="0.25">
      <c r="A2712" t="s">
        <v>5609</v>
      </c>
      <c r="B2712" t="s">
        <v>6021</v>
      </c>
      <c r="C2712" t="s">
        <v>6090</v>
      </c>
      <c r="G2712" t="s">
        <v>5257</v>
      </c>
      <c r="H2712" t="s">
        <v>204</v>
      </c>
      <c r="I2712" t="s">
        <v>5258</v>
      </c>
      <c r="J2712" t="s">
        <v>37</v>
      </c>
      <c r="K2712" t="s">
        <v>32</v>
      </c>
      <c r="L2712" t="s">
        <v>35</v>
      </c>
      <c r="AQ2712">
        <v>0</v>
      </c>
      <c r="AR2712" s="3">
        <f t="shared" si="126"/>
        <v>0</v>
      </c>
      <c r="AS2712" s="3">
        <f t="shared" si="127"/>
        <v>0</v>
      </c>
      <c r="AT2712" s="3" t="str">
        <f>IF(OR(Registered!AM2712&gt;0,Registered!AO2712&gt;0),(IF(Registered!E2712=0,"Size Not Specified",Registered!E2712)),"")</f>
        <v/>
      </c>
      <c r="AU2712" s="3" t="str">
        <f>IF(Registered!AE2712=0,"",IF(Registered!AE2712=1,Registered!AE2712&amp;" Bandana",Registered!AE2712&amp;" Bandanas"))</f>
        <v/>
      </c>
      <c r="AV2712" s="3">
        <f t="shared" si="128"/>
        <v>0</v>
      </c>
      <c r="AW2712" s="2" t="str">
        <f>IF(Registered!AV2712=0,"",IF(Registered!AV2712=1,Registered!AV2712&amp;" Meal",Registered!AV2712&amp;" Meals"))</f>
        <v/>
      </c>
      <c r="AX2712" s="2" t="str">
        <f>IF(Registered!AI2712=0,"",Registered!AI2712&amp;" BG")</f>
        <v/>
      </c>
      <c r="AY2712" s="2" t="str">
        <f>IF(Registered!AG2712=0,"",Registered!AG2712&amp;" DustMask")</f>
        <v/>
      </c>
    </row>
    <row r="2713" spans="1:51" customFormat="1" x14ac:dyDescent="0.25">
      <c r="A2713" t="s">
        <v>308</v>
      </c>
      <c r="B2713" t="s">
        <v>2658</v>
      </c>
      <c r="C2713" t="s">
        <v>6090</v>
      </c>
      <c r="G2713" t="s">
        <v>134</v>
      </c>
      <c r="H2713" t="s">
        <v>2658</v>
      </c>
      <c r="I2713" t="s">
        <v>2659</v>
      </c>
      <c r="J2713" t="s">
        <v>37</v>
      </c>
      <c r="K2713" t="s">
        <v>32</v>
      </c>
      <c r="L2713" t="s">
        <v>35</v>
      </c>
      <c r="AQ2713">
        <v>0</v>
      </c>
      <c r="AR2713" s="3">
        <f t="shared" si="126"/>
        <v>0</v>
      </c>
      <c r="AS2713" s="3">
        <f t="shared" si="127"/>
        <v>0</v>
      </c>
      <c r="AT2713" s="3" t="str">
        <f>IF(OR(Registered!AM2713&gt;0,Registered!AO2713&gt;0),(IF(Registered!E2713=0,"Size Not Specified",Registered!E2713)),"")</f>
        <v/>
      </c>
      <c r="AU2713" s="3" t="str">
        <f>IF(Registered!AE2713=0,"",IF(Registered!AE2713=1,Registered!AE2713&amp;" Bandana",Registered!AE2713&amp;" Bandanas"))</f>
        <v/>
      </c>
      <c r="AV2713" s="3">
        <f t="shared" si="128"/>
        <v>0</v>
      </c>
      <c r="AW2713" s="2" t="str">
        <f>IF(Registered!AV2713=0,"",IF(Registered!AV2713=1,Registered!AV2713&amp;" Meal",Registered!AV2713&amp;" Meals"))</f>
        <v/>
      </c>
      <c r="AX2713" s="2" t="str">
        <f>IF(Registered!AI2713=0,"",Registered!AI2713&amp;" BG")</f>
        <v/>
      </c>
      <c r="AY2713" s="2" t="str">
        <f>IF(Registered!AG2713=0,"",Registered!AG2713&amp;" DustMask")</f>
        <v/>
      </c>
    </row>
    <row r="2714" spans="1:51" customFormat="1" x14ac:dyDescent="0.25">
      <c r="A2714" t="s">
        <v>134</v>
      </c>
      <c r="B2714" t="s">
        <v>2658</v>
      </c>
      <c r="C2714" t="s">
        <v>6090</v>
      </c>
      <c r="D2714" t="s">
        <v>2660</v>
      </c>
      <c r="I2714" t="s">
        <v>2661</v>
      </c>
      <c r="J2714" t="s">
        <v>37</v>
      </c>
      <c r="K2714" t="s">
        <v>32</v>
      </c>
      <c r="L2714" t="s">
        <v>35</v>
      </c>
      <c r="M2714">
        <v>2</v>
      </c>
      <c r="N2714">
        <v>3</v>
      </c>
      <c r="AC2714">
        <v>1</v>
      </c>
      <c r="AD2714">
        <v>10</v>
      </c>
      <c r="AQ2714">
        <v>16</v>
      </c>
      <c r="AR2714" s="3">
        <f t="shared" si="126"/>
        <v>5</v>
      </c>
      <c r="AS2714" s="3">
        <f t="shared" si="127"/>
        <v>0</v>
      </c>
      <c r="AT2714" s="3" t="str">
        <f>IF(OR(Registered!AM2714&gt;0,Registered!AO2714&gt;0),(IF(Registered!E2714=0,"Size Not Specified",Registered!E2714)),"")</f>
        <v/>
      </c>
      <c r="AU2714" s="3" t="str">
        <f>IF(Registered!AE2714=0,"",IF(Registered!AE2714=1,Registered!AE2714&amp;" Bandana",Registered!AE2714&amp;" Bandanas"))</f>
        <v/>
      </c>
      <c r="AV2714" s="3">
        <f t="shared" si="128"/>
        <v>0</v>
      </c>
      <c r="AW2714" s="2" t="str">
        <f>IF(Registered!AV2714=0,"",IF(Registered!AV2714=1,Registered!AV2714&amp;" Meal",Registered!AV2714&amp;" Meals"))</f>
        <v/>
      </c>
      <c r="AX2714" s="2" t="str">
        <f>IF(Registered!AI2714=0,"",Registered!AI2714&amp;" BG")</f>
        <v/>
      </c>
      <c r="AY2714" s="2" t="str">
        <f>IF(Registered!AG2714=0,"",Registered!AG2714&amp;" DustMask")</f>
        <v/>
      </c>
    </row>
    <row r="2715" spans="1:51" customFormat="1" x14ac:dyDescent="0.25">
      <c r="A2715" t="s">
        <v>2715</v>
      </c>
      <c r="B2715" t="s">
        <v>183</v>
      </c>
      <c r="C2715" t="s">
        <v>6090</v>
      </c>
      <c r="K2715" t="s">
        <v>32</v>
      </c>
      <c r="U2715">
        <v>2</v>
      </c>
      <c r="V2715">
        <v>20</v>
      </c>
      <c r="AR2715" s="3">
        <f t="shared" si="126"/>
        <v>20</v>
      </c>
      <c r="AS2715" s="3">
        <f t="shared" si="127"/>
        <v>0</v>
      </c>
      <c r="AT2715" s="3" t="str">
        <f>IF(OR(Registered!AM2715&gt;0,Registered!AO2715&gt;0),(IF(Registered!E2715=0,"Size Not Specified",Registered!E2715)),"")</f>
        <v/>
      </c>
      <c r="AU2715" s="3" t="str">
        <f>IF(Registered!AE2715=0,"",IF(Registered!AE2715=1,Registered!AE2715&amp;" Bandana",Registered!AE2715&amp;" Bandanas"))</f>
        <v/>
      </c>
      <c r="AV2715" s="3">
        <f t="shared" si="128"/>
        <v>0</v>
      </c>
      <c r="AW2715" s="2" t="str">
        <f>IF(Registered!AV2715=0,"",IF(Registered!AV2715=1,Registered!AV2715&amp;" Meal",Registered!AV2715&amp;" Meals"))</f>
        <v/>
      </c>
      <c r="AX2715" s="2" t="str">
        <f>IF(Registered!AI2715=0,"",Registered!AI2715&amp;" BG")</f>
        <v/>
      </c>
      <c r="AY2715" s="2" t="str">
        <f>IF(Registered!AG2715=0,"",Registered!AG2715&amp;" DustMask")</f>
        <v/>
      </c>
    </row>
    <row r="2716" spans="1:51" customFormat="1" x14ac:dyDescent="0.25">
      <c r="A2716" t="s">
        <v>2806</v>
      </c>
      <c r="B2716" t="s">
        <v>2805</v>
      </c>
      <c r="C2716" t="s">
        <v>6090</v>
      </c>
      <c r="K2716" t="s">
        <v>32</v>
      </c>
      <c r="AR2716" s="3">
        <f t="shared" si="126"/>
        <v>0</v>
      </c>
      <c r="AS2716" s="3">
        <f t="shared" si="127"/>
        <v>0</v>
      </c>
      <c r="AT2716" s="3" t="str">
        <f>IF(OR(Registered!AM2716&gt;0,Registered!AO2716&gt;0),(IF(Registered!E2716=0,"Size Not Specified",Registered!E2716)),"")</f>
        <v/>
      </c>
      <c r="AU2716" s="3" t="str">
        <f>IF(Registered!AE2716=0,"",IF(Registered!AE2716=1,Registered!AE2716&amp;" Bandana",Registered!AE2716&amp;" Bandanas"))</f>
        <v/>
      </c>
      <c r="AV2716" s="3">
        <f t="shared" si="128"/>
        <v>0</v>
      </c>
      <c r="AW2716" s="2" t="str">
        <f>IF(Registered!AV2716=0,"",IF(Registered!AV2716=1,Registered!AV2716&amp;" Meal",Registered!AV2716&amp;" Meals"))</f>
        <v/>
      </c>
      <c r="AX2716" s="2" t="str">
        <f>IF(Registered!AI2716=0,"",Registered!AI2716&amp;" BG")</f>
        <v/>
      </c>
      <c r="AY2716" s="2" t="str">
        <f>IF(Registered!AG2716=0,"",Registered!AG2716&amp;" DustMask")</f>
        <v/>
      </c>
    </row>
    <row r="2717" spans="1:51" customFormat="1" x14ac:dyDescent="0.25">
      <c r="A2717" t="s">
        <v>73</v>
      </c>
      <c r="B2717" t="s">
        <v>2714</v>
      </c>
      <c r="C2717" t="s">
        <v>6090</v>
      </c>
      <c r="K2717" t="s">
        <v>32</v>
      </c>
      <c r="AR2717" s="3">
        <f t="shared" si="126"/>
        <v>0</v>
      </c>
      <c r="AS2717" s="3">
        <f t="shared" si="127"/>
        <v>0</v>
      </c>
      <c r="AT2717" s="3" t="str">
        <f>IF(OR(Registered!AM2717&gt;0,Registered!AO2717&gt;0),(IF(Registered!E2717=0,"Size Not Specified",Registered!E2717)),"")</f>
        <v/>
      </c>
      <c r="AU2717" s="3" t="str">
        <f>IF(Registered!AE2717=0,"",IF(Registered!AE2717=1,Registered!AE2717&amp;" Bandana",Registered!AE2717&amp;" Bandanas"))</f>
        <v/>
      </c>
      <c r="AV2717" s="3">
        <f t="shared" si="128"/>
        <v>0</v>
      </c>
      <c r="AW2717" s="2" t="str">
        <f>IF(Registered!AV2717=0,"",IF(Registered!AV2717=1,Registered!AV2717&amp;" Meal",Registered!AV2717&amp;" Meals"))</f>
        <v/>
      </c>
      <c r="AX2717" s="2" t="str">
        <f>IF(Registered!AI2717=0,"",Registered!AI2717&amp;" BG")</f>
        <v/>
      </c>
      <c r="AY2717" s="2" t="str">
        <f>IF(Registered!AG2717=0,"",Registered!AG2717&amp;" DustMask")</f>
        <v/>
      </c>
    </row>
    <row r="2718" spans="1:51" customFormat="1" x14ac:dyDescent="0.25">
      <c r="A2718" t="s">
        <v>6045</v>
      </c>
      <c r="B2718" t="s">
        <v>6046</v>
      </c>
      <c r="C2718" t="s">
        <v>6090</v>
      </c>
      <c r="K2718" t="s">
        <v>32</v>
      </c>
      <c r="AR2718" s="3">
        <f t="shared" si="126"/>
        <v>0</v>
      </c>
      <c r="AS2718" s="3">
        <f t="shared" si="127"/>
        <v>0</v>
      </c>
      <c r="AT2718" s="3" t="str">
        <f>IF(OR(Registered!AM2718&gt;0,Registered!AO2718&gt;0),(IF(Registered!E2718=0,"Size Not Specified",Registered!E2718)),"")</f>
        <v/>
      </c>
      <c r="AU2718" s="3" t="str">
        <f>IF(Registered!AE2718=0,"",IF(Registered!AE2718=1,Registered!AE2718&amp;" Bandana",Registered!AE2718&amp;" Bandanas"))</f>
        <v/>
      </c>
      <c r="AV2718" s="3">
        <f t="shared" si="128"/>
        <v>0</v>
      </c>
      <c r="AW2718" s="2" t="str">
        <f>IF(Registered!AV2718=0,"",IF(Registered!AV2718=1,Registered!AV2718&amp;" Meal",Registered!AV2718&amp;" Meals"))</f>
        <v/>
      </c>
      <c r="AX2718" s="2" t="str">
        <f>IF(Registered!AI2718=0,"",Registered!AI2718&amp;" BG")</f>
        <v/>
      </c>
      <c r="AY2718" s="2" t="str">
        <f>IF(Registered!AG2718=0,"",Registered!AG2718&amp;" DustMask")</f>
        <v/>
      </c>
    </row>
    <row r="2719" spans="1:51" customFormat="1" x14ac:dyDescent="0.25">
      <c r="A2719" t="s">
        <v>2715</v>
      </c>
      <c r="B2719" t="s">
        <v>183</v>
      </c>
      <c r="C2719" t="s">
        <v>6090</v>
      </c>
      <c r="K2719" t="s">
        <v>32</v>
      </c>
      <c r="AR2719" s="3">
        <f t="shared" si="126"/>
        <v>0</v>
      </c>
      <c r="AS2719" s="3">
        <f t="shared" si="127"/>
        <v>0</v>
      </c>
      <c r="AT2719" s="3" t="str">
        <f>IF(OR(Registered!AM2719&gt;0,Registered!AO2719&gt;0),(IF(Registered!E2719=0,"Size Not Specified",Registered!E2719)),"")</f>
        <v/>
      </c>
      <c r="AU2719" s="3" t="str">
        <f>IF(Registered!AE2719=0,"",IF(Registered!AE2719=1,Registered!AE2719&amp;" Bandana",Registered!AE2719&amp;" Bandanas"))</f>
        <v/>
      </c>
      <c r="AV2719" s="3">
        <f t="shared" si="128"/>
        <v>0</v>
      </c>
      <c r="AW2719" s="2" t="str">
        <f>IF(Registered!AV2719=0,"",IF(Registered!AV2719=1,Registered!AV2719&amp;" Meal",Registered!AV2719&amp;" Meals"))</f>
        <v/>
      </c>
      <c r="AX2719" s="2" t="str">
        <f>IF(Registered!AI2719=0,"",Registered!AI2719&amp;" BG")</f>
        <v/>
      </c>
      <c r="AY2719" s="2" t="str">
        <f>IF(Registered!AG2719=0,"",Registered!AG2719&amp;" DustMask")</f>
        <v/>
      </c>
    </row>
    <row r="2720" spans="1:51" customFormat="1" x14ac:dyDescent="0.25">
      <c r="A2720" t="s">
        <v>100</v>
      </c>
      <c r="B2720" t="s">
        <v>51</v>
      </c>
      <c r="C2720" t="s">
        <v>6090</v>
      </c>
      <c r="K2720" t="s">
        <v>32</v>
      </c>
      <c r="U2720">
        <v>1</v>
      </c>
      <c r="V2720">
        <v>20</v>
      </c>
      <c r="AR2720" s="3">
        <f t="shared" si="126"/>
        <v>10</v>
      </c>
      <c r="AS2720" s="3">
        <f t="shared" si="127"/>
        <v>0</v>
      </c>
      <c r="AT2720" s="3" t="str">
        <f>IF(OR(Registered!AM2720&gt;0,Registered!AO2720&gt;0),(IF(Registered!E2720=0,"Size Not Specified",Registered!E2720)),"")</f>
        <v/>
      </c>
      <c r="AU2720" s="3" t="str">
        <f>IF(Registered!AE2720=0,"",IF(Registered!AE2720=1,Registered!AE2720&amp;" Bandana",Registered!AE2720&amp;" Bandanas"))</f>
        <v/>
      </c>
      <c r="AV2720" s="3">
        <f t="shared" si="128"/>
        <v>0</v>
      </c>
      <c r="AW2720" s="2" t="str">
        <f>IF(Registered!AV2720=0,"",IF(Registered!AV2720=1,Registered!AV2720&amp;" Meal",Registered!AV2720&amp;" Meals"))</f>
        <v/>
      </c>
      <c r="AX2720" s="2" t="str">
        <f>IF(Registered!AI2720=0,"",Registered!AI2720&amp;" BG")</f>
        <v/>
      </c>
      <c r="AY2720" s="2" t="str">
        <f>IF(Registered!AG2720=0,"",Registered!AG2720&amp;" DustMask")</f>
        <v/>
      </c>
    </row>
    <row r="2721" spans="1:51" customFormat="1" x14ac:dyDescent="0.25">
      <c r="A2721" t="s">
        <v>418</v>
      </c>
      <c r="B2721" t="s">
        <v>6047</v>
      </c>
      <c r="C2721" t="s">
        <v>6090</v>
      </c>
      <c r="K2721" t="s">
        <v>32</v>
      </c>
      <c r="AR2721" s="3">
        <f t="shared" si="126"/>
        <v>0</v>
      </c>
      <c r="AS2721" s="3">
        <f t="shared" si="127"/>
        <v>0</v>
      </c>
      <c r="AT2721" s="3" t="str">
        <f>IF(OR(Registered!AM2721&gt;0,Registered!AO2721&gt;0),(IF(Registered!E2721=0,"Size Not Specified",Registered!E2721)),"")</f>
        <v/>
      </c>
      <c r="AU2721" s="3" t="str">
        <f>IF(Registered!AE2721=0,"",IF(Registered!AE2721=1,Registered!AE2721&amp;" Bandana",Registered!AE2721&amp;" Bandanas"))</f>
        <v/>
      </c>
      <c r="AV2721" s="3">
        <f t="shared" si="128"/>
        <v>0</v>
      </c>
      <c r="AW2721" s="2" t="str">
        <f>IF(Registered!AV2721=0,"",IF(Registered!AV2721=1,Registered!AV2721&amp;" Meal",Registered!AV2721&amp;" Meals"))</f>
        <v/>
      </c>
      <c r="AX2721" s="2" t="str">
        <f>IF(Registered!AI2721=0,"",Registered!AI2721&amp;" BG")</f>
        <v/>
      </c>
      <c r="AY2721" s="2" t="str">
        <f>IF(Registered!AG2721=0,"",Registered!AG2721&amp;" DustMask")</f>
        <v/>
      </c>
    </row>
    <row r="2722" spans="1:51" customFormat="1" x14ac:dyDescent="0.25">
      <c r="A2722" t="s">
        <v>184</v>
      </c>
      <c r="B2722" t="s">
        <v>6048</v>
      </c>
      <c r="C2722" t="s">
        <v>6090</v>
      </c>
      <c r="K2722" t="s">
        <v>32</v>
      </c>
      <c r="AC2722">
        <v>1</v>
      </c>
      <c r="AD2722">
        <v>10</v>
      </c>
      <c r="AR2722" s="3">
        <f t="shared" si="126"/>
        <v>5</v>
      </c>
      <c r="AS2722" s="3">
        <f t="shared" si="127"/>
        <v>0</v>
      </c>
      <c r="AT2722" s="3" t="str">
        <f>IF(OR(Registered!AM2722&gt;0,Registered!AO2722&gt;0),(IF(Registered!E2722=0,"Size Not Specified",Registered!E2722)),"")</f>
        <v/>
      </c>
      <c r="AU2722" s="3" t="str">
        <f>IF(Registered!AE2722=0,"",IF(Registered!AE2722=1,Registered!AE2722&amp;" Bandana",Registered!AE2722&amp;" Bandanas"))</f>
        <v/>
      </c>
      <c r="AV2722" s="3">
        <f t="shared" si="128"/>
        <v>0</v>
      </c>
      <c r="AW2722" s="2" t="str">
        <f>IF(Registered!AV2722=0,"",IF(Registered!AV2722=1,Registered!AV2722&amp;" Meal",Registered!AV2722&amp;" Meals"))</f>
        <v/>
      </c>
      <c r="AX2722" s="2" t="str">
        <f>IF(Registered!AI2722=0,"",Registered!AI2722&amp;" BG")</f>
        <v/>
      </c>
      <c r="AY2722" s="2" t="str">
        <f>IF(Registered!AG2722=0,"",Registered!AG2722&amp;" DustMask")</f>
        <v/>
      </c>
    </row>
    <row r="2723" spans="1:51" customFormat="1" x14ac:dyDescent="0.25">
      <c r="A2723" t="s">
        <v>6052</v>
      </c>
      <c r="B2723" t="s">
        <v>6051</v>
      </c>
      <c r="C2723" t="s">
        <v>6090</v>
      </c>
      <c r="K2723" t="s">
        <v>32</v>
      </c>
      <c r="AR2723" s="3">
        <f t="shared" si="126"/>
        <v>0</v>
      </c>
      <c r="AS2723" s="3">
        <f t="shared" si="127"/>
        <v>0</v>
      </c>
      <c r="AT2723" s="3" t="str">
        <f>IF(OR(Registered!AM2723&gt;0,Registered!AO2723&gt;0),(IF(Registered!E2723=0,"Size Not Specified",Registered!E2723)),"")</f>
        <v/>
      </c>
      <c r="AU2723" s="3" t="str">
        <f>IF(Registered!AE2723=0,"",IF(Registered!AE2723=1,Registered!AE2723&amp;" Bandana",Registered!AE2723&amp;" Bandanas"))</f>
        <v/>
      </c>
      <c r="AV2723" s="3">
        <f t="shared" si="128"/>
        <v>0</v>
      </c>
      <c r="AW2723" s="2" t="str">
        <f>IF(Registered!AV2723=0,"",IF(Registered!AV2723=1,Registered!AV2723&amp;" Meal",Registered!AV2723&amp;" Meals"))</f>
        <v/>
      </c>
      <c r="AX2723" s="2" t="str">
        <f>IF(Registered!AI2723=0,"",Registered!AI2723&amp;" BG")</f>
        <v/>
      </c>
      <c r="AY2723" s="2" t="str">
        <f>IF(Registered!AG2723=0,"",Registered!AG2723&amp;" DustMask")</f>
        <v/>
      </c>
    </row>
    <row r="2724" spans="1:51" customFormat="1" x14ac:dyDescent="0.25">
      <c r="A2724" t="s">
        <v>6056</v>
      </c>
      <c r="B2724" t="s">
        <v>6057</v>
      </c>
      <c r="C2724" t="s">
        <v>6090</v>
      </c>
      <c r="K2724" t="s">
        <v>32</v>
      </c>
      <c r="AK2724">
        <v>1</v>
      </c>
      <c r="AL2724">
        <v>6</v>
      </c>
      <c r="AM2724">
        <v>1</v>
      </c>
      <c r="AN2724">
        <v>25</v>
      </c>
      <c r="AR2724" s="3">
        <f t="shared" si="126"/>
        <v>5</v>
      </c>
      <c r="AS2724" s="3">
        <f t="shared" si="127"/>
        <v>1</v>
      </c>
      <c r="AT2724" s="3" t="str">
        <f>IF(OR(Registered!AM2724&gt;0,Registered!AO2724&gt;0),(IF(Registered!E2724=0,"Size Not Specified",Registered!E2724)),"")</f>
        <v>Size Not Specified</v>
      </c>
      <c r="AU2724" s="3" t="str">
        <f>IF(Registered!AE2724=0,"",IF(Registered!AE2724=1,Registered!AE2724&amp;" Bandana",Registered!AE2724&amp;" Bandanas"))</f>
        <v/>
      </c>
      <c r="AV2724" s="3">
        <f t="shared" si="128"/>
        <v>2</v>
      </c>
      <c r="AW2724" s="2" t="str">
        <f>IF(Registered!AV2724=0,"",IF(Registered!AV2724=1,Registered!AV2724&amp;" Meal",Registered!AV2724&amp;" Meals"))</f>
        <v>2 Meals</v>
      </c>
      <c r="AX2724" s="2" t="str">
        <f>IF(Registered!AI2724=0,"",Registered!AI2724&amp;" BG")</f>
        <v/>
      </c>
      <c r="AY2724" s="2" t="str">
        <f>IF(Registered!AG2724=0,"",Registered!AG2724&amp;" DustMask")</f>
        <v/>
      </c>
    </row>
    <row r="2725" spans="1:51" customFormat="1" x14ac:dyDescent="0.25">
      <c r="A2725" t="s">
        <v>61</v>
      </c>
      <c r="B2725" t="s">
        <v>2133</v>
      </c>
      <c r="C2725" t="s">
        <v>6090</v>
      </c>
      <c r="K2725" t="s">
        <v>32</v>
      </c>
      <c r="AR2725" s="3">
        <f t="shared" si="126"/>
        <v>0</v>
      </c>
      <c r="AS2725" s="3">
        <f t="shared" si="127"/>
        <v>0</v>
      </c>
      <c r="AT2725" s="3" t="str">
        <f>IF(OR(Registered!AM2725&gt;0,Registered!AO2725&gt;0),(IF(Registered!E2725=0,"Size Not Specified",Registered!E2725)),"")</f>
        <v/>
      </c>
      <c r="AU2725" s="3" t="str">
        <f>IF(Registered!AE2725=0,"",IF(Registered!AE2725=1,Registered!AE2725&amp;" Bandana",Registered!AE2725&amp;" Bandanas"))</f>
        <v/>
      </c>
      <c r="AV2725" s="3">
        <f t="shared" si="128"/>
        <v>0</v>
      </c>
      <c r="AW2725" s="2" t="str">
        <f>IF(Registered!AV2725=0,"",IF(Registered!AV2725=1,Registered!AV2725&amp;" Meal",Registered!AV2725&amp;" Meals"))</f>
        <v/>
      </c>
      <c r="AX2725" s="2" t="str">
        <f>IF(Registered!AI2725=0,"",Registered!AI2725&amp;" BG")</f>
        <v/>
      </c>
      <c r="AY2725" s="2" t="str">
        <f>IF(Registered!AG2725=0,"",Registered!AG2725&amp;" DustMask")</f>
        <v/>
      </c>
    </row>
    <row r="2726" spans="1:51" customFormat="1" x14ac:dyDescent="0.25">
      <c r="A2726" t="s">
        <v>6058</v>
      </c>
      <c r="B2726" t="s">
        <v>6059</v>
      </c>
      <c r="C2726" t="s">
        <v>6090</v>
      </c>
      <c r="E2726" t="s">
        <v>6072</v>
      </c>
      <c r="K2726" t="s">
        <v>32</v>
      </c>
      <c r="AC2726">
        <v>2</v>
      </c>
      <c r="AD2726">
        <v>20</v>
      </c>
      <c r="AK2726">
        <v>2</v>
      </c>
      <c r="AL2726">
        <v>12</v>
      </c>
      <c r="AM2726">
        <v>5</v>
      </c>
      <c r="AN2726">
        <v>125</v>
      </c>
      <c r="AO2726">
        <v>2</v>
      </c>
      <c r="AR2726" s="3">
        <f t="shared" si="126"/>
        <v>35</v>
      </c>
      <c r="AS2726" s="3">
        <f t="shared" si="127"/>
        <v>7</v>
      </c>
      <c r="AT2726" s="3" t="str">
        <f>IF(OR(Registered!AM2726&gt;0,Registered!AO2726&gt;0),(IF(Registered!E2726=0,"Size Not Specified",Registered!E2726)),"")</f>
        <v>4M, 2L, 2XL</v>
      </c>
      <c r="AU2726" s="3" t="str">
        <f>IF(Registered!AE2726=0,"",IF(Registered!AE2726=1,Registered!AE2726&amp;" Bandana",Registered!AE2726&amp;" Bandanas"))</f>
        <v/>
      </c>
      <c r="AV2726" s="3">
        <f t="shared" si="128"/>
        <v>7</v>
      </c>
      <c r="AW2726" s="2" t="str">
        <f>IF(Registered!AV2726=0,"",IF(Registered!AV2726=1,Registered!AV2726&amp;" Meal",Registered!AV2726&amp;" Meals"))</f>
        <v>7 Meals</v>
      </c>
      <c r="AX2726" s="2" t="str">
        <f>IF(Registered!AI2726=0,"",Registered!AI2726&amp;" BG")</f>
        <v/>
      </c>
      <c r="AY2726" s="2" t="str">
        <f>IF(Registered!AG2726=0,"",Registered!AG2726&amp;" DustMask")</f>
        <v/>
      </c>
    </row>
    <row r="2727" spans="1:51" customFormat="1" x14ac:dyDescent="0.25">
      <c r="A2727" t="s">
        <v>6060</v>
      </c>
      <c r="B2727" t="s">
        <v>6061</v>
      </c>
      <c r="C2727" t="s">
        <v>6090</v>
      </c>
      <c r="K2727" t="s">
        <v>32</v>
      </c>
      <c r="AR2727" s="3">
        <f t="shared" si="126"/>
        <v>0</v>
      </c>
      <c r="AS2727" s="3">
        <f t="shared" si="127"/>
        <v>0</v>
      </c>
      <c r="AT2727" s="3" t="str">
        <f>IF(OR(Registered!AM2727&gt;0,Registered!AO2727&gt;0),(IF(Registered!E2727=0,"Size Not Specified",Registered!E2727)),"")</f>
        <v/>
      </c>
      <c r="AU2727" s="3" t="str">
        <f>IF(Registered!AE2727=0,"",IF(Registered!AE2727=1,Registered!AE2727&amp;" Bandana",Registered!AE2727&amp;" Bandanas"))</f>
        <v/>
      </c>
      <c r="AV2727" s="3">
        <f t="shared" si="128"/>
        <v>0</v>
      </c>
      <c r="AW2727" s="2" t="str">
        <f>IF(Registered!AV2727=0,"",IF(Registered!AV2727=1,Registered!AV2727&amp;" Meal",Registered!AV2727&amp;" Meals"))</f>
        <v/>
      </c>
      <c r="AX2727" s="2" t="str">
        <f>IF(Registered!AI2727=0,"",Registered!AI2727&amp;" BG")</f>
        <v/>
      </c>
      <c r="AY2727" s="2" t="str">
        <f>IF(Registered!AG2727=0,"",Registered!AG2727&amp;" DustMask")</f>
        <v/>
      </c>
    </row>
    <row r="2728" spans="1:51" customFormat="1" x14ac:dyDescent="0.25">
      <c r="A2728" t="s">
        <v>6062</v>
      </c>
      <c r="B2728" t="s">
        <v>6063</v>
      </c>
      <c r="C2728" t="s">
        <v>6090</v>
      </c>
      <c r="K2728" t="s">
        <v>32</v>
      </c>
      <c r="AR2728" s="3">
        <f t="shared" si="126"/>
        <v>0</v>
      </c>
      <c r="AS2728" s="3">
        <f t="shared" si="127"/>
        <v>0</v>
      </c>
      <c r="AT2728" s="3" t="str">
        <f>IF(OR(Registered!AM2728&gt;0,Registered!AO2728&gt;0),(IF(Registered!E2728=0,"Size Not Specified",Registered!E2728)),"")</f>
        <v/>
      </c>
      <c r="AU2728" s="3" t="str">
        <f>IF(Registered!AE2728=0,"",IF(Registered!AE2728=1,Registered!AE2728&amp;" Bandana",Registered!AE2728&amp;" Bandanas"))</f>
        <v/>
      </c>
      <c r="AV2728" s="3">
        <f t="shared" si="128"/>
        <v>0</v>
      </c>
      <c r="AW2728" s="2" t="str">
        <f>IF(Registered!AV2728=0,"",IF(Registered!AV2728=1,Registered!AV2728&amp;" Meal",Registered!AV2728&amp;" Meals"))</f>
        <v/>
      </c>
      <c r="AX2728" s="2" t="str">
        <f>IF(Registered!AI2728=0,"",Registered!AI2728&amp;" BG")</f>
        <v/>
      </c>
      <c r="AY2728" s="2" t="str">
        <f>IF(Registered!AG2728=0,"",Registered!AG2728&amp;" DustMask")</f>
        <v/>
      </c>
    </row>
    <row r="2729" spans="1:51" customFormat="1" x14ac:dyDescent="0.25">
      <c r="A2729" t="s">
        <v>6064</v>
      </c>
      <c r="B2729" t="s">
        <v>6065</v>
      </c>
      <c r="C2729" t="s">
        <v>6090</v>
      </c>
      <c r="K2729" t="s">
        <v>32</v>
      </c>
      <c r="AR2729" s="3">
        <f t="shared" si="126"/>
        <v>0</v>
      </c>
      <c r="AS2729" s="3">
        <f t="shared" si="127"/>
        <v>0</v>
      </c>
      <c r="AT2729" s="3" t="str">
        <f>IF(OR(Registered!AM2729&gt;0,Registered!AO2729&gt;0),(IF(Registered!E2729=0,"Size Not Specified",Registered!E2729)),"")</f>
        <v/>
      </c>
      <c r="AU2729" s="3" t="str">
        <f>IF(Registered!AE2729=0,"",IF(Registered!AE2729=1,Registered!AE2729&amp;" Bandana",Registered!AE2729&amp;" Bandanas"))</f>
        <v/>
      </c>
      <c r="AV2729" s="3">
        <f t="shared" si="128"/>
        <v>0</v>
      </c>
      <c r="AW2729" s="2" t="str">
        <f>IF(Registered!AV2729=0,"",IF(Registered!AV2729=1,Registered!AV2729&amp;" Meal",Registered!AV2729&amp;" Meals"))</f>
        <v/>
      </c>
      <c r="AX2729" s="2" t="str">
        <f>IF(Registered!AI2729=0,"",Registered!AI2729&amp;" BG")</f>
        <v/>
      </c>
      <c r="AY2729" s="2" t="str">
        <f>IF(Registered!AG2729=0,"",Registered!AG2729&amp;" DustMask")</f>
        <v/>
      </c>
    </row>
    <row r="2730" spans="1:51" customFormat="1" x14ac:dyDescent="0.25">
      <c r="A2730" t="s">
        <v>6066</v>
      </c>
      <c r="B2730" t="s">
        <v>6067</v>
      </c>
      <c r="C2730" t="s">
        <v>6090</v>
      </c>
      <c r="K2730" t="s">
        <v>32</v>
      </c>
      <c r="AR2730" s="3">
        <f t="shared" si="126"/>
        <v>0</v>
      </c>
      <c r="AS2730" s="3">
        <f t="shared" si="127"/>
        <v>0</v>
      </c>
      <c r="AT2730" s="3" t="str">
        <f>IF(OR(Registered!AM2730&gt;0,Registered!AO2730&gt;0),(IF(Registered!E2730=0,"Size Not Specified",Registered!E2730)),"")</f>
        <v/>
      </c>
      <c r="AU2730" s="3" t="str">
        <f>IF(Registered!AE2730=0,"",IF(Registered!AE2730=1,Registered!AE2730&amp;" Bandana",Registered!AE2730&amp;" Bandanas"))</f>
        <v/>
      </c>
      <c r="AV2730" s="3">
        <f t="shared" si="128"/>
        <v>0</v>
      </c>
      <c r="AW2730" s="2" t="str">
        <f>IF(Registered!AV2730=0,"",IF(Registered!AV2730=1,Registered!AV2730&amp;" Meal",Registered!AV2730&amp;" Meals"))</f>
        <v/>
      </c>
      <c r="AX2730" s="2" t="str">
        <f>IF(Registered!AI2730=0,"",Registered!AI2730&amp;" BG")</f>
        <v/>
      </c>
      <c r="AY2730" s="2" t="str">
        <f>IF(Registered!AG2730=0,"",Registered!AG2730&amp;" DustMask")</f>
        <v/>
      </c>
    </row>
    <row r="2731" spans="1:51" customFormat="1" x14ac:dyDescent="0.25">
      <c r="A2731" t="s">
        <v>6069</v>
      </c>
      <c r="B2731" t="s">
        <v>6068</v>
      </c>
      <c r="C2731" t="s">
        <v>6090</v>
      </c>
      <c r="K2731" t="s">
        <v>32</v>
      </c>
      <c r="AR2731" s="3">
        <f t="shared" si="126"/>
        <v>0</v>
      </c>
      <c r="AS2731" s="3">
        <f t="shared" si="127"/>
        <v>0</v>
      </c>
      <c r="AT2731" s="3" t="str">
        <f>IF(OR(Registered!AM2731&gt;0,Registered!AO2731&gt;0),(IF(Registered!E2731=0,"Size Not Specified",Registered!E2731)),"")</f>
        <v/>
      </c>
      <c r="AU2731" s="3" t="str">
        <f>IF(Registered!AE2731=0,"",IF(Registered!AE2731=1,Registered!AE2731&amp;" Bandana",Registered!AE2731&amp;" Bandanas"))</f>
        <v/>
      </c>
      <c r="AV2731" s="3">
        <f t="shared" si="128"/>
        <v>0</v>
      </c>
      <c r="AW2731" s="2" t="str">
        <f>IF(Registered!AV2731=0,"",IF(Registered!AV2731=1,Registered!AV2731&amp;" Meal",Registered!AV2731&amp;" Meals"))</f>
        <v/>
      </c>
      <c r="AX2731" s="2" t="str">
        <f>IF(Registered!AI2731=0,"",Registered!AI2731&amp;" BG")</f>
        <v/>
      </c>
      <c r="AY2731" s="2" t="str">
        <f>IF(Registered!AG2731=0,"",Registered!AG2731&amp;" DustMask")</f>
        <v/>
      </c>
    </row>
    <row r="2732" spans="1:51" customFormat="1" x14ac:dyDescent="0.25">
      <c r="A2732" t="s">
        <v>6071</v>
      </c>
      <c r="B2732" t="s">
        <v>6070</v>
      </c>
      <c r="C2732" t="s">
        <v>6090</v>
      </c>
      <c r="K2732" t="s">
        <v>32</v>
      </c>
      <c r="AR2732" s="3">
        <f t="shared" si="126"/>
        <v>0</v>
      </c>
      <c r="AS2732" s="3">
        <f t="shared" si="127"/>
        <v>0</v>
      </c>
      <c r="AT2732" s="3" t="str">
        <f>IF(OR(Registered!AM2732&gt;0,Registered!AO2732&gt;0),(IF(Registered!E2732=0,"Size Not Specified",Registered!E2732)),"")</f>
        <v/>
      </c>
      <c r="AU2732" s="3" t="str">
        <f>IF(Registered!AE2732=0,"",IF(Registered!AE2732=1,Registered!AE2732&amp;" Bandana",Registered!AE2732&amp;" Bandanas"))</f>
        <v/>
      </c>
      <c r="AV2732" s="3">
        <f t="shared" si="128"/>
        <v>0</v>
      </c>
      <c r="AW2732" s="2" t="str">
        <f>IF(Registered!AV2732=0,"",IF(Registered!AV2732=1,Registered!AV2732&amp;" Meal",Registered!AV2732&amp;" Meals"))</f>
        <v/>
      </c>
      <c r="AX2732" s="2" t="str">
        <f>IF(Registered!AI2732=0,"",Registered!AI2732&amp;" BG")</f>
        <v/>
      </c>
      <c r="AY2732" s="2" t="str">
        <f>IF(Registered!AG2732=0,"",Registered!AG2732&amp;" DustMask")</f>
        <v/>
      </c>
    </row>
    <row r="2733" spans="1:51" customFormat="1" x14ac:dyDescent="0.25">
      <c r="A2733" t="s">
        <v>6073</v>
      </c>
      <c r="B2733" t="s">
        <v>6074</v>
      </c>
      <c r="C2733" t="s">
        <v>6090</v>
      </c>
      <c r="K2733" t="s">
        <v>32</v>
      </c>
      <c r="AC2733">
        <v>1</v>
      </c>
      <c r="AD2733">
        <v>10</v>
      </c>
      <c r="AE2733">
        <v>1</v>
      </c>
      <c r="AM2733">
        <v>1</v>
      </c>
      <c r="AN2733">
        <v>25</v>
      </c>
      <c r="AR2733" s="3">
        <f t="shared" si="126"/>
        <v>10</v>
      </c>
      <c r="AS2733" s="3">
        <f t="shared" si="127"/>
        <v>1</v>
      </c>
      <c r="AT2733" s="3" t="str">
        <f>IF(OR(Registered!AM2733&gt;0,Registered!AO2733&gt;0),(IF(Registered!E2733=0,"Size Not Specified",Registered!E2733)),"")</f>
        <v>Size Not Specified</v>
      </c>
      <c r="AU2733" s="3" t="str">
        <f>IF(Registered!AE2733=0,"",IF(Registered!AE2733=1,Registered!AE2733&amp;" Bandana",Registered!AE2733&amp;" Bandanas"))</f>
        <v>1 Bandana</v>
      </c>
      <c r="AV2733" s="3">
        <f t="shared" si="128"/>
        <v>1</v>
      </c>
      <c r="AW2733" s="2" t="str">
        <f>IF(Registered!AV2733=0,"",IF(Registered!AV2733=1,Registered!AV2733&amp;" Meal",Registered!AV2733&amp;" Meals"))</f>
        <v>1 Meal</v>
      </c>
      <c r="AX2733" s="2" t="str">
        <f>IF(Registered!AI2733=0,"",Registered!AI2733&amp;" BG")</f>
        <v/>
      </c>
      <c r="AY2733" s="2" t="str">
        <f>IF(Registered!AG2733=0,"",Registered!AG2733&amp;" DustMask")</f>
        <v/>
      </c>
    </row>
    <row r="2734" spans="1:51" customFormat="1" x14ac:dyDescent="0.25">
      <c r="A2734" t="s">
        <v>6075</v>
      </c>
      <c r="B2734" t="s">
        <v>6076</v>
      </c>
      <c r="C2734" t="s">
        <v>6090</v>
      </c>
      <c r="K2734" t="s">
        <v>32</v>
      </c>
      <c r="AR2734" s="3">
        <f t="shared" si="126"/>
        <v>0</v>
      </c>
      <c r="AS2734" s="3">
        <f t="shared" si="127"/>
        <v>0</v>
      </c>
      <c r="AT2734" s="3" t="str">
        <f>IF(OR(Registered!AM2734&gt;0,Registered!AO2734&gt;0),(IF(Registered!E2734=0,"Size Not Specified",Registered!E2734)),"")</f>
        <v/>
      </c>
      <c r="AU2734" s="3" t="str">
        <f>IF(Registered!AE2734=0,"",IF(Registered!AE2734=1,Registered!AE2734&amp;" Bandana",Registered!AE2734&amp;" Bandanas"))</f>
        <v/>
      </c>
      <c r="AV2734" s="3">
        <f t="shared" si="128"/>
        <v>0</v>
      </c>
      <c r="AW2734" s="2" t="str">
        <f>IF(Registered!AV2734=0,"",IF(Registered!AV2734=1,Registered!AV2734&amp;" Meal",Registered!AV2734&amp;" Meals"))</f>
        <v/>
      </c>
      <c r="AX2734" s="2" t="str">
        <f>IF(Registered!AI2734=0,"",Registered!AI2734&amp;" BG")</f>
        <v/>
      </c>
      <c r="AY2734" s="2" t="str">
        <f>IF(Registered!AG2734=0,"",Registered!AG2734&amp;" DustMask")</f>
        <v/>
      </c>
    </row>
    <row r="2735" spans="1:51" customFormat="1" x14ac:dyDescent="0.25">
      <c r="A2735" t="s">
        <v>614</v>
      </c>
      <c r="B2735" t="s">
        <v>6074</v>
      </c>
      <c r="C2735" t="s">
        <v>6090</v>
      </c>
      <c r="K2735" t="s">
        <v>32</v>
      </c>
      <c r="AR2735" s="3">
        <f t="shared" si="126"/>
        <v>0</v>
      </c>
      <c r="AS2735" s="3">
        <f t="shared" si="127"/>
        <v>0</v>
      </c>
      <c r="AT2735" s="3" t="str">
        <f>IF(OR(Registered!AM2735&gt;0,Registered!AO2735&gt;0),(IF(Registered!E2735=0,"Size Not Specified",Registered!E2735)),"")</f>
        <v/>
      </c>
      <c r="AU2735" s="3" t="str">
        <f>IF(Registered!AE2735=0,"",IF(Registered!AE2735=1,Registered!AE2735&amp;" Bandana",Registered!AE2735&amp;" Bandanas"))</f>
        <v/>
      </c>
      <c r="AV2735" s="3">
        <f t="shared" si="128"/>
        <v>0</v>
      </c>
      <c r="AW2735" s="2" t="str">
        <f>IF(Registered!AV2735=0,"",IF(Registered!AV2735=1,Registered!AV2735&amp;" Meal",Registered!AV2735&amp;" Meals"))</f>
        <v/>
      </c>
      <c r="AX2735" s="2" t="str">
        <f>IF(Registered!AI2735=0,"",Registered!AI2735&amp;" BG")</f>
        <v/>
      </c>
      <c r="AY2735" s="2" t="str">
        <f>IF(Registered!AG2735=0,"",Registered!AG2735&amp;" DustMask")</f>
        <v/>
      </c>
    </row>
    <row r="2736" spans="1:51" customFormat="1" x14ac:dyDescent="0.25">
      <c r="A2736" t="s">
        <v>6077</v>
      </c>
      <c r="B2736" t="s">
        <v>1397</v>
      </c>
      <c r="C2736" t="s">
        <v>6090</v>
      </c>
      <c r="K2736" t="s">
        <v>32</v>
      </c>
      <c r="AR2736" s="3">
        <f t="shared" si="126"/>
        <v>0</v>
      </c>
      <c r="AS2736" s="3">
        <f t="shared" si="127"/>
        <v>0</v>
      </c>
      <c r="AT2736" s="3" t="str">
        <f>IF(OR(Registered!AM2736&gt;0,Registered!AO2736&gt;0),(IF(Registered!E2736=0,"Size Not Specified",Registered!E2736)),"")</f>
        <v/>
      </c>
      <c r="AU2736" s="3" t="str">
        <f>IF(Registered!AE2736=0,"",IF(Registered!AE2736=1,Registered!AE2736&amp;" Bandana",Registered!AE2736&amp;" Bandanas"))</f>
        <v/>
      </c>
      <c r="AV2736" s="3">
        <f t="shared" si="128"/>
        <v>0</v>
      </c>
      <c r="AW2736" s="2" t="str">
        <f>IF(Registered!AV2736=0,"",IF(Registered!AV2736=1,Registered!AV2736&amp;" Meal",Registered!AV2736&amp;" Meals"))</f>
        <v/>
      </c>
      <c r="AX2736" s="2" t="str">
        <f>IF(Registered!AI2736=0,"",Registered!AI2736&amp;" BG")</f>
        <v/>
      </c>
      <c r="AY2736" s="2" t="str">
        <f>IF(Registered!AG2736=0,"",Registered!AG2736&amp;" DustMask")</f>
        <v/>
      </c>
    </row>
    <row r="2737" spans="1:51" customFormat="1" x14ac:dyDescent="0.25">
      <c r="A2737" t="s">
        <v>4154</v>
      </c>
      <c r="B2737" t="s">
        <v>6078</v>
      </c>
      <c r="C2737" t="s">
        <v>6090</v>
      </c>
      <c r="K2737" t="s">
        <v>32</v>
      </c>
      <c r="AR2737" s="3">
        <f t="shared" si="126"/>
        <v>0</v>
      </c>
      <c r="AS2737" s="3">
        <f t="shared" si="127"/>
        <v>0</v>
      </c>
      <c r="AT2737" s="3" t="str">
        <f>IF(OR(Registered!AM2737&gt;0,Registered!AO2737&gt;0),(IF(Registered!E2737=0,"Size Not Specified",Registered!E2737)),"")</f>
        <v/>
      </c>
      <c r="AU2737" s="3" t="str">
        <f>IF(Registered!AE2737=0,"",IF(Registered!AE2737=1,Registered!AE2737&amp;" Bandana",Registered!AE2737&amp;" Bandanas"))</f>
        <v/>
      </c>
      <c r="AV2737" s="3">
        <f t="shared" si="128"/>
        <v>0</v>
      </c>
      <c r="AW2737" s="2" t="str">
        <f>IF(Registered!AV2737=0,"",IF(Registered!AV2737=1,Registered!AV2737&amp;" Meal",Registered!AV2737&amp;" Meals"))</f>
        <v/>
      </c>
      <c r="AX2737" s="2" t="str">
        <f>IF(Registered!AI2737=0,"",Registered!AI2737&amp;" BG")</f>
        <v/>
      </c>
      <c r="AY2737" s="2" t="str">
        <f>IF(Registered!AG2737=0,"",Registered!AG2737&amp;" DustMask")</f>
        <v/>
      </c>
    </row>
    <row r="2738" spans="1:51" customFormat="1" x14ac:dyDescent="0.25">
      <c r="A2738" t="s">
        <v>1964</v>
      </c>
      <c r="B2738" t="s">
        <v>2978</v>
      </c>
      <c r="C2738" t="s">
        <v>6090</v>
      </c>
      <c r="K2738" t="s">
        <v>32</v>
      </c>
      <c r="AM2738">
        <v>1</v>
      </c>
      <c r="AN2738">
        <v>25</v>
      </c>
      <c r="AR2738" s="3">
        <f t="shared" si="126"/>
        <v>5</v>
      </c>
      <c r="AS2738" s="3">
        <f t="shared" si="127"/>
        <v>1</v>
      </c>
      <c r="AT2738" s="3" t="str">
        <f>IF(OR(Registered!AM2738&gt;0,Registered!AO2738&gt;0),(IF(Registered!E2738=0,"Size Not Specified",Registered!E2738)),"")</f>
        <v>Size Not Specified</v>
      </c>
      <c r="AU2738" s="3" t="str">
        <f>IF(Registered!AE2738=0,"",IF(Registered!AE2738=1,Registered!AE2738&amp;" Bandana",Registered!AE2738&amp;" Bandanas"))</f>
        <v/>
      </c>
      <c r="AV2738" s="3">
        <f t="shared" si="128"/>
        <v>1</v>
      </c>
      <c r="AW2738" s="2" t="str">
        <f>IF(Registered!AV2738=0,"",IF(Registered!AV2738=1,Registered!AV2738&amp;" Meal",Registered!AV2738&amp;" Meals"))</f>
        <v>1 Meal</v>
      </c>
      <c r="AX2738" s="2" t="str">
        <f>IF(Registered!AI2738=0,"",Registered!AI2738&amp;" BG")</f>
        <v/>
      </c>
      <c r="AY2738" s="2" t="str">
        <f>IF(Registered!AG2738=0,"",Registered!AG2738&amp;" DustMask")</f>
        <v/>
      </c>
    </row>
    <row r="2739" spans="1:51" customFormat="1" x14ac:dyDescent="0.25">
      <c r="A2739" t="s">
        <v>6079</v>
      </c>
      <c r="B2739" t="s">
        <v>6080</v>
      </c>
      <c r="C2739" t="s">
        <v>6090</v>
      </c>
      <c r="K2739" t="s">
        <v>32</v>
      </c>
      <c r="AR2739" s="3">
        <f t="shared" si="126"/>
        <v>0</v>
      </c>
      <c r="AS2739" s="3">
        <f t="shared" si="127"/>
        <v>0</v>
      </c>
      <c r="AT2739" s="3" t="str">
        <f>IF(OR(Registered!AM2739&gt;0,Registered!AO2739&gt;0),(IF(Registered!E2739=0,"Size Not Specified",Registered!E2739)),"")</f>
        <v/>
      </c>
      <c r="AU2739" s="3" t="str">
        <f>IF(Registered!AE2739=0,"",IF(Registered!AE2739=1,Registered!AE2739&amp;" Bandana",Registered!AE2739&amp;" Bandanas"))</f>
        <v/>
      </c>
      <c r="AV2739" s="3">
        <f t="shared" si="128"/>
        <v>0</v>
      </c>
      <c r="AW2739" s="2" t="str">
        <f>IF(Registered!AV2739=0,"",IF(Registered!AV2739=1,Registered!AV2739&amp;" Meal",Registered!AV2739&amp;" Meals"))</f>
        <v/>
      </c>
      <c r="AX2739" s="2" t="str">
        <f>IF(Registered!AI2739=0,"",Registered!AI2739&amp;" BG")</f>
        <v/>
      </c>
      <c r="AY2739" s="2" t="str">
        <f>IF(Registered!AG2739=0,"",Registered!AG2739&amp;" DustMask")</f>
        <v/>
      </c>
    </row>
    <row r="2740" spans="1:51" customFormat="1" x14ac:dyDescent="0.25">
      <c r="A2740" t="s">
        <v>770</v>
      </c>
      <c r="B2740" t="s">
        <v>5232</v>
      </c>
      <c r="C2740" t="s">
        <v>6090</v>
      </c>
      <c r="K2740" t="s">
        <v>32</v>
      </c>
      <c r="AC2740">
        <v>1</v>
      </c>
      <c r="AR2740" s="3">
        <f t="shared" si="126"/>
        <v>5</v>
      </c>
      <c r="AS2740" s="3">
        <f t="shared" si="127"/>
        <v>0</v>
      </c>
      <c r="AT2740" s="3" t="str">
        <f>IF(OR(Registered!AM2740&gt;0,Registered!AO2740&gt;0),(IF(Registered!E2740=0,"Size Not Specified",Registered!E2740)),"")</f>
        <v/>
      </c>
      <c r="AU2740" s="3" t="str">
        <f>IF(Registered!AE2740=0,"",IF(Registered!AE2740=1,Registered!AE2740&amp;" Bandana",Registered!AE2740&amp;" Bandanas"))</f>
        <v/>
      </c>
      <c r="AV2740" s="3">
        <f t="shared" si="128"/>
        <v>0</v>
      </c>
      <c r="AW2740" s="2" t="str">
        <f>IF(Registered!AV2740=0,"",IF(Registered!AV2740=1,Registered!AV2740&amp;" Meal",Registered!AV2740&amp;" Meals"))</f>
        <v/>
      </c>
      <c r="AX2740" s="2" t="str">
        <f>IF(Registered!AI2740=0,"",Registered!AI2740&amp;" BG")</f>
        <v/>
      </c>
      <c r="AY2740" s="2" t="str">
        <f>IF(Registered!AG2740=0,"",Registered!AG2740&amp;" DustMask")</f>
        <v/>
      </c>
    </row>
    <row r="2741" spans="1:51" customFormat="1" x14ac:dyDescent="0.25">
      <c r="A2741" t="s">
        <v>167</v>
      </c>
      <c r="B2741" t="s">
        <v>6081</v>
      </c>
      <c r="C2741" t="s">
        <v>6090</v>
      </c>
      <c r="K2741" t="s">
        <v>32</v>
      </c>
      <c r="AR2741" s="3">
        <f t="shared" si="126"/>
        <v>0</v>
      </c>
      <c r="AS2741" s="3">
        <f t="shared" si="127"/>
        <v>0</v>
      </c>
      <c r="AT2741" s="3" t="str">
        <f>IF(OR(Registered!AM2741&gt;0,Registered!AO2741&gt;0),(IF(Registered!E2741=0,"Size Not Specified",Registered!E2741)),"")</f>
        <v/>
      </c>
      <c r="AU2741" s="3" t="str">
        <f>IF(Registered!AE2741=0,"",IF(Registered!AE2741=1,Registered!AE2741&amp;" Bandana",Registered!AE2741&amp;" Bandanas"))</f>
        <v/>
      </c>
      <c r="AV2741" s="3">
        <f t="shared" si="128"/>
        <v>0</v>
      </c>
      <c r="AW2741" s="2" t="str">
        <f>IF(Registered!AV2741=0,"",IF(Registered!AV2741=1,Registered!AV2741&amp;" Meal",Registered!AV2741&amp;" Meals"))</f>
        <v/>
      </c>
      <c r="AX2741" s="2" t="str">
        <f>IF(Registered!AI2741=0,"",Registered!AI2741&amp;" BG")</f>
        <v/>
      </c>
      <c r="AY2741" s="2" t="str">
        <f>IF(Registered!AG2741=0,"",Registered!AG2741&amp;" DustMask")</f>
        <v/>
      </c>
    </row>
    <row r="2742" spans="1:51" customFormat="1" x14ac:dyDescent="0.25">
      <c r="A2742" t="s">
        <v>6083</v>
      </c>
      <c r="B2742" t="s">
        <v>6082</v>
      </c>
      <c r="C2742" t="s">
        <v>6090</v>
      </c>
      <c r="K2742" t="s">
        <v>32</v>
      </c>
      <c r="AR2742" s="3">
        <f t="shared" si="126"/>
        <v>0</v>
      </c>
      <c r="AS2742" s="3">
        <f t="shared" si="127"/>
        <v>0</v>
      </c>
      <c r="AT2742" s="3" t="str">
        <f>IF(OR(Registered!AM2742&gt;0,Registered!AO2742&gt;0),(IF(Registered!E2742=0,"Size Not Specified",Registered!E2742)),"")</f>
        <v/>
      </c>
      <c r="AU2742" s="3" t="str">
        <f>IF(Registered!AE2742=0,"",IF(Registered!AE2742=1,Registered!AE2742&amp;" Bandana",Registered!AE2742&amp;" Bandanas"))</f>
        <v/>
      </c>
      <c r="AV2742" s="3">
        <f t="shared" si="128"/>
        <v>0</v>
      </c>
      <c r="AW2742" s="2" t="str">
        <f>IF(Registered!AV2742=0,"",IF(Registered!AV2742=1,Registered!AV2742&amp;" Meal",Registered!AV2742&amp;" Meals"))</f>
        <v/>
      </c>
      <c r="AX2742" s="2" t="str">
        <f>IF(Registered!AI2742=0,"",Registered!AI2742&amp;" BG")</f>
        <v/>
      </c>
      <c r="AY2742" s="2" t="str">
        <f>IF(Registered!AG2742=0,"",Registered!AG2742&amp;" DustMask")</f>
        <v/>
      </c>
    </row>
    <row r="2743" spans="1:51" customFormat="1" x14ac:dyDescent="0.25">
      <c r="A2743" t="s">
        <v>108</v>
      </c>
      <c r="B2743" t="s">
        <v>6082</v>
      </c>
      <c r="C2743" t="s">
        <v>6090</v>
      </c>
      <c r="K2743" t="s">
        <v>32</v>
      </c>
      <c r="AR2743" s="3">
        <f t="shared" si="126"/>
        <v>0</v>
      </c>
      <c r="AS2743" s="3">
        <f t="shared" si="127"/>
        <v>0</v>
      </c>
      <c r="AT2743" s="3" t="str">
        <f>IF(OR(Registered!AM2743&gt;0,Registered!AO2743&gt;0),(IF(Registered!E2743=0,"Size Not Specified",Registered!E2743)),"")</f>
        <v/>
      </c>
      <c r="AU2743" s="3" t="str">
        <f>IF(Registered!AE2743=0,"",IF(Registered!AE2743=1,Registered!AE2743&amp;" Bandana",Registered!AE2743&amp;" Bandanas"))</f>
        <v/>
      </c>
      <c r="AV2743" s="3">
        <f t="shared" si="128"/>
        <v>0</v>
      </c>
      <c r="AW2743" s="2" t="str">
        <f>IF(Registered!AV2743=0,"",IF(Registered!AV2743=1,Registered!AV2743&amp;" Meal",Registered!AV2743&amp;" Meals"))</f>
        <v/>
      </c>
      <c r="AX2743" s="2" t="str">
        <f>IF(Registered!AI2743=0,"",Registered!AI2743&amp;" BG")</f>
        <v/>
      </c>
      <c r="AY2743" s="2" t="str">
        <f>IF(Registered!AG2743=0,"",Registered!AG2743&amp;" DustMask")</f>
        <v/>
      </c>
    </row>
    <row r="2744" spans="1:51" customFormat="1" x14ac:dyDescent="0.25">
      <c r="A2744" t="s">
        <v>505</v>
      </c>
      <c r="B2744" t="s">
        <v>6082</v>
      </c>
      <c r="C2744" t="s">
        <v>6090</v>
      </c>
      <c r="K2744" t="s">
        <v>32</v>
      </c>
      <c r="AR2744" s="3">
        <f t="shared" si="126"/>
        <v>0</v>
      </c>
      <c r="AS2744" s="3">
        <f t="shared" si="127"/>
        <v>0</v>
      </c>
      <c r="AT2744" s="3" t="str">
        <f>IF(OR(Registered!AM2744&gt;0,Registered!AO2744&gt;0),(IF(Registered!E2744=0,"Size Not Specified",Registered!E2744)),"")</f>
        <v/>
      </c>
      <c r="AU2744" s="3" t="str">
        <f>IF(Registered!AE2744=0,"",IF(Registered!AE2744=1,Registered!AE2744&amp;" Bandana",Registered!AE2744&amp;" Bandanas"))</f>
        <v/>
      </c>
      <c r="AV2744" s="3">
        <f t="shared" si="128"/>
        <v>0</v>
      </c>
      <c r="AW2744" s="2" t="str">
        <f>IF(Registered!AV2744=0,"",IF(Registered!AV2744=1,Registered!AV2744&amp;" Meal",Registered!AV2744&amp;" Meals"))</f>
        <v/>
      </c>
      <c r="AX2744" s="2" t="str">
        <f>IF(Registered!AI2744=0,"",Registered!AI2744&amp;" BG")</f>
        <v/>
      </c>
      <c r="AY2744" s="2" t="str">
        <f>IF(Registered!AG2744=0,"",Registered!AG2744&amp;" DustMask")</f>
        <v/>
      </c>
    </row>
    <row r="2745" spans="1:51" x14ac:dyDescent="0.25">
      <c r="AR2745" s="3">
        <f t="shared" si="126"/>
        <v>0</v>
      </c>
      <c r="AS2745" s="3">
        <f t="shared" si="127"/>
        <v>0</v>
      </c>
      <c r="AT2745" s="3" t="str">
        <f>IF(OR(Registered!AM2745&gt;0,Registered!AO2745&gt;0),(IF(Registered!E2745=0,"Size Not Specified",Registered!E2745)),"")</f>
        <v/>
      </c>
      <c r="AU2745" s="3" t="str">
        <f>IF(Registered!AE2745=0,"",IF(Registered!AE2745=1,Registered!AE2745&amp;" Bandana",Registered!AE2745&amp;" Bandanas"))</f>
        <v/>
      </c>
      <c r="AV2745" s="3">
        <f t="shared" si="128"/>
        <v>0</v>
      </c>
      <c r="AW2745" s="2" t="str">
        <f>IF(Registered!AV2745=0,"",IF(Registered!AV2745=1,Registered!AV2745&amp;" Meal",Registered!AV2745&amp;" Meals"))</f>
        <v/>
      </c>
      <c r="AX2745" s="2" t="str">
        <f>IF(Registered!AI2745=0,"",Registered!AI2745&amp;" BG")</f>
        <v/>
      </c>
      <c r="AY2745" s="2" t="str">
        <f>IF(Registered!AG2745=0,"",Registered!AG2745&amp;" DustMask")</f>
        <v/>
      </c>
    </row>
    <row r="2746" spans="1:51" x14ac:dyDescent="0.25">
      <c r="AR2746" s="3">
        <f t="shared" si="126"/>
        <v>0</v>
      </c>
      <c r="AS2746" s="3">
        <f t="shared" si="127"/>
        <v>0</v>
      </c>
      <c r="AT2746" s="3" t="str">
        <f>IF(OR(Registered!AM2746&gt;0,Registered!AO2746&gt;0),(IF(Registered!E2746=0,"Size Not Specified",Registered!E2746)),"")</f>
        <v/>
      </c>
      <c r="AU2746" s="3" t="str">
        <f>IF(Registered!AE2746=0,"",IF(Registered!AE2746=1,Registered!AE2746&amp;" Bandana",Registered!AE2746&amp;" Bandanas"))</f>
        <v/>
      </c>
      <c r="AV2746" s="3">
        <f t="shared" si="128"/>
        <v>0</v>
      </c>
      <c r="AW2746" s="2" t="str">
        <f>IF(Registered!AV2746=0,"",IF(Registered!AV2746=1,Registered!AV2746&amp;" Meal",Registered!AV2746&amp;" Meals"))</f>
        <v/>
      </c>
      <c r="AX2746" s="2" t="str">
        <f>IF(Registered!AI2746=0,"",Registered!AI2746&amp;" BG")</f>
        <v/>
      </c>
      <c r="AY2746" s="2" t="str">
        <f>IF(Registered!AG2746=0,"",Registered!AG2746&amp;" DustMask")</f>
        <v/>
      </c>
    </row>
    <row r="2747" spans="1:51" x14ac:dyDescent="0.25">
      <c r="AR2747" s="3">
        <f t="shared" si="126"/>
        <v>0</v>
      </c>
      <c r="AS2747" s="3">
        <f t="shared" si="127"/>
        <v>0</v>
      </c>
      <c r="AT2747" s="3" t="str">
        <f>IF(OR(Registered!AM2747&gt;0,Registered!AO2747&gt;0),(IF(Registered!E2747=0,"Size Not Specified",Registered!E2747)),"")</f>
        <v/>
      </c>
      <c r="AU2747" s="3" t="str">
        <f>IF(Registered!AE2747=0,"",IF(Registered!AE2747=1,Registered!AE2747&amp;" Bandana",Registered!AE2747&amp;" Bandanas"))</f>
        <v/>
      </c>
      <c r="AV2747" s="3">
        <f t="shared" si="128"/>
        <v>0</v>
      </c>
      <c r="AW2747" s="2" t="str">
        <f>IF(Registered!AV2747=0,"",IF(Registered!AV2747=1,Registered!AV2747&amp;" Meal",Registered!AV2747&amp;" Meals"))</f>
        <v/>
      </c>
      <c r="AX2747" s="2" t="str">
        <f>IF(Registered!AI2747=0,"",Registered!AI2747&amp;" BG")</f>
        <v/>
      </c>
      <c r="AY2747" s="2" t="str">
        <f>IF(Registered!AG2747=0,"",Registered!AG2747&amp;" DustMask")</f>
        <v/>
      </c>
    </row>
    <row r="2748" spans="1:51" x14ac:dyDescent="0.25">
      <c r="AR2748" s="3">
        <f t="shared" si="126"/>
        <v>0</v>
      </c>
      <c r="AS2748" s="3">
        <f t="shared" si="127"/>
        <v>0</v>
      </c>
      <c r="AT2748" s="3" t="str">
        <f>IF(OR(Registered!AM2748&gt;0,Registered!AO2748&gt;0),(IF(Registered!E2748=0,"Size Not Specified",Registered!E2748)),"")</f>
        <v/>
      </c>
      <c r="AU2748" s="3" t="str">
        <f>IF(Registered!AE2748=0,"",IF(Registered!AE2748=1,Registered!AE2748&amp;" Bandana",Registered!AE2748&amp;" Bandanas"))</f>
        <v/>
      </c>
      <c r="AV2748" s="3">
        <f t="shared" si="128"/>
        <v>0</v>
      </c>
      <c r="AW2748" s="2" t="str">
        <f>IF(Registered!AV2748=0,"",IF(Registered!AV2748=1,Registered!AV2748&amp;" Meal",Registered!AV2748&amp;" Meals"))</f>
        <v/>
      </c>
      <c r="AX2748" s="2" t="str">
        <f>IF(Registered!AI2748=0,"",Registered!AI2748&amp;" BG")</f>
        <v/>
      </c>
      <c r="AY2748" s="2" t="str">
        <f>IF(Registered!AG2748=0,"",Registered!AG2748&amp;" DustMask")</f>
        <v/>
      </c>
    </row>
    <row r="2749" spans="1:51" x14ac:dyDescent="0.25">
      <c r="AR2749" s="3">
        <f t="shared" si="126"/>
        <v>0</v>
      </c>
      <c r="AS2749" s="3">
        <f t="shared" si="127"/>
        <v>0</v>
      </c>
      <c r="AT2749" s="3" t="str">
        <f>IF(OR(Registered!AM2749&gt;0,Registered!AO2749&gt;0),(IF(Registered!E2749=0,"Size Not Specified",Registered!E2749)),"")</f>
        <v/>
      </c>
      <c r="AU2749" s="3" t="str">
        <f>IF(Registered!AE2749=0,"",IF(Registered!AE2749=1,Registered!AE2749&amp;" Bandana",Registered!AE2749&amp;" Bandanas"))</f>
        <v/>
      </c>
      <c r="AV2749" s="3">
        <f t="shared" si="128"/>
        <v>0</v>
      </c>
      <c r="AW2749" s="2" t="str">
        <f>IF(Registered!AV2749=0,"",IF(Registered!AV2749=1,Registered!AV2749&amp;" Meal",Registered!AV2749&amp;" Meals"))</f>
        <v/>
      </c>
      <c r="AX2749" s="2" t="str">
        <f>IF(Registered!AI2749=0,"",Registered!AI2749&amp;" BG")</f>
        <v/>
      </c>
      <c r="AY2749" s="2" t="str">
        <f>IF(Registered!AG2749=0,"",Registered!AG2749&amp;" DustMask")</f>
        <v/>
      </c>
    </row>
    <row r="2750" spans="1:51" x14ac:dyDescent="0.25">
      <c r="AR2750" s="3">
        <f t="shared" si="126"/>
        <v>0</v>
      </c>
      <c r="AS2750" s="3">
        <f t="shared" si="127"/>
        <v>0</v>
      </c>
      <c r="AT2750" s="3" t="str">
        <f>IF(OR(Registered!AM2750&gt;0,Registered!AO2750&gt;0),(IF(Registered!E2750=0,"Size Not Specified",Registered!E2750)),"")</f>
        <v/>
      </c>
      <c r="AU2750" s="3" t="str">
        <f>IF(Registered!AE2750=0,"",IF(Registered!AE2750=1,Registered!AE2750&amp;" Bandana",Registered!AE2750&amp;" Bandanas"))</f>
        <v/>
      </c>
      <c r="AV2750" s="3">
        <f t="shared" si="128"/>
        <v>0</v>
      </c>
      <c r="AW2750" s="2" t="str">
        <f>IF(Registered!AV2750=0,"",IF(Registered!AV2750=1,Registered!AV2750&amp;" Meal",Registered!AV2750&amp;" Meals"))</f>
        <v/>
      </c>
      <c r="AX2750" s="2" t="str">
        <f>IF(Registered!AI2750=0,"",Registered!AI2750&amp;" BG")</f>
        <v/>
      </c>
      <c r="AY2750" s="2" t="str">
        <f>IF(Registered!AG2750=0,"",Registered!AG2750&amp;" DustMask")</f>
        <v/>
      </c>
    </row>
    <row r="2751" spans="1:51" x14ac:dyDescent="0.25">
      <c r="AR2751" s="3">
        <f t="shared" si="126"/>
        <v>0</v>
      </c>
      <c r="AS2751" s="3">
        <f t="shared" si="127"/>
        <v>0</v>
      </c>
      <c r="AT2751" s="3" t="str">
        <f>IF(OR(Registered!AM2751&gt;0,Registered!AO2751&gt;0),(IF(Registered!E2751=0,"Size Not Specified",Registered!E2751)),"")</f>
        <v/>
      </c>
      <c r="AU2751" s="3" t="str">
        <f>IF(Registered!AE2751=0,"",IF(Registered!AE2751=1,Registered!AE2751&amp;" Bandana",Registered!AE2751&amp;" Bandanas"))</f>
        <v/>
      </c>
      <c r="AV2751" s="3">
        <f t="shared" si="128"/>
        <v>0</v>
      </c>
      <c r="AW2751" s="2" t="str">
        <f>IF(Registered!AV2751=0,"",IF(Registered!AV2751=1,Registered!AV2751&amp;" Meal",Registered!AV2751&amp;" Meals"))</f>
        <v/>
      </c>
      <c r="AX2751" s="2" t="str">
        <f>IF(Registered!AI2751=0,"",Registered!AI2751&amp;" BG")</f>
        <v/>
      </c>
      <c r="AY2751" s="2" t="str">
        <f>IF(Registered!AG2751=0,"",Registered!AG2751&amp;" DustMask")</f>
        <v/>
      </c>
    </row>
    <row r="2752" spans="1:51" x14ac:dyDescent="0.25">
      <c r="AR2752" s="3">
        <f t="shared" si="126"/>
        <v>0</v>
      </c>
      <c r="AS2752" s="3">
        <f t="shared" si="127"/>
        <v>0</v>
      </c>
      <c r="AT2752" s="3" t="str">
        <f>IF(OR(Registered!AM2752&gt;0,Registered!AO2752&gt;0),(IF(Registered!E2752=0,"Size Not Specified",Registered!E2752)),"")</f>
        <v/>
      </c>
      <c r="AU2752" s="3" t="str">
        <f>IF(Registered!AE2752=0,"",IF(Registered!AE2752=1,Registered!AE2752&amp;" Bandana",Registered!AE2752&amp;" Bandanas"))</f>
        <v/>
      </c>
      <c r="AV2752" s="3">
        <f t="shared" si="128"/>
        <v>0</v>
      </c>
      <c r="AW2752" s="2" t="str">
        <f>IF(Registered!AV2752=0,"",IF(Registered!AV2752=1,Registered!AV2752&amp;" Meal",Registered!AV2752&amp;" Meals"))</f>
        <v/>
      </c>
      <c r="AX2752" s="2" t="str">
        <f>IF(Registered!AI2752=0,"",Registered!AI2752&amp;" BG")</f>
        <v/>
      </c>
      <c r="AY2752" s="2" t="str">
        <f>IF(Registered!AG2752=0,"",Registered!AG2752&amp;" DustMask")</f>
        <v/>
      </c>
    </row>
    <row r="2753" spans="44:51" x14ac:dyDescent="0.25">
      <c r="AR2753" s="3">
        <f t="shared" si="126"/>
        <v>0</v>
      </c>
      <c r="AS2753" s="3">
        <f t="shared" si="127"/>
        <v>0</v>
      </c>
      <c r="AT2753" s="3" t="str">
        <f>IF(OR(Registered!AM2753&gt;0,Registered!AO2753&gt;0),(IF(Registered!E2753=0,"Size Not Specified",Registered!E2753)),"")</f>
        <v/>
      </c>
      <c r="AU2753" s="3" t="str">
        <f>IF(Registered!AE2753=0,"",IF(Registered!AE2753=1,Registered!AE2753&amp;" Bandana",Registered!AE2753&amp;" Bandanas"))</f>
        <v/>
      </c>
      <c r="AV2753" s="3">
        <f t="shared" si="128"/>
        <v>0</v>
      </c>
      <c r="AW2753" s="2" t="str">
        <f>IF(Registered!AV2753=0,"",IF(Registered!AV2753=1,Registered!AV2753&amp;" Meal",Registered!AV2753&amp;" Meals"))</f>
        <v/>
      </c>
      <c r="AX2753" s="2" t="str">
        <f>IF(Registered!AI2753=0,"",Registered!AI2753&amp;" BG")</f>
        <v/>
      </c>
      <c r="AY2753" s="2" t="str">
        <f>IF(Registered!AG2753=0,"",Registered!AG2753&amp;" DustMask")</f>
        <v/>
      </c>
    </row>
    <row r="2754" spans="44:51" x14ac:dyDescent="0.25">
      <c r="AR2754" s="3">
        <f t="shared" ref="AR2754:AR2817" si="129">IF(ISTEXT(AM2754)=TRUE,"",SUM(U2754*10,W2754*20,Y2754*30,AA2754*40,AC2754*5,AM2754*5))</f>
        <v>0</v>
      </c>
      <c r="AS2754" s="3">
        <f t="shared" ref="AS2754:AS2817" si="130">IF(ISTEXT(AM2754)=TRUE,"",SUM(AM2754,AO2754))</f>
        <v>0</v>
      </c>
      <c r="AT2754" s="3" t="str">
        <f>IF(OR(Registered!AM2754&gt;0,Registered!AO2754&gt;0),(IF(Registered!E2754=0,"Size Not Specified",Registered!E2754)),"")</f>
        <v/>
      </c>
      <c r="AU2754" s="3" t="str">
        <f>IF(Registered!AE2754=0,"",IF(Registered!AE2754=1,Registered!AE2754&amp;" Bandana",Registered!AE2754&amp;" Bandanas"))</f>
        <v/>
      </c>
      <c r="AV2754" s="3">
        <f t="shared" ref="AV2754:AV2817" si="131">IF(ISTEXT(AM2754)=TRUE,"",SUM(AM2754,AK2754))</f>
        <v>0</v>
      </c>
      <c r="AW2754" s="2" t="str">
        <f>IF(Registered!AV2754=0,"",IF(Registered!AV2754=1,Registered!AV2754&amp;" Meal",Registered!AV2754&amp;" Meals"))</f>
        <v/>
      </c>
      <c r="AX2754" s="2" t="str">
        <f>IF(Registered!AI2754=0,"",Registered!AI2754&amp;" BG")</f>
        <v/>
      </c>
      <c r="AY2754" s="2" t="str">
        <f>IF(Registered!AG2754=0,"",Registered!AG2754&amp;" DustMask")</f>
        <v/>
      </c>
    </row>
    <row r="2755" spans="44:51" x14ac:dyDescent="0.25">
      <c r="AR2755" s="3">
        <f t="shared" si="129"/>
        <v>0</v>
      </c>
      <c r="AS2755" s="3">
        <f t="shared" si="130"/>
        <v>0</v>
      </c>
      <c r="AT2755" s="3" t="str">
        <f>IF(OR(Registered!AM2755&gt;0,Registered!AO2755&gt;0),(IF(Registered!E2755=0,"Size Not Specified",Registered!E2755)),"")</f>
        <v/>
      </c>
      <c r="AU2755" s="3" t="str">
        <f>IF(Registered!AE2755=0,"",IF(Registered!AE2755=1,Registered!AE2755&amp;" Bandana",Registered!AE2755&amp;" Bandanas"))</f>
        <v/>
      </c>
      <c r="AV2755" s="3">
        <f t="shared" si="131"/>
        <v>0</v>
      </c>
      <c r="AW2755" s="2" t="str">
        <f>IF(Registered!AV2755=0,"",IF(Registered!AV2755=1,Registered!AV2755&amp;" Meal",Registered!AV2755&amp;" Meals"))</f>
        <v/>
      </c>
      <c r="AX2755" s="2" t="str">
        <f>IF(Registered!AI2755=0,"",Registered!AI2755&amp;" BG")</f>
        <v/>
      </c>
      <c r="AY2755" s="2" t="str">
        <f>IF(Registered!AG2755=0,"",Registered!AG2755&amp;" DustMask")</f>
        <v/>
      </c>
    </row>
    <row r="2756" spans="44:51" x14ac:dyDescent="0.25">
      <c r="AR2756" s="3">
        <f t="shared" si="129"/>
        <v>0</v>
      </c>
      <c r="AS2756" s="3">
        <f t="shared" si="130"/>
        <v>0</v>
      </c>
      <c r="AT2756" s="3" t="str">
        <f>IF(OR(Registered!AM2756&gt;0,Registered!AO2756&gt;0),(IF(Registered!E2756=0,"Size Not Specified",Registered!E2756)),"")</f>
        <v/>
      </c>
      <c r="AU2756" s="3" t="str">
        <f>IF(Registered!AE2756=0,"",IF(Registered!AE2756=1,Registered!AE2756&amp;" Bandana",Registered!AE2756&amp;" Bandanas"))</f>
        <v/>
      </c>
      <c r="AV2756" s="3">
        <f t="shared" si="131"/>
        <v>0</v>
      </c>
      <c r="AW2756" s="2" t="str">
        <f>IF(Registered!AV2756=0,"",IF(Registered!AV2756=1,Registered!AV2756&amp;" Meal",Registered!AV2756&amp;" Meals"))</f>
        <v/>
      </c>
      <c r="AX2756" s="2" t="str">
        <f>IF(Registered!AI2756=0,"",Registered!AI2756&amp;" BG")</f>
        <v/>
      </c>
      <c r="AY2756" s="2" t="str">
        <f>IF(Registered!AG2756=0,"",Registered!AG2756&amp;" DustMask")</f>
        <v/>
      </c>
    </row>
    <row r="2757" spans="44:51" x14ac:dyDescent="0.25">
      <c r="AR2757" s="3">
        <f t="shared" si="129"/>
        <v>0</v>
      </c>
      <c r="AS2757" s="3">
        <f t="shared" si="130"/>
        <v>0</v>
      </c>
      <c r="AT2757" s="3" t="str">
        <f>IF(OR(Registered!AM2757&gt;0,Registered!AO2757&gt;0),(IF(Registered!E2757=0,"Size Not Specified",Registered!E2757)),"")</f>
        <v/>
      </c>
      <c r="AU2757" s="3" t="str">
        <f>IF(Registered!AE2757=0,"",IF(Registered!AE2757=1,Registered!AE2757&amp;" Bandana",Registered!AE2757&amp;" Bandanas"))</f>
        <v/>
      </c>
      <c r="AV2757" s="3">
        <f t="shared" si="131"/>
        <v>0</v>
      </c>
      <c r="AW2757" s="2" t="str">
        <f>IF(Registered!AV2757=0,"",IF(Registered!AV2757=1,Registered!AV2757&amp;" Meal",Registered!AV2757&amp;" Meals"))</f>
        <v/>
      </c>
      <c r="AX2757" s="2" t="str">
        <f>IF(Registered!AI2757=0,"",Registered!AI2757&amp;" BG")</f>
        <v/>
      </c>
      <c r="AY2757" s="2" t="str">
        <f>IF(Registered!AG2757=0,"",Registered!AG2757&amp;" DustMask")</f>
        <v/>
      </c>
    </row>
    <row r="2758" spans="44:51" x14ac:dyDescent="0.25">
      <c r="AR2758" s="3">
        <f t="shared" si="129"/>
        <v>0</v>
      </c>
      <c r="AS2758" s="3">
        <f t="shared" si="130"/>
        <v>0</v>
      </c>
      <c r="AT2758" s="3" t="str">
        <f>IF(OR(Registered!AM2758&gt;0,Registered!AO2758&gt;0),(IF(Registered!E2758=0,"Size Not Specified",Registered!E2758)),"")</f>
        <v/>
      </c>
      <c r="AU2758" s="3" t="str">
        <f>IF(Registered!AE2758=0,"",IF(Registered!AE2758=1,Registered!AE2758&amp;" Bandana",Registered!AE2758&amp;" Bandanas"))</f>
        <v/>
      </c>
      <c r="AV2758" s="3">
        <f t="shared" si="131"/>
        <v>0</v>
      </c>
      <c r="AW2758" s="2" t="str">
        <f>IF(Registered!AV2758=0,"",IF(Registered!AV2758=1,Registered!AV2758&amp;" Meal",Registered!AV2758&amp;" Meals"))</f>
        <v/>
      </c>
      <c r="AX2758" s="2" t="str">
        <f>IF(Registered!AI2758=0,"",Registered!AI2758&amp;" BG")</f>
        <v/>
      </c>
      <c r="AY2758" s="2" t="str">
        <f>IF(Registered!AG2758=0,"",Registered!AG2758&amp;" DustMask")</f>
        <v/>
      </c>
    </row>
    <row r="2759" spans="44:51" x14ac:dyDescent="0.25">
      <c r="AR2759" s="3">
        <f t="shared" si="129"/>
        <v>0</v>
      </c>
      <c r="AS2759" s="3">
        <f t="shared" si="130"/>
        <v>0</v>
      </c>
      <c r="AT2759" s="3" t="str">
        <f>IF(OR(Registered!AM2759&gt;0,Registered!AO2759&gt;0),(IF(Registered!E2759=0,"Size Not Specified",Registered!E2759)),"")</f>
        <v/>
      </c>
      <c r="AU2759" s="3" t="str">
        <f>IF(Registered!AE2759=0,"",IF(Registered!AE2759=1,Registered!AE2759&amp;" Bandana",Registered!AE2759&amp;" Bandanas"))</f>
        <v/>
      </c>
      <c r="AV2759" s="3">
        <f t="shared" si="131"/>
        <v>0</v>
      </c>
      <c r="AW2759" s="2" t="str">
        <f>IF(Registered!AV2759=0,"",IF(Registered!AV2759=1,Registered!AV2759&amp;" Meal",Registered!AV2759&amp;" Meals"))</f>
        <v/>
      </c>
      <c r="AX2759" s="2" t="str">
        <f>IF(Registered!AI2759=0,"",Registered!AI2759&amp;" BG")</f>
        <v/>
      </c>
      <c r="AY2759" s="2" t="str">
        <f>IF(Registered!AG2759=0,"",Registered!AG2759&amp;" DustMask")</f>
        <v/>
      </c>
    </row>
    <row r="2760" spans="44:51" x14ac:dyDescent="0.25">
      <c r="AR2760" s="3">
        <f t="shared" si="129"/>
        <v>0</v>
      </c>
      <c r="AS2760" s="3">
        <f t="shared" si="130"/>
        <v>0</v>
      </c>
      <c r="AT2760" s="3" t="str">
        <f>IF(OR(Registered!AM2760&gt;0,Registered!AO2760&gt;0),(IF(Registered!E2760=0,"Size Not Specified",Registered!E2760)),"")</f>
        <v/>
      </c>
      <c r="AU2760" s="3" t="str">
        <f>IF(Registered!AE2760=0,"",IF(Registered!AE2760=1,Registered!AE2760&amp;" Bandana",Registered!AE2760&amp;" Bandanas"))</f>
        <v/>
      </c>
      <c r="AV2760" s="3">
        <f t="shared" si="131"/>
        <v>0</v>
      </c>
      <c r="AW2760" s="2" t="str">
        <f>IF(Registered!AV2760=0,"",IF(Registered!AV2760=1,Registered!AV2760&amp;" Meal",Registered!AV2760&amp;" Meals"))</f>
        <v/>
      </c>
      <c r="AX2760" s="2" t="str">
        <f>IF(Registered!AI2760=0,"",Registered!AI2760&amp;" BG")</f>
        <v/>
      </c>
      <c r="AY2760" s="2" t="str">
        <f>IF(Registered!AG2760=0,"",Registered!AG2760&amp;" DustMask")</f>
        <v/>
      </c>
    </row>
    <row r="2761" spans="44:51" x14ac:dyDescent="0.25">
      <c r="AR2761" s="3">
        <f t="shared" si="129"/>
        <v>0</v>
      </c>
      <c r="AS2761" s="3">
        <f t="shared" si="130"/>
        <v>0</v>
      </c>
      <c r="AT2761" s="3" t="str">
        <f>IF(OR(Registered!AM2761&gt;0,Registered!AO2761&gt;0),(IF(Registered!E2761=0,"Size Not Specified",Registered!E2761)),"")</f>
        <v/>
      </c>
      <c r="AU2761" s="3" t="str">
        <f>IF(Registered!AE2761=0,"",IF(Registered!AE2761=1,Registered!AE2761&amp;" Bandana",Registered!AE2761&amp;" Bandanas"))</f>
        <v/>
      </c>
      <c r="AV2761" s="3">
        <f t="shared" si="131"/>
        <v>0</v>
      </c>
      <c r="AW2761" s="2" t="str">
        <f>IF(Registered!AV2761=0,"",IF(Registered!AV2761=1,Registered!AV2761&amp;" Meal",Registered!AV2761&amp;" Meals"))</f>
        <v/>
      </c>
      <c r="AX2761" s="2" t="str">
        <f>IF(Registered!AI2761=0,"",Registered!AI2761&amp;" BG")</f>
        <v/>
      </c>
      <c r="AY2761" s="2" t="str">
        <f>IF(Registered!AG2761=0,"",Registered!AG2761&amp;" DustMask")</f>
        <v/>
      </c>
    </row>
    <row r="2762" spans="44:51" x14ac:dyDescent="0.25">
      <c r="AR2762" s="3">
        <f t="shared" si="129"/>
        <v>0</v>
      </c>
      <c r="AS2762" s="3">
        <f t="shared" si="130"/>
        <v>0</v>
      </c>
      <c r="AT2762" s="3" t="str">
        <f>IF(OR(Registered!AM2762&gt;0,Registered!AO2762&gt;0),(IF(Registered!E2762=0,"Size Not Specified",Registered!E2762)),"")</f>
        <v/>
      </c>
      <c r="AU2762" s="3" t="str">
        <f>IF(Registered!AE2762=0,"",IF(Registered!AE2762=1,Registered!AE2762&amp;" Bandana",Registered!AE2762&amp;" Bandanas"))</f>
        <v/>
      </c>
      <c r="AV2762" s="3">
        <f t="shared" si="131"/>
        <v>0</v>
      </c>
      <c r="AW2762" s="2" t="str">
        <f>IF(Registered!AV2762=0,"",IF(Registered!AV2762=1,Registered!AV2762&amp;" Meal",Registered!AV2762&amp;" Meals"))</f>
        <v/>
      </c>
      <c r="AX2762" s="2" t="str">
        <f>IF(Registered!AI2762=0,"",Registered!AI2762&amp;" BG")</f>
        <v/>
      </c>
      <c r="AY2762" s="2" t="str">
        <f>IF(Registered!AG2762=0,"",Registered!AG2762&amp;" DustMask")</f>
        <v/>
      </c>
    </row>
    <row r="2763" spans="44:51" x14ac:dyDescent="0.25">
      <c r="AR2763" s="3">
        <f t="shared" si="129"/>
        <v>0</v>
      </c>
      <c r="AS2763" s="3">
        <f t="shared" si="130"/>
        <v>0</v>
      </c>
      <c r="AT2763" s="3" t="str">
        <f>IF(OR(Registered!AM2763&gt;0,Registered!AO2763&gt;0),(IF(Registered!E2763=0,"Size Not Specified",Registered!E2763)),"")</f>
        <v/>
      </c>
      <c r="AU2763" s="3" t="str">
        <f>IF(Registered!AE2763=0,"",IF(Registered!AE2763=1,Registered!AE2763&amp;" Bandana",Registered!AE2763&amp;" Bandanas"))</f>
        <v/>
      </c>
      <c r="AV2763" s="3">
        <f t="shared" si="131"/>
        <v>0</v>
      </c>
      <c r="AW2763" s="2" t="str">
        <f>IF(Registered!AV2763=0,"",IF(Registered!AV2763=1,Registered!AV2763&amp;" Meal",Registered!AV2763&amp;" Meals"))</f>
        <v/>
      </c>
      <c r="AX2763" s="2" t="str">
        <f>IF(Registered!AI2763=0,"",Registered!AI2763&amp;" BG")</f>
        <v/>
      </c>
      <c r="AY2763" s="2" t="str">
        <f>IF(Registered!AG2763=0,"",Registered!AG2763&amp;" DustMask")</f>
        <v/>
      </c>
    </row>
    <row r="2764" spans="44:51" x14ac:dyDescent="0.25">
      <c r="AR2764" s="3">
        <f t="shared" si="129"/>
        <v>0</v>
      </c>
      <c r="AS2764" s="3">
        <f t="shared" si="130"/>
        <v>0</v>
      </c>
      <c r="AT2764" s="3" t="str">
        <f>IF(OR(Registered!AM2764&gt;0,Registered!AO2764&gt;0),(IF(Registered!E2764=0,"Size Not Specified",Registered!E2764)),"")</f>
        <v/>
      </c>
      <c r="AU2764" s="3" t="str">
        <f>IF(Registered!AE2764=0,"",IF(Registered!AE2764=1,Registered!AE2764&amp;" Bandana",Registered!AE2764&amp;" Bandanas"))</f>
        <v/>
      </c>
      <c r="AV2764" s="3">
        <f t="shared" si="131"/>
        <v>0</v>
      </c>
      <c r="AW2764" s="2" t="str">
        <f>IF(Registered!AV2764=0,"",IF(Registered!AV2764=1,Registered!AV2764&amp;" Meal",Registered!AV2764&amp;" Meals"))</f>
        <v/>
      </c>
      <c r="AX2764" s="2" t="str">
        <f>IF(Registered!AI2764=0,"",Registered!AI2764&amp;" BG")</f>
        <v/>
      </c>
      <c r="AY2764" s="2" t="str">
        <f>IF(Registered!AG2764=0,"",Registered!AG2764&amp;" DustMask")</f>
        <v/>
      </c>
    </row>
    <row r="2765" spans="44:51" x14ac:dyDescent="0.25">
      <c r="AR2765" s="3">
        <f t="shared" si="129"/>
        <v>0</v>
      </c>
      <c r="AS2765" s="3">
        <f t="shared" si="130"/>
        <v>0</v>
      </c>
      <c r="AT2765" s="3" t="str">
        <f>IF(OR(Registered!AM2765&gt;0,Registered!AO2765&gt;0),(IF(Registered!E2765=0,"Size Not Specified",Registered!E2765)),"")</f>
        <v/>
      </c>
      <c r="AU2765" s="3" t="str">
        <f>IF(Registered!AE2765=0,"",IF(Registered!AE2765=1,Registered!AE2765&amp;" Bandana",Registered!AE2765&amp;" Bandanas"))</f>
        <v/>
      </c>
      <c r="AV2765" s="3">
        <f t="shared" si="131"/>
        <v>0</v>
      </c>
      <c r="AW2765" s="2" t="str">
        <f>IF(Registered!AV2765=0,"",IF(Registered!AV2765=1,Registered!AV2765&amp;" Meal",Registered!AV2765&amp;" Meals"))</f>
        <v/>
      </c>
      <c r="AX2765" s="2" t="str">
        <f>IF(Registered!AI2765=0,"",Registered!AI2765&amp;" BG")</f>
        <v/>
      </c>
      <c r="AY2765" s="2" t="str">
        <f>IF(Registered!AG2765=0,"",Registered!AG2765&amp;" DustMask")</f>
        <v/>
      </c>
    </row>
    <row r="2766" spans="44:51" x14ac:dyDescent="0.25">
      <c r="AR2766" s="3">
        <f t="shared" si="129"/>
        <v>0</v>
      </c>
      <c r="AS2766" s="3">
        <f t="shared" si="130"/>
        <v>0</v>
      </c>
      <c r="AT2766" s="3" t="str">
        <f>IF(OR(Registered!AM2766&gt;0,Registered!AO2766&gt;0),(IF(Registered!E2766=0,"Size Not Specified",Registered!E2766)),"")</f>
        <v/>
      </c>
      <c r="AU2766" s="3" t="str">
        <f>IF(Registered!AE2766=0,"",IF(Registered!AE2766=1,Registered!AE2766&amp;" Bandana",Registered!AE2766&amp;" Bandanas"))</f>
        <v/>
      </c>
      <c r="AV2766" s="3">
        <f t="shared" si="131"/>
        <v>0</v>
      </c>
      <c r="AW2766" s="2" t="str">
        <f>IF(Registered!AV2766=0,"",IF(Registered!AV2766=1,Registered!AV2766&amp;" Meal",Registered!AV2766&amp;" Meals"))</f>
        <v/>
      </c>
      <c r="AX2766" s="2" t="str">
        <f>IF(Registered!AI2766=0,"",Registered!AI2766&amp;" BG")</f>
        <v/>
      </c>
      <c r="AY2766" s="2" t="str">
        <f>IF(Registered!AG2766=0,"",Registered!AG2766&amp;" DustMask")</f>
        <v/>
      </c>
    </row>
    <row r="2767" spans="44:51" x14ac:dyDescent="0.25">
      <c r="AR2767" s="3">
        <f t="shared" si="129"/>
        <v>0</v>
      </c>
      <c r="AS2767" s="3">
        <f t="shared" si="130"/>
        <v>0</v>
      </c>
      <c r="AT2767" s="3" t="str">
        <f>IF(OR(Registered!AM2767&gt;0,Registered!AO2767&gt;0),(IF(Registered!E2767=0,"Size Not Specified",Registered!E2767)),"")</f>
        <v/>
      </c>
      <c r="AU2767" s="3" t="str">
        <f>IF(Registered!AE2767=0,"",IF(Registered!AE2767=1,Registered!AE2767&amp;" Bandana",Registered!AE2767&amp;" Bandanas"))</f>
        <v/>
      </c>
      <c r="AV2767" s="3">
        <f t="shared" si="131"/>
        <v>0</v>
      </c>
      <c r="AW2767" s="2" t="str">
        <f>IF(Registered!AV2767=0,"",IF(Registered!AV2767=1,Registered!AV2767&amp;" Meal",Registered!AV2767&amp;" Meals"))</f>
        <v/>
      </c>
      <c r="AX2767" s="2" t="str">
        <f>IF(Registered!AI2767=0,"",Registered!AI2767&amp;" BG")</f>
        <v/>
      </c>
      <c r="AY2767" s="2" t="str">
        <f>IF(Registered!AG2767=0,"",Registered!AG2767&amp;" DustMask")</f>
        <v/>
      </c>
    </row>
    <row r="2768" spans="44:51" x14ac:dyDescent="0.25">
      <c r="AR2768" s="3">
        <f t="shared" si="129"/>
        <v>0</v>
      </c>
      <c r="AS2768" s="3">
        <f t="shared" si="130"/>
        <v>0</v>
      </c>
      <c r="AT2768" s="3" t="str">
        <f>IF(OR(Registered!AM2768&gt;0,Registered!AO2768&gt;0),(IF(Registered!E2768=0,"Size Not Specified",Registered!E2768)),"")</f>
        <v/>
      </c>
      <c r="AU2768" s="3" t="str">
        <f>IF(Registered!AE2768=0,"",IF(Registered!AE2768=1,Registered!AE2768&amp;" Bandana",Registered!AE2768&amp;" Bandanas"))</f>
        <v/>
      </c>
      <c r="AV2768" s="3">
        <f t="shared" si="131"/>
        <v>0</v>
      </c>
      <c r="AW2768" s="2" t="str">
        <f>IF(Registered!AV2768=0,"",IF(Registered!AV2768=1,Registered!AV2768&amp;" Meal",Registered!AV2768&amp;" Meals"))</f>
        <v/>
      </c>
      <c r="AX2768" s="2" t="str">
        <f>IF(Registered!AI2768=0,"",Registered!AI2768&amp;" BG")</f>
        <v/>
      </c>
      <c r="AY2768" s="2" t="str">
        <f>IF(Registered!AG2768=0,"",Registered!AG2768&amp;" DustMask")</f>
        <v/>
      </c>
    </row>
    <row r="2769" spans="44:51" x14ac:dyDescent="0.25">
      <c r="AR2769" s="3">
        <f t="shared" si="129"/>
        <v>0</v>
      </c>
      <c r="AS2769" s="3">
        <f t="shared" si="130"/>
        <v>0</v>
      </c>
      <c r="AT2769" s="3" t="str">
        <f>IF(OR(Registered!AM2769&gt;0,Registered!AO2769&gt;0),(IF(Registered!E2769=0,"Size Not Specified",Registered!E2769)),"")</f>
        <v/>
      </c>
      <c r="AU2769" s="3" t="str">
        <f>IF(Registered!AE2769=0,"",IF(Registered!AE2769=1,Registered!AE2769&amp;" Bandana",Registered!AE2769&amp;" Bandanas"))</f>
        <v/>
      </c>
      <c r="AV2769" s="3">
        <f t="shared" si="131"/>
        <v>0</v>
      </c>
      <c r="AW2769" s="2" t="str">
        <f>IF(Registered!AV2769=0,"",IF(Registered!AV2769=1,Registered!AV2769&amp;" Meal",Registered!AV2769&amp;" Meals"))</f>
        <v/>
      </c>
      <c r="AX2769" s="2" t="str">
        <f>IF(Registered!AI2769=0,"",Registered!AI2769&amp;" BG")</f>
        <v/>
      </c>
      <c r="AY2769" s="2" t="str">
        <f>IF(Registered!AG2769=0,"",Registered!AG2769&amp;" DustMask")</f>
        <v/>
      </c>
    </row>
    <row r="2770" spans="44:51" x14ac:dyDescent="0.25">
      <c r="AR2770" s="3">
        <f t="shared" si="129"/>
        <v>0</v>
      </c>
      <c r="AS2770" s="3">
        <f t="shared" si="130"/>
        <v>0</v>
      </c>
      <c r="AT2770" s="3" t="str">
        <f>IF(OR(Registered!AM2770&gt;0,Registered!AO2770&gt;0),(IF(Registered!E2770=0,"Size Not Specified",Registered!E2770)),"")</f>
        <v/>
      </c>
      <c r="AU2770" s="3" t="str">
        <f>IF(Registered!AE2770=0,"",IF(Registered!AE2770=1,Registered!AE2770&amp;" Bandana",Registered!AE2770&amp;" Bandanas"))</f>
        <v/>
      </c>
      <c r="AV2770" s="3">
        <f t="shared" si="131"/>
        <v>0</v>
      </c>
      <c r="AW2770" s="2" t="str">
        <f>IF(Registered!AV2770=0,"",IF(Registered!AV2770=1,Registered!AV2770&amp;" Meal",Registered!AV2770&amp;" Meals"))</f>
        <v/>
      </c>
      <c r="AX2770" s="2" t="str">
        <f>IF(Registered!AI2770=0,"",Registered!AI2770&amp;" BG")</f>
        <v/>
      </c>
      <c r="AY2770" s="2" t="str">
        <f>IF(Registered!AG2770=0,"",Registered!AG2770&amp;" DustMask")</f>
        <v/>
      </c>
    </row>
    <row r="2771" spans="44:51" x14ac:dyDescent="0.25">
      <c r="AR2771" s="3">
        <f t="shared" si="129"/>
        <v>0</v>
      </c>
      <c r="AS2771" s="3">
        <f t="shared" si="130"/>
        <v>0</v>
      </c>
      <c r="AT2771" s="3" t="str">
        <f>IF(OR(Registered!AM2771&gt;0,Registered!AO2771&gt;0),(IF(Registered!E2771=0,"Size Not Specified",Registered!E2771)),"")</f>
        <v/>
      </c>
      <c r="AU2771" s="3" t="str">
        <f>IF(Registered!AE2771=0,"",IF(Registered!AE2771=1,Registered!AE2771&amp;" Bandana",Registered!AE2771&amp;" Bandanas"))</f>
        <v/>
      </c>
      <c r="AV2771" s="3">
        <f t="shared" si="131"/>
        <v>0</v>
      </c>
      <c r="AW2771" s="2" t="str">
        <f>IF(Registered!AV2771=0,"",IF(Registered!AV2771=1,Registered!AV2771&amp;" Meal",Registered!AV2771&amp;" Meals"))</f>
        <v/>
      </c>
      <c r="AX2771" s="2" t="str">
        <f>IF(Registered!AI2771=0,"",Registered!AI2771&amp;" BG")</f>
        <v/>
      </c>
      <c r="AY2771" s="2" t="str">
        <f>IF(Registered!AG2771=0,"",Registered!AG2771&amp;" DustMask")</f>
        <v/>
      </c>
    </row>
    <row r="2772" spans="44:51" x14ac:dyDescent="0.25">
      <c r="AR2772" s="3">
        <f t="shared" si="129"/>
        <v>0</v>
      </c>
      <c r="AS2772" s="3">
        <f t="shared" si="130"/>
        <v>0</v>
      </c>
      <c r="AT2772" s="3" t="str">
        <f>IF(OR(Registered!AM2772&gt;0,Registered!AO2772&gt;0),(IF(Registered!E2772=0,"Size Not Specified",Registered!E2772)),"")</f>
        <v/>
      </c>
      <c r="AU2772" s="3" t="str">
        <f>IF(Registered!AE2772=0,"",IF(Registered!AE2772=1,Registered!AE2772&amp;" Bandana",Registered!AE2772&amp;" Bandanas"))</f>
        <v/>
      </c>
      <c r="AV2772" s="3">
        <f t="shared" si="131"/>
        <v>0</v>
      </c>
      <c r="AW2772" s="2" t="str">
        <f>IF(Registered!AV2772=0,"",IF(Registered!AV2772=1,Registered!AV2772&amp;" Meal",Registered!AV2772&amp;" Meals"))</f>
        <v/>
      </c>
      <c r="AX2772" s="2" t="str">
        <f>IF(Registered!AI2772=0,"",Registered!AI2772&amp;" BG")</f>
        <v/>
      </c>
      <c r="AY2772" s="2" t="str">
        <f>IF(Registered!AG2772=0,"",Registered!AG2772&amp;" DustMask")</f>
        <v/>
      </c>
    </row>
    <row r="2773" spans="44:51" x14ac:dyDescent="0.25">
      <c r="AR2773" s="3">
        <f t="shared" si="129"/>
        <v>0</v>
      </c>
      <c r="AS2773" s="3">
        <f t="shared" si="130"/>
        <v>0</v>
      </c>
      <c r="AT2773" s="3" t="str">
        <f>IF(OR(Registered!AM2773&gt;0,Registered!AO2773&gt;0),(IF(Registered!E2773=0,"Size Not Specified",Registered!E2773)),"")</f>
        <v/>
      </c>
      <c r="AU2773" s="3" t="str">
        <f>IF(Registered!AE2773=0,"",IF(Registered!AE2773=1,Registered!AE2773&amp;" Bandana",Registered!AE2773&amp;" Bandanas"))</f>
        <v/>
      </c>
      <c r="AV2773" s="3">
        <f t="shared" si="131"/>
        <v>0</v>
      </c>
      <c r="AW2773" s="2" t="str">
        <f>IF(Registered!AV2773=0,"",IF(Registered!AV2773=1,Registered!AV2773&amp;" Meal",Registered!AV2773&amp;" Meals"))</f>
        <v/>
      </c>
      <c r="AX2773" s="2" t="str">
        <f>IF(Registered!AI2773=0,"",Registered!AI2773&amp;" BG")</f>
        <v/>
      </c>
      <c r="AY2773" s="2" t="str">
        <f>IF(Registered!AG2773=0,"",Registered!AG2773&amp;" DustMask")</f>
        <v/>
      </c>
    </row>
    <row r="2774" spans="44:51" x14ac:dyDescent="0.25">
      <c r="AR2774" s="3">
        <f t="shared" si="129"/>
        <v>0</v>
      </c>
      <c r="AS2774" s="3">
        <f t="shared" si="130"/>
        <v>0</v>
      </c>
      <c r="AT2774" s="3" t="str">
        <f>IF(OR(Registered!AM2774&gt;0,Registered!AO2774&gt;0),(IF(Registered!E2774=0,"Size Not Specified",Registered!E2774)),"")</f>
        <v/>
      </c>
      <c r="AU2774" s="3" t="str">
        <f>IF(Registered!AE2774=0,"",IF(Registered!AE2774=1,Registered!AE2774&amp;" Bandana",Registered!AE2774&amp;" Bandanas"))</f>
        <v/>
      </c>
      <c r="AV2774" s="3">
        <f t="shared" si="131"/>
        <v>0</v>
      </c>
      <c r="AW2774" s="2" t="str">
        <f>IF(Registered!AV2774=0,"",IF(Registered!AV2774=1,Registered!AV2774&amp;" Meal",Registered!AV2774&amp;" Meals"))</f>
        <v/>
      </c>
      <c r="AX2774" s="2" t="str">
        <f>IF(Registered!AI2774=0,"",Registered!AI2774&amp;" BG")</f>
        <v/>
      </c>
      <c r="AY2774" s="2" t="str">
        <f>IF(Registered!AG2774=0,"",Registered!AG2774&amp;" DustMask")</f>
        <v/>
      </c>
    </row>
    <row r="2775" spans="44:51" x14ac:dyDescent="0.25">
      <c r="AR2775" s="3">
        <f t="shared" si="129"/>
        <v>0</v>
      </c>
      <c r="AS2775" s="3">
        <f t="shared" si="130"/>
        <v>0</v>
      </c>
      <c r="AT2775" s="3" t="str">
        <f>IF(OR(Registered!AM2775&gt;0,Registered!AO2775&gt;0),(IF(Registered!E2775=0,"Size Not Specified",Registered!E2775)),"")</f>
        <v/>
      </c>
      <c r="AU2775" s="3" t="str">
        <f>IF(Registered!AE2775=0,"",IF(Registered!AE2775=1,Registered!AE2775&amp;" Bandana",Registered!AE2775&amp;" Bandanas"))</f>
        <v/>
      </c>
      <c r="AV2775" s="3">
        <f t="shared" si="131"/>
        <v>0</v>
      </c>
      <c r="AW2775" s="2" t="str">
        <f>IF(Registered!AV2775=0,"",IF(Registered!AV2775=1,Registered!AV2775&amp;" Meal",Registered!AV2775&amp;" Meals"))</f>
        <v/>
      </c>
      <c r="AX2775" s="2" t="str">
        <f>IF(Registered!AI2775=0,"",Registered!AI2775&amp;" BG")</f>
        <v/>
      </c>
      <c r="AY2775" s="2" t="str">
        <f>IF(Registered!AG2775=0,"",Registered!AG2775&amp;" DustMask")</f>
        <v/>
      </c>
    </row>
    <row r="2776" spans="44:51" x14ac:dyDescent="0.25">
      <c r="AR2776" s="3">
        <f t="shared" si="129"/>
        <v>0</v>
      </c>
      <c r="AS2776" s="3">
        <f t="shared" si="130"/>
        <v>0</v>
      </c>
      <c r="AT2776" s="3" t="str">
        <f>IF(OR(Registered!AM2776&gt;0,Registered!AO2776&gt;0),(IF(Registered!E2776=0,"Size Not Specified",Registered!E2776)),"")</f>
        <v/>
      </c>
      <c r="AU2776" s="3" t="str">
        <f>IF(Registered!AE2776=0,"",IF(Registered!AE2776=1,Registered!AE2776&amp;" Bandana",Registered!AE2776&amp;" Bandanas"))</f>
        <v/>
      </c>
      <c r="AV2776" s="3">
        <f t="shared" si="131"/>
        <v>0</v>
      </c>
      <c r="AW2776" s="2" t="str">
        <f>IF(Registered!AV2776=0,"",IF(Registered!AV2776=1,Registered!AV2776&amp;" Meal",Registered!AV2776&amp;" Meals"))</f>
        <v/>
      </c>
      <c r="AX2776" s="2" t="str">
        <f>IF(Registered!AI2776=0,"",Registered!AI2776&amp;" BG")</f>
        <v/>
      </c>
      <c r="AY2776" s="2" t="str">
        <f>IF(Registered!AG2776=0,"",Registered!AG2776&amp;" DustMask")</f>
        <v/>
      </c>
    </row>
    <row r="2777" spans="44:51" x14ac:dyDescent="0.25">
      <c r="AR2777" s="3">
        <f t="shared" si="129"/>
        <v>0</v>
      </c>
      <c r="AS2777" s="3">
        <f t="shared" si="130"/>
        <v>0</v>
      </c>
      <c r="AT2777" s="3" t="str">
        <f>IF(OR(Registered!AM2777&gt;0,Registered!AO2777&gt;0),(IF(Registered!E2777=0,"Size Not Specified",Registered!E2777)),"")</f>
        <v/>
      </c>
      <c r="AU2777" s="3" t="str">
        <f>IF(Registered!AE2777=0,"",IF(Registered!AE2777=1,Registered!AE2777&amp;" Bandana",Registered!AE2777&amp;" Bandanas"))</f>
        <v/>
      </c>
      <c r="AV2777" s="3">
        <f t="shared" si="131"/>
        <v>0</v>
      </c>
      <c r="AW2777" s="2" t="str">
        <f>IF(Registered!AV2777=0,"",IF(Registered!AV2777=1,Registered!AV2777&amp;" Meal",Registered!AV2777&amp;" Meals"))</f>
        <v/>
      </c>
      <c r="AX2777" s="2" t="str">
        <f>IF(Registered!AI2777=0,"",Registered!AI2777&amp;" BG")</f>
        <v/>
      </c>
      <c r="AY2777" s="2" t="str">
        <f>IF(Registered!AG2777=0,"",Registered!AG2777&amp;" DustMask")</f>
        <v/>
      </c>
    </row>
    <row r="2778" spans="44:51" x14ac:dyDescent="0.25">
      <c r="AR2778" s="3">
        <f t="shared" si="129"/>
        <v>0</v>
      </c>
      <c r="AS2778" s="3">
        <f t="shared" si="130"/>
        <v>0</v>
      </c>
      <c r="AT2778" s="3" t="str">
        <f>IF(OR(Registered!AM2778&gt;0,Registered!AO2778&gt;0),(IF(Registered!E2778=0,"Size Not Specified",Registered!E2778)),"")</f>
        <v/>
      </c>
      <c r="AU2778" s="3" t="str">
        <f>IF(Registered!AE2778=0,"",IF(Registered!AE2778=1,Registered!AE2778&amp;" Bandana",Registered!AE2778&amp;" Bandanas"))</f>
        <v/>
      </c>
      <c r="AV2778" s="3">
        <f t="shared" si="131"/>
        <v>0</v>
      </c>
      <c r="AW2778" s="2" t="str">
        <f>IF(Registered!AV2778=0,"",IF(Registered!AV2778=1,Registered!AV2778&amp;" Meal",Registered!AV2778&amp;" Meals"))</f>
        <v/>
      </c>
      <c r="AX2778" s="2" t="str">
        <f>IF(Registered!AI2778=0,"",Registered!AI2778&amp;" BG")</f>
        <v/>
      </c>
      <c r="AY2778" s="2" t="str">
        <f>IF(Registered!AG2778=0,"",Registered!AG2778&amp;" DustMask")</f>
        <v/>
      </c>
    </row>
    <row r="2779" spans="44:51" x14ac:dyDescent="0.25">
      <c r="AR2779" s="3">
        <f t="shared" si="129"/>
        <v>0</v>
      </c>
      <c r="AS2779" s="3">
        <f t="shared" si="130"/>
        <v>0</v>
      </c>
      <c r="AT2779" s="3" t="str">
        <f>IF(OR(Registered!AM2779&gt;0,Registered!AO2779&gt;0),(IF(Registered!E2779=0,"Size Not Specified",Registered!E2779)),"")</f>
        <v/>
      </c>
      <c r="AU2779" s="3" t="str">
        <f>IF(Registered!AE2779=0,"",IF(Registered!AE2779=1,Registered!AE2779&amp;" Bandana",Registered!AE2779&amp;" Bandanas"))</f>
        <v/>
      </c>
      <c r="AV2779" s="3">
        <f t="shared" si="131"/>
        <v>0</v>
      </c>
      <c r="AW2779" s="2" t="str">
        <f>IF(Registered!AV2779=0,"",IF(Registered!AV2779=1,Registered!AV2779&amp;" Meal",Registered!AV2779&amp;" Meals"))</f>
        <v/>
      </c>
      <c r="AX2779" s="2" t="str">
        <f>IF(Registered!AI2779=0,"",Registered!AI2779&amp;" BG")</f>
        <v/>
      </c>
      <c r="AY2779" s="2" t="str">
        <f>IF(Registered!AG2779=0,"",Registered!AG2779&amp;" DustMask")</f>
        <v/>
      </c>
    </row>
    <row r="2780" spans="44:51" x14ac:dyDescent="0.25">
      <c r="AR2780" s="3">
        <f t="shared" si="129"/>
        <v>0</v>
      </c>
      <c r="AS2780" s="3">
        <f t="shared" si="130"/>
        <v>0</v>
      </c>
      <c r="AT2780" s="3" t="str">
        <f>IF(OR(Registered!AM2780&gt;0,Registered!AO2780&gt;0),(IF(Registered!E2780=0,"Size Not Specified",Registered!E2780)),"")</f>
        <v/>
      </c>
      <c r="AU2780" s="3" t="str">
        <f>IF(Registered!AE2780=0,"",IF(Registered!AE2780=1,Registered!AE2780&amp;" Bandana",Registered!AE2780&amp;" Bandanas"))</f>
        <v/>
      </c>
      <c r="AV2780" s="3">
        <f t="shared" si="131"/>
        <v>0</v>
      </c>
      <c r="AW2780" s="2" t="str">
        <f>IF(Registered!AV2780=0,"",IF(Registered!AV2780=1,Registered!AV2780&amp;" Meal",Registered!AV2780&amp;" Meals"))</f>
        <v/>
      </c>
      <c r="AX2780" s="2" t="str">
        <f>IF(Registered!AI2780=0,"",Registered!AI2780&amp;" BG")</f>
        <v/>
      </c>
      <c r="AY2780" s="2" t="str">
        <f>IF(Registered!AG2780=0,"",Registered!AG2780&amp;" DustMask")</f>
        <v/>
      </c>
    </row>
    <row r="2781" spans="44:51" x14ac:dyDescent="0.25">
      <c r="AR2781" s="3">
        <f t="shared" si="129"/>
        <v>0</v>
      </c>
      <c r="AS2781" s="3">
        <f t="shared" si="130"/>
        <v>0</v>
      </c>
      <c r="AT2781" s="3" t="str">
        <f>IF(OR(Registered!AM2781&gt;0,Registered!AO2781&gt;0),(IF(Registered!E2781=0,"Size Not Specified",Registered!E2781)),"")</f>
        <v/>
      </c>
      <c r="AU2781" s="3" t="str">
        <f>IF(Registered!AE2781=0,"",IF(Registered!AE2781=1,Registered!AE2781&amp;" Bandana",Registered!AE2781&amp;" Bandanas"))</f>
        <v/>
      </c>
      <c r="AV2781" s="3">
        <f t="shared" si="131"/>
        <v>0</v>
      </c>
      <c r="AW2781" s="2" t="str">
        <f>IF(Registered!AV2781=0,"",IF(Registered!AV2781=1,Registered!AV2781&amp;" Meal",Registered!AV2781&amp;" Meals"))</f>
        <v/>
      </c>
      <c r="AX2781" s="2" t="str">
        <f>IF(Registered!AI2781=0,"",Registered!AI2781&amp;" BG")</f>
        <v/>
      </c>
      <c r="AY2781" s="2" t="str">
        <f>IF(Registered!AG2781=0,"",Registered!AG2781&amp;" DustMask")</f>
        <v/>
      </c>
    </row>
    <row r="2782" spans="44:51" x14ac:dyDescent="0.25">
      <c r="AR2782" s="3">
        <f t="shared" si="129"/>
        <v>0</v>
      </c>
      <c r="AS2782" s="3">
        <f t="shared" si="130"/>
        <v>0</v>
      </c>
      <c r="AT2782" s="3" t="str">
        <f>IF(OR(Registered!AM2782&gt;0,Registered!AO2782&gt;0),(IF(Registered!E2782=0,"Size Not Specified",Registered!E2782)),"")</f>
        <v/>
      </c>
      <c r="AU2782" s="3" t="str">
        <f>IF(Registered!AE2782=0,"",IF(Registered!AE2782=1,Registered!AE2782&amp;" Bandana",Registered!AE2782&amp;" Bandanas"))</f>
        <v/>
      </c>
      <c r="AV2782" s="3">
        <f t="shared" si="131"/>
        <v>0</v>
      </c>
      <c r="AW2782" s="2" t="str">
        <f>IF(Registered!AV2782=0,"",IF(Registered!AV2782=1,Registered!AV2782&amp;" Meal",Registered!AV2782&amp;" Meals"))</f>
        <v/>
      </c>
      <c r="AX2782" s="2" t="str">
        <f>IF(Registered!AI2782=0,"",Registered!AI2782&amp;" BG")</f>
        <v/>
      </c>
      <c r="AY2782" s="2" t="str">
        <f>IF(Registered!AG2782=0,"",Registered!AG2782&amp;" DustMask")</f>
        <v/>
      </c>
    </row>
    <row r="2783" spans="44:51" x14ac:dyDescent="0.25">
      <c r="AR2783" s="3">
        <f t="shared" si="129"/>
        <v>0</v>
      </c>
      <c r="AS2783" s="3">
        <f t="shared" si="130"/>
        <v>0</v>
      </c>
      <c r="AT2783" s="3" t="str">
        <f>IF(OR(Registered!AM2783&gt;0,Registered!AO2783&gt;0),(IF(Registered!E2783=0,"Size Not Specified",Registered!E2783)),"")</f>
        <v/>
      </c>
      <c r="AU2783" s="3" t="str">
        <f>IF(Registered!AE2783=0,"",IF(Registered!AE2783=1,Registered!AE2783&amp;" Bandana",Registered!AE2783&amp;" Bandanas"))</f>
        <v/>
      </c>
      <c r="AV2783" s="3">
        <f t="shared" si="131"/>
        <v>0</v>
      </c>
      <c r="AW2783" s="2" t="str">
        <f>IF(Registered!AV2783=0,"",IF(Registered!AV2783=1,Registered!AV2783&amp;" Meal",Registered!AV2783&amp;" Meals"))</f>
        <v/>
      </c>
      <c r="AX2783" s="2" t="str">
        <f>IF(Registered!AI2783=0,"",Registered!AI2783&amp;" BG")</f>
        <v/>
      </c>
      <c r="AY2783" s="2" t="str">
        <f>IF(Registered!AG2783=0,"",Registered!AG2783&amp;" DustMask")</f>
        <v/>
      </c>
    </row>
    <row r="2784" spans="44:51" x14ac:dyDescent="0.25">
      <c r="AR2784" s="3">
        <f t="shared" si="129"/>
        <v>0</v>
      </c>
      <c r="AS2784" s="3">
        <f t="shared" si="130"/>
        <v>0</v>
      </c>
      <c r="AT2784" s="3" t="str">
        <f>IF(OR(Registered!AM2784&gt;0,Registered!AO2784&gt;0),(IF(Registered!E2784=0,"Size Not Specified",Registered!E2784)),"")</f>
        <v/>
      </c>
      <c r="AU2784" s="3" t="str">
        <f>IF(Registered!AE2784=0,"",IF(Registered!AE2784=1,Registered!AE2784&amp;" Bandana",Registered!AE2784&amp;" Bandanas"))</f>
        <v/>
      </c>
      <c r="AV2784" s="3">
        <f t="shared" si="131"/>
        <v>0</v>
      </c>
      <c r="AW2784" s="2" t="str">
        <f>IF(Registered!AV2784=0,"",IF(Registered!AV2784=1,Registered!AV2784&amp;" Meal",Registered!AV2784&amp;" Meals"))</f>
        <v/>
      </c>
      <c r="AX2784" s="2" t="str">
        <f>IF(Registered!AI2784=0,"",Registered!AI2784&amp;" BG")</f>
        <v/>
      </c>
      <c r="AY2784" s="2" t="str">
        <f>IF(Registered!AG2784=0,"",Registered!AG2784&amp;" DustMask")</f>
        <v/>
      </c>
    </row>
    <row r="2785" spans="44:51" x14ac:dyDescent="0.25">
      <c r="AR2785" s="3">
        <f t="shared" si="129"/>
        <v>0</v>
      </c>
      <c r="AS2785" s="3">
        <f t="shared" si="130"/>
        <v>0</v>
      </c>
      <c r="AT2785" s="3" t="str">
        <f>IF(OR(Registered!AM2785&gt;0,Registered!AO2785&gt;0),(IF(Registered!E2785=0,"Size Not Specified",Registered!E2785)),"")</f>
        <v/>
      </c>
      <c r="AU2785" s="3" t="str">
        <f>IF(Registered!AE2785=0,"",IF(Registered!AE2785=1,Registered!AE2785&amp;" Bandana",Registered!AE2785&amp;" Bandanas"))</f>
        <v/>
      </c>
      <c r="AV2785" s="3">
        <f t="shared" si="131"/>
        <v>0</v>
      </c>
      <c r="AW2785" s="2" t="str">
        <f>IF(Registered!AV2785=0,"",IF(Registered!AV2785=1,Registered!AV2785&amp;" Meal",Registered!AV2785&amp;" Meals"))</f>
        <v/>
      </c>
      <c r="AX2785" s="2" t="str">
        <f>IF(Registered!AI2785=0,"",Registered!AI2785&amp;" BG")</f>
        <v/>
      </c>
      <c r="AY2785" s="2" t="str">
        <f>IF(Registered!AG2785=0,"",Registered!AG2785&amp;" DustMask")</f>
        <v/>
      </c>
    </row>
    <row r="2786" spans="44:51" x14ac:dyDescent="0.25">
      <c r="AR2786" s="3">
        <f t="shared" si="129"/>
        <v>0</v>
      </c>
      <c r="AS2786" s="3">
        <f t="shared" si="130"/>
        <v>0</v>
      </c>
      <c r="AT2786" s="3" t="str">
        <f>IF(OR(Registered!AM2786&gt;0,Registered!AO2786&gt;0),(IF(Registered!E2786=0,"Size Not Specified",Registered!E2786)),"")</f>
        <v/>
      </c>
      <c r="AU2786" s="3" t="str">
        <f>IF(Registered!AE2786=0,"",IF(Registered!AE2786=1,Registered!AE2786&amp;" Bandana",Registered!AE2786&amp;" Bandanas"))</f>
        <v/>
      </c>
      <c r="AV2786" s="3">
        <f t="shared" si="131"/>
        <v>0</v>
      </c>
      <c r="AW2786" s="2" t="str">
        <f>IF(Registered!AV2786=0,"",IF(Registered!AV2786=1,Registered!AV2786&amp;" Meal",Registered!AV2786&amp;" Meals"))</f>
        <v/>
      </c>
      <c r="AX2786" s="2" t="str">
        <f>IF(Registered!AI2786=0,"",Registered!AI2786&amp;" BG")</f>
        <v/>
      </c>
      <c r="AY2786" s="2" t="str">
        <f>IF(Registered!AG2786=0,"",Registered!AG2786&amp;" DustMask")</f>
        <v/>
      </c>
    </row>
    <row r="2787" spans="44:51" x14ac:dyDescent="0.25">
      <c r="AR2787" s="3">
        <f t="shared" si="129"/>
        <v>0</v>
      </c>
      <c r="AS2787" s="3">
        <f t="shared" si="130"/>
        <v>0</v>
      </c>
      <c r="AT2787" s="3" t="str">
        <f>IF(OR(Registered!AM2787&gt;0,Registered!AO2787&gt;0),(IF(Registered!E2787=0,"Size Not Specified",Registered!E2787)),"")</f>
        <v/>
      </c>
      <c r="AU2787" s="3" t="str">
        <f>IF(Registered!AE2787=0,"",IF(Registered!AE2787=1,Registered!AE2787&amp;" Bandana",Registered!AE2787&amp;" Bandanas"))</f>
        <v/>
      </c>
      <c r="AV2787" s="3">
        <f t="shared" si="131"/>
        <v>0</v>
      </c>
      <c r="AW2787" s="2" t="str">
        <f>IF(Registered!AV2787=0,"",IF(Registered!AV2787=1,Registered!AV2787&amp;" Meal",Registered!AV2787&amp;" Meals"))</f>
        <v/>
      </c>
      <c r="AX2787" s="2" t="str">
        <f>IF(Registered!AI2787=0,"",Registered!AI2787&amp;" BG")</f>
        <v/>
      </c>
      <c r="AY2787" s="2" t="str">
        <f>IF(Registered!AG2787=0,"",Registered!AG2787&amp;" DustMask")</f>
        <v/>
      </c>
    </row>
    <row r="2788" spans="44:51" x14ac:dyDescent="0.25">
      <c r="AR2788" s="3">
        <f t="shared" si="129"/>
        <v>0</v>
      </c>
      <c r="AS2788" s="3">
        <f t="shared" si="130"/>
        <v>0</v>
      </c>
      <c r="AT2788" s="3" t="str">
        <f>IF(OR(Registered!AM2788&gt;0,Registered!AO2788&gt;0),(IF(Registered!E2788=0,"Size Not Specified",Registered!E2788)),"")</f>
        <v/>
      </c>
      <c r="AU2788" s="3" t="str">
        <f>IF(Registered!AE2788=0,"",IF(Registered!AE2788=1,Registered!AE2788&amp;" Bandana",Registered!AE2788&amp;" Bandanas"))</f>
        <v/>
      </c>
      <c r="AV2788" s="3">
        <f t="shared" si="131"/>
        <v>0</v>
      </c>
      <c r="AW2788" s="2" t="str">
        <f>IF(Registered!AV2788=0,"",IF(Registered!AV2788=1,Registered!AV2788&amp;" Meal",Registered!AV2788&amp;" Meals"))</f>
        <v/>
      </c>
      <c r="AX2788" s="2" t="str">
        <f>IF(Registered!AI2788=0,"",Registered!AI2788&amp;" BG")</f>
        <v/>
      </c>
      <c r="AY2788" s="2" t="str">
        <f>IF(Registered!AG2788=0,"",Registered!AG2788&amp;" DustMask")</f>
        <v/>
      </c>
    </row>
    <row r="2789" spans="44:51" x14ac:dyDescent="0.25">
      <c r="AR2789" s="3">
        <f t="shared" si="129"/>
        <v>0</v>
      </c>
      <c r="AS2789" s="3">
        <f t="shared" si="130"/>
        <v>0</v>
      </c>
      <c r="AT2789" s="3" t="str">
        <f>IF(OR(Registered!AM2789&gt;0,Registered!AO2789&gt;0),(IF(Registered!E2789=0,"Size Not Specified",Registered!E2789)),"")</f>
        <v/>
      </c>
      <c r="AU2789" s="3" t="str">
        <f>IF(Registered!AE2789=0,"",IF(Registered!AE2789=1,Registered!AE2789&amp;" Bandana",Registered!AE2789&amp;" Bandanas"))</f>
        <v/>
      </c>
      <c r="AV2789" s="3">
        <f t="shared" si="131"/>
        <v>0</v>
      </c>
      <c r="AW2789" s="2" t="str">
        <f>IF(Registered!AV2789=0,"",IF(Registered!AV2789=1,Registered!AV2789&amp;" Meal",Registered!AV2789&amp;" Meals"))</f>
        <v/>
      </c>
      <c r="AX2789" s="2" t="str">
        <f>IF(Registered!AI2789=0,"",Registered!AI2789&amp;" BG")</f>
        <v/>
      </c>
      <c r="AY2789" s="2" t="str">
        <f>IF(Registered!AG2789=0,"",Registered!AG2789&amp;" DustMask")</f>
        <v/>
      </c>
    </row>
    <row r="2790" spans="44:51" x14ac:dyDescent="0.25">
      <c r="AR2790" s="3">
        <f t="shared" si="129"/>
        <v>0</v>
      </c>
      <c r="AS2790" s="3">
        <f t="shared" si="130"/>
        <v>0</v>
      </c>
      <c r="AT2790" s="3" t="str">
        <f>IF(OR(Registered!AM2790&gt;0,Registered!AO2790&gt;0),(IF(Registered!E2790=0,"Size Not Specified",Registered!E2790)),"")</f>
        <v/>
      </c>
      <c r="AU2790" s="3" t="str">
        <f>IF(Registered!AE2790=0,"",IF(Registered!AE2790=1,Registered!AE2790&amp;" Bandana",Registered!AE2790&amp;" Bandanas"))</f>
        <v/>
      </c>
      <c r="AV2790" s="3">
        <f t="shared" si="131"/>
        <v>0</v>
      </c>
      <c r="AW2790" s="2" t="str">
        <f>IF(Registered!AV2790=0,"",IF(Registered!AV2790=1,Registered!AV2790&amp;" Meal",Registered!AV2790&amp;" Meals"))</f>
        <v/>
      </c>
      <c r="AX2790" s="2" t="str">
        <f>IF(Registered!AI2790=0,"",Registered!AI2790&amp;" BG")</f>
        <v/>
      </c>
      <c r="AY2790" s="2" t="str">
        <f>IF(Registered!AG2790=0,"",Registered!AG2790&amp;" DustMask")</f>
        <v/>
      </c>
    </row>
    <row r="2791" spans="44:51" x14ac:dyDescent="0.25">
      <c r="AR2791" s="3">
        <f t="shared" si="129"/>
        <v>0</v>
      </c>
      <c r="AS2791" s="3">
        <f t="shared" si="130"/>
        <v>0</v>
      </c>
      <c r="AT2791" s="3" t="str">
        <f>IF(OR(Registered!AM2791&gt;0,Registered!AO2791&gt;0),(IF(Registered!E2791=0,"Size Not Specified",Registered!E2791)),"")</f>
        <v/>
      </c>
      <c r="AU2791" s="3" t="str">
        <f>IF(Registered!AE2791=0,"",IF(Registered!AE2791=1,Registered!AE2791&amp;" Bandana",Registered!AE2791&amp;" Bandanas"))</f>
        <v/>
      </c>
      <c r="AV2791" s="3">
        <f t="shared" si="131"/>
        <v>0</v>
      </c>
      <c r="AW2791" s="2" t="str">
        <f>IF(Registered!AV2791=0,"",IF(Registered!AV2791=1,Registered!AV2791&amp;" Meal",Registered!AV2791&amp;" Meals"))</f>
        <v/>
      </c>
      <c r="AX2791" s="2" t="str">
        <f>IF(Registered!AI2791=0,"",Registered!AI2791&amp;" BG")</f>
        <v/>
      </c>
      <c r="AY2791" s="2" t="str">
        <f>IF(Registered!AG2791=0,"",Registered!AG2791&amp;" DustMask")</f>
        <v/>
      </c>
    </row>
    <row r="2792" spans="44:51" x14ac:dyDescent="0.25">
      <c r="AR2792" s="3">
        <f t="shared" si="129"/>
        <v>0</v>
      </c>
      <c r="AS2792" s="3">
        <f t="shared" si="130"/>
        <v>0</v>
      </c>
      <c r="AT2792" s="3" t="str">
        <f>IF(OR(Registered!AM2792&gt;0,Registered!AO2792&gt;0),(IF(Registered!E2792=0,"Size Not Specified",Registered!E2792)),"")</f>
        <v/>
      </c>
      <c r="AU2792" s="3" t="str">
        <f>IF(Registered!AE2792=0,"",IF(Registered!AE2792=1,Registered!AE2792&amp;" Bandana",Registered!AE2792&amp;" Bandanas"))</f>
        <v/>
      </c>
      <c r="AV2792" s="3">
        <f t="shared" si="131"/>
        <v>0</v>
      </c>
      <c r="AW2792" s="2" t="str">
        <f>IF(Registered!AV2792=0,"",IF(Registered!AV2792=1,Registered!AV2792&amp;" Meal",Registered!AV2792&amp;" Meals"))</f>
        <v/>
      </c>
      <c r="AX2792" s="2" t="str">
        <f>IF(Registered!AI2792=0,"",Registered!AI2792&amp;" BG")</f>
        <v/>
      </c>
      <c r="AY2792" s="2" t="str">
        <f>IF(Registered!AG2792=0,"",Registered!AG2792&amp;" DustMask")</f>
        <v/>
      </c>
    </row>
    <row r="2793" spans="44:51" x14ac:dyDescent="0.25">
      <c r="AR2793" s="3">
        <f t="shared" si="129"/>
        <v>0</v>
      </c>
      <c r="AS2793" s="3">
        <f t="shared" si="130"/>
        <v>0</v>
      </c>
      <c r="AT2793" s="3" t="str">
        <f>IF(OR(Registered!AM2793&gt;0,Registered!AO2793&gt;0),(IF(Registered!E2793=0,"Size Not Specified",Registered!E2793)),"")</f>
        <v/>
      </c>
      <c r="AU2793" s="3" t="str">
        <f>IF(Registered!AE2793=0,"",IF(Registered!AE2793=1,Registered!AE2793&amp;" Bandana",Registered!AE2793&amp;" Bandanas"))</f>
        <v/>
      </c>
      <c r="AV2793" s="3">
        <f t="shared" si="131"/>
        <v>0</v>
      </c>
      <c r="AW2793" s="2" t="str">
        <f>IF(Registered!AV2793=0,"",IF(Registered!AV2793=1,Registered!AV2793&amp;" Meal",Registered!AV2793&amp;" Meals"))</f>
        <v/>
      </c>
      <c r="AX2793" s="2" t="str">
        <f>IF(Registered!AI2793=0,"",Registered!AI2793&amp;" BG")</f>
        <v/>
      </c>
      <c r="AY2793" s="2" t="str">
        <f>IF(Registered!AG2793=0,"",Registered!AG2793&amp;" DustMask")</f>
        <v/>
      </c>
    </row>
    <row r="2794" spans="44:51" x14ac:dyDescent="0.25">
      <c r="AR2794" s="3">
        <f t="shared" si="129"/>
        <v>0</v>
      </c>
      <c r="AS2794" s="3">
        <f t="shared" si="130"/>
        <v>0</v>
      </c>
      <c r="AT2794" s="3" t="str">
        <f>IF(OR(Registered!AM2794&gt;0,Registered!AO2794&gt;0),(IF(Registered!E2794=0,"Size Not Specified",Registered!E2794)),"")</f>
        <v/>
      </c>
      <c r="AU2794" s="3" t="str">
        <f>IF(Registered!AE2794=0,"",IF(Registered!AE2794=1,Registered!AE2794&amp;" Bandana",Registered!AE2794&amp;" Bandanas"))</f>
        <v/>
      </c>
      <c r="AV2794" s="3">
        <f t="shared" si="131"/>
        <v>0</v>
      </c>
      <c r="AW2794" s="2" t="str">
        <f>IF(Registered!AV2794=0,"",IF(Registered!AV2794=1,Registered!AV2794&amp;" Meal",Registered!AV2794&amp;" Meals"))</f>
        <v/>
      </c>
      <c r="AX2794" s="2" t="str">
        <f>IF(Registered!AI2794=0,"",Registered!AI2794&amp;" BG")</f>
        <v/>
      </c>
      <c r="AY2794" s="2" t="str">
        <f>IF(Registered!AG2794=0,"",Registered!AG2794&amp;" DustMask")</f>
        <v/>
      </c>
    </row>
    <row r="2795" spans="44:51" x14ac:dyDescent="0.25">
      <c r="AR2795" s="3">
        <f t="shared" si="129"/>
        <v>0</v>
      </c>
      <c r="AS2795" s="3">
        <f t="shared" si="130"/>
        <v>0</v>
      </c>
      <c r="AT2795" s="3" t="str">
        <f>IF(OR(Registered!AM2795&gt;0,Registered!AO2795&gt;0),(IF(Registered!E2795=0,"Size Not Specified",Registered!E2795)),"")</f>
        <v/>
      </c>
      <c r="AU2795" s="3" t="str">
        <f>IF(Registered!AE2795=0,"",IF(Registered!AE2795=1,Registered!AE2795&amp;" Bandana",Registered!AE2795&amp;" Bandanas"))</f>
        <v/>
      </c>
      <c r="AV2795" s="3">
        <f t="shared" si="131"/>
        <v>0</v>
      </c>
      <c r="AW2795" s="2" t="str">
        <f>IF(Registered!AV2795=0,"",IF(Registered!AV2795=1,Registered!AV2795&amp;" Meal",Registered!AV2795&amp;" Meals"))</f>
        <v/>
      </c>
      <c r="AX2795" s="2" t="str">
        <f>IF(Registered!AI2795=0,"",Registered!AI2795&amp;" BG")</f>
        <v/>
      </c>
      <c r="AY2795" s="2" t="str">
        <f>IF(Registered!AG2795=0,"",Registered!AG2795&amp;" DustMask")</f>
        <v/>
      </c>
    </row>
    <row r="2796" spans="44:51" x14ac:dyDescent="0.25">
      <c r="AR2796" s="3">
        <f t="shared" si="129"/>
        <v>0</v>
      </c>
      <c r="AS2796" s="3">
        <f t="shared" si="130"/>
        <v>0</v>
      </c>
      <c r="AT2796" s="3" t="str">
        <f>IF(OR(Registered!AM2796&gt;0,Registered!AO2796&gt;0),(IF(Registered!E2796=0,"Size Not Specified",Registered!E2796)),"")</f>
        <v/>
      </c>
      <c r="AU2796" s="3" t="str">
        <f>IF(Registered!AE2796=0,"",IF(Registered!AE2796=1,Registered!AE2796&amp;" Bandana",Registered!AE2796&amp;" Bandanas"))</f>
        <v/>
      </c>
      <c r="AV2796" s="3">
        <f t="shared" si="131"/>
        <v>0</v>
      </c>
      <c r="AW2796" s="2" t="str">
        <f>IF(Registered!AV2796=0,"",IF(Registered!AV2796=1,Registered!AV2796&amp;" Meal",Registered!AV2796&amp;" Meals"))</f>
        <v/>
      </c>
      <c r="AX2796" s="2" t="str">
        <f>IF(Registered!AI2796=0,"",Registered!AI2796&amp;" BG")</f>
        <v/>
      </c>
      <c r="AY2796" s="2" t="str">
        <f>IF(Registered!AG2796=0,"",Registered!AG2796&amp;" DustMask")</f>
        <v/>
      </c>
    </row>
    <row r="2797" spans="44:51" x14ac:dyDescent="0.25">
      <c r="AR2797" s="3">
        <f t="shared" si="129"/>
        <v>0</v>
      </c>
      <c r="AS2797" s="3">
        <f t="shared" si="130"/>
        <v>0</v>
      </c>
      <c r="AT2797" s="3" t="str">
        <f>IF(OR(Registered!AM2797&gt;0,Registered!AO2797&gt;0),(IF(Registered!E2797=0,"Size Not Specified",Registered!E2797)),"")</f>
        <v/>
      </c>
      <c r="AU2797" s="3" t="str">
        <f>IF(Registered!AE2797=0,"",IF(Registered!AE2797=1,Registered!AE2797&amp;" Bandana",Registered!AE2797&amp;" Bandanas"))</f>
        <v/>
      </c>
      <c r="AV2797" s="3">
        <f t="shared" si="131"/>
        <v>0</v>
      </c>
      <c r="AW2797" s="2" t="str">
        <f>IF(Registered!AV2797=0,"",IF(Registered!AV2797=1,Registered!AV2797&amp;" Meal",Registered!AV2797&amp;" Meals"))</f>
        <v/>
      </c>
      <c r="AX2797" s="2" t="str">
        <f>IF(Registered!AI2797=0,"",Registered!AI2797&amp;" BG")</f>
        <v/>
      </c>
      <c r="AY2797" s="2" t="str">
        <f>IF(Registered!AG2797=0,"",Registered!AG2797&amp;" DustMask")</f>
        <v/>
      </c>
    </row>
    <row r="2798" spans="44:51" x14ac:dyDescent="0.25">
      <c r="AR2798" s="3">
        <f t="shared" si="129"/>
        <v>0</v>
      </c>
      <c r="AS2798" s="3">
        <f t="shared" si="130"/>
        <v>0</v>
      </c>
      <c r="AT2798" s="3" t="str">
        <f>IF(OR(Registered!AM2798&gt;0,Registered!AO2798&gt;0),(IF(Registered!E2798=0,"Size Not Specified",Registered!E2798)),"")</f>
        <v/>
      </c>
      <c r="AU2798" s="3" t="str">
        <f>IF(Registered!AE2798=0,"",IF(Registered!AE2798=1,Registered!AE2798&amp;" Bandana",Registered!AE2798&amp;" Bandanas"))</f>
        <v/>
      </c>
      <c r="AV2798" s="3">
        <f t="shared" si="131"/>
        <v>0</v>
      </c>
      <c r="AW2798" s="2" t="str">
        <f>IF(Registered!AV2798=0,"",IF(Registered!AV2798=1,Registered!AV2798&amp;" Meal",Registered!AV2798&amp;" Meals"))</f>
        <v/>
      </c>
      <c r="AX2798" s="2" t="str">
        <f>IF(Registered!AI2798=0,"",Registered!AI2798&amp;" BG")</f>
        <v/>
      </c>
      <c r="AY2798" s="2" t="str">
        <f>IF(Registered!AG2798=0,"",Registered!AG2798&amp;" DustMask")</f>
        <v/>
      </c>
    </row>
    <row r="2799" spans="44:51" x14ac:dyDescent="0.25">
      <c r="AR2799" s="3">
        <f t="shared" si="129"/>
        <v>0</v>
      </c>
      <c r="AS2799" s="3">
        <f t="shared" si="130"/>
        <v>0</v>
      </c>
      <c r="AT2799" s="3" t="str">
        <f>IF(OR(Registered!AM2799&gt;0,Registered!AO2799&gt;0),(IF(Registered!E2799=0,"Size Not Specified",Registered!E2799)),"")</f>
        <v/>
      </c>
      <c r="AU2799" s="3" t="str">
        <f>IF(Registered!AE2799=0,"",IF(Registered!AE2799=1,Registered!AE2799&amp;" Bandana",Registered!AE2799&amp;" Bandanas"))</f>
        <v/>
      </c>
      <c r="AV2799" s="3">
        <f t="shared" si="131"/>
        <v>0</v>
      </c>
      <c r="AW2799" s="2" t="str">
        <f>IF(Registered!AV2799=0,"",IF(Registered!AV2799=1,Registered!AV2799&amp;" Meal",Registered!AV2799&amp;" Meals"))</f>
        <v/>
      </c>
      <c r="AX2799" s="2" t="str">
        <f>IF(Registered!AI2799=0,"",Registered!AI2799&amp;" BG")</f>
        <v/>
      </c>
      <c r="AY2799" s="2" t="str">
        <f>IF(Registered!AG2799=0,"",Registered!AG2799&amp;" DustMask")</f>
        <v/>
      </c>
    </row>
    <row r="2800" spans="44:51" x14ac:dyDescent="0.25">
      <c r="AR2800" s="3">
        <f t="shared" si="129"/>
        <v>0</v>
      </c>
      <c r="AS2800" s="3">
        <f t="shared" si="130"/>
        <v>0</v>
      </c>
      <c r="AT2800" s="3" t="str">
        <f>IF(OR(Registered!AM2800&gt;0,Registered!AO2800&gt;0),(IF(Registered!E2800=0,"Size Not Specified",Registered!E2800)),"")</f>
        <v/>
      </c>
      <c r="AU2800" s="3" t="str">
        <f>IF(Registered!AE2800=0,"",IF(Registered!AE2800=1,Registered!AE2800&amp;" Bandana",Registered!AE2800&amp;" Bandanas"))</f>
        <v/>
      </c>
      <c r="AV2800" s="3">
        <f t="shared" si="131"/>
        <v>0</v>
      </c>
      <c r="AW2800" s="2" t="str">
        <f>IF(Registered!AV2800=0,"",IF(Registered!AV2800=1,Registered!AV2800&amp;" Meal",Registered!AV2800&amp;" Meals"))</f>
        <v/>
      </c>
      <c r="AX2800" s="2" t="str">
        <f>IF(Registered!AI2800=0,"",Registered!AI2800&amp;" BG")</f>
        <v/>
      </c>
      <c r="AY2800" s="2" t="str">
        <f>IF(Registered!AG2800=0,"",Registered!AG2800&amp;" DustMask")</f>
        <v/>
      </c>
    </row>
    <row r="2801" spans="44:51" x14ac:dyDescent="0.25">
      <c r="AR2801" s="3">
        <f t="shared" si="129"/>
        <v>0</v>
      </c>
      <c r="AS2801" s="3">
        <f t="shared" si="130"/>
        <v>0</v>
      </c>
      <c r="AT2801" s="3" t="str">
        <f>IF(OR(Registered!AM2801&gt;0,Registered!AO2801&gt;0),(IF(Registered!E2801=0,"Size Not Specified",Registered!E2801)),"")</f>
        <v/>
      </c>
      <c r="AU2801" s="3" t="str">
        <f>IF(Registered!AE2801=0,"",IF(Registered!AE2801=1,Registered!AE2801&amp;" Bandana",Registered!AE2801&amp;" Bandanas"))</f>
        <v/>
      </c>
      <c r="AV2801" s="3">
        <f t="shared" si="131"/>
        <v>0</v>
      </c>
      <c r="AW2801" s="2" t="str">
        <f>IF(Registered!AV2801=0,"",IF(Registered!AV2801=1,Registered!AV2801&amp;" Meal",Registered!AV2801&amp;" Meals"))</f>
        <v/>
      </c>
      <c r="AX2801" s="2" t="str">
        <f>IF(Registered!AI2801=0,"",Registered!AI2801&amp;" BG")</f>
        <v/>
      </c>
      <c r="AY2801" s="2" t="str">
        <f>IF(Registered!AG2801=0,"",Registered!AG2801&amp;" DustMask")</f>
        <v/>
      </c>
    </row>
    <row r="2802" spans="44:51" x14ac:dyDescent="0.25">
      <c r="AR2802" s="3">
        <f t="shared" si="129"/>
        <v>0</v>
      </c>
      <c r="AS2802" s="3">
        <f t="shared" si="130"/>
        <v>0</v>
      </c>
      <c r="AT2802" s="3" t="str">
        <f>IF(OR(Registered!AM2802&gt;0,Registered!AO2802&gt;0),(IF(Registered!E2802=0,"Size Not Specified",Registered!E2802)),"")</f>
        <v/>
      </c>
      <c r="AU2802" s="3" t="str">
        <f>IF(Registered!AE2802=0,"",IF(Registered!AE2802=1,Registered!AE2802&amp;" Bandana",Registered!AE2802&amp;" Bandanas"))</f>
        <v/>
      </c>
      <c r="AV2802" s="3">
        <f t="shared" si="131"/>
        <v>0</v>
      </c>
      <c r="AW2802" s="2" t="str">
        <f>IF(Registered!AV2802=0,"",IF(Registered!AV2802=1,Registered!AV2802&amp;" Meal",Registered!AV2802&amp;" Meals"))</f>
        <v/>
      </c>
      <c r="AX2802" s="2" t="str">
        <f>IF(Registered!AI2802=0,"",Registered!AI2802&amp;" BG")</f>
        <v/>
      </c>
      <c r="AY2802" s="2" t="str">
        <f>IF(Registered!AG2802=0,"",Registered!AG2802&amp;" DustMask")</f>
        <v/>
      </c>
    </row>
    <row r="2803" spans="44:51" x14ac:dyDescent="0.25">
      <c r="AR2803" s="3">
        <f t="shared" si="129"/>
        <v>0</v>
      </c>
      <c r="AS2803" s="3">
        <f t="shared" si="130"/>
        <v>0</v>
      </c>
      <c r="AT2803" s="3" t="str">
        <f>IF(OR(Registered!AM2803&gt;0,Registered!AO2803&gt;0),(IF(Registered!E2803=0,"Size Not Specified",Registered!E2803)),"")</f>
        <v/>
      </c>
      <c r="AU2803" s="3" t="str">
        <f>IF(Registered!AE2803=0,"",IF(Registered!AE2803=1,Registered!AE2803&amp;" Bandana",Registered!AE2803&amp;" Bandanas"))</f>
        <v/>
      </c>
      <c r="AV2803" s="3">
        <f t="shared" si="131"/>
        <v>0</v>
      </c>
      <c r="AW2803" s="2" t="str">
        <f>IF(Registered!AV2803=0,"",IF(Registered!AV2803=1,Registered!AV2803&amp;" Meal",Registered!AV2803&amp;" Meals"))</f>
        <v/>
      </c>
      <c r="AX2803" s="2" t="str">
        <f>IF(Registered!AI2803=0,"",Registered!AI2803&amp;" BG")</f>
        <v/>
      </c>
      <c r="AY2803" s="2" t="str">
        <f>IF(Registered!AG2803=0,"",Registered!AG2803&amp;" DustMask")</f>
        <v/>
      </c>
    </row>
    <row r="2804" spans="44:51" x14ac:dyDescent="0.25">
      <c r="AR2804" s="3">
        <f t="shared" si="129"/>
        <v>0</v>
      </c>
      <c r="AS2804" s="3">
        <f t="shared" si="130"/>
        <v>0</v>
      </c>
      <c r="AT2804" s="3" t="str">
        <f>IF(OR(Registered!AM2804&gt;0,Registered!AO2804&gt;0),(IF(Registered!E2804=0,"Size Not Specified",Registered!E2804)),"")</f>
        <v/>
      </c>
      <c r="AU2804" s="3" t="str">
        <f>IF(Registered!AE2804=0,"",IF(Registered!AE2804=1,Registered!AE2804&amp;" Bandana",Registered!AE2804&amp;" Bandanas"))</f>
        <v/>
      </c>
      <c r="AV2804" s="3">
        <f t="shared" si="131"/>
        <v>0</v>
      </c>
      <c r="AW2804" s="2" t="str">
        <f>IF(Registered!AV2804=0,"",IF(Registered!AV2804=1,Registered!AV2804&amp;" Meal",Registered!AV2804&amp;" Meals"))</f>
        <v/>
      </c>
      <c r="AX2804" s="2" t="str">
        <f>IF(Registered!AI2804=0,"",Registered!AI2804&amp;" BG")</f>
        <v/>
      </c>
      <c r="AY2804" s="2" t="str">
        <f>IF(Registered!AG2804=0,"",Registered!AG2804&amp;" DustMask")</f>
        <v/>
      </c>
    </row>
    <row r="2805" spans="44:51" x14ac:dyDescent="0.25">
      <c r="AR2805" s="3">
        <f t="shared" si="129"/>
        <v>0</v>
      </c>
      <c r="AS2805" s="3">
        <f t="shared" si="130"/>
        <v>0</v>
      </c>
      <c r="AT2805" s="3" t="str">
        <f>IF(OR(Registered!AM2805&gt;0,Registered!AO2805&gt;0),(IF(Registered!E2805=0,"Size Not Specified",Registered!E2805)),"")</f>
        <v/>
      </c>
      <c r="AU2805" s="3" t="str">
        <f>IF(Registered!AE2805=0,"",IF(Registered!AE2805=1,Registered!AE2805&amp;" Bandana",Registered!AE2805&amp;" Bandanas"))</f>
        <v/>
      </c>
      <c r="AV2805" s="3">
        <f t="shared" si="131"/>
        <v>0</v>
      </c>
      <c r="AW2805" s="2" t="str">
        <f>IF(Registered!AV2805=0,"",IF(Registered!AV2805=1,Registered!AV2805&amp;" Meal",Registered!AV2805&amp;" Meals"))</f>
        <v/>
      </c>
      <c r="AX2805" s="2" t="str">
        <f>IF(Registered!AI2805=0,"",Registered!AI2805&amp;" BG")</f>
        <v/>
      </c>
      <c r="AY2805" s="2" t="str">
        <f>IF(Registered!AG2805=0,"",Registered!AG2805&amp;" DustMask")</f>
        <v/>
      </c>
    </row>
    <row r="2806" spans="44:51" x14ac:dyDescent="0.25">
      <c r="AR2806" s="3">
        <f t="shared" si="129"/>
        <v>0</v>
      </c>
      <c r="AS2806" s="3">
        <f t="shared" si="130"/>
        <v>0</v>
      </c>
      <c r="AT2806" s="3" t="str">
        <f>IF(OR(Registered!AM2806&gt;0,Registered!AO2806&gt;0),(IF(Registered!E2806=0,"Size Not Specified",Registered!E2806)),"")</f>
        <v/>
      </c>
      <c r="AU2806" s="3" t="str">
        <f>IF(Registered!AE2806=0,"",IF(Registered!AE2806=1,Registered!AE2806&amp;" Bandana",Registered!AE2806&amp;" Bandanas"))</f>
        <v/>
      </c>
      <c r="AV2806" s="3">
        <f t="shared" si="131"/>
        <v>0</v>
      </c>
      <c r="AW2806" s="2" t="str">
        <f>IF(Registered!AV2806=0,"",IF(Registered!AV2806=1,Registered!AV2806&amp;" Meal",Registered!AV2806&amp;" Meals"))</f>
        <v/>
      </c>
      <c r="AX2806" s="2" t="str">
        <f>IF(Registered!AI2806=0,"",Registered!AI2806&amp;" BG")</f>
        <v/>
      </c>
      <c r="AY2806" s="2" t="str">
        <f>IF(Registered!AG2806=0,"",Registered!AG2806&amp;" DustMask")</f>
        <v/>
      </c>
    </row>
    <row r="2807" spans="44:51" x14ac:dyDescent="0.25">
      <c r="AR2807" s="3">
        <f t="shared" si="129"/>
        <v>0</v>
      </c>
      <c r="AS2807" s="3">
        <f t="shared" si="130"/>
        <v>0</v>
      </c>
      <c r="AT2807" s="3" t="str">
        <f>IF(OR(Registered!AM2807&gt;0,Registered!AO2807&gt;0),(IF(Registered!E2807=0,"Size Not Specified",Registered!E2807)),"")</f>
        <v/>
      </c>
      <c r="AU2807" s="3" t="str">
        <f>IF(Registered!AE2807=0,"",IF(Registered!AE2807=1,Registered!AE2807&amp;" Bandana",Registered!AE2807&amp;" Bandanas"))</f>
        <v/>
      </c>
      <c r="AV2807" s="3">
        <f t="shared" si="131"/>
        <v>0</v>
      </c>
      <c r="AW2807" s="2" t="str">
        <f>IF(Registered!AV2807=0,"",IF(Registered!AV2807=1,Registered!AV2807&amp;" Meal",Registered!AV2807&amp;" Meals"))</f>
        <v/>
      </c>
      <c r="AX2807" s="2" t="str">
        <f>IF(Registered!AI2807=0,"",Registered!AI2807&amp;" BG")</f>
        <v/>
      </c>
      <c r="AY2807" s="2" t="str">
        <f>IF(Registered!AG2807=0,"",Registered!AG2807&amp;" DustMask")</f>
        <v/>
      </c>
    </row>
    <row r="2808" spans="44:51" x14ac:dyDescent="0.25">
      <c r="AR2808" s="3">
        <f t="shared" si="129"/>
        <v>0</v>
      </c>
      <c r="AS2808" s="3">
        <f t="shared" si="130"/>
        <v>0</v>
      </c>
      <c r="AT2808" s="3" t="str">
        <f>IF(OR(Registered!AM2808&gt;0,Registered!AO2808&gt;0),(IF(Registered!E2808=0,"Size Not Specified",Registered!E2808)),"")</f>
        <v/>
      </c>
      <c r="AU2808" s="3" t="str">
        <f>IF(Registered!AE2808=0,"",IF(Registered!AE2808=1,Registered!AE2808&amp;" Bandana",Registered!AE2808&amp;" Bandanas"))</f>
        <v/>
      </c>
      <c r="AV2808" s="3">
        <f t="shared" si="131"/>
        <v>0</v>
      </c>
      <c r="AW2808" s="2" t="str">
        <f>IF(Registered!AV2808=0,"",IF(Registered!AV2808=1,Registered!AV2808&amp;" Meal",Registered!AV2808&amp;" Meals"))</f>
        <v/>
      </c>
      <c r="AX2808" s="2" t="str">
        <f>IF(Registered!AI2808=0,"",Registered!AI2808&amp;" BG")</f>
        <v/>
      </c>
      <c r="AY2808" s="2" t="str">
        <f>IF(Registered!AG2808=0,"",Registered!AG2808&amp;" DustMask")</f>
        <v/>
      </c>
    </row>
    <row r="2809" spans="44:51" x14ac:dyDescent="0.25">
      <c r="AR2809" s="3">
        <f t="shared" si="129"/>
        <v>0</v>
      </c>
      <c r="AS2809" s="3">
        <f t="shared" si="130"/>
        <v>0</v>
      </c>
      <c r="AT2809" s="3" t="str">
        <f>IF(OR(Registered!AM2809&gt;0,Registered!AO2809&gt;0),(IF(Registered!E2809=0,"Size Not Specified",Registered!E2809)),"")</f>
        <v/>
      </c>
      <c r="AU2809" s="3" t="str">
        <f>IF(Registered!AE2809=0,"",IF(Registered!AE2809=1,Registered!AE2809&amp;" Bandana",Registered!AE2809&amp;" Bandanas"))</f>
        <v/>
      </c>
      <c r="AV2809" s="3">
        <f t="shared" si="131"/>
        <v>0</v>
      </c>
      <c r="AW2809" s="2" t="str">
        <f>IF(Registered!AV2809=0,"",IF(Registered!AV2809=1,Registered!AV2809&amp;" Meal",Registered!AV2809&amp;" Meals"))</f>
        <v/>
      </c>
      <c r="AX2809" s="2" t="str">
        <f>IF(Registered!AI2809=0,"",Registered!AI2809&amp;" BG")</f>
        <v/>
      </c>
      <c r="AY2809" s="2" t="str">
        <f>IF(Registered!AG2809=0,"",Registered!AG2809&amp;" DustMask")</f>
        <v/>
      </c>
    </row>
    <row r="2810" spans="44:51" x14ac:dyDescent="0.25">
      <c r="AR2810" s="3">
        <f t="shared" si="129"/>
        <v>0</v>
      </c>
      <c r="AS2810" s="3">
        <f t="shared" si="130"/>
        <v>0</v>
      </c>
      <c r="AT2810" s="3" t="str">
        <f>IF(OR(Registered!AM2810&gt;0,Registered!AO2810&gt;0),(IF(Registered!E2810=0,"Size Not Specified",Registered!E2810)),"")</f>
        <v/>
      </c>
      <c r="AU2810" s="3" t="str">
        <f>IF(Registered!AE2810=0,"",IF(Registered!AE2810=1,Registered!AE2810&amp;" Bandana",Registered!AE2810&amp;" Bandanas"))</f>
        <v/>
      </c>
      <c r="AV2810" s="3">
        <f t="shared" si="131"/>
        <v>0</v>
      </c>
      <c r="AW2810" s="2" t="str">
        <f>IF(Registered!AV2810=0,"",IF(Registered!AV2810=1,Registered!AV2810&amp;" Meal",Registered!AV2810&amp;" Meals"))</f>
        <v/>
      </c>
      <c r="AX2810" s="2" t="str">
        <f>IF(Registered!AI2810=0,"",Registered!AI2810&amp;" BG")</f>
        <v/>
      </c>
      <c r="AY2810" s="2" t="str">
        <f>IF(Registered!AG2810=0,"",Registered!AG2810&amp;" DustMask")</f>
        <v/>
      </c>
    </row>
    <row r="2811" spans="44:51" x14ac:dyDescent="0.25">
      <c r="AR2811" s="3">
        <f t="shared" si="129"/>
        <v>0</v>
      </c>
      <c r="AS2811" s="3">
        <f t="shared" si="130"/>
        <v>0</v>
      </c>
      <c r="AT2811" s="3" t="str">
        <f>IF(OR(Registered!AM2811&gt;0,Registered!AO2811&gt;0),(IF(Registered!E2811=0,"Size Not Specified",Registered!E2811)),"")</f>
        <v/>
      </c>
      <c r="AU2811" s="3" t="str">
        <f>IF(Registered!AE2811=0,"",IF(Registered!AE2811=1,Registered!AE2811&amp;" Bandana",Registered!AE2811&amp;" Bandanas"))</f>
        <v/>
      </c>
      <c r="AV2811" s="3">
        <f t="shared" si="131"/>
        <v>0</v>
      </c>
      <c r="AW2811" s="2" t="str">
        <f>IF(Registered!AV2811=0,"",IF(Registered!AV2811=1,Registered!AV2811&amp;" Meal",Registered!AV2811&amp;" Meals"))</f>
        <v/>
      </c>
      <c r="AX2811" s="2" t="str">
        <f>IF(Registered!AI2811=0,"",Registered!AI2811&amp;" BG")</f>
        <v/>
      </c>
      <c r="AY2811" s="2" t="str">
        <f>IF(Registered!AG2811=0,"",Registered!AG2811&amp;" DustMask")</f>
        <v/>
      </c>
    </row>
    <row r="2812" spans="44:51" x14ac:dyDescent="0.25">
      <c r="AR2812" s="3">
        <f t="shared" si="129"/>
        <v>0</v>
      </c>
      <c r="AS2812" s="3">
        <f t="shared" si="130"/>
        <v>0</v>
      </c>
      <c r="AT2812" s="3" t="str">
        <f>IF(OR(Registered!AM2812&gt;0,Registered!AO2812&gt;0),(IF(Registered!E2812=0,"Size Not Specified",Registered!E2812)),"")</f>
        <v/>
      </c>
      <c r="AU2812" s="3" t="str">
        <f>IF(Registered!AE2812=0,"",IF(Registered!AE2812=1,Registered!AE2812&amp;" Bandana",Registered!AE2812&amp;" Bandanas"))</f>
        <v/>
      </c>
      <c r="AV2812" s="3">
        <f t="shared" si="131"/>
        <v>0</v>
      </c>
      <c r="AW2812" s="2" t="str">
        <f>IF(Registered!AV2812=0,"",IF(Registered!AV2812=1,Registered!AV2812&amp;" Meal",Registered!AV2812&amp;" Meals"))</f>
        <v/>
      </c>
      <c r="AX2812" s="2" t="str">
        <f>IF(Registered!AI2812=0,"",Registered!AI2812&amp;" BG")</f>
        <v/>
      </c>
      <c r="AY2812" s="2" t="str">
        <f>IF(Registered!AG2812=0,"",Registered!AG2812&amp;" DustMask")</f>
        <v/>
      </c>
    </row>
    <row r="2813" spans="44:51" x14ac:dyDescent="0.25">
      <c r="AR2813" s="3">
        <f t="shared" si="129"/>
        <v>0</v>
      </c>
      <c r="AS2813" s="3">
        <f t="shared" si="130"/>
        <v>0</v>
      </c>
      <c r="AT2813" s="3" t="str">
        <f>IF(OR(Registered!AM2813&gt;0,Registered!AO2813&gt;0),(IF(Registered!E2813=0,"Size Not Specified",Registered!E2813)),"")</f>
        <v/>
      </c>
      <c r="AU2813" s="3" t="str">
        <f>IF(Registered!AE2813=0,"",IF(Registered!AE2813=1,Registered!AE2813&amp;" Bandana",Registered!AE2813&amp;" Bandanas"))</f>
        <v/>
      </c>
      <c r="AV2813" s="3">
        <f t="shared" si="131"/>
        <v>0</v>
      </c>
      <c r="AW2813" s="2" t="str">
        <f>IF(Registered!AV2813=0,"",IF(Registered!AV2813=1,Registered!AV2813&amp;" Meal",Registered!AV2813&amp;" Meals"))</f>
        <v/>
      </c>
      <c r="AX2813" s="2" t="str">
        <f>IF(Registered!AI2813=0,"",Registered!AI2813&amp;" BG")</f>
        <v/>
      </c>
      <c r="AY2813" s="2" t="str">
        <f>IF(Registered!AG2813=0,"",Registered!AG2813&amp;" DustMask")</f>
        <v/>
      </c>
    </row>
    <row r="2814" spans="44:51" x14ac:dyDescent="0.25">
      <c r="AR2814" s="3">
        <f t="shared" si="129"/>
        <v>0</v>
      </c>
      <c r="AS2814" s="3">
        <f t="shared" si="130"/>
        <v>0</v>
      </c>
      <c r="AT2814" s="3" t="str">
        <f>IF(OR(Registered!AM2814&gt;0,Registered!AO2814&gt;0),(IF(Registered!E2814=0,"Size Not Specified",Registered!E2814)),"")</f>
        <v/>
      </c>
      <c r="AU2814" s="3" t="str">
        <f>IF(Registered!AE2814=0,"",IF(Registered!AE2814=1,Registered!AE2814&amp;" Bandana",Registered!AE2814&amp;" Bandanas"))</f>
        <v/>
      </c>
      <c r="AV2814" s="3">
        <f t="shared" si="131"/>
        <v>0</v>
      </c>
      <c r="AW2814" s="2" t="str">
        <f>IF(Registered!AV2814=0,"",IF(Registered!AV2814=1,Registered!AV2814&amp;" Meal",Registered!AV2814&amp;" Meals"))</f>
        <v/>
      </c>
      <c r="AX2814" s="2" t="str">
        <f>IF(Registered!AI2814=0,"",Registered!AI2814&amp;" BG")</f>
        <v/>
      </c>
      <c r="AY2814" s="2" t="str">
        <f>IF(Registered!AG2814=0,"",Registered!AG2814&amp;" DustMask")</f>
        <v/>
      </c>
    </row>
    <row r="2815" spans="44:51" x14ac:dyDescent="0.25">
      <c r="AR2815" s="3">
        <f t="shared" si="129"/>
        <v>0</v>
      </c>
      <c r="AS2815" s="3">
        <f t="shared" si="130"/>
        <v>0</v>
      </c>
      <c r="AT2815" s="3" t="str">
        <f>IF(OR(Registered!AM2815&gt;0,Registered!AO2815&gt;0),(IF(Registered!E2815=0,"Size Not Specified",Registered!E2815)),"")</f>
        <v/>
      </c>
      <c r="AU2815" s="3" t="str">
        <f>IF(Registered!AE2815=0,"",IF(Registered!AE2815=1,Registered!AE2815&amp;" Bandana",Registered!AE2815&amp;" Bandanas"))</f>
        <v/>
      </c>
      <c r="AV2815" s="3">
        <f t="shared" si="131"/>
        <v>0</v>
      </c>
      <c r="AW2815" s="2" t="str">
        <f>IF(Registered!AV2815=0,"",IF(Registered!AV2815=1,Registered!AV2815&amp;" Meal",Registered!AV2815&amp;" Meals"))</f>
        <v/>
      </c>
      <c r="AX2815" s="2" t="str">
        <f>IF(Registered!AI2815=0,"",Registered!AI2815&amp;" BG")</f>
        <v/>
      </c>
      <c r="AY2815" s="2" t="str">
        <f>IF(Registered!AG2815=0,"",Registered!AG2815&amp;" DustMask")</f>
        <v/>
      </c>
    </row>
    <row r="2816" spans="44:51" x14ac:dyDescent="0.25">
      <c r="AR2816" s="3">
        <f t="shared" si="129"/>
        <v>0</v>
      </c>
      <c r="AS2816" s="3">
        <f t="shared" si="130"/>
        <v>0</v>
      </c>
      <c r="AT2816" s="3" t="str">
        <f>IF(OR(Registered!AM2816&gt;0,Registered!AO2816&gt;0),(IF(Registered!E2816=0,"Size Not Specified",Registered!E2816)),"")</f>
        <v/>
      </c>
      <c r="AU2816" s="3" t="str">
        <f>IF(Registered!AE2816=0,"",IF(Registered!AE2816=1,Registered!AE2816&amp;" Bandana",Registered!AE2816&amp;" Bandanas"))</f>
        <v/>
      </c>
      <c r="AV2816" s="3">
        <f t="shared" si="131"/>
        <v>0</v>
      </c>
      <c r="AW2816" s="2" t="str">
        <f>IF(Registered!AV2816=0,"",IF(Registered!AV2816=1,Registered!AV2816&amp;" Meal",Registered!AV2816&amp;" Meals"))</f>
        <v/>
      </c>
      <c r="AX2816" s="2" t="str">
        <f>IF(Registered!AI2816=0,"",Registered!AI2816&amp;" BG")</f>
        <v/>
      </c>
      <c r="AY2816" s="2" t="str">
        <f>IF(Registered!AG2816=0,"",Registered!AG2816&amp;" DustMask")</f>
        <v/>
      </c>
    </row>
    <row r="2817" spans="44:51" x14ac:dyDescent="0.25">
      <c r="AR2817" s="3">
        <f t="shared" si="129"/>
        <v>0</v>
      </c>
      <c r="AS2817" s="3">
        <f t="shared" si="130"/>
        <v>0</v>
      </c>
      <c r="AT2817" s="3" t="str">
        <f>IF(OR(Registered!AM2817&gt;0,Registered!AO2817&gt;0),(IF(Registered!E2817=0,"Size Not Specified",Registered!E2817)),"")</f>
        <v/>
      </c>
      <c r="AU2817" s="3" t="str">
        <f>IF(Registered!AE2817=0,"",IF(Registered!AE2817=1,Registered!AE2817&amp;" Bandana",Registered!AE2817&amp;" Bandanas"))</f>
        <v/>
      </c>
      <c r="AV2817" s="3">
        <f t="shared" si="131"/>
        <v>0</v>
      </c>
      <c r="AW2817" s="2" t="str">
        <f>IF(Registered!AV2817=0,"",IF(Registered!AV2817=1,Registered!AV2817&amp;" Meal",Registered!AV2817&amp;" Meals"))</f>
        <v/>
      </c>
      <c r="AX2817" s="2" t="str">
        <f>IF(Registered!AI2817=0,"",Registered!AI2817&amp;" BG")</f>
        <v/>
      </c>
      <c r="AY2817" s="2" t="str">
        <f>IF(Registered!AG2817=0,"",Registered!AG2817&amp;" DustMask")</f>
        <v/>
      </c>
    </row>
    <row r="2818" spans="44:51" x14ac:dyDescent="0.25">
      <c r="AR2818" s="3">
        <f t="shared" ref="AR2818:AR2881" si="132">IF(ISTEXT(AM2818)=TRUE,"",SUM(U2818*10,W2818*20,Y2818*30,AA2818*40,AC2818*5,AM2818*5))</f>
        <v>0</v>
      </c>
      <c r="AS2818" s="3">
        <f t="shared" ref="AS2818:AS2881" si="133">IF(ISTEXT(AM2818)=TRUE,"",SUM(AM2818,AO2818))</f>
        <v>0</v>
      </c>
      <c r="AT2818" s="3" t="str">
        <f>IF(OR(Registered!AM2818&gt;0,Registered!AO2818&gt;0),(IF(Registered!E2818=0,"Size Not Specified",Registered!E2818)),"")</f>
        <v/>
      </c>
      <c r="AU2818" s="3" t="str">
        <f>IF(Registered!AE2818=0,"",IF(Registered!AE2818=1,Registered!AE2818&amp;" Bandana",Registered!AE2818&amp;" Bandanas"))</f>
        <v/>
      </c>
      <c r="AV2818" s="3">
        <f t="shared" ref="AV2818:AV2881" si="134">IF(ISTEXT(AM2818)=TRUE,"",SUM(AM2818,AK2818))</f>
        <v>0</v>
      </c>
      <c r="AW2818" s="2" t="str">
        <f>IF(Registered!AV2818=0,"",IF(Registered!AV2818=1,Registered!AV2818&amp;" Meal",Registered!AV2818&amp;" Meals"))</f>
        <v/>
      </c>
      <c r="AX2818" s="2" t="str">
        <f>IF(Registered!AI2818=0,"",Registered!AI2818&amp;" BG")</f>
        <v/>
      </c>
      <c r="AY2818" s="2" t="str">
        <f>IF(Registered!AG2818=0,"",Registered!AG2818&amp;" DustMask")</f>
        <v/>
      </c>
    </row>
    <row r="2819" spans="44:51" x14ac:dyDescent="0.25">
      <c r="AR2819" s="3">
        <f t="shared" si="132"/>
        <v>0</v>
      </c>
      <c r="AS2819" s="3">
        <f t="shared" si="133"/>
        <v>0</v>
      </c>
      <c r="AT2819" s="3" t="str">
        <f>IF(OR(Registered!AM2819&gt;0,Registered!AO2819&gt;0),(IF(Registered!E2819=0,"Size Not Specified",Registered!E2819)),"")</f>
        <v/>
      </c>
      <c r="AU2819" s="3" t="str">
        <f>IF(Registered!AE2819=0,"",IF(Registered!AE2819=1,Registered!AE2819&amp;" Bandana",Registered!AE2819&amp;" Bandanas"))</f>
        <v/>
      </c>
      <c r="AV2819" s="3">
        <f t="shared" si="134"/>
        <v>0</v>
      </c>
      <c r="AW2819" s="2" t="str">
        <f>IF(Registered!AV2819=0,"",IF(Registered!AV2819=1,Registered!AV2819&amp;" Meal",Registered!AV2819&amp;" Meals"))</f>
        <v/>
      </c>
      <c r="AX2819" s="2" t="str">
        <f>IF(Registered!AI2819=0,"",Registered!AI2819&amp;" BG")</f>
        <v/>
      </c>
      <c r="AY2819" s="2" t="str">
        <f>IF(Registered!AG2819=0,"",Registered!AG2819&amp;" DustMask")</f>
        <v/>
      </c>
    </row>
    <row r="2820" spans="44:51" x14ac:dyDescent="0.25">
      <c r="AR2820" s="3">
        <f t="shared" si="132"/>
        <v>0</v>
      </c>
      <c r="AS2820" s="3">
        <f t="shared" si="133"/>
        <v>0</v>
      </c>
      <c r="AT2820" s="3" t="str">
        <f>IF(OR(Registered!AM2820&gt;0,Registered!AO2820&gt;0),(IF(Registered!E2820=0,"Size Not Specified",Registered!E2820)),"")</f>
        <v/>
      </c>
      <c r="AU2820" s="3" t="str">
        <f>IF(Registered!AE2820=0,"",IF(Registered!AE2820=1,Registered!AE2820&amp;" Bandana",Registered!AE2820&amp;" Bandanas"))</f>
        <v/>
      </c>
      <c r="AV2820" s="3">
        <f t="shared" si="134"/>
        <v>0</v>
      </c>
      <c r="AW2820" s="2" t="str">
        <f>IF(Registered!AV2820=0,"",IF(Registered!AV2820=1,Registered!AV2820&amp;" Meal",Registered!AV2820&amp;" Meals"))</f>
        <v/>
      </c>
      <c r="AX2820" s="2" t="str">
        <f>IF(Registered!AI2820=0,"",Registered!AI2820&amp;" BG")</f>
        <v/>
      </c>
      <c r="AY2820" s="2" t="str">
        <f>IF(Registered!AG2820=0,"",Registered!AG2820&amp;" DustMask")</f>
        <v/>
      </c>
    </row>
    <row r="2821" spans="44:51" x14ac:dyDescent="0.25">
      <c r="AR2821" s="3">
        <f t="shared" si="132"/>
        <v>0</v>
      </c>
      <c r="AS2821" s="3">
        <f t="shared" si="133"/>
        <v>0</v>
      </c>
      <c r="AT2821" s="3" t="str">
        <f>IF(OR(Registered!AM2821&gt;0,Registered!AO2821&gt;0),(IF(Registered!E2821=0,"Size Not Specified",Registered!E2821)),"")</f>
        <v/>
      </c>
      <c r="AU2821" s="3" t="str">
        <f>IF(Registered!AE2821=0,"",IF(Registered!AE2821=1,Registered!AE2821&amp;" Bandana",Registered!AE2821&amp;" Bandanas"))</f>
        <v/>
      </c>
      <c r="AV2821" s="3">
        <f t="shared" si="134"/>
        <v>0</v>
      </c>
      <c r="AW2821" s="2" t="str">
        <f>IF(Registered!AV2821=0,"",IF(Registered!AV2821=1,Registered!AV2821&amp;" Meal",Registered!AV2821&amp;" Meals"))</f>
        <v/>
      </c>
      <c r="AX2821" s="2" t="str">
        <f>IF(Registered!AI2821=0,"",Registered!AI2821&amp;" BG")</f>
        <v/>
      </c>
      <c r="AY2821" s="2" t="str">
        <f>IF(Registered!AG2821=0,"",Registered!AG2821&amp;" DustMask")</f>
        <v/>
      </c>
    </row>
    <row r="2822" spans="44:51" x14ac:dyDescent="0.25">
      <c r="AR2822" s="3">
        <f t="shared" si="132"/>
        <v>0</v>
      </c>
      <c r="AS2822" s="3">
        <f t="shared" si="133"/>
        <v>0</v>
      </c>
      <c r="AT2822" s="3" t="str">
        <f>IF(OR(Registered!AM2822&gt;0,Registered!AO2822&gt;0),(IF(Registered!E2822=0,"Size Not Specified",Registered!E2822)),"")</f>
        <v/>
      </c>
      <c r="AU2822" s="3" t="str">
        <f>IF(Registered!AE2822=0,"",IF(Registered!AE2822=1,Registered!AE2822&amp;" Bandana",Registered!AE2822&amp;" Bandanas"))</f>
        <v/>
      </c>
      <c r="AV2822" s="3">
        <f t="shared" si="134"/>
        <v>0</v>
      </c>
      <c r="AW2822" s="2" t="str">
        <f>IF(Registered!AV2822=0,"",IF(Registered!AV2822=1,Registered!AV2822&amp;" Meal",Registered!AV2822&amp;" Meals"))</f>
        <v/>
      </c>
      <c r="AX2822" s="2" t="str">
        <f>IF(Registered!AI2822=0,"",Registered!AI2822&amp;" BG")</f>
        <v/>
      </c>
      <c r="AY2822" s="2" t="str">
        <f>IF(Registered!AG2822=0,"",Registered!AG2822&amp;" DustMask")</f>
        <v/>
      </c>
    </row>
    <row r="2823" spans="44:51" x14ac:dyDescent="0.25">
      <c r="AR2823" s="3">
        <f t="shared" si="132"/>
        <v>0</v>
      </c>
      <c r="AS2823" s="3">
        <f t="shared" si="133"/>
        <v>0</v>
      </c>
      <c r="AT2823" s="3" t="str">
        <f>IF(OR(Registered!AM2823&gt;0,Registered!AO2823&gt;0),(IF(Registered!E2823=0,"Size Not Specified",Registered!E2823)),"")</f>
        <v/>
      </c>
      <c r="AU2823" s="3" t="str">
        <f>IF(Registered!AE2823=0,"",IF(Registered!AE2823=1,Registered!AE2823&amp;" Bandana",Registered!AE2823&amp;" Bandanas"))</f>
        <v/>
      </c>
      <c r="AV2823" s="3">
        <f t="shared" si="134"/>
        <v>0</v>
      </c>
      <c r="AW2823" s="2" t="str">
        <f>IF(Registered!AV2823=0,"",IF(Registered!AV2823=1,Registered!AV2823&amp;" Meal",Registered!AV2823&amp;" Meals"))</f>
        <v/>
      </c>
      <c r="AX2823" s="2" t="str">
        <f>IF(Registered!AI2823=0,"",Registered!AI2823&amp;" BG")</f>
        <v/>
      </c>
      <c r="AY2823" s="2" t="str">
        <f>IF(Registered!AG2823=0,"",Registered!AG2823&amp;" DustMask")</f>
        <v/>
      </c>
    </row>
    <row r="2824" spans="44:51" x14ac:dyDescent="0.25">
      <c r="AR2824" s="3">
        <f t="shared" si="132"/>
        <v>0</v>
      </c>
      <c r="AS2824" s="3">
        <f t="shared" si="133"/>
        <v>0</v>
      </c>
      <c r="AT2824" s="3" t="str">
        <f>IF(OR(Registered!AM2824&gt;0,Registered!AO2824&gt;0),(IF(Registered!E2824=0,"Size Not Specified",Registered!E2824)),"")</f>
        <v/>
      </c>
      <c r="AU2824" s="3" t="str">
        <f>IF(Registered!AE2824=0,"",IF(Registered!AE2824=1,Registered!AE2824&amp;" Bandana",Registered!AE2824&amp;" Bandanas"))</f>
        <v/>
      </c>
      <c r="AV2824" s="3">
        <f t="shared" si="134"/>
        <v>0</v>
      </c>
      <c r="AW2824" s="2" t="str">
        <f>IF(Registered!AV2824=0,"",IF(Registered!AV2824=1,Registered!AV2824&amp;" Meal",Registered!AV2824&amp;" Meals"))</f>
        <v/>
      </c>
      <c r="AX2824" s="2" t="str">
        <f>IF(Registered!AI2824=0,"",Registered!AI2824&amp;" BG")</f>
        <v/>
      </c>
      <c r="AY2824" s="2" t="str">
        <f>IF(Registered!AG2824=0,"",Registered!AG2824&amp;" DustMask")</f>
        <v/>
      </c>
    </row>
    <row r="2825" spans="44:51" x14ac:dyDescent="0.25">
      <c r="AR2825" s="3">
        <f t="shared" si="132"/>
        <v>0</v>
      </c>
      <c r="AS2825" s="3">
        <f t="shared" si="133"/>
        <v>0</v>
      </c>
      <c r="AT2825" s="3" t="str">
        <f>IF(OR(Registered!AM2825&gt;0,Registered!AO2825&gt;0),(IF(Registered!E2825=0,"Size Not Specified",Registered!E2825)),"")</f>
        <v/>
      </c>
      <c r="AU2825" s="3" t="str">
        <f>IF(Registered!AE2825=0,"",IF(Registered!AE2825=1,Registered!AE2825&amp;" Bandana",Registered!AE2825&amp;" Bandanas"))</f>
        <v/>
      </c>
      <c r="AV2825" s="3">
        <f t="shared" si="134"/>
        <v>0</v>
      </c>
      <c r="AW2825" s="2" t="str">
        <f>IF(Registered!AV2825=0,"",IF(Registered!AV2825=1,Registered!AV2825&amp;" Meal",Registered!AV2825&amp;" Meals"))</f>
        <v/>
      </c>
      <c r="AX2825" s="2" t="str">
        <f>IF(Registered!AI2825=0,"",Registered!AI2825&amp;" BG")</f>
        <v/>
      </c>
      <c r="AY2825" s="2" t="str">
        <f>IF(Registered!AG2825=0,"",Registered!AG2825&amp;" DustMask")</f>
        <v/>
      </c>
    </row>
    <row r="2826" spans="44:51" x14ac:dyDescent="0.25">
      <c r="AR2826" s="3">
        <f t="shared" si="132"/>
        <v>0</v>
      </c>
      <c r="AS2826" s="3">
        <f t="shared" si="133"/>
        <v>0</v>
      </c>
      <c r="AT2826" s="3" t="str">
        <f>IF(OR(Registered!AM2826&gt;0,Registered!AO2826&gt;0),(IF(Registered!E2826=0,"Size Not Specified",Registered!E2826)),"")</f>
        <v/>
      </c>
      <c r="AU2826" s="3" t="str">
        <f>IF(Registered!AE2826=0,"",IF(Registered!AE2826=1,Registered!AE2826&amp;" Bandana",Registered!AE2826&amp;" Bandanas"))</f>
        <v/>
      </c>
      <c r="AV2826" s="3">
        <f t="shared" si="134"/>
        <v>0</v>
      </c>
      <c r="AW2826" s="2" t="str">
        <f>IF(Registered!AV2826=0,"",IF(Registered!AV2826=1,Registered!AV2826&amp;" Meal",Registered!AV2826&amp;" Meals"))</f>
        <v/>
      </c>
      <c r="AX2826" s="2" t="str">
        <f>IF(Registered!AI2826=0,"",Registered!AI2826&amp;" BG")</f>
        <v/>
      </c>
      <c r="AY2826" s="2" t="str">
        <f>IF(Registered!AG2826=0,"",Registered!AG2826&amp;" DustMask")</f>
        <v/>
      </c>
    </row>
    <row r="2827" spans="44:51" x14ac:dyDescent="0.25">
      <c r="AR2827" s="3">
        <f t="shared" si="132"/>
        <v>0</v>
      </c>
      <c r="AS2827" s="3">
        <f t="shared" si="133"/>
        <v>0</v>
      </c>
      <c r="AT2827" s="3" t="str">
        <f>IF(OR(Registered!AM2827&gt;0,Registered!AO2827&gt;0),(IF(Registered!E2827=0,"Size Not Specified",Registered!E2827)),"")</f>
        <v/>
      </c>
      <c r="AU2827" s="3" t="str">
        <f>IF(Registered!AE2827=0,"",IF(Registered!AE2827=1,Registered!AE2827&amp;" Bandana",Registered!AE2827&amp;" Bandanas"))</f>
        <v/>
      </c>
      <c r="AV2827" s="3">
        <f t="shared" si="134"/>
        <v>0</v>
      </c>
      <c r="AW2827" s="2" t="str">
        <f>IF(Registered!AV2827=0,"",IF(Registered!AV2827=1,Registered!AV2827&amp;" Meal",Registered!AV2827&amp;" Meals"))</f>
        <v/>
      </c>
      <c r="AX2827" s="2" t="str">
        <f>IF(Registered!AI2827=0,"",Registered!AI2827&amp;" BG")</f>
        <v/>
      </c>
      <c r="AY2827" s="2" t="str">
        <f>IF(Registered!AG2827=0,"",Registered!AG2827&amp;" DustMask")</f>
        <v/>
      </c>
    </row>
    <row r="2828" spans="44:51" x14ac:dyDescent="0.25">
      <c r="AR2828" s="3">
        <f t="shared" si="132"/>
        <v>0</v>
      </c>
      <c r="AS2828" s="3">
        <f t="shared" si="133"/>
        <v>0</v>
      </c>
      <c r="AT2828" s="3" t="str">
        <f>IF(OR(Registered!AM2828&gt;0,Registered!AO2828&gt;0),(IF(Registered!E2828=0,"Size Not Specified",Registered!E2828)),"")</f>
        <v/>
      </c>
      <c r="AU2828" s="3" t="str">
        <f>IF(Registered!AE2828=0,"",IF(Registered!AE2828=1,Registered!AE2828&amp;" Bandana",Registered!AE2828&amp;" Bandanas"))</f>
        <v/>
      </c>
      <c r="AV2828" s="3">
        <f t="shared" si="134"/>
        <v>0</v>
      </c>
      <c r="AW2828" s="2" t="str">
        <f>IF(Registered!AV2828=0,"",IF(Registered!AV2828=1,Registered!AV2828&amp;" Meal",Registered!AV2828&amp;" Meals"))</f>
        <v/>
      </c>
      <c r="AX2828" s="2" t="str">
        <f>IF(Registered!AI2828=0,"",Registered!AI2828&amp;" BG")</f>
        <v/>
      </c>
      <c r="AY2828" s="2" t="str">
        <f>IF(Registered!AG2828=0,"",Registered!AG2828&amp;" DustMask")</f>
        <v/>
      </c>
    </row>
    <row r="2829" spans="44:51" x14ac:dyDescent="0.25">
      <c r="AR2829" s="3">
        <f t="shared" si="132"/>
        <v>0</v>
      </c>
      <c r="AS2829" s="3">
        <f t="shared" si="133"/>
        <v>0</v>
      </c>
      <c r="AT2829" s="3" t="str">
        <f>IF(OR(Registered!AM2829&gt;0,Registered!AO2829&gt;0),(IF(Registered!E2829=0,"Size Not Specified",Registered!E2829)),"")</f>
        <v/>
      </c>
      <c r="AU2829" s="3" t="str">
        <f>IF(Registered!AE2829=0,"",IF(Registered!AE2829=1,Registered!AE2829&amp;" Bandana",Registered!AE2829&amp;" Bandanas"))</f>
        <v/>
      </c>
      <c r="AV2829" s="3">
        <f t="shared" si="134"/>
        <v>0</v>
      </c>
      <c r="AW2829" s="2" t="str">
        <f>IF(Registered!AV2829=0,"",IF(Registered!AV2829=1,Registered!AV2829&amp;" Meal",Registered!AV2829&amp;" Meals"))</f>
        <v/>
      </c>
      <c r="AX2829" s="2" t="str">
        <f>IF(Registered!AI2829=0,"",Registered!AI2829&amp;" BG")</f>
        <v/>
      </c>
      <c r="AY2829" s="2" t="str">
        <f>IF(Registered!AG2829=0,"",Registered!AG2829&amp;" DustMask")</f>
        <v/>
      </c>
    </row>
    <row r="2830" spans="44:51" x14ac:dyDescent="0.25">
      <c r="AR2830" s="3">
        <f t="shared" si="132"/>
        <v>0</v>
      </c>
      <c r="AS2830" s="3">
        <f t="shared" si="133"/>
        <v>0</v>
      </c>
      <c r="AT2830" s="3" t="str">
        <f>IF(OR(Registered!AM2830&gt;0,Registered!AO2830&gt;0),(IF(Registered!E2830=0,"Size Not Specified",Registered!E2830)),"")</f>
        <v/>
      </c>
      <c r="AU2830" s="3" t="str">
        <f>IF(Registered!AE2830=0,"",IF(Registered!AE2830=1,Registered!AE2830&amp;" Bandana",Registered!AE2830&amp;" Bandanas"))</f>
        <v/>
      </c>
      <c r="AV2830" s="3">
        <f t="shared" si="134"/>
        <v>0</v>
      </c>
      <c r="AW2830" s="2" t="str">
        <f>IF(Registered!AV2830=0,"",IF(Registered!AV2830=1,Registered!AV2830&amp;" Meal",Registered!AV2830&amp;" Meals"))</f>
        <v/>
      </c>
      <c r="AX2830" s="2" t="str">
        <f>IF(Registered!AI2830=0,"",Registered!AI2830&amp;" BG")</f>
        <v/>
      </c>
      <c r="AY2830" s="2" t="str">
        <f>IF(Registered!AG2830=0,"",Registered!AG2830&amp;" DustMask")</f>
        <v/>
      </c>
    </row>
    <row r="2831" spans="44:51" x14ac:dyDescent="0.25">
      <c r="AR2831" s="3">
        <f t="shared" si="132"/>
        <v>0</v>
      </c>
      <c r="AS2831" s="3">
        <f t="shared" si="133"/>
        <v>0</v>
      </c>
      <c r="AT2831" s="3" t="str">
        <f>IF(OR(Registered!AM2831&gt;0,Registered!AO2831&gt;0),(IF(Registered!E2831=0,"Size Not Specified",Registered!E2831)),"")</f>
        <v/>
      </c>
      <c r="AU2831" s="3" t="str">
        <f>IF(Registered!AE2831=0,"",IF(Registered!AE2831=1,Registered!AE2831&amp;" Bandana",Registered!AE2831&amp;" Bandanas"))</f>
        <v/>
      </c>
      <c r="AV2831" s="3">
        <f t="shared" si="134"/>
        <v>0</v>
      </c>
      <c r="AW2831" s="2" t="str">
        <f>IF(Registered!AV2831=0,"",IF(Registered!AV2831=1,Registered!AV2831&amp;" Meal",Registered!AV2831&amp;" Meals"))</f>
        <v/>
      </c>
      <c r="AX2831" s="2" t="str">
        <f>IF(Registered!AI2831=0,"",Registered!AI2831&amp;" BG")</f>
        <v/>
      </c>
      <c r="AY2831" s="2" t="str">
        <f>IF(Registered!AG2831=0,"",Registered!AG2831&amp;" DustMask")</f>
        <v/>
      </c>
    </row>
    <row r="2832" spans="44:51" x14ac:dyDescent="0.25">
      <c r="AR2832" s="3">
        <f t="shared" si="132"/>
        <v>0</v>
      </c>
      <c r="AS2832" s="3">
        <f t="shared" si="133"/>
        <v>0</v>
      </c>
      <c r="AT2832" s="3" t="str">
        <f>IF(OR(Registered!AM2832&gt;0,Registered!AO2832&gt;0),(IF(Registered!E2832=0,"Size Not Specified",Registered!E2832)),"")</f>
        <v/>
      </c>
      <c r="AU2832" s="3" t="str">
        <f>IF(Registered!AE2832=0,"",IF(Registered!AE2832=1,Registered!AE2832&amp;" Bandana",Registered!AE2832&amp;" Bandanas"))</f>
        <v/>
      </c>
      <c r="AV2832" s="3">
        <f t="shared" si="134"/>
        <v>0</v>
      </c>
      <c r="AW2832" s="2" t="str">
        <f>IF(Registered!AV2832=0,"",IF(Registered!AV2832=1,Registered!AV2832&amp;" Meal",Registered!AV2832&amp;" Meals"))</f>
        <v/>
      </c>
      <c r="AX2832" s="2" t="str">
        <f>IF(Registered!AI2832=0,"",Registered!AI2832&amp;" BG")</f>
        <v/>
      </c>
      <c r="AY2832" s="2" t="str">
        <f>IF(Registered!AG2832=0,"",Registered!AG2832&amp;" DustMask")</f>
        <v/>
      </c>
    </row>
    <row r="2833" spans="44:51" x14ac:dyDescent="0.25">
      <c r="AR2833" s="3">
        <f t="shared" si="132"/>
        <v>0</v>
      </c>
      <c r="AS2833" s="3">
        <f t="shared" si="133"/>
        <v>0</v>
      </c>
      <c r="AT2833" s="3" t="str">
        <f>IF(OR(Registered!AM2833&gt;0,Registered!AO2833&gt;0),(IF(Registered!E2833=0,"Size Not Specified",Registered!E2833)),"")</f>
        <v/>
      </c>
      <c r="AU2833" s="3" t="str">
        <f>IF(Registered!AE2833=0,"",IF(Registered!AE2833=1,Registered!AE2833&amp;" Bandana",Registered!AE2833&amp;" Bandanas"))</f>
        <v/>
      </c>
      <c r="AV2833" s="3">
        <f t="shared" si="134"/>
        <v>0</v>
      </c>
      <c r="AW2833" s="2" t="str">
        <f>IF(Registered!AV2833=0,"",IF(Registered!AV2833=1,Registered!AV2833&amp;" Meal",Registered!AV2833&amp;" Meals"))</f>
        <v/>
      </c>
      <c r="AX2833" s="2" t="str">
        <f>IF(Registered!AI2833=0,"",Registered!AI2833&amp;" BG")</f>
        <v/>
      </c>
      <c r="AY2833" s="2" t="str">
        <f>IF(Registered!AG2833=0,"",Registered!AG2833&amp;" DustMask")</f>
        <v/>
      </c>
    </row>
    <row r="2834" spans="44:51" x14ac:dyDescent="0.25">
      <c r="AR2834" s="3">
        <f t="shared" si="132"/>
        <v>0</v>
      </c>
      <c r="AS2834" s="3">
        <f t="shared" si="133"/>
        <v>0</v>
      </c>
      <c r="AT2834" s="3" t="str">
        <f>IF(OR(Registered!AM2834&gt;0,Registered!AO2834&gt;0),(IF(Registered!E2834=0,"Size Not Specified",Registered!E2834)),"")</f>
        <v/>
      </c>
      <c r="AU2834" s="3" t="str">
        <f>IF(Registered!AE2834=0,"",IF(Registered!AE2834=1,Registered!AE2834&amp;" Bandana",Registered!AE2834&amp;" Bandanas"))</f>
        <v/>
      </c>
      <c r="AV2834" s="3">
        <f t="shared" si="134"/>
        <v>0</v>
      </c>
      <c r="AW2834" s="2" t="str">
        <f>IF(Registered!AV2834=0,"",IF(Registered!AV2834=1,Registered!AV2834&amp;" Meal",Registered!AV2834&amp;" Meals"))</f>
        <v/>
      </c>
      <c r="AX2834" s="2" t="str">
        <f>IF(Registered!AI2834=0,"",Registered!AI2834&amp;" BG")</f>
        <v/>
      </c>
      <c r="AY2834" s="2" t="str">
        <f>IF(Registered!AG2834=0,"",Registered!AG2834&amp;" DustMask")</f>
        <v/>
      </c>
    </row>
    <row r="2835" spans="44:51" x14ac:dyDescent="0.25">
      <c r="AR2835" s="3">
        <f t="shared" si="132"/>
        <v>0</v>
      </c>
      <c r="AS2835" s="3">
        <f t="shared" si="133"/>
        <v>0</v>
      </c>
      <c r="AT2835" s="3" t="str">
        <f>IF(OR(Registered!AM2835&gt;0,Registered!AO2835&gt;0),(IF(Registered!E2835=0,"Size Not Specified",Registered!E2835)),"")</f>
        <v/>
      </c>
      <c r="AU2835" s="3" t="str">
        <f>IF(Registered!AE2835=0,"",IF(Registered!AE2835=1,Registered!AE2835&amp;" Bandana",Registered!AE2835&amp;" Bandanas"))</f>
        <v/>
      </c>
      <c r="AV2835" s="3">
        <f t="shared" si="134"/>
        <v>0</v>
      </c>
      <c r="AW2835" s="2" t="str">
        <f>IF(Registered!AV2835=0,"",IF(Registered!AV2835=1,Registered!AV2835&amp;" Meal",Registered!AV2835&amp;" Meals"))</f>
        <v/>
      </c>
      <c r="AX2835" s="2" t="str">
        <f>IF(Registered!AI2835=0,"",Registered!AI2835&amp;" BG")</f>
        <v/>
      </c>
      <c r="AY2835" s="2" t="str">
        <f>IF(Registered!AG2835=0,"",Registered!AG2835&amp;" DustMask")</f>
        <v/>
      </c>
    </row>
    <row r="2836" spans="44:51" x14ac:dyDescent="0.25">
      <c r="AR2836" s="3">
        <f t="shared" si="132"/>
        <v>0</v>
      </c>
      <c r="AS2836" s="3">
        <f t="shared" si="133"/>
        <v>0</v>
      </c>
      <c r="AT2836" s="3" t="str">
        <f>IF(OR(Registered!AM2836&gt;0,Registered!AO2836&gt;0),(IF(Registered!E2836=0,"Size Not Specified",Registered!E2836)),"")</f>
        <v/>
      </c>
      <c r="AU2836" s="3" t="str">
        <f>IF(Registered!AE2836=0,"",IF(Registered!AE2836=1,Registered!AE2836&amp;" Bandana",Registered!AE2836&amp;" Bandanas"))</f>
        <v/>
      </c>
      <c r="AV2836" s="3">
        <f t="shared" si="134"/>
        <v>0</v>
      </c>
      <c r="AW2836" s="2" t="str">
        <f>IF(Registered!AV2836=0,"",IF(Registered!AV2836=1,Registered!AV2836&amp;" Meal",Registered!AV2836&amp;" Meals"))</f>
        <v/>
      </c>
      <c r="AX2836" s="2" t="str">
        <f>IF(Registered!AI2836=0,"",Registered!AI2836&amp;" BG")</f>
        <v/>
      </c>
      <c r="AY2836" s="2" t="str">
        <f>IF(Registered!AG2836=0,"",Registered!AG2836&amp;" DustMask")</f>
        <v/>
      </c>
    </row>
    <row r="2837" spans="44:51" x14ac:dyDescent="0.25">
      <c r="AR2837" s="3">
        <f t="shared" si="132"/>
        <v>0</v>
      </c>
      <c r="AS2837" s="3">
        <f t="shared" si="133"/>
        <v>0</v>
      </c>
      <c r="AT2837" s="3" t="str">
        <f>IF(OR(Registered!AM2837&gt;0,Registered!AO2837&gt;0),(IF(Registered!E2837=0,"Size Not Specified",Registered!E2837)),"")</f>
        <v/>
      </c>
      <c r="AU2837" s="3" t="str">
        <f>IF(Registered!AE2837=0,"",IF(Registered!AE2837=1,Registered!AE2837&amp;" Bandana",Registered!AE2837&amp;" Bandanas"))</f>
        <v/>
      </c>
      <c r="AV2837" s="3">
        <f t="shared" si="134"/>
        <v>0</v>
      </c>
      <c r="AW2837" s="2" t="str">
        <f>IF(Registered!AV2837=0,"",IF(Registered!AV2837=1,Registered!AV2837&amp;" Meal",Registered!AV2837&amp;" Meals"))</f>
        <v/>
      </c>
      <c r="AX2837" s="2" t="str">
        <f>IF(Registered!AI2837=0,"",Registered!AI2837&amp;" BG")</f>
        <v/>
      </c>
      <c r="AY2837" s="2" t="str">
        <f>IF(Registered!AG2837=0,"",Registered!AG2837&amp;" DustMask")</f>
        <v/>
      </c>
    </row>
    <row r="2838" spans="44:51" x14ac:dyDescent="0.25">
      <c r="AR2838" s="3">
        <f t="shared" si="132"/>
        <v>0</v>
      </c>
      <c r="AS2838" s="3">
        <f t="shared" si="133"/>
        <v>0</v>
      </c>
      <c r="AT2838" s="3" t="str">
        <f>IF(OR(Registered!AM2838&gt;0,Registered!AO2838&gt;0),(IF(Registered!E2838=0,"Size Not Specified",Registered!E2838)),"")</f>
        <v/>
      </c>
      <c r="AU2838" s="3" t="str">
        <f>IF(Registered!AE2838=0,"",IF(Registered!AE2838=1,Registered!AE2838&amp;" Bandana",Registered!AE2838&amp;" Bandanas"))</f>
        <v/>
      </c>
      <c r="AV2838" s="3">
        <f t="shared" si="134"/>
        <v>0</v>
      </c>
      <c r="AW2838" s="2" t="str">
        <f>IF(Registered!AV2838=0,"",IF(Registered!AV2838=1,Registered!AV2838&amp;" Meal",Registered!AV2838&amp;" Meals"))</f>
        <v/>
      </c>
      <c r="AX2838" s="2" t="str">
        <f>IF(Registered!AI2838=0,"",Registered!AI2838&amp;" BG")</f>
        <v/>
      </c>
      <c r="AY2838" s="2" t="str">
        <f>IF(Registered!AG2838=0,"",Registered!AG2838&amp;" DustMask")</f>
        <v/>
      </c>
    </row>
    <row r="2839" spans="44:51" x14ac:dyDescent="0.25">
      <c r="AR2839" s="3">
        <f t="shared" si="132"/>
        <v>0</v>
      </c>
      <c r="AS2839" s="3">
        <f t="shared" si="133"/>
        <v>0</v>
      </c>
      <c r="AT2839" s="3" t="str">
        <f>IF(OR(Registered!AM2839&gt;0,Registered!AO2839&gt;0),(IF(Registered!E2839=0,"Size Not Specified",Registered!E2839)),"")</f>
        <v/>
      </c>
      <c r="AU2839" s="3" t="str">
        <f>IF(Registered!AE2839=0,"",IF(Registered!AE2839=1,Registered!AE2839&amp;" Bandana",Registered!AE2839&amp;" Bandanas"))</f>
        <v/>
      </c>
      <c r="AV2839" s="3">
        <f t="shared" si="134"/>
        <v>0</v>
      </c>
      <c r="AW2839" s="2" t="str">
        <f>IF(Registered!AV2839=0,"",IF(Registered!AV2839=1,Registered!AV2839&amp;" Meal",Registered!AV2839&amp;" Meals"))</f>
        <v/>
      </c>
      <c r="AX2839" s="2" t="str">
        <f>IF(Registered!AI2839=0,"",Registered!AI2839&amp;" BG")</f>
        <v/>
      </c>
      <c r="AY2839" s="2" t="str">
        <f>IF(Registered!AG2839=0,"",Registered!AG2839&amp;" DustMask")</f>
        <v/>
      </c>
    </row>
    <row r="2840" spans="44:51" x14ac:dyDescent="0.25">
      <c r="AR2840" s="3">
        <f t="shared" si="132"/>
        <v>0</v>
      </c>
      <c r="AS2840" s="3">
        <f t="shared" si="133"/>
        <v>0</v>
      </c>
      <c r="AT2840" s="3" t="str">
        <f>IF(OR(Registered!AM2840&gt;0,Registered!AO2840&gt;0),(IF(Registered!E2840=0,"Size Not Specified",Registered!E2840)),"")</f>
        <v/>
      </c>
      <c r="AU2840" s="3" t="str">
        <f>IF(Registered!AE2840=0,"",IF(Registered!AE2840=1,Registered!AE2840&amp;" Bandana",Registered!AE2840&amp;" Bandanas"))</f>
        <v/>
      </c>
      <c r="AV2840" s="3">
        <f t="shared" si="134"/>
        <v>0</v>
      </c>
      <c r="AW2840" s="2" t="str">
        <f>IF(Registered!AV2840=0,"",IF(Registered!AV2840=1,Registered!AV2840&amp;" Meal",Registered!AV2840&amp;" Meals"))</f>
        <v/>
      </c>
      <c r="AX2840" s="2" t="str">
        <f>IF(Registered!AI2840=0,"",Registered!AI2840&amp;" BG")</f>
        <v/>
      </c>
      <c r="AY2840" s="2" t="str">
        <f>IF(Registered!AG2840=0,"",Registered!AG2840&amp;" DustMask")</f>
        <v/>
      </c>
    </row>
    <row r="2841" spans="44:51" x14ac:dyDescent="0.25">
      <c r="AR2841" s="3">
        <f t="shared" si="132"/>
        <v>0</v>
      </c>
      <c r="AS2841" s="3">
        <f t="shared" si="133"/>
        <v>0</v>
      </c>
      <c r="AT2841" s="3" t="str">
        <f>IF(OR(Registered!AM2841&gt;0,Registered!AO2841&gt;0),(IF(Registered!E2841=0,"Size Not Specified",Registered!E2841)),"")</f>
        <v/>
      </c>
      <c r="AU2841" s="3" t="str">
        <f>IF(Registered!AE2841=0,"",IF(Registered!AE2841=1,Registered!AE2841&amp;" Bandana",Registered!AE2841&amp;" Bandanas"))</f>
        <v/>
      </c>
      <c r="AV2841" s="3">
        <f t="shared" si="134"/>
        <v>0</v>
      </c>
      <c r="AW2841" s="2" t="str">
        <f>IF(Registered!AV2841=0,"",IF(Registered!AV2841=1,Registered!AV2841&amp;" Meal",Registered!AV2841&amp;" Meals"))</f>
        <v/>
      </c>
      <c r="AX2841" s="2" t="str">
        <f>IF(Registered!AI2841=0,"",Registered!AI2841&amp;" BG")</f>
        <v/>
      </c>
      <c r="AY2841" s="2" t="str">
        <f>IF(Registered!AG2841=0,"",Registered!AG2841&amp;" DustMask")</f>
        <v/>
      </c>
    </row>
    <row r="2842" spans="44:51" x14ac:dyDescent="0.25">
      <c r="AR2842" s="3">
        <f t="shared" si="132"/>
        <v>0</v>
      </c>
      <c r="AS2842" s="3">
        <f t="shared" si="133"/>
        <v>0</v>
      </c>
      <c r="AT2842" s="3" t="str">
        <f>IF(OR(Registered!AM2842&gt;0,Registered!AO2842&gt;0),(IF(Registered!E2842=0,"Size Not Specified",Registered!E2842)),"")</f>
        <v/>
      </c>
      <c r="AU2842" s="3" t="str">
        <f>IF(Registered!AE2842=0,"",IF(Registered!AE2842=1,Registered!AE2842&amp;" Bandana",Registered!AE2842&amp;" Bandanas"))</f>
        <v/>
      </c>
      <c r="AV2842" s="3">
        <f t="shared" si="134"/>
        <v>0</v>
      </c>
      <c r="AW2842" s="2" t="str">
        <f>IF(Registered!AV2842=0,"",IF(Registered!AV2842=1,Registered!AV2842&amp;" Meal",Registered!AV2842&amp;" Meals"))</f>
        <v/>
      </c>
      <c r="AX2842" s="2" t="str">
        <f>IF(Registered!AI2842=0,"",Registered!AI2842&amp;" BG")</f>
        <v/>
      </c>
      <c r="AY2842" s="2" t="str">
        <f>IF(Registered!AG2842=0,"",Registered!AG2842&amp;" DustMask")</f>
        <v/>
      </c>
    </row>
    <row r="2843" spans="44:51" x14ac:dyDescent="0.25">
      <c r="AR2843" s="3">
        <f t="shared" si="132"/>
        <v>0</v>
      </c>
      <c r="AS2843" s="3">
        <f t="shared" si="133"/>
        <v>0</v>
      </c>
      <c r="AT2843" s="3" t="str">
        <f>IF(OR(Registered!AM2843&gt;0,Registered!AO2843&gt;0),(IF(Registered!E2843=0,"Size Not Specified",Registered!E2843)),"")</f>
        <v/>
      </c>
      <c r="AU2843" s="3" t="str">
        <f>IF(Registered!AE2843=0,"",IF(Registered!AE2843=1,Registered!AE2843&amp;" Bandana",Registered!AE2843&amp;" Bandanas"))</f>
        <v/>
      </c>
      <c r="AV2843" s="3">
        <f t="shared" si="134"/>
        <v>0</v>
      </c>
      <c r="AW2843" s="2" t="str">
        <f>IF(Registered!AV2843=0,"",IF(Registered!AV2843=1,Registered!AV2843&amp;" Meal",Registered!AV2843&amp;" Meals"))</f>
        <v/>
      </c>
      <c r="AX2843" s="2" t="str">
        <f>IF(Registered!AI2843=0,"",Registered!AI2843&amp;" BG")</f>
        <v/>
      </c>
      <c r="AY2843" s="2" t="str">
        <f>IF(Registered!AG2843=0,"",Registered!AG2843&amp;" DustMask")</f>
        <v/>
      </c>
    </row>
    <row r="2844" spans="44:51" x14ac:dyDescent="0.25">
      <c r="AR2844" s="3">
        <f t="shared" si="132"/>
        <v>0</v>
      </c>
      <c r="AS2844" s="3">
        <f t="shared" si="133"/>
        <v>0</v>
      </c>
      <c r="AT2844" s="3" t="str">
        <f>IF(OR(Registered!AM2844&gt;0,Registered!AO2844&gt;0),(IF(Registered!E2844=0,"Size Not Specified",Registered!E2844)),"")</f>
        <v/>
      </c>
      <c r="AU2844" s="3" t="str">
        <f>IF(Registered!AE2844=0,"",IF(Registered!AE2844=1,Registered!AE2844&amp;" Bandana",Registered!AE2844&amp;" Bandanas"))</f>
        <v/>
      </c>
      <c r="AV2844" s="3">
        <f t="shared" si="134"/>
        <v>0</v>
      </c>
      <c r="AW2844" s="2" t="str">
        <f>IF(Registered!AV2844=0,"",IF(Registered!AV2844=1,Registered!AV2844&amp;" Meal",Registered!AV2844&amp;" Meals"))</f>
        <v/>
      </c>
      <c r="AX2844" s="2" t="str">
        <f>IF(Registered!AI2844=0,"",Registered!AI2844&amp;" BG")</f>
        <v/>
      </c>
      <c r="AY2844" s="2" t="str">
        <f>IF(Registered!AG2844=0,"",Registered!AG2844&amp;" DustMask")</f>
        <v/>
      </c>
    </row>
    <row r="2845" spans="44:51" x14ac:dyDescent="0.25">
      <c r="AR2845" s="3">
        <f t="shared" si="132"/>
        <v>0</v>
      </c>
      <c r="AS2845" s="3">
        <f t="shared" si="133"/>
        <v>0</v>
      </c>
      <c r="AT2845" s="3" t="str">
        <f>IF(OR(Registered!AM2845&gt;0,Registered!AO2845&gt;0),(IF(Registered!E2845=0,"Size Not Specified",Registered!E2845)),"")</f>
        <v/>
      </c>
      <c r="AU2845" s="3" t="str">
        <f>IF(Registered!AE2845=0,"",IF(Registered!AE2845=1,Registered!AE2845&amp;" Bandana",Registered!AE2845&amp;" Bandanas"))</f>
        <v/>
      </c>
      <c r="AV2845" s="3">
        <f t="shared" si="134"/>
        <v>0</v>
      </c>
      <c r="AW2845" s="2" t="str">
        <f>IF(Registered!AV2845=0,"",IF(Registered!AV2845=1,Registered!AV2845&amp;" Meal",Registered!AV2845&amp;" Meals"))</f>
        <v/>
      </c>
      <c r="AX2845" s="2" t="str">
        <f>IF(Registered!AI2845=0,"",Registered!AI2845&amp;" BG")</f>
        <v/>
      </c>
      <c r="AY2845" s="2" t="str">
        <f>IF(Registered!AG2845=0,"",Registered!AG2845&amp;" DustMask")</f>
        <v/>
      </c>
    </row>
    <row r="2846" spans="44:51" x14ac:dyDescent="0.25">
      <c r="AR2846" s="3">
        <f t="shared" si="132"/>
        <v>0</v>
      </c>
      <c r="AS2846" s="3">
        <f t="shared" si="133"/>
        <v>0</v>
      </c>
      <c r="AT2846" s="3" t="str">
        <f>IF(OR(Registered!AM2846&gt;0,Registered!AO2846&gt;0),(IF(Registered!E2846=0,"Size Not Specified",Registered!E2846)),"")</f>
        <v/>
      </c>
      <c r="AU2846" s="3" t="str">
        <f>IF(Registered!AE2846=0,"",IF(Registered!AE2846=1,Registered!AE2846&amp;" Bandana",Registered!AE2846&amp;" Bandanas"))</f>
        <v/>
      </c>
      <c r="AV2846" s="3">
        <f t="shared" si="134"/>
        <v>0</v>
      </c>
      <c r="AW2846" s="2" t="str">
        <f>IF(Registered!AV2846=0,"",IF(Registered!AV2846=1,Registered!AV2846&amp;" Meal",Registered!AV2846&amp;" Meals"))</f>
        <v/>
      </c>
      <c r="AX2846" s="2" t="str">
        <f>IF(Registered!AI2846=0,"",Registered!AI2846&amp;" BG")</f>
        <v/>
      </c>
      <c r="AY2846" s="2" t="str">
        <f>IF(Registered!AG2846=0,"",Registered!AG2846&amp;" DustMask")</f>
        <v/>
      </c>
    </row>
    <row r="2847" spans="44:51" x14ac:dyDescent="0.25">
      <c r="AR2847" s="3">
        <f t="shared" si="132"/>
        <v>0</v>
      </c>
      <c r="AS2847" s="3">
        <f t="shared" si="133"/>
        <v>0</v>
      </c>
      <c r="AT2847" s="3" t="str">
        <f>IF(OR(Registered!AM2847&gt;0,Registered!AO2847&gt;0),(IF(Registered!E2847=0,"Size Not Specified",Registered!E2847)),"")</f>
        <v/>
      </c>
      <c r="AU2847" s="3" t="str">
        <f>IF(Registered!AE2847=0,"",IF(Registered!AE2847=1,Registered!AE2847&amp;" Bandana",Registered!AE2847&amp;" Bandanas"))</f>
        <v/>
      </c>
      <c r="AV2847" s="3">
        <f t="shared" si="134"/>
        <v>0</v>
      </c>
      <c r="AW2847" s="2" t="str">
        <f>IF(Registered!AV2847=0,"",IF(Registered!AV2847=1,Registered!AV2847&amp;" Meal",Registered!AV2847&amp;" Meals"))</f>
        <v/>
      </c>
      <c r="AX2847" s="2" t="str">
        <f>IF(Registered!AI2847=0,"",Registered!AI2847&amp;" BG")</f>
        <v/>
      </c>
      <c r="AY2847" s="2" t="str">
        <f>IF(Registered!AG2847=0,"",Registered!AG2847&amp;" DustMask")</f>
        <v/>
      </c>
    </row>
    <row r="2848" spans="44:51" x14ac:dyDescent="0.25">
      <c r="AR2848" s="3">
        <f t="shared" si="132"/>
        <v>0</v>
      </c>
      <c r="AS2848" s="3">
        <f t="shared" si="133"/>
        <v>0</v>
      </c>
      <c r="AT2848" s="3" t="str">
        <f>IF(OR(Registered!AM2848&gt;0,Registered!AO2848&gt;0),(IF(Registered!E2848=0,"Size Not Specified",Registered!E2848)),"")</f>
        <v/>
      </c>
      <c r="AU2848" s="3" t="str">
        <f>IF(Registered!AE2848=0,"",IF(Registered!AE2848=1,Registered!AE2848&amp;" Bandana",Registered!AE2848&amp;" Bandanas"))</f>
        <v/>
      </c>
      <c r="AV2848" s="3">
        <f t="shared" si="134"/>
        <v>0</v>
      </c>
      <c r="AW2848" s="2" t="str">
        <f>IF(Registered!AV2848=0,"",IF(Registered!AV2848=1,Registered!AV2848&amp;" Meal",Registered!AV2848&amp;" Meals"))</f>
        <v/>
      </c>
      <c r="AX2848" s="2" t="str">
        <f>IF(Registered!AI2848=0,"",Registered!AI2848&amp;" BG")</f>
        <v/>
      </c>
      <c r="AY2848" s="2" t="str">
        <f>IF(Registered!AG2848=0,"",Registered!AG2848&amp;" DustMask")</f>
        <v/>
      </c>
    </row>
    <row r="2849" spans="44:51" x14ac:dyDescent="0.25">
      <c r="AR2849" s="3">
        <f t="shared" si="132"/>
        <v>0</v>
      </c>
      <c r="AS2849" s="3">
        <f t="shared" si="133"/>
        <v>0</v>
      </c>
      <c r="AT2849" s="3" t="str">
        <f>IF(OR(Registered!AM2849&gt;0,Registered!AO2849&gt;0),(IF(Registered!E2849=0,"Size Not Specified",Registered!E2849)),"")</f>
        <v/>
      </c>
      <c r="AU2849" s="3" t="str">
        <f>IF(Registered!AE2849=0,"",IF(Registered!AE2849=1,Registered!AE2849&amp;" Bandana",Registered!AE2849&amp;" Bandanas"))</f>
        <v/>
      </c>
      <c r="AV2849" s="3">
        <f t="shared" si="134"/>
        <v>0</v>
      </c>
      <c r="AW2849" s="2" t="str">
        <f>IF(Registered!AV2849=0,"",IF(Registered!AV2849=1,Registered!AV2849&amp;" Meal",Registered!AV2849&amp;" Meals"))</f>
        <v/>
      </c>
      <c r="AX2849" s="2" t="str">
        <f>IF(Registered!AI2849=0,"",Registered!AI2849&amp;" BG")</f>
        <v/>
      </c>
      <c r="AY2849" s="2" t="str">
        <f>IF(Registered!AG2849=0,"",Registered!AG2849&amp;" DustMask")</f>
        <v/>
      </c>
    </row>
    <row r="2850" spans="44:51" x14ac:dyDescent="0.25">
      <c r="AR2850" s="3">
        <f t="shared" si="132"/>
        <v>0</v>
      </c>
      <c r="AS2850" s="3">
        <f t="shared" si="133"/>
        <v>0</v>
      </c>
      <c r="AT2850" s="3" t="str">
        <f>IF(OR(Registered!AM2850&gt;0,Registered!AO2850&gt;0),(IF(Registered!E2850=0,"Size Not Specified",Registered!E2850)),"")</f>
        <v/>
      </c>
      <c r="AU2850" s="3" t="str">
        <f>IF(Registered!AE2850=0,"",IF(Registered!AE2850=1,Registered!AE2850&amp;" Bandana",Registered!AE2850&amp;" Bandanas"))</f>
        <v/>
      </c>
      <c r="AV2850" s="3">
        <f t="shared" si="134"/>
        <v>0</v>
      </c>
      <c r="AW2850" s="2" t="str">
        <f>IF(Registered!AV2850=0,"",IF(Registered!AV2850=1,Registered!AV2850&amp;" Meal",Registered!AV2850&amp;" Meals"))</f>
        <v/>
      </c>
      <c r="AX2850" s="2" t="str">
        <f>IF(Registered!AI2850=0,"",Registered!AI2850&amp;" BG")</f>
        <v/>
      </c>
      <c r="AY2850" s="2" t="str">
        <f>IF(Registered!AG2850=0,"",Registered!AG2850&amp;" DustMask")</f>
        <v/>
      </c>
    </row>
    <row r="2851" spans="44:51" x14ac:dyDescent="0.25">
      <c r="AR2851" s="3">
        <f t="shared" si="132"/>
        <v>0</v>
      </c>
      <c r="AS2851" s="3">
        <f t="shared" si="133"/>
        <v>0</v>
      </c>
      <c r="AT2851" s="3" t="str">
        <f>IF(OR(Registered!AM2851&gt;0,Registered!AO2851&gt;0),(IF(Registered!E2851=0,"Size Not Specified",Registered!E2851)),"")</f>
        <v/>
      </c>
      <c r="AU2851" s="3" t="str">
        <f>IF(Registered!AE2851=0,"",IF(Registered!AE2851=1,Registered!AE2851&amp;" Bandana",Registered!AE2851&amp;" Bandanas"))</f>
        <v/>
      </c>
      <c r="AV2851" s="3">
        <f t="shared" si="134"/>
        <v>0</v>
      </c>
      <c r="AW2851" s="2" t="str">
        <f>IF(Registered!AV2851=0,"",IF(Registered!AV2851=1,Registered!AV2851&amp;" Meal",Registered!AV2851&amp;" Meals"))</f>
        <v/>
      </c>
      <c r="AX2851" s="2" t="str">
        <f>IF(Registered!AI2851=0,"",Registered!AI2851&amp;" BG")</f>
        <v/>
      </c>
      <c r="AY2851" s="2" t="str">
        <f>IF(Registered!AG2851=0,"",Registered!AG2851&amp;" DustMask")</f>
        <v/>
      </c>
    </row>
    <row r="2852" spans="44:51" x14ac:dyDescent="0.25">
      <c r="AR2852" s="3">
        <f t="shared" si="132"/>
        <v>0</v>
      </c>
      <c r="AS2852" s="3">
        <f t="shared" si="133"/>
        <v>0</v>
      </c>
      <c r="AT2852" s="3" t="str">
        <f>IF(OR(Registered!AM2852&gt;0,Registered!AO2852&gt;0),(IF(Registered!E2852=0,"Size Not Specified",Registered!E2852)),"")</f>
        <v/>
      </c>
      <c r="AU2852" s="3" t="str">
        <f>IF(Registered!AE2852=0,"",IF(Registered!AE2852=1,Registered!AE2852&amp;" Bandana",Registered!AE2852&amp;" Bandanas"))</f>
        <v/>
      </c>
      <c r="AV2852" s="3">
        <f t="shared" si="134"/>
        <v>0</v>
      </c>
      <c r="AW2852" s="2" t="str">
        <f>IF(Registered!AV2852=0,"",IF(Registered!AV2852=1,Registered!AV2852&amp;" Meal",Registered!AV2852&amp;" Meals"))</f>
        <v/>
      </c>
      <c r="AX2852" s="2" t="str">
        <f>IF(Registered!AI2852=0,"",Registered!AI2852&amp;" BG")</f>
        <v/>
      </c>
      <c r="AY2852" s="2" t="str">
        <f>IF(Registered!AG2852=0,"",Registered!AG2852&amp;" DustMask")</f>
        <v/>
      </c>
    </row>
    <row r="2853" spans="44:51" x14ac:dyDescent="0.25">
      <c r="AR2853" s="3">
        <f t="shared" si="132"/>
        <v>0</v>
      </c>
      <c r="AS2853" s="3">
        <f t="shared" si="133"/>
        <v>0</v>
      </c>
      <c r="AT2853" s="3" t="str">
        <f>IF(OR(Registered!AM2853&gt;0,Registered!AO2853&gt;0),(IF(Registered!E2853=0,"Size Not Specified",Registered!E2853)),"")</f>
        <v/>
      </c>
      <c r="AU2853" s="3" t="str">
        <f>IF(Registered!AE2853=0,"",IF(Registered!AE2853=1,Registered!AE2853&amp;" Bandana",Registered!AE2853&amp;" Bandanas"))</f>
        <v/>
      </c>
      <c r="AV2853" s="3">
        <f t="shared" si="134"/>
        <v>0</v>
      </c>
      <c r="AW2853" s="2" t="str">
        <f>IF(Registered!AV2853=0,"",IF(Registered!AV2853=1,Registered!AV2853&amp;" Meal",Registered!AV2853&amp;" Meals"))</f>
        <v/>
      </c>
      <c r="AX2853" s="2" t="str">
        <f>IF(Registered!AI2853=0,"",Registered!AI2853&amp;" BG")</f>
        <v/>
      </c>
      <c r="AY2853" s="2" t="str">
        <f>IF(Registered!AG2853=0,"",Registered!AG2853&amp;" DustMask")</f>
        <v/>
      </c>
    </row>
    <row r="2854" spans="44:51" x14ac:dyDescent="0.25">
      <c r="AR2854" s="3">
        <f t="shared" si="132"/>
        <v>0</v>
      </c>
      <c r="AS2854" s="3">
        <f t="shared" si="133"/>
        <v>0</v>
      </c>
      <c r="AT2854" s="3" t="str">
        <f>IF(OR(Registered!AM2854&gt;0,Registered!AO2854&gt;0),(IF(Registered!E2854=0,"Size Not Specified",Registered!E2854)),"")</f>
        <v/>
      </c>
      <c r="AU2854" s="3" t="str">
        <f>IF(Registered!AE2854=0,"",IF(Registered!AE2854=1,Registered!AE2854&amp;" Bandana",Registered!AE2854&amp;" Bandanas"))</f>
        <v/>
      </c>
      <c r="AV2854" s="3">
        <f t="shared" si="134"/>
        <v>0</v>
      </c>
      <c r="AW2854" s="2" t="str">
        <f>IF(Registered!AV2854=0,"",IF(Registered!AV2854=1,Registered!AV2854&amp;" Meal",Registered!AV2854&amp;" Meals"))</f>
        <v/>
      </c>
      <c r="AX2854" s="2" t="str">
        <f>IF(Registered!AI2854=0,"",Registered!AI2854&amp;" BG")</f>
        <v/>
      </c>
      <c r="AY2854" s="2" t="str">
        <f>IF(Registered!AG2854=0,"",Registered!AG2854&amp;" DustMask")</f>
        <v/>
      </c>
    </row>
    <row r="2855" spans="44:51" x14ac:dyDescent="0.25">
      <c r="AR2855" s="3">
        <f t="shared" si="132"/>
        <v>0</v>
      </c>
      <c r="AS2855" s="3">
        <f t="shared" si="133"/>
        <v>0</v>
      </c>
      <c r="AT2855" s="3" t="str">
        <f>IF(OR(Registered!AM2855&gt;0,Registered!AO2855&gt;0),(IF(Registered!E2855=0,"Size Not Specified",Registered!E2855)),"")</f>
        <v/>
      </c>
      <c r="AU2855" s="3" t="str">
        <f>IF(Registered!AE2855=0,"",IF(Registered!AE2855=1,Registered!AE2855&amp;" Bandana",Registered!AE2855&amp;" Bandanas"))</f>
        <v/>
      </c>
      <c r="AV2855" s="3">
        <f t="shared" si="134"/>
        <v>0</v>
      </c>
      <c r="AW2855" s="2" t="str">
        <f>IF(Registered!AV2855=0,"",IF(Registered!AV2855=1,Registered!AV2855&amp;" Meal",Registered!AV2855&amp;" Meals"))</f>
        <v/>
      </c>
      <c r="AX2855" s="2" t="str">
        <f>IF(Registered!AI2855=0,"",Registered!AI2855&amp;" BG")</f>
        <v/>
      </c>
      <c r="AY2855" s="2" t="str">
        <f>IF(Registered!AG2855=0,"",Registered!AG2855&amp;" DustMask")</f>
        <v/>
      </c>
    </row>
    <row r="2856" spans="44:51" x14ac:dyDescent="0.25">
      <c r="AR2856" s="3">
        <f t="shared" si="132"/>
        <v>0</v>
      </c>
      <c r="AS2856" s="3">
        <f t="shared" si="133"/>
        <v>0</v>
      </c>
      <c r="AT2856" s="3" t="str">
        <f>IF(OR(Registered!AM2856&gt;0,Registered!AO2856&gt;0),(IF(Registered!E2856=0,"Size Not Specified",Registered!E2856)),"")</f>
        <v/>
      </c>
      <c r="AU2856" s="3" t="str">
        <f>IF(Registered!AE2856=0,"",IF(Registered!AE2856=1,Registered!AE2856&amp;" Bandana",Registered!AE2856&amp;" Bandanas"))</f>
        <v/>
      </c>
      <c r="AV2856" s="3">
        <f t="shared" si="134"/>
        <v>0</v>
      </c>
      <c r="AW2856" s="2" t="str">
        <f>IF(Registered!AV2856=0,"",IF(Registered!AV2856=1,Registered!AV2856&amp;" Meal",Registered!AV2856&amp;" Meals"))</f>
        <v/>
      </c>
      <c r="AX2856" s="2" t="str">
        <f>IF(Registered!AI2856=0,"",Registered!AI2856&amp;" BG")</f>
        <v/>
      </c>
      <c r="AY2856" s="2" t="str">
        <f>IF(Registered!AG2856=0,"",Registered!AG2856&amp;" DustMask")</f>
        <v/>
      </c>
    </row>
    <row r="2857" spans="44:51" x14ac:dyDescent="0.25">
      <c r="AR2857" s="3">
        <f t="shared" si="132"/>
        <v>0</v>
      </c>
      <c r="AS2857" s="3">
        <f t="shared" si="133"/>
        <v>0</v>
      </c>
      <c r="AT2857" s="3" t="str">
        <f>IF(OR(Registered!AM2857&gt;0,Registered!AO2857&gt;0),(IF(Registered!E2857=0,"Size Not Specified",Registered!E2857)),"")</f>
        <v/>
      </c>
      <c r="AU2857" s="3" t="str">
        <f>IF(Registered!AE2857=0,"",IF(Registered!AE2857=1,Registered!AE2857&amp;" Bandana",Registered!AE2857&amp;" Bandanas"))</f>
        <v/>
      </c>
      <c r="AV2857" s="3">
        <f t="shared" si="134"/>
        <v>0</v>
      </c>
      <c r="AW2857" s="2" t="str">
        <f>IF(Registered!AV2857=0,"",IF(Registered!AV2857=1,Registered!AV2857&amp;" Meal",Registered!AV2857&amp;" Meals"))</f>
        <v/>
      </c>
      <c r="AX2857" s="2" t="str">
        <f>IF(Registered!AI2857=0,"",Registered!AI2857&amp;" BG")</f>
        <v/>
      </c>
      <c r="AY2857" s="2" t="str">
        <f>IF(Registered!AG2857=0,"",Registered!AG2857&amp;" DustMask")</f>
        <v/>
      </c>
    </row>
    <row r="2858" spans="44:51" x14ac:dyDescent="0.25">
      <c r="AR2858" s="3">
        <f t="shared" si="132"/>
        <v>0</v>
      </c>
      <c r="AS2858" s="3">
        <f t="shared" si="133"/>
        <v>0</v>
      </c>
      <c r="AT2858" s="3" t="str">
        <f>IF(OR(Registered!AM2858&gt;0,Registered!AO2858&gt;0),(IF(Registered!E2858=0,"Size Not Specified",Registered!E2858)),"")</f>
        <v/>
      </c>
      <c r="AU2858" s="3" t="str">
        <f>IF(Registered!AE2858=0,"",IF(Registered!AE2858=1,Registered!AE2858&amp;" Bandana",Registered!AE2858&amp;" Bandanas"))</f>
        <v/>
      </c>
      <c r="AV2858" s="3">
        <f t="shared" si="134"/>
        <v>0</v>
      </c>
      <c r="AW2858" s="2" t="str">
        <f>IF(Registered!AV2858=0,"",IF(Registered!AV2858=1,Registered!AV2858&amp;" Meal",Registered!AV2858&amp;" Meals"))</f>
        <v/>
      </c>
      <c r="AX2858" s="2" t="str">
        <f>IF(Registered!AI2858=0,"",Registered!AI2858&amp;" BG")</f>
        <v/>
      </c>
      <c r="AY2858" s="2" t="str">
        <f>IF(Registered!AG2858=0,"",Registered!AG2858&amp;" DustMask")</f>
        <v/>
      </c>
    </row>
    <row r="2859" spans="44:51" x14ac:dyDescent="0.25">
      <c r="AR2859" s="3">
        <f t="shared" si="132"/>
        <v>0</v>
      </c>
      <c r="AS2859" s="3">
        <f t="shared" si="133"/>
        <v>0</v>
      </c>
      <c r="AT2859" s="3" t="str">
        <f>IF(OR(Registered!AM2859&gt;0,Registered!AO2859&gt;0),(IF(Registered!E2859=0,"Size Not Specified",Registered!E2859)),"")</f>
        <v/>
      </c>
      <c r="AU2859" s="3" t="str">
        <f>IF(Registered!AE2859=0,"",IF(Registered!AE2859=1,Registered!AE2859&amp;" Bandana",Registered!AE2859&amp;" Bandanas"))</f>
        <v/>
      </c>
      <c r="AV2859" s="3">
        <f t="shared" si="134"/>
        <v>0</v>
      </c>
      <c r="AW2859" s="2" t="str">
        <f>IF(Registered!AV2859=0,"",IF(Registered!AV2859=1,Registered!AV2859&amp;" Meal",Registered!AV2859&amp;" Meals"))</f>
        <v/>
      </c>
      <c r="AX2859" s="2" t="str">
        <f>IF(Registered!AI2859=0,"",Registered!AI2859&amp;" BG")</f>
        <v/>
      </c>
      <c r="AY2859" s="2" t="str">
        <f>IF(Registered!AG2859=0,"",Registered!AG2859&amp;" DustMask")</f>
        <v/>
      </c>
    </row>
    <row r="2860" spans="44:51" x14ac:dyDescent="0.25">
      <c r="AR2860" s="3">
        <f t="shared" si="132"/>
        <v>0</v>
      </c>
      <c r="AS2860" s="3">
        <f t="shared" si="133"/>
        <v>0</v>
      </c>
      <c r="AT2860" s="3" t="str">
        <f>IF(OR(Registered!AM2860&gt;0,Registered!AO2860&gt;0),(IF(Registered!E2860=0,"Size Not Specified",Registered!E2860)),"")</f>
        <v/>
      </c>
      <c r="AU2860" s="3" t="str">
        <f>IF(Registered!AE2860=0,"",IF(Registered!AE2860=1,Registered!AE2860&amp;" Bandana",Registered!AE2860&amp;" Bandanas"))</f>
        <v/>
      </c>
      <c r="AV2860" s="3">
        <f t="shared" si="134"/>
        <v>0</v>
      </c>
      <c r="AW2860" s="2" t="str">
        <f>IF(Registered!AV2860=0,"",IF(Registered!AV2860=1,Registered!AV2860&amp;" Meal",Registered!AV2860&amp;" Meals"))</f>
        <v/>
      </c>
      <c r="AX2860" s="2" t="str">
        <f>IF(Registered!AI2860=0,"",Registered!AI2860&amp;" BG")</f>
        <v/>
      </c>
      <c r="AY2860" s="2" t="str">
        <f>IF(Registered!AG2860=0,"",Registered!AG2860&amp;" DustMask")</f>
        <v/>
      </c>
    </row>
    <row r="2861" spans="44:51" x14ac:dyDescent="0.25">
      <c r="AR2861" s="3">
        <f t="shared" si="132"/>
        <v>0</v>
      </c>
      <c r="AS2861" s="3">
        <f t="shared" si="133"/>
        <v>0</v>
      </c>
      <c r="AT2861" s="3" t="str">
        <f>IF(OR(Registered!AM2861&gt;0,Registered!AO2861&gt;0),(IF(Registered!E2861=0,"Size Not Specified",Registered!E2861)),"")</f>
        <v/>
      </c>
      <c r="AU2861" s="3" t="str">
        <f>IF(Registered!AE2861=0,"",IF(Registered!AE2861=1,Registered!AE2861&amp;" Bandana",Registered!AE2861&amp;" Bandanas"))</f>
        <v/>
      </c>
      <c r="AV2861" s="3">
        <f t="shared" si="134"/>
        <v>0</v>
      </c>
      <c r="AW2861" s="2" t="str">
        <f>IF(Registered!AV2861=0,"",IF(Registered!AV2861=1,Registered!AV2861&amp;" Meal",Registered!AV2861&amp;" Meals"))</f>
        <v/>
      </c>
      <c r="AX2861" s="2" t="str">
        <f>IF(Registered!AI2861=0,"",Registered!AI2861&amp;" BG")</f>
        <v/>
      </c>
      <c r="AY2861" s="2" t="str">
        <f>IF(Registered!AG2861=0,"",Registered!AG2861&amp;" DustMask")</f>
        <v/>
      </c>
    </row>
    <row r="2862" spans="44:51" x14ac:dyDescent="0.25">
      <c r="AR2862" s="3">
        <f t="shared" si="132"/>
        <v>0</v>
      </c>
      <c r="AS2862" s="3">
        <f t="shared" si="133"/>
        <v>0</v>
      </c>
      <c r="AT2862" s="3" t="str">
        <f>IF(OR(Registered!AM2862&gt;0,Registered!AO2862&gt;0),(IF(Registered!E2862=0,"Size Not Specified",Registered!E2862)),"")</f>
        <v/>
      </c>
      <c r="AU2862" s="3" t="str">
        <f>IF(Registered!AE2862=0,"",IF(Registered!AE2862=1,Registered!AE2862&amp;" Bandana",Registered!AE2862&amp;" Bandanas"))</f>
        <v/>
      </c>
      <c r="AV2862" s="3">
        <f t="shared" si="134"/>
        <v>0</v>
      </c>
      <c r="AW2862" s="2" t="str">
        <f>IF(Registered!AV2862=0,"",IF(Registered!AV2862=1,Registered!AV2862&amp;" Meal",Registered!AV2862&amp;" Meals"))</f>
        <v/>
      </c>
      <c r="AX2862" s="2" t="str">
        <f>IF(Registered!AI2862=0,"",Registered!AI2862&amp;" BG")</f>
        <v/>
      </c>
      <c r="AY2862" s="2" t="str">
        <f>IF(Registered!AG2862=0,"",Registered!AG2862&amp;" DustMask")</f>
        <v/>
      </c>
    </row>
    <row r="2863" spans="44:51" x14ac:dyDescent="0.25">
      <c r="AR2863" s="3">
        <f t="shared" si="132"/>
        <v>0</v>
      </c>
      <c r="AS2863" s="3">
        <f t="shared" si="133"/>
        <v>0</v>
      </c>
      <c r="AT2863" s="3" t="str">
        <f>IF(OR(Registered!AM2863&gt;0,Registered!AO2863&gt;0),(IF(Registered!E2863=0,"Size Not Specified",Registered!E2863)),"")</f>
        <v/>
      </c>
      <c r="AU2863" s="3" t="str">
        <f>IF(Registered!AE2863=0,"",IF(Registered!AE2863=1,Registered!AE2863&amp;" Bandana",Registered!AE2863&amp;" Bandanas"))</f>
        <v/>
      </c>
      <c r="AV2863" s="3">
        <f t="shared" si="134"/>
        <v>0</v>
      </c>
      <c r="AW2863" s="2" t="str">
        <f>IF(Registered!AV2863=0,"",IF(Registered!AV2863=1,Registered!AV2863&amp;" Meal",Registered!AV2863&amp;" Meals"))</f>
        <v/>
      </c>
      <c r="AX2863" s="2" t="str">
        <f>IF(Registered!AI2863=0,"",Registered!AI2863&amp;" BG")</f>
        <v/>
      </c>
      <c r="AY2863" s="2" t="str">
        <f>IF(Registered!AG2863=0,"",Registered!AG2863&amp;" DustMask")</f>
        <v/>
      </c>
    </row>
    <row r="2864" spans="44:51" x14ac:dyDescent="0.25">
      <c r="AR2864" s="3">
        <f t="shared" si="132"/>
        <v>0</v>
      </c>
      <c r="AS2864" s="3">
        <f t="shared" si="133"/>
        <v>0</v>
      </c>
      <c r="AT2864" s="3" t="str">
        <f>IF(OR(Registered!AM2864&gt;0,Registered!AO2864&gt;0),(IF(Registered!E2864=0,"Size Not Specified",Registered!E2864)),"")</f>
        <v/>
      </c>
      <c r="AU2864" s="3" t="str">
        <f>IF(Registered!AE2864=0,"",IF(Registered!AE2864=1,Registered!AE2864&amp;" Bandana",Registered!AE2864&amp;" Bandanas"))</f>
        <v/>
      </c>
      <c r="AV2864" s="3">
        <f t="shared" si="134"/>
        <v>0</v>
      </c>
      <c r="AW2864" s="2" t="str">
        <f>IF(Registered!AV2864=0,"",IF(Registered!AV2864=1,Registered!AV2864&amp;" Meal",Registered!AV2864&amp;" Meals"))</f>
        <v/>
      </c>
      <c r="AX2864" s="2" t="str">
        <f>IF(Registered!AI2864=0,"",Registered!AI2864&amp;" BG")</f>
        <v/>
      </c>
      <c r="AY2864" s="2" t="str">
        <f>IF(Registered!AG2864=0,"",Registered!AG2864&amp;" DustMask")</f>
        <v/>
      </c>
    </row>
    <row r="2865" spans="44:51" x14ac:dyDescent="0.25">
      <c r="AR2865" s="3">
        <f t="shared" si="132"/>
        <v>0</v>
      </c>
      <c r="AS2865" s="3">
        <f t="shared" si="133"/>
        <v>0</v>
      </c>
      <c r="AT2865" s="3" t="str">
        <f>IF(OR(Registered!AM2865&gt;0,Registered!AO2865&gt;0),(IF(Registered!E2865=0,"Size Not Specified",Registered!E2865)),"")</f>
        <v/>
      </c>
      <c r="AU2865" s="3" t="str">
        <f>IF(Registered!AE2865=0,"",IF(Registered!AE2865=1,Registered!AE2865&amp;" Bandana",Registered!AE2865&amp;" Bandanas"))</f>
        <v/>
      </c>
      <c r="AV2865" s="3">
        <f t="shared" si="134"/>
        <v>0</v>
      </c>
      <c r="AW2865" s="2" t="str">
        <f>IF(Registered!AV2865=0,"",IF(Registered!AV2865=1,Registered!AV2865&amp;" Meal",Registered!AV2865&amp;" Meals"))</f>
        <v/>
      </c>
      <c r="AX2865" s="2" t="str">
        <f>IF(Registered!AI2865=0,"",Registered!AI2865&amp;" BG")</f>
        <v/>
      </c>
      <c r="AY2865" s="2" t="str">
        <f>IF(Registered!AG2865=0,"",Registered!AG2865&amp;" DustMask")</f>
        <v/>
      </c>
    </row>
    <row r="2866" spans="44:51" x14ac:dyDescent="0.25">
      <c r="AR2866" s="3">
        <f t="shared" si="132"/>
        <v>0</v>
      </c>
      <c r="AS2866" s="3">
        <f t="shared" si="133"/>
        <v>0</v>
      </c>
      <c r="AT2866" s="3" t="str">
        <f>IF(OR(Registered!AM2866&gt;0,Registered!AO2866&gt;0),(IF(Registered!E2866=0,"Size Not Specified",Registered!E2866)),"")</f>
        <v/>
      </c>
      <c r="AU2866" s="3" t="str">
        <f>IF(Registered!AE2866=0,"",IF(Registered!AE2866=1,Registered!AE2866&amp;" Bandana",Registered!AE2866&amp;" Bandanas"))</f>
        <v/>
      </c>
      <c r="AV2866" s="3">
        <f t="shared" si="134"/>
        <v>0</v>
      </c>
      <c r="AW2866" s="2" t="str">
        <f>IF(Registered!AV2866=0,"",IF(Registered!AV2866=1,Registered!AV2866&amp;" Meal",Registered!AV2866&amp;" Meals"))</f>
        <v/>
      </c>
      <c r="AX2866" s="2" t="str">
        <f>IF(Registered!AI2866=0,"",Registered!AI2866&amp;" BG")</f>
        <v/>
      </c>
      <c r="AY2866" s="2" t="str">
        <f>IF(Registered!AG2866=0,"",Registered!AG2866&amp;" DustMask")</f>
        <v/>
      </c>
    </row>
    <row r="2867" spans="44:51" x14ac:dyDescent="0.25">
      <c r="AR2867" s="3">
        <f t="shared" si="132"/>
        <v>0</v>
      </c>
      <c r="AS2867" s="3">
        <f t="shared" si="133"/>
        <v>0</v>
      </c>
      <c r="AT2867" s="3" t="str">
        <f>IF(OR(Registered!AM2867&gt;0,Registered!AO2867&gt;0),(IF(Registered!E2867=0,"Size Not Specified",Registered!E2867)),"")</f>
        <v/>
      </c>
      <c r="AU2867" s="3" t="str">
        <f>IF(Registered!AE2867=0,"",IF(Registered!AE2867=1,Registered!AE2867&amp;" Bandana",Registered!AE2867&amp;" Bandanas"))</f>
        <v/>
      </c>
      <c r="AV2867" s="3">
        <f t="shared" si="134"/>
        <v>0</v>
      </c>
      <c r="AW2867" s="2" t="str">
        <f>IF(Registered!AV2867=0,"",IF(Registered!AV2867=1,Registered!AV2867&amp;" Meal",Registered!AV2867&amp;" Meals"))</f>
        <v/>
      </c>
      <c r="AX2867" s="2" t="str">
        <f>IF(Registered!AI2867=0,"",Registered!AI2867&amp;" BG")</f>
        <v/>
      </c>
      <c r="AY2867" s="2" t="str">
        <f>IF(Registered!AG2867=0,"",Registered!AG2867&amp;" DustMask")</f>
        <v/>
      </c>
    </row>
    <row r="2868" spans="44:51" x14ac:dyDescent="0.25">
      <c r="AR2868" s="3">
        <f t="shared" si="132"/>
        <v>0</v>
      </c>
      <c r="AS2868" s="3">
        <f t="shared" si="133"/>
        <v>0</v>
      </c>
      <c r="AT2868" s="3" t="str">
        <f>IF(OR(Registered!AM2868&gt;0,Registered!AO2868&gt;0),(IF(Registered!E2868=0,"Size Not Specified",Registered!E2868)),"")</f>
        <v/>
      </c>
      <c r="AU2868" s="3" t="str">
        <f>IF(Registered!AE2868=0,"",IF(Registered!AE2868=1,Registered!AE2868&amp;" Bandana",Registered!AE2868&amp;" Bandanas"))</f>
        <v/>
      </c>
      <c r="AV2868" s="3">
        <f t="shared" si="134"/>
        <v>0</v>
      </c>
      <c r="AW2868" s="2" t="str">
        <f>IF(Registered!AV2868=0,"",IF(Registered!AV2868=1,Registered!AV2868&amp;" Meal",Registered!AV2868&amp;" Meals"))</f>
        <v/>
      </c>
      <c r="AX2868" s="2" t="str">
        <f>IF(Registered!AI2868=0,"",Registered!AI2868&amp;" BG")</f>
        <v/>
      </c>
      <c r="AY2868" s="2" t="str">
        <f>IF(Registered!AG2868=0,"",Registered!AG2868&amp;" DustMask")</f>
        <v/>
      </c>
    </row>
    <row r="2869" spans="44:51" x14ac:dyDescent="0.25">
      <c r="AR2869" s="3">
        <f t="shared" si="132"/>
        <v>0</v>
      </c>
      <c r="AS2869" s="3">
        <f t="shared" si="133"/>
        <v>0</v>
      </c>
      <c r="AT2869" s="3" t="str">
        <f>IF(OR(Registered!AM2869&gt;0,Registered!AO2869&gt;0),(IF(Registered!E2869=0,"Size Not Specified",Registered!E2869)),"")</f>
        <v/>
      </c>
      <c r="AU2869" s="3" t="str">
        <f>IF(Registered!AE2869=0,"",IF(Registered!AE2869=1,Registered!AE2869&amp;" Bandana",Registered!AE2869&amp;" Bandanas"))</f>
        <v/>
      </c>
      <c r="AV2869" s="3">
        <f t="shared" si="134"/>
        <v>0</v>
      </c>
      <c r="AW2869" s="2" t="str">
        <f>IF(Registered!AV2869=0,"",IF(Registered!AV2869=1,Registered!AV2869&amp;" Meal",Registered!AV2869&amp;" Meals"))</f>
        <v/>
      </c>
      <c r="AX2869" s="2" t="str">
        <f>IF(Registered!AI2869=0,"",Registered!AI2869&amp;" BG")</f>
        <v/>
      </c>
      <c r="AY2869" s="2" t="str">
        <f>IF(Registered!AG2869=0,"",Registered!AG2869&amp;" DustMask")</f>
        <v/>
      </c>
    </row>
    <row r="2870" spans="44:51" x14ac:dyDescent="0.25">
      <c r="AR2870" s="3">
        <f t="shared" si="132"/>
        <v>0</v>
      </c>
      <c r="AS2870" s="3">
        <f t="shared" si="133"/>
        <v>0</v>
      </c>
      <c r="AT2870" s="3" t="str">
        <f>IF(OR(Registered!AM2870&gt;0,Registered!AO2870&gt;0),(IF(Registered!E2870=0,"Size Not Specified",Registered!E2870)),"")</f>
        <v/>
      </c>
      <c r="AU2870" s="3" t="str">
        <f>IF(Registered!AE2870=0,"",IF(Registered!AE2870=1,Registered!AE2870&amp;" Bandana",Registered!AE2870&amp;" Bandanas"))</f>
        <v/>
      </c>
      <c r="AV2870" s="3">
        <f t="shared" si="134"/>
        <v>0</v>
      </c>
      <c r="AW2870" s="2" t="str">
        <f>IF(Registered!AV2870=0,"",IF(Registered!AV2870=1,Registered!AV2870&amp;" Meal",Registered!AV2870&amp;" Meals"))</f>
        <v/>
      </c>
      <c r="AX2870" s="2" t="str">
        <f>IF(Registered!AI2870=0,"",Registered!AI2870&amp;" BG")</f>
        <v/>
      </c>
      <c r="AY2870" s="2" t="str">
        <f>IF(Registered!AG2870=0,"",Registered!AG2870&amp;" DustMask")</f>
        <v/>
      </c>
    </row>
    <row r="2871" spans="44:51" x14ac:dyDescent="0.25">
      <c r="AR2871" s="3">
        <f t="shared" si="132"/>
        <v>0</v>
      </c>
      <c r="AS2871" s="3">
        <f t="shared" si="133"/>
        <v>0</v>
      </c>
      <c r="AT2871" s="3" t="str">
        <f>IF(OR(Registered!AM2871&gt;0,Registered!AO2871&gt;0),(IF(Registered!E2871=0,"Size Not Specified",Registered!E2871)),"")</f>
        <v/>
      </c>
      <c r="AU2871" s="3" t="str">
        <f>IF(Registered!AE2871=0,"",IF(Registered!AE2871=1,Registered!AE2871&amp;" Bandana",Registered!AE2871&amp;" Bandanas"))</f>
        <v/>
      </c>
      <c r="AV2871" s="3">
        <f t="shared" si="134"/>
        <v>0</v>
      </c>
      <c r="AW2871" s="2" t="str">
        <f>IF(Registered!AV2871=0,"",IF(Registered!AV2871=1,Registered!AV2871&amp;" Meal",Registered!AV2871&amp;" Meals"))</f>
        <v/>
      </c>
      <c r="AX2871" s="2" t="str">
        <f>IF(Registered!AI2871=0,"",Registered!AI2871&amp;" BG")</f>
        <v/>
      </c>
      <c r="AY2871" s="2" t="str">
        <f>IF(Registered!AG2871=0,"",Registered!AG2871&amp;" DustMask")</f>
        <v/>
      </c>
    </row>
    <row r="2872" spans="44:51" x14ac:dyDescent="0.25">
      <c r="AR2872" s="3">
        <f t="shared" si="132"/>
        <v>0</v>
      </c>
      <c r="AS2872" s="3">
        <f t="shared" si="133"/>
        <v>0</v>
      </c>
      <c r="AT2872" s="3" t="str">
        <f>IF(OR(Registered!AM2872&gt;0,Registered!AO2872&gt;0),(IF(Registered!E2872=0,"Size Not Specified",Registered!E2872)),"")</f>
        <v/>
      </c>
      <c r="AU2872" s="3" t="str">
        <f>IF(Registered!AE2872=0,"",IF(Registered!AE2872=1,Registered!AE2872&amp;" Bandana",Registered!AE2872&amp;" Bandanas"))</f>
        <v/>
      </c>
      <c r="AV2872" s="3">
        <f t="shared" si="134"/>
        <v>0</v>
      </c>
      <c r="AW2872" s="2" t="str">
        <f>IF(Registered!AV2872=0,"",IF(Registered!AV2872=1,Registered!AV2872&amp;" Meal",Registered!AV2872&amp;" Meals"))</f>
        <v/>
      </c>
      <c r="AX2872" s="2" t="str">
        <f>IF(Registered!AI2872=0,"",Registered!AI2872&amp;" BG")</f>
        <v/>
      </c>
      <c r="AY2872" s="2" t="str">
        <f>IF(Registered!AG2872=0,"",Registered!AG2872&amp;" DustMask")</f>
        <v/>
      </c>
    </row>
    <row r="2873" spans="44:51" x14ac:dyDescent="0.25">
      <c r="AR2873" s="3">
        <f t="shared" si="132"/>
        <v>0</v>
      </c>
      <c r="AS2873" s="3">
        <f t="shared" si="133"/>
        <v>0</v>
      </c>
      <c r="AT2873" s="3" t="str">
        <f>IF(OR(Registered!AM2873&gt;0,Registered!AO2873&gt;0),(IF(Registered!E2873=0,"Size Not Specified",Registered!E2873)),"")</f>
        <v/>
      </c>
      <c r="AU2873" s="3" t="str">
        <f>IF(Registered!AE2873=0,"",IF(Registered!AE2873=1,Registered!AE2873&amp;" Bandana",Registered!AE2873&amp;" Bandanas"))</f>
        <v/>
      </c>
      <c r="AV2873" s="3">
        <f t="shared" si="134"/>
        <v>0</v>
      </c>
      <c r="AW2873" s="2" t="str">
        <f>IF(Registered!AV2873=0,"",IF(Registered!AV2873=1,Registered!AV2873&amp;" Meal",Registered!AV2873&amp;" Meals"))</f>
        <v/>
      </c>
      <c r="AX2873" s="2" t="str">
        <f>IF(Registered!AI2873=0,"",Registered!AI2873&amp;" BG")</f>
        <v/>
      </c>
      <c r="AY2873" s="2" t="str">
        <f>IF(Registered!AG2873=0,"",Registered!AG2873&amp;" DustMask")</f>
        <v/>
      </c>
    </row>
    <row r="2874" spans="44:51" x14ac:dyDescent="0.25">
      <c r="AR2874" s="3">
        <f t="shared" si="132"/>
        <v>0</v>
      </c>
      <c r="AS2874" s="3">
        <f t="shared" si="133"/>
        <v>0</v>
      </c>
      <c r="AT2874" s="3" t="str">
        <f>IF(OR(Registered!AM2874&gt;0,Registered!AO2874&gt;0),(IF(Registered!E2874=0,"Size Not Specified",Registered!E2874)),"")</f>
        <v/>
      </c>
      <c r="AU2874" s="3" t="str">
        <f>IF(Registered!AE2874=0,"",IF(Registered!AE2874=1,Registered!AE2874&amp;" Bandana",Registered!AE2874&amp;" Bandanas"))</f>
        <v/>
      </c>
      <c r="AV2874" s="3">
        <f t="shared" si="134"/>
        <v>0</v>
      </c>
      <c r="AW2874" s="2" t="str">
        <f>IF(Registered!AV2874=0,"",IF(Registered!AV2874=1,Registered!AV2874&amp;" Meal",Registered!AV2874&amp;" Meals"))</f>
        <v/>
      </c>
      <c r="AX2874" s="2" t="str">
        <f>IF(Registered!AI2874=0,"",Registered!AI2874&amp;" BG")</f>
        <v/>
      </c>
      <c r="AY2874" s="2" t="str">
        <f>IF(Registered!AG2874=0,"",Registered!AG2874&amp;" DustMask")</f>
        <v/>
      </c>
    </row>
    <row r="2875" spans="44:51" x14ac:dyDescent="0.25">
      <c r="AR2875" s="3">
        <f t="shared" si="132"/>
        <v>0</v>
      </c>
      <c r="AS2875" s="3">
        <f t="shared" si="133"/>
        <v>0</v>
      </c>
      <c r="AT2875" s="3" t="str">
        <f>IF(OR(Registered!AM2875&gt;0,Registered!AO2875&gt;0),(IF(Registered!E2875=0,"Size Not Specified",Registered!E2875)),"")</f>
        <v/>
      </c>
      <c r="AU2875" s="3" t="str">
        <f>IF(Registered!AE2875=0,"",IF(Registered!AE2875=1,Registered!AE2875&amp;" Bandana",Registered!AE2875&amp;" Bandanas"))</f>
        <v/>
      </c>
      <c r="AV2875" s="3">
        <f t="shared" si="134"/>
        <v>0</v>
      </c>
      <c r="AW2875" s="2" t="str">
        <f>IF(Registered!AV2875=0,"",IF(Registered!AV2875=1,Registered!AV2875&amp;" Meal",Registered!AV2875&amp;" Meals"))</f>
        <v/>
      </c>
      <c r="AX2875" s="2" t="str">
        <f>IF(Registered!AI2875=0,"",Registered!AI2875&amp;" BG")</f>
        <v/>
      </c>
      <c r="AY2875" s="2" t="str">
        <f>IF(Registered!AG2875=0,"",Registered!AG2875&amp;" DustMask")</f>
        <v/>
      </c>
    </row>
    <row r="2876" spans="44:51" x14ac:dyDescent="0.25">
      <c r="AR2876" s="3">
        <f t="shared" si="132"/>
        <v>0</v>
      </c>
      <c r="AS2876" s="3">
        <f t="shared" si="133"/>
        <v>0</v>
      </c>
      <c r="AT2876" s="3" t="str">
        <f>IF(OR(Registered!AM2876&gt;0,Registered!AO2876&gt;0),(IF(Registered!E2876=0,"Size Not Specified",Registered!E2876)),"")</f>
        <v/>
      </c>
      <c r="AU2876" s="3" t="str">
        <f>IF(Registered!AE2876=0,"",IF(Registered!AE2876=1,Registered!AE2876&amp;" Bandana",Registered!AE2876&amp;" Bandanas"))</f>
        <v/>
      </c>
      <c r="AV2876" s="3">
        <f t="shared" si="134"/>
        <v>0</v>
      </c>
      <c r="AW2876" s="2" t="str">
        <f>IF(Registered!AV2876=0,"",IF(Registered!AV2876=1,Registered!AV2876&amp;" Meal",Registered!AV2876&amp;" Meals"))</f>
        <v/>
      </c>
      <c r="AX2876" s="2" t="str">
        <f>IF(Registered!AI2876=0,"",Registered!AI2876&amp;" BG")</f>
        <v/>
      </c>
      <c r="AY2876" s="2" t="str">
        <f>IF(Registered!AG2876=0,"",Registered!AG2876&amp;" DustMask")</f>
        <v/>
      </c>
    </row>
    <row r="2877" spans="44:51" x14ac:dyDescent="0.25">
      <c r="AR2877" s="3">
        <f t="shared" si="132"/>
        <v>0</v>
      </c>
      <c r="AS2877" s="3">
        <f t="shared" si="133"/>
        <v>0</v>
      </c>
      <c r="AT2877" s="3" t="str">
        <f>IF(OR(Registered!AM2877&gt;0,Registered!AO2877&gt;0),(IF(Registered!E2877=0,"Size Not Specified",Registered!E2877)),"")</f>
        <v/>
      </c>
      <c r="AU2877" s="3" t="str">
        <f>IF(Registered!AE2877=0,"",IF(Registered!AE2877=1,Registered!AE2877&amp;" Bandana",Registered!AE2877&amp;" Bandanas"))</f>
        <v/>
      </c>
      <c r="AV2877" s="3">
        <f t="shared" si="134"/>
        <v>0</v>
      </c>
      <c r="AW2877" s="2" t="str">
        <f>IF(Registered!AV2877=0,"",IF(Registered!AV2877=1,Registered!AV2877&amp;" Meal",Registered!AV2877&amp;" Meals"))</f>
        <v/>
      </c>
      <c r="AX2877" s="2" t="str">
        <f>IF(Registered!AI2877=0,"",Registered!AI2877&amp;" BG")</f>
        <v/>
      </c>
      <c r="AY2877" s="2" t="str">
        <f>IF(Registered!AG2877=0,"",Registered!AG2877&amp;" DustMask")</f>
        <v/>
      </c>
    </row>
    <row r="2878" spans="44:51" x14ac:dyDescent="0.25">
      <c r="AR2878" s="3">
        <f t="shared" si="132"/>
        <v>0</v>
      </c>
      <c r="AS2878" s="3">
        <f t="shared" si="133"/>
        <v>0</v>
      </c>
      <c r="AT2878" s="3" t="str">
        <f>IF(OR(Registered!AM2878&gt;0,Registered!AO2878&gt;0),(IF(Registered!E2878=0,"Size Not Specified",Registered!E2878)),"")</f>
        <v/>
      </c>
      <c r="AU2878" s="3" t="str">
        <f>IF(Registered!AE2878=0,"",IF(Registered!AE2878=1,Registered!AE2878&amp;" Bandana",Registered!AE2878&amp;" Bandanas"))</f>
        <v/>
      </c>
      <c r="AV2878" s="3">
        <f t="shared" si="134"/>
        <v>0</v>
      </c>
      <c r="AW2878" s="2" t="str">
        <f>IF(Registered!AV2878=0,"",IF(Registered!AV2878=1,Registered!AV2878&amp;" Meal",Registered!AV2878&amp;" Meals"))</f>
        <v/>
      </c>
      <c r="AX2878" s="2" t="str">
        <f>IF(Registered!AI2878=0,"",Registered!AI2878&amp;" BG")</f>
        <v/>
      </c>
      <c r="AY2878" s="2" t="str">
        <f>IF(Registered!AG2878=0,"",Registered!AG2878&amp;" DustMask")</f>
        <v/>
      </c>
    </row>
    <row r="2879" spans="44:51" x14ac:dyDescent="0.25">
      <c r="AR2879" s="3">
        <f t="shared" si="132"/>
        <v>0</v>
      </c>
      <c r="AS2879" s="3">
        <f t="shared" si="133"/>
        <v>0</v>
      </c>
      <c r="AT2879" s="3" t="str">
        <f>IF(OR(Registered!AM2879&gt;0,Registered!AO2879&gt;0),(IF(Registered!E2879=0,"Size Not Specified",Registered!E2879)),"")</f>
        <v/>
      </c>
      <c r="AU2879" s="3" t="str">
        <f>IF(Registered!AE2879=0,"",IF(Registered!AE2879=1,Registered!AE2879&amp;" Bandana",Registered!AE2879&amp;" Bandanas"))</f>
        <v/>
      </c>
      <c r="AV2879" s="3">
        <f t="shared" si="134"/>
        <v>0</v>
      </c>
      <c r="AW2879" s="2" t="str">
        <f>IF(Registered!AV2879=0,"",IF(Registered!AV2879=1,Registered!AV2879&amp;" Meal",Registered!AV2879&amp;" Meals"))</f>
        <v/>
      </c>
      <c r="AX2879" s="2" t="str">
        <f>IF(Registered!AI2879=0,"",Registered!AI2879&amp;" BG")</f>
        <v/>
      </c>
      <c r="AY2879" s="2" t="str">
        <f>IF(Registered!AG2879=0,"",Registered!AG2879&amp;" DustMask")</f>
        <v/>
      </c>
    </row>
    <row r="2880" spans="44:51" x14ac:dyDescent="0.25">
      <c r="AR2880" s="3">
        <f t="shared" si="132"/>
        <v>0</v>
      </c>
      <c r="AS2880" s="3">
        <f t="shared" si="133"/>
        <v>0</v>
      </c>
      <c r="AT2880" s="3" t="str">
        <f>IF(OR(Registered!AM2880&gt;0,Registered!AO2880&gt;0),(IF(Registered!E2880=0,"Size Not Specified",Registered!E2880)),"")</f>
        <v/>
      </c>
      <c r="AU2880" s="3" t="str">
        <f>IF(Registered!AE2880=0,"",IF(Registered!AE2880=1,Registered!AE2880&amp;" Bandana",Registered!AE2880&amp;" Bandanas"))</f>
        <v/>
      </c>
      <c r="AV2880" s="3">
        <f t="shared" si="134"/>
        <v>0</v>
      </c>
      <c r="AW2880" s="2" t="str">
        <f>IF(Registered!AV2880=0,"",IF(Registered!AV2880=1,Registered!AV2880&amp;" Meal",Registered!AV2880&amp;" Meals"))</f>
        <v/>
      </c>
      <c r="AX2880" s="2" t="str">
        <f>IF(Registered!AI2880=0,"",Registered!AI2880&amp;" BG")</f>
        <v/>
      </c>
      <c r="AY2880" s="2" t="str">
        <f>IF(Registered!AG2880=0,"",Registered!AG2880&amp;" DustMask")</f>
        <v/>
      </c>
    </row>
    <row r="2881" spans="44:51" x14ac:dyDescent="0.25">
      <c r="AR2881" s="3">
        <f t="shared" si="132"/>
        <v>0</v>
      </c>
      <c r="AS2881" s="3">
        <f t="shared" si="133"/>
        <v>0</v>
      </c>
      <c r="AT2881" s="3" t="str">
        <f>IF(OR(Registered!AM2881&gt;0,Registered!AO2881&gt;0),(IF(Registered!E2881=0,"Size Not Specified",Registered!E2881)),"")</f>
        <v/>
      </c>
      <c r="AU2881" s="3" t="str">
        <f>IF(Registered!AE2881=0,"",IF(Registered!AE2881=1,Registered!AE2881&amp;" Bandana",Registered!AE2881&amp;" Bandanas"))</f>
        <v/>
      </c>
      <c r="AV2881" s="3">
        <f t="shared" si="134"/>
        <v>0</v>
      </c>
      <c r="AW2881" s="2" t="str">
        <f>IF(Registered!AV2881=0,"",IF(Registered!AV2881=1,Registered!AV2881&amp;" Meal",Registered!AV2881&amp;" Meals"))</f>
        <v/>
      </c>
      <c r="AX2881" s="2" t="str">
        <f>IF(Registered!AI2881=0,"",Registered!AI2881&amp;" BG")</f>
        <v/>
      </c>
      <c r="AY2881" s="2" t="str">
        <f>IF(Registered!AG2881=0,"",Registered!AG2881&amp;" DustMask")</f>
        <v/>
      </c>
    </row>
    <row r="2882" spans="44:51" x14ac:dyDescent="0.25">
      <c r="AR2882" s="3">
        <f t="shared" ref="AR2882:AR2945" si="135">IF(ISTEXT(AM2882)=TRUE,"",SUM(U2882*10,W2882*20,Y2882*30,AA2882*40,AC2882*5,AM2882*5))</f>
        <v>0</v>
      </c>
      <c r="AS2882" s="3">
        <f t="shared" ref="AS2882:AS2945" si="136">IF(ISTEXT(AM2882)=TRUE,"",SUM(AM2882,AO2882))</f>
        <v>0</v>
      </c>
      <c r="AT2882" s="3" t="str">
        <f>IF(OR(Registered!AM2882&gt;0,Registered!AO2882&gt;0),(IF(Registered!E2882=0,"Size Not Specified",Registered!E2882)),"")</f>
        <v/>
      </c>
      <c r="AU2882" s="3" t="str">
        <f>IF(Registered!AE2882=0,"",IF(Registered!AE2882=1,Registered!AE2882&amp;" Bandana",Registered!AE2882&amp;" Bandanas"))</f>
        <v/>
      </c>
      <c r="AV2882" s="3">
        <f t="shared" ref="AV2882:AV2945" si="137">IF(ISTEXT(AM2882)=TRUE,"",SUM(AM2882,AK2882))</f>
        <v>0</v>
      </c>
      <c r="AW2882" s="2" t="str">
        <f>IF(Registered!AV2882=0,"",IF(Registered!AV2882=1,Registered!AV2882&amp;" Meal",Registered!AV2882&amp;" Meals"))</f>
        <v/>
      </c>
      <c r="AX2882" s="2" t="str">
        <f>IF(Registered!AI2882=0,"",Registered!AI2882&amp;" BG")</f>
        <v/>
      </c>
      <c r="AY2882" s="2" t="str">
        <f>IF(Registered!AG2882=0,"",Registered!AG2882&amp;" DustMask")</f>
        <v/>
      </c>
    </row>
    <row r="2883" spans="44:51" x14ac:dyDescent="0.25">
      <c r="AR2883" s="3">
        <f t="shared" si="135"/>
        <v>0</v>
      </c>
      <c r="AS2883" s="3">
        <f t="shared" si="136"/>
        <v>0</v>
      </c>
      <c r="AT2883" s="3" t="str">
        <f>IF(OR(Registered!AM2883&gt;0,Registered!AO2883&gt;0),(IF(Registered!E2883=0,"Size Not Specified",Registered!E2883)),"")</f>
        <v/>
      </c>
      <c r="AU2883" s="3" t="str">
        <f>IF(Registered!AE2883=0,"",IF(Registered!AE2883=1,Registered!AE2883&amp;" Bandana",Registered!AE2883&amp;" Bandanas"))</f>
        <v/>
      </c>
      <c r="AV2883" s="3">
        <f t="shared" si="137"/>
        <v>0</v>
      </c>
      <c r="AW2883" s="2" t="str">
        <f>IF(Registered!AV2883=0,"",IF(Registered!AV2883=1,Registered!AV2883&amp;" Meal",Registered!AV2883&amp;" Meals"))</f>
        <v/>
      </c>
      <c r="AX2883" s="2" t="str">
        <f>IF(Registered!AI2883=0,"",Registered!AI2883&amp;" BG")</f>
        <v/>
      </c>
      <c r="AY2883" s="2" t="str">
        <f>IF(Registered!AG2883=0,"",Registered!AG2883&amp;" DustMask")</f>
        <v/>
      </c>
    </row>
    <row r="2884" spans="44:51" x14ac:dyDescent="0.25">
      <c r="AR2884" s="3">
        <f t="shared" si="135"/>
        <v>0</v>
      </c>
      <c r="AS2884" s="3">
        <f t="shared" si="136"/>
        <v>0</v>
      </c>
      <c r="AT2884" s="3" t="str">
        <f>IF(OR(Registered!AM2884&gt;0,Registered!AO2884&gt;0),(IF(Registered!E2884=0,"Size Not Specified",Registered!E2884)),"")</f>
        <v/>
      </c>
      <c r="AU2884" s="3" t="str">
        <f>IF(Registered!AE2884=0,"",IF(Registered!AE2884=1,Registered!AE2884&amp;" Bandana",Registered!AE2884&amp;" Bandanas"))</f>
        <v/>
      </c>
      <c r="AV2884" s="3">
        <f t="shared" si="137"/>
        <v>0</v>
      </c>
      <c r="AW2884" s="2" t="str">
        <f>IF(Registered!AV2884=0,"",IF(Registered!AV2884=1,Registered!AV2884&amp;" Meal",Registered!AV2884&amp;" Meals"))</f>
        <v/>
      </c>
      <c r="AX2884" s="2" t="str">
        <f>IF(Registered!AI2884=0,"",Registered!AI2884&amp;" BG")</f>
        <v/>
      </c>
      <c r="AY2884" s="2" t="str">
        <f>IF(Registered!AG2884=0,"",Registered!AG2884&amp;" DustMask")</f>
        <v/>
      </c>
    </row>
    <row r="2885" spans="44:51" x14ac:dyDescent="0.25">
      <c r="AR2885" s="3">
        <f t="shared" si="135"/>
        <v>0</v>
      </c>
      <c r="AS2885" s="3">
        <f t="shared" si="136"/>
        <v>0</v>
      </c>
      <c r="AT2885" s="3" t="str">
        <f>IF(OR(Registered!AM2885&gt;0,Registered!AO2885&gt;0),(IF(Registered!E2885=0,"Size Not Specified",Registered!E2885)),"")</f>
        <v/>
      </c>
      <c r="AU2885" s="3" t="str">
        <f>IF(Registered!AE2885=0,"",IF(Registered!AE2885=1,Registered!AE2885&amp;" Bandana",Registered!AE2885&amp;" Bandanas"))</f>
        <v/>
      </c>
      <c r="AV2885" s="3">
        <f t="shared" si="137"/>
        <v>0</v>
      </c>
      <c r="AW2885" s="2" t="str">
        <f>IF(Registered!AV2885=0,"",IF(Registered!AV2885=1,Registered!AV2885&amp;" Meal",Registered!AV2885&amp;" Meals"))</f>
        <v/>
      </c>
      <c r="AX2885" s="2" t="str">
        <f>IF(Registered!AI2885=0,"",Registered!AI2885&amp;" BG")</f>
        <v/>
      </c>
      <c r="AY2885" s="2" t="str">
        <f>IF(Registered!AG2885=0,"",Registered!AG2885&amp;" DustMask")</f>
        <v/>
      </c>
    </row>
    <row r="2886" spans="44:51" x14ac:dyDescent="0.25">
      <c r="AR2886" s="3">
        <f t="shared" si="135"/>
        <v>0</v>
      </c>
      <c r="AS2886" s="3">
        <f t="shared" si="136"/>
        <v>0</v>
      </c>
      <c r="AT2886" s="3" t="str">
        <f>IF(OR(Registered!AM2886&gt;0,Registered!AO2886&gt;0),(IF(Registered!E2886=0,"Size Not Specified",Registered!E2886)),"")</f>
        <v/>
      </c>
      <c r="AU2886" s="3" t="str">
        <f>IF(Registered!AE2886=0,"",IF(Registered!AE2886=1,Registered!AE2886&amp;" Bandana",Registered!AE2886&amp;" Bandanas"))</f>
        <v/>
      </c>
      <c r="AV2886" s="3">
        <f t="shared" si="137"/>
        <v>0</v>
      </c>
      <c r="AW2886" s="2" t="str">
        <f>IF(Registered!AV2886=0,"",IF(Registered!AV2886=1,Registered!AV2886&amp;" Meal",Registered!AV2886&amp;" Meals"))</f>
        <v/>
      </c>
      <c r="AX2886" s="2" t="str">
        <f>IF(Registered!AI2886=0,"",Registered!AI2886&amp;" BG")</f>
        <v/>
      </c>
      <c r="AY2886" s="2" t="str">
        <f>IF(Registered!AG2886=0,"",Registered!AG2886&amp;" DustMask")</f>
        <v/>
      </c>
    </row>
    <row r="2887" spans="44:51" x14ac:dyDescent="0.25">
      <c r="AR2887" s="3">
        <f t="shared" si="135"/>
        <v>0</v>
      </c>
      <c r="AS2887" s="3">
        <f t="shared" si="136"/>
        <v>0</v>
      </c>
      <c r="AT2887" s="3" t="str">
        <f>IF(OR(Registered!AM2887&gt;0,Registered!AO2887&gt;0),(IF(Registered!E2887=0,"Size Not Specified",Registered!E2887)),"")</f>
        <v/>
      </c>
      <c r="AU2887" s="3" t="str">
        <f>IF(Registered!AE2887=0,"",IF(Registered!AE2887=1,Registered!AE2887&amp;" Bandana",Registered!AE2887&amp;" Bandanas"))</f>
        <v/>
      </c>
      <c r="AV2887" s="3">
        <f t="shared" si="137"/>
        <v>0</v>
      </c>
      <c r="AW2887" s="2" t="str">
        <f>IF(Registered!AV2887=0,"",IF(Registered!AV2887=1,Registered!AV2887&amp;" Meal",Registered!AV2887&amp;" Meals"))</f>
        <v/>
      </c>
      <c r="AX2887" s="2" t="str">
        <f>IF(Registered!AI2887=0,"",Registered!AI2887&amp;" BG")</f>
        <v/>
      </c>
      <c r="AY2887" s="2" t="str">
        <f>IF(Registered!AG2887=0,"",Registered!AG2887&amp;" DustMask")</f>
        <v/>
      </c>
    </row>
    <row r="2888" spans="44:51" x14ac:dyDescent="0.25">
      <c r="AR2888" s="3">
        <f t="shared" si="135"/>
        <v>0</v>
      </c>
      <c r="AS2888" s="3">
        <f t="shared" si="136"/>
        <v>0</v>
      </c>
      <c r="AT2888" s="3" t="str">
        <f>IF(OR(Registered!AM2888&gt;0,Registered!AO2888&gt;0),(IF(Registered!E2888=0,"Size Not Specified",Registered!E2888)),"")</f>
        <v/>
      </c>
      <c r="AU2888" s="3" t="str">
        <f>IF(Registered!AE2888=0,"",IF(Registered!AE2888=1,Registered!AE2888&amp;" Bandana",Registered!AE2888&amp;" Bandanas"))</f>
        <v/>
      </c>
      <c r="AV2888" s="3">
        <f t="shared" si="137"/>
        <v>0</v>
      </c>
      <c r="AW2888" s="2" t="str">
        <f>IF(Registered!AV2888=0,"",IF(Registered!AV2888=1,Registered!AV2888&amp;" Meal",Registered!AV2888&amp;" Meals"))</f>
        <v/>
      </c>
      <c r="AX2888" s="2" t="str">
        <f>IF(Registered!AI2888=0,"",Registered!AI2888&amp;" BG")</f>
        <v/>
      </c>
      <c r="AY2888" s="2" t="str">
        <f>IF(Registered!AG2888=0,"",Registered!AG2888&amp;" DustMask")</f>
        <v/>
      </c>
    </row>
    <row r="2889" spans="44:51" x14ac:dyDescent="0.25">
      <c r="AR2889" s="3">
        <f t="shared" si="135"/>
        <v>0</v>
      </c>
      <c r="AS2889" s="3">
        <f t="shared" si="136"/>
        <v>0</v>
      </c>
      <c r="AT2889" s="3" t="str">
        <f>IF(OR(Registered!AM2889&gt;0,Registered!AO2889&gt;0),(IF(Registered!E2889=0,"Size Not Specified",Registered!E2889)),"")</f>
        <v/>
      </c>
      <c r="AU2889" s="3" t="str">
        <f>IF(Registered!AE2889=0,"",IF(Registered!AE2889=1,Registered!AE2889&amp;" Bandana",Registered!AE2889&amp;" Bandanas"))</f>
        <v/>
      </c>
      <c r="AV2889" s="3">
        <f t="shared" si="137"/>
        <v>0</v>
      </c>
      <c r="AW2889" s="2" t="str">
        <f>IF(Registered!AV2889=0,"",IF(Registered!AV2889=1,Registered!AV2889&amp;" Meal",Registered!AV2889&amp;" Meals"))</f>
        <v/>
      </c>
      <c r="AX2889" s="2" t="str">
        <f>IF(Registered!AI2889=0,"",Registered!AI2889&amp;" BG")</f>
        <v/>
      </c>
      <c r="AY2889" s="2" t="str">
        <f>IF(Registered!AG2889=0,"",Registered!AG2889&amp;" DustMask")</f>
        <v/>
      </c>
    </row>
    <row r="2890" spans="44:51" x14ac:dyDescent="0.25">
      <c r="AR2890" s="3">
        <f t="shared" si="135"/>
        <v>0</v>
      </c>
      <c r="AS2890" s="3">
        <f t="shared" si="136"/>
        <v>0</v>
      </c>
      <c r="AT2890" s="3" t="str">
        <f>IF(OR(Registered!AM2890&gt;0,Registered!AO2890&gt;0),(IF(Registered!E2890=0,"Size Not Specified",Registered!E2890)),"")</f>
        <v/>
      </c>
      <c r="AU2890" s="3" t="str">
        <f>IF(Registered!AE2890=0,"",IF(Registered!AE2890=1,Registered!AE2890&amp;" Bandana",Registered!AE2890&amp;" Bandanas"))</f>
        <v/>
      </c>
      <c r="AV2890" s="3">
        <f t="shared" si="137"/>
        <v>0</v>
      </c>
      <c r="AW2890" s="2" t="str">
        <f>IF(Registered!AV2890=0,"",IF(Registered!AV2890=1,Registered!AV2890&amp;" Meal",Registered!AV2890&amp;" Meals"))</f>
        <v/>
      </c>
      <c r="AX2890" s="2" t="str">
        <f>IF(Registered!AI2890=0,"",Registered!AI2890&amp;" BG")</f>
        <v/>
      </c>
      <c r="AY2890" s="2" t="str">
        <f>IF(Registered!AG2890=0,"",Registered!AG2890&amp;" DustMask")</f>
        <v/>
      </c>
    </row>
    <row r="2891" spans="44:51" x14ac:dyDescent="0.25">
      <c r="AR2891" s="3">
        <f t="shared" si="135"/>
        <v>0</v>
      </c>
      <c r="AS2891" s="3">
        <f t="shared" si="136"/>
        <v>0</v>
      </c>
      <c r="AT2891" s="3" t="str">
        <f>IF(OR(Registered!AM2891&gt;0,Registered!AO2891&gt;0),(IF(Registered!E2891=0,"Size Not Specified",Registered!E2891)),"")</f>
        <v/>
      </c>
      <c r="AU2891" s="3" t="str">
        <f>IF(Registered!AE2891=0,"",IF(Registered!AE2891=1,Registered!AE2891&amp;" Bandana",Registered!AE2891&amp;" Bandanas"))</f>
        <v/>
      </c>
      <c r="AV2891" s="3">
        <f t="shared" si="137"/>
        <v>0</v>
      </c>
      <c r="AW2891" s="2" t="str">
        <f>IF(Registered!AV2891=0,"",IF(Registered!AV2891=1,Registered!AV2891&amp;" Meal",Registered!AV2891&amp;" Meals"))</f>
        <v/>
      </c>
      <c r="AX2891" s="2" t="str">
        <f>IF(Registered!AI2891=0,"",Registered!AI2891&amp;" BG")</f>
        <v/>
      </c>
      <c r="AY2891" s="2" t="str">
        <f>IF(Registered!AG2891=0,"",Registered!AG2891&amp;" DustMask")</f>
        <v/>
      </c>
    </row>
    <row r="2892" spans="44:51" x14ac:dyDescent="0.25">
      <c r="AR2892" s="3">
        <f t="shared" si="135"/>
        <v>0</v>
      </c>
      <c r="AS2892" s="3">
        <f t="shared" si="136"/>
        <v>0</v>
      </c>
      <c r="AT2892" s="3" t="str">
        <f>IF(OR(Registered!AM2892&gt;0,Registered!AO2892&gt;0),(IF(Registered!E2892=0,"Size Not Specified",Registered!E2892)),"")</f>
        <v/>
      </c>
      <c r="AU2892" s="3" t="str">
        <f>IF(Registered!AE2892=0,"",IF(Registered!AE2892=1,Registered!AE2892&amp;" Bandana",Registered!AE2892&amp;" Bandanas"))</f>
        <v/>
      </c>
      <c r="AV2892" s="3">
        <f t="shared" si="137"/>
        <v>0</v>
      </c>
      <c r="AW2892" s="2" t="str">
        <f>IF(Registered!AV2892=0,"",IF(Registered!AV2892=1,Registered!AV2892&amp;" Meal",Registered!AV2892&amp;" Meals"))</f>
        <v/>
      </c>
      <c r="AX2892" s="2" t="str">
        <f>IF(Registered!AI2892=0,"",Registered!AI2892&amp;" BG")</f>
        <v/>
      </c>
      <c r="AY2892" s="2" t="str">
        <f>IF(Registered!AG2892=0,"",Registered!AG2892&amp;" DustMask")</f>
        <v/>
      </c>
    </row>
    <row r="2893" spans="44:51" x14ac:dyDescent="0.25">
      <c r="AR2893" s="3">
        <f t="shared" si="135"/>
        <v>0</v>
      </c>
      <c r="AS2893" s="3">
        <f t="shared" si="136"/>
        <v>0</v>
      </c>
      <c r="AT2893" s="3" t="str">
        <f>IF(OR(Registered!AM2893&gt;0,Registered!AO2893&gt;0),(IF(Registered!E2893=0,"Size Not Specified",Registered!E2893)),"")</f>
        <v/>
      </c>
      <c r="AU2893" s="3" t="str">
        <f>IF(Registered!AE2893=0,"",IF(Registered!AE2893=1,Registered!AE2893&amp;" Bandana",Registered!AE2893&amp;" Bandanas"))</f>
        <v/>
      </c>
      <c r="AV2893" s="3">
        <f t="shared" si="137"/>
        <v>0</v>
      </c>
      <c r="AW2893" s="2" t="str">
        <f>IF(Registered!AV2893=0,"",IF(Registered!AV2893=1,Registered!AV2893&amp;" Meal",Registered!AV2893&amp;" Meals"))</f>
        <v/>
      </c>
      <c r="AX2893" s="2" t="str">
        <f>IF(Registered!AI2893=0,"",Registered!AI2893&amp;" BG")</f>
        <v/>
      </c>
      <c r="AY2893" s="2" t="str">
        <f>IF(Registered!AG2893=0,"",Registered!AG2893&amp;" DustMask")</f>
        <v/>
      </c>
    </row>
    <row r="2894" spans="44:51" x14ac:dyDescent="0.25">
      <c r="AR2894" s="3">
        <f t="shared" si="135"/>
        <v>0</v>
      </c>
      <c r="AS2894" s="3">
        <f t="shared" si="136"/>
        <v>0</v>
      </c>
      <c r="AT2894" s="3" t="str">
        <f>IF(OR(Registered!AM2894&gt;0,Registered!AO2894&gt;0),(IF(Registered!E2894=0,"Size Not Specified",Registered!E2894)),"")</f>
        <v/>
      </c>
      <c r="AU2894" s="3" t="str">
        <f>IF(Registered!AE2894=0,"",IF(Registered!AE2894=1,Registered!AE2894&amp;" Bandana",Registered!AE2894&amp;" Bandanas"))</f>
        <v/>
      </c>
      <c r="AV2894" s="3">
        <f t="shared" si="137"/>
        <v>0</v>
      </c>
      <c r="AW2894" s="2" t="str">
        <f>IF(Registered!AV2894=0,"",IF(Registered!AV2894=1,Registered!AV2894&amp;" Meal",Registered!AV2894&amp;" Meals"))</f>
        <v/>
      </c>
      <c r="AX2894" s="2" t="str">
        <f>IF(Registered!AI2894=0,"",Registered!AI2894&amp;" BG")</f>
        <v/>
      </c>
      <c r="AY2894" s="2" t="str">
        <f>IF(Registered!AG2894=0,"",Registered!AG2894&amp;" DustMask")</f>
        <v/>
      </c>
    </row>
    <row r="2895" spans="44:51" x14ac:dyDescent="0.25">
      <c r="AR2895" s="3">
        <f t="shared" si="135"/>
        <v>0</v>
      </c>
      <c r="AS2895" s="3">
        <f t="shared" si="136"/>
        <v>0</v>
      </c>
      <c r="AT2895" s="3" t="str">
        <f>IF(OR(Registered!AM2895&gt;0,Registered!AO2895&gt;0),(IF(Registered!E2895=0,"Size Not Specified",Registered!E2895)),"")</f>
        <v/>
      </c>
      <c r="AU2895" s="3" t="str">
        <f>IF(Registered!AE2895=0,"",IF(Registered!AE2895=1,Registered!AE2895&amp;" Bandana",Registered!AE2895&amp;" Bandanas"))</f>
        <v/>
      </c>
      <c r="AV2895" s="3">
        <f t="shared" si="137"/>
        <v>0</v>
      </c>
      <c r="AW2895" s="2" t="str">
        <f>IF(Registered!AV2895=0,"",IF(Registered!AV2895=1,Registered!AV2895&amp;" Meal",Registered!AV2895&amp;" Meals"))</f>
        <v/>
      </c>
      <c r="AX2895" s="2" t="str">
        <f>IF(Registered!AI2895=0,"",Registered!AI2895&amp;" BG")</f>
        <v/>
      </c>
      <c r="AY2895" s="2" t="str">
        <f>IF(Registered!AG2895=0,"",Registered!AG2895&amp;" DustMask")</f>
        <v/>
      </c>
    </row>
    <row r="2896" spans="44:51" x14ac:dyDescent="0.25">
      <c r="AR2896" s="3">
        <f t="shared" si="135"/>
        <v>0</v>
      </c>
      <c r="AS2896" s="3">
        <f t="shared" si="136"/>
        <v>0</v>
      </c>
      <c r="AT2896" s="3" t="str">
        <f>IF(OR(Registered!AM2896&gt;0,Registered!AO2896&gt;0),(IF(Registered!E2896=0,"Size Not Specified",Registered!E2896)),"")</f>
        <v/>
      </c>
      <c r="AU2896" s="3" t="str">
        <f>IF(Registered!AE2896=0,"",IF(Registered!AE2896=1,Registered!AE2896&amp;" Bandana",Registered!AE2896&amp;" Bandanas"))</f>
        <v/>
      </c>
      <c r="AV2896" s="3">
        <f t="shared" si="137"/>
        <v>0</v>
      </c>
      <c r="AW2896" s="2" t="str">
        <f>IF(Registered!AV2896=0,"",IF(Registered!AV2896=1,Registered!AV2896&amp;" Meal",Registered!AV2896&amp;" Meals"))</f>
        <v/>
      </c>
      <c r="AX2896" s="2" t="str">
        <f>IF(Registered!AI2896=0,"",Registered!AI2896&amp;" BG")</f>
        <v/>
      </c>
      <c r="AY2896" s="2" t="str">
        <f>IF(Registered!AG2896=0,"",Registered!AG2896&amp;" DustMask")</f>
        <v/>
      </c>
    </row>
    <row r="2897" spans="44:51" x14ac:dyDescent="0.25">
      <c r="AR2897" s="3">
        <f t="shared" si="135"/>
        <v>0</v>
      </c>
      <c r="AS2897" s="3">
        <f t="shared" si="136"/>
        <v>0</v>
      </c>
      <c r="AT2897" s="3" t="str">
        <f>IF(OR(Registered!AM2897&gt;0,Registered!AO2897&gt;0),(IF(Registered!E2897=0,"Size Not Specified",Registered!E2897)),"")</f>
        <v/>
      </c>
      <c r="AU2897" s="3" t="str">
        <f>IF(Registered!AE2897=0,"",IF(Registered!AE2897=1,Registered!AE2897&amp;" Bandana",Registered!AE2897&amp;" Bandanas"))</f>
        <v/>
      </c>
      <c r="AV2897" s="3">
        <f t="shared" si="137"/>
        <v>0</v>
      </c>
      <c r="AW2897" s="2" t="str">
        <f>IF(Registered!AV2897=0,"",IF(Registered!AV2897=1,Registered!AV2897&amp;" Meal",Registered!AV2897&amp;" Meals"))</f>
        <v/>
      </c>
      <c r="AX2897" s="2" t="str">
        <f>IF(Registered!AI2897=0,"",Registered!AI2897&amp;" BG")</f>
        <v/>
      </c>
      <c r="AY2897" s="2" t="str">
        <f>IF(Registered!AG2897=0,"",Registered!AG2897&amp;" DustMask")</f>
        <v/>
      </c>
    </row>
    <row r="2898" spans="44:51" x14ac:dyDescent="0.25">
      <c r="AR2898" s="3">
        <f t="shared" si="135"/>
        <v>0</v>
      </c>
      <c r="AS2898" s="3">
        <f t="shared" si="136"/>
        <v>0</v>
      </c>
      <c r="AT2898" s="3" t="str">
        <f>IF(OR(Registered!AM2898&gt;0,Registered!AO2898&gt;0),(IF(Registered!E2898=0,"Size Not Specified",Registered!E2898)),"")</f>
        <v/>
      </c>
      <c r="AU2898" s="3" t="str">
        <f>IF(Registered!AE2898=0,"",IF(Registered!AE2898=1,Registered!AE2898&amp;" Bandana",Registered!AE2898&amp;" Bandanas"))</f>
        <v/>
      </c>
      <c r="AV2898" s="3">
        <f t="shared" si="137"/>
        <v>0</v>
      </c>
      <c r="AW2898" s="2" t="str">
        <f>IF(Registered!AV2898=0,"",IF(Registered!AV2898=1,Registered!AV2898&amp;" Meal",Registered!AV2898&amp;" Meals"))</f>
        <v/>
      </c>
      <c r="AX2898" s="2" t="str">
        <f>IF(Registered!AI2898=0,"",Registered!AI2898&amp;" BG")</f>
        <v/>
      </c>
      <c r="AY2898" s="2" t="str">
        <f>IF(Registered!AG2898=0,"",Registered!AG2898&amp;" DustMask")</f>
        <v/>
      </c>
    </row>
    <row r="2899" spans="44:51" x14ac:dyDescent="0.25">
      <c r="AR2899" s="3">
        <f t="shared" si="135"/>
        <v>0</v>
      </c>
      <c r="AS2899" s="3">
        <f t="shared" si="136"/>
        <v>0</v>
      </c>
      <c r="AT2899" s="3" t="str">
        <f>IF(OR(Registered!AM2899&gt;0,Registered!AO2899&gt;0),(IF(Registered!E2899=0,"Size Not Specified",Registered!E2899)),"")</f>
        <v/>
      </c>
      <c r="AU2899" s="3" t="str">
        <f>IF(Registered!AE2899=0,"",IF(Registered!AE2899=1,Registered!AE2899&amp;" Bandana",Registered!AE2899&amp;" Bandanas"))</f>
        <v/>
      </c>
      <c r="AV2899" s="3">
        <f t="shared" si="137"/>
        <v>0</v>
      </c>
      <c r="AW2899" s="2" t="str">
        <f>IF(Registered!AV2899=0,"",IF(Registered!AV2899=1,Registered!AV2899&amp;" Meal",Registered!AV2899&amp;" Meals"))</f>
        <v/>
      </c>
      <c r="AX2899" s="2" t="str">
        <f>IF(Registered!AI2899=0,"",Registered!AI2899&amp;" BG")</f>
        <v/>
      </c>
      <c r="AY2899" s="2" t="str">
        <f>IF(Registered!AG2899=0,"",Registered!AG2899&amp;" DustMask")</f>
        <v/>
      </c>
    </row>
    <row r="2900" spans="44:51" x14ac:dyDescent="0.25">
      <c r="AR2900" s="3">
        <f t="shared" si="135"/>
        <v>0</v>
      </c>
      <c r="AS2900" s="3">
        <f t="shared" si="136"/>
        <v>0</v>
      </c>
      <c r="AT2900" s="3" t="str">
        <f>IF(OR(Registered!AM2900&gt;0,Registered!AO2900&gt;0),(IF(Registered!E2900=0,"Size Not Specified",Registered!E2900)),"")</f>
        <v/>
      </c>
      <c r="AU2900" s="3" t="str">
        <f>IF(Registered!AE2900=0,"",IF(Registered!AE2900=1,Registered!AE2900&amp;" Bandana",Registered!AE2900&amp;" Bandanas"))</f>
        <v/>
      </c>
      <c r="AV2900" s="3">
        <f t="shared" si="137"/>
        <v>0</v>
      </c>
      <c r="AW2900" s="2" t="str">
        <f>IF(Registered!AV2900=0,"",IF(Registered!AV2900=1,Registered!AV2900&amp;" Meal",Registered!AV2900&amp;" Meals"))</f>
        <v/>
      </c>
      <c r="AX2900" s="2" t="str">
        <f>IF(Registered!AI2900=0,"",Registered!AI2900&amp;" BG")</f>
        <v/>
      </c>
      <c r="AY2900" s="2" t="str">
        <f>IF(Registered!AG2900=0,"",Registered!AG2900&amp;" DustMask")</f>
        <v/>
      </c>
    </row>
    <row r="2901" spans="44:51" x14ac:dyDescent="0.25">
      <c r="AR2901" s="3">
        <f t="shared" si="135"/>
        <v>0</v>
      </c>
      <c r="AS2901" s="3">
        <f t="shared" si="136"/>
        <v>0</v>
      </c>
      <c r="AT2901" s="3" t="str">
        <f>IF(OR(Registered!AM2901&gt;0,Registered!AO2901&gt;0),(IF(Registered!E2901=0,"Size Not Specified",Registered!E2901)),"")</f>
        <v/>
      </c>
      <c r="AU2901" s="3" t="str">
        <f>IF(Registered!AE2901=0,"",IF(Registered!AE2901=1,Registered!AE2901&amp;" Bandana",Registered!AE2901&amp;" Bandanas"))</f>
        <v/>
      </c>
      <c r="AV2901" s="3">
        <f t="shared" si="137"/>
        <v>0</v>
      </c>
      <c r="AW2901" s="2" t="str">
        <f>IF(Registered!AV2901=0,"",IF(Registered!AV2901=1,Registered!AV2901&amp;" Meal",Registered!AV2901&amp;" Meals"))</f>
        <v/>
      </c>
      <c r="AX2901" s="2" t="str">
        <f>IF(Registered!AI2901=0,"",Registered!AI2901&amp;" BG")</f>
        <v/>
      </c>
      <c r="AY2901" s="2" t="str">
        <f>IF(Registered!AG2901=0,"",Registered!AG2901&amp;" DustMask")</f>
        <v/>
      </c>
    </row>
    <row r="2902" spans="44:51" x14ac:dyDescent="0.25">
      <c r="AR2902" s="3">
        <f t="shared" si="135"/>
        <v>0</v>
      </c>
      <c r="AS2902" s="3">
        <f t="shared" si="136"/>
        <v>0</v>
      </c>
      <c r="AT2902" s="3" t="str">
        <f>IF(OR(Registered!AM2902&gt;0,Registered!AO2902&gt;0),(IF(Registered!E2902=0,"Size Not Specified",Registered!E2902)),"")</f>
        <v/>
      </c>
      <c r="AU2902" s="3" t="str">
        <f>IF(Registered!AE2902=0,"",IF(Registered!AE2902=1,Registered!AE2902&amp;" Bandana",Registered!AE2902&amp;" Bandanas"))</f>
        <v/>
      </c>
      <c r="AV2902" s="3">
        <f t="shared" si="137"/>
        <v>0</v>
      </c>
      <c r="AW2902" s="2" t="str">
        <f>IF(Registered!AV2902=0,"",IF(Registered!AV2902=1,Registered!AV2902&amp;" Meal",Registered!AV2902&amp;" Meals"))</f>
        <v/>
      </c>
      <c r="AX2902" s="2" t="str">
        <f>IF(Registered!AI2902=0,"",Registered!AI2902&amp;" BG")</f>
        <v/>
      </c>
      <c r="AY2902" s="2" t="str">
        <f>IF(Registered!AG2902=0,"",Registered!AG2902&amp;" DustMask")</f>
        <v/>
      </c>
    </row>
    <row r="2903" spans="44:51" x14ac:dyDescent="0.25">
      <c r="AR2903" s="3">
        <f t="shared" si="135"/>
        <v>0</v>
      </c>
      <c r="AS2903" s="3">
        <f t="shared" si="136"/>
        <v>0</v>
      </c>
      <c r="AT2903" s="3" t="str">
        <f>IF(OR(Registered!AM2903&gt;0,Registered!AO2903&gt;0),(IF(Registered!E2903=0,"Size Not Specified",Registered!E2903)),"")</f>
        <v/>
      </c>
      <c r="AU2903" s="3" t="str">
        <f>IF(Registered!AE2903=0,"",IF(Registered!AE2903=1,Registered!AE2903&amp;" Bandana",Registered!AE2903&amp;" Bandanas"))</f>
        <v/>
      </c>
      <c r="AV2903" s="3">
        <f t="shared" si="137"/>
        <v>0</v>
      </c>
      <c r="AW2903" s="2" t="str">
        <f>IF(Registered!AV2903=0,"",IF(Registered!AV2903=1,Registered!AV2903&amp;" Meal",Registered!AV2903&amp;" Meals"))</f>
        <v/>
      </c>
      <c r="AX2903" s="2" t="str">
        <f>IF(Registered!AI2903=0,"",Registered!AI2903&amp;" BG")</f>
        <v/>
      </c>
      <c r="AY2903" s="2" t="str">
        <f>IF(Registered!AG2903=0,"",Registered!AG2903&amp;" DustMask")</f>
        <v/>
      </c>
    </row>
    <row r="2904" spans="44:51" x14ac:dyDescent="0.25">
      <c r="AR2904" s="3">
        <f t="shared" si="135"/>
        <v>0</v>
      </c>
      <c r="AS2904" s="3">
        <f t="shared" si="136"/>
        <v>0</v>
      </c>
      <c r="AT2904" s="3" t="str">
        <f>IF(OR(Registered!AM2904&gt;0,Registered!AO2904&gt;0),(IF(Registered!E2904=0,"Size Not Specified",Registered!E2904)),"")</f>
        <v/>
      </c>
      <c r="AU2904" s="3" t="str">
        <f>IF(Registered!AE2904=0,"",IF(Registered!AE2904=1,Registered!AE2904&amp;" Bandana",Registered!AE2904&amp;" Bandanas"))</f>
        <v/>
      </c>
      <c r="AV2904" s="3">
        <f t="shared" si="137"/>
        <v>0</v>
      </c>
      <c r="AW2904" s="2" t="str">
        <f>IF(Registered!AV2904=0,"",IF(Registered!AV2904=1,Registered!AV2904&amp;" Meal",Registered!AV2904&amp;" Meals"))</f>
        <v/>
      </c>
      <c r="AX2904" s="2" t="str">
        <f>IF(Registered!AI2904=0,"",Registered!AI2904&amp;" BG")</f>
        <v/>
      </c>
      <c r="AY2904" s="2" t="str">
        <f>IF(Registered!AG2904=0,"",Registered!AG2904&amp;" DustMask")</f>
        <v/>
      </c>
    </row>
    <row r="2905" spans="44:51" x14ac:dyDescent="0.25">
      <c r="AR2905" s="3">
        <f t="shared" si="135"/>
        <v>0</v>
      </c>
      <c r="AS2905" s="3">
        <f t="shared" si="136"/>
        <v>0</v>
      </c>
      <c r="AT2905" s="3" t="str">
        <f>IF(OR(Registered!AM2905&gt;0,Registered!AO2905&gt;0),(IF(Registered!E2905=0,"Size Not Specified",Registered!E2905)),"")</f>
        <v/>
      </c>
      <c r="AU2905" s="3" t="str">
        <f>IF(Registered!AE2905=0,"",IF(Registered!AE2905=1,Registered!AE2905&amp;" Bandana",Registered!AE2905&amp;" Bandanas"))</f>
        <v/>
      </c>
      <c r="AV2905" s="3">
        <f t="shared" si="137"/>
        <v>0</v>
      </c>
      <c r="AW2905" s="2" t="str">
        <f>IF(Registered!AV2905=0,"",IF(Registered!AV2905=1,Registered!AV2905&amp;" Meal",Registered!AV2905&amp;" Meals"))</f>
        <v/>
      </c>
      <c r="AX2905" s="2" t="str">
        <f>IF(Registered!AI2905=0,"",Registered!AI2905&amp;" BG")</f>
        <v/>
      </c>
      <c r="AY2905" s="2" t="str">
        <f>IF(Registered!AG2905=0,"",Registered!AG2905&amp;" DustMask")</f>
        <v/>
      </c>
    </row>
    <row r="2906" spans="44:51" x14ac:dyDescent="0.25">
      <c r="AR2906" s="3">
        <f t="shared" si="135"/>
        <v>0</v>
      </c>
      <c r="AS2906" s="3">
        <f t="shared" si="136"/>
        <v>0</v>
      </c>
      <c r="AT2906" s="3" t="str">
        <f>IF(OR(Registered!AM2906&gt;0,Registered!AO2906&gt;0),(IF(Registered!E2906=0,"Size Not Specified",Registered!E2906)),"")</f>
        <v/>
      </c>
      <c r="AU2906" s="3" t="str">
        <f>IF(Registered!AE2906=0,"",IF(Registered!AE2906=1,Registered!AE2906&amp;" Bandana",Registered!AE2906&amp;" Bandanas"))</f>
        <v/>
      </c>
      <c r="AV2906" s="3">
        <f t="shared" si="137"/>
        <v>0</v>
      </c>
      <c r="AW2906" s="2" t="str">
        <f>IF(Registered!AV2906=0,"",IF(Registered!AV2906=1,Registered!AV2906&amp;" Meal",Registered!AV2906&amp;" Meals"))</f>
        <v/>
      </c>
      <c r="AX2906" s="2" t="str">
        <f>IF(Registered!AI2906=0,"",Registered!AI2906&amp;" BG")</f>
        <v/>
      </c>
      <c r="AY2906" s="2" t="str">
        <f>IF(Registered!AG2906=0,"",Registered!AG2906&amp;" DustMask")</f>
        <v/>
      </c>
    </row>
    <row r="2907" spans="44:51" x14ac:dyDescent="0.25">
      <c r="AR2907" s="3">
        <f t="shared" si="135"/>
        <v>0</v>
      </c>
      <c r="AS2907" s="3">
        <f t="shared" si="136"/>
        <v>0</v>
      </c>
      <c r="AT2907" s="3" t="str">
        <f>IF(OR(Registered!AM2907&gt;0,Registered!AO2907&gt;0),(IF(Registered!E2907=0,"Size Not Specified",Registered!E2907)),"")</f>
        <v/>
      </c>
      <c r="AU2907" s="3" t="str">
        <f>IF(Registered!AE2907=0,"",IF(Registered!AE2907=1,Registered!AE2907&amp;" Bandana",Registered!AE2907&amp;" Bandanas"))</f>
        <v/>
      </c>
      <c r="AV2907" s="3">
        <f t="shared" si="137"/>
        <v>0</v>
      </c>
      <c r="AW2907" s="2" t="str">
        <f>IF(Registered!AV2907=0,"",IF(Registered!AV2907=1,Registered!AV2907&amp;" Meal",Registered!AV2907&amp;" Meals"))</f>
        <v/>
      </c>
      <c r="AX2907" s="2" t="str">
        <f>IF(Registered!AI2907=0,"",Registered!AI2907&amp;" BG")</f>
        <v/>
      </c>
      <c r="AY2907" s="2" t="str">
        <f>IF(Registered!AG2907=0,"",Registered!AG2907&amp;" DustMask")</f>
        <v/>
      </c>
    </row>
    <row r="2908" spans="44:51" x14ac:dyDescent="0.25">
      <c r="AR2908" s="3">
        <f t="shared" si="135"/>
        <v>0</v>
      </c>
      <c r="AS2908" s="3">
        <f t="shared" si="136"/>
        <v>0</v>
      </c>
      <c r="AT2908" s="3" t="str">
        <f>IF(OR(Registered!AM2908&gt;0,Registered!AO2908&gt;0),(IF(Registered!E2908=0,"Size Not Specified",Registered!E2908)),"")</f>
        <v/>
      </c>
      <c r="AU2908" s="3" t="str">
        <f>IF(Registered!AE2908=0,"",IF(Registered!AE2908=1,Registered!AE2908&amp;" Bandana",Registered!AE2908&amp;" Bandanas"))</f>
        <v/>
      </c>
      <c r="AV2908" s="3">
        <f t="shared" si="137"/>
        <v>0</v>
      </c>
      <c r="AW2908" s="2" t="str">
        <f>IF(Registered!AV2908=0,"",IF(Registered!AV2908=1,Registered!AV2908&amp;" Meal",Registered!AV2908&amp;" Meals"))</f>
        <v/>
      </c>
      <c r="AX2908" s="2" t="str">
        <f>IF(Registered!AI2908=0,"",Registered!AI2908&amp;" BG")</f>
        <v/>
      </c>
      <c r="AY2908" s="2" t="str">
        <f>IF(Registered!AG2908=0,"",Registered!AG2908&amp;" DustMask")</f>
        <v/>
      </c>
    </row>
    <row r="2909" spans="44:51" x14ac:dyDescent="0.25">
      <c r="AR2909" s="3">
        <f t="shared" si="135"/>
        <v>0</v>
      </c>
      <c r="AS2909" s="3">
        <f t="shared" si="136"/>
        <v>0</v>
      </c>
      <c r="AT2909" s="3" t="str">
        <f>IF(OR(Registered!AM2909&gt;0,Registered!AO2909&gt;0),(IF(Registered!E2909=0,"Size Not Specified",Registered!E2909)),"")</f>
        <v/>
      </c>
      <c r="AU2909" s="3" t="str">
        <f>IF(Registered!AE2909=0,"",IF(Registered!AE2909=1,Registered!AE2909&amp;" Bandana",Registered!AE2909&amp;" Bandanas"))</f>
        <v/>
      </c>
      <c r="AV2909" s="3">
        <f t="shared" si="137"/>
        <v>0</v>
      </c>
      <c r="AW2909" s="2" t="str">
        <f>IF(Registered!AV2909=0,"",IF(Registered!AV2909=1,Registered!AV2909&amp;" Meal",Registered!AV2909&amp;" Meals"))</f>
        <v/>
      </c>
      <c r="AX2909" s="2" t="str">
        <f>IF(Registered!AI2909=0,"",Registered!AI2909&amp;" BG")</f>
        <v/>
      </c>
      <c r="AY2909" s="2" t="str">
        <f>IF(Registered!AG2909=0,"",Registered!AG2909&amp;" DustMask")</f>
        <v/>
      </c>
    </row>
    <row r="2910" spans="44:51" x14ac:dyDescent="0.25">
      <c r="AR2910" s="3">
        <f t="shared" si="135"/>
        <v>0</v>
      </c>
      <c r="AS2910" s="3">
        <f t="shared" si="136"/>
        <v>0</v>
      </c>
      <c r="AT2910" s="3" t="str">
        <f>IF(OR(Registered!AM2910&gt;0,Registered!AO2910&gt;0),(IF(Registered!E2910=0,"Size Not Specified",Registered!E2910)),"")</f>
        <v/>
      </c>
      <c r="AU2910" s="3" t="str">
        <f>IF(Registered!AE2910=0,"",IF(Registered!AE2910=1,Registered!AE2910&amp;" Bandana",Registered!AE2910&amp;" Bandanas"))</f>
        <v/>
      </c>
      <c r="AV2910" s="3">
        <f t="shared" si="137"/>
        <v>0</v>
      </c>
      <c r="AW2910" s="2" t="str">
        <f>IF(Registered!AV2910=0,"",IF(Registered!AV2910=1,Registered!AV2910&amp;" Meal",Registered!AV2910&amp;" Meals"))</f>
        <v/>
      </c>
      <c r="AX2910" s="2" t="str">
        <f>IF(Registered!AI2910=0,"",Registered!AI2910&amp;" BG")</f>
        <v/>
      </c>
      <c r="AY2910" s="2" t="str">
        <f>IF(Registered!AG2910=0,"",Registered!AG2910&amp;" DustMask")</f>
        <v/>
      </c>
    </row>
    <row r="2911" spans="44:51" x14ac:dyDescent="0.25">
      <c r="AR2911" s="3">
        <f t="shared" si="135"/>
        <v>0</v>
      </c>
      <c r="AS2911" s="3">
        <f t="shared" si="136"/>
        <v>0</v>
      </c>
      <c r="AT2911" s="3" t="str">
        <f>IF(OR(Registered!AM2911&gt;0,Registered!AO2911&gt;0),(IF(Registered!E2911=0,"Size Not Specified",Registered!E2911)),"")</f>
        <v/>
      </c>
      <c r="AU2911" s="3" t="str">
        <f>IF(Registered!AE2911=0,"",IF(Registered!AE2911=1,Registered!AE2911&amp;" Bandana",Registered!AE2911&amp;" Bandanas"))</f>
        <v/>
      </c>
      <c r="AV2911" s="3">
        <f t="shared" si="137"/>
        <v>0</v>
      </c>
      <c r="AW2911" s="2" t="str">
        <f>IF(Registered!AV2911=0,"",IF(Registered!AV2911=1,Registered!AV2911&amp;" Meal",Registered!AV2911&amp;" Meals"))</f>
        <v/>
      </c>
      <c r="AX2911" s="2" t="str">
        <f>IF(Registered!AI2911=0,"",Registered!AI2911&amp;" BG")</f>
        <v/>
      </c>
      <c r="AY2911" s="2" t="str">
        <f>IF(Registered!AG2911=0,"",Registered!AG2911&amp;" DustMask")</f>
        <v/>
      </c>
    </row>
    <row r="2912" spans="44:51" x14ac:dyDescent="0.25">
      <c r="AR2912" s="3">
        <f t="shared" si="135"/>
        <v>0</v>
      </c>
      <c r="AS2912" s="3">
        <f t="shared" si="136"/>
        <v>0</v>
      </c>
      <c r="AT2912" s="3" t="str">
        <f>IF(OR(Registered!AM2912&gt;0,Registered!AO2912&gt;0),(IF(Registered!E2912=0,"Size Not Specified",Registered!E2912)),"")</f>
        <v/>
      </c>
      <c r="AU2912" s="3" t="str">
        <f>IF(Registered!AE2912=0,"",IF(Registered!AE2912=1,Registered!AE2912&amp;" Bandana",Registered!AE2912&amp;" Bandanas"))</f>
        <v/>
      </c>
      <c r="AV2912" s="3">
        <f t="shared" si="137"/>
        <v>0</v>
      </c>
      <c r="AW2912" s="2" t="str">
        <f>IF(Registered!AV2912=0,"",IF(Registered!AV2912=1,Registered!AV2912&amp;" Meal",Registered!AV2912&amp;" Meals"))</f>
        <v/>
      </c>
      <c r="AX2912" s="2" t="str">
        <f>IF(Registered!AI2912=0,"",Registered!AI2912&amp;" BG")</f>
        <v/>
      </c>
      <c r="AY2912" s="2" t="str">
        <f>IF(Registered!AG2912=0,"",Registered!AG2912&amp;" DustMask")</f>
        <v/>
      </c>
    </row>
    <row r="2913" spans="44:51" x14ac:dyDescent="0.25">
      <c r="AR2913" s="3">
        <f t="shared" si="135"/>
        <v>0</v>
      </c>
      <c r="AS2913" s="3">
        <f t="shared" si="136"/>
        <v>0</v>
      </c>
      <c r="AT2913" s="3" t="str">
        <f>IF(OR(Registered!AM2913&gt;0,Registered!AO2913&gt;0),(IF(Registered!E2913=0,"Size Not Specified",Registered!E2913)),"")</f>
        <v/>
      </c>
      <c r="AU2913" s="3" t="str">
        <f>IF(Registered!AE2913=0,"",IF(Registered!AE2913=1,Registered!AE2913&amp;" Bandana",Registered!AE2913&amp;" Bandanas"))</f>
        <v/>
      </c>
      <c r="AV2913" s="3">
        <f t="shared" si="137"/>
        <v>0</v>
      </c>
      <c r="AW2913" s="2" t="str">
        <f>IF(Registered!AV2913=0,"",IF(Registered!AV2913=1,Registered!AV2913&amp;" Meal",Registered!AV2913&amp;" Meals"))</f>
        <v/>
      </c>
      <c r="AX2913" s="2" t="str">
        <f>IF(Registered!AI2913=0,"",Registered!AI2913&amp;" BG")</f>
        <v/>
      </c>
      <c r="AY2913" s="2" t="str">
        <f>IF(Registered!AG2913=0,"",Registered!AG2913&amp;" DustMask")</f>
        <v/>
      </c>
    </row>
    <row r="2914" spans="44:51" x14ac:dyDescent="0.25">
      <c r="AR2914" s="3">
        <f t="shared" si="135"/>
        <v>0</v>
      </c>
      <c r="AS2914" s="3">
        <f t="shared" si="136"/>
        <v>0</v>
      </c>
      <c r="AT2914" s="3" t="str">
        <f>IF(OR(Registered!AM2914&gt;0,Registered!AO2914&gt;0),(IF(Registered!E2914=0,"Size Not Specified",Registered!E2914)),"")</f>
        <v/>
      </c>
      <c r="AU2914" s="3" t="str">
        <f>IF(Registered!AE2914=0,"",IF(Registered!AE2914=1,Registered!AE2914&amp;" Bandana",Registered!AE2914&amp;" Bandanas"))</f>
        <v/>
      </c>
      <c r="AV2914" s="3">
        <f t="shared" si="137"/>
        <v>0</v>
      </c>
      <c r="AW2914" s="2" t="str">
        <f>IF(Registered!AV2914=0,"",IF(Registered!AV2914=1,Registered!AV2914&amp;" Meal",Registered!AV2914&amp;" Meals"))</f>
        <v/>
      </c>
      <c r="AX2914" s="2" t="str">
        <f>IF(Registered!AI2914=0,"",Registered!AI2914&amp;" BG")</f>
        <v/>
      </c>
      <c r="AY2914" s="2" t="str">
        <f>IF(Registered!AG2914=0,"",Registered!AG2914&amp;" DustMask")</f>
        <v/>
      </c>
    </row>
    <row r="2915" spans="44:51" x14ac:dyDescent="0.25">
      <c r="AR2915" s="3">
        <f t="shared" si="135"/>
        <v>0</v>
      </c>
      <c r="AS2915" s="3">
        <f t="shared" si="136"/>
        <v>0</v>
      </c>
      <c r="AT2915" s="3" t="str">
        <f>IF(OR(Registered!AM2915&gt;0,Registered!AO2915&gt;0),(IF(Registered!E2915=0,"Size Not Specified",Registered!E2915)),"")</f>
        <v/>
      </c>
      <c r="AU2915" s="3" t="str">
        <f>IF(Registered!AE2915=0,"",IF(Registered!AE2915=1,Registered!AE2915&amp;" Bandana",Registered!AE2915&amp;" Bandanas"))</f>
        <v/>
      </c>
      <c r="AV2915" s="3">
        <f t="shared" si="137"/>
        <v>0</v>
      </c>
      <c r="AW2915" s="2" t="str">
        <f>IF(Registered!AV2915=0,"",IF(Registered!AV2915=1,Registered!AV2915&amp;" Meal",Registered!AV2915&amp;" Meals"))</f>
        <v/>
      </c>
      <c r="AX2915" s="2" t="str">
        <f>IF(Registered!AI2915=0,"",Registered!AI2915&amp;" BG")</f>
        <v/>
      </c>
      <c r="AY2915" s="2" t="str">
        <f>IF(Registered!AG2915=0,"",Registered!AG2915&amp;" DustMask")</f>
        <v/>
      </c>
    </row>
    <row r="2916" spans="44:51" x14ac:dyDescent="0.25">
      <c r="AR2916" s="3">
        <f t="shared" si="135"/>
        <v>0</v>
      </c>
      <c r="AS2916" s="3">
        <f t="shared" si="136"/>
        <v>0</v>
      </c>
      <c r="AT2916" s="3" t="str">
        <f>IF(OR(Registered!AM2916&gt;0,Registered!AO2916&gt;0),(IF(Registered!E2916=0,"Size Not Specified",Registered!E2916)),"")</f>
        <v/>
      </c>
      <c r="AU2916" s="3" t="str">
        <f>IF(Registered!AE2916=0,"",IF(Registered!AE2916=1,Registered!AE2916&amp;" Bandana",Registered!AE2916&amp;" Bandanas"))</f>
        <v/>
      </c>
      <c r="AV2916" s="3">
        <f t="shared" si="137"/>
        <v>0</v>
      </c>
      <c r="AW2916" s="2" t="str">
        <f>IF(Registered!AV2916=0,"",IF(Registered!AV2916=1,Registered!AV2916&amp;" Meal",Registered!AV2916&amp;" Meals"))</f>
        <v/>
      </c>
      <c r="AX2916" s="2" t="str">
        <f>IF(Registered!AI2916=0,"",Registered!AI2916&amp;" BG")</f>
        <v/>
      </c>
      <c r="AY2916" s="2" t="str">
        <f>IF(Registered!AG2916=0,"",Registered!AG2916&amp;" DustMask")</f>
        <v/>
      </c>
    </row>
    <row r="2917" spans="44:51" x14ac:dyDescent="0.25">
      <c r="AR2917" s="3">
        <f t="shared" si="135"/>
        <v>0</v>
      </c>
      <c r="AS2917" s="3">
        <f t="shared" si="136"/>
        <v>0</v>
      </c>
      <c r="AT2917" s="3" t="str">
        <f>IF(OR(Registered!AM2917&gt;0,Registered!AO2917&gt;0),(IF(Registered!E2917=0,"Size Not Specified",Registered!E2917)),"")</f>
        <v/>
      </c>
      <c r="AU2917" s="3" t="str">
        <f>IF(Registered!AE2917=0,"",IF(Registered!AE2917=1,Registered!AE2917&amp;" Bandana",Registered!AE2917&amp;" Bandanas"))</f>
        <v/>
      </c>
      <c r="AV2917" s="3">
        <f t="shared" si="137"/>
        <v>0</v>
      </c>
      <c r="AW2917" s="2" t="str">
        <f>IF(Registered!AV2917=0,"",IF(Registered!AV2917=1,Registered!AV2917&amp;" Meal",Registered!AV2917&amp;" Meals"))</f>
        <v/>
      </c>
      <c r="AX2917" s="2" t="str">
        <f>IF(Registered!AI2917=0,"",Registered!AI2917&amp;" BG")</f>
        <v/>
      </c>
      <c r="AY2917" s="2" t="str">
        <f>IF(Registered!AG2917=0,"",Registered!AG2917&amp;" DustMask")</f>
        <v/>
      </c>
    </row>
    <row r="2918" spans="44:51" x14ac:dyDescent="0.25">
      <c r="AR2918" s="3">
        <f t="shared" si="135"/>
        <v>0</v>
      </c>
      <c r="AS2918" s="3">
        <f t="shared" si="136"/>
        <v>0</v>
      </c>
      <c r="AT2918" s="3" t="str">
        <f>IF(OR(Registered!AM2918&gt;0,Registered!AO2918&gt;0),(IF(Registered!E2918=0,"Size Not Specified",Registered!E2918)),"")</f>
        <v/>
      </c>
      <c r="AU2918" s="3" t="str">
        <f>IF(Registered!AE2918=0,"",IF(Registered!AE2918=1,Registered!AE2918&amp;" Bandana",Registered!AE2918&amp;" Bandanas"))</f>
        <v/>
      </c>
      <c r="AV2918" s="3">
        <f t="shared" si="137"/>
        <v>0</v>
      </c>
      <c r="AW2918" s="2" t="str">
        <f>IF(Registered!AV2918=0,"",IF(Registered!AV2918=1,Registered!AV2918&amp;" Meal",Registered!AV2918&amp;" Meals"))</f>
        <v/>
      </c>
      <c r="AX2918" s="2" t="str">
        <f>IF(Registered!AI2918=0,"",Registered!AI2918&amp;" BG")</f>
        <v/>
      </c>
      <c r="AY2918" s="2" t="str">
        <f>IF(Registered!AG2918=0,"",Registered!AG2918&amp;" DustMask")</f>
        <v/>
      </c>
    </row>
    <row r="2919" spans="44:51" x14ac:dyDescent="0.25">
      <c r="AR2919" s="3">
        <f t="shared" si="135"/>
        <v>0</v>
      </c>
      <c r="AS2919" s="3">
        <f t="shared" si="136"/>
        <v>0</v>
      </c>
      <c r="AT2919" s="3" t="str">
        <f>IF(OR(Registered!AM2919&gt;0,Registered!AO2919&gt;0),(IF(Registered!E2919=0,"Size Not Specified",Registered!E2919)),"")</f>
        <v/>
      </c>
      <c r="AU2919" s="3" t="str">
        <f>IF(Registered!AE2919=0,"",IF(Registered!AE2919=1,Registered!AE2919&amp;" Bandana",Registered!AE2919&amp;" Bandanas"))</f>
        <v/>
      </c>
      <c r="AV2919" s="3">
        <f t="shared" si="137"/>
        <v>0</v>
      </c>
      <c r="AW2919" s="2" t="str">
        <f>IF(Registered!AV2919=0,"",IF(Registered!AV2919=1,Registered!AV2919&amp;" Meal",Registered!AV2919&amp;" Meals"))</f>
        <v/>
      </c>
      <c r="AX2919" s="2" t="str">
        <f>IF(Registered!AI2919=0,"",Registered!AI2919&amp;" BG")</f>
        <v/>
      </c>
      <c r="AY2919" s="2" t="str">
        <f>IF(Registered!AG2919=0,"",Registered!AG2919&amp;" DustMask")</f>
        <v/>
      </c>
    </row>
    <row r="2920" spans="44:51" x14ac:dyDescent="0.25">
      <c r="AR2920" s="3">
        <f t="shared" si="135"/>
        <v>0</v>
      </c>
      <c r="AS2920" s="3">
        <f t="shared" si="136"/>
        <v>0</v>
      </c>
      <c r="AT2920" s="3" t="str">
        <f>IF(OR(Registered!AM2920&gt;0,Registered!AO2920&gt;0),(IF(Registered!E2920=0,"Size Not Specified",Registered!E2920)),"")</f>
        <v/>
      </c>
      <c r="AU2920" s="3" t="str">
        <f>IF(Registered!AE2920=0,"",IF(Registered!AE2920=1,Registered!AE2920&amp;" Bandana",Registered!AE2920&amp;" Bandanas"))</f>
        <v/>
      </c>
      <c r="AV2920" s="3">
        <f t="shared" si="137"/>
        <v>0</v>
      </c>
      <c r="AW2920" s="2" t="str">
        <f>IF(Registered!AV2920=0,"",IF(Registered!AV2920=1,Registered!AV2920&amp;" Meal",Registered!AV2920&amp;" Meals"))</f>
        <v/>
      </c>
      <c r="AX2920" s="2" t="str">
        <f>IF(Registered!AI2920=0,"",Registered!AI2920&amp;" BG")</f>
        <v/>
      </c>
      <c r="AY2920" s="2" t="str">
        <f>IF(Registered!AG2920=0,"",Registered!AG2920&amp;" DustMask")</f>
        <v/>
      </c>
    </row>
    <row r="2921" spans="44:51" x14ac:dyDescent="0.25">
      <c r="AR2921" s="3">
        <f t="shared" si="135"/>
        <v>0</v>
      </c>
      <c r="AS2921" s="3">
        <f t="shared" si="136"/>
        <v>0</v>
      </c>
      <c r="AT2921" s="3" t="str">
        <f>IF(OR(Registered!AM2921&gt;0,Registered!AO2921&gt;0),(IF(Registered!E2921=0,"Size Not Specified",Registered!E2921)),"")</f>
        <v/>
      </c>
      <c r="AU2921" s="3" t="str">
        <f>IF(Registered!AE2921=0,"",IF(Registered!AE2921=1,Registered!AE2921&amp;" Bandana",Registered!AE2921&amp;" Bandanas"))</f>
        <v/>
      </c>
      <c r="AV2921" s="3">
        <f t="shared" si="137"/>
        <v>0</v>
      </c>
      <c r="AW2921" s="2" t="str">
        <f>IF(Registered!AV2921=0,"",IF(Registered!AV2921=1,Registered!AV2921&amp;" Meal",Registered!AV2921&amp;" Meals"))</f>
        <v/>
      </c>
      <c r="AX2921" s="2" t="str">
        <f>IF(Registered!AI2921=0,"",Registered!AI2921&amp;" BG")</f>
        <v/>
      </c>
      <c r="AY2921" s="2" t="str">
        <f>IF(Registered!AG2921=0,"",Registered!AG2921&amp;" DustMask")</f>
        <v/>
      </c>
    </row>
    <row r="2922" spans="44:51" x14ac:dyDescent="0.25">
      <c r="AR2922" s="3">
        <f t="shared" si="135"/>
        <v>0</v>
      </c>
      <c r="AS2922" s="3">
        <f t="shared" si="136"/>
        <v>0</v>
      </c>
      <c r="AT2922" s="3" t="str">
        <f>IF(OR(Registered!AM2922&gt;0,Registered!AO2922&gt;0),(IF(Registered!E2922=0,"Size Not Specified",Registered!E2922)),"")</f>
        <v/>
      </c>
      <c r="AU2922" s="3" t="str">
        <f>IF(Registered!AE2922=0,"",IF(Registered!AE2922=1,Registered!AE2922&amp;" Bandana",Registered!AE2922&amp;" Bandanas"))</f>
        <v/>
      </c>
      <c r="AV2922" s="3">
        <f t="shared" si="137"/>
        <v>0</v>
      </c>
      <c r="AW2922" s="2" t="str">
        <f>IF(Registered!AV2922=0,"",IF(Registered!AV2922=1,Registered!AV2922&amp;" Meal",Registered!AV2922&amp;" Meals"))</f>
        <v/>
      </c>
      <c r="AX2922" s="2" t="str">
        <f>IF(Registered!AI2922=0,"",Registered!AI2922&amp;" BG")</f>
        <v/>
      </c>
      <c r="AY2922" s="2" t="str">
        <f>IF(Registered!AG2922=0,"",Registered!AG2922&amp;" DustMask")</f>
        <v/>
      </c>
    </row>
    <row r="2923" spans="44:51" x14ac:dyDescent="0.25">
      <c r="AR2923" s="3">
        <f t="shared" si="135"/>
        <v>0</v>
      </c>
      <c r="AS2923" s="3">
        <f t="shared" si="136"/>
        <v>0</v>
      </c>
      <c r="AT2923" s="3" t="str">
        <f>IF(OR(Registered!AM2923&gt;0,Registered!AO2923&gt;0),(IF(Registered!E2923=0,"Size Not Specified",Registered!E2923)),"")</f>
        <v/>
      </c>
      <c r="AU2923" s="3" t="str">
        <f>IF(Registered!AE2923=0,"",IF(Registered!AE2923=1,Registered!AE2923&amp;" Bandana",Registered!AE2923&amp;" Bandanas"))</f>
        <v/>
      </c>
      <c r="AV2923" s="3">
        <f t="shared" si="137"/>
        <v>0</v>
      </c>
      <c r="AW2923" s="2" t="str">
        <f>IF(Registered!AV2923=0,"",IF(Registered!AV2923=1,Registered!AV2923&amp;" Meal",Registered!AV2923&amp;" Meals"))</f>
        <v/>
      </c>
      <c r="AX2923" s="2" t="str">
        <f>IF(Registered!AI2923=0,"",Registered!AI2923&amp;" BG")</f>
        <v/>
      </c>
      <c r="AY2923" s="2" t="str">
        <f>IF(Registered!AG2923=0,"",Registered!AG2923&amp;" DustMask")</f>
        <v/>
      </c>
    </row>
    <row r="2924" spans="44:51" x14ac:dyDescent="0.25">
      <c r="AR2924" s="3">
        <f t="shared" si="135"/>
        <v>0</v>
      </c>
      <c r="AS2924" s="3">
        <f t="shared" si="136"/>
        <v>0</v>
      </c>
      <c r="AT2924" s="3" t="str">
        <f>IF(OR(Registered!AM2924&gt;0,Registered!AO2924&gt;0),(IF(Registered!E2924=0,"Size Not Specified",Registered!E2924)),"")</f>
        <v/>
      </c>
      <c r="AU2924" s="3" t="str">
        <f>IF(Registered!AE2924=0,"",IF(Registered!AE2924=1,Registered!AE2924&amp;" Bandana",Registered!AE2924&amp;" Bandanas"))</f>
        <v/>
      </c>
      <c r="AV2924" s="3">
        <f t="shared" si="137"/>
        <v>0</v>
      </c>
      <c r="AW2924" s="2" t="str">
        <f>IF(Registered!AV2924=0,"",IF(Registered!AV2924=1,Registered!AV2924&amp;" Meal",Registered!AV2924&amp;" Meals"))</f>
        <v/>
      </c>
      <c r="AX2924" s="2" t="str">
        <f>IF(Registered!AI2924=0,"",Registered!AI2924&amp;" BG")</f>
        <v/>
      </c>
      <c r="AY2924" s="2" t="str">
        <f>IF(Registered!AG2924=0,"",Registered!AG2924&amp;" DustMask")</f>
        <v/>
      </c>
    </row>
    <row r="2925" spans="44:51" x14ac:dyDescent="0.25">
      <c r="AR2925" s="3">
        <f t="shared" si="135"/>
        <v>0</v>
      </c>
      <c r="AS2925" s="3">
        <f t="shared" si="136"/>
        <v>0</v>
      </c>
      <c r="AT2925" s="3" t="str">
        <f>IF(OR(Registered!AM2925&gt;0,Registered!AO2925&gt;0),(IF(Registered!E2925=0,"Size Not Specified",Registered!E2925)),"")</f>
        <v/>
      </c>
      <c r="AU2925" s="3" t="str">
        <f>IF(Registered!AE2925=0,"",IF(Registered!AE2925=1,Registered!AE2925&amp;" Bandana",Registered!AE2925&amp;" Bandanas"))</f>
        <v/>
      </c>
      <c r="AV2925" s="3">
        <f t="shared" si="137"/>
        <v>0</v>
      </c>
      <c r="AW2925" s="2" t="str">
        <f>IF(Registered!AV2925=0,"",IF(Registered!AV2925=1,Registered!AV2925&amp;" Meal",Registered!AV2925&amp;" Meals"))</f>
        <v/>
      </c>
      <c r="AX2925" s="2" t="str">
        <f>IF(Registered!AI2925=0,"",Registered!AI2925&amp;" BG")</f>
        <v/>
      </c>
      <c r="AY2925" s="2" t="str">
        <f>IF(Registered!AG2925=0,"",Registered!AG2925&amp;" DustMask")</f>
        <v/>
      </c>
    </row>
    <row r="2926" spans="44:51" x14ac:dyDescent="0.25">
      <c r="AR2926" s="3">
        <f t="shared" si="135"/>
        <v>0</v>
      </c>
      <c r="AS2926" s="3">
        <f t="shared" si="136"/>
        <v>0</v>
      </c>
      <c r="AT2926" s="3" t="str">
        <f>IF(OR(Registered!AM2926&gt;0,Registered!AO2926&gt;0),(IF(Registered!E2926=0,"Size Not Specified",Registered!E2926)),"")</f>
        <v/>
      </c>
      <c r="AU2926" s="3" t="str">
        <f>IF(Registered!AE2926=0,"",IF(Registered!AE2926=1,Registered!AE2926&amp;" Bandana",Registered!AE2926&amp;" Bandanas"))</f>
        <v/>
      </c>
      <c r="AV2926" s="3">
        <f t="shared" si="137"/>
        <v>0</v>
      </c>
      <c r="AW2926" s="2" t="str">
        <f>IF(Registered!AV2926=0,"",IF(Registered!AV2926=1,Registered!AV2926&amp;" Meal",Registered!AV2926&amp;" Meals"))</f>
        <v/>
      </c>
      <c r="AX2926" s="2" t="str">
        <f>IF(Registered!AI2926=0,"",Registered!AI2926&amp;" BG")</f>
        <v/>
      </c>
      <c r="AY2926" s="2" t="str">
        <f>IF(Registered!AG2926=0,"",Registered!AG2926&amp;" DustMask")</f>
        <v/>
      </c>
    </row>
    <row r="2927" spans="44:51" x14ac:dyDescent="0.25">
      <c r="AR2927" s="3">
        <f t="shared" si="135"/>
        <v>0</v>
      </c>
      <c r="AS2927" s="3">
        <f t="shared" si="136"/>
        <v>0</v>
      </c>
      <c r="AT2927" s="3" t="str">
        <f>IF(OR(Registered!AM2927&gt;0,Registered!AO2927&gt;0),(IF(Registered!E2927=0,"Size Not Specified",Registered!E2927)),"")</f>
        <v/>
      </c>
      <c r="AU2927" s="3" t="str">
        <f>IF(Registered!AE2927=0,"",IF(Registered!AE2927=1,Registered!AE2927&amp;" Bandana",Registered!AE2927&amp;" Bandanas"))</f>
        <v/>
      </c>
      <c r="AV2927" s="3">
        <f t="shared" si="137"/>
        <v>0</v>
      </c>
      <c r="AW2927" s="2" t="str">
        <f>IF(Registered!AV2927=0,"",IF(Registered!AV2927=1,Registered!AV2927&amp;" Meal",Registered!AV2927&amp;" Meals"))</f>
        <v/>
      </c>
      <c r="AX2927" s="2" t="str">
        <f>IF(Registered!AI2927=0,"",Registered!AI2927&amp;" BG")</f>
        <v/>
      </c>
      <c r="AY2927" s="2" t="str">
        <f>IF(Registered!AG2927=0,"",Registered!AG2927&amp;" DustMask")</f>
        <v/>
      </c>
    </row>
    <row r="2928" spans="44:51" x14ac:dyDescent="0.25">
      <c r="AR2928" s="3">
        <f t="shared" si="135"/>
        <v>0</v>
      </c>
      <c r="AS2928" s="3">
        <f t="shared" si="136"/>
        <v>0</v>
      </c>
      <c r="AT2928" s="3" t="str">
        <f>IF(OR(Registered!AM2928&gt;0,Registered!AO2928&gt;0),(IF(Registered!E2928=0,"Size Not Specified",Registered!E2928)),"")</f>
        <v/>
      </c>
      <c r="AU2928" s="3" t="str">
        <f>IF(Registered!AE2928=0,"",IF(Registered!AE2928=1,Registered!AE2928&amp;" Bandana",Registered!AE2928&amp;" Bandanas"))</f>
        <v/>
      </c>
      <c r="AV2928" s="3">
        <f t="shared" si="137"/>
        <v>0</v>
      </c>
      <c r="AW2928" s="2" t="str">
        <f>IF(Registered!AV2928=0,"",IF(Registered!AV2928=1,Registered!AV2928&amp;" Meal",Registered!AV2928&amp;" Meals"))</f>
        <v/>
      </c>
      <c r="AX2928" s="2" t="str">
        <f>IF(Registered!AI2928=0,"",Registered!AI2928&amp;" BG")</f>
        <v/>
      </c>
      <c r="AY2928" s="2" t="str">
        <f>IF(Registered!AG2928=0,"",Registered!AG2928&amp;" DustMask")</f>
        <v/>
      </c>
    </row>
    <row r="2929" spans="44:51" x14ac:dyDescent="0.25">
      <c r="AR2929" s="3">
        <f t="shared" si="135"/>
        <v>0</v>
      </c>
      <c r="AS2929" s="3">
        <f t="shared" si="136"/>
        <v>0</v>
      </c>
      <c r="AT2929" s="3" t="str">
        <f>IF(OR(Registered!AM2929&gt;0,Registered!AO2929&gt;0),(IF(Registered!E2929=0,"Size Not Specified",Registered!E2929)),"")</f>
        <v/>
      </c>
      <c r="AU2929" s="3" t="str">
        <f>IF(Registered!AE2929=0,"",IF(Registered!AE2929=1,Registered!AE2929&amp;" Bandana",Registered!AE2929&amp;" Bandanas"))</f>
        <v/>
      </c>
      <c r="AV2929" s="3">
        <f t="shared" si="137"/>
        <v>0</v>
      </c>
      <c r="AW2929" s="2" t="str">
        <f>IF(Registered!AV2929=0,"",IF(Registered!AV2929=1,Registered!AV2929&amp;" Meal",Registered!AV2929&amp;" Meals"))</f>
        <v/>
      </c>
      <c r="AX2929" s="2" t="str">
        <f>IF(Registered!AI2929=0,"",Registered!AI2929&amp;" BG")</f>
        <v/>
      </c>
      <c r="AY2929" s="2" t="str">
        <f>IF(Registered!AG2929=0,"",Registered!AG2929&amp;" DustMask")</f>
        <v/>
      </c>
    </row>
    <row r="2930" spans="44:51" x14ac:dyDescent="0.25">
      <c r="AR2930" s="3">
        <f t="shared" si="135"/>
        <v>0</v>
      </c>
      <c r="AS2930" s="3">
        <f t="shared" si="136"/>
        <v>0</v>
      </c>
      <c r="AT2930" s="3" t="str">
        <f>IF(OR(Registered!AM2930&gt;0,Registered!AO2930&gt;0),(IF(Registered!E2930=0,"Size Not Specified",Registered!E2930)),"")</f>
        <v/>
      </c>
      <c r="AU2930" s="3" t="str">
        <f>IF(Registered!AE2930=0,"",IF(Registered!AE2930=1,Registered!AE2930&amp;" Bandana",Registered!AE2930&amp;" Bandanas"))</f>
        <v/>
      </c>
      <c r="AV2930" s="3">
        <f t="shared" si="137"/>
        <v>0</v>
      </c>
      <c r="AW2930" s="2" t="str">
        <f>IF(Registered!AV2930=0,"",IF(Registered!AV2930=1,Registered!AV2930&amp;" Meal",Registered!AV2930&amp;" Meals"))</f>
        <v/>
      </c>
      <c r="AX2930" s="2" t="str">
        <f>IF(Registered!AI2930=0,"",Registered!AI2930&amp;" BG")</f>
        <v/>
      </c>
      <c r="AY2930" s="2" t="str">
        <f>IF(Registered!AG2930=0,"",Registered!AG2930&amp;" DustMask")</f>
        <v/>
      </c>
    </row>
    <row r="2931" spans="44:51" x14ac:dyDescent="0.25">
      <c r="AR2931" s="3">
        <f t="shared" si="135"/>
        <v>0</v>
      </c>
      <c r="AS2931" s="3">
        <f t="shared" si="136"/>
        <v>0</v>
      </c>
      <c r="AT2931" s="3" t="str">
        <f>IF(OR(Registered!AM2931&gt;0,Registered!AO2931&gt;0),(IF(Registered!E2931=0,"Size Not Specified",Registered!E2931)),"")</f>
        <v/>
      </c>
      <c r="AU2931" s="3" t="str">
        <f>IF(Registered!AE2931=0,"",IF(Registered!AE2931=1,Registered!AE2931&amp;" Bandana",Registered!AE2931&amp;" Bandanas"))</f>
        <v/>
      </c>
      <c r="AV2931" s="3">
        <f t="shared" si="137"/>
        <v>0</v>
      </c>
      <c r="AW2931" s="2" t="str">
        <f>IF(Registered!AV2931=0,"",IF(Registered!AV2931=1,Registered!AV2931&amp;" Meal",Registered!AV2931&amp;" Meals"))</f>
        <v/>
      </c>
      <c r="AX2931" s="2" t="str">
        <f>IF(Registered!AI2931=0,"",Registered!AI2931&amp;" BG")</f>
        <v/>
      </c>
      <c r="AY2931" s="2" t="str">
        <f>IF(Registered!AG2931=0,"",Registered!AG2931&amp;" DustMask")</f>
        <v/>
      </c>
    </row>
    <row r="2932" spans="44:51" x14ac:dyDescent="0.25">
      <c r="AR2932" s="3">
        <f t="shared" si="135"/>
        <v>0</v>
      </c>
      <c r="AS2932" s="3">
        <f t="shared" si="136"/>
        <v>0</v>
      </c>
      <c r="AT2932" s="3" t="str">
        <f>IF(OR(Registered!AM2932&gt;0,Registered!AO2932&gt;0),(IF(Registered!E2932=0,"Size Not Specified",Registered!E2932)),"")</f>
        <v/>
      </c>
      <c r="AU2932" s="3" t="str">
        <f>IF(Registered!AE2932=0,"",IF(Registered!AE2932=1,Registered!AE2932&amp;" Bandana",Registered!AE2932&amp;" Bandanas"))</f>
        <v/>
      </c>
      <c r="AV2932" s="3">
        <f t="shared" si="137"/>
        <v>0</v>
      </c>
      <c r="AW2932" s="2" t="str">
        <f>IF(Registered!AV2932=0,"",IF(Registered!AV2932=1,Registered!AV2932&amp;" Meal",Registered!AV2932&amp;" Meals"))</f>
        <v/>
      </c>
      <c r="AX2932" s="2" t="str">
        <f>IF(Registered!AI2932=0,"",Registered!AI2932&amp;" BG")</f>
        <v/>
      </c>
      <c r="AY2932" s="2" t="str">
        <f>IF(Registered!AG2932=0,"",Registered!AG2932&amp;" DustMask")</f>
        <v/>
      </c>
    </row>
    <row r="2933" spans="44:51" x14ac:dyDescent="0.25">
      <c r="AR2933" s="3">
        <f t="shared" si="135"/>
        <v>0</v>
      </c>
      <c r="AS2933" s="3">
        <f t="shared" si="136"/>
        <v>0</v>
      </c>
      <c r="AT2933" s="3" t="str">
        <f>IF(OR(Registered!AM2933&gt;0,Registered!AO2933&gt;0),(IF(Registered!E2933=0,"Size Not Specified",Registered!E2933)),"")</f>
        <v/>
      </c>
      <c r="AU2933" s="3" t="str">
        <f>IF(Registered!AE2933=0,"",IF(Registered!AE2933=1,Registered!AE2933&amp;" Bandana",Registered!AE2933&amp;" Bandanas"))</f>
        <v/>
      </c>
      <c r="AV2933" s="3">
        <f t="shared" si="137"/>
        <v>0</v>
      </c>
      <c r="AW2933" s="2" t="str">
        <f>IF(Registered!AV2933=0,"",IF(Registered!AV2933=1,Registered!AV2933&amp;" Meal",Registered!AV2933&amp;" Meals"))</f>
        <v/>
      </c>
      <c r="AX2933" s="2" t="str">
        <f>IF(Registered!AI2933=0,"",Registered!AI2933&amp;" BG")</f>
        <v/>
      </c>
      <c r="AY2933" s="2" t="str">
        <f>IF(Registered!AG2933=0,"",Registered!AG2933&amp;" DustMask")</f>
        <v/>
      </c>
    </row>
    <row r="2934" spans="44:51" x14ac:dyDescent="0.25">
      <c r="AR2934" s="3">
        <f t="shared" si="135"/>
        <v>0</v>
      </c>
      <c r="AS2934" s="3">
        <f t="shared" si="136"/>
        <v>0</v>
      </c>
      <c r="AT2934" s="3" t="str">
        <f>IF(OR(Registered!AM2934&gt;0,Registered!AO2934&gt;0),(IF(Registered!E2934=0,"Size Not Specified",Registered!E2934)),"")</f>
        <v/>
      </c>
      <c r="AU2934" s="3" t="str">
        <f>IF(Registered!AE2934=0,"",IF(Registered!AE2934=1,Registered!AE2934&amp;" Bandana",Registered!AE2934&amp;" Bandanas"))</f>
        <v/>
      </c>
      <c r="AV2934" s="3">
        <f t="shared" si="137"/>
        <v>0</v>
      </c>
      <c r="AW2934" s="2" t="str">
        <f>IF(Registered!AV2934=0,"",IF(Registered!AV2934=1,Registered!AV2934&amp;" Meal",Registered!AV2934&amp;" Meals"))</f>
        <v/>
      </c>
      <c r="AX2934" s="2" t="str">
        <f>IF(Registered!AI2934=0,"",Registered!AI2934&amp;" BG")</f>
        <v/>
      </c>
      <c r="AY2934" s="2" t="str">
        <f>IF(Registered!AG2934=0,"",Registered!AG2934&amp;" DustMask")</f>
        <v/>
      </c>
    </row>
    <row r="2935" spans="44:51" x14ac:dyDescent="0.25">
      <c r="AR2935" s="3">
        <f t="shared" si="135"/>
        <v>0</v>
      </c>
      <c r="AS2935" s="3">
        <f t="shared" si="136"/>
        <v>0</v>
      </c>
      <c r="AT2935" s="3" t="str">
        <f>IF(OR(Registered!AM2935&gt;0,Registered!AO2935&gt;0),(IF(Registered!E2935=0,"Size Not Specified",Registered!E2935)),"")</f>
        <v/>
      </c>
      <c r="AU2935" s="3" t="str">
        <f>IF(Registered!AE2935=0,"",IF(Registered!AE2935=1,Registered!AE2935&amp;" Bandana",Registered!AE2935&amp;" Bandanas"))</f>
        <v/>
      </c>
      <c r="AV2935" s="3">
        <f t="shared" si="137"/>
        <v>0</v>
      </c>
      <c r="AW2935" s="2" t="str">
        <f>IF(Registered!AV2935=0,"",IF(Registered!AV2935=1,Registered!AV2935&amp;" Meal",Registered!AV2935&amp;" Meals"))</f>
        <v/>
      </c>
      <c r="AX2935" s="2" t="str">
        <f>IF(Registered!AI2935=0,"",Registered!AI2935&amp;" BG")</f>
        <v/>
      </c>
      <c r="AY2935" s="2" t="str">
        <f>IF(Registered!AG2935=0,"",Registered!AG2935&amp;" DustMask")</f>
        <v/>
      </c>
    </row>
    <row r="2936" spans="44:51" x14ac:dyDescent="0.25">
      <c r="AR2936" s="3">
        <f t="shared" si="135"/>
        <v>0</v>
      </c>
      <c r="AS2936" s="3">
        <f t="shared" si="136"/>
        <v>0</v>
      </c>
      <c r="AT2936" s="3" t="str">
        <f>IF(OR(Registered!AM2936&gt;0,Registered!AO2936&gt;0),(IF(Registered!E2936=0,"Size Not Specified",Registered!E2936)),"")</f>
        <v/>
      </c>
      <c r="AU2936" s="3" t="str">
        <f>IF(Registered!AE2936=0,"",IF(Registered!AE2936=1,Registered!AE2936&amp;" Bandana",Registered!AE2936&amp;" Bandanas"))</f>
        <v/>
      </c>
      <c r="AV2936" s="3">
        <f t="shared" si="137"/>
        <v>0</v>
      </c>
      <c r="AW2936" s="2" t="str">
        <f>IF(Registered!AV2936=0,"",IF(Registered!AV2936=1,Registered!AV2936&amp;" Meal",Registered!AV2936&amp;" Meals"))</f>
        <v/>
      </c>
      <c r="AX2936" s="2" t="str">
        <f>IF(Registered!AI2936=0,"",Registered!AI2936&amp;" BG")</f>
        <v/>
      </c>
      <c r="AY2936" s="2" t="str">
        <f>IF(Registered!AG2936=0,"",Registered!AG2936&amp;" DustMask")</f>
        <v/>
      </c>
    </row>
    <row r="2937" spans="44:51" x14ac:dyDescent="0.25">
      <c r="AR2937" s="3">
        <f t="shared" si="135"/>
        <v>0</v>
      </c>
      <c r="AS2937" s="3">
        <f t="shared" si="136"/>
        <v>0</v>
      </c>
      <c r="AT2937" s="3" t="str">
        <f>IF(OR(Registered!AM2937&gt;0,Registered!AO2937&gt;0),(IF(Registered!E2937=0,"Size Not Specified",Registered!E2937)),"")</f>
        <v/>
      </c>
      <c r="AU2937" s="3" t="str">
        <f>IF(Registered!AE2937=0,"",IF(Registered!AE2937=1,Registered!AE2937&amp;" Bandana",Registered!AE2937&amp;" Bandanas"))</f>
        <v/>
      </c>
      <c r="AV2937" s="3">
        <f t="shared" si="137"/>
        <v>0</v>
      </c>
      <c r="AW2937" s="2" t="str">
        <f>IF(Registered!AV2937=0,"",IF(Registered!AV2937=1,Registered!AV2937&amp;" Meal",Registered!AV2937&amp;" Meals"))</f>
        <v/>
      </c>
      <c r="AX2937" s="2" t="str">
        <f>IF(Registered!AI2937=0,"",Registered!AI2937&amp;" BG")</f>
        <v/>
      </c>
      <c r="AY2937" s="2" t="str">
        <f>IF(Registered!AG2937=0,"",Registered!AG2937&amp;" DustMask")</f>
        <v/>
      </c>
    </row>
    <row r="2938" spans="44:51" x14ac:dyDescent="0.25">
      <c r="AR2938" s="3">
        <f t="shared" si="135"/>
        <v>0</v>
      </c>
      <c r="AS2938" s="3">
        <f t="shared" si="136"/>
        <v>0</v>
      </c>
      <c r="AT2938" s="3" t="str">
        <f>IF(OR(Registered!AM2938&gt;0,Registered!AO2938&gt;0),(IF(Registered!E2938=0,"Size Not Specified",Registered!E2938)),"")</f>
        <v/>
      </c>
      <c r="AU2938" s="3" t="str">
        <f>IF(Registered!AE2938=0,"",IF(Registered!AE2938=1,Registered!AE2938&amp;" Bandana",Registered!AE2938&amp;" Bandanas"))</f>
        <v/>
      </c>
      <c r="AV2938" s="3">
        <f t="shared" si="137"/>
        <v>0</v>
      </c>
      <c r="AW2938" s="2" t="str">
        <f>IF(Registered!AV2938=0,"",IF(Registered!AV2938=1,Registered!AV2938&amp;" Meal",Registered!AV2938&amp;" Meals"))</f>
        <v/>
      </c>
      <c r="AX2938" s="2" t="str">
        <f>IF(Registered!AI2938=0,"",Registered!AI2938&amp;" BG")</f>
        <v/>
      </c>
      <c r="AY2938" s="2" t="str">
        <f>IF(Registered!AG2938=0,"",Registered!AG2938&amp;" DustMask")</f>
        <v/>
      </c>
    </row>
    <row r="2939" spans="44:51" x14ac:dyDescent="0.25">
      <c r="AR2939" s="3">
        <f t="shared" si="135"/>
        <v>0</v>
      </c>
      <c r="AS2939" s="3">
        <f t="shared" si="136"/>
        <v>0</v>
      </c>
      <c r="AT2939" s="3" t="str">
        <f>IF(OR(Registered!AM2939&gt;0,Registered!AO2939&gt;0),(IF(Registered!E2939=0,"Size Not Specified",Registered!E2939)),"")</f>
        <v/>
      </c>
      <c r="AU2939" s="3" t="str">
        <f>IF(Registered!AE2939=0,"",IF(Registered!AE2939=1,Registered!AE2939&amp;" Bandana",Registered!AE2939&amp;" Bandanas"))</f>
        <v/>
      </c>
      <c r="AV2939" s="3">
        <f t="shared" si="137"/>
        <v>0</v>
      </c>
      <c r="AW2939" s="2" t="str">
        <f>IF(Registered!AV2939=0,"",IF(Registered!AV2939=1,Registered!AV2939&amp;" Meal",Registered!AV2939&amp;" Meals"))</f>
        <v/>
      </c>
      <c r="AX2939" s="2" t="str">
        <f>IF(Registered!AI2939=0,"",Registered!AI2939&amp;" BG")</f>
        <v/>
      </c>
      <c r="AY2939" s="2" t="str">
        <f>IF(Registered!AG2939=0,"",Registered!AG2939&amp;" DustMask")</f>
        <v/>
      </c>
    </row>
    <row r="2940" spans="44:51" x14ac:dyDescent="0.25">
      <c r="AR2940" s="3">
        <f t="shared" si="135"/>
        <v>0</v>
      </c>
      <c r="AS2940" s="3">
        <f t="shared" si="136"/>
        <v>0</v>
      </c>
      <c r="AT2940" s="3" t="str">
        <f>IF(OR(Registered!AM2940&gt;0,Registered!AO2940&gt;0),(IF(Registered!E2940=0,"Size Not Specified",Registered!E2940)),"")</f>
        <v/>
      </c>
      <c r="AU2940" s="3" t="str">
        <f>IF(Registered!AE2940=0,"",IF(Registered!AE2940=1,Registered!AE2940&amp;" Bandana",Registered!AE2940&amp;" Bandanas"))</f>
        <v/>
      </c>
      <c r="AV2940" s="3">
        <f t="shared" si="137"/>
        <v>0</v>
      </c>
      <c r="AW2940" s="2" t="str">
        <f>IF(Registered!AV2940=0,"",IF(Registered!AV2940=1,Registered!AV2940&amp;" Meal",Registered!AV2940&amp;" Meals"))</f>
        <v/>
      </c>
      <c r="AX2940" s="2" t="str">
        <f>IF(Registered!AI2940=0,"",Registered!AI2940&amp;" BG")</f>
        <v/>
      </c>
      <c r="AY2940" s="2" t="str">
        <f>IF(Registered!AG2940=0,"",Registered!AG2940&amp;" DustMask")</f>
        <v/>
      </c>
    </row>
    <row r="2941" spans="44:51" x14ac:dyDescent="0.25">
      <c r="AR2941" s="3">
        <f t="shared" si="135"/>
        <v>0</v>
      </c>
      <c r="AS2941" s="3">
        <f t="shared" si="136"/>
        <v>0</v>
      </c>
      <c r="AT2941" s="3" t="str">
        <f>IF(OR(Registered!AM2941&gt;0,Registered!AO2941&gt;0),(IF(Registered!E2941=0,"Size Not Specified",Registered!E2941)),"")</f>
        <v/>
      </c>
      <c r="AU2941" s="3" t="str">
        <f>IF(Registered!AE2941=0,"",IF(Registered!AE2941=1,Registered!AE2941&amp;" Bandana",Registered!AE2941&amp;" Bandanas"))</f>
        <v/>
      </c>
      <c r="AV2941" s="3">
        <f t="shared" si="137"/>
        <v>0</v>
      </c>
      <c r="AW2941" s="2" t="str">
        <f>IF(Registered!AV2941=0,"",IF(Registered!AV2941=1,Registered!AV2941&amp;" Meal",Registered!AV2941&amp;" Meals"))</f>
        <v/>
      </c>
      <c r="AX2941" s="2" t="str">
        <f>IF(Registered!AI2941=0,"",Registered!AI2941&amp;" BG")</f>
        <v/>
      </c>
      <c r="AY2941" s="2" t="str">
        <f>IF(Registered!AG2941=0,"",Registered!AG2941&amp;" DustMask")</f>
        <v/>
      </c>
    </row>
    <row r="2942" spans="44:51" x14ac:dyDescent="0.25">
      <c r="AR2942" s="3">
        <f t="shared" si="135"/>
        <v>0</v>
      </c>
      <c r="AS2942" s="3">
        <f t="shared" si="136"/>
        <v>0</v>
      </c>
      <c r="AT2942" s="3" t="str">
        <f>IF(OR(Registered!AM2942&gt;0,Registered!AO2942&gt;0),(IF(Registered!E2942=0,"Size Not Specified",Registered!E2942)),"")</f>
        <v/>
      </c>
      <c r="AU2942" s="3" t="str">
        <f>IF(Registered!AE2942=0,"",IF(Registered!AE2942=1,Registered!AE2942&amp;" Bandana",Registered!AE2942&amp;" Bandanas"))</f>
        <v/>
      </c>
      <c r="AV2942" s="3">
        <f t="shared" si="137"/>
        <v>0</v>
      </c>
      <c r="AW2942" s="2" t="str">
        <f>IF(Registered!AV2942=0,"",IF(Registered!AV2942=1,Registered!AV2942&amp;" Meal",Registered!AV2942&amp;" Meals"))</f>
        <v/>
      </c>
      <c r="AX2942" s="2" t="str">
        <f>IF(Registered!AI2942=0,"",Registered!AI2942&amp;" BG")</f>
        <v/>
      </c>
      <c r="AY2942" s="2" t="str">
        <f>IF(Registered!AG2942=0,"",Registered!AG2942&amp;" DustMask")</f>
        <v/>
      </c>
    </row>
    <row r="2943" spans="44:51" x14ac:dyDescent="0.25">
      <c r="AR2943" s="3">
        <f t="shared" si="135"/>
        <v>0</v>
      </c>
      <c r="AS2943" s="3">
        <f t="shared" si="136"/>
        <v>0</v>
      </c>
      <c r="AT2943" s="3" t="str">
        <f>IF(OR(Registered!AM2943&gt;0,Registered!AO2943&gt;0),(IF(Registered!E2943=0,"Size Not Specified",Registered!E2943)),"")</f>
        <v/>
      </c>
      <c r="AU2943" s="3" t="str">
        <f>IF(Registered!AE2943=0,"",IF(Registered!AE2943=1,Registered!AE2943&amp;" Bandana",Registered!AE2943&amp;" Bandanas"))</f>
        <v/>
      </c>
      <c r="AV2943" s="3">
        <f t="shared" si="137"/>
        <v>0</v>
      </c>
      <c r="AW2943" s="2" t="str">
        <f>IF(Registered!AV2943=0,"",IF(Registered!AV2943=1,Registered!AV2943&amp;" Meal",Registered!AV2943&amp;" Meals"))</f>
        <v/>
      </c>
      <c r="AX2943" s="2" t="str">
        <f>IF(Registered!AI2943=0,"",Registered!AI2943&amp;" BG")</f>
        <v/>
      </c>
      <c r="AY2943" s="2" t="str">
        <f>IF(Registered!AG2943=0,"",Registered!AG2943&amp;" DustMask")</f>
        <v/>
      </c>
    </row>
    <row r="2944" spans="44:51" x14ac:dyDescent="0.25">
      <c r="AR2944" s="3">
        <f t="shared" si="135"/>
        <v>0</v>
      </c>
      <c r="AS2944" s="3">
        <f t="shared" si="136"/>
        <v>0</v>
      </c>
      <c r="AT2944" s="3" t="str">
        <f>IF(OR(Registered!AM2944&gt;0,Registered!AO2944&gt;0),(IF(Registered!E2944=0,"Size Not Specified",Registered!E2944)),"")</f>
        <v/>
      </c>
      <c r="AU2944" s="3" t="str">
        <f>IF(Registered!AE2944=0,"",IF(Registered!AE2944=1,Registered!AE2944&amp;" Bandana",Registered!AE2944&amp;" Bandanas"))</f>
        <v/>
      </c>
      <c r="AV2944" s="3">
        <f t="shared" si="137"/>
        <v>0</v>
      </c>
      <c r="AW2944" s="2" t="str">
        <f>IF(Registered!AV2944=0,"",IF(Registered!AV2944=1,Registered!AV2944&amp;" Meal",Registered!AV2944&amp;" Meals"))</f>
        <v/>
      </c>
      <c r="AX2944" s="2" t="str">
        <f>IF(Registered!AI2944=0,"",Registered!AI2944&amp;" BG")</f>
        <v/>
      </c>
      <c r="AY2944" s="2" t="str">
        <f>IF(Registered!AG2944=0,"",Registered!AG2944&amp;" DustMask")</f>
        <v/>
      </c>
    </row>
    <row r="2945" spans="44:51" x14ac:dyDescent="0.25">
      <c r="AR2945" s="3">
        <f t="shared" si="135"/>
        <v>0</v>
      </c>
      <c r="AS2945" s="3">
        <f t="shared" si="136"/>
        <v>0</v>
      </c>
      <c r="AT2945" s="3" t="str">
        <f>IF(OR(Registered!AM2945&gt;0,Registered!AO2945&gt;0),(IF(Registered!E2945=0,"Size Not Specified",Registered!E2945)),"")</f>
        <v/>
      </c>
      <c r="AU2945" s="3" t="str">
        <f>IF(Registered!AE2945=0,"",IF(Registered!AE2945=1,Registered!AE2945&amp;" Bandana",Registered!AE2945&amp;" Bandanas"))</f>
        <v/>
      </c>
      <c r="AV2945" s="3">
        <f t="shared" si="137"/>
        <v>0</v>
      </c>
      <c r="AW2945" s="2" t="str">
        <f>IF(Registered!AV2945=0,"",IF(Registered!AV2945=1,Registered!AV2945&amp;" Meal",Registered!AV2945&amp;" Meals"))</f>
        <v/>
      </c>
      <c r="AX2945" s="2" t="str">
        <f>IF(Registered!AI2945=0,"",Registered!AI2945&amp;" BG")</f>
        <v/>
      </c>
      <c r="AY2945" s="2" t="str">
        <f>IF(Registered!AG2945=0,"",Registered!AG2945&amp;" DustMask")</f>
        <v/>
      </c>
    </row>
    <row r="2946" spans="44:51" x14ac:dyDescent="0.25">
      <c r="AR2946" s="3">
        <f t="shared" ref="AR2946:AR3000" si="138">IF(ISTEXT(AM2946)=TRUE,"",SUM(U2946*10,W2946*20,Y2946*30,AA2946*40,AC2946*5,AM2946*5))</f>
        <v>0</v>
      </c>
      <c r="AS2946" s="3">
        <f t="shared" ref="AS2946:AS3000" si="139">IF(ISTEXT(AM2946)=TRUE,"",SUM(AM2946,AO2946))</f>
        <v>0</v>
      </c>
      <c r="AT2946" s="3" t="str">
        <f>IF(OR(Registered!AM2946&gt;0,Registered!AO2946&gt;0),(IF(Registered!E2946=0,"Size Not Specified",Registered!E2946)),"")</f>
        <v/>
      </c>
      <c r="AU2946" s="3" t="str">
        <f>IF(Registered!AE2946=0,"",IF(Registered!AE2946=1,Registered!AE2946&amp;" Bandana",Registered!AE2946&amp;" Bandanas"))</f>
        <v/>
      </c>
      <c r="AV2946" s="3">
        <f t="shared" ref="AV2946:AV3000" si="140">IF(ISTEXT(AM2946)=TRUE,"",SUM(AM2946,AK2946))</f>
        <v>0</v>
      </c>
      <c r="AW2946" s="2" t="str">
        <f>IF(Registered!AV2946=0,"",IF(Registered!AV2946=1,Registered!AV2946&amp;" Meal",Registered!AV2946&amp;" Meals"))</f>
        <v/>
      </c>
      <c r="AX2946" s="2" t="str">
        <f>IF(Registered!AI2946=0,"",Registered!AI2946&amp;" BG")</f>
        <v/>
      </c>
      <c r="AY2946" s="2" t="str">
        <f>IF(Registered!AG2946=0,"",Registered!AG2946&amp;" DustMask")</f>
        <v/>
      </c>
    </row>
    <row r="2947" spans="44:51" x14ac:dyDescent="0.25">
      <c r="AR2947" s="3">
        <f t="shared" si="138"/>
        <v>0</v>
      </c>
      <c r="AS2947" s="3">
        <f t="shared" si="139"/>
        <v>0</v>
      </c>
      <c r="AT2947" s="3" t="str">
        <f>IF(OR(Registered!AM2947&gt;0,Registered!AO2947&gt;0),(IF(Registered!E2947=0,"Size Not Specified",Registered!E2947)),"")</f>
        <v/>
      </c>
      <c r="AU2947" s="3" t="str">
        <f>IF(Registered!AE2947=0,"",IF(Registered!AE2947=1,Registered!AE2947&amp;" Bandana",Registered!AE2947&amp;" Bandanas"))</f>
        <v/>
      </c>
      <c r="AV2947" s="3">
        <f t="shared" si="140"/>
        <v>0</v>
      </c>
      <c r="AW2947" s="2" t="str">
        <f>IF(Registered!AV2947=0,"",IF(Registered!AV2947=1,Registered!AV2947&amp;" Meal",Registered!AV2947&amp;" Meals"))</f>
        <v/>
      </c>
      <c r="AX2947" s="2" t="str">
        <f>IF(Registered!AI2947=0,"",Registered!AI2947&amp;" BG")</f>
        <v/>
      </c>
      <c r="AY2947" s="2" t="str">
        <f>IF(Registered!AG2947=0,"",Registered!AG2947&amp;" DustMask")</f>
        <v/>
      </c>
    </row>
    <row r="2948" spans="44:51" x14ac:dyDescent="0.25">
      <c r="AR2948" s="3">
        <f t="shared" si="138"/>
        <v>0</v>
      </c>
      <c r="AS2948" s="3">
        <f t="shared" si="139"/>
        <v>0</v>
      </c>
      <c r="AT2948" s="3" t="str">
        <f>IF(OR(Registered!AM2948&gt;0,Registered!AO2948&gt;0),(IF(Registered!E2948=0,"Size Not Specified",Registered!E2948)),"")</f>
        <v/>
      </c>
      <c r="AU2948" s="3" t="str">
        <f>IF(Registered!AE2948=0,"",IF(Registered!AE2948=1,Registered!AE2948&amp;" Bandana",Registered!AE2948&amp;" Bandanas"))</f>
        <v/>
      </c>
      <c r="AV2948" s="3">
        <f t="shared" si="140"/>
        <v>0</v>
      </c>
      <c r="AW2948" s="2" t="str">
        <f>IF(Registered!AV2948=0,"",IF(Registered!AV2948=1,Registered!AV2948&amp;" Meal",Registered!AV2948&amp;" Meals"))</f>
        <v/>
      </c>
      <c r="AX2948" s="2" t="str">
        <f>IF(Registered!AI2948=0,"",Registered!AI2948&amp;" BG")</f>
        <v/>
      </c>
      <c r="AY2948" s="2" t="str">
        <f>IF(Registered!AG2948=0,"",Registered!AG2948&amp;" DustMask")</f>
        <v/>
      </c>
    </row>
    <row r="2949" spans="44:51" x14ac:dyDescent="0.25">
      <c r="AR2949" s="3">
        <f t="shared" si="138"/>
        <v>0</v>
      </c>
      <c r="AS2949" s="3">
        <f t="shared" si="139"/>
        <v>0</v>
      </c>
      <c r="AT2949" s="3" t="str">
        <f>IF(OR(Registered!AM2949&gt;0,Registered!AO2949&gt;0),(IF(Registered!E2949=0,"Size Not Specified",Registered!E2949)),"")</f>
        <v/>
      </c>
      <c r="AU2949" s="3" t="str">
        <f>IF(Registered!AE2949=0,"",IF(Registered!AE2949=1,Registered!AE2949&amp;" Bandana",Registered!AE2949&amp;" Bandanas"))</f>
        <v/>
      </c>
      <c r="AV2949" s="3">
        <f t="shared" si="140"/>
        <v>0</v>
      </c>
      <c r="AW2949" s="2" t="str">
        <f>IF(Registered!AV2949=0,"",IF(Registered!AV2949=1,Registered!AV2949&amp;" Meal",Registered!AV2949&amp;" Meals"))</f>
        <v/>
      </c>
      <c r="AX2949" s="2" t="str">
        <f>IF(Registered!AI2949=0,"",Registered!AI2949&amp;" BG")</f>
        <v/>
      </c>
      <c r="AY2949" s="2" t="str">
        <f>IF(Registered!AG2949=0,"",Registered!AG2949&amp;" DustMask")</f>
        <v/>
      </c>
    </row>
    <row r="2950" spans="44:51" x14ac:dyDescent="0.25">
      <c r="AR2950" s="3">
        <f t="shared" si="138"/>
        <v>0</v>
      </c>
      <c r="AS2950" s="3">
        <f t="shared" si="139"/>
        <v>0</v>
      </c>
      <c r="AT2950" s="3" t="str">
        <f>IF(OR(Registered!AM2950&gt;0,Registered!AO2950&gt;0),(IF(Registered!E2950=0,"Size Not Specified",Registered!E2950)),"")</f>
        <v/>
      </c>
      <c r="AU2950" s="3" t="str">
        <f>IF(Registered!AE2950=0,"",IF(Registered!AE2950=1,Registered!AE2950&amp;" Bandana",Registered!AE2950&amp;" Bandanas"))</f>
        <v/>
      </c>
      <c r="AV2950" s="3">
        <f t="shared" si="140"/>
        <v>0</v>
      </c>
      <c r="AW2950" s="2" t="str">
        <f>IF(Registered!AV2950=0,"",IF(Registered!AV2950=1,Registered!AV2950&amp;" Meal",Registered!AV2950&amp;" Meals"))</f>
        <v/>
      </c>
      <c r="AX2950" s="2" t="str">
        <f>IF(Registered!AI2950=0,"",Registered!AI2950&amp;" BG")</f>
        <v/>
      </c>
      <c r="AY2950" s="2" t="str">
        <f>IF(Registered!AG2950=0,"",Registered!AG2950&amp;" DustMask")</f>
        <v/>
      </c>
    </row>
    <row r="2951" spans="44:51" x14ac:dyDescent="0.25">
      <c r="AR2951" s="3">
        <f t="shared" si="138"/>
        <v>0</v>
      </c>
      <c r="AS2951" s="3">
        <f t="shared" si="139"/>
        <v>0</v>
      </c>
      <c r="AT2951" s="3" t="str">
        <f>IF(OR(Registered!AM2951&gt;0,Registered!AO2951&gt;0),(IF(Registered!E2951=0,"Size Not Specified",Registered!E2951)),"")</f>
        <v/>
      </c>
      <c r="AU2951" s="3" t="str">
        <f>IF(Registered!AE2951=0,"",IF(Registered!AE2951=1,Registered!AE2951&amp;" Bandana",Registered!AE2951&amp;" Bandanas"))</f>
        <v/>
      </c>
      <c r="AV2951" s="3">
        <f t="shared" si="140"/>
        <v>0</v>
      </c>
      <c r="AW2951" s="2" t="str">
        <f>IF(Registered!AV2951=0,"",IF(Registered!AV2951=1,Registered!AV2951&amp;" Meal",Registered!AV2951&amp;" Meals"))</f>
        <v/>
      </c>
      <c r="AX2951" s="2" t="str">
        <f>IF(Registered!AI2951=0,"",Registered!AI2951&amp;" BG")</f>
        <v/>
      </c>
      <c r="AY2951" s="2" t="str">
        <f>IF(Registered!AG2951=0,"",Registered!AG2951&amp;" DustMask")</f>
        <v/>
      </c>
    </row>
    <row r="2952" spans="44:51" x14ac:dyDescent="0.25">
      <c r="AR2952" s="3">
        <f t="shared" si="138"/>
        <v>0</v>
      </c>
      <c r="AS2952" s="3">
        <f t="shared" si="139"/>
        <v>0</v>
      </c>
      <c r="AT2952" s="3" t="str">
        <f>IF(OR(Registered!AM2952&gt;0,Registered!AO2952&gt;0),(IF(Registered!E2952=0,"Size Not Specified",Registered!E2952)),"")</f>
        <v/>
      </c>
      <c r="AU2952" s="3" t="str">
        <f>IF(Registered!AE2952=0,"",IF(Registered!AE2952=1,Registered!AE2952&amp;" Bandana",Registered!AE2952&amp;" Bandanas"))</f>
        <v/>
      </c>
      <c r="AV2952" s="3">
        <f t="shared" si="140"/>
        <v>0</v>
      </c>
      <c r="AW2952" s="2" t="str">
        <f>IF(Registered!AV2952=0,"",IF(Registered!AV2952=1,Registered!AV2952&amp;" Meal",Registered!AV2952&amp;" Meals"))</f>
        <v/>
      </c>
      <c r="AX2952" s="2" t="str">
        <f>IF(Registered!AI2952=0,"",Registered!AI2952&amp;" BG")</f>
        <v/>
      </c>
      <c r="AY2952" s="2" t="str">
        <f>IF(Registered!AG2952=0,"",Registered!AG2952&amp;" DustMask")</f>
        <v/>
      </c>
    </row>
    <row r="2953" spans="44:51" x14ac:dyDescent="0.25">
      <c r="AR2953" s="3">
        <f t="shared" si="138"/>
        <v>0</v>
      </c>
      <c r="AS2953" s="3">
        <f t="shared" si="139"/>
        <v>0</v>
      </c>
      <c r="AT2953" s="3" t="str">
        <f>IF(OR(Registered!AM2953&gt;0,Registered!AO2953&gt;0),(IF(Registered!E2953=0,"Size Not Specified",Registered!E2953)),"")</f>
        <v/>
      </c>
      <c r="AU2953" s="3" t="str">
        <f>IF(Registered!AE2953=0,"",IF(Registered!AE2953=1,Registered!AE2953&amp;" Bandana",Registered!AE2953&amp;" Bandanas"))</f>
        <v/>
      </c>
      <c r="AV2953" s="3">
        <f t="shared" si="140"/>
        <v>0</v>
      </c>
      <c r="AW2953" s="2" t="str">
        <f>IF(Registered!AV2953=0,"",IF(Registered!AV2953=1,Registered!AV2953&amp;" Meal",Registered!AV2953&amp;" Meals"))</f>
        <v/>
      </c>
      <c r="AX2953" s="2" t="str">
        <f>IF(Registered!AI2953=0,"",Registered!AI2953&amp;" BG")</f>
        <v/>
      </c>
      <c r="AY2953" s="2" t="str">
        <f>IF(Registered!AG2953=0,"",Registered!AG2953&amp;" DustMask")</f>
        <v/>
      </c>
    </row>
    <row r="2954" spans="44:51" x14ac:dyDescent="0.25">
      <c r="AR2954" s="3">
        <f t="shared" si="138"/>
        <v>0</v>
      </c>
      <c r="AS2954" s="3">
        <f t="shared" si="139"/>
        <v>0</v>
      </c>
      <c r="AT2954" s="3" t="str">
        <f>IF(OR(Registered!AM2954&gt;0,Registered!AO2954&gt;0),(IF(Registered!E2954=0,"Size Not Specified",Registered!E2954)),"")</f>
        <v/>
      </c>
      <c r="AU2954" s="3" t="str">
        <f>IF(Registered!AE2954=0,"",IF(Registered!AE2954=1,Registered!AE2954&amp;" Bandana",Registered!AE2954&amp;" Bandanas"))</f>
        <v/>
      </c>
      <c r="AV2954" s="3">
        <f t="shared" si="140"/>
        <v>0</v>
      </c>
      <c r="AW2954" s="2" t="str">
        <f>IF(Registered!AV2954=0,"",IF(Registered!AV2954=1,Registered!AV2954&amp;" Meal",Registered!AV2954&amp;" Meals"))</f>
        <v/>
      </c>
      <c r="AX2954" s="2" t="str">
        <f>IF(Registered!AI2954=0,"",Registered!AI2954&amp;" BG")</f>
        <v/>
      </c>
      <c r="AY2954" s="2" t="str">
        <f>IF(Registered!AG2954=0,"",Registered!AG2954&amp;" DustMask")</f>
        <v/>
      </c>
    </row>
    <row r="2955" spans="44:51" x14ac:dyDescent="0.25">
      <c r="AR2955" s="3">
        <f t="shared" si="138"/>
        <v>0</v>
      </c>
      <c r="AS2955" s="3">
        <f t="shared" si="139"/>
        <v>0</v>
      </c>
      <c r="AT2955" s="3" t="str">
        <f>IF(OR(Registered!AM2955&gt;0,Registered!AO2955&gt;0),(IF(Registered!E2955=0,"Size Not Specified",Registered!E2955)),"")</f>
        <v/>
      </c>
      <c r="AU2955" s="3" t="str">
        <f>IF(Registered!AE2955=0,"",IF(Registered!AE2955=1,Registered!AE2955&amp;" Bandana",Registered!AE2955&amp;" Bandanas"))</f>
        <v/>
      </c>
      <c r="AV2955" s="3">
        <f t="shared" si="140"/>
        <v>0</v>
      </c>
      <c r="AW2955" s="2" t="str">
        <f>IF(Registered!AV2955=0,"",IF(Registered!AV2955=1,Registered!AV2955&amp;" Meal",Registered!AV2955&amp;" Meals"))</f>
        <v/>
      </c>
      <c r="AX2955" s="2" t="str">
        <f>IF(Registered!AI2955=0,"",Registered!AI2955&amp;" BG")</f>
        <v/>
      </c>
      <c r="AY2955" s="2" t="str">
        <f>IF(Registered!AG2955=0,"",Registered!AG2955&amp;" DustMask")</f>
        <v/>
      </c>
    </row>
    <row r="2956" spans="44:51" x14ac:dyDescent="0.25">
      <c r="AR2956" s="3">
        <f t="shared" si="138"/>
        <v>0</v>
      </c>
      <c r="AS2956" s="3">
        <f t="shared" si="139"/>
        <v>0</v>
      </c>
      <c r="AT2956" s="3" t="str">
        <f>IF(OR(Registered!AM2956&gt;0,Registered!AO2956&gt;0),(IF(Registered!E2956=0,"Size Not Specified",Registered!E2956)),"")</f>
        <v/>
      </c>
      <c r="AU2956" s="3" t="str">
        <f>IF(Registered!AE2956=0,"",IF(Registered!AE2956=1,Registered!AE2956&amp;" Bandana",Registered!AE2956&amp;" Bandanas"))</f>
        <v/>
      </c>
      <c r="AV2956" s="3">
        <f t="shared" si="140"/>
        <v>0</v>
      </c>
      <c r="AW2956" s="2" t="str">
        <f>IF(Registered!AV2956=0,"",IF(Registered!AV2956=1,Registered!AV2956&amp;" Meal",Registered!AV2956&amp;" Meals"))</f>
        <v/>
      </c>
      <c r="AX2956" s="2" t="str">
        <f>IF(Registered!AI2956=0,"",Registered!AI2956&amp;" BG")</f>
        <v/>
      </c>
      <c r="AY2956" s="2" t="str">
        <f>IF(Registered!AG2956=0,"",Registered!AG2956&amp;" DustMask")</f>
        <v/>
      </c>
    </row>
    <row r="2957" spans="44:51" x14ac:dyDescent="0.25">
      <c r="AR2957" s="3">
        <f t="shared" si="138"/>
        <v>0</v>
      </c>
      <c r="AS2957" s="3">
        <f t="shared" si="139"/>
        <v>0</v>
      </c>
      <c r="AT2957" s="3" t="str">
        <f>IF(OR(Registered!AM2957&gt;0,Registered!AO2957&gt;0),(IF(Registered!E2957=0,"Size Not Specified",Registered!E2957)),"")</f>
        <v/>
      </c>
      <c r="AU2957" s="3" t="str">
        <f>IF(Registered!AE2957=0,"",IF(Registered!AE2957=1,Registered!AE2957&amp;" Bandana",Registered!AE2957&amp;" Bandanas"))</f>
        <v/>
      </c>
      <c r="AV2957" s="3">
        <f t="shared" si="140"/>
        <v>0</v>
      </c>
      <c r="AW2957" s="2" t="str">
        <f>IF(Registered!AV2957=0,"",IF(Registered!AV2957=1,Registered!AV2957&amp;" Meal",Registered!AV2957&amp;" Meals"))</f>
        <v/>
      </c>
      <c r="AX2957" s="2" t="str">
        <f>IF(Registered!AI2957=0,"",Registered!AI2957&amp;" BG")</f>
        <v/>
      </c>
      <c r="AY2957" s="2" t="str">
        <f>IF(Registered!AG2957=0,"",Registered!AG2957&amp;" DustMask")</f>
        <v/>
      </c>
    </row>
    <row r="2958" spans="44:51" x14ac:dyDescent="0.25">
      <c r="AR2958" s="3">
        <f t="shared" si="138"/>
        <v>0</v>
      </c>
      <c r="AS2958" s="3">
        <f t="shared" si="139"/>
        <v>0</v>
      </c>
      <c r="AT2958" s="3" t="str">
        <f>IF(OR(Registered!AM2958&gt;0,Registered!AO2958&gt;0),(IF(Registered!E2958=0,"Size Not Specified",Registered!E2958)),"")</f>
        <v/>
      </c>
      <c r="AU2958" s="3" t="str">
        <f>IF(Registered!AE2958=0,"",IF(Registered!AE2958=1,Registered!AE2958&amp;" Bandana",Registered!AE2958&amp;" Bandanas"))</f>
        <v/>
      </c>
      <c r="AV2958" s="3">
        <f t="shared" si="140"/>
        <v>0</v>
      </c>
      <c r="AW2958" s="2" t="str">
        <f>IF(Registered!AV2958=0,"",IF(Registered!AV2958=1,Registered!AV2958&amp;" Meal",Registered!AV2958&amp;" Meals"))</f>
        <v/>
      </c>
      <c r="AX2958" s="2" t="str">
        <f>IF(Registered!AI2958=0,"",Registered!AI2958&amp;" BG")</f>
        <v/>
      </c>
      <c r="AY2958" s="2" t="str">
        <f>IF(Registered!AG2958=0,"",Registered!AG2958&amp;" DustMask")</f>
        <v/>
      </c>
    </row>
    <row r="2959" spans="44:51" x14ac:dyDescent="0.25">
      <c r="AR2959" s="3">
        <f t="shared" si="138"/>
        <v>0</v>
      </c>
      <c r="AS2959" s="3">
        <f t="shared" si="139"/>
        <v>0</v>
      </c>
      <c r="AT2959" s="3" t="str">
        <f>IF(OR(Registered!AM2959&gt;0,Registered!AO2959&gt;0),(IF(Registered!E2959=0,"Size Not Specified",Registered!E2959)),"")</f>
        <v/>
      </c>
      <c r="AU2959" s="3" t="str">
        <f>IF(Registered!AE2959=0,"",IF(Registered!AE2959=1,Registered!AE2959&amp;" Bandana",Registered!AE2959&amp;" Bandanas"))</f>
        <v/>
      </c>
      <c r="AV2959" s="3">
        <f t="shared" si="140"/>
        <v>0</v>
      </c>
      <c r="AW2959" s="2" t="str">
        <f>IF(Registered!AV2959=0,"",IF(Registered!AV2959=1,Registered!AV2959&amp;" Meal",Registered!AV2959&amp;" Meals"))</f>
        <v/>
      </c>
      <c r="AX2959" s="2" t="str">
        <f>IF(Registered!AI2959=0,"",Registered!AI2959&amp;" BG")</f>
        <v/>
      </c>
      <c r="AY2959" s="2" t="str">
        <f>IF(Registered!AG2959=0,"",Registered!AG2959&amp;" DustMask")</f>
        <v/>
      </c>
    </row>
    <row r="2960" spans="44:51" x14ac:dyDescent="0.25">
      <c r="AR2960" s="3">
        <f t="shared" si="138"/>
        <v>0</v>
      </c>
      <c r="AS2960" s="3">
        <f t="shared" si="139"/>
        <v>0</v>
      </c>
      <c r="AT2960" s="3" t="str">
        <f>IF(OR(Registered!AM2960&gt;0,Registered!AO2960&gt;0),(IF(Registered!E2960=0,"Size Not Specified",Registered!E2960)),"")</f>
        <v/>
      </c>
      <c r="AU2960" s="3" t="str">
        <f>IF(Registered!AE2960=0,"",IF(Registered!AE2960=1,Registered!AE2960&amp;" Bandana",Registered!AE2960&amp;" Bandanas"))</f>
        <v/>
      </c>
      <c r="AV2960" s="3">
        <f t="shared" si="140"/>
        <v>0</v>
      </c>
      <c r="AW2960" s="2" t="str">
        <f>IF(Registered!AV2960=0,"",IF(Registered!AV2960=1,Registered!AV2960&amp;" Meal",Registered!AV2960&amp;" Meals"))</f>
        <v/>
      </c>
      <c r="AX2960" s="2" t="str">
        <f>IF(Registered!AI2960=0,"",Registered!AI2960&amp;" BG")</f>
        <v/>
      </c>
      <c r="AY2960" s="2" t="str">
        <f>IF(Registered!AG2960=0,"",Registered!AG2960&amp;" DustMask")</f>
        <v/>
      </c>
    </row>
    <row r="2961" spans="44:51" x14ac:dyDescent="0.25">
      <c r="AR2961" s="3">
        <f t="shared" si="138"/>
        <v>0</v>
      </c>
      <c r="AS2961" s="3">
        <f t="shared" si="139"/>
        <v>0</v>
      </c>
      <c r="AT2961" s="3" t="str">
        <f>IF(OR(Registered!AM2961&gt;0,Registered!AO2961&gt;0),(IF(Registered!E2961=0,"Size Not Specified",Registered!E2961)),"")</f>
        <v/>
      </c>
      <c r="AU2961" s="3" t="str">
        <f>IF(Registered!AE2961=0,"",IF(Registered!AE2961=1,Registered!AE2961&amp;" Bandana",Registered!AE2961&amp;" Bandanas"))</f>
        <v/>
      </c>
      <c r="AV2961" s="3">
        <f t="shared" si="140"/>
        <v>0</v>
      </c>
      <c r="AW2961" s="2" t="str">
        <f>IF(Registered!AV2961=0,"",IF(Registered!AV2961=1,Registered!AV2961&amp;" Meal",Registered!AV2961&amp;" Meals"))</f>
        <v/>
      </c>
      <c r="AX2961" s="2" t="str">
        <f>IF(Registered!AI2961=0,"",Registered!AI2961&amp;" BG")</f>
        <v/>
      </c>
      <c r="AY2961" s="2" t="str">
        <f>IF(Registered!AG2961=0,"",Registered!AG2961&amp;" DustMask")</f>
        <v/>
      </c>
    </row>
    <row r="2962" spans="44:51" x14ac:dyDescent="0.25">
      <c r="AR2962" s="3">
        <f t="shared" si="138"/>
        <v>0</v>
      </c>
      <c r="AS2962" s="3">
        <f t="shared" si="139"/>
        <v>0</v>
      </c>
      <c r="AT2962" s="3" t="str">
        <f>IF(OR(Registered!AM2962&gt;0,Registered!AO2962&gt;0),(IF(Registered!E2962=0,"Size Not Specified",Registered!E2962)),"")</f>
        <v/>
      </c>
      <c r="AU2962" s="3" t="str">
        <f>IF(Registered!AE2962=0,"",IF(Registered!AE2962=1,Registered!AE2962&amp;" Bandana",Registered!AE2962&amp;" Bandanas"))</f>
        <v/>
      </c>
      <c r="AV2962" s="3">
        <f t="shared" si="140"/>
        <v>0</v>
      </c>
      <c r="AW2962" s="2" t="str">
        <f>IF(Registered!AV2962=0,"",IF(Registered!AV2962=1,Registered!AV2962&amp;" Meal",Registered!AV2962&amp;" Meals"))</f>
        <v/>
      </c>
      <c r="AX2962" s="2" t="str">
        <f>IF(Registered!AI2962=0,"",Registered!AI2962&amp;" BG")</f>
        <v/>
      </c>
      <c r="AY2962" s="2" t="str">
        <f>IF(Registered!AG2962=0,"",Registered!AG2962&amp;" DustMask")</f>
        <v/>
      </c>
    </row>
    <row r="2963" spans="44:51" x14ac:dyDescent="0.25">
      <c r="AR2963" s="3">
        <f t="shared" si="138"/>
        <v>0</v>
      </c>
      <c r="AS2963" s="3">
        <f t="shared" si="139"/>
        <v>0</v>
      </c>
      <c r="AT2963" s="3" t="str">
        <f>IF(OR(Registered!AM2963&gt;0,Registered!AO2963&gt;0),(IF(Registered!E2963=0,"Size Not Specified",Registered!E2963)),"")</f>
        <v/>
      </c>
      <c r="AU2963" s="3" t="str">
        <f>IF(Registered!AE2963=0,"",IF(Registered!AE2963=1,Registered!AE2963&amp;" Bandana",Registered!AE2963&amp;" Bandanas"))</f>
        <v/>
      </c>
      <c r="AV2963" s="3">
        <f t="shared" si="140"/>
        <v>0</v>
      </c>
      <c r="AW2963" s="2" t="str">
        <f>IF(Registered!AV2963=0,"",IF(Registered!AV2963=1,Registered!AV2963&amp;" Meal",Registered!AV2963&amp;" Meals"))</f>
        <v/>
      </c>
      <c r="AX2963" s="2" t="str">
        <f>IF(Registered!AI2963=0,"",Registered!AI2963&amp;" BG")</f>
        <v/>
      </c>
      <c r="AY2963" s="2" t="str">
        <f>IF(Registered!AG2963=0,"",Registered!AG2963&amp;" DustMask")</f>
        <v/>
      </c>
    </row>
    <row r="2964" spans="44:51" x14ac:dyDescent="0.25">
      <c r="AR2964" s="3">
        <f t="shared" si="138"/>
        <v>0</v>
      </c>
      <c r="AS2964" s="3">
        <f t="shared" si="139"/>
        <v>0</v>
      </c>
      <c r="AT2964" s="3" t="str">
        <f>IF(OR(Registered!AM2964&gt;0,Registered!AO2964&gt;0),(IF(Registered!E2964=0,"Size Not Specified",Registered!E2964)),"")</f>
        <v/>
      </c>
      <c r="AU2964" s="3" t="str">
        <f>IF(Registered!AE2964=0,"",IF(Registered!AE2964=1,Registered!AE2964&amp;" Bandana",Registered!AE2964&amp;" Bandanas"))</f>
        <v/>
      </c>
      <c r="AV2964" s="3">
        <f t="shared" si="140"/>
        <v>0</v>
      </c>
      <c r="AW2964" s="2" t="str">
        <f>IF(Registered!AV2964=0,"",IF(Registered!AV2964=1,Registered!AV2964&amp;" Meal",Registered!AV2964&amp;" Meals"))</f>
        <v/>
      </c>
      <c r="AX2964" s="2" t="str">
        <f>IF(Registered!AI2964=0,"",Registered!AI2964&amp;" BG")</f>
        <v/>
      </c>
      <c r="AY2964" s="2" t="str">
        <f>IF(Registered!AG2964=0,"",Registered!AG2964&amp;" DustMask")</f>
        <v/>
      </c>
    </row>
    <row r="2965" spans="44:51" x14ac:dyDescent="0.25">
      <c r="AR2965" s="3">
        <f t="shared" si="138"/>
        <v>0</v>
      </c>
      <c r="AS2965" s="3">
        <f t="shared" si="139"/>
        <v>0</v>
      </c>
      <c r="AT2965" s="3" t="str">
        <f>IF(OR(Registered!AM2965&gt;0,Registered!AO2965&gt;0),(IF(Registered!E2965=0,"Size Not Specified",Registered!E2965)),"")</f>
        <v/>
      </c>
      <c r="AU2965" s="3" t="str">
        <f>IF(Registered!AE2965=0,"",IF(Registered!AE2965=1,Registered!AE2965&amp;" Bandana",Registered!AE2965&amp;" Bandanas"))</f>
        <v/>
      </c>
      <c r="AV2965" s="3">
        <f t="shared" si="140"/>
        <v>0</v>
      </c>
      <c r="AW2965" s="2" t="str">
        <f>IF(Registered!AV2965=0,"",IF(Registered!AV2965=1,Registered!AV2965&amp;" Meal",Registered!AV2965&amp;" Meals"))</f>
        <v/>
      </c>
      <c r="AX2965" s="2" t="str">
        <f>IF(Registered!AI2965=0,"",Registered!AI2965&amp;" BG")</f>
        <v/>
      </c>
      <c r="AY2965" s="2" t="str">
        <f>IF(Registered!AG2965=0,"",Registered!AG2965&amp;" DustMask")</f>
        <v/>
      </c>
    </row>
    <row r="2966" spans="44:51" x14ac:dyDescent="0.25">
      <c r="AR2966" s="3">
        <f t="shared" si="138"/>
        <v>0</v>
      </c>
      <c r="AS2966" s="3">
        <f t="shared" si="139"/>
        <v>0</v>
      </c>
      <c r="AT2966" s="3" t="str">
        <f>IF(OR(Registered!AM2966&gt;0,Registered!AO2966&gt;0),(IF(Registered!E2966=0,"Size Not Specified",Registered!E2966)),"")</f>
        <v/>
      </c>
      <c r="AU2966" s="3" t="str">
        <f>IF(Registered!AE2966=0,"",IF(Registered!AE2966=1,Registered!AE2966&amp;" Bandana",Registered!AE2966&amp;" Bandanas"))</f>
        <v/>
      </c>
      <c r="AV2966" s="3">
        <f t="shared" si="140"/>
        <v>0</v>
      </c>
      <c r="AW2966" s="2" t="str">
        <f>IF(Registered!AV2966=0,"",IF(Registered!AV2966=1,Registered!AV2966&amp;" Meal",Registered!AV2966&amp;" Meals"))</f>
        <v/>
      </c>
      <c r="AX2966" s="2" t="str">
        <f>IF(Registered!AI2966=0,"",Registered!AI2966&amp;" BG")</f>
        <v/>
      </c>
      <c r="AY2966" s="2" t="str">
        <f>IF(Registered!AG2966=0,"",Registered!AG2966&amp;" DustMask")</f>
        <v/>
      </c>
    </row>
    <row r="2967" spans="44:51" x14ac:dyDescent="0.25">
      <c r="AR2967" s="3">
        <f t="shared" si="138"/>
        <v>0</v>
      </c>
      <c r="AS2967" s="3">
        <f t="shared" si="139"/>
        <v>0</v>
      </c>
      <c r="AT2967" s="3" t="str">
        <f>IF(OR(Registered!AM2967&gt;0,Registered!AO2967&gt;0),(IF(Registered!E2967=0,"Size Not Specified",Registered!E2967)),"")</f>
        <v/>
      </c>
      <c r="AU2967" s="3" t="str">
        <f>IF(Registered!AE2967=0,"",IF(Registered!AE2967=1,Registered!AE2967&amp;" Bandana",Registered!AE2967&amp;" Bandanas"))</f>
        <v/>
      </c>
      <c r="AV2967" s="3">
        <f t="shared" si="140"/>
        <v>0</v>
      </c>
      <c r="AW2967" s="2" t="str">
        <f>IF(Registered!AV2967=0,"",IF(Registered!AV2967=1,Registered!AV2967&amp;" Meal",Registered!AV2967&amp;" Meals"))</f>
        <v/>
      </c>
      <c r="AX2967" s="2" t="str">
        <f>IF(Registered!AI2967=0,"",Registered!AI2967&amp;" BG")</f>
        <v/>
      </c>
      <c r="AY2967" s="2" t="str">
        <f>IF(Registered!AG2967=0,"",Registered!AG2967&amp;" DustMask")</f>
        <v/>
      </c>
    </row>
    <row r="2968" spans="44:51" x14ac:dyDescent="0.25">
      <c r="AR2968" s="3">
        <f t="shared" si="138"/>
        <v>0</v>
      </c>
      <c r="AS2968" s="3">
        <f t="shared" si="139"/>
        <v>0</v>
      </c>
      <c r="AT2968" s="3" t="str">
        <f>IF(OR(Registered!AM2968&gt;0,Registered!AO2968&gt;0),(IF(Registered!E2968=0,"Size Not Specified",Registered!E2968)),"")</f>
        <v/>
      </c>
      <c r="AU2968" s="3" t="str">
        <f>IF(Registered!AE2968=0,"",IF(Registered!AE2968=1,Registered!AE2968&amp;" Bandana",Registered!AE2968&amp;" Bandanas"))</f>
        <v/>
      </c>
      <c r="AV2968" s="3">
        <f t="shared" si="140"/>
        <v>0</v>
      </c>
      <c r="AW2968" s="2" t="str">
        <f>IF(Registered!AV2968=0,"",IF(Registered!AV2968=1,Registered!AV2968&amp;" Meal",Registered!AV2968&amp;" Meals"))</f>
        <v/>
      </c>
      <c r="AX2968" s="2" t="str">
        <f>IF(Registered!AI2968=0,"",Registered!AI2968&amp;" BG")</f>
        <v/>
      </c>
      <c r="AY2968" s="2" t="str">
        <f>IF(Registered!AG2968=0,"",Registered!AG2968&amp;" DustMask")</f>
        <v/>
      </c>
    </row>
    <row r="2969" spans="44:51" x14ac:dyDescent="0.25">
      <c r="AR2969" s="3">
        <f t="shared" si="138"/>
        <v>0</v>
      </c>
      <c r="AS2969" s="3">
        <f t="shared" si="139"/>
        <v>0</v>
      </c>
      <c r="AT2969" s="3" t="str">
        <f>IF(OR(Registered!AM2969&gt;0,Registered!AO2969&gt;0),(IF(Registered!E2969=0,"Size Not Specified",Registered!E2969)),"")</f>
        <v/>
      </c>
      <c r="AU2969" s="3" t="str">
        <f>IF(Registered!AE2969=0,"",IF(Registered!AE2969=1,Registered!AE2969&amp;" Bandana",Registered!AE2969&amp;" Bandanas"))</f>
        <v/>
      </c>
      <c r="AV2969" s="3">
        <f t="shared" si="140"/>
        <v>0</v>
      </c>
      <c r="AW2969" s="2" t="str">
        <f>IF(Registered!AV2969=0,"",IF(Registered!AV2969=1,Registered!AV2969&amp;" Meal",Registered!AV2969&amp;" Meals"))</f>
        <v/>
      </c>
      <c r="AX2969" s="2" t="str">
        <f>IF(Registered!AI2969=0,"",Registered!AI2969&amp;" BG")</f>
        <v/>
      </c>
      <c r="AY2969" s="2" t="str">
        <f>IF(Registered!AG2969=0,"",Registered!AG2969&amp;" DustMask")</f>
        <v/>
      </c>
    </row>
    <row r="2970" spans="44:51" x14ac:dyDescent="0.25">
      <c r="AR2970" s="3">
        <f t="shared" si="138"/>
        <v>0</v>
      </c>
      <c r="AS2970" s="3">
        <f t="shared" si="139"/>
        <v>0</v>
      </c>
      <c r="AT2970" s="3" t="str">
        <f>IF(OR(Registered!AM2970&gt;0,Registered!AO2970&gt;0),(IF(Registered!E2970=0,"Size Not Specified",Registered!E2970)),"")</f>
        <v/>
      </c>
      <c r="AU2970" s="3" t="str">
        <f>IF(Registered!AE2970=0,"",IF(Registered!AE2970=1,Registered!AE2970&amp;" Bandana",Registered!AE2970&amp;" Bandanas"))</f>
        <v/>
      </c>
      <c r="AV2970" s="3">
        <f t="shared" si="140"/>
        <v>0</v>
      </c>
      <c r="AW2970" s="2" t="str">
        <f>IF(Registered!AV2970=0,"",IF(Registered!AV2970=1,Registered!AV2970&amp;" Meal",Registered!AV2970&amp;" Meals"))</f>
        <v/>
      </c>
      <c r="AX2970" s="2" t="str">
        <f>IF(Registered!AI2970=0,"",Registered!AI2970&amp;" BG")</f>
        <v/>
      </c>
      <c r="AY2970" s="2" t="str">
        <f>IF(Registered!AG2970=0,"",Registered!AG2970&amp;" DustMask")</f>
        <v/>
      </c>
    </row>
    <row r="2971" spans="44:51" x14ac:dyDescent="0.25">
      <c r="AR2971" s="3">
        <f t="shared" si="138"/>
        <v>0</v>
      </c>
      <c r="AS2971" s="3">
        <f t="shared" si="139"/>
        <v>0</v>
      </c>
      <c r="AT2971" s="3" t="str">
        <f>IF(OR(Registered!AM2971&gt;0,Registered!AO2971&gt;0),(IF(Registered!E2971=0,"Size Not Specified",Registered!E2971)),"")</f>
        <v/>
      </c>
      <c r="AU2971" s="3" t="str">
        <f>IF(Registered!AE2971=0,"",IF(Registered!AE2971=1,Registered!AE2971&amp;" Bandana",Registered!AE2971&amp;" Bandanas"))</f>
        <v/>
      </c>
      <c r="AV2971" s="3">
        <f t="shared" si="140"/>
        <v>0</v>
      </c>
      <c r="AW2971" s="2" t="str">
        <f>IF(Registered!AV2971=0,"",IF(Registered!AV2971=1,Registered!AV2971&amp;" Meal",Registered!AV2971&amp;" Meals"))</f>
        <v/>
      </c>
      <c r="AX2971" s="2" t="str">
        <f>IF(Registered!AI2971=0,"",Registered!AI2971&amp;" BG")</f>
        <v/>
      </c>
      <c r="AY2971" s="2" t="str">
        <f>IF(Registered!AG2971=0,"",Registered!AG2971&amp;" DustMask")</f>
        <v/>
      </c>
    </row>
    <row r="2972" spans="44:51" x14ac:dyDescent="0.25">
      <c r="AR2972" s="3">
        <f t="shared" si="138"/>
        <v>0</v>
      </c>
      <c r="AS2972" s="3">
        <f t="shared" si="139"/>
        <v>0</v>
      </c>
      <c r="AT2972" s="3" t="str">
        <f>IF(OR(Registered!AM2972&gt;0,Registered!AO2972&gt;0),(IF(Registered!E2972=0,"Size Not Specified",Registered!E2972)),"")</f>
        <v/>
      </c>
      <c r="AU2972" s="3" t="str">
        <f>IF(Registered!AE2972=0,"",IF(Registered!AE2972=1,Registered!AE2972&amp;" Bandana",Registered!AE2972&amp;" Bandanas"))</f>
        <v/>
      </c>
      <c r="AV2972" s="3">
        <f t="shared" si="140"/>
        <v>0</v>
      </c>
      <c r="AW2972" s="2" t="str">
        <f>IF(Registered!AV2972=0,"",IF(Registered!AV2972=1,Registered!AV2972&amp;" Meal",Registered!AV2972&amp;" Meals"))</f>
        <v/>
      </c>
      <c r="AX2972" s="2" t="str">
        <f>IF(Registered!AI2972=0,"",Registered!AI2972&amp;" BG")</f>
        <v/>
      </c>
      <c r="AY2972" s="2" t="str">
        <f>IF(Registered!AG2972=0,"",Registered!AG2972&amp;" DustMask")</f>
        <v/>
      </c>
    </row>
    <row r="2973" spans="44:51" x14ac:dyDescent="0.25">
      <c r="AR2973" s="3">
        <f t="shared" si="138"/>
        <v>0</v>
      </c>
      <c r="AS2973" s="3">
        <f t="shared" si="139"/>
        <v>0</v>
      </c>
      <c r="AT2973" s="3" t="str">
        <f>IF(OR(Registered!AM2973&gt;0,Registered!AO2973&gt;0),(IF(Registered!E2973=0,"Size Not Specified",Registered!E2973)),"")</f>
        <v/>
      </c>
      <c r="AU2973" s="3" t="str">
        <f>IF(Registered!AE2973=0,"",IF(Registered!AE2973=1,Registered!AE2973&amp;" Bandana",Registered!AE2973&amp;" Bandanas"))</f>
        <v/>
      </c>
      <c r="AV2973" s="3">
        <f t="shared" si="140"/>
        <v>0</v>
      </c>
      <c r="AW2973" s="2" t="str">
        <f>IF(Registered!AV2973=0,"",IF(Registered!AV2973=1,Registered!AV2973&amp;" Meal",Registered!AV2973&amp;" Meals"))</f>
        <v/>
      </c>
      <c r="AX2973" s="2" t="str">
        <f>IF(Registered!AI2973=0,"",Registered!AI2973&amp;" BG")</f>
        <v/>
      </c>
      <c r="AY2973" s="2" t="str">
        <f>IF(Registered!AG2973=0,"",Registered!AG2973&amp;" DustMask")</f>
        <v/>
      </c>
    </row>
    <row r="2974" spans="44:51" x14ac:dyDescent="0.25">
      <c r="AR2974" s="3">
        <f t="shared" si="138"/>
        <v>0</v>
      </c>
      <c r="AS2974" s="3">
        <f t="shared" si="139"/>
        <v>0</v>
      </c>
      <c r="AT2974" s="3" t="str">
        <f>IF(OR(Registered!AM2974&gt;0,Registered!AO2974&gt;0),(IF(Registered!E2974=0,"Size Not Specified",Registered!E2974)),"")</f>
        <v/>
      </c>
      <c r="AU2974" s="3" t="str">
        <f>IF(Registered!AE2974=0,"",IF(Registered!AE2974=1,Registered!AE2974&amp;" Bandana",Registered!AE2974&amp;" Bandanas"))</f>
        <v/>
      </c>
      <c r="AV2974" s="3">
        <f t="shared" si="140"/>
        <v>0</v>
      </c>
      <c r="AW2974" s="2" t="str">
        <f>IF(Registered!AV2974=0,"",IF(Registered!AV2974=1,Registered!AV2974&amp;" Meal",Registered!AV2974&amp;" Meals"))</f>
        <v/>
      </c>
      <c r="AX2974" s="2" t="str">
        <f>IF(Registered!AI2974=0,"",Registered!AI2974&amp;" BG")</f>
        <v/>
      </c>
      <c r="AY2974" s="2" t="str">
        <f>IF(Registered!AG2974=0,"",Registered!AG2974&amp;" DustMask")</f>
        <v/>
      </c>
    </row>
    <row r="2975" spans="44:51" x14ac:dyDescent="0.25">
      <c r="AR2975" s="3">
        <f t="shared" si="138"/>
        <v>0</v>
      </c>
      <c r="AS2975" s="3">
        <f t="shared" si="139"/>
        <v>0</v>
      </c>
      <c r="AT2975" s="3" t="str">
        <f>IF(OR(Registered!AM2975&gt;0,Registered!AO2975&gt;0),(IF(Registered!E2975=0,"Size Not Specified",Registered!E2975)),"")</f>
        <v/>
      </c>
      <c r="AU2975" s="3" t="str">
        <f>IF(Registered!AE2975=0,"",IF(Registered!AE2975=1,Registered!AE2975&amp;" Bandana",Registered!AE2975&amp;" Bandanas"))</f>
        <v/>
      </c>
      <c r="AV2975" s="3">
        <f t="shared" si="140"/>
        <v>0</v>
      </c>
      <c r="AW2975" s="2" t="str">
        <f>IF(Registered!AV2975=0,"",IF(Registered!AV2975=1,Registered!AV2975&amp;" Meal",Registered!AV2975&amp;" Meals"))</f>
        <v/>
      </c>
      <c r="AX2975" s="2" t="str">
        <f>IF(Registered!AI2975=0,"",Registered!AI2975&amp;" BG")</f>
        <v/>
      </c>
      <c r="AY2975" s="2" t="str">
        <f>IF(Registered!AG2975=0,"",Registered!AG2975&amp;" DustMask")</f>
        <v/>
      </c>
    </row>
    <row r="2976" spans="44:51" x14ac:dyDescent="0.25">
      <c r="AR2976" s="3">
        <f t="shared" si="138"/>
        <v>0</v>
      </c>
      <c r="AS2976" s="3">
        <f t="shared" si="139"/>
        <v>0</v>
      </c>
      <c r="AT2976" s="3" t="str">
        <f>IF(OR(Registered!AM2976&gt;0,Registered!AO2976&gt;0),(IF(Registered!E2976=0,"Size Not Specified",Registered!E2976)),"")</f>
        <v/>
      </c>
      <c r="AU2976" s="3" t="str">
        <f>IF(Registered!AE2976=0,"",IF(Registered!AE2976=1,Registered!AE2976&amp;" Bandana",Registered!AE2976&amp;" Bandanas"))</f>
        <v/>
      </c>
      <c r="AV2976" s="3">
        <f t="shared" si="140"/>
        <v>0</v>
      </c>
      <c r="AW2976" s="2" t="str">
        <f>IF(Registered!AV2976=0,"",IF(Registered!AV2976=1,Registered!AV2976&amp;" Meal",Registered!AV2976&amp;" Meals"))</f>
        <v/>
      </c>
      <c r="AX2976" s="2" t="str">
        <f>IF(Registered!AI2976=0,"",Registered!AI2976&amp;" BG")</f>
        <v/>
      </c>
      <c r="AY2976" s="2" t="str">
        <f>IF(Registered!AG2976=0,"",Registered!AG2976&amp;" DustMask")</f>
        <v/>
      </c>
    </row>
    <row r="2977" spans="44:51" x14ac:dyDescent="0.25">
      <c r="AR2977" s="3">
        <f t="shared" si="138"/>
        <v>0</v>
      </c>
      <c r="AS2977" s="3">
        <f t="shared" si="139"/>
        <v>0</v>
      </c>
      <c r="AT2977" s="3" t="str">
        <f>IF(OR(Registered!AM2977&gt;0,Registered!AO2977&gt;0),(IF(Registered!E2977=0,"Size Not Specified",Registered!E2977)),"")</f>
        <v/>
      </c>
      <c r="AU2977" s="3" t="str">
        <f>IF(Registered!AE2977=0,"",IF(Registered!AE2977=1,Registered!AE2977&amp;" Bandana",Registered!AE2977&amp;" Bandanas"))</f>
        <v/>
      </c>
      <c r="AV2977" s="3">
        <f t="shared" si="140"/>
        <v>0</v>
      </c>
      <c r="AW2977" s="2" t="str">
        <f>IF(Registered!AV2977=0,"",IF(Registered!AV2977=1,Registered!AV2977&amp;" Meal",Registered!AV2977&amp;" Meals"))</f>
        <v/>
      </c>
      <c r="AX2977" s="2" t="str">
        <f>IF(Registered!AI2977=0,"",Registered!AI2977&amp;" BG")</f>
        <v/>
      </c>
      <c r="AY2977" s="2" t="str">
        <f>IF(Registered!AG2977=0,"",Registered!AG2977&amp;" DustMask")</f>
        <v/>
      </c>
    </row>
    <row r="2978" spans="44:51" x14ac:dyDescent="0.25">
      <c r="AR2978" s="3">
        <f t="shared" si="138"/>
        <v>0</v>
      </c>
      <c r="AS2978" s="3">
        <f t="shared" si="139"/>
        <v>0</v>
      </c>
      <c r="AT2978" s="3" t="str">
        <f>IF(OR(Registered!AM2978&gt;0,Registered!AO2978&gt;0),(IF(Registered!E2978=0,"Size Not Specified",Registered!E2978)),"")</f>
        <v/>
      </c>
      <c r="AU2978" s="3" t="str">
        <f>IF(Registered!AE2978=0,"",IF(Registered!AE2978=1,Registered!AE2978&amp;" Bandana",Registered!AE2978&amp;" Bandanas"))</f>
        <v/>
      </c>
      <c r="AV2978" s="3">
        <f t="shared" si="140"/>
        <v>0</v>
      </c>
      <c r="AW2978" s="2" t="str">
        <f>IF(Registered!AV2978=0,"",IF(Registered!AV2978=1,Registered!AV2978&amp;" Meal",Registered!AV2978&amp;" Meals"))</f>
        <v/>
      </c>
      <c r="AX2978" s="2" t="str">
        <f>IF(Registered!AI2978=0,"",Registered!AI2978&amp;" BG")</f>
        <v/>
      </c>
      <c r="AY2978" s="2" t="str">
        <f>IF(Registered!AG2978=0,"",Registered!AG2978&amp;" DustMask")</f>
        <v/>
      </c>
    </row>
    <row r="2979" spans="44:51" x14ac:dyDescent="0.25">
      <c r="AR2979" s="3">
        <f t="shared" si="138"/>
        <v>0</v>
      </c>
      <c r="AS2979" s="3">
        <f t="shared" si="139"/>
        <v>0</v>
      </c>
      <c r="AT2979" s="3" t="str">
        <f>IF(OR(Registered!AM2979&gt;0,Registered!AO2979&gt;0),(IF(Registered!E2979=0,"Size Not Specified",Registered!E2979)),"")</f>
        <v/>
      </c>
      <c r="AU2979" s="3" t="str">
        <f>IF(Registered!AE2979=0,"",IF(Registered!AE2979=1,Registered!AE2979&amp;" Bandana",Registered!AE2979&amp;" Bandanas"))</f>
        <v/>
      </c>
      <c r="AV2979" s="3">
        <f t="shared" si="140"/>
        <v>0</v>
      </c>
      <c r="AW2979" s="2" t="str">
        <f>IF(Registered!AV2979=0,"",IF(Registered!AV2979=1,Registered!AV2979&amp;" Meal",Registered!AV2979&amp;" Meals"))</f>
        <v/>
      </c>
      <c r="AX2979" s="2" t="str">
        <f>IF(Registered!AI2979=0,"",Registered!AI2979&amp;" BG")</f>
        <v/>
      </c>
      <c r="AY2979" s="2" t="str">
        <f>IF(Registered!AG2979=0,"",Registered!AG2979&amp;" DustMask")</f>
        <v/>
      </c>
    </row>
    <row r="2980" spans="44:51" x14ac:dyDescent="0.25">
      <c r="AR2980" s="3">
        <f t="shared" si="138"/>
        <v>0</v>
      </c>
      <c r="AS2980" s="3">
        <f t="shared" si="139"/>
        <v>0</v>
      </c>
      <c r="AT2980" s="3" t="str">
        <f>IF(OR(Registered!AM2980&gt;0,Registered!AO2980&gt;0),(IF(Registered!E2980=0,"Size Not Specified",Registered!E2980)),"")</f>
        <v/>
      </c>
      <c r="AU2980" s="3" t="str">
        <f>IF(Registered!AE2980=0,"",IF(Registered!AE2980=1,Registered!AE2980&amp;" Bandana",Registered!AE2980&amp;" Bandanas"))</f>
        <v/>
      </c>
      <c r="AV2980" s="3">
        <f t="shared" si="140"/>
        <v>0</v>
      </c>
      <c r="AW2980" s="2" t="str">
        <f>IF(Registered!AV2980=0,"",IF(Registered!AV2980=1,Registered!AV2980&amp;" Meal",Registered!AV2980&amp;" Meals"))</f>
        <v/>
      </c>
      <c r="AX2980" s="2" t="str">
        <f>IF(Registered!AI2980=0,"",Registered!AI2980&amp;" BG")</f>
        <v/>
      </c>
      <c r="AY2980" s="2" t="str">
        <f>IF(Registered!AG2980=0,"",Registered!AG2980&amp;" DustMask")</f>
        <v/>
      </c>
    </row>
    <row r="2981" spans="44:51" x14ac:dyDescent="0.25">
      <c r="AR2981" s="3">
        <f t="shared" si="138"/>
        <v>0</v>
      </c>
      <c r="AS2981" s="3">
        <f t="shared" si="139"/>
        <v>0</v>
      </c>
      <c r="AT2981" s="3" t="str">
        <f>IF(OR(Registered!AM2981&gt;0,Registered!AO2981&gt;0),(IF(Registered!E2981=0,"Size Not Specified",Registered!E2981)),"")</f>
        <v/>
      </c>
      <c r="AU2981" s="3" t="str">
        <f>IF(Registered!AE2981=0,"",IF(Registered!AE2981=1,Registered!AE2981&amp;" Bandana",Registered!AE2981&amp;" Bandanas"))</f>
        <v/>
      </c>
      <c r="AV2981" s="3">
        <f t="shared" si="140"/>
        <v>0</v>
      </c>
      <c r="AW2981" s="2" t="str">
        <f>IF(Registered!AV2981=0,"",IF(Registered!AV2981=1,Registered!AV2981&amp;" Meal",Registered!AV2981&amp;" Meals"))</f>
        <v/>
      </c>
      <c r="AX2981" s="2" t="str">
        <f>IF(Registered!AI2981=0,"",Registered!AI2981&amp;" BG")</f>
        <v/>
      </c>
      <c r="AY2981" s="2" t="str">
        <f>IF(Registered!AG2981=0,"",Registered!AG2981&amp;" DustMask")</f>
        <v/>
      </c>
    </row>
    <row r="2982" spans="44:51" x14ac:dyDescent="0.25">
      <c r="AR2982" s="3">
        <f t="shared" si="138"/>
        <v>0</v>
      </c>
      <c r="AS2982" s="3">
        <f t="shared" si="139"/>
        <v>0</v>
      </c>
      <c r="AT2982" s="3" t="str">
        <f>IF(OR(Registered!AM2982&gt;0,Registered!AO2982&gt;0),(IF(Registered!E2982=0,"Size Not Specified",Registered!E2982)),"")</f>
        <v/>
      </c>
      <c r="AU2982" s="3" t="str">
        <f>IF(Registered!AE2982=0,"",IF(Registered!AE2982=1,Registered!AE2982&amp;" Bandana",Registered!AE2982&amp;" Bandanas"))</f>
        <v/>
      </c>
      <c r="AV2982" s="3">
        <f t="shared" si="140"/>
        <v>0</v>
      </c>
      <c r="AW2982" s="2" t="str">
        <f>IF(Registered!AV2982=0,"",IF(Registered!AV2982=1,Registered!AV2982&amp;" Meal",Registered!AV2982&amp;" Meals"))</f>
        <v/>
      </c>
      <c r="AX2982" s="2" t="str">
        <f>IF(Registered!AI2982=0,"",Registered!AI2982&amp;" BG")</f>
        <v/>
      </c>
      <c r="AY2982" s="2" t="str">
        <f>IF(Registered!AG2982=0,"",Registered!AG2982&amp;" DustMask")</f>
        <v/>
      </c>
    </row>
    <row r="2983" spans="44:51" x14ac:dyDescent="0.25">
      <c r="AR2983" s="3">
        <f t="shared" si="138"/>
        <v>0</v>
      </c>
      <c r="AS2983" s="3">
        <f t="shared" si="139"/>
        <v>0</v>
      </c>
      <c r="AT2983" s="3" t="str">
        <f>IF(OR(Registered!AM2983&gt;0,Registered!AO2983&gt;0),(IF(Registered!E2983=0,"Size Not Specified",Registered!E2983)),"")</f>
        <v/>
      </c>
      <c r="AU2983" s="3" t="str">
        <f>IF(Registered!AE2983=0,"",IF(Registered!AE2983=1,Registered!AE2983&amp;" Bandana",Registered!AE2983&amp;" Bandanas"))</f>
        <v/>
      </c>
      <c r="AV2983" s="3">
        <f t="shared" si="140"/>
        <v>0</v>
      </c>
      <c r="AW2983" s="2" t="str">
        <f>IF(Registered!AV2983=0,"",IF(Registered!AV2983=1,Registered!AV2983&amp;" Meal",Registered!AV2983&amp;" Meals"))</f>
        <v/>
      </c>
      <c r="AX2983" s="2" t="str">
        <f>IF(Registered!AI2983=0,"",Registered!AI2983&amp;" BG")</f>
        <v/>
      </c>
      <c r="AY2983" s="2" t="str">
        <f>IF(Registered!AG2983=0,"",Registered!AG2983&amp;" DustMask")</f>
        <v/>
      </c>
    </row>
    <row r="2984" spans="44:51" x14ac:dyDescent="0.25">
      <c r="AR2984" s="3">
        <f t="shared" si="138"/>
        <v>0</v>
      </c>
      <c r="AS2984" s="3">
        <f t="shared" si="139"/>
        <v>0</v>
      </c>
      <c r="AT2984" s="3" t="str">
        <f>IF(OR(Registered!AM2984&gt;0,Registered!AO2984&gt;0),(IF(Registered!E2984=0,"Size Not Specified",Registered!E2984)),"")</f>
        <v/>
      </c>
      <c r="AU2984" s="3" t="str">
        <f>IF(Registered!AE2984=0,"",IF(Registered!AE2984=1,Registered!AE2984&amp;" Bandana",Registered!AE2984&amp;" Bandanas"))</f>
        <v/>
      </c>
      <c r="AV2984" s="3">
        <f t="shared" si="140"/>
        <v>0</v>
      </c>
      <c r="AW2984" s="2" t="str">
        <f>IF(Registered!AV2984=0,"",IF(Registered!AV2984=1,Registered!AV2984&amp;" Meal",Registered!AV2984&amp;" Meals"))</f>
        <v/>
      </c>
      <c r="AX2984" s="2" t="str">
        <f>IF(Registered!AI2984=0,"",Registered!AI2984&amp;" BG")</f>
        <v/>
      </c>
      <c r="AY2984" s="2" t="str">
        <f>IF(Registered!AG2984=0,"",Registered!AG2984&amp;" DustMask")</f>
        <v/>
      </c>
    </row>
    <row r="2985" spans="44:51" x14ac:dyDescent="0.25">
      <c r="AR2985" s="3">
        <f t="shared" si="138"/>
        <v>0</v>
      </c>
      <c r="AS2985" s="3">
        <f t="shared" si="139"/>
        <v>0</v>
      </c>
      <c r="AT2985" s="3" t="str">
        <f>IF(OR(Registered!AM2985&gt;0,Registered!AO2985&gt;0),(IF(Registered!E2985=0,"Size Not Specified",Registered!E2985)),"")</f>
        <v/>
      </c>
      <c r="AU2985" s="3" t="str">
        <f>IF(Registered!AE2985=0,"",IF(Registered!AE2985=1,Registered!AE2985&amp;" Bandana",Registered!AE2985&amp;" Bandanas"))</f>
        <v/>
      </c>
      <c r="AV2985" s="3">
        <f t="shared" si="140"/>
        <v>0</v>
      </c>
      <c r="AW2985" s="2" t="str">
        <f>IF(Registered!AV2985=0,"",IF(Registered!AV2985=1,Registered!AV2985&amp;" Meal",Registered!AV2985&amp;" Meals"))</f>
        <v/>
      </c>
      <c r="AX2985" s="2" t="str">
        <f>IF(Registered!AI2985=0,"",Registered!AI2985&amp;" BG")</f>
        <v/>
      </c>
      <c r="AY2985" s="2" t="str">
        <f>IF(Registered!AG2985=0,"",Registered!AG2985&amp;" DustMask")</f>
        <v/>
      </c>
    </row>
    <row r="2986" spans="44:51" x14ac:dyDescent="0.25">
      <c r="AR2986" s="3">
        <f t="shared" si="138"/>
        <v>0</v>
      </c>
      <c r="AS2986" s="3">
        <f t="shared" si="139"/>
        <v>0</v>
      </c>
      <c r="AT2986" s="3" t="str">
        <f>IF(OR(Registered!AM2986&gt;0,Registered!AO2986&gt;0),(IF(Registered!E2986=0,"Size Not Specified",Registered!E2986)),"")</f>
        <v/>
      </c>
      <c r="AU2986" s="3" t="str">
        <f>IF(Registered!AE2986=0,"",IF(Registered!AE2986=1,Registered!AE2986&amp;" Bandana",Registered!AE2986&amp;" Bandanas"))</f>
        <v/>
      </c>
      <c r="AV2986" s="3">
        <f t="shared" si="140"/>
        <v>0</v>
      </c>
      <c r="AW2986" s="2" t="str">
        <f>IF(Registered!AV2986=0,"",IF(Registered!AV2986=1,Registered!AV2986&amp;" Meal",Registered!AV2986&amp;" Meals"))</f>
        <v/>
      </c>
      <c r="AX2986" s="2" t="str">
        <f>IF(Registered!AI2986=0,"",Registered!AI2986&amp;" BG")</f>
        <v/>
      </c>
      <c r="AY2986" s="2" t="str">
        <f>IF(Registered!AG2986=0,"",Registered!AG2986&amp;" DustMask")</f>
        <v/>
      </c>
    </row>
    <row r="2987" spans="44:51" x14ac:dyDescent="0.25">
      <c r="AR2987" s="3">
        <f t="shared" si="138"/>
        <v>0</v>
      </c>
      <c r="AS2987" s="3">
        <f t="shared" si="139"/>
        <v>0</v>
      </c>
      <c r="AT2987" s="3" t="str">
        <f>IF(OR(Registered!AM2987&gt;0,Registered!AO2987&gt;0),(IF(Registered!E2987=0,"Size Not Specified",Registered!E2987)),"")</f>
        <v/>
      </c>
      <c r="AU2987" s="3" t="str">
        <f>IF(Registered!AE2987=0,"",IF(Registered!AE2987=1,Registered!AE2987&amp;" Bandana",Registered!AE2987&amp;" Bandanas"))</f>
        <v/>
      </c>
      <c r="AV2987" s="3">
        <f t="shared" si="140"/>
        <v>0</v>
      </c>
      <c r="AW2987" s="2" t="str">
        <f>IF(Registered!AV2987=0,"",IF(Registered!AV2987=1,Registered!AV2987&amp;" Meal",Registered!AV2987&amp;" Meals"))</f>
        <v/>
      </c>
      <c r="AX2987" s="2" t="str">
        <f>IF(Registered!AI2987=0,"",Registered!AI2987&amp;" BG")</f>
        <v/>
      </c>
      <c r="AY2987" s="2" t="str">
        <f>IF(Registered!AG2987=0,"",Registered!AG2987&amp;" DustMask")</f>
        <v/>
      </c>
    </row>
    <row r="2988" spans="44:51" x14ac:dyDescent="0.25">
      <c r="AR2988" s="3">
        <f t="shared" si="138"/>
        <v>0</v>
      </c>
      <c r="AS2988" s="3">
        <f t="shared" si="139"/>
        <v>0</v>
      </c>
      <c r="AT2988" s="3" t="str">
        <f>IF(OR(Registered!AM2988&gt;0,Registered!AO2988&gt;0),(IF(Registered!E2988=0,"Size Not Specified",Registered!E2988)),"")</f>
        <v/>
      </c>
      <c r="AU2988" s="3" t="str">
        <f>IF(Registered!AE2988=0,"",IF(Registered!AE2988=1,Registered!AE2988&amp;" Bandana",Registered!AE2988&amp;" Bandanas"))</f>
        <v/>
      </c>
      <c r="AV2988" s="3">
        <f t="shared" si="140"/>
        <v>0</v>
      </c>
      <c r="AW2988" s="2" t="str">
        <f>IF(Registered!AV2988=0,"",IF(Registered!AV2988=1,Registered!AV2988&amp;" Meal",Registered!AV2988&amp;" Meals"))</f>
        <v/>
      </c>
      <c r="AX2988" s="2" t="str">
        <f>IF(Registered!AI2988=0,"",Registered!AI2988&amp;" BG")</f>
        <v/>
      </c>
      <c r="AY2988" s="2" t="str">
        <f>IF(Registered!AG2988=0,"",Registered!AG2988&amp;" DustMask")</f>
        <v/>
      </c>
    </row>
    <row r="2989" spans="44:51" x14ac:dyDescent="0.25">
      <c r="AR2989" s="3">
        <f t="shared" si="138"/>
        <v>0</v>
      </c>
      <c r="AS2989" s="3">
        <f t="shared" si="139"/>
        <v>0</v>
      </c>
      <c r="AT2989" s="3" t="str">
        <f>IF(OR(Registered!AM2989&gt;0,Registered!AO2989&gt;0),(IF(Registered!E2989=0,"Size Not Specified",Registered!E2989)),"")</f>
        <v/>
      </c>
      <c r="AU2989" s="3" t="str">
        <f>IF(Registered!AE2989=0,"",IF(Registered!AE2989=1,Registered!AE2989&amp;" Bandana",Registered!AE2989&amp;" Bandanas"))</f>
        <v/>
      </c>
      <c r="AV2989" s="3">
        <f t="shared" si="140"/>
        <v>0</v>
      </c>
      <c r="AW2989" s="2" t="str">
        <f>IF(Registered!AV2989=0,"",IF(Registered!AV2989=1,Registered!AV2989&amp;" Meal",Registered!AV2989&amp;" Meals"))</f>
        <v/>
      </c>
      <c r="AX2989" s="2" t="str">
        <f>IF(Registered!AI2989=0,"",Registered!AI2989&amp;" BG")</f>
        <v/>
      </c>
      <c r="AY2989" s="2" t="str">
        <f>IF(Registered!AG2989=0,"",Registered!AG2989&amp;" DustMask")</f>
        <v/>
      </c>
    </row>
    <row r="2990" spans="44:51" x14ac:dyDescent="0.25">
      <c r="AR2990" s="3">
        <f t="shared" si="138"/>
        <v>0</v>
      </c>
      <c r="AS2990" s="3">
        <f t="shared" si="139"/>
        <v>0</v>
      </c>
      <c r="AT2990" s="3" t="str">
        <f>IF(OR(Registered!AM2990&gt;0,Registered!AO2990&gt;0),(IF(Registered!E2990=0,"Size Not Specified",Registered!E2990)),"")</f>
        <v/>
      </c>
      <c r="AU2990" s="3" t="str">
        <f>IF(Registered!AE2990=0,"",IF(Registered!AE2990=1,Registered!AE2990&amp;" Bandana",Registered!AE2990&amp;" Bandanas"))</f>
        <v/>
      </c>
      <c r="AV2990" s="3">
        <f t="shared" si="140"/>
        <v>0</v>
      </c>
      <c r="AW2990" s="2" t="str">
        <f>IF(Registered!AV2990=0,"",IF(Registered!AV2990=1,Registered!AV2990&amp;" Meal",Registered!AV2990&amp;" Meals"))</f>
        <v/>
      </c>
      <c r="AX2990" s="2" t="str">
        <f>IF(Registered!AI2990=0,"",Registered!AI2990&amp;" BG")</f>
        <v/>
      </c>
      <c r="AY2990" s="2" t="str">
        <f>IF(Registered!AG2990=0,"",Registered!AG2990&amp;" DustMask")</f>
        <v/>
      </c>
    </row>
    <row r="2991" spans="44:51" x14ac:dyDescent="0.25">
      <c r="AR2991" s="3">
        <f t="shared" si="138"/>
        <v>0</v>
      </c>
      <c r="AS2991" s="3">
        <f t="shared" si="139"/>
        <v>0</v>
      </c>
      <c r="AT2991" s="3" t="str">
        <f>IF(OR(Registered!AM2991&gt;0,Registered!AO2991&gt;0),(IF(Registered!E2991=0,"Size Not Specified",Registered!E2991)),"")</f>
        <v/>
      </c>
      <c r="AU2991" s="3" t="str">
        <f>IF(Registered!AE2991=0,"",IF(Registered!AE2991=1,Registered!AE2991&amp;" Bandana",Registered!AE2991&amp;" Bandanas"))</f>
        <v/>
      </c>
      <c r="AV2991" s="3">
        <f t="shared" si="140"/>
        <v>0</v>
      </c>
      <c r="AW2991" s="2" t="str">
        <f>IF(Registered!AV2991=0,"",IF(Registered!AV2991=1,Registered!AV2991&amp;" Meal",Registered!AV2991&amp;" Meals"))</f>
        <v/>
      </c>
      <c r="AX2991" s="2" t="str">
        <f>IF(Registered!AI2991=0,"",Registered!AI2991&amp;" BG")</f>
        <v/>
      </c>
      <c r="AY2991" s="2" t="str">
        <f>IF(Registered!AG2991=0,"",Registered!AG2991&amp;" DustMask")</f>
        <v/>
      </c>
    </row>
    <row r="2992" spans="44:51" x14ac:dyDescent="0.25">
      <c r="AR2992" s="3">
        <f t="shared" si="138"/>
        <v>0</v>
      </c>
      <c r="AS2992" s="3">
        <f t="shared" si="139"/>
        <v>0</v>
      </c>
      <c r="AT2992" s="3" t="str">
        <f>IF(OR(Registered!AM2992&gt;0,Registered!AO2992&gt;0),(IF(Registered!E2992=0,"Size Not Specified",Registered!E2992)),"")</f>
        <v/>
      </c>
      <c r="AU2992" s="3" t="str">
        <f>IF(Registered!AE2992=0,"",IF(Registered!AE2992=1,Registered!AE2992&amp;" Bandana",Registered!AE2992&amp;" Bandanas"))</f>
        <v/>
      </c>
      <c r="AV2992" s="3">
        <f t="shared" si="140"/>
        <v>0</v>
      </c>
      <c r="AW2992" s="2" t="str">
        <f>IF(Registered!AV2992=0,"",IF(Registered!AV2992=1,Registered!AV2992&amp;" Meal",Registered!AV2992&amp;" Meals"))</f>
        <v/>
      </c>
      <c r="AX2992" s="2" t="str">
        <f>IF(Registered!AI2992=0,"",Registered!AI2992&amp;" BG")</f>
        <v/>
      </c>
      <c r="AY2992" s="2" t="str">
        <f>IF(Registered!AG2992=0,"",Registered!AG2992&amp;" DustMask")</f>
        <v/>
      </c>
    </row>
    <row r="2993" spans="44:51" x14ac:dyDescent="0.25">
      <c r="AR2993" s="3">
        <f t="shared" si="138"/>
        <v>0</v>
      </c>
      <c r="AS2993" s="3">
        <f t="shared" si="139"/>
        <v>0</v>
      </c>
      <c r="AT2993" s="3" t="str">
        <f>IF(OR(Registered!AM2993&gt;0,Registered!AO2993&gt;0),(IF(Registered!E2993=0,"Size Not Specified",Registered!E2993)),"")</f>
        <v/>
      </c>
      <c r="AU2993" s="3" t="str">
        <f>IF(Registered!AE2993=0,"",IF(Registered!AE2993=1,Registered!AE2993&amp;" Bandana",Registered!AE2993&amp;" Bandanas"))</f>
        <v/>
      </c>
      <c r="AV2993" s="3">
        <f t="shared" si="140"/>
        <v>0</v>
      </c>
      <c r="AW2993" s="2" t="str">
        <f>IF(Registered!AV2993=0,"",IF(Registered!AV2993=1,Registered!AV2993&amp;" Meal",Registered!AV2993&amp;" Meals"))</f>
        <v/>
      </c>
      <c r="AX2993" s="2" t="str">
        <f>IF(Registered!AI2993=0,"",Registered!AI2993&amp;" BG")</f>
        <v/>
      </c>
      <c r="AY2993" s="2" t="str">
        <f>IF(Registered!AG2993=0,"",Registered!AG2993&amp;" DustMask")</f>
        <v/>
      </c>
    </row>
    <row r="2994" spans="44:51" x14ac:dyDescent="0.25">
      <c r="AR2994" s="3">
        <f t="shared" si="138"/>
        <v>0</v>
      </c>
      <c r="AS2994" s="3">
        <f t="shared" si="139"/>
        <v>0</v>
      </c>
      <c r="AT2994" s="3" t="str">
        <f>IF(OR(Registered!AM2994&gt;0,Registered!AO2994&gt;0),(IF(Registered!E2994=0,"Size Not Specified",Registered!E2994)),"")</f>
        <v/>
      </c>
      <c r="AU2994" s="3" t="str">
        <f>IF(Registered!AE2994=0,"",IF(Registered!AE2994=1,Registered!AE2994&amp;" Bandana",Registered!AE2994&amp;" Bandanas"))</f>
        <v/>
      </c>
      <c r="AV2994" s="3">
        <f t="shared" si="140"/>
        <v>0</v>
      </c>
      <c r="AW2994" s="2" t="str">
        <f>IF(Registered!AV2994=0,"",IF(Registered!AV2994=1,Registered!AV2994&amp;" Meal",Registered!AV2994&amp;" Meals"))</f>
        <v/>
      </c>
      <c r="AX2994" s="2" t="str">
        <f>IF(Registered!AI2994=0,"",Registered!AI2994&amp;" BG")</f>
        <v/>
      </c>
      <c r="AY2994" s="2" t="str">
        <f>IF(Registered!AG2994=0,"",Registered!AG2994&amp;" DustMask")</f>
        <v/>
      </c>
    </row>
    <row r="2995" spans="44:51" x14ac:dyDescent="0.25">
      <c r="AR2995" s="3">
        <f t="shared" si="138"/>
        <v>0</v>
      </c>
      <c r="AS2995" s="3">
        <f t="shared" si="139"/>
        <v>0</v>
      </c>
      <c r="AT2995" s="3" t="str">
        <f>IF(OR(Registered!AM2995&gt;0,Registered!AO2995&gt;0),(IF(Registered!E2995=0,"Size Not Specified",Registered!E2995)),"")</f>
        <v/>
      </c>
      <c r="AU2995" s="3" t="str">
        <f>IF(Registered!AE2995=0,"",IF(Registered!AE2995=1,Registered!AE2995&amp;" Bandana",Registered!AE2995&amp;" Bandanas"))</f>
        <v/>
      </c>
      <c r="AV2995" s="3">
        <f t="shared" si="140"/>
        <v>0</v>
      </c>
      <c r="AW2995" s="2" t="str">
        <f>IF(Registered!AV2995=0,"",IF(Registered!AV2995=1,Registered!AV2995&amp;" Meal",Registered!AV2995&amp;" Meals"))</f>
        <v/>
      </c>
      <c r="AX2995" s="2" t="str">
        <f>IF(Registered!AI2995=0,"",Registered!AI2995&amp;" BG")</f>
        <v/>
      </c>
      <c r="AY2995" s="2" t="str">
        <f>IF(Registered!AG2995=0,"",Registered!AG2995&amp;" DustMask")</f>
        <v/>
      </c>
    </row>
    <row r="2996" spans="44:51" x14ac:dyDescent="0.25">
      <c r="AR2996" s="3">
        <f t="shared" si="138"/>
        <v>0</v>
      </c>
      <c r="AS2996" s="3">
        <f t="shared" si="139"/>
        <v>0</v>
      </c>
      <c r="AT2996" s="3" t="str">
        <f>IF(OR(Registered!AM2996&gt;0,Registered!AO2996&gt;0),(IF(Registered!E2996=0,"Size Not Specified",Registered!E2996)),"")</f>
        <v/>
      </c>
      <c r="AU2996" s="3" t="str">
        <f>IF(Registered!AE2996=0,"",IF(Registered!AE2996=1,Registered!AE2996&amp;" Bandana",Registered!AE2996&amp;" Bandanas"))</f>
        <v/>
      </c>
      <c r="AV2996" s="3">
        <f t="shared" si="140"/>
        <v>0</v>
      </c>
      <c r="AW2996" s="2" t="str">
        <f>IF(Registered!AV2996=0,"",IF(Registered!AV2996=1,Registered!AV2996&amp;" Meal",Registered!AV2996&amp;" Meals"))</f>
        <v/>
      </c>
      <c r="AX2996" s="2" t="str">
        <f>IF(Registered!AI2996=0,"",Registered!AI2996&amp;" BG")</f>
        <v/>
      </c>
      <c r="AY2996" s="2" t="str">
        <f>IF(Registered!AG2996=0,"",Registered!AG2996&amp;" DustMask")</f>
        <v/>
      </c>
    </row>
    <row r="2997" spans="44:51" x14ac:dyDescent="0.25">
      <c r="AR2997" s="3">
        <f t="shared" si="138"/>
        <v>0</v>
      </c>
      <c r="AS2997" s="3">
        <f t="shared" si="139"/>
        <v>0</v>
      </c>
      <c r="AT2997" s="3" t="str">
        <f>IF(OR(Registered!AM2997&gt;0,Registered!AO2997&gt;0),(IF(Registered!E2997=0,"Size Not Specified",Registered!E2997)),"")</f>
        <v/>
      </c>
      <c r="AU2997" s="3" t="str">
        <f>IF(Registered!AE2997=0,"",IF(Registered!AE2997=1,Registered!AE2997&amp;" Bandana",Registered!AE2997&amp;" Bandanas"))</f>
        <v/>
      </c>
      <c r="AV2997" s="3">
        <f t="shared" si="140"/>
        <v>0</v>
      </c>
      <c r="AW2997" s="2" t="str">
        <f>IF(Registered!AV2997=0,"",IF(Registered!AV2997=1,Registered!AV2997&amp;" Meal",Registered!AV2997&amp;" Meals"))</f>
        <v/>
      </c>
      <c r="AX2997" s="2" t="str">
        <f>IF(Registered!AI2997=0,"",Registered!AI2997&amp;" BG")</f>
        <v/>
      </c>
      <c r="AY2997" s="2" t="str">
        <f>IF(Registered!AG2997=0,"",Registered!AG2997&amp;" DustMask")</f>
        <v/>
      </c>
    </row>
    <row r="2998" spans="44:51" x14ac:dyDescent="0.25">
      <c r="AR2998" s="3">
        <f t="shared" si="138"/>
        <v>0</v>
      </c>
      <c r="AS2998" s="3">
        <f t="shared" si="139"/>
        <v>0</v>
      </c>
      <c r="AT2998" s="3" t="str">
        <f>IF(OR(Registered!AM2998&gt;0,Registered!AO2998&gt;0),(IF(Registered!E2998=0,"Size Not Specified",Registered!E2998)),"")</f>
        <v/>
      </c>
      <c r="AU2998" s="3" t="str">
        <f>IF(Registered!AE2998=0,"",IF(Registered!AE2998=1,Registered!AE2998&amp;" Bandana",Registered!AE2998&amp;" Bandanas"))</f>
        <v/>
      </c>
      <c r="AV2998" s="3">
        <f t="shared" si="140"/>
        <v>0</v>
      </c>
      <c r="AW2998" s="2" t="str">
        <f>IF(Registered!AV2998=0,"",IF(Registered!AV2998=1,Registered!AV2998&amp;" Meal",Registered!AV2998&amp;" Meals"))</f>
        <v/>
      </c>
      <c r="AX2998" s="2" t="str">
        <f>IF(Registered!AI2998=0,"",Registered!AI2998&amp;" BG")</f>
        <v/>
      </c>
      <c r="AY2998" s="2" t="str">
        <f>IF(Registered!AG2998=0,"",Registered!AG2998&amp;" DustMask")</f>
        <v/>
      </c>
    </row>
    <row r="2999" spans="44:51" x14ac:dyDescent="0.25">
      <c r="AR2999" s="3">
        <f t="shared" si="138"/>
        <v>0</v>
      </c>
      <c r="AS2999" s="3">
        <f t="shared" si="139"/>
        <v>0</v>
      </c>
      <c r="AT2999" s="3" t="str">
        <f>IF(OR(Registered!AM2999&gt;0,Registered!AO2999&gt;0),(IF(Registered!E2999=0,"Size Not Specified",Registered!E2999)),"")</f>
        <v/>
      </c>
      <c r="AU2999" s="3" t="str">
        <f>IF(Registered!AE2999=0,"",IF(Registered!AE2999=1,Registered!AE2999&amp;" Bandana",Registered!AE2999&amp;" Bandanas"))</f>
        <v/>
      </c>
      <c r="AV2999" s="3">
        <f t="shared" si="140"/>
        <v>0</v>
      </c>
      <c r="AW2999" s="2" t="str">
        <f>IF(Registered!AV2999=0,"",IF(Registered!AV2999=1,Registered!AV2999&amp;" Meal",Registered!AV2999&amp;" Meals"))</f>
        <v/>
      </c>
      <c r="AX2999" s="2" t="str">
        <f>IF(Registered!AI2999=0,"",Registered!AI2999&amp;" BG")</f>
        <v/>
      </c>
      <c r="AY2999" s="2" t="str">
        <f>IF(Registered!AG2999=0,"",Registered!AG2999&amp;" DustMask")</f>
        <v/>
      </c>
    </row>
    <row r="3000" spans="44:51" x14ac:dyDescent="0.25">
      <c r="AR3000" s="3">
        <f t="shared" si="138"/>
        <v>0</v>
      </c>
      <c r="AS3000" s="3">
        <f t="shared" si="139"/>
        <v>0</v>
      </c>
      <c r="AT3000" s="3" t="str">
        <f>IF(OR(Registered!AM3000&gt;0,Registered!AO3000&gt;0),(IF(Registered!E3000=0,"Size Not Specified",Registered!E3000)),"")</f>
        <v/>
      </c>
      <c r="AU3000" s="3" t="str">
        <f>IF(Registered!AE3000=0,"",IF(Registered!AE3000=1,Registered!AE3000&amp;" Bandana",Registered!AE3000&amp;" Bandanas"))</f>
        <v/>
      </c>
      <c r="AV3000" s="3">
        <f t="shared" si="140"/>
        <v>0</v>
      </c>
      <c r="AW3000" s="2" t="str">
        <f>IF(Registered!AV3000=0,"",IF(Registered!AV3000=1,Registered!AV3000&amp;" Meal",Registered!AV3000&amp;" Meals"))</f>
        <v/>
      </c>
      <c r="AX3000" s="2" t="str">
        <f>IF(Registered!AI3000=0,"",Registered!AI3000&amp;" BG")</f>
        <v/>
      </c>
      <c r="AY3000" s="2" t="str">
        <f>IF(Registered!AG3000=0,"",Registered!AG3000&amp;" DustMask")</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Q453"/>
  <sheetViews>
    <sheetView workbookViewId="0">
      <selection activeCell="C2" sqref="C2:C453"/>
    </sheetView>
  </sheetViews>
  <sheetFormatPr defaultRowHeight="15" x14ac:dyDescent="0.25"/>
  <sheetData>
    <row r="1" spans="1:43" s="1" customFormat="1" x14ac:dyDescent="0.25">
      <c r="A1" s="5" t="s">
        <v>0</v>
      </c>
      <c r="B1" s="5" t="s">
        <v>1</v>
      </c>
      <c r="C1" s="5" t="s">
        <v>2</v>
      </c>
      <c r="D1" s="5" t="s">
        <v>3</v>
      </c>
      <c r="E1" s="5" t="s">
        <v>539</v>
      </c>
      <c r="F1" s="5" t="s">
        <v>540</v>
      </c>
      <c r="G1" s="5" t="s">
        <v>4</v>
      </c>
      <c r="H1" s="5" t="s">
        <v>5</v>
      </c>
      <c r="I1" s="5" t="s">
        <v>6</v>
      </c>
      <c r="J1" s="5" t="s">
        <v>7</v>
      </c>
      <c r="K1" s="5" t="s">
        <v>8</v>
      </c>
      <c r="L1" s="5" t="s">
        <v>9</v>
      </c>
      <c r="M1" s="5" t="s">
        <v>10</v>
      </c>
      <c r="N1" s="5" t="s">
        <v>11</v>
      </c>
      <c r="O1" s="5" t="s">
        <v>12</v>
      </c>
      <c r="P1" s="5" t="s">
        <v>13</v>
      </c>
      <c r="Q1" s="5" t="s">
        <v>14</v>
      </c>
      <c r="R1" s="5" t="s">
        <v>15</v>
      </c>
      <c r="S1" s="5" t="s">
        <v>303</v>
      </c>
      <c r="T1" s="5" t="s">
        <v>304</v>
      </c>
      <c r="U1" s="5" t="s">
        <v>16</v>
      </c>
      <c r="V1" s="5" t="s">
        <v>17</v>
      </c>
      <c r="W1" s="5" t="s">
        <v>18</v>
      </c>
      <c r="X1" s="5" t="s">
        <v>19</v>
      </c>
      <c r="Y1" s="5" t="s">
        <v>20</v>
      </c>
      <c r="Z1" s="5" t="s">
        <v>21</v>
      </c>
      <c r="AA1" s="5" t="s">
        <v>22</v>
      </c>
      <c r="AB1" s="5" t="s">
        <v>23</v>
      </c>
      <c r="AC1" s="5" t="s">
        <v>24</v>
      </c>
      <c r="AD1" s="5" t="s">
        <v>25</v>
      </c>
      <c r="AE1" s="5" t="s">
        <v>542</v>
      </c>
      <c r="AF1" s="5" t="s">
        <v>530</v>
      </c>
      <c r="AG1" s="5" t="s">
        <v>541</v>
      </c>
      <c r="AH1" s="5" t="s">
        <v>543</v>
      </c>
      <c r="AI1" s="5" t="s">
        <v>544</v>
      </c>
      <c r="AJ1" s="5" t="s">
        <v>545</v>
      </c>
      <c r="AK1" s="5" t="s">
        <v>546</v>
      </c>
      <c r="AL1" s="5" t="s">
        <v>547</v>
      </c>
      <c r="AM1" s="5" t="s">
        <v>26</v>
      </c>
      <c r="AN1" s="5" t="s">
        <v>27</v>
      </c>
      <c r="AO1" s="5" t="s">
        <v>28</v>
      </c>
      <c r="AP1" s="5" t="s">
        <v>29</v>
      </c>
      <c r="AQ1" s="5" t="s">
        <v>30</v>
      </c>
    </row>
    <row r="2" spans="1:43" x14ac:dyDescent="0.25">
      <c r="A2" t="s">
        <v>553</v>
      </c>
      <c r="B2" t="s">
        <v>554</v>
      </c>
      <c r="G2" t="s">
        <v>105</v>
      </c>
      <c r="H2" t="s">
        <v>428</v>
      </c>
      <c r="I2" t="s">
        <v>555</v>
      </c>
      <c r="J2" t="s">
        <v>33</v>
      </c>
      <c r="K2" t="s">
        <v>34</v>
      </c>
      <c r="L2" t="s">
        <v>35</v>
      </c>
      <c r="AQ2">
        <v>0</v>
      </c>
    </row>
    <row r="3" spans="1:43" x14ac:dyDescent="0.25">
      <c r="A3" t="s">
        <v>556</v>
      </c>
      <c r="B3" t="s">
        <v>554</v>
      </c>
      <c r="G3" t="s">
        <v>105</v>
      </c>
      <c r="H3" t="s">
        <v>428</v>
      </c>
      <c r="I3" t="s">
        <v>555</v>
      </c>
      <c r="J3" t="s">
        <v>33</v>
      </c>
      <c r="K3" t="s">
        <v>34</v>
      </c>
      <c r="L3" t="s">
        <v>35</v>
      </c>
      <c r="AQ3">
        <v>0</v>
      </c>
    </row>
    <row r="4" spans="1:43" x14ac:dyDescent="0.25">
      <c r="A4" t="s">
        <v>237</v>
      </c>
      <c r="B4" t="s">
        <v>3526</v>
      </c>
      <c r="D4" t="s">
        <v>3527</v>
      </c>
      <c r="F4" t="s">
        <v>261</v>
      </c>
      <c r="I4" t="s">
        <v>3528</v>
      </c>
      <c r="J4" t="s">
        <v>33</v>
      </c>
      <c r="K4" t="s">
        <v>34</v>
      </c>
      <c r="L4" t="s">
        <v>35</v>
      </c>
      <c r="Q4">
        <v>4</v>
      </c>
      <c r="R4">
        <v>3</v>
      </c>
      <c r="AC4">
        <v>1</v>
      </c>
      <c r="AD4">
        <v>10</v>
      </c>
      <c r="AG4">
        <v>2</v>
      </c>
      <c r="AH4">
        <v>1</v>
      </c>
      <c r="AQ4">
        <v>24</v>
      </c>
    </row>
    <row r="5" spans="1:43" x14ac:dyDescent="0.25">
      <c r="A5" t="s">
        <v>2667</v>
      </c>
      <c r="B5" t="s">
        <v>427</v>
      </c>
      <c r="G5" t="s">
        <v>352</v>
      </c>
      <c r="H5" t="s">
        <v>2668</v>
      </c>
      <c r="I5" t="s">
        <v>2669</v>
      </c>
      <c r="J5" t="s">
        <v>37</v>
      </c>
      <c r="K5" t="s">
        <v>752</v>
      </c>
      <c r="L5" t="s">
        <v>35</v>
      </c>
      <c r="AQ5">
        <v>0</v>
      </c>
    </row>
    <row r="6" spans="1:43" x14ac:dyDescent="0.25">
      <c r="A6" t="s">
        <v>2585</v>
      </c>
      <c r="B6" t="s">
        <v>2678</v>
      </c>
      <c r="D6" t="s">
        <v>2679</v>
      </c>
      <c r="F6" t="s">
        <v>261</v>
      </c>
      <c r="I6" t="s">
        <v>2680</v>
      </c>
      <c r="J6" t="s">
        <v>33</v>
      </c>
      <c r="K6" t="s">
        <v>34</v>
      </c>
      <c r="L6" t="s">
        <v>35</v>
      </c>
      <c r="Q6">
        <v>1</v>
      </c>
      <c r="R6">
        <v>3</v>
      </c>
      <c r="U6">
        <v>1</v>
      </c>
      <c r="V6">
        <v>20</v>
      </c>
      <c r="AQ6">
        <v>23</v>
      </c>
    </row>
    <row r="7" spans="1:43" x14ac:dyDescent="0.25">
      <c r="A7" t="s">
        <v>100</v>
      </c>
      <c r="B7" t="s">
        <v>51</v>
      </c>
      <c r="D7" t="s">
        <v>2683</v>
      </c>
      <c r="F7" t="s">
        <v>261</v>
      </c>
      <c r="I7" t="s">
        <v>2684</v>
      </c>
      <c r="J7" t="s">
        <v>33</v>
      </c>
      <c r="K7" t="s">
        <v>34</v>
      </c>
      <c r="L7" t="s">
        <v>35</v>
      </c>
      <c r="Q7">
        <v>2</v>
      </c>
      <c r="R7">
        <v>3</v>
      </c>
      <c r="U7">
        <v>1</v>
      </c>
      <c r="V7">
        <v>20</v>
      </c>
      <c r="AQ7">
        <v>26</v>
      </c>
    </row>
    <row r="8" spans="1:43" x14ac:dyDescent="0.25">
      <c r="A8" t="s">
        <v>603</v>
      </c>
      <c r="B8" t="s">
        <v>51</v>
      </c>
      <c r="D8" t="s">
        <v>604</v>
      </c>
      <c r="I8" t="s">
        <v>605</v>
      </c>
      <c r="J8" t="s">
        <v>33</v>
      </c>
      <c r="K8" t="s">
        <v>34</v>
      </c>
      <c r="L8" t="s">
        <v>35</v>
      </c>
      <c r="O8">
        <v>1</v>
      </c>
      <c r="P8">
        <v>3</v>
      </c>
      <c r="AQ8">
        <v>3</v>
      </c>
    </row>
    <row r="9" spans="1:43" x14ac:dyDescent="0.25">
      <c r="A9" t="s">
        <v>418</v>
      </c>
      <c r="B9" t="s">
        <v>51</v>
      </c>
      <c r="G9" t="s">
        <v>100</v>
      </c>
      <c r="H9" t="s">
        <v>51</v>
      </c>
      <c r="I9" t="s">
        <v>2684</v>
      </c>
      <c r="J9" t="s">
        <v>33</v>
      </c>
      <c r="K9" t="s">
        <v>34</v>
      </c>
      <c r="L9" t="s">
        <v>35</v>
      </c>
      <c r="AQ9">
        <v>0</v>
      </c>
    </row>
    <row r="10" spans="1:43" x14ac:dyDescent="0.25">
      <c r="A10" t="s">
        <v>614</v>
      </c>
      <c r="B10" t="s">
        <v>606</v>
      </c>
      <c r="F10" t="s">
        <v>261</v>
      </c>
      <c r="I10" t="s">
        <v>615</v>
      </c>
      <c r="J10" t="s">
        <v>33</v>
      </c>
      <c r="K10" t="s">
        <v>34</v>
      </c>
      <c r="L10" t="s">
        <v>35</v>
      </c>
      <c r="S10">
        <v>2</v>
      </c>
      <c r="T10">
        <v>3</v>
      </c>
      <c r="AC10">
        <v>1</v>
      </c>
      <c r="AD10">
        <v>10</v>
      </c>
      <c r="AQ10">
        <v>16</v>
      </c>
    </row>
    <row r="11" spans="1:43" x14ac:dyDescent="0.25">
      <c r="A11" t="s">
        <v>2685</v>
      </c>
      <c r="B11" t="s">
        <v>2686</v>
      </c>
      <c r="I11" t="s">
        <v>3572</v>
      </c>
      <c r="J11" t="s">
        <v>33</v>
      </c>
      <c r="K11" t="s">
        <v>34</v>
      </c>
      <c r="L11" t="s">
        <v>35</v>
      </c>
      <c r="Q11">
        <v>1</v>
      </c>
      <c r="R11">
        <v>3</v>
      </c>
      <c r="AC11">
        <v>1</v>
      </c>
      <c r="AD11">
        <v>10</v>
      </c>
      <c r="AQ11">
        <v>13</v>
      </c>
    </row>
    <row r="12" spans="1:43" x14ac:dyDescent="0.25">
      <c r="A12" t="s">
        <v>102</v>
      </c>
      <c r="B12" t="s">
        <v>619</v>
      </c>
      <c r="D12" t="s">
        <v>622</v>
      </c>
      <c r="F12" t="s">
        <v>261</v>
      </c>
      <c r="I12" t="s">
        <v>623</v>
      </c>
      <c r="J12" t="s">
        <v>33</v>
      </c>
      <c r="K12" t="s">
        <v>34</v>
      </c>
      <c r="L12" t="s">
        <v>35</v>
      </c>
      <c r="S12">
        <v>1</v>
      </c>
      <c r="T12">
        <v>3</v>
      </c>
      <c r="AQ12">
        <v>3</v>
      </c>
    </row>
    <row r="13" spans="1:43" x14ac:dyDescent="0.25">
      <c r="A13" t="s">
        <v>393</v>
      </c>
      <c r="B13" t="s">
        <v>628</v>
      </c>
      <c r="G13" t="s">
        <v>3579</v>
      </c>
      <c r="H13" t="s">
        <v>3580</v>
      </c>
      <c r="I13" t="s">
        <v>3581</v>
      </c>
      <c r="J13" t="s">
        <v>33</v>
      </c>
      <c r="K13" t="s">
        <v>34</v>
      </c>
      <c r="L13" t="s">
        <v>35</v>
      </c>
      <c r="AQ13">
        <v>0</v>
      </c>
    </row>
    <row r="14" spans="1:43" x14ac:dyDescent="0.25">
      <c r="A14" t="s">
        <v>639</v>
      </c>
      <c r="B14" t="s">
        <v>628</v>
      </c>
      <c r="F14" t="s">
        <v>261</v>
      </c>
      <c r="I14" t="s">
        <v>640</v>
      </c>
      <c r="J14" t="s">
        <v>33</v>
      </c>
      <c r="K14" t="s">
        <v>34</v>
      </c>
      <c r="L14" t="s">
        <v>35</v>
      </c>
      <c r="S14">
        <v>2</v>
      </c>
      <c r="T14">
        <v>3</v>
      </c>
      <c r="U14">
        <v>1</v>
      </c>
      <c r="V14">
        <v>20</v>
      </c>
      <c r="AQ14">
        <v>26</v>
      </c>
    </row>
    <row r="15" spans="1:43" x14ac:dyDescent="0.25">
      <c r="A15" t="s">
        <v>266</v>
      </c>
      <c r="B15" t="s">
        <v>628</v>
      </c>
      <c r="G15" t="s">
        <v>3597</v>
      </c>
      <c r="H15" t="s">
        <v>1091</v>
      </c>
      <c r="I15" t="s">
        <v>3598</v>
      </c>
      <c r="J15" t="s">
        <v>33</v>
      </c>
      <c r="K15" t="s">
        <v>34</v>
      </c>
      <c r="L15" t="s">
        <v>35</v>
      </c>
      <c r="AQ15">
        <v>0</v>
      </c>
    </row>
    <row r="16" spans="1:43" x14ac:dyDescent="0.25">
      <c r="A16" t="s">
        <v>418</v>
      </c>
      <c r="B16" t="s">
        <v>628</v>
      </c>
      <c r="D16" t="s">
        <v>650</v>
      </c>
      <c r="I16" t="s">
        <v>651</v>
      </c>
      <c r="J16" t="s">
        <v>33</v>
      </c>
      <c r="K16" t="s">
        <v>34</v>
      </c>
      <c r="L16" t="s">
        <v>35</v>
      </c>
      <c r="O16">
        <v>1</v>
      </c>
      <c r="P16">
        <v>3</v>
      </c>
      <c r="U16">
        <v>1</v>
      </c>
      <c r="V16">
        <v>20</v>
      </c>
      <c r="AQ16">
        <v>23</v>
      </c>
    </row>
    <row r="17" spans="1:43" x14ac:dyDescent="0.25">
      <c r="A17" t="s">
        <v>3609</v>
      </c>
      <c r="B17" t="s">
        <v>3610</v>
      </c>
      <c r="D17" t="s">
        <v>3611</v>
      </c>
      <c r="F17" t="s">
        <v>261</v>
      </c>
      <c r="I17" t="s">
        <v>3612</v>
      </c>
      <c r="J17" t="s">
        <v>33</v>
      </c>
      <c r="K17" t="s">
        <v>34</v>
      </c>
      <c r="L17" t="s">
        <v>35</v>
      </c>
      <c r="Q17">
        <v>2</v>
      </c>
      <c r="R17">
        <v>3</v>
      </c>
      <c r="AQ17">
        <v>6</v>
      </c>
    </row>
    <row r="18" spans="1:43" x14ac:dyDescent="0.25">
      <c r="A18" t="s">
        <v>3616</v>
      </c>
      <c r="B18" t="s">
        <v>3617</v>
      </c>
      <c r="G18" t="s">
        <v>2055</v>
      </c>
      <c r="H18" t="s">
        <v>3618</v>
      </c>
      <c r="I18" t="s">
        <v>3619</v>
      </c>
      <c r="J18" t="s">
        <v>33</v>
      </c>
      <c r="K18" t="s">
        <v>34</v>
      </c>
      <c r="L18" t="s">
        <v>35</v>
      </c>
      <c r="AQ18">
        <v>0</v>
      </c>
    </row>
    <row r="19" spans="1:43" x14ac:dyDescent="0.25">
      <c r="A19" t="s">
        <v>2706</v>
      </c>
      <c r="B19" t="s">
        <v>662</v>
      </c>
      <c r="G19" t="s">
        <v>2707</v>
      </c>
      <c r="H19" t="s">
        <v>2708</v>
      </c>
      <c r="I19" t="s">
        <v>2709</v>
      </c>
      <c r="J19" t="s">
        <v>33</v>
      </c>
      <c r="K19" t="s">
        <v>34</v>
      </c>
      <c r="L19" t="s">
        <v>35</v>
      </c>
      <c r="AQ19">
        <v>0</v>
      </c>
    </row>
    <row r="20" spans="1:43" x14ac:dyDescent="0.25">
      <c r="A20" t="s">
        <v>471</v>
      </c>
      <c r="B20" t="s">
        <v>69</v>
      </c>
      <c r="G20" t="s">
        <v>3656</v>
      </c>
      <c r="H20" t="s">
        <v>3657</v>
      </c>
      <c r="I20" t="s">
        <v>3658</v>
      </c>
      <c r="J20" t="s">
        <v>33</v>
      </c>
      <c r="K20" t="s">
        <v>34</v>
      </c>
      <c r="L20" t="s">
        <v>35</v>
      </c>
      <c r="AQ20">
        <v>0</v>
      </c>
    </row>
    <row r="21" spans="1:43" x14ac:dyDescent="0.25">
      <c r="A21" t="s">
        <v>691</v>
      </c>
      <c r="B21" t="s">
        <v>72</v>
      </c>
      <c r="D21" t="s">
        <v>691</v>
      </c>
      <c r="F21" t="s">
        <v>261</v>
      </c>
      <c r="I21" t="s">
        <v>692</v>
      </c>
      <c r="J21" t="s">
        <v>33</v>
      </c>
      <c r="K21" t="s">
        <v>34</v>
      </c>
      <c r="L21" t="s">
        <v>35</v>
      </c>
      <c r="S21">
        <v>2</v>
      </c>
      <c r="T21">
        <v>3</v>
      </c>
      <c r="AC21">
        <v>1</v>
      </c>
      <c r="AD21">
        <v>10</v>
      </c>
      <c r="AQ21">
        <v>16</v>
      </c>
    </row>
    <row r="22" spans="1:43" x14ac:dyDescent="0.25">
      <c r="A22" t="s">
        <v>159</v>
      </c>
      <c r="B22" t="s">
        <v>693</v>
      </c>
      <c r="G22" t="s">
        <v>614</v>
      </c>
      <c r="H22" t="s">
        <v>606</v>
      </c>
      <c r="I22" t="s">
        <v>615</v>
      </c>
      <c r="J22" t="s">
        <v>33</v>
      </c>
      <c r="K22" t="s">
        <v>34</v>
      </c>
      <c r="L22" t="s">
        <v>35</v>
      </c>
      <c r="AQ22">
        <v>0</v>
      </c>
    </row>
    <row r="23" spans="1:43" x14ac:dyDescent="0.25">
      <c r="A23" t="s">
        <v>2714</v>
      </c>
      <c r="B23" t="s">
        <v>73</v>
      </c>
      <c r="G23" t="s">
        <v>2715</v>
      </c>
      <c r="H23" t="s">
        <v>183</v>
      </c>
      <c r="I23" t="s">
        <v>2716</v>
      </c>
      <c r="J23" t="s">
        <v>33</v>
      </c>
      <c r="K23" t="s">
        <v>34</v>
      </c>
      <c r="L23" t="s">
        <v>35</v>
      </c>
      <c r="AQ23">
        <v>0</v>
      </c>
    </row>
    <row r="24" spans="1:43" x14ac:dyDescent="0.25">
      <c r="A24" t="s">
        <v>701</v>
      </c>
      <c r="B24" t="s">
        <v>702</v>
      </c>
      <c r="G24" t="s">
        <v>703</v>
      </c>
      <c r="H24" t="s">
        <v>704</v>
      </c>
      <c r="I24" t="s">
        <v>705</v>
      </c>
      <c r="J24" t="s">
        <v>33</v>
      </c>
      <c r="K24" t="s">
        <v>34</v>
      </c>
      <c r="L24" t="s">
        <v>35</v>
      </c>
      <c r="AQ24">
        <v>0</v>
      </c>
    </row>
    <row r="25" spans="1:43" x14ac:dyDescent="0.25">
      <c r="A25" t="s">
        <v>714</v>
      </c>
      <c r="B25" t="s">
        <v>313</v>
      </c>
      <c r="G25" t="s">
        <v>715</v>
      </c>
      <c r="H25" t="s">
        <v>477</v>
      </c>
      <c r="I25" t="s">
        <v>716</v>
      </c>
      <c r="J25" t="s">
        <v>33</v>
      </c>
      <c r="K25" t="s">
        <v>34</v>
      </c>
      <c r="L25" t="s">
        <v>35</v>
      </c>
      <c r="AQ25">
        <v>0</v>
      </c>
    </row>
    <row r="26" spans="1:43" x14ac:dyDescent="0.25">
      <c r="A26" t="s">
        <v>1575</v>
      </c>
      <c r="B26" t="s">
        <v>3692</v>
      </c>
      <c r="D26" t="s">
        <v>1575</v>
      </c>
      <c r="F26" t="s">
        <v>261</v>
      </c>
      <c r="I26" t="s">
        <v>3693</v>
      </c>
      <c r="J26" t="s">
        <v>33</v>
      </c>
      <c r="K26" t="s">
        <v>34</v>
      </c>
      <c r="L26" t="s">
        <v>35</v>
      </c>
      <c r="Q26">
        <v>2</v>
      </c>
      <c r="R26">
        <v>3</v>
      </c>
      <c r="U26">
        <v>1</v>
      </c>
      <c r="V26">
        <v>20</v>
      </c>
      <c r="AQ26">
        <v>26</v>
      </c>
    </row>
    <row r="27" spans="1:43" x14ac:dyDescent="0.25">
      <c r="A27" t="s">
        <v>742</v>
      </c>
      <c r="B27" t="s">
        <v>743</v>
      </c>
      <c r="G27" t="s">
        <v>744</v>
      </c>
      <c r="H27" t="s">
        <v>745</v>
      </c>
      <c r="I27" t="s">
        <v>746</v>
      </c>
      <c r="J27" t="s">
        <v>33</v>
      </c>
      <c r="K27" t="s">
        <v>34</v>
      </c>
      <c r="L27" t="s">
        <v>35</v>
      </c>
      <c r="AQ27">
        <v>0</v>
      </c>
    </row>
    <row r="28" spans="1:43" x14ac:dyDescent="0.25">
      <c r="A28" t="s">
        <v>81</v>
      </c>
      <c r="B28" t="s">
        <v>82</v>
      </c>
      <c r="G28" t="s">
        <v>83</v>
      </c>
      <c r="H28" t="s">
        <v>82</v>
      </c>
      <c r="I28" t="s">
        <v>751</v>
      </c>
      <c r="J28" t="s">
        <v>37</v>
      </c>
      <c r="K28" t="s">
        <v>752</v>
      </c>
      <c r="L28" t="s">
        <v>35</v>
      </c>
      <c r="AQ28">
        <v>0</v>
      </c>
    </row>
    <row r="29" spans="1:43" x14ac:dyDescent="0.25">
      <c r="A29" t="s">
        <v>83</v>
      </c>
      <c r="B29" t="s">
        <v>82</v>
      </c>
      <c r="D29" t="s">
        <v>753</v>
      </c>
      <c r="E29" t="s">
        <v>754</v>
      </c>
      <c r="I29" t="s">
        <v>751</v>
      </c>
      <c r="J29" t="s">
        <v>37</v>
      </c>
      <c r="K29" t="s">
        <v>752</v>
      </c>
      <c r="L29" t="s">
        <v>35</v>
      </c>
      <c r="O29">
        <v>2</v>
      </c>
      <c r="P29">
        <v>3</v>
      </c>
      <c r="W29">
        <v>1</v>
      </c>
      <c r="X29">
        <v>40</v>
      </c>
      <c r="AM29">
        <v>2</v>
      </c>
      <c r="AN29">
        <v>25</v>
      </c>
      <c r="AQ29">
        <v>96</v>
      </c>
    </row>
    <row r="30" spans="1:43" x14ac:dyDescent="0.25">
      <c r="A30" t="s">
        <v>2739</v>
      </c>
      <c r="B30" t="s">
        <v>2740</v>
      </c>
      <c r="D30" t="s">
        <v>2741</v>
      </c>
      <c r="E30" t="s">
        <v>53</v>
      </c>
      <c r="F30" t="s">
        <v>261</v>
      </c>
      <c r="I30" t="s">
        <v>2742</v>
      </c>
      <c r="J30" t="s">
        <v>33</v>
      </c>
      <c r="K30" t="s">
        <v>34</v>
      </c>
      <c r="L30" t="s">
        <v>35</v>
      </c>
      <c r="Q30">
        <v>1</v>
      </c>
      <c r="R30">
        <v>3</v>
      </c>
      <c r="AC30">
        <v>1</v>
      </c>
      <c r="AD30">
        <v>10</v>
      </c>
      <c r="AQ30">
        <v>13</v>
      </c>
    </row>
    <row r="31" spans="1:43" x14ac:dyDescent="0.25">
      <c r="A31" t="s">
        <v>71</v>
      </c>
      <c r="B31" t="s">
        <v>2744</v>
      </c>
      <c r="G31" t="s">
        <v>2715</v>
      </c>
      <c r="H31" t="s">
        <v>183</v>
      </c>
      <c r="I31" t="s">
        <v>2716</v>
      </c>
      <c r="J31" t="s">
        <v>33</v>
      </c>
      <c r="K31" t="s">
        <v>34</v>
      </c>
      <c r="L31" t="s">
        <v>35</v>
      </c>
      <c r="AQ31">
        <v>0</v>
      </c>
    </row>
    <row r="32" spans="1:43" x14ac:dyDescent="0.25">
      <c r="A32" t="s">
        <v>509</v>
      </c>
      <c r="B32" t="s">
        <v>795</v>
      </c>
      <c r="G32" t="s">
        <v>393</v>
      </c>
      <c r="H32" t="s">
        <v>796</v>
      </c>
      <c r="I32" t="s">
        <v>797</v>
      </c>
      <c r="J32" t="s">
        <v>33</v>
      </c>
      <c r="K32" t="s">
        <v>34</v>
      </c>
      <c r="L32" t="s">
        <v>35</v>
      </c>
      <c r="AQ32">
        <v>0</v>
      </c>
    </row>
    <row r="33" spans="1:43" x14ac:dyDescent="0.25">
      <c r="A33" t="s">
        <v>581</v>
      </c>
      <c r="B33" t="s">
        <v>3733</v>
      </c>
      <c r="G33" t="s">
        <v>3734</v>
      </c>
      <c r="H33" t="s">
        <v>3735</v>
      </c>
      <c r="I33" t="s">
        <v>3736</v>
      </c>
      <c r="J33" t="s">
        <v>33</v>
      </c>
      <c r="K33" t="s">
        <v>34</v>
      </c>
      <c r="L33" t="s">
        <v>35</v>
      </c>
      <c r="AQ33">
        <v>0</v>
      </c>
    </row>
    <row r="34" spans="1:43" x14ac:dyDescent="0.25">
      <c r="A34" t="s">
        <v>581</v>
      </c>
      <c r="B34" t="s">
        <v>3733</v>
      </c>
      <c r="D34" t="s">
        <v>3737</v>
      </c>
      <c r="F34" t="s">
        <v>261</v>
      </c>
      <c r="I34" t="s">
        <v>3738</v>
      </c>
      <c r="J34" t="s">
        <v>33</v>
      </c>
      <c r="K34" t="s">
        <v>366</v>
      </c>
      <c r="L34" t="s">
        <v>35</v>
      </c>
      <c r="Q34">
        <v>2</v>
      </c>
      <c r="R34">
        <v>3</v>
      </c>
      <c r="AC34">
        <v>1</v>
      </c>
      <c r="AD34">
        <v>10</v>
      </c>
      <c r="AK34">
        <v>2</v>
      </c>
      <c r="AL34">
        <v>6</v>
      </c>
      <c r="AQ34">
        <v>28</v>
      </c>
    </row>
    <row r="35" spans="1:43" x14ac:dyDescent="0.25">
      <c r="A35" t="s">
        <v>3747</v>
      </c>
      <c r="B35" t="s">
        <v>3748</v>
      </c>
      <c r="G35" t="s">
        <v>3749</v>
      </c>
      <c r="H35" t="s">
        <v>472</v>
      </c>
      <c r="I35" t="s">
        <v>3750</v>
      </c>
      <c r="J35" t="s">
        <v>33</v>
      </c>
      <c r="K35" t="s">
        <v>34</v>
      </c>
      <c r="L35" t="s">
        <v>35</v>
      </c>
      <c r="AQ35">
        <v>0</v>
      </c>
    </row>
    <row r="36" spans="1:43" x14ac:dyDescent="0.25">
      <c r="A36" t="s">
        <v>3772</v>
      </c>
      <c r="B36" t="s">
        <v>3773</v>
      </c>
      <c r="D36" t="s">
        <v>3774</v>
      </c>
      <c r="F36" t="s">
        <v>261</v>
      </c>
      <c r="I36" t="s">
        <v>3775</v>
      </c>
      <c r="J36" t="s">
        <v>33</v>
      </c>
      <c r="K36" t="s">
        <v>34</v>
      </c>
      <c r="L36" t="s">
        <v>35</v>
      </c>
      <c r="Q36">
        <v>2</v>
      </c>
      <c r="R36">
        <v>3</v>
      </c>
      <c r="AQ36">
        <v>6</v>
      </c>
    </row>
    <row r="37" spans="1:43" x14ac:dyDescent="0.25">
      <c r="A37" t="s">
        <v>808</v>
      </c>
      <c r="B37" t="s">
        <v>809</v>
      </c>
      <c r="D37" t="s">
        <v>810</v>
      </c>
      <c r="I37" t="s">
        <v>811</v>
      </c>
      <c r="J37" t="s">
        <v>33</v>
      </c>
      <c r="K37" t="s">
        <v>34</v>
      </c>
      <c r="L37" t="s">
        <v>35</v>
      </c>
      <c r="O37">
        <v>1</v>
      </c>
      <c r="P37">
        <v>3</v>
      </c>
      <c r="AQ37">
        <v>3</v>
      </c>
    </row>
    <row r="38" spans="1:43" x14ac:dyDescent="0.25">
      <c r="A38" t="s">
        <v>2760</v>
      </c>
      <c r="B38" t="s">
        <v>2761</v>
      </c>
      <c r="D38" t="s">
        <v>296</v>
      </c>
      <c r="F38" t="s">
        <v>261</v>
      </c>
      <c r="I38" t="s">
        <v>2762</v>
      </c>
      <c r="J38" t="s">
        <v>33</v>
      </c>
      <c r="K38" t="s">
        <v>34</v>
      </c>
      <c r="L38" t="s">
        <v>35</v>
      </c>
      <c r="Q38">
        <v>1</v>
      </c>
      <c r="R38">
        <v>3</v>
      </c>
      <c r="AC38">
        <v>1</v>
      </c>
      <c r="AD38">
        <v>10</v>
      </c>
      <c r="AQ38">
        <v>13</v>
      </c>
    </row>
    <row r="39" spans="1:43" x14ac:dyDescent="0.25">
      <c r="A39" t="s">
        <v>820</v>
      </c>
      <c r="B39" t="s">
        <v>821</v>
      </c>
      <c r="D39" t="s">
        <v>820</v>
      </c>
      <c r="I39" t="s">
        <v>822</v>
      </c>
      <c r="J39" t="s">
        <v>33</v>
      </c>
      <c r="K39" t="s">
        <v>34</v>
      </c>
      <c r="L39" t="s">
        <v>35</v>
      </c>
      <c r="O39">
        <v>5</v>
      </c>
      <c r="P39">
        <v>3</v>
      </c>
      <c r="U39">
        <v>1</v>
      </c>
      <c r="V39">
        <v>20</v>
      </c>
      <c r="AQ39">
        <v>35</v>
      </c>
    </row>
    <row r="40" spans="1:43" x14ac:dyDescent="0.25">
      <c r="A40" t="s">
        <v>3814</v>
      </c>
      <c r="B40" t="s">
        <v>3815</v>
      </c>
      <c r="G40" t="s">
        <v>79</v>
      </c>
      <c r="H40" t="s">
        <v>3816</v>
      </c>
      <c r="I40" t="s">
        <v>3817</v>
      </c>
      <c r="J40" t="s">
        <v>33</v>
      </c>
      <c r="K40" t="s">
        <v>34</v>
      </c>
      <c r="L40" t="s">
        <v>35</v>
      </c>
      <c r="AQ40">
        <v>0</v>
      </c>
    </row>
    <row r="41" spans="1:43" x14ac:dyDescent="0.25">
      <c r="A41" t="s">
        <v>137</v>
      </c>
      <c r="B41" t="s">
        <v>3818</v>
      </c>
      <c r="D41" t="s">
        <v>3819</v>
      </c>
      <c r="E41" t="s">
        <v>3820</v>
      </c>
      <c r="F41" t="s">
        <v>261</v>
      </c>
      <c r="I41" t="s">
        <v>3821</v>
      </c>
      <c r="J41" t="s">
        <v>33</v>
      </c>
      <c r="K41" t="s">
        <v>34</v>
      </c>
      <c r="L41" t="s">
        <v>35</v>
      </c>
      <c r="Q41">
        <v>2</v>
      </c>
      <c r="R41">
        <v>3</v>
      </c>
      <c r="AC41">
        <v>2</v>
      </c>
      <c r="AD41">
        <v>10</v>
      </c>
      <c r="AK41">
        <v>2</v>
      </c>
      <c r="AL41">
        <v>6</v>
      </c>
      <c r="AQ41">
        <v>38</v>
      </c>
    </row>
    <row r="42" spans="1:43" x14ac:dyDescent="0.25">
      <c r="A42" t="s">
        <v>1040</v>
      </c>
      <c r="B42" t="s">
        <v>2775</v>
      </c>
      <c r="G42" t="s">
        <v>1575</v>
      </c>
      <c r="H42" t="s">
        <v>3692</v>
      </c>
      <c r="I42" t="s">
        <v>3693</v>
      </c>
      <c r="J42" t="s">
        <v>33</v>
      </c>
      <c r="K42" t="s">
        <v>34</v>
      </c>
      <c r="L42" t="s">
        <v>35</v>
      </c>
      <c r="AQ42">
        <v>0</v>
      </c>
    </row>
    <row r="43" spans="1:43" x14ac:dyDescent="0.25">
      <c r="A43" t="s">
        <v>874</v>
      </c>
      <c r="B43" t="s">
        <v>875</v>
      </c>
      <c r="D43" t="s">
        <v>878</v>
      </c>
      <c r="F43" t="s">
        <v>261</v>
      </c>
      <c r="I43" t="s">
        <v>879</v>
      </c>
      <c r="J43" t="s">
        <v>33</v>
      </c>
      <c r="K43" t="s">
        <v>34</v>
      </c>
      <c r="L43" t="s">
        <v>35</v>
      </c>
      <c r="S43">
        <v>2</v>
      </c>
      <c r="T43">
        <v>3</v>
      </c>
      <c r="U43">
        <v>1</v>
      </c>
      <c r="V43">
        <v>20</v>
      </c>
      <c r="AQ43">
        <v>26</v>
      </c>
    </row>
    <row r="44" spans="1:43" x14ac:dyDescent="0.25">
      <c r="A44" t="s">
        <v>46</v>
      </c>
      <c r="B44" t="s">
        <v>883</v>
      </c>
      <c r="G44" t="s">
        <v>277</v>
      </c>
      <c r="H44" t="s">
        <v>183</v>
      </c>
      <c r="I44" t="s">
        <v>884</v>
      </c>
      <c r="J44" t="s">
        <v>33</v>
      </c>
      <c r="K44" t="s">
        <v>34</v>
      </c>
      <c r="L44" t="s">
        <v>35</v>
      </c>
      <c r="AQ44">
        <v>0</v>
      </c>
    </row>
    <row r="45" spans="1:43" x14ac:dyDescent="0.25">
      <c r="A45" t="s">
        <v>62</v>
      </c>
      <c r="B45" t="s">
        <v>885</v>
      </c>
      <c r="G45" t="s">
        <v>886</v>
      </c>
      <c r="H45" t="s">
        <v>154</v>
      </c>
      <c r="I45" t="s">
        <v>887</v>
      </c>
      <c r="J45" t="s">
        <v>33</v>
      </c>
      <c r="K45" t="s">
        <v>34</v>
      </c>
      <c r="L45" t="s">
        <v>35</v>
      </c>
      <c r="AQ45">
        <v>0</v>
      </c>
    </row>
    <row r="46" spans="1:43" x14ac:dyDescent="0.25">
      <c r="A46" t="s">
        <v>94</v>
      </c>
      <c r="B46" t="s">
        <v>885</v>
      </c>
      <c r="D46" t="s">
        <v>888</v>
      </c>
      <c r="F46" t="s">
        <v>261</v>
      </c>
      <c r="I46" t="s">
        <v>889</v>
      </c>
      <c r="J46" t="s">
        <v>33</v>
      </c>
      <c r="K46" t="s">
        <v>34</v>
      </c>
      <c r="L46" t="s">
        <v>35</v>
      </c>
      <c r="S46">
        <v>2</v>
      </c>
      <c r="T46">
        <v>3</v>
      </c>
      <c r="U46">
        <v>1</v>
      </c>
      <c r="V46">
        <v>20</v>
      </c>
      <c r="AQ46">
        <v>26</v>
      </c>
    </row>
    <row r="47" spans="1:43" x14ac:dyDescent="0.25">
      <c r="A47" t="s">
        <v>890</v>
      </c>
      <c r="B47" t="s">
        <v>891</v>
      </c>
      <c r="D47" t="s">
        <v>892</v>
      </c>
      <c r="F47" t="s">
        <v>261</v>
      </c>
      <c r="I47" t="s">
        <v>893</v>
      </c>
      <c r="J47" t="s">
        <v>33</v>
      </c>
      <c r="K47" t="s">
        <v>34</v>
      </c>
      <c r="L47" t="s">
        <v>35</v>
      </c>
      <c r="S47">
        <v>2</v>
      </c>
      <c r="T47">
        <v>3</v>
      </c>
      <c r="AC47">
        <v>1</v>
      </c>
      <c r="AD47">
        <v>10</v>
      </c>
      <c r="AQ47">
        <v>16</v>
      </c>
    </row>
    <row r="48" spans="1:43" x14ac:dyDescent="0.25">
      <c r="A48" t="s">
        <v>393</v>
      </c>
      <c r="B48" t="s">
        <v>894</v>
      </c>
      <c r="F48" t="s">
        <v>261</v>
      </c>
      <c r="I48" t="s">
        <v>895</v>
      </c>
      <c r="J48" t="s">
        <v>33</v>
      </c>
      <c r="K48" t="s">
        <v>34</v>
      </c>
      <c r="L48" t="s">
        <v>35</v>
      </c>
      <c r="S48">
        <v>1</v>
      </c>
      <c r="T48">
        <v>3</v>
      </c>
      <c r="AC48">
        <v>1</v>
      </c>
      <c r="AD48">
        <v>10</v>
      </c>
      <c r="AQ48">
        <v>13</v>
      </c>
    </row>
    <row r="49" spans="1:43" x14ac:dyDescent="0.25">
      <c r="A49" t="s">
        <v>3856</v>
      </c>
      <c r="B49" t="s">
        <v>896</v>
      </c>
      <c r="F49" t="s">
        <v>261</v>
      </c>
      <c r="I49" t="s">
        <v>3863</v>
      </c>
      <c r="J49" t="s">
        <v>33</v>
      </c>
      <c r="K49" t="s">
        <v>34</v>
      </c>
      <c r="L49" t="s">
        <v>35</v>
      </c>
      <c r="Q49">
        <v>1</v>
      </c>
      <c r="R49">
        <v>3</v>
      </c>
      <c r="AQ49">
        <v>3</v>
      </c>
    </row>
    <row r="50" spans="1:43" x14ac:dyDescent="0.25">
      <c r="A50" t="s">
        <v>335</v>
      </c>
      <c r="B50" t="s">
        <v>101</v>
      </c>
      <c r="G50" t="s">
        <v>3579</v>
      </c>
      <c r="H50" t="s">
        <v>3580</v>
      </c>
      <c r="I50" t="s">
        <v>3581</v>
      </c>
      <c r="J50" t="s">
        <v>33</v>
      </c>
      <c r="K50" t="s">
        <v>34</v>
      </c>
      <c r="L50" t="s">
        <v>35</v>
      </c>
      <c r="AQ50">
        <v>0</v>
      </c>
    </row>
    <row r="51" spans="1:43" x14ac:dyDescent="0.25">
      <c r="A51" t="s">
        <v>1441</v>
      </c>
      <c r="B51" t="s">
        <v>101</v>
      </c>
      <c r="D51" t="s">
        <v>2790</v>
      </c>
      <c r="F51" t="s">
        <v>261</v>
      </c>
      <c r="I51" t="s">
        <v>2791</v>
      </c>
      <c r="J51" t="s">
        <v>33</v>
      </c>
      <c r="K51" t="s">
        <v>34</v>
      </c>
      <c r="L51" t="s">
        <v>35</v>
      </c>
      <c r="Q51">
        <v>6</v>
      </c>
      <c r="R51">
        <v>3</v>
      </c>
      <c r="U51">
        <v>2</v>
      </c>
      <c r="V51">
        <v>20</v>
      </c>
      <c r="AG51">
        <v>3</v>
      </c>
      <c r="AH51">
        <v>1</v>
      </c>
      <c r="AQ51">
        <v>61</v>
      </c>
    </row>
    <row r="52" spans="1:43" x14ac:dyDescent="0.25">
      <c r="A52" t="s">
        <v>3901</v>
      </c>
      <c r="B52" t="s">
        <v>3896</v>
      </c>
      <c r="D52" t="s">
        <v>3105</v>
      </c>
      <c r="F52" t="s">
        <v>261</v>
      </c>
      <c r="I52" t="s">
        <v>3902</v>
      </c>
      <c r="J52" t="s">
        <v>33</v>
      </c>
      <c r="K52" t="s">
        <v>34</v>
      </c>
      <c r="L52" t="s">
        <v>35</v>
      </c>
      <c r="Q52">
        <v>1</v>
      </c>
      <c r="R52">
        <v>3</v>
      </c>
      <c r="AQ52">
        <v>3</v>
      </c>
    </row>
    <row r="53" spans="1:43" x14ac:dyDescent="0.25">
      <c r="A53" t="s">
        <v>909</v>
      </c>
      <c r="B53" t="s">
        <v>910</v>
      </c>
      <c r="D53" t="s">
        <v>911</v>
      </c>
      <c r="I53" t="s">
        <v>912</v>
      </c>
      <c r="J53" t="s">
        <v>33</v>
      </c>
      <c r="K53" t="s">
        <v>34</v>
      </c>
      <c r="L53" t="s">
        <v>35</v>
      </c>
      <c r="S53">
        <v>1</v>
      </c>
      <c r="T53">
        <v>3</v>
      </c>
      <c r="W53">
        <v>1</v>
      </c>
      <c r="X53">
        <v>40</v>
      </c>
      <c r="AE53">
        <v>2</v>
      </c>
      <c r="AF53">
        <v>6</v>
      </c>
      <c r="AQ53">
        <v>55</v>
      </c>
    </row>
    <row r="54" spans="1:43" x14ac:dyDescent="0.25">
      <c r="A54" t="s">
        <v>2800</v>
      </c>
      <c r="B54" t="s">
        <v>2801</v>
      </c>
      <c r="D54" t="s">
        <v>3908</v>
      </c>
      <c r="E54" t="s">
        <v>3909</v>
      </c>
      <c r="F54" t="s">
        <v>261</v>
      </c>
      <c r="I54" t="s">
        <v>3910</v>
      </c>
      <c r="J54" t="s">
        <v>33</v>
      </c>
      <c r="K54" t="s">
        <v>34</v>
      </c>
      <c r="L54" t="s">
        <v>35</v>
      </c>
      <c r="Q54">
        <v>2</v>
      </c>
      <c r="R54">
        <v>3</v>
      </c>
      <c r="AC54">
        <v>1</v>
      </c>
      <c r="AD54">
        <v>10</v>
      </c>
      <c r="AO54">
        <v>2</v>
      </c>
      <c r="AP54">
        <v>10</v>
      </c>
      <c r="AQ54">
        <v>36</v>
      </c>
    </row>
    <row r="55" spans="1:43" x14ac:dyDescent="0.25">
      <c r="A55" t="s">
        <v>3911</v>
      </c>
      <c r="B55" t="s">
        <v>921</v>
      </c>
      <c r="F55" t="s">
        <v>261</v>
      </c>
      <c r="I55" t="s">
        <v>3912</v>
      </c>
      <c r="J55" t="s">
        <v>33</v>
      </c>
      <c r="K55" t="s">
        <v>34</v>
      </c>
      <c r="L55" t="s">
        <v>35</v>
      </c>
      <c r="Q55">
        <v>1</v>
      </c>
      <c r="R55">
        <v>3</v>
      </c>
      <c r="U55">
        <v>1</v>
      </c>
      <c r="V55">
        <v>20</v>
      </c>
      <c r="AQ55">
        <v>23</v>
      </c>
    </row>
    <row r="56" spans="1:43" x14ac:dyDescent="0.25">
      <c r="A56" t="s">
        <v>79</v>
      </c>
      <c r="B56" t="s">
        <v>924</v>
      </c>
      <c r="G56" t="s">
        <v>927</v>
      </c>
      <c r="H56" t="s">
        <v>928</v>
      </c>
      <c r="I56" t="s">
        <v>929</v>
      </c>
      <c r="J56" t="s">
        <v>33</v>
      </c>
      <c r="K56" t="s">
        <v>34</v>
      </c>
      <c r="L56" t="s">
        <v>35</v>
      </c>
      <c r="AQ56">
        <v>0</v>
      </c>
    </row>
    <row r="57" spans="1:43" x14ac:dyDescent="0.25">
      <c r="A57" t="s">
        <v>3913</v>
      </c>
      <c r="B57" t="s">
        <v>3914</v>
      </c>
      <c r="D57" t="s">
        <v>3915</v>
      </c>
      <c r="I57" t="s">
        <v>3916</v>
      </c>
      <c r="J57" t="s">
        <v>33</v>
      </c>
      <c r="K57" t="s">
        <v>34</v>
      </c>
      <c r="L57" t="s">
        <v>35</v>
      </c>
      <c r="Q57">
        <v>2</v>
      </c>
      <c r="R57">
        <v>3</v>
      </c>
      <c r="AC57">
        <v>2</v>
      </c>
      <c r="AD57">
        <v>10</v>
      </c>
      <c r="AQ57">
        <v>26</v>
      </c>
    </row>
    <row r="58" spans="1:43" x14ac:dyDescent="0.25">
      <c r="A58" t="s">
        <v>215</v>
      </c>
      <c r="B58" t="s">
        <v>935</v>
      </c>
      <c r="G58" t="s">
        <v>936</v>
      </c>
      <c r="H58" t="s">
        <v>287</v>
      </c>
      <c r="I58" t="s">
        <v>2804</v>
      </c>
      <c r="J58" t="s">
        <v>33</v>
      </c>
      <c r="K58" t="s">
        <v>34</v>
      </c>
      <c r="L58" t="s">
        <v>35</v>
      </c>
      <c r="AQ58">
        <v>0</v>
      </c>
    </row>
    <row r="59" spans="1:43" x14ac:dyDescent="0.25">
      <c r="A59" t="s">
        <v>2805</v>
      </c>
      <c r="B59" t="s">
        <v>2806</v>
      </c>
      <c r="G59" t="s">
        <v>2715</v>
      </c>
      <c r="H59" t="s">
        <v>183</v>
      </c>
      <c r="I59" t="s">
        <v>2716</v>
      </c>
      <c r="J59" t="s">
        <v>33</v>
      </c>
      <c r="K59" t="s">
        <v>34</v>
      </c>
      <c r="L59" t="s">
        <v>35</v>
      </c>
      <c r="AQ59">
        <v>0</v>
      </c>
    </row>
    <row r="60" spans="1:43" x14ac:dyDescent="0.25">
      <c r="A60" t="s">
        <v>240</v>
      </c>
      <c r="B60" t="s">
        <v>939</v>
      </c>
      <c r="D60" t="s">
        <v>940</v>
      </c>
      <c r="F60" t="s">
        <v>261</v>
      </c>
      <c r="I60" t="s">
        <v>941</v>
      </c>
      <c r="J60" t="s">
        <v>33</v>
      </c>
      <c r="K60" t="s">
        <v>34</v>
      </c>
      <c r="L60" t="s">
        <v>35</v>
      </c>
      <c r="Q60">
        <v>1</v>
      </c>
      <c r="R60">
        <v>3</v>
      </c>
      <c r="U60">
        <v>1</v>
      </c>
      <c r="V60">
        <v>20</v>
      </c>
      <c r="AG60">
        <v>1</v>
      </c>
      <c r="AH60">
        <v>1</v>
      </c>
      <c r="AQ60">
        <v>24</v>
      </c>
    </row>
    <row r="61" spans="1:43" x14ac:dyDescent="0.25">
      <c r="A61" t="s">
        <v>1030</v>
      </c>
      <c r="B61" t="s">
        <v>943</v>
      </c>
      <c r="D61" t="s">
        <v>3933</v>
      </c>
      <c r="E61" t="s">
        <v>3934</v>
      </c>
      <c r="F61" t="s">
        <v>261</v>
      </c>
      <c r="I61" t="s">
        <v>3935</v>
      </c>
      <c r="J61" t="s">
        <v>33</v>
      </c>
      <c r="K61" t="s">
        <v>34</v>
      </c>
      <c r="L61" t="s">
        <v>35</v>
      </c>
      <c r="Q61">
        <v>2</v>
      </c>
      <c r="R61">
        <v>3</v>
      </c>
      <c r="U61">
        <v>1</v>
      </c>
      <c r="V61">
        <v>20</v>
      </c>
      <c r="AG61">
        <v>1</v>
      </c>
      <c r="AH61">
        <v>1</v>
      </c>
      <c r="AO61">
        <v>2</v>
      </c>
      <c r="AP61">
        <v>10</v>
      </c>
      <c r="AQ61">
        <v>47</v>
      </c>
    </row>
    <row r="62" spans="1:43" x14ac:dyDescent="0.25">
      <c r="A62" t="s">
        <v>434</v>
      </c>
      <c r="B62" t="s">
        <v>943</v>
      </c>
      <c r="G62" t="s">
        <v>1030</v>
      </c>
      <c r="H62" t="s">
        <v>943</v>
      </c>
      <c r="I62" t="s">
        <v>3935</v>
      </c>
      <c r="J62" t="s">
        <v>33</v>
      </c>
      <c r="K62" t="s">
        <v>34</v>
      </c>
      <c r="L62" t="s">
        <v>35</v>
      </c>
      <c r="AQ62">
        <v>0</v>
      </c>
    </row>
    <row r="63" spans="1:43" x14ac:dyDescent="0.25">
      <c r="A63" t="s">
        <v>234</v>
      </c>
      <c r="B63" t="s">
        <v>326</v>
      </c>
      <c r="G63" t="s">
        <v>105</v>
      </c>
      <c r="H63" t="s">
        <v>428</v>
      </c>
      <c r="I63" t="s">
        <v>555</v>
      </c>
      <c r="J63" t="s">
        <v>33</v>
      </c>
      <c r="K63" t="s">
        <v>34</v>
      </c>
      <c r="L63" t="s">
        <v>35</v>
      </c>
      <c r="AQ63">
        <v>0</v>
      </c>
    </row>
    <row r="64" spans="1:43" x14ac:dyDescent="0.25">
      <c r="A64" t="s">
        <v>2808</v>
      </c>
      <c r="B64" t="s">
        <v>409</v>
      </c>
      <c r="G64" t="s">
        <v>1724</v>
      </c>
      <c r="H64" t="s">
        <v>3941</v>
      </c>
      <c r="I64" t="s">
        <v>3942</v>
      </c>
      <c r="J64" t="s">
        <v>33</v>
      </c>
      <c r="K64" t="s">
        <v>34</v>
      </c>
      <c r="L64" t="s">
        <v>35</v>
      </c>
      <c r="AQ64">
        <v>0</v>
      </c>
    </row>
    <row r="65" spans="1:43" x14ac:dyDescent="0.25">
      <c r="A65" t="s">
        <v>398</v>
      </c>
      <c r="B65" t="s">
        <v>409</v>
      </c>
      <c r="I65" t="s">
        <v>950</v>
      </c>
      <c r="J65" t="s">
        <v>33</v>
      </c>
      <c r="K65" t="s">
        <v>34</v>
      </c>
      <c r="L65" t="s">
        <v>35</v>
      </c>
      <c r="O65">
        <v>4</v>
      </c>
      <c r="P65">
        <v>3</v>
      </c>
      <c r="U65">
        <v>1</v>
      </c>
      <c r="V65">
        <v>20</v>
      </c>
      <c r="AQ65">
        <v>32</v>
      </c>
    </row>
    <row r="66" spans="1:43" x14ac:dyDescent="0.25">
      <c r="A66" t="s">
        <v>3955</v>
      </c>
      <c r="B66" t="s">
        <v>3956</v>
      </c>
      <c r="D66" t="s">
        <v>3957</v>
      </c>
      <c r="F66" t="s">
        <v>261</v>
      </c>
      <c r="I66" t="s">
        <v>3958</v>
      </c>
      <c r="J66" t="s">
        <v>33</v>
      </c>
      <c r="K66" t="s">
        <v>34</v>
      </c>
      <c r="L66" t="s">
        <v>35</v>
      </c>
      <c r="Q66">
        <v>7</v>
      </c>
      <c r="R66">
        <v>3</v>
      </c>
      <c r="U66">
        <v>4</v>
      </c>
      <c r="V66">
        <v>20</v>
      </c>
      <c r="AQ66">
        <v>101</v>
      </c>
    </row>
    <row r="67" spans="1:43" x14ac:dyDescent="0.25">
      <c r="A67" t="s">
        <v>63</v>
      </c>
      <c r="B67" t="s">
        <v>963</v>
      </c>
      <c r="D67" t="s">
        <v>966</v>
      </c>
      <c r="F67" t="s">
        <v>261</v>
      </c>
      <c r="I67" t="s">
        <v>967</v>
      </c>
      <c r="J67" t="s">
        <v>33</v>
      </c>
      <c r="K67" t="s">
        <v>34</v>
      </c>
      <c r="L67" t="s">
        <v>35</v>
      </c>
      <c r="S67">
        <v>2</v>
      </c>
      <c r="T67">
        <v>3</v>
      </c>
      <c r="AE67">
        <v>2</v>
      </c>
      <c r="AF67">
        <v>6</v>
      </c>
      <c r="AM67">
        <v>2</v>
      </c>
      <c r="AN67">
        <v>25</v>
      </c>
      <c r="AQ67">
        <v>68</v>
      </c>
    </row>
    <row r="68" spans="1:43" x14ac:dyDescent="0.25">
      <c r="A68" t="s">
        <v>317</v>
      </c>
      <c r="B68" t="s">
        <v>113</v>
      </c>
      <c r="D68" t="s">
        <v>3987</v>
      </c>
      <c r="F68" t="s">
        <v>261</v>
      </c>
      <c r="I68" t="s">
        <v>3988</v>
      </c>
      <c r="J68" t="s">
        <v>33</v>
      </c>
      <c r="K68" t="s">
        <v>34</v>
      </c>
      <c r="L68" t="s">
        <v>35</v>
      </c>
      <c r="Q68">
        <v>4</v>
      </c>
      <c r="R68">
        <v>3</v>
      </c>
      <c r="AC68">
        <v>3</v>
      </c>
      <c r="AD68">
        <v>10</v>
      </c>
      <c r="AG68">
        <v>1</v>
      </c>
      <c r="AH68">
        <v>1</v>
      </c>
      <c r="AQ68">
        <v>43</v>
      </c>
    </row>
    <row r="69" spans="1:43" x14ac:dyDescent="0.25">
      <c r="A69" t="s">
        <v>258</v>
      </c>
      <c r="B69" t="s">
        <v>113</v>
      </c>
      <c r="D69" t="s">
        <v>3989</v>
      </c>
      <c r="F69" t="s">
        <v>261</v>
      </c>
      <c r="I69" t="s">
        <v>3990</v>
      </c>
      <c r="J69" t="s">
        <v>33</v>
      </c>
      <c r="K69" t="s">
        <v>34</v>
      </c>
      <c r="L69" t="s">
        <v>35</v>
      </c>
      <c r="Q69">
        <v>1</v>
      </c>
      <c r="R69">
        <v>3</v>
      </c>
      <c r="AC69">
        <v>1</v>
      </c>
      <c r="AD69">
        <v>10</v>
      </c>
      <c r="AQ69">
        <v>13</v>
      </c>
    </row>
    <row r="70" spans="1:43" x14ac:dyDescent="0.25">
      <c r="A70" t="s">
        <v>94</v>
      </c>
      <c r="B70" t="s">
        <v>113</v>
      </c>
      <c r="G70" t="s">
        <v>36</v>
      </c>
      <c r="H70" t="s">
        <v>968</v>
      </c>
      <c r="I70" t="s">
        <v>969</v>
      </c>
      <c r="J70" t="s">
        <v>33</v>
      </c>
      <c r="K70" t="s">
        <v>34</v>
      </c>
      <c r="L70" t="s">
        <v>35</v>
      </c>
      <c r="AQ70">
        <v>0</v>
      </c>
    </row>
    <row r="71" spans="1:43" x14ac:dyDescent="0.25">
      <c r="A71" t="s">
        <v>105</v>
      </c>
      <c r="B71" t="s">
        <v>428</v>
      </c>
      <c r="D71" t="s">
        <v>975</v>
      </c>
      <c r="F71" t="s">
        <v>261</v>
      </c>
      <c r="I71" t="s">
        <v>555</v>
      </c>
      <c r="J71" t="s">
        <v>33</v>
      </c>
      <c r="K71" t="s">
        <v>34</v>
      </c>
      <c r="L71" t="s">
        <v>35</v>
      </c>
      <c r="S71">
        <v>8</v>
      </c>
      <c r="T71">
        <v>3</v>
      </c>
      <c r="AQ71">
        <v>24</v>
      </c>
    </row>
    <row r="72" spans="1:43" x14ac:dyDescent="0.25">
      <c r="A72" t="s">
        <v>3656</v>
      </c>
      <c r="B72" t="s">
        <v>3657</v>
      </c>
      <c r="D72" t="s">
        <v>3997</v>
      </c>
      <c r="F72" t="s">
        <v>261</v>
      </c>
      <c r="I72" t="s">
        <v>3658</v>
      </c>
      <c r="J72" t="s">
        <v>33</v>
      </c>
      <c r="K72" t="s">
        <v>34</v>
      </c>
      <c r="L72" t="s">
        <v>35</v>
      </c>
      <c r="Q72">
        <v>2</v>
      </c>
      <c r="R72">
        <v>3</v>
      </c>
      <c r="AC72">
        <v>1</v>
      </c>
      <c r="AD72">
        <v>10</v>
      </c>
      <c r="AQ72">
        <v>16</v>
      </c>
    </row>
    <row r="73" spans="1:43" x14ac:dyDescent="0.25">
      <c r="A73" t="s">
        <v>4004</v>
      </c>
      <c r="B73" t="s">
        <v>4002</v>
      </c>
      <c r="G73" t="s">
        <v>237</v>
      </c>
      <c r="H73" t="s">
        <v>3526</v>
      </c>
      <c r="I73" t="s">
        <v>3528</v>
      </c>
      <c r="J73" t="s">
        <v>33</v>
      </c>
      <c r="K73" t="s">
        <v>34</v>
      </c>
      <c r="L73" t="s">
        <v>35</v>
      </c>
      <c r="AQ73">
        <v>0</v>
      </c>
    </row>
    <row r="74" spans="1:43" x14ac:dyDescent="0.25">
      <c r="A74" t="s">
        <v>4005</v>
      </c>
      <c r="B74" t="s">
        <v>4002</v>
      </c>
      <c r="G74" t="s">
        <v>237</v>
      </c>
      <c r="H74" t="s">
        <v>3526</v>
      </c>
      <c r="I74" t="s">
        <v>3528</v>
      </c>
      <c r="J74" t="s">
        <v>33</v>
      </c>
      <c r="K74" t="s">
        <v>34</v>
      </c>
      <c r="L74" t="s">
        <v>35</v>
      </c>
      <c r="AQ74">
        <v>0</v>
      </c>
    </row>
    <row r="75" spans="1:43" x14ac:dyDescent="0.25">
      <c r="A75" t="s">
        <v>294</v>
      </c>
      <c r="B75" t="s">
        <v>4006</v>
      </c>
      <c r="G75" t="s">
        <v>1351</v>
      </c>
      <c r="H75" t="s">
        <v>154</v>
      </c>
      <c r="I75" t="s">
        <v>4007</v>
      </c>
      <c r="J75" t="s">
        <v>33</v>
      </c>
      <c r="K75" t="s">
        <v>34</v>
      </c>
      <c r="L75" t="s">
        <v>35</v>
      </c>
      <c r="AQ75">
        <v>0</v>
      </c>
    </row>
    <row r="76" spans="1:43" x14ac:dyDescent="0.25">
      <c r="A76" t="s">
        <v>97</v>
      </c>
      <c r="B76" t="s">
        <v>327</v>
      </c>
      <c r="G76" t="s">
        <v>222</v>
      </c>
      <c r="H76" t="s">
        <v>327</v>
      </c>
      <c r="I76" t="s">
        <v>976</v>
      </c>
      <c r="J76" t="s">
        <v>33</v>
      </c>
      <c r="K76" t="s">
        <v>34</v>
      </c>
      <c r="L76" t="s">
        <v>35</v>
      </c>
      <c r="AQ76">
        <v>0</v>
      </c>
    </row>
    <row r="77" spans="1:43" x14ac:dyDescent="0.25">
      <c r="A77" t="s">
        <v>222</v>
      </c>
      <c r="B77" t="s">
        <v>327</v>
      </c>
      <c r="D77" t="s">
        <v>977</v>
      </c>
      <c r="I77" t="s">
        <v>976</v>
      </c>
      <c r="J77" t="s">
        <v>33</v>
      </c>
      <c r="K77" t="s">
        <v>34</v>
      </c>
      <c r="L77" t="s">
        <v>35</v>
      </c>
      <c r="O77">
        <v>2</v>
      </c>
      <c r="P77">
        <v>3</v>
      </c>
      <c r="AC77">
        <v>2</v>
      </c>
      <c r="AD77">
        <v>10</v>
      </c>
      <c r="AK77">
        <v>2</v>
      </c>
      <c r="AL77">
        <v>6</v>
      </c>
      <c r="AQ77">
        <v>38</v>
      </c>
    </row>
    <row r="78" spans="1:43" x14ac:dyDescent="0.25">
      <c r="A78" t="s">
        <v>255</v>
      </c>
      <c r="B78" t="s">
        <v>2813</v>
      </c>
      <c r="G78" t="s">
        <v>1441</v>
      </c>
      <c r="H78" t="s">
        <v>101</v>
      </c>
      <c r="I78" t="s">
        <v>2791</v>
      </c>
      <c r="J78" t="s">
        <v>33</v>
      </c>
      <c r="K78" t="s">
        <v>34</v>
      </c>
      <c r="L78" t="s">
        <v>35</v>
      </c>
      <c r="AQ78">
        <v>0</v>
      </c>
    </row>
    <row r="79" spans="1:43" x14ac:dyDescent="0.25">
      <c r="A79" t="s">
        <v>4028</v>
      </c>
      <c r="B79" t="s">
        <v>4029</v>
      </c>
      <c r="D79" t="s">
        <v>4030</v>
      </c>
      <c r="F79" t="s">
        <v>261</v>
      </c>
      <c r="I79" t="s">
        <v>4031</v>
      </c>
      <c r="J79" t="s">
        <v>33</v>
      </c>
      <c r="K79" t="s">
        <v>34</v>
      </c>
      <c r="L79" t="s">
        <v>35</v>
      </c>
      <c r="Q79">
        <v>1</v>
      </c>
      <c r="R79">
        <v>3</v>
      </c>
      <c r="AC79">
        <v>1</v>
      </c>
      <c r="AD79">
        <v>10</v>
      </c>
      <c r="AQ79">
        <v>13</v>
      </c>
    </row>
    <row r="80" spans="1:43" x14ac:dyDescent="0.25">
      <c r="A80" t="s">
        <v>1698</v>
      </c>
      <c r="B80" t="s">
        <v>4042</v>
      </c>
      <c r="G80" t="s">
        <v>170</v>
      </c>
      <c r="H80" t="s">
        <v>4043</v>
      </c>
      <c r="I80" t="s">
        <v>4044</v>
      </c>
      <c r="J80" t="s">
        <v>33</v>
      </c>
      <c r="K80" t="s">
        <v>34</v>
      </c>
      <c r="L80" t="s">
        <v>35</v>
      </c>
      <c r="AQ80">
        <v>0</v>
      </c>
    </row>
    <row r="81" spans="1:43" x14ac:dyDescent="0.25">
      <c r="A81" t="s">
        <v>187</v>
      </c>
      <c r="B81" t="s">
        <v>992</v>
      </c>
      <c r="G81" t="s">
        <v>133</v>
      </c>
      <c r="H81" t="s">
        <v>992</v>
      </c>
      <c r="I81" t="s">
        <v>993</v>
      </c>
      <c r="J81" t="s">
        <v>33</v>
      </c>
      <c r="K81" t="s">
        <v>34</v>
      </c>
      <c r="L81" t="s">
        <v>35</v>
      </c>
      <c r="AQ81">
        <v>0</v>
      </c>
    </row>
    <row r="82" spans="1:43" x14ac:dyDescent="0.25">
      <c r="A82" t="s">
        <v>1225</v>
      </c>
      <c r="B82" t="s">
        <v>992</v>
      </c>
      <c r="D82" t="s">
        <v>307</v>
      </c>
      <c r="F82" t="s">
        <v>261</v>
      </c>
      <c r="I82" t="s">
        <v>4052</v>
      </c>
      <c r="J82" t="s">
        <v>33</v>
      </c>
      <c r="K82" t="s">
        <v>366</v>
      </c>
      <c r="L82" t="s">
        <v>35</v>
      </c>
      <c r="Q82">
        <v>1</v>
      </c>
      <c r="R82">
        <v>3</v>
      </c>
      <c r="U82">
        <v>1</v>
      </c>
      <c r="V82">
        <v>20</v>
      </c>
      <c r="AE82">
        <v>1</v>
      </c>
      <c r="AF82">
        <v>6</v>
      </c>
      <c r="AQ82">
        <v>29</v>
      </c>
    </row>
    <row r="83" spans="1:43" x14ac:dyDescent="0.25">
      <c r="A83" t="s">
        <v>133</v>
      </c>
      <c r="B83" t="s">
        <v>992</v>
      </c>
      <c r="D83" t="s">
        <v>994</v>
      </c>
      <c r="I83" t="s">
        <v>993</v>
      </c>
      <c r="J83" t="s">
        <v>33</v>
      </c>
      <c r="K83" t="s">
        <v>34</v>
      </c>
      <c r="L83" t="s">
        <v>35</v>
      </c>
      <c r="S83">
        <v>2</v>
      </c>
      <c r="T83">
        <v>3</v>
      </c>
      <c r="U83">
        <v>1</v>
      </c>
      <c r="V83">
        <v>20</v>
      </c>
      <c r="AO83">
        <v>2</v>
      </c>
      <c r="AP83">
        <v>10</v>
      </c>
      <c r="AQ83">
        <v>46</v>
      </c>
    </row>
    <row r="84" spans="1:43" x14ac:dyDescent="0.25">
      <c r="A84" t="s">
        <v>199</v>
      </c>
      <c r="B84" t="s">
        <v>124</v>
      </c>
      <c r="D84" t="s">
        <v>1001</v>
      </c>
      <c r="E84" t="s">
        <v>53</v>
      </c>
      <c r="F84" t="s">
        <v>261</v>
      </c>
      <c r="I84" t="s">
        <v>1002</v>
      </c>
      <c r="J84" t="s">
        <v>33</v>
      </c>
      <c r="K84" t="s">
        <v>34</v>
      </c>
      <c r="L84" t="s">
        <v>35</v>
      </c>
      <c r="S84">
        <v>2</v>
      </c>
      <c r="T84">
        <v>3</v>
      </c>
      <c r="U84">
        <v>2</v>
      </c>
      <c r="V84">
        <v>20</v>
      </c>
      <c r="AQ84">
        <v>46</v>
      </c>
    </row>
    <row r="85" spans="1:43" x14ac:dyDescent="0.25">
      <c r="A85" t="s">
        <v>434</v>
      </c>
      <c r="B85" t="s">
        <v>124</v>
      </c>
      <c r="G85" t="s">
        <v>199</v>
      </c>
      <c r="H85" t="s">
        <v>124</v>
      </c>
      <c r="I85" t="s">
        <v>1002</v>
      </c>
      <c r="J85" t="s">
        <v>33</v>
      </c>
      <c r="K85" t="s">
        <v>34</v>
      </c>
      <c r="L85" t="s">
        <v>35</v>
      </c>
      <c r="AQ85">
        <v>0</v>
      </c>
    </row>
    <row r="86" spans="1:43" x14ac:dyDescent="0.25">
      <c r="A86" t="s">
        <v>390</v>
      </c>
      <c r="B86" t="s">
        <v>1010</v>
      </c>
      <c r="D86" t="s">
        <v>1011</v>
      </c>
      <c r="F86" t="s">
        <v>261</v>
      </c>
      <c r="I86" t="s">
        <v>1012</v>
      </c>
      <c r="J86" t="s">
        <v>33</v>
      </c>
      <c r="K86" t="s">
        <v>34</v>
      </c>
      <c r="L86" t="s">
        <v>35</v>
      </c>
      <c r="S86">
        <v>2</v>
      </c>
      <c r="T86">
        <v>3</v>
      </c>
      <c r="AQ86">
        <v>6</v>
      </c>
    </row>
    <row r="87" spans="1:43" x14ac:dyDescent="0.25">
      <c r="A87" t="s">
        <v>4074</v>
      </c>
      <c r="B87" t="s">
        <v>4075</v>
      </c>
      <c r="D87" t="s">
        <v>4076</v>
      </c>
      <c r="F87" t="s">
        <v>261</v>
      </c>
      <c r="I87" t="s">
        <v>4077</v>
      </c>
      <c r="J87" t="s">
        <v>33</v>
      </c>
      <c r="K87" t="s">
        <v>34</v>
      </c>
      <c r="L87" t="s">
        <v>35</v>
      </c>
      <c r="Q87">
        <v>1</v>
      </c>
      <c r="R87">
        <v>3</v>
      </c>
      <c r="U87">
        <v>1</v>
      </c>
      <c r="V87">
        <v>20</v>
      </c>
      <c r="AQ87">
        <v>23</v>
      </c>
    </row>
    <row r="88" spans="1:43" x14ac:dyDescent="0.25">
      <c r="A88" t="s">
        <v>411</v>
      </c>
      <c r="B88" t="s">
        <v>1063</v>
      </c>
      <c r="D88" t="s">
        <v>1064</v>
      </c>
      <c r="F88" t="s">
        <v>261</v>
      </c>
      <c r="I88" t="s">
        <v>1065</v>
      </c>
      <c r="J88" t="s">
        <v>33</v>
      </c>
      <c r="K88" t="s">
        <v>34</v>
      </c>
      <c r="L88" t="s">
        <v>35</v>
      </c>
      <c r="Q88">
        <v>1</v>
      </c>
      <c r="R88">
        <v>3</v>
      </c>
      <c r="U88">
        <v>1</v>
      </c>
      <c r="V88">
        <v>20</v>
      </c>
      <c r="AQ88">
        <v>23</v>
      </c>
    </row>
    <row r="89" spans="1:43" x14ac:dyDescent="0.25">
      <c r="A89" t="s">
        <v>4116</v>
      </c>
      <c r="B89" t="s">
        <v>1078</v>
      </c>
      <c r="G89" t="s">
        <v>4117</v>
      </c>
      <c r="H89" t="s">
        <v>865</v>
      </c>
      <c r="I89" t="s">
        <v>4118</v>
      </c>
      <c r="J89" t="s">
        <v>33</v>
      </c>
      <c r="K89" t="s">
        <v>34</v>
      </c>
      <c r="L89" t="s">
        <v>35</v>
      </c>
      <c r="AQ89">
        <v>0</v>
      </c>
    </row>
    <row r="90" spans="1:43" x14ac:dyDescent="0.25">
      <c r="A90" t="s">
        <v>3577</v>
      </c>
      <c r="B90" t="s">
        <v>4126</v>
      </c>
      <c r="D90" t="s">
        <v>4127</v>
      </c>
      <c r="F90" t="s">
        <v>261</v>
      </c>
      <c r="I90" t="s">
        <v>4128</v>
      </c>
      <c r="J90" t="s">
        <v>33</v>
      </c>
      <c r="K90" t="s">
        <v>34</v>
      </c>
      <c r="L90" t="s">
        <v>35</v>
      </c>
      <c r="Q90">
        <v>1</v>
      </c>
      <c r="R90">
        <v>3</v>
      </c>
      <c r="AC90">
        <v>1</v>
      </c>
      <c r="AD90">
        <v>10</v>
      </c>
      <c r="AQ90">
        <v>13</v>
      </c>
    </row>
    <row r="91" spans="1:43" x14ac:dyDescent="0.25">
      <c r="A91" t="s">
        <v>3917</v>
      </c>
      <c r="B91" t="s">
        <v>225</v>
      </c>
      <c r="D91" t="s">
        <v>4139</v>
      </c>
      <c r="E91" t="s">
        <v>4140</v>
      </c>
      <c r="F91" t="s">
        <v>261</v>
      </c>
      <c r="I91" t="s">
        <v>4141</v>
      </c>
      <c r="J91" t="s">
        <v>33</v>
      </c>
      <c r="K91" t="s">
        <v>34</v>
      </c>
      <c r="L91" t="s">
        <v>35</v>
      </c>
      <c r="Q91">
        <v>2</v>
      </c>
      <c r="R91">
        <v>3</v>
      </c>
      <c r="AC91">
        <v>2</v>
      </c>
      <c r="AD91">
        <v>10</v>
      </c>
      <c r="AQ91">
        <v>26</v>
      </c>
    </row>
    <row r="92" spans="1:43" x14ac:dyDescent="0.25">
      <c r="A92" t="s">
        <v>393</v>
      </c>
      <c r="B92" t="s">
        <v>796</v>
      </c>
      <c r="D92" t="s">
        <v>393</v>
      </c>
      <c r="E92" t="s">
        <v>216</v>
      </c>
      <c r="F92" t="s">
        <v>261</v>
      </c>
      <c r="I92" t="s">
        <v>797</v>
      </c>
      <c r="J92" t="s">
        <v>33</v>
      </c>
      <c r="K92" t="s">
        <v>34</v>
      </c>
      <c r="L92" t="s">
        <v>35</v>
      </c>
      <c r="S92">
        <v>2</v>
      </c>
      <c r="T92">
        <v>3</v>
      </c>
      <c r="AC92">
        <v>1</v>
      </c>
      <c r="AD92">
        <v>10</v>
      </c>
      <c r="AQ92">
        <v>16</v>
      </c>
    </row>
    <row r="93" spans="1:43" x14ac:dyDescent="0.25">
      <c r="A93" t="s">
        <v>1100</v>
      </c>
      <c r="B93" t="s">
        <v>1101</v>
      </c>
      <c r="G93" t="s">
        <v>1102</v>
      </c>
      <c r="H93" t="s">
        <v>247</v>
      </c>
      <c r="I93" t="s">
        <v>1103</v>
      </c>
      <c r="J93" t="s">
        <v>33</v>
      </c>
      <c r="K93" t="s">
        <v>34</v>
      </c>
      <c r="L93" t="s">
        <v>35</v>
      </c>
      <c r="AQ93">
        <v>0</v>
      </c>
    </row>
    <row r="94" spans="1:43" x14ac:dyDescent="0.25">
      <c r="A94" t="s">
        <v>260</v>
      </c>
      <c r="B94" t="s">
        <v>135</v>
      </c>
      <c r="I94" t="s">
        <v>1107</v>
      </c>
      <c r="J94" t="s">
        <v>33</v>
      </c>
      <c r="K94" t="s">
        <v>34</v>
      </c>
      <c r="L94" t="s">
        <v>35</v>
      </c>
      <c r="S94">
        <v>1</v>
      </c>
      <c r="T94">
        <v>3</v>
      </c>
      <c r="AQ94">
        <v>3</v>
      </c>
    </row>
    <row r="95" spans="1:43" x14ac:dyDescent="0.25">
      <c r="A95" t="s">
        <v>422</v>
      </c>
      <c r="B95" t="s">
        <v>337</v>
      </c>
      <c r="I95" t="s">
        <v>1114</v>
      </c>
      <c r="J95" t="s">
        <v>33</v>
      </c>
      <c r="K95" t="s">
        <v>34</v>
      </c>
      <c r="L95" t="s">
        <v>35</v>
      </c>
      <c r="O95">
        <v>1</v>
      </c>
      <c r="P95">
        <v>3</v>
      </c>
      <c r="AQ95">
        <v>3</v>
      </c>
    </row>
    <row r="96" spans="1:43" x14ac:dyDescent="0.25">
      <c r="A96" t="s">
        <v>229</v>
      </c>
      <c r="B96" t="s">
        <v>4180</v>
      </c>
      <c r="D96" t="s">
        <v>4181</v>
      </c>
      <c r="F96" t="s">
        <v>261</v>
      </c>
      <c r="I96" t="s">
        <v>4182</v>
      </c>
      <c r="J96" t="s">
        <v>33</v>
      </c>
      <c r="K96" t="s">
        <v>34</v>
      </c>
      <c r="L96" t="s">
        <v>35</v>
      </c>
      <c r="Q96">
        <v>3</v>
      </c>
      <c r="R96">
        <v>3</v>
      </c>
      <c r="AC96">
        <v>1</v>
      </c>
      <c r="AD96">
        <v>10</v>
      </c>
      <c r="AK96">
        <v>3</v>
      </c>
      <c r="AL96">
        <v>6</v>
      </c>
      <c r="AQ96">
        <v>37</v>
      </c>
    </row>
    <row r="97" spans="1:43" x14ac:dyDescent="0.25">
      <c r="A97" t="s">
        <v>93</v>
      </c>
      <c r="B97" t="s">
        <v>4180</v>
      </c>
      <c r="G97" t="s">
        <v>229</v>
      </c>
      <c r="H97" t="s">
        <v>4180</v>
      </c>
      <c r="I97" t="s">
        <v>4182</v>
      </c>
      <c r="J97" t="s">
        <v>33</v>
      </c>
      <c r="K97" t="s">
        <v>34</v>
      </c>
      <c r="L97" t="s">
        <v>35</v>
      </c>
      <c r="AQ97">
        <v>0</v>
      </c>
    </row>
    <row r="98" spans="1:43" x14ac:dyDescent="0.25">
      <c r="A98" t="s">
        <v>167</v>
      </c>
      <c r="B98" t="s">
        <v>2867</v>
      </c>
      <c r="G98" t="s">
        <v>4184</v>
      </c>
      <c r="H98" t="s">
        <v>2465</v>
      </c>
      <c r="I98" t="s">
        <v>4185</v>
      </c>
      <c r="J98" t="s">
        <v>33</v>
      </c>
      <c r="K98" t="s">
        <v>34</v>
      </c>
      <c r="L98" t="s">
        <v>35</v>
      </c>
      <c r="AQ98">
        <v>0</v>
      </c>
    </row>
    <row r="99" spans="1:43" x14ac:dyDescent="0.25">
      <c r="A99" t="s">
        <v>69</v>
      </c>
      <c r="B99" t="s">
        <v>4233</v>
      </c>
      <c r="G99" t="s">
        <v>3415</v>
      </c>
      <c r="H99" t="s">
        <v>4233</v>
      </c>
      <c r="I99" t="s">
        <v>4234</v>
      </c>
      <c r="J99" t="s">
        <v>33</v>
      </c>
      <c r="K99" t="s">
        <v>34</v>
      </c>
      <c r="L99" t="s">
        <v>35</v>
      </c>
      <c r="AQ99">
        <v>0</v>
      </c>
    </row>
    <row r="100" spans="1:43" x14ac:dyDescent="0.25">
      <c r="A100" t="s">
        <v>3415</v>
      </c>
      <c r="B100" t="s">
        <v>4233</v>
      </c>
      <c r="D100" t="s">
        <v>4235</v>
      </c>
      <c r="F100" t="s">
        <v>261</v>
      </c>
      <c r="I100" t="s">
        <v>4234</v>
      </c>
      <c r="J100" t="s">
        <v>33</v>
      </c>
      <c r="K100" t="s">
        <v>34</v>
      </c>
      <c r="L100" t="s">
        <v>35</v>
      </c>
      <c r="Q100">
        <v>4</v>
      </c>
      <c r="R100">
        <v>3</v>
      </c>
      <c r="AQ100">
        <v>12</v>
      </c>
    </row>
    <row r="101" spans="1:43" x14ac:dyDescent="0.25">
      <c r="A101" t="s">
        <v>222</v>
      </c>
      <c r="B101" t="s">
        <v>339</v>
      </c>
      <c r="G101" t="s">
        <v>1147</v>
      </c>
      <c r="H101" t="s">
        <v>1148</v>
      </c>
      <c r="I101" t="s">
        <v>1149</v>
      </c>
      <c r="J101" t="s">
        <v>33</v>
      </c>
      <c r="K101" t="s">
        <v>34</v>
      </c>
      <c r="L101" t="s">
        <v>35</v>
      </c>
      <c r="AQ101">
        <v>0</v>
      </c>
    </row>
    <row r="102" spans="1:43" x14ac:dyDescent="0.25">
      <c r="A102" t="s">
        <v>2333</v>
      </c>
      <c r="B102" t="s">
        <v>4264</v>
      </c>
      <c r="D102" t="s">
        <v>4265</v>
      </c>
      <c r="F102" t="s">
        <v>261</v>
      </c>
      <c r="I102" t="s">
        <v>4266</v>
      </c>
      <c r="J102" t="s">
        <v>33</v>
      </c>
      <c r="K102" t="s">
        <v>34</v>
      </c>
      <c r="L102" t="s">
        <v>35</v>
      </c>
      <c r="Q102">
        <v>2</v>
      </c>
      <c r="R102">
        <v>3</v>
      </c>
      <c r="U102">
        <v>1</v>
      </c>
      <c r="V102">
        <v>20</v>
      </c>
      <c r="AQ102">
        <v>26</v>
      </c>
    </row>
    <row r="103" spans="1:43" x14ac:dyDescent="0.25">
      <c r="A103" t="s">
        <v>237</v>
      </c>
      <c r="B103" t="s">
        <v>451</v>
      </c>
      <c r="D103" t="s">
        <v>1152</v>
      </c>
      <c r="F103" t="s">
        <v>261</v>
      </c>
      <c r="I103" t="s">
        <v>1153</v>
      </c>
      <c r="J103" t="s">
        <v>33</v>
      </c>
      <c r="K103" t="s">
        <v>34</v>
      </c>
      <c r="L103" t="s">
        <v>35</v>
      </c>
      <c r="S103">
        <v>1</v>
      </c>
      <c r="T103">
        <v>3</v>
      </c>
      <c r="U103">
        <v>1</v>
      </c>
      <c r="V103">
        <v>20</v>
      </c>
      <c r="AQ103">
        <v>23</v>
      </c>
    </row>
    <row r="104" spans="1:43" x14ac:dyDescent="0.25">
      <c r="A104" t="s">
        <v>352</v>
      </c>
      <c r="B104" t="s">
        <v>2668</v>
      </c>
      <c r="D104" t="s">
        <v>352</v>
      </c>
      <c r="F104" t="s">
        <v>261</v>
      </c>
      <c r="I104" t="s">
        <v>2669</v>
      </c>
      <c r="J104" t="s">
        <v>37</v>
      </c>
      <c r="K104" t="s">
        <v>752</v>
      </c>
      <c r="L104" t="s">
        <v>35</v>
      </c>
      <c r="Q104">
        <v>3</v>
      </c>
      <c r="R104">
        <v>3</v>
      </c>
      <c r="AC104">
        <v>1</v>
      </c>
      <c r="AD104">
        <v>10</v>
      </c>
      <c r="AG104">
        <v>3</v>
      </c>
      <c r="AH104">
        <v>1</v>
      </c>
      <c r="AK104">
        <v>3</v>
      </c>
      <c r="AL104">
        <v>6</v>
      </c>
      <c r="AQ104">
        <v>40</v>
      </c>
    </row>
    <row r="105" spans="1:43" x14ac:dyDescent="0.25">
      <c r="A105" t="s">
        <v>1210</v>
      </c>
      <c r="B105" t="s">
        <v>4299</v>
      </c>
      <c r="G105" t="s">
        <v>122</v>
      </c>
      <c r="H105" t="s">
        <v>2046</v>
      </c>
      <c r="I105" t="s">
        <v>4300</v>
      </c>
      <c r="J105" t="s">
        <v>33</v>
      </c>
      <c r="K105" t="s">
        <v>34</v>
      </c>
      <c r="L105" t="s">
        <v>35</v>
      </c>
      <c r="AQ105">
        <v>0</v>
      </c>
    </row>
    <row r="106" spans="1:43" x14ac:dyDescent="0.25">
      <c r="A106" t="s">
        <v>80</v>
      </c>
      <c r="B106" t="s">
        <v>1191</v>
      </c>
      <c r="D106" t="s">
        <v>1192</v>
      </c>
      <c r="F106" t="s">
        <v>261</v>
      </c>
      <c r="I106" t="s">
        <v>1193</v>
      </c>
      <c r="J106" t="s">
        <v>33</v>
      </c>
      <c r="K106" t="s">
        <v>34</v>
      </c>
      <c r="L106" t="s">
        <v>35</v>
      </c>
      <c r="S106">
        <v>1</v>
      </c>
      <c r="T106">
        <v>3</v>
      </c>
      <c r="U106">
        <v>1</v>
      </c>
      <c r="V106">
        <v>20</v>
      </c>
      <c r="AM106">
        <v>1</v>
      </c>
      <c r="AN106">
        <v>25</v>
      </c>
      <c r="AQ106">
        <v>48</v>
      </c>
    </row>
    <row r="107" spans="1:43" x14ac:dyDescent="0.25">
      <c r="A107" t="s">
        <v>202</v>
      </c>
      <c r="B107" t="s">
        <v>1203</v>
      </c>
      <c r="G107" t="s">
        <v>1204</v>
      </c>
      <c r="H107" t="s">
        <v>1205</v>
      </c>
      <c r="I107" t="s">
        <v>1206</v>
      </c>
      <c r="J107" t="s">
        <v>33</v>
      </c>
      <c r="K107" t="s">
        <v>34</v>
      </c>
      <c r="L107" t="s">
        <v>35</v>
      </c>
      <c r="AQ107">
        <v>0</v>
      </c>
    </row>
    <row r="108" spans="1:43" x14ac:dyDescent="0.25">
      <c r="A108" t="s">
        <v>399</v>
      </c>
      <c r="B108" t="s">
        <v>1207</v>
      </c>
      <c r="D108" t="s">
        <v>399</v>
      </c>
      <c r="F108" t="s">
        <v>261</v>
      </c>
      <c r="I108" t="s">
        <v>1208</v>
      </c>
      <c r="J108" t="s">
        <v>33</v>
      </c>
      <c r="K108" t="s">
        <v>34</v>
      </c>
      <c r="L108" t="s">
        <v>35</v>
      </c>
      <c r="S108">
        <v>1</v>
      </c>
      <c r="T108">
        <v>3</v>
      </c>
      <c r="U108">
        <v>1</v>
      </c>
      <c r="V108">
        <v>20</v>
      </c>
      <c r="AQ108">
        <v>23</v>
      </c>
    </row>
    <row r="109" spans="1:43" x14ac:dyDescent="0.25">
      <c r="A109" t="s">
        <v>2919</v>
      </c>
      <c r="B109" t="s">
        <v>2920</v>
      </c>
      <c r="G109" t="s">
        <v>2921</v>
      </c>
      <c r="H109" t="s">
        <v>1456</v>
      </c>
      <c r="I109" t="s">
        <v>2922</v>
      </c>
      <c r="J109" t="s">
        <v>33</v>
      </c>
      <c r="K109" t="s">
        <v>34</v>
      </c>
      <c r="L109" t="s">
        <v>35</v>
      </c>
      <c r="AQ109">
        <v>0</v>
      </c>
    </row>
    <row r="110" spans="1:43" x14ac:dyDescent="0.25">
      <c r="A110" t="s">
        <v>502</v>
      </c>
      <c r="B110" t="s">
        <v>2920</v>
      </c>
      <c r="F110" t="s">
        <v>261</v>
      </c>
      <c r="I110" t="s">
        <v>2924</v>
      </c>
      <c r="J110" t="s">
        <v>33</v>
      </c>
      <c r="K110" t="s">
        <v>34</v>
      </c>
      <c r="L110" t="s">
        <v>35</v>
      </c>
      <c r="Q110">
        <v>1</v>
      </c>
      <c r="R110">
        <v>3</v>
      </c>
      <c r="AQ110">
        <v>3</v>
      </c>
    </row>
    <row r="111" spans="1:43" x14ac:dyDescent="0.25">
      <c r="A111" t="s">
        <v>141</v>
      </c>
      <c r="B111" t="s">
        <v>1209</v>
      </c>
      <c r="G111" t="s">
        <v>1210</v>
      </c>
      <c r="H111" t="s">
        <v>1211</v>
      </c>
      <c r="I111" t="s">
        <v>1212</v>
      </c>
      <c r="J111" t="s">
        <v>33</v>
      </c>
      <c r="K111" t="s">
        <v>34</v>
      </c>
      <c r="L111" t="s">
        <v>35</v>
      </c>
      <c r="AQ111">
        <v>0</v>
      </c>
    </row>
    <row r="112" spans="1:43" x14ac:dyDescent="0.25">
      <c r="A112" t="s">
        <v>4364</v>
      </c>
      <c r="B112" t="s">
        <v>4365</v>
      </c>
      <c r="D112" t="s">
        <v>4364</v>
      </c>
      <c r="F112" t="s">
        <v>261</v>
      </c>
      <c r="I112" t="s">
        <v>4366</v>
      </c>
      <c r="J112" t="s">
        <v>33</v>
      </c>
      <c r="K112" t="s">
        <v>34</v>
      </c>
      <c r="L112" t="s">
        <v>35</v>
      </c>
      <c r="Q112">
        <v>2</v>
      </c>
      <c r="R112">
        <v>3</v>
      </c>
      <c r="AQ112">
        <v>6</v>
      </c>
    </row>
    <row r="113" spans="1:43" x14ac:dyDescent="0.25">
      <c r="A113" t="s">
        <v>93</v>
      </c>
      <c r="B113" t="s">
        <v>164</v>
      </c>
      <c r="D113" t="s">
        <v>1231</v>
      </c>
      <c r="F113" t="s">
        <v>261</v>
      </c>
      <c r="I113" t="s">
        <v>1232</v>
      </c>
      <c r="J113" t="s">
        <v>33</v>
      </c>
      <c r="K113" t="s">
        <v>34</v>
      </c>
      <c r="L113" t="s">
        <v>35</v>
      </c>
      <c r="S113">
        <v>1</v>
      </c>
      <c r="T113">
        <v>3</v>
      </c>
      <c r="AC113">
        <v>1</v>
      </c>
      <c r="AD113">
        <v>10</v>
      </c>
      <c r="AQ113">
        <v>13</v>
      </c>
    </row>
    <row r="114" spans="1:43" x14ac:dyDescent="0.25">
      <c r="A114" t="s">
        <v>299</v>
      </c>
      <c r="B114" t="s">
        <v>4379</v>
      </c>
      <c r="D114" t="s">
        <v>4380</v>
      </c>
      <c r="F114" t="s">
        <v>261</v>
      </c>
      <c r="I114" t="s">
        <v>4381</v>
      </c>
      <c r="J114" t="s">
        <v>33</v>
      </c>
      <c r="K114" t="s">
        <v>34</v>
      </c>
      <c r="L114" t="s">
        <v>35</v>
      </c>
      <c r="Q114">
        <v>2</v>
      </c>
      <c r="R114">
        <v>3</v>
      </c>
      <c r="AQ114">
        <v>6</v>
      </c>
    </row>
    <row r="115" spans="1:43" x14ac:dyDescent="0.25">
      <c r="A115" t="s">
        <v>384</v>
      </c>
      <c r="B115" t="s">
        <v>4379</v>
      </c>
      <c r="G115" t="s">
        <v>299</v>
      </c>
      <c r="H115" t="s">
        <v>4379</v>
      </c>
      <c r="I115" t="s">
        <v>4381</v>
      </c>
      <c r="J115" t="s">
        <v>33</v>
      </c>
      <c r="K115" t="s">
        <v>34</v>
      </c>
      <c r="L115" t="s">
        <v>35</v>
      </c>
      <c r="AQ115">
        <v>0</v>
      </c>
    </row>
    <row r="116" spans="1:43" x14ac:dyDescent="0.25">
      <c r="A116" t="s">
        <v>121</v>
      </c>
      <c r="B116" t="s">
        <v>2950</v>
      </c>
      <c r="G116" t="s">
        <v>2707</v>
      </c>
      <c r="H116" t="s">
        <v>2708</v>
      </c>
      <c r="I116" t="s">
        <v>2709</v>
      </c>
      <c r="J116" t="s">
        <v>33</v>
      </c>
      <c r="K116" t="s">
        <v>34</v>
      </c>
      <c r="L116" t="s">
        <v>35</v>
      </c>
      <c r="AQ116">
        <v>0</v>
      </c>
    </row>
    <row r="117" spans="1:43" x14ac:dyDescent="0.25">
      <c r="A117" t="s">
        <v>1242</v>
      </c>
      <c r="B117" t="s">
        <v>964</v>
      </c>
      <c r="G117" t="s">
        <v>63</v>
      </c>
      <c r="H117" t="s">
        <v>963</v>
      </c>
      <c r="I117" t="s">
        <v>967</v>
      </c>
      <c r="J117" t="s">
        <v>33</v>
      </c>
      <c r="K117" t="s">
        <v>34</v>
      </c>
      <c r="L117" t="s">
        <v>35</v>
      </c>
      <c r="AQ117">
        <v>0</v>
      </c>
    </row>
    <row r="118" spans="1:43" x14ac:dyDescent="0.25">
      <c r="A118" t="s">
        <v>4198</v>
      </c>
      <c r="B118" t="s">
        <v>4392</v>
      </c>
      <c r="D118" t="s">
        <v>4393</v>
      </c>
      <c r="F118" t="s">
        <v>261</v>
      </c>
      <c r="I118" t="s">
        <v>4394</v>
      </c>
      <c r="J118" t="s">
        <v>33</v>
      </c>
      <c r="K118" t="s">
        <v>34</v>
      </c>
      <c r="L118" t="s">
        <v>35</v>
      </c>
      <c r="Q118">
        <v>1</v>
      </c>
      <c r="R118">
        <v>3</v>
      </c>
      <c r="U118">
        <v>1</v>
      </c>
      <c r="V118">
        <v>20</v>
      </c>
      <c r="AQ118">
        <v>23</v>
      </c>
    </row>
    <row r="119" spans="1:43" x14ac:dyDescent="0.25">
      <c r="A119" t="s">
        <v>1258</v>
      </c>
      <c r="B119" t="s">
        <v>1259</v>
      </c>
      <c r="D119" t="s">
        <v>1260</v>
      </c>
      <c r="E119" t="s">
        <v>41</v>
      </c>
      <c r="I119" t="s">
        <v>1261</v>
      </c>
      <c r="J119" t="s">
        <v>33</v>
      </c>
      <c r="K119" t="s">
        <v>34</v>
      </c>
      <c r="L119" t="s">
        <v>35</v>
      </c>
      <c r="O119">
        <v>1</v>
      </c>
      <c r="P119">
        <v>3</v>
      </c>
      <c r="AQ119">
        <v>3</v>
      </c>
    </row>
    <row r="120" spans="1:43" x14ac:dyDescent="0.25">
      <c r="A120" t="s">
        <v>3514</v>
      </c>
      <c r="B120" t="s">
        <v>1262</v>
      </c>
      <c r="G120" t="s">
        <v>4417</v>
      </c>
      <c r="H120" t="s">
        <v>362</v>
      </c>
      <c r="I120" t="s">
        <v>4418</v>
      </c>
      <c r="J120" t="s">
        <v>33</v>
      </c>
      <c r="K120" t="s">
        <v>34</v>
      </c>
      <c r="L120" t="s">
        <v>35</v>
      </c>
      <c r="AQ120">
        <v>0</v>
      </c>
    </row>
    <row r="121" spans="1:43" x14ac:dyDescent="0.25">
      <c r="A121" t="s">
        <v>75</v>
      </c>
      <c r="B121" t="s">
        <v>4429</v>
      </c>
      <c r="D121" t="s">
        <v>75</v>
      </c>
      <c r="E121" t="s">
        <v>4430</v>
      </c>
      <c r="F121" t="s">
        <v>261</v>
      </c>
      <c r="I121" t="s">
        <v>4431</v>
      </c>
      <c r="J121" t="s">
        <v>33</v>
      </c>
      <c r="K121" t="s">
        <v>34</v>
      </c>
      <c r="L121" t="s">
        <v>35</v>
      </c>
      <c r="Q121">
        <v>2</v>
      </c>
      <c r="R121">
        <v>3</v>
      </c>
      <c r="AM121">
        <v>2</v>
      </c>
      <c r="AN121">
        <v>25</v>
      </c>
      <c r="AQ121">
        <v>56</v>
      </c>
    </row>
    <row r="122" spans="1:43" x14ac:dyDescent="0.25">
      <c r="A122" t="s">
        <v>4432</v>
      </c>
      <c r="B122" t="s">
        <v>4429</v>
      </c>
      <c r="G122" t="s">
        <v>75</v>
      </c>
      <c r="H122" t="s">
        <v>4429</v>
      </c>
      <c r="I122" t="s">
        <v>4431</v>
      </c>
      <c r="J122" t="s">
        <v>33</v>
      </c>
      <c r="K122" t="s">
        <v>34</v>
      </c>
      <c r="L122" t="s">
        <v>35</v>
      </c>
      <c r="AQ122">
        <v>0</v>
      </c>
    </row>
    <row r="123" spans="1:43" x14ac:dyDescent="0.25">
      <c r="A123" t="s">
        <v>1294</v>
      </c>
      <c r="B123" t="s">
        <v>1295</v>
      </c>
      <c r="D123" t="s">
        <v>1294</v>
      </c>
      <c r="F123" t="s">
        <v>261</v>
      </c>
      <c r="I123" t="s">
        <v>1296</v>
      </c>
      <c r="J123" t="s">
        <v>33</v>
      </c>
      <c r="K123" t="s">
        <v>34</v>
      </c>
      <c r="L123" t="s">
        <v>35</v>
      </c>
      <c r="S123">
        <v>1</v>
      </c>
      <c r="T123">
        <v>3</v>
      </c>
      <c r="U123">
        <v>1</v>
      </c>
      <c r="V123">
        <v>20</v>
      </c>
      <c r="AQ123">
        <v>23</v>
      </c>
    </row>
    <row r="124" spans="1:43" x14ac:dyDescent="0.25">
      <c r="A124" t="s">
        <v>352</v>
      </c>
      <c r="B124" t="s">
        <v>1302</v>
      </c>
      <c r="I124" t="s">
        <v>1303</v>
      </c>
      <c r="J124" t="s">
        <v>33</v>
      </c>
      <c r="K124" t="s">
        <v>34</v>
      </c>
      <c r="L124" t="s">
        <v>35</v>
      </c>
      <c r="O124">
        <v>1</v>
      </c>
      <c r="P124">
        <v>3</v>
      </c>
      <c r="AQ124">
        <v>3</v>
      </c>
    </row>
    <row r="125" spans="1:43" x14ac:dyDescent="0.25">
      <c r="A125" t="s">
        <v>4452</v>
      </c>
      <c r="B125" t="s">
        <v>1311</v>
      </c>
      <c r="G125" t="s">
        <v>4453</v>
      </c>
      <c r="H125" t="s">
        <v>4454</v>
      </c>
      <c r="I125" t="s">
        <v>4455</v>
      </c>
      <c r="J125" t="s">
        <v>33</v>
      </c>
      <c r="K125" t="s">
        <v>34</v>
      </c>
      <c r="L125" t="s">
        <v>35</v>
      </c>
      <c r="AQ125">
        <v>0</v>
      </c>
    </row>
    <row r="126" spans="1:43" x14ac:dyDescent="0.25">
      <c r="A126" t="s">
        <v>4456</v>
      </c>
      <c r="B126" t="s">
        <v>1311</v>
      </c>
      <c r="G126" t="s">
        <v>4453</v>
      </c>
      <c r="H126" t="s">
        <v>4454</v>
      </c>
      <c r="I126" t="s">
        <v>4455</v>
      </c>
      <c r="J126" t="s">
        <v>33</v>
      </c>
      <c r="K126" t="s">
        <v>34</v>
      </c>
      <c r="L126" t="s">
        <v>35</v>
      </c>
      <c r="AQ126">
        <v>0</v>
      </c>
    </row>
    <row r="127" spans="1:43" x14ac:dyDescent="0.25">
      <c r="A127" t="s">
        <v>3579</v>
      </c>
      <c r="B127" t="s">
        <v>3580</v>
      </c>
      <c r="D127" t="s">
        <v>4457</v>
      </c>
      <c r="I127" t="s">
        <v>3581</v>
      </c>
      <c r="J127" t="s">
        <v>33</v>
      </c>
      <c r="K127" t="s">
        <v>34</v>
      </c>
      <c r="L127" t="s">
        <v>35</v>
      </c>
      <c r="Q127">
        <v>4</v>
      </c>
      <c r="R127">
        <v>3</v>
      </c>
      <c r="AM127">
        <v>4</v>
      </c>
      <c r="AN127">
        <v>25</v>
      </c>
      <c r="AQ127">
        <v>112</v>
      </c>
    </row>
    <row r="128" spans="1:43" x14ac:dyDescent="0.25">
      <c r="A128" t="s">
        <v>317</v>
      </c>
      <c r="B128" t="s">
        <v>176</v>
      </c>
      <c r="D128" t="s">
        <v>198</v>
      </c>
      <c r="E128" t="s">
        <v>227</v>
      </c>
      <c r="F128" t="s">
        <v>261</v>
      </c>
      <c r="I128" t="s">
        <v>4461</v>
      </c>
      <c r="J128" t="s">
        <v>33</v>
      </c>
      <c r="K128" t="s">
        <v>34</v>
      </c>
      <c r="L128" t="s">
        <v>35</v>
      </c>
      <c r="Q128">
        <v>1</v>
      </c>
      <c r="R128">
        <v>3</v>
      </c>
      <c r="AC128">
        <v>1</v>
      </c>
      <c r="AD128">
        <v>10</v>
      </c>
      <c r="AG128">
        <v>1</v>
      </c>
      <c r="AH128">
        <v>1</v>
      </c>
      <c r="AQ128">
        <v>14</v>
      </c>
    </row>
    <row r="129" spans="1:43" x14ac:dyDescent="0.25">
      <c r="A129" t="s">
        <v>1323</v>
      </c>
      <c r="B129" t="s">
        <v>176</v>
      </c>
      <c r="G129" t="s">
        <v>105</v>
      </c>
      <c r="H129" t="s">
        <v>428</v>
      </c>
      <c r="I129" t="s">
        <v>555</v>
      </c>
      <c r="J129" t="s">
        <v>33</v>
      </c>
      <c r="K129" t="s">
        <v>34</v>
      </c>
      <c r="L129" t="s">
        <v>35</v>
      </c>
      <c r="AQ129">
        <v>0</v>
      </c>
    </row>
    <row r="130" spans="1:43" x14ac:dyDescent="0.25">
      <c r="A130" t="s">
        <v>4463</v>
      </c>
      <c r="B130" t="s">
        <v>176</v>
      </c>
      <c r="G130" t="s">
        <v>237</v>
      </c>
      <c r="H130" t="s">
        <v>3526</v>
      </c>
      <c r="I130" t="s">
        <v>3528</v>
      </c>
      <c r="J130" t="s">
        <v>33</v>
      </c>
      <c r="K130" t="s">
        <v>34</v>
      </c>
      <c r="L130" t="s">
        <v>35</v>
      </c>
      <c r="AQ130">
        <v>0</v>
      </c>
    </row>
    <row r="131" spans="1:43" x14ac:dyDescent="0.25">
      <c r="A131" t="s">
        <v>727</v>
      </c>
      <c r="B131" t="s">
        <v>414</v>
      </c>
      <c r="D131" t="s">
        <v>4464</v>
      </c>
      <c r="E131" t="s">
        <v>65</v>
      </c>
      <c r="F131" t="s">
        <v>261</v>
      </c>
      <c r="I131" t="s">
        <v>4465</v>
      </c>
      <c r="J131" t="s">
        <v>33</v>
      </c>
      <c r="K131" t="s">
        <v>34</v>
      </c>
      <c r="L131" t="s">
        <v>35</v>
      </c>
      <c r="Q131">
        <v>1</v>
      </c>
      <c r="R131">
        <v>3</v>
      </c>
      <c r="U131">
        <v>1</v>
      </c>
      <c r="V131">
        <v>20</v>
      </c>
      <c r="AG131">
        <v>1</v>
      </c>
      <c r="AH131">
        <v>1</v>
      </c>
      <c r="AM131">
        <v>1</v>
      </c>
      <c r="AN131">
        <v>25</v>
      </c>
      <c r="AQ131">
        <v>49</v>
      </c>
    </row>
    <row r="132" spans="1:43" x14ac:dyDescent="0.25">
      <c r="A132" t="s">
        <v>387</v>
      </c>
      <c r="B132" t="s">
        <v>1341</v>
      </c>
      <c r="D132" t="s">
        <v>1342</v>
      </c>
      <c r="F132" t="s">
        <v>261</v>
      </c>
      <c r="I132" t="s">
        <v>1343</v>
      </c>
      <c r="J132" t="s">
        <v>33</v>
      </c>
      <c r="K132" t="s">
        <v>34</v>
      </c>
      <c r="L132" t="s">
        <v>35</v>
      </c>
      <c r="S132">
        <v>4</v>
      </c>
      <c r="T132">
        <v>3</v>
      </c>
      <c r="W132">
        <v>1</v>
      </c>
      <c r="X132">
        <v>40</v>
      </c>
      <c r="AQ132">
        <v>52</v>
      </c>
    </row>
    <row r="133" spans="1:43" x14ac:dyDescent="0.25">
      <c r="A133" t="s">
        <v>1354</v>
      </c>
      <c r="B133" t="s">
        <v>1355</v>
      </c>
      <c r="D133" t="s">
        <v>1356</v>
      </c>
      <c r="E133" t="s">
        <v>1357</v>
      </c>
      <c r="F133" t="s">
        <v>261</v>
      </c>
      <c r="I133" t="s">
        <v>1358</v>
      </c>
      <c r="J133" t="s">
        <v>33</v>
      </c>
      <c r="K133" t="s">
        <v>34</v>
      </c>
      <c r="L133" t="s">
        <v>35</v>
      </c>
      <c r="S133">
        <v>1</v>
      </c>
      <c r="T133">
        <v>3</v>
      </c>
      <c r="AC133">
        <v>1</v>
      </c>
      <c r="AD133">
        <v>10</v>
      </c>
      <c r="AM133">
        <v>1</v>
      </c>
      <c r="AN133">
        <v>25</v>
      </c>
      <c r="AQ133">
        <v>38</v>
      </c>
    </row>
    <row r="134" spans="1:43" x14ac:dyDescent="0.25">
      <c r="A134" t="s">
        <v>47</v>
      </c>
      <c r="B134" t="s">
        <v>473</v>
      </c>
      <c r="G134" t="s">
        <v>2973</v>
      </c>
      <c r="H134" t="s">
        <v>2974</v>
      </c>
      <c r="I134" t="s">
        <v>2975</v>
      </c>
      <c r="J134" t="s">
        <v>33</v>
      </c>
      <c r="K134" t="s">
        <v>34</v>
      </c>
      <c r="L134" t="s">
        <v>35</v>
      </c>
      <c r="AQ134">
        <v>0</v>
      </c>
    </row>
    <row r="135" spans="1:43" x14ac:dyDescent="0.25">
      <c r="A135" t="s">
        <v>2739</v>
      </c>
      <c r="B135" t="s">
        <v>4489</v>
      </c>
      <c r="D135" t="s">
        <v>4490</v>
      </c>
      <c r="E135" t="s">
        <v>117</v>
      </c>
      <c r="F135" t="s">
        <v>261</v>
      </c>
      <c r="I135" t="s">
        <v>4491</v>
      </c>
      <c r="J135" t="s">
        <v>33</v>
      </c>
      <c r="K135" t="s">
        <v>34</v>
      </c>
      <c r="L135" t="s">
        <v>35</v>
      </c>
      <c r="Q135">
        <v>1</v>
      </c>
      <c r="R135">
        <v>3</v>
      </c>
      <c r="AC135">
        <v>1</v>
      </c>
      <c r="AD135">
        <v>10</v>
      </c>
      <c r="AQ135">
        <v>13</v>
      </c>
    </row>
    <row r="136" spans="1:43" x14ac:dyDescent="0.25">
      <c r="A136" t="s">
        <v>1364</v>
      </c>
      <c r="B136" t="s">
        <v>1365</v>
      </c>
      <c r="D136" t="s">
        <v>1364</v>
      </c>
      <c r="F136" t="s">
        <v>261</v>
      </c>
      <c r="I136" t="s">
        <v>1366</v>
      </c>
      <c r="J136" t="s">
        <v>33</v>
      </c>
      <c r="K136" t="s">
        <v>34</v>
      </c>
      <c r="L136" t="s">
        <v>35</v>
      </c>
      <c r="S136">
        <v>2</v>
      </c>
      <c r="T136">
        <v>3</v>
      </c>
      <c r="AC136">
        <v>1</v>
      </c>
      <c r="AD136">
        <v>10</v>
      </c>
      <c r="AK136">
        <v>2</v>
      </c>
      <c r="AL136">
        <v>6</v>
      </c>
      <c r="AQ136">
        <v>28</v>
      </c>
    </row>
    <row r="137" spans="1:43" x14ac:dyDescent="0.25">
      <c r="A137" t="s">
        <v>1379</v>
      </c>
      <c r="B137" t="s">
        <v>1380</v>
      </c>
      <c r="D137" t="s">
        <v>1381</v>
      </c>
      <c r="F137" t="s">
        <v>261</v>
      </c>
      <c r="I137" t="s">
        <v>1382</v>
      </c>
      <c r="J137" t="s">
        <v>33</v>
      </c>
      <c r="K137" t="s">
        <v>34</v>
      </c>
      <c r="L137" t="s">
        <v>35</v>
      </c>
      <c r="S137">
        <v>2</v>
      </c>
      <c r="T137">
        <v>3</v>
      </c>
      <c r="AQ137">
        <v>6</v>
      </c>
    </row>
    <row r="138" spans="1:43" x14ac:dyDescent="0.25">
      <c r="A138" t="s">
        <v>3498</v>
      </c>
      <c r="B138" t="s">
        <v>4507</v>
      </c>
      <c r="F138" t="s">
        <v>261</v>
      </c>
      <c r="I138" t="s">
        <v>4508</v>
      </c>
      <c r="J138" t="s">
        <v>33</v>
      </c>
      <c r="K138" t="s">
        <v>34</v>
      </c>
      <c r="L138" t="s">
        <v>35</v>
      </c>
      <c r="Q138">
        <v>1</v>
      </c>
      <c r="R138">
        <v>3</v>
      </c>
      <c r="AQ138">
        <v>3</v>
      </c>
    </row>
    <row r="139" spans="1:43" x14ac:dyDescent="0.25">
      <c r="A139" t="s">
        <v>707</v>
      </c>
      <c r="B139" t="s">
        <v>4509</v>
      </c>
      <c r="D139" t="s">
        <v>198</v>
      </c>
      <c r="F139" t="s">
        <v>261</v>
      </c>
      <c r="I139" t="s">
        <v>4510</v>
      </c>
      <c r="J139" t="s">
        <v>33</v>
      </c>
      <c r="K139" t="s">
        <v>34</v>
      </c>
      <c r="L139" t="s">
        <v>35</v>
      </c>
      <c r="Q139">
        <v>2</v>
      </c>
      <c r="R139">
        <v>3</v>
      </c>
      <c r="AE139">
        <v>1</v>
      </c>
      <c r="AF139">
        <v>6</v>
      </c>
      <c r="AM139">
        <v>2</v>
      </c>
      <c r="AN139">
        <v>25</v>
      </c>
      <c r="AQ139">
        <v>62</v>
      </c>
    </row>
    <row r="140" spans="1:43" x14ac:dyDescent="0.25">
      <c r="A140" t="s">
        <v>2715</v>
      </c>
      <c r="B140" t="s">
        <v>183</v>
      </c>
      <c r="D140" t="s">
        <v>2986</v>
      </c>
      <c r="F140" t="s">
        <v>261</v>
      </c>
      <c r="I140" t="s">
        <v>2716</v>
      </c>
      <c r="J140" t="s">
        <v>33</v>
      </c>
      <c r="K140" t="s">
        <v>34</v>
      </c>
      <c r="L140" t="s">
        <v>35</v>
      </c>
      <c r="Q140">
        <v>4</v>
      </c>
      <c r="R140">
        <v>3</v>
      </c>
      <c r="W140">
        <v>1</v>
      </c>
      <c r="X140">
        <v>40</v>
      </c>
      <c r="AQ140">
        <v>52</v>
      </c>
    </row>
    <row r="141" spans="1:43" x14ac:dyDescent="0.25">
      <c r="A141" t="s">
        <v>182</v>
      </c>
      <c r="B141" t="s">
        <v>183</v>
      </c>
      <c r="G141" t="s">
        <v>112</v>
      </c>
      <c r="H141" t="s">
        <v>1393</v>
      </c>
      <c r="I141" t="s">
        <v>1394</v>
      </c>
      <c r="J141" t="s">
        <v>33</v>
      </c>
      <c r="K141" t="s">
        <v>34</v>
      </c>
      <c r="L141" t="s">
        <v>35</v>
      </c>
      <c r="AQ141">
        <v>0</v>
      </c>
    </row>
    <row r="142" spans="1:43" x14ac:dyDescent="0.25">
      <c r="A142" t="s">
        <v>277</v>
      </c>
      <c r="B142" t="s">
        <v>183</v>
      </c>
      <c r="D142" t="s">
        <v>1395</v>
      </c>
      <c r="F142" t="s">
        <v>261</v>
      </c>
      <c r="I142" t="s">
        <v>884</v>
      </c>
      <c r="J142" t="s">
        <v>33</v>
      </c>
      <c r="K142" t="s">
        <v>34</v>
      </c>
      <c r="L142" t="s">
        <v>35</v>
      </c>
      <c r="Q142">
        <v>2</v>
      </c>
      <c r="R142">
        <v>3</v>
      </c>
      <c r="U142">
        <v>1</v>
      </c>
      <c r="V142">
        <v>20</v>
      </c>
      <c r="AI142">
        <v>1</v>
      </c>
      <c r="AJ142">
        <v>10</v>
      </c>
      <c r="AQ142">
        <v>36</v>
      </c>
    </row>
    <row r="143" spans="1:43" x14ac:dyDescent="0.25">
      <c r="A143" t="s">
        <v>1396</v>
      </c>
      <c r="B143" t="s">
        <v>1397</v>
      </c>
      <c r="G143" t="s">
        <v>890</v>
      </c>
      <c r="H143" t="s">
        <v>891</v>
      </c>
      <c r="I143" t="s">
        <v>1398</v>
      </c>
      <c r="J143" t="s">
        <v>33</v>
      </c>
      <c r="K143" t="s">
        <v>34</v>
      </c>
      <c r="L143" t="s">
        <v>35</v>
      </c>
      <c r="AQ143">
        <v>0</v>
      </c>
    </row>
    <row r="144" spans="1:43" x14ac:dyDescent="0.25">
      <c r="A144" t="s">
        <v>4537</v>
      </c>
      <c r="B144" t="s">
        <v>4538</v>
      </c>
      <c r="G144" t="s">
        <v>317</v>
      </c>
      <c r="H144" t="s">
        <v>113</v>
      </c>
      <c r="I144" t="s">
        <v>3988</v>
      </c>
      <c r="J144" t="s">
        <v>33</v>
      </c>
      <c r="K144" t="s">
        <v>34</v>
      </c>
      <c r="L144" t="s">
        <v>35</v>
      </c>
      <c r="AQ144">
        <v>0</v>
      </c>
    </row>
    <row r="145" spans="1:43" x14ac:dyDescent="0.25">
      <c r="A145" t="s">
        <v>4543</v>
      </c>
      <c r="B145" t="s">
        <v>4544</v>
      </c>
      <c r="D145" t="s">
        <v>1369</v>
      </c>
      <c r="E145" t="s">
        <v>201</v>
      </c>
      <c r="F145" t="s">
        <v>261</v>
      </c>
      <c r="I145" t="s">
        <v>4545</v>
      </c>
      <c r="J145" t="s">
        <v>33</v>
      </c>
      <c r="K145" t="s">
        <v>34</v>
      </c>
      <c r="L145" t="s">
        <v>35</v>
      </c>
      <c r="Q145">
        <v>1</v>
      </c>
      <c r="R145">
        <v>3</v>
      </c>
      <c r="AE145">
        <v>1</v>
      </c>
      <c r="AF145">
        <v>6</v>
      </c>
      <c r="AG145">
        <v>1</v>
      </c>
      <c r="AH145">
        <v>1</v>
      </c>
      <c r="AO145">
        <v>1</v>
      </c>
      <c r="AP145">
        <v>10</v>
      </c>
      <c r="AQ145">
        <v>20</v>
      </c>
    </row>
    <row r="146" spans="1:43" x14ac:dyDescent="0.25">
      <c r="A146" t="s">
        <v>4546</v>
      </c>
      <c r="B146" t="s">
        <v>4547</v>
      </c>
      <c r="D146" t="s">
        <v>4548</v>
      </c>
      <c r="F146" t="s">
        <v>261</v>
      </c>
      <c r="I146" t="s">
        <v>4549</v>
      </c>
      <c r="J146" t="s">
        <v>33</v>
      </c>
      <c r="K146" t="s">
        <v>34</v>
      </c>
      <c r="L146" t="s">
        <v>35</v>
      </c>
      <c r="Q146">
        <v>1</v>
      </c>
      <c r="R146">
        <v>3</v>
      </c>
      <c r="AQ146">
        <v>3</v>
      </c>
    </row>
    <row r="147" spans="1:43" x14ac:dyDescent="0.25">
      <c r="A147" t="s">
        <v>684</v>
      </c>
      <c r="B147" t="s">
        <v>4554</v>
      </c>
      <c r="D147" t="s">
        <v>4555</v>
      </c>
      <c r="F147" t="s">
        <v>261</v>
      </c>
      <c r="I147" t="s">
        <v>4556</v>
      </c>
      <c r="J147" t="s">
        <v>33</v>
      </c>
      <c r="K147" t="s">
        <v>34</v>
      </c>
      <c r="L147" t="s">
        <v>35</v>
      </c>
      <c r="Q147">
        <v>3</v>
      </c>
      <c r="R147">
        <v>3</v>
      </c>
      <c r="U147">
        <v>1</v>
      </c>
      <c r="V147">
        <v>20</v>
      </c>
      <c r="AQ147">
        <v>29</v>
      </c>
    </row>
    <row r="148" spans="1:43" x14ac:dyDescent="0.25">
      <c r="A148" t="s">
        <v>4557</v>
      </c>
      <c r="B148" t="s">
        <v>4554</v>
      </c>
      <c r="G148" t="s">
        <v>684</v>
      </c>
      <c r="H148" t="s">
        <v>4554</v>
      </c>
      <c r="I148" t="s">
        <v>4556</v>
      </c>
      <c r="J148" t="s">
        <v>33</v>
      </c>
      <c r="K148" t="s">
        <v>34</v>
      </c>
      <c r="L148" t="s">
        <v>35</v>
      </c>
      <c r="AQ148">
        <v>0</v>
      </c>
    </row>
    <row r="149" spans="1:43" s="7" customFormat="1" x14ac:dyDescent="0.25">
      <c r="A149" s="7" t="s">
        <v>1420</v>
      </c>
      <c r="B149" s="7" t="s">
        <v>1421</v>
      </c>
      <c r="C149"/>
      <c r="G149" s="7" t="s">
        <v>506</v>
      </c>
      <c r="H149" s="7" t="s">
        <v>302</v>
      </c>
      <c r="I149" s="7" t="s">
        <v>1422</v>
      </c>
      <c r="J149" s="7" t="s">
        <v>33</v>
      </c>
      <c r="K149" s="7" t="s">
        <v>34</v>
      </c>
      <c r="L149" s="7" t="s">
        <v>35</v>
      </c>
      <c r="AQ149" s="7">
        <v>0</v>
      </c>
    </row>
    <row r="150" spans="1:43" s="7" customFormat="1" x14ac:dyDescent="0.25">
      <c r="A150" s="7" t="s">
        <v>1421</v>
      </c>
      <c r="B150" s="7" t="s">
        <v>1421</v>
      </c>
      <c r="C150"/>
      <c r="G150" s="7" t="s">
        <v>2995</v>
      </c>
      <c r="H150" s="7" t="s">
        <v>2996</v>
      </c>
      <c r="I150" s="7" t="s">
        <v>2997</v>
      </c>
      <c r="J150" s="7" t="s">
        <v>33</v>
      </c>
      <c r="K150" s="7" t="s">
        <v>34</v>
      </c>
      <c r="L150" s="7" t="s">
        <v>35</v>
      </c>
      <c r="AQ150" s="7">
        <v>0</v>
      </c>
    </row>
    <row r="151" spans="1:43" s="7" customFormat="1" x14ac:dyDescent="0.25">
      <c r="A151" s="7" t="s">
        <v>1421</v>
      </c>
      <c r="B151" s="7" t="s">
        <v>1421</v>
      </c>
      <c r="C151"/>
      <c r="G151" s="7" t="s">
        <v>3004</v>
      </c>
      <c r="H151" s="7" t="s">
        <v>1441</v>
      </c>
      <c r="I151" s="7" t="s">
        <v>3005</v>
      </c>
      <c r="J151" s="7" t="s">
        <v>33</v>
      </c>
      <c r="K151" s="7" t="s">
        <v>34</v>
      </c>
      <c r="L151" s="7" t="s">
        <v>35</v>
      </c>
      <c r="AQ151" s="7">
        <v>0</v>
      </c>
    </row>
    <row r="152" spans="1:43" s="7" customFormat="1" x14ac:dyDescent="0.25">
      <c r="A152" s="7" t="s">
        <v>1421</v>
      </c>
      <c r="B152" s="7" t="s">
        <v>1421</v>
      </c>
      <c r="C152"/>
      <c r="G152" s="7" t="s">
        <v>776</v>
      </c>
      <c r="H152" s="7" t="s">
        <v>4582</v>
      </c>
      <c r="I152" s="7" t="s">
        <v>4583</v>
      </c>
      <c r="J152" s="7" t="s">
        <v>33</v>
      </c>
      <c r="K152" s="7" t="s">
        <v>34</v>
      </c>
      <c r="L152" s="7" t="s">
        <v>35</v>
      </c>
      <c r="AQ152" s="7">
        <v>0</v>
      </c>
    </row>
    <row r="153" spans="1:43" s="7" customFormat="1" x14ac:dyDescent="0.25">
      <c r="A153" s="7" t="s">
        <v>1421</v>
      </c>
      <c r="B153" s="7" t="s">
        <v>1421</v>
      </c>
      <c r="C153"/>
      <c r="G153" s="7" t="s">
        <v>4587</v>
      </c>
      <c r="H153" s="7" t="s">
        <v>4588</v>
      </c>
      <c r="I153" s="7" t="s">
        <v>4589</v>
      </c>
      <c r="J153" s="7" t="s">
        <v>33</v>
      </c>
      <c r="K153" s="7" t="s">
        <v>34</v>
      </c>
      <c r="L153" s="7" t="s">
        <v>35</v>
      </c>
      <c r="AQ153" s="7">
        <v>0</v>
      </c>
    </row>
    <row r="154" spans="1:43" s="7" customFormat="1" x14ac:dyDescent="0.25">
      <c r="A154" s="7" t="s">
        <v>1421</v>
      </c>
      <c r="B154" s="7" t="s">
        <v>1421</v>
      </c>
      <c r="C154"/>
      <c r="G154" s="7" t="s">
        <v>1426</v>
      </c>
      <c r="H154" s="7" t="s">
        <v>1427</v>
      </c>
      <c r="I154" s="7" t="s">
        <v>1428</v>
      </c>
      <c r="J154" s="7" t="s">
        <v>33</v>
      </c>
      <c r="K154" s="7" t="s">
        <v>34</v>
      </c>
      <c r="L154" s="7" t="s">
        <v>35</v>
      </c>
      <c r="AQ154" s="7">
        <v>0</v>
      </c>
    </row>
    <row r="155" spans="1:43" s="7" customFormat="1" x14ac:dyDescent="0.25">
      <c r="A155" s="7" t="s">
        <v>1421</v>
      </c>
      <c r="B155" s="7" t="s">
        <v>1421</v>
      </c>
      <c r="C155"/>
      <c r="G155" s="7" t="s">
        <v>691</v>
      </c>
      <c r="H155" s="7" t="s">
        <v>72</v>
      </c>
      <c r="I155" s="7" t="s">
        <v>692</v>
      </c>
      <c r="J155" s="7" t="s">
        <v>33</v>
      </c>
      <c r="K155" s="7" t="s">
        <v>34</v>
      </c>
      <c r="L155" s="7" t="s">
        <v>35</v>
      </c>
      <c r="AQ155" s="7">
        <v>0</v>
      </c>
    </row>
    <row r="156" spans="1:43" s="7" customFormat="1" x14ac:dyDescent="0.25">
      <c r="A156" s="7" t="s">
        <v>1421</v>
      </c>
      <c r="B156" s="7" t="s">
        <v>1421</v>
      </c>
      <c r="C156"/>
      <c r="G156" s="7" t="s">
        <v>151</v>
      </c>
      <c r="H156" s="7" t="s">
        <v>209</v>
      </c>
      <c r="I156" s="7" t="s">
        <v>1435</v>
      </c>
      <c r="J156" s="7" t="s">
        <v>33</v>
      </c>
      <c r="K156" s="7" t="s">
        <v>34</v>
      </c>
      <c r="L156" s="7" t="s">
        <v>35</v>
      </c>
      <c r="AQ156" s="7">
        <v>0</v>
      </c>
    </row>
    <row r="157" spans="1:43" s="7" customFormat="1" x14ac:dyDescent="0.25">
      <c r="A157" s="7" t="s">
        <v>2992</v>
      </c>
      <c r="B157" s="7" t="s">
        <v>1421</v>
      </c>
      <c r="C157"/>
      <c r="G157" s="7" t="s">
        <v>187</v>
      </c>
      <c r="H157" s="7" t="s">
        <v>3007</v>
      </c>
      <c r="I157" s="7" t="s">
        <v>3008</v>
      </c>
      <c r="J157" s="7" t="s">
        <v>33</v>
      </c>
      <c r="K157" s="7" t="s">
        <v>34</v>
      </c>
      <c r="L157" s="7" t="s">
        <v>35</v>
      </c>
      <c r="AQ157" s="7">
        <v>0</v>
      </c>
    </row>
    <row r="158" spans="1:43" s="7" customFormat="1" x14ac:dyDescent="0.25">
      <c r="A158" s="7" t="s">
        <v>1436</v>
      </c>
      <c r="B158" s="7" t="s">
        <v>1421</v>
      </c>
      <c r="C158"/>
      <c r="G158" s="7" t="s">
        <v>398</v>
      </c>
      <c r="H158" s="7" t="s">
        <v>409</v>
      </c>
      <c r="I158" s="7" t="s">
        <v>950</v>
      </c>
      <c r="J158" s="7" t="s">
        <v>33</v>
      </c>
      <c r="K158" s="7" t="s">
        <v>34</v>
      </c>
      <c r="L158" s="7" t="s">
        <v>35</v>
      </c>
      <c r="AQ158" s="7">
        <v>0</v>
      </c>
    </row>
    <row r="159" spans="1:43" s="7" customFormat="1" x14ac:dyDescent="0.25">
      <c r="A159" s="7" t="s">
        <v>4592</v>
      </c>
      <c r="B159" s="7" t="s">
        <v>1421</v>
      </c>
      <c r="C159"/>
      <c r="G159" s="7" t="s">
        <v>3772</v>
      </c>
      <c r="H159" s="7" t="s">
        <v>3773</v>
      </c>
      <c r="I159" s="7" t="s">
        <v>3775</v>
      </c>
      <c r="J159" s="7" t="s">
        <v>33</v>
      </c>
      <c r="K159" s="7" t="s">
        <v>34</v>
      </c>
      <c r="L159" s="7" t="s">
        <v>35</v>
      </c>
      <c r="AQ159" s="7">
        <v>0</v>
      </c>
    </row>
    <row r="160" spans="1:43" s="7" customFormat="1" x14ac:dyDescent="0.25">
      <c r="A160" s="7" t="s">
        <v>1437</v>
      </c>
      <c r="B160" s="7" t="s">
        <v>1421</v>
      </c>
      <c r="C160"/>
      <c r="G160" s="7" t="s">
        <v>387</v>
      </c>
      <c r="H160" s="7" t="s">
        <v>1341</v>
      </c>
      <c r="I160" s="7" t="s">
        <v>1343</v>
      </c>
      <c r="J160" s="7" t="s">
        <v>33</v>
      </c>
      <c r="K160" s="7" t="s">
        <v>34</v>
      </c>
      <c r="L160" s="7" t="s">
        <v>35</v>
      </c>
      <c r="AQ160" s="7">
        <v>0</v>
      </c>
    </row>
    <row r="161" spans="1:43" s="7" customFormat="1" x14ac:dyDescent="0.25">
      <c r="A161" s="7" t="s">
        <v>74</v>
      </c>
      <c r="B161" s="7" t="s">
        <v>1438</v>
      </c>
      <c r="C161"/>
      <c r="G161" s="7" t="s">
        <v>387</v>
      </c>
      <c r="H161" s="7" t="s">
        <v>1341</v>
      </c>
      <c r="I161" s="7" t="s">
        <v>1343</v>
      </c>
      <c r="J161" s="7" t="s">
        <v>33</v>
      </c>
      <c r="K161" s="7" t="s">
        <v>34</v>
      </c>
      <c r="L161" s="7" t="s">
        <v>35</v>
      </c>
      <c r="AQ161" s="7">
        <v>0</v>
      </c>
    </row>
    <row r="162" spans="1:43" s="7" customFormat="1" x14ac:dyDescent="0.25">
      <c r="A162" s="7" t="s">
        <v>187</v>
      </c>
      <c r="B162" s="7" t="s">
        <v>1438</v>
      </c>
      <c r="C162"/>
      <c r="G162" s="7" t="s">
        <v>398</v>
      </c>
      <c r="H162" s="7" t="s">
        <v>409</v>
      </c>
      <c r="I162" s="7" t="s">
        <v>950</v>
      </c>
      <c r="J162" s="7" t="s">
        <v>33</v>
      </c>
      <c r="K162" s="7" t="s">
        <v>34</v>
      </c>
      <c r="L162" s="7" t="s">
        <v>35</v>
      </c>
      <c r="AQ162" s="7">
        <v>0</v>
      </c>
    </row>
    <row r="163" spans="1:43" s="7" customFormat="1" x14ac:dyDescent="0.25">
      <c r="A163" s="7" t="s">
        <v>1439</v>
      </c>
      <c r="B163" s="7" t="s">
        <v>1438</v>
      </c>
      <c r="C163"/>
      <c r="G163" s="7" t="s">
        <v>506</v>
      </c>
      <c r="H163" s="7" t="s">
        <v>302</v>
      </c>
      <c r="I163" s="7" t="s">
        <v>1422</v>
      </c>
      <c r="J163" s="7" t="s">
        <v>33</v>
      </c>
      <c r="K163" s="7" t="s">
        <v>34</v>
      </c>
      <c r="L163" s="7" t="s">
        <v>35</v>
      </c>
      <c r="AQ163" s="7">
        <v>0</v>
      </c>
    </row>
    <row r="164" spans="1:43" s="7" customFormat="1" x14ac:dyDescent="0.25">
      <c r="A164" s="7" t="s">
        <v>1438</v>
      </c>
      <c r="B164" s="7" t="s">
        <v>1438</v>
      </c>
      <c r="C164"/>
      <c r="G164" s="7" t="s">
        <v>3009</v>
      </c>
      <c r="H164" s="7" t="s">
        <v>3010</v>
      </c>
      <c r="I164" s="7" t="s">
        <v>3011</v>
      </c>
      <c r="J164" s="7" t="s">
        <v>33</v>
      </c>
      <c r="K164" s="7" t="s">
        <v>34</v>
      </c>
      <c r="L164" s="7" t="s">
        <v>35</v>
      </c>
      <c r="AQ164" s="7">
        <v>0</v>
      </c>
    </row>
    <row r="165" spans="1:43" s="7" customFormat="1" x14ac:dyDescent="0.25">
      <c r="A165" s="7" t="s">
        <v>1438</v>
      </c>
      <c r="B165" s="7" t="s">
        <v>1438</v>
      </c>
      <c r="C165"/>
      <c r="G165" s="7" t="s">
        <v>4587</v>
      </c>
      <c r="H165" s="7" t="s">
        <v>4588</v>
      </c>
      <c r="I165" s="7" t="s">
        <v>4589</v>
      </c>
      <c r="J165" s="7" t="s">
        <v>33</v>
      </c>
      <c r="K165" s="7" t="s">
        <v>34</v>
      </c>
      <c r="L165" s="7" t="s">
        <v>35</v>
      </c>
      <c r="AQ165" s="7">
        <v>0</v>
      </c>
    </row>
    <row r="166" spans="1:43" s="7" customFormat="1" x14ac:dyDescent="0.25">
      <c r="A166" s="7" t="s">
        <v>1438</v>
      </c>
      <c r="B166" s="7" t="s">
        <v>1438</v>
      </c>
      <c r="C166"/>
      <c r="G166" s="7" t="s">
        <v>151</v>
      </c>
      <c r="H166" s="7" t="s">
        <v>209</v>
      </c>
      <c r="I166" s="7" t="s">
        <v>1435</v>
      </c>
      <c r="J166" s="7" t="s">
        <v>33</v>
      </c>
      <c r="K166" s="7" t="s">
        <v>34</v>
      </c>
      <c r="L166" s="7" t="s">
        <v>35</v>
      </c>
      <c r="AQ166" s="7">
        <v>0</v>
      </c>
    </row>
    <row r="167" spans="1:43" s="7" customFormat="1" x14ac:dyDescent="0.25">
      <c r="A167" s="7" t="s">
        <v>213</v>
      </c>
      <c r="B167" s="7" t="s">
        <v>1438</v>
      </c>
      <c r="C167"/>
      <c r="G167" s="7" t="s">
        <v>187</v>
      </c>
      <c r="H167" s="7" t="s">
        <v>3007</v>
      </c>
      <c r="I167" s="7" t="s">
        <v>3008</v>
      </c>
      <c r="J167" s="7" t="s">
        <v>33</v>
      </c>
      <c r="K167" s="7" t="s">
        <v>34</v>
      </c>
      <c r="L167" s="7" t="s">
        <v>35</v>
      </c>
      <c r="AQ167" s="7">
        <v>0</v>
      </c>
    </row>
    <row r="168" spans="1:43" s="7" customFormat="1" x14ac:dyDescent="0.25">
      <c r="A168" s="7" t="s">
        <v>1443</v>
      </c>
      <c r="B168" s="7" t="s">
        <v>1444</v>
      </c>
      <c r="C168"/>
      <c r="G168" s="7" t="s">
        <v>398</v>
      </c>
      <c r="H168" s="7" t="s">
        <v>409</v>
      </c>
      <c r="I168" s="7" t="s">
        <v>950</v>
      </c>
      <c r="J168" s="7" t="s">
        <v>33</v>
      </c>
      <c r="K168" s="7" t="s">
        <v>34</v>
      </c>
      <c r="L168" s="7" t="s">
        <v>35</v>
      </c>
      <c r="AQ168" s="7">
        <v>0</v>
      </c>
    </row>
    <row r="169" spans="1:43" s="7" customFormat="1" x14ac:dyDescent="0.25">
      <c r="A169" s="7" t="s">
        <v>310</v>
      </c>
      <c r="B169" s="7" t="s">
        <v>1444</v>
      </c>
      <c r="C169"/>
      <c r="G169" s="7" t="s">
        <v>170</v>
      </c>
      <c r="H169" s="7" t="s">
        <v>4043</v>
      </c>
      <c r="I169" s="7" t="s">
        <v>4044</v>
      </c>
      <c r="J169" s="7" t="s">
        <v>33</v>
      </c>
      <c r="K169" s="7" t="s">
        <v>34</v>
      </c>
      <c r="L169" s="7" t="s">
        <v>35</v>
      </c>
      <c r="AQ169" s="7">
        <v>0</v>
      </c>
    </row>
    <row r="170" spans="1:43" s="7" customFormat="1" x14ac:dyDescent="0.25">
      <c r="A170" s="7" t="s">
        <v>1447</v>
      </c>
      <c r="B170" s="7" t="s">
        <v>1444</v>
      </c>
      <c r="C170"/>
      <c r="G170" s="7" t="s">
        <v>506</v>
      </c>
      <c r="H170" s="7" t="s">
        <v>302</v>
      </c>
      <c r="I170" s="7" t="s">
        <v>1422</v>
      </c>
      <c r="J170" s="7" t="s">
        <v>33</v>
      </c>
      <c r="K170" s="7" t="s">
        <v>34</v>
      </c>
      <c r="L170" s="7" t="s">
        <v>35</v>
      </c>
      <c r="AQ170" s="7">
        <v>0</v>
      </c>
    </row>
    <row r="171" spans="1:43" s="7" customFormat="1" x14ac:dyDescent="0.25">
      <c r="A171" s="7" t="s">
        <v>1444</v>
      </c>
      <c r="B171" s="7" t="s">
        <v>1444</v>
      </c>
      <c r="C171"/>
      <c r="G171" s="7" t="s">
        <v>3009</v>
      </c>
      <c r="H171" s="7" t="s">
        <v>3010</v>
      </c>
      <c r="I171" s="7" t="s">
        <v>3011</v>
      </c>
      <c r="J171" s="7" t="s">
        <v>33</v>
      </c>
      <c r="K171" s="7" t="s">
        <v>34</v>
      </c>
      <c r="L171" s="7" t="s">
        <v>35</v>
      </c>
      <c r="AQ171" s="7">
        <v>0</v>
      </c>
    </row>
    <row r="172" spans="1:43" s="7" customFormat="1" x14ac:dyDescent="0.25">
      <c r="A172" s="7" t="s">
        <v>1444</v>
      </c>
      <c r="B172" s="7" t="s">
        <v>1444</v>
      </c>
      <c r="C172"/>
      <c r="G172" s="7" t="s">
        <v>2707</v>
      </c>
      <c r="H172" s="7" t="s">
        <v>2708</v>
      </c>
      <c r="I172" s="7" t="s">
        <v>2709</v>
      </c>
      <c r="J172" s="7" t="s">
        <v>33</v>
      </c>
      <c r="K172" s="7" t="s">
        <v>34</v>
      </c>
      <c r="L172" s="7" t="s">
        <v>35</v>
      </c>
      <c r="AQ172" s="7">
        <v>0</v>
      </c>
    </row>
    <row r="173" spans="1:43" s="7" customFormat="1" x14ac:dyDescent="0.25">
      <c r="A173" s="7" t="s">
        <v>1444</v>
      </c>
      <c r="B173" s="7" t="s">
        <v>1444</v>
      </c>
      <c r="C173"/>
      <c r="G173" s="7" t="s">
        <v>1448</v>
      </c>
      <c r="H173" s="7" t="s">
        <v>1449</v>
      </c>
      <c r="I173" s="7" t="s">
        <v>1450</v>
      </c>
      <c r="J173" s="7" t="s">
        <v>33</v>
      </c>
      <c r="K173" s="7" t="s">
        <v>34</v>
      </c>
      <c r="L173" s="7" t="s">
        <v>35</v>
      </c>
      <c r="AQ173" s="7">
        <v>0</v>
      </c>
    </row>
    <row r="174" spans="1:43" s="7" customFormat="1" x14ac:dyDescent="0.25">
      <c r="A174" s="7" t="s">
        <v>1444</v>
      </c>
      <c r="B174" s="7" t="s">
        <v>1444</v>
      </c>
      <c r="C174"/>
      <c r="G174" s="7" t="s">
        <v>151</v>
      </c>
      <c r="H174" s="7" t="s">
        <v>209</v>
      </c>
      <c r="I174" s="7" t="s">
        <v>1435</v>
      </c>
      <c r="J174" s="7" t="s">
        <v>33</v>
      </c>
      <c r="K174" s="7" t="s">
        <v>34</v>
      </c>
      <c r="L174" s="7" t="s">
        <v>35</v>
      </c>
      <c r="AQ174" s="7">
        <v>0</v>
      </c>
    </row>
    <row r="175" spans="1:43" s="7" customFormat="1" x14ac:dyDescent="0.25">
      <c r="A175" s="7" t="s">
        <v>1451</v>
      </c>
      <c r="B175" s="7" t="s">
        <v>1444</v>
      </c>
      <c r="C175"/>
      <c r="G175" s="7" t="s">
        <v>387</v>
      </c>
      <c r="H175" s="7" t="s">
        <v>1341</v>
      </c>
      <c r="I175" s="7" t="s">
        <v>1343</v>
      </c>
      <c r="J175" s="7" t="s">
        <v>33</v>
      </c>
      <c r="K175" s="7" t="s">
        <v>34</v>
      </c>
      <c r="L175" s="7" t="s">
        <v>35</v>
      </c>
      <c r="AQ175" s="7">
        <v>0</v>
      </c>
    </row>
    <row r="176" spans="1:43" s="7" customFormat="1" x14ac:dyDescent="0.25">
      <c r="A176" s="7" t="s">
        <v>4606</v>
      </c>
      <c r="B176" s="7" t="s">
        <v>1444</v>
      </c>
      <c r="C176"/>
      <c r="G176" s="7" t="s">
        <v>3579</v>
      </c>
      <c r="H176" s="7" t="s">
        <v>3580</v>
      </c>
      <c r="I176" s="7" t="s">
        <v>3581</v>
      </c>
      <c r="J176" s="7" t="s">
        <v>33</v>
      </c>
      <c r="K176" s="7" t="s">
        <v>34</v>
      </c>
      <c r="L176" s="7" t="s">
        <v>35</v>
      </c>
      <c r="AQ176" s="7">
        <v>0</v>
      </c>
    </row>
    <row r="177" spans="1:43" s="7" customFormat="1" x14ac:dyDescent="0.25">
      <c r="A177" s="7" t="s">
        <v>163</v>
      </c>
      <c r="B177" s="7" t="s">
        <v>1444</v>
      </c>
      <c r="C177"/>
      <c r="G177" s="7" t="s">
        <v>187</v>
      </c>
      <c r="H177" s="7" t="s">
        <v>3007</v>
      </c>
      <c r="I177" s="7" t="s">
        <v>3008</v>
      </c>
      <c r="J177" s="7" t="s">
        <v>33</v>
      </c>
      <c r="K177" s="7" t="s">
        <v>34</v>
      </c>
      <c r="L177" s="7" t="s">
        <v>35</v>
      </c>
      <c r="AQ177" s="7">
        <v>0</v>
      </c>
    </row>
    <row r="178" spans="1:43" s="7" customFormat="1" x14ac:dyDescent="0.25">
      <c r="A178" s="7" t="s">
        <v>1453</v>
      </c>
      <c r="B178" s="7" t="s">
        <v>1452</v>
      </c>
      <c r="C178"/>
      <c r="G178" s="7" t="s">
        <v>506</v>
      </c>
      <c r="H178" s="7" t="s">
        <v>302</v>
      </c>
      <c r="I178" s="7" t="s">
        <v>1422</v>
      </c>
      <c r="J178" s="7" t="s">
        <v>33</v>
      </c>
      <c r="K178" s="7" t="s">
        <v>34</v>
      </c>
      <c r="L178" s="7" t="s">
        <v>35</v>
      </c>
      <c r="AQ178" s="7">
        <v>0</v>
      </c>
    </row>
    <row r="179" spans="1:43" s="7" customFormat="1" x14ac:dyDescent="0.25">
      <c r="A179" s="7" t="s">
        <v>1452</v>
      </c>
      <c r="B179" s="7" t="s">
        <v>1452</v>
      </c>
      <c r="C179"/>
      <c r="G179" s="7" t="s">
        <v>151</v>
      </c>
      <c r="H179" s="7" t="s">
        <v>209</v>
      </c>
      <c r="I179" s="7" t="s">
        <v>1435</v>
      </c>
      <c r="J179" s="7" t="s">
        <v>33</v>
      </c>
      <c r="K179" s="7" t="s">
        <v>34</v>
      </c>
      <c r="L179" s="7" t="s">
        <v>35</v>
      </c>
      <c r="AQ179" s="7">
        <v>0</v>
      </c>
    </row>
    <row r="180" spans="1:43" s="7" customFormat="1" x14ac:dyDescent="0.25">
      <c r="A180" s="7" t="s">
        <v>1454</v>
      </c>
      <c r="B180" s="7" t="s">
        <v>1455</v>
      </c>
      <c r="C180"/>
      <c r="G180" s="7" t="s">
        <v>506</v>
      </c>
      <c r="H180" s="7" t="s">
        <v>302</v>
      </c>
      <c r="I180" s="7" t="s">
        <v>1422</v>
      </c>
      <c r="J180" s="7" t="s">
        <v>33</v>
      </c>
      <c r="K180" s="7" t="s">
        <v>34</v>
      </c>
      <c r="L180" s="7" t="s">
        <v>35</v>
      </c>
      <c r="AQ180" s="7">
        <v>0</v>
      </c>
    </row>
    <row r="181" spans="1:43" s="7" customFormat="1" x14ac:dyDescent="0.25">
      <c r="A181" s="7" t="s">
        <v>1455</v>
      </c>
      <c r="B181" s="7" t="s">
        <v>1455</v>
      </c>
      <c r="C181"/>
      <c r="G181" s="7" t="s">
        <v>151</v>
      </c>
      <c r="H181" s="7" t="s">
        <v>209</v>
      </c>
      <c r="I181" s="7" t="s">
        <v>1435</v>
      </c>
      <c r="J181" s="7" t="s">
        <v>33</v>
      </c>
      <c r="K181" s="7" t="s">
        <v>34</v>
      </c>
      <c r="L181" s="7" t="s">
        <v>35</v>
      </c>
      <c r="AQ181" s="7">
        <v>0</v>
      </c>
    </row>
    <row r="182" spans="1:43" s="7" customFormat="1" x14ac:dyDescent="0.25">
      <c r="A182" s="7" t="s">
        <v>1458</v>
      </c>
      <c r="B182" s="7" t="s">
        <v>1459</v>
      </c>
      <c r="C182"/>
      <c r="G182" s="7" t="s">
        <v>506</v>
      </c>
      <c r="H182" s="7" t="s">
        <v>302</v>
      </c>
      <c r="I182" s="7" t="s">
        <v>1422</v>
      </c>
      <c r="J182" s="7" t="s">
        <v>33</v>
      </c>
      <c r="K182" s="7" t="s">
        <v>34</v>
      </c>
      <c r="L182" s="7" t="s">
        <v>35</v>
      </c>
      <c r="AQ182" s="7">
        <v>0</v>
      </c>
    </row>
    <row r="183" spans="1:43" s="7" customFormat="1" x14ac:dyDescent="0.25">
      <c r="A183" s="7" t="s">
        <v>1459</v>
      </c>
      <c r="B183" s="7" t="s">
        <v>1459</v>
      </c>
      <c r="C183"/>
      <c r="G183" s="7" t="s">
        <v>456</v>
      </c>
      <c r="H183" s="7" t="s">
        <v>1441</v>
      </c>
      <c r="I183" s="7" t="s">
        <v>3016</v>
      </c>
      <c r="J183" s="7" t="s">
        <v>33</v>
      </c>
      <c r="K183" s="7" t="s">
        <v>34</v>
      </c>
      <c r="L183" s="7" t="s">
        <v>35</v>
      </c>
      <c r="AQ183" s="7">
        <v>0</v>
      </c>
    </row>
    <row r="184" spans="1:43" s="7" customFormat="1" x14ac:dyDescent="0.25">
      <c r="A184" s="7" t="s">
        <v>1459</v>
      </c>
      <c r="B184" s="7" t="s">
        <v>1459</v>
      </c>
      <c r="C184"/>
      <c r="G184" s="7" t="s">
        <v>151</v>
      </c>
      <c r="H184" s="7" t="s">
        <v>209</v>
      </c>
      <c r="I184" s="7" t="s">
        <v>1435</v>
      </c>
      <c r="J184" s="7" t="s">
        <v>33</v>
      </c>
      <c r="K184" s="7" t="s">
        <v>34</v>
      </c>
      <c r="L184" s="7" t="s">
        <v>35</v>
      </c>
      <c r="AQ184" s="7">
        <v>0</v>
      </c>
    </row>
    <row r="185" spans="1:43" s="7" customFormat="1" x14ac:dyDescent="0.25">
      <c r="A185" s="7" t="s">
        <v>1460</v>
      </c>
      <c r="B185" s="7" t="s">
        <v>1461</v>
      </c>
      <c r="C185"/>
      <c r="G185" s="7" t="s">
        <v>506</v>
      </c>
      <c r="H185" s="7" t="s">
        <v>302</v>
      </c>
      <c r="I185" s="7" t="s">
        <v>1422</v>
      </c>
      <c r="J185" s="7" t="s">
        <v>33</v>
      </c>
      <c r="K185" s="7" t="s">
        <v>34</v>
      </c>
      <c r="L185" s="7" t="s">
        <v>35</v>
      </c>
      <c r="AQ185" s="7">
        <v>0</v>
      </c>
    </row>
    <row r="186" spans="1:43" s="7" customFormat="1" x14ac:dyDescent="0.25">
      <c r="A186" s="7" t="s">
        <v>1461</v>
      </c>
      <c r="B186" s="7" t="s">
        <v>1461</v>
      </c>
      <c r="C186"/>
      <c r="G186" s="7" t="s">
        <v>151</v>
      </c>
      <c r="H186" s="7" t="s">
        <v>209</v>
      </c>
      <c r="I186" s="7" t="s">
        <v>1435</v>
      </c>
      <c r="J186" s="7" t="s">
        <v>33</v>
      </c>
      <c r="K186" s="7" t="s">
        <v>34</v>
      </c>
      <c r="L186" s="7" t="s">
        <v>35</v>
      </c>
      <c r="AQ186" s="7">
        <v>0</v>
      </c>
    </row>
    <row r="187" spans="1:43" s="7" customFormat="1" x14ac:dyDescent="0.25">
      <c r="A187" s="7" t="s">
        <v>1462</v>
      </c>
      <c r="B187" s="7" t="s">
        <v>1463</v>
      </c>
      <c r="C187"/>
      <c r="G187" s="7" t="s">
        <v>506</v>
      </c>
      <c r="H187" s="7" t="s">
        <v>302</v>
      </c>
      <c r="I187" s="7" t="s">
        <v>1422</v>
      </c>
      <c r="J187" s="7" t="s">
        <v>33</v>
      </c>
      <c r="K187" s="7" t="s">
        <v>34</v>
      </c>
      <c r="L187" s="7" t="s">
        <v>35</v>
      </c>
      <c r="AQ187" s="7">
        <v>0</v>
      </c>
    </row>
    <row r="188" spans="1:43" s="7" customFormat="1" x14ac:dyDescent="0.25">
      <c r="A188" s="7" t="s">
        <v>1464</v>
      </c>
      <c r="B188" s="7" t="s">
        <v>1464</v>
      </c>
      <c r="C188"/>
      <c r="G188" s="7" t="s">
        <v>506</v>
      </c>
      <c r="H188" s="7" t="s">
        <v>302</v>
      </c>
      <c r="I188" s="7" t="s">
        <v>1422</v>
      </c>
      <c r="J188" s="7" t="s">
        <v>33</v>
      </c>
      <c r="K188" s="7" t="s">
        <v>34</v>
      </c>
      <c r="L188" s="7" t="s">
        <v>35</v>
      </c>
      <c r="AQ188" s="7">
        <v>0</v>
      </c>
    </row>
    <row r="189" spans="1:43" s="7" customFormat="1" x14ac:dyDescent="0.25">
      <c r="A189" s="7" t="s">
        <v>1469</v>
      </c>
      <c r="B189" s="7" t="s">
        <v>334</v>
      </c>
      <c r="C189"/>
      <c r="D189" s="7" t="s">
        <v>1469</v>
      </c>
      <c r="E189" s="7" t="s">
        <v>117</v>
      </c>
      <c r="F189" s="7" t="s">
        <v>261</v>
      </c>
      <c r="I189" s="7" t="s">
        <v>1470</v>
      </c>
      <c r="J189" s="7" t="s">
        <v>33</v>
      </c>
      <c r="K189" s="7" t="s">
        <v>34</v>
      </c>
      <c r="L189" s="7" t="s">
        <v>35</v>
      </c>
      <c r="S189" s="7">
        <v>2</v>
      </c>
      <c r="T189" s="7">
        <v>3</v>
      </c>
      <c r="U189" s="7">
        <v>1</v>
      </c>
      <c r="V189" s="7">
        <v>20</v>
      </c>
      <c r="AQ189" s="7">
        <v>26</v>
      </c>
    </row>
    <row r="190" spans="1:43" s="7" customFormat="1" x14ac:dyDescent="0.25">
      <c r="A190" s="7" t="s">
        <v>1471</v>
      </c>
      <c r="B190" s="7" t="s">
        <v>334</v>
      </c>
      <c r="C190"/>
      <c r="G190" s="7" t="s">
        <v>105</v>
      </c>
      <c r="H190" s="7" t="s">
        <v>428</v>
      </c>
      <c r="I190" s="7" t="s">
        <v>555</v>
      </c>
      <c r="J190" s="7" t="s">
        <v>33</v>
      </c>
      <c r="K190" s="7" t="s">
        <v>34</v>
      </c>
      <c r="L190" s="7" t="s">
        <v>35</v>
      </c>
      <c r="AQ190" s="7">
        <v>0</v>
      </c>
    </row>
    <row r="191" spans="1:43" x14ac:dyDescent="0.25">
      <c r="A191" t="s">
        <v>3577</v>
      </c>
      <c r="B191" t="s">
        <v>745</v>
      </c>
      <c r="D191" t="s">
        <v>4628</v>
      </c>
      <c r="F191" t="s">
        <v>261</v>
      </c>
      <c r="I191" t="s">
        <v>4629</v>
      </c>
      <c r="J191" t="s">
        <v>33</v>
      </c>
      <c r="K191" t="s">
        <v>34</v>
      </c>
      <c r="L191" t="s">
        <v>35</v>
      </c>
      <c r="Q191">
        <v>2</v>
      </c>
      <c r="R191">
        <v>3</v>
      </c>
      <c r="AC191">
        <v>2</v>
      </c>
      <c r="AD191">
        <v>10</v>
      </c>
      <c r="AQ191">
        <v>26</v>
      </c>
    </row>
    <row r="192" spans="1:43" x14ac:dyDescent="0.25">
      <c r="A192" t="s">
        <v>744</v>
      </c>
      <c r="B192" t="s">
        <v>745</v>
      </c>
      <c r="D192" t="s">
        <v>744</v>
      </c>
      <c r="F192" t="s">
        <v>261</v>
      </c>
      <c r="I192" t="s">
        <v>746</v>
      </c>
      <c r="J192" t="s">
        <v>33</v>
      </c>
      <c r="K192" t="s">
        <v>34</v>
      </c>
      <c r="L192" t="s">
        <v>35</v>
      </c>
      <c r="Q192">
        <v>2</v>
      </c>
      <c r="R192">
        <v>3</v>
      </c>
      <c r="AC192">
        <v>2</v>
      </c>
      <c r="AD192">
        <v>10</v>
      </c>
      <c r="AK192">
        <v>2</v>
      </c>
      <c r="AL192">
        <v>6</v>
      </c>
      <c r="AQ192">
        <v>38</v>
      </c>
    </row>
    <row r="193" spans="1:43" x14ac:dyDescent="0.25">
      <c r="A193" t="s">
        <v>4641</v>
      </c>
      <c r="B193" t="s">
        <v>4642</v>
      </c>
      <c r="G193" t="s">
        <v>4643</v>
      </c>
      <c r="H193" t="s">
        <v>4644</v>
      </c>
      <c r="I193" t="s">
        <v>4645</v>
      </c>
      <c r="J193" t="s">
        <v>33</v>
      </c>
      <c r="K193" t="s">
        <v>34</v>
      </c>
      <c r="L193" t="s">
        <v>35</v>
      </c>
      <c r="AQ193">
        <v>0</v>
      </c>
    </row>
    <row r="194" spans="1:43" x14ac:dyDescent="0.25">
      <c r="A194" t="s">
        <v>48</v>
      </c>
      <c r="B194" t="s">
        <v>462</v>
      </c>
      <c r="D194" t="s">
        <v>48</v>
      </c>
      <c r="E194" t="s">
        <v>53</v>
      </c>
      <c r="F194" t="s">
        <v>261</v>
      </c>
      <c r="I194" t="s">
        <v>1511</v>
      </c>
      <c r="J194" t="s">
        <v>33</v>
      </c>
      <c r="K194" t="s">
        <v>34</v>
      </c>
      <c r="L194" t="s">
        <v>35</v>
      </c>
      <c r="S194">
        <v>1</v>
      </c>
      <c r="T194">
        <v>3</v>
      </c>
      <c r="AC194">
        <v>1</v>
      </c>
      <c r="AD194">
        <v>10</v>
      </c>
      <c r="AQ194">
        <v>13</v>
      </c>
    </row>
    <row r="195" spans="1:43" x14ac:dyDescent="0.25">
      <c r="A195" t="s">
        <v>2707</v>
      </c>
      <c r="B195" t="s">
        <v>2708</v>
      </c>
      <c r="D195" t="s">
        <v>3031</v>
      </c>
      <c r="F195" t="s">
        <v>261</v>
      </c>
      <c r="I195" t="s">
        <v>2709</v>
      </c>
      <c r="J195" t="s">
        <v>33</v>
      </c>
      <c r="K195" t="s">
        <v>34</v>
      </c>
      <c r="L195" t="s">
        <v>35</v>
      </c>
      <c r="Q195">
        <v>4</v>
      </c>
      <c r="R195">
        <v>3</v>
      </c>
      <c r="U195">
        <v>1</v>
      </c>
      <c r="V195">
        <v>20</v>
      </c>
      <c r="AG195">
        <v>2</v>
      </c>
      <c r="AH195">
        <v>1</v>
      </c>
      <c r="AQ195">
        <v>34</v>
      </c>
    </row>
    <row r="196" spans="1:43" x14ac:dyDescent="0.25">
      <c r="A196" t="s">
        <v>2700</v>
      </c>
      <c r="B196" t="s">
        <v>355</v>
      </c>
      <c r="D196" t="s">
        <v>3037</v>
      </c>
      <c r="E196" t="s">
        <v>65</v>
      </c>
      <c r="I196" t="s">
        <v>3038</v>
      </c>
      <c r="J196" t="s">
        <v>33</v>
      </c>
      <c r="K196" t="s">
        <v>34</v>
      </c>
      <c r="L196" t="s">
        <v>35</v>
      </c>
      <c r="Q196">
        <v>1</v>
      </c>
      <c r="R196">
        <v>3</v>
      </c>
      <c r="AQ196">
        <v>3</v>
      </c>
    </row>
    <row r="197" spans="1:43" x14ac:dyDescent="0.25">
      <c r="A197" t="s">
        <v>4693</v>
      </c>
      <c r="B197" t="s">
        <v>4694</v>
      </c>
      <c r="D197" t="s">
        <v>4695</v>
      </c>
      <c r="E197" t="s">
        <v>53</v>
      </c>
      <c r="F197" t="s">
        <v>261</v>
      </c>
      <c r="I197" t="s">
        <v>4696</v>
      </c>
      <c r="J197" t="s">
        <v>33</v>
      </c>
      <c r="K197" t="s">
        <v>34</v>
      </c>
      <c r="L197" t="s">
        <v>35</v>
      </c>
      <c r="Q197">
        <v>5</v>
      </c>
      <c r="R197">
        <v>3</v>
      </c>
      <c r="AM197">
        <v>5</v>
      </c>
      <c r="AN197">
        <v>25</v>
      </c>
      <c r="AQ197">
        <v>140</v>
      </c>
    </row>
    <row r="198" spans="1:43" x14ac:dyDescent="0.25">
      <c r="A198" t="s">
        <v>3710</v>
      </c>
      <c r="B198" t="s">
        <v>4694</v>
      </c>
      <c r="G198" t="s">
        <v>4693</v>
      </c>
      <c r="H198" t="s">
        <v>4694</v>
      </c>
      <c r="I198" t="s">
        <v>4696</v>
      </c>
      <c r="J198" t="s">
        <v>33</v>
      </c>
      <c r="K198" t="s">
        <v>34</v>
      </c>
      <c r="L198" t="s">
        <v>35</v>
      </c>
      <c r="AQ198">
        <v>0</v>
      </c>
    </row>
    <row r="199" spans="1:43" x14ac:dyDescent="0.25">
      <c r="A199" t="s">
        <v>1441</v>
      </c>
      <c r="B199" t="s">
        <v>4694</v>
      </c>
      <c r="G199" t="s">
        <v>4693</v>
      </c>
      <c r="H199" t="s">
        <v>4694</v>
      </c>
      <c r="I199" t="s">
        <v>4696</v>
      </c>
      <c r="J199" t="s">
        <v>33</v>
      </c>
      <c r="K199" t="s">
        <v>34</v>
      </c>
      <c r="L199" t="s">
        <v>35</v>
      </c>
      <c r="AQ199">
        <v>0</v>
      </c>
    </row>
    <row r="200" spans="1:43" x14ac:dyDescent="0.25">
      <c r="A200" t="s">
        <v>52</v>
      </c>
      <c r="B200" t="s">
        <v>4694</v>
      </c>
      <c r="G200" t="s">
        <v>4693</v>
      </c>
      <c r="H200" t="s">
        <v>4694</v>
      </c>
      <c r="I200" t="s">
        <v>4696</v>
      </c>
      <c r="J200" t="s">
        <v>33</v>
      </c>
      <c r="K200" t="s">
        <v>34</v>
      </c>
      <c r="L200" t="s">
        <v>35</v>
      </c>
      <c r="AQ200">
        <v>0</v>
      </c>
    </row>
    <row r="201" spans="1:43" x14ac:dyDescent="0.25">
      <c r="A201" t="s">
        <v>848</v>
      </c>
      <c r="B201" t="s">
        <v>4694</v>
      </c>
      <c r="G201" t="s">
        <v>4693</v>
      </c>
      <c r="H201" t="s">
        <v>4694</v>
      </c>
      <c r="I201" t="s">
        <v>4696</v>
      </c>
      <c r="J201" t="s">
        <v>33</v>
      </c>
      <c r="K201" t="s">
        <v>34</v>
      </c>
      <c r="L201" t="s">
        <v>35</v>
      </c>
      <c r="AQ201">
        <v>0</v>
      </c>
    </row>
    <row r="202" spans="1:43" x14ac:dyDescent="0.25">
      <c r="A202" t="s">
        <v>4706</v>
      </c>
      <c r="B202" t="s">
        <v>4707</v>
      </c>
      <c r="G202" t="s">
        <v>4364</v>
      </c>
      <c r="H202" t="s">
        <v>4365</v>
      </c>
      <c r="I202" t="s">
        <v>4366</v>
      </c>
      <c r="J202" t="s">
        <v>33</v>
      </c>
      <c r="K202" t="s">
        <v>34</v>
      </c>
      <c r="L202" t="s">
        <v>35</v>
      </c>
      <c r="AQ202">
        <v>0</v>
      </c>
    </row>
    <row r="203" spans="1:43" x14ac:dyDescent="0.25">
      <c r="A203" t="s">
        <v>1540</v>
      </c>
      <c r="B203" t="s">
        <v>1541</v>
      </c>
      <c r="G203" t="s">
        <v>1542</v>
      </c>
      <c r="H203" t="s">
        <v>1543</v>
      </c>
      <c r="I203" t="s">
        <v>1544</v>
      </c>
      <c r="J203" t="s">
        <v>33</v>
      </c>
      <c r="K203" t="s">
        <v>34</v>
      </c>
      <c r="L203" t="s">
        <v>35</v>
      </c>
      <c r="AQ203">
        <v>0</v>
      </c>
    </row>
    <row r="204" spans="1:43" x14ac:dyDescent="0.25">
      <c r="A204" t="s">
        <v>4743</v>
      </c>
      <c r="B204" t="s">
        <v>4744</v>
      </c>
      <c r="I204" t="s">
        <v>4745</v>
      </c>
      <c r="J204" t="s">
        <v>33</v>
      </c>
      <c r="K204" t="s">
        <v>34</v>
      </c>
      <c r="L204" t="s">
        <v>35</v>
      </c>
      <c r="Q204">
        <v>1</v>
      </c>
      <c r="R204">
        <v>3</v>
      </c>
      <c r="AQ204">
        <v>3</v>
      </c>
    </row>
    <row r="205" spans="1:43" x14ac:dyDescent="0.25">
      <c r="A205" t="s">
        <v>2921</v>
      </c>
      <c r="B205" t="s">
        <v>1456</v>
      </c>
      <c r="D205" t="s">
        <v>3058</v>
      </c>
      <c r="F205" t="s">
        <v>261</v>
      </c>
      <c r="I205" t="s">
        <v>2922</v>
      </c>
      <c r="J205" t="s">
        <v>33</v>
      </c>
      <c r="K205" t="s">
        <v>34</v>
      </c>
      <c r="L205" t="s">
        <v>35</v>
      </c>
      <c r="Q205">
        <v>2</v>
      </c>
      <c r="R205">
        <v>3</v>
      </c>
      <c r="W205">
        <v>1</v>
      </c>
      <c r="X205">
        <v>40</v>
      </c>
      <c r="AQ205">
        <v>46</v>
      </c>
    </row>
    <row r="206" spans="1:43" x14ac:dyDescent="0.25">
      <c r="A206" t="s">
        <v>4748</v>
      </c>
      <c r="B206" t="s">
        <v>1456</v>
      </c>
      <c r="D206" t="s">
        <v>57</v>
      </c>
      <c r="F206" t="s">
        <v>261</v>
      </c>
      <c r="I206" t="s">
        <v>4749</v>
      </c>
      <c r="J206" t="s">
        <v>33</v>
      </c>
      <c r="K206" t="s">
        <v>34</v>
      </c>
      <c r="L206" t="s">
        <v>35</v>
      </c>
      <c r="Q206">
        <v>2</v>
      </c>
      <c r="R206">
        <v>3</v>
      </c>
      <c r="U206">
        <v>1</v>
      </c>
      <c r="V206">
        <v>20</v>
      </c>
      <c r="AK206">
        <v>2</v>
      </c>
      <c r="AL206">
        <v>6</v>
      </c>
      <c r="AQ206">
        <v>38</v>
      </c>
    </row>
    <row r="207" spans="1:43" x14ac:dyDescent="0.25">
      <c r="A207" t="s">
        <v>152</v>
      </c>
      <c r="B207" t="s">
        <v>195</v>
      </c>
      <c r="G207" t="s">
        <v>196</v>
      </c>
      <c r="H207" t="s">
        <v>197</v>
      </c>
      <c r="I207" t="s">
        <v>1586</v>
      </c>
      <c r="J207" t="s">
        <v>37</v>
      </c>
      <c r="K207" t="s">
        <v>752</v>
      </c>
      <c r="L207" t="s">
        <v>35</v>
      </c>
      <c r="AQ207">
        <v>0</v>
      </c>
    </row>
    <row r="208" spans="1:43" x14ac:dyDescent="0.25">
      <c r="A208" t="s">
        <v>146</v>
      </c>
      <c r="B208" t="s">
        <v>195</v>
      </c>
      <c r="D208" t="s">
        <v>146</v>
      </c>
      <c r="F208" t="s">
        <v>261</v>
      </c>
      <c r="I208" t="s">
        <v>1587</v>
      </c>
      <c r="J208" t="s">
        <v>33</v>
      </c>
      <c r="K208" t="s">
        <v>34</v>
      </c>
      <c r="L208" t="s">
        <v>35</v>
      </c>
      <c r="S208">
        <v>2</v>
      </c>
      <c r="T208">
        <v>3</v>
      </c>
      <c r="AC208">
        <v>1</v>
      </c>
      <c r="AD208">
        <v>10</v>
      </c>
      <c r="AQ208">
        <v>16</v>
      </c>
    </row>
    <row r="209" spans="1:43" x14ac:dyDescent="0.25">
      <c r="A209" t="s">
        <v>121</v>
      </c>
      <c r="B209" t="s">
        <v>195</v>
      </c>
      <c r="G209" t="s">
        <v>146</v>
      </c>
      <c r="H209" t="s">
        <v>195</v>
      </c>
      <c r="I209" t="s">
        <v>1587</v>
      </c>
      <c r="J209" t="s">
        <v>33</v>
      </c>
      <c r="K209" t="s">
        <v>34</v>
      </c>
      <c r="L209" t="s">
        <v>35</v>
      </c>
      <c r="AQ209">
        <v>0</v>
      </c>
    </row>
    <row r="210" spans="1:43" x14ac:dyDescent="0.25">
      <c r="A210" t="s">
        <v>50</v>
      </c>
      <c r="B210" t="s">
        <v>1589</v>
      </c>
      <c r="D210" t="s">
        <v>4765</v>
      </c>
      <c r="F210" t="s">
        <v>261</v>
      </c>
      <c r="I210" t="s">
        <v>4766</v>
      </c>
      <c r="J210" t="s">
        <v>33</v>
      </c>
      <c r="K210" t="s">
        <v>34</v>
      </c>
      <c r="L210" t="s">
        <v>35</v>
      </c>
      <c r="Q210">
        <v>2</v>
      </c>
      <c r="R210">
        <v>3</v>
      </c>
      <c r="U210">
        <v>1</v>
      </c>
      <c r="V210">
        <v>20</v>
      </c>
      <c r="AQ210">
        <v>26</v>
      </c>
    </row>
    <row r="211" spans="1:43" x14ac:dyDescent="0.25">
      <c r="A211" t="s">
        <v>4763</v>
      </c>
      <c r="B211" t="s">
        <v>1589</v>
      </c>
      <c r="G211" t="s">
        <v>50</v>
      </c>
      <c r="H211" t="s">
        <v>1589</v>
      </c>
      <c r="I211" t="s">
        <v>4766</v>
      </c>
      <c r="J211" t="s">
        <v>33</v>
      </c>
      <c r="K211" t="s">
        <v>34</v>
      </c>
      <c r="L211" t="s">
        <v>35</v>
      </c>
      <c r="AQ211">
        <v>0</v>
      </c>
    </row>
    <row r="212" spans="1:43" x14ac:dyDescent="0.25">
      <c r="A212" t="s">
        <v>272</v>
      </c>
      <c r="B212" t="s">
        <v>4768</v>
      </c>
      <c r="G212" t="s">
        <v>4154</v>
      </c>
      <c r="H212" t="s">
        <v>4768</v>
      </c>
      <c r="I212" t="s">
        <v>4769</v>
      </c>
      <c r="J212" t="s">
        <v>33</v>
      </c>
      <c r="K212" t="s">
        <v>34</v>
      </c>
      <c r="L212" t="s">
        <v>35</v>
      </c>
      <c r="AQ212">
        <v>0</v>
      </c>
    </row>
    <row r="213" spans="1:43" x14ac:dyDescent="0.25">
      <c r="A213" t="s">
        <v>4154</v>
      </c>
      <c r="B213" t="s">
        <v>4768</v>
      </c>
      <c r="D213" t="s">
        <v>4773</v>
      </c>
      <c r="E213" t="s">
        <v>4774</v>
      </c>
      <c r="F213" t="s">
        <v>261</v>
      </c>
      <c r="I213" t="s">
        <v>4769</v>
      </c>
      <c r="J213" t="s">
        <v>33</v>
      </c>
      <c r="K213" t="s">
        <v>34</v>
      </c>
      <c r="L213" t="s">
        <v>35</v>
      </c>
      <c r="Q213">
        <v>2</v>
      </c>
      <c r="R213">
        <v>3</v>
      </c>
      <c r="AM213">
        <v>2</v>
      </c>
      <c r="AN213">
        <v>25</v>
      </c>
      <c r="AQ213">
        <v>56</v>
      </c>
    </row>
    <row r="214" spans="1:43" x14ac:dyDescent="0.25">
      <c r="A214" t="s">
        <v>3061</v>
      </c>
      <c r="B214" t="s">
        <v>3062</v>
      </c>
      <c r="G214" t="s">
        <v>207</v>
      </c>
      <c r="H214" t="s">
        <v>3062</v>
      </c>
      <c r="I214" t="s">
        <v>3063</v>
      </c>
      <c r="J214" t="s">
        <v>33</v>
      </c>
      <c r="K214" t="s">
        <v>34</v>
      </c>
      <c r="L214" t="s">
        <v>35</v>
      </c>
      <c r="AQ214">
        <v>0</v>
      </c>
    </row>
    <row r="215" spans="1:43" x14ac:dyDescent="0.25">
      <c r="A215" t="s">
        <v>207</v>
      </c>
      <c r="B215" t="s">
        <v>3062</v>
      </c>
      <c r="D215" t="s">
        <v>3064</v>
      </c>
      <c r="F215" t="s">
        <v>261</v>
      </c>
      <c r="I215" t="s">
        <v>3063</v>
      </c>
      <c r="J215" t="s">
        <v>33</v>
      </c>
      <c r="K215" t="s">
        <v>34</v>
      </c>
      <c r="L215" t="s">
        <v>35</v>
      </c>
      <c r="Q215">
        <v>2</v>
      </c>
      <c r="R215">
        <v>3</v>
      </c>
      <c r="U215">
        <v>1</v>
      </c>
      <c r="V215">
        <v>20</v>
      </c>
      <c r="AE215">
        <v>5</v>
      </c>
      <c r="AF215">
        <v>6</v>
      </c>
      <c r="AQ215">
        <v>56</v>
      </c>
    </row>
    <row r="216" spans="1:43" x14ac:dyDescent="0.25">
      <c r="A216" t="s">
        <v>4791</v>
      </c>
      <c r="B216" t="s">
        <v>4792</v>
      </c>
      <c r="G216" t="s">
        <v>3955</v>
      </c>
      <c r="H216" t="s">
        <v>3956</v>
      </c>
      <c r="I216" t="s">
        <v>3958</v>
      </c>
      <c r="J216" t="s">
        <v>33</v>
      </c>
      <c r="K216" t="s">
        <v>34</v>
      </c>
      <c r="L216" t="s">
        <v>35</v>
      </c>
      <c r="AQ216">
        <v>0</v>
      </c>
    </row>
    <row r="217" spans="1:43" x14ac:dyDescent="0.25">
      <c r="A217" t="s">
        <v>187</v>
      </c>
      <c r="B217" t="s">
        <v>4792</v>
      </c>
      <c r="G217" t="s">
        <v>3955</v>
      </c>
      <c r="H217" t="s">
        <v>3956</v>
      </c>
      <c r="I217" t="s">
        <v>3958</v>
      </c>
      <c r="J217" t="s">
        <v>33</v>
      </c>
      <c r="K217" t="s">
        <v>34</v>
      </c>
      <c r="L217" t="s">
        <v>35</v>
      </c>
      <c r="AQ217">
        <v>0</v>
      </c>
    </row>
    <row r="218" spans="1:43" x14ac:dyDescent="0.25">
      <c r="A218" t="s">
        <v>4793</v>
      </c>
      <c r="B218" t="s">
        <v>4792</v>
      </c>
      <c r="G218" t="s">
        <v>3955</v>
      </c>
      <c r="H218" t="s">
        <v>3956</v>
      </c>
      <c r="I218" t="s">
        <v>3958</v>
      </c>
      <c r="J218" t="s">
        <v>33</v>
      </c>
      <c r="K218" t="s">
        <v>34</v>
      </c>
      <c r="L218" t="s">
        <v>35</v>
      </c>
      <c r="AQ218">
        <v>0</v>
      </c>
    </row>
    <row r="219" spans="1:43" x14ac:dyDescent="0.25">
      <c r="A219" t="s">
        <v>63</v>
      </c>
      <c r="B219" t="s">
        <v>4792</v>
      </c>
      <c r="G219" t="s">
        <v>3955</v>
      </c>
      <c r="H219" t="s">
        <v>3956</v>
      </c>
      <c r="I219" t="s">
        <v>3958</v>
      </c>
      <c r="J219" t="s">
        <v>33</v>
      </c>
      <c r="K219" t="s">
        <v>34</v>
      </c>
      <c r="L219" t="s">
        <v>35</v>
      </c>
      <c r="AQ219">
        <v>0</v>
      </c>
    </row>
    <row r="220" spans="1:43" x14ac:dyDescent="0.25">
      <c r="A220" t="s">
        <v>471</v>
      </c>
      <c r="B220" t="s">
        <v>4792</v>
      </c>
      <c r="G220" t="s">
        <v>3955</v>
      </c>
      <c r="H220" t="s">
        <v>3956</v>
      </c>
      <c r="I220" t="s">
        <v>3958</v>
      </c>
      <c r="J220" t="s">
        <v>33</v>
      </c>
      <c r="K220" t="s">
        <v>34</v>
      </c>
      <c r="L220" t="s">
        <v>35</v>
      </c>
      <c r="AQ220">
        <v>0</v>
      </c>
    </row>
    <row r="221" spans="1:43" x14ac:dyDescent="0.25">
      <c r="A221" t="s">
        <v>1204</v>
      </c>
      <c r="B221" t="s">
        <v>1205</v>
      </c>
      <c r="D221" t="s">
        <v>329</v>
      </c>
      <c r="E221" t="s">
        <v>65</v>
      </c>
      <c r="F221" t="s">
        <v>261</v>
      </c>
      <c r="I221" t="s">
        <v>1608</v>
      </c>
      <c r="J221" t="s">
        <v>33</v>
      </c>
      <c r="K221" t="s">
        <v>34</v>
      </c>
      <c r="L221" t="s">
        <v>35</v>
      </c>
      <c r="S221">
        <v>2</v>
      </c>
      <c r="T221">
        <v>3</v>
      </c>
      <c r="W221">
        <v>1</v>
      </c>
      <c r="X221">
        <v>40</v>
      </c>
      <c r="AQ221">
        <v>46</v>
      </c>
    </row>
    <row r="222" spans="1:43" x14ac:dyDescent="0.25">
      <c r="A222" t="s">
        <v>1274</v>
      </c>
      <c r="B222" t="s">
        <v>1609</v>
      </c>
      <c r="G222" t="s">
        <v>1147</v>
      </c>
      <c r="H222" t="s">
        <v>1148</v>
      </c>
      <c r="I222" t="s">
        <v>1149</v>
      </c>
      <c r="J222" t="s">
        <v>33</v>
      </c>
      <c r="K222" t="s">
        <v>34</v>
      </c>
      <c r="L222" t="s">
        <v>35</v>
      </c>
      <c r="AQ222">
        <v>0</v>
      </c>
    </row>
    <row r="223" spans="1:43" x14ac:dyDescent="0.25">
      <c r="A223" t="s">
        <v>2216</v>
      </c>
      <c r="B223" t="s">
        <v>574</v>
      </c>
      <c r="G223" t="s">
        <v>1441</v>
      </c>
      <c r="H223" t="s">
        <v>101</v>
      </c>
      <c r="I223" t="s">
        <v>2791</v>
      </c>
      <c r="J223" t="s">
        <v>33</v>
      </c>
      <c r="K223" t="s">
        <v>34</v>
      </c>
      <c r="L223" t="s">
        <v>35</v>
      </c>
      <c r="AQ223">
        <v>0</v>
      </c>
    </row>
    <row r="224" spans="1:43" x14ac:dyDescent="0.25">
      <c r="A224" t="s">
        <v>4802</v>
      </c>
      <c r="B224" t="s">
        <v>574</v>
      </c>
      <c r="G224" t="s">
        <v>170</v>
      </c>
      <c r="H224" t="s">
        <v>4043</v>
      </c>
      <c r="I224" t="s">
        <v>4044</v>
      </c>
      <c r="J224" t="s">
        <v>33</v>
      </c>
      <c r="K224" t="s">
        <v>34</v>
      </c>
      <c r="L224" t="s">
        <v>35</v>
      </c>
      <c r="AQ224">
        <v>0</v>
      </c>
    </row>
    <row r="225" spans="1:43" x14ac:dyDescent="0.25">
      <c r="A225" t="s">
        <v>163</v>
      </c>
      <c r="B225" t="s">
        <v>574</v>
      </c>
      <c r="D225" t="s">
        <v>272</v>
      </c>
      <c r="F225" t="s">
        <v>261</v>
      </c>
      <c r="I225" t="s">
        <v>4803</v>
      </c>
      <c r="J225" t="s">
        <v>33</v>
      </c>
      <c r="K225" t="s">
        <v>34</v>
      </c>
      <c r="L225" t="s">
        <v>35</v>
      </c>
      <c r="Q225">
        <v>1</v>
      </c>
      <c r="R225">
        <v>3</v>
      </c>
      <c r="U225">
        <v>1</v>
      </c>
      <c r="V225">
        <v>20</v>
      </c>
      <c r="AQ225">
        <v>23</v>
      </c>
    </row>
    <row r="226" spans="1:43" x14ac:dyDescent="0.25">
      <c r="A226" t="s">
        <v>163</v>
      </c>
      <c r="B226" t="s">
        <v>574</v>
      </c>
      <c r="D226" t="s">
        <v>272</v>
      </c>
      <c r="F226" t="s">
        <v>261</v>
      </c>
      <c r="I226" t="s">
        <v>4804</v>
      </c>
      <c r="J226" t="s">
        <v>33</v>
      </c>
      <c r="K226" t="s">
        <v>34</v>
      </c>
      <c r="L226" t="s">
        <v>35</v>
      </c>
      <c r="Q226">
        <v>1</v>
      </c>
      <c r="R226">
        <v>3</v>
      </c>
      <c r="U226">
        <v>1</v>
      </c>
      <c r="V226">
        <v>20</v>
      </c>
      <c r="AQ226">
        <v>23</v>
      </c>
    </row>
    <row r="227" spans="1:43" x14ac:dyDescent="0.25">
      <c r="A227" t="s">
        <v>1542</v>
      </c>
      <c r="B227" t="s">
        <v>1543</v>
      </c>
      <c r="D227" t="s">
        <v>1611</v>
      </c>
      <c r="I227" t="s">
        <v>1544</v>
      </c>
      <c r="J227" t="s">
        <v>33</v>
      </c>
      <c r="K227" t="s">
        <v>34</v>
      </c>
      <c r="L227" t="s">
        <v>35</v>
      </c>
      <c r="O227">
        <v>2</v>
      </c>
      <c r="P227">
        <v>3</v>
      </c>
      <c r="AC227">
        <v>1</v>
      </c>
      <c r="AD227">
        <v>10</v>
      </c>
      <c r="AQ227">
        <v>16</v>
      </c>
    </row>
    <row r="228" spans="1:43" x14ac:dyDescent="0.25">
      <c r="A228" t="s">
        <v>424</v>
      </c>
      <c r="B228" t="s">
        <v>1543</v>
      </c>
      <c r="D228" t="s">
        <v>1612</v>
      </c>
      <c r="E228" t="s">
        <v>1613</v>
      </c>
      <c r="I228" t="s">
        <v>1614</v>
      </c>
      <c r="J228" t="s">
        <v>33</v>
      </c>
      <c r="K228" t="s">
        <v>34</v>
      </c>
      <c r="L228" t="s">
        <v>35</v>
      </c>
      <c r="O228">
        <v>3</v>
      </c>
      <c r="P228">
        <v>3</v>
      </c>
      <c r="AA228">
        <v>2</v>
      </c>
      <c r="AB228">
        <v>75</v>
      </c>
      <c r="AO228">
        <v>4</v>
      </c>
      <c r="AP228">
        <v>10</v>
      </c>
      <c r="AQ228">
        <v>199</v>
      </c>
    </row>
    <row r="229" spans="1:43" x14ac:dyDescent="0.25">
      <c r="A229" t="s">
        <v>187</v>
      </c>
      <c r="B229" t="s">
        <v>1619</v>
      </c>
      <c r="G229" t="s">
        <v>94</v>
      </c>
      <c r="H229" t="s">
        <v>885</v>
      </c>
      <c r="I229" t="s">
        <v>889</v>
      </c>
      <c r="J229" t="s">
        <v>33</v>
      </c>
      <c r="K229" t="s">
        <v>34</v>
      </c>
      <c r="L229" t="s">
        <v>35</v>
      </c>
      <c r="AQ229">
        <v>0</v>
      </c>
    </row>
    <row r="230" spans="1:43" x14ac:dyDescent="0.25">
      <c r="A230" t="s">
        <v>1147</v>
      </c>
      <c r="B230" t="s">
        <v>1148</v>
      </c>
      <c r="E230" t="s">
        <v>41</v>
      </c>
      <c r="F230" t="s">
        <v>261</v>
      </c>
      <c r="I230" t="s">
        <v>1149</v>
      </c>
      <c r="J230" t="s">
        <v>33</v>
      </c>
      <c r="K230" t="s">
        <v>34</v>
      </c>
      <c r="L230" t="s">
        <v>35</v>
      </c>
      <c r="S230">
        <v>5</v>
      </c>
      <c r="T230">
        <v>3</v>
      </c>
      <c r="AQ230">
        <v>15</v>
      </c>
    </row>
    <row r="231" spans="1:43" x14ac:dyDescent="0.25">
      <c r="A231" t="s">
        <v>96</v>
      </c>
      <c r="B231" t="s">
        <v>876</v>
      </c>
      <c r="G231" t="s">
        <v>874</v>
      </c>
      <c r="H231" t="s">
        <v>875</v>
      </c>
      <c r="I231" t="s">
        <v>879</v>
      </c>
      <c r="J231" t="s">
        <v>33</v>
      </c>
      <c r="K231" t="s">
        <v>34</v>
      </c>
      <c r="L231" t="s">
        <v>35</v>
      </c>
      <c r="AQ231">
        <v>0</v>
      </c>
    </row>
    <row r="232" spans="1:43" x14ac:dyDescent="0.25">
      <c r="A232" t="s">
        <v>165</v>
      </c>
      <c r="B232" t="s">
        <v>4830</v>
      </c>
      <c r="D232" t="s">
        <v>4831</v>
      </c>
      <c r="F232" t="s">
        <v>261</v>
      </c>
      <c r="I232" t="s">
        <v>4832</v>
      </c>
      <c r="J232" t="s">
        <v>33</v>
      </c>
      <c r="K232" t="s">
        <v>34</v>
      </c>
      <c r="L232" t="s">
        <v>35</v>
      </c>
      <c r="Q232">
        <v>1</v>
      </c>
      <c r="R232">
        <v>3</v>
      </c>
      <c r="AC232">
        <v>1</v>
      </c>
      <c r="AD232">
        <v>10</v>
      </c>
      <c r="AQ232">
        <v>13</v>
      </c>
    </row>
    <row r="233" spans="1:43" x14ac:dyDescent="0.25">
      <c r="A233" t="s">
        <v>1638</v>
      </c>
      <c r="B233" t="s">
        <v>1639</v>
      </c>
      <c r="I233" t="s">
        <v>1640</v>
      </c>
      <c r="J233" t="s">
        <v>33</v>
      </c>
      <c r="K233" t="s">
        <v>34</v>
      </c>
      <c r="L233" t="s">
        <v>35</v>
      </c>
      <c r="O233">
        <v>2</v>
      </c>
      <c r="P233">
        <v>3</v>
      </c>
      <c r="AQ233">
        <v>6</v>
      </c>
    </row>
    <row r="234" spans="1:43" x14ac:dyDescent="0.25">
      <c r="A234" t="s">
        <v>241</v>
      </c>
      <c r="B234" t="s">
        <v>1639</v>
      </c>
      <c r="G234" t="s">
        <v>1638</v>
      </c>
      <c r="H234" t="s">
        <v>1639</v>
      </c>
      <c r="I234" t="s">
        <v>1640</v>
      </c>
      <c r="J234" t="s">
        <v>33</v>
      </c>
      <c r="K234" t="s">
        <v>34</v>
      </c>
      <c r="L234" t="s">
        <v>35</v>
      </c>
      <c r="AQ234">
        <v>0</v>
      </c>
    </row>
    <row r="235" spans="1:43" x14ac:dyDescent="0.25">
      <c r="A235" t="s">
        <v>431</v>
      </c>
      <c r="B235" t="s">
        <v>348</v>
      </c>
      <c r="G235" t="s">
        <v>1641</v>
      </c>
      <c r="H235" t="s">
        <v>1642</v>
      </c>
      <c r="I235" t="s">
        <v>1643</v>
      </c>
      <c r="J235" t="s">
        <v>33</v>
      </c>
      <c r="K235" t="s">
        <v>34</v>
      </c>
      <c r="L235" t="s">
        <v>35</v>
      </c>
      <c r="AQ235">
        <v>0</v>
      </c>
    </row>
    <row r="236" spans="1:43" x14ac:dyDescent="0.25">
      <c r="A236" t="s">
        <v>196</v>
      </c>
      <c r="B236" t="s">
        <v>197</v>
      </c>
      <c r="D236" t="s">
        <v>206</v>
      </c>
      <c r="I236" t="s">
        <v>1586</v>
      </c>
      <c r="J236" t="s">
        <v>37</v>
      </c>
      <c r="K236" t="s">
        <v>752</v>
      </c>
      <c r="L236" t="s">
        <v>35</v>
      </c>
      <c r="O236">
        <v>2</v>
      </c>
      <c r="P236">
        <v>3</v>
      </c>
      <c r="AC236">
        <v>2</v>
      </c>
      <c r="AD236">
        <v>10</v>
      </c>
      <c r="AQ236">
        <v>26</v>
      </c>
    </row>
    <row r="237" spans="1:43" x14ac:dyDescent="0.25">
      <c r="A237" t="s">
        <v>150</v>
      </c>
      <c r="B237" t="s">
        <v>4875</v>
      </c>
      <c r="G237" t="s">
        <v>4876</v>
      </c>
      <c r="H237" t="s">
        <v>4875</v>
      </c>
      <c r="I237" t="s">
        <v>4877</v>
      </c>
      <c r="J237" t="s">
        <v>33</v>
      </c>
      <c r="K237" t="s">
        <v>34</v>
      </c>
      <c r="L237" t="s">
        <v>35</v>
      </c>
      <c r="AQ237">
        <v>0</v>
      </c>
    </row>
    <row r="238" spans="1:43" x14ac:dyDescent="0.25">
      <c r="A238" t="s">
        <v>4876</v>
      </c>
      <c r="B238" t="s">
        <v>4875</v>
      </c>
      <c r="D238" t="s">
        <v>4878</v>
      </c>
      <c r="F238" t="s">
        <v>261</v>
      </c>
      <c r="I238" t="s">
        <v>4877</v>
      </c>
      <c r="J238" t="s">
        <v>33</v>
      </c>
      <c r="K238" t="s">
        <v>34</v>
      </c>
      <c r="L238" t="s">
        <v>35</v>
      </c>
      <c r="Q238">
        <v>2</v>
      </c>
      <c r="R238">
        <v>3</v>
      </c>
      <c r="AC238">
        <v>1</v>
      </c>
      <c r="AD238">
        <v>10</v>
      </c>
      <c r="AQ238">
        <v>16</v>
      </c>
    </row>
    <row r="239" spans="1:43" x14ac:dyDescent="0.25">
      <c r="A239" t="s">
        <v>4879</v>
      </c>
      <c r="B239" t="s">
        <v>4880</v>
      </c>
      <c r="G239" t="s">
        <v>90</v>
      </c>
      <c r="H239" t="s">
        <v>933</v>
      </c>
      <c r="I239" t="s">
        <v>4881</v>
      </c>
      <c r="J239" t="s">
        <v>33</v>
      </c>
      <c r="K239" t="s">
        <v>34</v>
      </c>
      <c r="L239" t="s">
        <v>35</v>
      </c>
      <c r="AQ239">
        <v>0</v>
      </c>
    </row>
    <row r="240" spans="1:43" x14ac:dyDescent="0.25">
      <c r="A240" t="s">
        <v>91</v>
      </c>
      <c r="B240" t="s">
        <v>4880</v>
      </c>
      <c r="G240" t="s">
        <v>90</v>
      </c>
      <c r="H240" t="s">
        <v>933</v>
      </c>
      <c r="I240" t="s">
        <v>4881</v>
      </c>
      <c r="J240" t="s">
        <v>33</v>
      </c>
      <c r="K240" t="s">
        <v>34</v>
      </c>
      <c r="L240" t="s">
        <v>35</v>
      </c>
      <c r="AQ240">
        <v>0</v>
      </c>
    </row>
    <row r="241" spans="1:43" x14ac:dyDescent="0.25">
      <c r="A241" t="s">
        <v>4417</v>
      </c>
      <c r="B241" t="s">
        <v>362</v>
      </c>
      <c r="F241" t="s">
        <v>261</v>
      </c>
      <c r="I241" t="s">
        <v>4418</v>
      </c>
      <c r="J241" t="s">
        <v>33</v>
      </c>
      <c r="K241" t="s">
        <v>34</v>
      </c>
      <c r="L241" t="s">
        <v>35</v>
      </c>
      <c r="Q241">
        <v>2</v>
      </c>
      <c r="R241">
        <v>3</v>
      </c>
      <c r="AC241">
        <v>1</v>
      </c>
      <c r="AD241">
        <v>10</v>
      </c>
      <c r="AQ241">
        <v>16</v>
      </c>
    </row>
    <row r="242" spans="1:43" x14ac:dyDescent="0.25">
      <c r="A242" t="s">
        <v>942</v>
      </c>
      <c r="B242" t="s">
        <v>362</v>
      </c>
      <c r="D242" t="s">
        <v>942</v>
      </c>
      <c r="E242" t="s">
        <v>65</v>
      </c>
      <c r="F242" t="s">
        <v>261</v>
      </c>
      <c r="I242" t="s">
        <v>4890</v>
      </c>
      <c r="J242" t="s">
        <v>33</v>
      </c>
      <c r="K242" t="s">
        <v>34</v>
      </c>
      <c r="L242" t="s">
        <v>35</v>
      </c>
      <c r="Q242">
        <v>1</v>
      </c>
      <c r="R242">
        <v>3</v>
      </c>
      <c r="AM242">
        <v>1</v>
      </c>
      <c r="AN242">
        <v>25</v>
      </c>
      <c r="AQ242">
        <v>28</v>
      </c>
    </row>
    <row r="243" spans="1:43" x14ac:dyDescent="0.25">
      <c r="A243" t="s">
        <v>203</v>
      </c>
      <c r="B243" t="s">
        <v>362</v>
      </c>
      <c r="G243" t="s">
        <v>245</v>
      </c>
      <c r="H243" t="s">
        <v>362</v>
      </c>
      <c r="I243" t="s">
        <v>4891</v>
      </c>
      <c r="J243" t="s">
        <v>33</v>
      </c>
      <c r="K243" t="s">
        <v>34</v>
      </c>
      <c r="L243" t="s">
        <v>35</v>
      </c>
      <c r="AQ243">
        <v>0</v>
      </c>
    </row>
    <row r="244" spans="1:43" x14ac:dyDescent="0.25">
      <c r="A244" t="s">
        <v>3901</v>
      </c>
      <c r="B244" t="s">
        <v>362</v>
      </c>
      <c r="G244" t="s">
        <v>245</v>
      </c>
      <c r="H244" t="s">
        <v>362</v>
      </c>
      <c r="I244" t="s">
        <v>4891</v>
      </c>
      <c r="J244" t="s">
        <v>33</v>
      </c>
      <c r="K244" t="s">
        <v>34</v>
      </c>
      <c r="L244" t="s">
        <v>35</v>
      </c>
      <c r="AQ244">
        <v>0</v>
      </c>
    </row>
    <row r="245" spans="1:43" x14ac:dyDescent="0.25">
      <c r="A245" t="s">
        <v>245</v>
      </c>
      <c r="B245" t="s">
        <v>362</v>
      </c>
      <c r="D245" t="s">
        <v>4897</v>
      </c>
      <c r="F245" t="s">
        <v>261</v>
      </c>
      <c r="I245" t="s">
        <v>4891</v>
      </c>
      <c r="J245" t="s">
        <v>33</v>
      </c>
      <c r="K245" t="s">
        <v>34</v>
      </c>
      <c r="L245" t="s">
        <v>35</v>
      </c>
      <c r="Q245">
        <v>3</v>
      </c>
      <c r="R245">
        <v>3</v>
      </c>
      <c r="W245">
        <v>1</v>
      </c>
      <c r="X245">
        <v>40</v>
      </c>
      <c r="AQ245">
        <v>49</v>
      </c>
    </row>
    <row r="246" spans="1:43" x14ac:dyDescent="0.25">
      <c r="A246" t="s">
        <v>4898</v>
      </c>
      <c r="B246" t="s">
        <v>362</v>
      </c>
      <c r="G246" t="s">
        <v>166</v>
      </c>
      <c r="H246" t="s">
        <v>2117</v>
      </c>
      <c r="I246" t="s">
        <v>4899</v>
      </c>
      <c r="J246" t="s">
        <v>33</v>
      </c>
      <c r="K246" t="s">
        <v>34</v>
      </c>
      <c r="L246" t="s">
        <v>35</v>
      </c>
      <c r="AQ246">
        <v>0</v>
      </c>
    </row>
    <row r="247" spans="1:43" x14ac:dyDescent="0.25">
      <c r="A247" t="s">
        <v>737</v>
      </c>
      <c r="B247" t="s">
        <v>362</v>
      </c>
      <c r="G247" t="s">
        <v>4900</v>
      </c>
      <c r="H247" t="s">
        <v>4901</v>
      </c>
      <c r="I247" t="s">
        <v>4902</v>
      </c>
      <c r="J247" t="s">
        <v>33</v>
      </c>
      <c r="K247" t="s">
        <v>34</v>
      </c>
      <c r="L247" t="s">
        <v>35</v>
      </c>
      <c r="AQ247">
        <v>0</v>
      </c>
    </row>
    <row r="248" spans="1:43" x14ac:dyDescent="0.25">
      <c r="A248" t="s">
        <v>812</v>
      </c>
      <c r="B248" t="s">
        <v>209</v>
      </c>
      <c r="G248" t="s">
        <v>3577</v>
      </c>
      <c r="H248" t="s">
        <v>745</v>
      </c>
      <c r="I248" t="s">
        <v>4629</v>
      </c>
      <c r="J248" t="s">
        <v>33</v>
      </c>
      <c r="K248" t="s">
        <v>34</v>
      </c>
      <c r="L248" t="s">
        <v>35</v>
      </c>
      <c r="AQ248">
        <v>0</v>
      </c>
    </row>
    <row r="249" spans="1:43" x14ac:dyDescent="0.25">
      <c r="A249" t="s">
        <v>317</v>
      </c>
      <c r="B249" t="s">
        <v>209</v>
      </c>
      <c r="D249" t="s">
        <v>1684</v>
      </c>
      <c r="F249" t="s">
        <v>261</v>
      </c>
      <c r="I249" t="s">
        <v>4912</v>
      </c>
      <c r="J249" t="s">
        <v>33</v>
      </c>
      <c r="K249" t="s">
        <v>34</v>
      </c>
      <c r="L249" t="s">
        <v>35</v>
      </c>
      <c r="Q249">
        <v>1</v>
      </c>
      <c r="R249">
        <v>3</v>
      </c>
      <c r="AC249">
        <v>1</v>
      </c>
      <c r="AD249">
        <v>10</v>
      </c>
      <c r="AQ249">
        <v>13</v>
      </c>
    </row>
    <row r="250" spans="1:43" x14ac:dyDescent="0.25">
      <c r="A250" t="s">
        <v>151</v>
      </c>
      <c r="B250" t="s">
        <v>209</v>
      </c>
      <c r="D250" t="s">
        <v>1685</v>
      </c>
      <c r="F250" t="s">
        <v>261</v>
      </c>
      <c r="I250" t="s">
        <v>1435</v>
      </c>
      <c r="J250" t="s">
        <v>33</v>
      </c>
      <c r="K250" t="s">
        <v>34</v>
      </c>
      <c r="L250" t="s">
        <v>35</v>
      </c>
      <c r="S250">
        <v>8</v>
      </c>
      <c r="T250">
        <v>3</v>
      </c>
      <c r="U250">
        <v>1</v>
      </c>
      <c r="V250">
        <v>20</v>
      </c>
      <c r="AQ250">
        <v>44</v>
      </c>
    </row>
    <row r="251" spans="1:43" x14ac:dyDescent="0.25">
      <c r="A251" t="s">
        <v>624</v>
      </c>
      <c r="B251" t="s">
        <v>209</v>
      </c>
      <c r="G251" t="s">
        <v>1147</v>
      </c>
      <c r="H251" t="s">
        <v>1148</v>
      </c>
      <c r="I251" t="s">
        <v>1149</v>
      </c>
      <c r="J251" t="s">
        <v>33</v>
      </c>
      <c r="K251" t="s">
        <v>34</v>
      </c>
      <c r="L251" t="s">
        <v>35</v>
      </c>
      <c r="AQ251">
        <v>0</v>
      </c>
    </row>
    <row r="252" spans="1:43" x14ac:dyDescent="0.25">
      <c r="A252" t="s">
        <v>112</v>
      </c>
      <c r="B252" t="s">
        <v>1393</v>
      </c>
      <c r="E252" t="s">
        <v>53</v>
      </c>
      <c r="I252" t="s">
        <v>1692</v>
      </c>
      <c r="J252" t="s">
        <v>33</v>
      </c>
      <c r="K252" t="s">
        <v>34</v>
      </c>
      <c r="L252" t="s">
        <v>35</v>
      </c>
      <c r="S252">
        <v>2</v>
      </c>
      <c r="T252">
        <v>3</v>
      </c>
      <c r="AQ252">
        <v>6</v>
      </c>
    </row>
    <row r="253" spans="1:43" x14ac:dyDescent="0.25">
      <c r="A253" t="s">
        <v>936</v>
      </c>
      <c r="B253" t="s">
        <v>1693</v>
      </c>
      <c r="G253" t="s">
        <v>820</v>
      </c>
      <c r="H253" t="s">
        <v>821</v>
      </c>
      <c r="I253" t="s">
        <v>822</v>
      </c>
      <c r="J253" t="s">
        <v>33</v>
      </c>
      <c r="K253" t="s">
        <v>34</v>
      </c>
      <c r="L253" t="s">
        <v>35</v>
      </c>
      <c r="AQ253">
        <v>0</v>
      </c>
    </row>
    <row r="254" spans="1:43" x14ac:dyDescent="0.25">
      <c r="A254" t="s">
        <v>292</v>
      </c>
      <c r="B254" t="s">
        <v>1693</v>
      </c>
      <c r="G254" t="s">
        <v>820</v>
      </c>
      <c r="H254" t="s">
        <v>821</v>
      </c>
      <c r="I254" t="s">
        <v>822</v>
      </c>
      <c r="J254" t="s">
        <v>33</v>
      </c>
      <c r="K254" t="s">
        <v>34</v>
      </c>
      <c r="L254" t="s">
        <v>35</v>
      </c>
      <c r="AQ254">
        <v>0</v>
      </c>
    </row>
    <row r="255" spans="1:43" x14ac:dyDescent="0.25">
      <c r="A255" t="s">
        <v>403</v>
      </c>
      <c r="B255" t="s">
        <v>1693</v>
      </c>
      <c r="G255" t="s">
        <v>820</v>
      </c>
      <c r="H255" t="s">
        <v>821</v>
      </c>
      <c r="I255" t="s">
        <v>822</v>
      </c>
      <c r="J255" t="s">
        <v>33</v>
      </c>
      <c r="K255" t="s">
        <v>34</v>
      </c>
      <c r="L255" t="s">
        <v>35</v>
      </c>
      <c r="AQ255">
        <v>0</v>
      </c>
    </row>
    <row r="256" spans="1:43" x14ac:dyDescent="0.25">
      <c r="A256" t="s">
        <v>222</v>
      </c>
      <c r="B256" t="s">
        <v>4939</v>
      </c>
      <c r="D256" t="s">
        <v>4940</v>
      </c>
      <c r="E256" t="s">
        <v>646</v>
      </c>
      <c r="F256" t="s">
        <v>907</v>
      </c>
      <c r="I256" t="s">
        <v>4941</v>
      </c>
      <c r="J256" t="s">
        <v>33</v>
      </c>
      <c r="K256" t="s">
        <v>34</v>
      </c>
      <c r="L256" t="s">
        <v>35</v>
      </c>
      <c r="Q256">
        <v>1</v>
      </c>
      <c r="R256">
        <v>3</v>
      </c>
      <c r="AM256">
        <v>2</v>
      </c>
      <c r="AN256">
        <v>25</v>
      </c>
      <c r="AQ256">
        <v>53</v>
      </c>
    </row>
    <row r="257" spans="1:43" x14ac:dyDescent="0.25">
      <c r="A257" t="s">
        <v>179</v>
      </c>
      <c r="B257" t="s">
        <v>291</v>
      </c>
      <c r="G257" t="s">
        <v>317</v>
      </c>
      <c r="H257" t="s">
        <v>113</v>
      </c>
      <c r="I257" t="s">
        <v>3988</v>
      </c>
      <c r="J257" t="s">
        <v>33</v>
      </c>
      <c r="K257" t="s">
        <v>34</v>
      </c>
      <c r="L257" t="s">
        <v>35</v>
      </c>
      <c r="AQ257">
        <v>0</v>
      </c>
    </row>
    <row r="258" spans="1:43" x14ac:dyDescent="0.25">
      <c r="A258" t="s">
        <v>36</v>
      </c>
      <c r="B258" t="s">
        <v>968</v>
      </c>
      <c r="F258" t="s">
        <v>261</v>
      </c>
      <c r="I258" t="s">
        <v>969</v>
      </c>
      <c r="J258" t="s">
        <v>33</v>
      </c>
      <c r="K258" t="s">
        <v>34</v>
      </c>
      <c r="L258" t="s">
        <v>35</v>
      </c>
      <c r="Q258">
        <v>4</v>
      </c>
      <c r="R258">
        <v>3</v>
      </c>
      <c r="AQ258">
        <v>12</v>
      </c>
    </row>
    <row r="259" spans="1:43" x14ac:dyDescent="0.25">
      <c r="A259" t="s">
        <v>484</v>
      </c>
      <c r="B259" t="s">
        <v>1742</v>
      </c>
      <c r="G259" t="s">
        <v>1743</v>
      </c>
      <c r="H259" t="s">
        <v>1744</v>
      </c>
      <c r="I259" t="s">
        <v>1745</v>
      </c>
      <c r="J259" t="s">
        <v>33</v>
      </c>
      <c r="K259" t="s">
        <v>34</v>
      </c>
      <c r="L259" t="s">
        <v>35</v>
      </c>
      <c r="AQ259">
        <v>0</v>
      </c>
    </row>
    <row r="260" spans="1:43" x14ac:dyDescent="0.25">
      <c r="A260" t="s">
        <v>1035</v>
      </c>
      <c r="B260" t="s">
        <v>4976</v>
      </c>
      <c r="G260" t="s">
        <v>3609</v>
      </c>
      <c r="H260" t="s">
        <v>3610</v>
      </c>
      <c r="I260" t="s">
        <v>3612</v>
      </c>
      <c r="J260" t="s">
        <v>33</v>
      </c>
      <c r="K260" t="s">
        <v>34</v>
      </c>
      <c r="L260" t="s">
        <v>35</v>
      </c>
      <c r="AQ260">
        <v>0</v>
      </c>
    </row>
    <row r="261" spans="1:43" x14ac:dyDescent="0.25">
      <c r="A261" t="s">
        <v>295</v>
      </c>
      <c r="B261" t="s">
        <v>1449</v>
      </c>
      <c r="G261" t="s">
        <v>1448</v>
      </c>
      <c r="H261" t="s">
        <v>1449</v>
      </c>
      <c r="I261" t="s">
        <v>1450</v>
      </c>
      <c r="J261" t="s">
        <v>33</v>
      </c>
      <c r="K261" t="s">
        <v>34</v>
      </c>
      <c r="L261" t="s">
        <v>35</v>
      </c>
      <c r="AQ261">
        <v>0</v>
      </c>
    </row>
    <row r="262" spans="1:43" x14ac:dyDescent="0.25">
      <c r="A262" t="s">
        <v>1448</v>
      </c>
      <c r="B262" t="s">
        <v>1449</v>
      </c>
      <c r="D262" t="s">
        <v>1770</v>
      </c>
      <c r="F262" t="s">
        <v>261</v>
      </c>
      <c r="I262" t="s">
        <v>1450</v>
      </c>
      <c r="J262" t="s">
        <v>33</v>
      </c>
      <c r="K262" t="s">
        <v>34</v>
      </c>
      <c r="L262" t="s">
        <v>35</v>
      </c>
      <c r="S262">
        <v>4</v>
      </c>
      <c r="T262">
        <v>3</v>
      </c>
      <c r="AQ262">
        <v>12</v>
      </c>
    </row>
    <row r="263" spans="1:43" x14ac:dyDescent="0.25">
      <c r="A263" t="s">
        <v>456</v>
      </c>
      <c r="B263" t="s">
        <v>1449</v>
      </c>
      <c r="G263" t="s">
        <v>1448</v>
      </c>
      <c r="H263" t="s">
        <v>1449</v>
      </c>
      <c r="I263" t="s">
        <v>1450</v>
      </c>
      <c r="J263" t="s">
        <v>33</v>
      </c>
      <c r="K263" t="s">
        <v>34</v>
      </c>
      <c r="L263" t="s">
        <v>35</v>
      </c>
      <c r="AQ263">
        <v>0</v>
      </c>
    </row>
    <row r="264" spans="1:43" x14ac:dyDescent="0.25">
      <c r="A264" t="s">
        <v>141</v>
      </c>
      <c r="B264" t="s">
        <v>218</v>
      </c>
      <c r="D264" t="s">
        <v>1774</v>
      </c>
      <c r="E264" t="s">
        <v>53</v>
      </c>
      <c r="F264" t="s">
        <v>261</v>
      </c>
      <c r="I264" t="s">
        <v>1775</v>
      </c>
      <c r="J264" t="s">
        <v>33</v>
      </c>
      <c r="K264" t="s">
        <v>34</v>
      </c>
      <c r="L264" t="s">
        <v>35</v>
      </c>
      <c r="S264">
        <v>1</v>
      </c>
      <c r="T264">
        <v>3</v>
      </c>
      <c r="AC264">
        <v>1</v>
      </c>
      <c r="AD264">
        <v>10</v>
      </c>
      <c r="AQ264">
        <v>13</v>
      </c>
    </row>
    <row r="265" spans="1:43" x14ac:dyDescent="0.25">
      <c r="A265" t="s">
        <v>357</v>
      </c>
      <c r="B265" t="s">
        <v>3157</v>
      </c>
      <c r="D265" t="s">
        <v>357</v>
      </c>
      <c r="F265" t="s">
        <v>261</v>
      </c>
      <c r="I265" t="s">
        <v>3158</v>
      </c>
      <c r="J265" t="s">
        <v>33</v>
      </c>
      <c r="K265" t="s">
        <v>34</v>
      </c>
      <c r="L265" t="s">
        <v>35</v>
      </c>
      <c r="Q265">
        <v>1</v>
      </c>
      <c r="R265">
        <v>3</v>
      </c>
      <c r="AC265">
        <v>1</v>
      </c>
      <c r="AD265">
        <v>10</v>
      </c>
      <c r="AQ265">
        <v>13</v>
      </c>
    </row>
    <row r="266" spans="1:43" x14ac:dyDescent="0.25">
      <c r="A266" t="s">
        <v>4587</v>
      </c>
      <c r="B266" t="s">
        <v>4588</v>
      </c>
      <c r="F266" t="s">
        <v>261</v>
      </c>
      <c r="I266" t="s">
        <v>4589</v>
      </c>
      <c r="J266" t="s">
        <v>33</v>
      </c>
      <c r="K266" t="s">
        <v>34</v>
      </c>
      <c r="L266" t="s">
        <v>35</v>
      </c>
      <c r="Q266">
        <v>3</v>
      </c>
      <c r="R266">
        <v>3</v>
      </c>
      <c r="AQ266">
        <v>9</v>
      </c>
    </row>
    <row r="267" spans="1:43" x14ac:dyDescent="0.25">
      <c r="A267" t="s">
        <v>90</v>
      </c>
      <c r="B267" t="s">
        <v>933</v>
      </c>
      <c r="D267" t="s">
        <v>5023</v>
      </c>
      <c r="F267" t="s">
        <v>261</v>
      </c>
      <c r="I267" t="s">
        <v>4881</v>
      </c>
      <c r="J267" t="s">
        <v>33</v>
      </c>
      <c r="K267" t="s">
        <v>34</v>
      </c>
      <c r="L267" t="s">
        <v>35</v>
      </c>
      <c r="Q267">
        <v>3</v>
      </c>
      <c r="R267">
        <v>3</v>
      </c>
      <c r="U267">
        <v>1</v>
      </c>
      <c r="V267">
        <v>20</v>
      </c>
      <c r="AC267">
        <v>1</v>
      </c>
      <c r="AD267">
        <v>10</v>
      </c>
      <c r="AQ267">
        <v>39</v>
      </c>
    </row>
    <row r="268" spans="1:43" x14ac:dyDescent="0.25">
      <c r="A268" t="s">
        <v>2055</v>
      </c>
      <c r="B268" t="s">
        <v>3618</v>
      </c>
      <c r="D268" t="s">
        <v>5031</v>
      </c>
      <c r="F268" t="s">
        <v>261</v>
      </c>
      <c r="I268" t="s">
        <v>3619</v>
      </c>
      <c r="J268" t="s">
        <v>33</v>
      </c>
      <c r="K268" t="s">
        <v>34</v>
      </c>
      <c r="L268" t="s">
        <v>35</v>
      </c>
      <c r="Q268">
        <v>2</v>
      </c>
      <c r="R268">
        <v>3</v>
      </c>
      <c r="W268">
        <v>1</v>
      </c>
      <c r="X268">
        <v>40</v>
      </c>
      <c r="AQ268">
        <v>46</v>
      </c>
    </row>
    <row r="269" spans="1:43" x14ac:dyDescent="0.25">
      <c r="A269" t="s">
        <v>47</v>
      </c>
      <c r="B269" t="s">
        <v>3160</v>
      </c>
      <c r="G269" t="s">
        <v>352</v>
      </c>
      <c r="H269" t="s">
        <v>2668</v>
      </c>
      <c r="I269" t="s">
        <v>2669</v>
      </c>
      <c r="J269" t="s">
        <v>37</v>
      </c>
      <c r="K269" t="s">
        <v>752</v>
      </c>
      <c r="L269" t="s">
        <v>35</v>
      </c>
      <c r="AQ269">
        <v>0</v>
      </c>
    </row>
    <row r="270" spans="1:43" x14ac:dyDescent="0.25">
      <c r="A270" t="s">
        <v>79</v>
      </c>
      <c r="B270" t="s">
        <v>3816</v>
      </c>
      <c r="D270" t="s">
        <v>5060</v>
      </c>
      <c r="F270" t="s">
        <v>261</v>
      </c>
      <c r="I270" t="s">
        <v>3817</v>
      </c>
      <c r="J270" t="s">
        <v>33</v>
      </c>
      <c r="K270" t="s">
        <v>34</v>
      </c>
      <c r="L270" t="s">
        <v>35</v>
      </c>
      <c r="Q270">
        <v>2</v>
      </c>
      <c r="R270">
        <v>3</v>
      </c>
      <c r="U270">
        <v>1</v>
      </c>
      <c r="V270">
        <v>20</v>
      </c>
      <c r="AG270">
        <v>1</v>
      </c>
      <c r="AH270">
        <v>1</v>
      </c>
      <c r="AQ270">
        <v>27</v>
      </c>
    </row>
    <row r="271" spans="1:43" x14ac:dyDescent="0.25">
      <c r="A271" t="s">
        <v>166</v>
      </c>
      <c r="B271" t="s">
        <v>370</v>
      </c>
      <c r="D271" t="s">
        <v>5068</v>
      </c>
      <c r="F271" t="s">
        <v>261</v>
      </c>
      <c r="I271" t="s">
        <v>5069</v>
      </c>
      <c r="J271" t="s">
        <v>33</v>
      </c>
      <c r="K271" t="s">
        <v>34</v>
      </c>
      <c r="L271" t="s">
        <v>35</v>
      </c>
      <c r="Q271">
        <v>1</v>
      </c>
      <c r="R271">
        <v>3</v>
      </c>
      <c r="U271">
        <v>1</v>
      </c>
      <c r="V271">
        <v>20</v>
      </c>
      <c r="AK271">
        <v>1</v>
      </c>
      <c r="AL271">
        <v>6</v>
      </c>
      <c r="AQ271">
        <v>29</v>
      </c>
    </row>
    <row r="272" spans="1:43" x14ac:dyDescent="0.25">
      <c r="A272" t="s">
        <v>1557</v>
      </c>
      <c r="B272" t="s">
        <v>370</v>
      </c>
      <c r="D272" t="s">
        <v>57</v>
      </c>
      <c r="F272" t="s">
        <v>261</v>
      </c>
      <c r="I272" t="s">
        <v>1800</v>
      </c>
      <c r="J272" t="s">
        <v>33</v>
      </c>
      <c r="K272" t="s">
        <v>34</v>
      </c>
      <c r="L272" t="s">
        <v>35</v>
      </c>
      <c r="S272">
        <v>1</v>
      </c>
      <c r="T272">
        <v>3</v>
      </c>
      <c r="AC272">
        <v>1</v>
      </c>
      <c r="AD272">
        <v>10</v>
      </c>
      <c r="AQ272">
        <v>13</v>
      </c>
    </row>
    <row r="273" spans="1:43" x14ac:dyDescent="0.25">
      <c r="A273" t="s">
        <v>377</v>
      </c>
      <c r="B273" t="s">
        <v>1801</v>
      </c>
      <c r="D273" t="s">
        <v>377</v>
      </c>
      <c r="E273" t="s">
        <v>76</v>
      </c>
      <c r="F273" t="s">
        <v>261</v>
      </c>
      <c r="I273" t="s">
        <v>1802</v>
      </c>
      <c r="J273" t="s">
        <v>33</v>
      </c>
      <c r="K273" t="s">
        <v>34</v>
      </c>
      <c r="L273" t="s">
        <v>35</v>
      </c>
      <c r="S273">
        <v>1</v>
      </c>
      <c r="T273">
        <v>3</v>
      </c>
      <c r="AI273">
        <v>1</v>
      </c>
      <c r="AJ273">
        <v>10</v>
      </c>
      <c r="AQ273">
        <v>13</v>
      </c>
    </row>
    <row r="274" spans="1:43" x14ac:dyDescent="0.25">
      <c r="A274" t="s">
        <v>5073</v>
      </c>
      <c r="B274" t="s">
        <v>5074</v>
      </c>
      <c r="D274" t="s">
        <v>5075</v>
      </c>
      <c r="F274" t="s">
        <v>261</v>
      </c>
      <c r="I274" t="s">
        <v>5076</v>
      </c>
      <c r="J274" t="s">
        <v>33</v>
      </c>
      <c r="K274" t="s">
        <v>34</v>
      </c>
      <c r="L274" t="s">
        <v>35</v>
      </c>
      <c r="Q274">
        <v>2</v>
      </c>
      <c r="R274">
        <v>3</v>
      </c>
      <c r="AC274">
        <v>1</v>
      </c>
      <c r="AD274">
        <v>10</v>
      </c>
      <c r="AQ274">
        <v>16</v>
      </c>
    </row>
    <row r="275" spans="1:43" x14ac:dyDescent="0.25">
      <c r="A275" t="s">
        <v>4643</v>
      </c>
      <c r="B275" t="s">
        <v>4644</v>
      </c>
      <c r="D275" t="s">
        <v>5087</v>
      </c>
      <c r="F275" t="s">
        <v>261</v>
      </c>
      <c r="I275" t="s">
        <v>4645</v>
      </c>
      <c r="J275" t="s">
        <v>33</v>
      </c>
      <c r="K275" t="s">
        <v>34</v>
      </c>
      <c r="L275" t="s">
        <v>35</v>
      </c>
      <c r="Q275">
        <v>4</v>
      </c>
      <c r="R275">
        <v>3</v>
      </c>
      <c r="AA275">
        <v>1</v>
      </c>
      <c r="AB275">
        <v>75</v>
      </c>
      <c r="AQ275">
        <v>87</v>
      </c>
    </row>
    <row r="276" spans="1:43" x14ac:dyDescent="0.25">
      <c r="A276" t="s">
        <v>253</v>
      </c>
      <c r="B276" t="s">
        <v>3169</v>
      </c>
      <c r="D276" t="s">
        <v>3170</v>
      </c>
      <c r="F276" t="s">
        <v>261</v>
      </c>
      <c r="I276" t="s">
        <v>3171</v>
      </c>
      <c r="J276" t="s">
        <v>33</v>
      </c>
      <c r="K276" t="s">
        <v>34</v>
      </c>
      <c r="L276" t="s">
        <v>35</v>
      </c>
      <c r="Q276">
        <v>1</v>
      </c>
      <c r="R276">
        <v>3</v>
      </c>
      <c r="AC276">
        <v>1</v>
      </c>
      <c r="AD276">
        <v>10</v>
      </c>
      <c r="AQ276">
        <v>13</v>
      </c>
    </row>
    <row r="277" spans="1:43" x14ac:dyDescent="0.25">
      <c r="A277" t="s">
        <v>5097</v>
      </c>
      <c r="B277" t="s">
        <v>5098</v>
      </c>
      <c r="F277" t="s">
        <v>261</v>
      </c>
      <c r="I277" t="s">
        <v>5099</v>
      </c>
      <c r="J277" t="s">
        <v>33</v>
      </c>
      <c r="K277" t="s">
        <v>34</v>
      </c>
      <c r="L277" t="s">
        <v>35</v>
      </c>
      <c r="Q277">
        <v>1</v>
      </c>
      <c r="R277">
        <v>3</v>
      </c>
      <c r="AC277">
        <v>1</v>
      </c>
      <c r="AD277">
        <v>10</v>
      </c>
      <c r="AQ277">
        <v>13</v>
      </c>
    </row>
    <row r="278" spans="1:43" x14ac:dyDescent="0.25">
      <c r="A278" t="s">
        <v>316</v>
      </c>
      <c r="B278" t="s">
        <v>367</v>
      </c>
      <c r="D278" t="s">
        <v>316</v>
      </c>
      <c r="I278" t="s">
        <v>1829</v>
      </c>
      <c r="J278" t="s">
        <v>33</v>
      </c>
      <c r="K278" t="s">
        <v>34</v>
      </c>
      <c r="L278" t="s">
        <v>35</v>
      </c>
      <c r="S278">
        <v>1</v>
      </c>
      <c r="T278">
        <v>3</v>
      </c>
      <c r="AQ278">
        <v>3</v>
      </c>
    </row>
    <row r="279" spans="1:43" x14ac:dyDescent="0.25">
      <c r="A279" t="s">
        <v>93</v>
      </c>
      <c r="B279" t="s">
        <v>5118</v>
      </c>
      <c r="G279" t="s">
        <v>3749</v>
      </c>
      <c r="H279" t="s">
        <v>472</v>
      </c>
      <c r="I279" t="s">
        <v>3750</v>
      </c>
      <c r="J279" t="s">
        <v>33</v>
      </c>
      <c r="K279" t="s">
        <v>34</v>
      </c>
      <c r="L279" t="s">
        <v>35</v>
      </c>
      <c r="AQ279">
        <v>0</v>
      </c>
    </row>
    <row r="280" spans="1:43" x14ac:dyDescent="0.25">
      <c r="A280" t="s">
        <v>1831</v>
      </c>
      <c r="B280" t="s">
        <v>1623</v>
      </c>
      <c r="D280" t="s">
        <v>1832</v>
      </c>
      <c r="E280" t="s">
        <v>216</v>
      </c>
      <c r="I280" t="s">
        <v>1833</v>
      </c>
      <c r="J280" t="s">
        <v>33</v>
      </c>
      <c r="K280" t="s">
        <v>34</v>
      </c>
      <c r="L280" t="s">
        <v>35</v>
      </c>
      <c r="O280">
        <v>1</v>
      </c>
      <c r="P280">
        <v>3</v>
      </c>
      <c r="AC280">
        <v>1</v>
      </c>
      <c r="AD280">
        <v>10</v>
      </c>
      <c r="AQ280">
        <v>13</v>
      </c>
    </row>
    <row r="281" spans="1:43" x14ac:dyDescent="0.25">
      <c r="A281" t="s">
        <v>281</v>
      </c>
      <c r="B281" t="s">
        <v>3176</v>
      </c>
      <c r="D281" t="s">
        <v>3177</v>
      </c>
      <c r="F281" t="s">
        <v>261</v>
      </c>
      <c r="I281" t="s">
        <v>3178</v>
      </c>
      <c r="J281" t="s">
        <v>33</v>
      </c>
      <c r="K281" t="s">
        <v>34</v>
      </c>
      <c r="L281" t="s">
        <v>35</v>
      </c>
      <c r="Q281">
        <v>1</v>
      </c>
      <c r="R281">
        <v>3</v>
      </c>
      <c r="U281">
        <v>1</v>
      </c>
      <c r="V281">
        <v>20</v>
      </c>
      <c r="AC281">
        <v>1</v>
      </c>
      <c r="AD281">
        <v>10</v>
      </c>
      <c r="AQ281">
        <v>33</v>
      </c>
    </row>
    <row r="282" spans="1:43" x14ac:dyDescent="0.25">
      <c r="A282" t="s">
        <v>839</v>
      </c>
      <c r="B282" t="s">
        <v>5134</v>
      </c>
      <c r="D282" t="s">
        <v>5135</v>
      </c>
      <c r="F282" t="s">
        <v>261</v>
      </c>
      <c r="I282" t="s">
        <v>5136</v>
      </c>
      <c r="J282" t="s">
        <v>33</v>
      </c>
      <c r="K282" t="s">
        <v>34</v>
      </c>
      <c r="L282" t="s">
        <v>35</v>
      </c>
      <c r="Q282">
        <v>1</v>
      </c>
      <c r="R282">
        <v>3</v>
      </c>
      <c r="AC282">
        <v>1</v>
      </c>
      <c r="AD282">
        <v>10</v>
      </c>
      <c r="AQ282">
        <v>13</v>
      </c>
    </row>
    <row r="283" spans="1:43" x14ac:dyDescent="0.25">
      <c r="A283" t="s">
        <v>1838</v>
      </c>
      <c r="B283" t="s">
        <v>757</v>
      </c>
      <c r="F283" t="s">
        <v>261</v>
      </c>
      <c r="I283" t="s">
        <v>1839</v>
      </c>
      <c r="J283" t="s">
        <v>33</v>
      </c>
      <c r="K283" t="s">
        <v>34</v>
      </c>
      <c r="L283" t="s">
        <v>35</v>
      </c>
      <c r="S283">
        <v>2</v>
      </c>
      <c r="T283">
        <v>3</v>
      </c>
      <c r="AQ283">
        <v>6</v>
      </c>
    </row>
    <row r="284" spans="1:43" x14ac:dyDescent="0.25">
      <c r="A284" t="s">
        <v>1844</v>
      </c>
      <c r="B284" t="s">
        <v>757</v>
      </c>
      <c r="G284" t="s">
        <v>1838</v>
      </c>
      <c r="H284" t="s">
        <v>757</v>
      </c>
      <c r="I284" t="s">
        <v>1839</v>
      </c>
      <c r="J284" t="s">
        <v>33</v>
      </c>
      <c r="K284" t="s">
        <v>34</v>
      </c>
      <c r="L284" t="s">
        <v>35</v>
      </c>
      <c r="AQ284">
        <v>0</v>
      </c>
    </row>
    <row r="285" spans="1:43" x14ac:dyDescent="0.25">
      <c r="A285" t="s">
        <v>1437</v>
      </c>
      <c r="B285" t="s">
        <v>1848</v>
      </c>
      <c r="D285" t="s">
        <v>5139</v>
      </c>
      <c r="E285" t="s">
        <v>216</v>
      </c>
      <c r="F285" t="s">
        <v>261</v>
      </c>
      <c r="I285" t="s">
        <v>5140</v>
      </c>
      <c r="J285" t="s">
        <v>33</v>
      </c>
      <c r="K285" t="s">
        <v>34</v>
      </c>
      <c r="L285" t="s">
        <v>35</v>
      </c>
      <c r="Q285">
        <v>1</v>
      </c>
      <c r="R285">
        <v>3</v>
      </c>
      <c r="AQ285">
        <v>3</v>
      </c>
    </row>
    <row r="286" spans="1:43" x14ac:dyDescent="0.25">
      <c r="A286" t="s">
        <v>2973</v>
      </c>
      <c r="B286" t="s">
        <v>2974</v>
      </c>
      <c r="D286" t="s">
        <v>3190</v>
      </c>
      <c r="F286" t="s">
        <v>261</v>
      </c>
      <c r="I286" t="s">
        <v>3191</v>
      </c>
      <c r="J286" t="s">
        <v>33</v>
      </c>
      <c r="K286" t="s">
        <v>34</v>
      </c>
      <c r="L286" t="s">
        <v>35</v>
      </c>
      <c r="Q286">
        <v>2</v>
      </c>
      <c r="R286">
        <v>3</v>
      </c>
      <c r="AC286">
        <v>1</v>
      </c>
      <c r="AD286">
        <v>10</v>
      </c>
      <c r="AQ286">
        <v>16</v>
      </c>
    </row>
    <row r="287" spans="1:43" x14ac:dyDescent="0.25">
      <c r="A287" t="s">
        <v>556</v>
      </c>
      <c r="B287" t="s">
        <v>5159</v>
      </c>
      <c r="D287" t="s">
        <v>556</v>
      </c>
      <c r="F287" t="s">
        <v>261</v>
      </c>
      <c r="I287" t="s">
        <v>5160</v>
      </c>
      <c r="J287" t="s">
        <v>33</v>
      </c>
      <c r="K287" t="s">
        <v>34</v>
      </c>
      <c r="L287" t="s">
        <v>35</v>
      </c>
      <c r="Q287">
        <v>1</v>
      </c>
      <c r="R287">
        <v>3</v>
      </c>
      <c r="AC287">
        <v>1</v>
      </c>
      <c r="AD287">
        <v>10</v>
      </c>
      <c r="AQ287">
        <v>13</v>
      </c>
    </row>
    <row r="288" spans="1:43" x14ac:dyDescent="0.25">
      <c r="A288" t="s">
        <v>50</v>
      </c>
      <c r="B288" t="s">
        <v>154</v>
      </c>
      <c r="G288" t="s">
        <v>3196</v>
      </c>
      <c r="H288" t="s">
        <v>3197</v>
      </c>
      <c r="I288" t="s">
        <v>3198</v>
      </c>
      <c r="J288" t="s">
        <v>33</v>
      </c>
      <c r="K288" t="s">
        <v>34</v>
      </c>
      <c r="L288" t="s">
        <v>35</v>
      </c>
      <c r="AQ288">
        <v>0</v>
      </c>
    </row>
    <row r="289" spans="1:43" x14ac:dyDescent="0.25">
      <c r="A289" t="s">
        <v>1351</v>
      </c>
      <c r="B289" t="s">
        <v>154</v>
      </c>
      <c r="D289" t="s">
        <v>5169</v>
      </c>
      <c r="F289" t="s">
        <v>261</v>
      </c>
      <c r="I289" t="s">
        <v>4007</v>
      </c>
      <c r="J289" t="s">
        <v>33</v>
      </c>
      <c r="K289" t="s">
        <v>34</v>
      </c>
      <c r="L289" t="s">
        <v>35</v>
      </c>
      <c r="Q289">
        <v>2</v>
      </c>
      <c r="R289">
        <v>3</v>
      </c>
      <c r="AQ289">
        <v>6</v>
      </c>
    </row>
    <row r="290" spans="1:43" x14ac:dyDescent="0.25">
      <c r="A290" t="s">
        <v>3201</v>
      </c>
      <c r="B290" t="s">
        <v>154</v>
      </c>
      <c r="G290" t="s">
        <v>3196</v>
      </c>
      <c r="H290" t="s">
        <v>3197</v>
      </c>
      <c r="I290" t="s">
        <v>3198</v>
      </c>
      <c r="J290" t="s">
        <v>33</v>
      </c>
      <c r="K290" t="s">
        <v>34</v>
      </c>
      <c r="L290" t="s">
        <v>35</v>
      </c>
      <c r="AQ290">
        <v>0</v>
      </c>
    </row>
    <row r="291" spans="1:43" x14ac:dyDescent="0.25">
      <c r="A291" t="s">
        <v>886</v>
      </c>
      <c r="B291" t="s">
        <v>154</v>
      </c>
      <c r="D291" t="s">
        <v>1879</v>
      </c>
      <c r="F291" t="s">
        <v>261</v>
      </c>
      <c r="I291" t="s">
        <v>887</v>
      </c>
      <c r="J291" t="s">
        <v>33</v>
      </c>
      <c r="K291" t="s">
        <v>34</v>
      </c>
      <c r="L291" t="s">
        <v>35</v>
      </c>
      <c r="Q291">
        <v>4</v>
      </c>
      <c r="R291">
        <v>3</v>
      </c>
      <c r="AC291">
        <v>4</v>
      </c>
      <c r="AD291">
        <v>10</v>
      </c>
      <c r="AQ291">
        <v>52</v>
      </c>
    </row>
    <row r="292" spans="1:43" x14ac:dyDescent="0.25">
      <c r="A292" t="s">
        <v>2055</v>
      </c>
      <c r="B292" t="s">
        <v>3203</v>
      </c>
      <c r="G292" t="s">
        <v>4748</v>
      </c>
      <c r="H292" t="s">
        <v>1456</v>
      </c>
      <c r="I292" t="s">
        <v>4749</v>
      </c>
      <c r="J292" t="s">
        <v>33</v>
      </c>
      <c r="K292" t="s">
        <v>34</v>
      </c>
      <c r="L292" t="s">
        <v>35</v>
      </c>
      <c r="AQ292">
        <v>0</v>
      </c>
    </row>
    <row r="293" spans="1:43" x14ac:dyDescent="0.25">
      <c r="A293" t="s">
        <v>377</v>
      </c>
      <c r="B293" t="s">
        <v>1902</v>
      </c>
      <c r="D293" t="s">
        <v>377</v>
      </c>
      <c r="F293" t="s">
        <v>261</v>
      </c>
      <c r="I293" t="s">
        <v>1903</v>
      </c>
      <c r="J293" t="s">
        <v>33</v>
      </c>
      <c r="K293" t="s">
        <v>34</v>
      </c>
      <c r="L293" t="s">
        <v>35</v>
      </c>
      <c r="S293">
        <v>2</v>
      </c>
      <c r="T293">
        <v>3</v>
      </c>
      <c r="U293">
        <v>2</v>
      </c>
      <c r="V293">
        <v>20</v>
      </c>
      <c r="AQ293">
        <v>46</v>
      </c>
    </row>
    <row r="294" spans="1:43" x14ac:dyDescent="0.25">
      <c r="A294" t="s">
        <v>3173</v>
      </c>
      <c r="B294" t="s">
        <v>374</v>
      </c>
      <c r="G294" t="s">
        <v>684</v>
      </c>
      <c r="H294" t="s">
        <v>4554</v>
      </c>
      <c r="I294" t="s">
        <v>4556</v>
      </c>
      <c r="J294" t="s">
        <v>33</v>
      </c>
      <c r="K294" t="s">
        <v>34</v>
      </c>
      <c r="L294" t="s">
        <v>35</v>
      </c>
      <c r="AQ294">
        <v>0</v>
      </c>
    </row>
    <row r="295" spans="1:43" x14ac:dyDescent="0.25">
      <c r="A295" t="s">
        <v>2995</v>
      </c>
      <c r="B295" t="s">
        <v>2996</v>
      </c>
      <c r="D295" t="s">
        <v>3207</v>
      </c>
      <c r="F295" t="s">
        <v>261</v>
      </c>
      <c r="I295" t="s">
        <v>2997</v>
      </c>
      <c r="J295" t="s">
        <v>33</v>
      </c>
      <c r="K295" t="s">
        <v>34</v>
      </c>
      <c r="L295" t="s">
        <v>35</v>
      </c>
      <c r="Q295">
        <v>2</v>
      </c>
      <c r="R295">
        <v>3</v>
      </c>
      <c r="AC295">
        <v>2</v>
      </c>
      <c r="AD295">
        <v>10</v>
      </c>
      <c r="AQ295">
        <v>26</v>
      </c>
    </row>
    <row r="296" spans="1:43" x14ac:dyDescent="0.25">
      <c r="A296" t="s">
        <v>166</v>
      </c>
      <c r="B296" t="s">
        <v>5214</v>
      </c>
      <c r="D296" t="s">
        <v>5215</v>
      </c>
      <c r="F296" t="s">
        <v>261</v>
      </c>
      <c r="I296" t="s">
        <v>5216</v>
      </c>
      <c r="J296" t="s">
        <v>33</v>
      </c>
      <c r="K296" t="s">
        <v>34</v>
      </c>
      <c r="L296" t="s">
        <v>35</v>
      </c>
      <c r="Q296">
        <v>2</v>
      </c>
      <c r="R296">
        <v>3</v>
      </c>
      <c r="W296">
        <v>1</v>
      </c>
      <c r="X296">
        <v>40</v>
      </c>
      <c r="AE296">
        <v>1</v>
      </c>
      <c r="AF296">
        <v>6</v>
      </c>
      <c r="AG296">
        <v>2</v>
      </c>
      <c r="AH296">
        <v>1</v>
      </c>
      <c r="AQ296">
        <v>54</v>
      </c>
    </row>
    <row r="297" spans="1:43" x14ac:dyDescent="0.25">
      <c r="A297" t="s">
        <v>1549</v>
      </c>
      <c r="B297" t="s">
        <v>5224</v>
      </c>
      <c r="D297" t="s">
        <v>5225</v>
      </c>
      <c r="F297" t="s">
        <v>261</v>
      </c>
      <c r="I297" t="s">
        <v>5226</v>
      </c>
      <c r="J297" t="s">
        <v>33</v>
      </c>
      <c r="K297" t="s">
        <v>34</v>
      </c>
      <c r="L297" t="s">
        <v>35</v>
      </c>
      <c r="Q297">
        <v>2</v>
      </c>
      <c r="R297">
        <v>3</v>
      </c>
      <c r="AC297">
        <v>2</v>
      </c>
      <c r="AD297">
        <v>10</v>
      </c>
      <c r="AQ297">
        <v>26</v>
      </c>
    </row>
    <row r="298" spans="1:43" x14ac:dyDescent="0.25">
      <c r="A298" t="s">
        <v>1924</v>
      </c>
      <c r="B298" t="s">
        <v>1925</v>
      </c>
      <c r="D298" t="s">
        <v>1926</v>
      </c>
      <c r="I298" t="s">
        <v>1927</v>
      </c>
      <c r="J298" t="s">
        <v>33</v>
      </c>
      <c r="K298" t="s">
        <v>34</v>
      </c>
      <c r="L298" t="s">
        <v>35</v>
      </c>
      <c r="O298">
        <v>1</v>
      </c>
      <c r="P298">
        <v>3</v>
      </c>
      <c r="AC298">
        <v>1</v>
      </c>
      <c r="AD298">
        <v>10</v>
      </c>
      <c r="AQ298">
        <v>13</v>
      </c>
    </row>
    <row r="299" spans="1:43" x14ac:dyDescent="0.25">
      <c r="A299" t="s">
        <v>5231</v>
      </c>
      <c r="B299" t="s">
        <v>5232</v>
      </c>
      <c r="D299" t="s">
        <v>5233</v>
      </c>
      <c r="F299" t="s">
        <v>261</v>
      </c>
      <c r="I299" t="s">
        <v>5234</v>
      </c>
      <c r="J299" t="s">
        <v>37</v>
      </c>
      <c r="K299" t="s">
        <v>752</v>
      </c>
      <c r="L299" t="s">
        <v>35</v>
      </c>
      <c r="Q299">
        <v>1</v>
      </c>
      <c r="R299">
        <v>3</v>
      </c>
      <c r="U299">
        <v>1</v>
      </c>
      <c r="V299">
        <v>20</v>
      </c>
      <c r="AC299">
        <v>1</v>
      </c>
      <c r="AD299">
        <v>10</v>
      </c>
      <c r="AQ299">
        <v>33</v>
      </c>
    </row>
    <row r="300" spans="1:43" x14ac:dyDescent="0.25">
      <c r="A300" t="s">
        <v>1930</v>
      </c>
      <c r="B300" t="s">
        <v>1931</v>
      </c>
      <c r="G300" t="s">
        <v>482</v>
      </c>
      <c r="H300" t="s">
        <v>1932</v>
      </c>
      <c r="I300" t="s">
        <v>1933</v>
      </c>
      <c r="J300" t="s">
        <v>33</v>
      </c>
      <c r="K300" t="s">
        <v>34</v>
      </c>
      <c r="L300" t="s">
        <v>35</v>
      </c>
      <c r="AQ300">
        <v>0</v>
      </c>
    </row>
    <row r="301" spans="1:43" x14ac:dyDescent="0.25">
      <c r="A301" t="s">
        <v>2002</v>
      </c>
      <c r="B301" t="s">
        <v>5058</v>
      </c>
      <c r="D301" t="s">
        <v>2002</v>
      </c>
      <c r="F301" t="s">
        <v>261</v>
      </c>
      <c r="I301" t="s">
        <v>5253</v>
      </c>
      <c r="J301" t="s">
        <v>33</v>
      </c>
      <c r="K301" t="s">
        <v>34</v>
      </c>
      <c r="L301" t="s">
        <v>35</v>
      </c>
      <c r="Q301">
        <v>1</v>
      </c>
      <c r="R301">
        <v>3</v>
      </c>
      <c r="AQ301">
        <v>3</v>
      </c>
    </row>
    <row r="302" spans="1:43" x14ac:dyDescent="0.25">
      <c r="A302" t="s">
        <v>5259</v>
      </c>
      <c r="B302" t="s">
        <v>204</v>
      </c>
      <c r="D302" t="s">
        <v>329</v>
      </c>
      <c r="F302" t="s">
        <v>261</v>
      </c>
      <c r="I302" t="s">
        <v>5260</v>
      </c>
      <c r="J302" t="s">
        <v>33</v>
      </c>
      <c r="K302" t="s">
        <v>34</v>
      </c>
      <c r="L302" t="s">
        <v>35</v>
      </c>
      <c r="Q302">
        <v>1</v>
      </c>
      <c r="R302">
        <v>3</v>
      </c>
      <c r="AC302">
        <v>1</v>
      </c>
      <c r="AD302">
        <v>10</v>
      </c>
      <c r="AQ302">
        <v>13</v>
      </c>
    </row>
    <row r="303" spans="1:43" x14ac:dyDescent="0.25">
      <c r="A303" t="s">
        <v>89</v>
      </c>
      <c r="B303" t="s">
        <v>5275</v>
      </c>
      <c r="D303" t="s">
        <v>5276</v>
      </c>
      <c r="F303" t="s">
        <v>261</v>
      </c>
      <c r="I303" t="s">
        <v>5277</v>
      </c>
      <c r="J303" t="s">
        <v>33</v>
      </c>
      <c r="K303" t="s">
        <v>34</v>
      </c>
      <c r="L303" t="s">
        <v>35</v>
      </c>
      <c r="Q303">
        <v>2</v>
      </c>
      <c r="R303">
        <v>3</v>
      </c>
      <c r="AC303">
        <v>2</v>
      </c>
      <c r="AD303">
        <v>10</v>
      </c>
      <c r="AQ303">
        <v>26</v>
      </c>
    </row>
    <row r="304" spans="1:43" x14ac:dyDescent="0.25">
      <c r="A304" t="s">
        <v>4608</v>
      </c>
      <c r="B304" t="s">
        <v>5275</v>
      </c>
      <c r="G304" t="s">
        <v>89</v>
      </c>
      <c r="H304" t="s">
        <v>5275</v>
      </c>
      <c r="I304" t="s">
        <v>5277</v>
      </c>
      <c r="J304" t="s">
        <v>33</v>
      </c>
      <c r="K304" t="s">
        <v>34</v>
      </c>
      <c r="L304" t="s">
        <v>35</v>
      </c>
      <c r="AQ304">
        <v>0</v>
      </c>
    </row>
    <row r="305" spans="1:43" x14ac:dyDescent="0.25">
      <c r="A305" t="s">
        <v>115</v>
      </c>
      <c r="B305" t="s">
        <v>1972</v>
      </c>
      <c r="G305" t="s">
        <v>1379</v>
      </c>
      <c r="H305" t="s">
        <v>1380</v>
      </c>
      <c r="I305" t="s">
        <v>1382</v>
      </c>
      <c r="J305" t="s">
        <v>33</v>
      </c>
      <c r="K305" t="s">
        <v>34</v>
      </c>
      <c r="L305" t="s">
        <v>35</v>
      </c>
      <c r="AQ305">
        <v>0</v>
      </c>
    </row>
    <row r="306" spans="1:43" x14ac:dyDescent="0.25">
      <c r="A306" t="s">
        <v>4796</v>
      </c>
      <c r="B306" t="s">
        <v>243</v>
      </c>
      <c r="G306" t="s">
        <v>5271</v>
      </c>
      <c r="H306" t="s">
        <v>243</v>
      </c>
      <c r="I306" t="s">
        <v>5286</v>
      </c>
      <c r="J306" t="s">
        <v>33</v>
      </c>
      <c r="K306" t="s">
        <v>34</v>
      </c>
      <c r="L306" t="s">
        <v>35</v>
      </c>
      <c r="AQ306">
        <v>0</v>
      </c>
    </row>
    <row r="307" spans="1:43" x14ac:dyDescent="0.25">
      <c r="A307" t="s">
        <v>1520</v>
      </c>
      <c r="B307" t="s">
        <v>243</v>
      </c>
      <c r="G307" t="s">
        <v>2333</v>
      </c>
      <c r="H307" t="s">
        <v>4264</v>
      </c>
      <c r="I307" t="s">
        <v>4266</v>
      </c>
      <c r="J307" t="s">
        <v>33</v>
      </c>
      <c r="K307" t="s">
        <v>34</v>
      </c>
      <c r="L307" t="s">
        <v>35</v>
      </c>
      <c r="AQ307">
        <v>0</v>
      </c>
    </row>
    <row r="308" spans="1:43" x14ac:dyDescent="0.25">
      <c r="A308" t="s">
        <v>5271</v>
      </c>
      <c r="B308" t="s">
        <v>243</v>
      </c>
      <c r="D308" t="s">
        <v>5289</v>
      </c>
      <c r="F308" t="s">
        <v>261</v>
      </c>
      <c r="I308" t="s">
        <v>5286</v>
      </c>
      <c r="J308" t="s">
        <v>33</v>
      </c>
      <c r="K308" t="s">
        <v>34</v>
      </c>
      <c r="L308" t="s">
        <v>35</v>
      </c>
      <c r="Q308">
        <v>2</v>
      </c>
      <c r="R308">
        <v>3</v>
      </c>
      <c r="U308">
        <v>1</v>
      </c>
      <c r="V308">
        <v>20</v>
      </c>
      <c r="AQ308">
        <v>26</v>
      </c>
    </row>
    <row r="309" spans="1:43" x14ac:dyDescent="0.25">
      <c r="A309" t="s">
        <v>256</v>
      </c>
      <c r="B309" t="s">
        <v>228</v>
      </c>
      <c r="G309" t="s">
        <v>886</v>
      </c>
      <c r="H309" t="s">
        <v>154</v>
      </c>
      <c r="I309" t="s">
        <v>887</v>
      </c>
      <c r="J309" t="s">
        <v>33</v>
      </c>
      <c r="K309" t="s">
        <v>34</v>
      </c>
      <c r="L309" t="s">
        <v>35</v>
      </c>
      <c r="AQ309">
        <v>0</v>
      </c>
    </row>
    <row r="310" spans="1:43" x14ac:dyDescent="0.25">
      <c r="A310" t="s">
        <v>3233</v>
      </c>
      <c r="B310" t="s">
        <v>1441</v>
      </c>
      <c r="G310" t="s">
        <v>456</v>
      </c>
      <c r="H310" t="s">
        <v>1441</v>
      </c>
      <c r="I310" t="s">
        <v>3016</v>
      </c>
      <c r="J310" t="s">
        <v>33</v>
      </c>
      <c r="K310" t="s">
        <v>34</v>
      </c>
      <c r="L310" t="s">
        <v>35</v>
      </c>
      <c r="AQ310">
        <v>0</v>
      </c>
    </row>
    <row r="311" spans="1:43" x14ac:dyDescent="0.25">
      <c r="A311" t="s">
        <v>3004</v>
      </c>
      <c r="B311" t="s">
        <v>1441</v>
      </c>
      <c r="D311" t="s">
        <v>3234</v>
      </c>
      <c r="F311" t="s">
        <v>261</v>
      </c>
      <c r="I311" t="s">
        <v>3005</v>
      </c>
      <c r="J311" t="s">
        <v>33</v>
      </c>
      <c r="K311" t="s">
        <v>34</v>
      </c>
      <c r="L311" t="s">
        <v>35</v>
      </c>
      <c r="Q311">
        <v>2</v>
      </c>
      <c r="R311">
        <v>3</v>
      </c>
      <c r="U311">
        <v>1</v>
      </c>
      <c r="V311">
        <v>20</v>
      </c>
      <c r="AQ311">
        <v>26</v>
      </c>
    </row>
    <row r="312" spans="1:43" x14ac:dyDescent="0.25">
      <c r="A312" t="s">
        <v>91</v>
      </c>
      <c r="B312" t="s">
        <v>1441</v>
      </c>
      <c r="G312" t="s">
        <v>456</v>
      </c>
      <c r="H312" t="s">
        <v>1441</v>
      </c>
      <c r="I312" t="s">
        <v>3016</v>
      </c>
      <c r="J312" t="s">
        <v>33</v>
      </c>
      <c r="K312" t="s">
        <v>34</v>
      </c>
      <c r="L312" t="s">
        <v>35</v>
      </c>
      <c r="AQ312">
        <v>0</v>
      </c>
    </row>
    <row r="313" spans="1:43" x14ac:dyDescent="0.25">
      <c r="A313" t="s">
        <v>456</v>
      </c>
      <c r="B313" t="s">
        <v>1441</v>
      </c>
      <c r="D313" t="s">
        <v>3235</v>
      </c>
      <c r="F313" t="s">
        <v>261</v>
      </c>
      <c r="I313" t="s">
        <v>3016</v>
      </c>
      <c r="J313" t="s">
        <v>33</v>
      </c>
      <c r="K313" t="s">
        <v>34</v>
      </c>
      <c r="L313" t="s">
        <v>35</v>
      </c>
      <c r="Q313">
        <v>7</v>
      </c>
      <c r="R313">
        <v>3</v>
      </c>
      <c r="U313">
        <v>1</v>
      </c>
      <c r="V313">
        <v>20</v>
      </c>
      <c r="AC313">
        <v>1</v>
      </c>
      <c r="AD313">
        <v>10</v>
      </c>
      <c r="AQ313">
        <v>51</v>
      </c>
    </row>
    <row r="314" spans="1:43" x14ac:dyDescent="0.25">
      <c r="A314" t="s">
        <v>4117</v>
      </c>
      <c r="B314" t="s">
        <v>865</v>
      </c>
      <c r="D314" t="s">
        <v>5294</v>
      </c>
      <c r="F314" t="s">
        <v>261</v>
      </c>
      <c r="I314" t="s">
        <v>4118</v>
      </c>
      <c r="J314" t="s">
        <v>33</v>
      </c>
      <c r="K314" t="s">
        <v>34</v>
      </c>
      <c r="L314" t="s">
        <v>35</v>
      </c>
      <c r="Q314">
        <v>4</v>
      </c>
      <c r="R314">
        <v>3</v>
      </c>
      <c r="U314">
        <v>1</v>
      </c>
      <c r="V314">
        <v>20</v>
      </c>
      <c r="AQ314">
        <v>32</v>
      </c>
    </row>
    <row r="315" spans="1:43" x14ac:dyDescent="0.25">
      <c r="A315" t="s">
        <v>100</v>
      </c>
      <c r="B315" t="s">
        <v>5304</v>
      </c>
      <c r="G315" t="s">
        <v>3913</v>
      </c>
      <c r="H315" t="s">
        <v>3914</v>
      </c>
      <c r="I315" t="s">
        <v>3916</v>
      </c>
      <c r="J315" t="s">
        <v>33</v>
      </c>
      <c r="K315" t="s">
        <v>34</v>
      </c>
      <c r="L315" t="s">
        <v>35</v>
      </c>
      <c r="AQ315">
        <v>0</v>
      </c>
    </row>
    <row r="316" spans="1:43" x14ac:dyDescent="0.25">
      <c r="A316" t="s">
        <v>3239</v>
      </c>
      <c r="B316" t="s">
        <v>3240</v>
      </c>
      <c r="D316" t="s">
        <v>3241</v>
      </c>
      <c r="F316" t="s">
        <v>261</v>
      </c>
      <c r="I316" t="s">
        <v>3242</v>
      </c>
      <c r="J316" t="s">
        <v>33</v>
      </c>
      <c r="K316" t="s">
        <v>34</v>
      </c>
      <c r="L316" t="s">
        <v>35</v>
      </c>
      <c r="Q316">
        <v>1</v>
      </c>
      <c r="R316">
        <v>3</v>
      </c>
      <c r="Y316">
        <v>1</v>
      </c>
      <c r="Z316">
        <v>60</v>
      </c>
      <c r="AQ316">
        <v>63</v>
      </c>
    </row>
    <row r="317" spans="1:43" x14ac:dyDescent="0.25">
      <c r="A317" t="s">
        <v>3734</v>
      </c>
      <c r="B317" t="s">
        <v>3735</v>
      </c>
      <c r="G317" t="s">
        <v>581</v>
      </c>
      <c r="H317" t="s">
        <v>3733</v>
      </c>
      <c r="I317" t="s">
        <v>3738</v>
      </c>
      <c r="J317" t="s">
        <v>33</v>
      </c>
      <c r="K317" t="s">
        <v>366</v>
      </c>
      <c r="L317" t="s">
        <v>35</v>
      </c>
      <c r="AQ317">
        <v>0</v>
      </c>
    </row>
    <row r="318" spans="1:43" x14ac:dyDescent="0.25">
      <c r="A318" t="s">
        <v>3734</v>
      </c>
      <c r="B318" t="s">
        <v>3735</v>
      </c>
      <c r="D318" t="s">
        <v>5319</v>
      </c>
      <c r="F318" t="s">
        <v>261</v>
      </c>
      <c r="I318" t="s">
        <v>3736</v>
      </c>
      <c r="J318" t="s">
        <v>33</v>
      </c>
      <c r="K318" t="s">
        <v>34</v>
      </c>
      <c r="L318" t="s">
        <v>35</v>
      </c>
      <c r="Q318">
        <v>2</v>
      </c>
      <c r="R318">
        <v>3</v>
      </c>
      <c r="AC318">
        <v>1</v>
      </c>
      <c r="AD318">
        <v>10</v>
      </c>
      <c r="AQ318">
        <v>16</v>
      </c>
    </row>
    <row r="319" spans="1:43" x14ac:dyDescent="0.25">
      <c r="A319" t="s">
        <v>170</v>
      </c>
      <c r="B319" t="s">
        <v>4043</v>
      </c>
      <c r="D319" t="s">
        <v>5321</v>
      </c>
      <c r="F319" t="s">
        <v>907</v>
      </c>
      <c r="I319" t="s">
        <v>4044</v>
      </c>
      <c r="J319" t="s">
        <v>33</v>
      </c>
      <c r="K319" t="s">
        <v>34</v>
      </c>
      <c r="L319" t="s">
        <v>35</v>
      </c>
      <c r="Q319">
        <v>4</v>
      </c>
      <c r="R319">
        <v>3</v>
      </c>
      <c r="AC319">
        <v>4</v>
      </c>
      <c r="AD319">
        <v>10</v>
      </c>
      <c r="AQ319">
        <v>52</v>
      </c>
    </row>
    <row r="320" spans="1:43" x14ac:dyDescent="0.25">
      <c r="A320" t="s">
        <v>293</v>
      </c>
      <c r="B320" t="s">
        <v>477</v>
      </c>
      <c r="D320" t="s">
        <v>2026</v>
      </c>
      <c r="E320" t="s">
        <v>2027</v>
      </c>
      <c r="I320" t="s">
        <v>2028</v>
      </c>
      <c r="J320" t="s">
        <v>33</v>
      </c>
      <c r="K320" t="s">
        <v>34</v>
      </c>
      <c r="L320" t="s">
        <v>35</v>
      </c>
      <c r="O320">
        <v>1</v>
      </c>
      <c r="P320">
        <v>3</v>
      </c>
      <c r="AM320">
        <v>1</v>
      </c>
      <c r="AN320">
        <v>25</v>
      </c>
      <c r="AQ320">
        <v>28</v>
      </c>
    </row>
    <row r="321" spans="1:43" x14ac:dyDescent="0.25">
      <c r="A321" t="s">
        <v>1904</v>
      </c>
      <c r="B321" t="s">
        <v>477</v>
      </c>
      <c r="G321" t="s">
        <v>715</v>
      </c>
      <c r="H321" t="s">
        <v>477</v>
      </c>
      <c r="I321" t="s">
        <v>716</v>
      </c>
      <c r="J321" t="s">
        <v>33</v>
      </c>
      <c r="K321" t="s">
        <v>34</v>
      </c>
      <c r="L321" t="s">
        <v>35</v>
      </c>
      <c r="AQ321">
        <v>0</v>
      </c>
    </row>
    <row r="322" spans="1:43" x14ac:dyDescent="0.25">
      <c r="A322" t="s">
        <v>715</v>
      </c>
      <c r="B322" t="s">
        <v>477</v>
      </c>
      <c r="D322" t="s">
        <v>2037</v>
      </c>
      <c r="F322" t="s">
        <v>261</v>
      </c>
      <c r="I322" t="s">
        <v>2038</v>
      </c>
      <c r="J322" t="s">
        <v>33</v>
      </c>
      <c r="K322" t="s">
        <v>34</v>
      </c>
      <c r="L322" t="s">
        <v>35</v>
      </c>
      <c r="S322">
        <v>3</v>
      </c>
      <c r="T322">
        <v>3</v>
      </c>
      <c r="AQ322">
        <v>9</v>
      </c>
    </row>
    <row r="323" spans="1:43" x14ac:dyDescent="0.25">
      <c r="A323" t="s">
        <v>5336</v>
      </c>
      <c r="B323" t="s">
        <v>5337</v>
      </c>
      <c r="G323" t="s">
        <v>707</v>
      </c>
      <c r="H323" t="s">
        <v>4509</v>
      </c>
      <c r="I323" t="s">
        <v>4510</v>
      </c>
      <c r="J323" t="s">
        <v>33</v>
      </c>
      <c r="K323" t="s">
        <v>34</v>
      </c>
      <c r="L323" t="s">
        <v>35</v>
      </c>
      <c r="AQ323">
        <v>0</v>
      </c>
    </row>
    <row r="324" spans="1:43" x14ac:dyDescent="0.25">
      <c r="A324" t="s">
        <v>5346</v>
      </c>
      <c r="B324" t="s">
        <v>2046</v>
      </c>
      <c r="G324" t="s">
        <v>4117</v>
      </c>
      <c r="H324" t="s">
        <v>865</v>
      </c>
      <c r="I324" t="s">
        <v>4118</v>
      </c>
      <c r="J324" t="s">
        <v>33</v>
      </c>
      <c r="K324" t="s">
        <v>34</v>
      </c>
      <c r="L324" t="s">
        <v>35</v>
      </c>
      <c r="AQ324">
        <v>0</v>
      </c>
    </row>
    <row r="325" spans="1:43" x14ac:dyDescent="0.25">
      <c r="A325" t="s">
        <v>122</v>
      </c>
      <c r="B325" t="s">
        <v>2046</v>
      </c>
      <c r="D325" t="s">
        <v>5347</v>
      </c>
      <c r="F325" t="s">
        <v>261</v>
      </c>
      <c r="I325" t="s">
        <v>4300</v>
      </c>
      <c r="J325" t="s">
        <v>33</v>
      </c>
      <c r="K325" t="s">
        <v>34</v>
      </c>
      <c r="L325" t="s">
        <v>35</v>
      </c>
      <c r="Q325">
        <v>3</v>
      </c>
      <c r="R325">
        <v>3</v>
      </c>
      <c r="W325">
        <v>1</v>
      </c>
      <c r="X325">
        <v>40</v>
      </c>
      <c r="AQ325">
        <v>49</v>
      </c>
    </row>
    <row r="326" spans="1:43" x14ac:dyDescent="0.25">
      <c r="A326" t="s">
        <v>5348</v>
      </c>
      <c r="B326" t="s">
        <v>2046</v>
      </c>
      <c r="G326" t="s">
        <v>122</v>
      </c>
      <c r="H326" t="s">
        <v>2046</v>
      </c>
      <c r="I326" t="s">
        <v>4300</v>
      </c>
      <c r="J326" t="s">
        <v>33</v>
      </c>
      <c r="K326" t="s">
        <v>34</v>
      </c>
      <c r="L326" t="s">
        <v>35</v>
      </c>
      <c r="AQ326">
        <v>0</v>
      </c>
    </row>
    <row r="327" spans="1:43" x14ac:dyDescent="0.25">
      <c r="A327" t="s">
        <v>152</v>
      </c>
      <c r="B327" t="s">
        <v>2059</v>
      </c>
      <c r="D327" t="s">
        <v>5350</v>
      </c>
      <c r="I327" t="s">
        <v>5351</v>
      </c>
      <c r="J327" t="s">
        <v>33</v>
      </c>
      <c r="K327" t="s">
        <v>34</v>
      </c>
      <c r="L327" t="s">
        <v>35</v>
      </c>
      <c r="Q327">
        <v>1</v>
      </c>
      <c r="R327">
        <v>3</v>
      </c>
      <c r="AQ327">
        <v>3</v>
      </c>
    </row>
    <row r="328" spans="1:43" x14ac:dyDescent="0.25">
      <c r="A328" t="s">
        <v>2058</v>
      </c>
      <c r="B328" t="s">
        <v>2059</v>
      </c>
      <c r="D328" t="s">
        <v>2060</v>
      </c>
      <c r="E328" t="s">
        <v>76</v>
      </c>
      <c r="I328" t="s">
        <v>2061</v>
      </c>
      <c r="J328" t="s">
        <v>33</v>
      </c>
      <c r="K328" t="s">
        <v>34</v>
      </c>
      <c r="L328" t="s">
        <v>35</v>
      </c>
      <c r="O328">
        <v>1</v>
      </c>
      <c r="P328">
        <v>3</v>
      </c>
      <c r="AC328">
        <v>1</v>
      </c>
      <c r="AD328">
        <v>10</v>
      </c>
      <c r="AE328">
        <v>1</v>
      </c>
      <c r="AF328">
        <v>5</v>
      </c>
      <c r="AO328">
        <v>1</v>
      </c>
      <c r="AP328">
        <v>10</v>
      </c>
      <c r="AQ328">
        <v>28</v>
      </c>
    </row>
    <row r="329" spans="1:43" x14ac:dyDescent="0.25">
      <c r="A329" t="s">
        <v>2071</v>
      </c>
      <c r="B329" t="s">
        <v>2072</v>
      </c>
      <c r="G329" t="s">
        <v>36</v>
      </c>
      <c r="H329" t="s">
        <v>968</v>
      </c>
      <c r="I329" t="s">
        <v>969</v>
      </c>
      <c r="J329" t="s">
        <v>33</v>
      </c>
      <c r="K329" t="s">
        <v>34</v>
      </c>
      <c r="L329" t="s">
        <v>35</v>
      </c>
      <c r="AQ329">
        <v>0</v>
      </c>
    </row>
    <row r="330" spans="1:43" x14ac:dyDescent="0.25">
      <c r="A330" t="s">
        <v>222</v>
      </c>
      <c r="B330" t="s">
        <v>2083</v>
      </c>
      <c r="D330" t="s">
        <v>307</v>
      </c>
      <c r="F330" t="s">
        <v>261</v>
      </c>
      <c r="I330" t="s">
        <v>2084</v>
      </c>
      <c r="J330" t="s">
        <v>33</v>
      </c>
      <c r="K330" t="s">
        <v>34</v>
      </c>
      <c r="L330" t="s">
        <v>35</v>
      </c>
      <c r="S330">
        <v>1</v>
      </c>
      <c r="T330">
        <v>3</v>
      </c>
      <c r="AC330">
        <v>1</v>
      </c>
      <c r="AD330">
        <v>10</v>
      </c>
      <c r="AQ330">
        <v>13</v>
      </c>
    </row>
    <row r="331" spans="1:43" x14ac:dyDescent="0.25">
      <c r="A331" t="s">
        <v>111</v>
      </c>
      <c r="B331" t="s">
        <v>2111</v>
      </c>
      <c r="G331" t="s">
        <v>317</v>
      </c>
      <c r="H331" t="s">
        <v>113</v>
      </c>
      <c r="I331" t="s">
        <v>3988</v>
      </c>
      <c r="J331" t="s">
        <v>33</v>
      </c>
      <c r="K331" t="s">
        <v>34</v>
      </c>
      <c r="L331" t="s">
        <v>35</v>
      </c>
      <c r="AQ331">
        <v>0</v>
      </c>
    </row>
    <row r="332" spans="1:43" x14ac:dyDescent="0.25">
      <c r="A332" t="s">
        <v>401</v>
      </c>
      <c r="B332" t="s">
        <v>388</v>
      </c>
      <c r="G332" t="s">
        <v>105</v>
      </c>
      <c r="H332" t="s">
        <v>428</v>
      </c>
      <c r="I332" t="s">
        <v>555</v>
      </c>
      <c r="J332" t="s">
        <v>33</v>
      </c>
      <c r="K332" t="s">
        <v>34</v>
      </c>
      <c r="L332" t="s">
        <v>35</v>
      </c>
      <c r="AQ332">
        <v>0</v>
      </c>
    </row>
    <row r="333" spans="1:43" x14ac:dyDescent="0.25">
      <c r="A333" t="s">
        <v>2112</v>
      </c>
      <c r="B333" t="s">
        <v>388</v>
      </c>
      <c r="G333" t="s">
        <v>105</v>
      </c>
      <c r="H333" t="s">
        <v>428</v>
      </c>
      <c r="I333" t="s">
        <v>555</v>
      </c>
      <c r="J333" t="s">
        <v>33</v>
      </c>
      <c r="K333" t="s">
        <v>34</v>
      </c>
      <c r="L333" t="s">
        <v>35</v>
      </c>
      <c r="AQ333">
        <v>0</v>
      </c>
    </row>
    <row r="334" spans="1:43" x14ac:dyDescent="0.25">
      <c r="A334" t="s">
        <v>972</v>
      </c>
      <c r="B334" t="s">
        <v>5406</v>
      </c>
      <c r="D334" t="s">
        <v>5410</v>
      </c>
      <c r="E334" t="s">
        <v>216</v>
      </c>
      <c r="F334" t="s">
        <v>261</v>
      </c>
      <c r="I334" t="s">
        <v>5411</v>
      </c>
      <c r="J334" t="s">
        <v>33</v>
      </c>
      <c r="K334" t="s">
        <v>34</v>
      </c>
      <c r="L334" t="s">
        <v>35</v>
      </c>
      <c r="Q334">
        <v>2</v>
      </c>
      <c r="R334">
        <v>3</v>
      </c>
      <c r="AE334">
        <v>1</v>
      </c>
      <c r="AF334">
        <v>6</v>
      </c>
      <c r="AI334">
        <v>1</v>
      </c>
      <c r="AJ334">
        <v>10</v>
      </c>
      <c r="AM334">
        <v>2</v>
      </c>
      <c r="AN334">
        <v>25</v>
      </c>
      <c r="AQ334">
        <v>72</v>
      </c>
    </row>
    <row r="335" spans="1:43" x14ac:dyDescent="0.25">
      <c r="A335" t="s">
        <v>471</v>
      </c>
      <c r="B335" t="s">
        <v>5406</v>
      </c>
      <c r="G335" t="s">
        <v>972</v>
      </c>
      <c r="H335" t="s">
        <v>5406</v>
      </c>
      <c r="I335" t="s">
        <v>5411</v>
      </c>
      <c r="J335" t="s">
        <v>33</v>
      </c>
      <c r="K335" t="s">
        <v>34</v>
      </c>
      <c r="L335" t="s">
        <v>35</v>
      </c>
      <c r="AQ335">
        <v>0</v>
      </c>
    </row>
    <row r="336" spans="1:43" x14ac:dyDescent="0.25">
      <c r="A336" t="s">
        <v>166</v>
      </c>
      <c r="B336" t="s">
        <v>2117</v>
      </c>
      <c r="D336" t="s">
        <v>5412</v>
      </c>
      <c r="F336" t="s">
        <v>261</v>
      </c>
      <c r="I336" t="s">
        <v>4899</v>
      </c>
      <c r="J336" t="s">
        <v>33</v>
      </c>
      <c r="K336" t="s">
        <v>34</v>
      </c>
      <c r="L336" t="s">
        <v>35</v>
      </c>
      <c r="Q336">
        <v>3</v>
      </c>
      <c r="R336">
        <v>3</v>
      </c>
      <c r="AC336">
        <v>3</v>
      </c>
      <c r="AD336">
        <v>10</v>
      </c>
      <c r="AQ336">
        <v>39</v>
      </c>
    </row>
    <row r="337" spans="1:43" x14ac:dyDescent="0.25">
      <c r="A337" t="s">
        <v>64</v>
      </c>
      <c r="B337" t="s">
        <v>5413</v>
      </c>
      <c r="G337" t="s">
        <v>284</v>
      </c>
      <c r="H337" t="s">
        <v>5414</v>
      </c>
      <c r="I337" t="s">
        <v>5415</v>
      </c>
      <c r="J337" t="s">
        <v>33</v>
      </c>
      <c r="K337" t="s">
        <v>34</v>
      </c>
      <c r="L337" t="s">
        <v>35</v>
      </c>
      <c r="AQ337">
        <v>0</v>
      </c>
    </row>
    <row r="338" spans="1:43" x14ac:dyDescent="0.25">
      <c r="A338" t="s">
        <v>187</v>
      </c>
      <c r="B338" t="s">
        <v>3007</v>
      </c>
      <c r="D338" t="s">
        <v>3282</v>
      </c>
      <c r="F338" t="s">
        <v>261</v>
      </c>
      <c r="I338" t="s">
        <v>3008</v>
      </c>
      <c r="J338" t="s">
        <v>33</v>
      </c>
      <c r="K338" t="s">
        <v>34</v>
      </c>
      <c r="L338" t="s">
        <v>35</v>
      </c>
      <c r="Q338">
        <v>4</v>
      </c>
      <c r="R338">
        <v>3</v>
      </c>
      <c r="AC338">
        <v>4</v>
      </c>
      <c r="AD338">
        <v>10</v>
      </c>
      <c r="AQ338">
        <v>52</v>
      </c>
    </row>
    <row r="339" spans="1:43" x14ac:dyDescent="0.25">
      <c r="A339" t="s">
        <v>399</v>
      </c>
      <c r="B339" t="s">
        <v>2126</v>
      </c>
      <c r="F339" t="s">
        <v>261</v>
      </c>
      <c r="I339" t="s">
        <v>3289</v>
      </c>
      <c r="J339" t="s">
        <v>33</v>
      </c>
      <c r="K339" t="s">
        <v>34</v>
      </c>
      <c r="L339" t="s">
        <v>35</v>
      </c>
      <c r="Q339">
        <v>1</v>
      </c>
      <c r="R339">
        <v>3</v>
      </c>
      <c r="AC339">
        <v>1</v>
      </c>
      <c r="AD339">
        <v>10</v>
      </c>
      <c r="AQ339">
        <v>13</v>
      </c>
    </row>
    <row r="340" spans="1:43" x14ac:dyDescent="0.25">
      <c r="A340" t="s">
        <v>92</v>
      </c>
      <c r="B340" t="s">
        <v>5432</v>
      </c>
      <c r="G340" t="s">
        <v>4117</v>
      </c>
      <c r="H340" t="s">
        <v>865</v>
      </c>
      <c r="I340" t="s">
        <v>4118</v>
      </c>
      <c r="J340" t="s">
        <v>33</v>
      </c>
      <c r="K340" t="s">
        <v>34</v>
      </c>
      <c r="L340" t="s">
        <v>35</v>
      </c>
      <c r="AQ340">
        <v>0</v>
      </c>
    </row>
    <row r="341" spans="1:43" x14ac:dyDescent="0.25">
      <c r="A341" t="s">
        <v>403</v>
      </c>
      <c r="B341" t="s">
        <v>5433</v>
      </c>
      <c r="F341" t="s">
        <v>261</v>
      </c>
      <c r="I341" t="s">
        <v>5436</v>
      </c>
      <c r="J341" t="s">
        <v>33</v>
      </c>
      <c r="K341" t="s">
        <v>34</v>
      </c>
      <c r="L341" t="s">
        <v>35</v>
      </c>
      <c r="Q341">
        <v>1</v>
      </c>
      <c r="R341">
        <v>3</v>
      </c>
      <c r="AC341">
        <v>1</v>
      </c>
      <c r="AD341">
        <v>10</v>
      </c>
      <c r="AQ341">
        <v>13</v>
      </c>
    </row>
    <row r="342" spans="1:43" x14ac:dyDescent="0.25">
      <c r="A342" t="s">
        <v>305</v>
      </c>
      <c r="B342" t="s">
        <v>2133</v>
      </c>
      <c r="G342" t="s">
        <v>502</v>
      </c>
      <c r="H342" t="s">
        <v>2133</v>
      </c>
      <c r="I342" t="s">
        <v>2134</v>
      </c>
      <c r="J342" t="s">
        <v>33</v>
      </c>
      <c r="K342" t="s">
        <v>34</v>
      </c>
      <c r="L342" t="s">
        <v>35</v>
      </c>
      <c r="AQ342">
        <v>0</v>
      </c>
    </row>
    <row r="343" spans="1:43" x14ac:dyDescent="0.25">
      <c r="A343" t="s">
        <v>5447</v>
      </c>
      <c r="B343" t="s">
        <v>2133</v>
      </c>
      <c r="D343" t="s">
        <v>5447</v>
      </c>
      <c r="E343" t="s">
        <v>5448</v>
      </c>
      <c r="F343" t="s">
        <v>261</v>
      </c>
      <c r="I343" t="s">
        <v>5449</v>
      </c>
      <c r="J343" t="s">
        <v>33</v>
      </c>
      <c r="K343" t="s">
        <v>34</v>
      </c>
      <c r="L343" t="s">
        <v>35</v>
      </c>
      <c r="Q343">
        <v>1</v>
      </c>
      <c r="R343">
        <v>3</v>
      </c>
      <c r="U343">
        <v>1</v>
      </c>
      <c r="V343">
        <v>20</v>
      </c>
      <c r="AO343">
        <v>1</v>
      </c>
      <c r="AP343">
        <v>10</v>
      </c>
      <c r="AQ343">
        <v>33</v>
      </c>
    </row>
    <row r="344" spans="1:43" x14ac:dyDescent="0.25">
      <c r="A344" t="s">
        <v>502</v>
      </c>
      <c r="B344" t="s">
        <v>2133</v>
      </c>
      <c r="D344" t="s">
        <v>2135</v>
      </c>
      <c r="E344" t="s">
        <v>2136</v>
      </c>
      <c r="F344" t="s">
        <v>261</v>
      </c>
      <c r="I344" t="s">
        <v>2134</v>
      </c>
      <c r="J344" t="s">
        <v>33</v>
      </c>
      <c r="K344" t="s">
        <v>34</v>
      </c>
      <c r="L344" t="s">
        <v>35</v>
      </c>
      <c r="Q344">
        <v>2</v>
      </c>
      <c r="R344">
        <v>3</v>
      </c>
      <c r="AM344">
        <v>4</v>
      </c>
      <c r="AN344">
        <v>25</v>
      </c>
      <c r="AQ344">
        <v>106</v>
      </c>
    </row>
    <row r="345" spans="1:43" x14ac:dyDescent="0.25">
      <c r="A345" t="s">
        <v>2151</v>
      </c>
      <c r="B345" t="s">
        <v>391</v>
      </c>
      <c r="D345" t="s">
        <v>2151</v>
      </c>
      <c r="F345" t="s">
        <v>261</v>
      </c>
      <c r="I345" t="s">
        <v>2152</v>
      </c>
      <c r="J345" t="s">
        <v>33</v>
      </c>
      <c r="K345" t="s">
        <v>34</v>
      </c>
      <c r="L345" t="s">
        <v>35</v>
      </c>
      <c r="Q345">
        <v>2</v>
      </c>
      <c r="R345">
        <v>3</v>
      </c>
      <c r="AQ345">
        <v>6</v>
      </c>
    </row>
    <row r="346" spans="1:43" x14ac:dyDescent="0.25">
      <c r="A346" t="s">
        <v>384</v>
      </c>
      <c r="B346" t="s">
        <v>391</v>
      </c>
      <c r="G346" t="s">
        <v>5453</v>
      </c>
      <c r="H346" t="s">
        <v>5454</v>
      </c>
      <c r="I346" t="s">
        <v>5455</v>
      </c>
      <c r="J346" t="s">
        <v>33</v>
      </c>
      <c r="K346" t="s">
        <v>34</v>
      </c>
      <c r="L346" t="s">
        <v>35</v>
      </c>
      <c r="AQ346">
        <v>0</v>
      </c>
    </row>
    <row r="347" spans="1:43" x14ac:dyDescent="0.25">
      <c r="A347" t="s">
        <v>2155</v>
      </c>
      <c r="B347" t="s">
        <v>391</v>
      </c>
      <c r="G347" t="s">
        <v>2151</v>
      </c>
      <c r="H347" t="s">
        <v>391</v>
      </c>
      <c r="I347" t="s">
        <v>2152</v>
      </c>
      <c r="J347" t="s">
        <v>33</v>
      </c>
      <c r="K347" t="s">
        <v>34</v>
      </c>
      <c r="L347" t="s">
        <v>35</v>
      </c>
      <c r="AQ347">
        <v>0</v>
      </c>
    </row>
    <row r="348" spans="1:43" x14ac:dyDescent="0.25">
      <c r="A348" t="s">
        <v>93</v>
      </c>
      <c r="B348" t="s">
        <v>5462</v>
      </c>
      <c r="G348" t="s">
        <v>3917</v>
      </c>
      <c r="H348" t="s">
        <v>225</v>
      </c>
      <c r="I348" t="s">
        <v>4141</v>
      </c>
      <c r="J348" t="s">
        <v>33</v>
      </c>
      <c r="K348" t="s">
        <v>34</v>
      </c>
      <c r="L348" t="s">
        <v>35</v>
      </c>
      <c r="AQ348">
        <v>0</v>
      </c>
    </row>
    <row r="349" spans="1:43" x14ac:dyDescent="0.25">
      <c r="A349" t="s">
        <v>1818</v>
      </c>
      <c r="B349" t="s">
        <v>172</v>
      </c>
      <c r="G349" t="s">
        <v>820</v>
      </c>
      <c r="H349" t="s">
        <v>821</v>
      </c>
      <c r="I349" t="s">
        <v>822</v>
      </c>
      <c r="J349" t="s">
        <v>33</v>
      </c>
      <c r="K349" t="s">
        <v>34</v>
      </c>
      <c r="L349" t="s">
        <v>35</v>
      </c>
      <c r="AQ349">
        <v>0</v>
      </c>
    </row>
    <row r="350" spans="1:43" x14ac:dyDescent="0.25">
      <c r="A350" t="s">
        <v>146</v>
      </c>
      <c r="B350" t="s">
        <v>2166</v>
      </c>
      <c r="D350" t="s">
        <v>2167</v>
      </c>
      <c r="E350" t="s">
        <v>216</v>
      </c>
      <c r="I350" t="s">
        <v>2168</v>
      </c>
      <c r="J350" t="s">
        <v>33</v>
      </c>
      <c r="K350" t="s">
        <v>34</v>
      </c>
      <c r="L350" t="s">
        <v>35</v>
      </c>
      <c r="O350">
        <v>1</v>
      </c>
      <c r="P350">
        <v>3</v>
      </c>
      <c r="AC350">
        <v>2</v>
      </c>
      <c r="AD350">
        <v>10</v>
      </c>
      <c r="AQ350">
        <v>23</v>
      </c>
    </row>
    <row r="351" spans="1:43" x14ac:dyDescent="0.25">
      <c r="A351" t="s">
        <v>703</v>
      </c>
      <c r="B351" t="s">
        <v>704</v>
      </c>
      <c r="D351" t="s">
        <v>2186</v>
      </c>
      <c r="E351" t="s">
        <v>216</v>
      </c>
      <c r="F351" t="s">
        <v>261</v>
      </c>
      <c r="I351" t="s">
        <v>705</v>
      </c>
      <c r="J351" t="s">
        <v>33</v>
      </c>
      <c r="K351" t="s">
        <v>34</v>
      </c>
      <c r="L351" t="s">
        <v>35</v>
      </c>
      <c r="S351">
        <v>4</v>
      </c>
      <c r="T351">
        <v>3</v>
      </c>
      <c r="U351">
        <v>1</v>
      </c>
      <c r="V351">
        <v>20</v>
      </c>
      <c r="AQ351">
        <v>32</v>
      </c>
    </row>
    <row r="352" spans="1:43" x14ac:dyDescent="0.25">
      <c r="A352" t="s">
        <v>166</v>
      </c>
      <c r="B352" t="s">
        <v>704</v>
      </c>
      <c r="G352" t="s">
        <v>703</v>
      </c>
      <c r="H352" t="s">
        <v>704</v>
      </c>
      <c r="I352" t="s">
        <v>705</v>
      </c>
      <c r="J352" t="s">
        <v>33</v>
      </c>
      <c r="K352" t="s">
        <v>34</v>
      </c>
      <c r="L352" t="s">
        <v>35</v>
      </c>
      <c r="AQ352">
        <v>0</v>
      </c>
    </row>
    <row r="353" spans="1:43" x14ac:dyDescent="0.25">
      <c r="A353" t="s">
        <v>434</v>
      </c>
      <c r="B353" t="s">
        <v>2187</v>
      </c>
      <c r="D353" t="s">
        <v>2188</v>
      </c>
      <c r="I353" t="s">
        <v>2189</v>
      </c>
      <c r="J353" t="s">
        <v>33</v>
      </c>
      <c r="K353" t="s">
        <v>34</v>
      </c>
      <c r="L353" t="s">
        <v>35</v>
      </c>
      <c r="O353">
        <v>1</v>
      </c>
      <c r="P353">
        <v>3</v>
      </c>
      <c r="AQ353">
        <v>3</v>
      </c>
    </row>
    <row r="354" spans="1:43" x14ac:dyDescent="0.25">
      <c r="A354" t="s">
        <v>3196</v>
      </c>
      <c r="B354" t="s">
        <v>3197</v>
      </c>
      <c r="D354" t="s">
        <v>3301</v>
      </c>
      <c r="F354" t="s">
        <v>261</v>
      </c>
      <c r="I354" t="s">
        <v>3302</v>
      </c>
      <c r="J354" t="s">
        <v>33</v>
      </c>
      <c r="K354" t="s">
        <v>34</v>
      </c>
      <c r="L354" t="s">
        <v>35</v>
      </c>
      <c r="Q354">
        <v>4</v>
      </c>
      <c r="R354">
        <v>3</v>
      </c>
      <c r="U354">
        <v>2</v>
      </c>
      <c r="V354">
        <v>20</v>
      </c>
      <c r="AQ354">
        <v>52</v>
      </c>
    </row>
    <row r="355" spans="1:43" x14ac:dyDescent="0.25">
      <c r="A355" t="s">
        <v>116</v>
      </c>
      <c r="B355" t="s">
        <v>3304</v>
      </c>
      <c r="D355" t="s">
        <v>3305</v>
      </c>
      <c r="I355" t="s">
        <v>3306</v>
      </c>
      <c r="J355" t="s">
        <v>33</v>
      </c>
      <c r="K355" t="s">
        <v>34</v>
      </c>
      <c r="L355" t="s">
        <v>35</v>
      </c>
      <c r="Q355">
        <v>1</v>
      </c>
      <c r="R355">
        <v>3</v>
      </c>
      <c r="AQ355">
        <v>3</v>
      </c>
    </row>
    <row r="356" spans="1:43" x14ac:dyDescent="0.25">
      <c r="A356" t="s">
        <v>284</v>
      </c>
      <c r="B356" t="s">
        <v>5414</v>
      </c>
      <c r="D356" t="s">
        <v>5495</v>
      </c>
      <c r="F356" t="s">
        <v>261</v>
      </c>
      <c r="I356" t="s">
        <v>5415</v>
      </c>
      <c r="J356" t="s">
        <v>33</v>
      </c>
      <c r="K356" t="s">
        <v>34</v>
      </c>
      <c r="L356" t="s">
        <v>35</v>
      </c>
      <c r="Q356">
        <v>2</v>
      </c>
      <c r="R356">
        <v>3</v>
      </c>
      <c r="U356">
        <v>1</v>
      </c>
      <c r="V356">
        <v>20</v>
      </c>
      <c r="AQ356">
        <v>26</v>
      </c>
    </row>
    <row r="357" spans="1:43" x14ac:dyDescent="0.25">
      <c r="A357" t="s">
        <v>152</v>
      </c>
      <c r="B357" t="s">
        <v>1988</v>
      </c>
      <c r="G357" t="s">
        <v>166</v>
      </c>
      <c r="H357" t="s">
        <v>2117</v>
      </c>
      <c r="I357" t="s">
        <v>4899</v>
      </c>
      <c r="J357" t="s">
        <v>33</v>
      </c>
      <c r="K357" t="s">
        <v>34</v>
      </c>
      <c r="L357" t="s">
        <v>35</v>
      </c>
      <c r="AQ357">
        <v>0</v>
      </c>
    </row>
    <row r="358" spans="1:43" x14ac:dyDescent="0.25">
      <c r="A358" t="s">
        <v>3749</v>
      </c>
      <c r="B358" t="s">
        <v>472</v>
      </c>
      <c r="D358" t="s">
        <v>5499</v>
      </c>
      <c r="F358" t="s">
        <v>261</v>
      </c>
      <c r="I358" t="s">
        <v>3750</v>
      </c>
      <c r="J358" t="s">
        <v>33</v>
      </c>
      <c r="K358" t="s">
        <v>34</v>
      </c>
      <c r="L358" t="s">
        <v>35</v>
      </c>
      <c r="Q358">
        <v>4</v>
      </c>
      <c r="R358">
        <v>3</v>
      </c>
      <c r="W358">
        <v>1</v>
      </c>
      <c r="X358">
        <v>40</v>
      </c>
      <c r="AQ358">
        <v>52</v>
      </c>
    </row>
    <row r="359" spans="1:43" x14ac:dyDescent="0.25">
      <c r="A359" t="s">
        <v>5505</v>
      </c>
      <c r="B359" t="s">
        <v>5506</v>
      </c>
      <c r="G359" t="s">
        <v>137</v>
      </c>
      <c r="H359" t="s">
        <v>3818</v>
      </c>
      <c r="I359" t="s">
        <v>3821</v>
      </c>
      <c r="J359" t="s">
        <v>33</v>
      </c>
      <c r="K359" t="s">
        <v>34</v>
      </c>
      <c r="L359" t="s">
        <v>35</v>
      </c>
      <c r="AQ359">
        <v>0</v>
      </c>
    </row>
    <row r="360" spans="1:43" x14ac:dyDescent="0.25">
      <c r="A360" t="s">
        <v>107</v>
      </c>
      <c r="B360" t="s">
        <v>5515</v>
      </c>
      <c r="D360" t="s">
        <v>5516</v>
      </c>
      <c r="F360" t="s">
        <v>261</v>
      </c>
      <c r="I360" t="s">
        <v>5517</v>
      </c>
      <c r="J360" t="s">
        <v>33</v>
      </c>
      <c r="K360" t="s">
        <v>34</v>
      </c>
      <c r="L360" t="s">
        <v>35</v>
      </c>
      <c r="Q360">
        <v>1</v>
      </c>
      <c r="R360">
        <v>3</v>
      </c>
      <c r="AC360">
        <v>1</v>
      </c>
      <c r="AD360">
        <v>10</v>
      </c>
      <c r="AQ360">
        <v>13</v>
      </c>
    </row>
    <row r="361" spans="1:43" x14ac:dyDescent="0.25">
      <c r="A361" t="s">
        <v>5520</v>
      </c>
      <c r="B361" t="s">
        <v>5521</v>
      </c>
      <c r="G361" t="s">
        <v>3955</v>
      </c>
      <c r="H361" t="s">
        <v>3956</v>
      </c>
      <c r="I361" t="s">
        <v>3958</v>
      </c>
      <c r="J361" t="s">
        <v>33</v>
      </c>
      <c r="K361" t="s">
        <v>34</v>
      </c>
      <c r="L361" t="s">
        <v>35</v>
      </c>
      <c r="AQ361">
        <v>0</v>
      </c>
    </row>
    <row r="362" spans="1:43" x14ac:dyDescent="0.25">
      <c r="A362" t="s">
        <v>3009</v>
      </c>
      <c r="B362" t="s">
        <v>3010</v>
      </c>
      <c r="G362" t="s">
        <v>3009</v>
      </c>
      <c r="H362" t="s">
        <v>3010</v>
      </c>
      <c r="I362" t="s">
        <v>3011</v>
      </c>
      <c r="J362" t="s">
        <v>33</v>
      </c>
      <c r="K362" t="s">
        <v>34</v>
      </c>
      <c r="L362" t="s">
        <v>35</v>
      </c>
      <c r="AQ362">
        <v>0</v>
      </c>
    </row>
    <row r="363" spans="1:43" x14ac:dyDescent="0.25">
      <c r="A363" t="s">
        <v>3009</v>
      </c>
      <c r="B363" t="s">
        <v>3010</v>
      </c>
      <c r="I363" t="s">
        <v>3011</v>
      </c>
      <c r="J363" t="s">
        <v>33</v>
      </c>
      <c r="K363" t="s">
        <v>34</v>
      </c>
      <c r="L363" t="s">
        <v>35</v>
      </c>
      <c r="Q363">
        <v>4</v>
      </c>
      <c r="R363">
        <v>3</v>
      </c>
      <c r="AQ363">
        <v>12</v>
      </c>
    </row>
    <row r="364" spans="1:43" x14ac:dyDescent="0.25">
      <c r="A364" t="s">
        <v>79</v>
      </c>
      <c r="B364" t="s">
        <v>5531</v>
      </c>
      <c r="G364" t="s">
        <v>5532</v>
      </c>
      <c r="H364" t="s">
        <v>5533</v>
      </c>
      <c r="I364" t="s">
        <v>5534</v>
      </c>
      <c r="J364" t="s">
        <v>33</v>
      </c>
      <c r="K364" t="s">
        <v>34</v>
      </c>
      <c r="L364" t="s">
        <v>35</v>
      </c>
      <c r="AQ364">
        <v>0</v>
      </c>
    </row>
    <row r="365" spans="1:43" x14ac:dyDescent="0.25">
      <c r="A365" t="s">
        <v>2707</v>
      </c>
      <c r="B365" t="s">
        <v>3336</v>
      </c>
      <c r="G365" t="s">
        <v>3196</v>
      </c>
      <c r="H365" t="s">
        <v>3197</v>
      </c>
      <c r="I365" t="s">
        <v>3198</v>
      </c>
      <c r="J365" t="s">
        <v>33</v>
      </c>
      <c r="K365" t="s">
        <v>34</v>
      </c>
      <c r="L365" t="s">
        <v>35</v>
      </c>
      <c r="AQ365">
        <v>0</v>
      </c>
    </row>
    <row r="366" spans="1:43" x14ac:dyDescent="0.25">
      <c r="A366" t="s">
        <v>474</v>
      </c>
      <c r="B366" t="s">
        <v>718</v>
      </c>
      <c r="D366" t="s">
        <v>5544</v>
      </c>
      <c r="E366" t="s">
        <v>65</v>
      </c>
      <c r="F366" t="s">
        <v>261</v>
      </c>
      <c r="I366" t="s">
        <v>5545</v>
      </c>
      <c r="J366" t="s">
        <v>33</v>
      </c>
      <c r="K366" t="s">
        <v>34</v>
      </c>
      <c r="L366" t="s">
        <v>35</v>
      </c>
      <c r="S366">
        <v>4</v>
      </c>
      <c r="T366">
        <v>3</v>
      </c>
      <c r="AC366">
        <v>1</v>
      </c>
      <c r="AD366">
        <v>10</v>
      </c>
      <c r="AQ366">
        <v>22</v>
      </c>
    </row>
    <row r="367" spans="1:43" x14ac:dyDescent="0.25">
      <c r="A367" t="s">
        <v>3341</v>
      </c>
      <c r="B367" t="s">
        <v>3342</v>
      </c>
      <c r="D367" t="s">
        <v>3343</v>
      </c>
      <c r="E367" t="s">
        <v>53</v>
      </c>
      <c r="F367" t="s">
        <v>261</v>
      </c>
      <c r="I367" t="s">
        <v>3344</v>
      </c>
      <c r="J367" t="s">
        <v>33</v>
      </c>
      <c r="K367" t="s">
        <v>34</v>
      </c>
      <c r="L367" t="s">
        <v>35</v>
      </c>
      <c r="Q367">
        <v>1</v>
      </c>
      <c r="R367">
        <v>3</v>
      </c>
      <c r="AC367">
        <v>1</v>
      </c>
      <c r="AD367">
        <v>10</v>
      </c>
      <c r="AO367">
        <v>1</v>
      </c>
      <c r="AP367">
        <v>10</v>
      </c>
      <c r="AQ367">
        <v>23</v>
      </c>
    </row>
    <row r="368" spans="1:43" x14ac:dyDescent="0.25">
      <c r="A368" t="s">
        <v>91</v>
      </c>
      <c r="B368" t="s">
        <v>2260</v>
      </c>
      <c r="G368" t="s">
        <v>377</v>
      </c>
      <c r="H368" t="s">
        <v>1902</v>
      </c>
      <c r="I368" t="s">
        <v>1903</v>
      </c>
      <c r="J368" t="s">
        <v>33</v>
      </c>
      <c r="K368" t="s">
        <v>34</v>
      </c>
      <c r="L368" t="s">
        <v>35</v>
      </c>
      <c r="AQ368">
        <v>0</v>
      </c>
    </row>
    <row r="369" spans="1:43" x14ac:dyDescent="0.25">
      <c r="A369" t="s">
        <v>5571</v>
      </c>
      <c r="B369" t="s">
        <v>5572</v>
      </c>
      <c r="G369" t="s">
        <v>4184</v>
      </c>
      <c r="H369" t="s">
        <v>2465</v>
      </c>
      <c r="I369" t="s">
        <v>4185</v>
      </c>
      <c r="J369" t="s">
        <v>33</v>
      </c>
      <c r="K369" t="s">
        <v>34</v>
      </c>
      <c r="L369" t="s">
        <v>35</v>
      </c>
      <c r="AQ369">
        <v>0</v>
      </c>
    </row>
    <row r="370" spans="1:43" x14ac:dyDescent="0.25">
      <c r="A370" t="s">
        <v>776</v>
      </c>
      <c r="B370" t="s">
        <v>4582</v>
      </c>
      <c r="D370" t="s">
        <v>5575</v>
      </c>
      <c r="E370" t="s">
        <v>5576</v>
      </c>
      <c r="F370" t="s">
        <v>261</v>
      </c>
      <c r="I370" t="s">
        <v>4583</v>
      </c>
      <c r="J370" t="s">
        <v>33</v>
      </c>
      <c r="K370" t="s">
        <v>34</v>
      </c>
      <c r="L370" t="s">
        <v>35</v>
      </c>
      <c r="Q370">
        <v>2</v>
      </c>
      <c r="R370">
        <v>3</v>
      </c>
      <c r="AC370">
        <v>1</v>
      </c>
      <c r="AD370">
        <v>10</v>
      </c>
      <c r="AE370">
        <v>1</v>
      </c>
      <c r="AF370">
        <v>6</v>
      </c>
      <c r="AM370">
        <v>1</v>
      </c>
      <c r="AN370">
        <v>25</v>
      </c>
      <c r="AQ370">
        <v>47</v>
      </c>
    </row>
    <row r="371" spans="1:43" x14ac:dyDescent="0.25">
      <c r="A371" t="s">
        <v>2266</v>
      </c>
      <c r="B371" t="s">
        <v>269</v>
      </c>
      <c r="G371" t="s">
        <v>639</v>
      </c>
      <c r="H371" t="s">
        <v>628</v>
      </c>
      <c r="I371" t="s">
        <v>640</v>
      </c>
      <c r="J371" t="s">
        <v>33</v>
      </c>
      <c r="K371" t="s">
        <v>34</v>
      </c>
      <c r="L371" t="s">
        <v>35</v>
      </c>
      <c r="AQ371">
        <v>0</v>
      </c>
    </row>
    <row r="372" spans="1:43" x14ac:dyDescent="0.25">
      <c r="A372" t="s">
        <v>5577</v>
      </c>
      <c r="B372" t="s">
        <v>269</v>
      </c>
      <c r="D372" t="s">
        <v>5578</v>
      </c>
      <c r="F372" t="s">
        <v>261</v>
      </c>
      <c r="I372" t="s">
        <v>5579</v>
      </c>
      <c r="J372" t="s">
        <v>33</v>
      </c>
      <c r="K372" t="s">
        <v>34</v>
      </c>
      <c r="L372" t="s">
        <v>35</v>
      </c>
      <c r="Q372">
        <v>1</v>
      </c>
      <c r="R372">
        <v>3</v>
      </c>
      <c r="AA372">
        <v>1</v>
      </c>
      <c r="AB372">
        <v>75</v>
      </c>
      <c r="AQ372">
        <v>78</v>
      </c>
    </row>
    <row r="373" spans="1:43" x14ac:dyDescent="0.25">
      <c r="A373" t="s">
        <v>5585</v>
      </c>
      <c r="B373" t="s">
        <v>161</v>
      </c>
      <c r="G373" t="s">
        <v>4453</v>
      </c>
      <c r="H373" t="s">
        <v>4454</v>
      </c>
      <c r="I373" t="s">
        <v>4455</v>
      </c>
      <c r="J373" t="s">
        <v>33</v>
      </c>
      <c r="K373" t="s">
        <v>34</v>
      </c>
      <c r="L373" t="s">
        <v>35</v>
      </c>
      <c r="AQ373">
        <v>0</v>
      </c>
    </row>
    <row r="374" spans="1:43" x14ac:dyDescent="0.25">
      <c r="A374" t="s">
        <v>5586</v>
      </c>
      <c r="B374" t="s">
        <v>5587</v>
      </c>
      <c r="G374" t="s">
        <v>1549</v>
      </c>
      <c r="H374" t="s">
        <v>5224</v>
      </c>
      <c r="I374" t="s">
        <v>5226</v>
      </c>
      <c r="J374" t="s">
        <v>33</v>
      </c>
      <c r="K374" t="s">
        <v>34</v>
      </c>
      <c r="L374" t="s">
        <v>35</v>
      </c>
      <c r="AQ374">
        <v>0</v>
      </c>
    </row>
    <row r="375" spans="1:43" x14ac:dyDescent="0.25">
      <c r="A375" t="s">
        <v>1743</v>
      </c>
      <c r="B375" t="s">
        <v>1744</v>
      </c>
      <c r="D375" t="s">
        <v>2285</v>
      </c>
      <c r="I375" t="s">
        <v>1745</v>
      </c>
      <c r="J375" t="s">
        <v>33</v>
      </c>
      <c r="K375" t="s">
        <v>34</v>
      </c>
      <c r="L375" t="s">
        <v>35</v>
      </c>
      <c r="S375">
        <v>3</v>
      </c>
      <c r="T375">
        <v>3</v>
      </c>
      <c r="W375">
        <v>1</v>
      </c>
      <c r="X375">
        <v>40</v>
      </c>
      <c r="AI375">
        <v>1</v>
      </c>
      <c r="AJ375">
        <v>10</v>
      </c>
      <c r="AQ375">
        <v>59</v>
      </c>
    </row>
    <row r="376" spans="1:43" x14ac:dyDescent="0.25">
      <c r="A376" t="s">
        <v>155</v>
      </c>
      <c r="B376" t="s">
        <v>2296</v>
      </c>
      <c r="G376" t="s">
        <v>886</v>
      </c>
      <c r="H376" t="s">
        <v>154</v>
      </c>
      <c r="I376" t="s">
        <v>887</v>
      </c>
      <c r="J376" t="s">
        <v>33</v>
      </c>
      <c r="K376" t="s">
        <v>34</v>
      </c>
      <c r="L376" t="s">
        <v>35</v>
      </c>
      <c r="AQ376">
        <v>0</v>
      </c>
    </row>
    <row r="377" spans="1:43" x14ac:dyDescent="0.25">
      <c r="A377" t="s">
        <v>317</v>
      </c>
      <c r="B377" t="s">
        <v>273</v>
      </c>
      <c r="D377" t="s">
        <v>2298</v>
      </c>
      <c r="E377" t="s">
        <v>65</v>
      </c>
      <c r="F377" t="s">
        <v>261</v>
      </c>
      <c r="I377" t="s">
        <v>2299</v>
      </c>
      <c r="J377" t="s">
        <v>33</v>
      </c>
      <c r="K377" t="s">
        <v>34</v>
      </c>
      <c r="L377" t="s">
        <v>35</v>
      </c>
      <c r="S377">
        <v>1</v>
      </c>
      <c r="T377">
        <v>3</v>
      </c>
      <c r="AM377">
        <v>1</v>
      </c>
      <c r="AN377">
        <v>25</v>
      </c>
      <c r="AQ377">
        <v>28</v>
      </c>
    </row>
    <row r="378" spans="1:43" x14ac:dyDescent="0.25">
      <c r="A378" t="s">
        <v>2303</v>
      </c>
      <c r="B378" t="s">
        <v>2304</v>
      </c>
      <c r="G378" t="s">
        <v>703</v>
      </c>
      <c r="H378" t="s">
        <v>704</v>
      </c>
      <c r="I378" t="s">
        <v>705</v>
      </c>
      <c r="J378" t="s">
        <v>33</v>
      </c>
      <c r="K378" t="s">
        <v>34</v>
      </c>
      <c r="L378" t="s">
        <v>35</v>
      </c>
      <c r="AQ378">
        <v>0</v>
      </c>
    </row>
    <row r="379" spans="1:43" x14ac:dyDescent="0.25">
      <c r="A379" t="s">
        <v>5532</v>
      </c>
      <c r="B379" t="s">
        <v>5533</v>
      </c>
      <c r="D379" t="s">
        <v>5598</v>
      </c>
      <c r="E379" t="s">
        <v>5599</v>
      </c>
      <c r="F379" t="s">
        <v>261</v>
      </c>
      <c r="I379" t="s">
        <v>5600</v>
      </c>
      <c r="J379" t="s">
        <v>33</v>
      </c>
      <c r="K379" t="s">
        <v>34</v>
      </c>
      <c r="L379" t="s">
        <v>35</v>
      </c>
      <c r="Q379">
        <v>2</v>
      </c>
      <c r="R379">
        <v>3</v>
      </c>
      <c r="AC379">
        <v>2</v>
      </c>
      <c r="AD379">
        <v>10</v>
      </c>
      <c r="AE379">
        <v>2</v>
      </c>
      <c r="AF379">
        <v>6</v>
      </c>
      <c r="AO379">
        <v>2</v>
      </c>
      <c r="AP379">
        <v>10</v>
      </c>
      <c r="AQ379">
        <v>58</v>
      </c>
    </row>
    <row r="380" spans="1:43" x14ac:dyDescent="0.25">
      <c r="A380" t="s">
        <v>2305</v>
      </c>
      <c r="B380" t="s">
        <v>1932</v>
      </c>
      <c r="G380" t="s">
        <v>482</v>
      </c>
      <c r="H380" t="s">
        <v>1932</v>
      </c>
      <c r="I380" t="s">
        <v>1933</v>
      </c>
      <c r="J380" t="s">
        <v>33</v>
      </c>
      <c r="K380" t="s">
        <v>34</v>
      </c>
      <c r="L380" t="s">
        <v>35</v>
      </c>
      <c r="AQ380">
        <v>0</v>
      </c>
    </row>
    <row r="381" spans="1:43" x14ac:dyDescent="0.25">
      <c r="A381" t="s">
        <v>482</v>
      </c>
      <c r="B381" t="s">
        <v>1932</v>
      </c>
      <c r="D381" t="s">
        <v>2306</v>
      </c>
      <c r="F381" t="s">
        <v>261</v>
      </c>
      <c r="I381" t="s">
        <v>1933</v>
      </c>
      <c r="J381" t="s">
        <v>33</v>
      </c>
      <c r="K381" t="s">
        <v>34</v>
      </c>
      <c r="L381" t="s">
        <v>35</v>
      </c>
      <c r="Q381">
        <v>3</v>
      </c>
      <c r="R381">
        <v>3</v>
      </c>
      <c r="U381">
        <v>1</v>
      </c>
      <c r="V381">
        <v>20</v>
      </c>
      <c r="AC381">
        <v>1</v>
      </c>
      <c r="AD381">
        <v>10</v>
      </c>
      <c r="AQ381">
        <v>39</v>
      </c>
    </row>
    <row r="382" spans="1:43" x14ac:dyDescent="0.25">
      <c r="A382" t="s">
        <v>1102</v>
      </c>
      <c r="B382" t="s">
        <v>247</v>
      </c>
      <c r="F382" t="s">
        <v>261</v>
      </c>
      <c r="I382" t="s">
        <v>1103</v>
      </c>
      <c r="J382" t="s">
        <v>33</v>
      </c>
      <c r="K382" t="s">
        <v>34</v>
      </c>
      <c r="L382" t="s">
        <v>35</v>
      </c>
      <c r="S382">
        <v>2</v>
      </c>
      <c r="T382">
        <v>3</v>
      </c>
      <c r="U382">
        <v>1</v>
      </c>
      <c r="V382">
        <v>20</v>
      </c>
      <c r="AQ382">
        <v>26</v>
      </c>
    </row>
    <row r="383" spans="1:43" x14ac:dyDescent="0.25">
      <c r="A383" t="s">
        <v>3356</v>
      </c>
      <c r="B383" t="s">
        <v>3357</v>
      </c>
      <c r="G383" t="s">
        <v>1441</v>
      </c>
      <c r="H383" t="s">
        <v>101</v>
      </c>
      <c r="I383" t="s">
        <v>2791</v>
      </c>
      <c r="J383" t="s">
        <v>33</v>
      </c>
      <c r="K383" t="s">
        <v>34</v>
      </c>
      <c r="L383" t="s">
        <v>35</v>
      </c>
      <c r="AQ383">
        <v>0</v>
      </c>
    </row>
    <row r="384" spans="1:43" x14ac:dyDescent="0.25">
      <c r="A384" t="s">
        <v>233</v>
      </c>
      <c r="B384" t="s">
        <v>3361</v>
      </c>
      <c r="G384" t="s">
        <v>456</v>
      </c>
      <c r="H384" t="s">
        <v>1441</v>
      </c>
      <c r="I384" t="s">
        <v>3016</v>
      </c>
      <c r="J384" t="s">
        <v>33</v>
      </c>
      <c r="K384" t="s">
        <v>34</v>
      </c>
      <c r="L384" t="s">
        <v>35</v>
      </c>
      <c r="AQ384">
        <v>0</v>
      </c>
    </row>
    <row r="385" spans="1:43" x14ac:dyDescent="0.25">
      <c r="A385" t="s">
        <v>173</v>
      </c>
      <c r="B385" t="s">
        <v>3361</v>
      </c>
      <c r="G385" t="s">
        <v>456</v>
      </c>
      <c r="H385" t="s">
        <v>1441</v>
      </c>
      <c r="I385" t="s">
        <v>3016</v>
      </c>
      <c r="J385" t="s">
        <v>33</v>
      </c>
      <c r="K385" t="s">
        <v>34</v>
      </c>
      <c r="L385" t="s">
        <v>35</v>
      </c>
      <c r="AQ385">
        <v>0</v>
      </c>
    </row>
    <row r="386" spans="1:43" x14ac:dyDescent="0.25">
      <c r="A386" t="s">
        <v>272</v>
      </c>
      <c r="B386" t="s">
        <v>3361</v>
      </c>
      <c r="G386" t="s">
        <v>456</v>
      </c>
      <c r="H386" t="s">
        <v>1441</v>
      </c>
      <c r="I386" t="s">
        <v>3016</v>
      </c>
      <c r="J386" t="s">
        <v>33</v>
      </c>
      <c r="K386" t="s">
        <v>34</v>
      </c>
      <c r="L386" t="s">
        <v>35</v>
      </c>
      <c r="AQ386">
        <v>0</v>
      </c>
    </row>
    <row r="387" spans="1:43" x14ac:dyDescent="0.25">
      <c r="A387" t="s">
        <v>141</v>
      </c>
      <c r="B387" t="s">
        <v>5632</v>
      </c>
      <c r="D387" t="s">
        <v>239</v>
      </c>
      <c r="F387" t="s">
        <v>261</v>
      </c>
      <c r="I387" t="s">
        <v>5633</v>
      </c>
      <c r="J387" t="s">
        <v>33</v>
      </c>
      <c r="K387" t="s">
        <v>366</v>
      </c>
      <c r="L387" t="s">
        <v>35</v>
      </c>
      <c r="Q387">
        <v>1</v>
      </c>
      <c r="R387">
        <v>3</v>
      </c>
      <c r="AC387">
        <v>1</v>
      </c>
      <c r="AD387">
        <v>10</v>
      </c>
      <c r="AQ387">
        <v>13</v>
      </c>
    </row>
    <row r="388" spans="1:43" x14ac:dyDescent="0.25">
      <c r="A388" t="s">
        <v>5634</v>
      </c>
      <c r="B388" t="s">
        <v>5635</v>
      </c>
      <c r="G388" t="s">
        <v>4643</v>
      </c>
      <c r="H388" t="s">
        <v>4644</v>
      </c>
      <c r="I388" t="s">
        <v>4645</v>
      </c>
      <c r="J388" t="s">
        <v>33</v>
      </c>
      <c r="K388" t="s">
        <v>34</v>
      </c>
      <c r="L388" t="s">
        <v>35</v>
      </c>
      <c r="AQ388">
        <v>0</v>
      </c>
    </row>
    <row r="389" spans="1:43" x14ac:dyDescent="0.25">
      <c r="A389" t="s">
        <v>5640</v>
      </c>
      <c r="B389" t="s">
        <v>5641</v>
      </c>
      <c r="G389" t="s">
        <v>3501</v>
      </c>
      <c r="H389" t="s">
        <v>3502</v>
      </c>
      <c r="I389" t="s">
        <v>5642</v>
      </c>
      <c r="J389" t="s">
        <v>33</v>
      </c>
      <c r="K389" t="s">
        <v>34</v>
      </c>
      <c r="L389" t="s">
        <v>35</v>
      </c>
      <c r="AQ389">
        <v>0</v>
      </c>
    </row>
    <row r="390" spans="1:43" x14ac:dyDescent="0.25">
      <c r="A390" t="s">
        <v>5643</v>
      </c>
      <c r="B390" t="s">
        <v>459</v>
      </c>
      <c r="G390" t="s">
        <v>166</v>
      </c>
      <c r="H390" t="s">
        <v>5214</v>
      </c>
      <c r="I390" t="s">
        <v>5644</v>
      </c>
      <c r="J390" t="s">
        <v>33</v>
      </c>
      <c r="K390" t="s">
        <v>34</v>
      </c>
      <c r="L390" t="s">
        <v>35</v>
      </c>
      <c r="AQ390">
        <v>0</v>
      </c>
    </row>
    <row r="391" spans="1:43" x14ac:dyDescent="0.25">
      <c r="A391" t="s">
        <v>79</v>
      </c>
      <c r="B391" t="s">
        <v>2344</v>
      </c>
      <c r="D391" t="s">
        <v>2345</v>
      </c>
      <c r="I391" t="s">
        <v>2346</v>
      </c>
      <c r="J391" t="s">
        <v>33</v>
      </c>
      <c r="K391" t="s">
        <v>34</v>
      </c>
      <c r="L391" t="s">
        <v>35</v>
      </c>
      <c r="O391">
        <v>1</v>
      </c>
      <c r="P391">
        <v>3</v>
      </c>
      <c r="AC391">
        <v>2</v>
      </c>
      <c r="AD391">
        <v>10</v>
      </c>
      <c r="AQ391">
        <v>23</v>
      </c>
    </row>
    <row r="392" spans="1:43" x14ac:dyDescent="0.25">
      <c r="A392" t="s">
        <v>5655</v>
      </c>
      <c r="B392" t="s">
        <v>5656</v>
      </c>
      <c r="G392" t="s">
        <v>4643</v>
      </c>
      <c r="H392" t="s">
        <v>4644</v>
      </c>
      <c r="I392" t="s">
        <v>4645</v>
      </c>
      <c r="J392" t="s">
        <v>33</v>
      </c>
      <c r="K392" t="s">
        <v>34</v>
      </c>
      <c r="L392" t="s">
        <v>35</v>
      </c>
      <c r="AQ392">
        <v>0</v>
      </c>
    </row>
    <row r="393" spans="1:43" x14ac:dyDescent="0.25">
      <c r="A393" t="s">
        <v>50</v>
      </c>
      <c r="B393" t="s">
        <v>3378</v>
      </c>
      <c r="G393" t="s">
        <v>2800</v>
      </c>
      <c r="H393" t="s">
        <v>2801</v>
      </c>
      <c r="I393" t="s">
        <v>3910</v>
      </c>
      <c r="J393" t="s">
        <v>33</v>
      </c>
      <c r="K393" t="s">
        <v>34</v>
      </c>
      <c r="L393" t="s">
        <v>35</v>
      </c>
      <c r="AQ393">
        <v>0</v>
      </c>
    </row>
    <row r="394" spans="1:43" x14ac:dyDescent="0.25">
      <c r="A394" t="s">
        <v>434</v>
      </c>
      <c r="B394" t="s">
        <v>5665</v>
      </c>
      <c r="D394" t="s">
        <v>5666</v>
      </c>
      <c r="F394" t="s">
        <v>261</v>
      </c>
      <c r="I394" t="s">
        <v>5667</v>
      </c>
      <c r="J394" t="s">
        <v>33</v>
      </c>
      <c r="K394" t="s">
        <v>34</v>
      </c>
      <c r="L394" t="s">
        <v>35</v>
      </c>
      <c r="Q394">
        <v>1</v>
      </c>
      <c r="R394">
        <v>3</v>
      </c>
      <c r="AQ394">
        <v>3</v>
      </c>
    </row>
    <row r="395" spans="1:43" x14ac:dyDescent="0.25">
      <c r="A395" t="s">
        <v>288</v>
      </c>
      <c r="B395" t="s">
        <v>2369</v>
      </c>
      <c r="G395" t="s">
        <v>424</v>
      </c>
      <c r="H395" t="s">
        <v>1543</v>
      </c>
      <c r="I395" t="s">
        <v>1614</v>
      </c>
      <c r="J395" t="s">
        <v>33</v>
      </c>
      <c r="K395" t="s">
        <v>34</v>
      </c>
      <c r="L395" t="s">
        <v>35</v>
      </c>
      <c r="AQ395">
        <v>0</v>
      </c>
    </row>
    <row r="396" spans="1:43" x14ac:dyDescent="0.25">
      <c r="A396" t="s">
        <v>317</v>
      </c>
      <c r="B396" t="s">
        <v>5683</v>
      </c>
      <c r="D396" t="s">
        <v>5684</v>
      </c>
      <c r="F396" t="s">
        <v>261</v>
      </c>
      <c r="I396" t="s">
        <v>5685</v>
      </c>
      <c r="J396" t="s">
        <v>33</v>
      </c>
      <c r="K396" t="s">
        <v>34</v>
      </c>
      <c r="L396" t="s">
        <v>35</v>
      </c>
      <c r="Q396">
        <v>1</v>
      </c>
      <c r="R396">
        <v>3</v>
      </c>
      <c r="AC396">
        <v>1</v>
      </c>
      <c r="AD396">
        <v>10</v>
      </c>
      <c r="AQ396">
        <v>13</v>
      </c>
    </row>
    <row r="397" spans="1:43" x14ac:dyDescent="0.25">
      <c r="A397" t="s">
        <v>2333</v>
      </c>
      <c r="B397" t="s">
        <v>3395</v>
      </c>
      <c r="D397" t="s">
        <v>5688</v>
      </c>
      <c r="F397" t="s">
        <v>261</v>
      </c>
      <c r="I397" t="s">
        <v>5689</v>
      </c>
      <c r="J397" t="s">
        <v>33</v>
      </c>
      <c r="K397" t="s">
        <v>34</v>
      </c>
      <c r="L397" t="s">
        <v>35</v>
      </c>
      <c r="Q397">
        <v>1</v>
      </c>
      <c r="R397">
        <v>3</v>
      </c>
      <c r="AQ397">
        <v>3</v>
      </c>
    </row>
    <row r="398" spans="1:43" x14ac:dyDescent="0.25">
      <c r="A398" t="s">
        <v>2393</v>
      </c>
      <c r="B398" t="s">
        <v>287</v>
      </c>
      <c r="G398" t="s">
        <v>390</v>
      </c>
      <c r="H398" t="s">
        <v>1010</v>
      </c>
      <c r="I398" t="s">
        <v>1012</v>
      </c>
      <c r="J398" t="s">
        <v>33</v>
      </c>
      <c r="K398" t="s">
        <v>34</v>
      </c>
      <c r="L398" t="s">
        <v>35</v>
      </c>
      <c r="AQ398">
        <v>0</v>
      </c>
    </row>
    <row r="399" spans="1:43" x14ac:dyDescent="0.25">
      <c r="A399" t="s">
        <v>936</v>
      </c>
      <c r="B399" t="s">
        <v>287</v>
      </c>
      <c r="D399" t="s">
        <v>2396</v>
      </c>
      <c r="F399" t="s">
        <v>261</v>
      </c>
      <c r="I399" t="s">
        <v>2804</v>
      </c>
      <c r="J399" t="s">
        <v>33</v>
      </c>
      <c r="K399" t="s">
        <v>34</v>
      </c>
      <c r="L399" t="s">
        <v>35</v>
      </c>
      <c r="Q399">
        <v>2</v>
      </c>
      <c r="R399">
        <v>3</v>
      </c>
      <c r="AC399">
        <v>2</v>
      </c>
      <c r="AD399">
        <v>10</v>
      </c>
      <c r="AQ399">
        <v>26</v>
      </c>
    </row>
    <row r="400" spans="1:43" x14ac:dyDescent="0.25">
      <c r="A400" t="s">
        <v>4975</v>
      </c>
      <c r="B400" t="s">
        <v>287</v>
      </c>
      <c r="D400" t="s">
        <v>5699</v>
      </c>
      <c r="F400" t="s">
        <v>261</v>
      </c>
      <c r="I400" t="s">
        <v>5700</v>
      </c>
      <c r="J400" t="s">
        <v>33</v>
      </c>
      <c r="K400" t="s">
        <v>34</v>
      </c>
      <c r="L400" t="s">
        <v>35</v>
      </c>
      <c r="Q400">
        <v>1</v>
      </c>
      <c r="R400">
        <v>3</v>
      </c>
      <c r="AC400">
        <v>2</v>
      </c>
      <c r="AD400">
        <v>10</v>
      </c>
      <c r="AG400">
        <v>3</v>
      </c>
      <c r="AH400">
        <v>1</v>
      </c>
      <c r="AQ400">
        <v>26</v>
      </c>
    </row>
    <row r="401" spans="1:43" x14ac:dyDescent="0.25">
      <c r="A401" t="s">
        <v>136</v>
      </c>
      <c r="B401" t="s">
        <v>287</v>
      </c>
      <c r="D401" t="s">
        <v>136</v>
      </c>
      <c r="E401" t="s">
        <v>53</v>
      </c>
      <c r="F401" t="s">
        <v>261</v>
      </c>
      <c r="I401" t="s">
        <v>5701</v>
      </c>
      <c r="J401" t="s">
        <v>33</v>
      </c>
      <c r="K401" t="s">
        <v>34</v>
      </c>
      <c r="L401" t="s">
        <v>35</v>
      </c>
      <c r="Q401">
        <v>1</v>
      </c>
      <c r="R401">
        <v>3</v>
      </c>
      <c r="AQ401">
        <v>3</v>
      </c>
    </row>
    <row r="402" spans="1:43" x14ac:dyDescent="0.25">
      <c r="A402" t="s">
        <v>253</v>
      </c>
      <c r="B402" t="s">
        <v>287</v>
      </c>
      <c r="D402" t="s">
        <v>2401</v>
      </c>
      <c r="F402" t="s">
        <v>261</v>
      </c>
      <c r="I402" t="s">
        <v>2402</v>
      </c>
      <c r="J402" t="s">
        <v>33</v>
      </c>
      <c r="K402" t="s">
        <v>34</v>
      </c>
      <c r="L402" t="s">
        <v>35</v>
      </c>
      <c r="Q402">
        <v>1</v>
      </c>
      <c r="R402">
        <v>3</v>
      </c>
      <c r="U402">
        <v>1</v>
      </c>
      <c r="V402">
        <v>20</v>
      </c>
      <c r="AQ402">
        <v>23</v>
      </c>
    </row>
    <row r="403" spans="1:43" x14ac:dyDescent="0.25">
      <c r="A403" t="s">
        <v>61</v>
      </c>
      <c r="B403" t="s">
        <v>5716</v>
      </c>
      <c r="D403" t="s">
        <v>5717</v>
      </c>
      <c r="I403" t="s">
        <v>5718</v>
      </c>
      <c r="J403" t="s">
        <v>33</v>
      </c>
      <c r="K403" t="s">
        <v>34</v>
      </c>
      <c r="L403" t="s">
        <v>35</v>
      </c>
      <c r="Q403">
        <v>1</v>
      </c>
      <c r="R403">
        <v>3</v>
      </c>
      <c r="AQ403">
        <v>3</v>
      </c>
    </row>
    <row r="404" spans="1:43" x14ac:dyDescent="0.25">
      <c r="A404" t="s">
        <v>3597</v>
      </c>
      <c r="B404" t="s">
        <v>1091</v>
      </c>
      <c r="D404" t="s">
        <v>3597</v>
      </c>
      <c r="F404" t="s">
        <v>261</v>
      </c>
      <c r="I404" t="s">
        <v>3598</v>
      </c>
      <c r="J404" t="s">
        <v>33</v>
      </c>
      <c r="K404" t="s">
        <v>34</v>
      </c>
      <c r="L404" t="s">
        <v>35</v>
      </c>
      <c r="Q404">
        <v>2</v>
      </c>
      <c r="R404">
        <v>3</v>
      </c>
      <c r="AC404">
        <v>1</v>
      </c>
      <c r="AD404">
        <v>10</v>
      </c>
      <c r="AQ404">
        <v>16</v>
      </c>
    </row>
    <row r="405" spans="1:43" x14ac:dyDescent="0.25">
      <c r="A405" t="s">
        <v>5725</v>
      </c>
      <c r="B405" t="s">
        <v>5726</v>
      </c>
      <c r="D405" t="s">
        <v>5727</v>
      </c>
      <c r="I405" t="s">
        <v>5728</v>
      </c>
      <c r="J405" t="s">
        <v>33</v>
      </c>
      <c r="K405" t="s">
        <v>34</v>
      </c>
      <c r="L405" t="s">
        <v>35</v>
      </c>
      <c r="Q405">
        <v>1</v>
      </c>
      <c r="R405">
        <v>3</v>
      </c>
      <c r="AQ405">
        <v>3</v>
      </c>
    </row>
    <row r="406" spans="1:43" x14ac:dyDescent="0.25">
      <c r="A406" t="s">
        <v>2413</v>
      </c>
      <c r="B406" t="s">
        <v>2414</v>
      </c>
      <c r="D406" t="s">
        <v>2415</v>
      </c>
      <c r="E406" t="s">
        <v>117</v>
      </c>
      <c r="F406" t="s">
        <v>261</v>
      </c>
      <c r="I406" t="s">
        <v>2416</v>
      </c>
      <c r="J406" t="s">
        <v>33</v>
      </c>
      <c r="K406" t="s">
        <v>34</v>
      </c>
      <c r="L406" t="s">
        <v>35</v>
      </c>
      <c r="S406">
        <v>1</v>
      </c>
      <c r="T406">
        <v>3</v>
      </c>
      <c r="AM406">
        <v>1</v>
      </c>
      <c r="AN406">
        <v>25</v>
      </c>
      <c r="AQ406">
        <v>28</v>
      </c>
    </row>
    <row r="407" spans="1:43" x14ac:dyDescent="0.25">
      <c r="A407" t="s">
        <v>266</v>
      </c>
      <c r="B407" t="s">
        <v>2417</v>
      </c>
      <c r="G407" t="s">
        <v>424</v>
      </c>
      <c r="H407" t="s">
        <v>1543</v>
      </c>
      <c r="I407" t="s">
        <v>1614</v>
      </c>
      <c r="J407" t="s">
        <v>33</v>
      </c>
      <c r="K407" t="s">
        <v>34</v>
      </c>
      <c r="L407" t="s">
        <v>35</v>
      </c>
      <c r="AQ407">
        <v>0</v>
      </c>
    </row>
    <row r="408" spans="1:43" x14ac:dyDescent="0.25">
      <c r="A408" t="s">
        <v>386</v>
      </c>
      <c r="B408" t="s">
        <v>5737</v>
      </c>
      <c r="G408" t="s">
        <v>3415</v>
      </c>
      <c r="H408" t="s">
        <v>4233</v>
      </c>
      <c r="I408" t="s">
        <v>4234</v>
      </c>
      <c r="J408" t="s">
        <v>33</v>
      </c>
      <c r="K408" t="s">
        <v>34</v>
      </c>
      <c r="L408" t="s">
        <v>35</v>
      </c>
      <c r="AQ408">
        <v>0</v>
      </c>
    </row>
    <row r="409" spans="1:43" x14ac:dyDescent="0.25">
      <c r="A409" t="s">
        <v>58</v>
      </c>
      <c r="B409" t="s">
        <v>2431</v>
      </c>
      <c r="G409" t="s">
        <v>36</v>
      </c>
      <c r="H409" t="s">
        <v>968</v>
      </c>
      <c r="I409" t="s">
        <v>969</v>
      </c>
      <c r="J409" t="s">
        <v>33</v>
      </c>
      <c r="K409" t="s">
        <v>34</v>
      </c>
      <c r="L409" t="s">
        <v>35</v>
      </c>
      <c r="AQ409">
        <v>0</v>
      </c>
    </row>
    <row r="410" spans="1:43" x14ac:dyDescent="0.25">
      <c r="A410" t="s">
        <v>1724</v>
      </c>
      <c r="B410" t="s">
        <v>3941</v>
      </c>
      <c r="D410" t="s">
        <v>1724</v>
      </c>
      <c r="F410" t="s">
        <v>261</v>
      </c>
      <c r="I410" t="s">
        <v>3942</v>
      </c>
      <c r="J410" t="s">
        <v>33</v>
      </c>
      <c r="K410" t="s">
        <v>34</v>
      </c>
      <c r="L410" t="s">
        <v>35</v>
      </c>
      <c r="Q410">
        <v>2</v>
      </c>
      <c r="R410">
        <v>3</v>
      </c>
      <c r="AC410">
        <v>1</v>
      </c>
      <c r="AD410">
        <v>10</v>
      </c>
      <c r="AQ410">
        <v>16</v>
      </c>
    </row>
    <row r="411" spans="1:43" x14ac:dyDescent="0.25">
      <c r="A411" t="s">
        <v>2441</v>
      </c>
      <c r="B411" t="s">
        <v>2442</v>
      </c>
      <c r="D411" t="s">
        <v>2443</v>
      </c>
      <c r="I411" t="s">
        <v>2444</v>
      </c>
      <c r="J411" t="s">
        <v>33</v>
      </c>
      <c r="K411" t="s">
        <v>34</v>
      </c>
      <c r="L411" t="s">
        <v>35</v>
      </c>
      <c r="O411">
        <v>1</v>
      </c>
      <c r="P411">
        <v>3</v>
      </c>
      <c r="AQ411">
        <v>3</v>
      </c>
    </row>
    <row r="412" spans="1:43" x14ac:dyDescent="0.25">
      <c r="A412" t="s">
        <v>2445</v>
      </c>
      <c r="B412" t="s">
        <v>2446</v>
      </c>
      <c r="G412" t="s">
        <v>1743</v>
      </c>
      <c r="H412" t="s">
        <v>1744</v>
      </c>
      <c r="I412" t="s">
        <v>1745</v>
      </c>
      <c r="J412" t="s">
        <v>33</v>
      </c>
      <c r="K412" t="s">
        <v>34</v>
      </c>
      <c r="L412" t="s">
        <v>35</v>
      </c>
      <c r="AQ412">
        <v>0</v>
      </c>
    </row>
    <row r="413" spans="1:43" x14ac:dyDescent="0.25">
      <c r="A413" t="s">
        <v>91</v>
      </c>
      <c r="B413" t="s">
        <v>5770</v>
      </c>
      <c r="D413" t="s">
        <v>5771</v>
      </c>
      <c r="E413" t="s">
        <v>5772</v>
      </c>
      <c r="F413" t="s">
        <v>261</v>
      </c>
      <c r="I413" t="s">
        <v>5773</v>
      </c>
      <c r="J413" t="s">
        <v>33</v>
      </c>
      <c r="K413" t="s">
        <v>34</v>
      </c>
      <c r="L413" t="s">
        <v>35</v>
      </c>
      <c r="Q413">
        <v>1</v>
      </c>
      <c r="R413">
        <v>3</v>
      </c>
      <c r="AC413">
        <v>1</v>
      </c>
      <c r="AD413">
        <v>10</v>
      </c>
      <c r="AQ413">
        <v>13</v>
      </c>
    </row>
    <row r="414" spans="1:43" x14ac:dyDescent="0.25">
      <c r="A414" t="s">
        <v>4184</v>
      </c>
      <c r="B414" t="s">
        <v>2465</v>
      </c>
      <c r="D414" t="s">
        <v>5785</v>
      </c>
      <c r="F414" t="s">
        <v>261</v>
      </c>
      <c r="I414" t="s">
        <v>4185</v>
      </c>
      <c r="J414" t="s">
        <v>33</v>
      </c>
      <c r="K414" t="s">
        <v>34</v>
      </c>
      <c r="L414" t="s">
        <v>35</v>
      </c>
      <c r="Q414">
        <v>3</v>
      </c>
      <c r="R414">
        <v>3</v>
      </c>
      <c r="AC414">
        <v>1</v>
      </c>
      <c r="AD414">
        <v>10</v>
      </c>
      <c r="AQ414">
        <v>19</v>
      </c>
    </row>
    <row r="415" spans="1:43" x14ac:dyDescent="0.25">
      <c r="A415" t="s">
        <v>970</v>
      </c>
      <c r="B415" t="s">
        <v>3432</v>
      </c>
      <c r="D415" t="s">
        <v>3433</v>
      </c>
      <c r="F415" t="s">
        <v>261</v>
      </c>
      <c r="I415" t="s">
        <v>3434</v>
      </c>
      <c r="J415" t="s">
        <v>33</v>
      </c>
      <c r="K415" t="s">
        <v>34</v>
      </c>
      <c r="L415" t="s">
        <v>35</v>
      </c>
      <c r="Q415">
        <v>1</v>
      </c>
      <c r="R415">
        <v>3</v>
      </c>
      <c r="AC415">
        <v>1</v>
      </c>
      <c r="AD415">
        <v>10</v>
      </c>
      <c r="AQ415">
        <v>13</v>
      </c>
    </row>
    <row r="416" spans="1:43" x14ac:dyDescent="0.25">
      <c r="A416" t="s">
        <v>317</v>
      </c>
      <c r="B416" t="s">
        <v>2475</v>
      </c>
      <c r="G416" t="s">
        <v>1147</v>
      </c>
      <c r="H416" t="s">
        <v>1148</v>
      </c>
      <c r="I416" t="s">
        <v>1149</v>
      </c>
      <c r="J416" t="s">
        <v>33</v>
      </c>
      <c r="K416" t="s">
        <v>34</v>
      </c>
      <c r="L416" t="s">
        <v>35</v>
      </c>
      <c r="AQ416">
        <v>0</v>
      </c>
    </row>
    <row r="417" spans="1:43" x14ac:dyDescent="0.25">
      <c r="A417" t="s">
        <v>3435</v>
      </c>
      <c r="B417" t="s">
        <v>3436</v>
      </c>
      <c r="D417" t="s">
        <v>3437</v>
      </c>
      <c r="F417" t="s">
        <v>261</v>
      </c>
      <c r="I417" t="s">
        <v>3438</v>
      </c>
      <c r="J417" t="s">
        <v>33</v>
      </c>
      <c r="K417" t="s">
        <v>34</v>
      </c>
      <c r="L417" t="s">
        <v>35</v>
      </c>
      <c r="Q417">
        <v>1</v>
      </c>
      <c r="R417">
        <v>3</v>
      </c>
      <c r="AC417">
        <v>1</v>
      </c>
      <c r="AD417">
        <v>10</v>
      </c>
      <c r="AE417">
        <v>1</v>
      </c>
      <c r="AF417">
        <v>6</v>
      </c>
      <c r="AQ417">
        <v>19</v>
      </c>
    </row>
    <row r="418" spans="1:43" x14ac:dyDescent="0.25">
      <c r="A418" t="s">
        <v>5832</v>
      </c>
      <c r="B418" t="s">
        <v>5833</v>
      </c>
      <c r="G418" t="s">
        <v>3749</v>
      </c>
      <c r="H418" t="s">
        <v>472</v>
      </c>
      <c r="I418" t="s">
        <v>3750</v>
      </c>
      <c r="J418" t="s">
        <v>33</v>
      </c>
      <c r="K418" t="s">
        <v>34</v>
      </c>
      <c r="L418" t="s">
        <v>35</v>
      </c>
      <c r="AQ418">
        <v>0</v>
      </c>
    </row>
    <row r="419" spans="1:43" x14ac:dyDescent="0.25">
      <c r="A419" t="s">
        <v>144</v>
      </c>
      <c r="B419" t="s">
        <v>5454</v>
      </c>
      <c r="G419" t="s">
        <v>5453</v>
      </c>
      <c r="H419" t="s">
        <v>5454</v>
      </c>
      <c r="I419" t="s">
        <v>5455</v>
      </c>
      <c r="J419" t="s">
        <v>33</v>
      </c>
      <c r="K419" t="s">
        <v>34</v>
      </c>
      <c r="L419" t="s">
        <v>35</v>
      </c>
      <c r="AQ419">
        <v>0</v>
      </c>
    </row>
    <row r="420" spans="1:43" x14ac:dyDescent="0.25">
      <c r="A420" t="s">
        <v>5453</v>
      </c>
      <c r="B420" t="s">
        <v>5454</v>
      </c>
      <c r="D420" t="s">
        <v>5840</v>
      </c>
      <c r="F420" t="s">
        <v>261</v>
      </c>
      <c r="I420" t="s">
        <v>5841</v>
      </c>
      <c r="J420" t="s">
        <v>33</v>
      </c>
      <c r="K420" t="s">
        <v>34</v>
      </c>
      <c r="L420" t="s">
        <v>35</v>
      </c>
      <c r="Q420">
        <v>3</v>
      </c>
      <c r="R420">
        <v>3</v>
      </c>
      <c r="AC420">
        <v>1</v>
      </c>
      <c r="AD420">
        <v>10</v>
      </c>
      <c r="AQ420">
        <v>19</v>
      </c>
    </row>
    <row r="421" spans="1:43" x14ac:dyDescent="0.25">
      <c r="A421" t="s">
        <v>116</v>
      </c>
      <c r="B421" t="s">
        <v>5857</v>
      </c>
      <c r="D421" t="s">
        <v>5858</v>
      </c>
      <c r="E421" t="s">
        <v>5859</v>
      </c>
      <c r="I421" t="s">
        <v>5860</v>
      </c>
      <c r="J421" t="s">
        <v>33</v>
      </c>
      <c r="K421" t="s">
        <v>34</v>
      </c>
      <c r="L421" t="s">
        <v>35</v>
      </c>
      <c r="Q421">
        <v>1</v>
      </c>
      <c r="R421">
        <v>3</v>
      </c>
      <c r="AQ421">
        <v>3</v>
      </c>
    </row>
    <row r="422" spans="1:43" x14ac:dyDescent="0.25">
      <c r="A422" t="s">
        <v>1426</v>
      </c>
      <c r="B422" t="s">
        <v>1427</v>
      </c>
      <c r="I422" t="s">
        <v>1428</v>
      </c>
      <c r="J422" t="s">
        <v>33</v>
      </c>
      <c r="K422" t="s">
        <v>34</v>
      </c>
      <c r="L422" t="s">
        <v>35</v>
      </c>
      <c r="S422">
        <v>2</v>
      </c>
      <c r="T422">
        <v>3</v>
      </c>
      <c r="U422">
        <v>1</v>
      </c>
      <c r="V422">
        <v>20</v>
      </c>
      <c r="AQ422">
        <v>26</v>
      </c>
    </row>
    <row r="423" spans="1:43" x14ac:dyDescent="0.25">
      <c r="A423" t="s">
        <v>1210</v>
      </c>
      <c r="B423" t="s">
        <v>1211</v>
      </c>
      <c r="D423" t="s">
        <v>2532</v>
      </c>
      <c r="F423" t="s">
        <v>261</v>
      </c>
      <c r="I423" t="s">
        <v>2533</v>
      </c>
      <c r="J423" t="s">
        <v>33</v>
      </c>
      <c r="K423" t="s">
        <v>34</v>
      </c>
      <c r="L423" t="s">
        <v>35</v>
      </c>
      <c r="Q423">
        <v>2</v>
      </c>
      <c r="R423">
        <v>3</v>
      </c>
      <c r="U423">
        <v>1</v>
      </c>
      <c r="V423">
        <v>20</v>
      </c>
      <c r="AQ423">
        <v>26</v>
      </c>
    </row>
    <row r="424" spans="1:43" x14ac:dyDescent="0.25">
      <c r="A424" t="s">
        <v>163</v>
      </c>
      <c r="B424" t="s">
        <v>5888</v>
      </c>
      <c r="G424" t="s">
        <v>5889</v>
      </c>
      <c r="H424" t="s">
        <v>5888</v>
      </c>
      <c r="I424" t="s">
        <v>5890</v>
      </c>
      <c r="J424" t="s">
        <v>33</v>
      </c>
      <c r="K424" t="s">
        <v>366</v>
      </c>
      <c r="L424" t="s">
        <v>35</v>
      </c>
      <c r="AQ424">
        <v>0</v>
      </c>
    </row>
    <row r="425" spans="1:43" x14ac:dyDescent="0.25">
      <c r="A425" t="s">
        <v>5889</v>
      </c>
      <c r="B425" t="s">
        <v>5888</v>
      </c>
      <c r="D425" t="s">
        <v>163</v>
      </c>
      <c r="F425" t="s">
        <v>261</v>
      </c>
      <c r="I425" t="s">
        <v>5890</v>
      </c>
      <c r="J425" t="s">
        <v>33</v>
      </c>
      <c r="K425" t="s">
        <v>366</v>
      </c>
      <c r="L425" t="s">
        <v>35</v>
      </c>
      <c r="Q425">
        <v>3</v>
      </c>
      <c r="R425">
        <v>3</v>
      </c>
      <c r="AC425">
        <v>1</v>
      </c>
      <c r="AD425">
        <v>10</v>
      </c>
      <c r="AQ425">
        <v>19</v>
      </c>
    </row>
    <row r="426" spans="1:43" x14ac:dyDescent="0.25">
      <c r="A426" t="s">
        <v>5895</v>
      </c>
      <c r="B426" t="s">
        <v>5896</v>
      </c>
      <c r="D426" t="s">
        <v>5897</v>
      </c>
      <c r="F426" t="s">
        <v>261</v>
      </c>
      <c r="I426" t="s">
        <v>5898</v>
      </c>
      <c r="J426" t="s">
        <v>33</v>
      </c>
      <c r="K426" t="s">
        <v>34</v>
      </c>
      <c r="L426" t="s">
        <v>35</v>
      </c>
      <c r="Q426">
        <v>1</v>
      </c>
      <c r="R426">
        <v>3</v>
      </c>
      <c r="AC426">
        <v>1</v>
      </c>
      <c r="AD426">
        <v>10</v>
      </c>
      <c r="AK426">
        <v>1</v>
      </c>
      <c r="AL426">
        <v>6</v>
      </c>
      <c r="AQ426">
        <v>19</v>
      </c>
    </row>
    <row r="427" spans="1:43" x14ac:dyDescent="0.25">
      <c r="A427" t="s">
        <v>155</v>
      </c>
      <c r="B427" t="s">
        <v>2548</v>
      </c>
      <c r="G427" t="s">
        <v>1469</v>
      </c>
      <c r="H427" t="s">
        <v>334</v>
      </c>
      <c r="I427" t="s">
        <v>1470</v>
      </c>
      <c r="J427" t="s">
        <v>33</v>
      </c>
      <c r="K427" t="s">
        <v>34</v>
      </c>
      <c r="L427" t="s">
        <v>35</v>
      </c>
      <c r="AQ427">
        <v>0</v>
      </c>
    </row>
    <row r="428" spans="1:43" x14ac:dyDescent="0.25">
      <c r="A428" t="s">
        <v>251</v>
      </c>
      <c r="B428" t="s">
        <v>498</v>
      </c>
      <c r="G428" t="s">
        <v>1364</v>
      </c>
      <c r="H428" t="s">
        <v>1365</v>
      </c>
      <c r="I428" t="s">
        <v>1366</v>
      </c>
      <c r="J428" t="s">
        <v>33</v>
      </c>
      <c r="K428" t="s">
        <v>34</v>
      </c>
      <c r="L428" t="s">
        <v>35</v>
      </c>
      <c r="AQ428">
        <v>0</v>
      </c>
    </row>
    <row r="429" spans="1:43" x14ac:dyDescent="0.25">
      <c r="A429" t="s">
        <v>5916</v>
      </c>
      <c r="B429" t="s">
        <v>1485</v>
      </c>
      <c r="D429" t="s">
        <v>5917</v>
      </c>
      <c r="F429" t="s">
        <v>261</v>
      </c>
      <c r="I429" t="s">
        <v>5918</v>
      </c>
      <c r="J429" t="s">
        <v>33</v>
      </c>
      <c r="K429" t="s">
        <v>34</v>
      </c>
      <c r="L429" t="s">
        <v>35</v>
      </c>
      <c r="Q429">
        <v>1</v>
      </c>
      <c r="R429">
        <v>3</v>
      </c>
      <c r="W429">
        <v>1</v>
      </c>
      <c r="X429">
        <v>40</v>
      </c>
      <c r="AE429">
        <v>2</v>
      </c>
      <c r="AF429">
        <v>6</v>
      </c>
      <c r="AG429">
        <v>1</v>
      </c>
      <c r="AH429">
        <v>1</v>
      </c>
      <c r="AQ429">
        <v>56</v>
      </c>
    </row>
    <row r="430" spans="1:43" x14ac:dyDescent="0.25">
      <c r="A430" t="s">
        <v>296</v>
      </c>
      <c r="B430" t="s">
        <v>2560</v>
      </c>
      <c r="D430" t="s">
        <v>296</v>
      </c>
      <c r="F430" t="s">
        <v>261</v>
      </c>
      <c r="I430" t="s">
        <v>2561</v>
      </c>
      <c r="J430" t="s">
        <v>33</v>
      </c>
      <c r="K430" t="s">
        <v>34</v>
      </c>
      <c r="L430" t="s">
        <v>35</v>
      </c>
      <c r="S430">
        <v>3</v>
      </c>
      <c r="T430">
        <v>3</v>
      </c>
      <c r="U430">
        <v>1</v>
      </c>
      <c r="V430">
        <v>20</v>
      </c>
      <c r="AQ430">
        <v>29</v>
      </c>
    </row>
    <row r="431" spans="1:43" x14ac:dyDescent="0.25">
      <c r="A431" t="s">
        <v>2562</v>
      </c>
      <c r="B431" t="s">
        <v>2560</v>
      </c>
      <c r="G431" t="s">
        <v>296</v>
      </c>
      <c r="H431" t="s">
        <v>2560</v>
      </c>
      <c r="I431" t="s">
        <v>2563</v>
      </c>
      <c r="J431" t="s">
        <v>33</v>
      </c>
      <c r="K431" t="s">
        <v>34</v>
      </c>
      <c r="L431" t="s">
        <v>35</v>
      </c>
      <c r="AQ431">
        <v>0</v>
      </c>
    </row>
    <row r="432" spans="1:43" x14ac:dyDescent="0.25">
      <c r="A432" t="s">
        <v>241</v>
      </c>
      <c r="B432" t="s">
        <v>2560</v>
      </c>
      <c r="G432" t="s">
        <v>296</v>
      </c>
      <c r="H432" t="s">
        <v>2560</v>
      </c>
      <c r="I432" t="s">
        <v>2563</v>
      </c>
      <c r="J432" t="s">
        <v>33</v>
      </c>
      <c r="K432" t="s">
        <v>34</v>
      </c>
      <c r="L432" t="s">
        <v>35</v>
      </c>
      <c r="AQ432">
        <v>0</v>
      </c>
    </row>
    <row r="433" spans="1:43" x14ac:dyDescent="0.25">
      <c r="A433" t="s">
        <v>5923</v>
      </c>
      <c r="B433" t="s">
        <v>3467</v>
      </c>
      <c r="I433" t="s">
        <v>5924</v>
      </c>
      <c r="J433" t="s">
        <v>33</v>
      </c>
      <c r="K433" t="s">
        <v>34</v>
      </c>
      <c r="L433" t="s">
        <v>35</v>
      </c>
      <c r="Q433">
        <v>1</v>
      </c>
      <c r="R433">
        <v>3</v>
      </c>
      <c r="AQ433">
        <v>3</v>
      </c>
    </row>
    <row r="434" spans="1:43" x14ac:dyDescent="0.25">
      <c r="A434" t="s">
        <v>927</v>
      </c>
      <c r="B434" t="s">
        <v>928</v>
      </c>
      <c r="D434" t="s">
        <v>2571</v>
      </c>
      <c r="F434" t="s">
        <v>261</v>
      </c>
      <c r="I434" t="s">
        <v>929</v>
      </c>
      <c r="J434" t="s">
        <v>33</v>
      </c>
      <c r="K434" t="s">
        <v>34</v>
      </c>
      <c r="L434" t="s">
        <v>35</v>
      </c>
      <c r="S434">
        <v>2</v>
      </c>
      <c r="T434">
        <v>3</v>
      </c>
      <c r="U434">
        <v>1</v>
      </c>
      <c r="V434">
        <v>20</v>
      </c>
      <c r="AQ434">
        <v>26</v>
      </c>
    </row>
    <row r="435" spans="1:43" x14ac:dyDescent="0.25">
      <c r="A435" t="s">
        <v>3473</v>
      </c>
      <c r="B435" t="s">
        <v>3474</v>
      </c>
      <c r="D435" t="s">
        <v>3473</v>
      </c>
      <c r="E435" t="s">
        <v>65</v>
      </c>
      <c r="F435" t="s">
        <v>261</v>
      </c>
      <c r="I435" t="s">
        <v>3475</v>
      </c>
      <c r="J435" t="s">
        <v>33</v>
      </c>
      <c r="K435" t="s">
        <v>34</v>
      </c>
      <c r="L435" t="s">
        <v>35</v>
      </c>
      <c r="Q435">
        <v>1</v>
      </c>
      <c r="R435">
        <v>3</v>
      </c>
      <c r="AM435">
        <v>1</v>
      </c>
      <c r="AN435">
        <v>25</v>
      </c>
      <c r="AQ435">
        <v>28</v>
      </c>
    </row>
    <row r="436" spans="1:43" x14ac:dyDescent="0.25">
      <c r="A436" t="s">
        <v>4729</v>
      </c>
      <c r="B436" t="s">
        <v>5940</v>
      </c>
      <c r="G436" t="s">
        <v>3415</v>
      </c>
      <c r="H436" t="s">
        <v>4233</v>
      </c>
      <c r="I436" t="s">
        <v>4234</v>
      </c>
      <c r="J436" t="s">
        <v>33</v>
      </c>
      <c r="K436" t="s">
        <v>34</v>
      </c>
      <c r="L436" t="s">
        <v>35</v>
      </c>
      <c r="AQ436">
        <v>0</v>
      </c>
    </row>
    <row r="437" spans="1:43" x14ac:dyDescent="0.25">
      <c r="A437" t="s">
        <v>42</v>
      </c>
      <c r="B437" t="s">
        <v>4190</v>
      </c>
      <c r="G437" t="s">
        <v>5889</v>
      </c>
      <c r="H437" t="s">
        <v>5888</v>
      </c>
      <c r="I437" t="s">
        <v>5890</v>
      </c>
      <c r="J437" t="s">
        <v>33</v>
      </c>
      <c r="K437" t="s">
        <v>366</v>
      </c>
      <c r="L437" t="s">
        <v>35</v>
      </c>
      <c r="AQ437">
        <v>0</v>
      </c>
    </row>
    <row r="438" spans="1:43" x14ac:dyDescent="0.25">
      <c r="A438" t="s">
        <v>1030</v>
      </c>
      <c r="B438" t="s">
        <v>5942</v>
      </c>
      <c r="G438" t="s">
        <v>5073</v>
      </c>
      <c r="H438" t="s">
        <v>5074</v>
      </c>
      <c r="I438" t="s">
        <v>5076</v>
      </c>
      <c r="J438" t="s">
        <v>33</v>
      </c>
      <c r="K438" t="s">
        <v>34</v>
      </c>
      <c r="L438" t="s">
        <v>35</v>
      </c>
      <c r="AQ438">
        <v>0</v>
      </c>
    </row>
    <row r="439" spans="1:43" x14ac:dyDescent="0.25">
      <c r="A439" t="s">
        <v>2605</v>
      </c>
      <c r="B439" t="s">
        <v>2606</v>
      </c>
      <c r="D439" t="s">
        <v>2607</v>
      </c>
      <c r="F439" t="s">
        <v>261</v>
      </c>
      <c r="I439" t="s">
        <v>2608</v>
      </c>
      <c r="J439" t="s">
        <v>33</v>
      </c>
      <c r="K439" t="s">
        <v>34</v>
      </c>
      <c r="L439" t="s">
        <v>35</v>
      </c>
      <c r="S439">
        <v>1</v>
      </c>
      <c r="T439">
        <v>3</v>
      </c>
      <c r="AC439">
        <v>1</v>
      </c>
      <c r="AD439">
        <v>10</v>
      </c>
      <c r="AQ439">
        <v>13</v>
      </c>
    </row>
    <row r="440" spans="1:43" x14ac:dyDescent="0.25">
      <c r="A440" t="s">
        <v>1641</v>
      </c>
      <c r="B440" t="s">
        <v>1642</v>
      </c>
      <c r="D440" t="s">
        <v>2617</v>
      </c>
      <c r="I440" t="s">
        <v>1643</v>
      </c>
      <c r="J440" t="s">
        <v>33</v>
      </c>
      <c r="K440" t="s">
        <v>34</v>
      </c>
      <c r="L440" t="s">
        <v>35</v>
      </c>
      <c r="O440">
        <v>2</v>
      </c>
      <c r="P440">
        <v>3</v>
      </c>
      <c r="AQ440">
        <v>6</v>
      </c>
    </row>
    <row r="441" spans="1:43" x14ac:dyDescent="0.25">
      <c r="A441" t="s">
        <v>4900</v>
      </c>
      <c r="B441" t="s">
        <v>4901</v>
      </c>
      <c r="D441" t="s">
        <v>5961</v>
      </c>
      <c r="F441" t="s">
        <v>261</v>
      </c>
      <c r="I441" t="s">
        <v>4902</v>
      </c>
      <c r="J441" t="s">
        <v>33</v>
      </c>
      <c r="K441" t="s">
        <v>34</v>
      </c>
      <c r="L441" t="s">
        <v>35</v>
      </c>
      <c r="Q441">
        <v>3</v>
      </c>
      <c r="R441">
        <v>3</v>
      </c>
      <c r="U441">
        <v>1</v>
      </c>
      <c r="V441">
        <v>20</v>
      </c>
      <c r="AQ441">
        <v>29</v>
      </c>
    </row>
    <row r="442" spans="1:43" x14ac:dyDescent="0.25">
      <c r="A442" t="s">
        <v>5962</v>
      </c>
      <c r="B442" t="s">
        <v>4901</v>
      </c>
      <c r="G442" t="s">
        <v>4900</v>
      </c>
      <c r="H442" t="s">
        <v>4901</v>
      </c>
      <c r="I442" t="s">
        <v>4902</v>
      </c>
      <c r="J442" t="s">
        <v>33</v>
      </c>
      <c r="K442" t="s">
        <v>34</v>
      </c>
      <c r="L442" t="s">
        <v>35</v>
      </c>
      <c r="AQ442">
        <v>0</v>
      </c>
    </row>
    <row r="443" spans="1:43" x14ac:dyDescent="0.25">
      <c r="A443" t="s">
        <v>506</v>
      </c>
      <c r="B443" t="s">
        <v>302</v>
      </c>
      <c r="D443" t="s">
        <v>2623</v>
      </c>
      <c r="F443" t="s">
        <v>261</v>
      </c>
      <c r="I443" t="s">
        <v>1422</v>
      </c>
      <c r="J443" t="s">
        <v>33</v>
      </c>
      <c r="K443" t="s">
        <v>34</v>
      </c>
      <c r="L443" t="s">
        <v>35</v>
      </c>
      <c r="Q443">
        <v>10</v>
      </c>
      <c r="R443">
        <v>3</v>
      </c>
      <c r="W443">
        <v>6</v>
      </c>
      <c r="X443">
        <v>40</v>
      </c>
      <c r="AQ443">
        <v>270</v>
      </c>
    </row>
    <row r="444" spans="1:43" x14ac:dyDescent="0.25">
      <c r="A444" t="s">
        <v>1441</v>
      </c>
      <c r="B444" t="s">
        <v>302</v>
      </c>
      <c r="D444" t="s">
        <v>3494</v>
      </c>
      <c r="F444" t="s">
        <v>261</v>
      </c>
      <c r="I444" t="s">
        <v>3495</v>
      </c>
      <c r="J444" t="s">
        <v>33</v>
      </c>
      <c r="K444" t="s">
        <v>34</v>
      </c>
      <c r="L444" t="s">
        <v>35</v>
      </c>
      <c r="Q444">
        <v>1</v>
      </c>
      <c r="R444">
        <v>3</v>
      </c>
      <c r="AC444">
        <v>1</v>
      </c>
      <c r="AD444">
        <v>10</v>
      </c>
      <c r="AG444">
        <v>1</v>
      </c>
      <c r="AH444">
        <v>1</v>
      </c>
      <c r="AQ444">
        <v>14</v>
      </c>
    </row>
    <row r="445" spans="1:43" x14ac:dyDescent="0.25">
      <c r="A445" t="s">
        <v>3501</v>
      </c>
      <c r="B445" t="s">
        <v>3502</v>
      </c>
      <c r="D445" t="s">
        <v>3501</v>
      </c>
      <c r="F445" t="s">
        <v>261</v>
      </c>
      <c r="I445" t="s">
        <v>5642</v>
      </c>
      <c r="J445" t="s">
        <v>33</v>
      </c>
      <c r="K445" t="s">
        <v>34</v>
      </c>
      <c r="L445" t="s">
        <v>35</v>
      </c>
      <c r="Q445">
        <v>4</v>
      </c>
      <c r="R445">
        <v>3</v>
      </c>
      <c r="U445">
        <v>1</v>
      </c>
      <c r="V445">
        <v>20</v>
      </c>
      <c r="AQ445">
        <v>32</v>
      </c>
    </row>
    <row r="446" spans="1:43" x14ac:dyDescent="0.25">
      <c r="A446" t="s">
        <v>62</v>
      </c>
      <c r="B446" t="s">
        <v>3502</v>
      </c>
      <c r="G446" t="s">
        <v>3501</v>
      </c>
      <c r="H446" t="s">
        <v>3502</v>
      </c>
      <c r="I446" t="s">
        <v>5642</v>
      </c>
      <c r="J446" t="s">
        <v>33</v>
      </c>
      <c r="K446" t="s">
        <v>34</v>
      </c>
      <c r="L446" t="s">
        <v>35</v>
      </c>
      <c r="AQ446">
        <v>0</v>
      </c>
    </row>
    <row r="447" spans="1:43" x14ac:dyDescent="0.25">
      <c r="A447" t="s">
        <v>3503</v>
      </c>
      <c r="B447" t="s">
        <v>3502</v>
      </c>
      <c r="G447" t="s">
        <v>3501</v>
      </c>
      <c r="H447" t="s">
        <v>3502</v>
      </c>
      <c r="I447" t="s">
        <v>5642</v>
      </c>
      <c r="J447" t="s">
        <v>33</v>
      </c>
      <c r="K447" t="s">
        <v>34</v>
      </c>
      <c r="L447" t="s">
        <v>35</v>
      </c>
      <c r="AQ447">
        <v>0</v>
      </c>
    </row>
    <row r="448" spans="1:43" x14ac:dyDescent="0.25">
      <c r="A448" t="s">
        <v>3505</v>
      </c>
      <c r="B448" t="s">
        <v>3506</v>
      </c>
      <c r="G448" t="s">
        <v>1441</v>
      </c>
      <c r="H448" t="s">
        <v>101</v>
      </c>
      <c r="I448" t="s">
        <v>2791</v>
      </c>
      <c r="J448" t="s">
        <v>33</v>
      </c>
      <c r="K448" t="s">
        <v>34</v>
      </c>
      <c r="L448" t="s">
        <v>35</v>
      </c>
      <c r="AQ448">
        <v>0</v>
      </c>
    </row>
    <row r="449" spans="1:43" x14ac:dyDescent="0.25">
      <c r="A449" t="s">
        <v>3507</v>
      </c>
      <c r="B449" t="s">
        <v>3506</v>
      </c>
      <c r="G449" t="s">
        <v>1441</v>
      </c>
      <c r="H449" t="s">
        <v>101</v>
      </c>
      <c r="I449" t="s">
        <v>2791</v>
      </c>
      <c r="J449" t="s">
        <v>33</v>
      </c>
      <c r="K449" t="s">
        <v>34</v>
      </c>
      <c r="L449" t="s">
        <v>35</v>
      </c>
      <c r="AQ449">
        <v>0</v>
      </c>
    </row>
    <row r="450" spans="1:43" x14ac:dyDescent="0.25">
      <c r="A450" t="s">
        <v>75</v>
      </c>
      <c r="B450" t="s">
        <v>309</v>
      </c>
      <c r="G450" t="s">
        <v>229</v>
      </c>
      <c r="H450" t="s">
        <v>4180</v>
      </c>
      <c r="I450" t="s">
        <v>4182</v>
      </c>
      <c r="J450" t="s">
        <v>33</v>
      </c>
      <c r="K450" t="s">
        <v>34</v>
      </c>
      <c r="L450" t="s">
        <v>35</v>
      </c>
      <c r="AQ450">
        <v>0</v>
      </c>
    </row>
    <row r="451" spans="1:43" x14ac:dyDescent="0.25">
      <c r="A451" t="s">
        <v>4453</v>
      </c>
      <c r="B451" t="s">
        <v>4454</v>
      </c>
      <c r="D451" t="s">
        <v>6005</v>
      </c>
      <c r="F451" t="s">
        <v>261</v>
      </c>
      <c r="I451" t="s">
        <v>4455</v>
      </c>
      <c r="J451" t="s">
        <v>33</v>
      </c>
      <c r="K451" t="s">
        <v>34</v>
      </c>
      <c r="L451" t="s">
        <v>35</v>
      </c>
      <c r="Q451">
        <v>4</v>
      </c>
      <c r="R451">
        <v>3</v>
      </c>
      <c r="AA451">
        <v>1</v>
      </c>
      <c r="AB451">
        <v>75</v>
      </c>
      <c r="AQ451">
        <v>87</v>
      </c>
    </row>
    <row r="452" spans="1:43" x14ac:dyDescent="0.25">
      <c r="A452" t="s">
        <v>59</v>
      </c>
      <c r="B452" t="s">
        <v>405</v>
      </c>
      <c r="F452" t="s">
        <v>261</v>
      </c>
      <c r="I452" t="s">
        <v>2657</v>
      </c>
      <c r="J452" t="s">
        <v>33</v>
      </c>
      <c r="K452" t="s">
        <v>34</v>
      </c>
      <c r="L452" t="s">
        <v>35</v>
      </c>
      <c r="S452">
        <v>1</v>
      </c>
      <c r="T452">
        <v>3</v>
      </c>
      <c r="AQ452">
        <v>3</v>
      </c>
    </row>
    <row r="453" spans="1:43" x14ac:dyDescent="0.25">
      <c r="A453" t="s">
        <v>2662</v>
      </c>
      <c r="B453" t="s">
        <v>406</v>
      </c>
      <c r="D453" t="s">
        <v>70</v>
      </c>
      <c r="I453" t="s">
        <v>2663</v>
      </c>
      <c r="J453" t="s">
        <v>33</v>
      </c>
      <c r="K453" t="s">
        <v>34</v>
      </c>
      <c r="L453" t="s">
        <v>35</v>
      </c>
      <c r="O453">
        <v>1</v>
      </c>
      <c r="P453">
        <v>3</v>
      </c>
      <c r="U453">
        <v>1</v>
      </c>
      <c r="V453">
        <v>20</v>
      </c>
      <c r="AQ453">
        <v>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1186"/>
  <sheetViews>
    <sheetView workbookViewId="0">
      <pane ySplit="1" topLeftCell="A2" activePane="bottomLeft" state="frozen"/>
      <selection pane="bottomLeft" activeCell="C2" sqref="C2"/>
    </sheetView>
  </sheetViews>
  <sheetFormatPr defaultRowHeight="15" x14ac:dyDescent="0.25"/>
  <cols>
    <col min="1" max="1" width="20" style="4" bestFit="1" customWidth="1"/>
    <col min="2" max="2" width="18.85546875" style="4" bestFit="1" customWidth="1"/>
    <col min="3" max="3" width="12.85546875" style="4" bestFit="1" customWidth="1"/>
    <col min="4" max="4" width="10.42578125" style="4" bestFit="1" customWidth="1"/>
    <col min="5" max="5" width="28.5703125" style="4" customWidth="1"/>
    <col min="6" max="6" width="12.140625" style="4" customWidth="1"/>
    <col min="7" max="7" width="9" style="4" bestFit="1" customWidth="1"/>
    <col min="8" max="8" width="19.5703125" style="4" bestFit="1" customWidth="1"/>
    <col min="9" max="9" width="10.28515625" style="4" customWidth="1"/>
    <col min="10" max="16384" width="9.140625" style="4"/>
  </cols>
  <sheetData>
    <row r="1" spans="1:9" x14ac:dyDescent="0.25">
      <c r="A1" s="4" t="str">
        <f>Registered!B1</f>
        <v>Last Name:</v>
      </c>
      <c r="B1" s="4" t="str">
        <f>Registered!A1</f>
        <v>First Name:</v>
      </c>
      <c r="C1" s="4" t="str">
        <f>IF(Registered!AR1&gt;0,Registered!AR1&amp;" Color Bags", "")</f>
        <v xml:space="preserve"> Color Bags</v>
      </c>
      <c r="D1" s="4" t="str">
        <f>IF(Registered!AS1&gt;0,(IF(Registered!AS1=1,Registered!AS1&amp;" T-Shirt",Registered!AS1&amp;" T-Shirts")), "")</f>
        <v xml:space="preserve"> T-Shirts</v>
      </c>
      <c r="E1" s="4" t="str">
        <f>Registered!AT1</f>
        <v>T-Shirt Sizes</v>
      </c>
      <c r="F1" s="4" t="str">
        <f>Registered!AU1</f>
        <v>Bandana Bandanas</v>
      </c>
      <c r="G1" s="4" t="str">
        <f>Registered!AW1</f>
        <v xml:space="preserve"> Meals</v>
      </c>
      <c r="H1" s="4" t="str">
        <f>Registered!AX1</f>
        <v>Hard Bound BG BG</v>
      </c>
      <c r="I1" s="4" t="str">
        <f>Registered!AY1</f>
        <v>Dust Mask DustMask</v>
      </c>
    </row>
    <row r="2" spans="1:9" x14ac:dyDescent="0.25">
      <c r="A2" s="4" t="str">
        <f>Registered!B3</f>
        <v>Aatish</v>
      </c>
      <c r="B2" s="4" t="str">
        <f>Registered!A3</f>
        <v>Kumar</v>
      </c>
      <c r="C2" s="4" t="str">
        <f>IF(Registered!AR3&gt;0,Registered!AR3&amp;" Color Bags", "")</f>
        <v>5 Color Bags</v>
      </c>
      <c r="D2" s="4" t="str">
        <f>IF(Registered!AS3&gt;0,(IF(Registered!AS3=1,Registered!AS3&amp;" T-Shirt",Registered!AS3&amp;" T-Shirts")), "")</f>
        <v/>
      </c>
      <c r="E2" s="4" t="str">
        <f>Registered!AT3</f>
        <v/>
      </c>
      <c r="F2" s="4" t="str">
        <f>Registered!AU3</f>
        <v/>
      </c>
      <c r="G2" s="4" t="str">
        <f>Registered!AW3</f>
        <v>2 Meals</v>
      </c>
      <c r="H2" s="4" t="str">
        <f>Registered!AX3</f>
        <v/>
      </c>
      <c r="I2" s="4" t="str">
        <f>Registered!AY3</f>
        <v/>
      </c>
    </row>
    <row r="3" spans="1:9" x14ac:dyDescent="0.25">
      <c r="A3" s="4" t="str">
        <f>Registered!B5</f>
        <v>Abalos</v>
      </c>
      <c r="B3" s="4" t="str">
        <f>Registered!A5</f>
        <v>Diana</v>
      </c>
      <c r="C3" s="4" t="str">
        <f>IF(Registered!AR5&gt;0,Registered!AR5&amp;" Color Bags", "")</f>
        <v>20 Color Bags</v>
      </c>
      <c r="D3" s="4" t="str">
        <f>IF(Registered!AS5&gt;0,(IF(Registered!AS5=1,Registered!AS5&amp;" T-Shirt",Registered!AS5&amp;" T-Shirts")), "")</f>
        <v/>
      </c>
      <c r="E3" s="4" t="str">
        <f>Registered!AT5</f>
        <v/>
      </c>
      <c r="F3" s="4" t="str">
        <f>Registered!AU5</f>
        <v/>
      </c>
      <c r="G3" s="4" t="str">
        <f>Registered!AW5</f>
        <v/>
      </c>
      <c r="H3" s="4" t="str">
        <f>Registered!AX5</f>
        <v/>
      </c>
      <c r="I3" s="4" t="str">
        <f>Registered!AY5</f>
        <v/>
      </c>
    </row>
    <row r="4" spans="1:9" x14ac:dyDescent="0.25">
      <c r="A4" s="4" t="str">
        <f>Registered!B9</f>
        <v>Acker</v>
      </c>
      <c r="B4" s="4" t="str">
        <f>Registered!A9</f>
        <v>Joshua</v>
      </c>
      <c r="C4" s="4" t="str">
        <f>IF(Registered!AR9&gt;0,Registered!AR9&amp;" Color Bags", "")</f>
        <v>5 Color Bags</v>
      </c>
      <c r="D4" s="4" t="str">
        <f>IF(Registered!AS9&gt;0,(IF(Registered!AS9=1,Registered!AS9&amp;" T-Shirt",Registered!AS9&amp;" T-Shirts")), "")</f>
        <v>2 T-Shirts</v>
      </c>
      <c r="E4" s="4" t="str">
        <f>Registered!AT9</f>
        <v>2 Mediums</v>
      </c>
      <c r="F4" s="4" t="str">
        <f>Registered!AU9</f>
        <v/>
      </c>
      <c r="G4" s="4" t="str">
        <f>Registered!AW9</f>
        <v/>
      </c>
      <c r="H4" s="4" t="str">
        <f>Registered!AX9</f>
        <v/>
      </c>
      <c r="I4" s="4" t="str">
        <f>Registered!AY9</f>
        <v/>
      </c>
    </row>
    <row r="5" spans="1:9" x14ac:dyDescent="0.25">
      <c r="A5" s="4" t="str">
        <f>Registered!B11</f>
        <v>Adair</v>
      </c>
      <c r="B5" s="4" t="str">
        <f>Registered!A11</f>
        <v>Morgan</v>
      </c>
      <c r="C5" s="4" t="str">
        <f>IF(Registered!AR11&gt;0,Registered!AR11&amp;" Color Bags", "")</f>
        <v>20 Color Bags</v>
      </c>
      <c r="D5" s="4" t="str">
        <f>IF(Registered!AS11&gt;0,(IF(Registered!AS11=1,Registered!AS11&amp;" T-Shirt",Registered!AS11&amp;" T-Shirts")), "")</f>
        <v/>
      </c>
      <c r="E5" s="4" t="str">
        <f>Registered!AT11</f>
        <v/>
      </c>
      <c r="F5" s="4" t="str">
        <f>Registered!AU11</f>
        <v/>
      </c>
      <c r="G5" s="4" t="str">
        <f>Registered!AW11</f>
        <v/>
      </c>
      <c r="H5" s="4" t="str">
        <f>Registered!AX11</f>
        <v/>
      </c>
      <c r="I5" s="4" t="str">
        <f>Registered!AY11</f>
        <v/>
      </c>
    </row>
    <row r="6" spans="1:9" x14ac:dyDescent="0.25">
      <c r="A6" s="4" t="str">
        <f>Registered!B17</f>
        <v>Adams</v>
      </c>
      <c r="B6" s="4" t="str">
        <f>Registered!A17</f>
        <v>Quinn</v>
      </c>
      <c r="C6" s="4" t="str">
        <f>IF(Registered!AR17&gt;0,Registered!AR17&amp;" Color Bags", "")</f>
        <v>15 Color Bags</v>
      </c>
      <c r="D6" s="4" t="str">
        <f>IF(Registered!AS17&gt;0,(IF(Registered!AS17=1,Registered!AS17&amp;" T-Shirt",Registered!AS17&amp;" T-Shirts")), "")</f>
        <v>3 T-Shirts</v>
      </c>
      <c r="E6" s="4" t="str">
        <f>Registered!AT17</f>
        <v>3 Large</v>
      </c>
      <c r="F6" s="4" t="str">
        <f>Registered!AU17</f>
        <v/>
      </c>
      <c r="G6" s="4" t="str">
        <f>Registered!AW17</f>
        <v>3 Meals</v>
      </c>
      <c r="H6" s="4" t="str">
        <f>Registered!AX17</f>
        <v/>
      </c>
      <c r="I6" s="4" t="str">
        <f>Registered!AY17</f>
        <v/>
      </c>
    </row>
    <row r="7" spans="1:9" x14ac:dyDescent="0.25">
      <c r="A7" s="4" t="str">
        <f>Registered!B13</f>
        <v>Adams</v>
      </c>
      <c r="B7" s="4" t="str">
        <f>Registered!A13</f>
        <v>Braidee</v>
      </c>
      <c r="C7" s="4" t="str">
        <f>IF(Registered!AR13&gt;0,Registered!AR13&amp;" Color Bags", "")</f>
        <v>5 Color Bags</v>
      </c>
      <c r="D7" s="4" t="str">
        <f>IF(Registered!AS13&gt;0,(IF(Registered!AS13=1,Registered!AS13&amp;" T-Shirt",Registered!AS13&amp;" T-Shirts")), "")</f>
        <v/>
      </c>
      <c r="E7" s="4" t="str">
        <f>Registered!AT13</f>
        <v/>
      </c>
      <c r="F7" s="4" t="str">
        <f>Registered!AU13</f>
        <v/>
      </c>
      <c r="G7" s="4" t="str">
        <f>Registered!AW13</f>
        <v/>
      </c>
      <c r="H7" s="4" t="str">
        <f>Registered!AX13</f>
        <v/>
      </c>
      <c r="I7" s="4" t="str">
        <f>Registered!AY13</f>
        <v/>
      </c>
    </row>
    <row r="8" spans="1:9" x14ac:dyDescent="0.25">
      <c r="A8" s="4" t="str">
        <f>Registered!B16</f>
        <v>Adams</v>
      </c>
      <c r="B8" s="4" t="str">
        <f>Registered!A16</f>
        <v>Margaret</v>
      </c>
      <c r="C8" s="4" t="str">
        <f>IF(Registered!AR16&gt;0,Registered!AR16&amp;" Color Bags", "")</f>
        <v>5 Color Bags</v>
      </c>
      <c r="D8" s="4" t="str">
        <f>IF(Registered!AS16&gt;0,(IF(Registered!AS16=1,Registered!AS16&amp;" T-Shirt",Registered!AS16&amp;" T-Shirts")), "")</f>
        <v/>
      </c>
      <c r="E8" s="4" t="str">
        <f>Registered!AT16</f>
        <v/>
      </c>
      <c r="F8" s="4" t="str">
        <f>Registered!AU16</f>
        <v/>
      </c>
      <c r="G8" s="4" t="str">
        <f>Registered!AW16</f>
        <v>1 Meal</v>
      </c>
      <c r="H8" s="4" t="str">
        <f>Registered!AX16</f>
        <v/>
      </c>
      <c r="I8" s="4" t="str">
        <f>Registered!AY16</f>
        <v/>
      </c>
    </row>
    <row r="9" spans="1:9" x14ac:dyDescent="0.25">
      <c r="A9" s="4" t="str">
        <f>Registered!B29</f>
        <v>Ahern</v>
      </c>
      <c r="B9" s="4" t="str">
        <f>Registered!A29</f>
        <v>Alice</v>
      </c>
      <c r="C9" s="4" t="str">
        <f>IF(Registered!AR29&gt;0,Registered!AR29&amp;" Color Bags", "")</f>
        <v>80 Color Bags</v>
      </c>
      <c r="D9" s="4" t="str">
        <f>IF(Registered!AS29&gt;0,(IF(Registered!AS29=1,Registered!AS29&amp;" T-Shirt",Registered!AS29&amp;" T-Shirts")), "")</f>
        <v/>
      </c>
      <c r="E9" s="4" t="str">
        <f>Registered!AT29</f>
        <v/>
      </c>
      <c r="F9" s="4" t="str">
        <f>Registered!AU29</f>
        <v/>
      </c>
      <c r="G9" s="4" t="str">
        <f>Registered!AW29</f>
        <v/>
      </c>
      <c r="H9" s="4" t="str">
        <f>Registered!AX29</f>
        <v/>
      </c>
      <c r="I9" s="4" t="str">
        <f>Registered!AY29</f>
        <v/>
      </c>
    </row>
    <row r="10" spans="1:9" x14ac:dyDescent="0.25">
      <c r="A10" s="4" t="str">
        <f>Registered!B32</f>
        <v>Ahles</v>
      </c>
      <c r="B10" s="4" t="str">
        <f>Registered!A32</f>
        <v>Lauren</v>
      </c>
      <c r="C10" s="4" t="str">
        <f>IF(Registered!AR32&gt;0,Registered!AR32&amp;" Color Bags", "")</f>
        <v>10 Color Bags</v>
      </c>
      <c r="D10" s="4" t="str">
        <f>IF(Registered!AS32&gt;0,(IF(Registered!AS32=1,Registered!AS32&amp;" T-Shirt",Registered!AS32&amp;" T-Shirts")), "")</f>
        <v/>
      </c>
      <c r="E10" s="4" t="str">
        <f>Registered!AT32</f>
        <v/>
      </c>
      <c r="F10" s="4" t="str">
        <f>Registered!AU32</f>
        <v/>
      </c>
      <c r="G10" s="4" t="str">
        <f>Registered!AW32</f>
        <v>2 Meals</v>
      </c>
      <c r="H10" s="4" t="str">
        <f>Registered!AX32</f>
        <v/>
      </c>
      <c r="I10" s="4" t="str">
        <f>Registered!AY32</f>
        <v/>
      </c>
    </row>
    <row r="11" spans="1:9" x14ac:dyDescent="0.25">
      <c r="A11" s="4" t="str">
        <f>Registered!B34</f>
        <v>Akina</v>
      </c>
      <c r="B11" s="4" t="str">
        <f>Registered!A34</f>
        <v>Kaile</v>
      </c>
      <c r="C11" s="4" t="str">
        <f>IF(Registered!AR34&gt;0,Registered!AR34&amp;" Color Bags", "")</f>
        <v>5 Color Bags</v>
      </c>
      <c r="D11" s="4" t="str">
        <f>IF(Registered!AS34&gt;0,(IF(Registered!AS34=1,Registered!AS34&amp;" T-Shirt",Registered!AS34&amp;" T-Shirts")), "")</f>
        <v>1 T-Shirt</v>
      </c>
      <c r="E11" s="4" t="str">
        <f>Registered!AT34</f>
        <v>Adult Medium</v>
      </c>
      <c r="F11" s="4" t="str">
        <f>Registered!AU34</f>
        <v/>
      </c>
      <c r="G11" s="4" t="str">
        <f>Registered!AW34</f>
        <v>1 Meal</v>
      </c>
      <c r="H11" s="4" t="str">
        <f>Registered!AX34</f>
        <v>1 BG</v>
      </c>
      <c r="I11" s="4" t="str">
        <f>Registered!AY34</f>
        <v/>
      </c>
    </row>
    <row r="12" spans="1:9" x14ac:dyDescent="0.25">
      <c r="A12" s="4" t="str">
        <f>Registered!B37</f>
        <v>Alexander</v>
      </c>
      <c r="B12" s="4" t="str">
        <f>Registered!A37</f>
        <v>Staci</v>
      </c>
      <c r="C12" s="4" t="str">
        <f>IF(Registered!AR37&gt;0,Registered!AR37&amp;" Color Bags", "")</f>
        <v>5 Color Bags</v>
      </c>
      <c r="D12" s="4" t="str">
        <f>IF(Registered!AS37&gt;0,(IF(Registered!AS37=1,Registered!AS37&amp;" T-Shirt",Registered!AS37&amp;" T-Shirts")), "")</f>
        <v>1 T-Shirt</v>
      </c>
      <c r="E12" s="4" t="str">
        <f>Registered!AT37</f>
        <v>Men's medium</v>
      </c>
      <c r="F12" s="4" t="str">
        <f>Registered!AU37</f>
        <v>1 Bandana</v>
      </c>
      <c r="G12" s="4" t="str">
        <f>Registered!AW37</f>
        <v/>
      </c>
      <c r="H12" s="4" t="str">
        <f>Registered!AX37</f>
        <v/>
      </c>
      <c r="I12" s="4" t="str">
        <f>Registered!AY37</f>
        <v/>
      </c>
    </row>
    <row r="13" spans="1:9" x14ac:dyDescent="0.25">
      <c r="A13" s="4" t="str">
        <f>Registered!B39</f>
        <v>Alfarhan</v>
      </c>
      <c r="B13" s="4" t="str">
        <f>Registered!A39</f>
        <v>Mortdha</v>
      </c>
      <c r="C13" s="4" t="str">
        <f>IF(Registered!AR39&gt;0,Registered!AR39&amp;" Color Bags", "")</f>
        <v>40 Color Bags</v>
      </c>
      <c r="D13" s="4" t="str">
        <f>IF(Registered!AS39&gt;0,(IF(Registered!AS39=1,Registered!AS39&amp;" T-Shirt",Registered!AS39&amp;" T-Shirts")), "")</f>
        <v/>
      </c>
      <c r="E13" s="4" t="str">
        <f>Registered!AT39</f>
        <v/>
      </c>
      <c r="F13" s="4" t="str">
        <f>Registered!AU39</f>
        <v/>
      </c>
      <c r="G13" s="4" t="str">
        <f>Registered!AW39</f>
        <v/>
      </c>
      <c r="H13" s="4" t="str">
        <f>Registered!AX39</f>
        <v/>
      </c>
      <c r="I13" s="4" t="str">
        <f>Registered!AY39</f>
        <v/>
      </c>
    </row>
    <row r="14" spans="1:9" x14ac:dyDescent="0.25">
      <c r="A14" s="4" t="str">
        <f>Registered!B2720</f>
        <v>Allen</v>
      </c>
      <c r="B14" s="4" t="str">
        <f>Registered!A2720</f>
        <v>Sarah</v>
      </c>
      <c r="C14" s="4" t="str">
        <f>IF(Registered!AR2720&gt;0,Registered!AR2720&amp;" Color Bags", "")</f>
        <v>10 Color Bags</v>
      </c>
      <c r="D14" s="4" t="str">
        <f>IF(Registered!AS2720&gt;0,(IF(Registered!AS2720=1,Registered!AS2720&amp;" T-Shirt",Registered!AS2720&amp;" T-Shirts")), "")</f>
        <v/>
      </c>
      <c r="E14" s="4" t="str">
        <f>Registered!AT2720</f>
        <v/>
      </c>
      <c r="F14" s="4" t="str">
        <f>Registered!AU2720</f>
        <v/>
      </c>
      <c r="G14" s="4" t="str">
        <f>Registered!AW2720</f>
        <v/>
      </c>
      <c r="H14" s="4" t="str">
        <f>Registered!AX2720</f>
        <v/>
      </c>
      <c r="I14" s="4" t="str">
        <f>Registered!AY2720</f>
        <v/>
      </c>
    </row>
    <row r="15" spans="1:9" x14ac:dyDescent="0.25">
      <c r="A15" s="4" t="str">
        <f>Registered!B43</f>
        <v>Allen</v>
      </c>
      <c r="B15" s="4" t="str">
        <f>Registered!A43</f>
        <v>Bryan</v>
      </c>
      <c r="C15" s="4" t="str">
        <f>IF(Registered!AR43&gt;0,Registered!AR43&amp;" Color Bags", "")</f>
        <v>5 Color Bags</v>
      </c>
      <c r="D15" s="4" t="str">
        <f>IF(Registered!AS43&gt;0,(IF(Registered!AS43=1,Registered!AS43&amp;" T-Shirt",Registered!AS43&amp;" T-Shirts")), "")</f>
        <v>1 T-Shirt</v>
      </c>
      <c r="E15" s="4" t="str">
        <f>Registered!AT43</f>
        <v>Large</v>
      </c>
      <c r="F15" s="4" t="str">
        <f>Registered!AU43</f>
        <v/>
      </c>
      <c r="G15" s="4" t="str">
        <f>Registered!AW43</f>
        <v>1 Meal</v>
      </c>
      <c r="H15" s="4" t="str">
        <f>Registered!AX43</f>
        <v/>
      </c>
      <c r="I15" s="4" t="str">
        <f>Registered!AY43</f>
        <v/>
      </c>
    </row>
    <row r="16" spans="1:9" x14ac:dyDescent="0.25">
      <c r="A16" s="4" t="str">
        <f>Registered!B44</f>
        <v>Allison</v>
      </c>
      <c r="B16" s="4" t="str">
        <f>Registered!A44</f>
        <v>Vicki</v>
      </c>
      <c r="C16" s="4" t="str">
        <f>IF(Registered!AR44&gt;0,Registered!AR44&amp;" Color Bags", "")</f>
        <v>10 Color Bags</v>
      </c>
      <c r="D16" s="4" t="str">
        <f>IF(Registered!AS44&gt;0,(IF(Registered!AS44=1,Registered!AS44&amp;" T-Shirt",Registered!AS44&amp;" T-Shirts")), "")</f>
        <v/>
      </c>
      <c r="E16" s="4" t="str">
        <f>Registered!AT44</f>
        <v/>
      </c>
      <c r="F16" s="4" t="str">
        <f>Registered!AU44</f>
        <v/>
      </c>
      <c r="G16" s="4" t="str">
        <f>Registered!AW44</f>
        <v/>
      </c>
      <c r="H16" s="4" t="str">
        <f>Registered!AX44</f>
        <v/>
      </c>
      <c r="I16" s="4" t="str">
        <f>Registered!AY44</f>
        <v/>
      </c>
    </row>
    <row r="17" spans="1:9" x14ac:dyDescent="0.25">
      <c r="A17" s="4" t="str">
        <f>Registered!B46</f>
        <v>Allred</v>
      </c>
      <c r="B17" s="4" t="str">
        <f>Registered!A46</f>
        <v>Jake</v>
      </c>
      <c r="C17" s="4" t="str">
        <f>IF(Registered!AR46&gt;0,Registered!AR46&amp;" Color Bags", "")</f>
        <v>10 Color Bags</v>
      </c>
      <c r="D17" s="4" t="str">
        <f>IF(Registered!AS46&gt;0,(IF(Registered!AS46=1,Registered!AS46&amp;" T-Shirt",Registered!AS46&amp;" T-Shirts")), "")</f>
        <v/>
      </c>
      <c r="E17" s="4" t="str">
        <f>Registered!AT46</f>
        <v/>
      </c>
      <c r="F17" s="4" t="str">
        <f>Registered!AU46</f>
        <v/>
      </c>
      <c r="G17" s="4" t="str">
        <f>Registered!AW46</f>
        <v/>
      </c>
      <c r="H17" s="4" t="str">
        <f>Registered!AX46</f>
        <v/>
      </c>
      <c r="I17" s="4" t="str">
        <f>Registered!AY46</f>
        <v/>
      </c>
    </row>
    <row r="18" spans="1:9" x14ac:dyDescent="0.25">
      <c r="A18" s="4" t="str">
        <f>Registered!B48</f>
        <v>Allred</v>
      </c>
      <c r="B18" s="4" t="str">
        <f>Registered!A48</f>
        <v>Kristin</v>
      </c>
      <c r="C18" s="4" t="str">
        <f>IF(Registered!AR48&gt;0,Registered!AR48&amp;" Color Bags", "")</f>
        <v>20 Color Bags</v>
      </c>
      <c r="D18" s="4" t="str">
        <f>IF(Registered!AS48&gt;0,(IF(Registered!AS48=1,Registered!AS48&amp;" T-Shirt",Registered!AS48&amp;" T-Shirts")), "")</f>
        <v/>
      </c>
      <c r="E18" s="4" t="str">
        <f>Registered!AT48</f>
        <v/>
      </c>
      <c r="F18" s="4" t="str">
        <f>Registered!AU48</f>
        <v/>
      </c>
      <c r="G18" s="4" t="str">
        <f>Registered!AW48</f>
        <v/>
      </c>
      <c r="H18" s="4" t="str">
        <f>Registered!AX48</f>
        <v/>
      </c>
      <c r="I18" s="4" t="str">
        <f>Registered!AY48</f>
        <v/>
      </c>
    </row>
    <row r="19" spans="1:9" x14ac:dyDescent="0.25">
      <c r="A19" s="4" t="str">
        <f>Registered!B47</f>
        <v>Allred</v>
      </c>
      <c r="B19" s="4" t="str">
        <f>Registered!A47</f>
        <v>Jason</v>
      </c>
      <c r="C19" s="4" t="str">
        <f>IF(Registered!AR47&gt;0,Registered!AR47&amp;" Color Bags", "")</f>
        <v>5 Color Bags</v>
      </c>
      <c r="D19" s="4" t="str">
        <f>IF(Registered!AS47&gt;0,(IF(Registered!AS47=1,Registered!AS47&amp;" T-Shirt",Registered!AS47&amp;" T-Shirts")), "")</f>
        <v/>
      </c>
      <c r="E19" s="4" t="str">
        <f>Registered!AT47</f>
        <v/>
      </c>
      <c r="F19" s="4" t="str">
        <f>Registered!AU47</f>
        <v/>
      </c>
      <c r="G19" s="4" t="str">
        <f>Registered!AW47</f>
        <v/>
      </c>
      <c r="H19" s="4" t="str">
        <f>Registered!AX47</f>
        <v/>
      </c>
      <c r="I19" s="4" t="str">
        <f>Registered!AY47</f>
        <v/>
      </c>
    </row>
    <row r="20" spans="1:9" x14ac:dyDescent="0.25">
      <c r="A20" s="4" t="str">
        <f>Registered!B49</f>
        <v>Allred</v>
      </c>
      <c r="B20" s="4" t="str">
        <f>Registered!A49</f>
        <v>Madison</v>
      </c>
      <c r="C20" s="4" t="str">
        <f>IF(Registered!AR49&gt;0,Registered!AR49&amp;" Color Bags", "")</f>
        <v>5 Color Bags</v>
      </c>
      <c r="D20" s="4" t="str">
        <f>IF(Registered!AS49&gt;0,(IF(Registered!AS49=1,Registered!AS49&amp;" T-Shirt",Registered!AS49&amp;" T-Shirts")), "")</f>
        <v>1 T-Shirt</v>
      </c>
      <c r="E20" s="4" t="str">
        <f>Registered!AT49</f>
        <v>small</v>
      </c>
      <c r="F20" s="4" t="str">
        <f>Registered!AU49</f>
        <v/>
      </c>
      <c r="G20" s="4" t="str">
        <f>Registered!AW49</f>
        <v/>
      </c>
      <c r="H20" s="4" t="str">
        <f>Registered!AX49</f>
        <v/>
      </c>
      <c r="I20" s="4" t="str">
        <f>Registered!AY49</f>
        <v/>
      </c>
    </row>
    <row r="21" spans="1:9" x14ac:dyDescent="0.25">
      <c r="A21" s="4" t="str">
        <f>Registered!B51</f>
        <v>Ampuero</v>
      </c>
      <c r="B21" s="4" t="str">
        <f>Registered!A51</f>
        <v>Lyndsey</v>
      </c>
      <c r="C21" s="4" t="str">
        <f>IF(Registered!AR51&gt;0,Registered!AR51&amp;" Color Bags", "")</f>
        <v>5 Color Bags</v>
      </c>
      <c r="D21" s="4" t="str">
        <f>IF(Registered!AS51&gt;0,(IF(Registered!AS51=1,Registered!AS51&amp;" T-Shirt",Registered!AS51&amp;" T-Shirts")), "")</f>
        <v>1 T-Shirt</v>
      </c>
      <c r="E21" s="4" t="str">
        <f>Registered!AT51</f>
        <v>L</v>
      </c>
      <c r="F21" s="4" t="str">
        <f>Registered!AU51</f>
        <v/>
      </c>
      <c r="G21" s="4" t="str">
        <f>Registered!AW51</f>
        <v>1 Meal</v>
      </c>
      <c r="H21" s="4" t="str">
        <f>Registered!AX51</f>
        <v/>
      </c>
      <c r="I21" s="4" t="str">
        <f>Registered!AY51</f>
        <v/>
      </c>
    </row>
    <row r="22" spans="1:9" x14ac:dyDescent="0.25">
      <c r="A22" s="4" t="str">
        <f>Registered!B54</f>
        <v>Andersen</v>
      </c>
      <c r="B22" s="4" t="str">
        <f>Registered!A54</f>
        <v>Tori</v>
      </c>
      <c r="C22" s="4" t="str">
        <f>IF(Registered!AR54&gt;0,Registered!AR54&amp;" Color Bags", "")</f>
        <v>5 Color Bags</v>
      </c>
      <c r="D22" s="4" t="str">
        <f>IF(Registered!AS54&gt;0,(IF(Registered!AS54=1,Registered!AS54&amp;" T-Shirt",Registered!AS54&amp;" T-Shirts")), "")</f>
        <v/>
      </c>
      <c r="E22" s="4" t="str">
        <f>Registered!AT54</f>
        <v/>
      </c>
      <c r="F22" s="4" t="str">
        <f>Registered!AU54</f>
        <v/>
      </c>
      <c r="G22" s="4" t="str">
        <f>Registered!AW54</f>
        <v/>
      </c>
      <c r="H22" s="4" t="str">
        <f>Registered!AX54</f>
        <v/>
      </c>
      <c r="I22" s="4" t="str">
        <f>Registered!AY54</f>
        <v/>
      </c>
    </row>
    <row r="23" spans="1:9" x14ac:dyDescent="0.25">
      <c r="A23" s="4" t="str">
        <f>Registered!B58</f>
        <v>Anderson</v>
      </c>
      <c r="B23" s="4" t="str">
        <f>Registered!A58</f>
        <v>Carson</v>
      </c>
      <c r="C23" s="4" t="str">
        <f>IF(Registered!AR58&gt;0,Registered!AR58&amp;" Color Bags", "")</f>
        <v>10 Color Bags</v>
      </c>
      <c r="D23" s="4" t="str">
        <f>IF(Registered!AS58&gt;0,(IF(Registered!AS58=1,Registered!AS58&amp;" T-Shirt",Registered!AS58&amp;" T-Shirts")), "")</f>
        <v/>
      </c>
      <c r="E23" s="4" t="str">
        <f>Registered!AT58</f>
        <v/>
      </c>
      <c r="F23" s="4" t="str">
        <f>Registered!AU58</f>
        <v/>
      </c>
      <c r="G23" s="4" t="str">
        <f>Registered!AW58</f>
        <v/>
      </c>
      <c r="H23" s="4" t="str">
        <f>Registered!AX58</f>
        <v/>
      </c>
      <c r="I23" s="4" t="str">
        <f>Registered!AY58</f>
        <v/>
      </c>
    </row>
    <row r="24" spans="1:9" x14ac:dyDescent="0.25">
      <c r="A24" s="4" t="str">
        <f>Registered!B68</f>
        <v>Anderson</v>
      </c>
      <c r="B24" s="4" t="str">
        <f>Registered!A68</f>
        <v>Kelley</v>
      </c>
      <c r="C24" s="4" t="str">
        <f>IF(Registered!AR68&gt;0,Registered!AR68&amp;" Color Bags", "")</f>
        <v>10 Color Bags</v>
      </c>
      <c r="D24" s="4" t="str">
        <f>IF(Registered!AS68&gt;0,(IF(Registered!AS68=1,Registered!AS68&amp;" T-Shirt",Registered!AS68&amp;" T-Shirts")), "")</f>
        <v>2 T-Shirts</v>
      </c>
      <c r="E24" s="4" t="str">
        <f>Registered!AT68</f>
        <v>2 Large</v>
      </c>
      <c r="F24" s="4" t="str">
        <f>Registered!AU68</f>
        <v/>
      </c>
      <c r="G24" s="4" t="str">
        <f>Registered!AW68</f>
        <v/>
      </c>
      <c r="H24" s="4" t="str">
        <f>Registered!AX68</f>
        <v/>
      </c>
      <c r="I24" s="4" t="str">
        <f>Registered!AY68</f>
        <v/>
      </c>
    </row>
    <row r="25" spans="1:9" x14ac:dyDescent="0.25">
      <c r="A25" s="4" t="str">
        <f>Registered!B80</f>
        <v>Anderson</v>
      </c>
      <c r="B25" s="4" t="str">
        <f>Registered!A80</f>
        <v>Zana</v>
      </c>
      <c r="C25" s="4" t="str">
        <f>IF(Registered!AR80&gt;0,Registered!AR80&amp;" Color Bags", "")</f>
        <v>10 Color Bags</v>
      </c>
      <c r="D25" s="4" t="str">
        <f>IF(Registered!AS80&gt;0,(IF(Registered!AS80=1,Registered!AS80&amp;" T-Shirt",Registered!AS80&amp;" T-Shirts")), "")</f>
        <v/>
      </c>
      <c r="E25" s="4" t="str">
        <f>Registered!AT80</f>
        <v/>
      </c>
      <c r="F25" s="4" t="str">
        <f>Registered!AU80</f>
        <v>1 Bandana</v>
      </c>
      <c r="G25" s="4" t="str">
        <f>Registered!AW80</f>
        <v>2 Meals</v>
      </c>
      <c r="H25" s="4" t="str">
        <f>Registered!AX80</f>
        <v/>
      </c>
      <c r="I25" s="4" t="str">
        <f>Registered!AY80</f>
        <v/>
      </c>
    </row>
    <row r="26" spans="1:9" x14ac:dyDescent="0.25">
      <c r="A26" s="4" t="str">
        <f>Registered!B64</f>
        <v>Anderson</v>
      </c>
      <c r="B26" s="4" t="str">
        <f>Registered!A64</f>
        <v>Jennifer</v>
      </c>
      <c r="C26" s="4" t="str">
        <f>IF(Registered!AR64&gt;0,Registered!AR64&amp;" Color Bags", "")</f>
        <v>25 Color Bags</v>
      </c>
      <c r="D26" s="4" t="str">
        <f>IF(Registered!AS64&gt;0,(IF(Registered!AS64=1,Registered!AS64&amp;" T-Shirt",Registered!AS64&amp;" T-Shirts")), "")</f>
        <v>5 T-Shirts</v>
      </c>
      <c r="E26" s="4" t="str">
        <f>Registered!AT64</f>
        <v>S, M, M, XXL, XXL</v>
      </c>
      <c r="F26" s="4" t="str">
        <f>Registered!AU64</f>
        <v/>
      </c>
      <c r="G26" s="4" t="str">
        <f>Registered!AW64</f>
        <v>5 Meals</v>
      </c>
      <c r="H26" s="4" t="str">
        <f>Registered!AX64</f>
        <v/>
      </c>
      <c r="I26" s="4" t="str">
        <f>Registered!AY64</f>
        <v/>
      </c>
    </row>
    <row r="27" spans="1:9" x14ac:dyDescent="0.25">
      <c r="A27" s="4" t="str">
        <f>Registered!B57</f>
        <v>Anderson</v>
      </c>
      <c r="B27" s="4" t="str">
        <f>Registered!A57</f>
        <v>Bailie</v>
      </c>
      <c r="C27" s="4" t="str">
        <f>IF(Registered!AR57&gt;0,Registered!AR57&amp;" Color Bags", "")</f>
        <v>5 Color Bags</v>
      </c>
      <c r="D27" s="4" t="str">
        <f>IF(Registered!AS57&gt;0,(IF(Registered!AS57=1,Registered!AS57&amp;" T-Shirt",Registered!AS57&amp;" T-Shirts")), "")</f>
        <v/>
      </c>
      <c r="E27" s="4" t="str">
        <f>Registered!AT57</f>
        <v/>
      </c>
      <c r="F27" s="4" t="str">
        <f>Registered!AU57</f>
        <v/>
      </c>
      <c r="G27" s="4" t="str">
        <f>Registered!AW57</f>
        <v/>
      </c>
      <c r="H27" s="4" t="str">
        <f>Registered!AX57</f>
        <v/>
      </c>
      <c r="I27" s="4" t="str">
        <f>Registered!AY57</f>
        <v/>
      </c>
    </row>
    <row r="28" spans="1:9" x14ac:dyDescent="0.25">
      <c r="A28" s="4" t="str">
        <f>Registered!B71</f>
        <v>Anderson</v>
      </c>
      <c r="B28" s="4" t="str">
        <f>Registered!A71</f>
        <v>Megan</v>
      </c>
      <c r="C28" s="4" t="str">
        <f>IF(Registered!AR71&gt;0,Registered!AR71&amp;" Color Bags", "")</f>
        <v>5 Color Bags</v>
      </c>
      <c r="D28" s="4" t="str">
        <f>IF(Registered!AS71&gt;0,(IF(Registered!AS71=1,Registered!AS71&amp;" T-Shirt",Registered!AS71&amp;" T-Shirts")), "")</f>
        <v/>
      </c>
      <c r="E28" s="4" t="str">
        <f>Registered!AT71</f>
        <v/>
      </c>
      <c r="F28" s="4" t="str">
        <f>Registered!AU71</f>
        <v/>
      </c>
      <c r="G28" s="4" t="str">
        <f>Registered!AW71</f>
        <v/>
      </c>
      <c r="H28" s="4" t="str">
        <f>Registered!AX71</f>
        <v/>
      </c>
      <c r="I28" s="4" t="str">
        <f>Registered!AY71</f>
        <v/>
      </c>
    </row>
    <row r="29" spans="1:9" x14ac:dyDescent="0.25">
      <c r="A29" s="4" t="str">
        <f>Registered!B76</f>
        <v>Anderson</v>
      </c>
      <c r="B29" s="4" t="str">
        <f>Registered!A76</f>
        <v>Sarah</v>
      </c>
      <c r="C29" s="4" t="str">
        <f>IF(Registered!AR76&gt;0,Registered!AR76&amp;" Color Bags", "")</f>
        <v>5 Color Bags</v>
      </c>
      <c r="D29" s="4" t="str">
        <f>IF(Registered!AS76&gt;0,(IF(Registered!AS76=1,Registered!AS76&amp;" T-Shirt",Registered!AS76&amp;" T-Shirts")), "")</f>
        <v>2 T-Shirts</v>
      </c>
      <c r="E29" s="4" t="str">
        <f>Registered!AT76</f>
        <v>1 Ladies Small 1 Mens Medium</v>
      </c>
      <c r="F29" s="4" t="str">
        <f>Registered!AU76</f>
        <v/>
      </c>
      <c r="G29" s="4" t="str">
        <f>Registered!AW76</f>
        <v/>
      </c>
      <c r="H29" s="4" t="str">
        <f>Registered!AX76</f>
        <v/>
      </c>
      <c r="I29" s="4" t="str">
        <f>Registered!AY76</f>
        <v/>
      </c>
    </row>
    <row r="30" spans="1:9" x14ac:dyDescent="0.25">
      <c r="A30" s="4" t="str">
        <f>Registered!B78</f>
        <v>Anderson</v>
      </c>
      <c r="B30" s="4" t="str">
        <f>Registered!A78</f>
        <v>Tucker</v>
      </c>
      <c r="C30" s="4" t="str">
        <f>IF(Registered!AR78&gt;0,Registered!AR78&amp;" Color Bags", "")</f>
        <v>5 Color Bags</v>
      </c>
      <c r="D30" s="4" t="str">
        <f>IF(Registered!AS78&gt;0,(IF(Registered!AS78=1,Registered!AS78&amp;" T-Shirt",Registered!AS78&amp;" T-Shirts")), "")</f>
        <v/>
      </c>
      <c r="E30" s="4" t="str">
        <f>Registered!AT78</f>
        <v/>
      </c>
      <c r="F30" s="4" t="str">
        <f>Registered!AU78</f>
        <v/>
      </c>
      <c r="G30" s="4" t="str">
        <f>Registered!AW78</f>
        <v/>
      </c>
      <c r="H30" s="4" t="str">
        <f>Registered!AX78</f>
        <v/>
      </c>
      <c r="I30" s="4" t="str">
        <f>Registered!AY78</f>
        <v/>
      </c>
    </row>
    <row r="31" spans="1:9" x14ac:dyDescent="0.25">
      <c r="A31" s="4" t="str">
        <f>Registered!B81</f>
        <v>Antezana</v>
      </c>
      <c r="B31" s="4" t="str">
        <f>Registered!A81</f>
        <v>Carla</v>
      </c>
      <c r="C31" s="4" t="str">
        <f>IF(Registered!AR81&gt;0,Registered!AR81&amp;" Color Bags", "")</f>
        <v>5 Color Bags</v>
      </c>
      <c r="D31" s="4" t="str">
        <f>IF(Registered!AS81&gt;0,(IF(Registered!AS81=1,Registered!AS81&amp;" T-Shirt",Registered!AS81&amp;" T-Shirts")), "")</f>
        <v/>
      </c>
      <c r="E31" s="4" t="str">
        <f>Registered!AT81</f>
        <v/>
      </c>
      <c r="F31" s="4" t="str">
        <f>Registered!AU81</f>
        <v/>
      </c>
      <c r="G31" s="4" t="str">
        <f>Registered!AW81</f>
        <v/>
      </c>
      <c r="H31" s="4" t="str">
        <f>Registered!AX81</f>
        <v/>
      </c>
      <c r="I31" s="4" t="str">
        <f>Registered!AY81</f>
        <v/>
      </c>
    </row>
    <row r="32" spans="1:9" x14ac:dyDescent="0.25">
      <c r="A32" s="4" t="str">
        <f>Registered!B86</f>
        <v>Appleton</v>
      </c>
      <c r="B32" s="4" t="str">
        <f>Registered!A86</f>
        <v>Jennifer</v>
      </c>
      <c r="C32" s="4" t="str">
        <f>IF(Registered!AR86&gt;0,Registered!AR86&amp;" Color Bags", "")</f>
        <v>10 Color Bags</v>
      </c>
      <c r="D32" s="4" t="str">
        <f>IF(Registered!AS86&gt;0,(IF(Registered!AS86=1,Registered!AS86&amp;" T-Shirt",Registered!AS86&amp;" T-Shirts")), "")</f>
        <v/>
      </c>
      <c r="E32" s="4" t="str">
        <f>Registered!AT86</f>
        <v/>
      </c>
      <c r="F32" s="4" t="str">
        <f>Registered!AU86</f>
        <v/>
      </c>
      <c r="G32" s="4" t="str">
        <f>Registered!AW86</f>
        <v/>
      </c>
      <c r="H32" s="4" t="str">
        <f>Registered!AX86</f>
        <v/>
      </c>
      <c r="I32" s="4" t="str">
        <f>Registered!AY86</f>
        <v/>
      </c>
    </row>
    <row r="33" spans="1:9" x14ac:dyDescent="0.25">
      <c r="A33" s="4" t="str">
        <f>Registered!B87</f>
        <v>Aragoneses Arguelles</v>
      </c>
      <c r="B33" s="4" t="str">
        <f>Registered!A87</f>
        <v>Adolfo Guillermo</v>
      </c>
      <c r="C33" s="4" t="str">
        <f>IF(Registered!AR87&gt;0,Registered!AR87&amp;" Color Bags", "")</f>
        <v>10 Color Bags</v>
      </c>
      <c r="D33" s="4" t="str">
        <f>IF(Registered!AS87&gt;0,(IF(Registered!AS87=1,Registered!AS87&amp;" T-Shirt",Registered!AS87&amp;" T-Shirts")), "")</f>
        <v>1 T-Shirt</v>
      </c>
      <c r="E33" s="4" t="str">
        <f>Registered!AT87</f>
        <v>XXL</v>
      </c>
      <c r="F33" s="4" t="str">
        <f>Registered!AU87</f>
        <v/>
      </c>
      <c r="G33" s="4" t="str">
        <f>Registered!AW87</f>
        <v>1 Meal</v>
      </c>
      <c r="H33" s="4" t="str">
        <f>Registered!AX87</f>
        <v/>
      </c>
      <c r="I33" s="4" t="str">
        <f>Registered!AY87</f>
        <v/>
      </c>
    </row>
    <row r="34" spans="1:9" x14ac:dyDescent="0.25">
      <c r="A34" s="4" t="str">
        <f>Registered!B89</f>
        <v>Archibald</v>
      </c>
      <c r="B34" s="4" t="str">
        <f>Registered!A89</f>
        <v>Chelsi</v>
      </c>
      <c r="C34" s="4" t="str">
        <f>IF(Registered!AR89&gt;0,Registered!AR89&amp;" Color Bags", "")</f>
        <v>10 Color Bags</v>
      </c>
      <c r="D34" s="4" t="str">
        <f>IF(Registered!AS89&gt;0,(IF(Registered!AS89=1,Registered!AS89&amp;" T-Shirt",Registered!AS89&amp;" T-Shirts")), "")</f>
        <v/>
      </c>
      <c r="E34" s="4" t="str">
        <f>Registered!AT89</f>
        <v/>
      </c>
      <c r="F34" s="4" t="str">
        <f>Registered!AU89</f>
        <v/>
      </c>
      <c r="G34" s="4" t="str">
        <f>Registered!AW89</f>
        <v/>
      </c>
      <c r="H34" s="4" t="str">
        <f>Registered!AX89</f>
        <v/>
      </c>
      <c r="I34" s="4" t="str">
        <f>Registered!AY89</f>
        <v/>
      </c>
    </row>
    <row r="35" spans="1:9" x14ac:dyDescent="0.25">
      <c r="A35" s="4" t="str">
        <f>Registered!B93</f>
        <v>Arnold</v>
      </c>
      <c r="B35" s="4" t="str">
        <f>Registered!A93</f>
        <v>Danielle</v>
      </c>
      <c r="C35" s="4" t="str">
        <f>IF(Registered!AR93&gt;0,Registered!AR93&amp;" Color Bags", "")</f>
        <v>5 Color Bags</v>
      </c>
      <c r="D35" s="4" t="str">
        <f>IF(Registered!AS93&gt;0,(IF(Registered!AS93=1,Registered!AS93&amp;" T-Shirt",Registered!AS93&amp;" T-Shirts")), "")</f>
        <v>1 T-Shirt</v>
      </c>
      <c r="E35" s="4" t="str">
        <f>Registered!AT93</f>
        <v>Small</v>
      </c>
      <c r="F35" s="4" t="str">
        <f>Registered!AU93</f>
        <v>2 Bandanas</v>
      </c>
      <c r="G35" s="4" t="str">
        <f>Registered!AW93</f>
        <v/>
      </c>
      <c r="H35" s="4" t="str">
        <f>Registered!AX93</f>
        <v/>
      </c>
      <c r="I35" s="4" t="str">
        <f>Registered!AY93</f>
        <v/>
      </c>
    </row>
    <row r="36" spans="1:9" x14ac:dyDescent="0.25">
      <c r="A36" s="4" t="str">
        <f>Registered!B95</f>
        <v>Arnovitz</v>
      </c>
      <c r="B36" s="4" t="str">
        <f>Registered!A95</f>
        <v>Sonya</v>
      </c>
      <c r="C36" s="4" t="str">
        <f>IF(Registered!AR95&gt;0,Registered!AR95&amp;" Color Bags", "")</f>
        <v>20 Color Bags</v>
      </c>
      <c r="D36" s="4" t="str">
        <f>IF(Registered!AS95&gt;0,(IF(Registered!AS95=1,Registered!AS95&amp;" T-Shirt",Registered!AS95&amp;" T-Shirts")), "")</f>
        <v/>
      </c>
      <c r="E36" s="4" t="str">
        <f>Registered!AT95</f>
        <v/>
      </c>
      <c r="F36" s="4" t="str">
        <f>Registered!AU95</f>
        <v/>
      </c>
      <c r="G36" s="4" t="str">
        <f>Registered!AW95</f>
        <v>4 Meals</v>
      </c>
      <c r="H36" s="4" t="str">
        <f>Registered!AX95</f>
        <v/>
      </c>
      <c r="I36" s="4" t="str">
        <f>Registered!AY95</f>
        <v/>
      </c>
    </row>
    <row r="37" spans="1:9" x14ac:dyDescent="0.25">
      <c r="A37" s="4" t="str">
        <f>Registered!B99</f>
        <v>Astin</v>
      </c>
      <c r="B37" s="4" t="str">
        <f>Registered!A99</f>
        <v>Amber</v>
      </c>
      <c r="C37" s="4" t="str">
        <f>IF(Registered!AR99&gt;0,Registered!AR99&amp;" Color Bags", "")</f>
        <v>20 Color Bags</v>
      </c>
      <c r="D37" s="4" t="str">
        <f>IF(Registered!AS99&gt;0,(IF(Registered!AS99=1,Registered!AS99&amp;" T-Shirt",Registered!AS99&amp;" T-Shirts")), "")</f>
        <v/>
      </c>
      <c r="E37" s="4" t="str">
        <f>Registered!AT99</f>
        <v/>
      </c>
      <c r="F37" s="4" t="str">
        <f>Registered!AU99</f>
        <v/>
      </c>
      <c r="G37" s="4" t="str">
        <f>Registered!AW99</f>
        <v>3 Meals</v>
      </c>
      <c r="H37" s="4" t="str">
        <f>Registered!AX99</f>
        <v/>
      </c>
      <c r="I37" s="4" t="str">
        <f>Registered!AY99</f>
        <v/>
      </c>
    </row>
    <row r="38" spans="1:9" x14ac:dyDescent="0.25">
      <c r="A38" s="4" t="str">
        <f>Registered!B102</f>
        <v>Austen</v>
      </c>
      <c r="B38" s="4" t="str">
        <f>Registered!A102</f>
        <v>Monica</v>
      </c>
      <c r="C38" s="4" t="str">
        <f>IF(Registered!AR102&gt;0,Registered!AR102&amp;" Color Bags", "")</f>
        <v>20 Color Bags</v>
      </c>
      <c r="D38" s="4" t="str">
        <f>IF(Registered!AS102&gt;0,(IF(Registered!AS102=1,Registered!AS102&amp;" T-Shirt",Registered!AS102&amp;" T-Shirts")), "")</f>
        <v/>
      </c>
      <c r="E38" s="4" t="str">
        <f>Registered!AT102</f>
        <v/>
      </c>
      <c r="F38" s="4" t="str">
        <f>Registered!AU102</f>
        <v/>
      </c>
      <c r="G38" s="4" t="str">
        <f>Registered!AW102</f>
        <v/>
      </c>
      <c r="H38" s="4" t="str">
        <f>Registered!AX102</f>
        <v/>
      </c>
      <c r="I38" s="4" t="str">
        <f>Registered!AY102</f>
        <v/>
      </c>
    </row>
    <row r="39" spans="1:9" x14ac:dyDescent="0.25">
      <c r="A39" s="4" t="str">
        <f>Registered!B103</f>
        <v>Austin</v>
      </c>
      <c r="B39" s="4" t="str">
        <f>Registered!A103</f>
        <v>Sandi</v>
      </c>
      <c r="C39" s="4" t="str">
        <f>IF(Registered!AR103&gt;0,Registered!AR103&amp;" Color Bags", "")</f>
        <v>20 Color Bags</v>
      </c>
      <c r="D39" s="4" t="str">
        <f>IF(Registered!AS103&gt;0,(IF(Registered!AS103=1,Registered!AS103&amp;" T-Shirt",Registered!AS103&amp;" T-Shirts")), "")</f>
        <v/>
      </c>
      <c r="E39" s="4" t="str">
        <f>Registered!AT103</f>
        <v/>
      </c>
      <c r="F39" s="4" t="str">
        <f>Registered!AU103</f>
        <v/>
      </c>
      <c r="G39" s="4" t="str">
        <f>Registered!AW103</f>
        <v/>
      </c>
      <c r="H39" s="4" t="str">
        <f>Registered!AX103</f>
        <v/>
      </c>
      <c r="I39" s="4" t="str">
        <f>Registered!AY103</f>
        <v/>
      </c>
    </row>
    <row r="40" spans="1:9" x14ac:dyDescent="0.25">
      <c r="A40" s="4" t="str">
        <f>Registered!B105</f>
        <v>Averett</v>
      </c>
      <c r="B40" s="4" t="str">
        <f>Registered!A105</f>
        <v>Amie</v>
      </c>
      <c r="C40" s="4" t="str">
        <f>IF(Registered!AR105&gt;0,Registered!AR105&amp;" Color Bags", "")</f>
        <v>20 Color Bags</v>
      </c>
      <c r="D40" s="4" t="str">
        <f>IF(Registered!AS105&gt;0,(IF(Registered!AS105=1,Registered!AS105&amp;" T-Shirt",Registered!AS105&amp;" T-Shirts")), "")</f>
        <v/>
      </c>
      <c r="E40" s="4" t="str">
        <f>Registered!AT105</f>
        <v/>
      </c>
      <c r="F40" s="4" t="str">
        <f>Registered!AU105</f>
        <v/>
      </c>
      <c r="G40" s="4" t="str">
        <f>Registered!AW105</f>
        <v/>
      </c>
      <c r="H40" s="4" t="str">
        <f>Registered!AX105</f>
        <v/>
      </c>
      <c r="I40" s="4" t="str">
        <f>Registered!AY105</f>
        <v/>
      </c>
    </row>
    <row r="41" spans="1:9" x14ac:dyDescent="0.25">
      <c r="A41" s="4" t="str">
        <f>Registered!B107</f>
        <v>Avery</v>
      </c>
      <c r="B41" s="4" t="str">
        <f>Registered!A107</f>
        <v>Charlee</v>
      </c>
      <c r="C41" s="4" t="str">
        <f>IF(Registered!AR107&gt;0,Registered!AR107&amp;" Color Bags", "")</f>
        <v>10 Color Bags</v>
      </c>
      <c r="D41" s="4" t="str">
        <f>IF(Registered!AS107&gt;0,(IF(Registered!AS107=1,Registered!AS107&amp;" T-Shirt",Registered!AS107&amp;" T-Shirts")), "")</f>
        <v/>
      </c>
      <c r="E41" s="4" t="str">
        <f>Registered!AT107</f>
        <v/>
      </c>
      <c r="F41" s="4" t="str">
        <f>Registered!AU107</f>
        <v/>
      </c>
      <c r="G41" s="4" t="str">
        <f>Registered!AW107</f>
        <v/>
      </c>
      <c r="H41" s="4" t="str">
        <f>Registered!AX107</f>
        <v/>
      </c>
      <c r="I41" s="4" t="str">
        <f>Registered!AY107</f>
        <v/>
      </c>
    </row>
    <row r="42" spans="1:9" x14ac:dyDescent="0.25">
      <c r="A42" s="4" t="str">
        <f>Registered!B109</f>
        <v>Avila</v>
      </c>
      <c r="B42" s="4" t="str">
        <f>Registered!A109</f>
        <v>Miguel</v>
      </c>
      <c r="C42" s="4" t="str">
        <f>IF(Registered!AR109&gt;0,Registered!AR109&amp;" Color Bags", "")</f>
        <v>10 Color Bags</v>
      </c>
      <c r="D42" s="4" t="str">
        <f>IF(Registered!AS109&gt;0,(IF(Registered!AS109=1,Registered!AS109&amp;" T-Shirt",Registered!AS109&amp;" T-Shirts")), "")</f>
        <v/>
      </c>
      <c r="E42" s="4" t="str">
        <f>Registered!AT109</f>
        <v/>
      </c>
      <c r="F42" s="4" t="str">
        <f>Registered!AU109</f>
        <v/>
      </c>
      <c r="G42" s="4" t="str">
        <f>Registered!AW109</f>
        <v/>
      </c>
      <c r="H42" s="4" t="str">
        <f>Registered!AX109</f>
        <v/>
      </c>
      <c r="I42" s="4" t="str">
        <f>Registered!AY109</f>
        <v/>
      </c>
    </row>
    <row r="43" spans="1:9" x14ac:dyDescent="0.25">
      <c r="A43" s="4" t="str">
        <f>Registered!B112</f>
        <v>Babaran</v>
      </c>
      <c r="B43" s="4" t="str">
        <f>Registered!A112</f>
        <v>Dorothy Ann</v>
      </c>
      <c r="C43" s="4" t="str">
        <f>IF(Registered!AR112&gt;0,Registered!AR112&amp;" Color Bags", "")</f>
        <v>60 Color Bags</v>
      </c>
      <c r="D43" s="4" t="str">
        <f>IF(Registered!AS112&gt;0,(IF(Registered!AS112=1,Registered!AS112&amp;" T-Shirt",Registered!AS112&amp;" T-Shirts")), "")</f>
        <v/>
      </c>
      <c r="E43" s="4" t="str">
        <f>Registered!AT112</f>
        <v/>
      </c>
      <c r="F43" s="4" t="str">
        <f>Registered!AU112</f>
        <v/>
      </c>
      <c r="G43" s="4" t="str">
        <f>Registered!AW112</f>
        <v/>
      </c>
      <c r="H43" s="4" t="str">
        <f>Registered!AX112</f>
        <v/>
      </c>
      <c r="I43" s="4" t="str">
        <f>Registered!AY112</f>
        <v/>
      </c>
    </row>
    <row r="44" spans="1:9" x14ac:dyDescent="0.25">
      <c r="A44" s="4" t="str">
        <f>Registered!B113</f>
        <v>Baca</v>
      </c>
      <c r="B44" s="4" t="str">
        <f>Registered!A113</f>
        <v>Jenny</v>
      </c>
      <c r="C44" s="4" t="str">
        <f>IF(Registered!AR113&gt;0,Registered!AR113&amp;" Color Bags", "")</f>
        <v>5 Color Bags</v>
      </c>
      <c r="D44" s="4" t="str">
        <f>IF(Registered!AS113&gt;0,(IF(Registered!AS113=1,Registered!AS113&amp;" T-Shirt",Registered!AS113&amp;" T-Shirts")), "")</f>
        <v>1 T-Shirt</v>
      </c>
      <c r="E44" s="4" t="str">
        <f>Registered!AT113</f>
        <v>Medium</v>
      </c>
      <c r="F44" s="4" t="str">
        <f>Registered!AU113</f>
        <v/>
      </c>
      <c r="G44" s="4" t="str">
        <f>Registered!AW113</f>
        <v>1 Meal</v>
      </c>
      <c r="H44" s="4" t="str">
        <f>Registered!AX113</f>
        <v/>
      </c>
      <c r="I44" s="4" t="str">
        <f>Registered!AY113</f>
        <v/>
      </c>
    </row>
    <row r="45" spans="1:9" x14ac:dyDescent="0.25">
      <c r="A45" s="4" t="str">
        <f>Registered!B176</f>
        <v>BAhm</v>
      </c>
      <c r="B45" s="4" t="str">
        <f>Registered!A176</f>
        <v>Candice</v>
      </c>
      <c r="C45" s="4" t="str">
        <f>IF(Registered!AR176&gt;0,Registered!AR176&amp;" Color Bags", "")</f>
        <v>5 Color Bags</v>
      </c>
      <c r="D45" s="4" t="str">
        <f>IF(Registered!AS176&gt;0,(IF(Registered!AS176=1,Registered!AS176&amp;" T-Shirt",Registered!AS176&amp;" T-Shirts")), "")</f>
        <v/>
      </c>
      <c r="E45" s="4" t="str">
        <f>Registered!AT176</f>
        <v/>
      </c>
      <c r="F45" s="4" t="str">
        <f>Registered!AU176</f>
        <v/>
      </c>
      <c r="G45" s="4" t="str">
        <f>Registered!AW176</f>
        <v/>
      </c>
      <c r="H45" s="4" t="str">
        <f>Registered!AX176</f>
        <v/>
      </c>
      <c r="I45" s="4" t="str">
        <f>Registered!AY176</f>
        <v/>
      </c>
    </row>
    <row r="46" spans="1:9" x14ac:dyDescent="0.25">
      <c r="A46" s="4" t="str">
        <f>Registered!B124</f>
        <v>Bailey</v>
      </c>
      <c r="B46" s="4" t="str">
        <f>Registered!A124</f>
        <v>Kimberly</v>
      </c>
      <c r="C46" s="4" t="str">
        <f>IF(Registered!AR124&gt;0,Registered!AR124&amp;" Color Bags", "")</f>
        <v>10 Color Bags</v>
      </c>
      <c r="D46" s="4" t="str">
        <f>IF(Registered!AS124&gt;0,(IF(Registered!AS124=1,Registered!AS124&amp;" T-Shirt",Registered!AS124&amp;" T-Shirts")), "")</f>
        <v/>
      </c>
      <c r="E46" s="4" t="str">
        <f>Registered!AT124</f>
        <v/>
      </c>
      <c r="F46" s="4" t="str">
        <f>Registered!AU124</f>
        <v/>
      </c>
      <c r="G46" s="4" t="str">
        <f>Registered!AW124</f>
        <v/>
      </c>
      <c r="H46" s="4" t="str">
        <f>Registered!AX124</f>
        <v/>
      </c>
      <c r="I46" s="4" t="str">
        <f>Registered!AY124</f>
        <v/>
      </c>
    </row>
    <row r="47" spans="1:9" x14ac:dyDescent="0.25">
      <c r="A47" s="4" t="str">
        <f>Registered!B119</f>
        <v>Bailey</v>
      </c>
      <c r="B47" s="4" t="str">
        <f>Registered!A119</f>
        <v>Corey</v>
      </c>
      <c r="C47" s="4" t="str">
        <f>IF(Registered!AR119&gt;0,Registered!AR119&amp;" Color Bags", "")</f>
        <v>40 Color Bags</v>
      </c>
      <c r="D47" s="4" t="str">
        <f>IF(Registered!AS119&gt;0,(IF(Registered!AS119=1,Registered!AS119&amp;" T-Shirt",Registered!AS119&amp;" T-Shirts")), "")</f>
        <v/>
      </c>
      <c r="E47" s="4" t="str">
        <f>Registered!AT119</f>
        <v/>
      </c>
      <c r="F47" s="4" t="str">
        <f>Registered!AU119</f>
        <v/>
      </c>
      <c r="G47" s="4" t="str">
        <f>Registered!AW119</f>
        <v/>
      </c>
      <c r="H47" s="4" t="str">
        <f>Registered!AX119</f>
        <v/>
      </c>
      <c r="I47" s="4" t="str">
        <f>Registered!AY119</f>
        <v/>
      </c>
    </row>
    <row r="48" spans="1:9" x14ac:dyDescent="0.25">
      <c r="A48" s="4" t="str">
        <f>Registered!B127</f>
        <v>Baker</v>
      </c>
      <c r="B48" s="4" t="str">
        <f>Registered!A127</f>
        <v>Ali</v>
      </c>
      <c r="C48" s="4" t="str">
        <f>IF(Registered!AR127&gt;0,Registered!AR127&amp;" Color Bags", "")</f>
        <v>10 Color Bags</v>
      </c>
      <c r="D48" s="4" t="str">
        <f>IF(Registered!AS127&gt;0,(IF(Registered!AS127=1,Registered!AS127&amp;" T-Shirt",Registered!AS127&amp;" T-Shirts")), "")</f>
        <v/>
      </c>
      <c r="E48" s="4" t="str">
        <f>Registered!AT127</f>
        <v/>
      </c>
      <c r="F48" s="4" t="str">
        <f>Registered!AU127</f>
        <v/>
      </c>
      <c r="G48" s="4" t="str">
        <f>Registered!AW127</f>
        <v/>
      </c>
      <c r="H48" s="4" t="str">
        <f>Registered!AX127</f>
        <v/>
      </c>
      <c r="I48" s="4" t="str">
        <f>Registered!AY127</f>
        <v/>
      </c>
    </row>
    <row r="49" spans="1:9" x14ac:dyDescent="0.25">
      <c r="A49" s="4" t="str">
        <f>Registered!B132</f>
        <v>Bale</v>
      </c>
      <c r="B49" s="4" t="str">
        <f>Registered!A132</f>
        <v>Bristol</v>
      </c>
      <c r="C49" s="4" t="str">
        <f>IF(Registered!AR132&gt;0,Registered!AR132&amp;" Color Bags", "")</f>
        <v>20 Color Bags</v>
      </c>
      <c r="D49" s="4" t="str">
        <f>IF(Registered!AS132&gt;0,(IF(Registered!AS132=1,Registered!AS132&amp;" T-Shirt",Registered!AS132&amp;" T-Shirts")), "")</f>
        <v/>
      </c>
      <c r="E49" s="4" t="str">
        <f>Registered!AT132</f>
        <v/>
      </c>
      <c r="F49" s="4" t="str">
        <f>Registered!AU132</f>
        <v/>
      </c>
      <c r="G49" s="4" t="str">
        <f>Registered!AW132</f>
        <v/>
      </c>
      <c r="H49" s="4" t="str">
        <f>Registered!AX132</f>
        <v/>
      </c>
      <c r="I49" s="4" t="str">
        <f>Registered!AY132</f>
        <v/>
      </c>
    </row>
    <row r="50" spans="1:9" x14ac:dyDescent="0.25">
      <c r="A50" s="4" t="str">
        <f>Registered!B134</f>
        <v>Ballard</v>
      </c>
      <c r="B50" s="4" t="str">
        <f>Registered!A134</f>
        <v>Shannon</v>
      </c>
      <c r="C50" s="4" t="str">
        <f>IF(Registered!AR134&gt;0,Registered!AR134&amp;" Color Bags", "")</f>
        <v>5 Color Bags</v>
      </c>
      <c r="D50" s="4" t="str">
        <f>IF(Registered!AS134&gt;0,(IF(Registered!AS134=1,Registered!AS134&amp;" T-Shirt",Registered!AS134&amp;" T-Shirts")), "")</f>
        <v/>
      </c>
      <c r="E50" s="4" t="str">
        <f>Registered!AT134</f>
        <v/>
      </c>
      <c r="F50" s="4" t="str">
        <f>Registered!AU134</f>
        <v/>
      </c>
      <c r="G50" s="4" t="str">
        <f>Registered!AW134</f>
        <v/>
      </c>
      <c r="H50" s="4" t="str">
        <f>Registered!AX134</f>
        <v/>
      </c>
      <c r="I50" s="4" t="str">
        <f>Registered!AY134</f>
        <v/>
      </c>
    </row>
    <row r="51" spans="1:9" x14ac:dyDescent="0.25">
      <c r="A51" s="4" t="str">
        <f>Registered!B135</f>
        <v>Bangerter</v>
      </c>
      <c r="B51" s="4" t="str">
        <f>Registered!A135</f>
        <v>Brenna</v>
      </c>
      <c r="C51" s="4" t="str">
        <f>IF(Registered!AR135&gt;0,Registered!AR135&amp;" Color Bags", "")</f>
        <v>5 Color Bags</v>
      </c>
      <c r="D51" s="4" t="str">
        <f>IF(Registered!AS135&gt;0,(IF(Registered!AS135=1,Registered!AS135&amp;" T-Shirt",Registered!AS135&amp;" T-Shirts")), "")</f>
        <v/>
      </c>
      <c r="E51" s="4" t="str">
        <f>Registered!AT135</f>
        <v/>
      </c>
      <c r="F51" s="4" t="str">
        <f>Registered!AU135</f>
        <v/>
      </c>
      <c r="G51" s="4" t="str">
        <f>Registered!AW135</f>
        <v/>
      </c>
      <c r="H51" s="4" t="str">
        <f>Registered!AX135</f>
        <v/>
      </c>
      <c r="I51" s="4" t="str">
        <f>Registered!AY135</f>
        <v/>
      </c>
    </row>
    <row r="52" spans="1:9" x14ac:dyDescent="0.25">
      <c r="A52" s="4" t="str">
        <f>Registered!B136</f>
        <v>Banis</v>
      </c>
      <c r="B52" s="4" t="str">
        <f>Registered!A136</f>
        <v>Mychal</v>
      </c>
      <c r="C52" s="4" t="str">
        <f>IF(Registered!AR136&gt;0,Registered!AR136&amp;" Color Bags", "")</f>
        <v>10 Color Bags</v>
      </c>
      <c r="D52" s="4" t="str">
        <f>IF(Registered!AS136&gt;0,(IF(Registered!AS136=1,Registered!AS136&amp;" T-Shirt",Registered!AS136&amp;" T-Shirts")), "")</f>
        <v/>
      </c>
      <c r="E52" s="4" t="str">
        <f>Registered!AT136</f>
        <v/>
      </c>
      <c r="F52" s="4" t="str">
        <f>Registered!AU136</f>
        <v>1 Bandana</v>
      </c>
      <c r="G52" s="4" t="str">
        <f>Registered!AW136</f>
        <v/>
      </c>
      <c r="H52" s="4" t="str">
        <f>Registered!AX136</f>
        <v/>
      </c>
      <c r="I52" s="4" t="str">
        <f>Registered!AY136</f>
        <v/>
      </c>
    </row>
    <row r="53" spans="1:9" x14ac:dyDescent="0.25">
      <c r="A53" s="4" t="str">
        <f>Registered!B137</f>
        <v>Barber</v>
      </c>
      <c r="B53" s="4" t="str">
        <f>Registered!A137</f>
        <v>Andrea</v>
      </c>
      <c r="C53" s="4" t="str">
        <f>IF(Registered!AR137&gt;0,Registered!AR137&amp;" Color Bags", "")</f>
        <v>20 Color Bags</v>
      </c>
      <c r="D53" s="4" t="str">
        <f>IF(Registered!AS137&gt;0,(IF(Registered!AS137=1,Registered!AS137&amp;" T-Shirt",Registered!AS137&amp;" T-Shirts")), "")</f>
        <v/>
      </c>
      <c r="E53" s="4" t="str">
        <f>Registered!AT137</f>
        <v/>
      </c>
      <c r="F53" s="4" t="str">
        <f>Registered!AU137</f>
        <v/>
      </c>
      <c r="G53" s="4" t="str">
        <f>Registered!AW137</f>
        <v/>
      </c>
      <c r="H53" s="4" t="str">
        <f>Registered!AX137</f>
        <v/>
      </c>
      <c r="I53" s="4" t="str">
        <f>Registered!AY137</f>
        <v/>
      </c>
    </row>
    <row r="54" spans="1:9" x14ac:dyDescent="0.25">
      <c r="A54" s="4" t="str">
        <f>Registered!B143</f>
        <v>Barlow</v>
      </c>
      <c r="B54" s="4" t="str">
        <f>Registered!A143</f>
        <v>Mary</v>
      </c>
      <c r="C54" s="4" t="str">
        <f>IF(Registered!AR143&gt;0,Registered!AR143&amp;" Color Bags", "")</f>
        <v>20 Color Bags</v>
      </c>
      <c r="D54" s="4" t="str">
        <f>IF(Registered!AS143&gt;0,(IF(Registered!AS143=1,Registered!AS143&amp;" T-Shirt",Registered!AS143&amp;" T-Shirts")), "")</f>
        <v/>
      </c>
      <c r="E54" s="4" t="str">
        <f>Registered!AT143</f>
        <v/>
      </c>
      <c r="F54" s="4" t="str">
        <f>Registered!AU143</f>
        <v/>
      </c>
      <c r="G54" s="4" t="str">
        <f>Registered!AW143</f>
        <v/>
      </c>
      <c r="H54" s="4" t="str">
        <f>Registered!AX143</f>
        <v/>
      </c>
      <c r="I54" s="4" t="str">
        <f>Registered!AY143</f>
        <v/>
      </c>
    </row>
    <row r="55" spans="1:9" x14ac:dyDescent="0.25">
      <c r="A55" s="4" t="str">
        <f>Registered!B141</f>
        <v>Barlow</v>
      </c>
      <c r="B55" s="4" t="str">
        <f>Registered!A141</f>
        <v>Bonnie</v>
      </c>
      <c r="C55" s="4" t="str">
        <f>IF(Registered!AR141&gt;0,Registered!AR141&amp;" Color Bags", "")</f>
        <v>5 Color Bags</v>
      </c>
      <c r="D55" s="4" t="str">
        <f>IF(Registered!AS141&gt;0,(IF(Registered!AS141=1,Registered!AS141&amp;" T-Shirt",Registered!AS141&amp;" T-Shirts")), "")</f>
        <v/>
      </c>
      <c r="E55" s="4" t="str">
        <f>Registered!AT141</f>
        <v/>
      </c>
      <c r="F55" s="4" t="str">
        <f>Registered!AU141</f>
        <v/>
      </c>
      <c r="G55" s="4" t="str">
        <f>Registered!AW141</f>
        <v/>
      </c>
      <c r="H55" s="4" t="str">
        <f>Registered!AX141</f>
        <v/>
      </c>
      <c r="I55" s="4" t="str">
        <f>Registered!AY141</f>
        <v/>
      </c>
    </row>
    <row r="56" spans="1:9" x14ac:dyDescent="0.25">
      <c r="A56" s="4" t="str">
        <f>Registered!B142</f>
        <v>Barlow</v>
      </c>
      <c r="B56" s="4" t="str">
        <f>Registered!A142</f>
        <v>Elizabeth</v>
      </c>
      <c r="C56" s="4" t="str">
        <f>IF(Registered!AR142&gt;0,Registered!AR142&amp;" Color Bags", "")</f>
        <v>5 Color Bags</v>
      </c>
      <c r="D56" s="4" t="str">
        <f>IF(Registered!AS142&gt;0,(IF(Registered!AS142=1,Registered!AS142&amp;" T-Shirt",Registered!AS142&amp;" T-Shirts")), "")</f>
        <v/>
      </c>
      <c r="E56" s="4" t="str">
        <f>Registered!AT142</f>
        <v/>
      </c>
      <c r="F56" s="4" t="str">
        <f>Registered!AU142</f>
        <v/>
      </c>
      <c r="G56" s="4" t="str">
        <f>Registered!AW142</f>
        <v/>
      </c>
      <c r="H56" s="4" t="str">
        <f>Registered!AX142</f>
        <v/>
      </c>
      <c r="I56" s="4" t="str">
        <f>Registered!AY142</f>
        <v/>
      </c>
    </row>
    <row r="57" spans="1:9" x14ac:dyDescent="0.25">
      <c r="A57" s="4" t="str">
        <f>Registered!B149</f>
        <v>Barnes</v>
      </c>
      <c r="B57" s="4" t="str">
        <f>Registered!A149</f>
        <v>Sydney</v>
      </c>
      <c r="C57" s="4" t="str">
        <f>IF(Registered!AR149&gt;0,Registered!AR149&amp;" Color Bags", "")</f>
        <v>5 Color Bags</v>
      </c>
      <c r="D57" s="4" t="str">
        <f>IF(Registered!AS149&gt;0,(IF(Registered!AS149=1,Registered!AS149&amp;" T-Shirt",Registered!AS149&amp;" T-Shirts")), "")</f>
        <v/>
      </c>
      <c r="E57" s="4" t="str">
        <f>Registered!AT149</f>
        <v/>
      </c>
      <c r="F57" s="4" t="str">
        <f>Registered!AU149</f>
        <v/>
      </c>
      <c r="G57" s="4" t="str">
        <f>Registered!AW149</f>
        <v/>
      </c>
      <c r="H57" s="4" t="str">
        <f>Registered!AX149</f>
        <v/>
      </c>
      <c r="I57" s="4" t="str">
        <f>Registered!AY149</f>
        <v/>
      </c>
    </row>
    <row r="58" spans="1:9" x14ac:dyDescent="0.25">
      <c r="A58" s="4" t="str">
        <f>Registered!B152</f>
        <v>Barney</v>
      </c>
      <c r="B58" s="4" t="str">
        <f>Registered!A152</f>
        <v>Melissa</v>
      </c>
      <c r="C58" s="4" t="str">
        <f>IF(Registered!AR152&gt;0,Registered!AR152&amp;" Color Bags", "")</f>
        <v>10 Color Bags</v>
      </c>
      <c r="D58" s="4" t="str">
        <f>IF(Registered!AS152&gt;0,(IF(Registered!AS152=1,Registered!AS152&amp;" T-Shirt",Registered!AS152&amp;" T-Shirts")), "")</f>
        <v/>
      </c>
      <c r="E58" s="4" t="str">
        <f>Registered!AT152</f>
        <v/>
      </c>
      <c r="F58" s="4" t="str">
        <f>Registered!AU152</f>
        <v/>
      </c>
      <c r="G58" s="4" t="str">
        <f>Registered!AW152</f>
        <v/>
      </c>
      <c r="H58" s="4" t="str">
        <f>Registered!AX152</f>
        <v/>
      </c>
      <c r="I58" s="4" t="str">
        <f>Registered!AY152</f>
        <v/>
      </c>
    </row>
    <row r="59" spans="1:9" x14ac:dyDescent="0.25">
      <c r="A59" s="4" t="str">
        <f>Registered!B151</f>
        <v>Barney</v>
      </c>
      <c r="B59" s="4" t="str">
        <f>Registered!A151</f>
        <v>Madason</v>
      </c>
      <c r="C59" s="4" t="str">
        <f>IF(Registered!AR151&gt;0,Registered!AR151&amp;" Color Bags", "")</f>
        <v>20 Color Bags</v>
      </c>
      <c r="D59" s="4" t="str">
        <f>IF(Registered!AS151&gt;0,(IF(Registered!AS151=1,Registered!AS151&amp;" T-Shirt",Registered!AS151&amp;" T-Shirts")), "")</f>
        <v/>
      </c>
      <c r="E59" s="4" t="str">
        <f>Registered!AT151</f>
        <v/>
      </c>
      <c r="F59" s="4" t="str">
        <f>Registered!AU151</f>
        <v/>
      </c>
      <c r="G59" s="4" t="str">
        <f>Registered!AW151</f>
        <v/>
      </c>
      <c r="H59" s="4" t="str">
        <f>Registered!AX151</f>
        <v/>
      </c>
      <c r="I59" s="4" t="str">
        <f>Registered!AY151</f>
        <v/>
      </c>
    </row>
    <row r="60" spans="1:9" x14ac:dyDescent="0.25">
      <c r="A60" s="4" t="str">
        <f>Registered!B153</f>
        <v>Barrett</v>
      </c>
      <c r="B60" s="4" t="str">
        <f>Registered!A153</f>
        <v>Dawn</v>
      </c>
      <c r="C60" s="4" t="str">
        <f>IF(Registered!AR153&gt;0,Registered!AR153&amp;" Color Bags", "")</f>
        <v>20 Color Bags</v>
      </c>
      <c r="D60" s="4" t="str">
        <f>IF(Registered!AS153&gt;0,(IF(Registered!AS153=1,Registered!AS153&amp;" T-Shirt",Registered!AS153&amp;" T-Shirts")), "")</f>
        <v/>
      </c>
      <c r="E60" s="4" t="str">
        <f>Registered!AT153</f>
        <v/>
      </c>
      <c r="F60" s="4" t="str">
        <f>Registered!AU153</f>
        <v/>
      </c>
      <c r="G60" s="4" t="str">
        <f>Registered!AW153</f>
        <v/>
      </c>
      <c r="H60" s="4" t="str">
        <f>Registered!AX153</f>
        <v/>
      </c>
      <c r="I60" s="4" t="str">
        <f>Registered!AY153</f>
        <v/>
      </c>
    </row>
    <row r="61" spans="1:9" x14ac:dyDescent="0.25">
      <c r="A61" s="4" t="str">
        <f>Registered!B156</f>
        <v>Barrus</v>
      </c>
      <c r="B61" s="4" t="str">
        <f>Registered!A156</f>
        <v>CarrieAnne</v>
      </c>
      <c r="C61" s="4" t="str">
        <f>IF(Registered!AR156&gt;0,Registered!AR156&amp;" Color Bags", "")</f>
        <v>10 Color Bags</v>
      </c>
      <c r="D61" s="4" t="str">
        <f>IF(Registered!AS156&gt;0,(IF(Registered!AS156=1,Registered!AS156&amp;" T-Shirt",Registered!AS156&amp;" T-Shirts")), "")</f>
        <v/>
      </c>
      <c r="E61" s="4" t="str">
        <f>Registered!AT156</f>
        <v/>
      </c>
      <c r="F61" s="4" t="str">
        <f>Registered!AU156</f>
        <v/>
      </c>
      <c r="G61" s="4" t="str">
        <f>Registered!AW156</f>
        <v>3 Meals</v>
      </c>
      <c r="H61" s="4" t="str">
        <f>Registered!AX156</f>
        <v/>
      </c>
      <c r="I61" s="4" t="str">
        <f>Registered!AY156</f>
        <v/>
      </c>
    </row>
    <row r="62" spans="1:9" x14ac:dyDescent="0.25">
      <c r="A62" s="4" t="str">
        <f>Registered!B157</f>
        <v>Barrus</v>
      </c>
      <c r="B62" s="4" t="str">
        <f>Registered!A157</f>
        <v>Taylor</v>
      </c>
      <c r="C62" s="4" t="str">
        <f>IF(Registered!AR157&gt;0,Registered!AR157&amp;" Color Bags", "")</f>
        <v>10 Color Bags</v>
      </c>
      <c r="D62" s="4" t="str">
        <f>IF(Registered!AS157&gt;0,(IF(Registered!AS157=1,Registered!AS157&amp;" T-Shirt",Registered!AS157&amp;" T-Shirts")), "")</f>
        <v/>
      </c>
      <c r="E62" s="4" t="str">
        <f>Registered!AT157</f>
        <v/>
      </c>
      <c r="F62" s="4" t="str">
        <f>Registered!AU157</f>
        <v/>
      </c>
      <c r="G62" s="4" t="str">
        <f>Registered!AW157</f>
        <v/>
      </c>
      <c r="H62" s="4" t="str">
        <f>Registered!AX157</f>
        <v/>
      </c>
      <c r="I62" s="4" t="str">
        <f>Registered!AY157</f>
        <v/>
      </c>
    </row>
    <row r="63" spans="1:9" x14ac:dyDescent="0.25">
      <c r="A63" s="4" t="str">
        <f>Registered!B159</f>
        <v>Barry</v>
      </c>
      <c r="B63" s="4" t="str">
        <f>Registered!A159</f>
        <v>Shawn</v>
      </c>
      <c r="C63" s="4" t="str">
        <f>IF(Registered!AR159&gt;0,Registered!AR159&amp;" Color Bags", "")</f>
        <v>5 Color Bags</v>
      </c>
      <c r="D63" s="4" t="str">
        <f>IF(Registered!AS159&gt;0,(IF(Registered!AS159=1,Registered!AS159&amp;" T-Shirt",Registered!AS159&amp;" T-Shirts")), "")</f>
        <v>1 T-Shirt</v>
      </c>
      <c r="E63" s="4" t="str">
        <f>Registered!AT159</f>
        <v>XXXL</v>
      </c>
      <c r="F63" s="4" t="str">
        <f>Registered!AU159</f>
        <v/>
      </c>
      <c r="G63" s="4" t="str">
        <f>Registered!AW159</f>
        <v>1 Meal</v>
      </c>
      <c r="H63" s="4" t="str">
        <f>Registered!AX159</f>
        <v/>
      </c>
      <c r="I63" s="4" t="str">
        <f>Registered!AY159</f>
        <v/>
      </c>
    </row>
    <row r="64" spans="1:9" x14ac:dyDescent="0.25">
      <c r="A64" s="4" t="str">
        <f>Registered!B166</f>
        <v>Barton</v>
      </c>
      <c r="B64" s="4" t="str">
        <f>Registered!A166</f>
        <v>Jessica</v>
      </c>
      <c r="C64" s="4" t="str">
        <f>IF(Registered!AR166&gt;0,Registered!AR166&amp;" Color Bags", "")</f>
        <v>5 Color Bags</v>
      </c>
      <c r="D64" s="4" t="str">
        <f>IF(Registered!AS166&gt;0,(IF(Registered!AS166=1,Registered!AS166&amp;" T-Shirt",Registered!AS166&amp;" T-Shirts")), "")</f>
        <v/>
      </c>
      <c r="E64" s="4" t="str">
        <f>Registered!AT166</f>
        <v/>
      </c>
      <c r="F64" s="4" t="str">
        <f>Registered!AU166</f>
        <v/>
      </c>
      <c r="G64" s="4" t="str">
        <f>Registered!AW166</f>
        <v/>
      </c>
      <c r="H64" s="4" t="str">
        <f>Registered!AX166</f>
        <v/>
      </c>
      <c r="I64" s="4" t="str">
        <f>Registered!AY166</f>
        <v/>
      </c>
    </row>
    <row r="65" spans="1:9" x14ac:dyDescent="0.25">
      <c r="A65" s="4" t="str">
        <f>Registered!B170</f>
        <v>Bassett</v>
      </c>
      <c r="B65" s="4" t="str">
        <f>Registered!A170</f>
        <v>Allison</v>
      </c>
      <c r="C65" s="4" t="str">
        <f>IF(Registered!AR170&gt;0,Registered!AR170&amp;" Color Bags", "")</f>
        <v>10 Color Bags</v>
      </c>
      <c r="D65" s="4" t="str">
        <f>IF(Registered!AS170&gt;0,(IF(Registered!AS170=1,Registered!AS170&amp;" T-Shirt",Registered!AS170&amp;" T-Shirts")), "")</f>
        <v/>
      </c>
      <c r="E65" s="4" t="str">
        <f>Registered!AT170</f>
        <v/>
      </c>
      <c r="F65" s="4" t="str">
        <f>Registered!AU170</f>
        <v/>
      </c>
      <c r="G65" s="4" t="str">
        <f>Registered!AW170</f>
        <v/>
      </c>
      <c r="H65" s="4" t="str">
        <f>Registered!AX170</f>
        <v/>
      </c>
      <c r="I65" s="4" t="str">
        <f>Registered!AY170</f>
        <v/>
      </c>
    </row>
    <row r="66" spans="1:9" x14ac:dyDescent="0.25">
      <c r="A66" s="4" t="str">
        <f>Registered!B171</f>
        <v>Batista-Velez</v>
      </c>
      <c r="B66" s="4" t="str">
        <f>Registered!A171</f>
        <v>Carissa</v>
      </c>
      <c r="C66" s="4" t="str">
        <f>IF(Registered!AR171&gt;0,Registered!AR171&amp;" Color Bags", "")</f>
        <v>5 Color Bags</v>
      </c>
      <c r="D66" s="4" t="str">
        <f>IF(Registered!AS171&gt;0,(IF(Registered!AS171=1,Registered!AS171&amp;" T-Shirt",Registered!AS171&amp;" T-Shirts")), "")</f>
        <v/>
      </c>
      <c r="E66" s="4" t="str">
        <f>Registered!AT171</f>
        <v/>
      </c>
      <c r="F66" s="4" t="str">
        <f>Registered!AU171</f>
        <v/>
      </c>
      <c r="G66" s="4" t="str">
        <f>Registered!AW171</f>
        <v>2 Meals</v>
      </c>
      <c r="H66" s="4" t="str">
        <f>Registered!AX171</f>
        <v/>
      </c>
      <c r="I66" s="4" t="str">
        <f>Registered!AY171</f>
        <v/>
      </c>
    </row>
    <row r="67" spans="1:9" x14ac:dyDescent="0.25">
      <c r="A67" s="4" t="str">
        <f>Registered!B172</f>
        <v>Bauer</v>
      </c>
      <c r="B67" s="4" t="str">
        <f>Registered!A172</f>
        <v>Michelle</v>
      </c>
      <c r="C67" s="4" t="str">
        <f>IF(Registered!AR172&gt;0,Registered!AR172&amp;" Color Bags", "")</f>
        <v>10 Color Bags</v>
      </c>
      <c r="D67" s="4" t="str">
        <f>IF(Registered!AS172&gt;0,(IF(Registered!AS172=1,Registered!AS172&amp;" T-Shirt",Registered!AS172&amp;" T-Shirts")), "")</f>
        <v/>
      </c>
      <c r="E67" s="4" t="str">
        <f>Registered!AT172</f>
        <v/>
      </c>
      <c r="F67" s="4" t="str">
        <f>Registered!AU172</f>
        <v/>
      </c>
      <c r="G67" s="4" t="str">
        <f>Registered!AW172</f>
        <v/>
      </c>
      <c r="H67" s="4" t="str">
        <f>Registered!AX172</f>
        <v/>
      </c>
      <c r="I67" s="4" t="str">
        <f>Registered!AY172</f>
        <v/>
      </c>
    </row>
    <row r="68" spans="1:9" x14ac:dyDescent="0.25">
      <c r="A68" s="4" t="str">
        <f>Registered!B179</f>
        <v>Beal</v>
      </c>
      <c r="B68" s="4" t="str">
        <f>Registered!A179</f>
        <v>Tena</v>
      </c>
      <c r="C68" s="4" t="str">
        <f>IF(Registered!AR179&gt;0,Registered!AR179&amp;" Color Bags", "")</f>
        <v>5 Color Bags</v>
      </c>
      <c r="D68" s="4" t="str">
        <f>IF(Registered!AS179&gt;0,(IF(Registered!AS179=1,Registered!AS179&amp;" T-Shirt",Registered!AS179&amp;" T-Shirts")), "")</f>
        <v/>
      </c>
      <c r="E68" s="4" t="str">
        <f>Registered!AT179</f>
        <v/>
      </c>
      <c r="F68" s="4" t="str">
        <f>Registered!AU179</f>
        <v/>
      </c>
      <c r="G68" s="4" t="str">
        <f>Registered!AW179</f>
        <v/>
      </c>
      <c r="H68" s="4" t="str">
        <f>Registered!AX179</f>
        <v/>
      </c>
      <c r="I68" s="4" t="str">
        <f>Registered!AY179</f>
        <v/>
      </c>
    </row>
    <row r="69" spans="1:9" x14ac:dyDescent="0.25">
      <c r="A69" s="4" t="str">
        <f>Registered!B180</f>
        <v>Beard</v>
      </c>
      <c r="B69" s="4" t="str">
        <f>Registered!A180</f>
        <v>Lisa</v>
      </c>
      <c r="C69" s="4" t="str">
        <f>IF(Registered!AR180&gt;0,Registered!AR180&amp;" Color Bags", "")</f>
        <v>10 Color Bags</v>
      </c>
      <c r="D69" s="4" t="str">
        <f>IF(Registered!AS180&gt;0,(IF(Registered!AS180=1,Registered!AS180&amp;" T-Shirt",Registered!AS180&amp;" T-Shirts")), "")</f>
        <v/>
      </c>
      <c r="E69" s="4" t="str">
        <f>Registered!AT180</f>
        <v/>
      </c>
      <c r="F69" s="4" t="str">
        <f>Registered!AU180</f>
        <v/>
      </c>
      <c r="G69" s="4" t="str">
        <f>Registered!AW180</f>
        <v/>
      </c>
      <c r="H69" s="4" t="str">
        <f>Registered!AX180</f>
        <v/>
      </c>
      <c r="I69" s="4" t="str">
        <f>Registered!AY180</f>
        <v/>
      </c>
    </row>
    <row r="70" spans="1:9" x14ac:dyDescent="0.25">
      <c r="A70" s="4" t="str">
        <f>Registered!B183</f>
        <v>Beazer</v>
      </c>
      <c r="B70" s="4" t="str">
        <f>Registered!A183</f>
        <v>Spencer</v>
      </c>
      <c r="C70" s="4" t="str">
        <f>IF(Registered!AR183&gt;0,Registered!AR183&amp;" Color Bags", "")</f>
        <v>10 Color Bags</v>
      </c>
      <c r="D70" s="4" t="str">
        <f>IF(Registered!AS183&gt;0,(IF(Registered!AS183=1,Registered!AS183&amp;" T-Shirt",Registered!AS183&amp;" T-Shirts")), "")</f>
        <v/>
      </c>
      <c r="E70" s="4" t="str">
        <f>Registered!AT183</f>
        <v/>
      </c>
      <c r="F70" s="4" t="str">
        <f>Registered!AU183</f>
        <v/>
      </c>
      <c r="G70" s="4" t="str">
        <f>Registered!AW183</f>
        <v>2 Meals</v>
      </c>
      <c r="H70" s="4" t="str">
        <f>Registered!AX183</f>
        <v/>
      </c>
      <c r="I70" s="4" t="str">
        <f>Registered!AY183</f>
        <v>1 DustMask</v>
      </c>
    </row>
    <row r="71" spans="1:9" x14ac:dyDescent="0.25">
      <c r="A71" s="4" t="str">
        <f>Registered!B184</f>
        <v>Becerra</v>
      </c>
      <c r="B71" s="4" t="str">
        <f>Registered!A184</f>
        <v>Natalia</v>
      </c>
      <c r="C71" s="4" t="str">
        <f>IF(Registered!AR184&gt;0,Registered!AR184&amp;" Color Bags", "")</f>
        <v>10 Color Bags</v>
      </c>
      <c r="D71" s="4" t="str">
        <f>IF(Registered!AS184&gt;0,(IF(Registered!AS184=1,Registered!AS184&amp;" T-Shirt",Registered!AS184&amp;" T-Shirts")), "")</f>
        <v/>
      </c>
      <c r="E71" s="4" t="str">
        <f>Registered!AT184</f>
        <v/>
      </c>
      <c r="F71" s="4" t="str">
        <f>Registered!AU184</f>
        <v/>
      </c>
      <c r="G71" s="4" t="str">
        <f>Registered!AW184</f>
        <v/>
      </c>
      <c r="H71" s="4" t="str">
        <f>Registered!AX184</f>
        <v/>
      </c>
      <c r="I71" s="4" t="str">
        <f>Registered!AY184</f>
        <v/>
      </c>
    </row>
    <row r="72" spans="1:9" x14ac:dyDescent="0.25">
      <c r="A72" s="4" t="str">
        <f>Registered!B188</f>
        <v>Beecher</v>
      </c>
      <c r="B72" s="4" t="str">
        <f>Registered!A188</f>
        <v>Jennifer</v>
      </c>
      <c r="C72" s="4" t="str">
        <f>IF(Registered!AR188&gt;0,Registered!AR188&amp;" Color Bags", "")</f>
        <v>20 Color Bags</v>
      </c>
      <c r="D72" s="4" t="str">
        <f>IF(Registered!AS188&gt;0,(IF(Registered!AS188=1,Registered!AS188&amp;" T-Shirt",Registered!AS188&amp;" T-Shirts")), "")</f>
        <v/>
      </c>
      <c r="E72" s="4" t="str">
        <f>Registered!AT188</f>
        <v/>
      </c>
      <c r="F72" s="4" t="str">
        <f>Registered!AU188</f>
        <v/>
      </c>
      <c r="G72" s="4" t="str">
        <f>Registered!AW188</f>
        <v/>
      </c>
      <c r="H72" s="4" t="str">
        <f>Registered!AX188</f>
        <v/>
      </c>
      <c r="I72" s="4" t="str">
        <f>Registered!AY188</f>
        <v/>
      </c>
    </row>
    <row r="73" spans="1:9" x14ac:dyDescent="0.25">
      <c r="A73" s="4" t="str">
        <f>Registered!B193</f>
        <v>Behunin</v>
      </c>
      <c r="B73" s="4" t="str">
        <f>Registered!A193</f>
        <v>Sara</v>
      </c>
      <c r="C73" s="4" t="str">
        <f>IF(Registered!AR193&gt;0,Registered!AR193&amp;" Color Bags", "")</f>
        <v>5 Color Bags</v>
      </c>
      <c r="D73" s="4" t="str">
        <f>IF(Registered!AS193&gt;0,(IF(Registered!AS193=1,Registered!AS193&amp;" T-Shirt",Registered!AS193&amp;" T-Shirts")), "")</f>
        <v>1 T-Shirt</v>
      </c>
      <c r="E73" s="4" t="str">
        <f>Registered!AT193</f>
        <v>Medium Womens</v>
      </c>
      <c r="F73" s="4" t="str">
        <f>Registered!AU193</f>
        <v/>
      </c>
      <c r="G73" s="4" t="str">
        <f>Registered!AW193</f>
        <v>1 Meal</v>
      </c>
      <c r="H73" s="4" t="str">
        <f>Registered!AX193</f>
        <v/>
      </c>
      <c r="I73" s="4" t="str">
        <f>Registered!AY193</f>
        <v/>
      </c>
    </row>
    <row r="74" spans="1:9" x14ac:dyDescent="0.25">
      <c r="A74" s="4" t="str">
        <f>Registered!B198</f>
        <v>Benford</v>
      </c>
      <c r="B74" s="4" t="str">
        <f>Registered!A198</f>
        <v>Courtney</v>
      </c>
      <c r="C74" s="4" t="str">
        <f>IF(Registered!AR198&gt;0,Registered!AR198&amp;" Color Bags", "")</f>
        <v>15 Color Bags</v>
      </c>
      <c r="D74" s="4" t="str">
        <f>IF(Registered!AS198&gt;0,(IF(Registered!AS198=1,Registered!AS198&amp;" T-Shirt",Registered!AS198&amp;" T-Shirts")), "")</f>
        <v>3 T-Shirts</v>
      </c>
      <c r="E74" s="4" t="str">
        <f>Registered!AT198</f>
        <v>Small, Medium, and Large</v>
      </c>
      <c r="F74" s="4" t="str">
        <f>Registered!AU198</f>
        <v>3 Bandanas</v>
      </c>
      <c r="G74" s="4" t="str">
        <f>Registered!AW198</f>
        <v>3 Meals</v>
      </c>
      <c r="H74" s="4" t="str">
        <f>Registered!AX198</f>
        <v/>
      </c>
      <c r="I74" s="4" t="str">
        <f>Registered!AY198</f>
        <v/>
      </c>
    </row>
    <row r="75" spans="1:9" x14ac:dyDescent="0.25">
      <c r="A75" s="4" t="str">
        <f>Registered!B201</f>
        <v>Benoit</v>
      </c>
      <c r="B75" s="4" t="str">
        <f>Registered!A201</f>
        <v>Reece</v>
      </c>
      <c r="C75" s="4" t="str">
        <f>IF(Registered!AR201&gt;0,Registered!AR201&amp;" Color Bags", "")</f>
        <v>20 Color Bags</v>
      </c>
      <c r="D75" s="4" t="str">
        <f>IF(Registered!AS201&gt;0,(IF(Registered!AS201=1,Registered!AS201&amp;" T-Shirt",Registered!AS201&amp;" T-Shirts")), "")</f>
        <v/>
      </c>
      <c r="E75" s="4" t="str">
        <f>Registered!AT201</f>
        <v/>
      </c>
      <c r="F75" s="4" t="str">
        <f>Registered!AU201</f>
        <v/>
      </c>
      <c r="G75" s="4" t="str">
        <f>Registered!AW201</f>
        <v>2 Meals</v>
      </c>
      <c r="H75" s="4" t="str">
        <f>Registered!AX201</f>
        <v/>
      </c>
      <c r="I75" s="4" t="str">
        <f>Registered!AY201</f>
        <v/>
      </c>
    </row>
    <row r="76" spans="1:9" x14ac:dyDescent="0.25">
      <c r="A76" s="4" t="str">
        <f>Registered!B204</f>
        <v>Bentley</v>
      </c>
      <c r="B76" s="4" t="str">
        <f>Registered!A204</f>
        <v>Jason</v>
      </c>
      <c r="C76" s="4" t="str">
        <f>IF(Registered!AR204&gt;0,Registered!AR204&amp;" Color Bags", "")</f>
        <v>10 Color Bags</v>
      </c>
      <c r="D76" s="4" t="str">
        <f>IF(Registered!AS204&gt;0,(IF(Registered!AS204=1,Registered!AS204&amp;" T-Shirt",Registered!AS204&amp;" T-Shirts")), "")</f>
        <v/>
      </c>
      <c r="E76" s="4" t="str">
        <f>Registered!AT204</f>
        <v/>
      </c>
      <c r="F76" s="4" t="str">
        <f>Registered!AU204</f>
        <v/>
      </c>
      <c r="G76" s="4" t="str">
        <f>Registered!AW204</f>
        <v/>
      </c>
      <c r="H76" s="4" t="str">
        <f>Registered!AX204</f>
        <v/>
      </c>
      <c r="I76" s="4" t="str">
        <f>Registered!AY204</f>
        <v/>
      </c>
    </row>
    <row r="77" spans="1:9" x14ac:dyDescent="0.25">
      <c r="A77" s="4" t="str">
        <f>Registered!B206</f>
        <v>Berger</v>
      </c>
      <c r="B77" s="4" t="str">
        <f>Registered!A206</f>
        <v>Heidi</v>
      </c>
      <c r="C77" s="4" t="str">
        <f>IF(Registered!AR206&gt;0,Registered!AR206&amp;" Color Bags", "")</f>
        <v>20 Color Bags</v>
      </c>
      <c r="D77" s="4" t="str">
        <f>IF(Registered!AS206&gt;0,(IF(Registered!AS206=1,Registered!AS206&amp;" T-Shirt",Registered!AS206&amp;" T-Shirts")), "")</f>
        <v/>
      </c>
      <c r="E77" s="4" t="str">
        <f>Registered!AT206</f>
        <v/>
      </c>
      <c r="F77" s="4" t="str">
        <f>Registered!AU206</f>
        <v/>
      </c>
      <c r="G77" s="4" t="str">
        <f>Registered!AW206</f>
        <v>2 Meals</v>
      </c>
      <c r="H77" s="4" t="str">
        <f>Registered!AX206</f>
        <v/>
      </c>
      <c r="I77" s="4" t="str">
        <f>Registered!AY206</f>
        <v/>
      </c>
    </row>
    <row r="78" spans="1:9" x14ac:dyDescent="0.25">
      <c r="A78" s="4" t="str">
        <f>Registered!B207</f>
        <v>Berger</v>
      </c>
      <c r="B78" s="4" t="str">
        <f>Registered!A207</f>
        <v>Jordan</v>
      </c>
      <c r="C78" s="4" t="str">
        <f>IF(Registered!AR207&gt;0,Registered!AR207&amp;" Color Bags", "")</f>
        <v>5 Color Bags</v>
      </c>
      <c r="D78" s="4" t="str">
        <f>IF(Registered!AS207&gt;0,(IF(Registered!AS207=1,Registered!AS207&amp;" T-Shirt",Registered!AS207&amp;" T-Shirts")), "")</f>
        <v/>
      </c>
      <c r="E78" s="4" t="str">
        <f>Registered!AT207</f>
        <v/>
      </c>
      <c r="F78" s="4" t="str">
        <f>Registered!AU207</f>
        <v/>
      </c>
      <c r="G78" s="4" t="str">
        <f>Registered!AW207</f>
        <v/>
      </c>
      <c r="H78" s="4" t="str">
        <f>Registered!AX207</f>
        <v/>
      </c>
      <c r="I78" s="4" t="str">
        <f>Registered!AY207</f>
        <v/>
      </c>
    </row>
    <row r="79" spans="1:9" x14ac:dyDescent="0.25">
      <c r="A79" s="4" t="str">
        <f>Registered!B209</f>
        <v>Bernkopf</v>
      </c>
      <c r="B79" s="4" t="str">
        <f>Registered!A209</f>
        <v>Allyn</v>
      </c>
      <c r="C79" s="4" t="str">
        <f>IF(Registered!AR209&gt;0,Registered!AR209&amp;" Color Bags", "")</f>
        <v>10 Color Bags</v>
      </c>
      <c r="D79" s="4" t="str">
        <f>IF(Registered!AS209&gt;0,(IF(Registered!AS209=1,Registered!AS209&amp;" T-Shirt",Registered!AS209&amp;" T-Shirts")), "")</f>
        <v/>
      </c>
      <c r="E79" s="4" t="str">
        <f>Registered!AT209</f>
        <v/>
      </c>
      <c r="F79" s="4" t="str">
        <f>Registered!AU209</f>
        <v/>
      </c>
      <c r="G79" s="4" t="str">
        <f>Registered!AW209</f>
        <v/>
      </c>
      <c r="H79" s="4" t="str">
        <f>Registered!AX209</f>
        <v>1 BG</v>
      </c>
      <c r="I79" s="4" t="str">
        <f>Registered!AY209</f>
        <v/>
      </c>
    </row>
    <row r="80" spans="1:9" x14ac:dyDescent="0.25">
      <c r="A80" s="4" t="str">
        <f>Registered!B210</f>
        <v>Bertagnolli</v>
      </c>
      <c r="B80" s="4" t="str">
        <f>Registered!A210</f>
        <v>Kati</v>
      </c>
      <c r="C80" s="4" t="str">
        <f>IF(Registered!AR210&gt;0,Registered!AR210&amp;" Color Bags", "")</f>
        <v>10 Color Bags</v>
      </c>
      <c r="D80" s="4" t="str">
        <f>IF(Registered!AS210&gt;0,(IF(Registered!AS210=1,Registered!AS210&amp;" T-Shirt",Registered!AS210&amp;" T-Shirts")), "")</f>
        <v/>
      </c>
      <c r="E80" s="4" t="str">
        <f>Registered!AT210</f>
        <v/>
      </c>
      <c r="F80" s="4" t="str">
        <f>Registered!AU210</f>
        <v/>
      </c>
      <c r="G80" s="4" t="str">
        <f>Registered!AW210</f>
        <v/>
      </c>
      <c r="H80" s="4" t="str">
        <f>Registered!AX210</f>
        <v/>
      </c>
      <c r="I80" s="4" t="str">
        <f>Registered!AY210</f>
        <v/>
      </c>
    </row>
    <row r="81" spans="1:9" x14ac:dyDescent="0.25">
      <c r="A81" s="4" t="str">
        <f>Registered!B211</f>
        <v>Beschle Armstrong</v>
      </c>
      <c r="B81" s="4" t="str">
        <f>Registered!A211</f>
        <v>Danielle Susan</v>
      </c>
      <c r="C81" s="4" t="str">
        <f>IF(Registered!AR211&gt;0,Registered!AR211&amp;" Color Bags", "")</f>
        <v>10 Color Bags</v>
      </c>
      <c r="D81" s="4" t="str">
        <f>IF(Registered!AS211&gt;0,(IF(Registered!AS211=1,Registered!AS211&amp;" T-Shirt",Registered!AS211&amp;" T-Shirts")), "")</f>
        <v>1 T-Shirt</v>
      </c>
      <c r="E81" s="4" t="str">
        <f>Registered!AT211</f>
        <v>Extralarge</v>
      </c>
      <c r="F81" s="4" t="str">
        <f>Registered!AU211</f>
        <v/>
      </c>
      <c r="G81" s="4" t="str">
        <f>Registered!AW211</f>
        <v>1 Meal</v>
      </c>
      <c r="H81" s="4" t="str">
        <f>Registered!AX211</f>
        <v/>
      </c>
      <c r="I81" s="4" t="str">
        <f>Registered!AY211</f>
        <v>1 DustMask</v>
      </c>
    </row>
    <row r="82" spans="1:9" x14ac:dyDescent="0.25">
      <c r="A82" s="4" t="str">
        <f>Registered!B212</f>
        <v>Bhimalingam</v>
      </c>
      <c r="B82" s="4" t="str">
        <f>Registered!A212</f>
        <v>Subhash</v>
      </c>
      <c r="C82" s="4" t="str">
        <f>IF(Registered!AR212&gt;0,Registered!AR212&amp;" Color Bags", "")</f>
        <v>20 Color Bags</v>
      </c>
      <c r="D82" s="4" t="str">
        <f>IF(Registered!AS212&gt;0,(IF(Registered!AS212=1,Registered!AS212&amp;" T-Shirt",Registered!AS212&amp;" T-Shirts")), "")</f>
        <v/>
      </c>
      <c r="E82" s="4" t="str">
        <f>Registered!AT212</f>
        <v/>
      </c>
      <c r="F82" s="4" t="str">
        <f>Registered!AU212</f>
        <v/>
      </c>
      <c r="G82" s="4" t="str">
        <f>Registered!AW212</f>
        <v/>
      </c>
      <c r="H82" s="4" t="str">
        <f>Registered!AX212</f>
        <v/>
      </c>
      <c r="I82" s="4" t="str">
        <f>Registered!AY212</f>
        <v/>
      </c>
    </row>
    <row r="83" spans="1:9" x14ac:dyDescent="0.25">
      <c r="A83" s="4" t="str">
        <f>Registered!B214</f>
        <v>Billat</v>
      </c>
      <c r="B83" s="4" t="str">
        <f>Registered!A214</f>
        <v>Hailey</v>
      </c>
      <c r="C83" s="4" t="str">
        <f>IF(Registered!AR214&gt;0,Registered!AR214&amp;" Color Bags", "")</f>
        <v>5 Color Bags</v>
      </c>
      <c r="D83" s="4" t="str">
        <f>IF(Registered!AS214&gt;0,(IF(Registered!AS214=1,Registered!AS214&amp;" T-Shirt",Registered!AS214&amp;" T-Shirts")), "")</f>
        <v/>
      </c>
      <c r="E83" s="4" t="str">
        <f>Registered!AT214</f>
        <v/>
      </c>
      <c r="F83" s="4" t="str">
        <f>Registered!AU214</f>
        <v/>
      </c>
      <c r="G83" s="4" t="str">
        <f>Registered!AW214</f>
        <v/>
      </c>
      <c r="H83" s="4" t="str">
        <f>Registered!AX214</f>
        <v/>
      </c>
      <c r="I83" s="4" t="str">
        <f>Registered!AY214</f>
        <v/>
      </c>
    </row>
    <row r="84" spans="1:9" x14ac:dyDescent="0.25">
      <c r="A84" s="4" t="str">
        <f>Registered!B218</f>
        <v>Birdzell</v>
      </c>
      <c r="B84" s="4" t="str">
        <f>Registered!A218</f>
        <v>Shannon</v>
      </c>
      <c r="C84" s="4" t="str">
        <f>IF(Registered!AR218&gt;0,Registered!AR218&amp;" Color Bags", "")</f>
        <v>10 Color Bags</v>
      </c>
      <c r="D84" s="4" t="str">
        <f>IF(Registered!AS218&gt;0,(IF(Registered!AS218=1,Registered!AS218&amp;" T-Shirt",Registered!AS218&amp;" T-Shirts")), "")</f>
        <v/>
      </c>
      <c r="E84" s="4" t="str">
        <f>Registered!AT218</f>
        <v/>
      </c>
      <c r="F84" s="4" t="str">
        <f>Registered!AU218</f>
        <v/>
      </c>
      <c r="G84" s="4" t="str">
        <f>Registered!AW218</f>
        <v/>
      </c>
      <c r="H84" s="4" t="str">
        <f>Registered!AX218</f>
        <v/>
      </c>
      <c r="I84" s="4" t="str">
        <f>Registered!AY218</f>
        <v/>
      </c>
    </row>
    <row r="85" spans="1:9" x14ac:dyDescent="0.25">
      <c r="A85" s="4" t="str">
        <f>Registered!B220</f>
        <v>Bitner</v>
      </c>
      <c r="B85" s="4" t="str">
        <f>Registered!A220</f>
        <v>Ariel</v>
      </c>
      <c r="C85" s="4" t="str">
        <f>IF(Registered!AR220&gt;0,Registered!AR220&amp;" Color Bags", "")</f>
        <v>5 Color Bags</v>
      </c>
      <c r="D85" s="4" t="str">
        <f>IF(Registered!AS220&gt;0,(IF(Registered!AS220=1,Registered!AS220&amp;" T-Shirt",Registered!AS220&amp;" T-Shirts")), "")</f>
        <v/>
      </c>
      <c r="E85" s="4" t="str">
        <f>Registered!AT220</f>
        <v/>
      </c>
      <c r="F85" s="4" t="str">
        <f>Registered!AU220</f>
        <v/>
      </c>
      <c r="G85" s="4" t="str">
        <f>Registered!AW220</f>
        <v/>
      </c>
      <c r="H85" s="4" t="str">
        <f>Registered!AX220</f>
        <v/>
      </c>
      <c r="I85" s="4" t="str">
        <f>Registered!AY220</f>
        <v/>
      </c>
    </row>
    <row r="86" spans="1:9" x14ac:dyDescent="0.25">
      <c r="A86" s="4" t="str">
        <f>Registered!B224</f>
        <v>Blackburn</v>
      </c>
      <c r="B86" s="4" t="str">
        <f>Registered!A224</f>
        <v>Thomas</v>
      </c>
      <c r="C86" s="4" t="str">
        <f>IF(Registered!AR224&gt;0,Registered!AR224&amp;" Color Bags", "")</f>
        <v>15 Color Bags</v>
      </c>
      <c r="D86" s="4" t="str">
        <f>IF(Registered!AS224&gt;0,(IF(Registered!AS224=1,Registered!AS224&amp;" T-Shirt",Registered!AS224&amp;" T-Shirts")), "")</f>
        <v/>
      </c>
      <c r="E86" s="4" t="str">
        <f>Registered!AT224</f>
        <v/>
      </c>
      <c r="F86" s="4" t="str">
        <f>Registered!AU224</f>
        <v/>
      </c>
      <c r="G86" s="4" t="str">
        <f>Registered!AW224</f>
        <v/>
      </c>
      <c r="H86" s="4" t="str">
        <f>Registered!AX224</f>
        <v/>
      </c>
      <c r="I86" s="4" t="str">
        <f>Registered!AY224</f>
        <v/>
      </c>
    </row>
    <row r="87" spans="1:9" x14ac:dyDescent="0.25">
      <c r="A87" s="4" t="str">
        <f>Registered!B225</f>
        <v>Blackham</v>
      </c>
      <c r="B87" s="4" t="str">
        <f>Registered!A225</f>
        <v>Kristen</v>
      </c>
      <c r="C87" s="4" t="str">
        <f>IF(Registered!AR225&gt;0,Registered!AR225&amp;" Color Bags", "")</f>
        <v>5 Color Bags</v>
      </c>
      <c r="D87" s="4" t="str">
        <f>IF(Registered!AS225&gt;0,(IF(Registered!AS225=1,Registered!AS225&amp;" T-Shirt",Registered!AS225&amp;" T-Shirts")), "")</f>
        <v/>
      </c>
      <c r="E87" s="4" t="str">
        <f>Registered!AT225</f>
        <v/>
      </c>
      <c r="F87" s="4" t="str">
        <f>Registered!AU225</f>
        <v/>
      </c>
      <c r="G87" s="4" t="str">
        <f>Registered!AW225</f>
        <v/>
      </c>
      <c r="H87" s="4" t="str">
        <f>Registered!AX225</f>
        <v/>
      </c>
      <c r="I87" s="4" t="str">
        <f>Registered!AY225</f>
        <v/>
      </c>
    </row>
    <row r="88" spans="1:9" x14ac:dyDescent="0.25">
      <c r="A88" s="4" t="str">
        <f>Registered!B226</f>
        <v>Blackledge</v>
      </c>
      <c r="B88" s="4" t="str">
        <f>Registered!A226</f>
        <v>Samantha</v>
      </c>
      <c r="C88" s="4" t="str">
        <f>IF(Registered!AR226&gt;0,Registered!AR226&amp;" Color Bags", "")</f>
        <v>10 Color Bags</v>
      </c>
      <c r="D88" s="4" t="str">
        <f>IF(Registered!AS226&gt;0,(IF(Registered!AS226=1,Registered!AS226&amp;" T-Shirt",Registered!AS226&amp;" T-Shirts")), "")</f>
        <v/>
      </c>
      <c r="E88" s="4" t="str">
        <f>Registered!AT226</f>
        <v/>
      </c>
      <c r="F88" s="4" t="str">
        <f>Registered!AU226</f>
        <v/>
      </c>
      <c r="G88" s="4" t="str">
        <f>Registered!AW226</f>
        <v/>
      </c>
      <c r="H88" s="4" t="str">
        <f>Registered!AX226</f>
        <v/>
      </c>
      <c r="I88" s="4" t="str">
        <f>Registered!AY226</f>
        <v/>
      </c>
    </row>
    <row r="89" spans="1:9" x14ac:dyDescent="0.25">
      <c r="A89" s="4" t="str">
        <f>Registered!B227</f>
        <v>Blair</v>
      </c>
      <c r="B89" s="4" t="str">
        <f>Registered!A227</f>
        <v>Kayla</v>
      </c>
      <c r="C89" s="4" t="str">
        <f>IF(Registered!AR227&gt;0,Registered!AR227&amp;" Color Bags", "")</f>
        <v>15 Color Bags</v>
      </c>
      <c r="D89" s="4" t="str">
        <f>IF(Registered!AS227&gt;0,(IF(Registered!AS227=1,Registered!AS227&amp;" T-Shirt",Registered!AS227&amp;" T-Shirts")), "")</f>
        <v/>
      </c>
      <c r="E89" s="4" t="str">
        <f>Registered!AT227</f>
        <v/>
      </c>
      <c r="F89" s="4" t="str">
        <f>Registered!AU227</f>
        <v/>
      </c>
      <c r="G89" s="4" t="str">
        <f>Registered!AW227</f>
        <v/>
      </c>
      <c r="H89" s="4" t="str">
        <f>Registered!AX227</f>
        <v/>
      </c>
      <c r="I89" s="4" t="str">
        <f>Registered!AY227</f>
        <v/>
      </c>
    </row>
    <row r="90" spans="1:9" x14ac:dyDescent="0.25">
      <c r="A90" s="4" t="str">
        <f>Registered!B232</f>
        <v>Blake</v>
      </c>
      <c r="B90" s="4" t="str">
        <f>Registered!A232</f>
        <v>Rachelle</v>
      </c>
      <c r="C90" s="4" t="str">
        <f>IF(Registered!AR232&gt;0,Registered!AR232&amp;" Color Bags", "")</f>
        <v>10 Color Bags</v>
      </c>
      <c r="D90" s="4" t="str">
        <f>IF(Registered!AS232&gt;0,(IF(Registered!AS232=1,Registered!AS232&amp;" T-Shirt",Registered!AS232&amp;" T-Shirts")), "")</f>
        <v/>
      </c>
      <c r="E90" s="4" t="str">
        <f>Registered!AT232</f>
        <v/>
      </c>
      <c r="F90" s="4" t="str">
        <f>Registered!AU232</f>
        <v/>
      </c>
      <c r="G90" s="4" t="str">
        <f>Registered!AW232</f>
        <v/>
      </c>
      <c r="H90" s="4" t="str">
        <f>Registered!AX232</f>
        <v/>
      </c>
      <c r="I90" s="4" t="str">
        <f>Registered!AY232</f>
        <v/>
      </c>
    </row>
    <row r="91" spans="1:9" x14ac:dyDescent="0.25">
      <c r="A91" s="4" t="str">
        <f>Registered!B234</f>
        <v>Blankinship</v>
      </c>
      <c r="B91" s="4" t="str">
        <f>Registered!A234</f>
        <v>Emily</v>
      </c>
      <c r="C91" s="4" t="str">
        <f>IF(Registered!AR234&gt;0,Registered!AR234&amp;" Color Bags", "")</f>
        <v/>
      </c>
      <c r="D91" s="4" t="str">
        <f>IF(Registered!AS234&gt;0,(IF(Registered!AS234=1,Registered!AS234&amp;" T-Shirt",Registered!AS234&amp;" T-Shirts")), "")</f>
        <v>1 T-Shirt</v>
      </c>
      <c r="E91" s="4" t="str">
        <f>Registered!AT234</f>
        <v>Size Not Specified</v>
      </c>
      <c r="F91" s="4" t="str">
        <f>Registered!AU234</f>
        <v/>
      </c>
      <c r="G91" s="4" t="str">
        <f>Registered!AW234</f>
        <v/>
      </c>
      <c r="H91" s="4" t="str">
        <f>Registered!AX234</f>
        <v/>
      </c>
      <c r="I91" s="4" t="str">
        <f>Registered!AY234</f>
        <v/>
      </c>
    </row>
    <row r="92" spans="1:9" x14ac:dyDescent="0.25">
      <c r="A92" s="4" t="str">
        <f>Registered!B235</f>
        <v>Blaser</v>
      </c>
      <c r="B92" s="4" t="str">
        <f>Registered!A235</f>
        <v>Laurajane</v>
      </c>
      <c r="C92" s="4" t="str">
        <f>IF(Registered!AR235&gt;0,Registered!AR235&amp;" Color Bags", "")</f>
        <v>5 Color Bags</v>
      </c>
      <c r="D92" s="4" t="str">
        <f>IF(Registered!AS235&gt;0,(IF(Registered!AS235=1,Registered!AS235&amp;" T-Shirt",Registered!AS235&amp;" T-Shirts")), "")</f>
        <v/>
      </c>
      <c r="E92" s="4" t="str">
        <f>Registered!AT235</f>
        <v/>
      </c>
      <c r="F92" s="4" t="str">
        <f>Registered!AU235</f>
        <v/>
      </c>
      <c r="G92" s="4" t="str">
        <f>Registered!AW235</f>
        <v/>
      </c>
      <c r="H92" s="4" t="str">
        <f>Registered!AX235</f>
        <v/>
      </c>
      <c r="I92" s="4" t="str">
        <f>Registered!AY235</f>
        <v/>
      </c>
    </row>
    <row r="93" spans="1:9" x14ac:dyDescent="0.25">
      <c r="A93" s="4" t="str">
        <f>Registered!B237</f>
        <v>Boada</v>
      </c>
      <c r="B93" s="4" t="str">
        <f>Registered!A237</f>
        <v>Luis</v>
      </c>
      <c r="C93" s="4" t="str">
        <f>IF(Registered!AR237&gt;0,Registered!AR237&amp;" Color Bags", "")</f>
        <v>10 Color Bags</v>
      </c>
      <c r="D93" s="4" t="str">
        <f>IF(Registered!AS237&gt;0,(IF(Registered!AS237=1,Registered!AS237&amp;" T-Shirt",Registered!AS237&amp;" T-Shirts")), "")</f>
        <v>2 T-Shirts</v>
      </c>
      <c r="E93" s="4" t="str">
        <f>Registered!AT237</f>
        <v>MEDIUM</v>
      </c>
      <c r="F93" s="4" t="str">
        <f>Registered!AU237</f>
        <v/>
      </c>
      <c r="G93" s="4" t="str">
        <f>Registered!AW237</f>
        <v>1 Meal</v>
      </c>
      <c r="H93" s="4" t="str">
        <f>Registered!AX237</f>
        <v/>
      </c>
      <c r="I93" s="4" t="str">
        <f>Registered!AY237</f>
        <v>1 DustMask</v>
      </c>
    </row>
    <row r="94" spans="1:9" x14ac:dyDescent="0.25">
      <c r="A94" s="4" t="str">
        <f>Registered!B238</f>
        <v>Boeckmann</v>
      </c>
      <c r="B94" s="4" t="str">
        <f>Registered!A238</f>
        <v>Elise</v>
      </c>
      <c r="C94" s="4" t="str">
        <f>IF(Registered!AR238&gt;0,Registered!AR238&amp;" Color Bags", "")</f>
        <v>5 Color Bags</v>
      </c>
      <c r="D94" s="4" t="str">
        <f>IF(Registered!AS238&gt;0,(IF(Registered!AS238=1,Registered!AS238&amp;" T-Shirt",Registered!AS238&amp;" T-Shirts")), "")</f>
        <v/>
      </c>
      <c r="E94" s="4" t="str">
        <f>Registered!AT238</f>
        <v/>
      </c>
      <c r="F94" s="4" t="str">
        <f>Registered!AU238</f>
        <v/>
      </c>
      <c r="G94" s="4" t="str">
        <f>Registered!AW238</f>
        <v/>
      </c>
      <c r="H94" s="4" t="str">
        <f>Registered!AX238</f>
        <v/>
      </c>
      <c r="I94" s="4" t="str">
        <f>Registered!AY238</f>
        <v/>
      </c>
    </row>
    <row r="95" spans="1:9" x14ac:dyDescent="0.25">
      <c r="A95" s="4" t="str">
        <f>Registered!B239</f>
        <v>Boehm</v>
      </c>
      <c r="B95" s="4" t="str">
        <f>Registered!A239</f>
        <v>Chelsee</v>
      </c>
      <c r="C95" s="4" t="str">
        <f>IF(Registered!AR239&gt;0,Registered!AR239&amp;" Color Bags", "")</f>
        <v>15 Color Bags</v>
      </c>
      <c r="D95" s="4" t="str">
        <f>IF(Registered!AS239&gt;0,(IF(Registered!AS239=1,Registered!AS239&amp;" T-Shirt",Registered!AS239&amp;" T-Shirts")), "")</f>
        <v/>
      </c>
      <c r="E95" s="4" t="str">
        <f>Registered!AT239</f>
        <v/>
      </c>
      <c r="F95" s="4" t="str">
        <f>Registered!AU239</f>
        <v/>
      </c>
      <c r="G95" s="4" t="str">
        <f>Registered!AW239</f>
        <v/>
      </c>
      <c r="H95" s="4" t="str">
        <f>Registered!AX239</f>
        <v/>
      </c>
      <c r="I95" s="4" t="str">
        <f>Registered!AY239</f>
        <v/>
      </c>
    </row>
    <row r="96" spans="1:9" x14ac:dyDescent="0.25">
      <c r="A96" s="4" t="str">
        <f>Registered!B240</f>
        <v>Bogardus</v>
      </c>
      <c r="B96" s="4" t="str">
        <f>Registered!A240</f>
        <v>Keri</v>
      </c>
      <c r="C96" s="4" t="str">
        <f>IF(Registered!AR240&gt;0,Registered!AR240&amp;" Color Bags", "")</f>
        <v>10 Color Bags</v>
      </c>
      <c r="D96" s="4" t="str">
        <f>IF(Registered!AS240&gt;0,(IF(Registered!AS240=1,Registered!AS240&amp;" T-Shirt",Registered!AS240&amp;" T-Shirts")), "")</f>
        <v/>
      </c>
      <c r="E96" s="4" t="str">
        <f>Registered!AT240</f>
        <v/>
      </c>
      <c r="F96" s="4" t="str">
        <f>Registered!AU240</f>
        <v/>
      </c>
      <c r="G96" s="4" t="str">
        <f>Registered!AW240</f>
        <v>1 Meal</v>
      </c>
      <c r="H96" s="4" t="str">
        <f>Registered!AX240</f>
        <v/>
      </c>
      <c r="I96" s="4" t="str">
        <f>Registered!AY240</f>
        <v>1 DustMask</v>
      </c>
    </row>
    <row r="97" spans="1:9" x14ac:dyDescent="0.25">
      <c r="A97" s="4" t="str">
        <f>Registered!B242</f>
        <v>Bogumil</v>
      </c>
      <c r="B97" s="4" t="str">
        <f>Registered!A242</f>
        <v>Grace</v>
      </c>
      <c r="C97" s="4" t="str">
        <f>IF(Registered!AR242&gt;0,Registered!AR242&amp;" Color Bags", "")</f>
        <v>5 Color Bags</v>
      </c>
      <c r="D97" s="4" t="str">
        <f>IF(Registered!AS242&gt;0,(IF(Registered!AS242=1,Registered!AS242&amp;" T-Shirt",Registered!AS242&amp;" T-Shirts")), "")</f>
        <v/>
      </c>
      <c r="E97" s="4" t="str">
        <f>Registered!AT242</f>
        <v/>
      </c>
      <c r="F97" s="4" t="str">
        <f>Registered!AU242</f>
        <v/>
      </c>
      <c r="G97" s="4" t="str">
        <f>Registered!AW242</f>
        <v/>
      </c>
      <c r="H97" s="4" t="str">
        <f>Registered!AX242</f>
        <v/>
      </c>
      <c r="I97" s="4" t="str">
        <f>Registered!AY242</f>
        <v/>
      </c>
    </row>
    <row r="98" spans="1:9" x14ac:dyDescent="0.25">
      <c r="A98" s="4" t="str">
        <f>Registered!B245</f>
        <v>Boiteux</v>
      </c>
      <c r="B98" s="4" t="str">
        <f>Registered!A245</f>
        <v>Blake</v>
      </c>
      <c r="C98" s="4" t="str">
        <f>IF(Registered!AR245&gt;0,Registered!AR245&amp;" Color Bags", "")</f>
        <v>10 Color Bags</v>
      </c>
      <c r="D98" s="4" t="str">
        <f>IF(Registered!AS245&gt;0,(IF(Registered!AS245=1,Registered!AS245&amp;" T-Shirt",Registered!AS245&amp;" T-Shirts")), "")</f>
        <v/>
      </c>
      <c r="E98" s="4" t="str">
        <f>Registered!AT245</f>
        <v/>
      </c>
      <c r="F98" s="4" t="str">
        <f>Registered!AU245</f>
        <v/>
      </c>
      <c r="G98" s="4" t="str">
        <f>Registered!AW245</f>
        <v/>
      </c>
      <c r="H98" s="4" t="str">
        <f>Registered!AX245</f>
        <v/>
      </c>
      <c r="I98" s="4" t="str">
        <f>Registered!AY245</f>
        <v/>
      </c>
    </row>
    <row r="99" spans="1:9" x14ac:dyDescent="0.25">
      <c r="A99" s="4" t="str">
        <f>Registered!B246</f>
        <v>Boiteux</v>
      </c>
      <c r="B99" s="4" t="str">
        <f>Registered!A246</f>
        <v>Carly</v>
      </c>
      <c r="C99" s="4" t="str">
        <f>IF(Registered!AR246&gt;0,Registered!AR246&amp;" Color Bags", "")</f>
        <v>20 Color Bags</v>
      </c>
      <c r="D99" s="4" t="str">
        <f>IF(Registered!AS246&gt;0,(IF(Registered!AS246=1,Registered!AS246&amp;" T-Shirt",Registered!AS246&amp;" T-Shirts")), "")</f>
        <v/>
      </c>
      <c r="E99" s="4" t="str">
        <f>Registered!AT246</f>
        <v/>
      </c>
      <c r="F99" s="4" t="str">
        <f>Registered!AU246</f>
        <v/>
      </c>
      <c r="G99" s="4" t="str">
        <f>Registered!AW246</f>
        <v/>
      </c>
      <c r="H99" s="4" t="str">
        <f>Registered!AX246</f>
        <v/>
      </c>
      <c r="I99" s="4" t="str">
        <f>Registered!AY246</f>
        <v/>
      </c>
    </row>
    <row r="100" spans="1:9" x14ac:dyDescent="0.25">
      <c r="A100" s="4" t="str">
        <f>Registered!B247</f>
        <v>Bolduc</v>
      </c>
      <c r="B100" s="4" t="str">
        <f>Registered!A247</f>
        <v>Angela</v>
      </c>
      <c r="C100" s="4" t="str">
        <f>IF(Registered!AR247&gt;0,Registered!AR247&amp;" Color Bags", "")</f>
        <v>20 Color Bags</v>
      </c>
      <c r="D100" s="4" t="str">
        <f>IF(Registered!AS247&gt;0,(IF(Registered!AS247=1,Registered!AS247&amp;" T-Shirt",Registered!AS247&amp;" T-Shirts")), "")</f>
        <v/>
      </c>
      <c r="E100" s="4" t="str">
        <f>Registered!AT247</f>
        <v/>
      </c>
      <c r="F100" s="4" t="str">
        <f>Registered!AU247</f>
        <v/>
      </c>
      <c r="G100" s="4" t="str">
        <f>Registered!AW247</f>
        <v/>
      </c>
      <c r="H100" s="4" t="str">
        <f>Registered!AX247</f>
        <v/>
      </c>
      <c r="I100" s="4" t="str">
        <f>Registered!AY247</f>
        <v/>
      </c>
    </row>
    <row r="101" spans="1:9" x14ac:dyDescent="0.25">
      <c r="A101" s="4" t="str">
        <f>Registered!B249</f>
        <v>Boley</v>
      </c>
      <c r="B101" s="4" t="str">
        <f>Registered!A249</f>
        <v>Jennifer</v>
      </c>
      <c r="C101" s="4" t="str">
        <f>IF(Registered!AR249&gt;0,Registered!AR249&amp;" Color Bags", "")</f>
        <v>10 Color Bags</v>
      </c>
      <c r="D101" s="4" t="str">
        <f>IF(Registered!AS249&gt;0,(IF(Registered!AS249=1,Registered!AS249&amp;" T-Shirt",Registered!AS249&amp;" T-Shirts")), "")</f>
        <v/>
      </c>
      <c r="E101" s="4" t="str">
        <f>Registered!AT249</f>
        <v/>
      </c>
      <c r="F101" s="4" t="str">
        <f>Registered!AU249</f>
        <v/>
      </c>
      <c r="G101" s="4" t="str">
        <f>Registered!AW249</f>
        <v>1 Meal</v>
      </c>
      <c r="H101" s="4" t="str">
        <f>Registered!AX249</f>
        <v/>
      </c>
      <c r="I101" s="4" t="str">
        <f>Registered!AY249</f>
        <v/>
      </c>
    </row>
    <row r="102" spans="1:9" x14ac:dyDescent="0.25">
      <c r="A102" s="4" t="str">
        <f>Registered!B253</f>
        <v>Bonnett</v>
      </c>
      <c r="B102" s="4" t="str">
        <f>Registered!A253</f>
        <v>Andrew</v>
      </c>
      <c r="C102" s="4" t="str">
        <f>IF(Registered!AR253&gt;0,Registered!AR253&amp;" Color Bags", "")</f>
        <v>5 Color Bags</v>
      </c>
      <c r="D102" s="4" t="str">
        <f>IF(Registered!AS253&gt;0,(IF(Registered!AS253=1,Registered!AS253&amp;" T-Shirt",Registered!AS253&amp;" T-Shirts")), "")</f>
        <v>1 T-Shirt</v>
      </c>
      <c r="E102" s="4" t="str">
        <f>Registered!AT253</f>
        <v>Adult Medium</v>
      </c>
      <c r="F102" s="4" t="str">
        <f>Registered!AU253</f>
        <v/>
      </c>
      <c r="G102" s="4" t="str">
        <f>Registered!AW253</f>
        <v>1 Meal</v>
      </c>
      <c r="H102" s="4" t="str">
        <f>Registered!AX253</f>
        <v/>
      </c>
      <c r="I102" s="4" t="str">
        <f>Registered!AY253</f>
        <v/>
      </c>
    </row>
    <row r="103" spans="1:9" x14ac:dyDescent="0.25">
      <c r="A103" s="4" t="str">
        <f>Registered!B260</f>
        <v>Boren</v>
      </c>
      <c r="B103" s="4" t="str">
        <f>Registered!A260</f>
        <v>Megan</v>
      </c>
      <c r="C103" s="4" t="str">
        <f>IF(Registered!AR260&gt;0,Registered!AR260&amp;" Color Bags", "")</f>
        <v>10 Color Bags</v>
      </c>
      <c r="D103" s="4" t="str">
        <f>IF(Registered!AS260&gt;0,(IF(Registered!AS260=1,Registered!AS260&amp;" T-Shirt",Registered!AS260&amp;" T-Shirts")), "")</f>
        <v>1 T-Shirt</v>
      </c>
      <c r="E103" s="4" t="str">
        <f>Registered!AT260</f>
        <v>xl</v>
      </c>
      <c r="F103" s="4" t="str">
        <f>Registered!AU260</f>
        <v/>
      </c>
      <c r="G103" s="4" t="str">
        <f>Registered!AW260</f>
        <v>1 Meal</v>
      </c>
      <c r="H103" s="4" t="str">
        <f>Registered!AX260</f>
        <v/>
      </c>
      <c r="I103" s="4" t="str">
        <f>Registered!AY260</f>
        <v/>
      </c>
    </row>
    <row r="104" spans="1:9" x14ac:dyDescent="0.25">
      <c r="A104" s="4" t="str">
        <f>Registered!B262</f>
        <v>Borrego</v>
      </c>
      <c r="B104" s="4" t="str">
        <f>Registered!A262</f>
        <v>Brigitta</v>
      </c>
      <c r="C104" s="4" t="str">
        <f>IF(Registered!AR262&gt;0,Registered!AR262&amp;" Color Bags", "")</f>
        <v>5 Color Bags</v>
      </c>
      <c r="D104" s="4" t="str">
        <f>IF(Registered!AS262&gt;0,(IF(Registered!AS262=1,Registered!AS262&amp;" T-Shirt",Registered!AS262&amp;" T-Shirts")), "")</f>
        <v/>
      </c>
      <c r="E104" s="4" t="str">
        <f>Registered!AT262</f>
        <v/>
      </c>
      <c r="F104" s="4" t="str">
        <f>Registered!AU262</f>
        <v/>
      </c>
      <c r="G104" s="4" t="str">
        <f>Registered!AW262</f>
        <v>3 Meals</v>
      </c>
      <c r="H104" s="4" t="str">
        <f>Registered!AX262</f>
        <v/>
      </c>
      <c r="I104" s="4" t="str">
        <f>Registered!AY262</f>
        <v/>
      </c>
    </row>
    <row r="105" spans="1:9" x14ac:dyDescent="0.25">
      <c r="A105" s="4" t="str">
        <f>Registered!B263</f>
        <v>Bosserman</v>
      </c>
      <c r="B105" s="4" t="str">
        <f>Registered!A263</f>
        <v>Brandie</v>
      </c>
      <c r="C105" s="4" t="str">
        <f>IF(Registered!AR263&gt;0,Registered!AR263&amp;" Color Bags", "")</f>
        <v>5 Color Bags</v>
      </c>
      <c r="D105" s="4" t="str">
        <f>IF(Registered!AS263&gt;0,(IF(Registered!AS263=1,Registered!AS263&amp;" T-Shirt",Registered!AS263&amp;" T-Shirts")), "")</f>
        <v/>
      </c>
      <c r="E105" s="4" t="str">
        <f>Registered!AT263</f>
        <v/>
      </c>
      <c r="F105" s="4" t="str">
        <f>Registered!AU263</f>
        <v/>
      </c>
      <c r="G105" s="4" t="str">
        <f>Registered!AW263</f>
        <v/>
      </c>
      <c r="H105" s="4" t="str">
        <f>Registered!AX263</f>
        <v/>
      </c>
      <c r="I105" s="4" t="str">
        <f>Registered!AY263</f>
        <v/>
      </c>
    </row>
    <row r="106" spans="1:9" x14ac:dyDescent="0.25">
      <c r="A106" s="4" t="str">
        <f>Registered!B264</f>
        <v>Bottoms</v>
      </c>
      <c r="B106" s="4" t="str">
        <f>Registered!A264</f>
        <v>Erika</v>
      </c>
      <c r="C106" s="4" t="str">
        <f>IF(Registered!AR264&gt;0,Registered!AR264&amp;" Color Bags", "")</f>
        <v>10 Color Bags</v>
      </c>
      <c r="D106" s="4" t="str">
        <f>IF(Registered!AS264&gt;0,(IF(Registered!AS264=1,Registered!AS264&amp;" T-Shirt",Registered!AS264&amp;" T-Shirts")), "")</f>
        <v/>
      </c>
      <c r="E106" s="4" t="str">
        <f>Registered!AT264</f>
        <v/>
      </c>
      <c r="F106" s="4" t="str">
        <f>Registered!AU264</f>
        <v/>
      </c>
      <c r="G106" s="4" t="str">
        <f>Registered!AW264</f>
        <v>4 Meals</v>
      </c>
      <c r="H106" s="4" t="str">
        <f>Registered!AX264</f>
        <v/>
      </c>
      <c r="I106" s="4" t="str">
        <f>Registered!AY264</f>
        <v/>
      </c>
    </row>
    <row r="107" spans="1:9" x14ac:dyDescent="0.25">
      <c r="A107" s="4" t="str">
        <f>Registered!B265</f>
        <v>Boucher</v>
      </c>
      <c r="B107" s="4" t="str">
        <f>Registered!A265</f>
        <v>Catherine</v>
      </c>
      <c r="C107" s="4" t="str">
        <f>IF(Registered!AR265&gt;0,Registered!AR265&amp;" Color Bags", "")</f>
        <v>10 Color Bags</v>
      </c>
      <c r="D107" s="4" t="str">
        <f>IF(Registered!AS265&gt;0,(IF(Registered!AS265=1,Registered!AS265&amp;" T-Shirt",Registered!AS265&amp;" T-Shirts")), "")</f>
        <v/>
      </c>
      <c r="E107" s="4" t="str">
        <f>Registered!AT265</f>
        <v/>
      </c>
      <c r="F107" s="4" t="str">
        <f>Registered!AU265</f>
        <v/>
      </c>
      <c r="G107" s="4" t="str">
        <f>Registered!AW265</f>
        <v>2 Meals</v>
      </c>
      <c r="H107" s="4" t="str">
        <f>Registered!AX265</f>
        <v/>
      </c>
      <c r="I107" s="4" t="str">
        <f>Registered!AY265</f>
        <v/>
      </c>
    </row>
    <row r="108" spans="1:9" x14ac:dyDescent="0.25">
      <c r="A108" s="4" t="str">
        <f>Registered!B266</f>
        <v>Bourne</v>
      </c>
      <c r="B108" s="4" t="str">
        <f>Registered!A266</f>
        <v>Kaitlyn</v>
      </c>
      <c r="C108" s="4" t="str">
        <f>IF(Registered!AR266&gt;0,Registered!AR266&amp;" Color Bags", "")</f>
        <v>10 Color Bags</v>
      </c>
      <c r="D108" s="4" t="str">
        <f>IF(Registered!AS266&gt;0,(IF(Registered!AS266=1,Registered!AS266&amp;" T-Shirt",Registered!AS266&amp;" T-Shirts")), "")</f>
        <v/>
      </c>
      <c r="E108" s="4" t="str">
        <f>Registered!AT266</f>
        <v/>
      </c>
      <c r="F108" s="4" t="str">
        <f>Registered!AU266</f>
        <v/>
      </c>
      <c r="G108" s="4" t="str">
        <f>Registered!AW266</f>
        <v/>
      </c>
      <c r="H108" s="4" t="str">
        <f>Registered!AX266</f>
        <v/>
      </c>
      <c r="I108" s="4" t="str">
        <f>Registered!AY266</f>
        <v/>
      </c>
    </row>
    <row r="109" spans="1:9" x14ac:dyDescent="0.25">
      <c r="A109" s="4" t="str">
        <f>Registered!B268</f>
        <v>Bowden</v>
      </c>
      <c r="B109" s="4" t="str">
        <f>Registered!A268</f>
        <v>Ashley</v>
      </c>
      <c r="C109" s="4" t="str">
        <f>IF(Registered!AR268&gt;0,Registered!AR268&amp;" Color Bags", "")</f>
        <v>30 Color Bags</v>
      </c>
      <c r="D109" s="4" t="str">
        <f>IF(Registered!AS268&gt;0,(IF(Registered!AS268=1,Registered!AS268&amp;" T-Shirt",Registered!AS268&amp;" T-Shirts")), "")</f>
        <v/>
      </c>
      <c r="E109" s="4" t="str">
        <f>Registered!AT268</f>
        <v/>
      </c>
      <c r="F109" s="4" t="str">
        <f>Registered!AU268</f>
        <v/>
      </c>
      <c r="G109" s="4" t="str">
        <f>Registered!AW268</f>
        <v/>
      </c>
      <c r="H109" s="4" t="str">
        <f>Registered!AX268</f>
        <v/>
      </c>
      <c r="I109" s="4" t="str">
        <f>Registered!AY268</f>
        <v/>
      </c>
    </row>
    <row r="110" spans="1:9" x14ac:dyDescent="0.25">
      <c r="A110" s="4" t="str">
        <f>Registered!B269</f>
        <v>Bowen</v>
      </c>
      <c r="B110" s="4" t="str">
        <f>Registered!A269</f>
        <v>Brooke</v>
      </c>
      <c r="C110" s="4" t="str">
        <f>IF(Registered!AR269&gt;0,Registered!AR269&amp;" Color Bags", "")</f>
        <v>20 Color Bags</v>
      </c>
      <c r="D110" s="4" t="str">
        <f>IF(Registered!AS269&gt;0,(IF(Registered!AS269=1,Registered!AS269&amp;" T-Shirt",Registered!AS269&amp;" T-Shirts")), "")</f>
        <v/>
      </c>
      <c r="E110" s="4" t="str">
        <f>Registered!AT269</f>
        <v/>
      </c>
      <c r="F110" s="4" t="str">
        <f>Registered!AU269</f>
        <v/>
      </c>
      <c r="G110" s="4" t="str">
        <f>Registered!AW269</f>
        <v/>
      </c>
      <c r="H110" s="4" t="str">
        <f>Registered!AX269</f>
        <v/>
      </c>
      <c r="I110" s="4" t="str">
        <f>Registered!AY269</f>
        <v/>
      </c>
    </row>
    <row r="111" spans="1:9" x14ac:dyDescent="0.25">
      <c r="A111" s="4" t="str">
        <f>Registered!B270</f>
        <v>Bowen</v>
      </c>
      <c r="B111" s="4" t="str">
        <f>Registered!A270</f>
        <v>Mark</v>
      </c>
      <c r="C111" s="4" t="str">
        <f>IF(Registered!AR270&gt;0,Registered!AR270&amp;" Color Bags", "")</f>
        <v>5 Color Bags</v>
      </c>
      <c r="D111" s="4" t="str">
        <f>IF(Registered!AS270&gt;0,(IF(Registered!AS270=1,Registered!AS270&amp;" T-Shirt",Registered!AS270&amp;" T-Shirts")), "")</f>
        <v/>
      </c>
      <c r="E111" s="4" t="str">
        <f>Registered!AT270</f>
        <v/>
      </c>
      <c r="F111" s="4" t="str">
        <f>Registered!AU270</f>
        <v/>
      </c>
      <c r="G111" s="4" t="str">
        <f>Registered!AW270</f>
        <v/>
      </c>
      <c r="H111" s="4" t="str">
        <f>Registered!AX270</f>
        <v/>
      </c>
      <c r="I111" s="4" t="str">
        <f>Registered!AY270</f>
        <v>1 DustMask</v>
      </c>
    </row>
    <row r="112" spans="1:9" x14ac:dyDescent="0.25">
      <c r="A112" s="4" t="str">
        <f>Registered!B274</f>
        <v>Bowles</v>
      </c>
      <c r="B112" s="4" t="str">
        <f>Registered!A274</f>
        <v>Downy</v>
      </c>
      <c r="C112" s="4" t="str">
        <f>IF(Registered!AR274&gt;0,Registered!AR274&amp;" Color Bags", "")</f>
        <v>10 Color Bags</v>
      </c>
      <c r="D112" s="4" t="str">
        <f>IF(Registered!AS274&gt;0,(IF(Registered!AS274=1,Registered!AS274&amp;" T-Shirt",Registered!AS274&amp;" T-Shirts")), "")</f>
        <v/>
      </c>
      <c r="E112" s="4" t="str">
        <f>Registered!AT274</f>
        <v/>
      </c>
      <c r="F112" s="4" t="str">
        <f>Registered!AU274</f>
        <v/>
      </c>
      <c r="G112" s="4" t="str">
        <f>Registered!AW274</f>
        <v/>
      </c>
      <c r="H112" s="4" t="str">
        <f>Registered!AX274</f>
        <v/>
      </c>
      <c r="I112" s="4" t="str">
        <f>Registered!AY274</f>
        <v/>
      </c>
    </row>
    <row r="113" spans="1:9" x14ac:dyDescent="0.25">
      <c r="A113" s="4" t="str">
        <f>Registered!B277</f>
        <v>Bowman</v>
      </c>
      <c r="B113" s="4" t="str">
        <f>Registered!A277</f>
        <v>Kaysie</v>
      </c>
      <c r="C113" s="4" t="str">
        <f>IF(Registered!AR277&gt;0,Registered!AR277&amp;" Color Bags", "")</f>
        <v>10 Color Bags</v>
      </c>
      <c r="D113" s="4" t="str">
        <f>IF(Registered!AS277&gt;0,(IF(Registered!AS277=1,Registered!AS277&amp;" T-Shirt",Registered!AS277&amp;" T-Shirts")), "")</f>
        <v>1 T-Shirt</v>
      </c>
      <c r="E113" s="4" t="str">
        <f>Registered!AT277</f>
        <v>Large</v>
      </c>
      <c r="F113" s="4" t="str">
        <f>Registered!AU277</f>
        <v>1 Bandana</v>
      </c>
      <c r="G113" s="4" t="str">
        <f>Registered!AW277</f>
        <v/>
      </c>
      <c r="H113" s="4" t="str">
        <f>Registered!AX277</f>
        <v/>
      </c>
      <c r="I113" s="4" t="str">
        <f>Registered!AY277</f>
        <v/>
      </c>
    </row>
    <row r="114" spans="1:9" x14ac:dyDescent="0.25">
      <c r="A114" s="4" t="str">
        <f>Registered!B279</f>
        <v>Bown</v>
      </c>
      <c r="B114" s="4" t="str">
        <f>Registered!A279</f>
        <v>Aubrey</v>
      </c>
      <c r="C114" s="4" t="str">
        <f>IF(Registered!AR279&gt;0,Registered!AR279&amp;" Color Bags", "")</f>
        <v>15 Color Bags</v>
      </c>
      <c r="D114" s="4" t="str">
        <f>IF(Registered!AS279&gt;0,(IF(Registered!AS279=1,Registered!AS279&amp;" T-Shirt",Registered!AS279&amp;" T-Shirts")), "")</f>
        <v/>
      </c>
      <c r="E114" s="4" t="str">
        <f>Registered!AT279</f>
        <v/>
      </c>
      <c r="F114" s="4" t="str">
        <f>Registered!AU279</f>
        <v/>
      </c>
      <c r="G114" s="4" t="str">
        <f>Registered!AW279</f>
        <v/>
      </c>
      <c r="H114" s="4" t="str">
        <f>Registered!AX279</f>
        <v/>
      </c>
      <c r="I114" s="4" t="str">
        <f>Registered!AY279</f>
        <v/>
      </c>
    </row>
    <row r="115" spans="1:9" x14ac:dyDescent="0.25">
      <c r="A115" s="4" t="str">
        <f>Registered!B280</f>
        <v>Bown</v>
      </c>
      <c r="B115" s="4" t="str">
        <f>Registered!A280</f>
        <v>Bethany</v>
      </c>
      <c r="C115" s="4" t="str">
        <f>IF(Registered!AR280&gt;0,Registered!AR280&amp;" Color Bags", "")</f>
        <v>20 Color Bags</v>
      </c>
      <c r="D115" s="4" t="str">
        <f>IF(Registered!AS280&gt;0,(IF(Registered!AS280=1,Registered!AS280&amp;" T-Shirt",Registered!AS280&amp;" T-Shirts")), "")</f>
        <v/>
      </c>
      <c r="E115" s="4" t="str">
        <f>Registered!AT280</f>
        <v/>
      </c>
      <c r="F115" s="4" t="str">
        <f>Registered!AU280</f>
        <v/>
      </c>
      <c r="G115" s="4" t="str">
        <f>Registered!AW280</f>
        <v/>
      </c>
      <c r="H115" s="4" t="str">
        <f>Registered!AX280</f>
        <v/>
      </c>
      <c r="I115" s="4" t="str">
        <f>Registered!AY280</f>
        <v>1 DustMask</v>
      </c>
    </row>
    <row r="116" spans="1:9" x14ac:dyDescent="0.25">
      <c r="A116" s="4" t="str">
        <f>Registered!B278</f>
        <v>Bown</v>
      </c>
      <c r="B116" s="4" t="str">
        <f>Registered!A278</f>
        <v>Ashley</v>
      </c>
      <c r="C116" s="4" t="str">
        <f>IF(Registered!AR278&gt;0,Registered!AR278&amp;" Color Bags", "")</f>
        <v>45 Color Bags</v>
      </c>
      <c r="D116" s="4" t="str">
        <f>IF(Registered!AS278&gt;0,(IF(Registered!AS278=1,Registered!AS278&amp;" T-Shirt",Registered!AS278&amp;" T-Shirts")), "")</f>
        <v/>
      </c>
      <c r="E116" s="4" t="str">
        <f>Registered!AT278</f>
        <v/>
      </c>
      <c r="F116" s="4" t="str">
        <f>Registered!AU278</f>
        <v/>
      </c>
      <c r="G116" s="4" t="str">
        <f>Registered!AW278</f>
        <v/>
      </c>
      <c r="H116" s="4" t="str">
        <f>Registered!AX278</f>
        <v/>
      </c>
      <c r="I116" s="4" t="str">
        <f>Registered!AY278</f>
        <v/>
      </c>
    </row>
    <row r="117" spans="1:9" x14ac:dyDescent="0.25">
      <c r="A117" s="4" t="str">
        <f>Registered!B283</f>
        <v>Boyce</v>
      </c>
      <c r="B117" s="4" t="str">
        <f>Registered!A283</f>
        <v>Aleigh</v>
      </c>
      <c r="C117" s="4" t="str">
        <f>IF(Registered!AR283&gt;0,Registered!AR283&amp;" Color Bags", "")</f>
        <v>5 Color Bags</v>
      </c>
      <c r="D117" s="4" t="str">
        <f>IF(Registered!AS283&gt;0,(IF(Registered!AS283=1,Registered!AS283&amp;" T-Shirt",Registered!AS283&amp;" T-Shirts")), "")</f>
        <v/>
      </c>
      <c r="E117" s="4" t="str">
        <f>Registered!AT283</f>
        <v/>
      </c>
      <c r="F117" s="4" t="str">
        <f>Registered!AU283</f>
        <v/>
      </c>
      <c r="G117" s="4" t="str">
        <f>Registered!AW283</f>
        <v/>
      </c>
      <c r="H117" s="4" t="str">
        <f>Registered!AX283</f>
        <v/>
      </c>
      <c r="I117" s="4" t="str">
        <f>Registered!AY283</f>
        <v/>
      </c>
    </row>
    <row r="118" spans="1:9" x14ac:dyDescent="0.25">
      <c r="A118" s="4" t="str">
        <f>Registered!B287</f>
        <v>Boyd</v>
      </c>
      <c r="B118" s="4" t="str">
        <f>Registered!A287</f>
        <v>Corina</v>
      </c>
      <c r="C118" s="4" t="str">
        <f>IF(Registered!AR287&gt;0,Registered!AR287&amp;" Color Bags", "")</f>
        <v>20 Color Bags</v>
      </c>
      <c r="D118" s="4" t="str">
        <f>IF(Registered!AS287&gt;0,(IF(Registered!AS287=1,Registered!AS287&amp;" T-Shirt",Registered!AS287&amp;" T-Shirts")), "")</f>
        <v/>
      </c>
      <c r="E118" s="4" t="str">
        <f>Registered!AT287</f>
        <v/>
      </c>
      <c r="F118" s="4" t="str">
        <f>Registered!AU287</f>
        <v>3 Bandanas</v>
      </c>
      <c r="G118" s="4" t="str">
        <f>Registered!AW287</f>
        <v/>
      </c>
      <c r="H118" s="4" t="str">
        <f>Registered!AX287</f>
        <v/>
      </c>
      <c r="I118" s="4" t="str">
        <f>Registered!AY287</f>
        <v/>
      </c>
    </row>
    <row r="119" spans="1:9" x14ac:dyDescent="0.25">
      <c r="A119" s="4" t="str">
        <f>Registered!B286</f>
        <v>Boyd</v>
      </c>
      <c r="B119" s="4" t="str">
        <f>Registered!A286</f>
        <v>Brandon</v>
      </c>
      <c r="C119" s="4" t="str">
        <f>IF(Registered!AR286&gt;0,Registered!AR286&amp;" Color Bags", "")</f>
        <v>5 Color Bags</v>
      </c>
      <c r="D119" s="4" t="str">
        <f>IF(Registered!AS286&gt;0,(IF(Registered!AS286=1,Registered!AS286&amp;" T-Shirt",Registered!AS286&amp;" T-Shirts")), "")</f>
        <v/>
      </c>
      <c r="E119" s="4" t="str">
        <f>Registered!AT286</f>
        <v/>
      </c>
      <c r="F119" s="4" t="str">
        <f>Registered!AU286</f>
        <v/>
      </c>
      <c r="G119" s="4" t="str">
        <f>Registered!AW286</f>
        <v/>
      </c>
      <c r="H119" s="4" t="str">
        <f>Registered!AX286</f>
        <v/>
      </c>
      <c r="I119" s="4" t="str">
        <f>Registered!AY286</f>
        <v/>
      </c>
    </row>
    <row r="120" spans="1:9" x14ac:dyDescent="0.25">
      <c r="A120" s="4" t="str">
        <f>Registered!B291</f>
        <v>Brackemyre</v>
      </c>
      <c r="B120" s="4" t="str">
        <f>Registered!A291</f>
        <v>Brent</v>
      </c>
      <c r="C120" s="4" t="str">
        <f>IF(Registered!AR291&gt;0,Registered!AR291&amp;" Color Bags", "")</f>
        <v>10 Color Bags</v>
      </c>
      <c r="D120" s="4" t="str">
        <f>IF(Registered!AS291&gt;0,(IF(Registered!AS291=1,Registered!AS291&amp;" T-Shirt",Registered!AS291&amp;" T-Shirts")), "")</f>
        <v/>
      </c>
      <c r="E120" s="4" t="str">
        <f>Registered!AT291</f>
        <v/>
      </c>
      <c r="F120" s="4" t="str">
        <f>Registered!AU291</f>
        <v/>
      </c>
      <c r="G120" s="4" t="str">
        <f>Registered!AW291</f>
        <v/>
      </c>
      <c r="H120" s="4" t="str">
        <f>Registered!AX291</f>
        <v/>
      </c>
      <c r="I120" s="4" t="str">
        <f>Registered!AY291</f>
        <v/>
      </c>
    </row>
    <row r="121" spans="1:9" x14ac:dyDescent="0.25">
      <c r="A121" s="4" t="str">
        <f>Registered!B294</f>
        <v>Bradford</v>
      </c>
      <c r="B121" s="4" t="str">
        <f>Registered!A294</f>
        <v>Michelle</v>
      </c>
      <c r="C121" s="4" t="str">
        <f>IF(Registered!AR294&gt;0,Registered!AR294&amp;" Color Bags", "")</f>
        <v>10 Color Bags</v>
      </c>
      <c r="D121" s="4" t="str">
        <f>IF(Registered!AS294&gt;0,(IF(Registered!AS294=1,Registered!AS294&amp;" T-Shirt",Registered!AS294&amp;" T-Shirts")), "")</f>
        <v/>
      </c>
      <c r="E121" s="4" t="str">
        <f>Registered!AT294</f>
        <v/>
      </c>
      <c r="F121" s="4" t="str">
        <f>Registered!AU294</f>
        <v/>
      </c>
      <c r="G121" s="4" t="str">
        <f>Registered!AW294</f>
        <v/>
      </c>
      <c r="H121" s="4" t="str">
        <f>Registered!AX294</f>
        <v/>
      </c>
      <c r="I121" s="4" t="str">
        <f>Registered!AY294</f>
        <v/>
      </c>
    </row>
    <row r="122" spans="1:9" x14ac:dyDescent="0.25">
      <c r="A122" s="4" t="str">
        <f>Registered!B295</f>
        <v>Bradshaw</v>
      </c>
      <c r="B122" s="4" t="str">
        <f>Registered!A295</f>
        <v>Aleeshia</v>
      </c>
      <c r="C122" s="4" t="str">
        <f>IF(Registered!AR295&gt;0,Registered!AR295&amp;" Color Bags", "")</f>
        <v>5 Color Bags</v>
      </c>
      <c r="D122" s="4" t="str">
        <f>IF(Registered!AS295&gt;0,(IF(Registered!AS295=1,Registered!AS295&amp;" T-Shirt",Registered!AS295&amp;" T-Shirts")), "")</f>
        <v/>
      </c>
      <c r="E122" s="4" t="str">
        <f>Registered!AT295</f>
        <v/>
      </c>
      <c r="F122" s="4" t="str">
        <f>Registered!AU295</f>
        <v/>
      </c>
      <c r="G122" s="4" t="str">
        <f>Registered!AW295</f>
        <v/>
      </c>
      <c r="H122" s="4" t="str">
        <f>Registered!AX295</f>
        <v/>
      </c>
      <c r="I122" s="4" t="str">
        <f>Registered!AY295</f>
        <v/>
      </c>
    </row>
    <row r="123" spans="1:9" x14ac:dyDescent="0.25">
      <c r="A123" s="4" t="str">
        <f>Registered!B296</f>
        <v>Branham</v>
      </c>
      <c r="B123" s="4" t="str">
        <f>Registered!A296</f>
        <v>Steven</v>
      </c>
      <c r="C123" s="4" t="str">
        <f>IF(Registered!AR296&gt;0,Registered!AR296&amp;" Color Bags", "")</f>
        <v>10 Color Bags</v>
      </c>
      <c r="D123" s="4" t="str">
        <f>IF(Registered!AS296&gt;0,(IF(Registered!AS296=1,Registered!AS296&amp;" T-Shirt",Registered!AS296&amp;" T-Shirts")), "")</f>
        <v/>
      </c>
      <c r="E123" s="4" t="str">
        <f>Registered!AT296</f>
        <v/>
      </c>
      <c r="F123" s="4" t="str">
        <f>Registered!AU296</f>
        <v/>
      </c>
      <c r="G123" s="4" t="str">
        <f>Registered!AW296</f>
        <v>2 Meals</v>
      </c>
      <c r="H123" s="4" t="str">
        <f>Registered!AX296</f>
        <v/>
      </c>
      <c r="I123" s="4" t="str">
        <f>Registered!AY296</f>
        <v/>
      </c>
    </row>
    <row r="124" spans="1:9" x14ac:dyDescent="0.25">
      <c r="A124" s="4" t="str">
        <f>Registered!B298</f>
        <v>Brimhall</v>
      </c>
      <c r="B124" s="4" t="str">
        <f>Registered!A298</f>
        <v>Parker</v>
      </c>
      <c r="C124" s="4" t="str">
        <f>IF(Registered!AR298&gt;0,Registered!AR298&amp;" Color Bags", "")</f>
        <v>10 Color Bags</v>
      </c>
      <c r="D124" s="4" t="str">
        <f>IF(Registered!AS298&gt;0,(IF(Registered!AS298=1,Registered!AS298&amp;" T-Shirt",Registered!AS298&amp;" T-Shirts")), "")</f>
        <v/>
      </c>
      <c r="E124" s="4" t="str">
        <f>Registered!AT298</f>
        <v/>
      </c>
      <c r="F124" s="4" t="str">
        <f>Registered!AU298</f>
        <v/>
      </c>
      <c r="G124" s="4" t="str">
        <f>Registered!AW298</f>
        <v/>
      </c>
      <c r="H124" s="4" t="str">
        <f>Registered!AX298</f>
        <v/>
      </c>
      <c r="I124" s="4" t="str">
        <f>Registered!AY298</f>
        <v/>
      </c>
    </row>
    <row r="125" spans="1:9" x14ac:dyDescent="0.25">
      <c r="A125" s="4" t="str">
        <f>Registered!B299</f>
        <v>Brinkerhoff</v>
      </c>
      <c r="B125" s="4" t="str">
        <f>Registered!A299</f>
        <v>Brenda</v>
      </c>
      <c r="C125" s="4" t="str">
        <f>IF(Registered!AR299&gt;0,Registered!AR299&amp;" Color Bags", "")</f>
        <v>10 Color Bags</v>
      </c>
      <c r="D125" s="4" t="str">
        <f>IF(Registered!AS299&gt;0,(IF(Registered!AS299=1,Registered!AS299&amp;" T-Shirt",Registered!AS299&amp;" T-Shirts")), "")</f>
        <v/>
      </c>
      <c r="E125" s="4" t="str">
        <f>Registered!AT299</f>
        <v/>
      </c>
      <c r="F125" s="4" t="str">
        <f>Registered!AU299</f>
        <v/>
      </c>
      <c r="G125" s="4" t="str">
        <f>Registered!AW299</f>
        <v/>
      </c>
      <c r="H125" s="4" t="str">
        <f>Registered!AX299</f>
        <v/>
      </c>
      <c r="I125" s="4" t="str">
        <f>Registered!AY299</f>
        <v>1 DustMask</v>
      </c>
    </row>
    <row r="126" spans="1:9" x14ac:dyDescent="0.25">
      <c r="A126" s="4" t="str">
        <f>Registered!B301</f>
        <v>Brinkerhoff</v>
      </c>
      <c r="B126" s="4" t="str">
        <f>Registered!A301</f>
        <v>Kami</v>
      </c>
      <c r="C126" s="4" t="str">
        <f>IF(Registered!AR301&gt;0,Registered!AR301&amp;" Color Bags", "")</f>
        <v>10 Color Bags</v>
      </c>
      <c r="D126" s="4" t="str">
        <f>IF(Registered!AS301&gt;0,(IF(Registered!AS301=1,Registered!AS301&amp;" T-Shirt",Registered!AS301&amp;" T-Shirts")), "")</f>
        <v/>
      </c>
      <c r="E126" s="4" t="str">
        <f>Registered!AT301</f>
        <v/>
      </c>
      <c r="F126" s="4" t="str">
        <f>Registered!AU301</f>
        <v/>
      </c>
      <c r="G126" s="4" t="str">
        <f>Registered!AW301</f>
        <v/>
      </c>
      <c r="H126" s="4" t="str">
        <f>Registered!AX301</f>
        <v/>
      </c>
      <c r="I126" s="4" t="str">
        <f>Registered!AY301</f>
        <v/>
      </c>
    </row>
    <row r="127" spans="1:9" x14ac:dyDescent="0.25">
      <c r="A127" s="4" t="str">
        <f>Registered!B303</f>
        <v>Brizzee</v>
      </c>
      <c r="B127" s="4" t="str">
        <f>Registered!A303</f>
        <v>Alexa</v>
      </c>
      <c r="C127" s="4" t="str">
        <f>IF(Registered!AR303&gt;0,Registered!AR303&amp;" Color Bags", "")</f>
        <v>10 Color Bags</v>
      </c>
      <c r="D127" s="4" t="str">
        <f>IF(Registered!AS303&gt;0,(IF(Registered!AS303=1,Registered!AS303&amp;" T-Shirt",Registered!AS303&amp;" T-Shirts")), "")</f>
        <v/>
      </c>
      <c r="E127" s="4" t="str">
        <f>Registered!AT303</f>
        <v/>
      </c>
      <c r="F127" s="4" t="str">
        <f>Registered!AU303</f>
        <v/>
      </c>
      <c r="G127" s="4" t="str">
        <f>Registered!AW303</f>
        <v/>
      </c>
      <c r="H127" s="4" t="str">
        <f>Registered!AX303</f>
        <v/>
      </c>
      <c r="I127" s="4" t="str">
        <f>Registered!AY303</f>
        <v/>
      </c>
    </row>
    <row r="128" spans="1:9" x14ac:dyDescent="0.25">
      <c r="A128" s="4" t="str">
        <f>Registered!B304</f>
        <v>Broberg</v>
      </c>
      <c r="B128" s="4" t="str">
        <f>Registered!A304</f>
        <v>Lacey</v>
      </c>
      <c r="C128" s="4" t="str">
        <f>IF(Registered!AR304&gt;0,Registered!AR304&amp;" Color Bags", "")</f>
        <v>10 Color Bags</v>
      </c>
      <c r="D128" s="4" t="str">
        <f>IF(Registered!AS304&gt;0,(IF(Registered!AS304=1,Registered!AS304&amp;" T-Shirt",Registered!AS304&amp;" T-Shirts")), "")</f>
        <v/>
      </c>
      <c r="E128" s="4" t="str">
        <f>Registered!AT304</f>
        <v/>
      </c>
      <c r="F128" s="4" t="str">
        <f>Registered!AU304</f>
        <v/>
      </c>
      <c r="G128" s="4" t="str">
        <f>Registered!AW304</f>
        <v/>
      </c>
      <c r="H128" s="4" t="str">
        <f>Registered!AX304</f>
        <v/>
      </c>
      <c r="I128" s="4" t="str">
        <f>Registered!AY304</f>
        <v/>
      </c>
    </row>
    <row r="129" spans="1:9" x14ac:dyDescent="0.25">
      <c r="A129" s="4" t="str">
        <f>Registered!B309</f>
        <v>Brosig</v>
      </c>
      <c r="B129" s="4" t="str">
        <f>Registered!A309</f>
        <v>Amber</v>
      </c>
      <c r="C129" s="4" t="str">
        <f>IF(Registered!AR309&gt;0,Registered!AR309&amp;" Color Bags", "")</f>
        <v>10 Color Bags</v>
      </c>
      <c r="D129" s="4" t="str">
        <f>IF(Registered!AS309&gt;0,(IF(Registered!AS309=1,Registered!AS309&amp;" T-Shirt",Registered!AS309&amp;" T-Shirts")), "")</f>
        <v/>
      </c>
      <c r="E129" s="4" t="str">
        <f>Registered!AT309</f>
        <v/>
      </c>
      <c r="F129" s="4" t="str">
        <f>Registered!AU309</f>
        <v/>
      </c>
      <c r="G129" s="4" t="str">
        <f>Registered!AW309</f>
        <v/>
      </c>
      <c r="H129" s="4" t="str">
        <f>Registered!AX309</f>
        <v/>
      </c>
      <c r="I129" s="4" t="str">
        <f>Registered!AY309</f>
        <v>1 DustMask</v>
      </c>
    </row>
    <row r="130" spans="1:9" x14ac:dyDescent="0.25">
      <c r="A130" s="4" t="str">
        <f>Registered!B319</f>
        <v>Brown</v>
      </c>
      <c r="B130" s="4" t="str">
        <f>Registered!A319</f>
        <v>Nathan</v>
      </c>
      <c r="C130" s="4" t="str">
        <f>IF(Registered!AR319&gt;0,Registered!AR319&amp;" Color Bags", "")</f>
        <v>10 Color Bags</v>
      </c>
      <c r="D130" s="4" t="str">
        <f>IF(Registered!AS319&gt;0,(IF(Registered!AS319=1,Registered!AS319&amp;" T-Shirt",Registered!AS319&amp;" T-Shirts")), "")</f>
        <v/>
      </c>
      <c r="E130" s="4" t="str">
        <f>Registered!AT319</f>
        <v/>
      </c>
      <c r="F130" s="4" t="str">
        <f>Registered!AU319</f>
        <v/>
      </c>
      <c r="G130" s="4" t="str">
        <f>Registered!AW319</f>
        <v/>
      </c>
      <c r="H130" s="4" t="str">
        <f>Registered!AX319</f>
        <v/>
      </c>
      <c r="I130" s="4" t="str">
        <f>Registered!AY319</f>
        <v>1 DustMask</v>
      </c>
    </row>
    <row r="131" spans="1:9" x14ac:dyDescent="0.25">
      <c r="A131" s="4" t="str">
        <f>Registered!B318</f>
        <v>Brown</v>
      </c>
      <c r="B131" s="4" t="str">
        <f>Registered!A318</f>
        <v>Michelle</v>
      </c>
      <c r="C131" s="4" t="str">
        <f>IF(Registered!AR318&gt;0,Registered!AR318&amp;" Color Bags", "")</f>
        <v>20 Color Bags</v>
      </c>
      <c r="D131" s="4" t="str">
        <f>IF(Registered!AS318&gt;0,(IF(Registered!AS318=1,Registered!AS318&amp;" T-Shirt",Registered!AS318&amp;" T-Shirts")), "")</f>
        <v/>
      </c>
      <c r="E131" s="4" t="str">
        <f>Registered!AT318</f>
        <v/>
      </c>
      <c r="F131" s="4" t="str">
        <f>Registered!AU318</f>
        <v/>
      </c>
      <c r="G131" s="4" t="str">
        <f>Registered!AW318</f>
        <v/>
      </c>
      <c r="H131" s="4" t="str">
        <f>Registered!AX318</f>
        <v/>
      </c>
      <c r="I131" s="4" t="str">
        <f>Registered!AY318</f>
        <v/>
      </c>
    </row>
    <row r="132" spans="1:9" x14ac:dyDescent="0.25">
      <c r="A132" s="4" t="str">
        <f>Registered!B320</f>
        <v>Brown</v>
      </c>
      <c r="B132" s="4" t="str">
        <f>Registered!A320</f>
        <v>Presley</v>
      </c>
      <c r="C132" s="4" t="str">
        <f>IF(Registered!AR320&gt;0,Registered!AR320&amp;" Color Bags", "")</f>
        <v>20 Color Bags</v>
      </c>
      <c r="D132" s="4" t="str">
        <f>IF(Registered!AS320&gt;0,(IF(Registered!AS320=1,Registered!AS320&amp;" T-Shirt",Registered!AS320&amp;" T-Shirts")), "")</f>
        <v>4 T-Shirts</v>
      </c>
      <c r="E132" s="4" t="str">
        <f>Registered!AT320</f>
        <v>All adult medium</v>
      </c>
      <c r="F132" s="4" t="str">
        <f>Registered!AU320</f>
        <v/>
      </c>
      <c r="G132" s="4" t="str">
        <f>Registered!AW320</f>
        <v>4 Meals</v>
      </c>
      <c r="H132" s="4" t="str">
        <f>Registered!AX320</f>
        <v/>
      </c>
      <c r="I132" s="4" t="str">
        <f>Registered!AY320</f>
        <v/>
      </c>
    </row>
    <row r="133" spans="1:9" x14ac:dyDescent="0.25">
      <c r="A133" s="4" t="str">
        <f>Registered!B310</f>
        <v>Brown</v>
      </c>
      <c r="B133" s="4" t="str">
        <f>Registered!A310</f>
        <v>Alice</v>
      </c>
      <c r="C133" s="4" t="str">
        <f>IF(Registered!AR310&gt;0,Registered!AR310&amp;" Color Bags", "")</f>
        <v>5 Color Bags</v>
      </c>
      <c r="D133" s="4" t="str">
        <f>IF(Registered!AS310&gt;0,(IF(Registered!AS310=1,Registered!AS310&amp;" T-Shirt",Registered!AS310&amp;" T-Shirts")), "")</f>
        <v>1 T-Shirt</v>
      </c>
      <c r="E133" s="4" t="str">
        <f>Registered!AT310</f>
        <v>XXL</v>
      </c>
      <c r="F133" s="4" t="str">
        <f>Registered!AU310</f>
        <v/>
      </c>
      <c r="G133" s="4" t="str">
        <f>Registered!AW310</f>
        <v/>
      </c>
      <c r="H133" s="4" t="str">
        <f>Registered!AX310</f>
        <v/>
      </c>
      <c r="I133" s="4" t="str">
        <f>Registered!AY310</f>
        <v/>
      </c>
    </row>
    <row r="134" spans="1:9" x14ac:dyDescent="0.25">
      <c r="A134" s="4" t="str">
        <f>Registered!B311</f>
        <v>Brown</v>
      </c>
      <c r="B134" s="4" t="str">
        <f>Registered!A311</f>
        <v>Amy</v>
      </c>
      <c r="C134" s="4" t="str">
        <f>IF(Registered!AR311&gt;0,Registered!AR311&amp;" Color Bags", "")</f>
        <v>5 Color Bags</v>
      </c>
      <c r="D134" s="4" t="str">
        <f>IF(Registered!AS311&gt;0,(IF(Registered!AS311=1,Registered!AS311&amp;" T-Shirt",Registered!AS311&amp;" T-Shirts")), "")</f>
        <v/>
      </c>
      <c r="E134" s="4" t="str">
        <f>Registered!AT311</f>
        <v/>
      </c>
      <c r="F134" s="4" t="str">
        <f>Registered!AU311</f>
        <v/>
      </c>
      <c r="G134" s="4" t="str">
        <f>Registered!AW311</f>
        <v/>
      </c>
      <c r="H134" s="4" t="str">
        <f>Registered!AX311</f>
        <v/>
      </c>
      <c r="I134" s="4" t="str">
        <f>Registered!AY311</f>
        <v/>
      </c>
    </row>
    <row r="135" spans="1:9" x14ac:dyDescent="0.25">
      <c r="A135" s="4" t="str">
        <f>Registered!B315</f>
        <v>Brown</v>
      </c>
      <c r="B135" s="4" t="str">
        <f>Registered!A315</f>
        <v>DaLynn</v>
      </c>
      <c r="C135" s="4" t="str">
        <f>IF(Registered!AR315&gt;0,Registered!AR315&amp;" Color Bags", "")</f>
        <v>5 Color Bags</v>
      </c>
      <c r="D135" s="4" t="str">
        <f>IF(Registered!AS315&gt;0,(IF(Registered!AS315=1,Registered!AS315&amp;" T-Shirt",Registered!AS315&amp;" T-Shirts")), "")</f>
        <v/>
      </c>
      <c r="E135" s="4" t="str">
        <f>Registered!AT315</f>
        <v/>
      </c>
      <c r="F135" s="4" t="str">
        <f>Registered!AU315</f>
        <v/>
      </c>
      <c r="G135" s="4" t="str">
        <f>Registered!AW315</f>
        <v/>
      </c>
      <c r="H135" s="4" t="str">
        <f>Registered!AX315</f>
        <v/>
      </c>
      <c r="I135" s="4" t="str">
        <f>Registered!AY315</f>
        <v/>
      </c>
    </row>
    <row r="136" spans="1:9" x14ac:dyDescent="0.25">
      <c r="A136" s="4" t="str">
        <f>Registered!B321</f>
        <v>Brown</v>
      </c>
      <c r="B136" s="4" t="str">
        <f>Registered!A321</f>
        <v>Sydney</v>
      </c>
      <c r="C136" s="4" t="str">
        <f>IF(Registered!AR321&gt;0,Registered!AR321&amp;" Color Bags", "")</f>
        <v>5 Color Bags</v>
      </c>
      <c r="D136" s="4" t="str">
        <f>IF(Registered!AS321&gt;0,(IF(Registered!AS321=1,Registered!AS321&amp;" T-Shirt",Registered!AS321&amp;" T-Shirts")), "")</f>
        <v>1 T-Shirt</v>
      </c>
      <c r="E136" s="4" t="str">
        <f>Registered!AT321</f>
        <v>L</v>
      </c>
      <c r="F136" s="4" t="str">
        <f>Registered!AU321</f>
        <v/>
      </c>
      <c r="G136" s="4" t="str">
        <f>Registered!AW321</f>
        <v>1 Meal</v>
      </c>
      <c r="H136" s="4" t="str">
        <f>Registered!AX321</f>
        <v/>
      </c>
      <c r="I136" s="4" t="str">
        <f>Registered!AY321</f>
        <v>1 DustMask</v>
      </c>
    </row>
    <row r="137" spans="1:9" x14ac:dyDescent="0.25">
      <c r="A137" s="4" t="str">
        <f>Registered!B322</f>
        <v>Bruening</v>
      </c>
      <c r="B137" s="4" t="str">
        <f>Registered!A322</f>
        <v>Jacque</v>
      </c>
      <c r="C137" s="4" t="str">
        <f>IF(Registered!AR322&gt;0,Registered!AR322&amp;" Color Bags", "")</f>
        <v>5 Color Bags</v>
      </c>
      <c r="D137" s="4" t="str">
        <f>IF(Registered!AS322&gt;0,(IF(Registered!AS322=1,Registered!AS322&amp;" T-Shirt",Registered!AS322&amp;" T-Shirts")), "")</f>
        <v/>
      </c>
      <c r="E137" s="4" t="str">
        <f>Registered!AT322</f>
        <v/>
      </c>
      <c r="F137" s="4" t="str">
        <f>Registered!AU322</f>
        <v/>
      </c>
      <c r="G137" s="4" t="str">
        <f>Registered!AW322</f>
        <v/>
      </c>
      <c r="H137" s="4" t="str">
        <f>Registered!AX322</f>
        <v/>
      </c>
      <c r="I137" s="4" t="str">
        <f>Registered!AY322</f>
        <v/>
      </c>
    </row>
    <row r="138" spans="1:9" x14ac:dyDescent="0.25">
      <c r="A138" s="4" t="str">
        <f>Registered!B324</f>
        <v>Brunette</v>
      </c>
      <c r="B138" s="4" t="str">
        <f>Registered!A324</f>
        <v>Renee</v>
      </c>
      <c r="C138" s="4" t="str">
        <f>IF(Registered!AR324&gt;0,Registered!AR324&amp;" Color Bags", "")</f>
        <v>5 Color Bags</v>
      </c>
      <c r="D138" s="4" t="str">
        <f>IF(Registered!AS324&gt;0,(IF(Registered!AS324=1,Registered!AS324&amp;" T-Shirt",Registered!AS324&amp;" T-Shirts")), "")</f>
        <v/>
      </c>
      <c r="E138" s="4" t="str">
        <f>Registered!AT324</f>
        <v/>
      </c>
      <c r="F138" s="4" t="str">
        <f>Registered!AU324</f>
        <v/>
      </c>
      <c r="G138" s="4" t="str">
        <f>Registered!AW324</f>
        <v/>
      </c>
      <c r="H138" s="4" t="str">
        <f>Registered!AX324</f>
        <v/>
      </c>
      <c r="I138" s="4" t="str">
        <f>Registered!AY324</f>
        <v/>
      </c>
    </row>
    <row r="139" spans="1:9" x14ac:dyDescent="0.25">
      <c r="A139" s="4" t="str">
        <f>Registered!B328</f>
        <v>Buchanan</v>
      </c>
      <c r="B139" s="4" t="str">
        <f>Registered!A328</f>
        <v>Jason</v>
      </c>
      <c r="C139" s="4" t="str">
        <f>IF(Registered!AR328&gt;0,Registered!AR328&amp;" Color Bags", "")</f>
        <v>20 Color Bags</v>
      </c>
      <c r="D139" s="4" t="str">
        <f>IF(Registered!AS328&gt;0,(IF(Registered!AS328=1,Registered!AS328&amp;" T-Shirt",Registered!AS328&amp;" T-Shirts")), "")</f>
        <v/>
      </c>
      <c r="E139" s="4" t="str">
        <f>Registered!AT328</f>
        <v/>
      </c>
      <c r="F139" s="4" t="str">
        <f>Registered!AU328</f>
        <v/>
      </c>
      <c r="G139" s="4" t="str">
        <f>Registered!AW328</f>
        <v/>
      </c>
      <c r="H139" s="4" t="str">
        <f>Registered!AX328</f>
        <v/>
      </c>
      <c r="I139" s="4" t="str">
        <f>Registered!AY328</f>
        <v>2 DustMask</v>
      </c>
    </row>
    <row r="140" spans="1:9" x14ac:dyDescent="0.25">
      <c r="A140" s="4" t="str">
        <f>Registered!B329</f>
        <v>Buchanan</v>
      </c>
      <c r="B140" s="4" t="str">
        <f>Registered!A329</f>
        <v>Lauren</v>
      </c>
      <c r="C140" s="4" t="str">
        <f>IF(Registered!AR329&gt;0,Registered!AR329&amp;" Color Bags", "")</f>
        <v>5 Color Bags</v>
      </c>
      <c r="D140" s="4" t="str">
        <f>IF(Registered!AS329&gt;0,(IF(Registered!AS329=1,Registered!AS329&amp;" T-Shirt",Registered!AS329&amp;" T-Shirts")), "")</f>
        <v/>
      </c>
      <c r="E140" s="4" t="str">
        <f>Registered!AT329</f>
        <v/>
      </c>
      <c r="F140" s="4" t="str">
        <f>Registered!AU329</f>
        <v>1 Bandana</v>
      </c>
      <c r="G140" s="4" t="str">
        <f>Registered!AW329</f>
        <v/>
      </c>
      <c r="H140" s="4" t="str">
        <f>Registered!AX329</f>
        <v/>
      </c>
      <c r="I140" s="4" t="str">
        <f>Registered!AY329</f>
        <v>1 DustMask</v>
      </c>
    </row>
    <row r="141" spans="1:9" x14ac:dyDescent="0.25">
      <c r="A141" s="4" t="str">
        <f>Registered!B330</f>
        <v>Buckhoff</v>
      </c>
      <c r="B141" s="4" t="str">
        <f>Registered!A330</f>
        <v>Valerie</v>
      </c>
      <c r="C141" s="4" t="str">
        <f>IF(Registered!AR330&gt;0,Registered!AR330&amp;" Color Bags", "")</f>
        <v>5 Color Bags</v>
      </c>
      <c r="D141" s="4" t="str">
        <f>IF(Registered!AS330&gt;0,(IF(Registered!AS330=1,Registered!AS330&amp;" T-Shirt",Registered!AS330&amp;" T-Shirts")), "")</f>
        <v/>
      </c>
      <c r="E141" s="4" t="str">
        <f>Registered!AT330</f>
        <v/>
      </c>
      <c r="F141" s="4" t="str">
        <f>Registered!AU330</f>
        <v/>
      </c>
      <c r="G141" s="4" t="str">
        <f>Registered!AW330</f>
        <v/>
      </c>
      <c r="H141" s="4" t="str">
        <f>Registered!AX330</f>
        <v/>
      </c>
      <c r="I141" s="4" t="str">
        <f>Registered!AY330</f>
        <v/>
      </c>
    </row>
    <row r="142" spans="1:9" x14ac:dyDescent="0.25">
      <c r="A142" s="4" t="str">
        <f>Registered!B331</f>
        <v>Buerkle</v>
      </c>
      <c r="B142" s="4" t="str">
        <f>Registered!A331</f>
        <v>Heather</v>
      </c>
      <c r="C142" s="4" t="str">
        <f>IF(Registered!AR331&gt;0,Registered!AR331&amp;" Color Bags", "")</f>
        <v>15 Color Bags</v>
      </c>
      <c r="D142" s="4" t="str">
        <f>IF(Registered!AS331&gt;0,(IF(Registered!AS331=1,Registered!AS331&amp;" T-Shirt",Registered!AS331&amp;" T-Shirts")), "")</f>
        <v/>
      </c>
      <c r="E142" s="4" t="str">
        <f>Registered!AT331</f>
        <v/>
      </c>
      <c r="F142" s="4" t="str">
        <f>Registered!AU331</f>
        <v/>
      </c>
      <c r="G142" s="4" t="str">
        <f>Registered!AW331</f>
        <v/>
      </c>
      <c r="H142" s="4" t="str">
        <f>Registered!AX331</f>
        <v/>
      </c>
      <c r="I142" s="4" t="str">
        <f>Registered!AY331</f>
        <v/>
      </c>
    </row>
    <row r="143" spans="1:9" x14ac:dyDescent="0.25">
      <c r="A143" s="4" t="str">
        <f>Registered!B337</f>
        <v>Bunnell</v>
      </c>
      <c r="B143" s="4" t="str">
        <f>Registered!A337</f>
        <v>Brytnee</v>
      </c>
      <c r="C143" s="4" t="str">
        <f>IF(Registered!AR337&gt;0,Registered!AR337&amp;" Color Bags", "")</f>
        <v>10 Color Bags</v>
      </c>
      <c r="D143" s="4" t="str">
        <f>IF(Registered!AS337&gt;0,(IF(Registered!AS337=1,Registered!AS337&amp;" T-Shirt",Registered!AS337&amp;" T-Shirts")), "")</f>
        <v/>
      </c>
      <c r="E143" s="4" t="str">
        <f>Registered!AT337</f>
        <v/>
      </c>
      <c r="F143" s="4" t="str">
        <f>Registered!AU337</f>
        <v/>
      </c>
      <c r="G143" s="4" t="str">
        <f>Registered!AW337</f>
        <v/>
      </c>
      <c r="H143" s="4" t="str">
        <f>Registered!AX337</f>
        <v/>
      </c>
      <c r="I143" s="4" t="str">
        <f>Registered!AY337</f>
        <v/>
      </c>
    </row>
    <row r="144" spans="1:9" x14ac:dyDescent="0.25">
      <c r="A144" s="4" t="str">
        <f>Registered!B339</f>
        <v>Burrell</v>
      </c>
      <c r="B144" s="4" t="str">
        <f>Registered!A339</f>
        <v>Alyssa</v>
      </c>
      <c r="C144" s="4" t="str">
        <f>IF(Registered!AR339&gt;0,Registered!AR339&amp;" Color Bags", "")</f>
        <v>10 Color Bags</v>
      </c>
      <c r="D144" s="4" t="str">
        <f>IF(Registered!AS339&gt;0,(IF(Registered!AS339=1,Registered!AS339&amp;" T-Shirt",Registered!AS339&amp;" T-Shirts")), "")</f>
        <v/>
      </c>
      <c r="E144" s="4" t="str">
        <f>Registered!AT339</f>
        <v/>
      </c>
      <c r="F144" s="4" t="str">
        <f>Registered!AU339</f>
        <v/>
      </c>
      <c r="G144" s="4" t="str">
        <f>Registered!AW339</f>
        <v/>
      </c>
      <c r="H144" s="4" t="str">
        <f>Registered!AX339</f>
        <v/>
      </c>
      <c r="I144" s="4" t="str">
        <f>Registered!AY339</f>
        <v/>
      </c>
    </row>
    <row r="145" spans="1:9" x14ac:dyDescent="0.25">
      <c r="A145" s="4" t="str">
        <f>Registered!B342</f>
        <v>Burress</v>
      </c>
      <c r="B145" s="4" t="str">
        <f>Registered!A342</f>
        <v>Stephen</v>
      </c>
      <c r="C145" s="4" t="str">
        <f>IF(Registered!AR342&gt;0,Registered!AR342&amp;" Color Bags", "")</f>
        <v>10 Color Bags</v>
      </c>
      <c r="D145" s="4" t="str">
        <f>IF(Registered!AS342&gt;0,(IF(Registered!AS342=1,Registered!AS342&amp;" T-Shirt",Registered!AS342&amp;" T-Shirts")), "")</f>
        <v>2 T-Shirts</v>
      </c>
      <c r="E145" s="4" t="str">
        <f>Registered!AT342</f>
        <v>Mens Large, Womens Medium</v>
      </c>
      <c r="F145" s="4" t="str">
        <f>Registered!AU342</f>
        <v/>
      </c>
      <c r="G145" s="4" t="str">
        <f>Registered!AW342</f>
        <v>2 Meals</v>
      </c>
      <c r="H145" s="4" t="str">
        <f>Registered!AX342</f>
        <v/>
      </c>
      <c r="I145" s="4" t="str">
        <f>Registered!AY342</f>
        <v/>
      </c>
    </row>
    <row r="146" spans="1:9" x14ac:dyDescent="0.25">
      <c r="A146" s="4" t="str">
        <f>Registered!B343</f>
        <v>Burt</v>
      </c>
      <c r="B146" s="4" t="str">
        <f>Registered!A343</f>
        <v>Aaron</v>
      </c>
      <c r="C146" s="4" t="str">
        <f>IF(Registered!AR343&gt;0,Registered!AR343&amp;" Color Bags", "")</f>
        <v>5 Color Bags</v>
      </c>
      <c r="D146" s="4" t="str">
        <f>IF(Registered!AS343&gt;0,(IF(Registered!AS343=1,Registered!AS343&amp;" T-Shirt",Registered!AS343&amp;" T-Shirts")), "")</f>
        <v/>
      </c>
      <c r="E146" s="4" t="str">
        <f>Registered!AT343</f>
        <v/>
      </c>
      <c r="F146" s="4" t="str">
        <f>Registered!AU343</f>
        <v/>
      </c>
      <c r="G146" s="4" t="str">
        <f>Registered!AW343</f>
        <v/>
      </c>
      <c r="H146" s="4" t="str">
        <f>Registered!AX343</f>
        <v/>
      </c>
      <c r="I146" s="4" t="str">
        <f>Registered!AY343</f>
        <v/>
      </c>
    </row>
    <row r="147" spans="1:9" x14ac:dyDescent="0.25">
      <c r="A147" s="4" t="str">
        <f>Registered!B345</f>
        <v>Burton</v>
      </c>
      <c r="B147" s="4" t="str">
        <f>Registered!A345</f>
        <v>Katheryn</v>
      </c>
      <c r="C147" s="4" t="str">
        <f>IF(Registered!AR345&gt;0,Registered!AR345&amp;" Color Bags", "")</f>
        <v>10 Color Bags</v>
      </c>
      <c r="D147" s="4" t="str">
        <f>IF(Registered!AS345&gt;0,(IF(Registered!AS345=1,Registered!AS345&amp;" T-Shirt",Registered!AS345&amp;" T-Shirts")), "")</f>
        <v/>
      </c>
      <c r="E147" s="4" t="str">
        <f>Registered!AT345</f>
        <v/>
      </c>
      <c r="F147" s="4" t="str">
        <f>Registered!AU345</f>
        <v/>
      </c>
      <c r="G147" s="4" t="str">
        <f>Registered!AW345</f>
        <v/>
      </c>
      <c r="H147" s="4" t="str">
        <f>Registered!AX345</f>
        <v/>
      </c>
      <c r="I147" s="4" t="str">
        <f>Registered!AY345</f>
        <v/>
      </c>
    </row>
    <row r="148" spans="1:9" x14ac:dyDescent="0.25">
      <c r="A148" s="4" t="str">
        <f>Registered!B357</f>
        <v>Call</v>
      </c>
      <c r="B148" s="4" t="str">
        <f>Registered!A357</f>
        <v>Cindy</v>
      </c>
      <c r="C148" s="4" t="str">
        <f>IF(Registered!AR357&gt;0,Registered!AR357&amp;" Color Bags", "")</f>
        <v>10 Color Bags</v>
      </c>
      <c r="D148" s="4" t="str">
        <f>IF(Registered!AS357&gt;0,(IF(Registered!AS357=1,Registered!AS357&amp;" T-Shirt",Registered!AS357&amp;" T-Shirts")), "")</f>
        <v/>
      </c>
      <c r="E148" s="4" t="str">
        <f>Registered!AT357</f>
        <v/>
      </c>
      <c r="F148" s="4" t="str">
        <f>Registered!AU357</f>
        <v/>
      </c>
      <c r="G148" s="4" t="str">
        <f>Registered!AW357</f>
        <v/>
      </c>
      <c r="H148" s="4" t="str">
        <f>Registered!AX357</f>
        <v/>
      </c>
      <c r="I148" s="4" t="str">
        <f>Registered!AY357</f>
        <v/>
      </c>
    </row>
    <row r="149" spans="1:9" x14ac:dyDescent="0.25">
      <c r="A149" s="4" t="str">
        <f>Registered!B359</f>
        <v>Call</v>
      </c>
      <c r="B149" s="4" t="str">
        <f>Registered!A359</f>
        <v>Rachel</v>
      </c>
      <c r="C149" s="4" t="str">
        <f>IF(Registered!AR359&gt;0,Registered!AR359&amp;" Color Bags", "")</f>
        <v>10 Color Bags</v>
      </c>
      <c r="D149" s="4" t="str">
        <f>IF(Registered!AS359&gt;0,(IF(Registered!AS359=1,Registered!AS359&amp;" T-Shirt",Registered!AS359&amp;" T-Shirts")), "")</f>
        <v/>
      </c>
      <c r="E149" s="4" t="str">
        <f>Registered!AT359</f>
        <v/>
      </c>
      <c r="F149" s="4" t="str">
        <f>Registered!AU359</f>
        <v/>
      </c>
      <c r="G149" s="4" t="str">
        <f>Registered!AW359</f>
        <v/>
      </c>
      <c r="H149" s="4" t="str">
        <f>Registered!AX359</f>
        <v/>
      </c>
      <c r="I149" s="4" t="str">
        <f>Registered!AY359</f>
        <v/>
      </c>
    </row>
    <row r="150" spans="1:9" x14ac:dyDescent="0.25">
      <c r="A150" s="4" t="str">
        <f>Registered!B367</f>
        <v>Campo</v>
      </c>
      <c r="B150" s="4" t="str">
        <f>Registered!A367</f>
        <v>Gage</v>
      </c>
      <c r="C150" s="4" t="str">
        <f>IF(Registered!AR367&gt;0,Registered!AR367&amp;" Color Bags", "")</f>
        <v>10 Color Bags</v>
      </c>
      <c r="D150" s="4" t="str">
        <f>IF(Registered!AS367&gt;0,(IF(Registered!AS367=1,Registered!AS367&amp;" T-Shirt",Registered!AS367&amp;" T-Shirts")), "")</f>
        <v/>
      </c>
      <c r="E150" s="4" t="str">
        <f>Registered!AT367</f>
        <v/>
      </c>
      <c r="F150" s="4" t="str">
        <f>Registered!AU367</f>
        <v/>
      </c>
      <c r="G150" s="4" t="str">
        <f>Registered!AW367</f>
        <v/>
      </c>
      <c r="H150" s="4" t="str">
        <f>Registered!AX367</f>
        <v/>
      </c>
      <c r="I150" s="4" t="str">
        <f>Registered!AY367</f>
        <v/>
      </c>
    </row>
    <row r="151" spans="1:9" x14ac:dyDescent="0.25">
      <c r="A151" s="4" t="str">
        <f>Registered!B370</f>
        <v>Cannon</v>
      </c>
      <c r="B151" s="4" t="str">
        <f>Registered!A370</f>
        <v>Larissa</v>
      </c>
      <c r="C151" s="4" t="str">
        <f>IF(Registered!AR370&gt;0,Registered!AR370&amp;" Color Bags", "")</f>
        <v>5 Color Bags</v>
      </c>
      <c r="D151" s="4" t="str">
        <f>IF(Registered!AS370&gt;0,(IF(Registered!AS370=1,Registered!AS370&amp;" T-Shirt",Registered!AS370&amp;" T-Shirts")), "")</f>
        <v/>
      </c>
      <c r="E151" s="4" t="str">
        <f>Registered!AT370</f>
        <v/>
      </c>
      <c r="F151" s="4" t="str">
        <f>Registered!AU370</f>
        <v/>
      </c>
      <c r="G151" s="4" t="str">
        <f>Registered!AW370</f>
        <v/>
      </c>
      <c r="H151" s="4" t="str">
        <f>Registered!AX370</f>
        <v/>
      </c>
      <c r="I151" s="4" t="str">
        <f>Registered!AY370</f>
        <v/>
      </c>
    </row>
    <row r="152" spans="1:9" x14ac:dyDescent="0.25">
      <c r="A152" s="4" t="str">
        <f>Registered!B372</f>
        <v>Canova</v>
      </c>
      <c r="B152" s="4" t="str">
        <f>Registered!A372</f>
        <v>Matt</v>
      </c>
      <c r="C152" s="4" t="str">
        <f>IF(Registered!AR372&gt;0,Registered!AR372&amp;" Color Bags", "")</f>
        <v>5 Color Bags</v>
      </c>
      <c r="D152" s="4" t="str">
        <f>IF(Registered!AS372&gt;0,(IF(Registered!AS372=1,Registered!AS372&amp;" T-Shirt",Registered!AS372&amp;" T-Shirts")), "")</f>
        <v>1 T-Shirt</v>
      </c>
      <c r="E152" s="4" t="str">
        <f>Registered!AT372</f>
        <v>X-large</v>
      </c>
      <c r="F152" s="4" t="str">
        <f>Registered!AU372</f>
        <v/>
      </c>
      <c r="G152" s="4" t="str">
        <f>Registered!AW372</f>
        <v/>
      </c>
      <c r="H152" s="4" t="str">
        <f>Registered!AX372</f>
        <v/>
      </c>
      <c r="I152" s="4" t="str">
        <f>Registered!AY372</f>
        <v/>
      </c>
    </row>
    <row r="153" spans="1:9" x14ac:dyDescent="0.25">
      <c r="A153" s="4" t="str">
        <f>Registered!B374</f>
        <v>Card</v>
      </c>
      <c r="B153" s="4" t="str">
        <f>Registered!A374</f>
        <v>Stacy</v>
      </c>
      <c r="C153" s="4" t="str">
        <f>IF(Registered!AR374&gt;0,Registered!AR374&amp;" Color Bags", "")</f>
        <v>5 Color Bags</v>
      </c>
      <c r="D153" s="4" t="str">
        <f>IF(Registered!AS374&gt;0,(IF(Registered!AS374=1,Registered!AS374&amp;" T-Shirt",Registered!AS374&amp;" T-Shirts")), "")</f>
        <v/>
      </c>
      <c r="E153" s="4" t="str">
        <f>Registered!AT374</f>
        <v/>
      </c>
      <c r="F153" s="4" t="str">
        <f>Registered!AU374</f>
        <v/>
      </c>
      <c r="G153" s="4" t="str">
        <f>Registered!AW374</f>
        <v/>
      </c>
      <c r="H153" s="4" t="str">
        <f>Registered!AX374</f>
        <v/>
      </c>
      <c r="I153" s="4" t="str">
        <f>Registered!AY374</f>
        <v/>
      </c>
    </row>
    <row r="154" spans="1:9" x14ac:dyDescent="0.25">
      <c r="A154" s="4" t="str">
        <f>Registered!B379</f>
        <v>Carlson</v>
      </c>
      <c r="B154" s="4" t="str">
        <f>Registered!A379</f>
        <v>Veronica</v>
      </c>
      <c r="C154" s="4" t="str">
        <f>IF(Registered!AR379&gt;0,Registered!AR379&amp;" Color Bags", "")</f>
        <v>10 Color Bags</v>
      </c>
      <c r="D154" s="4" t="str">
        <f>IF(Registered!AS379&gt;0,(IF(Registered!AS379=1,Registered!AS379&amp;" T-Shirt",Registered!AS379&amp;" T-Shirts")), "")</f>
        <v/>
      </c>
      <c r="E154" s="4" t="str">
        <f>Registered!AT379</f>
        <v/>
      </c>
      <c r="F154" s="4" t="str">
        <f>Registered!AU379</f>
        <v>1 Bandana</v>
      </c>
      <c r="G154" s="4" t="str">
        <f>Registered!AW379</f>
        <v/>
      </c>
      <c r="H154" s="4" t="str">
        <f>Registered!AX379</f>
        <v/>
      </c>
      <c r="I154" s="4" t="str">
        <f>Registered!AY379</f>
        <v/>
      </c>
    </row>
    <row r="155" spans="1:9" x14ac:dyDescent="0.25">
      <c r="A155" s="4" t="str">
        <f>Registered!B377</f>
        <v>Carlson</v>
      </c>
      <c r="B155" s="4" t="str">
        <f>Registered!A377</f>
        <v>Scott</v>
      </c>
      <c r="C155" s="4" t="str">
        <f>IF(Registered!AR377&gt;0,Registered!AR377&amp;" Color Bags", "")</f>
        <v>5 Color Bags</v>
      </c>
      <c r="D155" s="4" t="str">
        <f>IF(Registered!AS377&gt;0,(IF(Registered!AS377=1,Registered!AS377&amp;" T-Shirt",Registered!AS377&amp;" T-Shirts")), "")</f>
        <v/>
      </c>
      <c r="E155" s="4" t="str">
        <f>Registered!AT377</f>
        <v/>
      </c>
      <c r="F155" s="4" t="str">
        <f>Registered!AU377</f>
        <v/>
      </c>
      <c r="G155" s="4" t="str">
        <f>Registered!AW377</f>
        <v/>
      </c>
      <c r="H155" s="4" t="str">
        <f>Registered!AX377</f>
        <v/>
      </c>
      <c r="I155" s="4" t="str">
        <f>Registered!AY377</f>
        <v/>
      </c>
    </row>
    <row r="156" spans="1:9" x14ac:dyDescent="0.25">
      <c r="A156" s="4" t="str">
        <f>Registered!B384</f>
        <v>Carr</v>
      </c>
      <c r="B156" s="4" t="str">
        <f>Registered!A384</f>
        <v>Jason</v>
      </c>
      <c r="C156" s="4" t="str">
        <f>IF(Registered!AR384&gt;0,Registered!AR384&amp;" Color Bags", "")</f>
        <v>10 Color Bags</v>
      </c>
      <c r="D156" s="4" t="str">
        <f>IF(Registered!AS384&gt;0,(IF(Registered!AS384=1,Registered!AS384&amp;" T-Shirt",Registered!AS384&amp;" T-Shirts")), "")</f>
        <v/>
      </c>
      <c r="E156" s="4" t="str">
        <f>Registered!AT384</f>
        <v/>
      </c>
      <c r="F156" s="4" t="str">
        <f>Registered!AU384</f>
        <v/>
      </c>
      <c r="G156" s="4" t="str">
        <f>Registered!AW384</f>
        <v/>
      </c>
      <c r="H156" s="4" t="str">
        <f>Registered!AX384</f>
        <v/>
      </c>
      <c r="I156" s="4" t="str">
        <f>Registered!AY384</f>
        <v/>
      </c>
    </row>
    <row r="157" spans="1:9" x14ac:dyDescent="0.25">
      <c r="A157" s="4" t="str">
        <f>Registered!B385</f>
        <v>Carriger</v>
      </c>
      <c r="B157" s="4" t="str">
        <f>Registered!A385</f>
        <v>Matt</v>
      </c>
      <c r="C157" s="4" t="str">
        <f>IF(Registered!AR385&gt;0,Registered!AR385&amp;" Color Bags", "")</f>
        <v>10 Color Bags</v>
      </c>
      <c r="D157" s="4" t="str">
        <f>IF(Registered!AS385&gt;0,(IF(Registered!AS385=1,Registered!AS385&amp;" T-Shirt",Registered!AS385&amp;" T-Shirts")), "")</f>
        <v/>
      </c>
      <c r="E157" s="4" t="str">
        <f>Registered!AT385</f>
        <v/>
      </c>
      <c r="F157" s="4" t="str">
        <f>Registered!AU385</f>
        <v/>
      </c>
      <c r="G157" s="4" t="str">
        <f>Registered!AW385</f>
        <v/>
      </c>
      <c r="H157" s="4" t="str">
        <f>Registered!AX385</f>
        <v/>
      </c>
      <c r="I157" s="4" t="str">
        <f>Registered!AY385</f>
        <v/>
      </c>
    </row>
    <row r="158" spans="1:9" x14ac:dyDescent="0.25">
      <c r="A158" s="4" t="str">
        <f>Registered!B388</f>
        <v>Carroll</v>
      </c>
      <c r="B158" s="4" t="str">
        <f>Registered!A388</f>
        <v>Jerry</v>
      </c>
      <c r="C158" s="4" t="str">
        <f>IF(Registered!AR388&gt;0,Registered!AR388&amp;" Color Bags", "")</f>
        <v>20 Color Bags</v>
      </c>
      <c r="D158" s="4" t="str">
        <f>IF(Registered!AS388&gt;0,(IF(Registered!AS388=1,Registered!AS388&amp;" T-Shirt",Registered!AS388&amp;" T-Shirts")), "")</f>
        <v/>
      </c>
      <c r="E158" s="4" t="str">
        <f>Registered!AT388</f>
        <v/>
      </c>
      <c r="F158" s="4" t="str">
        <f>Registered!AU388</f>
        <v/>
      </c>
      <c r="G158" s="4" t="str">
        <f>Registered!AW388</f>
        <v/>
      </c>
      <c r="H158" s="4" t="str">
        <f>Registered!AX388</f>
        <v/>
      </c>
      <c r="I158" s="4" t="str">
        <f>Registered!AY388</f>
        <v/>
      </c>
    </row>
    <row r="159" spans="1:9" x14ac:dyDescent="0.25">
      <c r="A159" s="4" t="str">
        <f>Registered!B391</f>
        <v>Carter</v>
      </c>
      <c r="B159" s="4" t="str">
        <f>Registered!A391</f>
        <v>Jess</v>
      </c>
      <c r="C159" s="4" t="str">
        <f>IF(Registered!AR391&gt;0,Registered!AR391&amp;" Color Bags", "")</f>
        <v>20 Color Bags</v>
      </c>
      <c r="D159" s="4" t="str">
        <f>IF(Registered!AS391&gt;0,(IF(Registered!AS391=1,Registered!AS391&amp;" T-Shirt",Registered!AS391&amp;" T-Shirts")), "")</f>
        <v/>
      </c>
      <c r="E159" s="4" t="str">
        <f>Registered!AT391</f>
        <v/>
      </c>
      <c r="F159" s="4" t="str">
        <f>Registered!AU391</f>
        <v/>
      </c>
      <c r="G159" s="4" t="str">
        <f>Registered!AW391</f>
        <v/>
      </c>
      <c r="H159" s="4" t="str">
        <f>Registered!AX391</f>
        <v/>
      </c>
      <c r="I159" s="4" t="str">
        <f>Registered!AY391</f>
        <v/>
      </c>
    </row>
    <row r="160" spans="1:9" x14ac:dyDescent="0.25">
      <c r="A160" s="4" t="str">
        <f>Registered!B396</f>
        <v>Casey</v>
      </c>
      <c r="B160" s="4" t="str">
        <f>Registered!A396</f>
        <v>Teri</v>
      </c>
      <c r="C160" s="4" t="str">
        <f>IF(Registered!AR396&gt;0,Registered!AR396&amp;" Color Bags", "")</f>
        <v>10 Color Bags</v>
      </c>
      <c r="D160" s="4" t="str">
        <f>IF(Registered!AS396&gt;0,(IF(Registered!AS396=1,Registered!AS396&amp;" T-Shirt",Registered!AS396&amp;" T-Shirts")), "")</f>
        <v/>
      </c>
      <c r="E160" s="4" t="str">
        <f>Registered!AT396</f>
        <v/>
      </c>
      <c r="F160" s="4" t="str">
        <f>Registered!AU396</f>
        <v>2 Bandanas</v>
      </c>
      <c r="G160" s="4" t="str">
        <f>Registered!AW396</f>
        <v>2 Meals</v>
      </c>
      <c r="H160" s="4" t="str">
        <f>Registered!AX396</f>
        <v/>
      </c>
      <c r="I160" s="4" t="str">
        <f>Registered!AY396</f>
        <v/>
      </c>
    </row>
    <row r="161" spans="1:9" x14ac:dyDescent="0.25">
      <c r="A161" s="4" t="str">
        <f>Registered!B398</f>
        <v>Castillo</v>
      </c>
      <c r="B161" s="4" t="str">
        <f>Registered!A398</f>
        <v>Christopher</v>
      </c>
      <c r="C161" s="4" t="str">
        <f>IF(Registered!AR398&gt;0,Registered!AR398&amp;" Color Bags", "")</f>
        <v>10 Color Bags</v>
      </c>
      <c r="D161" s="4" t="str">
        <f>IF(Registered!AS398&gt;0,(IF(Registered!AS398=1,Registered!AS398&amp;" T-Shirt",Registered!AS398&amp;" T-Shirts")), "")</f>
        <v/>
      </c>
      <c r="E161" s="4" t="str">
        <f>Registered!AT398</f>
        <v/>
      </c>
      <c r="F161" s="4" t="str">
        <f>Registered!AU398</f>
        <v/>
      </c>
      <c r="G161" s="4" t="str">
        <f>Registered!AW398</f>
        <v/>
      </c>
      <c r="H161" s="4" t="str">
        <f>Registered!AX398</f>
        <v/>
      </c>
      <c r="I161" s="4" t="str">
        <f>Registered!AY398</f>
        <v/>
      </c>
    </row>
    <row r="162" spans="1:9" x14ac:dyDescent="0.25">
      <c r="A162" s="4" t="str">
        <f>Registered!B399</f>
        <v>Castillo</v>
      </c>
      <c r="B162" s="4" t="str">
        <f>Registered!A399</f>
        <v>Rebeca</v>
      </c>
      <c r="C162" s="4" t="str">
        <f>IF(Registered!AR399&gt;0,Registered!AR399&amp;" Color Bags", "")</f>
        <v>5 Color Bags</v>
      </c>
      <c r="D162" s="4" t="str">
        <f>IF(Registered!AS399&gt;0,(IF(Registered!AS399=1,Registered!AS399&amp;" T-Shirt",Registered!AS399&amp;" T-Shirts")), "")</f>
        <v/>
      </c>
      <c r="E162" s="4" t="str">
        <f>Registered!AT399</f>
        <v/>
      </c>
      <c r="F162" s="4" t="str">
        <f>Registered!AU399</f>
        <v/>
      </c>
      <c r="G162" s="4" t="str">
        <f>Registered!AW399</f>
        <v/>
      </c>
      <c r="H162" s="4" t="str">
        <f>Registered!AX399</f>
        <v/>
      </c>
      <c r="I162" s="4" t="str">
        <f>Registered!AY399</f>
        <v/>
      </c>
    </row>
    <row r="163" spans="1:9" x14ac:dyDescent="0.25">
      <c r="A163" s="4" t="str">
        <f>Registered!B401</f>
        <v>Castro</v>
      </c>
      <c r="B163" s="4" t="str">
        <f>Registered!A401</f>
        <v>Abril</v>
      </c>
      <c r="C163" s="4" t="str">
        <f>IF(Registered!AR401&gt;0,Registered!AR401&amp;" Color Bags", "")</f>
        <v>15 Color Bags</v>
      </c>
      <c r="D163" s="4" t="str">
        <f>IF(Registered!AS401&gt;0,(IF(Registered!AS401=1,Registered!AS401&amp;" T-Shirt",Registered!AS401&amp;" T-Shirts")), "")</f>
        <v/>
      </c>
      <c r="E163" s="4" t="str">
        <f>Registered!AT401</f>
        <v/>
      </c>
      <c r="F163" s="4" t="str">
        <f>Registered!AU401</f>
        <v/>
      </c>
      <c r="G163" s="4" t="str">
        <f>Registered!AW401</f>
        <v/>
      </c>
      <c r="H163" s="4" t="str">
        <f>Registered!AX401</f>
        <v/>
      </c>
      <c r="I163" s="4" t="str">
        <f>Registered!AY401</f>
        <v/>
      </c>
    </row>
    <row r="164" spans="1:9" x14ac:dyDescent="0.25">
      <c r="A164" s="4" t="str">
        <f>Registered!B404</f>
        <v>Cervantes</v>
      </c>
      <c r="B164" s="4" t="str">
        <f>Registered!A404</f>
        <v>Maritsa</v>
      </c>
      <c r="C164" s="4" t="str">
        <f>IF(Registered!AR404&gt;0,Registered!AR404&amp;" Color Bags", "")</f>
        <v>10 Color Bags</v>
      </c>
      <c r="D164" s="4" t="str">
        <f>IF(Registered!AS404&gt;0,(IF(Registered!AS404=1,Registered!AS404&amp;" T-Shirt",Registered!AS404&amp;" T-Shirts")), "")</f>
        <v/>
      </c>
      <c r="E164" s="4" t="str">
        <f>Registered!AT404</f>
        <v/>
      </c>
      <c r="F164" s="4" t="str">
        <f>Registered!AU404</f>
        <v/>
      </c>
      <c r="G164" s="4" t="str">
        <f>Registered!AW404</f>
        <v/>
      </c>
      <c r="H164" s="4" t="str">
        <f>Registered!AX404</f>
        <v/>
      </c>
      <c r="I164" s="4" t="str">
        <f>Registered!AY404</f>
        <v/>
      </c>
    </row>
    <row r="165" spans="1:9" x14ac:dyDescent="0.25">
      <c r="A165" s="4" t="str">
        <f>Registered!B405</f>
        <v>Chabries</v>
      </c>
      <c r="B165" s="4" t="str">
        <f>Registered!A405</f>
        <v>Tami</v>
      </c>
      <c r="C165" s="4" t="str">
        <f>IF(Registered!AR405&gt;0,Registered!AR405&amp;" Color Bags", "")</f>
        <v>30 Color Bags</v>
      </c>
      <c r="D165" s="4" t="str">
        <f>IF(Registered!AS405&gt;0,(IF(Registered!AS405=1,Registered!AS405&amp;" T-Shirt",Registered!AS405&amp;" T-Shirts")), "")</f>
        <v/>
      </c>
      <c r="E165" s="4" t="str">
        <f>Registered!AT405</f>
        <v/>
      </c>
      <c r="F165" s="4" t="str">
        <f>Registered!AU405</f>
        <v/>
      </c>
      <c r="G165" s="4" t="str">
        <f>Registered!AW405</f>
        <v/>
      </c>
      <c r="H165" s="4" t="str">
        <f>Registered!AX405</f>
        <v/>
      </c>
      <c r="I165" s="4" t="str">
        <f>Registered!AY405</f>
        <v/>
      </c>
    </row>
    <row r="166" spans="1:9" x14ac:dyDescent="0.25">
      <c r="A166" s="4" t="str">
        <f>Registered!B410</f>
        <v>Champion</v>
      </c>
      <c r="B166" s="4" t="str">
        <f>Registered!A410</f>
        <v>Matt</v>
      </c>
      <c r="C166" s="4" t="str">
        <f>IF(Registered!AR410&gt;0,Registered!AR410&amp;" Color Bags", "")</f>
        <v>15 Color Bags</v>
      </c>
      <c r="D166" s="4" t="str">
        <f>IF(Registered!AS410&gt;0,(IF(Registered!AS410=1,Registered!AS410&amp;" T-Shirt",Registered!AS410&amp;" T-Shirts")), "")</f>
        <v/>
      </c>
      <c r="E166" s="4" t="str">
        <f>Registered!AT410</f>
        <v/>
      </c>
      <c r="F166" s="4" t="str">
        <f>Registered!AU410</f>
        <v/>
      </c>
      <c r="G166" s="4" t="str">
        <f>Registered!AW410</f>
        <v/>
      </c>
      <c r="H166" s="4" t="str">
        <f>Registered!AX410</f>
        <v/>
      </c>
      <c r="I166" s="4" t="str">
        <f>Registered!AY410</f>
        <v/>
      </c>
    </row>
    <row r="167" spans="1:9" x14ac:dyDescent="0.25">
      <c r="A167" s="4" t="str">
        <f>Registered!B414</f>
        <v>Chapman</v>
      </c>
      <c r="B167" s="4" t="str">
        <f>Registered!A414</f>
        <v>Kim</v>
      </c>
      <c r="C167" s="4" t="str">
        <f>IF(Registered!AR414&gt;0,Registered!AR414&amp;" Color Bags", "")</f>
        <v>10 Color Bags</v>
      </c>
      <c r="D167" s="4" t="str">
        <f>IF(Registered!AS414&gt;0,(IF(Registered!AS414=1,Registered!AS414&amp;" T-Shirt",Registered!AS414&amp;" T-Shirts")), "")</f>
        <v/>
      </c>
      <c r="E167" s="4" t="str">
        <f>Registered!AT414</f>
        <v/>
      </c>
      <c r="F167" s="4" t="str">
        <f>Registered!AU414</f>
        <v/>
      </c>
      <c r="G167" s="4" t="str">
        <f>Registered!AW414</f>
        <v/>
      </c>
      <c r="H167" s="4" t="str">
        <f>Registered!AX414</f>
        <v/>
      </c>
      <c r="I167" s="4" t="str">
        <f>Registered!AY414</f>
        <v/>
      </c>
    </row>
    <row r="168" spans="1:9" x14ac:dyDescent="0.25">
      <c r="A168" s="4" t="str">
        <f>Registered!B418</f>
        <v>Cherrington</v>
      </c>
      <c r="B168" s="4" t="str">
        <f>Registered!A418</f>
        <v>Amber</v>
      </c>
      <c r="C168" s="4" t="str">
        <f>IF(Registered!AR418&gt;0,Registered!AR418&amp;" Color Bags", "")</f>
        <v>15 Color Bags</v>
      </c>
      <c r="D168" s="4" t="str">
        <f>IF(Registered!AS418&gt;0,(IF(Registered!AS418=1,Registered!AS418&amp;" T-Shirt",Registered!AS418&amp;" T-Shirts")), "")</f>
        <v/>
      </c>
      <c r="E168" s="4" t="str">
        <f>Registered!AT418</f>
        <v/>
      </c>
      <c r="F168" s="4" t="str">
        <f>Registered!AU418</f>
        <v/>
      </c>
      <c r="G168" s="4" t="str">
        <f>Registered!AW418</f>
        <v/>
      </c>
      <c r="H168" s="4" t="str">
        <f>Registered!AX418</f>
        <v/>
      </c>
      <c r="I168" s="4" t="str">
        <f>Registered!AY418</f>
        <v/>
      </c>
    </row>
    <row r="169" spans="1:9" x14ac:dyDescent="0.25">
      <c r="A169" s="4" t="str">
        <f>Registered!B421</f>
        <v>Chilcott</v>
      </c>
      <c r="B169" s="4" t="str">
        <f>Registered!A421</f>
        <v>Troy</v>
      </c>
      <c r="C169" s="4" t="str">
        <f>IF(Registered!AR421&gt;0,Registered!AR421&amp;" Color Bags", "")</f>
        <v>5 Color Bags</v>
      </c>
      <c r="D169" s="4" t="str">
        <f>IF(Registered!AS421&gt;0,(IF(Registered!AS421=1,Registered!AS421&amp;" T-Shirt",Registered!AS421&amp;" T-Shirts")), "")</f>
        <v/>
      </c>
      <c r="E169" s="4" t="str">
        <f>Registered!AT421</f>
        <v/>
      </c>
      <c r="F169" s="4" t="str">
        <f>Registered!AU421</f>
        <v/>
      </c>
      <c r="G169" s="4" t="str">
        <f>Registered!AW421</f>
        <v/>
      </c>
      <c r="H169" s="4" t="str">
        <f>Registered!AX421</f>
        <v/>
      </c>
      <c r="I169" s="4" t="str">
        <f>Registered!AY421</f>
        <v/>
      </c>
    </row>
    <row r="170" spans="1:9" x14ac:dyDescent="0.25">
      <c r="A170" s="4" t="str">
        <f>Registered!B423</f>
        <v>Christensen</v>
      </c>
      <c r="B170" s="4" t="str">
        <f>Registered!A423</f>
        <v>Christy</v>
      </c>
      <c r="C170" s="4" t="str">
        <f>IF(Registered!AR423&gt;0,Registered!AR423&amp;" Color Bags", "")</f>
        <v>10 Color Bags</v>
      </c>
      <c r="D170" s="4" t="str">
        <f>IF(Registered!AS423&gt;0,(IF(Registered!AS423=1,Registered!AS423&amp;" T-Shirt",Registered!AS423&amp;" T-Shirts")), "")</f>
        <v>1 T-Shirt</v>
      </c>
      <c r="E170" s="4" t="str">
        <f>Registered!AT423</f>
        <v>Extra small or small adult</v>
      </c>
      <c r="F170" s="4" t="str">
        <f>Registered!AU423</f>
        <v/>
      </c>
      <c r="G170" s="4" t="str">
        <f>Registered!AW423</f>
        <v>2 Meals</v>
      </c>
      <c r="H170" s="4" t="str">
        <f>Registered!AX423</f>
        <v/>
      </c>
      <c r="I170" s="4" t="str">
        <f>Registered!AY423</f>
        <v/>
      </c>
    </row>
    <row r="171" spans="1:9" x14ac:dyDescent="0.25">
      <c r="A171" s="4" t="str">
        <f>Registered!B422</f>
        <v>Christensen</v>
      </c>
      <c r="B171" s="4" t="str">
        <f>Registered!A422</f>
        <v>Brent</v>
      </c>
      <c r="C171" s="4" t="str">
        <f>IF(Registered!AR422&gt;0,Registered!AR422&amp;" Color Bags", "")</f>
        <v>20 Color Bags</v>
      </c>
      <c r="D171" s="4" t="str">
        <f>IF(Registered!AS422&gt;0,(IF(Registered!AS422=1,Registered!AS422&amp;" T-Shirt",Registered!AS422&amp;" T-Shirts")), "")</f>
        <v/>
      </c>
      <c r="E171" s="4" t="str">
        <f>Registered!AT422</f>
        <v/>
      </c>
      <c r="F171" s="4" t="str">
        <f>Registered!AU422</f>
        <v/>
      </c>
      <c r="G171" s="4" t="str">
        <f>Registered!AW422</f>
        <v/>
      </c>
      <c r="H171" s="4" t="str">
        <f>Registered!AX422</f>
        <v/>
      </c>
      <c r="I171" s="4" t="str">
        <f>Registered!AY422</f>
        <v>5 DustMask</v>
      </c>
    </row>
    <row r="172" spans="1:9" x14ac:dyDescent="0.25">
      <c r="A172" s="4" t="str">
        <f>Registered!B425</f>
        <v>Christensen</v>
      </c>
      <c r="B172" s="4" t="str">
        <f>Registered!A425</f>
        <v>Dennis</v>
      </c>
      <c r="C172" s="4" t="str">
        <f>IF(Registered!AR425&gt;0,Registered!AR425&amp;" Color Bags", "")</f>
        <v>5 Color Bags</v>
      </c>
      <c r="D172" s="4" t="str">
        <f>IF(Registered!AS425&gt;0,(IF(Registered!AS425=1,Registered!AS425&amp;" T-Shirt",Registered!AS425&amp;" T-Shirts")), "")</f>
        <v/>
      </c>
      <c r="E172" s="4" t="str">
        <f>Registered!AT425</f>
        <v/>
      </c>
      <c r="F172" s="4" t="str">
        <f>Registered!AU425</f>
        <v/>
      </c>
      <c r="G172" s="4" t="str">
        <f>Registered!AW425</f>
        <v/>
      </c>
      <c r="H172" s="4" t="str">
        <f>Registered!AX425</f>
        <v/>
      </c>
      <c r="I172" s="4" t="str">
        <f>Registered!AY425</f>
        <v/>
      </c>
    </row>
    <row r="173" spans="1:9" x14ac:dyDescent="0.25">
      <c r="A173" s="4" t="str">
        <f>Registered!B427</f>
        <v>Christensen</v>
      </c>
      <c r="B173" s="4" t="str">
        <f>Registered!A427</f>
        <v>Megan</v>
      </c>
      <c r="C173" s="4" t="str">
        <f>IF(Registered!AR427&gt;0,Registered!AR427&amp;" Color Bags", "")</f>
        <v>5 Color Bags</v>
      </c>
      <c r="D173" s="4" t="str">
        <f>IF(Registered!AS427&gt;0,(IF(Registered!AS427=1,Registered!AS427&amp;" T-Shirt",Registered!AS427&amp;" T-Shirts")), "")</f>
        <v/>
      </c>
      <c r="E173" s="4" t="str">
        <f>Registered!AT427</f>
        <v/>
      </c>
      <c r="F173" s="4" t="str">
        <f>Registered!AU427</f>
        <v/>
      </c>
      <c r="G173" s="4" t="str">
        <f>Registered!AW427</f>
        <v/>
      </c>
      <c r="H173" s="4" t="str">
        <f>Registered!AX427</f>
        <v/>
      </c>
      <c r="I173" s="4" t="str">
        <f>Registered!AY427</f>
        <v/>
      </c>
    </row>
    <row r="174" spans="1:9" x14ac:dyDescent="0.25">
      <c r="A174" s="4" t="str">
        <f>Registered!B429</f>
        <v>Christian</v>
      </c>
      <c r="B174" s="4" t="str">
        <f>Registered!A429</f>
        <v>Carly</v>
      </c>
      <c r="C174" s="4" t="str">
        <f>IF(Registered!AR429&gt;0,Registered!AR429&amp;" Color Bags", "")</f>
        <v>5 Color Bags</v>
      </c>
      <c r="D174" s="4" t="str">
        <f>IF(Registered!AS429&gt;0,(IF(Registered!AS429=1,Registered!AS429&amp;" T-Shirt",Registered!AS429&amp;" T-Shirts")), "")</f>
        <v/>
      </c>
      <c r="E174" s="4" t="str">
        <f>Registered!AT429</f>
        <v/>
      </c>
      <c r="F174" s="4" t="str">
        <f>Registered!AU429</f>
        <v/>
      </c>
      <c r="G174" s="4" t="str">
        <f>Registered!AW429</f>
        <v/>
      </c>
      <c r="H174" s="4" t="str">
        <f>Registered!AX429</f>
        <v/>
      </c>
      <c r="I174" s="4" t="str">
        <f>Registered!AY429</f>
        <v/>
      </c>
    </row>
    <row r="175" spans="1:9" x14ac:dyDescent="0.25">
      <c r="A175" s="4" t="str">
        <f>Registered!B430</f>
        <v>Christiansen</v>
      </c>
      <c r="B175" s="4" t="str">
        <f>Registered!A430</f>
        <v>Sarah</v>
      </c>
      <c r="C175" s="4" t="str">
        <f>IF(Registered!AR430&gt;0,Registered!AR430&amp;" Color Bags", "")</f>
        <v>5 Color Bags</v>
      </c>
      <c r="D175" s="4" t="str">
        <f>IF(Registered!AS430&gt;0,(IF(Registered!AS430=1,Registered!AS430&amp;" T-Shirt",Registered!AS430&amp;" T-Shirts")), "")</f>
        <v/>
      </c>
      <c r="E175" s="4" t="str">
        <f>Registered!AT430</f>
        <v/>
      </c>
      <c r="F175" s="4" t="str">
        <f>Registered!AU430</f>
        <v/>
      </c>
      <c r="G175" s="4" t="str">
        <f>Registered!AW430</f>
        <v/>
      </c>
      <c r="H175" s="4" t="str">
        <f>Registered!AX430</f>
        <v/>
      </c>
      <c r="I175" s="4" t="str">
        <f>Registered!AY430</f>
        <v/>
      </c>
    </row>
    <row r="176" spans="1:9" x14ac:dyDescent="0.25">
      <c r="A176" s="4" t="str">
        <f>Registered!B431</f>
        <v>Church</v>
      </c>
      <c r="B176" s="4" t="str">
        <f>Registered!A431</f>
        <v>Kristen</v>
      </c>
      <c r="C176" s="4" t="str">
        <f>IF(Registered!AR431&gt;0,Registered!AR431&amp;" Color Bags", "")</f>
        <v>10 Color Bags</v>
      </c>
      <c r="D176" s="4" t="str">
        <f>IF(Registered!AS431&gt;0,(IF(Registered!AS431=1,Registered!AS431&amp;" T-Shirt",Registered!AS431&amp;" T-Shirts")), "")</f>
        <v/>
      </c>
      <c r="E176" s="4" t="str">
        <f>Registered!AT431</f>
        <v/>
      </c>
      <c r="F176" s="4" t="str">
        <f>Registered!AU431</f>
        <v/>
      </c>
      <c r="G176" s="4" t="str">
        <f>Registered!AW431</f>
        <v>1 Meal</v>
      </c>
      <c r="H176" s="4" t="str">
        <f>Registered!AX431</f>
        <v/>
      </c>
      <c r="I176" s="4" t="str">
        <f>Registered!AY431</f>
        <v/>
      </c>
    </row>
    <row r="177" spans="1:9" x14ac:dyDescent="0.25">
      <c r="A177" s="4" t="str">
        <f>Registered!B432</f>
        <v>Ciacchella</v>
      </c>
      <c r="B177" s="4" t="str">
        <f>Registered!A432</f>
        <v>Cristina</v>
      </c>
      <c r="C177" s="4" t="str">
        <f>IF(Registered!AR432&gt;0,Registered!AR432&amp;" Color Bags", "")</f>
        <v>5 Color Bags</v>
      </c>
      <c r="D177" s="4" t="str">
        <f>IF(Registered!AS432&gt;0,(IF(Registered!AS432=1,Registered!AS432&amp;" T-Shirt",Registered!AS432&amp;" T-Shirts")), "")</f>
        <v/>
      </c>
      <c r="E177" s="4" t="str">
        <f>Registered!AT432</f>
        <v/>
      </c>
      <c r="F177" s="4" t="str">
        <f>Registered!AU432</f>
        <v/>
      </c>
      <c r="G177" s="4" t="str">
        <f>Registered!AW432</f>
        <v/>
      </c>
      <c r="H177" s="4" t="str">
        <f>Registered!AX432</f>
        <v/>
      </c>
      <c r="I177" s="4" t="str">
        <f>Registered!AY432</f>
        <v/>
      </c>
    </row>
    <row r="178" spans="1:9" x14ac:dyDescent="0.25">
      <c r="A178" s="4" t="str">
        <f>Registered!B433</f>
        <v>Cihi</v>
      </c>
      <c r="B178" s="4" t="str">
        <f>Registered!A433</f>
        <v>Brianna</v>
      </c>
      <c r="C178" s="4" t="str">
        <f>IF(Registered!AR433&gt;0,Registered!AR433&amp;" Color Bags", "")</f>
        <v>10 Color Bags</v>
      </c>
      <c r="D178" s="4" t="str">
        <f>IF(Registered!AS433&gt;0,(IF(Registered!AS433=1,Registered!AS433&amp;" T-Shirt",Registered!AS433&amp;" T-Shirts")), "")</f>
        <v/>
      </c>
      <c r="E178" s="4" t="str">
        <f>Registered!AT433</f>
        <v/>
      </c>
      <c r="F178" s="4" t="str">
        <f>Registered!AU433</f>
        <v/>
      </c>
      <c r="G178" s="4" t="str">
        <f>Registered!AW433</f>
        <v/>
      </c>
      <c r="H178" s="4" t="str">
        <f>Registered!AX433</f>
        <v/>
      </c>
      <c r="I178" s="4" t="str">
        <f>Registered!AY433</f>
        <v/>
      </c>
    </row>
    <row r="179" spans="1:9" x14ac:dyDescent="0.25">
      <c r="A179" s="4" t="str">
        <f>Registered!B434</f>
        <v>Clancy</v>
      </c>
      <c r="B179" s="4" t="str">
        <f>Registered!A434</f>
        <v>Veronica</v>
      </c>
      <c r="C179" s="4" t="str">
        <f>IF(Registered!AR434&gt;0,Registered!AR434&amp;" Color Bags", "")</f>
        <v>10 Color Bags</v>
      </c>
      <c r="D179" s="4" t="str">
        <f>IF(Registered!AS434&gt;0,(IF(Registered!AS434=1,Registered!AS434&amp;" T-Shirt",Registered!AS434&amp;" T-Shirts")), "")</f>
        <v/>
      </c>
      <c r="E179" s="4" t="str">
        <f>Registered!AT434</f>
        <v/>
      </c>
      <c r="F179" s="4" t="str">
        <f>Registered!AU434</f>
        <v/>
      </c>
      <c r="G179" s="4" t="str">
        <f>Registered!AW434</f>
        <v/>
      </c>
      <c r="H179" s="4" t="str">
        <f>Registered!AX434</f>
        <v/>
      </c>
      <c r="I179" s="4" t="str">
        <f>Registered!AY434</f>
        <v/>
      </c>
    </row>
    <row r="180" spans="1:9" x14ac:dyDescent="0.25">
      <c r="A180" s="4" t="str">
        <f>Registered!B437</f>
        <v>Clarke</v>
      </c>
      <c r="B180" s="4" t="str">
        <f>Registered!A437</f>
        <v>Annastasia</v>
      </c>
      <c r="C180" s="4" t="str">
        <f>IF(Registered!AR437&gt;0,Registered!AR437&amp;" Color Bags", "")</f>
        <v>10 Color Bags</v>
      </c>
      <c r="D180" s="4" t="str">
        <f>IF(Registered!AS437&gt;0,(IF(Registered!AS437=1,Registered!AS437&amp;" T-Shirt",Registered!AS437&amp;" T-Shirts")), "")</f>
        <v/>
      </c>
      <c r="E180" s="4" t="str">
        <f>Registered!AT437</f>
        <v/>
      </c>
      <c r="F180" s="4" t="str">
        <f>Registered!AU437</f>
        <v/>
      </c>
      <c r="G180" s="4" t="str">
        <f>Registered!AW437</f>
        <v/>
      </c>
      <c r="H180" s="4" t="str">
        <f>Registered!AX437</f>
        <v/>
      </c>
      <c r="I180" s="4" t="str">
        <f>Registered!AY437</f>
        <v/>
      </c>
    </row>
    <row r="181" spans="1:9" x14ac:dyDescent="0.25">
      <c r="A181" s="4" t="str">
        <f>Registered!B438</f>
        <v>Classon</v>
      </c>
      <c r="B181" s="4" t="str">
        <f>Registered!A438</f>
        <v>Gracie</v>
      </c>
      <c r="C181" s="4" t="str">
        <f>IF(Registered!AR438&gt;0,Registered!AR438&amp;" Color Bags", "")</f>
        <v>5 Color Bags</v>
      </c>
      <c r="D181" s="4" t="str">
        <f>IF(Registered!AS438&gt;0,(IF(Registered!AS438=1,Registered!AS438&amp;" T-Shirt",Registered!AS438&amp;" T-Shirts")), "")</f>
        <v/>
      </c>
      <c r="E181" s="4" t="str">
        <f>Registered!AT438</f>
        <v/>
      </c>
      <c r="F181" s="4" t="str">
        <f>Registered!AU438</f>
        <v/>
      </c>
      <c r="G181" s="4" t="str">
        <f>Registered!AW438</f>
        <v/>
      </c>
      <c r="H181" s="4" t="str">
        <f>Registered!AX438</f>
        <v/>
      </c>
      <c r="I181" s="4" t="str">
        <f>Registered!AY438</f>
        <v/>
      </c>
    </row>
    <row r="182" spans="1:9" x14ac:dyDescent="0.25">
      <c r="A182" s="4" t="str">
        <f>Registered!B439</f>
        <v>Clawson</v>
      </c>
      <c r="B182" s="4" t="str">
        <f>Registered!A439</f>
        <v>Lacy</v>
      </c>
      <c r="C182" s="4" t="str">
        <f>IF(Registered!AR439&gt;0,Registered!AR439&amp;" Color Bags", "")</f>
        <v>20 Color Bags</v>
      </c>
      <c r="D182" s="4" t="str">
        <f>IF(Registered!AS439&gt;0,(IF(Registered!AS439=1,Registered!AS439&amp;" T-Shirt",Registered!AS439&amp;" T-Shirts")), "")</f>
        <v/>
      </c>
      <c r="E182" s="4" t="str">
        <f>Registered!AT439</f>
        <v/>
      </c>
      <c r="F182" s="4" t="str">
        <f>Registered!AU439</f>
        <v/>
      </c>
      <c r="G182" s="4" t="str">
        <f>Registered!AW439</f>
        <v/>
      </c>
      <c r="H182" s="4" t="str">
        <f>Registered!AX439</f>
        <v/>
      </c>
      <c r="I182" s="4" t="str">
        <f>Registered!AY439</f>
        <v/>
      </c>
    </row>
    <row r="183" spans="1:9" x14ac:dyDescent="0.25">
      <c r="A183" s="4" t="str">
        <f>Registered!B440</f>
        <v>Clawson</v>
      </c>
      <c r="B183" s="4" t="str">
        <f>Registered!A440</f>
        <v>Savannah</v>
      </c>
      <c r="C183" s="4" t="str">
        <f>IF(Registered!AR440&gt;0,Registered!AR440&amp;" Color Bags", "")</f>
        <v>5 Color Bags</v>
      </c>
      <c r="D183" s="4" t="str">
        <f>IF(Registered!AS440&gt;0,(IF(Registered!AS440=1,Registered!AS440&amp;" T-Shirt",Registered!AS440&amp;" T-Shirts")), "")</f>
        <v/>
      </c>
      <c r="E183" s="4" t="str">
        <f>Registered!AT440</f>
        <v/>
      </c>
      <c r="F183" s="4" t="str">
        <f>Registered!AU440</f>
        <v/>
      </c>
      <c r="G183" s="4" t="str">
        <f>Registered!AW440</f>
        <v/>
      </c>
      <c r="H183" s="4" t="str">
        <f>Registered!AX440</f>
        <v/>
      </c>
      <c r="I183" s="4" t="str">
        <f>Registered!AY440</f>
        <v/>
      </c>
    </row>
    <row r="184" spans="1:9" x14ac:dyDescent="0.25">
      <c r="A184" s="4" t="str">
        <f>Registered!B443</f>
        <v>Clements</v>
      </c>
      <c r="B184" s="4" t="str">
        <f>Registered!A443</f>
        <v>Nicole</v>
      </c>
      <c r="C184" s="4" t="str">
        <f>IF(Registered!AR443&gt;0,Registered!AR443&amp;" Color Bags", "")</f>
        <v>10 Color Bags</v>
      </c>
      <c r="D184" s="4" t="str">
        <f>IF(Registered!AS443&gt;0,(IF(Registered!AS443=1,Registered!AS443&amp;" T-Shirt",Registered!AS443&amp;" T-Shirts")), "")</f>
        <v/>
      </c>
      <c r="E184" s="4" t="str">
        <f>Registered!AT443</f>
        <v/>
      </c>
      <c r="F184" s="4" t="str">
        <f>Registered!AU443</f>
        <v/>
      </c>
      <c r="G184" s="4" t="str">
        <f>Registered!AW443</f>
        <v/>
      </c>
      <c r="H184" s="4" t="str">
        <f>Registered!AX443</f>
        <v/>
      </c>
      <c r="I184" s="4" t="str">
        <f>Registered!AY443</f>
        <v/>
      </c>
    </row>
    <row r="185" spans="1:9" x14ac:dyDescent="0.25">
      <c r="A185" s="4" t="str">
        <f>Registered!B444</f>
        <v>Cloe</v>
      </c>
      <c r="B185" s="4" t="str">
        <f>Registered!A444</f>
        <v>Emily</v>
      </c>
      <c r="C185" s="4" t="str">
        <f>IF(Registered!AR444&gt;0,Registered!AR444&amp;" Color Bags", "")</f>
        <v>5 Color Bags</v>
      </c>
      <c r="D185" s="4" t="str">
        <f>IF(Registered!AS444&gt;0,(IF(Registered!AS444=1,Registered!AS444&amp;" T-Shirt",Registered!AS444&amp;" T-Shirts")), "")</f>
        <v/>
      </c>
      <c r="E185" s="4" t="str">
        <f>Registered!AT444</f>
        <v/>
      </c>
      <c r="F185" s="4" t="str">
        <f>Registered!AU444</f>
        <v/>
      </c>
      <c r="G185" s="4" t="str">
        <f>Registered!AW444</f>
        <v/>
      </c>
      <c r="H185" s="4" t="str">
        <f>Registered!AX444</f>
        <v/>
      </c>
      <c r="I185" s="4" t="str">
        <f>Registered!AY444</f>
        <v/>
      </c>
    </row>
    <row r="186" spans="1:9" x14ac:dyDescent="0.25">
      <c r="A186" s="4" t="str">
        <f>Registered!B449</f>
        <v>Cluff</v>
      </c>
      <c r="B186" s="4" t="str">
        <f>Registered!A449</f>
        <v>Karen</v>
      </c>
      <c r="C186" s="4" t="str">
        <f>IF(Registered!AR449&gt;0,Registered!AR449&amp;" Color Bags", "")</f>
        <v>10 Color Bags</v>
      </c>
      <c r="D186" s="4" t="str">
        <f>IF(Registered!AS449&gt;0,(IF(Registered!AS449=1,Registered!AS449&amp;" T-Shirt",Registered!AS449&amp;" T-Shirts")), "")</f>
        <v/>
      </c>
      <c r="E186" s="4" t="str">
        <f>Registered!AT449</f>
        <v/>
      </c>
      <c r="F186" s="4" t="str">
        <f>Registered!AU449</f>
        <v/>
      </c>
      <c r="G186" s="4" t="str">
        <f>Registered!AW449</f>
        <v/>
      </c>
      <c r="H186" s="4" t="str">
        <f>Registered!AX449</f>
        <v/>
      </c>
      <c r="I186" s="4" t="str">
        <f>Registered!AY449</f>
        <v/>
      </c>
    </row>
    <row r="187" spans="1:9" x14ac:dyDescent="0.25">
      <c r="A187" s="4" t="str">
        <f>Registered!B453</f>
        <v>Cole</v>
      </c>
      <c r="B187" s="4" t="str">
        <f>Registered!A453</f>
        <v>Chrystl</v>
      </c>
      <c r="C187" s="4" t="str">
        <f>IF(Registered!AR453&gt;0,Registered!AR453&amp;" Color Bags", "")</f>
        <v>5 Color Bags</v>
      </c>
      <c r="D187" s="4" t="str">
        <f>IF(Registered!AS453&gt;0,(IF(Registered!AS453=1,Registered!AS453&amp;" T-Shirt",Registered!AS453&amp;" T-Shirts")), "")</f>
        <v>1 T-Shirt</v>
      </c>
      <c r="E187" s="4" t="str">
        <f>Registered!AT453</f>
        <v>Large</v>
      </c>
      <c r="F187" s="4" t="str">
        <f>Registered!AU453</f>
        <v>1 Bandana</v>
      </c>
      <c r="G187" s="4" t="str">
        <f>Registered!AW453</f>
        <v/>
      </c>
      <c r="H187" s="4" t="str">
        <f>Registered!AX453</f>
        <v/>
      </c>
      <c r="I187" s="4" t="str">
        <f>Registered!AY453</f>
        <v/>
      </c>
    </row>
    <row r="188" spans="1:9" x14ac:dyDescent="0.25">
      <c r="A188" s="4" t="str">
        <f>Registered!B456</f>
        <v>Coleman</v>
      </c>
      <c r="B188" s="4" t="str">
        <f>Registered!A456</f>
        <v>McKenzie</v>
      </c>
      <c r="C188" s="4" t="str">
        <f>IF(Registered!AR456&gt;0,Registered!AR456&amp;" Color Bags", "")</f>
        <v>10 Color Bags</v>
      </c>
      <c r="D188" s="4" t="str">
        <f>IF(Registered!AS456&gt;0,(IF(Registered!AS456=1,Registered!AS456&amp;" T-Shirt",Registered!AS456&amp;" T-Shirts")), "")</f>
        <v/>
      </c>
      <c r="E188" s="4" t="str">
        <f>Registered!AT456</f>
        <v/>
      </c>
      <c r="F188" s="4" t="str">
        <f>Registered!AU456</f>
        <v/>
      </c>
      <c r="G188" s="4" t="str">
        <f>Registered!AW456</f>
        <v/>
      </c>
      <c r="H188" s="4" t="str">
        <f>Registered!AX456</f>
        <v/>
      </c>
      <c r="I188" s="4" t="str">
        <f>Registered!AY456</f>
        <v/>
      </c>
    </row>
    <row r="189" spans="1:9" x14ac:dyDescent="0.25">
      <c r="A189" s="4" t="str">
        <f>Registered!B455</f>
        <v>Coleman</v>
      </c>
      <c r="B189" s="4" t="str">
        <f>Registered!A455</f>
        <v>Cora</v>
      </c>
      <c r="C189" s="4" t="str">
        <f>IF(Registered!AR455&gt;0,Registered!AR455&amp;" Color Bags", "")</f>
        <v>15 Color Bags</v>
      </c>
      <c r="D189" s="4" t="str">
        <f>IF(Registered!AS455&gt;0,(IF(Registered!AS455=1,Registered!AS455&amp;" T-Shirt",Registered!AS455&amp;" T-Shirts")), "")</f>
        <v/>
      </c>
      <c r="E189" s="4" t="str">
        <f>Registered!AT455</f>
        <v/>
      </c>
      <c r="F189" s="4" t="str">
        <f>Registered!AU455</f>
        <v/>
      </c>
      <c r="G189" s="4" t="str">
        <f>Registered!AW455</f>
        <v/>
      </c>
      <c r="H189" s="4" t="str">
        <f>Registered!AX455</f>
        <v/>
      </c>
      <c r="I189" s="4" t="str">
        <f>Registered!AY455</f>
        <v/>
      </c>
    </row>
    <row r="190" spans="1:9" x14ac:dyDescent="0.25">
      <c r="A190" s="4" t="str">
        <f>Registered!B454</f>
        <v>Coleman</v>
      </c>
      <c r="B190" s="4" t="str">
        <f>Registered!A454</f>
        <v>Brittany</v>
      </c>
      <c r="C190" s="4" t="str">
        <f>IF(Registered!AR454&gt;0,Registered!AR454&amp;" Color Bags", "")</f>
        <v>5 Color Bags</v>
      </c>
      <c r="D190" s="4" t="str">
        <f>IF(Registered!AS454&gt;0,(IF(Registered!AS454=1,Registered!AS454&amp;" T-Shirt",Registered!AS454&amp;" T-Shirts")), "")</f>
        <v>1 T-Shirt</v>
      </c>
      <c r="E190" s="4" t="str">
        <f>Registered!AT454</f>
        <v>Women's XL</v>
      </c>
      <c r="F190" s="4" t="str">
        <f>Registered!AU454</f>
        <v>1 Bandana</v>
      </c>
      <c r="G190" s="4" t="str">
        <f>Registered!AW454</f>
        <v/>
      </c>
      <c r="H190" s="4" t="str">
        <f>Registered!AX454</f>
        <v/>
      </c>
      <c r="I190" s="4" t="str">
        <f>Registered!AY454</f>
        <v/>
      </c>
    </row>
    <row r="191" spans="1:9" x14ac:dyDescent="0.25">
      <c r="A191" s="4" t="str">
        <f>Registered!B465</f>
        <v>Comp</v>
      </c>
      <c r="B191" s="4" t="str">
        <f>Registered!A465</f>
        <v>Michael</v>
      </c>
      <c r="C191" s="4" t="str">
        <f>IF(Registered!AR465&gt;0,Registered!AR465&amp;" Color Bags", "")</f>
        <v>5 Color Bags</v>
      </c>
      <c r="D191" s="4" t="str">
        <f>IF(Registered!AS465&gt;0,(IF(Registered!AS465=1,Registered!AS465&amp;" T-Shirt",Registered!AS465&amp;" T-Shirts")), "")</f>
        <v/>
      </c>
      <c r="E191" s="4" t="str">
        <f>Registered!AT465</f>
        <v/>
      </c>
      <c r="F191" s="4" t="str">
        <f>Registered!AU465</f>
        <v/>
      </c>
      <c r="G191" s="4" t="str">
        <f>Registered!AW465</f>
        <v/>
      </c>
      <c r="H191" s="4" t="str">
        <f>Registered!AX465</f>
        <v/>
      </c>
      <c r="I191" s="4" t="str">
        <f>Registered!AY465</f>
        <v/>
      </c>
    </row>
    <row r="192" spans="1:9" x14ac:dyDescent="0.25">
      <c r="A192" s="4" t="str">
        <f>Registered!B467</f>
        <v>Compton</v>
      </c>
      <c r="B192" s="4" t="str">
        <f>Registered!A467</f>
        <v>Rebecca</v>
      </c>
      <c r="C192" s="4" t="str">
        <f>IF(Registered!AR467&gt;0,Registered!AR467&amp;" Color Bags", "")</f>
        <v>20 Color Bags</v>
      </c>
      <c r="D192" s="4" t="str">
        <f>IF(Registered!AS467&gt;0,(IF(Registered!AS467=1,Registered!AS467&amp;" T-Shirt",Registered!AS467&amp;" T-Shirts")), "")</f>
        <v/>
      </c>
      <c r="E192" s="4" t="str">
        <f>Registered!AT467</f>
        <v/>
      </c>
      <c r="F192" s="4" t="str">
        <f>Registered!AU467</f>
        <v/>
      </c>
      <c r="G192" s="4" t="str">
        <f>Registered!AW467</f>
        <v/>
      </c>
      <c r="H192" s="4" t="str">
        <f>Registered!AX467</f>
        <v/>
      </c>
      <c r="I192" s="4" t="str">
        <f>Registered!AY467</f>
        <v/>
      </c>
    </row>
    <row r="193" spans="1:9" x14ac:dyDescent="0.25">
      <c r="A193" s="4" t="str">
        <f>Registered!B472</f>
        <v>Conner</v>
      </c>
      <c r="B193" s="4" t="str">
        <f>Registered!A472</f>
        <v>Raquel</v>
      </c>
      <c r="C193" s="4" t="str">
        <f>IF(Registered!AR472&gt;0,Registered!AR472&amp;" Color Bags", "")</f>
        <v>10 Color Bags</v>
      </c>
      <c r="D193" s="4" t="str">
        <f>IF(Registered!AS472&gt;0,(IF(Registered!AS472=1,Registered!AS472&amp;" T-Shirt",Registered!AS472&amp;" T-Shirts")), "")</f>
        <v/>
      </c>
      <c r="E193" s="4" t="str">
        <f>Registered!AT472</f>
        <v/>
      </c>
      <c r="F193" s="4" t="str">
        <f>Registered!AU472</f>
        <v/>
      </c>
      <c r="G193" s="4" t="str">
        <f>Registered!AW472</f>
        <v/>
      </c>
      <c r="H193" s="4" t="str">
        <f>Registered!AX472</f>
        <v/>
      </c>
      <c r="I193" s="4" t="str">
        <f>Registered!AY472</f>
        <v/>
      </c>
    </row>
    <row r="194" spans="1:9" x14ac:dyDescent="0.25">
      <c r="A194" s="4" t="str">
        <f>Registered!B474</f>
        <v>Connor</v>
      </c>
      <c r="B194" s="4" t="str">
        <f>Registered!A474</f>
        <v>Lisa</v>
      </c>
      <c r="C194" s="4" t="str">
        <f>IF(Registered!AR474&gt;0,Registered!AR474&amp;" Color Bags", "")</f>
        <v>5 Color Bags</v>
      </c>
      <c r="D194" s="4" t="str">
        <f>IF(Registered!AS474&gt;0,(IF(Registered!AS474=1,Registered!AS474&amp;" T-Shirt",Registered!AS474&amp;" T-Shirts")), "")</f>
        <v/>
      </c>
      <c r="E194" s="4" t="str">
        <f>Registered!AT474</f>
        <v/>
      </c>
      <c r="F194" s="4" t="str">
        <f>Registered!AU474</f>
        <v/>
      </c>
      <c r="G194" s="4" t="str">
        <f>Registered!AW474</f>
        <v/>
      </c>
      <c r="H194" s="4" t="str">
        <f>Registered!AX474</f>
        <v/>
      </c>
      <c r="I194" s="4" t="str">
        <f>Registered!AY474</f>
        <v/>
      </c>
    </row>
    <row r="195" spans="1:9" x14ac:dyDescent="0.25">
      <c r="A195" s="4" t="str">
        <f>Registered!B477</f>
        <v>Contos</v>
      </c>
      <c r="B195" s="4" t="str">
        <f>Registered!A477</f>
        <v>Cindy</v>
      </c>
      <c r="C195" s="4" t="str">
        <f>IF(Registered!AR477&gt;0,Registered!AR477&amp;" Color Bags", "")</f>
        <v>5 Color Bags</v>
      </c>
      <c r="D195" s="4" t="str">
        <f>IF(Registered!AS477&gt;0,(IF(Registered!AS477=1,Registered!AS477&amp;" T-Shirt",Registered!AS477&amp;" T-Shirts")), "")</f>
        <v>1 T-Shirt</v>
      </c>
      <c r="E195" s="4" t="str">
        <f>Registered!AT477</f>
        <v>Adult small</v>
      </c>
      <c r="F195" s="4" t="str">
        <f>Registered!AU477</f>
        <v/>
      </c>
      <c r="G195" s="4" t="str">
        <f>Registered!AW477</f>
        <v/>
      </c>
      <c r="H195" s="4" t="str">
        <f>Registered!AX477</f>
        <v/>
      </c>
      <c r="I195" s="4" t="str">
        <f>Registered!AY477</f>
        <v/>
      </c>
    </row>
    <row r="196" spans="1:9" x14ac:dyDescent="0.25">
      <c r="A196" s="4" t="str">
        <f>Registered!B480</f>
        <v>Cook</v>
      </c>
      <c r="B196" s="4" t="str">
        <f>Registered!A480</f>
        <v>Chelise</v>
      </c>
      <c r="C196" s="4" t="str">
        <f>IF(Registered!AR480&gt;0,Registered!AR480&amp;" Color Bags", "")</f>
        <v>10 Color Bags</v>
      </c>
      <c r="D196" s="4" t="str">
        <f>IF(Registered!AS480&gt;0,(IF(Registered!AS480=1,Registered!AS480&amp;" T-Shirt",Registered!AS480&amp;" T-Shirts")), "")</f>
        <v/>
      </c>
      <c r="E196" s="4" t="str">
        <f>Registered!AT480</f>
        <v/>
      </c>
      <c r="F196" s="4" t="str">
        <f>Registered!AU480</f>
        <v/>
      </c>
      <c r="G196" s="4" t="str">
        <f>Registered!AW480</f>
        <v/>
      </c>
      <c r="H196" s="4" t="str">
        <f>Registered!AX480</f>
        <v/>
      </c>
      <c r="I196" s="4" t="str">
        <f>Registered!AY480</f>
        <v/>
      </c>
    </row>
    <row r="197" spans="1:9" x14ac:dyDescent="0.25">
      <c r="A197" s="4" t="str">
        <f>Registered!B481</f>
        <v>Cook</v>
      </c>
      <c r="B197" s="4" t="str">
        <f>Registered!A481</f>
        <v>Mike</v>
      </c>
      <c r="C197" s="4" t="str">
        <f>IF(Registered!AR481&gt;0,Registered!AR481&amp;" Color Bags", "")</f>
        <v>10 Color Bags</v>
      </c>
      <c r="D197" s="4" t="str">
        <f>IF(Registered!AS481&gt;0,(IF(Registered!AS481=1,Registered!AS481&amp;" T-Shirt",Registered!AS481&amp;" T-Shirts")), "")</f>
        <v/>
      </c>
      <c r="E197" s="4" t="str">
        <f>Registered!AT481</f>
        <v/>
      </c>
      <c r="F197" s="4" t="str">
        <f>Registered!AU481</f>
        <v/>
      </c>
      <c r="G197" s="4" t="str">
        <f>Registered!AW481</f>
        <v/>
      </c>
      <c r="H197" s="4" t="str">
        <f>Registered!AX481</f>
        <v/>
      </c>
      <c r="I197" s="4" t="str">
        <f>Registered!AY481</f>
        <v/>
      </c>
    </row>
    <row r="198" spans="1:9" x14ac:dyDescent="0.25">
      <c r="A198" s="4" t="str">
        <f>Registered!B482</f>
        <v>Cook</v>
      </c>
      <c r="B198" s="4" t="str">
        <f>Registered!A482</f>
        <v>Neichel</v>
      </c>
      <c r="C198" s="4" t="str">
        <f>IF(Registered!AR482&gt;0,Registered!AR482&amp;" Color Bags", "")</f>
        <v>10 Color Bags</v>
      </c>
      <c r="D198" s="4" t="str">
        <f>IF(Registered!AS482&gt;0,(IF(Registered!AS482=1,Registered!AS482&amp;" T-Shirt",Registered!AS482&amp;" T-Shirts")), "")</f>
        <v/>
      </c>
      <c r="E198" s="4" t="str">
        <f>Registered!AT482</f>
        <v/>
      </c>
      <c r="F198" s="4" t="str">
        <f>Registered!AU482</f>
        <v/>
      </c>
      <c r="G198" s="4" t="str">
        <f>Registered!AW482</f>
        <v/>
      </c>
      <c r="H198" s="4" t="str">
        <f>Registered!AX482</f>
        <v/>
      </c>
      <c r="I198" s="4" t="str">
        <f>Registered!AY482</f>
        <v>1 DustMask</v>
      </c>
    </row>
    <row r="199" spans="1:9" x14ac:dyDescent="0.25">
      <c r="A199" s="4" t="str">
        <f>Registered!B483</f>
        <v>Cook</v>
      </c>
      <c r="B199" s="4" t="str">
        <f>Registered!A483</f>
        <v>Peyton</v>
      </c>
      <c r="C199" s="4" t="str">
        <f>IF(Registered!AR483&gt;0,Registered!AR483&amp;" Color Bags", "")</f>
        <v>10 Color Bags</v>
      </c>
      <c r="D199" s="4" t="str">
        <f>IF(Registered!AS483&gt;0,(IF(Registered!AS483=1,Registered!AS483&amp;" T-Shirt",Registered!AS483&amp;" T-Shirts")), "")</f>
        <v>2 T-Shirts</v>
      </c>
      <c r="E199" s="4" t="str">
        <f>Registered!AT483</f>
        <v>Adult XL and Adult Medium</v>
      </c>
      <c r="F199" s="4" t="str">
        <f>Registered!AU483</f>
        <v/>
      </c>
      <c r="G199" s="4" t="str">
        <f>Registered!AW483</f>
        <v/>
      </c>
      <c r="H199" s="4" t="str">
        <f>Registered!AX483</f>
        <v/>
      </c>
      <c r="I199" s="4" t="str">
        <f>Registered!AY483</f>
        <v/>
      </c>
    </row>
    <row r="200" spans="1:9" x14ac:dyDescent="0.25">
      <c r="A200" s="4" t="str">
        <f>Registered!B485</f>
        <v>Cook</v>
      </c>
      <c r="B200" s="4" t="str">
        <f>Registered!A485</f>
        <v>William</v>
      </c>
      <c r="C200" s="4" t="str">
        <f>IF(Registered!AR485&gt;0,Registered!AR485&amp;" Color Bags", "")</f>
        <v>5 Color Bags</v>
      </c>
      <c r="D200" s="4" t="str">
        <f>IF(Registered!AS485&gt;0,(IF(Registered!AS485=1,Registered!AS485&amp;" T-Shirt",Registered!AS485&amp;" T-Shirts")), "")</f>
        <v>1 T-Shirt</v>
      </c>
      <c r="E200" s="4" t="str">
        <f>Registered!AT485</f>
        <v>Large</v>
      </c>
      <c r="F200" s="4" t="str">
        <f>Registered!AU485</f>
        <v/>
      </c>
      <c r="G200" s="4" t="str">
        <f>Registered!AW485</f>
        <v/>
      </c>
      <c r="H200" s="4" t="str">
        <f>Registered!AX485</f>
        <v/>
      </c>
      <c r="I200" s="4" t="str">
        <f>Registered!AY485</f>
        <v/>
      </c>
    </row>
    <row r="201" spans="1:9" x14ac:dyDescent="0.25">
      <c r="A201" s="4" t="str">
        <f>Registered!B490</f>
        <v>Copeland</v>
      </c>
      <c r="B201" s="4" t="str">
        <f>Registered!A490</f>
        <v>Brian</v>
      </c>
      <c r="C201" s="4" t="str">
        <f>IF(Registered!AR490&gt;0,Registered!AR490&amp;" Color Bags", "")</f>
        <v>10 Color Bags</v>
      </c>
      <c r="D201" s="4" t="str">
        <f>IF(Registered!AS490&gt;0,(IF(Registered!AS490=1,Registered!AS490&amp;" T-Shirt",Registered!AS490&amp;" T-Shirts")), "")</f>
        <v>2 T-Shirts</v>
      </c>
      <c r="E201" s="4" t="str">
        <f>Registered!AT490</f>
        <v>Adult Small</v>
      </c>
      <c r="F201" s="4" t="str">
        <f>Registered!AU490</f>
        <v/>
      </c>
      <c r="G201" s="4" t="str">
        <f>Registered!AW490</f>
        <v>2 Meals</v>
      </c>
      <c r="H201" s="4" t="str">
        <f>Registered!AX490</f>
        <v/>
      </c>
      <c r="I201" s="4" t="str">
        <f>Registered!AY490</f>
        <v/>
      </c>
    </row>
    <row r="202" spans="1:9" x14ac:dyDescent="0.25">
      <c r="A202" s="4" t="str">
        <f>Registered!B492</f>
        <v>Cornwell</v>
      </c>
      <c r="B202" s="4" t="str">
        <f>Registered!A492</f>
        <v>Olivia</v>
      </c>
      <c r="C202" s="4" t="str">
        <f>IF(Registered!AR492&gt;0,Registered!AR492&amp;" Color Bags", "")</f>
        <v>5 Color Bags</v>
      </c>
      <c r="D202" s="4" t="str">
        <f>IF(Registered!AS492&gt;0,(IF(Registered!AS492=1,Registered!AS492&amp;" T-Shirt",Registered!AS492&amp;" T-Shirts")), "")</f>
        <v/>
      </c>
      <c r="E202" s="4" t="str">
        <f>Registered!AT492</f>
        <v/>
      </c>
      <c r="F202" s="4" t="str">
        <f>Registered!AU492</f>
        <v/>
      </c>
      <c r="G202" s="4" t="str">
        <f>Registered!AW492</f>
        <v/>
      </c>
      <c r="H202" s="4" t="str">
        <f>Registered!AX492</f>
        <v/>
      </c>
      <c r="I202" s="4" t="str">
        <f>Registered!AY492</f>
        <v/>
      </c>
    </row>
    <row r="203" spans="1:9" x14ac:dyDescent="0.25">
      <c r="A203" s="4" t="str">
        <f>Registered!B494</f>
        <v>Coulson</v>
      </c>
      <c r="B203" s="4" t="str">
        <f>Registered!A494</f>
        <v>Jill</v>
      </c>
      <c r="C203" s="4" t="str">
        <f>IF(Registered!AR494&gt;0,Registered!AR494&amp;" Color Bags", "")</f>
        <v>20 Color Bags</v>
      </c>
      <c r="D203" s="4" t="str">
        <f>IF(Registered!AS494&gt;0,(IF(Registered!AS494=1,Registered!AS494&amp;" T-Shirt",Registered!AS494&amp;" T-Shirts")), "")</f>
        <v/>
      </c>
      <c r="E203" s="4" t="str">
        <f>Registered!AT494</f>
        <v/>
      </c>
      <c r="F203" s="4" t="str">
        <f>Registered!AU494</f>
        <v/>
      </c>
      <c r="G203" s="4" t="str">
        <f>Registered!AW494</f>
        <v/>
      </c>
      <c r="H203" s="4" t="str">
        <f>Registered!AX494</f>
        <v/>
      </c>
      <c r="I203" s="4" t="str">
        <f>Registered!AY494</f>
        <v/>
      </c>
    </row>
    <row r="204" spans="1:9" x14ac:dyDescent="0.25">
      <c r="A204" s="4" t="str">
        <f>Registered!B503</f>
        <v>Cox</v>
      </c>
      <c r="B204" s="4" t="str">
        <f>Registered!A503</f>
        <v>Joshua</v>
      </c>
      <c r="C204" s="4" t="str">
        <f>IF(Registered!AR503&gt;0,Registered!AR503&amp;" Color Bags", "")</f>
        <v>20 Color Bags</v>
      </c>
      <c r="D204" s="4" t="str">
        <f>IF(Registered!AS503&gt;0,(IF(Registered!AS503=1,Registered!AS503&amp;" T-Shirt",Registered!AS503&amp;" T-Shirts")), "")</f>
        <v/>
      </c>
      <c r="E204" s="4" t="str">
        <f>Registered!AT503</f>
        <v/>
      </c>
      <c r="F204" s="4" t="str">
        <f>Registered!AU503</f>
        <v/>
      </c>
      <c r="G204" s="4" t="str">
        <f>Registered!AW503</f>
        <v/>
      </c>
      <c r="H204" s="4" t="str">
        <f>Registered!AX503</f>
        <v/>
      </c>
      <c r="I204" s="4" t="str">
        <f>Registered!AY503</f>
        <v/>
      </c>
    </row>
    <row r="205" spans="1:9" x14ac:dyDescent="0.25">
      <c r="A205" s="4" t="str">
        <f>Registered!B499</f>
        <v>Cox</v>
      </c>
      <c r="B205" s="4" t="str">
        <f>Registered!A499</f>
        <v>David</v>
      </c>
      <c r="C205" s="4" t="str">
        <f>IF(Registered!AR499&gt;0,Registered!AR499&amp;" Color Bags", "")</f>
        <v>5 Color Bags</v>
      </c>
      <c r="D205" s="4" t="str">
        <f>IF(Registered!AS499&gt;0,(IF(Registered!AS499=1,Registered!AS499&amp;" T-Shirt",Registered!AS499&amp;" T-Shirts")), "")</f>
        <v>1 T-Shirt</v>
      </c>
      <c r="E205" s="4" t="str">
        <f>Registered!AT499</f>
        <v>Size Not Specified</v>
      </c>
      <c r="F205" s="4" t="str">
        <f>Registered!AU499</f>
        <v>4 Bandanas</v>
      </c>
      <c r="G205" s="4" t="str">
        <f>Registered!AW499</f>
        <v>1 Meal</v>
      </c>
      <c r="H205" s="4" t="str">
        <f>Registered!AX499</f>
        <v/>
      </c>
      <c r="I205" s="4" t="str">
        <f>Registered!AY499</f>
        <v/>
      </c>
    </row>
    <row r="206" spans="1:9" x14ac:dyDescent="0.25">
      <c r="A206" s="4" t="str">
        <f>Registered!B500</f>
        <v>Cox</v>
      </c>
      <c r="B206" s="4" t="str">
        <f>Registered!A500</f>
        <v>Emily</v>
      </c>
      <c r="C206" s="4" t="str">
        <f>IF(Registered!AR500&gt;0,Registered!AR500&amp;" Color Bags", "")</f>
        <v>5 Color Bags</v>
      </c>
      <c r="D206" s="4" t="str">
        <f>IF(Registered!AS500&gt;0,(IF(Registered!AS500=1,Registered!AS500&amp;" T-Shirt",Registered!AS500&amp;" T-Shirts")), "")</f>
        <v/>
      </c>
      <c r="E206" s="4" t="str">
        <f>Registered!AT500</f>
        <v/>
      </c>
      <c r="F206" s="4" t="str">
        <f>Registered!AU500</f>
        <v/>
      </c>
      <c r="G206" s="4" t="str">
        <f>Registered!AW500</f>
        <v/>
      </c>
      <c r="H206" s="4" t="str">
        <f>Registered!AX500</f>
        <v/>
      </c>
      <c r="I206" s="4" t="str">
        <f>Registered!AY500</f>
        <v/>
      </c>
    </row>
    <row r="207" spans="1:9" x14ac:dyDescent="0.25">
      <c r="A207" s="4" t="str">
        <f>Registered!B505</f>
        <v>Cramer</v>
      </c>
      <c r="B207" s="4" t="str">
        <f>Registered!A505</f>
        <v>Heather</v>
      </c>
      <c r="C207" s="4" t="str">
        <f>IF(Registered!AR505&gt;0,Registered!AR505&amp;" Color Bags", "")</f>
        <v>10 Color Bags</v>
      </c>
      <c r="D207" s="4" t="str">
        <f>IF(Registered!AS505&gt;0,(IF(Registered!AS505=1,Registered!AS505&amp;" T-Shirt",Registered!AS505&amp;" T-Shirts")), "")</f>
        <v>2 T-Shirts</v>
      </c>
      <c r="E207" s="4" t="str">
        <f>Registered!AT505</f>
        <v>2 Mediums</v>
      </c>
      <c r="F207" s="4" t="str">
        <f>Registered!AU505</f>
        <v/>
      </c>
      <c r="G207" s="4" t="str">
        <f>Registered!AW505</f>
        <v>2 Meals</v>
      </c>
      <c r="H207" s="4" t="str">
        <f>Registered!AX505</f>
        <v/>
      </c>
      <c r="I207" s="4" t="str">
        <f>Registered!AY505</f>
        <v/>
      </c>
    </row>
    <row r="208" spans="1:9" x14ac:dyDescent="0.25">
      <c r="A208" s="4" t="str">
        <f>Registered!B506</f>
        <v>Crandall</v>
      </c>
      <c r="B208" s="4" t="str">
        <f>Registered!A506</f>
        <v>Sarah</v>
      </c>
      <c r="C208" s="4" t="str">
        <f>IF(Registered!AR506&gt;0,Registered!AR506&amp;" Color Bags", "")</f>
        <v>5 Color Bags</v>
      </c>
      <c r="D208" s="4" t="str">
        <f>IF(Registered!AS506&gt;0,(IF(Registered!AS506=1,Registered!AS506&amp;" T-Shirt",Registered!AS506&amp;" T-Shirts")), "")</f>
        <v/>
      </c>
      <c r="E208" s="4" t="str">
        <f>Registered!AT506</f>
        <v/>
      </c>
      <c r="F208" s="4" t="str">
        <f>Registered!AU506</f>
        <v/>
      </c>
      <c r="G208" s="4" t="str">
        <f>Registered!AW506</f>
        <v/>
      </c>
      <c r="H208" s="4" t="str">
        <f>Registered!AX506</f>
        <v/>
      </c>
      <c r="I208" s="4" t="str">
        <f>Registered!AY506</f>
        <v/>
      </c>
    </row>
    <row r="209" spans="1:9" x14ac:dyDescent="0.25">
      <c r="A209" s="4" t="str">
        <f>Registered!B508</f>
        <v>Crapo</v>
      </c>
      <c r="B209" s="4" t="str">
        <f>Registered!A508</f>
        <v>Cameron</v>
      </c>
      <c r="C209" s="4" t="str">
        <f>IF(Registered!AR508&gt;0,Registered!AR508&amp;" Color Bags", "")</f>
        <v/>
      </c>
      <c r="D209" s="4" t="str">
        <f>IF(Registered!AS508&gt;0,(IF(Registered!AS508=1,Registered!AS508&amp;" T-Shirt",Registered!AS508&amp;" T-Shirts")), "")</f>
        <v/>
      </c>
      <c r="E209" s="4" t="str">
        <f>Registered!AT508</f>
        <v/>
      </c>
      <c r="F209" s="4" t="str">
        <f>Registered!AU508</f>
        <v/>
      </c>
      <c r="G209" s="4" t="str">
        <f>Registered!AW508</f>
        <v>2 Meals</v>
      </c>
      <c r="H209" s="4" t="str">
        <f>Registered!AX508</f>
        <v/>
      </c>
      <c r="I209" s="4" t="str">
        <f>Registered!AY508</f>
        <v/>
      </c>
    </row>
    <row r="210" spans="1:9" x14ac:dyDescent="0.25">
      <c r="A210" s="4" t="str">
        <f>Registered!B507</f>
        <v>Crapo</v>
      </c>
      <c r="B210" s="4" t="str">
        <f>Registered!A507</f>
        <v>Amanda</v>
      </c>
      <c r="C210" s="4" t="str">
        <f>IF(Registered!AR507&gt;0,Registered!AR507&amp;" Color Bags", "")</f>
        <v>10 Color Bags</v>
      </c>
      <c r="D210" s="4" t="str">
        <f>IF(Registered!AS507&gt;0,(IF(Registered!AS507=1,Registered!AS507&amp;" T-Shirt",Registered!AS507&amp;" T-Shirts")), "")</f>
        <v/>
      </c>
      <c r="E210" s="4" t="str">
        <f>Registered!AT507</f>
        <v/>
      </c>
      <c r="F210" s="4" t="str">
        <f>Registered!AU507</f>
        <v/>
      </c>
      <c r="G210" s="4" t="str">
        <f>Registered!AW507</f>
        <v/>
      </c>
      <c r="H210" s="4" t="str">
        <f>Registered!AX507</f>
        <v/>
      </c>
      <c r="I210" s="4" t="str">
        <f>Registered!AY507</f>
        <v/>
      </c>
    </row>
    <row r="211" spans="1:9" x14ac:dyDescent="0.25">
      <c r="A211" s="4" t="str">
        <f>Registered!B509</f>
        <v>Crapo</v>
      </c>
      <c r="B211" s="4" t="str">
        <f>Registered!A509</f>
        <v>Cherie</v>
      </c>
      <c r="C211" s="4" t="str">
        <f>IF(Registered!AR509&gt;0,Registered!AR509&amp;" Color Bags", "")</f>
        <v>40 Color Bags</v>
      </c>
      <c r="D211" s="4" t="str">
        <f>IF(Registered!AS509&gt;0,(IF(Registered!AS509=1,Registered!AS509&amp;" T-Shirt",Registered!AS509&amp;" T-Shirts")), "")</f>
        <v/>
      </c>
      <c r="E211" s="4" t="str">
        <f>Registered!AT509</f>
        <v/>
      </c>
      <c r="F211" s="4" t="str">
        <f>Registered!AU509</f>
        <v/>
      </c>
      <c r="G211" s="4" t="str">
        <f>Registered!AW509</f>
        <v/>
      </c>
      <c r="H211" s="4" t="str">
        <f>Registered!AX509</f>
        <v/>
      </c>
      <c r="I211" s="4" t="str">
        <f>Registered!AY509</f>
        <v/>
      </c>
    </row>
    <row r="212" spans="1:9" x14ac:dyDescent="0.25">
      <c r="A212" s="4" t="str">
        <f>Registered!B510</f>
        <v>Crapo</v>
      </c>
      <c r="B212" s="4" t="str">
        <f>Registered!A510</f>
        <v>Joseph</v>
      </c>
      <c r="C212" s="4" t="str">
        <f>IF(Registered!AR510&gt;0,Registered!AR510&amp;" Color Bags", "")</f>
        <v>5 Color Bags</v>
      </c>
      <c r="D212" s="4" t="str">
        <f>IF(Registered!AS510&gt;0,(IF(Registered!AS510=1,Registered!AS510&amp;" T-Shirt",Registered!AS510&amp;" T-Shirts")), "")</f>
        <v/>
      </c>
      <c r="E212" s="4" t="str">
        <f>Registered!AT510</f>
        <v/>
      </c>
      <c r="F212" s="4" t="str">
        <f>Registered!AU510</f>
        <v/>
      </c>
      <c r="G212" s="4" t="str">
        <f>Registered!AW510</f>
        <v/>
      </c>
      <c r="H212" s="4" t="str">
        <f>Registered!AX510</f>
        <v/>
      </c>
      <c r="I212" s="4" t="str">
        <f>Registered!AY510</f>
        <v/>
      </c>
    </row>
    <row r="213" spans="1:9" x14ac:dyDescent="0.25">
      <c r="A213" s="4" t="str">
        <f>Registered!B514</f>
        <v>Crawford</v>
      </c>
      <c r="B213" s="4" t="str">
        <f>Registered!A514</f>
        <v>Kelsey</v>
      </c>
      <c r="C213" s="4" t="str">
        <f>IF(Registered!AR514&gt;0,Registered!AR514&amp;" Color Bags", "")</f>
        <v>10 Color Bags</v>
      </c>
      <c r="D213" s="4" t="str">
        <f>IF(Registered!AS514&gt;0,(IF(Registered!AS514=1,Registered!AS514&amp;" T-Shirt",Registered!AS514&amp;" T-Shirts")), "")</f>
        <v/>
      </c>
      <c r="E213" s="4" t="str">
        <f>Registered!AT514</f>
        <v/>
      </c>
      <c r="F213" s="4" t="str">
        <f>Registered!AU514</f>
        <v/>
      </c>
      <c r="G213" s="4" t="str">
        <f>Registered!AW514</f>
        <v/>
      </c>
      <c r="H213" s="4" t="str">
        <f>Registered!AX514</f>
        <v/>
      </c>
      <c r="I213" s="4" t="str">
        <f>Registered!AY514</f>
        <v>1 DustMask</v>
      </c>
    </row>
    <row r="214" spans="1:9" x14ac:dyDescent="0.25">
      <c r="A214" s="4" t="str">
        <f>Registered!B517</f>
        <v>Crofutt</v>
      </c>
      <c r="B214" s="4" t="str">
        <f>Registered!A517</f>
        <v>Stacey</v>
      </c>
      <c r="C214" s="4" t="str">
        <f>IF(Registered!AR517&gt;0,Registered!AR517&amp;" Color Bags", "")</f>
        <v>20 Color Bags</v>
      </c>
      <c r="D214" s="4" t="str">
        <f>IF(Registered!AS517&gt;0,(IF(Registered!AS517=1,Registered!AS517&amp;" T-Shirt",Registered!AS517&amp;" T-Shirts")), "")</f>
        <v/>
      </c>
      <c r="E214" s="4" t="str">
        <f>Registered!AT517</f>
        <v/>
      </c>
      <c r="F214" s="4" t="str">
        <f>Registered!AU517</f>
        <v/>
      </c>
      <c r="G214" s="4" t="str">
        <f>Registered!AW517</f>
        <v/>
      </c>
      <c r="H214" s="4" t="str">
        <f>Registered!AX517</f>
        <v/>
      </c>
      <c r="I214" s="4" t="str">
        <f>Registered!AY517</f>
        <v/>
      </c>
    </row>
    <row r="215" spans="1:9" x14ac:dyDescent="0.25">
      <c r="A215" s="4" t="str">
        <f>Registered!B518</f>
        <v>Crosgrove</v>
      </c>
      <c r="B215" s="4" t="str">
        <f>Registered!A518</f>
        <v>Brandan</v>
      </c>
      <c r="C215" s="4" t="str">
        <f>IF(Registered!AR518&gt;0,Registered!AR518&amp;" Color Bags", "")</f>
        <v>40 Color Bags</v>
      </c>
      <c r="D215" s="4" t="str">
        <f>IF(Registered!AS518&gt;0,(IF(Registered!AS518=1,Registered!AS518&amp;" T-Shirt",Registered!AS518&amp;" T-Shirts")), "")</f>
        <v/>
      </c>
      <c r="E215" s="4" t="str">
        <f>Registered!AT518</f>
        <v/>
      </c>
      <c r="F215" s="4" t="str">
        <f>Registered!AU518</f>
        <v/>
      </c>
      <c r="G215" s="4" t="str">
        <f>Registered!AW518</f>
        <v/>
      </c>
      <c r="H215" s="4" t="str">
        <f>Registered!AX518</f>
        <v/>
      </c>
      <c r="I215" s="4" t="str">
        <f>Registered!AY518</f>
        <v>2 DustMask</v>
      </c>
    </row>
    <row r="216" spans="1:9" x14ac:dyDescent="0.25">
      <c r="A216" s="4" t="str">
        <f>Registered!B525</f>
        <v>Cruz</v>
      </c>
      <c r="B216" s="4" t="str">
        <f>Registered!A525</f>
        <v>Michaella</v>
      </c>
      <c r="C216" s="4" t="str">
        <f>IF(Registered!AR525&gt;0,Registered!AR525&amp;" Color Bags", "")</f>
        <v>10 Color Bags</v>
      </c>
      <c r="D216" s="4" t="str">
        <f>IF(Registered!AS525&gt;0,(IF(Registered!AS525=1,Registered!AS525&amp;" T-Shirt",Registered!AS525&amp;" T-Shirts")), "")</f>
        <v>1 T-Shirt</v>
      </c>
      <c r="E216" s="4" t="str">
        <f>Registered!AT525</f>
        <v>Small</v>
      </c>
      <c r="F216" s="4" t="str">
        <f>Registered!AU525</f>
        <v/>
      </c>
      <c r="G216" s="4" t="str">
        <f>Registered!AW525</f>
        <v/>
      </c>
      <c r="H216" s="4" t="str">
        <f>Registered!AX525</f>
        <v/>
      </c>
      <c r="I216" s="4" t="str">
        <f>Registered!AY525</f>
        <v/>
      </c>
    </row>
    <row r="217" spans="1:9" x14ac:dyDescent="0.25">
      <c r="A217" s="4" t="str">
        <f>Registered!B524</f>
        <v>Cruz</v>
      </c>
      <c r="B217" s="4" t="str">
        <f>Registered!A524</f>
        <v>Mackenzie</v>
      </c>
      <c r="C217" s="4" t="str">
        <f>IF(Registered!AR524&gt;0,Registered!AR524&amp;" Color Bags", "")</f>
        <v>5 Color Bags</v>
      </c>
      <c r="D217" s="4" t="str">
        <f>IF(Registered!AS524&gt;0,(IF(Registered!AS524=1,Registered!AS524&amp;" T-Shirt",Registered!AS524&amp;" T-Shirts")), "")</f>
        <v/>
      </c>
      <c r="E217" s="4" t="str">
        <f>Registered!AT524</f>
        <v/>
      </c>
      <c r="F217" s="4" t="str">
        <f>Registered!AU524</f>
        <v/>
      </c>
      <c r="G217" s="4" t="str">
        <f>Registered!AW524</f>
        <v/>
      </c>
      <c r="H217" s="4" t="str">
        <f>Registered!AX524</f>
        <v/>
      </c>
      <c r="I217" s="4" t="str">
        <f>Registered!AY524</f>
        <v/>
      </c>
    </row>
    <row r="218" spans="1:9" x14ac:dyDescent="0.25">
      <c r="A218" s="4" t="str">
        <f>Registered!B530</f>
        <v>Curtis</v>
      </c>
      <c r="B218" s="4" t="str">
        <f>Registered!A530</f>
        <v>John</v>
      </c>
      <c r="C218" s="4" t="str">
        <f>IF(Registered!AR530&gt;0,Registered!AR530&amp;" Color Bags", "")</f>
        <v>5 Color Bags</v>
      </c>
      <c r="D218" s="4" t="str">
        <f>IF(Registered!AS530&gt;0,(IF(Registered!AS530=1,Registered!AS530&amp;" T-Shirt",Registered!AS530&amp;" T-Shirts")), "")</f>
        <v/>
      </c>
      <c r="E218" s="4" t="str">
        <f>Registered!AT530</f>
        <v/>
      </c>
      <c r="F218" s="4" t="str">
        <f>Registered!AU530</f>
        <v/>
      </c>
      <c r="G218" s="4" t="str">
        <f>Registered!AW530</f>
        <v>1 Meal</v>
      </c>
      <c r="H218" s="4" t="str">
        <f>Registered!AX530</f>
        <v/>
      </c>
      <c r="I218" s="4" t="str">
        <f>Registered!AY530</f>
        <v/>
      </c>
    </row>
    <row r="219" spans="1:9" x14ac:dyDescent="0.25">
      <c r="A219" s="4" t="str">
        <f>Registered!B532</f>
        <v>Czech</v>
      </c>
      <c r="B219" s="4" t="str">
        <f>Registered!A532</f>
        <v>Greg</v>
      </c>
      <c r="C219" s="4" t="str">
        <f>IF(Registered!AR532&gt;0,Registered!AR532&amp;" Color Bags", "")</f>
        <v>5 Color Bags</v>
      </c>
      <c r="D219" s="4" t="str">
        <f>IF(Registered!AS532&gt;0,(IF(Registered!AS532=1,Registered!AS532&amp;" T-Shirt",Registered!AS532&amp;" T-Shirts")), "")</f>
        <v/>
      </c>
      <c r="E219" s="4" t="str">
        <f>Registered!AT532</f>
        <v/>
      </c>
      <c r="F219" s="4" t="str">
        <f>Registered!AU532</f>
        <v/>
      </c>
      <c r="G219" s="4" t="str">
        <f>Registered!AW532</f>
        <v/>
      </c>
      <c r="H219" s="4" t="str">
        <f>Registered!AX532</f>
        <v/>
      </c>
      <c r="I219" s="4" t="str">
        <f>Registered!AY532</f>
        <v/>
      </c>
    </row>
    <row r="220" spans="1:9" x14ac:dyDescent="0.25">
      <c r="A220" s="4" t="str">
        <f>Registered!B536</f>
        <v>Daily</v>
      </c>
      <c r="B220" s="4" t="str">
        <f>Registered!A536</f>
        <v>Chase</v>
      </c>
      <c r="C220" s="4" t="str">
        <f>IF(Registered!AR536&gt;0,Registered!AR536&amp;" Color Bags", "")</f>
        <v>10 Color Bags</v>
      </c>
      <c r="D220" s="4" t="str">
        <f>IF(Registered!AS536&gt;0,(IF(Registered!AS536=1,Registered!AS536&amp;" T-Shirt",Registered!AS536&amp;" T-Shirts")), "")</f>
        <v/>
      </c>
      <c r="E220" s="4" t="str">
        <f>Registered!AT536</f>
        <v/>
      </c>
      <c r="F220" s="4" t="str">
        <f>Registered!AU536</f>
        <v/>
      </c>
      <c r="G220" s="4" t="str">
        <f>Registered!AW536</f>
        <v/>
      </c>
      <c r="H220" s="4" t="str">
        <f>Registered!AX536</f>
        <v/>
      </c>
      <c r="I220" s="4" t="str">
        <f>Registered!AY536</f>
        <v/>
      </c>
    </row>
    <row r="221" spans="1:9" x14ac:dyDescent="0.25">
      <c r="A221" s="4" t="str">
        <f>Registered!B539</f>
        <v>Dalley</v>
      </c>
      <c r="B221" s="4" t="str">
        <f>Registered!A539</f>
        <v>Shannon</v>
      </c>
      <c r="C221" s="4" t="str">
        <f>IF(Registered!AR539&gt;0,Registered!AR539&amp;" Color Bags", "")</f>
        <v>20 Color Bags</v>
      </c>
      <c r="D221" s="4" t="str">
        <f>IF(Registered!AS539&gt;0,(IF(Registered!AS539=1,Registered!AS539&amp;" T-Shirt",Registered!AS539&amp;" T-Shirts")), "")</f>
        <v/>
      </c>
      <c r="E221" s="4" t="str">
        <f>Registered!AT539</f>
        <v/>
      </c>
      <c r="F221" s="4" t="str">
        <f>Registered!AU539</f>
        <v/>
      </c>
      <c r="G221" s="4" t="str">
        <f>Registered!AW539</f>
        <v/>
      </c>
      <c r="H221" s="4" t="str">
        <f>Registered!AX539</f>
        <v/>
      </c>
      <c r="I221" s="4" t="str">
        <f>Registered!AY539</f>
        <v/>
      </c>
    </row>
    <row r="222" spans="1:9" x14ac:dyDescent="0.25">
      <c r="A222" s="4" t="str">
        <f>Registered!B538</f>
        <v>Dalley</v>
      </c>
      <c r="B222" s="4" t="str">
        <f>Registered!A538</f>
        <v>Katy</v>
      </c>
      <c r="C222" s="4" t="str">
        <f>IF(Registered!AR538&gt;0,Registered!AR538&amp;" Color Bags", "")</f>
        <v>5 Color Bags</v>
      </c>
      <c r="D222" s="4" t="str">
        <f>IF(Registered!AS538&gt;0,(IF(Registered!AS538=1,Registered!AS538&amp;" T-Shirt",Registered!AS538&amp;" T-Shirts")), "")</f>
        <v>1 T-Shirt</v>
      </c>
      <c r="E222" s="4" t="str">
        <f>Registered!AT538</f>
        <v>M</v>
      </c>
      <c r="F222" s="4" t="str">
        <f>Registered!AU538</f>
        <v/>
      </c>
      <c r="G222" s="4" t="str">
        <f>Registered!AW538</f>
        <v>1 Meal</v>
      </c>
      <c r="H222" s="4" t="str">
        <f>Registered!AX538</f>
        <v/>
      </c>
      <c r="I222" s="4" t="str">
        <f>Registered!AY538</f>
        <v/>
      </c>
    </row>
    <row r="223" spans="1:9" x14ac:dyDescent="0.25">
      <c r="A223" s="4" t="str">
        <f>Registered!B551</f>
        <v>Davis</v>
      </c>
      <c r="B223" s="4" t="str">
        <f>Registered!A551</f>
        <v>Kristen</v>
      </c>
      <c r="C223" s="4" t="str">
        <f>IF(Registered!AR551&gt;0,Registered!AR551&amp;" Color Bags", "")</f>
        <v>10 Color Bags</v>
      </c>
      <c r="D223" s="4" t="str">
        <f>IF(Registered!AS551&gt;0,(IF(Registered!AS551=1,Registered!AS551&amp;" T-Shirt",Registered!AS551&amp;" T-Shirts")), "")</f>
        <v/>
      </c>
      <c r="E223" s="4" t="str">
        <f>Registered!AT551</f>
        <v/>
      </c>
      <c r="F223" s="4" t="str">
        <f>Registered!AU551</f>
        <v/>
      </c>
      <c r="G223" s="4" t="str">
        <f>Registered!AW551</f>
        <v/>
      </c>
      <c r="H223" s="4" t="str">
        <f>Registered!AX551</f>
        <v/>
      </c>
      <c r="I223" s="4" t="str">
        <f>Registered!AY551</f>
        <v/>
      </c>
    </row>
    <row r="224" spans="1:9" x14ac:dyDescent="0.25">
      <c r="A224" s="4" t="str">
        <f>Registered!B553</f>
        <v>Davis</v>
      </c>
      <c r="B224" s="4" t="str">
        <f>Registered!A553</f>
        <v>Pamela</v>
      </c>
      <c r="C224" s="4" t="str">
        <f>IF(Registered!AR553&gt;0,Registered!AR553&amp;" Color Bags", "")</f>
        <v>10 Color Bags</v>
      </c>
      <c r="D224" s="4" t="str">
        <f>IF(Registered!AS553&gt;0,(IF(Registered!AS553=1,Registered!AS553&amp;" T-Shirt",Registered!AS553&amp;" T-Shirts")), "")</f>
        <v/>
      </c>
      <c r="E224" s="4" t="str">
        <f>Registered!AT553</f>
        <v/>
      </c>
      <c r="F224" s="4" t="str">
        <f>Registered!AU553</f>
        <v>2 Bandanas</v>
      </c>
      <c r="G224" s="4" t="str">
        <f>Registered!AW553</f>
        <v/>
      </c>
      <c r="H224" s="4" t="str">
        <f>Registered!AX553</f>
        <v/>
      </c>
      <c r="I224" s="4" t="str">
        <f>Registered!AY553</f>
        <v/>
      </c>
    </row>
    <row r="225" spans="1:9" x14ac:dyDescent="0.25">
      <c r="A225" s="4" t="str">
        <f>Registered!B556</f>
        <v>Davis</v>
      </c>
      <c r="B225" s="4" t="str">
        <f>Registered!A556</f>
        <v>Ronda</v>
      </c>
      <c r="C225" s="4" t="str">
        <f>IF(Registered!AR556&gt;0,Registered!AR556&amp;" Color Bags", "")</f>
        <v>10 Color Bags</v>
      </c>
      <c r="D225" s="4" t="str">
        <f>IF(Registered!AS556&gt;0,(IF(Registered!AS556=1,Registered!AS556&amp;" T-Shirt",Registered!AS556&amp;" T-Shirts")), "")</f>
        <v/>
      </c>
      <c r="E225" s="4" t="str">
        <f>Registered!AT556</f>
        <v/>
      </c>
      <c r="F225" s="4" t="str">
        <f>Registered!AU556</f>
        <v/>
      </c>
      <c r="G225" s="4" t="str">
        <f>Registered!AW556</f>
        <v>2 Meals</v>
      </c>
      <c r="H225" s="4" t="str">
        <f>Registered!AX556</f>
        <v/>
      </c>
      <c r="I225" s="4" t="str">
        <f>Registered!AY556</f>
        <v/>
      </c>
    </row>
    <row r="226" spans="1:9" x14ac:dyDescent="0.25">
      <c r="A226" s="4" t="str">
        <f>Registered!B547</f>
        <v>Davis</v>
      </c>
      <c r="B226" s="4" t="str">
        <f>Registered!A547</f>
        <v>Cory</v>
      </c>
      <c r="C226" s="4" t="str">
        <f>IF(Registered!AR547&gt;0,Registered!AR547&amp;" Color Bags", "")</f>
        <v>20 Color Bags</v>
      </c>
      <c r="D226" s="4" t="str">
        <f>IF(Registered!AS547&gt;0,(IF(Registered!AS547=1,Registered!AS547&amp;" T-Shirt",Registered!AS547&amp;" T-Shirts")), "")</f>
        <v/>
      </c>
      <c r="E226" s="4" t="str">
        <f>Registered!AT547</f>
        <v/>
      </c>
      <c r="F226" s="4" t="str">
        <f>Registered!AU547</f>
        <v/>
      </c>
      <c r="G226" s="4" t="str">
        <f>Registered!AW547</f>
        <v/>
      </c>
      <c r="H226" s="4" t="str">
        <f>Registered!AX547</f>
        <v/>
      </c>
      <c r="I226" s="4" t="str">
        <f>Registered!AY547</f>
        <v/>
      </c>
    </row>
    <row r="227" spans="1:9" x14ac:dyDescent="0.25">
      <c r="A227" s="4" t="str">
        <f>Registered!B555</f>
        <v>Davis</v>
      </c>
      <c r="B227" s="4" t="str">
        <f>Registered!A555</f>
        <v>Roger</v>
      </c>
      <c r="C227" s="4" t="str">
        <f>IF(Registered!AR555&gt;0,Registered!AR555&amp;" Color Bags", "")</f>
        <v>5 Color Bags</v>
      </c>
      <c r="D227" s="4" t="str">
        <f>IF(Registered!AS555&gt;0,(IF(Registered!AS555=1,Registered!AS555&amp;" T-Shirt",Registered!AS555&amp;" T-Shirts")), "")</f>
        <v>1 T-Shirt</v>
      </c>
      <c r="E227" s="4" t="str">
        <f>Registered!AT555</f>
        <v>L</v>
      </c>
      <c r="F227" s="4" t="str">
        <f>Registered!AU555</f>
        <v>1 Bandana</v>
      </c>
      <c r="G227" s="4" t="str">
        <f>Registered!AW555</f>
        <v>1 Meal</v>
      </c>
      <c r="H227" s="4" t="str">
        <f>Registered!AX555</f>
        <v/>
      </c>
      <c r="I227" s="4" t="str">
        <f>Registered!AY555</f>
        <v/>
      </c>
    </row>
    <row r="228" spans="1:9" x14ac:dyDescent="0.25">
      <c r="A228" s="4" t="str">
        <f>Registered!B559</f>
        <v>Dawson</v>
      </c>
      <c r="B228" s="4" t="str">
        <f>Registered!A559</f>
        <v>Misty</v>
      </c>
      <c r="C228" s="4" t="str">
        <f>IF(Registered!AR559&gt;0,Registered!AR559&amp;" Color Bags", "")</f>
        <v>25 Color Bags</v>
      </c>
      <c r="D228" s="4" t="str">
        <f>IF(Registered!AS559&gt;0,(IF(Registered!AS559=1,Registered!AS559&amp;" T-Shirt",Registered!AS559&amp;" T-Shirts")), "")</f>
        <v>3 T-Shirts</v>
      </c>
      <c r="E228" s="4" t="str">
        <f>Registered!AT559</f>
        <v>two mediums, one large.</v>
      </c>
      <c r="F228" s="4" t="str">
        <f>Registered!AU559</f>
        <v/>
      </c>
      <c r="G228" s="4" t="str">
        <f>Registered!AW559</f>
        <v>3 Meals</v>
      </c>
      <c r="H228" s="4" t="str">
        <f>Registered!AX559</f>
        <v/>
      </c>
      <c r="I228" s="4" t="str">
        <f>Registered!AY559</f>
        <v/>
      </c>
    </row>
    <row r="229" spans="1:9" x14ac:dyDescent="0.25">
      <c r="A229" s="4" t="str">
        <f>Registered!B560</f>
        <v>Day</v>
      </c>
      <c r="B229" s="4" t="str">
        <f>Registered!A560</f>
        <v>Chelsie</v>
      </c>
      <c r="C229" s="4" t="str">
        <f>IF(Registered!AR560&gt;0,Registered!AR560&amp;" Color Bags", "")</f>
        <v>5 Color Bags</v>
      </c>
      <c r="D229" s="4" t="str">
        <f>IF(Registered!AS560&gt;0,(IF(Registered!AS560=1,Registered!AS560&amp;" T-Shirt",Registered!AS560&amp;" T-Shirts")), "")</f>
        <v/>
      </c>
      <c r="E229" s="4" t="str">
        <f>Registered!AT560</f>
        <v/>
      </c>
      <c r="F229" s="4" t="str">
        <f>Registered!AU560</f>
        <v/>
      </c>
      <c r="G229" s="4" t="str">
        <f>Registered!AW560</f>
        <v/>
      </c>
      <c r="H229" s="4" t="str">
        <f>Registered!AX560</f>
        <v/>
      </c>
      <c r="I229" s="4" t="str">
        <f>Registered!AY560</f>
        <v/>
      </c>
    </row>
    <row r="230" spans="1:9" x14ac:dyDescent="0.25">
      <c r="A230" s="4" t="str">
        <f>Registered!B562</f>
        <v>Day</v>
      </c>
      <c r="B230" s="4" t="str">
        <f>Registered!A562</f>
        <v>Linda</v>
      </c>
      <c r="C230" s="4" t="str">
        <f>IF(Registered!AR562&gt;0,Registered!AR562&amp;" Color Bags", "")</f>
        <v>5 Color Bags</v>
      </c>
      <c r="D230" s="4" t="str">
        <f>IF(Registered!AS562&gt;0,(IF(Registered!AS562=1,Registered!AS562&amp;" T-Shirt",Registered!AS562&amp;" T-Shirts")), "")</f>
        <v/>
      </c>
      <c r="E230" s="4" t="str">
        <f>Registered!AT562</f>
        <v/>
      </c>
      <c r="F230" s="4" t="str">
        <f>Registered!AU562</f>
        <v/>
      </c>
      <c r="G230" s="4" t="str">
        <f>Registered!AW562</f>
        <v/>
      </c>
      <c r="H230" s="4" t="str">
        <f>Registered!AX562</f>
        <v/>
      </c>
      <c r="I230" s="4" t="str">
        <f>Registered!AY562</f>
        <v/>
      </c>
    </row>
    <row r="231" spans="1:9" x14ac:dyDescent="0.25">
      <c r="A231" s="4" t="str">
        <f>Registered!B563</f>
        <v>De Hoyos</v>
      </c>
      <c r="B231" s="4" t="str">
        <f>Registered!A563</f>
        <v>Michelle</v>
      </c>
      <c r="C231" s="4" t="str">
        <f>IF(Registered!AR563&gt;0,Registered!AR563&amp;" Color Bags", "")</f>
        <v>40 Color Bags</v>
      </c>
      <c r="D231" s="4" t="str">
        <f>IF(Registered!AS563&gt;0,(IF(Registered!AS563=1,Registered!AS563&amp;" T-Shirt",Registered!AS563&amp;" T-Shirts")), "")</f>
        <v/>
      </c>
      <c r="E231" s="4" t="str">
        <f>Registered!AT563</f>
        <v/>
      </c>
      <c r="F231" s="4" t="str">
        <f>Registered!AU563</f>
        <v/>
      </c>
      <c r="G231" s="4" t="str">
        <f>Registered!AW563</f>
        <v/>
      </c>
      <c r="H231" s="4" t="str">
        <f>Registered!AX563</f>
        <v/>
      </c>
      <c r="I231" s="4" t="str">
        <f>Registered!AY563</f>
        <v/>
      </c>
    </row>
    <row r="232" spans="1:9" x14ac:dyDescent="0.25">
      <c r="A232" s="4" t="str">
        <f>Registered!B564</f>
        <v>De Los Rios</v>
      </c>
      <c r="B232" s="4" t="str">
        <f>Registered!A564</f>
        <v>Alicia</v>
      </c>
      <c r="C232" s="4" t="str">
        <f>IF(Registered!AR564&gt;0,Registered!AR564&amp;" Color Bags", "")</f>
        <v>15 Color Bags</v>
      </c>
      <c r="D232" s="4" t="str">
        <f>IF(Registered!AS564&gt;0,(IF(Registered!AS564=1,Registered!AS564&amp;" T-Shirt",Registered!AS564&amp;" T-Shirts")), "")</f>
        <v/>
      </c>
      <c r="E232" s="4" t="str">
        <f>Registered!AT564</f>
        <v/>
      </c>
      <c r="F232" s="4" t="str">
        <f>Registered!AU564</f>
        <v/>
      </c>
      <c r="G232" s="4" t="str">
        <f>Registered!AW564</f>
        <v/>
      </c>
      <c r="H232" s="4" t="str">
        <f>Registered!AX564</f>
        <v/>
      </c>
      <c r="I232" s="4" t="str">
        <f>Registered!AY564</f>
        <v/>
      </c>
    </row>
    <row r="233" spans="1:9" x14ac:dyDescent="0.25">
      <c r="A233" s="4" t="str">
        <f>Registered!B565</f>
        <v>De Montreux</v>
      </c>
      <c r="B233" s="4" t="str">
        <f>Registered!A565</f>
        <v>Melinda</v>
      </c>
      <c r="C233" s="4" t="str">
        <f>IF(Registered!AR565&gt;0,Registered!AR565&amp;" Color Bags", "")</f>
        <v>5 Color Bags</v>
      </c>
      <c r="D233" s="4" t="str">
        <f>IF(Registered!AS565&gt;0,(IF(Registered!AS565=1,Registered!AS565&amp;" T-Shirt",Registered!AS565&amp;" T-Shirts")), "")</f>
        <v/>
      </c>
      <c r="E233" s="4" t="str">
        <f>Registered!AT565</f>
        <v/>
      </c>
      <c r="F233" s="4" t="str">
        <f>Registered!AU565</f>
        <v/>
      </c>
      <c r="G233" s="4" t="str">
        <f>Registered!AW565</f>
        <v>3 Meals</v>
      </c>
      <c r="H233" s="4" t="str">
        <f>Registered!AX565</f>
        <v/>
      </c>
      <c r="I233" s="4" t="str">
        <f>Registered!AY565</f>
        <v/>
      </c>
    </row>
    <row r="234" spans="1:9" x14ac:dyDescent="0.25">
      <c r="A234" s="4" t="str">
        <f>Registered!B567</f>
        <v>Dean</v>
      </c>
      <c r="B234" s="4" t="str">
        <f>Registered!A567</f>
        <v>Haley</v>
      </c>
      <c r="C234" s="4" t="str">
        <f>IF(Registered!AR567&gt;0,Registered!AR567&amp;" Color Bags", "")</f>
        <v>30 Color Bags</v>
      </c>
      <c r="D234" s="4" t="str">
        <f>IF(Registered!AS567&gt;0,(IF(Registered!AS567=1,Registered!AS567&amp;" T-Shirt",Registered!AS567&amp;" T-Shirts")), "")</f>
        <v/>
      </c>
      <c r="E234" s="4" t="str">
        <f>Registered!AT567</f>
        <v/>
      </c>
      <c r="F234" s="4" t="str">
        <f>Registered!AU567</f>
        <v/>
      </c>
      <c r="G234" s="4" t="str">
        <f>Registered!AW567</f>
        <v/>
      </c>
      <c r="H234" s="4" t="str">
        <f>Registered!AX567</f>
        <v/>
      </c>
      <c r="I234" s="4" t="str">
        <f>Registered!AY567</f>
        <v/>
      </c>
    </row>
    <row r="235" spans="1:9" x14ac:dyDescent="0.25">
      <c r="A235" s="4" t="str">
        <f>Registered!B569</f>
        <v>DeForest</v>
      </c>
      <c r="B235" s="4" t="str">
        <f>Registered!A569</f>
        <v>Nathaniel</v>
      </c>
      <c r="C235" s="4" t="str">
        <f>IF(Registered!AR569&gt;0,Registered!AR569&amp;" Color Bags", "")</f>
        <v>5 Color Bags</v>
      </c>
      <c r="D235" s="4" t="str">
        <f>IF(Registered!AS569&gt;0,(IF(Registered!AS569=1,Registered!AS569&amp;" T-Shirt",Registered!AS569&amp;" T-Shirts")), "")</f>
        <v/>
      </c>
      <c r="E235" s="4" t="str">
        <f>Registered!AT569</f>
        <v/>
      </c>
      <c r="F235" s="4" t="str">
        <f>Registered!AU569</f>
        <v/>
      </c>
      <c r="G235" s="4" t="str">
        <f>Registered!AW569</f>
        <v/>
      </c>
      <c r="H235" s="4" t="str">
        <f>Registered!AX569</f>
        <v/>
      </c>
      <c r="I235" s="4" t="str">
        <f>Registered!AY569</f>
        <v/>
      </c>
    </row>
    <row r="236" spans="1:9" x14ac:dyDescent="0.25">
      <c r="A236" s="4" t="str">
        <f>Registered!B572</f>
        <v>Dekker</v>
      </c>
      <c r="B236" s="4" t="str">
        <f>Registered!A572</f>
        <v>Emily</v>
      </c>
      <c r="C236" s="4" t="str">
        <f>IF(Registered!AR572&gt;0,Registered!AR572&amp;" Color Bags", "")</f>
        <v>5 Color Bags</v>
      </c>
      <c r="D236" s="4" t="str">
        <f>IF(Registered!AS572&gt;0,(IF(Registered!AS572=1,Registered!AS572&amp;" T-Shirt",Registered!AS572&amp;" T-Shirts")), "")</f>
        <v/>
      </c>
      <c r="E236" s="4" t="str">
        <f>Registered!AT572</f>
        <v/>
      </c>
      <c r="F236" s="4" t="str">
        <f>Registered!AU572</f>
        <v/>
      </c>
      <c r="G236" s="4" t="str">
        <f>Registered!AW572</f>
        <v/>
      </c>
      <c r="H236" s="4" t="str">
        <f>Registered!AX572</f>
        <v/>
      </c>
      <c r="I236" s="4" t="str">
        <f>Registered!AY572</f>
        <v/>
      </c>
    </row>
    <row r="237" spans="1:9" x14ac:dyDescent="0.25">
      <c r="A237" s="4" t="str">
        <f>Registered!B576</f>
        <v>Delgado</v>
      </c>
      <c r="B237" s="4" t="str">
        <f>Registered!A576</f>
        <v>Rafael Agustin</v>
      </c>
      <c r="C237" s="4" t="str">
        <f>IF(Registered!AR576&gt;0,Registered!AR576&amp;" Color Bags", "")</f>
        <v>5 Color Bags</v>
      </c>
      <c r="D237" s="4" t="str">
        <f>IF(Registered!AS576&gt;0,(IF(Registered!AS576=1,Registered!AS576&amp;" T-Shirt",Registered!AS576&amp;" T-Shirts")), "")</f>
        <v/>
      </c>
      <c r="E237" s="4" t="str">
        <f>Registered!AT576</f>
        <v/>
      </c>
      <c r="F237" s="4" t="str">
        <f>Registered!AU576</f>
        <v/>
      </c>
      <c r="G237" s="4" t="str">
        <f>Registered!AW576</f>
        <v/>
      </c>
      <c r="H237" s="4" t="str">
        <f>Registered!AX576</f>
        <v/>
      </c>
      <c r="I237" s="4" t="str">
        <f>Registered!AY576</f>
        <v/>
      </c>
    </row>
    <row r="238" spans="1:9" x14ac:dyDescent="0.25">
      <c r="A238" s="4" t="str">
        <f>Registered!B578</f>
        <v>DeLong</v>
      </c>
      <c r="B238" s="4" t="str">
        <f>Registered!A578</f>
        <v>Mavis Anne</v>
      </c>
      <c r="C238" s="4" t="str">
        <f>IF(Registered!AR578&gt;0,Registered!AR578&amp;" Color Bags", "")</f>
        <v>5 Color Bags</v>
      </c>
      <c r="D238" s="4" t="str">
        <f>IF(Registered!AS578&gt;0,(IF(Registered!AS578=1,Registered!AS578&amp;" T-Shirt",Registered!AS578&amp;" T-Shirts")), "")</f>
        <v/>
      </c>
      <c r="E238" s="4" t="str">
        <f>Registered!AT578</f>
        <v/>
      </c>
      <c r="F238" s="4" t="str">
        <f>Registered!AU578</f>
        <v/>
      </c>
      <c r="G238" s="4" t="str">
        <f>Registered!AW578</f>
        <v>1 Meal</v>
      </c>
      <c r="H238" s="4" t="str">
        <f>Registered!AX578</f>
        <v/>
      </c>
      <c r="I238" s="4" t="str">
        <f>Registered!AY578</f>
        <v/>
      </c>
    </row>
    <row r="239" spans="1:9" x14ac:dyDescent="0.25">
      <c r="A239" s="4" t="str">
        <f>Registered!B580</f>
        <v>Deneau</v>
      </c>
      <c r="B239" s="4" t="str">
        <f>Registered!A580</f>
        <v>Kayla</v>
      </c>
      <c r="C239" s="4" t="str">
        <f>IF(Registered!AR580&gt;0,Registered!AR580&amp;" Color Bags", "")</f>
        <v/>
      </c>
      <c r="D239" s="4" t="str">
        <f>IF(Registered!AS580&gt;0,(IF(Registered!AS580=1,Registered!AS580&amp;" T-Shirt",Registered!AS580&amp;" T-Shirts")), "")</f>
        <v/>
      </c>
      <c r="E239" s="4" t="str">
        <f>Registered!AT580</f>
        <v/>
      </c>
      <c r="F239" s="4" t="str">
        <f>Registered!AU580</f>
        <v>1 Bandana</v>
      </c>
      <c r="G239" s="4" t="str">
        <f>Registered!AW580</f>
        <v/>
      </c>
      <c r="H239" s="4" t="str">
        <f>Registered!AX580</f>
        <v>1 BG</v>
      </c>
      <c r="I239" s="4" t="str">
        <f>Registered!AY580</f>
        <v/>
      </c>
    </row>
    <row r="240" spans="1:9" x14ac:dyDescent="0.25">
      <c r="A240" s="4" t="str">
        <f>Registered!B581</f>
        <v>Derryberry</v>
      </c>
      <c r="B240" s="4" t="str">
        <f>Registered!A581</f>
        <v>Shaye</v>
      </c>
      <c r="C240" s="4" t="str">
        <f>IF(Registered!AR581&gt;0,Registered!AR581&amp;" Color Bags", "")</f>
        <v>10 Color Bags</v>
      </c>
      <c r="D240" s="4" t="str">
        <f>IF(Registered!AS581&gt;0,(IF(Registered!AS581=1,Registered!AS581&amp;" T-Shirt",Registered!AS581&amp;" T-Shirts")), "")</f>
        <v/>
      </c>
      <c r="E240" s="4" t="str">
        <f>Registered!AT581</f>
        <v/>
      </c>
      <c r="F240" s="4" t="str">
        <f>Registered!AU581</f>
        <v/>
      </c>
      <c r="G240" s="4" t="str">
        <f>Registered!AW581</f>
        <v/>
      </c>
      <c r="H240" s="4" t="str">
        <f>Registered!AX581</f>
        <v/>
      </c>
      <c r="I240" s="4" t="str">
        <f>Registered!AY581</f>
        <v/>
      </c>
    </row>
    <row r="241" spans="1:9" x14ac:dyDescent="0.25">
      <c r="A241" s="4" t="str">
        <f>Registered!B582</f>
        <v>DeVore</v>
      </c>
      <c r="B241" s="4" t="str">
        <f>Registered!A582</f>
        <v>Sheri</v>
      </c>
      <c r="C241" s="4" t="str">
        <f>IF(Registered!AR582&gt;0,Registered!AR582&amp;" Color Bags", "")</f>
        <v>10 Color Bags</v>
      </c>
      <c r="D241" s="4" t="str">
        <f>IF(Registered!AS582&gt;0,(IF(Registered!AS582=1,Registered!AS582&amp;" T-Shirt",Registered!AS582&amp;" T-Shirts")), "")</f>
        <v/>
      </c>
      <c r="E241" s="4" t="str">
        <f>Registered!AT582</f>
        <v/>
      </c>
      <c r="F241" s="4" t="str">
        <f>Registered!AU582</f>
        <v/>
      </c>
      <c r="G241" s="4" t="str">
        <f>Registered!AW582</f>
        <v/>
      </c>
      <c r="H241" s="4" t="str">
        <f>Registered!AX582</f>
        <v/>
      </c>
      <c r="I241" s="4" t="str">
        <f>Registered!AY582</f>
        <v/>
      </c>
    </row>
    <row r="242" spans="1:9" x14ac:dyDescent="0.25">
      <c r="A242" s="4" t="str">
        <f>Registered!B583</f>
        <v>DeWitt</v>
      </c>
      <c r="B242" s="4" t="str">
        <f>Registered!A583</f>
        <v>Kendall</v>
      </c>
      <c r="C242" s="4" t="str">
        <f>IF(Registered!AR583&gt;0,Registered!AR583&amp;" Color Bags", "")</f>
        <v>5 Color Bags</v>
      </c>
      <c r="D242" s="4" t="str">
        <f>IF(Registered!AS583&gt;0,(IF(Registered!AS583=1,Registered!AS583&amp;" T-Shirt",Registered!AS583&amp;" T-Shirts")), "")</f>
        <v/>
      </c>
      <c r="E242" s="4" t="str">
        <f>Registered!AT583</f>
        <v/>
      </c>
      <c r="F242" s="4" t="str">
        <f>Registered!AU583</f>
        <v/>
      </c>
      <c r="G242" s="4" t="str">
        <f>Registered!AW583</f>
        <v/>
      </c>
      <c r="H242" s="4" t="str">
        <f>Registered!AX583</f>
        <v/>
      </c>
      <c r="I242" s="4" t="str">
        <f>Registered!AY583</f>
        <v/>
      </c>
    </row>
    <row r="243" spans="1:9" x14ac:dyDescent="0.25">
      <c r="A243" s="4" t="str">
        <f>Registered!B584</f>
        <v>DeYoung</v>
      </c>
      <c r="B243" s="4" t="str">
        <f>Registered!A584</f>
        <v>James</v>
      </c>
      <c r="C243" s="4" t="str">
        <f>IF(Registered!AR584&gt;0,Registered!AR584&amp;" Color Bags", "")</f>
        <v>10 Color Bags</v>
      </c>
      <c r="D243" s="4" t="str">
        <f>IF(Registered!AS584&gt;0,(IF(Registered!AS584=1,Registered!AS584&amp;" T-Shirt",Registered!AS584&amp;" T-Shirts")), "")</f>
        <v/>
      </c>
      <c r="E243" s="4" t="str">
        <f>Registered!AT584</f>
        <v/>
      </c>
      <c r="F243" s="4" t="str">
        <f>Registered!AU584</f>
        <v/>
      </c>
      <c r="G243" s="4" t="str">
        <f>Registered!AW584</f>
        <v/>
      </c>
      <c r="H243" s="4" t="str">
        <f>Registered!AX584</f>
        <v/>
      </c>
      <c r="I243" s="4" t="str">
        <f>Registered!AY584</f>
        <v/>
      </c>
    </row>
    <row r="244" spans="1:9" x14ac:dyDescent="0.25">
      <c r="A244" s="4" t="str">
        <f>Registered!B586</f>
        <v>Dhruv</v>
      </c>
      <c r="B244" s="4" t="str">
        <f>Registered!A586</f>
        <v>Nirav</v>
      </c>
      <c r="C244" s="4" t="str">
        <f>IF(Registered!AR586&gt;0,Registered!AR586&amp;" Color Bags", "")</f>
        <v>40 Color Bags</v>
      </c>
      <c r="D244" s="4" t="str">
        <f>IF(Registered!AS586&gt;0,(IF(Registered!AS586=1,Registered!AS586&amp;" T-Shirt",Registered!AS586&amp;" T-Shirts")), "")</f>
        <v/>
      </c>
      <c r="E244" s="4" t="str">
        <f>Registered!AT586</f>
        <v/>
      </c>
      <c r="F244" s="4" t="str">
        <f>Registered!AU586</f>
        <v/>
      </c>
      <c r="G244" s="4" t="str">
        <f>Registered!AW586</f>
        <v/>
      </c>
      <c r="H244" s="4" t="str">
        <f>Registered!AX586</f>
        <v/>
      </c>
      <c r="I244" s="4" t="str">
        <f>Registered!AY586</f>
        <v/>
      </c>
    </row>
    <row r="245" spans="1:9" x14ac:dyDescent="0.25">
      <c r="A245" s="4" t="str">
        <f>Registered!B591</f>
        <v>Dimond</v>
      </c>
      <c r="B245" s="4" t="str">
        <f>Registered!A591</f>
        <v>Matt</v>
      </c>
      <c r="C245" s="4" t="str">
        <f>IF(Registered!AR591&gt;0,Registered!AR591&amp;" Color Bags", "")</f>
        <v>10 Color Bags</v>
      </c>
      <c r="D245" s="4" t="str">
        <f>IF(Registered!AS591&gt;0,(IF(Registered!AS591=1,Registered!AS591&amp;" T-Shirt",Registered!AS591&amp;" T-Shirts")), "")</f>
        <v/>
      </c>
      <c r="E245" s="4" t="str">
        <f>Registered!AT591</f>
        <v/>
      </c>
      <c r="F245" s="4" t="str">
        <f>Registered!AU591</f>
        <v/>
      </c>
      <c r="G245" s="4" t="str">
        <f>Registered!AW591</f>
        <v/>
      </c>
      <c r="H245" s="4" t="str">
        <f>Registered!AX591</f>
        <v/>
      </c>
      <c r="I245" s="4" t="str">
        <f>Registered!AY591</f>
        <v/>
      </c>
    </row>
    <row r="246" spans="1:9" x14ac:dyDescent="0.25">
      <c r="A246" s="4" t="str">
        <f>Registered!B594</f>
        <v>Dobson</v>
      </c>
      <c r="B246" s="4" t="str">
        <f>Registered!A594</f>
        <v>Gwen</v>
      </c>
      <c r="C246" s="4" t="str">
        <f>IF(Registered!AR594&gt;0,Registered!AR594&amp;" Color Bags", "")</f>
        <v>30 Color Bags</v>
      </c>
      <c r="D246" s="4" t="str">
        <f>IF(Registered!AS594&gt;0,(IF(Registered!AS594=1,Registered!AS594&amp;" T-Shirt",Registered!AS594&amp;" T-Shirts")), "")</f>
        <v/>
      </c>
      <c r="E246" s="4" t="str">
        <f>Registered!AT594</f>
        <v/>
      </c>
      <c r="F246" s="4" t="str">
        <f>Registered!AU594</f>
        <v/>
      </c>
      <c r="G246" s="4" t="str">
        <f>Registered!AW594</f>
        <v/>
      </c>
      <c r="H246" s="4" t="str">
        <f>Registered!AX594</f>
        <v/>
      </c>
      <c r="I246" s="4" t="str">
        <f>Registered!AY594</f>
        <v/>
      </c>
    </row>
    <row r="247" spans="1:9" x14ac:dyDescent="0.25">
      <c r="A247" s="4" t="str">
        <f>Registered!B597</f>
        <v>Dominguez</v>
      </c>
      <c r="B247" s="4" t="str">
        <f>Registered!A597</f>
        <v>Kelsey</v>
      </c>
      <c r="C247" s="4" t="str">
        <f>IF(Registered!AR597&gt;0,Registered!AR597&amp;" Color Bags", "")</f>
        <v>10 Color Bags</v>
      </c>
      <c r="D247" s="4" t="str">
        <f>IF(Registered!AS597&gt;0,(IF(Registered!AS597=1,Registered!AS597&amp;" T-Shirt",Registered!AS597&amp;" T-Shirts")), "")</f>
        <v>2 T-Shirts</v>
      </c>
      <c r="E247" s="4" t="str">
        <f>Registered!AT597</f>
        <v>Size Not Specified</v>
      </c>
      <c r="F247" s="4" t="str">
        <f>Registered!AU597</f>
        <v/>
      </c>
      <c r="G247" s="4" t="str">
        <f>Registered!AW597</f>
        <v>2 Meals</v>
      </c>
      <c r="H247" s="4" t="str">
        <f>Registered!AX597</f>
        <v/>
      </c>
      <c r="I247" s="4" t="str">
        <f>Registered!AY597</f>
        <v/>
      </c>
    </row>
    <row r="248" spans="1:9" x14ac:dyDescent="0.25">
      <c r="A248" s="4" t="str">
        <f>Registered!B598</f>
        <v>Donahue</v>
      </c>
      <c r="B248" s="4" t="str">
        <f>Registered!A598</f>
        <v>Erika</v>
      </c>
      <c r="C248" s="4" t="str">
        <f>IF(Registered!AR598&gt;0,Registered!AR598&amp;" Color Bags", "")</f>
        <v>10 Color Bags</v>
      </c>
      <c r="D248" s="4" t="str">
        <f>IF(Registered!AS598&gt;0,(IF(Registered!AS598=1,Registered!AS598&amp;" T-Shirt",Registered!AS598&amp;" T-Shirts")), "")</f>
        <v/>
      </c>
      <c r="E248" s="4" t="str">
        <f>Registered!AT598</f>
        <v/>
      </c>
      <c r="F248" s="4" t="str">
        <f>Registered!AU598</f>
        <v/>
      </c>
      <c r="G248" s="4" t="str">
        <f>Registered!AW598</f>
        <v/>
      </c>
      <c r="H248" s="4" t="str">
        <f>Registered!AX598</f>
        <v/>
      </c>
      <c r="I248" s="4" t="str">
        <f>Registered!AY598</f>
        <v/>
      </c>
    </row>
    <row r="249" spans="1:9" x14ac:dyDescent="0.25">
      <c r="A249" s="4" t="str">
        <f>Registered!B600</f>
        <v>Donnelly</v>
      </c>
      <c r="B249" s="4" t="str">
        <f>Registered!A600</f>
        <v>Justin</v>
      </c>
      <c r="C249" s="4" t="str">
        <f>IF(Registered!AR600&gt;0,Registered!AR600&amp;" Color Bags", "")</f>
        <v>10 Color Bags</v>
      </c>
      <c r="D249" s="4" t="str">
        <f>IF(Registered!AS600&gt;0,(IF(Registered!AS600=1,Registered!AS600&amp;" T-Shirt",Registered!AS600&amp;" T-Shirts")), "")</f>
        <v>2 T-Shirts</v>
      </c>
      <c r="E249" s="4" t="str">
        <f>Registered!AT600</f>
        <v>medium</v>
      </c>
      <c r="F249" s="4" t="str">
        <f>Registered!AU600</f>
        <v/>
      </c>
      <c r="G249" s="4" t="str">
        <f>Registered!AW600</f>
        <v>2 Meals</v>
      </c>
      <c r="H249" s="4" t="str">
        <f>Registered!AX600</f>
        <v/>
      </c>
      <c r="I249" s="4" t="str">
        <f>Registered!AY600</f>
        <v/>
      </c>
    </row>
    <row r="250" spans="1:9" x14ac:dyDescent="0.25">
      <c r="A250" s="4" t="str">
        <f>Registered!B601</f>
        <v>Donovan</v>
      </c>
      <c r="B250" s="4" t="str">
        <f>Registered!A601</f>
        <v>Ellen</v>
      </c>
      <c r="C250" s="4" t="str">
        <f>IF(Registered!AR601&gt;0,Registered!AR601&amp;" Color Bags", "")</f>
        <v>20 Color Bags</v>
      </c>
      <c r="D250" s="4" t="str">
        <f>IF(Registered!AS601&gt;0,(IF(Registered!AS601=1,Registered!AS601&amp;" T-Shirt",Registered!AS601&amp;" T-Shirts")), "")</f>
        <v/>
      </c>
      <c r="E250" s="4" t="str">
        <f>Registered!AT601</f>
        <v/>
      </c>
      <c r="F250" s="4" t="str">
        <f>Registered!AU601</f>
        <v/>
      </c>
      <c r="G250" s="4" t="str">
        <f>Registered!AW601</f>
        <v/>
      </c>
      <c r="H250" s="4" t="str">
        <f>Registered!AX601</f>
        <v/>
      </c>
      <c r="I250" s="4" t="str">
        <f>Registered!AY601</f>
        <v/>
      </c>
    </row>
    <row r="251" spans="1:9" x14ac:dyDescent="0.25">
      <c r="A251" s="4" t="str">
        <f>Registered!B603</f>
        <v>Dopson</v>
      </c>
      <c r="B251" s="4" t="str">
        <f>Registered!A603</f>
        <v>Telena</v>
      </c>
      <c r="C251" s="4" t="str">
        <f>IF(Registered!AR603&gt;0,Registered!AR603&amp;" Color Bags", "")</f>
        <v>5 Color Bags</v>
      </c>
      <c r="D251" s="4" t="str">
        <f>IF(Registered!AS603&gt;0,(IF(Registered!AS603=1,Registered!AS603&amp;" T-Shirt",Registered!AS603&amp;" T-Shirts")), "")</f>
        <v/>
      </c>
      <c r="E251" s="4" t="str">
        <f>Registered!AT603</f>
        <v/>
      </c>
      <c r="F251" s="4" t="str">
        <f>Registered!AU603</f>
        <v/>
      </c>
      <c r="G251" s="4" t="str">
        <f>Registered!AW603</f>
        <v/>
      </c>
      <c r="H251" s="4" t="str">
        <f>Registered!AX603</f>
        <v/>
      </c>
      <c r="I251" s="4" t="str">
        <f>Registered!AY603</f>
        <v/>
      </c>
    </row>
    <row r="252" spans="1:9" x14ac:dyDescent="0.25">
      <c r="A252" s="4" t="str">
        <f>Registered!B604</f>
        <v>Dotson</v>
      </c>
      <c r="B252" s="4" t="str">
        <f>Registered!A604</f>
        <v>Misty</v>
      </c>
      <c r="C252" s="4" t="str">
        <f>IF(Registered!AR604&gt;0,Registered!AR604&amp;" Color Bags", "")</f>
        <v>10 Color Bags</v>
      </c>
      <c r="D252" s="4" t="str">
        <f>IF(Registered!AS604&gt;0,(IF(Registered!AS604=1,Registered!AS604&amp;" T-Shirt",Registered!AS604&amp;" T-Shirts")), "")</f>
        <v/>
      </c>
      <c r="E252" s="4" t="str">
        <f>Registered!AT604</f>
        <v/>
      </c>
      <c r="F252" s="4" t="str">
        <f>Registered!AU604</f>
        <v/>
      </c>
      <c r="G252" s="4" t="str">
        <f>Registered!AW604</f>
        <v/>
      </c>
      <c r="H252" s="4" t="str">
        <f>Registered!AX604</f>
        <v/>
      </c>
      <c r="I252" s="4" t="str">
        <f>Registered!AY604</f>
        <v>1 DustMask</v>
      </c>
    </row>
    <row r="253" spans="1:9" x14ac:dyDescent="0.25">
      <c r="A253" s="4" t="str">
        <f>Registered!B607</f>
        <v>Doty</v>
      </c>
      <c r="B253" s="4" t="str">
        <f>Registered!A607</f>
        <v>Justin</v>
      </c>
      <c r="C253" s="4" t="str">
        <f>IF(Registered!AR607&gt;0,Registered!AR607&amp;" Color Bags", "")</f>
        <v>20 Color Bags</v>
      </c>
      <c r="D253" s="4" t="str">
        <f>IF(Registered!AS607&gt;0,(IF(Registered!AS607=1,Registered!AS607&amp;" T-Shirt",Registered!AS607&amp;" T-Shirts")), "")</f>
        <v/>
      </c>
      <c r="E253" s="4" t="str">
        <f>Registered!AT607</f>
        <v/>
      </c>
      <c r="F253" s="4" t="str">
        <f>Registered!AU607</f>
        <v>4 Bandanas</v>
      </c>
      <c r="G253" s="4" t="str">
        <f>Registered!AW607</f>
        <v/>
      </c>
      <c r="H253" s="4" t="str">
        <f>Registered!AX607</f>
        <v/>
      </c>
      <c r="I253" s="4" t="str">
        <f>Registered!AY607</f>
        <v/>
      </c>
    </row>
    <row r="254" spans="1:9" x14ac:dyDescent="0.25">
      <c r="A254" s="4" t="str">
        <f>Registered!B609</f>
        <v>Dowdle</v>
      </c>
      <c r="B254" s="4" t="str">
        <f>Registered!A609</f>
        <v>Cynthia</v>
      </c>
      <c r="C254" s="4" t="str">
        <f>IF(Registered!AR609&gt;0,Registered!AR609&amp;" Color Bags", "")</f>
        <v>20 Color Bags</v>
      </c>
      <c r="D254" s="4" t="str">
        <f>IF(Registered!AS609&gt;0,(IF(Registered!AS609=1,Registered!AS609&amp;" T-Shirt",Registered!AS609&amp;" T-Shirts")), "")</f>
        <v/>
      </c>
      <c r="E254" s="4" t="str">
        <f>Registered!AT609</f>
        <v/>
      </c>
      <c r="F254" s="4" t="str">
        <f>Registered!AU609</f>
        <v/>
      </c>
      <c r="G254" s="4" t="str">
        <f>Registered!AW609</f>
        <v/>
      </c>
      <c r="H254" s="4" t="str">
        <f>Registered!AX609</f>
        <v/>
      </c>
      <c r="I254" s="4" t="str">
        <f>Registered!AY609</f>
        <v/>
      </c>
    </row>
    <row r="255" spans="1:9" x14ac:dyDescent="0.25">
      <c r="A255" s="4" t="str">
        <f>Registered!B613</f>
        <v>Doxey</v>
      </c>
      <c r="B255" s="4" t="str">
        <f>Registered!A613</f>
        <v>Whitney</v>
      </c>
      <c r="C255" s="4" t="str">
        <f>IF(Registered!AR613&gt;0,Registered!AR613&amp;" Color Bags", "")</f>
        <v/>
      </c>
      <c r="D255" s="4" t="str">
        <f>IF(Registered!AS613&gt;0,(IF(Registered!AS613=1,Registered!AS613&amp;" T-Shirt",Registered!AS613&amp;" T-Shirts")), "")</f>
        <v/>
      </c>
      <c r="E255" s="4" t="str">
        <f>Registered!AT613</f>
        <v/>
      </c>
      <c r="F255" s="4" t="str">
        <f>Registered!AU613</f>
        <v>1 Bandana</v>
      </c>
      <c r="G255" s="4" t="str">
        <f>Registered!AW613</f>
        <v>1 Meal</v>
      </c>
      <c r="H255" s="4" t="str">
        <f>Registered!AX613</f>
        <v/>
      </c>
      <c r="I255" s="4" t="str">
        <f>Registered!AY613</f>
        <v/>
      </c>
    </row>
    <row r="256" spans="1:9" x14ac:dyDescent="0.25">
      <c r="A256" s="4" t="str">
        <f>Registered!B612</f>
        <v>Doxey</v>
      </c>
      <c r="B256" s="4" t="str">
        <f>Registered!A612</f>
        <v>Andrew</v>
      </c>
      <c r="C256" s="4" t="str">
        <f>IF(Registered!AR612&gt;0,Registered!AR612&amp;" Color Bags", "")</f>
        <v>5 Color Bags</v>
      </c>
      <c r="D256" s="4" t="str">
        <f>IF(Registered!AS612&gt;0,(IF(Registered!AS612=1,Registered!AS612&amp;" T-Shirt",Registered!AS612&amp;" T-Shirts")), "")</f>
        <v>1 T-Shirt</v>
      </c>
      <c r="E256" s="4" t="str">
        <f>Registered!AT612</f>
        <v>Medium</v>
      </c>
      <c r="F256" s="4" t="str">
        <f>Registered!AU612</f>
        <v>1 Bandana</v>
      </c>
      <c r="G256" s="4" t="str">
        <f>Registered!AW612</f>
        <v>1 Meal</v>
      </c>
      <c r="H256" s="4" t="str">
        <f>Registered!AX612</f>
        <v>1 BG</v>
      </c>
      <c r="I256" s="4" t="str">
        <f>Registered!AY612</f>
        <v/>
      </c>
    </row>
    <row r="257" spans="1:9" x14ac:dyDescent="0.25">
      <c r="A257" s="4" t="str">
        <f>Registered!B614</f>
        <v>Draper</v>
      </c>
      <c r="B257" s="4" t="str">
        <f>Registered!A614</f>
        <v>Jonathon</v>
      </c>
      <c r="C257" s="4" t="str">
        <f>IF(Registered!AR614&gt;0,Registered!AR614&amp;" Color Bags", "")</f>
        <v>10 Color Bags</v>
      </c>
      <c r="D257" s="4" t="str">
        <f>IF(Registered!AS614&gt;0,(IF(Registered!AS614=1,Registered!AS614&amp;" T-Shirt",Registered!AS614&amp;" T-Shirts")), "")</f>
        <v/>
      </c>
      <c r="E257" s="4" t="str">
        <f>Registered!AT614</f>
        <v/>
      </c>
      <c r="F257" s="4" t="str">
        <f>Registered!AU614</f>
        <v/>
      </c>
      <c r="G257" s="4" t="str">
        <f>Registered!AW614</f>
        <v/>
      </c>
      <c r="H257" s="4" t="str">
        <f>Registered!AX614</f>
        <v/>
      </c>
      <c r="I257" s="4" t="str">
        <f>Registered!AY614</f>
        <v/>
      </c>
    </row>
    <row r="258" spans="1:9" x14ac:dyDescent="0.25">
      <c r="A258" s="4" t="str">
        <f>Registered!B615</f>
        <v>Draughan</v>
      </c>
      <c r="B258" s="4" t="str">
        <f>Registered!A615</f>
        <v>Doug</v>
      </c>
      <c r="C258" s="4" t="str">
        <f>IF(Registered!AR615&gt;0,Registered!AR615&amp;" Color Bags", "")</f>
        <v>10 Color Bags</v>
      </c>
      <c r="D258" s="4" t="str">
        <f>IF(Registered!AS615&gt;0,(IF(Registered!AS615=1,Registered!AS615&amp;" T-Shirt",Registered!AS615&amp;" T-Shirts")), "")</f>
        <v/>
      </c>
      <c r="E258" s="4" t="str">
        <f>Registered!AT615</f>
        <v/>
      </c>
      <c r="F258" s="4" t="str">
        <f>Registered!AU615</f>
        <v/>
      </c>
      <c r="G258" s="4" t="str">
        <f>Registered!AW615</f>
        <v/>
      </c>
      <c r="H258" s="4" t="str">
        <f>Registered!AX615</f>
        <v/>
      </c>
      <c r="I258" s="4" t="str">
        <f>Registered!AY615</f>
        <v/>
      </c>
    </row>
    <row r="259" spans="1:9" x14ac:dyDescent="0.25">
      <c r="A259" s="4" t="str">
        <f>Registered!B617</f>
        <v>Duarte</v>
      </c>
      <c r="B259" s="4" t="str">
        <f>Registered!A617</f>
        <v>Claudia</v>
      </c>
      <c r="C259" s="4" t="str">
        <f>IF(Registered!AR617&gt;0,Registered!AR617&amp;" Color Bags", "")</f>
        <v>15 Color Bags</v>
      </c>
      <c r="D259" s="4" t="str">
        <f>IF(Registered!AS617&gt;0,(IF(Registered!AS617=1,Registered!AS617&amp;" T-Shirt",Registered!AS617&amp;" T-Shirts")), "")</f>
        <v/>
      </c>
      <c r="E259" s="4" t="str">
        <f>Registered!AT617</f>
        <v/>
      </c>
      <c r="F259" s="4" t="str">
        <f>Registered!AU617</f>
        <v/>
      </c>
      <c r="G259" s="4" t="str">
        <f>Registered!AW617</f>
        <v/>
      </c>
      <c r="H259" s="4" t="str">
        <f>Registered!AX617</f>
        <v/>
      </c>
      <c r="I259" s="4" t="str">
        <f>Registered!AY617</f>
        <v/>
      </c>
    </row>
    <row r="260" spans="1:9" x14ac:dyDescent="0.25">
      <c r="A260" s="4" t="str">
        <f>Registered!B619</f>
        <v>Dudley</v>
      </c>
      <c r="B260" s="4" t="str">
        <f>Registered!A619</f>
        <v>Sage</v>
      </c>
      <c r="C260" s="4" t="str">
        <f>IF(Registered!AR619&gt;0,Registered!AR619&amp;" Color Bags", "")</f>
        <v>5 Color Bags</v>
      </c>
      <c r="D260" s="4" t="str">
        <f>IF(Registered!AS619&gt;0,(IF(Registered!AS619=1,Registered!AS619&amp;" T-Shirt",Registered!AS619&amp;" T-Shirts")), "")</f>
        <v/>
      </c>
      <c r="E260" s="4" t="str">
        <f>Registered!AT619</f>
        <v/>
      </c>
      <c r="F260" s="4" t="str">
        <f>Registered!AU619</f>
        <v/>
      </c>
      <c r="G260" s="4" t="str">
        <f>Registered!AW619</f>
        <v/>
      </c>
      <c r="H260" s="4" t="str">
        <f>Registered!AX619</f>
        <v/>
      </c>
      <c r="I260" s="4" t="str">
        <f>Registered!AY619</f>
        <v/>
      </c>
    </row>
    <row r="261" spans="1:9" x14ac:dyDescent="0.25">
      <c r="A261" s="4" t="str">
        <f>Registered!B620</f>
        <v>Dugger</v>
      </c>
      <c r="B261" s="4" t="str">
        <f>Registered!A620</f>
        <v>Cory</v>
      </c>
      <c r="C261" s="4" t="str">
        <f>IF(Registered!AR620&gt;0,Registered!AR620&amp;" Color Bags", "")</f>
        <v>5 Color Bags</v>
      </c>
      <c r="D261" s="4" t="str">
        <f>IF(Registered!AS620&gt;0,(IF(Registered!AS620=1,Registered!AS620&amp;" T-Shirt",Registered!AS620&amp;" T-Shirts")), "")</f>
        <v/>
      </c>
      <c r="E261" s="4" t="str">
        <f>Registered!AT620</f>
        <v/>
      </c>
      <c r="F261" s="4" t="str">
        <f>Registered!AU620</f>
        <v>1 Bandana</v>
      </c>
      <c r="G261" s="4" t="str">
        <f>Registered!AW620</f>
        <v/>
      </c>
      <c r="H261" s="4" t="str">
        <f>Registered!AX620</f>
        <v/>
      </c>
      <c r="I261" s="4" t="str">
        <f>Registered!AY620</f>
        <v/>
      </c>
    </row>
    <row r="262" spans="1:9" x14ac:dyDescent="0.25">
      <c r="A262" s="4" t="str">
        <f>Registered!B621</f>
        <v>Duler</v>
      </c>
      <c r="B262" s="4" t="str">
        <f>Registered!A621</f>
        <v>Kristina</v>
      </c>
      <c r="C262" s="4" t="str">
        <f>IF(Registered!AR621&gt;0,Registered!AR621&amp;" Color Bags", "")</f>
        <v>5 Color Bags</v>
      </c>
      <c r="D262" s="4" t="str">
        <f>IF(Registered!AS621&gt;0,(IF(Registered!AS621=1,Registered!AS621&amp;" T-Shirt",Registered!AS621&amp;" T-Shirts")), "")</f>
        <v/>
      </c>
      <c r="E262" s="4" t="str">
        <f>Registered!AT621</f>
        <v/>
      </c>
      <c r="F262" s="4" t="str">
        <f>Registered!AU621</f>
        <v/>
      </c>
      <c r="G262" s="4" t="str">
        <f>Registered!AW621</f>
        <v>1 Meal</v>
      </c>
      <c r="H262" s="4" t="str">
        <f>Registered!AX621</f>
        <v/>
      </c>
      <c r="I262" s="4" t="str">
        <f>Registered!AY621</f>
        <v/>
      </c>
    </row>
    <row r="263" spans="1:9" x14ac:dyDescent="0.25">
      <c r="A263" s="4" t="str">
        <f>Registered!B623</f>
        <v>Dumont</v>
      </c>
      <c r="B263" s="4" t="str">
        <f>Registered!A623</f>
        <v>Catherine</v>
      </c>
      <c r="C263" s="4" t="str">
        <f>IF(Registered!AR623&gt;0,Registered!AR623&amp;" Color Bags", "")</f>
        <v>20 Color Bags</v>
      </c>
      <c r="D263" s="4" t="str">
        <f>IF(Registered!AS623&gt;0,(IF(Registered!AS623=1,Registered!AS623&amp;" T-Shirt",Registered!AS623&amp;" T-Shirts")), "")</f>
        <v/>
      </c>
      <c r="E263" s="4" t="str">
        <f>Registered!AT623</f>
        <v/>
      </c>
      <c r="F263" s="4" t="str">
        <f>Registered!AU623</f>
        <v>2 Bandanas</v>
      </c>
      <c r="G263" s="4" t="str">
        <f>Registered!AW623</f>
        <v>2 Meals</v>
      </c>
      <c r="H263" s="4" t="str">
        <f>Registered!AX623</f>
        <v>1 BG</v>
      </c>
      <c r="I263" s="4" t="str">
        <f>Registered!AY623</f>
        <v/>
      </c>
    </row>
    <row r="264" spans="1:9" x14ac:dyDescent="0.25">
      <c r="A264" s="4" t="str">
        <f>Registered!B627</f>
        <v>Dunbar</v>
      </c>
      <c r="B264" s="4" t="str">
        <f>Registered!A627</f>
        <v>Michelle</v>
      </c>
      <c r="C264" s="4" t="str">
        <f>IF(Registered!AR627&gt;0,Registered!AR627&amp;" Color Bags", "")</f>
        <v>20 Color Bags</v>
      </c>
      <c r="D264" s="4" t="str">
        <f>IF(Registered!AS627&gt;0,(IF(Registered!AS627=1,Registered!AS627&amp;" T-Shirt",Registered!AS627&amp;" T-Shirts")), "")</f>
        <v/>
      </c>
      <c r="E264" s="4" t="str">
        <f>Registered!AT627</f>
        <v/>
      </c>
      <c r="F264" s="4" t="str">
        <f>Registered!AU627</f>
        <v/>
      </c>
      <c r="G264" s="4" t="str">
        <f>Registered!AW627</f>
        <v/>
      </c>
      <c r="H264" s="4" t="str">
        <f>Registered!AX627</f>
        <v/>
      </c>
      <c r="I264" s="4" t="str">
        <f>Registered!AY627</f>
        <v/>
      </c>
    </row>
    <row r="265" spans="1:9" x14ac:dyDescent="0.25">
      <c r="A265" s="4" t="str">
        <f>Registered!B628</f>
        <v>Duncan</v>
      </c>
      <c r="B265" s="4" t="str">
        <f>Registered!A628</f>
        <v>Charity</v>
      </c>
      <c r="C265" s="4" t="str">
        <f>IF(Registered!AR628&gt;0,Registered!AR628&amp;" Color Bags", "")</f>
        <v>10 Color Bags</v>
      </c>
      <c r="D265" s="4" t="str">
        <f>IF(Registered!AS628&gt;0,(IF(Registered!AS628=1,Registered!AS628&amp;" T-Shirt",Registered!AS628&amp;" T-Shirts")), "")</f>
        <v>2 T-Shirts</v>
      </c>
      <c r="E265" s="4" t="str">
        <f>Registered!AT628</f>
        <v>one Large and one Medium</v>
      </c>
      <c r="F265" s="4" t="str">
        <f>Registered!AU628</f>
        <v/>
      </c>
      <c r="G265" s="4" t="str">
        <f>Registered!AW628</f>
        <v>2 Meals</v>
      </c>
      <c r="H265" s="4" t="str">
        <f>Registered!AX628</f>
        <v/>
      </c>
      <c r="I265" s="4" t="str">
        <f>Registered!AY628</f>
        <v/>
      </c>
    </row>
    <row r="266" spans="1:9" x14ac:dyDescent="0.25">
      <c r="A266" s="4" t="str">
        <f>Registered!B630</f>
        <v>Durfey</v>
      </c>
      <c r="B266" s="4" t="str">
        <f>Registered!A630</f>
        <v>Anthony</v>
      </c>
      <c r="C266" s="4" t="str">
        <f>IF(Registered!AR630&gt;0,Registered!AR630&amp;" Color Bags", "")</f>
        <v>5 Color Bags</v>
      </c>
      <c r="D266" s="4" t="str">
        <f>IF(Registered!AS630&gt;0,(IF(Registered!AS630=1,Registered!AS630&amp;" T-Shirt",Registered!AS630&amp;" T-Shirts")), "")</f>
        <v/>
      </c>
      <c r="E266" s="4" t="str">
        <f>Registered!AT630</f>
        <v/>
      </c>
      <c r="F266" s="4" t="str">
        <f>Registered!AU630</f>
        <v/>
      </c>
      <c r="G266" s="4" t="str">
        <f>Registered!AW630</f>
        <v/>
      </c>
      <c r="H266" s="4" t="str">
        <f>Registered!AX630</f>
        <v/>
      </c>
      <c r="I266" s="4" t="str">
        <f>Registered!AY630</f>
        <v/>
      </c>
    </row>
    <row r="267" spans="1:9" x14ac:dyDescent="0.25">
      <c r="A267" s="4" t="str">
        <f>Registered!B631</f>
        <v>Durham</v>
      </c>
      <c r="B267" s="4" t="str">
        <f>Registered!A631</f>
        <v>Jordan</v>
      </c>
      <c r="C267" s="4" t="str">
        <f>IF(Registered!AR631&gt;0,Registered!AR631&amp;" Color Bags", "")</f>
        <v>10 Color Bags</v>
      </c>
      <c r="D267" s="4" t="str">
        <f>IF(Registered!AS631&gt;0,(IF(Registered!AS631=1,Registered!AS631&amp;" T-Shirt",Registered!AS631&amp;" T-Shirts")), "")</f>
        <v>2 T-Shirts</v>
      </c>
      <c r="E267" s="4" t="str">
        <f>Registered!AT631</f>
        <v>XL</v>
      </c>
      <c r="F267" s="4" t="str">
        <f>Registered!AU631</f>
        <v/>
      </c>
      <c r="G267" s="4" t="str">
        <f>Registered!AW631</f>
        <v>2 Meals</v>
      </c>
      <c r="H267" s="4" t="str">
        <f>Registered!AX631</f>
        <v/>
      </c>
      <c r="I267" s="4" t="str">
        <f>Registered!AY631</f>
        <v/>
      </c>
    </row>
    <row r="268" spans="1:9" x14ac:dyDescent="0.25">
      <c r="A268" s="4" t="str">
        <f>Registered!B632</f>
        <v>Durr</v>
      </c>
      <c r="B268" s="4" t="str">
        <f>Registered!A632</f>
        <v>Sarah</v>
      </c>
      <c r="C268" s="4" t="str">
        <f>IF(Registered!AR632&gt;0,Registered!AR632&amp;" Color Bags", "")</f>
        <v>15 Color Bags</v>
      </c>
      <c r="D268" s="4" t="str">
        <f>IF(Registered!AS632&gt;0,(IF(Registered!AS632=1,Registered!AS632&amp;" T-Shirt",Registered!AS632&amp;" T-Shirts")), "")</f>
        <v/>
      </c>
      <c r="E268" s="4" t="str">
        <f>Registered!AT632</f>
        <v/>
      </c>
      <c r="F268" s="4" t="str">
        <f>Registered!AU632</f>
        <v/>
      </c>
      <c r="G268" s="4" t="str">
        <f>Registered!AW632</f>
        <v/>
      </c>
      <c r="H268" s="4" t="str">
        <f>Registered!AX632</f>
        <v/>
      </c>
      <c r="I268" s="4" t="str">
        <f>Registered!AY632</f>
        <v/>
      </c>
    </row>
    <row r="269" spans="1:9" x14ac:dyDescent="0.25">
      <c r="A269" s="4" t="str">
        <f>Registered!B634</f>
        <v>Durtschi</v>
      </c>
      <c r="B269" s="4" t="str">
        <f>Registered!A634</f>
        <v>Lela</v>
      </c>
      <c r="C269" s="4" t="str">
        <f>IF(Registered!AR634&gt;0,Registered!AR634&amp;" Color Bags", "")</f>
        <v>5 Color Bags</v>
      </c>
      <c r="D269" s="4" t="str">
        <f>IF(Registered!AS634&gt;0,(IF(Registered!AS634=1,Registered!AS634&amp;" T-Shirt",Registered!AS634&amp;" T-Shirts")), "")</f>
        <v/>
      </c>
      <c r="E269" s="4" t="str">
        <f>Registered!AT634</f>
        <v/>
      </c>
      <c r="F269" s="4" t="str">
        <f>Registered!AU634</f>
        <v/>
      </c>
      <c r="G269" s="4" t="str">
        <f>Registered!AW634</f>
        <v/>
      </c>
      <c r="H269" s="4" t="str">
        <f>Registered!AX634</f>
        <v/>
      </c>
      <c r="I269" s="4" t="str">
        <f>Registered!AY634</f>
        <v/>
      </c>
    </row>
    <row r="270" spans="1:9" x14ac:dyDescent="0.25">
      <c r="A270" s="4" t="str">
        <f>Registered!B637</f>
        <v>Dyck</v>
      </c>
      <c r="B270" s="4" t="str">
        <f>Registered!A637</f>
        <v>Kimberly</v>
      </c>
      <c r="C270" s="4" t="str">
        <f>IF(Registered!AR637&gt;0,Registered!AR637&amp;" Color Bags", "")</f>
        <v>10 Color Bags</v>
      </c>
      <c r="D270" s="4" t="str">
        <f>IF(Registered!AS637&gt;0,(IF(Registered!AS637=1,Registered!AS637&amp;" T-Shirt",Registered!AS637&amp;" T-Shirts")), "")</f>
        <v>1 T-Shirt</v>
      </c>
      <c r="E270" s="4" t="str">
        <f>Registered!AT637</f>
        <v>Medium</v>
      </c>
      <c r="F270" s="4" t="str">
        <f>Registered!AU637</f>
        <v/>
      </c>
      <c r="G270" s="4" t="str">
        <f>Registered!AW637</f>
        <v/>
      </c>
      <c r="H270" s="4" t="str">
        <f>Registered!AX637</f>
        <v/>
      </c>
      <c r="I270" s="4" t="str">
        <f>Registered!AY637</f>
        <v/>
      </c>
    </row>
    <row r="271" spans="1:9" x14ac:dyDescent="0.25">
      <c r="A271" s="4" t="str">
        <f>Registered!B642</f>
        <v>Edrington</v>
      </c>
      <c r="B271" s="4" t="str">
        <f>Registered!A642</f>
        <v>Corinne</v>
      </c>
      <c r="C271" s="4" t="str">
        <f>IF(Registered!AR642&gt;0,Registered!AR642&amp;" Color Bags", "")</f>
        <v>10 Color Bags</v>
      </c>
      <c r="D271" s="4" t="str">
        <f>IF(Registered!AS642&gt;0,(IF(Registered!AS642=1,Registered!AS642&amp;" T-Shirt",Registered!AS642&amp;" T-Shirts")), "")</f>
        <v/>
      </c>
      <c r="E271" s="4" t="str">
        <f>Registered!AT642</f>
        <v/>
      </c>
      <c r="F271" s="4" t="str">
        <f>Registered!AU642</f>
        <v/>
      </c>
      <c r="G271" s="4" t="str">
        <f>Registered!AW642</f>
        <v/>
      </c>
      <c r="H271" s="4" t="str">
        <f>Registered!AX642</f>
        <v/>
      </c>
      <c r="I271" s="4" t="str">
        <f>Registered!AY642</f>
        <v/>
      </c>
    </row>
    <row r="272" spans="1:9" x14ac:dyDescent="0.25">
      <c r="A272" s="4" t="str">
        <f>Registered!B643</f>
        <v>Edwards</v>
      </c>
      <c r="B272" s="4" t="str">
        <f>Registered!A643</f>
        <v>Nic</v>
      </c>
      <c r="C272" s="4" t="str">
        <f>IF(Registered!AR643&gt;0,Registered!AR643&amp;" Color Bags", "")</f>
        <v>30 Color Bags</v>
      </c>
      <c r="D272" s="4" t="str">
        <f>IF(Registered!AS643&gt;0,(IF(Registered!AS643=1,Registered!AS643&amp;" T-Shirt",Registered!AS643&amp;" T-Shirts")), "")</f>
        <v/>
      </c>
      <c r="E272" s="4" t="str">
        <f>Registered!AT643</f>
        <v/>
      </c>
      <c r="F272" s="4" t="str">
        <f>Registered!AU643</f>
        <v/>
      </c>
      <c r="G272" s="4" t="str">
        <f>Registered!AW643</f>
        <v/>
      </c>
      <c r="H272" s="4" t="str">
        <f>Registered!AX643</f>
        <v/>
      </c>
      <c r="I272" s="4" t="str">
        <f>Registered!AY643</f>
        <v/>
      </c>
    </row>
    <row r="273" spans="1:9" x14ac:dyDescent="0.25">
      <c r="A273" s="4" t="str">
        <f>Registered!B646</f>
        <v>Egan</v>
      </c>
      <c r="B273" s="4" t="str">
        <f>Registered!A646</f>
        <v>Kris</v>
      </c>
      <c r="C273" s="4" t="str">
        <f>IF(Registered!AR646&gt;0,Registered!AR646&amp;" Color Bags", "")</f>
        <v>5 Color Bags</v>
      </c>
      <c r="D273" s="4" t="str">
        <f>IF(Registered!AS646&gt;0,(IF(Registered!AS646=1,Registered!AS646&amp;" T-Shirt",Registered!AS646&amp;" T-Shirts")), "")</f>
        <v/>
      </c>
      <c r="E273" s="4" t="str">
        <f>Registered!AT646</f>
        <v/>
      </c>
      <c r="F273" s="4" t="str">
        <f>Registered!AU646</f>
        <v/>
      </c>
      <c r="G273" s="4" t="str">
        <f>Registered!AW646</f>
        <v>2 Meals</v>
      </c>
      <c r="H273" s="4" t="str">
        <f>Registered!AX646</f>
        <v/>
      </c>
      <c r="I273" s="4" t="str">
        <f>Registered!AY646</f>
        <v/>
      </c>
    </row>
    <row r="274" spans="1:9" x14ac:dyDescent="0.25">
      <c r="A274" s="4" t="str">
        <f>Registered!B647</f>
        <v>Eggen</v>
      </c>
      <c r="B274" s="4" t="str">
        <f>Registered!A647</f>
        <v>Tammy</v>
      </c>
      <c r="C274" s="4" t="str">
        <f>IF(Registered!AR647&gt;0,Registered!AR647&amp;" Color Bags", "")</f>
        <v>5 Color Bags</v>
      </c>
      <c r="D274" s="4" t="str">
        <f>IF(Registered!AS647&gt;0,(IF(Registered!AS647=1,Registered!AS647&amp;" T-Shirt",Registered!AS647&amp;" T-Shirts")), "")</f>
        <v>2 T-Shirts</v>
      </c>
      <c r="E274" s="4" t="str">
        <f>Registered!AT647</f>
        <v>I bought 2 so one in XLarge and one in Large</v>
      </c>
      <c r="F274" s="4" t="str">
        <f>Registered!AU647</f>
        <v/>
      </c>
      <c r="G274" s="4" t="str">
        <f>Registered!AW647</f>
        <v/>
      </c>
      <c r="H274" s="4" t="str">
        <f>Registered!AX647</f>
        <v/>
      </c>
      <c r="I274" s="4" t="str">
        <f>Registered!AY647</f>
        <v/>
      </c>
    </row>
    <row r="275" spans="1:9" x14ac:dyDescent="0.25">
      <c r="A275" s="4" t="str">
        <f>Registered!B649</f>
        <v>Eldredge</v>
      </c>
      <c r="B275" s="4" t="str">
        <f>Registered!A649</f>
        <v>Sophia</v>
      </c>
      <c r="C275" s="4" t="str">
        <f>IF(Registered!AR649&gt;0,Registered!AR649&amp;" Color Bags", "")</f>
        <v>20 Color Bags</v>
      </c>
      <c r="D275" s="4" t="str">
        <f>IF(Registered!AS649&gt;0,(IF(Registered!AS649=1,Registered!AS649&amp;" T-Shirt",Registered!AS649&amp;" T-Shirts")), "")</f>
        <v/>
      </c>
      <c r="E275" s="4" t="str">
        <f>Registered!AT649</f>
        <v/>
      </c>
      <c r="F275" s="4" t="str">
        <f>Registered!AU649</f>
        <v/>
      </c>
      <c r="G275" s="4" t="str">
        <f>Registered!AW649</f>
        <v/>
      </c>
      <c r="H275" s="4" t="str">
        <f>Registered!AX649</f>
        <v/>
      </c>
      <c r="I275" s="4" t="str">
        <f>Registered!AY649</f>
        <v/>
      </c>
    </row>
    <row r="276" spans="1:9" x14ac:dyDescent="0.25">
      <c r="A276" s="4" t="str">
        <f>Registered!B651</f>
        <v>Elkington</v>
      </c>
      <c r="B276" s="4" t="str">
        <f>Registered!A651</f>
        <v>Joshua</v>
      </c>
      <c r="C276" s="4" t="str">
        <f>IF(Registered!AR651&gt;0,Registered!AR651&amp;" Color Bags", "")</f>
        <v>10 Color Bags</v>
      </c>
      <c r="D276" s="4" t="str">
        <f>IF(Registered!AS651&gt;0,(IF(Registered!AS651=1,Registered!AS651&amp;" T-Shirt",Registered!AS651&amp;" T-Shirts")), "")</f>
        <v/>
      </c>
      <c r="E276" s="4" t="str">
        <f>Registered!AT651</f>
        <v/>
      </c>
      <c r="F276" s="4" t="str">
        <f>Registered!AU651</f>
        <v/>
      </c>
      <c r="G276" s="4" t="str">
        <f>Registered!AW651</f>
        <v/>
      </c>
      <c r="H276" s="4" t="str">
        <f>Registered!AX651</f>
        <v/>
      </c>
      <c r="I276" s="4" t="str">
        <f>Registered!AY651</f>
        <v/>
      </c>
    </row>
    <row r="277" spans="1:9" x14ac:dyDescent="0.25">
      <c r="A277" s="4" t="str">
        <f>Registered!B653</f>
        <v>Elliott</v>
      </c>
      <c r="B277" s="4" t="str">
        <f>Registered!A653</f>
        <v>Halie</v>
      </c>
      <c r="C277" s="4" t="str">
        <f>IF(Registered!AR653&gt;0,Registered!AR653&amp;" Color Bags", "")</f>
        <v>5 Color Bags</v>
      </c>
      <c r="D277" s="4" t="str">
        <f>IF(Registered!AS653&gt;0,(IF(Registered!AS653=1,Registered!AS653&amp;" T-Shirt",Registered!AS653&amp;" T-Shirts")), "")</f>
        <v>1 T-Shirt</v>
      </c>
      <c r="E277" s="4" t="str">
        <f>Registered!AT653</f>
        <v>small</v>
      </c>
      <c r="F277" s="4" t="str">
        <f>Registered!AU653</f>
        <v/>
      </c>
      <c r="G277" s="4" t="str">
        <f>Registered!AW653</f>
        <v>1 Meal</v>
      </c>
      <c r="H277" s="4" t="str">
        <f>Registered!AX653</f>
        <v/>
      </c>
      <c r="I277" s="4" t="str">
        <f>Registered!AY653</f>
        <v/>
      </c>
    </row>
    <row r="278" spans="1:9" x14ac:dyDescent="0.25">
      <c r="A278" s="4" t="str">
        <f>Registered!B657</f>
        <v>Emery</v>
      </c>
      <c r="B278" s="4" t="str">
        <f>Registered!A657</f>
        <v>Robyn</v>
      </c>
      <c r="C278" s="4" t="str">
        <f>IF(Registered!AR657&gt;0,Registered!AR657&amp;" Color Bags", "")</f>
        <v>5 Color Bags</v>
      </c>
      <c r="D278" s="4" t="str">
        <f>IF(Registered!AS657&gt;0,(IF(Registered!AS657=1,Registered!AS657&amp;" T-Shirt",Registered!AS657&amp;" T-Shirts")), "")</f>
        <v>1 T-Shirt</v>
      </c>
      <c r="E278" s="4" t="str">
        <f>Registered!AT657</f>
        <v>2x</v>
      </c>
      <c r="F278" s="4" t="str">
        <f>Registered!AU657</f>
        <v/>
      </c>
      <c r="G278" s="4" t="str">
        <f>Registered!AW657</f>
        <v/>
      </c>
      <c r="H278" s="4" t="str">
        <f>Registered!AX657</f>
        <v/>
      </c>
      <c r="I278" s="4" t="str">
        <f>Registered!AY657</f>
        <v/>
      </c>
    </row>
    <row r="279" spans="1:9" x14ac:dyDescent="0.25">
      <c r="A279" s="4" t="str">
        <f>Registered!B658</f>
        <v>Encizo</v>
      </c>
      <c r="B279" s="4" t="str">
        <f>Registered!A658</f>
        <v>Beth</v>
      </c>
      <c r="C279" s="4" t="str">
        <f>IF(Registered!AR658&gt;0,Registered!AR658&amp;" Color Bags", "")</f>
        <v>5 Color Bags</v>
      </c>
      <c r="D279" s="4" t="str">
        <f>IF(Registered!AS658&gt;0,(IF(Registered!AS658=1,Registered!AS658&amp;" T-Shirt",Registered!AS658&amp;" T-Shirts")), "")</f>
        <v/>
      </c>
      <c r="E279" s="4" t="str">
        <f>Registered!AT658</f>
        <v/>
      </c>
      <c r="F279" s="4" t="str">
        <f>Registered!AU658</f>
        <v/>
      </c>
      <c r="G279" s="4" t="str">
        <f>Registered!AW658</f>
        <v/>
      </c>
      <c r="H279" s="4" t="str">
        <f>Registered!AX658</f>
        <v/>
      </c>
      <c r="I279" s="4" t="str">
        <f>Registered!AY658</f>
        <v/>
      </c>
    </row>
    <row r="280" spans="1:9" x14ac:dyDescent="0.25">
      <c r="A280" s="4" t="str">
        <f>Registered!B659</f>
        <v>Epperson</v>
      </c>
      <c r="B280" s="4" t="str">
        <f>Registered!A659</f>
        <v>Heather</v>
      </c>
      <c r="C280" s="4" t="str">
        <f>IF(Registered!AR659&gt;0,Registered!AR659&amp;" Color Bags", "")</f>
        <v>5 Color Bags</v>
      </c>
      <c r="D280" s="4" t="str">
        <f>IF(Registered!AS659&gt;0,(IF(Registered!AS659=1,Registered!AS659&amp;" T-Shirt",Registered!AS659&amp;" T-Shirts")), "")</f>
        <v/>
      </c>
      <c r="E280" s="4" t="str">
        <f>Registered!AT659</f>
        <v/>
      </c>
      <c r="F280" s="4" t="str">
        <f>Registered!AU659</f>
        <v/>
      </c>
      <c r="G280" s="4" t="str">
        <f>Registered!AW659</f>
        <v/>
      </c>
      <c r="H280" s="4" t="str">
        <f>Registered!AX659</f>
        <v/>
      </c>
      <c r="I280" s="4" t="str">
        <f>Registered!AY659</f>
        <v/>
      </c>
    </row>
    <row r="281" spans="1:9" x14ac:dyDescent="0.25">
      <c r="A281" s="4" t="str">
        <f>Registered!B660</f>
        <v>Equihua</v>
      </c>
      <c r="B281" s="4" t="str">
        <f>Registered!A660</f>
        <v>Tania</v>
      </c>
      <c r="C281" s="4" t="str">
        <f>IF(Registered!AR660&gt;0,Registered!AR660&amp;" Color Bags", "")</f>
        <v>20 Color Bags</v>
      </c>
      <c r="D281" s="4" t="str">
        <f>IF(Registered!AS660&gt;0,(IF(Registered!AS660=1,Registered!AS660&amp;" T-Shirt",Registered!AS660&amp;" T-Shirts")), "")</f>
        <v/>
      </c>
      <c r="E281" s="4" t="str">
        <f>Registered!AT660</f>
        <v/>
      </c>
      <c r="F281" s="4" t="str">
        <f>Registered!AU660</f>
        <v/>
      </c>
      <c r="G281" s="4" t="str">
        <f>Registered!AW660</f>
        <v/>
      </c>
      <c r="H281" s="4" t="str">
        <f>Registered!AX660</f>
        <v/>
      </c>
      <c r="I281" s="4" t="str">
        <f>Registered!AY660</f>
        <v/>
      </c>
    </row>
    <row r="282" spans="1:9" x14ac:dyDescent="0.25">
      <c r="A282" s="4" t="str">
        <f>Registered!B661</f>
        <v>Ericksen</v>
      </c>
      <c r="B282" s="4" t="str">
        <f>Registered!A661</f>
        <v>Brady</v>
      </c>
      <c r="C282" s="4" t="str">
        <f>IF(Registered!AR661&gt;0,Registered!AR661&amp;" Color Bags", "")</f>
        <v>5 Color Bags</v>
      </c>
      <c r="D282" s="4" t="str">
        <f>IF(Registered!AS661&gt;0,(IF(Registered!AS661=1,Registered!AS661&amp;" T-Shirt",Registered!AS661&amp;" T-Shirts")), "")</f>
        <v/>
      </c>
      <c r="E282" s="4" t="str">
        <f>Registered!AT661</f>
        <v/>
      </c>
      <c r="F282" s="4" t="str">
        <f>Registered!AU661</f>
        <v/>
      </c>
      <c r="G282" s="4" t="str">
        <f>Registered!AW661</f>
        <v/>
      </c>
      <c r="H282" s="4" t="str">
        <f>Registered!AX661</f>
        <v/>
      </c>
      <c r="I282" s="4" t="str">
        <f>Registered!AY661</f>
        <v/>
      </c>
    </row>
    <row r="283" spans="1:9" x14ac:dyDescent="0.25">
      <c r="A283" s="4" t="str">
        <f>Registered!B665</f>
        <v>Estey</v>
      </c>
      <c r="B283" s="4" t="str">
        <f>Registered!A665</f>
        <v>Tamara</v>
      </c>
      <c r="C283" s="4" t="str">
        <f>IF(Registered!AR665&gt;0,Registered!AR665&amp;" Color Bags", "")</f>
        <v>5 Color Bags</v>
      </c>
      <c r="D283" s="4" t="str">
        <f>IF(Registered!AS665&gt;0,(IF(Registered!AS665=1,Registered!AS665&amp;" T-Shirt",Registered!AS665&amp;" T-Shirts")), "")</f>
        <v/>
      </c>
      <c r="E283" s="4" t="str">
        <f>Registered!AT665</f>
        <v/>
      </c>
      <c r="F283" s="4" t="str">
        <f>Registered!AU665</f>
        <v/>
      </c>
      <c r="G283" s="4" t="str">
        <f>Registered!AW665</f>
        <v>1 Meal</v>
      </c>
      <c r="H283" s="4" t="str">
        <f>Registered!AX665</f>
        <v>1 BG</v>
      </c>
      <c r="I283" s="4" t="str">
        <f>Registered!AY665</f>
        <v/>
      </c>
    </row>
    <row r="284" spans="1:9" x14ac:dyDescent="0.25">
      <c r="A284" s="4" t="str">
        <f>Registered!B666</f>
        <v>Evans</v>
      </c>
      <c r="B284" s="4" t="str">
        <f>Registered!A666</f>
        <v>Chris</v>
      </c>
      <c r="C284" s="4" t="str">
        <f>IF(Registered!AR666&gt;0,Registered!AR666&amp;" Color Bags", "")</f>
        <v>10 Color Bags</v>
      </c>
      <c r="D284" s="4" t="str">
        <f>IF(Registered!AS666&gt;0,(IF(Registered!AS666=1,Registered!AS666&amp;" T-Shirt",Registered!AS666&amp;" T-Shirts")), "")</f>
        <v>2 T-Shirts</v>
      </c>
      <c r="E284" s="4" t="str">
        <f>Registered!AT666</f>
        <v>One (1) Extra Large and One (1) Large</v>
      </c>
      <c r="F284" s="4" t="str">
        <f>Registered!AU666</f>
        <v>2 Bandanas</v>
      </c>
      <c r="G284" s="4" t="str">
        <f>Registered!AW666</f>
        <v>2 Meals</v>
      </c>
      <c r="H284" s="4" t="str">
        <f>Registered!AX666</f>
        <v/>
      </c>
      <c r="I284" s="4" t="str">
        <f>Registered!AY666</f>
        <v/>
      </c>
    </row>
    <row r="285" spans="1:9" x14ac:dyDescent="0.25">
      <c r="A285" s="4" t="str">
        <f>Registered!B672</f>
        <v>Ewell</v>
      </c>
      <c r="B285" s="4" t="str">
        <f>Registered!A672</f>
        <v>Briana</v>
      </c>
      <c r="C285" s="4" t="str">
        <f>IF(Registered!AR672&gt;0,Registered!AR672&amp;" Color Bags", "")</f>
        <v>40 Color Bags</v>
      </c>
      <c r="D285" s="4" t="str">
        <f>IF(Registered!AS672&gt;0,(IF(Registered!AS672=1,Registered!AS672&amp;" T-Shirt",Registered!AS672&amp;" T-Shirts")), "")</f>
        <v>1 T-Shirt</v>
      </c>
      <c r="E285" s="4" t="str">
        <f>Registered!AT672</f>
        <v>Large</v>
      </c>
      <c r="F285" s="4" t="str">
        <f>Registered!AU672</f>
        <v>1 Bandana</v>
      </c>
      <c r="G285" s="4" t="str">
        <f>Registered!AW672</f>
        <v/>
      </c>
      <c r="H285" s="4" t="str">
        <f>Registered!AX672</f>
        <v/>
      </c>
      <c r="I285" s="4" t="str">
        <f>Registered!AY672</f>
        <v/>
      </c>
    </row>
    <row r="286" spans="1:9" x14ac:dyDescent="0.25">
      <c r="A286" s="4" t="str">
        <f>Registered!B675</f>
        <v>Fallentine</v>
      </c>
      <c r="B286" s="4" t="str">
        <f>Registered!A675</f>
        <v>C. J.</v>
      </c>
      <c r="C286" s="4" t="str">
        <f>IF(Registered!AR675&gt;0,Registered!AR675&amp;" Color Bags", "")</f>
        <v>5 Color Bags</v>
      </c>
      <c r="D286" s="4" t="str">
        <f>IF(Registered!AS675&gt;0,(IF(Registered!AS675=1,Registered!AS675&amp;" T-Shirt",Registered!AS675&amp;" T-Shirts")), "")</f>
        <v/>
      </c>
      <c r="E286" s="4" t="str">
        <f>Registered!AT675</f>
        <v/>
      </c>
      <c r="F286" s="4" t="str">
        <f>Registered!AU675</f>
        <v/>
      </c>
      <c r="G286" s="4" t="str">
        <f>Registered!AW675</f>
        <v/>
      </c>
      <c r="H286" s="4" t="str">
        <f>Registered!AX675</f>
        <v/>
      </c>
      <c r="I286" s="4" t="str">
        <f>Registered!AY675</f>
        <v/>
      </c>
    </row>
    <row r="287" spans="1:9" x14ac:dyDescent="0.25">
      <c r="A287" s="4" t="str">
        <f>Registered!B676</f>
        <v>Fannen</v>
      </c>
      <c r="B287" s="4" t="str">
        <f>Registered!A676</f>
        <v>Caitlin</v>
      </c>
      <c r="C287" s="4" t="str">
        <f>IF(Registered!AR676&gt;0,Registered!AR676&amp;" Color Bags", "")</f>
        <v>5 Color Bags</v>
      </c>
      <c r="D287" s="4" t="str">
        <f>IF(Registered!AS676&gt;0,(IF(Registered!AS676=1,Registered!AS676&amp;" T-Shirt",Registered!AS676&amp;" T-Shirts")), "")</f>
        <v/>
      </c>
      <c r="E287" s="4" t="str">
        <f>Registered!AT676</f>
        <v/>
      </c>
      <c r="F287" s="4" t="str">
        <f>Registered!AU676</f>
        <v/>
      </c>
      <c r="G287" s="4" t="str">
        <f>Registered!AW676</f>
        <v/>
      </c>
      <c r="H287" s="4" t="str">
        <f>Registered!AX676</f>
        <v/>
      </c>
      <c r="I287" s="4" t="str">
        <f>Registered!AY676</f>
        <v/>
      </c>
    </row>
    <row r="288" spans="1:9" x14ac:dyDescent="0.25">
      <c r="A288" s="4" t="str">
        <f>Registered!B677</f>
        <v>Farmer</v>
      </c>
      <c r="B288" s="4" t="str">
        <f>Registered!A677</f>
        <v>Allison</v>
      </c>
      <c r="C288" s="4" t="str">
        <f>IF(Registered!AR677&gt;0,Registered!AR677&amp;" Color Bags", "")</f>
        <v>5 Color Bags</v>
      </c>
      <c r="D288" s="4" t="str">
        <f>IF(Registered!AS677&gt;0,(IF(Registered!AS677=1,Registered!AS677&amp;" T-Shirt",Registered!AS677&amp;" T-Shirts")), "")</f>
        <v/>
      </c>
      <c r="E288" s="4" t="str">
        <f>Registered!AT677</f>
        <v/>
      </c>
      <c r="F288" s="4" t="str">
        <f>Registered!AU677</f>
        <v/>
      </c>
      <c r="G288" s="4" t="str">
        <f>Registered!AW677</f>
        <v/>
      </c>
      <c r="H288" s="4" t="str">
        <f>Registered!AX677</f>
        <v/>
      </c>
      <c r="I288" s="4" t="str">
        <f>Registered!AY677</f>
        <v/>
      </c>
    </row>
    <row r="289" spans="1:9" x14ac:dyDescent="0.25">
      <c r="A289" s="4" t="str">
        <f>Registered!B679</f>
        <v>Farrell</v>
      </c>
      <c r="B289" s="4" t="str">
        <f>Registered!A679</f>
        <v>Shannon</v>
      </c>
      <c r="C289" s="4" t="str">
        <f>IF(Registered!AR679&gt;0,Registered!AR679&amp;" Color Bags", "")</f>
        <v>15 Color Bags</v>
      </c>
      <c r="D289" s="4" t="str">
        <f>IF(Registered!AS679&gt;0,(IF(Registered!AS679=1,Registered!AS679&amp;" T-Shirt",Registered!AS679&amp;" T-Shirts")), "")</f>
        <v>1 T-Shirt</v>
      </c>
      <c r="E289" s="4" t="str">
        <f>Registered!AT679</f>
        <v>Medium</v>
      </c>
      <c r="F289" s="4" t="str">
        <f>Registered!AU679</f>
        <v/>
      </c>
      <c r="G289" s="4" t="str">
        <f>Registered!AW679</f>
        <v>4 Meals</v>
      </c>
      <c r="H289" s="4" t="str">
        <f>Registered!AX679</f>
        <v/>
      </c>
      <c r="I289" s="4" t="str">
        <f>Registered!AY679</f>
        <v/>
      </c>
    </row>
    <row r="290" spans="1:9" x14ac:dyDescent="0.25">
      <c r="A290" s="4" t="str">
        <f>Registered!B680</f>
        <v>Farrington</v>
      </c>
      <c r="B290" s="4" t="str">
        <f>Registered!A680</f>
        <v>Gregg</v>
      </c>
      <c r="C290" s="4" t="str">
        <f>IF(Registered!AR680&gt;0,Registered!AR680&amp;" Color Bags", "")</f>
        <v>10 Color Bags</v>
      </c>
      <c r="D290" s="4" t="str">
        <f>IF(Registered!AS680&gt;0,(IF(Registered!AS680=1,Registered!AS680&amp;" T-Shirt",Registered!AS680&amp;" T-Shirts")), "")</f>
        <v>2 T-Shirts</v>
      </c>
      <c r="E290" s="4" t="str">
        <f>Registered!AT680</f>
        <v>2 Large</v>
      </c>
      <c r="F290" s="4" t="str">
        <f>Registered!AU680</f>
        <v>2 Bandanas</v>
      </c>
      <c r="G290" s="4" t="str">
        <f>Registered!AW680</f>
        <v/>
      </c>
      <c r="H290" s="4" t="str">
        <f>Registered!AX680</f>
        <v/>
      </c>
      <c r="I290" s="4" t="str">
        <f>Registered!AY680</f>
        <v>1 DustMask</v>
      </c>
    </row>
    <row r="291" spans="1:9" x14ac:dyDescent="0.25">
      <c r="A291" s="4" t="str">
        <f>Registered!B685</f>
        <v>Faye</v>
      </c>
      <c r="B291" s="4" t="str">
        <f>Registered!A685</f>
        <v>Ryan</v>
      </c>
      <c r="C291" s="4" t="str">
        <f>IF(Registered!AR685&gt;0,Registered!AR685&amp;" Color Bags", "")</f>
        <v>5 Color Bags</v>
      </c>
      <c r="D291" s="4" t="str">
        <f>IF(Registered!AS685&gt;0,(IF(Registered!AS685=1,Registered!AS685&amp;" T-Shirt",Registered!AS685&amp;" T-Shirts")), "")</f>
        <v/>
      </c>
      <c r="E291" s="4" t="str">
        <f>Registered!AT685</f>
        <v/>
      </c>
      <c r="F291" s="4" t="str">
        <f>Registered!AU685</f>
        <v/>
      </c>
      <c r="G291" s="4" t="str">
        <f>Registered!AW685</f>
        <v/>
      </c>
      <c r="H291" s="4" t="str">
        <f>Registered!AX685</f>
        <v/>
      </c>
      <c r="I291" s="4" t="str">
        <f>Registered!AY685</f>
        <v/>
      </c>
    </row>
    <row r="292" spans="1:9" x14ac:dyDescent="0.25">
      <c r="A292" s="4" t="str">
        <f>Registered!B687</f>
        <v>Feliciano</v>
      </c>
      <c r="B292" s="4" t="str">
        <f>Registered!A687</f>
        <v>Brian</v>
      </c>
      <c r="C292" s="4" t="str">
        <f>IF(Registered!AR687&gt;0,Registered!AR687&amp;" Color Bags", "")</f>
        <v>10 Color Bags</v>
      </c>
      <c r="D292" s="4" t="str">
        <f>IF(Registered!AS687&gt;0,(IF(Registered!AS687=1,Registered!AS687&amp;" T-Shirt",Registered!AS687&amp;" T-Shirts")), "")</f>
        <v>1 T-Shirt</v>
      </c>
      <c r="E292" s="4" t="str">
        <f>Registered!AT687</f>
        <v>Medium</v>
      </c>
      <c r="F292" s="4" t="str">
        <f>Registered!AU687</f>
        <v/>
      </c>
      <c r="G292" s="4" t="str">
        <f>Registered!AW687</f>
        <v>1 Meal</v>
      </c>
      <c r="H292" s="4" t="str">
        <f>Registered!AX687</f>
        <v/>
      </c>
      <c r="I292" s="4" t="str">
        <f>Registered!AY687</f>
        <v/>
      </c>
    </row>
    <row r="293" spans="1:9" x14ac:dyDescent="0.25">
      <c r="A293" s="4" t="str">
        <f>Registered!B688</f>
        <v>Felosi</v>
      </c>
      <c r="B293" s="4" t="str">
        <f>Registered!A688</f>
        <v>Robyn</v>
      </c>
      <c r="C293" s="4" t="str">
        <f>IF(Registered!AR688&gt;0,Registered!AR688&amp;" Color Bags", "")</f>
        <v>5 Color Bags</v>
      </c>
      <c r="D293" s="4" t="str">
        <f>IF(Registered!AS688&gt;0,(IF(Registered!AS688=1,Registered!AS688&amp;" T-Shirt",Registered!AS688&amp;" T-Shirts")), "")</f>
        <v/>
      </c>
      <c r="E293" s="4" t="str">
        <f>Registered!AT688</f>
        <v/>
      </c>
      <c r="F293" s="4" t="str">
        <f>Registered!AU688</f>
        <v>2 Bandanas</v>
      </c>
      <c r="G293" s="4" t="str">
        <f>Registered!AW688</f>
        <v/>
      </c>
      <c r="H293" s="4" t="str">
        <f>Registered!AX688</f>
        <v/>
      </c>
      <c r="I293" s="4" t="str">
        <f>Registered!AY688</f>
        <v/>
      </c>
    </row>
    <row r="294" spans="1:9" x14ac:dyDescent="0.25">
      <c r="A294" s="4" t="str">
        <f>Registered!B690</f>
        <v>Fenstermaker</v>
      </c>
      <c r="B294" s="4" t="str">
        <f>Registered!A690</f>
        <v>Nick</v>
      </c>
      <c r="C294" s="4" t="str">
        <f>IF(Registered!AR690&gt;0,Registered!AR690&amp;" Color Bags", "")</f>
        <v>20 Color Bags</v>
      </c>
      <c r="D294" s="4" t="str">
        <f>IF(Registered!AS690&gt;0,(IF(Registered!AS690=1,Registered!AS690&amp;" T-Shirt",Registered!AS690&amp;" T-Shirts")), "")</f>
        <v/>
      </c>
      <c r="E294" s="4" t="str">
        <f>Registered!AT690</f>
        <v/>
      </c>
      <c r="F294" s="4" t="str">
        <f>Registered!AU690</f>
        <v/>
      </c>
      <c r="G294" s="4" t="str">
        <f>Registered!AW690</f>
        <v/>
      </c>
      <c r="H294" s="4" t="str">
        <f>Registered!AX690</f>
        <v/>
      </c>
      <c r="I294" s="4" t="str">
        <f>Registered!AY690</f>
        <v/>
      </c>
    </row>
    <row r="295" spans="1:9" x14ac:dyDescent="0.25">
      <c r="A295" s="4" t="str">
        <f>Registered!B693</f>
        <v>Feragen</v>
      </c>
      <c r="B295" s="4" t="str">
        <f>Registered!A693</f>
        <v>Oly</v>
      </c>
      <c r="C295" s="4" t="str">
        <f>IF(Registered!AR693&gt;0,Registered!AR693&amp;" Color Bags", "")</f>
        <v>20 Color Bags</v>
      </c>
      <c r="D295" s="4" t="str">
        <f>IF(Registered!AS693&gt;0,(IF(Registered!AS693=1,Registered!AS693&amp;" T-Shirt",Registered!AS693&amp;" T-Shirts")), "")</f>
        <v/>
      </c>
      <c r="E295" s="4" t="str">
        <f>Registered!AT693</f>
        <v/>
      </c>
      <c r="F295" s="4" t="str">
        <f>Registered!AU693</f>
        <v/>
      </c>
      <c r="G295" s="4" t="str">
        <f>Registered!AW693</f>
        <v/>
      </c>
      <c r="H295" s="4" t="str">
        <f>Registered!AX693</f>
        <v/>
      </c>
      <c r="I295" s="4" t="str">
        <f>Registered!AY693</f>
        <v/>
      </c>
    </row>
    <row r="296" spans="1:9" x14ac:dyDescent="0.25">
      <c r="A296" s="4" t="str">
        <f>Registered!B694</f>
        <v>Fernandez</v>
      </c>
      <c r="B296" s="4" t="str">
        <f>Registered!A694</f>
        <v>Jessica</v>
      </c>
      <c r="C296" s="4" t="str">
        <f>IF(Registered!AR694&gt;0,Registered!AR694&amp;" Color Bags", "")</f>
        <v/>
      </c>
      <c r="D296" s="4" t="str">
        <f>IF(Registered!AS694&gt;0,(IF(Registered!AS694=1,Registered!AS694&amp;" T-Shirt",Registered!AS694&amp;" T-Shirts")), "")</f>
        <v/>
      </c>
      <c r="E296" s="4" t="str">
        <f>Registered!AT694</f>
        <v/>
      </c>
      <c r="F296" s="4" t="str">
        <f>Registered!AU694</f>
        <v/>
      </c>
      <c r="G296" s="4" t="str">
        <f>Registered!AW694</f>
        <v>2 Meals</v>
      </c>
      <c r="H296" s="4" t="str">
        <f>Registered!AX694</f>
        <v/>
      </c>
      <c r="I296" s="4" t="str">
        <f>Registered!AY694</f>
        <v/>
      </c>
    </row>
    <row r="297" spans="1:9" x14ac:dyDescent="0.25">
      <c r="A297" s="4" t="str">
        <f>Registered!B696</f>
        <v>Fernley</v>
      </c>
      <c r="B297" s="4" t="str">
        <f>Registered!A696</f>
        <v>Tania</v>
      </c>
      <c r="C297" s="4" t="str">
        <f>IF(Registered!AR696&gt;0,Registered!AR696&amp;" Color Bags", "")</f>
        <v>10 Color Bags</v>
      </c>
      <c r="D297" s="4" t="str">
        <f>IF(Registered!AS696&gt;0,(IF(Registered!AS696=1,Registered!AS696&amp;" T-Shirt",Registered!AS696&amp;" T-Shirts")), "")</f>
        <v>2 T-Shirts</v>
      </c>
      <c r="E297" s="4" t="str">
        <f>Registered!AT696</f>
        <v>Small and Large</v>
      </c>
      <c r="F297" s="4" t="str">
        <f>Registered!AU696</f>
        <v/>
      </c>
      <c r="G297" s="4" t="str">
        <f>Registered!AW696</f>
        <v>2 Meals</v>
      </c>
      <c r="H297" s="4" t="str">
        <f>Registered!AX696</f>
        <v/>
      </c>
      <c r="I297" s="4" t="str">
        <f>Registered!AY696</f>
        <v/>
      </c>
    </row>
    <row r="298" spans="1:9" x14ac:dyDescent="0.25">
      <c r="A298" s="4" t="str">
        <f>Registered!B698</f>
        <v>Ferry</v>
      </c>
      <c r="B298" s="4" t="str">
        <f>Registered!A698</f>
        <v>Ashley</v>
      </c>
      <c r="C298" s="4" t="str">
        <f>IF(Registered!AR698&gt;0,Registered!AR698&amp;" Color Bags", "")</f>
        <v>5 Color Bags</v>
      </c>
      <c r="D298" s="4" t="str">
        <f>IF(Registered!AS698&gt;0,(IF(Registered!AS698=1,Registered!AS698&amp;" T-Shirt",Registered!AS698&amp;" T-Shirts")), "")</f>
        <v/>
      </c>
      <c r="E298" s="4" t="str">
        <f>Registered!AT698</f>
        <v/>
      </c>
      <c r="F298" s="4" t="str">
        <f>Registered!AU698</f>
        <v/>
      </c>
      <c r="G298" s="4" t="str">
        <f>Registered!AW698</f>
        <v/>
      </c>
      <c r="H298" s="4" t="str">
        <f>Registered!AX698</f>
        <v/>
      </c>
      <c r="I298" s="4" t="str">
        <f>Registered!AY698</f>
        <v/>
      </c>
    </row>
    <row r="299" spans="1:9" x14ac:dyDescent="0.25">
      <c r="A299" s="4" t="str">
        <f>Registered!B703</f>
        <v>Fife</v>
      </c>
      <c r="B299" s="4" t="str">
        <f>Registered!A703</f>
        <v>Kellie</v>
      </c>
      <c r="C299" s="4" t="str">
        <f>IF(Registered!AR703&gt;0,Registered!AR703&amp;" Color Bags", "")</f>
        <v>10 Color Bags</v>
      </c>
      <c r="D299" s="4" t="str">
        <f>IF(Registered!AS703&gt;0,(IF(Registered!AS703=1,Registered!AS703&amp;" T-Shirt",Registered!AS703&amp;" T-Shirts")), "")</f>
        <v/>
      </c>
      <c r="E299" s="4" t="str">
        <f>Registered!AT703</f>
        <v/>
      </c>
      <c r="F299" s="4" t="str">
        <f>Registered!AU703</f>
        <v/>
      </c>
      <c r="G299" s="4" t="str">
        <f>Registered!AW703</f>
        <v/>
      </c>
      <c r="H299" s="4" t="str">
        <f>Registered!AX703</f>
        <v/>
      </c>
      <c r="I299" s="4" t="str">
        <f>Registered!AY703</f>
        <v/>
      </c>
    </row>
    <row r="300" spans="1:9" x14ac:dyDescent="0.25">
      <c r="A300" s="4" t="str">
        <f>Registered!B704</f>
        <v>Finegan</v>
      </c>
      <c r="B300" s="4" t="str">
        <f>Registered!A704</f>
        <v>Kasey</v>
      </c>
      <c r="C300" s="4" t="str">
        <f>IF(Registered!AR704&gt;0,Registered!AR704&amp;" Color Bags", "")</f>
        <v>10 Color Bags</v>
      </c>
      <c r="D300" s="4" t="str">
        <f>IF(Registered!AS704&gt;0,(IF(Registered!AS704=1,Registered!AS704&amp;" T-Shirt",Registered!AS704&amp;" T-Shirts")), "")</f>
        <v>1 T-Shirt</v>
      </c>
      <c r="E300" s="4" t="str">
        <f>Registered!AT704</f>
        <v>Medium</v>
      </c>
      <c r="F300" s="4" t="str">
        <f>Registered!AU704</f>
        <v/>
      </c>
      <c r="G300" s="4" t="str">
        <f>Registered!AW704</f>
        <v>1 Meal</v>
      </c>
      <c r="H300" s="4" t="str">
        <f>Registered!AX704</f>
        <v>1 BG</v>
      </c>
      <c r="I300" s="4" t="str">
        <f>Registered!AY704</f>
        <v/>
      </c>
    </row>
    <row r="301" spans="1:9" x14ac:dyDescent="0.25">
      <c r="A301" s="4" t="str">
        <f>Registered!B705</f>
        <v>Firth</v>
      </c>
      <c r="B301" s="4" t="str">
        <f>Registered!A705</f>
        <v>Jason</v>
      </c>
      <c r="C301" s="4" t="str">
        <f>IF(Registered!AR705&gt;0,Registered!AR705&amp;" Color Bags", "")</f>
        <v>5 Color Bags</v>
      </c>
      <c r="D301" s="4" t="str">
        <f>IF(Registered!AS705&gt;0,(IF(Registered!AS705=1,Registered!AS705&amp;" T-Shirt",Registered!AS705&amp;" T-Shirts")), "")</f>
        <v/>
      </c>
      <c r="E301" s="4" t="str">
        <f>Registered!AT705</f>
        <v/>
      </c>
      <c r="F301" s="4" t="str">
        <f>Registered!AU705</f>
        <v/>
      </c>
      <c r="G301" s="4" t="str">
        <f>Registered!AW705</f>
        <v>1 Meal</v>
      </c>
      <c r="H301" s="4" t="str">
        <f>Registered!AX705</f>
        <v/>
      </c>
      <c r="I301" s="4" t="str">
        <f>Registered!AY705</f>
        <v/>
      </c>
    </row>
    <row r="302" spans="1:9" x14ac:dyDescent="0.25">
      <c r="A302" s="4" t="str">
        <f>Registered!B709</f>
        <v>Fitzgerald</v>
      </c>
      <c r="B302" s="4" t="str">
        <f>Registered!A709</f>
        <v>Nicole</v>
      </c>
      <c r="C302" s="4" t="str">
        <f>IF(Registered!AR709&gt;0,Registered!AR709&amp;" Color Bags", "")</f>
        <v>10 Color Bags</v>
      </c>
      <c r="D302" s="4" t="str">
        <f>IF(Registered!AS709&gt;0,(IF(Registered!AS709=1,Registered!AS709&amp;" T-Shirt",Registered!AS709&amp;" T-Shirts")), "")</f>
        <v/>
      </c>
      <c r="E302" s="4" t="str">
        <f>Registered!AT709</f>
        <v/>
      </c>
      <c r="F302" s="4" t="str">
        <f>Registered!AU709</f>
        <v/>
      </c>
      <c r="G302" s="4" t="str">
        <f>Registered!AW709</f>
        <v/>
      </c>
      <c r="H302" s="4" t="str">
        <f>Registered!AX709</f>
        <v/>
      </c>
      <c r="I302" s="4" t="str">
        <f>Registered!AY709</f>
        <v/>
      </c>
    </row>
    <row r="303" spans="1:9" x14ac:dyDescent="0.25">
      <c r="A303" s="4" t="str">
        <f>Registered!B710</f>
        <v>Flanders</v>
      </c>
      <c r="B303" s="4" t="str">
        <f>Registered!A710</f>
        <v>Amanda</v>
      </c>
      <c r="C303" s="4" t="str">
        <f>IF(Registered!AR710&gt;0,Registered!AR710&amp;" Color Bags", "")</f>
        <v>10 Color Bags</v>
      </c>
      <c r="D303" s="4" t="str">
        <f>IF(Registered!AS710&gt;0,(IF(Registered!AS710=1,Registered!AS710&amp;" T-Shirt",Registered!AS710&amp;" T-Shirts")), "")</f>
        <v/>
      </c>
      <c r="E303" s="4" t="str">
        <f>Registered!AT710</f>
        <v/>
      </c>
      <c r="F303" s="4" t="str">
        <f>Registered!AU710</f>
        <v/>
      </c>
      <c r="G303" s="4" t="str">
        <f>Registered!AW710</f>
        <v/>
      </c>
      <c r="H303" s="4" t="str">
        <f>Registered!AX710</f>
        <v/>
      </c>
      <c r="I303" s="4" t="str">
        <f>Registered!AY710</f>
        <v/>
      </c>
    </row>
    <row r="304" spans="1:9" x14ac:dyDescent="0.25">
      <c r="A304" s="4" t="str">
        <f>Registered!B715</f>
        <v>Flnaders</v>
      </c>
      <c r="B304" s="4" t="str">
        <f>Registered!A715</f>
        <v>Becky</v>
      </c>
      <c r="C304" s="4" t="str">
        <f>IF(Registered!AR715&gt;0,Registered!AR715&amp;" Color Bags", "")</f>
        <v>20 Color Bags</v>
      </c>
      <c r="D304" s="4" t="str">
        <f>IF(Registered!AS715&gt;0,(IF(Registered!AS715=1,Registered!AS715&amp;" T-Shirt",Registered!AS715&amp;" T-Shirts")), "")</f>
        <v/>
      </c>
      <c r="E304" s="4" t="str">
        <f>Registered!AT715</f>
        <v/>
      </c>
      <c r="F304" s="4" t="str">
        <f>Registered!AU715</f>
        <v/>
      </c>
      <c r="G304" s="4" t="str">
        <f>Registered!AW715</f>
        <v/>
      </c>
      <c r="H304" s="4" t="str">
        <f>Registered!AX715</f>
        <v/>
      </c>
      <c r="I304" s="4" t="str">
        <f>Registered!AY715</f>
        <v/>
      </c>
    </row>
    <row r="305" spans="1:9" x14ac:dyDescent="0.25">
      <c r="A305" s="4" t="str">
        <f>Registered!B718</f>
        <v>Fluckiger</v>
      </c>
      <c r="B305" s="4" t="str">
        <f>Registered!A718</f>
        <v>Sarah</v>
      </c>
      <c r="C305" s="4" t="str">
        <f>IF(Registered!AR718&gt;0,Registered!AR718&amp;" Color Bags", "")</f>
        <v>10 Color Bags</v>
      </c>
      <c r="D305" s="4" t="str">
        <f>IF(Registered!AS718&gt;0,(IF(Registered!AS718=1,Registered!AS718&amp;" T-Shirt",Registered!AS718&amp;" T-Shirts")), "")</f>
        <v/>
      </c>
      <c r="E305" s="4" t="str">
        <f>Registered!AT718</f>
        <v/>
      </c>
      <c r="F305" s="4" t="str">
        <f>Registered!AU718</f>
        <v/>
      </c>
      <c r="G305" s="4" t="str">
        <f>Registered!AW718</f>
        <v/>
      </c>
      <c r="H305" s="4" t="str">
        <f>Registered!AX718</f>
        <v/>
      </c>
      <c r="I305" s="4" t="str">
        <f>Registered!AY718</f>
        <v/>
      </c>
    </row>
    <row r="306" spans="1:9" x14ac:dyDescent="0.25">
      <c r="A306" s="4" t="str">
        <f>Registered!B723</f>
        <v>Ford</v>
      </c>
      <c r="B306" s="4" t="str">
        <f>Registered!A723</f>
        <v>Lisa</v>
      </c>
      <c r="C306" s="4" t="str">
        <f>IF(Registered!AR723&gt;0,Registered!AR723&amp;" Color Bags", "")</f>
        <v>10 Color Bags</v>
      </c>
      <c r="D306" s="4" t="str">
        <f>IF(Registered!AS723&gt;0,(IF(Registered!AS723=1,Registered!AS723&amp;" T-Shirt",Registered!AS723&amp;" T-Shirts")), "")</f>
        <v/>
      </c>
      <c r="E306" s="4" t="str">
        <f>Registered!AT723</f>
        <v/>
      </c>
      <c r="F306" s="4" t="str">
        <f>Registered!AU723</f>
        <v/>
      </c>
      <c r="G306" s="4" t="str">
        <f>Registered!AW723</f>
        <v/>
      </c>
      <c r="H306" s="4" t="str">
        <f>Registered!AX723</f>
        <v/>
      </c>
      <c r="I306" s="4" t="str">
        <f>Registered!AY723</f>
        <v/>
      </c>
    </row>
    <row r="307" spans="1:9" x14ac:dyDescent="0.25">
      <c r="A307" s="4" t="str">
        <f>Registered!B725</f>
        <v>Ford</v>
      </c>
      <c r="B307" s="4" t="str">
        <f>Registered!A725</f>
        <v>Paul</v>
      </c>
      <c r="C307" s="4" t="str">
        <f>IF(Registered!AR725&gt;0,Registered!AR725&amp;" Color Bags", "")</f>
        <v>10 Color Bags</v>
      </c>
      <c r="D307" s="4" t="str">
        <f>IF(Registered!AS725&gt;0,(IF(Registered!AS725=1,Registered!AS725&amp;" T-Shirt",Registered!AS725&amp;" T-Shirts")), "")</f>
        <v/>
      </c>
      <c r="E307" s="4" t="str">
        <f>Registered!AT725</f>
        <v/>
      </c>
      <c r="F307" s="4" t="str">
        <f>Registered!AU725</f>
        <v/>
      </c>
      <c r="G307" s="4" t="str">
        <f>Registered!AW725</f>
        <v/>
      </c>
      <c r="H307" s="4" t="str">
        <f>Registered!AX725</f>
        <v/>
      </c>
      <c r="I307" s="4" t="str">
        <f>Registered!AY725</f>
        <v/>
      </c>
    </row>
    <row r="308" spans="1:9" x14ac:dyDescent="0.25">
      <c r="A308" s="4" t="str">
        <f>Registered!B727</f>
        <v>Forkus</v>
      </c>
      <c r="B308" s="4" t="str">
        <f>Registered!A727</f>
        <v>Abbey</v>
      </c>
      <c r="C308" s="4" t="str">
        <f>IF(Registered!AR727&gt;0,Registered!AR727&amp;" Color Bags", "")</f>
        <v>5 Color Bags</v>
      </c>
      <c r="D308" s="4" t="str">
        <f>IF(Registered!AS727&gt;0,(IF(Registered!AS727=1,Registered!AS727&amp;" T-Shirt",Registered!AS727&amp;" T-Shirts")), "")</f>
        <v/>
      </c>
      <c r="E308" s="4" t="str">
        <f>Registered!AT727</f>
        <v/>
      </c>
      <c r="F308" s="4" t="str">
        <f>Registered!AU727</f>
        <v/>
      </c>
      <c r="G308" s="4" t="str">
        <f>Registered!AW727</f>
        <v/>
      </c>
      <c r="H308" s="4" t="str">
        <f>Registered!AX727</f>
        <v/>
      </c>
      <c r="I308" s="4" t="str">
        <f>Registered!AY727</f>
        <v/>
      </c>
    </row>
    <row r="309" spans="1:9" x14ac:dyDescent="0.25">
      <c r="A309" s="4" t="str">
        <f>Registered!B728</f>
        <v>Forster</v>
      </c>
      <c r="B309" s="4" t="str">
        <f>Registered!A728</f>
        <v>Henry</v>
      </c>
      <c r="C309" s="4" t="str">
        <f>IF(Registered!AR728&gt;0,Registered!AR728&amp;" Color Bags", "")</f>
        <v>30 Color Bags</v>
      </c>
      <c r="D309" s="4" t="str">
        <f>IF(Registered!AS728&gt;0,(IF(Registered!AS728=1,Registered!AS728&amp;" T-Shirt",Registered!AS728&amp;" T-Shirts")), "")</f>
        <v>2 T-Shirts</v>
      </c>
      <c r="E309" s="4" t="str">
        <f>Registered!AT728</f>
        <v>xl and l</v>
      </c>
      <c r="F309" s="4" t="str">
        <f>Registered!AU728</f>
        <v>2 Bandanas</v>
      </c>
      <c r="G309" s="4" t="str">
        <f>Registered!AW728</f>
        <v>2 Meals</v>
      </c>
      <c r="H309" s="4" t="str">
        <f>Registered!AX728</f>
        <v/>
      </c>
      <c r="I309" s="4" t="str">
        <f>Registered!AY728</f>
        <v/>
      </c>
    </row>
    <row r="310" spans="1:9" x14ac:dyDescent="0.25">
      <c r="A310" s="4" t="str">
        <f>Registered!B734</f>
        <v>Forsythe</v>
      </c>
      <c r="B310" s="4" t="str">
        <f>Registered!A734</f>
        <v>Samantha</v>
      </c>
      <c r="C310" s="4" t="str">
        <f>IF(Registered!AR734&gt;0,Registered!AR734&amp;" Color Bags", "")</f>
        <v>10 Color Bags</v>
      </c>
      <c r="D310" s="4" t="str">
        <f>IF(Registered!AS734&gt;0,(IF(Registered!AS734=1,Registered!AS734&amp;" T-Shirt",Registered!AS734&amp;" T-Shirts")), "")</f>
        <v/>
      </c>
      <c r="E310" s="4" t="str">
        <f>Registered!AT734</f>
        <v/>
      </c>
      <c r="F310" s="4" t="str">
        <f>Registered!AU734</f>
        <v/>
      </c>
      <c r="G310" s="4" t="str">
        <f>Registered!AW734</f>
        <v>7 Meals</v>
      </c>
      <c r="H310" s="4" t="str">
        <f>Registered!AX734</f>
        <v/>
      </c>
      <c r="I310" s="4" t="str">
        <f>Registered!AY734</f>
        <v>2 DustMask</v>
      </c>
    </row>
    <row r="311" spans="1:9" x14ac:dyDescent="0.25">
      <c r="A311" s="4" t="str">
        <f>Registered!B743</f>
        <v>Fowler</v>
      </c>
      <c r="B311" s="4" t="str">
        <f>Registered!A743</f>
        <v>Tina</v>
      </c>
      <c r="C311" s="4" t="str">
        <f>IF(Registered!AR743&gt;0,Registered!AR743&amp;" Color Bags", "")</f>
        <v>15 Color Bags</v>
      </c>
      <c r="D311" s="4" t="str">
        <f>IF(Registered!AS743&gt;0,(IF(Registered!AS743=1,Registered!AS743&amp;" T-Shirt",Registered!AS743&amp;" T-Shirts")), "")</f>
        <v/>
      </c>
      <c r="E311" s="4" t="str">
        <f>Registered!AT743</f>
        <v/>
      </c>
      <c r="F311" s="4" t="str">
        <f>Registered!AU743</f>
        <v/>
      </c>
      <c r="G311" s="4" t="str">
        <f>Registered!AW743</f>
        <v/>
      </c>
      <c r="H311" s="4" t="str">
        <f>Registered!AX743</f>
        <v/>
      </c>
      <c r="I311" s="4" t="str">
        <f>Registered!AY743</f>
        <v/>
      </c>
    </row>
    <row r="312" spans="1:9" x14ac:dyDescent="0.25">
      <c r="A312" s="4" t="str">
        <f>Registered!B740</f>
        <v>Fowler</v>
      </c>
      <c r="B312" s="4" t="str">
        <f>Registered!A740</f>
        <v>Austen</v>
      </c>
      <c r="C312" s="4" t="str">
        <f>IF(Registered!AR740&gt;0,Registered!AR740&amp;" Color Bags", "")</f>
        <v>25 Color Bags</v>
      </c>
      <c r="D312" s="4" t="str">
        <f>IF(Registered!AS740&gt;0,(IF(Registered!AS740=1,Registered!AS740&amp;" T-Shirt",Registered!AS740&amp;" T-Shirts")), "")</f>
        <v>2 T-Shirts</v>
      </c>
      <c r="E312" s="4" t="str">
        <f>Registered!AT740</f>
        <v>S, M</v>
      </c>
      <c r="F312" s="4" t="str">
        <f>Registered!AU740</f>
        <v/>
      </c>
      <c r="G312" s="4" t="str">
        <f>Registered!AW740</f>
        <v>2 Meals</v>
      </c>
      <c r="H312" s="4" t="str">
        <f>Registered!AX740</f>
        <v/>
      </c>
      <c r="I312" s="4" t="str">
        <f>Registered!AY740</f>
        <v/>
      </c>
    </row>
    <row r="313" spans="1:9" x14ac:dyDescent="0.25">
      <c r="A313" s="4" t="str">
        <f>Registered!B741</f>
        <v>Fowler</v>
      </c>
      <c r="B313" s="4" t="str">
        <f>Registered!A741</f>
        <v>Matthew</v>
      </c>
      <c r="C313" s="4" t="str">
        <f>IF(Registered!AR741&gt;0,Registered!AR741&amp;" Color Bags", "")</f>
        <v>5 Color Bags</v>
      </c>
      <c r="D313" s="4" t="str">
        <f>IF(Registered!AS741&gt;0,(IF(Registered!AS741=1,Registered!AS741&amp;" T-Shirt",Registered!AS741&amp;" T-Shirts")), "")</f>
        <v/>
      </c>
      <c r="E313" s="4" t="str">
        <f>Registered!AT741</f>
        <v/>
      </c>
      <c r="F313" s="4" t="str">
        <f>Registered!AU741</f>
        <v/>
      </c>
      <c r="G313" s="4" t="str">
        <f>Registered!AW741</f>
        <v/>
      </c>
      <c r="H313" s="4" t="str">
        <f>Registered!AX741</f>
        <v/>
      </c>
      <c r="I313" s="4" t="str">
        <f>Registered!AY741</f>
        <v/>
      </c>
    </row>
    <row r="314" spans="1:9" x14ac:dyDescent="0.25">
      <c r="A314" s="4" t="str">
        <f>Registered!B747</f>
        <v>Foy</v>
      </c>
      <c r="B314" s="4" t="str">
        <f>Registered!A747</f>
        <v>Lindsay</v>
      </c>
      <c r="C314" s="4" t="str">
        <f>IF(Registered!AR747&gt;0,Registered!AR747&amp;" Color Bags", "")</f>
        <v>5 Color Bags</v>
      </c>
      <c r="D314" s="4" t="str">
        <f>IF(Registered!AS747&gt;0,(IF(Registered!AS747=1,Registered!AS747&amp;" T-Shirt",Registered!AS747&amp;" T-Shirts")), "")</f>
        <v/>
      </c>
      <c r="E314" s="4" t="str">
        <f>Registered!AT747</f>
        <v/>
      </c>
      <c r="F314" s="4" t="str">
        <f>Registered!AU747</f>
        <v/>
      </c>
      <c r="G314" s="4" t="str">
        <f>Registered!AW747</f>
        <v/>
      </c>
      <c r="H314" s="4" t="str">
        <f>Registered!AX747</f>
        <v/>
      </c>
      <c r="I314" s="4" t="str">
        <f>Registered!AY747</f>
        <v/>
      </c>
    </row>
    <row r="315" spans="1:9" x14ac:dyDescent="0.25">
      <c r="A315" s="4" t="str">
        <f>Registered!B751</f>
        <v>Frailey</v>
      </c>
      <c r="B315" s="4" t="str">
        <f>Registered!A751</f>
        <v>Robert</v>
      </c>
      <c r="C315" s="4" t="str">
        <f>IF(Registered!AR751&gt;0,Registered!AR751&amp;" Color Bags", "")</f>
        <v>20 Color Bags</v>
      </c>
      <c r="D315" s="4" t="str">
        <f>IF(Registered!AS751&gt;0,(IF(Registered!AS751=1,Registered!AS751&amp;" T-Shirt",Registered!AS751&amp;" T-Shirts")), "")</f>
        <v/>
      </c>
      <c r="E315" s="4" t="str">
        <f>Registered!AT751</f>
        <v/>
      </c>
      <c r="F315" s="4" t="str">
        <f>Registered!AU751</f>
        <v/>
      </c>
      <c r="G315" s="4" t="str">
        <f>Registered!AW751</f>
        <v/>
      </c>
      <c r="H315" s="4" t="str">
        <f>Registered!AX751</f>
        <v/>
      </c>
      <c r="I315" s="4" t="str">
        <f>Registered!AY751</f>
        <v/>
      </c>
    </row>
    <row r="316" spans="1:9" x14ac:dyDescent="0.25">
      <c r="A316" s="4" t="str">
        <f>Registered!B754</f>
        <v>Francis</v>
      </c>
      <c r="B316" s="4" t="str">
        <f>Registered!A754</f>
        <v>Kevin</v>
      </c>
      <c r="C316" s="4" t="str">
        <f>IF(Registered!AR754&gt;0,Registered!AR754&amp;" Color Bags", "")</f>
        <v>20 Color Bags</v>
      </c>
      <c r="D316" s="4" t="str">
        <f>IF(Registered!AS754&gt;0,(IF(Registered!AS754=1,Registered!AS754&amp;" T-Shirt",Registered!AS754&amp;" T-Shirts")), "")</f>
        <v/>
      </c>
      <c r="E316" s="4" t="str">
        <f>Registered!AT754</f>
        <v/>
      </c>
      <c r="F316" s="4" t="str">
        <f>Registered!AU754</f>
        <v/>
      </c>
      <c r="G316" s="4" t="str">
        <f>Registered!AW754</f>
        <v/>
      </c>
      <c r="H316" s="4" t="str">
        <f>Registered!AX754</f>
        <v/>
      </c>
      <c r="I316" s="4" t="str">
        <f>Registered!AY754</f>
        <v/>
      </c>
    </row>
    <row r="317" spans="1:9" x14ac:dyDescent="0.25">
      <c r="A317" s="4" t="str">
        <f>Registered!B755</f>
        <v>Francis</v>
      </c>
      <c r="B317" s="4" t="str">
        <f>Registered!A755</f>
        <v>Maria Sarah</v>
      </c>
      <c r="C317" s="4" t="str">
        <f>IF(Registered!AR755&gt;0,Registered!AR755&amp;" Color Bags", "")</f>
        <v>5 Color Bags</v>
      </c>
      <c r="D317" s="4" t="str">
        <f>IF(Registered!AS755&gt;0,(IF(Registered!AS755=1,Registered!AS755&amp;" T-Shirt",Registered!AS755&amp;" T-Shirts")), "")</f>
        <v>1 T-Shirt</v>
      </c>
      <c r="E317" s="4" t="str">
        <f>Registered!AT755</f>
        <v>Medium</v>
      </c>
      <c r="F317" s="4" t="str">
        <f>Registered!AU755</f>
        <v/>
      </c>
      <c r="G317" s="4" t="str">
        <f>Registered!AW755</f>
        <v>2 Meals</v>
      </c>
      <c r="H317" s="4" t="str">
        <f>Registered!AX755</f>
        <v/>
      </c>
      <c r="I317" s="4" t="str">
        <f>Registered!AY755</f>
        <v/>
      </c>
    </row>
    <row r="318" spans="1:9" x14ac:dyDescent="0.25">
      <c r="A318" s="4" t="str">
        <f>Registered!B756</f>
        <v>Frandsen</v>
      </c>
      <c r="B318" s="4" t="str">
        <f>Registered!A756</f>
        <v>Catrina</v>
      </c>
      <c r="C318" s="4" t="str">
        <f>IF(Registered!AR756&gt;0,Registered!AR756&amp;" Color Bags", "")</f>
        <v>20 Color Bags</v>
      </c>
      <c r="D318" s="4" t="str">
        <f>IF(Registered!AS756&gt;0,(IF(Registered!AS756=1,Registered!AS756&amp;" T-Shirt",Registered!AS756&amp;" T-Shirts")), "")</f>
        <v/>
      </c>
      <c r="E318" s="4" t="str">
        <f>Registered!AT756</f>
        <v/>
      </c>
      <c r="F318" s="4" t="str">
        <f>Registered!AU756</f>
        <v/>
      </c>
      <c r="G318" s="4" t="str">
        <f>Registered!AW756</f>
        <v/>
      </c>
      <c r="H318" s="4" t="str">
        <f>Registered!AX756</f>
        <v/>
      </c>
      <c r="I318" s="4" t="str">
        <f>Registered!AY756</f>
        <v/>
      </c>
    </row>
    <row r="319" spans="1:9" x14ac:dyDescent="0.25">
      <c r="A319" s="4" t="str">
        <f>Registered!B757</f>
        <v>Frandsen</v>
      </c>
      <c r="B319" s="4" t="str">
        <f>Registered!A757</f>
        <v>Rashelle</v>
      </c>
      <c r="C319" s="4" t="str">
        <f>IF(Registered!AR757&gt;0,Registered!AR757&amp;" Color Bags", "")</f>
        <v>5 Color Bags</v>
      </c>
      <c r="D319" s="4" t="str">
        <f>IF(Registered!AS757&gt;0,(IF(Registered!AS757=1,Registered!AS757&amp;" T-Shirt",Registered!AS757&amp;" T-Shirts")), "")</f>
        <v/>
      </c>
      <c r="E319" s="4" t="str">
        <f>Registered!AT757</f>
        <v/>
      </c>
      <c r="F319" s="4" t="str">
        <f>Registered!AU757</f>
        <v/>
      </c>
      <c r="G319" s="4" t="str">
        <f>Registered!AW757</f>
        <v/>
      </c>
      <c r="H319" s="4" t="str">
        <f>Registered!AX757</f>
        <v/>
      </c>
      <c r="I319" s="4" t="str">
        <f>Registered!AY757</f>
        <v/>
      </c>
    </row>
    <row r="320" spans="1:9" x14ac:dyDescent="0.25">
      <c r="A320" s="4" t="str">
        <f>Registered!B758</f>
        <v>Franks</v>
      </c>
      <c r="B320" s="4" t="str">
        <f>Registered!A758</f>
        <v>Jeannette</v>
      </c>
      <c r="C320" s="4" t="str">
        <f>IF(Registered!AR758&gt;0,Registered!AR758&amp;" Color Bags", "")</f>
        <v>5 Color Bags</v>
      </c>
      <c r="D320" s="4" t="str">
        <f>IF(Registered!AS758&gt;0,(IF(Registered!AS758=1,Registered!AS758&amp;" T-Shirt",Registered!AS758&amp;" T-Shirts")), "")</f>
        <v/>
      </c>
      <c r="E320" s="4" t="str">
        <f>Registered!AT758</f>
        <v/>
      </c>
      <c r="F320" s="4" t="str">
        <f>Registered!AU758</f>
        <v>2 Bandanas</v>
      </c>
      <c r="G320" s="4" t="str">
        <f>Registered!AW758</f>
        <v/>
      </c>
      <c r="H320" s="4" t="str">
        <f>Registered!AX758</f>
        <v/>
      </c>
      <c r="I320" s="4" t="str">
        <f>Registered!AY758</f>
        <v>1 DustMask</v>
      </c>
    </row>
    <row r="321" spans="1:9" x14ac:dyDescent="0.25">
      <c r="A321" s="4" t="str">
        <f>Registered!B760</f>
        <v>Frary</v>
      </c>
      <c r="B321" s="4" t="str">
        <f>Registered!A760</f>
        <v>Lauren</v>
      </c>
      <c r="C321" s="4" t="str">
        <f>IF(Registered!AR760&gt;0,Registered!AR760&amp;" Color Bags", "")</f>
        <v>5 Color Bags</v>
      </c>
      <c r="D321" s="4" t="str">
        <f>IF(Registered!AS760&gt;0,(IF(Registered!AS760=1,Registered!AS760&amp;" T-Shirt",Registered!AS760&amp;" T-Shirts")), "")</f>
        <v/>
      </c>
      <c r="E321" s="4" t="str">
        <f>Registered!AT760</f>
        <v/>
      </c>
      <c r="F321" s="4" t="str">
        <f>Registered!AU760</f>
        <v/>
      </c>
      <c r="G321" s="4" t="str">
        <f>Registered!AW760</f>
        <v/>
      </c>
      <c r="H321" s="4" t="str">
        <f>Registered!AX760</f>
        <v/>
      </c>
      <c r="I321" s="4" t="str">
        <f>Registered!AY760</f>
        <v/>
      </c>
    </row>
    <row r="322" spans="1:9" x14ac:dyDescent="0.25">
      <c r="A322" s="4" t="str">
        <f>Registered!B763</f>
        <v>Fredsall</v>
      </c>
      <c r="B322" s="4" t="str">
        <f>Registered!A763</f>
        <v>Jennifer</v>
      </c>
      <c r="C322" s="4" t="str">
        <f>IF(Registered!AR763&gt;0,Registered!AR763&amp;" Color Bags", "")</f>
        <v>5 Color Bags</v>
      </c>
      <c r="D322" s="4" t="str">
        <f>IF(Registered!AS763&gt;0,(IF(Registered!AS763=1,Registered!AS763&amp;" T-Shirt",Registered!AS763&amp;" T-Shirts")), "")</f>
        <v/>
      </c>
      <c r="E322" s="4" t="str">
        <f>Registered!AT763</f>
        <v/>
      </c>
      <c r="F322" s="4" t="str">
        <f>Registered!AU763</f>
        <v/>
      </c>
      <c r="G322" s="4" t="str">
        <f>Registered!AW763</f>
        <v/>
      </c>
      <c r="H322" s="4" t="str">
        <f>Registered!AX763</f>
        <v/>
      </c>
      <c r="I322" s="4" t="str">
        <f>Registered!AY763</f>
        <v/>
      </c>
    </row>
    <row r="323" spans="1:9" x14ac:dyDescent="0.25">
      <c r="A323" s="4" t="str">
        <f>Registered!B764</f>
        <v>Freeman</v>
      </c>
      <c r="B323" s="4" t="str">
        <f>Registered!A764</f>
        <v>Aurora</v>
      </c>
      <c r="C323" s="4" t="str">
        <f>IF(Registered!AR764&gt;0,Registered!AR764&amp;" Color Bags", "")</f>
        <v>20 Color Bags</v>
      </c>
      <c r="D323" s="4" t="str">
        <f>IF(Registered!AS764&gt;0,(IF(Registered!AS764=1,Registered!AS764&amp;" T-Shirt",Registered!AS764&amp;" T-Shirts")), "")</f>
        <v/>
      </c>
      <c r="E323" s="4" t="str">
        <f>Registered!AT764</f>
        <v/>
      </c>
      <c r="F323" s="4" t="str">
        <f>Registered!AU764</f>
        <v/>
      </c>
      <c r="G323" s="4" t="str">
        <f>Registered!AW764</f>
        <v/>
      </c>
      <c r="H323" s="4" t="str">
        <f>Registered!AX764</f>
        <v/>
      </c>
      <c r="I323" s="4" t="str">
        <f>Registered!AY764</f>
        <v/>
      </c>
    </row>
    <row r="324" spans="1:9" x14ac:dyDescent="0.25">
      <c r="A324" s="4" t="str">
        <f>Registered!B765</f>
        <v>Freeman</v>
      </c>
      <c r="B324" s="4" t="str">
        <f>Registered!A765</f>
        <v>Douglas</v>
      </c>
      <c r="C324" s="4" t="str">
        <f>IF(Registered!AR765&gt;0,Registered!AR765&amp;" Color Bags", "")</f>
        <v>20 Color Bags</v>
      </c>
      <c r="D324" s="4" t="str">
        <f>IF(Registered!AS765&gt;0,(IF(Registered!AS765=1,Registered!AS765&amp;" T-Shirt",Registered!AS765&amp;" T-Shirts")), "")</f>
        <v/>
      </c>
      <c r="E324" s="4" t="str">
        <f>Registered!AT765</f>
        <v/>
      </c>
      <c r="F324" s="4" t="str">
        <f>Registered!AU765</f>
        <v/>
      </c>
      <c r="G324" s="4" t="str">
        <f>Registered!AW765</f>
        <v/>
      </c>
      <c r="H324" s="4" t="str">
        <f>Registered!AX765</f>
        <v/>
      </c>
      <c r="I324" s="4" t="str">
        <f>Registered!AY765</f>
        <v/>
      </c>
    </row>
    <row r="325" spans="1:9" x14ac:dyDescent="0.25">
      <c r="A325" s="4" t="str">
        <f>Registered!B767</f>
        <v>French</v>
      </c>
      <c r="B325" s="4" t="str">
        <f>Registered!A767</f>
        <v>Carina</v>
      </c>
      <c r="C325" s="4" t="str">
        <f>IF(Registered!AR767&gt;0,Registered!AR767&amp;" Color Bags", "")</f>
        <v>15 Color Bags</v>
      </c>
      <c r="D325" s="4" t="str">
        <f>IF(Registered!AS767&gt;0,(IF(Registered!AS767=1,Registered!AS767&amp;" T-Shirt",Registered!AS767&amp;" T-Shirts")), "")</f>
        <v>2 T-Shirts</v>
      </c>
      <c r="E325" s="4" t="str">
        <f>Registered!AT767</f>
        <v>Larges</v>
      </c>
      <c r="F325" s="4" t="str">
        <f>Registered!AU767</f>
        <v/>
      </c>
      <c r="G325" s="4" t="str">
        <f>Registered!AW767</f>
        <v>2 Meals</v>
      </c>
      <c r="H325" s="4" t="str">
        <f>Registered!AX767</f>
        <v/>
      </c>
      <c r="I325" s="4" t="str">
        <f>Registered!AY767</f>
        <v/>
      </c>
    </row>
    <row r="326" spans="1:9" x14ac:dyDescent="0.25">
      <c r="A326" s="4" t="str">
        <f>Registered!B771</f>
        <v>Friedman</v>
      </c>
      <c r="B326" s="4" t="str">
        <f>Registered!A771</f>
        <v>Starrlyn</v>
      </c>
      <c r="C326" s="4" t="str">
        <f>IF(Registered!AR771&gt;0,Registered!AR771&amp;" Color Bags", "")</f>
        <v>10 Color Bags</v>
      </c>
      <c r="D326" s="4" t="str">
        <f>IF(Registered!AS771&gt;0,(IF(Registered!AS771=1,Registered!AS771&amp;" T-Shirt",Registered!AS771&amp;" T-Shirts")), "")</f>
        <v/>
      </c>
      <c r="E326" s="4" t="str">
        <f>Registered!AT771</f>
        <v/>
      </c>
      <c r="F326" s="4" t="str">
        <f>Registered!AU771</f>
        <v/>
      </c>
      <c r="G326" s="4" t="str">
        <f>Registered!AW771</f>
        <v/>
      </c>
      <c r="H326" s="4" t="str">
        <f>Registered!AX771</f>
        <v/>
      </c>
      <c r="I326" s="4" t="str">
        <f>Registered!AY771</f>
        <v/>
      </c>
    </row>
    <row r="327" spans="1:9" x14ac:dyDescent="0.25">
      <c r="A327" s="4" t="str">
        <f>Registered!B772</f>
        <v>Fritz</v>
      </c>
      <c r="B327" s="4" t="str">
        <f>Registered!A772</f>
        <v>Casey</v>
      </c>
      <c r="C327" s="4" t="str">
        <f>IF(Registered!AR772&gt;0,Registered!AR772&amp;" Color Bags", "")</f>
        <v>5 Color Bags</v>
      </c>
      <c r="D327" s="4" t="str">
        <f>IF(Registered!AS772&gt;0,(IF(Registered!AS772=1,Registered!AS772&amp;" T-Shirt",Registered!AS772&amp;" T-Shirts")), "")</f>
        <v/>
      </c>
      <c r="E327" s="4" t="str">
        <f>Registered!AT772</f>
        <v/>
      </c>
      <c r="F327" s="4" t="str">
        <f>Registered!AU772</f>
        <v/>
      </c>
      <c r="G327" s="4" t="str">
        <f>Registered!AW772</f>
        <v/>
      </c>
      <c r="H327" s="4" t="str">
        <f>Registered!AX772</f>
        <v/>
      </c>
      <c r="I327" s="4" t="str">
        <f>Registered!AY772</f>
        <v/>
      </c>
    </row>
    <row r="328" spans="1:9" x14ac:dyDescent="0.25">
      <c r="A328" s="4" t="str">
        <f>Registered!B773</f>
        <v>Frkovich</v>
      </c>
      <c r="B328" s="4" t="str">
        <f>Registered!A773</f>
        <v>Jodi</v>
      </c>
      <c r="C328" s="4" t="str">
        <f>IF(Registered!AR773&gt;0,Registered!AR773&amp;" Color Bags", "")</f>
        <v>15 Color Bags</v>
      </c>
      <c r="D328" s="4" t="str">
        <f>IF(Registered!AS773&gt;0,(IF(Registered!AS773=1,Registered!AS773&amp;" T-Shirt",Registered!AS773&amp;" T-Shirts")), "")</f>
        <v/>
      </c>
      <c r="E328" s="4" t="str">
        <f>Registered!AT773</f>
        <v/>
      </c>
      <c r="F328" s="4" t="str">
        <f>Registered!AU773</f>
        <v/>
      </c>
      <c r="G328" s="4" t="str">
        <f>Registered!AW773</f>
        <v/>
      </c>
      <c r="H328" s="4" t="str">
        <f>Registered!AX773</f>
        <v/>
      </c>
      <c r="I328" s="4" t="str">
        <f>Registered!AY773</f>
        <v>2 DustMask</v>
      </c>
    </row>
    <row r="329" spans="1:9" x14ac:dyDescent="0.25">
      <c r="A329" s="4" t="str">
        <f>Registered!B775</f>
        <v>Frost</v>
      </c>
      <c r="B329" s="4" t="str">
        <f>Registered!A775</f>
        <v>Jeanne</v>
      </c>
      <c r="C329" s="4" t="str">
        <f>IF(Registered!AR775&gt;0,Registered!AR775&amp;" Color Bags", "")</f>
        <v>5 Color Bags</v>
      </c>
      <c r="D329" s="4" t="str">
        <f>IF(Registered!AS775&gt;0,(IF(Registered!AS775=1,Registered!AS775&amp;" T-Shirt",Registered!AS775&amp;" T-Shirts")), "")</f>
        <v>1 T-Shirt</v>
      </c>
      <c r="E329" s="4" t="str">
        <f>Registered!AT775</f>
        <v>large</v>
      </c>
      <c r="F329" s="4" t="str">
        <f>Registered!AU775</f>
        <v>1 Bandana</v>
      </c>
      <c r="G329" s="4" t="str">
        <f>Registered!AW775</f>
        <v/>
      </c>
      <c r="H329" s="4" t="str">
        <f>Registered!AX775</f>
        <v/>
      </c>
      <c r="I329" s="4" t="str">
        <f>Registered!AY775</f>
        <v/>
      </c>
    </row>
    <row r="330" spans="1:9" x14ac:dyDescent="0.25">
      <c r="A330" s="4" t="str">
        <f>Registered!B777</f>
        <v>Fuller</v>
      </c>
      <c r="B330" s="4" t="str">
        <f>Registered!A777</f>
        <v>Emily</v>
      </c>
      <c r="C330" s="4" t="str">
        <f>IF(Registered!AR777&gt;0,Registered!AR777&amp;" Color Bags", "")</f>
        <v>5 Color Bags</v>
      </c>
      <c r="D330" s="4" t="str">
        <f>IF(Registered!AS777&gt;0,(IF(Registered!AS777=1,Registered!AS777&amp;" T-Shirt",Registered!AS777&amp;" T-Shirts")), "")</f>
        <v/>
      </c>
      <c r="E330" s="4" t="str">
        <f>Registered!AT777</f>
        <v/>
      </c>
      <c r="F330" s="4" t="str">
        <f>Registered!AU777</f>
        <v/>
      </c>
      <c r="G330" s="4" t="str">
        <f>Registered!AW777</f>
        <v/>
      </c>
      <c r="H330" s="4" t="str">
        <f>Registered!AX777</f>
        <v/>
      </c>
      <c r="I330" s="4" t="str">
        <f>Registered!AY777</f>
        <v/>
      </c>
    </row>
    <row r="331" spans="1:9" x14ac:dyDescent="0.25">
      <c r="A331" s="4" t="str">
        <f>Registered!B779</f>
        <v>Fullmer</v>
      </c>
      <c r="B331" s="4" t="str">
        <f>Registered!A779</f>
        <v>Robert</v>
      </c>
      <c r="C331" s="4" t="str">
        <f>IF(Registered!AR779&gt;0,Registered!AR779&amp;" Color Bags", "")</f>
        <v>5 Color Bags</v>
      </c>
      <c r="D331" s="4" t="str">
        <f>IF(Registered!AS779&gt;0,(IF(Registered!AS779=1,Registered!AS779&amp;" T-Shirt",Registered!AS779&amp;" T-Shirts")), "")</f>
        <v/>
      </c>
      <c r="E331" s="4" t="str">
        <f>Registered!AT779</f>
        <v/>
      </c>
      <c r="F331" s="4" t="str">
        <f>Registered!AU779</f>
        <v/>
      </c>
      <c r="G331" s="4" t="str">
        <f>Registered!AW779</f>
        <v/>
      </c>
      <c r="H331" s="4" t="str">
        <f>Registered!AX779</f>
        <v/>
      </c>
      <c r="I331" s="4" t="str">
        <f>Registered!AY779</f>
        <v/>
      </c>
    </row>
    <row r="332" spans="1:9" x14ac:dyDescent="0.25">
      <c r="A332" s="4" t="str">
        <f>Registered!B781</f>
        <v>Funk</v>
      </c>
      <c r="B332" s="4" t="str">
        <f>Registered!A781</f>
        <v>Chris</v>
      </c>
      <c r="C332" s="4" t="str">
        <f>IF(Registered!AR781&gt;0,Registered!AR781&amp;" Color Bags", "")</f>
        <v>5 Color Bags</v>
      </c>
      <c r="D332" s="4" t="str">
        <f>IF(Registered!AS781&gt;0,(IF(Registered!AS781=1,Registered!AS781&amp;" T-Shirt",Registered!AS781&amp;" T-Shirts")), "")</f>
        <v/>
      </c>
      <c r="E332" s="4" t="str">
        <f>Registered!AT781</f>
        <v/>
      </c>
      <c r="F332" s="4" t="str">
        <f>Registered!AU781</f>
        <v>1 Bandana</v>
      </c>
      <c r="G332" s="4" t="str">
        <f>Registered!AW781</f>
        <v/>
      </c>
      <c r="H332" s="4" t="str">
        <f>Registered!AX781</f>
        <v/>
      </c>
      <c r="I332" s="4" t="str">
        <f>Registered!AY781</f>
        <v/>
      </c>
    </row>
    <row r="333" spans="1:9" x14ac:dyDescent="0.25">
      <c r="A333" s="4" t="str">
        <f>Registered!B790</f>
        <v>Galbraith</v>
      </c>
      <c r="B333" s="4" t="str">
        <f>Registered!A790</f>
        <v>Teara</v>
      </c>
      <c r="C333" s="4" t="str">
        <f>IF(Registered!AR790&gt;0,Registered!AR790&amp;" Color Bags", "")</f>
        <v>40 Color Bags</v>
      </c>
      <c r="D333" s="4" t="str">
        <f>IF(Registered!AS790&gt;0,(IF(Registered!AS790=1,Registered!AS790&amp;" T-Shirt",Registered!AS790&amp;" T-Shirts")), "")</f>
        <v/>
      </c>
      <c r="E333" s="4" t="str">
        <f>Registered!AT790</f>
        <v/>
      </c>
      <c r="F333" s="4" t="str">
        <f>Registered!AU790</f>
        <v/>
      </c>
      <c r="G333" s="4" t="str">
        <f>Registered!AW790</f>
        <v/>
      </c>
      <c r="H333" s="4" t="str">
        <f>Registered!AX790</f>
        <v/>
      </c>
      <c r="I333" s="4" t="str">
        <f>Registered!AY790</f>
        <v/>
      </c>
    </row>
    <row r="334" spans="1:9" x14ac:dyDescent="0.25">
      <c r="A334" s="4" t="str">
        <f>Registered!B793</f>
        <v>Gale</v>
      </c>
      <c r="B334" s="4" t="str">
        <f>Registered!A793</f>
        <v>Katie</v>
      </c>
      <c r="C334" s="4" t="str">
        <f>IF(Registered!AR793&gt;0,Registered!AR793&amp;" Color Bags", "")</f>
        <v>5 Color Bags</v>
      </c>
      <c r="D334" s="4" t="str">
        <f>IF(Registered!AS793&gt;0,(IF(Registered!AS793=1,Registered!AS793&amp;" T-Shirt",Registered!AS793&amp;" T-Shirts")), "")</f>
        <v/>
      </c>
      <c r="E334" s="4" t="str">
        <f>Registered!AT793</f>
        <v/>
      </c>
      <c r="F334" s="4" t="str">
        <f>Registered!AU793</f>
        <v/>
      </c>
      <c r="G334" s="4" t="str">
        <f>Registered!AW793</f>
        <v/>
      </c>
      <c r="H334" s="4" t="str">
        <f>Registered!AX793</f>
        <v/>
      </c>
      <c r="I334" s="4" t="str">
        <f>Registered!AY793</f>
        <v/>
      </c>
    </row>
    <row r="335" spans="1:9" x14ac:dyDescent="0.25">
      <c r="A335" s="4" t="str">
        <f>Registered!B794</f>
        <v>Gallegos</v>
      </c>
      <c r="B335" s="4" t="str">
        <f>Registered!A794</f>
        <v>Michelle</v>
      </c>
      <c r="C335" s="4" t="str">
        <f>IF(Registered!AR794&gt;0,Registered!AR794&amp;" Color Bags", "")</f>
        <v>20 Color Bags</v>
      </c>
      <c r="D335" s="4" t="str">
        <f>IF(Registered!AS794&gt;0,(IF(Registered!AS794=1,Registered!AS794&amp;" T-Shirt",Registered!AS794&amp;" T-Shirts")), "")</f>
        <v>3 T-Shirts</v>
      </c>
      <c r="E335" s="4" t="str">
        <f>Registered!AT794</f>
        <v>Adult Medium, Child Large, Child Medium</v>
      </c>
      <c r="F335" s="4" t="str">
        <f>Registered!AU794</f>
        <v/>
      </c>
      <c r="G335" s="4" t="str">
        <f>Registered!AW794</f>
        <v>2 Meals</v>
      </c>
      <c r="H335" s="4" t="str">
        <f>Registered!AX794</f>
        <v/>
      </c>
      <c r="I335" s="4" t="str">
        <f>Registered!AY794</f>
        <v/>
      </c>
    </row>
    <row r="336" spans="1:9" x14ac:dyDescent="0.25">
      <c r="A336" s="4" t="str">
        <f>Registered!B795</f>
        <v>Galli</v>
      </c>
      <c r="B336" s="4" t="str">
        <f>Registered!A795</f>
        <v>Mary-Kathryn</v>
      </c>
      <c r="C336" s="4" t="str">
        <f>IF(Registered!AR795&gt;0,Registered!AR795&amp;" Color Bags", "")</f>
        <v>10 Color Bags</v>
      </c>
      <c r="D336" s="4" t="str">
        <f>IF(Registered!AS795&gt;0,(IF(Registered!AS795=1,Registered!AS795&amp;" T-Shirt",Registered!AS795&amp;" T-Shirts")), "")</f>
        <v/>
      </c>
      <c r="E336" s="4" t="str">
        <f>Registered!AT795</f>
        <v/>
      </c>
      <c r="F336" s="4" t="str">
        <f>Registered!AU795</f>
        <v/>
      </c>
      <c r="G336" s="4" t="str">
        <f>Registered!AW795</f>
        <v/>
      </c>
      <c r="H336" s="4" t="str">
        <f>Registered!AX795</f>
        <v/>
      </c>
      <c r="I336" s="4" t="str">
        <f>Registered!AY795</f>
        <v/>
      </c>
    </row>
    <row r="337" spans="1:9" x14ac:dyDescent="0.25">
      <c r="A337" s="4" t="str">
        <f>Registered!B798</f>
        <v>Gamble</v>
      </c>
      <c r="B337" s="4" t="str">
        <f>Registered!A798</f>
        <v>Timothy</v>
      </c>
      <c r="C337" s="4" t="str">
        <f>IF(Registered!AR798&gt;0,Registered!AR798&amp;" Color Bags", "")</f>
        <v>30 Color Bags</v>
      </c>
      <c r="D337" s="4" t="str">
        <f>IF(Registered!AS798&gt;0,(IF(Registered!AS798=1,Registered!AS798&amp;" T-Shirt",Registered!AS798&amp;" T-Shirts")), "")</f>
        <v/>
      </c>
      <c r="E337" s="4" t="str">
        <f>Registered!AT798</f>
        <v/>
      </c>
      <c r="F337" s="4" t="str">
        <f>Registered!AU798</f>
        <v/>
      </c>
      <c r="G337" s="4" t="str">
        <f>Registered!AW798</f>
        <v/>
      </c>
      <c r="H337" s="4" t="str">
        <f>Registered!AX798</f>
        <v/>
      </c>
      <c r="I337" s="4" t="str">
        <f>Registered!AY798</f>
        <v/>
      </c>
    </row>
    <row r="338" spans="1:9" x14ac:dyDescent="0.25">
      <c r="A338" s="4" t="str">
        <f>Registered!B799</f>
        <v>Garback</v>
      </c>
      <c r="B338" s="4" t="str">
        <f>Registered!A799</f>
        <v>Ashley</v>
      </c>
      <c r="C338" s="4" t="str">
        <f>IF(Registered!AR799&gt;0,Registered!AR799&amp;" Color Bags", "")</f>
        <v>15 Color Bags</v>
      </c>
      <c r="D338" s="4" t="str">
        <f>IF(Registered!AS799&gt;0,(IF(Registered!AS799=1,Registered!AS799&amp;" T-Shirt",Registered!AS799&amp;" T-Shirts")), "")</f>
        <v>1 T-Shirt</v>
      </c>
      <c r="E338" s="4" t="str">
        <f>Registered!AT799</f>
        <v>1 small</v>
      </c>
      <c r="F338" s="4" t="str">
        <f>Registered!AU799</f>
        <v/>
      </c>
      <c r="G338" s="4" t="str">
        <f>Registered!AW799</f>
        <v/>
      </c>
      <c r="H338" s="4" t="str">
        <f>Registered!AX799</f>
        <v/>
      </c>
      <c r="I338" s="4" t="str">
        <f>Registered!AY799</f>
        <v/>
      </c>
    </row>
    <row r="339" spans="1:9" x14ac:dyDescent="0.25">
      <c r="A339" s="4" t="str">
        <f>Registered!B805</f>
        <v>Garcia</v>
      </c>
      <c r="B339" s="4" t="str">
        <f>Registered!A805</f>
        <v>Veronica</v>
      </c>
      <c r="C339" s="4" t="str">
        <f>IF(Registered!AR805&gt;0,Registered!AR805&amp;" Color Bags", "")</f>
        <v>5 Color Bags</v>
      </c>
      <c r="D339" s="4" t="str">
        <f>IF(Registered!AS805&gt;0,(IF(Registered!AS805=1,Registered!AS805&amp;" T-Shirt",Registered!AS805&amp;" T-Shirts")), "")</f>
        <v/>
      </c>
      <c r="E339" s="4" t="str">
        <f>Registered!AT805</f>
        <v/>
      </c>
      <c r="F339" s="4" t="str">
        <f>Registered!AU805</f>
        <v>2 Bandanas</v>
      </c>
      <c r="G339" s="4" t="str">
        <f>Registered!AW805</f>
        <v/>
      </c>
      <c r="H339" s="4" t="str">
        <f>Registered!AX805</f>
        <v/>
      </c>
      <c r="I339" s="4" t="str">
        <f>Registered!AY805</f>
        <v/>
      </c>
    </row>
    <row r="340" spans="1:9" x14ac:dyDescent="0.25">
      <c r="A340" s="4" t="str">
        <f>Registered!B809</f>
        <v>Gardner</v>
      </c>
      <c r="B340" s="4" t="str">
        <f>Registered!A809</f>
        <v>Lauren</v>
      </c>
      <c r="C340" s="4" t="str">
        <f>IF(Registered!AR809&gt;0,Registered!AR809&amp;" Color Bags", "")</f>
        <v>10 Color Bags</v>
      </c>
      <c r="D340" s="4" t="str">
        <f>IF(Registered!AS809&gt;0,(IF(Registered!AS809=1,Registered!AS809&amp;" T-Shirt",Registered!AS809&amp;" T-Shirts")), "")</f>
        <v/>
      </c>
      <c r="E340" s="4" t="str">
        <f>Registered!AT809</f>
        <v/>
      </c>
      <c r="F340" s="4" t="str">
        <f>Registered!AU809</f>
        <v/>
      </c>
      <c r="G340" s="4" t="str">
        <f>Registered!AW809</f>
        <v>2 Meals</v>
      </c>
      <c r="H340" s="4" t="str">
        <f>Registered!AX809</f>
        <v/>
      </c>
      <c r="I340" s="4" t="str">
        <f>Registered!AY809</f>
        <v/>
      </c>
    </row>
    <row r="341" spans="1:9" x14ac:dyDescent="0.25">
      <c r="A341" s="4" t="str">
        <f>Registered!B810</f>
        <v>Gardner</v>
      </c>
      <c r="B341" s="4" t="str">
        <f>Registered!A810</f>
        <v>Sandi</v>
      </c>
      <c r="C341" s="4" t="str">
        <f>IF(Registered!AR810&gt;0,Registered!AR810&amp;" Color Bags", "")</f>
        <v>10 Color Bags</v>
      </c>
      <c r="D341" s="4" t="str">
        <f>IF(Registered!AS810&gt;0,(IF(Registered!AS810=1,Registered!AS810&amp;" T-Shirt",Registered!AS810&amp;" T-Shirts")), "")</f>
        <v/>
      </c>
      <c r="E341" s="4" t="str">
        <f>Registered!AT810</f>
        <v/>
      </c>
      <c r="F341" s="4" t="str">
        <f>Registered!AU810</f>
        <v/>
      </c>
      <c r="G341" s="4" t="str">
        <f>Registered!AW810</f>
        <v/>
      </c>
      <c r="H341" s="4" t="str">
        <f>Registered!AX810</f>
        <v/>
      </c>
      <c r="I341" s="4" t="str">
        <f>Registered!AY810</f>
        <v/>
      </c>
    </row>
    <row r="342" spans="1:9" x14ac:dyDescent="0.25">
      <c r="A342" s="4" t="str">
        <f>Registered!B811</f>
        <v>Gardner</v>
      </c>
      <c r="B342" s="4" t="str">
        <f>Registered!A811</f>
        <v>Tim</v>
      </c>
      <c r="C342" s="4" t="str">
        <f>IF(Registered!AR811&gt;0,Registered!AR811&amp;" Color Bags", "")</f>
        <v>15 Color Bags</v>
      </c>
      <c r="D342" s="4" t="str">
        <f>IF(Registered!AS811&gt;0,(IF(Registered!AS811=1,Registered!AS811&amp;" T-Shirt",Registered!AS811&amp;" T-Shirts")), "")</f>
        <v/>
      </c>
      <c r="E342" s="4" t="str">
        <f>Registered!AT811</f>
        <v/>
      </c>
      <c r="F342" s="4" t="str">
        <f>Registered!AU811</f>
        <v/>
      </c>
      <c r="G342" s="4" t="str">
        <f>Registered!AW811</f>
        <v/>
      </c>
      <c r="H342" s="4" t="str">
        <f>Registered!AX811</f>
        <v/>
      </c>
      <c r="I342" s="4" t="str">
        <f>Registered!AY811</f>
        <v/>
      </c>
    </row>
    <row r="343" spans="1:9" x14ac:dyDescent="0.25">
      <c r="A343" s="4" t="str">
        <f>Registered!B807</f>
        <v>Gardner</v>
      </c>
      <c r="B343" s="4" t="str">
        <f>Registered!A807</f>
        <v>Kenneth</v>
      </c>
      <c r="C343" s="4" t="str">
        <f>IF(Registered!AR807&gt;0,Registered!AR807&amp;" Color Bags", "")</f>
        <v>30 Color Bags</v>
      </c>
      <c r="D343" s="4" t="str">
        <f>IF(Registered!AS807&gt;0,(IF(Registered!AS807=1,Registered!AS807&amp;" T-Shirt",Registered!AS807&amp;" T-Shirts")), "")</f>
        <v/>
      </c>
      <c r="E343" s="4" t="str">
        <f>Registered!AT807</f>
        <v/>
      </c>
      <c r="F343" s="4" t="str">
        <f>Registered!AU807</f>
        <v/>
      </c>
      <c r="G343" s="4" t="str">
        <f>Registered!AW807</f>
        <v/>
      </c>
      <c r="H343" s="4" t="str">
        <f>Registered!AX807</f>
        <v/>
      </c>
      <c r="I343" s="4" t="str">
        <f>Registered!AY807</f>
        <v/>
      </c>
    </row>
    <row r="344" spans="1:9" x14ac:dyDescent="0.25">
      <c r="A344" s="4" t="str">
        <f>Registered!B813</f>
        <v>Garlick</v>
      </c>
      <c r="B344" s="4" t="str">
        <f>Registered!A813</f>
        <v>April</v>
      </c>
      <c r="C344" s="4" t="str">
        <f>IF(Registered!AR813&gt;0,Registered!AR813&amp;" Color Bags", "")</f>
        <v>35 Color Bags</v>
      </c>
      <c r="D344" s="4" t="str">
        <f>IF(Registered!AS813&gt;0,(IF(Registered!AS813=1,Registered!AS813&amp;" T-Shirt",Registered!AS813&amp;" T-Shirts")), "")</f>
        <v>7 T-Shirts</v>
      </c>
      <c r="E344" s="4" t="str">
        <f>Registered!AT813</f>
        <v>6 large, one small</v>
      </c>
      <c r="F344" s="4" t="str">
        <f>Registered!AU813</f>
        <v/>
      </c>
      <c r="G344" s="4" t="str">
        <f>Registered!AW813</f>
        <v>7 Meals</v>
      </c>
      <c r="H344" s="4" t="str">
        <f>Registered!AX813</f>
        <v/>
      </c>
      <c r="I344" s="4" t="str">
        <f>Registered!AY813</f>
        <v/>
      </c>
    </row>
    <row r="345" spans="1:9" x14ac:dyDescent="0.25">
      <c r="A345" s="4" t="str">
        <f>Registered!B822</f>
        <v>Garrett</v>
      </c>
      <c r="B345" s="4" t="str">
        <f>Registered!A822</f>
        <v>Kathy</v>
      </c>
      <c r="C345" s="4" t="str">
        <f>IF(Registered!AR822&gt;0,Registered!AR822&amp;" Color Bags", "")</f>
        <v>15 Color Bags</v>
      </c>
      <c r="D345" s="4" t="str">
        <f>IF(Registered!AS822&gt;0,(IF(Registered!AS822=1,Registered!AS822&amp;" T-Shirt",Registered!AS822&amp;" T-Shirts")), "")</f>
        <v/>
      </c>
      <c r="E345" s="4" t="str">
        <f>Registered!AT822</f>
        <v/>
      </c>
      <c r="F345" s="4" t="str">
        <f>Registered!AU822</f>
        <v>2 Bandanas</v>
      </c>
      <c r="G345" s="4" t="str">
        <f>Registered!AW822</f>
        <v>2 Meals</v>
      </c>
      <c r="H345" s="4" t="str">
        <f>Registered!AX822</f>
        <v/>
      </c>
      <c r="I345" s="4" t="str">
        <f>Registered!AY822</f>
        <v/>
      </c>
    </row>
    <row r="346" spans="1:9" x14ac:dyDescent="0.25">
      <c r="A346" s="4" t="str">
        <f>Registered!B819</f>
        <v>Garrett</v>
      </c>
      <c r="B346" s="4" t="str">
        <f>Registered!A819</f>
        <v>Anna</v>
      </c>
      <c r="C346" s="4" t="str">
        <f>IF(Registered!AR819&gt;0,Registered!AR819&amp;" Color Bags", "")</f>
        <v>5 Color Bags</v>
      </c>
      <c r="D346" s="4" t="str">
        <f>IF(Registered!AS819&gt;0,(IF(Registered!AS819=1,Registered!AS819&amp;" T-Shirt",Registered!AS819&amp;" T-Shirts")), "")</f>
        <v/>
      </c>
      <c r="E346" s="4" t="str">
        <f>Registered!AT819</f>
        <v/>
      </c>
      <c r="F346" s="4" t="str">
        <f>Registered!AU819</f>
        <v/>
      </c>
      <c r="G346" s="4" t="str">
        <f>Registered!AW819</f>
        <v/>
      </c>
      <c r="H346" s="4" t="str">
        <f>Registered!AX819</f>
        <v/>
      </c>
      <c r="I346" s="4" t="str">
        <f>Registered!AY819</f>
        <v/>
      </c>
    </row>
    <row r="347" spans="1:9" x14ac:dyDescent="0.25">
      <c r="A347" s="4" t="str">
        <f>Registered!B821</f>
        <v>Garrett</v>
      </c>
      <c r="B347" s="4" t="str">
        <f>Registered!A821</f>
        <v>Flint</v>
      </c>
      <c r="C347" s="4" t="str">
        <f>IF(Registered!AR821&gt;0,Registered!AR821&amp;" Color Bags", "")</f>
        <v>5 Color Bags</v>
      </c>
      <c r="D347" s="4" t="str">
        <f>IF(Registered!AS821&gt;0,(IF(Registered!AS821=1,Registered!AS821&amp;" T-Shirt",Registered!AS821&amp;" T-Shirts")), "")</f>
        <v/>
      </c>
      <c r="E347" s="4" t="str">
        <f>Registered!AT821</f>
        <v/>
      </c>
      <c r="F347" s="4" t="str">
        <f>Registered!AU821</f>
        <v/>
      </c>
      <c r="G347" s="4" t="str">
        <f>Registered!AW821</f>
        <v/>
      </c>
      <c r="H347" s="4" t="str">
        <f>Registered!AX821</f>
        <v/>
      </c>
      <c r="I347" s="4" t="str">
        <f>Registered!AY821</f>
        <v/>
      </c>
    </row>
    <row r="348" spans="1:9" x14ac:dyDescent="0.25">
      <c r="A348" s="4" t="str">
        <f>Registered!B824</f>
        <v>Garriga</v>
      </c>
      <c r="B348" s="4" t="str">
        <f>Registered!A824</f>
        <v>Jennifer</v>
      </c>
      <c r="C348" s="4" t="str">
        <f>IF(Registered!AR824&gt;0,Registered!AR824&amp;" Color Bags", "")</f>
        <v>10 Color Bags</v>
      </c>
      <c r="D348" s="4" t="str">
        <f>IF(Registered!AS824&gt;0,(IF(Registered!AS824=1,Registered!AS824&amp;" T-Shirt",Registered!AS824&amp;" T-Shirts")), "")</f>
        <v/>
      </c>
      <c r="E348" s="4" t="str">
        <f>Registered!AT824</f>
        <v/>
      </c>
      <c r="F348" s="4" t="str">
        <f>Registered!AU824</f>
        <v/>
      </c>
      <c r="G348" s="4" t="str">
        <f>Registered!AW824</f>
        <v/>
      </c>
      <c r="H348" s="4" t="str">
        <f>Registered!AX824</f>
        <v/>
      </c>
      <c r="I348" s="4" t="str">
        <f>Registered!AY824</f>
        <v/>
      </c>
    </row>
    <row r="349" spans="1:9" x14ac:dyDescent="0.25">
      <c r="A349" s="4" t="str">
        <f>Registered!B826</f>
        <v>Garrigues</v>
      </c>
      <c r="B349" s="4" t="str">
        <f>Registered!A826</f>
        <v>Amber</v>
      </c>
      <c r="C349" s="4" t="str">
        <f>IF(Registered!AR826&gt;0,Registered!AR826&amp;" Color Bags", "")</f>
        <v>10 Color Bags</v>
      </c>
      <c r="D349" s="4" t="str">
        <f>IF(Registered!AS826&gt;0,(IF(Registered!AS826=1,Registered!AS826&amp;" T-Shirt",Registered!AS826&amp;" T-Shirts")), "")</f>
        <v/>
      </c>
      <c r="E349" s="4" t="str">
        <f>Registered!AT826</f>
        <v/>
      </c>
      <c r="F349" s="4" t="str">
        <f>Registered!AU826</f>
        <v/>
      </c>
      <c r="G349" s="4" t="str">
        <f>Registered!AW826</f>
        <v/>
      </c>
      <c r="H349" s="4" t="str">
        <f>Registered!AX826</f>
        <v/>
      </c>
      <c r="I349" s="4" t="str">
        <f>Registered!AY826</f>
        <v/>
      </c>
    </row>
    <row r="350" spans="1:9" x14ac:dyDescent="0.25">
      <c r="A350" s="4" t="str">
        <f>Registered!B829</f>
        <v>Gavaldon</v>
      </c>
      <c r="B350" s="4" t="str">
        <f>Registered!A829</f>
        <v>Sarah</v>
      </c>
      <c r="C350" s="4" t="str">
        <f>IF(Registered!AR829&gt;0,Registered!AR829&amp;" Color Bags", "")</f>
        <v>25 Color Bags</v>
      </c>
      <c r="D350" s="4" t="str">
        <f>IF(Registered!AS829&gt;0,(IF(Registered!AS829=1,Registered!AS829&amp;" T-Shirt",Registered!AS829&amp;" T-Shirts")), "")</f>
        <v/>
      </c>
      <c r="E350" s="4" t="str">
        <f>Registered!AT829</f>
        <v/>
      </c>
      <c r="F350" s="4" t="str">
        <f>Registered!AU829</f>
        <v/>
      </c>
      <c r="G350" s="4" t="str">
        <f>Registered!AW829</f>
        <v/>
      </c>
      <c r="H350" s="4" t="str">
        <f>Registered!AX829</f>
        <v/>
      </c>
      <c r="I350" s="4" t="str">
        <f>Registered!AY829</f>
        <v/>
      </c>
    </row>
    <row r="351" spans="1:9" x14ac:dyDescent="0.25">
      <c r="A351" s="4" t="str">
        <f>Registered!B830</f>
        <v>Gelzer</v>
      </c>
      <c r="B351" s="4" t="str">
        <f>Registered!A830</f>
        <v>Theresa</v>
      </c>
      <c r="C351" s="4" t="str">
        <f>IF(Registered!AR830&gt;0,Registered!AR830&amp;" Color Bags", "")</f>
        <v>5 Color Bags</v>
      </c>
      <c r="D351" s="4" t="str">
        <f>IF(Registered!AS830&gt;0,(IF(Registered!AS830=1,Registered!AS830&amp;" T-Shirt",Registered!AS830&amp;" T-Shirts")), "")</f>
        <v>1 T-Shirt</v>
      </c>
      <c r="E351" s="4" t="str">
        <f>Registered!AT830</f>
        <v>Medium</v>
      </c>
      <c r="F351" s="4" t="str">
        <f>Registered!AU830</f>
        <v>1 Bandana</v>
      </c>
      <c r="G351" s="4" t="str">
        <f>Registered!AW830</f>
        <v/>
      </c>
      <c r="H351" s="4" t="str">
        <f>Registered!AX830</f>
        <v/>
      </c>
      <c r="I351" s="4" t="str">
        <f>Registered!AY830</f>
        <v/>
      </c>
    </row>
    <row r="352" spans="1:9" x14ac:dyDescent="0.25">
      <c r="A352" s="4" t="str">
        <f>Registered!B831</f>
        <v>Gendler</v>
      </c>
      <c r="B352" s="4" t="str">
        <f>Registered!A831</f>
        <v>Marjorie</v>
      </c>
      <c r="C352" s="4" t="str">
        <f>IF(Registered!AR831&gt;0,Registered!AR831&amp;" Color Bags", "")</f>
        <v>5 Color Bags</v>
      </c>
      <c r="D352" s="4" t="str">
        <f>IF(Registered!AS831&gt;0,(IF(Registered!AS831=1,Registered!AS831&amp;" T-Shirt",Registered!AS831&amp;" T-Shirts")), "")</f>
        <v/>
      </c>
      <c r="E352" s="4" t="str">
        <f>Registered!AT831</f>
        <v/>
      </c>
      <c r="F352" s="4" t="str">
        <f>Registered!AU831</f>
        <v/>
      </c>
      <c r="G352" s="4" t="str">
        <f>Registered!AW831</f>
        <v>1 Meal</v>
      </c>
      <c r="H352" s="4" t="str">
        <f>Registered!AX831</f>
        <v/>
      </c>
      <c r="I352" s="4" t="str">
        <f>Registered!AY831</f>
        <v/>
      </c>
    </row>
    <row r="353" spans="1:9" x14ac:dyDescent="0.25">
      <c r="A353" s="4" t="str">
        <f>Registered!B834</f>
        <v>Genkov</v>
      </c>
      <c r="B353" s="4" t="str">
        <f>Registered!A834</f>
        <v>Wendy</v>
      </c>
      <c r="C353" s="4" t="str">
        <f>IF(Registered!AR834&gt;0,Registered!AR834&amp;" Color Bags", "")</f>
        <v>10 Color Bags</v>
      </c>
      <c r="D353" s="4" t="str">
        <f>IF(Registered!AS834&gt;0,(IF(Registered!AS834=1,Registered!AS834&amp;" T-Shirt",Registered!AS834&amp;" T-Shirts")), "")</f>
        <v>2 T-Shirts</v>
      </c>
      <c r="E353" s="4" t="str">
        <f>Registered!AT834</f>
        <v>Large</v>
      </c>
      <c r="F353" s="4" t="str">
        <f>Registered!AU834</f>
        <v/>
      </c>
      <c r="G353" s="4" t="str">
        <f>Registered!AW834</f>
        <v>2 Meals</v>
      </c>
      <c r="H353" s="4" t="str">
        <f>Registered!AX834</f>
        <v/>
      </c>
      <c r="I353" s="4" t="str">
        <f>Registered!AY834</f>
        <v/>
      </c>
    </row>
    <row r="354" spans="1:9" x14ac:dyDescent="0.25">
      <c r="A354" s="4" t="str">
        <f>Registered!B835</f>
        <v>Gerads</v>
      </c>
      <c r="B354" s="4" t="str">
        <f>Registered!A835</f>
        <v>Shawn</v>
      </c>
      <c r="C354" s="4" t="str">
        <f>IF(Registered!AR835&gt;0,Registered!AR835&amp;" Color Bags", "")</f>
        <v>5 Color Bags</v>
      </c>
      <c r="D354" s="4" t="str">
        <f>IF(Registered!AS835&gt;0,(IF(Registered!AS835=1,Registered!AS835&amp;" T-Shirt",Registered!AS835&amp;" T-Shirts")), "")</f>
        <v/>
      </c>
      <c r="E354" s="4" t="str">
        <f>Registered!AT835</f>
        <v/>
      </c>
      <c r="F354" s="4" t="str">
        <f>Registered!AU835</f>
        <v/>
      </c>
      <c r="G354" s="4" t="str">
        <f>Registered!AW835</f>
        <v>1 Meal</v>
      </c>
      <c r="H354" s="4" t="str">
        <f>Registered!AX835</f>
        <v/>
      </c>
      <c r="I354" s="4" t="str">
        <f>Registered!AY835</f>
        <v/>
      </c>
    </row>
    <row r="355" spans="1:9" x14ac:dyDescent="0.25">
      <c r="A355" s="4" t="str">
        <f>Registered!B837</f>
        <v>Gerber</v>
      </c>
      <c r="B355" s="4" t="str">
        <f>Registered!A837</f>
        <v>Ken</v>
      </c>
      <c r="C355" s="4" t="str">
        <f>IF(Registered!AR837&gt;0,Registered!AR837&amp;" Color Bags", "")</f>
        <v>10 Color Bags</v>
      </c>
      <c r="D355" s="4" t="str">
        <f>IF(Registered!AS837&gt;0,(IF(Registered!AS837=1,Registered!AS837&amp;" T-Shirt",Registered!AS837&amp;" T-Shirts")), "")</f>
        <v/>
      </c>
      <c r="E355" s="4" t="str">
        <f>Registered!AT837</f>
        <v/>
      </c>
      <c r="F355" s="4" t="str">
        <f>Registered!AU837</f>
        <v/>
      </c>
      <c r="G355" s="4" t="str">
        <f>Registered!AW837</f>
        <v/>
      </c>
      <c r="H355" s="4" t="str">
        <f>Registered!AX837</f>
        <v/>
      </c>
      <c r="I355" s="4" t="str">
        <f>Registered!AY837</f>
        <v/>
      </c>
    </row>
    <row r="356" spans="1:9" x14ac:dyDescent="0.25">
      <c r="A356" s="4" t="str">
        <f>Registered!B839</f>
        <v>Giddings</v>
      </c>
      <c r="B356" s="4" t="str">
        <f>Registered!A839</f>
        <v>David</v>
      </c>
      <c r="C356" s="4" t="str">
        <f>IF(Registered!AR839&gt;0,Registered!AR839&amp;" Color Bags", "")</f>
        <v>10 Color Bags</v>
      </c>
      <c r="D356" s="4" t="str">
        <f>IF(Registered!AS839&gt;0,(IF(Registered!AS839=1,Registered!AS839&amp;" T-Shirt",Registered!AS839&amp;" T-Shirts")), "")</f>
        <v/>
      </c>
      <c r="E356" s="4" t="str">
        <f>Registered!AT839</f>
        <v/>
      </c>
      <c r="F356" s="4" t="str">
        <f>Registered!AU839</f>
        <v/>
      </c>
      <c r="G356" s="4" t="str">
        <f>Registered!AW839</f>
        <v/>
      </c>
      <c r="H356" s="4" t="str">
        <f>Registered!AX839</f>
        <v/>
      </c>
      <c r="I356" s="4" t="str">
        <f>Registered!AY839</f>
        <v/>
      </c>
    </row>
    <row r="357" spans="1:9" x14ac:dyDescent="0.25">
      <c r="A357" s="4" t="str">
        <f>Registered!B840</f>
        <v>Gilbert</v>
      </c>
      <c r="B357" s="4" t="str">
        <f>Registered!A840</f>
        <v>Brenda</v>
      </c>
      <c r="C357" s="4" t="str">
        <f>IF(Registered!AR840&gt;0,Registered!AR840&amp;" Color Bags", "")</f>
        <v>10 Color Bags</v>
      </c>
      <c r="D357" s="4" t="str">
        <f>IF(Registered!AS840&gt;0,(IF(Registered!AS840=1,Registered!AS840&amp;" T-Shirt",Registered!AS840&amp;" T-Shirts")), "")</f>
        <v>2 T-Shirts</v>
      </c>
      <c r="E357" s="4" t="str">
        <f>Registered!AT840</f>
        <v>XL</v>
      </c>
      <c r="F357" s="4" t="str">
        <f>Registered!AU840</f>
        <v>2 Bandanas</v>
      </c>
      <c r="G357" s="4" t="str">
        <f>Registered!AW840</f>
        <v>2 Meals</v>
      </c>
      <c r="H357" s="4" t="str">
        <f>Registered!AX840</f>
        <v/>
      </c>
      <c r="I357" s="4" t="str">
        <f>Registered!AY840</f>
        <v/>
      </c>
    </row>
    <row r="358" spans="1:9" x14ac:dyDescent="0.25">
      <c r="A358" s="4" t="str">
        <f>Registered!B841</f>
        <v>Gilbert</v>
      </c>
      <c r="B358" s="4" t="str">
        <f>Registered!A841</f>
        <v>Jessica</v>
      </c>
      <c r="C358" s="4" t="str">
        <f>IF(Registered!AR841&gt;0,Registered!AR841&amp;" Color Bags", "")</f>
        <v>10 Color Bags</v>
      </c>
      <c r="D358" s="4" t="str">
        <f>IF(Registered!AS841&gt;0,(IF(Registered!AS841=1,Registered!AS841&amp;" T-Shirt",Registered!AS841&amp;" T-Shirts")), "")</f>
        <v/>
      </c>
      <c r="E358" s="4" t="str">
        <f>Registered!AT841</f>
        <v/>
      </c>
      <c r="F358" s="4" t="str">
        <f>Registered!AU841</f>
        <v/>
      </c>
      <c r="G358" s="4" t="str">
        <f>Registered!AW841</f>
        <v/>
      </c>
      <c r="H358" s="4" t="str">
        <f>Registered!AX841</f>
        <v/>
      </c>
      <c r="I358" s="4" t="str">
        <f>Registered!AY841</f>
        <v/>
      </c>
    </row>
    <row r="359" spans="1:9" x14ac:dyDescent="0.25">
      <c r="A359" s="4" t="str">
        <f>Registered!B842</f>
        <v>Gilbert</v>
      </c>
      <c r="B359" s="4" t="str">
        <f>Registered!A842</f>
        <v>Kathryn</v>
      </c>
      <c r="C359" s="4" t="str">
        <f>IF(Registered!AR842&gt;0,Registered!AR842&amp;" Color Bags", "")</f>
        <v>10 Color Bags</v>
      </c>
      <c r="D359" s="4" t="str">
        <f>IF(Registered!AS842&gt;0,(IF(Registered!AS842=1,Registered!AS842&amp;" T-Shirt",Registered!AS842&amp;" T-Shirts")), "")</f>
        <v>2 T-Shirts</v>
      </c>
      <c r="E359" s="4" t="str">
        <f>Registered!AT842</f>
        <v>Size Not Specified</v>
      </c>
      <c r="F359" s="4" t="str">
        <f>Registered!AU842</f>
        <v/>
      </c>
      <c r="G359" s="4" t="str">
        <f>Registered!AW842</f>
        <v>2 Meals</v>
      </c>
      <c r="H359" s="4" t="str">
        <f>Registered!AX842</f>
        <v/>
      </c>
      <c r="I359" s="4" t="str">
        <f>Registered!AY842</f>
        <v/>
      </c>
    </row>
    <row r="360" spans="1:9" x14ac:dyDescent="0.25">
      <c r="A360" s="4" t="str">
        <f>Registered!B844</f>
        <v>Gilbert</v>
      </c>
      <c r="B360" s="4" t="str">
        <f>Registered!A844</f>
        <v>Monica</v>
      </c>
      <c r="C360" s="4" t="str">
        <f>IF(Registered!AR844&gt;0,Registered!AR844&amp;" Color Bags", "")</f>
        <v>10 Color Bags</v>
      </c>
      <c r="D360" s="4" t="str">
        <f>IF(Registered!AS844&gt;0,(IF(Registered!AS844=1,Registered!AS844&amp;" T-Shirt",Registered!AS844&amp;" T-Shirts")), "")</f>
        <v/>
      </c>
      <c r="E360" s="4" t="str">
        <f>Registered!AT844</f>
        <v/>
      </c>
      <c r="F360" s="4" t="str">
        <f>Registered!AU844</f>
        <v/>
      </c>
      <c r="G360" s="4" t="str">
        <f>Registered!AW844</f>
        <v/>
      </c>
      <c r="H360" s="4" t="str">
        <f>Registered!AX844</f>
        <v/>
      </c>
      <c r="I360" s="4" t="str">
        <f>Registered!AY844</f>
        <v/>
      </c>
    </row>
    <row r="361" spans="1:9" x14ac:dyDescent="0.25">
      <c r="A361" s="4" t="str">
        <f>Registered!B853</f>
        <v>Gillespie</v>
      </c>
      <c r="B361" s="4" t="str">
        <f>Registered!A853</f>
        <v>Austin</v>
      </c>
      <c r="C361" s="4" t="str">
        <f>IF(Registered!AR853&gt;0,Registered!AR853&amp;" Color Bags", "")</f>
        <v>5 Color Bags</v>
      </c>
      <c r="D361" s="4" t="str">
        <f>IF(Registered!AS853&gt;0,(IF(Registered!AS853=1,Registered!AS853&amp;" T-Shirt",Registered!AS853&amp;" T-Shirts")), "")</f>
        <v/>
      </c>
      <c r="E361" s="4" t="str">
        <f>Registered!AT853</f>
        <v/>
      </c>
      <c r="F361" s="4" t="str">
        <f>Registered!AU853</f>
        <v/>
      </c>
      <c r="G361" s="4" t="str">
        <f>Registered!AW853</f>
        <v/>
      </c>
      <c r="H361" s="4" t="str">
        <f>Registered!AX853</f>
        <v/>
      </c>
      <c r="I361" s="4" t="str">
        <f>Registered!AY853</f>
        <v/>
      </c>
    </row>
    <row r="362" spans="1:9" x14ac:dyDescent="0.25">
      <c r="A362" s="4" t="str">
        <f>Registered!B856</f>
        <v>Gilson</v>
      </c>
      <c r="B362" s="4" t="str">
        <f>Registered!A856</f>
        <v>Shannon</v>
      </c>
      <c r="C362" s="4" t="str">
        <f>IF(Registered!AR856&gt;0,Registered!AR856&amp;" Color Bags", "")</f>
        <v>10 Color Bags</v>
      </c>
      <c r="D362" s="4" t="str">
        <f>IF(Registered!AS856&gt;0,(IF(Registered!AS856=1,Registered!AS856&amp;" T-Shirt",Registered!AS856&amp;" T-Shirts")), "")</f>
        <v/>
      </c>
      <c r="E362" s="4" t="str">
        <f>Registered!AT856</f>
        <v/>
      </c>
      <c r="F362" s="4" t="str">
        <f>Registered!AU856</f>
        <v>2 Bandanas</v>
      </c>
      <c r="G362" s="4" t="str">
        <f>Registered!AW856</f>
        <v>2 Meals</v>
      </c>
      <c r="H362" s="4" t="str">
        <f>Registered!AX856</f>
        <v/>
      </c>
      <c r="I362" s="4" t="str">
        <f>Registered!AY856</f>
        <v/>
      </c>
    </row>
    <row r="363" spans="1:9" x14ac:dyDescent="0.25">
      <c r="A363" s="4" t="str">
        <f>Registered!B857</f>
        <v>Glaus</v>
      </c>
      <c r="B363" s="4" t="str">
        <f>Registered!A857</f>
        <v>Zachary</v>
      </c>
      <c r="C363" s="4" t="str">
        <f>IF(Registered!AR857&gt;0,Registered!AR857&amp;" Color Bags", "")</f>
        <v>10 Color Bags</v>
      </c>
      <c r="D363" s="4" t="str">
        <f>IF(Registered!AS857&gt;0,(IF(Registered!AS857=1,Registered!AS857&amp;" T-Shirt",Registered!AS857&amp;" T-Shirts")), "")</f>
        <v/>
      </c>
      <c r="E363" s="4" t="str">
        <f>Registered!AT857</f>
        <v/>
      </c>
      <c r="F363" s="4" t="str">
        <f>Registered!AU857</f>
        <v/>
      </c>
      <c r="G363" s="4" t="str">
        <f>Registered!AW857</f>
        <v/>
      </c>
      <c r="H363" s="4" t="str">
        <f>Registered!AX857</f>
        <v/>
      </c>
      <c r="I363" s="4" t="str">
        <f>Registered!AY857</f>
        <v/>
      </c>
    </row>
    <row r="364" spans="1:9" x14ac:dyDescent="0.25">
      <c r="A364" s="4" t="str">
        <f>Registered!B861</f>
        <v>Godderidge</v>
      </c>
      <c r="B364" s="4" t="str">
        <f>Registered!A861</f>
        <v>Nicole</v>
      </c>
      <c r="C364" s="4" t="str">
        <f>IF(Registered!AR861&gt;0,Registered!AR861&amp;" Color Bags", "")</f>
        <v>5 Color Bags</v>
      </c>
      <c r="D364" s="4" t="str">
        <f>IF(Registered!AS861&gt;0,(IF(Registered!AS861=1,Registered!AS861&amp;" T-Shirt",Registered!AS861&amp;" T-Shirts")), "")</f>
        <v>1 T-Shirt</v>
      </c>
      <c r="E364" s="4" t="str">
        <f>Registered!AT861</f>
        <v>Extra Large</v>
      </c>
      <c r="F364" s="4" t="str">
        <f>Registered!AU861</f>
        <v/>
      </c>
      <c r="G364" s="4" t="str">
        <f>Registered!AW861</f>
        <v/>
      </c>
      <c r="H364" s="4" t="str">
        <f>Registered!AX861</f>
        <v/>
      </c>
      <c r="I364" s="4" t="str">
        <f>Registered!AY861</f>
        <v>1 DustMask</v>
      </c>
    </row>
    <row r="365" spans="1:9" x14ac:dyDescent="0.25">
      <c r="A365" s="4" t="str">
        <f>Registered!B863</f>
        <v>Goff</v>
      </c>
      <c r="B365" s="4" t="str">
        <f>Registered!A863</f>
        <v>Jessica-Ryan</v>
      </c>
      <c r="C365" s="4" t="str">
        <f>IF(Registered!AR863&gt;0,Registered!AR863&amp;" Color Bags", "")</f>
        <v>10 Color Bags</v>
      </c>
      <c r="D365" s="4" t="str">
        <f>IF(Registered!AS863&gt;0,(IF(Registered!AS863=1,Registered!AS863&amp;" T-Shirt",Registered!AS863&amp;" T-Shirts")), "")</f>
        <v>1 T-Shirt</v>
      </c>
      <c r="E365" s="4" t="str">
        <f>Registered!AT863</f>
        <v>s</v>
      </c>
      <c r="F365" s="4" t="str">
        <f>Registered!AU863</f>
        <v/>
      </c>
      <c r="G365" s="4" t="str">
        <f>Registered!AW863</f>
        <v/>
      </c>
      <c r="H365" s="4" t="str">
        <f>Registered!AX863</f>
        <v/>
      </c>
      <c r="I365" s="4" t="str">
        <f>Registered!AY863</f>
        <v/>
      </c>
    </row>
    <row r="366" spans="1:9" x14ac:dyDescent="0.25">
      <c r="A366" s="4" t="str">
        <f>Registered!B864</f>
        <v>Gold</v>
      </c>
      <c r="B366" s="4" t="str">
        <f>Registered!A864</f>
        <v>Joelyne</v>
      </c>
      <c r="C366" s="4" t="str">
        <f>IF(Registered!AR864&gt;0,Registered!AR864&amp;" Color Bags", "")</f>
        <v>10 Color Bags</v>
      </c>
      <c r="D366" s="4" t="str">
        <f>IF(Registered!AS864&gt;0,(IF(Registered!AS864=1,Registered!AS864&amp;" T-Shirt",Registered!AS864&amp;" T-Shirts")), "")</f>
        <v>2 T-Shirts</v>
      </c>
      <c r="E366" s="4" t="str">
        <f>Registered!AT864</f>
        <v>Small and Medium</v>
      </c>
      <c r="F366" s="4" t="str">
        <f>Registered!AU864</f>
        <v/>
      </c>
      <c r="G366" s="4" t="str">
        <f>Registered!AW864</f>
        <v>4 Meals</v>
      </c>
      <c r="H366" s="4" t="str">
        <f>Registered!AX864</f>
        <v/>
      </c>
      <c r="I366" s="4" t="str">
        <f>Registered!AY864</f>
        <v/>
      </c>
    </row>
    <row r="367" spans="1:9" x14ac:dyDescent="0.25">
      <c r="A367" s="4" t="str">
        <f>Registered!B865</f>
        <v>Gomm</v>
      </c>
      <c r="B367" s="4" t="str">
        <f>Registered!A865</f>
        <v>Katie</v>
      </c>
      <c r="C367" s="4" t="str">
        <f>IF(Registered!AR865&gt;0,Registered!AR865&amp;" Color Bags", "")</f>
        <v>10 Color Bags</v>
      </c>
      <c r="D367" s="4" t="str">
        <f>IF(Registered!AS865&gt;0,(IF(Registered!AS865=1,Registered!AS865&amp;" T-Shirt",Registered!AS865&amp;" T-Shirts")), "")</f>
        <v/>
      </c>
      <c r="E367" s="4" t="str">
        <f>Registered!AT865</f>
        <v/>
      </c>
      <c r="F367" s="4" t="str">
        <f>Registered!AU865</f>
        <v/>
      </c>
      <c r="G367" s="4" t="str">
        <f>Registered!AW865</f>
        <v/>
      </c>
      <c r="H367" s="4" t="str">
        <f>Registered!AX865</f>
        <v/>
      </c>
      <c r="I367" s="4" t="str">
        <f>Registered!AY865</f>
        <v/>
      </c>
    </row>
    <row r="368" spans="1:9" x14ac:dyDescent="0.25">
      <c r="A368" s="4" t="str">
        <f>Registered!B866</f>
        <v>Gomm</v>
      </c>
      <c r="B368" s="4" t="str">
        <f>Registered!A866</f>
        <v>Kiera</v>
      </c>
      <c r="C368" s="4" t="str">
        <f>IF(Registered!AR866&gt;0,Registered!AR866&amp;" Color Bags", "")</f>
        <v>5 Color Bags</v>
      </c>
      <c r="D368" s="4" t="str">
        <f>IF(Registered!AS866&gt;0,(IF(Registered!AS866=1,Registered!AS866&amp;" T-Shirt",Registered!AS866&amp;" T-Shirts")), "")</f>
        <v/>
      </c>
      <c r="E368" s="4" t="str">
        <f>Registered!AT866</f>
        <v/>
      </c>
      <c r="F368" s="4" t="str">
        <f>Registered!AU866</f>
        <v/>
      </c>
      <c r="G368" s="4" t="str">
        <f>Registered!AW866</f>
        <v/>
      </c>
      <c r="H368" s="4" t="str">
        <f>Registered!AX866</f>
        <v/>
      </c>
      <c r="I368" s="4" t="str">
        <f>Registered!AY866</f>
        <v/>
      </c>
    </row>
    <row r="369" spans="1:9" x14ac:dyDescent="0.25">
      <c r="A369" s="4" t="str">
        <f>Registered!B2715</f>
        <v>Gonzalez</v>
      </c>
      <c r="B369" s="4" t="str">
        <f>Registered!A2715</f>
        <v>Aundrea</v>
      </c>
      <c r="C369" s="4" t="str">
        <f>IF(Registered!AR2715&gt;0,Registered!AR2715&amp;" Color Bags", "")</f>
        <v>20 Color Bags</v>
      </c>
      <c r="D369" s="4" t="str">
        <f>IF(Registered!AS2715&gt;0,(IF(Registered!AS2715=1,Registered!AS2715&amp;" T-Shirt",Registered!AS2715&amp;" T-Shirts")), "")</f>
        <v/>
      </c>
      <c r="E369" s="4" t="str">
        <f>Registered!AT2715</f>
        <v/>
      </c>
      <c r="F369" s="4" t="str">
        <f>Registered!AU2715</f>
        <v/>
      </c>
      <c r="G369" s="4" t="str">
        <f>Registered!AW2715</f>
        <v/>
      </c>
      <c r="H369" s="4" t="str">
        <f>Registered!AX2715</f>
        <v/>
      </c>
      <c r="I369" s="4" t="str">
        <f>Registered!AY2715</f>
        <v/>
      </c>
    </row>
    <row r="370" spans="1:9" x14ac:dyDescent="0.25">
      <c r="A370" s="4" t="str">
        <f>Registered!B870</f>
        <v>Goodfellow</v>
      </c>
      <c r="B370" s="4" t="str">
        <f>Registered!A870</f>
        <v>Stephanie</v>
      </c>
      <c r="C370" s="4" t="str">
        <f>IF(Registered!AR870&gt;0,Registered!AR870&amp;" Color Bags", "")</f>
        <v>5 Color Bags</v>
      </c>
      <c r="D370" s="4" t="str">
        <f>IF(Registered!AS870&gt;0,(IF(Registered!AS870=1,Registered!AS870&amp;" T-Shirt",Registered!AS870&amp;" T-Shirts")), "")</f>
        <v/>
      </c>
      <c r="E370" s="4" t="str">
        <f>Registered!AT870</f>
        <v/>
      </c>
      <c r="F370" s="4" t="str">
        <f>Registered!AU870</f>
        <v/>
      </c>
      <c r="G370" s="4" t="str">
        <f>Registered!AW870</f>
        <v/>
      </c>
      <c r="H370" s="4" t="str">
        <f>Registered!AX870</f>
        <v/>
      </c>
      <c r="I370" s="4" t="str">
        <f>Registered!AY870</f>
        <v/>
      </c>
    </row>
    <row r="371" spans="1:9" x14ac:dyDescent="0.25">
      <c r="A371" s="4" t="str">
        <f>Registered!B871</f>
        <v>Goodwin</v>
      </c>
      <c r="B371" s="4" t="str">
        <f>Registered!A871</f>
        <v>Clara</v>
      </c>
      <c r="C371" s="4" t="str">
        <f>IF(Registered!AR871&gt;0,Registered!AR871&amp;" Color Bags", "")</f>
        <v>5 Color Bags</v>
      </c>
      <c r="D371" s="4" t="str">
        <f>IF(Registered!AS871&gt;0,(IF(Registered!AS871=1,Registered!AS871&amp;" T-Shirt",Registered!AS871&amp;" T-Shirts")), "")</f>
        <v/>
      </c>
      <c r="E371" s="4" t="str">
        <f>Registered!AT871</f>
        <v/>
      </c>
      <c r="F371" s="4" t="str">
        <f>Registered!AU871</f>
        <v/>
      </c>
      <c r="G371" s="4" t="str">
        <f>Registered!AW871</f>
        <v/>
      </c>
      <c r="H371" s="4" t="str">
        <f>Registered!AX871</f>
        <v/>
      </c>
      <c r="I371" s="4" t="str">
        <f>Registered!AY871</f>
        <v/>
      </c>
    </row>
    <row r="372" spans="1:9" x14ac:dyDescent="0.25">
      <c r="A372" s="4" t="str">
        <f>Registered!B874</f>
        <v>Goold</v>
      </c>
      <c r="B372" s="4" t="str">
        <f>Registered!A874</f>
        <v>Kira</v>
      </c>
      <c r="C372" s="4" t="str">
        <f>IF(Registered!AR874&gt;0,Registered!AR874&amp;" Color Bags", "")</f>
        <v>30 Color Bags</v>
      </c>
      <c r="D372" s="4" t="str">
        <f>IF(Registered!AS874&gt;0,(IF(Registered!AS874=1,Registered!AS874&amp;" T-Shirt",Registered!AS874&amp;" T-Shirts")), "")</f>
        <v/>
      </c>
      <c r="E372" s="4" t="str">
        <f>Registered!AT874</f>
        <v/>
      </c>
      <c r="F372" s="4" t="str">
        <f>Registered!AU874</f>
        <v/>
      </c>
      <c r="G372" s="4" t="str">
        <f>Registered!AW874</f>
        <v>4 Meals</v>
      </c>
      <c r="H372" s="4" t="str">
        <f>Registered!AX874</f>
        <v/>
      </c>
      <c r="I372" s="4" t="str">
        <f>Registered!AY874</f>
        <v/>
      </c>
    </row>
    <row r="373" spans="1:9" x14ac:dyDescent="0.25">
      <c r="A373" s="4" t="str">
        <f>Registered!B872</f>
        <v>Goold</v>
      </c>
      <c r="B373" s="4" t="str">
        <f>Registered!A872</f>
        <v>Eric</v>
      </c>
      <c r="C373" s="4" t="str">
        <f>IF(Registered!AR872&gt;0,Registered!AR872&amp;" Color Bags", "")</f>
        <v>5 Color Bags</v>
      </c>
      <c r="D373" s="4" t="str">
        <f>IF(Registered!AS872&gt;0,(IF(Registered!AS872=1,Registered!AS872&amp;" T-Shirt",Registered!AS872&amp;" T-Shirts")), "")</f>
        <v/>
      </c>
      <c r="E373" s="4" t="str">
        <f>Registered!AT872</f>
        <v/>
      </c>
      <c r="F373" s="4" t="str">
        <f>Registered!AU872</f>
        <v/>
      </c>
      <c r="G373" s="4" t="str">
        <f>Registered!AW872</f>
        <v/>
      </c>
      <c r="H373" s="4" t="str">
        <f>Registered!AX872</f>
        <v/>
      </c>
      <c r="I373" s="4" t="str">
        <f>Registered!AY872</f>
        <v/>
      </c>
    </row>
    <row r="374" spans="1:9" x14ac:dyDescent="0.25">
      <c r="A374" s="4" t="str">
        <f>Registered!B881</f>
        <v>Grant</v>
      </c>
      <c r="B374" s="4" t="str">
        <f>Registered!A881</f>
        <v>Jennifer</v>
      </c>
      <c r="C374" s="4" t="str">
        <f>IF(Registered!AR881&gt;0,Registered!AR881&amp;" Color Bags", "")</f>
        <v>20 Color Bags</v>
      </c>
      <c r="D374" s="4" t="str">
        <f>IF(Registered!AS881&gt;0,(IF(Registered!AS881=1,Registered!AS881&amp;" T-Shirt",Registered!AS881&amp;" T-Shirts")), "")</f>
        <v/>
      </c>
      <c r="E374" s="4" t="str">
        <f>Registered!AT881</f>
        <v/>
      </c>
      <c r="F374" s="4" t="str">
        <f>Registered!AU881</f>
        <v/>
      </c>
      <c r="G374" s="4" t="str">
        <f>Registered!AW881</f>
        <v/>
      </c>
      <c r="H374" s="4" t="str">
        <f>Registered!AX881</f>
        <v/>
      </c>
      <c r="I374" s="4" t="str">
        <f>Registered!AY881</f>
        <v/>
      </c>
    </row>
    <row r="375" spans="1:9" x14ac:dyDescent="0.25">
      <c r="A375" s="4" t="str">
        <f>Registered!B883</f>
        <v>Grate</v>
      </c>
      <c r="B375" s="4" t="str">
        <f>Registered!A883</f>
        <v>Paul</v>
      </c>
      <c r="C375" s="4" t="str">
        <f>IF(Registered!AR883&gt;0,Registered!AR883&amp;" Color Bags", "")</f>
        <v>5 Color Bags</v>
      </c>
      <c r="D375" s="4" t="str">
        <f>IF(Registered!AS883&gt;0,(IF(Registered!AS883=1,Registered!AS883&amp;" T-Shirt",Registered!AS883&amp;" T-Shirts")), "")</f>
        <v/>
      </c>
      <c r="E375" s="4" t="str">
        <f>Registered!AT883</f>
        <v/>
      </c>
      <c r="F375" s="4" t="str">
        <f>Registered!AU883</f>
        <v/>
      </c>
      <c r="G375" s="4" t="str">
        <f>Registered!AW883</f>
        <v/>
      </c>
      <c r="H375" s="4" t="str">
        <f>Registered!AX883</f>
        <v/>
      </c>
      <c r="I375" s="4" t="str">
        <f>Registered!AY883</f>
        <v/>
      </c>
    </row>
    <row r="376" spans="1:9" x14ac:dyDescent="0.25">
      <c r="A376" s="4" t="str">
        <f>Registered!B885</f>
        <v>Gray Jr</v>
      </c>
      <c r="B376" s="4" t="str">
        <f>Registered!A885</f>
        <v>Wayne</v>
      </c>
      <c r="C376" s="4" t="str">
        <f>IF(Registered!AR885&gt;0,Registered!AR885&amp;" Color Bags", "")</f>
        <v>20 Color Bags</v>
      </c>
      <c r="D376" s="4" t="str">
        <f>IF(Registered!AS885&gt;0,(IF(Registered!AS885=1,Registered!AS885&amp;" T-Shirt",Registered!AS885&amp;" T-Shirts")), "")</f>
        <v>4 T-Shirts</v>
      </c>
      <c r="E376" s="4" t="str">
        <f>Registered!AT885</f>
        <v>1 XL, 1 Large, 2 Medium</v>
      </c>
      <c r="F376" s="4" t="str">
        <f>Registered!AU885</f>
        <v/>
      </c>
      <c r="G376" s="4" t="str">
        <f>Registered!AW885</f>
        <v/>
      </c>
      <c r="H376" s="4" t="str">
        <f>Registered!AX885</f>
        <v/>
      </c>
      <c r="I376" s="4" t="str">
        <f>Registered!AY885</f>
        <v/>
      </c>
    </row>
    <row r="377" spans="1:9" x14ac:dyDescent="0.25">
      <c r="A377" s="4" t="str">
        <f>Registered!B886</f>
        <v>Green</v>
      </c>
      <c r="B377" s="4" t="str">
        <f>Registered!A886</f>
        <v>Avalon</v>
      </c>
      <c r="C377" s="4" t="str">
        <f>IF(Registered!AR886&gt;0,Registered!AR886&amp;" Color Bags", "")</f>
        <v>10 Color Bags</v>
      </c>
      <c r="D377" s="4" t="str">
        <f>IF(Registered!AS886&gt;0,(IF(Registered!AS886=1,Registered!AS886&amp;" T-Shirt",Registered!AS886&amp;" T-Shirts")), "")</f>
        <v/>
      </c>
      <c r="E377" s="4" t="str">
        <f>Registered!AT886</f>
        <v/>
      </c>
      <c r="F377" s="4" t="str">
        <f>Registered!AU886</f>
        <v>1 Bandana</v>
      </c>
      <c r="G377" s="4" t="str">
        <f>Registered!AW886</f>
        <v/>
      </c>
      <c r="H377" s="4" t="str">
        <f>Registered!AX886</f>
        <v/>
      </c>
      <c r="I377" s="4" t="str">
        <f>Registered!AY886</f>
        <v/>
      </c>
    </row>
    <row r="378" spans="1:9" x14ac:dyDescent="0.25">
      <c r="A378" s="4" t="str">
        <f>Registered!B891</f>
        <v>Green</v>
      </c>
      <c r="B378" s="4" t="str">
        <f>Registered!A891</f>
        <v>Nicole</v>
      </c>
      <c r="C378" s="4" t="str">
        <f>IF(Registered!AR891&gt;0,Registered!AR891&amp;" Color Bags", "")</f>
        <v>10 Color Bags</v>
      </c>
      <c r="D378" s="4" t="str">
        <f>IF(Registered!AS891&gt;0,(IF(Registered!AS891=1,Registered!AS891&amp;" T-Shirt",Registered!AS891&amp;" T-Shirts")), "")</f>
        <v/>
      </c>
      <c r="E378" s="4" t="str">
        <f>Registered!AT891</f>
        <v/>
      </c>
      <c r="F378" s="4" t="str">
        <f>Registered!AU891</f>
        <v/>
      </c>
      <c r="G378" s="4" t="str">
        <f>Registered!AW891</f>
        <v/>
      </c>
      <c r="H378" s="4" t="str">
        <f>Registered!AX891</f>
        <v/>
      </c>
      <c r="I378" s="4" t="str">
        <f>Registered!AY891</f>
        <v/>
      </c>
    </row>
    <row r="379" spans="1:9" x14ac:dyDescent="0.25">
      <c r="A379" s="4" t="str">
        <f>Registered!B892</f>
        <v>Green</v>
      </c>
      <c r="B379" s="4" t="str">
        <f>Registered!A892</f>
        <v>Sara</v>
      </c>
      <c r="C379" s="4" t="str">
        <f>IF(Registered!AR892&gt;0,Registered!AR892&amp;" Color Bags", "")</f>
        <v>10 Color Bags</v>
      </c>
      <c r="D379" s="4" t="str">
        <f>IF(Registered!AS892&gt;0,(IF(Registered!AS892=1,Registered!AS892&amp;" T-Shirt",Registered!AS892&amp;" T-Shirts")), "")</f>
        <v/>
      </c>
      <c r="E379" s="4" t="str">
        <f>Registered!AT892</f>
        <v/>
      </c>
      <c r="F379" s="4" t="str">
        <f>Registered!AU892</f>
        <v/>
      </c>
      <c r="G379" s="4" t="str">
        <f>Registered!AW892</f>
        <v/>
      </c>
      <c r="H379" s="4" t="str">
        <f>Registered!AX892</f>
        <v/>
      </c>
      <c r="I379" s="4" t="str">
        <f>Registered!AY892</f>
        <v/>
      </c>
    </row>
    <row r="380" spans="1:9" x14ac:dyDescent="0.25">
      <c r="A380" s="4" t="str">
        <f>Registered!B887</f>
        <v>Green</v>
      </c>
      <c r="B380" s="4" t="str">
        <f>Registered!A887</f>
        <v>Coulette</v>
      </c>
      <c r="C380" s="4" t="str">
        <f>IF(Registered!AR887&gt;0,Registered!AR887&amp;" Color Bags", "")</f>
        <v>5 Color Bags</v>
      </c>
      <c r="D380" s="4" t="str">
        <f>IF(Registered!AS887&gt;0,(IF(Registered!AS887=1,Registered!AS887&amp;" T-Shirt",Registered!AS887&amp;" T-Shirts")), "")</f>
        <v/>
      </c>
      <c r="E380" s="4" t="str">
        <f>Registered!AT887</f>
        <v/>
      </c>
      <c r="F380" s="4" t="str">
        <f>Registered!AU887</f>
        <v/>
      </c>
      <c r="G380" s="4" t="str">
        <f>Registered!AW887</f>
        <v/>
      </c>
      <c r="H380" s="4" t="str">
        <f>Registered!AX887</f>
        <v/>
      </c>
      <c r="I380" s="4" t="str">
        <f>Registered!AY887</f>
        <v/>
      </c>
    </row>
    <row r="381" spans="1:9" x14ac:dyDescent="0.25">
      <c r="A381" s="4" t="str">
        <f>Registered!B895</f>
        <v>Greene</v>
      </c>
      <c r="B381" s="4" t="str">
        <f>Registered!A895</f>
        <v>Gibson</v>
      </c>
      <c r="C381" s="4" t="str">
        <f>IF(Registered!AR895&gt;0,Registered!AR895&amp;" Color Bags", "")</f>
        <v>5 Color Bags</v>
      </c>
      <c r="D381" s="4" t="str">
        <f>IF(Registered!AS895&gt;0,(IF(Registered!AS895=1,Registered!AS895&amp;" T-Shirt",Registered!AS895&amp;" T-Shirts")), "")</f>
        <v/>
      </c>
      <c r="E381" s="4" t="str">
        <f>Registered!AT895</f>
        <v/>
      </c>
      <c r="F381" s="4" t="str">
        <f>Registered!AU895</f>
        <v/>
      </c>
      <c r="G381" s="4" t="str">
        <f>Registered!AW895</f>
        <v/>
      </c>
      <c r="H381" s="4" t="str">
        <f>Registered!AX895</f>
        <v/>
      </c>
      <c r="I381" s="4" t="str">
        <f>Registered!AY895</f>
        <v/>
      </c>
    </row>
    <row r="382" spans="1:9" x14ac:dyDescent="0.25">
      <c r="A382" s="4" t="str">
        <f>Registered!B899</f>
        <v>Greenwell</v>
      </c>
      <c r="B382" s="4" t="str">
        <f>Registered!A899</f>
        <v>Kaitlynn</v>
      </c>
      <c r="C382" s="4" t="str">
        <f>IF(Registered!AR899&gt;0,Registered!AR899&amp;" Color Bags", "")</f>
        <v>10 Color Bags</v>
      </c>
      <c r="D382" s="4" t="str">
        <f>IF(Registered!AS899&gt;0,(IF(Registered!AS899=1,Registered!AS899&amp;" T-Shirt",Registered!AS899&amp;" T-Shirts")), "")</f>
        <v/>
      </c>
      <c r="E382" s="4" t="str">
        <f>Registered!AT899</f>
        <v/>
      </c>
      <c r="F382" s="4" t="str">
        <f>Registered!AU899</f>
        <v/>
      </c>
      <c r="G382" s="4" t="str">
        <f>Registered!AW899</f>
        <v/>
      </c>
      <c r="H382" s="4" t="str">
        <f>Registered!AX899</f>
        <v/>
      </c>
      <c r="I382" s="4" t="str">
        <f>Registered!AY899</f>
        <v/>
      </c>
    </row>
    <row r="383" spans="1:9" x14ac:dyDescent="0.25">
      <c r="A383" s="4" t="str">
        <f>Registered!B901</f>
        <v>Greer</v>
      </c>
      <c r="B383" s="4" t="str">
        <f>Registered!A901</f>
        <v>Rose</v>
      </c>
      <c r="C383" s="4" t="str">
        <f>IF(Registered!AR901&gt;0,Registered!AR901&amp;" Color Bags", "")</f>
        <v>20 Color Bags</v>
      </c>
      <c r="D383" s="4" t="str">
        <f>IF(Registered!AS901&gt;0,(IF(Registered!AS901=1,Registered!AS901&amp;" T-Shirt",Registered!AS901&amp;" T-Shirts")), "")</f>
        <v/>
      </c>
      <c r="E383" s="4" t="str">
        <f>Registered!AT901</f>
        <v/>
      </c>
      <c r="F383" s="4" t="str">
        <f>Registered!AU901</f>
        <v/>
      </c>
      <c r="G383" s="4" t="str">
        <f>Registered!AW901</f>
        <v>4 Meals</v>
      </c>
      <c r="H383" s="4" t="str">
        <f>Registered!AX901</f>
        <v/>
      </c>
      <c r="I383" s="4" t="str">
        <f>Registered!AY901</f>
        <v/>
      </c>
    </row>
    <row r="384" spans="1:9" x14ac:dyDescent="0.25">
      <c r="A384" s="4" t="str">
        <f>Registered!B902</f>
        <v>Gregersen</v>
      </c>
      <c r="B384" s="4" t="str">
        <f>Registered!A902</f>
        <v>Kameo</v>
      </c>
      <c r="C384" s="4" t="str">
        <f>IF(Registered!AR902&gt;0,Registered!AR902&amp;" Color Bags", "")</f>
        <v>10 Color Bags</v>
      </c>
      <c r="D384" s="4" t="str">
        <f>IF(Registered!AS902&gt;0,(IF(Registered!AS902=1,Registered!AS902&amp;" T-Shirt",Registered!AS902&amp;" T-Shirts")), "")</f>
        <v/>
      </c>
      <c r="E384" s="4" t="str">
        <f>Registered!AT902</f>
        <v/>
      </c>
      <c r="F384" s="4" t="str">
        <f>Registered!AU902</f>
        <v/>
      </c>
      <c r="G384" s="4" t="str">
        <f>Registered!AW902</f>
        <v/>
      </c>
      <c r="H384" s="4" t="str">
        <f>Registered!AX902</f>
        <v/>
      </c>
      <c r="I384" s="4" t="str">
        <f>Registered!AY902</f>
        <v/>
      </c>
    </row>
    <row r="385" spans="1:9" x14ac:dyDescent="0.25">
      <c r="A385" s="4" t="str">
        <f>Registered!B905</f>
        <v>Griffith</v>
      </c>
      <c r="B385" s="4" t="str">
        <f>Registered!A905</f>
        <v>Adison</v>
      </c>
      <c r="C385" s="4" t="str">
        <f>IF(Registered!AR905&gt;0,Registered!AR905&amp;" Color Bags", "")</f>
        <v>5 Color Bags</v>
      </c>
      <c r="D385" s="4" t="str">
        <f>IF(Registered!AS905&gt;0,(IF(Registered!AS905=1,Registered!AS905&amp;" T-Shirt",Registered!AS905&amp;" T-Shirts")), "")</f>
        <v/>
      </c>
      <c r="E385" s="4" t="str">
        <f>Registered!AT905</f>
        <v/>
      </c>
      <c r="F385" s="4" t="str">
        <f>Registered!AU905</f>
        <v/>
      </c>
      <c r="G385" s="4" t="str">
        <f>Registered!AW905</f>
        <v/>
      </c>
      <c r="H385" s="4" t="str">
        <f>Registered!AX905</f>
        <v/>
      </c>
      <c r="I385" s="4" t="str">
        <f>Registered!AY905</f>
        <v/>
      </c>
    </row>
    <row r="386" spans="1:9" x14ac:dyDescent="0.25">
      <c r="A386" s="4" t="str">
        <f>Registered!B908</f>
        <v>Gross</v>
      </c>
      <c r="B386" s="4" t="str">
        <f>Registered!A908</f>
        <v>Danny</v>
      </c>
      <c r="C386" s="4" t="str">
        <f>IF(Registered!AR908&gt;0,Registered!AR908&amp;" Color Bags", "")</f>
        <v>40 Color Bags</v>
      </c>
      <c r="D386" s="4" t="str">
        <f>IF(Registered!AS908&gt;0,(IF(Registered!AS908=1,Registered!AS908&amp;" T-Shirt",Registered!AS908&amp;" T-Shirts")), "")</f>
        <v>4 T-Shirts</v>
      </c>
      <c r="E386" s="4" t="str">
        <f>Registered!AT908</f>
        <v>3 mediums, 1 small</v>
      </c>
      <c r="F386" s="4" t="str">
        <f>Registered!AU908</f>
        <v>4 Bandanas</v>
      </c>
      <c r="G386" s="4" t="str">
        <f>Registered!AW908</f>
        <v/>
      </c>
      <c r="H386" s="4" t="str">
        <f>Registered!AX908</f>
        <v/>
      </c>
      <c r="I386" s="4" t="str">
        <f>Registered!AY908</f>
        <v/>
      </c>
    </row>
    <row r="387" spans="1:9" x14ac:dyDescent="0.25">
      <c r="A387" s="4" t="str">
        <f>Registered!B910</f>
        <v>Grover</v>
      </c>
      <c r="B387" s="4" t="str">
        <f>Registered!A910</f>
        <v>David</v>
      </c>
      <c r="C387" s="4" t="str">
        <f>IF(Registered!AR910&gt;0,Registered!AR910&amp;" Color Bags", "")</f>
        <v>35 Color Bags</v>
      </c>
      <c r="D387" s="4" t="str">
        <f>IF(Registered!AS910&gt;0,(IF(Registered!AS910=1,Registered!AS910&amp;" T-Shirt",Registered!AS910&amp;" T-Shirts")), "")</f>
        <v>1 T-Shirt</v>
      </c>
      <c r="E387" s="4" t="str">
        <f>Registered!AT910</f>
        <v>lg</v>
      </c>
      <c r="F387" s="4" t="str">
        <f>Registered!AU910</f>
        <v>1 Bandana</v>
      </c>
      <c r="G387" s="4" t="str">
        <f>Registered!AW910</f>
        <v/>
      </c>
      <c r="H387" s="4" t="str">
        <f>Registered!AX910</f>
        <v/>
      </c>
      <c r="I387" s="4" t="str">
        <f>Registered!AY910</f>
        <v/>
      </c>
    </row>
    <row r="388" spans="1:9" x14ac:dyDescent="0.25">
      <c r="A388" s="4" t="str">
        <f>Registered!B911</f>
        <v>Grow</v>
      </c>
      <c r="B388" s="4" t="str">
        <f>Registered!A911</f>
        <v>Abby</v>
      </c>
      <c r="C388" s="4" t="str">
        <f>IF(Registered!AR911&gt;0,Registered!AR911&amp;" Color Bags", "")</f>
        <v>5 Color Bags</v>
      </c>
      <c r="D388" s="4" t="str">
        <f>IF(Registered!AS911&gt;0,(IF(Registered!AS911=1,Registered!AS911&amp;" T-Shirt",Registered!AS911&amp;" T-Shirts")), "")</f>
        <v/>
      </c>
      <c r="E388" s="4" t="str">
        <f>Registered!AT911</f>
        <v/>
      </c>
      <c r="F388" s="4" t="str">
        <f>Registered!AU911</f>
        <v/>
      </c>
      <c r="G388" s="4" t="str">
        <f>Registered!AW911</f>
        <v/>
      </c>
      <c r="H388" s="4" t="str">
        <f>Registered!AX911</f>
        <v/>
      </c>
      <c r="I388" s="4" t="str">
        <f>Registered!AY911</f>
        <v/>
      </c>
    </row>
    <row r="389" spans="1:9" x14ac:dyDescent="0.25">
      <c r="A389" s="4" t="str">
        <f>Registered!B912</f>
        <v>Grunwald</v>
      </c>
      <c r="B389" s="4" t="str">
        <f>Registered!A912</f>
        <v>Mark</v>
      </c>
      <c r="C389" s="4" t="str">
        <f>IF(Registered!AR912&gt;0,Registered!AR912&amp;" Color Bags", "")</f>
        <v>15 Color Bags</v>
      </c>
      <c r="D389" s="4" t="str">
        <f>IF(Registered!AS912&gt;0,(IF(Registered!AS912=1,Registered!AS912&amp;" T-Shirt",Registered!AS912&amp;" T-Shirts")), "")</f>
        <v/>
      </c>
      <c r="E389" s="4" t="str">
        <f>Registered!AT912</f>
        <v/>
      </c>
      <c r="F389" s="4" t="str">
        <f>Registered!AU912</f>
        <v/>
      </c>
      <c r="G389" s="4" t="str">
        <f>Registered!AW912</f>
        <v/>
      </c>
      <c r="H389" s="4" t="str">
        <f>Registered!AX912</f>
        <v/>
      </c>
      <c r="I389" s="4" t="str">
        <f>Registered!AY912</f>
        <v/>
      </c>
    </row>
    <row r="390" spans="1:9" x14ac:dyDescent="0.25">
      <c r="A390" s="4" t="str">
        <f>Registered!B973</f>
        <v>Guterman</v>
      </c>
      <c r="B390" s="4" t="str">
        <f>Registered!A973</f>
        <v>Tammara</v>
      </c>
      <c r="C390" s="4" t="str">
        <f>IF(Registered!AR973&gt;0,Registered!AR973&amp;" Color Bags", "")</f>
        <v>10 Color Bags</v>
      </c>
      <c r="D390" s="4" t="str">
        <f>IF(Registered!AS973&gt;0,(IF(Registered!AS973=1,Registered!AS973&amp;" T-Shirt",Registered!AS973&amp;" T-Shirts")), "")</f>
        <v/>
      </c>
      <c r="E390" s="4" t="str">
        <f>Registered!AT973</f>
        <v/>
      </c>
      <c r="F390" s="4" t="str">
        <f>Registered!AU973</f>
        <v>2 Bandanas</v>
      </c>
      <c r="G390" s="4" t="str">
        <f>Registered!AW973</f>
        <v>1 Meal</v>
      </c>
      <c r="H390" s="4" t="str">
        <f>Registered!AX973</f>
        <v/>
      </c>
      <c r="I390" s="4" t="str">
        <f>Registered!AY973</f>
        <v/>
      </c>
    </row>
    <row r="391" spans="1:9" x14ac:dyDescent="0.25">
      <c r="A391" s="4" t="str">
        <f>Registered!B974</f>
        <v>Guthrie</v>
      </c>
      <c r="B391" s="4" t="str">
        <f>Registered!A974</f>
        <v>Kristin</v>
      </c>
      <c r="C391" s="4" t="str">
        <f>IF(Registered!AR974&gt;0,Registered!AR974&amp;" Color Bags", "")</f>
        <v>5 Color Bags</v>
      </c>
      <c r="D391" s="4" t="str">
        <f>IF(Registered!AS974&gt;0,(IF(Registered!AS974=1,Registered!AS974&amp;" T-Shirt",Registered!AS974&amp;" T-Shirts")), "")</f>
        <v/>
      </c>
      <c r="E391" s="4" t="str">
        <f>Registered!AT974</f>
        <v/>
      </c>
      <c r="F391" s="4" t="str">
        <f>Registered!AU974</f>
        <v/>
      </c>
      <c r="G391" s="4" t="str">
        <f>Registered!AW974</f>
        <v>1 Meal</v>
      </c>
      <c r="H391" s="4" t="str">
        <f>Registered!AX974</f>
        <v/>
      </c>
      <c r="I391" s="4" t="str">
        <f>Registered!AY974</f>
        <v/>
      </c>
    </row>
    <row r="392" spans="1:9" x14ac:dyDescent="0.25">
      <c r="A392" s="4" t="str">
        <f>Registered!B976</f>
        <v>Hackworth</v>
      </c>
      <c r="B392" s="4" t="str">
        <f>Registered!A976</f>
        <v>Ashlee</v>
      </c>
      <c r="C392" s="4" t="str">
        <f>IF(Registered!AR976&gt;0,Registered!AR976&amp;" Color Bags", "")</f>
        <v>5 Color Bags</v>
      </c>
      <c r="D392" s="4" t="str">
        <f>IF(Registered!AS976&gt;0,(IF(Registered!AS976=1,Registered!AS976&amp;" T-Shirt",Registered!AS976&amp;" T-Shirts")), "")</f>
        <v/>
      </c>
      <c r="E392" s="4" t="str">
        <f>Registered!AT976</f>
        <v/>
      </c>
      <c r="F392" s="4" t="str">
        <f>Registered!AU976</f>
        <v/>
      </c>
      <c r="G392" s="4" t="str">
        <f>Registered!AW976</f>
        <v/>
      </c>
      <c r="H392" s="4" t="str">
        <f>Registered!AX976</f>
        <v/>
      </c>
      <c r="I392" s="4" t="str">
        <f>Registered!AY976</f>
        <v/>
      </c>
    </row>
    <row r="393" spans="1:9" x14ac:dyDescent="0.25">
      <c r="A393" s="4" t="str">
        <f>Registered!B977</f>
        <v>Hadden</v>
      </c>
      <c r="B393" s="4" t="str">
        <f>Registered!A977</f>
        <v>Natalie</v>
      </c>
      <c r="C393" s="4" t="str">
        <f>IF(Registered!AR977&gt;0,Registered!AR977&amp;" Color Bags", "")</f>
        <v>5 Color Bags</v>
      </c>
      <c r="D393" s="4" t="str">
        <f>IF(Registered!AS977&gt;0,(IF(Registered!AS977=1,Registered!AS977&amp;" T-Shirt",Registered!AS977&amp;" T-Shirts")), "")</f>
        <v/>
      </c>
      <c r="E393" s="4" t="str">
        <f>Registered!AT977</f>
        <v/>
      </c>
      <c r="F393" s="4" t="str">
        <f>Registered!AU977</f>
        <v/>
      </c>
      <c r="G393" s="4" t="str">
        <f>Registered!AW977</f>
        <v/>
      </c>
      <c r="H393" s="4" t="str">
        <f>Registered!AX977</f>
        <v/>
      </c>
      <c r="I393" s="4" t="str">
        <f>Registered!AY977</f>
        <v/>
      </c>
    </row>
    <row r="394" spans="1:9" x14ac:dyDescent="0.25">
      <c r="A394" s="4" t="str">
        <f>Registered!B978</f>
        <v>Hadley</v>
      </c>
      <c r="B394" s="4" t="str">
        <f>Registered!A978</f>
        <v>Joni</v>
      </c>
      <c r="C394" s="4" t="str">
        <f>IF(Registered!AR978&gt;0,Registered!AR978&amp;" Color Bags", "")</f>
        <v>10 Color Bags</v>
      </c>
      <c r="D394" s="4" t="str">
        <f>IF(Registered!AS978&gt;0,(IF(Registered!AS978=1,Registered!AS978&amp;" T-Shirt",Registered!AS978&amp;" T-Shirts")), "")</f>
        <v/>
      </c>
      <c r="E394" s="4" t="str">
        <f>Registered!AT978</f>
        <v/>
      </c>
      <c r="F394" s="4" t="str">
        <f>Registered!AU978</f>
        <v/>
      </c>
      <c r="G394" s="4" t="str">
        <f>Registered!AW978</f>
        <v/>
      </c>
      <c r="H394" s="4" t="str">
        <f>Registered!AX978</f>
        <v/>
      </c>
      <c r="I394" s="4" t="str">
        <f>Registered!AY978</f>
        <v/>
      </c>
    </row>
    <row r="395" spans="1:9" x14ac:dyDescent="0.25">
      <c r="A395" s="4" t="str">
        <f>Registered!B982</f>
        <v>Hagen</v>
      </c>
      <c r="B395" s="4" t="str">
        <f>Registered!A982</f>
        <v>Chantel</v>
      </c>
      <c r="C395" s="4" t="str">
        <f>IF(Registered!AR982&gt;0,Registered!AR982&amp;" Color Bags", "")</f>
        <v>5 Color Bags</v>
      </c>
      <c r="D395" s="4" t="str">
        <f>IF(Registered!AS982&gt;0,(IF(Registered!AS982=1,Registered!AS982&amp;" T-Shirt",Registered!AS982&amp;" T-Shirts")), "")</f>
        <v/>
      </c>
      <c r="E395" s="4" t="str">
        <f>Registered!AT982</f>
        <v/>
      </c>
      <c r="F395" s="4" t="str">
        <f>Registered!AU982</f>
        <v/>
      </c>
      <c r="G395" s="4" t="str">
        <f>Registered!AW982</f>
        <v/>
      </c>
      <c r="H395" s="4" t="str">
        <f>Registered!AX982</f>
        <v/>
      </c>
      <c r="I395" s="4" t="str">
        <f>Registered!AY982</f>
        <v/>
      </c>
    </row>
    <row r="396" spans="1:9" x14ac:dyDescent="0.25">
      <c r="A396" s="4" t="str">
        <f>Registered!B985</f>
        <v>Haggai</v>
      </c>
      <c r="B396" s="4" t="str">
        <f>Registered!A985</f>
        <v>Vardi</v>
      </c>
      <c r="C396" s="4" t="str">
        <f>IF(Registered!AR985&gt;0,Registered!AR985&amp;" Color Bags", "")</f>
        <v>5 Color Bags</v>
      </c>
      <c r="D396" s="4" t="str">
        <f>IF(Registered!AS985&gt;0,(IF(Registered!AS985=1,Registered!AS985&amp;" T-Shirt",Registered!AS985&amp;" T-Shirts")), "")</f>
        <v>1 T-Shirt</v>
      </c>
      <c r="E396" s="4" t="str">
        <f>Registered!AT985</f>
        <v>Men - Small</v>
      </c>
      <c r="F396" s="4" t="str">
        <f>Registered!AU985</f>
        <v/>
      </c>
      <c r="G396" s="4" t="str">
        <f>Registered!AW985</f>
        <v>1 Meal</v>
      </c>
      <c r="H396" s="4" t="str">
        <f>Registered!AX985</f>
        <v/>
      </c>
      <c r="I396" s="4" t="str">
        <f>Registered!AY985</f>
        <v/>
      </c>
    </row>
    <row r="397" spans="1:9" x14ac:dyDescent="0.25">
      <c r="A397" s="4" t="str">
        <f>Registered!B988</f>
        <v>Halaliku</v>
      </c>
      <c r="B397" s="4" t="str">
        <f>Registered!A988</f>
        <v>Anthony</v>
      </c>
      <c r="C397" s="4" t="str">
        <f>IF(Registered!AR988&gt;0,Registered!AR988&amp;" Color Bags", "")</f>
        <v>10 Color Bags</v>
      </c>
      <c r="D397" s="4" t="str">
        <f>IF(Registered!AS988&gt;0,(IF(Registered!AS988=1,Registered!AS988&amp;" T-Shirt",Registered!AS988&amp;" T-Shirts")), "")</f>
        <v/>
      </c>
      <c r="E397" s="4" t="str">
        <f>Registered!AT988</f>
        <v/>
      </c>
      <c r="F397" s="4" t="str">
        <f>Registered!AU988</f>
        <v/>
      </c>
      <c r="G397" s="4" t="str">
        <f>Registered!AW988</f>
        <v/>
      </c>
      <c r="H397" s="4" t="str">
        <f>Registered!AX988</f>
        <v/>
      </c>
      <c r="I397" s="4" t="str">
        <f>Registered!AY988</f>
        <v/>
      </c>
    </row>
    <row r="398" spans="1:9" x14ac:dyDescent="0.25">
      <c r="A398" s="4" t="str">
        <f>Registered!B990</f>
        <v>Hale</v>
      </c>
      <c r="B398" s="4" t="str">
        <f>Registered!A990</f>
        <v>Madison</v>
      </c>
      <c r="C398" s="4" t="str">
        <f>IF(Registered!AR990&gt;0,Registered!AR990&amp;" Color Bags", "")</f>
        <v>15 Color Bags</v>
      </c>
      <c r="D398" s="4" t="str">
        <f>IF(Registered!AS990&gt;0,(IF(Registered!AS990=1,Registered!AS990&amp;" T-Shirt",Registered!AS990&amp;" T-Shirts")), "")</f>
        <v/>
      </c>
      <c r="E398" s="4" t="str">
        <f>Registered!AT990</f>
        <v/>
      </c>
      <c r="F398" s="4" t="str">
        <f>Registered!AU990</f>
        <v/>
      </c>
      <c r="G398" s="4" t="str">
        <f>Registered!AW990</f>
        <v/>
      </c>
      <c r="H398" s="4" t="str">
        <f>Registered!AX990</f>
        <v/>
      </c>
      <c r="I398" s="4" t="str">
        <f>Registered!AY990</f>
        <v/>
      </c>
    </row>
    <row r="399" spans="1:9" x14ac:dyDescent="0.25">
      <c r="A399" s="4" t="str">
        <f>Registered!B993</f>
        <v>Hall</v>
      </c>
      <c r="B399" s="4" t="str">
        <f>Registered!A993</f>
        <v>Hailey</v>
      </c>
      <c r="C399" s="4" t="str">
        <f>IF(Registered!AR993&gt;0,Registered!AR993&amp;" Color Bags", "")</f>
        <v>10 Color Bags</v>
      </c>
      <c r="D399" s="4" t="str">
        <f>IF(Registered!AS993&gt;0,(IF(Registered!AS993=1,Registered!AS993&amp;" T-Shirt",Registered!AS993&amp;" T-Shirts")), "")</f>
        <v/>
      </c>
      <c r="E399" s="4" t="str">
        <f>Registered!AT993</f>
        <v/>
      </c>
      <c r="F399" s="4" t="str">
        <f>Registered!AU993</f>
        <v/>
      </c>
      <c r="G399" s="4" t="str">
        <f>Registered!AW993</f>
        <v>2 Meals</v>
      </c>
      <c r="H399" s="4" t="str">
        <f>Registered!AX993</f>
        <v/>
      </c>
      <c r="I399" s="4" t="str">
        <f>Registered!AY993</f>
        <v/>
      </c>
    </row>
    <row r="400" spans="1:9" x14ac:dyDescent="0.25">
      <c r="A400" s="4" t="str">
        <f>Registered!B994</f>
        <v>Hall</v>
      </c>
      <c r="B400" s="4" t="str">
        <f>Registered!A994</f>
        <v>MIcahel</v>
      </c>
      <c r="C400" s="4" t="str">
        <f>IF(Registered!AR994&gt;0,Registered!AR994&amp;" Color Bags", "")</f>
        <v>20 Color Bags</v>
      </c>
      <c r="D400" s="4" t="str">
        <f>IF(Registered!AS994&gt;0,(IF(Registered!AS994=1,Registered!AS994&amp;" T-Shirt",Registered!AS994&amp;" T-Shirts")), "")</f>
        <v/>
      </c>
      <c r="E400" s="4" t="str">
        <f>Registered!AT994</f>
        <v/>
      </c>
      <c r="F400" s="4" t="str">
        <f>Registered!AU994</f>
        <v>1 Bandana</v>
      </c>
      <c r="G400" s="4" t="str">
        <f>Registered!AW994</f>
        <v/>
      </c>
      <c r="H400" s="4" t="str">
        <f>Registered!AX994</f>
        <v/>
      </c>
      <c r="I400" s="4" t="str">
        <f>Registered!AY994</f>
        <v/>
      </c>
    </row>
    <row r="401" spans="1:9" x14ac:dyDescent="0.25">
      <c r="A401" s="4" t="str">
        <f>Registered!B995</f>
        <v>Hall</v>
      </c>
      <c r="B401" s="4" t="str">
        <f>Registered!A995</f>
        <v>Tyler</v>
      </c>
      <c r="C401" s="4" t="str">
        <f>IF(Registered!AR995&gt;0,Registered!AR995&amp;" Color Bags", "")</f>
        <v>5 Color Bags</v>
      </c>
      <c r="D401" s="4" t="str">
        <f>IF(Registered!AS995&gt;0,(IF(Registered!AS995=1,Registered!AS995&amp;" T-Shirt",Registered!AS995&amp;" T-Shirts")), "")</f>
        <v/>
      </c>
      <c r="E401" s="4" t="str">
        <f>Registered!AT995</f>
        <v/>
      </c>
      <c r="F401" s="4" t="str">
        <f>Registered!AU995</f>
        <v/>
      </c>
      <c r="G401" s="4" t="str">
        <f>Registered!AW995</f>
        <v>1 Meal</v>
      </c>
      <c r="H401" s="4" t="str">
        <f>Registered!AX995</f>
        <v/>
      </c>
      <c r="I401" s="4" t="str">
        <f>Registered!AY995</f>
        <v/>
      </c>
    </row>
    <row r="402" spans="1:9" x14ac:dyDescent="0.25">
      <c r="A402" s="4" t="str">
        <f>Registered!B996</f>
        <v>Halliday</v>
      </c>
      <c r="B402" s="4" t="str">
        <f>Registered!A996</f>
        <v>Jeff</v>
      </c>
      <c r="C402" s="4" t="str">
        <f>IF(Registered!AR996&gt;0,Registered!AR996&amp;" Color Bags", "")</f>
        <v>40 Color Bags</v>
      </c>
      <c r="D402" s="4" t="str">
        <f>IF(Registered!AS996&gt;0,(IF(Registered!AS996=1,Registered!AS996&amp;" T-Shirt",Registered!AS996&amp;" T-Shirts")), "")</f>
        <v/>
      </c>
      <c r="E402" s="4" t="str">
        <f>Registered!AT996</f>
        <v/>
      </c>
      <c r="F402" s="4" t="str">
        <f>Registered!AU996</f>
        <v/>
      </c>
      <c r="G402" s="4" t="str">
        <f>Registered!AW996</f>
        <v/>
      </c>
      <c r="H402" s="4" t="str">
        <f>Registered!AX996</f>
        <v/>
      </c>
      <c r="I402" s="4" t="str">
        <f>Registered!AY996</f>
        <v/>
      </c>
    </row>
    <row r="403" spans="1:9" x14ac:dyDescent="0.25">
      <c r="A403" s="4" t="str">
        <f>Registered!B999</f>
        <v>Hallmark</v>
      </c>
      <c r="B403" s="4" t="str">
        <f>Registered!A999</f>
        <v>Darci</v>
      </c>
      <c r="C403" s="4" t="str">
        <f>IF(Registered!AR999&gt;0,Registered!AR999&amp;" Color Bags", "")</f>
        <v>5 Color Bags</v>
      </c>
      <c r="D403" s="4" t="str">
        <f>IF(Registered!AS999&gt;0,(IF(Registered!AS999=1,Registered!AS999&amp;" T-Shirt",Registered!AS999&amp;" T-Shirts")), "")</f>
        <v/>
      </c>
      <c r="E403" s="4" t="str">
        <f>Registered!AT999</f>
        <v/>
      </c>
      <c r="F403" s="4" t="str">
        <f>Registered!AU999</f>
        <v/>
      </c>
      <c r="G403" s="4" t="str">
        <f>Registered!AW999</f>
        <v/>
      </c>
      <c r="H403" s="4" t="str">
        <f>Registered!AX999</f>
        <v/>
      </c>
      <c r="I403" s="4" t="str">
        <f>Registered!AY999</f>
        <v/>
      </c>
    </row>
    <row r="404" spans="1:9" x14ac:dyDescent="0.25">
      <c r="A404" s="4" t="str">
        <f>Registered!B1000</f>
        <v>Hallows</v>
      </c>
      <c r="B404" s="4" t="str">
        <f>Registered!A1000</f>
        <v>Jesseca</v>
      </c>
      <c r="C404" s="4" t="str">
        <f>IF(Registered!AR1000&gt;0,Registered!AR1000&amp;" Color Bags", "")</f>
        <v/>
      </c>
      <c r="D404" s="4" t="str">
        <f>IF(Registered!AS1000&gt;0,(IF(Registered!AS1000=1,Registered!AS1000&amp;" T-Shirt",Registered!AS1000&amp;" T-Shirts")), "")</f>
        <v/>
      </c>
      <c r="E404" s="4" t="str">
        <f>Registered!AT1000</f>
        <v/>
      </c>
      <c r="F404" s="4" t="str">
        <f>Registered!AU1000</f>
        <v>1 Bandana</v>
      </c>
      <c r="G404" s="4" t="str">
        <f>Registered!AW1000</f>
        <v/>
      </c>
      <c r="H404" s="4" t="str">
        <f>Registered!AX1000</f>
        <v/>
      </c>
      <c r="I404" s="4" t="str">
        <f>Registered!AY1000</f>
        <v/>
      </c>
    </row>
    <row r="405" spans="1:9" x14ac:dyDescent="0.25">
      <c r="A405" s="4" t="str">
        <f>Registered!B1001</f>
        <v>Hamblin</v>
      </c>
      <c r="B405" s="4" t="str">
        <f>Registered!A1001</f>
        <v>Blake</v>
      </c>
      <c r="C405" s="4" t="str">
        <f>IF(Registered!AR1001&gt;0,Registered!AR1001&amp;" Color Bags", "")</f>
        <v>5 Color Bags</v>
      </c>
      <c r="D405" s="4" t="str">
        <f>IF(Registered!AS1001&gt;0,(IF(Registered!AS1001=1,Registered!AS1001&amp;" T-Shirt",Registered!AS1001&amp;" T-Shirts")), "")</f>
        <v/>
      </c>
      <c r="E405" s="4" t="str">
        <f>Registered!AT1001</f>
        <v/>
      </c>
      <c r="F405" s="4" t="str">
        <f>Registered!AU1001</f>
        <v/>
      </c>
      <c r="G405" s="4" t="str">
        <f>Registered!AW1001</f>
        <v/>
      </c>
      <c r="H405" s="4" t="str">
        <f>Registered!AX1001</f>
        <v/>
      </c>
      <c r="I405" s="4" t="str">
        <f>Registered!AY1001</f>
        <v/>
      </c>
    </row>
    <row r="406" spans="1:9" x14ac:dyDescent="0.25">
      <c r="A406" s="4" t="str">
        <f>Registered!B1002</f>
        <v>Hamblin</v>
      </c>
      <c r="B406" s="4" t="str">
        <f>Registered!A1002</f>
        <v>Elizabeth</v>
      </c>
      <c r="C406" s="4" t="str">
        <f>IF(Registered!AR1002&gt;0,Registered!AR1002&amp;" Color Bags", "")</f>
        <v>5 Color Bags</v>
      </c>
      <c r="D406" s="4" t="str">
        <f>IF(Registered!AS1002&gt;0,(IF(Registered!AS1002=1,Registered!AS1002&amp;" T-Shirt",Registered!AS1002&amp;" T-Shirts")), "")</f>
        <v>1 T-Shirt</v>
      </c>
      <c r="E406" s="4" t="str">
        <f>Registered!AT1002</f>
        <v>Medium</v>
      </c>
      <c r="F406" s="4" t="str">
        <f>Registered!AU1002</f>
        <v/>
      </c>
      <c r="G406" s="4" t="str">
        <f>Registered!AW1002</f>
        <v/>
      </c>
      <c r="H406" s="4" t="str">
        <f>Registered!AX1002</f>
        <v/>
      </c>
      <c r="I406" s="4" t="str">
        <f>Registered!AY1002</f>
        <v/>
      </c>
    </row>
    <row r="407" spans="1:9" x14ac:dyDescent="0.25">
      <c r="A407" s="4" t="str">
        <f>Registered!B1003</f>
        <v>Hamill</v>
      </c>
      <c r="B407" s="4" t="str">
        <f>Registered!A1003</f>
        <v>Lily</v>
      </c>
      <c r="C407" s="4" t="str">
        <f>IF(Registered!AR1003&gt;0,Registered!AR1003&amp;" Color Bags", "")</f>
        <v>5 Color Bags</v>
      </c>
      <c r="D407" s="4" t="str">
        <f>IF(Registered!AS1003&gt;0,(IF(Registered!AS1003=1,Registered!AS1003&amp;" T-Shirt",Registered!AS1003&amp;" T-Shirts")), "")</f>
        <v/>
      </c>
      <c r="E407" s="4" t="str">
        <f>Registered!AT1003</f>
        <v/>
      </c>
      <c r="F407" s="4" t="str">
        <f>Registered!AU1003</f>
        <v/>
      </c>
      <c r="G407" s="4" t="str">
        <f>Registered!AW1003</f>
        <v/>
      </c>
      <c r="H407" s="4" t="str">
        <f>Registered!AX1003</f>
        <v/>
      </c>
      <c r="I407" s="4" t="str">
        <f>Registered!AY1003</f>
        <v/>
      </c>
    </row>
    <row r="408" spans="1:9" x14ac:dyDescent="0.25">
      <c r="A408" s="4" t="str">
        <f>Registered!B1004</f>
        <v>Hamilton</v>
      </c>
      <c r="B408" s="4" t="str">
        <f>Registered!A1004</f>
        <v>Holly</v>
      </c>
      <c r="C408" s="4" t="str">
        <f>IF(Registered!AR1004&gt;0,Registered!AR1004&amp;" Color Bags", "")</f>
        <v>20 Color Bags</v>
      </c>
      <c r="D408" s="4" t="str">
        <f>IF(Registered!AS1004&gt;0,(IF(Registered!AS1004=1,Registered!AS1004&amp;" T-Shirt",Registered!AS1004&amp;" T-Shirts")), "")</f>
        <v/>
      </c>
      <c r="E408" s="4" t="str">
        <f>Registered!AT1004</f>
        <v/>
      </c>
      <c r="F408" s="4" t="str">
        <f>Registered!AU1004</f>
        <v/>
      </c>
      <c r="G408" s="4" t="str">
        <f>Registered!AW1004</f>
        <v/>
      </c>
      <c r="H408" s="4" t="str">
        <f>Registered!AX1004</f>
        <v/>
      </c>
      <c r="I408" s="4" t="str">
        <f>Registered!AY1004</f>
        <v/>
      </c>
    </row>
    <row r="409" spans="1:9" x14ac:dyDescent="0.25">
      <c r="A409" s="4" t="str">
        <f>Registered!B1006</f>
        <v>Hamilton</v>
      </c>
      <c r="B409" s="4" t="str">
        <f>Registered!A1006</f>
        <v>Tonni</v>
      </c>
      <c r="C409" s="4" t="str">
        <f>IF(Registered!AR1006&gt;0,Registered!AR1006&amp;" Color Bags", "")</f>
        <v>40 Color Bags</v>
      </c>
      <c r="D409" s="4" t="str">
        <f>IF(Registered!AS1006&gt;0,(IF(Registered!AS1006=1,Registered!AS1006&amp;" T-Shirt",Registered!AS1006&amp;" T-Shirts")), "")</f>
        <v/>
      </c>
      <c r="E409" s="4" t="str">
        <f>Registered!AT1006</f>
        <v/>
      </c>
      <c r="F409" s="4" t="str">
        <f>Registered!AU1006</f>
        <v/>
      </c>
      <c r="G409" s="4" t="str">
        <f>Registered!AW1006</f>
        <v/>
      </c>
      <c r="H409" s="4" t="str">
        <f>Registered!AX1006</f>
        <v/>
      </c>
      <c r="I409" s="4" t="str">
        <f>Registered!AY1006</f>
        <v/>
      </c>
    </row>
    <row r="410" spans="1:9" x14ac:dyDescent="0.25">
      <c r="A410" s="4" t="str">
        <f>Registered!B1007</f>
        <v>Hammond</v>
      </c>
      <c r="B410" s="4" t="str">
        <f>Registered!A1007</f>
        <v>Jill</v>
      </c>
      <c r="C410" s="4" t="str">
        <f>IF(Registered!AR1007&gt;0,Registered!AR1007&amp;" Color Bags", "")</f>
        <v>10 Color Bags</v>
      </c>
      <c r="D410" s="4" t="str">
        <f>IF(Registered!AS1007&gt;0,(IF(Registered!AS1007=1,Registered!AS1007&amp;" T-Shirt",Registered!AS1007&amp;" T-Shirts")), "")</f>
        <v/>
      </c>
      <c r="E410" s="4" t="str">
        <f>Registered!AT1007</f>
        <v/>
      </c>
      <c r="F410" s="4" t="str">
        <f>Registered!AU1007</f>
        <v/>
      </c>
      <c r="G410" s="4" t="str">
        <f>Registered!AW1007</f>
        <v/>
      </c>
      <c r="H410" s="4" t="str">
        <f>Registered!AX1007</f>
        <v/>
      </c>
      <c r="I410" s="4" t="str">
        <f>Registered!AY1007</f>
        <v/>
      </c>
    </row>
    <row r="411" spans="1:9" x14ac:dyDescent="0.25">
      <c r="A411" s="4" t="str">
        <f>Registered!B1009</f>
        <v>Hancock</v>
      </c>
      <c r="B411" s="4" t="str">
        <f>Registered!A1009</f>
        <v>Ty</v>
      </c>
      <c r="C411" s="4" t="str">
        <f>IF(Registered!AR1009&gt;0,Registered!AR1009&amp;" Color Bags", "")</f>
        <v>15 Color Bags</v>
      </c>
      <c r="D411" s="4" t="str">
        <f>IF(Registered!AS1009&gt;0,(IF(Registered!AS1009=1,Registered!AS1009&amp;" T-Shirt",Registered!AS1009&amp;" T-Shirts")), "")</f>
        <v/>
      </c>
      <c r="E411" s="4" t="str">
        <f>Registered!AT1009</f>
        <v/>
      </c>
      <c r="F411" s="4" t="str">
        <f>Registered!AU1009</f>
        <v/>
      </c>
      <c r="G411" s="4" t="str">
        <f>Registered!AW1009</f>
        <v/>
      </c>
      <c r="H411" s="4" t="str">
        <f>Registered!AX1009</f>
        <v/>
      </c>
      <c r="I411" s="4" t="str">
        <f>Registered!AY1009</f>
        <v/>
      </c>
    </row>
    <row r="412" spans="1:9" x14ac:dyDescent="0.25">
      <c r="A412" s="4" t="str">
        <f>Registered!B1010</f>
        <v>Hanks</v>
      </c>
      <c r="B412" s="4" t="str">
        <f>Registered!A1010</f>
        <v>Jordan</v>
      </c>
      <c r="C412" s="4" t="str">
        <f>IF(Registered!AR1010&gt;0,Registered!AR1010&amp;" Color Bags", "")</f>
        <v>10 Color Bags</v>
      </c>
      <c r="D412" s="4" t="str">
        <f>IF(Registered!AS1010&gt;0,(IF(Registered!AS1010=1,Registered!AS1010&amp;" T-Shirt",Registered!AS1010&amp;" T-Shirts")), "")</f>
        <v>2 T-Shirts</v>
      </c>
      <c r="E412" s="4" t="str">
        <f>Registered!AT1010</f>
        <v>(2) adult small</v>
      </c>
      <c r="F412" s="4" t="str">
        <f>Registered!AU1010</f>
        <v/>
      </c>
      <c r="G412" s="4" t="str">
        <f>Registered!AW1010</f>
        <v/>
      </c>
      <c r="H412" s="4" t="str">
        <f>Registered!AX1010</f>
        <v/>
      </c>
      <c r="I412" s="4" t="str">
        <f>Registered!AY1010</f>
        <v/>
      </c>
    </row>
    <row r="413" spans="1:9" x14ac:dyDescent="0.25">
      <c r="A413" s="4" t="str">
        <f>Registered!B1012</f>
        <v>Hansen</v>
      </c>
      <c r="B413" s="4" t="str">
        <f>Registered!A1012</f>
        <v>Dakota</v>
      </c>
      <c r="C413" s="4" t="str">
        <f>IF(Registered!AR1012&gt;0,Registered!AR1012&amp;" Color Bags", "")</f>
        <v>20 Color Bags</v>
      </c>
      <c r="D413" s="4" t="str">
        <f>IF(Registered!AS1012&gt;0,(IF(Registered!AS1012=1,Registered!AS1012&amp;" T-Shirt",Registered!AS1012&amp;" T-Shirts")), "")</f>
        <v/>
      </c>
      <c r="E413" s="4" t="str">
        <f>Registered!AT1012</f>
        <v/>
      </c>
      <c r="F413" s="4" t="str">
        <f>Registered!AU1012</f>
        <v>1 Bandana</v>
      </c>
      <c r="G413" s="4" t="str">
        <f>Registered!AW1012</f>
        <v/>
      </c>
      <c r="H413" s="4" t="str">
        <f>Registered!AX1012</f>
        <v/>
      </c>
      <c r="I413" s="4" t="str">
        <f>Registered!AY1012</f>
        <v/>
      </c>
    </row>
    <row r="414" spans="1:9" x14ac:dyDescent="0.25">
      <c r="A414" s="4" t="str">
        <f>Registered!B1013</f>
        <v>Hansen</v>
      </c>
      <c r="B414" s="4" t="str">
        <f>Registered!A1013</f>
        <v>Emili</v>
      </c>
      <c r="C414" s="4" t="str">
        <f>IF(Registered!AR1013&gt;0,Registered!AR1013&amp;" Color Bags", "")</f>
        <v>5 Color Bags</v>
      </c>
      <c r="D414" s="4" t="str">
        <f>IF(Registered!AS1013&gt;0,(IF(Registered!AS1013=1,Registered!AS1013&amp;" T-Shirt",Registered!AS1013&amp;" T-Shirts")), "")</f>
        <v>1 T-Shirt</v>
      </c>
      <c r="E414" s="4" t="str">
        <f>Registered!AT1013</f>
        <v>M</v>
      </c>
      <c r="F414" s="4" t="str">
        <f>Registered!AU1013</f>
        <v/>
      </c>
      <c r="G414" s="4" t="str">
        <f>Registered!AW1013</f>
        <v>1 Meal</v>
      </c>
      <c r="H414" s="4" t="str">
        <f>Registered!AX1013</f>
        <v/>
      </c>
      <c r="I414" s="4" t="str">
        <f>Registered!AY1013</f>
        <v/>
      </c>
    </row>
    <row r="415" spans="1:9" x14ac:dyDescent="0.25">
      <c r="A415" s="4" t="str">
        <f>Registered!B1018</f>
        <v>Hansen</v>
      </c>
      <c r="B415" s="4" t="str">
        <f>Registered!A1018</f>
        <v>McKay</v>
      </c>
      <c r="C415" s="4" t="str">
        <f>IF(Registered!AR1018&gt;0,Registered!AR1018&amp;" Color Bags", "")</f>
        <v>5 Color Bags</v>
      </c>
      <c r="D415" s="4" t="str">
        <f>IF(Registered!AS1018&gt;0,(IF(Registered!AS1018=1,Registered!AS1018&amp;" T-Shirt",Registered!AS1018&amp;" T-Shirts")), "")</f>
        <v/>
      </c>
      <c r="E415" s="4" t="str">
        <f>Registered!AT1018</f>
        <v/>
      </c>
      <c r="F415" s="4" t="str">
        <f>Registered!AU1018</f>
        <v/>
      </c>
      <c r="G415" s="4" t="str">
        <f>Registered!AW1018</f>
        <v/>
      </c>
      <c r="H415" s="4" t="str">
        <f>Registered!AX1018</f>
        <v/>
      </c>
      <c r="I415" s="4" t="str">
        <f>Registered!AY1018</f>
        <v/>
      </c>
    </row>
    <row r="416" spans="1:9" x14ac:dyDescent="0.25">
      <c r="A416" s="4" t="str">
        <f>Registered!B1021</f>
        <v>Hanson</v>
      </c>
      <c r="B416" s="4" t="str">
        <f>Registered!A1021</f>
        <v>Rose</v>
      </c>
      <c r="C416" s="4" t="str">
        <f>IF(Registered!AR1021&gt;0,Registered!AR1021&amp;" Color Bags", "")</f>
        <v>5 Color Bags</v>
      </c>
      <c r="D416" s="4" t="str">
        <f>IF(Registered!AS1021&gt;0,(IF(Registered!AS1021=1,Registered!AS1021&amp;" T-Shirt",Registered!AS1021&amp;" T-Shirts")), "")</f>
        <v/>
      </c>
      <c r="E416" s="4" t="str">
        <f>Registered!AT1021</f>
        <v/>
      </c>
      <c r="F416" s="4" t="str">
        <f>Registered!AU1021</f>
        <v/>
      </c>
      <c r="G416" s="4" t="str">
        <f>Registered!AW1021</f>
        <v/>
      </c>
      <c r="H416" s="4" t="str">
        <f>Registered!AX1021</f>
        <v/>
      </c>
      <c r="I416" s="4" t="str">
        <f>Registered!AY1021</f>
        <v/>
      </c>
    </row>
    <row r="417" spans="1:9" x14ac:dyDescent="0.25">
      <c r="A417" s="4" t="str">
        <f>Registered!B1024</f>
        <v>Hardman</v>
      </c>
      <c r="B417" s="4" t="str">
        <f>Registered!A1024</f>
        <v>Geric</v>
      </c>
      <c r="C417" s="4" t="str">
        <f>IF(Registered!AR1024&gt;0,Registered!AR1024&amp;" Color Bags", "")</f>
        <v>10 Color Bags</v>
      </c>
      <c r="D417" s="4" t="str">
        <f>IF(Registered!AS1024&gt;0,(IF(Registered!AS1024=1,Registered!AS1024&amp;" T-Shirt",Registered!AS1024&amp;" T-Shirts")), "")</f>
        <v/>
      </c>
      <c r="E417" s="4" t="str">
        <f>Registered!AT1024</f>
        <v/>
      </c>
      <c r="F417" s="4" t="str">
        <f>Registered!AU1024</f>
        <v/>
      </c>
      <c r="G417" s="4" t="str">
        <f>Registered!AW1024</f>
        <v/>
      </c>
      <c r="H417" s="4" t="str">
        <f>Registered!AX1024</f>
        <v/>
      </c>
      <c r="I417" s="4" t="str">
        <f>Registered!AY1024</f>
        <v/>
      </c>
    </row>
    <row r="418" spans="1:9" x14ac:dyDescent="0.25">
      <c r="A418" s="4" t="str">
        <f>Registered!B1028</f>
        <v>Hargraves</v>
      </c>
      <c r="B418" s="4" t="str">
        <f>Registered!A1028</f>
        <v>Rhiannon</v>
      </c>
      <c r="C418" s="4" t="str">
        <f>IF(Registered!AR1028&gt;0,Registered!AR1028&amp;" Color Bags", "")</f>
        <v>5 Color Bags</v>
      </c>
      <c r="D418" s="4" t="str">
        <f>IF(Registered!AS1028&gt;0,(IF(Registered!AS1028=1,Registered!AS1028&amp;" T-Shirt",Registered!AS1028&amp;" T-Shirts")), "")</f>
        <v/>
      </c>
      <c r="E418" s="4" t="str">
        <f>Registered!AT1028</f>
        <v/>
      </c>
      <c r="F418" s="4" t="str">
        <f>Registered!AU1028</f>
        <v/>
      </c>
      <c r="G418" s="4" t="str">
        <f>Registered!AW1028</f>
        <v/>
      </c>
      <c r="H418" s="4" t="str">
        <f>Registered!AX1028</f>
        <v/>
      </c>
      <c r="I418" s="4" t="str">
        <f>Registered!AY1028</f>
        <v/>
      </c>
    </row>
    <row r="419" spans="1:9" x14ac:dyDescent="0.25">
      <c r="A419" s="4" t="str">
        <f>Registered!B1030</f>
        <v>Harmer</v>
      </c>
      <c r="B419" s="4" t="str">
        <f>Registered!A1030</f>
        <v>Lisa</v>
      </c>
      <c r="C419" s="4" t="str">
        <f>IF(Registered!AR1030&gt;0,Registered!AR1030&amp;" Color Bags", "")</f>
        <v>20 Color Bags</v>
      </c>
      <c r="D419" s="4" t="str">
        <f>IF(Registered!AS1030&gt;0,(IF(Registered!AS1030=1,Registered!AS1030&amp;" T-Shirt",Registered!AS1030&amp;" T-Shirts")), "")</f>
        <v/>
      </c>
      <c r="E419" s="4" t="str">
        <f>Registered!AT1030</f>
        <v/>
      </c>
      <c r="F419" s="4" t="str">
        <f>Registered!AU1030</f>
        <v/>
      </c>
      <c r="G419" s="4" t="str">
        <f>Registered!AW1030</f>
        <v/>
      </c>
      <c r="H419" s="4" t="str">
        <f>Registered!AX1030</f>
        <v/>
      </c>
      <c r="I419" s="4" t="str">
        <f>Registered!AY1030</f>
        <v/>
      </c>
    </row>
    <row r="420" spans="1:9" x14ac:dyDescent="0.25">
      <c r="A420" s="4" t="str">
        <f>Registered!B1036</f>
        <v>Harper</v>
      </c>
      <c r="B420" s="4" t="str">
        <f>Registered!A1036</f>
        <v>Karmel</v>
      </c>
      <c r="C420" s="4" t="str">
        <f>IF(Registered!AR1036&gt;0,Registered!AR1036&amp;" Color Bags", "")</f>
        <v>40 Color Bags</v>
      </c>
      <c r="D420" s="4" t="str">
        <f>IF(Registered!AS1036&gt;0,(IF(Registered!AS1036=1,Registered!AS1036&amp;" T-Shirt",Registered!AS1036&amp;" T-Shirts")), "")</f>
        <v/>
      </c>
      <c r="E420" s="4" t="str">
        <f>Registered!AT1036</f>
        <v/>
      </c>
      <c r="F420" s="4" t="str">
        <f>Registered!AU1036</f>
        <v/>
      </c>
      <c r="G420" s="4" t="str">
        <f>Registered!AW1036</f>
        <v/>
      </c>
      <c r="H420" s="4" t="str">
        <f>Registered!AX1036</f>
        <v/>
      </c>
      <c r="I420" s="4" t="str">
        <f>Registered!AY1036</f>
        <v>1 DustMask</v>
      </c>
    </row>
    <row r="421" spans="1:9" x14ac:dyDescent="0.25">
      <c r="A421" s="4" t="str">
        <f>Registered!B1034</f>
        <v>Harper</v>
      </c>
      <c r="B421" s="4" t="str">
        <f>Registered!A1034</f>
        <v>Janessa</v>
      </c>
      <c r="C421" s="4" t="str">
        <f>IF(Registered!AR1034&gt;0,Registered!AR1034&amp;" Color Bags", "")</f>
        <v>5 Color Bags</v>
      </c>
      <c r="D421" s="4" t="str">
        <f>IF(Registered!AS1034&gt;0,(IF(Registered!AS1034=1,Registered!AS1034&amp;" T-Shirt",Registered!AS1034&amp;" T-Shirts")), "")</f>
        <v/>
      </c>
      <c r="E421" s="4" t="str">
        <f>Registered!AT1034</f>
        <v/>
      </c>
      <c r="F421" s="4" t="str">
        <f>Registered!AU1034</f>
        <v/>
      </c>
      <c r="G421" s="4" t="str">
        <f>Registered!AW1034</f>
        <v/>
      </c>
      <c r="H421" s="4" t="str">
        <f>Registered!AX1034</f>
        <v/>
      </c>
      <c r="I421" s="4" t="str">
        <f>Registered!AY1034</f>
        <v/>
      </c>
    </row>
    <row r="422" spans="1:9" x14ac:dyDescent="0.25">
      <c r="A422" s="4" t="str">
        <f>Registered!B1040</f>
        <v>Harrington</v>
      </c>
      <c r="B422" s="4" t="str">
        <f>Registered!A1040</f>
        <v>Kim</v>
      </c>
      <c r="C422" s="4" t="str">
        <f>IF(Registered!AR1040&gt;0,Registered!AR1040&amp;" Color Bags", "")</f>
        <v>40 Color Bags</v>
      </c>
      <c r="D422" s="4" t="str">
        <f>IF(Registered!AS1040&gt;0,(IF(Registered!AS1040=1,Registered!AS1040&amp;" T-Shirt",Registered!AS1040&amp;" T-Shirts")), "")</f>
        <v/>
      </c>
      <c r="E422" s="4" t="str">
        <f>Registered!AT1040</f>
        <v/>
      </c>
      <c r="F422" s="4" t="str">
        <f>Registered!AU1040</f>
        <v/>
      </c>
      <c r="G422" s="4" t="str">
        <f>Registered!AW1040</f>
        <v/>
      </c>
      <c r="H422" s="4" t="str">
        <f>Registered!AX1040</f>
        <v/>
      </c>
      <c r="I422" s="4" t="str">
        <f>Registered!AY1040</f>
        <v/>
      </c>
    </row>
    <row r="423" spans="1:9" x14ac:dyDescent="0.25">
      <c r="A423" s="4" t="str">
        <f>Registered!B1042</f>
        <v>Harris</v>
      </c>
      <c r="B423" s="4" t="str">
        <f>Registered!A1042</f>
        <v>Ariel</v>
      </c>
      <c r="C423" s="4" t="str">
        <f>IF(Registered!AR1042&gt;0,Registered!AR1042&amp;" Color Bags", "")</f>
        <v/>
      </c>
      <c r="D423" s="4" t="str">
        <f>IF(Registered!AS1042&gt;0,(IF(Registered!AS1042=1,Registered!AS1042&amp;" T-Shirt",Registered!AS1042&amp;" T-Shirts")), "")</f>
        <v/>
      </c>
      <c r="E423" s="4" t="str">
        <f>Registered!AT1042</f>
        <v/>
      </c>
      <c r="F423" s="4" t="str">
        <f>Registered!AU1042</f>
        <v/>
      </c>
      <c r="G423" s="4" t="str">
        <f>Registered!AW1042</f>
        <v>1 Meal</v>
      </c>
      <c r="H423" s="4" t="str">
        <f>Registered!AX1042</f>
        <v/>
      </c>
      <c r="I423" s="4" t="str">
        <f>Registered!AY1042</f>
        <v/>
      </c>
    </row>
    <row r="424" spans="1:9" x14ac:dyDescent="0.25">
      <c r="A424" s="4" t="str">
        <f>Registered!B1043</f>
        <v>Harris</v>
      </c>
      <c r="B424" s="4" t="str">
        <f>Registered!A1043</f>
        <v>Makenzie</v>
      </c>
      <c r="C424" s="4" t="str">
        <f>IF(Registered!AR1043&gt;0,Registered!AR1043&amp;" Color Bags", "")</f>
        <v>5 Color Bags</v>
      </c>
      <c r="D424" s="4" t="str">
        <f>IF(Registered!AS1043&gt;0,(IF(Registered!AS1043=1,Registered!AS1043&amp;" T-Shirt",Registered!AS1043&amp;" T-Shirts")), "")</f>
        <v/>
      </c>
      <c r="E424" s="4" t="str">
        <f>Registered!AT1043</f>
        <v/>
      </c>
      <c r="F424" s="4" t="str">
        <f>Registered!AU1043</f>
        <v/>
      </c>
      <c r="G424" s="4" t="str">
        <f>Registered!AW1043</f>
        <v/>
      </c>
      <c r="H424" s="4" t="str">
        <f>Registered!AX1043</f>
        <v/>
      </c>
      <c r="I424" s="4" t="str">
        <f>Registered!AY1043</f>
        <v/>
      </c>
    </row>
    <row r="425" spans="1:9" x14ac:dyDescent="0.25">
      <c r="A425" s="4" t="str">
        <f>Registered!B1044</f>
        <v>Harris</v>
      </c>
      <c r="B425" s="4" t="str">
        <f>Registered!A1044</f>
        <v>Sindy</v>
      </c>
      <c r="C425" s="4" t="str">
        <f>IF(Registered!AR1044&gt;0,Registered!AR1044&amp;" Color Bags", "")</f>
        <v>5 Color Bags</v>
      </c>
      <c r="D425" s="4" t="str">
        <f>IF(Registered!AS1044&gt;0,(IF(Registered!AS1044=1,Registered!AS1044&amp;" T-Shirt",Registered!AS1044&amp;" T-Shirts")), "")</f>
        <v/>
      </c>
      <c r="E425" s="4" t="str">
        <f>Registered!AT1044</f>
        <v/>
      </c>
      <c r="F425" s="4" t="str">
        <f>Registered!AU1044</f>
        <v>1 Bandana</v>
      </c>
      <c r="G425" s="4" t="str">
        <f>Registered!AW1044</f>
        <v/>
      </c>
      <c r="H425" s="4" t="str">
        <f>Registered!AX1044</f>
        <v/>
      </c>
      <c r="I425" s="4" t="str">
        <f>Registered!AY1044</f>
        <v/>
      </c>
    </row>
    <row r="426" spans="1:9" x14ac:dyDescent="0.25">
      <c r="A426" s="4" t="str">
        <f>Registered!B1045</f>
        <v>Harrison</v>
      </c>
      <c r="B426" s="4" t="str">
        <f>Registered!A1045</f>
        <v>Cory</v>
      </c>
      <c r="C426" s="4" t="str">
        <f>IF(Registered!AR1045&gt;0,Registered!AR1045&amp;" Color Bags", "")</f>
        <v>5 Color Bags</v>
      </c>
      <c r="D426" s="4" t="str">
        <f>IF(Registered!AS1045&gt;0,(IF(Registered!AS1045=1,Registered!AS1045&amp;" T-Shirt",Registered!AS1045&amp;" T-Shirts")), "")</f>
        <v/>
      </c>
      <c r="E426" s="4" t="str">
        <f>Registered!AT1045</f>
        <v/>
      </c>
      <c r="F426" s="4" t="str">
        <f>Registered!AU1045</f>
        <v/>
      </c>
      <c r="G426" s="4" t="str">
        <f>Registered!AW1045</f>
        <v/>
      </c>
      <c r="H426" s="4" t="str">
        <f>Registered!AX1045</f>
        <v/>
      </c>
      <c r="I426" s="4" t="str">
        <f>Registered!AY1045</f>
        <v/>
      </c>
    </row>
    <row r="427" spans="1:9" x14ac:dyDescent="0.25">
      <c r="A427" s="4" t="str">
        <f>Registered!B1048</f>
        <v>Harrison</v>
      </c>
      <c r="B427" s="4" t="str">
        <f>Registered!A1048</f>
        <v>Trevor</v>
      </c>
      <c r="C427" s="4" t="str">
        <f>IF(Registered!AR1048&gt;0,Registered!AR1048&amp;" Color Bags", "")</f>
        <v>5 Color Bags</v>
      </c>
      <c r="D427" s="4" t="str">
        <f>IF(Registered!AS1048&gt;0,(IF(Registered!AS1048=1,Registered!AS1048&amp;" T-Shirt",Registered!AS1048&amp;" T-Shirts")), "")</f>
        <v/>
      </c>
      <c r="E427" s="4" t="str">
        <f>Registered!AT1048</f>
        <v/>
      </c>
      <c r="F427" s="4" t="str">
        <f>Registered!AU1048</f>
        <v/>
      </c>
      <c r="G427" s="4" t="str">
        <f>Registered!AW1048</f>
        <v/>
      </c>
      <c r="H427" s="4" t="str">
        <f>Registered!AX1048</f>
        <v/>
      </c>
      <c r="I427" s="4" t="str">
        <f>Registered!AY1048</f>
        <v/>
      </c>
    </row>
    <row r="428" spans="1:9" x14ac:dyDescent="0.25">
      <c r="A428" s="4" t="str">
        <f>Registered!B1050</f>
        <v>Hart</v>
      </c>
      <c r="B428" s="4" t="str">
        <f>Registered!A1050</f>
        <v>Kelly</v>
      </c>
      <c r="C428" s="4" t="str">
        <f>IF(Registered!AR1050&gt;0,Registered!AR1050&amp;" Color Bags", "")</f>
        <v>5 Color Bags</v>
      </c>
      <c r="D428" s="4" t="str">
        <f>IF(Registered!AS1050&gt;0,(IF(Registered!AS1050=1,Registered!AS1050&amp;" T-Shirt",Registered!AS1050&amp;" T-Shirts")), "")</f>
        <v/>
      </c>
      <c r="E428" s="4" t="str">
        <f>Registered!AT1050</f>
        <v/>
      </c>
      <c r="F428" s="4" t="str">
        <f>Registered!AU1050</f>
        <v>1 Bandana</v>
      </c>
      <c r="G428" s="4" t="str">
        <f>Registered!AW1050</f>
        <v/>
      </c>
      <c r="H428" s="4" t="str">
        <f>Registered!AX1050</f>
        <v/>
      </c>
      <c r="I428" s="4" t="str">
        <f>Registered!AY1050</f>
        <v/>
      </c>
    </row>
    <row r="429" spans="1:9" x14ac:dyDescent="0.25">
      <c r="A429" s="4" t="str">
        <f>Registered!B1051</f>
        <v>Hart</v>
      </c>
      <c r="B429" s="4" t="str">
        <f>Registered!A1051</f>
        <v>Marisa</v>
      </c>
      <c r="C429" s="4" t="str">
        <f>IF(Registered!AR1051&gt;0,Registered!AR1051&amp;" Color Bags", "")</f>
        <v>5 Color Bags</v>
      </c>
      <c r="D429" s="4" t="str">
        <f>IF(Registered!AS1051&gt;0,(IF(Registered!AS1051=1,Registered!AS1051&amp;" T-Shirt",Registered!AS1051&amp;" T-Shirts")), "")</f>
        <v/>
      </c>
      <c r="E429" s="4" t="str">
        <f>Registered!AT1051</f>
        <v/>
      </c>
      <c r="F429" s="4" t="str">
        <f>Registered!AU1051</f>
        <v/>
      </c>
      <c r="G429" s="4" t="str">
        <f>Registered!AW1051</f>
        <v/>
      </c>
      <c r="H429" s="4" t="str">
        <f>Registered!AX1051</f>
        <v/>
      </c>
      <c r="I429" s="4" t="str">
        <f>Registered!AY1051</f>
        <v/>
      </c>
    </row>
    <row r="430" spans="1:9" x14ac:dyDescent="0.25">
      <c r="A430" s="4" t="str">
        <f>Registered!B1057</f>
        <v>Harward</v>
      </c>
      <c r="B430" s="4" t="str">
        <f>Registered!A1057</f>
        <v>Melinda</v>
      </c>
      <c r="C430" s="4" t="str">
        <f>IF(Registered!AR1057&gt;0,Registered!AR1057&amp;" Color Bags", "")</f>
        <v>5 Color Bags</v>
      </c>
      <c r="D430" s="4" t="str">
        <f>IF(Registered!AS1057&gt;0,(IF(Registered!AS1057=1,Registered!AS1057&amp;" T-Shirt",Registered!AS1057&amp;" T-Shirts")), "")</f>
        <v/>
      </c>
      <c r="E430" s="4" t="str">
        <f>Registered!AT1057</f>
        <v/>
      </c>
      <c r="F430" s="4" t="str">
        <f>Registered!AU1057</f>
        <v/>
      </c>
      <c r="G430" s="4" t="str">
        <f>Registered!AW1057</f>
        <v/>
      </c>
      <c r="H430" s="4" t="str">
        <f>Registered!AX1057</f>
        <v/>
      </c>
      <c r="I430" s="4" t="str">
        <f>Registered!AY1057</f>
        <v/>
      </c>
    </row>
    <row r="431" spans="1:9" x14ac:dyDescent="0.25">
      <c r="A431" s="4" t="str">
        <f>Registered!B1058</f>
        <v>Harward</v>
      </c>
      <c r="B431" s="4" t="str">
        <f>Registered!A1058</f>
        <v>Scott</v>
      </c>
      <c r="C431" s="4" t="str">
        <f>IF(Registered!AR1058&gt;0,Registered!AR1058&amp;" Color Bags", "")</f>
        <v>5 Color Bags</v>
      </c>
      <c r="D431" s="4" t="str">
        <f>IF(Registered!AS1058&gt;0,(IF(Registered!AS1058=1,Registered!AS1058&amp;" T-Shirt",Registered!AS1058&amp;" T-Shirts")), "")</f>
        <v/>
      </c>
      <c r="E431" s="4" t="str">
        <f>Registered!AT1058</f>
        <v/>
      </c>
      <c r="F431" s="4" t="str">
        <f>Registered!AU1058</f>
        <v/>
      </c>
      <c r="G431" s="4" t="str">
        <f>Registered!AW1058</f>
        <v/>
      </c>
      <c r="H431" s="4" t="str">
        <f>Registered!AX1058</f>
        <v/>
      </c>
      <c r="I431" s="4" t="str">
        <f>Registered!AY1058</f>
        <v/>
      </c>
    </row>
    <row r="432" spans="1:9" x14ac:dyDescent="0.25">
      <c r="A432" s="4" t="str">
        <f>Registered!B1059</f>
        <v>Hasleton</v>
      </c>
      <c r="B432" s="4" t="str">
        <f>Registered!A1059</f>
        <v>Janae</v>
      </c>
      <c r="C432" s="4" t="str">
        <f>IF(Registered!AR1059&gt;0,Registered!AR1059&amp;" Color Bags", "")</f>
        <v>5 Color Bags</v>
      </c>
      <c r="D432" s="4" t="str">
        <f>IF(Registered!AS1059&gt;0,(IF(Registered!AS1059=1,Registered!AS1059&amp;" T-Shirt",Registered!AS1059&amp;" T-Shirts")), "")</f>
        <v/>
      </c>
      <c r="E432" s="4" t="str">
        <f>Registered!AT1059</f>
        <v/>
      </c>
      <c r="F432" s="4" t="str">
        <f>Registered!AU1059</f>
        <v/>
      </c>
      <c r="G432" s="4" t="str">
        <f>Registered!AW1059</f>
        <v/>
      </c>
      <c r="H432" s="4" t="str">
        <f>Registered!AX1059</f>
        <v/>
      </c>
      <c r="I432" s="4" t="str">
        <f>Registered!AY1059</f>
        <v/>
      </c>
    </row>
    <row r="433" spans="1:9" x14ac:dyDescent="0.25">
      <c r="A433" s="4" t="str">
        <f>Registered!B1060</f>
        <v>Hastings</v>
      </c>
      <c r="B433" s="4" t="str">
        <f>Registered!A1060</f>
        <v>Nicole</v>
      </c>
      <c r="C433" s="4" t="str">
        <f>IF(Registered!AR1060&gt;0,Registered!AR1060&amp;" Color Bags", "")</f>
        <v>5 Color Bags</v>
      </c>
      <c r="D433" s="4" t="str">
        <f>IF(Registered!AS1060&gt;0,(IF(Registered!AS1060=1,Registered!AS1060&amp;" T-Shirt",Registered!AS1060&amp;" T-Shirts")), "")</f>
        <v/>
      </c>
      <c r="E433" s="4" t="str">
        <f>Registered!AT1060</f>
        <v/>
      </c>
      <c r="F433" s="4" t="str">
        <f>Registered!AU1060</f>
        <v/>
      </c>
      <c r="G433" s="4" t="str">
        <f>Registered!AW1060</f>
        <v/>
      </c>
      <c r="H433" s="4" t="str">
        <f>Registered!AX1060</f>
        <v/>
      </c>
      <c r="I433" s="4" t="str">
        <f>Registered!AY1060</f>
        <v/>
      </c>
    </row>
    <row r="434" spans="1:9" x14ac:dyDescent="0.25">
      <c r="A434" s="4" t="str">
        <f>Registered!B1061</f>
        <v>Hatch</v>
      </c>
      <c r="B434" s="4" t="str">
        <f>Registered!A1061</f>
        <v>Crystal</v>
      </c>
      <c r="C434" s="4" t="str">
        <f>IF(Registered!AR1061&gt;0,Registered!AR1061&amp;" Color Bags", "")</f>
        <v>10 Color Bags</v>
      </c>
      <c r="D434" s="4" t="str">
        <f>IF(Registered!AS1061&gt;0,(IF(Registered!AS1061=1,Registered!AS1061&amp;" T-Shirt",Registered!AS1061&amp;" T-Shirts")), "")</f>
        <v/>
      </c>
      <c r="E434" s="4" t="str">
        <f>Registered!AT1061</f>
        <v/>
      </c>
      <c r="F434" s="4" t="str">
        <f>Registered!AU1061</f>
        <v>1 Bandana</v>
      </c>
      <c r="G434" s="4" t="str">
        <f>Registered!AW1061</f>
        <v/>
      </c>
      <c r="H434" s="4" t="str">
        <f>Registered!AX1061</f>
        <v/>
      </c>
      <c r="I434" s="4" t="str">
        <f>Registered!AY1061</f>
        <v/>
      </c>
    </row>
    <row r="435" spans="1:9" x14ac:dyDescent="0.25">
      <c r="A435" s="4" t="str">
        <f>Registered!B1062</f>
        <v>Hatcher</v>
      </c>
      <c r="B435" s="4" t="str">
        <f>Registered!A1062</f>
        <v>Abigail</v>
      </c>
      <c r="C435" s="4" t="str">
        <f>IF(Registered!AR1062&gt;0,Registered!AR1062&amp;" Color Bags", "")</f>
        <v>20 Color Bags</v>
      </c>
      <c r="D435" s="4" t="str">
        <f>IF(Registered!AS1062&gt;0,(IF(Registered!AS1062=1,Registered!AS1062&amp;" T-Shirt",Registered!AS1062&amp;" T-Shirts")), "")</f>
        <v/>
      </c>
      <c r="E435" s="4" t="str">
        <f>Registered!AT1062</f>
        <v/>
      </c>
      <c r="F435" s="4" t="str">
        <f>Registered!AU1062</f>
        <v/>
      </c>
      <c r="G435" s="4" t="str">
        <f>Registered!AW1062</f>
        <v/>
      </c>
      <c r="H435" s="4" t="str">
        <f>Registered!AX1062</f>
        <v/>
      </c>
      <c r="I435" s="4" t="str">
        <f>Registered!AY1062</f>
        <v/>
      </c>
    </row>
    <row r="436" spans="1:9" x14ac:dyDescent="0.25">
      <c r="A436" s="4" t="str">
        <f>Registered!B1063</f>
        <v>Hatcher</v>
      </c>
      <c r="B436" s="4" t="str">
        <f>Registered!A1063</f>
        <v>MaryAnn</v>
      </c>
      <c r="C436" s="4" t="str">
        <f>IF(Registered!AR1063&gt;0,Registered!AR1063&amp;" Color Bags", "")</f>
        <v>5 Color Bags</v>
      </c>
      <c r="D436" s="4" t="str">
        <f>IF(Registered!AS1063&gt;0,(IF(Registered!AS1063=1,Registered!AS1063&amp;" T-Shirt",Registered!AS1063&amp;" T-Shirts")), "")</f>
        <v/>
      </c>
      <c r="E436" s="4" t="str">
        <f>Registered!AT1063</f>
        <v/>
      </c>
      <c r="F436" s="4" t="str">
        <f>Registered!AU1063</f>
        <v/>
      </c>
      <c r="G436" s="4" t="str">
        <f>Registered!AW1063</f>
        <v/>
      </c>
      <c r="H436" s="4" t="str">
        <f>Registered!AX1063</f>
        <v/>
      </c>
      <c r="I436" s="4" t="str">
        <f>Registered!AY1063</f>
        <v/>
      </c>
    </row>
    <row r="437" spans="1:9" x14ac:dyDescent="0.25">
      <c r="A437" s="4" t="str">
        <f>Registered!B1065</f>
        <v>Hawkes</v>
      </c>
      <c r="B437" s="4" t="str">
        <f>Registered!A1065</f>
        <v>Dan</v>
      </c>
      <c r="C437" s="4" t="str">
        <f>IF(Registered!AR1065&gt;0,Registered!AR1065&amp;" Color Bags", "")</f>
        <v>5 Color Bags</v>
      </c>
      <c r="D437" s="4" t="str">
        <f>IF(Registered!AS1065&gt;0,(IF(Registered!AS1065=1,Registered!AS1065&amp;" T-Shirt",Registered!AS1065&amp;" T-Shirts")), "")</f>
        <v/>
      </c>
      <c r="E437" s="4" t="str">
        <f>Registered!AT1065</f>
        <v/>
      </c>
      <c r="F437" s="4" t="str">
        <f>Registered!AU1065</f>
        <v/>
      </c>
      <c r="G437" s="4" t="str">
        <f>Registered!AW1065</f>
        <v/>
      </c>
      <c r="H437" s="4" t="str">
        <f>Registered!AX1065</f>
        <v/>
      </c>
      <c r="I437" s="4" t="str">
        <f>Registered!AY1065</f>
        <v/>
      </c>
    </row>
    <row r="438" spans="1:9" x14ac:dyDescent="0.25">
      <c r="A438" s="4" t="str">
        <f>Registered!B1070</f>
        <v>Hawkins</v>
      </c>
      <c r="B438" s="4" t="str">
        <f>Registered!A1070</f>
        <v>Stefan</v>
      </c>
      <c r="C438" s="4" t="str">
        <f>IF(Registered!AR1070&gt;0,Registered!AR1070&amp;" Color Bags", "")</f>
        <v>10 Color Bags</v>
      </c>
      <c r="D438" s="4" t="str">
        <f>IF(Registered!AS1070&gt;0,(IF(Registered!AS1070=1,Registered!AS1070&amp;" T-Shirt",Registered!AS1070&amp;" T-Shirts")), "")</f>
        <v/>
      </c>
      <c r="E438" s="4" t="str">
        <f>Registered!AT1070</f>
        <v/>
      </c>
      <c r="F438" s="4" t="str">
        <f>Registered!AU1070</f>
        <v/>
      </c>
      <c r="G438" s="4" t="str">
        <f>Registered!AW1070</f>
        <v/>
      </c>
      <c r="H438" s="4" t="str">
        <f>Registered!AX1070</f>
        <v/>
      </c>
      <c r="I438" s="4" t="str">
        <f>Registered!AY1070</f>
        <v/>
      </c>
    </row>
    <row r="439" spans="1:9" x14ac:dyDescent="0.25">
      <c r="A439" s="4" t="str">
        <f>Registered!B1068</f>
        <v>Hawkins</v>
      </c>
      <c r="B439" s="4" t="str">
        <f>Registered!A1068</f>
        <v>NataLee</v>
      </c>
      <c r="C439" s="4" t="str">
        <f>IF(Registered!AR1068&gt;0,Registered!AR1068&amp;" Color Bags", "")</f>
        <v>5 Color Bags</v>
      </c>
      <c r="D439" s="4" t="str">
        <f>IF(Registered!AS1068&gt;0,(IF(Registered!AS1068=1,Registered!AS1068&amp;" T-Shirt",Registered!AS1068&amp;" T-Shirts")), "")</f>
        <v/>
      </c>
      <c r="E439" s="4" t="str">
        <f>Registered!AT1068</f>
        <v/>
      </c>
      <c r="F439" s="4" t="str">
        <f>Registered!AU1068</f>
        <v/>
      </c>
      <c r="G439" s="4" t="str">
        <f>Registered!AW1068</f>
        <v/>
      </c>
      <c r="H439" s="4" t="str">
        <f>Registered!AX1068</f>
        <v/>
      </c>
      <c r="I439" s="4" t="str">
        <f>Registered!AY1068</f>
        <v/>
      </c>
    </row>
    <row r="440" spans="1:9" x14ac:dyDescent="0.25">
      <c r="A440" s="4" t="str">
        <f>Registered!B1069</f>
        <v>Hawkins</v>
      </c>
      <c r="B440" s="4" t="str">
        <f>Registered!A1069</f>
        <v>Sienna</v>
      </c>
      <c r="C440" s="4" t="str">
        <f>IF(Registered!AR1069&gt;0,Registered!AR1069&amp;" Color Bags", "")</f>
        <v>5 Color Bags</v>
      </c>
      <c r="D440" s="4" t="str">
        <f>IF(Registered!AS1069&gt;0,(IF(Registered!AS1069=1,Registered!AS1069&amp;" T-Shirt",Registered!AS1069&amp;" T-Shirts")), "")</f>
        <v/>
      </c>
      <c r="E440" s="4" t="str">
        <f>Registered!AT1069</f>
        <v/>
      </c>
      <c r="F440" s="4" t="str">
        <f>Registered!AU1069</f>
        <v/>
      </c>
      <c r="G440" s="4" t="str">
        <f>Registered!AW1069</f>
        <v/>
      </c>
      <c r="H440" s="4" t="str">
        <f>Registered!AX1069</f>
        <v/>
      </c>
      <c r="I440" s="4" t="str">
        <f>Registered!AY1069</f>
        <v/>
      </c>
    </row>
    <row r="441" spans="1:9" x14ac:dyDescent="0.25">
      <c r="A441" s="4" t="str">
        <f>Registered!B1071</f>
        <v>Haws</v>
      </c>
      <c r="B441" s="4" t="str">
        <f>Registered!A1071</f>
        <v>Jannika</v>
      </c>
      <c r="C441" s="4" t="str">
        <f>IF(Registered!AR1071&gt;0,Registered!AR1071&amp;" Color Bags", "")</f>
        <v>20 Color Bags</v>
      </c>
      <c r="D441" s="4" t="str">
        <f>IF(Registered!AS1071&gt;0,(IF(Registered!AS1071=1,Registered!AS1071&amp;" T-Shirt",Registered!AS1071&amp;" T-Shirts")), "")</f>
        <v/>
      </c>
      <c r="E441" s="4" t="str">
        <f>Registered!AT1071</f>
        <v/>
      </c>
      <c r="F441" s="4" t="str">
        <f>Registered!AU1071</f>
        <v/>
      </c>
      <c r="G441" s="4" t="str">
        <f>Registered!AW1071</f>
        <v/>
      </c>
      <c r="H441" s="4" t="str">
        <f>Registered!AX1071</f>
        <v/>
      </c>
      <c r="I441" s="4" t="str">
        <f>Registered!AY1071</f>
        <v/>
      </c>
    </row>
    <row r="442" spans="1:9" x14ac:dyDescent="0.25">
      <c r="A442" s="4" t="str">
        <f>Registered!B1075</f>
        <v>Haynes</v>
      </c>
      <c r="B442" s="4" t="str">
        <f>Registered!A1075</f>
        <v>Maria</v>
      </c>
      <c r="C442" s="4" t="str">
        <f>IF(Registered!AR1075&gt;0,Registered!AR1075&amp;" Color Bags", "")</f>
        <v>10 Color Bags</v>
      </c>
      <c r="D442" s="4" t="str">
        <f>IF(Registered!AS1075&gt;0,(IF(Registered!AS1075=1,Registered!AS1075&amp;" T-Shirt",Registered!AS1075&amp;" T-Shirts")), "")</f>
        <v/>
      </c>
      <c r="E442" s="4" t="str">
        <f>Registered!AT1075</f>
        <v/>
      </c>
      <c r="F442" s="4" t="str">
        <f>Registered!AU1075</f>
        <v/>
      </c>
      <c r="G442" s="4" t="str">
        <f>Registered!AW1075</f>
        <v/>
      </c>
      <c r="H442" s="4" t="str">
        <f>Registered!AX1075</f>
        <v/>
      </c>
      <c r="I442" s="4" t="str">
        <f>Registered!AY1075</f>
        <v/>
      </c>
    </row>
    <row r="443" spans="1:9" x14ac:dyDescent="0.25">
      <c r="A443" s="4" t="str">
        <f>Registered!B1073</f>
        <v>Haynes</v>
      </c>
      <c r="B443" s="4" t="str">
        <f>Registered!A1073</f>
        <v>Abbey</v>
      </c>
      <c r="C443" s="4" t="str">
        <f>IF(Registered!AR1073&gt;0,Registered!AR1073&amp;" Color Bags", "")</f>
        <v>20 Color Bags</v>
      </c>
      <c r="D443" s="4" t="str">
        <f>IF(Registered!AS1073&gt;0,(IF(Registered!AS1073=1,Registered!AS1073&amp;" T-Shirt",Registered!AS1073&amp;" T-Shirts")), "")</f>
        <v/>
      </c>
      <c r="E443" s="4" t="str">
        <f>Registered!AT1073</f>
        <v/>
      </c>
      <c r="F443" s="4" t="str">
        <f>Registered!AU1073</f>
        <v/>
      </c>
      <c r="G443" s="4" t="str">
        <f>Registered!AW1073</f>
        <v/>
      </c>
      <c r="H443" s="4" t="str">
        <f>Registered!AX1073</f>
        <v/>
      </c>
      <c r="I443" s="4" t="str">
        <f>Registered!AY1073</f>
        <v/>
      </c>
    </row>
    <row r="444" spans="1:9" x14ac:dyDescent="0.25">
      <c r="A444" s="4" t="str">
        <f>Registered!B1078</f>
        <v>Haynes</v>
      </c>
      <c r="B444" s="4" t="str">
        <f>Registered!A1078</f>
        <v>Natalie</v>
      </c>
      <c r="C444" s="4" t="str">
        <f>IF(Registered!AR1078&gt;0,Registered!AR1078&amp;" Color Bags", "")</f>
        <v>5 Color Bags</v>
      </c>
      <c r="D444" s="4" t="str">
        <f>IF(Registered!AS1078&gt;0,(IF(Registered!AS1078=1,Registered!AS1078&amp;" T-Shirt",Registered!AS1078&amp;" T-Shirts")), "")</f>
        <v/>
      </c>
      <c r="E444" s="4" t="str">
        <f>Registered!AT1078</f>
        <v/>
      </c>
      <c r="F444" s="4" t="str">
        <f>Registered!AU1078</f>
        <v/>
      </c>
      <c r="G444" s="4" t="str">
        <f>Registered!AW1078</f>
        <v/>
      </c>
      <c r="H444" s="4" t="str">
        <f>Registered!AX1078</f>
        <v/>
      </c>
      <c r="I444" s="4" t="str">
        <f>Registered!AY1078</f>
        <v/>
      </c>
    </row>
    <row r="445" spans="1:9" x14ac:dyDescent="0.25">
      <c r="A445" s="4" t="str">
        <f>Registered!B1080</f>
        <v>Hazman</v>
      </c>
      <c r="B445" s="4" t="str">
        <f>Registered!A1080</f>
        <v>Carolina</v>
      </c>
      <c r="C445" s="4" t="str">
        <f>IF(Registered!AR1080&gt;0,Registered!AR1080&amp;" Color Bags", "")</f>
        <v>10 Color Bags</v>
      </c>
      <c r="D445" s="4" t="str">
        <f>IF(Registered!AS1080&gt;0,(IF(Registered!AS1080=1,Registered!AS1080&amp;" T-Shirt",Registered!AS1080&amp;" T-Shirts")), "")</f>
        <v/>
      </c>
      <c r="E445" s="4" t="str">
        <f>Registered!AT1080</f>
        <v/>
      </c>
      <c r="F445" s="4" t="str">
        <f>Registered!AU1080</f>
        <v/>
      </c>
      <c r="G445" s="4" t="str">
        <f>Registered!AW1080</f>
        <v>2 Meals</v>
      </c>
      <c r="H445" s="4" t="str">
        <f>Registered!AX1080</f>
        <v/>
      </c>
      <c r="I445" s="4" t="str">
        <f>Registered!AY1080</f>
        <v/>
      </c>
    </row>
    <row r="446" spans="1:9" x14ac:dyDescent="0.25">
      <c r="A446" s="4" t="str">
        <f>Registered!B1083</f>
        <v>Heer</v>
      </c>
      <c r="B446" s="4" t="str">
        <f>Registered!A1083</f>
        <v>Bryce</v>
      </c>
      <c r="C446" s="4" t="str">
        <f>IF(Registered!AR1083&gt;0,Registered!AR1083&amp;" Color Bags", "")</f>
        <v>5 Color Bags</v>
      </c>
      <c r="D446" s="4" t="str">
        <f>IF(Registered!AS1083&gt;0,(IF(Registered!AS1083=1,Registered!AS1083&amp;" T-Shirt",Registered!AS1083&amp;" T-Shirts")), "")</f>
        <v/>
      </c>
      <c r="E446" s="4" t="str">
        <f>Registered!AT1083</f>
        <v/>
      </c>
      <c r="F446" s="4" t="str">
        <f>Registered!AU1083</f>
        <v/>
      </c>
      <c r="G446" s="4" t="str">
        <f>Registered!AW1083</f>
        <v/>
      </c>
      <c r="H446" s="4" t="str">
        <f>Registered!AX1083</f>
        <v/>
      </c>
      <c r="I446" s="4" t="str">
        <f>Registered!AY1083</f>
        <v/>
      </c>
    </row>
    <row r="447" spans="1:9" x14ac:dyDescent="0.25">
      <c r="A447" s="4" t="str">
        <f>Registered!B1084</f>
        <v>Hehl</v>
      </c>
      <c r="B447" s="4" t="str">
        <f>Registered!A1084</f>
        <v>Alyssa</v>
      </c>
      <c r="C447" s="4" t="str">
        <f>IF(Registered!AR1084&gt;0,Registered!AR1084&amp;" Color Bags", "")</f>
        <v/>
      </c>
      <c r="D447" s="4" t="str">
        <f>IF(Registered!AS1084&gt;0,(IF(Registered!AS1084=1,Registered!AS1084&amp;" T-Shirt",Registered!AS1084&amp;" T-Shirts")), "")</f>
        <v/>
      </c>
      <c r="E447" s="4" t="str">
        <f>Registered!AT1084</f>
        <v/>
      </c>
      <c r="F447" s="4" t="str">
        <f>Registered!AU1084</f>
        <v/>
      </c>
      <c r="G447" s="4" t="str">
        <f>Registered!AW1084</f>
        <v>1 Meal</v>
      </c>
      <c r="H447" s="4" t="str">
        <f>Registered!AX1084</f>
        <v/>
      </c>
      <c r="I447" s="4" t="str">
        <f>Registered!AY1084</f>
        <v/>
      </c>
    </row>
    <row r="448" spans="1:9" x14ac:dyDescent="0.25">
      <c r="A448" s="4" t="str">
        <f>Registered!B1085</f>
        <v>Heiner</v>
      </c>
      <c r="B448" s="4" t="str">
        <f>Registered!A1085</f>
        <v>Carly</v>
      </c>
      <c r="C448" s="4" t="str">
        <f>IF(Registered!AR1085&gt;0,Registered!AR1085&amp;" Color Bags", "")</f>
        <v>5 Color Bags</v>
      </c>
      <c r="D448" s="4" t="str">
        <f>IF(Registered!AS1085&gt;0,(IF(Registered!AS1085=1,Registered!AS1085&amp;" T-Shirt",Registered!AS1085&amp;" T-Shirts")), "")</f>
        <v>1 T-Shirt</v>
      </c>
      <c r="E448" s="4" t="str">
        <f>Registered!AT1085</f>
        <v>Medium</v>
      </c>
      <c r="F448" s="4" t="str">
        <f>Registered!AU1085</f>
        <v/>
      </c>
      <c r="G448" s="4" t="str">
        <f>Registered!AW1085</f>
        <v/>
      </c>
      <c r="H448" s="4" t="str">
        <f>Registered!AX1085</f>
        <v/>
      </c>
      <c r="I448" s="4" t="str">
        <f>Registered!AY1085</f>
        <v/>
      </c>
    </row>
    <row r="449" spans="1:9" x14ac:dyDescent="0.25">
      <c r="A449" s="4" t="str">
        <f>Registered!B1086</f>
        <v>Heisterman</v>
      </c>
      <c r="B449" s="4" t="str">
        <f>Registered!A1086</f>
        <v>Alison</v>
      </c>
      <c r="C449" s="4" t="str">
        <f>IF(Registered!AR1086&gt;0,Registered!AR1086&amp;" Color Bags", "")</f>
        <v>40 Color Bags</v>
      </c>
      <c r="D449" s="4" t="str">
        <f>IF(Registered!AS1086&gt;0,(IF(Registered!AS1086=1,Registered!AS1086&amp;" T-Shirt",Registered!AS1086&amp;" T-Shirts")), "")</f>
        <v/>
      </c>
      <c r="E449" s="4" t="str">
        <f>Registered!AT1086</f>
        <v/>
      </c>
      <c r="F449" s="4" t="str">
        <f>Registered!AU1086</f>
        <v/>
      </c>
      <c r="G449" s="4" t="str">
        <f>Registered!AW1086</f>
        <v/>
      </c>
      <c r="H449" s="4" t="str">
        <f>Registered!AX1086</f>
        <v/>
      </c>
      <c r="I449" s="4" t="str">
        <f>Registered!AY1086</f>
        <v/>
      </c>
    </row>
    <row r="450" spans="1:9" x14ac:dyDescent="0.25">
      <c r="A450" s="4" t="str">
        <f>Registered!B1088</f>
        <v>Hemmert</v>
      </c>
      <c r="B450" s="4" t="str">
        <f>Registered!A1088</f>
        <v>Alexandra</v>
      </c>
      <c r="C450" s="4" t="str">
        <f>IF(Registered!AR1088&gt;0,Registered!AR1088&amp;" Color Bags", "")</f>
        <v>15 Color Bags</v>
      </c>
      <c r="D450" s="4" t="str">
        <f>IF(Registered!AS1088&gt;0,(IF(Registered!AS1088=1,Registered!AS1088&amp;" T-Shirt",Registered!AS1088&amp;" T-Shirts")), "")</f>
        <v/>
      </c>
      <c r="E450" s="4" t="str">
        <f>Registered!AT1088</f>
        <v/>
      </c>
      <c r="F450" s="4" t="str">
        <f>Registered!AU1088</f>
        <v/>
      </c>
      <c r="G450" s="4" t="str">
        <f>Registered!AW1088</f>
        <v/>
      </c>
      <c r="H450" s="4" t="str">
        <f>Registered!AX1088</f>
        <v/>
      </c>
      <c r="I450" s="4" t="str">
        <f>Registered!AY1088</f>
        <v/>
      </c>
    </row>
    <row r="451" spans="1:9" x14ac:dyDescent="0.25">
      <c r="A451" s="4" t="str">
        <f>Registered!B1090</f>
        <v>Henager</v>
      </c>
      <c r="B451" s="4" t="str">
        <f>Registered!A1090</f>
        <v>Mindy</v>
      </c>
      <c r="C451" s="4" t="str">
        <f>IF(Registered!AR1090&gt;0,Registered!AR1090&amp;" Color Bags", "")</f>
        <v>20 Color Bags</v>
      </c>
      <c r="D451" s="4" t="str">
        <f>IF(Registered!AS1090&gt;0,(IF(Registered!AS1090=1,Registered!AS1090&amp;" T-Shirt",Registered!AS1090&amp;" T-Shirts")), "")</f>
        <v/>
      </c>
      <c r="E451" s="4" t="str">
        <f>Registered!AT1090</f>
        <v/>
      </c>
      <c r="F451" s="4" t="str">
        <f>Registered!AU1090</f>
        <v/>
      </c>
      <c r="G451" s="4" t="str">
        <f>Registered!AW1090</f>
        <v/>
      </c>
      <c r="H451" s="4" t="str">
        <f>Registered!AX1090</f>
        <v/>
      </c>
      <c r="I451" s="4" t="str">
        <f>Registered!AY1090</f>
        <v/>
      </c>
    </row>
    <row r="452" spans="1:9" x14ac:dyDescent="0.25">
      <c r="A452" s="4" t="str">
        <f>Registered!B1093</f>
        <v>Henderson</v>
      </c>
      <c r="B452" s="4" t="str">
        <f>Registered!A1093</f>
        <v>Julie</v>
      </c>
      <c r="C452" s="4" t="str">
        <f>IF(Registered!AR1093&gt;0,Registered!AR1093&amp;" Color Bags", "")</f>
        <v>5 Color Bags</v>
      </c>
      <c r="D452" s="4" t="str">
        <f>IF(Registered!AS1093&gt;0,(IF(Registered!AS1093=1,Registered!AS1093&amp;" T-Shirt",Registered!AS1093&amp;" T-Shirts")), "")</f>
        <v>1 T-Shirt</v>
      </c>
      <c r="E452" s="4" t="str">
        <f>Registered!AT1093</f>
        <v>Small</v>
      </c>
      <c r="F452" s="4" t="str">
        <f>Registered!AU1093</f>
        <v>1 Bandana</v>
      </c>
      <c r="G452" s="4" t="str">
        <f>Registered!AW1093</f>
        <v>1 Meal</v>
      </c>
      <c r="H452" s="4" t="str">
        <f>Registered!AX1093</f>
        <v/>
      </c>
      <c r="I452" s="4" t="str">
        <f>Registered!AY1093</f>
        <v/>
      </c>
    </row>
    <row r="453" spans="1:9" x14ac:dyDescent="0.25">
      <c r="A453" s="4" t="str">
        <f>Registered!B1095</f>
        <v>Hendrickson</v>
      </c>
      <c r="B453" s="4" t="str">
        <f>Registered!A1095</f>
        <v>Ashley</v>
      </c>
      <c r="C453" s="4" t="str">
        <f>IF(Registered!AR1095&gt;0,Registered!AR1095&amp;" Color Bags", "")</f>
        <v>10 Color Bags</v>
      </c>
      <c r="D453" s="4" t="str">
        <f>IF(Registered!AS1095&gt;0,(IF(Registered!AS1095=1,Registered!AS1095&amp;" T-Shirt",Registered!AS1095&amp;" T-Shirts")), "")</f>
        <v>1 T-Shirt</v>
      </c>
      <c r="E453" s="4" t="str">
        <f>Registered!AT1095</f>
        <v>Extra large</v>
      </c>
      <c r="F453" s="4" t="str">
        <f>Registered!AU1095</f>
        <v/>
      </c>
      <c r="G453" s="4" t="str">
        <f>Registered!AW1095</f>
        <v>1 Meal</v>
      </c>
      <c r="H453" s="4" t="str">
        <f>Registered!AX1095</f>
        <v/>
      </c>
      <c r="I453" s="4" t="str">
        <f>Registered!AY1095</f>
        <v/>
      </c>
    </row>
    <row r="454" spans="1:9" x14ac:dyDescent="0.25">
      <c r="A454" s="4" t="str">
        <f>Registered!B1097</f>
        <v>Hendrix</v>
      </c>
      <c r="B454" s="4" t="str">
        <f>Registered!A1097</f>
        <v>Ashley</v>
      </c>
      <c r="C454" s="4" t="str">
        <f>IF(Registered!AR1097&gt;0,Registered!AR1097&amp;" Color Bags", "")</f>
        <v>30 Color Bags</v>
      </c>
      <c r="D454" s="4" t="str">
        <f>IF(Registered!AS1097&gt;0,(IF(Registered!AS1097=1,Registered!AS1097&amp;" T-Shirt",Registered!AS1097&amp;" T-Shirts")), "")</f>
        <v/>
      </c>
      <c r="E454" s="4" t="str">
        <f>Registered!AT1097</f>
        <v/>
      </c>
      <c r="F454" s="4" t="str">
        <f>Registered!AU1097</f>
        <v/>
      </c>
      <c r="G454" s="4" t="str">
        <f>Registered!AW1097</f>
        <v/>
      </c>
      <c r="H454" s="4" t="str">
        <f>Registered!AX1097</f>
        <v/>
      </c>
      <c r="I454" s="4" t="str">
        <f>Registered!AY1097</f>
        <v/>
      </c>
    </row>
    <row r="455" spans="1:9" x14ac:dyDescent="0.25">
      <c r="A455" s="4" t="str">
        <f>Registered!B1101</f>
        <v>Hepworth</v>
      </c>
      <c r="B455" s="4" t="str">
        <f>Registered!A1101</f>
        <v>Alex</v>
      </c>
      <c r="C455" s="4" t="str">
        <f>IF(Registered!AR1101&gt;0,Registered!AR1101&amp;" Color Bags", "")</f>
        <v>5 Color Bags</v>
      </c>
      <c r="D455" s="4" t="str">
        <f>IF(Registered!AS1101&gt;0,(IF(Registered!AS1101=1,Registered!AS1101&amp;" T-Shirt",Registered!AS1101&amp;" T-Shirts")), "")</f>
        <v>1 T-Shirt</v>
      </c>
      <c r="E455" s="4" t="str">
        <f>Registered!AT1101</f>
        <v>Extra Large</v>
      </c>
      <c r="F455" s="4" t="str">
        <f>Registered!AU1101</f>
        <v/>
      </c>
      <c r="G455" s="4" t="str">
        <f>Registered!AW1101</f>
        <v>1 Meal</v>
      </c>
      <c r="H455" s="4" t="str">
        <f>Registered!AX1101</f>
        <v/>
      </c>
      <c r="I455" s="4" t="str">
        <f>Registered!AY1101</f>
        <v/>
      </c>
    </row>
    <row r="456" spans="1:9" x14ac:dyDescent="0.25">
      <c r="A456" s="4" t="str">
        <f>Registered!B1102</f>
        <v>Heredia Lopez</v>
      </c>
      <c r="B456" s="4" t="str">
        <f>Registered!A1102</f>
        <v>Brenda</v>
      </c>
      <c r="C456" s="4" t="str">
        <f>IF(Registered!AR1102&gt;0,Registered!AR1102&amp;" Color Bags", "")</f>
        <v>15 Color Bags</v>
      </c>
      <c r="D456" s="4" t="str">
        <f>IF(Registered!AS1102&gt;0,(IF(Registered!AS1102=1,Registered!AS1102&amp;" T-Shirt",Registered!AS1102&amp;" T-Shirts")), "")</f>
        <v/>
      </c>
      <c r="E456" s="4" t="str">
        <f>Registered!AT1102</f>
        <v/>
      </c>
      <c r="F456" s="4" t="str">
        <f>Registered!AU1102</f>
        <v/>
      </c>
      <c r="G456" s="4" t="str">
        <f>Registered!AW1102</f>
        <v>4 Meals</v>
      </c>
      <c r="H456" s="4" t="str">
        <f>Registered!AX1102</f>
        <v/>
      </c>
      <c r="I456" s="4" t="str">
        <f>Registered!AY1102</f>
        <v/>
      </c>
    </row>
    <row r="457" spans="1:9" x14ac:dyDescent="0.25">
      <c r="A457" s="4" t="str">
        <f>Registered!B1105</f>
        <v>Hernandez</v>
      </c>
      <c r="B457" s="4" t="str">
        <f>Registered!A1105</f>
        <v>Ashley</v>
      </c>
      <c r="C457" s="4" t="str">
        <f>IF(Registered!AR1105&gt;0,Registered!AR1105&amp;" Color Bags", "")</f>
        <v>30 Color Bags</v>
      </c>
      <c r="D457" s="4" t="str">
        <f>IF(Registered!AS1105&gt;0,(IF(Registered!AS1105=1,Registered!AS1105&amp;" T-Shirt",Registered!AS1105&amp;" T-Shirts")), "")</f>
        <v/>
      </c>
      <c r="E457" s="4" t="str">
        <f>Registered!AT1105</f>
        <v/>
      </c>
      <c r="F457" s="4" t="str">
        <f>Registered!AU1105</f>
        <v/>
      </c>
      <c r="G457" s="4" t="str">
        <f>Registered!AW1105</f>
        <v/>
      </c>
      <c r="H457" s="4" t="str">
        <f>Registered!AX1105</f>
        <v/>
      </c>
      <c r="I457" s="4" t="str">
        <f>Registered!AY1105</f>
        <v/>
      </c>
    </row>
    <row r="458" spans="1:9" x14ac:dyDescent="0.25">
      <c r="A458" s="4" t="str">
        <f>Registered!B1106</f>
        <v>Herndon</v>
      </c>
      <c r="B458" s="4" t="str">
        <f>Registered!A1106</f>
        <v>Natalie</v>
      </c>
      <c r="C458" s="4" t="str">
        <f>IF(Registered!AR1106&gt;0,Registered!AR1106&amp;" Color Bags", "")</f>
        <v>30 Color Bags</v>
      </c>
      <c r="D458" s="4" t="str">
        <f>IF(Registered!AS1106&gt;0,(IF(Registered!AS1106=1,Registered!AS1106&amp;" T-Shirt",Registered!AS1106&amp;" T-Shirts")), "")</f>
        <v/>
      </c>
      <c r="E458" s="4" t="str">
        <f>Registered!AT1106</f>
        <v/>
      </c>
      <c r="F458" s="4" t="str">
        <f>Registered!AU1106</f>
        <v/>
      </c>
      <c r="G458" s="4" t="str">
        <f>Registered!AW1106</f>
        <v/>
      </c>
      <c r="H458" s="4" t="str">
        <f>Registered!AX1106</f>
        <v/>
      </c>
      <c r="I458" s="4" t="str">
        <f>Registered!AY1106</f>
        <v>2 DustMask</v>
      </c>
    </row>
    <row r="459" spans="1:9" x14ac:dyDescent="0.25">
      <c r="A459" s="4" t="str">
        <f>Registered!B1107</f>
        <v>Herrera</v>
      </c>
      <c r="B459" s="4" t="str">
        <f>Registered!A1107</f>
        <v>Daniel</v>
      </c>
      <c r="C459" s="4" t="str">
        <f>IF(Registered!AR1107&gt;0,Registered!AR1107&amp;" Color Bags", "")</f>
        <v>5 Color Bags</v>
      </c>
      <c r="D459" s="4" t="str">
        <f>IF(Registered!AS1107&gt;0,(IF(Registered!AS1107=1,Registered!AS1107&amp;" T-Shirt",Registered!AS1107&amp;" T-Shirts")), "")</f>
        <v>2 T-Shirts</v>
      </c>
      <c r="E459" s="4" t="str">
        <f>Registered!AT1107</f>
        <v>medium</v>
      </c>
      <c r="F459" s="4" t="str">
        <f>Registered!AU1107</f>
        <v>2 Bandanas</v>
      </c>
      <c r="G459" s="4" t="str">
        <f>Registered!AW1107</f>
        <v>1 Meal</v>
      </c>
      <c r="H459" s="4" t="str">
        <f>Registered!AX1107</f>
        <v/>
      </c>
      <c r="I459" s="4" t="str">
        <f>Registered!AY1107</f>
        <v/>
      </c>
    </row>
    <row r="460" spans="1:9" x14ac:dyDescent="0.25">
      <c r="A460" s="4" t="str">
        <f>Registered!B1110</f>
        <v>Hiatt</v>
      </c>
      <c r="B460" s="4" t="str">
        <f>Registered!A1110</f>
        <v>Alisha</v>
      </c>
      <c r="C460" s="4" t="str">
        <f>IF(Registered!AR1110&gt;0,Registered!AR1110&amp;" Color Bags", "")</f>
        <v>5 Color Bags</v>
      </c>
      <c r="D460" s="4" t="str">
        <f>IF(Registered!AS1110&gt;0,(IF(Registered!AS1110=1,Registered!AS1110&amp;" T-Shirt",Registered!AS1110&amp;" T-Shirts")), "")</f>
        <v>1 T-Shirt</v>
      </c>
      <c r="E460" s="4" t="str">
        <f>Registered!AT1110</f>
        <v>Adult Small</v>
      </c>
      <c r="F460" s="4" t="str">
        <f>Registered!AU1110</f>
        <v/>
      </c>
      <c r="G460" s="4" t="str">
        <f>Registered!AW1110</f>
        <v/>
      </c>
      <c r="H460" s="4" t="str">
        <f>Registered!AX1110</f>
        <v/>
      </c>
      <c r="I460" s="4" t="str">
        <f>Registered!AY1110</f>
        <v/>
      </c>
    </row>
    <row r="461" spans="1:9" x14ac:dyDescent="0.25">
      <c r="A461" s="4" t="str">
        <f>Registered!B1112</f>
        <v>Hicks</v>
      </c>
      <c r="B461" s="4" t="str">
        <f>Registered!A1112</f>
        <v>Kyle</v>
      </c>
      <c r="C461" s="4" t="str">
        <f>IF(Registered!AR1112&gt;0,Registered!AR1112&amp;" Color Bags", "")</f>
        <v>10 Color Bags</v>
      </c>
      <c r="D461" s="4" t="str">
        <f>IF(Registered!AS1112&gt;0,(IF(Registered!AS1112=1,Registered!AS1112&amp;" T-Shirt",Registered!AS1112&amp;" T-Shirts")), "")</f>
        <v/>
      </c>
      <c r="E461" s="4" t="str">
        <f>Registered!AT1112</f>
        <v/>
      </c>
      <c r="F461" s="4" t="str">
        <f>Registered!AU1112</f>
        <v/>
      </c>
      <c r="G461" s="4" t="str">
        <f>Registered!AW1112</f>
        <v>2 Meals</v>
      </c>
      <c r="H461" s="4" t="str">
        <f>Registered!AX1112</f>
        <v/>
      </c>
      <c r="I461" s="4" t="str">
        <f>Registered!AY1112</f>
        <v/>
      </c>
    </row>
    <row r="462" spans="1:9" x14ac:dyDescent="0.25">
      <c r="A462" s="4" t="str">
        <f>Registered!B1113</f>
        <v>Hidrosollo</v>
      </c>
      <c r="B462" s="4" t="str">
        <f>Registered!A1113</f>
        <v>Jummel</v>
      </c>
      <c r="C462" s="4" t="str">
        <f>IF(Registered!AR1113&gt;0,Registered!AR1113&amp;" Color Bags", "")</f>
        <v>5 Color Bags</v>
      </c>
      <c r="D462" s="4" t="str">
        <f>IF(Registered!AS1113&gt;0,(IF(Registered!AS1113=1,Registered!AS1113&amp;" T-Shirt",Registered!AS1113&amp;" T-Shirts")), "")</f>
        <v>1 T-Shirt</v>
      </c>
      <c r="E462" s="4" t="str">
        <f>Registered!AT1113</f>
        <v>Large (mens)</v>
      </c>
      <c r="F462" s="4" t="str">
        <f>Registered!AU1113</f>
        <v>1 Bandana</v>
      </c>
      <c r="G462" s="4" t="str">
        <f>Registered!AW1113</f>
        <v>1 Meal</v>
      </c>
      <c r="H462" s="4" t="str">
        <f>Registered!AX1113</f>
        <v/>
      </c>
      <c r="I462" s="4" t="str">
        <f>Registered!AY1113</f>
        <v/>
      </c>
    </row>
    <row r="463" spans="1:9" x14ac:dyDescent="0.25">
      <c r="A463" s="4" t="str">
        <f>Registered!B1114</f>
        <v>Higbee</v>
      </c>
      <c r="B463" s="4" t="str">
        <f>Registered!A1114</f>
        <v>Ashley</v>
      </c>
      <c r="C463" s="4" t="str">
        <f>IF(Registered!AR1114&gt;0,Registered!AR1114&amp;" Color Bags", "")</f>
        <v>15 Color Bags</v>
      </c>
      <c r="D463" s="4" t="str">
        <f>IF(Registered!AS1114&gt;0,(IF(Registered!AS1114=1,Registered!AS1114&amp;" T-Shirt",Registered!AS1114&amp;" T-Shirts")), "")</f>
        <v/>
      </c>
      <c r="E463" s="4" t="str">
        <f>Registered!AT1114</f>
        <v/>
      </c>
      <c r="F463" s="4" t="str">
        <f>Registered!AU1114</f>
        <v/>
      </c>
      <c r="G463" s="4" t="str">
        <f>Registered!AW1114</f>
        <v/>
      </c>
      <c r="H463" s="4" t="str">
        <f>Registered!AX1114</f>
        <v/>
      </c>
      <c r="I463" s="4" t="str">
        <f>Registered!AY1114</f>
        <v/>
      </c>
    </row>
    <row r="464" spans="1:9" x14ac:dyDescent="0.25">
      <c r="A464" s="4" t="str">
        <f>Registered!B1116</f>
        <v>Higgs</v>
      </c>
      <c r="B464" s="4" t="str">
        <f>Registered!A1116</f>
        <v>Nate</v>
      </c>
      <c r="C464" s="4" t="str">
        <f>IF(Registered!AR1116&gt;0,Registered!AR1116&amp;" Color Bags", "")</f>
        <v>10 Color Bags</v>
      </c>
      <c r="D464" s="4" t="str">
        <f>IF(Registered!AS1116&gt;0,(IF(Registered!AS1116=1,Registered!AS1116&amp;" T-Shirt",Registered!AS1116&amp;" T-Shirts")), "")</f>
        <v/>
      </c>
      <c r="E464" s="4" t="str">
        <f>Registered!AT1116</f>
        <v/>
      </c>
      <c r="F464" s="4" t="str">
        <f>Registered!AU1116</f>
        <v/>
      </c>
      <c r="G464" s="4" t="str">
        <f>Registered!AW1116</f>
        <v/>
      </c>
      <c r="H464" s="4" t="str">
        <f>Registered!AX1116</f>
        <v/>
      </c>
      <c r="I464" s="4" t="str">
        <f>Registered!AY1116</f>
        <v/>
      </c>
    </row>
    <row r="465" spans="1:9" x14ac:dyDescent="0.25">
      <c r="A465" s="4" t="str">
        <f>Registered!B1119</f>
        <v>Hill</v>
      </c>
      <c r="B465" s="4" t="str">
        <f>Registered!A1119</f>
        <v>Jamie</v>
      </c>
      <c r="C465" s="4" t="str">
        <f>IF(Registered!AR1119&gt;0,Registered!AR1119&amp;" Color Bags", "")</f>
        <v>10 Color Bags</v>
      </c>
      <c r="D465" s="4" t="str">
        <f>IF(Registered!AS1119&gt;0,(IF(Registered!AS1119=1,Registered!AS1119&amp;" T-Shirt",Registered!AS1119&amp;" T-Shirts")), "")</f>
        <v/>
      </c>
      <c r="E465" s="4" t="str">
        <f>Registered!AT1119</f>
        <v/>
      </c>
      <c r="F465" s="4" t="str">
        <f>Registered!AU1119</f>
        <v/>
      </c>
      <c r="G465" s="4" t="str">
        <f>Registered!AW1119</f>
        <v/>
      </c>
      <c r="H465" s="4" t="str">
        <f>Registered!AX1119</f>
        <v/>
      </c>
      <c r="I465" s="4" t="str">
        <f>Registered!AY1119</f>
        <v/>
      </c>
    </row>
    <row r="466" spans="1:9" x14ac:dyDescent="0.25">
      <c r="A466" s="4" t="str">
        <f>Registered!B1118</f>
        <v>Hill</v>
      </c>
      <c r="B466" s="4" t="str">
        <f>Registered!A1118</f>
        <v>Ali</v>
      </c>
      <c r="C466" s="4" t="str">
        <f>IF(Registered!AR1118&gt;0,Registered!AR1118&amp;" Color Bags", "")</f>
        <v>5 Color Bags</v>
      </c>
      <c r="D466" s="4" t="str">
        <f>IF(Registered!AS1118&gt;0,(IF(Registered!AS1118=1,Registered!AS1118&amp;" T-Shirt",Registered!AS1118&amp;" T-Shirts")), "")</f>
        <v/>
      </c>
      <c r="E466" s="4" t="str">
        <f>Registered!AT1118</f>
        <v/>
      </c>
      <c r="F466" s="4" t="str">
        <f>Registered!AU1118</f>
        <v/>
      </c>
      <c r="G466" s="4" t="str">
        <f>Registered!AW1118</f>
        <v/>
      </c>
      <c r="H466" s="4" t="str">
        <f>Registered!AX1118</f>
        <v/>
      </c>
      <c r="I466" s="4" t="str">
        <f>Registered!AY1118</f>
        <v/>
      </c>
    </row>
    <row r="467" spans="1:9" x14ac:dyDescent="0.25">
      <c r="A467" s="4" t="str">
        <f>Registered!B1122</f>
        <v>Hill</v>
      </c>
      <c r="B467" s="4" t="str">
        <f>Registered!A1122</f>
        <v>Kristin</v>
      </c>
      <c r="C467" s="4" t="str">
        <f>IF(Registered!AR1122&gt;0,Registered!AR1122&amp;" Color Bags", "")</f>
        <v>50 Color Bags</v>
      </c>
      <c r="D467" s="4" t="str">
        <f>IF(Registered!AS1122&gt;0,(IF(Registered!AS1122=1,Registered!AS1122&amp;" T-Shirt",Registered!AS1122&amp;" T-Shirts")), "")</f>
        <v/>
      </c>
      <c r="E467" s="4" t="str">
        <f>Registered!AT1122</f>
        <v/>
      </c>
      <c r="F467" s="4" t="str">
        <f>Registered!AU1122</f>
        <v/>
      </c>
      <c r="G467" s="4" t="str">
        <f>Registered!AW1122</f>
        <v/>
      </c>
      <c r="H467" s="4" t="str">
        <f>Registered!AX1122</f>
        <v/>
      </c>
      <c r="I467" s="4" t="str">
        <f>Registered!AY1122</f>
        <v/>
      </c>
    </row>
    <row r="468" spans="1:9" x14ac:dyDescent="0.25">
      <c r="A468" s="4" t="str">
        <f>Registered!B1125</f>
        <v>Hinton</v>
      </c>
      <c r="B468" s="4" t="str">
        <f>Registered!A1125</f>
        <v>Bonnie</v>
      </c>
      <c r="C468" s="4" t="str">
        <f>IF(Registered!AR1125&gt;0,Registered!AR1125&amp;" Color Bags", "")</f>
        <v>5 Color Bags</v>
      </c>
      <c r="D468" s="4" t="str">
        <f>IF(Registered!AS1125&gt;0,(IF(Registered!AS1125=1,Registered!AS1125&amp;" T-Shirt",Registered!AS1125&amp;" T-Shirts")), "")</f>
        <v/>
      </c>
      <c r="E468" s="4" t="str">
        <f>Registered!AT1125</f>
        <v/>
      </c>
      <c r="F468" s="4" t="str">
        <f>Registered!AU1125</f>
        <v/>
      </c>
      <c r="G468" s="4" t="str">
        <f>Registered!AW1125</f>
        <v/>
      </c>
      <c r="H468" s="4" t="str">
        <f>Registered!AX1125</f>
        <v/>
      </c>
      <c r="I468" s="4" t="str">
        <f>Registered!AY1125</f>
        <v/>
      </c>
    </row>
    <row r="469" spans="1:9" x14ac:dyDescent="0.25">
      <c r="A469" s="4" t="str">
        <f>Registered!B1126</f>
        <v>Hixon</v>
      </c>
      <c r="B469" s="4" t="str">
        <f>Registered!A1126</f>
        <v>Katie</v>
      </c>
      <c r="C469" s="4" t="str">
        <f>IF(Registered!AR1126&gt;0,Registered!AR1126&amp;" Color Bags", "")</f>
        <v>15 Color Bags</v>
      </c>
      <c r="D469" s="4" t="str">
        <f>IF(Registered!AS1126&gt;0,(IF(Registered!AS1126=1,Registered!AS1126&amp;" T-Shirt",Registered!AS1126&amp;" T-Shirts")), "")</f>
        <v>3 T-Shirts</v>
      </c>
      <c r="E469" s="4" t="str">
        <f>Registered!AT1126</f>
        <v>2 small 1 medium</v>
      </c>
      <c r="F469" s="4" t="str">
        <f>Registered!AU1126</f>
        <v/>
      </c>
      <c r="G469" s="4" t="str">
        <f>Registered!AW1126</f>
        <v>3 Meals</v>
      </c>
      <c r="H469" s="4" t="str">
        <f>Registered!AX1126</f>
        <v/>
      </c>
      <c r="I469" s="4" t="str">
        <f>Registered!AY1126</f>
        <v/>
      </c>
    </row>
    <row r="470" spans="1:9" x14ac:dyDescent="0.25">
      <c r="A470" s="4" t="str">
        <f>Registered!B1130</f>
        <v>Hoggan</v>
      </c>
      <c r="B470" s="4" t="str">
        <f>Registered!A1130</f>
        <v>Alexandria</v>
      </c>
      <c r="C470" s="4" t="str">
        <f>IF(Registered!AR1130&gt;0,Registered!AR1130&amp;" Color Bags", "")</f>
        <v>5 Color Bags</v>
      </c>
      <c r="D470" s="4" t="str">
        <f>IF(Registered!AS1130&gt;0,(IF(Registered!AS1130=1,Registered!AS1130&amp;" T-Shirt",Registered!AS1130&amp;" T-Shirts")), "")</f>
        <v/>
      </c>
      <c r="E470" s="4" t="str">
        <f>Registered!AT1130</f>
        <v/>
      </c>
      <c r="F470" s="4" t="str">
        <f>Registered!AU1130</f>
        <v/>
      </c>
      <c r="G470" s="4" t="str">
        <f>Registered!AW1130</f>
        <v/>
      </c>
      <c r="H470" s="4" t="str">
        <f>Registered!AX1130</f>
        <v/>
      </c>
      <c r="I470" s="4" t="str">
        <f>Registered!AY1130</f>
        <v/>
      </c>
    </row>
    <row r="471" spans="1:9" x14ac:dyDescent="0.25">
      <c r="A471" s="4" t="str">
        <f>Registered!B1132</f>
        <v>Holbrook</v>
      </c>
      <c r="B471" s="4" t="str">
        <f>Registered!A1132</f>
        <v>Rozan</v>
      </c>
      <c r="C471" s="4" t="str">
        <f>IF(Registered!AR1132&gt;0,Registered!AR1132&amp;" Color Bags", "")</f>
        <v>5 Color Bags</v>
      </c>
      <c r="D471" s="4" t="str">
        <f>IF(Registered!AS1132&gt;0,(IF(Registered!AS1132=1,Registered!AS1132&amp;" T-Shirt",Registered!AS1132&amp;" T-Shirts")), "")</f>
        <v/>
      </c>
      <c r="E471" s="4" t="str">
        <f>Registered!AT1132</f>
        <v/>
      </c>
      <c r="F471" s="4" t="str">
        <f>Registered!AU1132</f>
        <v/>
      </c>
      <c r="G471" s="4" t="str">
        <f>Registered!AW1132</f>
        <v/>
      </c>
      <c r="H471" s="4" t="str">
        <f>Registered!AX1132</f>
        <v/>
      </c>
      <c r="I471" s="4" t="str">
        <f>Registered!AY1132</f>
        <v/>
      </c>
    </row>
    <row r="472" spans="1:9" x14ac:dyDescent="0.25">
      <c r="A472" s="4" t="str">
        <f>Registered!B1133</f>
        <v>Holdsworth</v>
      </c>
      <c r="B472" s="4" t="str">
        <f>Registered!A1133</f>
        <v>Whitney</v>
      </c>
      <c r="C472" s="4" t="str">
        <f>IF(Registered!AR1133&gt;0,Registered!AR1133&amp;" Color Bags", "")</f>
        <v>5 Color Bags</v>
      </c>
      <c r="D472" s="4" t="str">
        <f>IF(Registered!AS1133&gt;0,(IF(Registered!AS1133=1,Registered!AS1133&amp;" T-Shirt",Registered!AS1133&amp;" T-Shirts")), "")</f>
        <v/>
      </c>
      <c r="E472" s="4" t="str">
        <f>Registered!AT1133</f>
        <v/>
      </c>
      <c r="F472" s="4" t="str">
        <f>Registered!AU1133</f>
        <v/>
      </c>
      <c r="G472" s="4" t="str">
        <f>Registered!AW1133</f>
        <v/>
      </c>
      <c r="H472" s="4" t="str">
        <f>Registered!AX1133</f>
        <v/>
      </c>
      <c r="I472" s="4" t="str">
        <f>Registered!AY1133</f>
        <v/>
      </c>
    </row>
    <row r="473" spans="1:9" x14ac:dyDescent="0.25">
      <c r="A473" s="4" t="str">
        <f>Registered!B1136</f>
        <v>Holmes</v>
      </c>
      <c r="B473" s="4" t="str">
        <f>Registered!A1136</f>
        <v>Dakotah</v>
      </c>
      <c r="C473" s="4" t="str">
        <f>IF(Registered!AR1136&gt;0,Registered!AR1136&amp;" Color Bags", "")</f>
        <v>10 Color Bags</v>
      </c>
      <c r="D473" s="4" t="str">
        <f>IF(Registered!AS1136&gt;0,(IF(Registered!AS1136=1,Registered!AS1136&amp;" T-Shirt",Registered!AS1136&amp;" T-Shirts")), "")</f>
        <v/>
      </c>
      <c r="E473" s="4" t="str">
        <f>Registered!AT1136</f>
        <v/>
      </c>
      <c r="F473" s="4" t="str">
        <f>Registered!AU1136</f>
        <v/>
      </c>
      <c r="G473" s="4" t="str">
        <f>Registered!AW1136</f>
        <v/>
      </c>
      <c r="H473" s="4" t="str">
        <f>Registered!AX1136</f>
        <v/>
      </c>
      <c r="I473" s="4" t="str">
        <f>Registered!AY1136</f>
        <v/>
      </c>
    </row>
    <row r="474" spans="1:9" x14ac:dyDescent="0.25">
      <c r="A474" s="4" t="str">
        <f>Registered!B1139</f>
        <v>Holmes</v>
      </c>
      <c r="B474" s="4" t="str">
        <f>Registered!A1139</f>
        <v>Kelsy</v>
      </c>
      <c r="C474" s="4" t="str">
        <f>IF(Registered!AR1139&gt;0,Registered!AR1139&amp;" Color Bags", "")</f>
        <v>10 Color Bags</v>
      </c>
      <c r="D474" s="4" t="str">
        <f>IF(Registered!AS1139&gt;0,(IF(Registered!AS1139=1,Registered!AS1139&amp;" T-Shirt",Registered!AS1139&amp;" T-Shirts")), "")</f>
        <v/>
      </c>
      <c r="E474" s="4" t="str">
        <f>Registered!AT1139</f>
        <v/>
      </c>
      <c r="F474" s="4" t="str">
        <f>Registered!AU1139</f>
        <v/>
      </c>
      <c r="G474" s="4" t="str">
        <f>Registered!AW1139</f>
        <v/>
      </c>
      <c r="H474" s="4" t="str">
        <f>Registered!AX1139</f>
        <v/>
      </c>
      <c r="I474" s="4" t="str">
        <f>Registered!AY1139</f>
        <v/>
      </c>
    </row>
    <row r="475" spans="1:9" x14ac:dyDescent="0.25">
      <c r="A475" s="4" t="str">
        <f>Registered!B1141</f>
        <v>Holt</v>
      </c>
      <c r="B475" s="4" t="str">
        <f>Registered!A1141</f>
        <v>Gina</v>
      </c>
      <c r="C475" s="4" t="str">
        <f>IF(Registered!AR1141&gt;0,Registered!AR1141&amp;" Color Bags", "")</f>
        <v>20 Color Bags</v>
      </c>
      <c r="D475" s="4" t="str">
        <f>IF(Registered!AS1141&gt;0,(IF(Registered!AS1141=1,Registered!AS1141&amp;" T-Shirt",Registered!AS1141&amp;" T-Shirts")), "")</f>
        <v>4 T-Shirts</v>
      </c>
      <c r="E475" s="4" t="str">
        <f>Registered!AT1141</f>
        <v>Adult Small and Adult Large</v>
      </c>
      <c r="F475" s="4" t="str">
        <f>Registered!AU1141</f>
        <v>2 Bandanas</v>
      </c>
      <c r="G475" s="4" t="str">
        <f>Registered!AW1141</f>
        <v>2 Meals</v>
      </c>
      <c r="H475" s="4" t="str">
        <f>Registered!AX1141</f>
        <v/>
      </c>
      <c r="I475" s="4" t="str">
        <f>Registered!AY1141</f>
        <v/>
      </c>
    </row>
    <row r="476" spans="1:9" x14ac:dyDescent="0.25">
      <c r="A476" s="4" t="str">
        <f>Registered!B1142</f>
        <v>Holyoak</v>
      </c>
      <c r="B476" s="4" t="str">
        <f>Registered!A1142</f>
        <v>Mike</v>
      </c>
      <c r="C476" s="4" t="str">
        <f>IF(Registered!AR1142&gt;0,Registered!AR1142&amp;" Color Bags", "")</f>
        <v>10 Color Bags</v>
      </c>
      <c r="D476" s="4" t="str">
        <f>IF(Registered!AS1142&gt;0,(IF(Registered!AS1142=1,Registered!AS1142&amp;" T-Shirt",Registered!AS1142&amp;" T-Shirts")), "")</f>
        <v>2 T-Shirts</v>
      </c>
      <c r="E476" s="4" t="str">
        <f>Registered!AT1142</f>
        <v>XL and L</v>
      </c>
      <c r="F476" s="4" t="str">
        <f>Registered!AU1142</f>
        <v/>
      </c>
      <c r="G476" s="4" t="str">
        <f>Registered!AW1142</f>
        <v>2 Meals</v>
      </c>
      <c r="H476" s="4" t="str">
        <f>Registered!AX1142</f>
        <v/>
      </c>
      <c r="I476" s="4" t="str">
        <f>Registered!AY1142</f>
        <v/>
      </c>
    </row>
    <row r="477" spans="1:9" x14ac:dyDescent="0.25">
      <c r="A477" s="4" t="str">
        <f>Registered!B1144</f>
        <v>Hone</v>
      </c>
      <c r="B477" s="4" t="str">
        <f>Registered!A1144</f>
        <v>Michael</v>
      </c>
      <c r="C477" s="4" t="str">
        <f>IF(Registered!AR1144&gt;0,Registered!AR1144&amp;" Color Bags", "")</f>
        <v>15 Color Bags</v>
      </c>
      <c r="D477" s="4" t="str">
        <f>IF(Registered!AS1144&gt;0,(IF(Registered!AS1144=1,Registered!AS1144&amp;" T-Shirt",Registered!AS1144&amp;" T-Shirts")), "")</f>
        <v/>
      </c>
      <c r="E477" s="4" t="str">
        <f>Registered!AT1144</f>
        <v/>
      </c>
      <c r="F477" s="4" t="str">
        <f>Registered!AU1144</f>
        <v/>
      </c>
      <c r="G477" s="4" t="str">
        <f>Registered!AW1144</f>
        <v/>
      </c>
      <c r="H477" s="4" t="str">
        <f>Registered!AX1144</f>
        <v/>
      </c>
      <c r="I477" s="4" t="str">
        <f>Registered!AY1144</f>
        <v/>
      </c>
    </row>
    <row r="478" spans="1:9" x14ac:dyDescent="0.25">
      <c r="A478" s="4" t="str">
        <f>Registered!B1145</f>
        <v>Honey</v>
      </c>
      <c r="B478" s="4" t="str">
        <f>Registered!A1145</f>
        <v>Brenda</v>
      </c>
      <c r="C478" s="4" t="str">
        <f>IF(Registered!AR1145&gt;0,Registered!AR1145&amp;" Color Bags", "")</f>
        <v>10 Color Bags</v>
      </c>
      <c r="D478" s="4" t="str">
        <f>IF(Registered!AS1145&gt;0,(IF(Registered!AS1145=1,Registered!AS1145&amp;" T-Shirt",Registered!AS1145&amp;" T-Shirts")), "")</f>
        <v/>
      </c>
      <c r="E478" s="4" t="str">
        <f>Registered!AT1145</f>
        <v/>
      </c>
      <c r="F478" s="4" t="str">
        <f>Registered!AU1145</f>
        <v/>
      </c>
      <c r="G478" s="4" t="str">
        <f>Registered!AW1145</f>
        <v/>
      </c>
      <c r="H478" s="4" t="str">
        <f>Registered!AX1145</f>
        <v/>
      </c>
      <c r="I478" s="4" t="str">
        <f>Registered!AY1145</f>
        <v/>
      </c>
    </row>
    <row r="479" spans="1:9" x14ac:dyDescent="0.25">
      <c r="A479" s="4" t="str">
        <f>Registered!B1149</f>
        <v>Hooten</v>
      </c>
      <c r="B479" s="4" t="str">
        <f>Registered!A1149</f>
        <v>Kristina</v>
      </c>
      <c r="C479" s="4" t="str">
        <f>IF(Registered!AR1149&gt;0,Registered!AR1149&amp;" Color Bags", "")</f>
        <v>10 Color Bags</v>
      </c>
      <c r="D479" s="4" t="str">
        <f>IF(Registered!AS1149&gt;0,(IF(Registered!AS1149=1,Registered!AS1149&amp;" T-Shirt",Registered!AS1149&amp;" T-Shirts")), "")</f>
        <v/>
      </c>
      <c r="E479" s="4" t="str">
        <f>Registered!AT1149</f>
        <v/>
      </c>
      <c r="F479" s="4" t="str">
        <f>Registered!AU1149</f>
        <v/>
      </c>
      <c r="G479" s="4" t="str">
        <f>Registered!AW1149</f>
        <v>4 Meals</v>
      </c>
      <c r="H479" s="4" t="str">
        <f>Registered!AX1149</f>
        <v/>
      </c>
      <c r="I479" s="4" t="str">
        <f>Registered!AY1149</f>
        <v/>
      </c>
    </row>
    <row r="480" spans="1:9" x14ac:dyDescent="0.25">
      <c r="A480" s="4" t="str">
        <f>Registered!B1155</f>
        <v>Hopkins</v>
      </c>
      <c r="B480" s="4" t="str">
        <f>Registered!A1155</f>
        <v>Neva</v>
      </c>
      <c r="C480" s="4" t="str">
        <f>IF(Registered!AR1155&gt;0,Registered!AR1155&amp;" Color Bags", "")</f>
        <v>10 Color Bags</v>
      </c>
      <c r="D480" s="4" t="str">
        <f>IF(Registered!AS1155&gt;0,(IF(Registered!AS1155=1,Registered!AS1155&amp;" T-Shirt",Registered!AS1155&amp;" T-Shirts")), "")</f>
        <v/>
      </c>
      <c r="E480" s="4" t="str">
        <f>Registered!AT1155</f>
        <v/>
      </c>
      <c r="F480" s="4" t="str">
        <f>Registered!AU1155</f>
        <v/>
      </c>
      <c r="G480" s="4" t="str">
        <f>Registered!AW1155</f>
        <v/>
      </c>
      <c r="H480" s="4" t="str">
        <f>Registered!AX1155</f>
        <v/>
      </c>
      <c r="I480" s="4" t="str">
        <f>Registered!AY1155</f>
        <v/>
      </c>
    </row>
    <row r="481" spans="1:9" x14ac:dyDescent="0.25">
      <c r="A481" s="4" t="str">
        <f>Registered!B1152</f>
        <v>Hopkins</v>
      </c>
      <c r="B481" s="4" t="str">
        <f>Registered!A1152</f>
        <v>Candice</v>
      </c>
      <c r="C481" s="4" t="str">
        <f>IF(Registered!AR1152&gt;0,Registered!AR1152&amp;" Color Bags", "")</f>
        <v>15 Color Bags</v>
      </c>
      <c r="D481" s="4" t="str">
        <f>IF(Registered!AS1152&gt;0,(IF(Registered!AS1152=1,Registered!AS1152&amp;" T-Shirt",Registered!AS1152&amp;" T-Shirts")), "")</f>
        <v/>
      </c>
      <c r="E481" s="4" t="str">
        <f>Registered!AT1152</f>
        <v/>
      </c>
      <c r="F481" s="4" t="str">
        <f>Registered!AU1152</f>
        <v/>
      </c>
      <c r="G481" s="4" t="str">
        <f>Registered!AW1152</f>
        <v/>
      </c>
      <c r="H481" s="4" t="str">
        <f>Registered!AX1152</f>
        <v/>
      </c>
      <c r="I481" s="4" t="str">
        <f>Registered!AY1152</f>
        <v/>
      </c>
    </row>
    <row r="482" spans="1:9" x14ac:dyDescent="0.25">
      <c r="A482" s="4" t="str">
        <f>Registered!B1160</f>
        <v>Horton</v>
      </c>
      <c r="B482" s="4" t="str">
        <f>Registered!A1160</f>
        <v>Austin</v>
      </c>
      <c r="C482" s="4" t="str">
        <f>IF(Registered!AR1160&gt;0,Registered!AR1160&amp;" Color Bags", "")</f>
        <v>25 Color Bags</v>
      </c>
      <c r="D482" s="4" t="str">
        <f>IF(Registered!AS1160&gt;0,(IF(Registered!AS1160=1,Registered!AS1160&amp;" T-Shirt",Registered!AS1160&amp;" T-Shirts")), "")</f>
        <v/>
      </c>
      <c r="E482" s="4" t="str">
        <f>Registered!AT1160</f>
        <v/>
      </c>
      <c r="F482" s="4" t="str">
        <f>Registered!AU1160</f>
        <v/>
      </c>
      <c r="G482" s="4" t="str">
        <f>Registered!AW1160</f>
        <v/>
      </c>
      <c r="H482" s="4" t="str">
        <f>Registered!AX1160</f>
        <v/>
      </c>
      <c r="I482" s="4" t="str">
        <f>Registered!AY1160</f>
        <v/>
      </c>
    </row>
    <row r="483" spans="1:9" x14ac:dyDescent="0.25">
      <c r="A483" s="4" t="str">
        <f>Registered!B1159</f>
        <v>Horton</v>
      </c>
      <c r="B483" s="4" t="str">
        <f>Registered!A1159</f>
        <v>Anadine</v>
      </c>
      <c r="C483" s="4" t="str">
        <f>IF(Registered!AR1159&gt;0,Registered!AR1159&amp;" Color Bags", "")</f>
        <v>5 Color Bags</v>
      </c>
      <c r="D483" s="4" t="str">
        <f>IF(Registered!AS1159&gt;0,(IF(Registered!AS1159=1,Registered!AS1159&amp;" T-Shirt",Registered!AS1159&amp;" T-Shirts")), "")</f>
        <v/>
      </c>
      <c r="E483" s="4" t="str">
        <f>Registered!AT1159</f>
        <v/>
      </c>
      <c r="F483" s="4" t="str">
        <f>Registered!AU1159</f>
        <v/>
      </c>
      <c r="G483" s="4" t="str">
        <f>Registered!AW1159</f>
        <v>4 Meals</v>
      </c>
      <c r="H483" s="4" t="str">
        <f>Registered!AX1159</f>
        <v/>
      </c>
      <c r="I483" s="4" t="str">
        <f>Registered!AY1159</f>
        <v/>
      </c>
    </row>
    <row r="484" spans="1:9" x14ac:dyDescent="0.25">
      <c r="A484" s="4" t="str">
        <f>Registered!B1165</f>
        <v>Hovanec</v>
      </c>
      <c r="B484" s="4" t="str">
        <f>Registered!A1165</f>
        <v>Matthew</v>
      </c>
      <c r="C484" s="4" t="str">
        <f>IF(Registered!AR1165&gt;0,Registered!AR1165&amp;" Color Bags", "")</f>
        <v>10 Color Bags</v>
      </c>
      <c r="D484" s="4" t="str">
        <f>IF(Registered!AS1165&gt;0,(IF(Registered!AS1165=1,Registered!AS1165&amp;" T-Shirt",Registered!AS1165&amp;" T-Shirts")), "")</f>
        <v/>
      </c>
      <c r="E484" s="4" t="str">
        <f>Registered!AT1165</f>
        <v/>
      </c>
      <c r="F484" s="4" t="str">
        <f>Registered!AU1165</f>
        <v/>
      </c>
      <c r="G484" s="4" t="str">
        <f>Registered!AW1165</f>
        <v/>
      </c>
      <c r="H484" s="4" t="str">
        <f>Registered!AX1165</f>
        <v/>
      </c>
      <c r="I484" s="4" t="str">
        <f>Registered!AY1165</f>
        <v/>
      </c>
    </row>
    <row r="485" spans="1:9" x14ac:dyDescent="0.25">
      <c r="A485" s="4" t="str">
        <f>Registered!B1168</f>
        <v>Howard</v>
      </c>
      <c r="B485" s="4" t="str">
        <f>Registered!A1168</f>
        <v>Sara</v>
      </c>
      <c r="C485" s="4" t="str">
        <f>IF(Registered!AR1168&gt;0,Registered!AR1168&amp;" Color Bags", "")</f>
        <v>10 Color Bags</v>
      </c>
      <c r="D485" s="4" t="str">
        <f>IF(Registered!AS1168&gt;0,(IF(Registered!AS1168=1,Registered!AS1168&amp;" T-Shirt",Registered!AS1168&amp;" T-Shirts")), "")</f>
        <v/>
      </c>
      <c r="E485" s="4" t="str">
        <f>Registered!AT1168</f>
        <v/>
      </c>
      <c r="F485" s="4" t="str">
        <f>Registered!AU1168</f>
        <v/>
      </c>
      <c r="G485" s="4" t="str">
        <f>Registered!AW1168</f>
        <v>2 Meals</v>
      </c>
      <c r="H485" s="4" t="str">
        <f>Registered!AX1168</f>
        <v/>
      </c>
      <c r="I485" s="4" t="str">
        <f>Registered!AY1168</f>
        <v/>
      </c>
    </row>
    <row r="486" spans="1:9" x14ac:dyDescent="0.25">
      <c r="A486" s="4" t="str">
        <f>Registered!B1169</f>
        <v>Howe</v>
      </c>
      <c r="B486" s="4" t="str">
        <f>Registered!A1169</f>
        <v>Britni</v>
      </c>
      <c r="C486" s="4" t="str">
        <f>IF(Registered!AR1169&gt;0,Registered!AR1169&amp;" Color Bags", "")</f>
        <v>10 Color Bags</v>
      </c>
      <c r="D486" s="4" t="str">
        <f>IF(Registered!AS1169&gt;0,(IF(Registered!AS1169=1,Registered!AS1169&amp;" T-Shirt",Registered!AS1169&amp;" T-Shirts")), "")</f>
        <v/>
      </c>
      <c r="E486" s="4" t="str">
        <f>Registered!AT1169</f>
        <v/>
      </c>
      <c r="F486" s="4" t="str">
        <f>Registered!AU1169</f>
        <v/>
      </c>
      <c r="G486" s="4" t="str">
        <f>Registered!AW1169</f>
        <v/>
      </c>
      <c r="H486" s="4" t="str">
        <f>Registered!AX1169</f>
        <v/>
      </c>
      <c r="I486" s="4" t="str">
        <f>Registered!AY1169</f>
        <v/>
      </c>
    </row>
    <row r="487" spans="1:9" x14ac:dyDescent="0.25">
      <c r="A487" s="4" t="str">
        <f>Registered!B1171</f>
        <v>Howells</v>
      </c>
      <c r="B487" s="4" t="str">
        <f>Registered!A1171</f>
        <v>Mary</v>
      </c>
      <c r="C487" s="4" t="str">
        <f>IF(Registered!AR1171&gt;0,Registered!AR1171&amp;" Color Bags", "")</f>
        <v>5 Color Bags</v>
      </c>
      <c r="D487" s="4" t="str">
        <f>IF(Registered!AS1171&gt;0,(IF(Registered!AS1171=1,Registered!AS1171&amp;" T-Shirt",Registered!AS1171&amp;" T-Shirts")), "")</f>
        <v/>
      </c>
      <c r="E487" s="4" t="str">
        <f>Registered!AT1171</f>
        <v/>
      </c>
      <c r="F487" s="4" t="str">
        <f>Registered!AU1171</f>
        <v/>
      </c>
      <c r="G487" s="4" t="str">
        <f>Registered!AW1171</f>
        <v/>
      </c>
      <c r="H487" s="4" t="str">
        <f>Registered!AX1171</f>
        <v/>
      </c>
      <c r="I487" s="4" t="str">
        <f>Registered!AY1171</f>
        <v/>
      </c>
    </row>
    <row r="488" spans="1:9" x14ac:dyDescent="0.25">
      <c r="A488" s="4" t="str">
        <f>Registered!B1175</f>
        <v>Huang</v>
      </c>
      <c r="B488" s="4" t="str">
        <f>Registered!A1175</f>
        <v>Eddie</v>
      </c>
      <c r="C488" s="4" t="str">
        <f>IF(Registered!AR1175&gt;0,Registered!AR1175&amp;" Color Bags", "")</f>
        <v>20 Color Bags</v>
      </c>
      <c r="D488" s="4" t="str">
        <f>IF(Registered!AS1175&gt;0,(IF(Registered!AS1175=1,Registered!AS1175&amp;" T-Shirt",Registered!AS1175&amp;" T-Shirts")), "")</f>
        <v/>
      </c>
      <c r="E488" s="4" t="str">
        <f>Registered!AT1175</f>
        <v/>
      </c>
      <c r="F488" s="4" t="str">
        <f>Registered!AU1175</f>
        <v>2 Bandanas</v>
      </c>
      <c r="G488" s="4" t="str">
        <f>Registered!AW1175</f>
        <v>2 Meals</v>
      </c>
      <c r="H488" s="4" t="str">
        <f>Registered!AX1175</f>
        <v/>
      </c>
      <c r="I488" s="4" t="str">
        <f>Registered!AY1175</f>
        <v/>
      </c>
    </row>
    <row r="489" spans="1:9" x14ac:dyDescent="0.25">
      <c r="A489" s="4" t="str">
        <f>Registered!B1177</f>
        <v>Hudak</v>
      </c>
      <c r="B489" s="4" t="str">
        <f>Registered!A1177</f>
        <v>Rob</v>
      </c>
      <c r="C489" s="4" t="str">
        <f>IF(Registered!AR1177&gt;0,Registered!AR1177&amp;" Color Bags", "")</f>
        <v>5 Color Bags</v>
      </c>
      <c r="D489" s="4" t="str">
        <f>IF(Registered!AS1177&gt;0,(IF(Registered!AS1177=1,Registered!AS1177&amp;" T-Shirt",Registered!AS1177&amp;" T-Shirts")), "")</f>
        <v/>
      </c>
      <c r="E489" s="4" t="str">
        <f>Registered!AT1177</f>
        <v/>
      </c>
      <c r="F489" s="4" t="str">
        <f>Registered!AU1177</f>
        <v/>
      </c>
      <c r="G489" s="4" t="str">
        <f>Registered!AW1177</f>
        <v>1 Meal</v>
      </c>
      <c r="H489" s="4" t="str">
        <f>Registered!AX1177</f>
        <v/>
      </c>
      <c r="I489" s="4" t="str">
        <f>Registered!AY1177</f>
        <v/>
      </c>
    </row>
    <row r="490" spans="1:9" x14ac:dyDescent="0.25">
      <c r="A490" s="4" t="str">
        <f>Registered!B1178</f>
        <v>Huddleston</v>
      </c>
      <c r="B490" s="4" t="str">
        <f>Registered!A1178</f>
        <v>Tauni</v>
      </c>
      <c r="C490" s="4" t="str">
        <f>IF(Registered!AR1178&gt;0,Registered!AR1178&amp;" Color Bags", "")</f>
        <v>10 Color Bags</v>
      </c>
      <c r="D490" s="4" t="str">
        <f>IF(Registered!AS1178&gt;0,(IF(Registered!AS1178=1,Registered!AS1178&amp;" T-Shirt",Registered!AS1178&amp;" T-Shirts")), "")</f>
        <v/>
      </c>
      <c r="E490" s="4" t="str">
        <f>Registered!AT1178</f>
        <v/>
      </c>
      <c r="F490" s="4" t="str">
        <f>Registered!AU1178</f>
        <v/>
      </c>
      <c r="G490" s="4" t="str">
        <f>Registered!AW1178</f>
        <v/>
      </c>
      <c r="H490" s="4" t="str">
        <f>Registered!AX1178</f>
        <v/>
      </c>
      <c r="I490" s="4" t="str">
        <f>Registered!AY1178</f>
        <v/>
      </c>
    </row>
    <row r="491" spans="1:9" x14ac:dyDescent="0.25">
      <c r="A491" s="4" t="str">
        <f>Registered!B1181</f>
        <v>Hugentobler</v>
      </c>
      <c r="B491" s="4" t="str">
        <f>Registered!A1181</f>
        <v>Sara</v>
      </c>
      <c r="C491" s="4" t="str">
        <f>IF(Registered!AR1181&gt;0,Registered!AR1181&amp;" Color Bags", "")</f>
        <v>5 Color Bags</v>
      </c>
      <c r="D491" s="4" t="str">
        <f>IF(Registered!AS1181&gt;0,(IF(Registered!AS1181=1,Registered!AS1181&amp;" T-Shirt",Registered!AS1181&amp;" T-Shirts")), "")</f>
        <v/>
      </c>
      <c r="E491" s="4" t="str">
        <f>Registered!AT1181</f>
        <v/>
      </c>
      <c r="F491" s="4" t="str">
        <f>Registered!AU1181</f>
        <v/>
      </c>
      <c r="G491" s="4" t="str">
        <f>Registered!AW1181</f>
        <v>2 Meals</v>
      </c>
      <c r="H491" s="4" t="str">
        <f>Registered!AX1181</f>
        <v/>
      </c>
      <c r="I491" s="4" t="str">
        <f>Registered!AY1181</f>
        <v/>
      </c>
    </row>
    <row r="492" spans="1:9" x14ac:dyDescent="0.25">
      <c r="A492" s="4" t="str">
        <f>Registered!B1186</f>
        <v>Hunsaker</v>
      </c>
      <c r="B492" s="4" t="str">
        <f>Registered!A1186</f>
        <v>Aleena</v>
      </c>
      <c r="C492" s="4" t="str">
        <f>IF(Registered!AR1186&gt;0,Registered!AR1186&amp;" Color Bags", "")</f>
        <v>10 Color Bags</v>
      </c>
      <c r="D492" s="4" t="str">
        <f>IF(Registered!AS1186&gt;0,(IF(Registered!AS1186=1,Registered!AS1186&amp;" T-Shirt",Registered!AS1186&amp;" T-Shirts")), "")</f>
        <v/>
      </c>
      <c r="E492" s="4" t="str">
        <f>Registered!AT1186</f>
        <v/>
      </c>
      <c r="F492" s="4" t="str">
        <f>Registered!AU1186</f>
        <v/>
      </c>
      <c r="G492" s="4" t="str">
        <f>Registered!AW1186</f>
        <v/>
      </c>
      <c r="H492" s="4" t="str">
        <f>Registered!AX1186</f>
        <v/>
      </c>
      <c r="I492" s="4" t="str">
        <f>Registered!AY1186</f>
        <v/>
      </c>
    </row>
    <row r="493" spans="1:9" x14ac:dyDescent="0.25">
      <c r="A493" s="4" t="str">
        <f>Registered!B1190</f>
        <v>Hunt</v>
      </c>
      <c r="B493" s="4" t="str">
        <f>Registered!A1190</f>
        <v>Mercedes</v>
      </c>
      <c r="C493" s="4" t="str">
        <f>IF(Registered!AR1190&gt;0,Registered!AR1190&amp;" Color Bags", "")</f>
        <v>15 Color Bags</v>
      </c>
      <c r="D493" s="4" t="str">
        <f>IF(Registered!AS1190&gt;0,(IF(Registered!AS1190=1,Registered!AS1190&amp;" T-Shirt",Registered!AS1190&amp;" T-Shirts")), "")</f>
        <v/>
      </c>
      <c r="E493" s="4" t="str">
        <f>Registered!AT1190</f>
        <v/>
      </c>
      <c r="F493" s="4" t="str">
        <f>Registered!AU1190</f>
        <v/>
      </c>
      <c r="G493" s="4" t="str">
        <f>Registered!AW1190</f>
        <v/>
      </c>
      <c r="H493" s="4" t="str">
        <f>Registered!AX1190</f>
        <v/>
      </c>
      <c r="I493" s="4" t="str">
        <f>Registered!AY1190</f>
        <v/>
      </c>
    </row>
    <row r="494" spans="1:9" x14ac:dyDescent="0.25">
      <c r="A494" s="4" t="str">
        <f>Registered!B1189</f>
        <v>Hunt</v>
      </c>
      <c r="B494" s="4" t="str">
        <f>Registered!A1189</f>
        <v>Jessica</v>
      </c>
      <c r="C494" s="4" t="str">
        <f>IF(Registered!AR1189&gt;0,Registered!AR1189&amp;" Color Bags", "")</f>
        <v>30 Color Bags</v>
      </c>
      <c r="D494" s="4" t="str">
        <f>IF(Registered!AS1189&gt;0,(IF(Registered!AS1189=1,Registered!AS1189&amp;" T-Shirt",Registered!AS1189&amp;" T-Shirts")), "")</f>
        <v/>
      </c>
      <c r="E494" s="4" t="str">
        <f>Registered!AT1189</f>
        <v/>
      </c>
      <c r="F494" s="4" t="str">
        <f>Registered!AU1189</f>
        <v/>
      </c>
      <c r="G494" s="4" t="str">
        <f>Registered!AW1189</f>
        <v/>
      </c>
      <c r="H494" s="4" t="str">
        <f>Registered!AX1189</f>
        <v/>
      </c>
      <c r="I494" s="4" t="str">
        <f>Registered!AY1189</f>
        <v/>
      </c>
    </row>
    <row r="495" spans="1:9" x14ac:dyDescent="0.25">
      <c r="A495" s="4" t="str">
        <f>Registered!B1193</f>
        <v>Hunter</v>
      </c>
      <c r="B495" s="4" t="str">
        <f>Registered!A1193</f>
        <v>Nina</v>
      </c>
      <c r="C495" s="4" t="str">
        <f>IF(Registered!AR1193&gt;0,Registered!AR1193&amp;" Color Bags", "")</f>
        <v>5 Color Bags</v>
      </c>
      <c r="D495" s="4" t="str">
        <f>IF(Registered!AS1193&gt;0,(IF(Registered!AS1193=1,Registered!AS1193&amp;" T-Shirt",Registered!AS1193&amp;" T-Shirts")), "")</f>
        <v/>
      </c>
      <c r="E495" s="4" t="str">
        <f>Registered!AT1193</f>
        <v/>
      </c>
      <c r="F495" s="4" t="str">
        <f>Registered!AU1193</f>
        <v/>
      </c>
      <c r="G495" s="4" t="str">
        <f>Registered!AW1193</f>
        <v/>
      </c>
      <c r="H495" s="4" t="str">
        <f>Registered!AX1193</f>
        <v/>
      </c>
      <c r="I495" s="4" t="str">
        <f>Registered!AY1193</f>
        <v/>
      </c>
    </row>
    <row r="496" spans="1:9" x14ac:dyDescent="0.25">
      <c r="A496" s="4" t="str">
        <f>Registered!B1194</f>
        <v>Huppi</v>
      </c>
      <c r="B496" s="4" t="str">
        <f>Registered!A1194</f>
        <v>Becca</v>
      </c>
      <c r="C496" s="4" t="str">
        <f>IF(Registered!AR1194&gt;0,Registered!AR1194&amp;" Color Bags", "")</f>
        <v>5 Color Bags</v>
      </c>
      <c r="D496" s="4" t="str">
        <f>IF(Registered!AS1194&gt;0,(IF(Registered!AS1194=1,Registered!AS1194&amp;" T-Shirt",Registered!AS1194&amp;" T-Shirts")), "")</f>
        <v/>
      </c>
      <c r="E496" s="4" t="str">
        <f>Registered!AT1194</f>
        <v/>
      </c>
      <c r="F496" s="4" t="str">
        <f>Registered!AU1194</f>
        <v/>
      </c>
      <c r="G496" s="4" t="str">
        <f>Registered!AW1194</f>
        <v/>
      </c>
      <c r="H496" s="4" t="str">
        <f>Registered!AX1194</f>
        <v/>
      </c>
      <c r="I496" s="4" t="str">
        <f>Registered!AY1194</f>
        <v/>
      </c>
    </row>
    <row r="497" spans="1:9" x14ac:dyDescent="0.25">
      <c r="A497" s="4" t="str">
        <f>Registered!B1198</f>
        <v>Hurty</v>
      </c>
      <c r="B497" s="4" t="str">
        <f>Registered!A1198</f>
        <v>Tim</v>
      </c>
      <c r="C497" s="4" t="str">
        <f>IF(Registered!AR1198&gt;0,Registered!AR1198&amp;" Color Bags", "")</f>
        <v>10 Color Bags</v>
      </c>
      <c r="D497" s="4" t="str">
        <f>IF(Registered!AS1198&gt;0,(IF(Registered!AS1198=1,Registered!AS1198&amp;" T-Shirt",Registered!AS1198&amp;" T-Shirts")), "")</f>
        <v/>
      </c>
      <c r="E497" s="4" t="str">
        <f>Registered!AT1198</f>
        <v/>
      </c>
      <c r="F497" s="4" t="str">
        <f>Registered!AU1198</f>
        <v/>
      </c>
      <c r="G497" s="4" t="str">
        <f>Registered!AW1198</f>
        <v/>
      </c>
      <c r="H497" s="4" t="str">
        <f>Registered!AX1198</f>
        <v/>
      </c>
      <c r="I497" s="4" t="str">
        <f>Registered!AY1198</f>
        <v/>
      </c>
    </row>
    <row r="498" spans="1:9" x14ac:dyDescent="0.25">
      <c r="A498" s="4" t="str">
        <f>Registered!B1202</f>
        <v>Hutchinson</v>
      </c>
      <c r="B498" s="4" t="str">
        <f>Registered!A1202</f>
        <v>Virginia</v>
      </c>
      <c r="C498" s="4" t="str">
        <f>IF(Registered!AR1202&gt;0,Registered!AR1202&amp;" Color Bags", "")</f>
        <v>15 Color Bags</v>
      </c>
      <c r="D498" s="4" t="str">
        <f>IF(Registered!AS1202&gt;0,(IF(Registered!AS1202=1,Registered!AS1202&amp;" T-Shirt",Registered!AS1202&amp;" T-Shirts")), "")</f>
        <v/>
      </c>
      <c r="E498" s="4" t="str">
        <f>Registered!AT1202</f>
        <v/>
      </c>
      <c r="F498" s="4" t="str">
        <f>Registered!AU1202</f>
        <v/>
      </c>
      <c r="G498" s="4" t="str">
        <f>Registered!AW1202</f>
        <v/>
      </c>
      <c r="H498" s="4" t="str">
        <f>Registered!AX1202</f>
        <v/>
      </c>
      <c r="I498" s="4" t="str">
        <f>Registered!AY1202</f>
        <v/>
      </c>
    </row>
    <row r="499" spans="1:9" x14ac:dyDescent="0.25">
      <c r="A499" s="4" t="str">
        <f>Registered!B1205</f>
        <v>Hyte</v>
      </c>
      <c r="B499" s="4" t="str">
        <f>Registered!A1205</f>
        <v>Heidi</v>
      </c>
      <c r="C499" s="4" t="str">
        <f>IF(Registered!AR1205&gt;0,Registered!AR1205&amp;" Color Bags", "")</f>
        <v>10 Color Bags</v>
      </c>
      <c r="D499" s="4" t="str">
        <f>IF(Registered!AS1205&gt;0,(IF(Registered!AS1205=1,Registered!AS1205&amp;" T-Shirt",Registered!AS1205&amp;" T-Shirts")), "")</f>
        <v/>
      </c>
      <c r="E499" s="4" t="str">
        <f>Registered!AT1205</f>
        <v/>
      </c>
      <c r="F499" s="4" t="str">
        <f>Registered!AU1205</f>
        <v/>
      </c>
      <c r="G499" s="4" t="str">
        <f>Registered!AW1205</f>
        <v/>
      </c>
      <c r="H499" s="4" t="str">
        <f>Registered!AX1205</f>
        <v/>
      </c>
      <c r="I499" s="4" t="str">
        <f>Registered!AY1205</f>
        <v>1 DustMask</v>
      </c>
    </row>
    <row r="500" spans="1:9" x14ac:dyDescent="0.25">
      <c r="A500" s="4" t="str">
        <f>Registered!B1206</f>
        <v>Ingoglia</v>
      </c>
      <c r="B500" s="4" t="str">
        <f>Registered!A1206</f>
        <v>Joseph</v>
      </c>
      <c r="C500" s="4" t="str">
        <f>IF(Registered!AR1206&gt;0,Registered!AR1206&amp;" Color Bags", "")</f>
        <v>5 Color Bags</v>
      </c>
      <c r="D500" s="4" t="str">
        <f>IF(Registered!AS1206&gt;0,(IF(Registered!AS1206=1,Registered!AS1206&amp;" T-Shirt",Registered!AS1206&amp;" T-Shirts")), "")</f>
        <v/>
      </c>
      <c r="E500" s="4" t="str">
        <f>Registered!AT1206</f>
        <v/>
      </c>
      <c r="F500" s="4" t="str">
        <f>Registered!AU1206</f>
        <v/>
      </c>
      <c r="G500" s="4" t="str">
        <f>Registered!AW1206</f>
        <v/>
      </c>
      <c r="H500" s="4" t="str">
        <f>Registered!AX1206</f>
        <v/>
      </c>
      <c r="I500" s="4" t="str">
        <f>Registered!AY1206</f>
        <v/>
      </c>
    </row>
    <row r="501" spans="1:9" x14ac:dyDescent="0.25">
      <c r="A501" s="4" t="str">
        <f>Registered!B1207</f>
        <v>Ipson</v>
      </c>
      <c r="B501" s="4" t="str">
        <f>Registered!A1207</f>
        <v>Hailee</v>
      </c>
      <c r="C501" s="4" t="str">
        <f>IF(Registered!AR1207&gt;0,Registered!AR1207&amp;" Color Bags", "")</f>
        <v>5 Color Bags</v>
      </c>
      <c r="D501" s="4" t="str">
        <f>IF(Registered!AS1207&gt;0,(IF(Registered!AS1207=1,Registered!AS1207&amp;" T-Shirt",Registered!AS1207&amp;" T-Shirts")), "")</f>
        <v/>
      </c>
      <c r="E501" s="4" t="str">
        <f>Registered!AT1207</f>
        <v/>
      </c>
      <c r="F501" s="4" t="str">
        <f>Registered!AU1207</f>
        <v/>
      </c>
      <c r="G501" s="4" t="str">
        <f>Registered!AW1207</f>
        <v/>
      </c>
      <c r="H501" s="4" t="str">
        <f>Registered!AX1207</f>
        <v/>
      </c>
      <c r="I501" s="4" t="str">
        <f>Registered!AY1207</f>
        <v/>
      </c>
    </row>
    <row r="502" spans="1:9" x14ac:dyDescent="0.25">
      <c r="A502" s="4" t="str">
        <f>Registered!B1210</f>
        <v>Ithurralde</v>
      </c>
      <c r="B502" s="4" t="str">
        <f>Registered!A1210</f>
        <v>Anthony</v>
      </c>
      <c r="C502" s="4" t="str">
        <f>IF(Registered!AR1210&gt;0,Registered!AR1210&amp;" Color Bags", "")</f>
        <v>5 Color Bags</v>
      </c>
      <c r="D502" s="4" t="str">
        <f>IF(Registered!AS1210&gt;0,(IF(Registered!AS1210=1,Registered!AS1210&amp;" T-Shirt",Registered!AS1210&amp;" T-Shirts")), "")</f>
        <v/>
      </c>
      <c r="E502" s="4" t="str">
        <f>Registered!AT1210</f>
        <v/>
      </c>
      <c r="F502" s="4" t="str">
        <f>Registered!AU1210</f>
        <v/>
      </c>
      <c r="G502" s="4" t="str">
        <f>Registered!AW1210</f>
        <v>1 Meal</v>
      </c>
      <c r="H502" s="4" t="str">
        <f>Registered!AX1210</f>
        <v/>
      </c>
      <c r="I502" s="4" t="str">
        <f>Registered!AY1210</f>
        <v/>
      </c>
    </row>
    <row r="503" spans="1:9" x14ac:dyDescent="0.25">
      <c r="A503" s="4" t="str">
        <f>Registered!B1211</f>
        <v>Ito</v>
      </c>
      <c r="B503" s="4" t="str">
        <f>Registered!A1211</f>
        <v>Hiroki</v>
      </c>
      <c r="C503" s="4" t="str">
        <f>IF(Registered!AR1211&gt;0,Registered!AR1211&amp;" Color Bags", "")</f>
        <v>10 Color Bags</v>
      </c>
      <c r="D503" s="4" t="str">
        <f>IF(Registered!AS1211&gt;0,(IF(Registered!AS1211=1,Registered!AS1211&amp;" T-Shirt",Registered!AS1211&amp;" T-Shirts")), "")</f>
        <v>1 T-Shirt</v>
      </c>
      <c r="E503" s="4" t="str">
        <f>Registered!AT1211</f>
        <v>S</v>
      </c>
      <c r="F503" s="4" t="str">
        <f>Registered!AU1211</f>
        <v/>
      </c>
      <c r="G503" s="4" t="str">
        <f>Registered!AW1211</f>
        <v/>
      </c>
      <c r="H503" s="4" t="str">
        <f>Registered!AX1211</f>
        <v/>
      </c>
      <c r="I503" s="4" t="str">
        <f>Registered!AY1211</f>
        <v/>
      </c>
    </row>
    <row r="504" spans="1:9" x14ac:dyDescent="0.25">
      <c r="A504" s="4" t="str">
        <f>Registered!B1213</f>
        <v>Jackson</v>
      </c>
      <c r="B504" s="4" t="str">
        <f>Registered!A1213</f>
        <v>Scott</v>
      </c>
      <c r="C504" s="4" t="str">
        <f>IF(Registered!AR1213&gt;0,Registered!AR1213&amp;" Color Bags", "")</f>
        <v>10 Color Bags</v>
      </c>
      <c r="D504" s="4" t="str">
        <f>IF(Registered!AS1213&gt;0,(IF(Registered!AS1213=1,Registered!AS1213&amp;" T-Shirt",Registered!AS1213&amp;" T-Shirts")), "")</f>
        <v/>
      </c>
      <c r="E504" s="4" t="str">
        <f>Registered!AT1213</f>
        <v/>
      </c>
      <c r="F504" s="4" t="str">
        <f>Registered!AU1213</f>
        <v/>
      </c>
      <c r="G504" s="4" t="str">
        <f>Registered!AW1213</f>
        <v/>
      </c>
      <c r="H504" s="4" t="str">
        <f>Registered!AX1213</f>
        <v/>
      </c>
      <c r="I504" s="4" t="str">
        <f>Registered!AY1213</f>
        <v/>
      </c>
    </row>
    <row r="505" spans="1:9" x14ac:dyDescent="0.25">
      <c r="A505" s="4" t="str">
        <f>Registered!B1215</f>
        <v>Jacobson</v>
      </c>
      <c r="B505" s="4" t="str">
        <f>Registered!A1215</f>
        <v>Jenna</v>
      </c>
      <c r="C505" s="4" t="str">
        <f>IF(Registered!AR1215&gt;0,Registered!AR1215&amp;" Color Bags", "")</f>
        <v>5 Color Bags</v>
      </c>
      <c r="D505" s="4" t="str">
        <f>IF(Registered!AS1215&gt;0,(IF(Registered!AS1215=1,Registered!AS1215&amp;" T-Shirt",Registered!AS1215&amp;" T-Shirts")), "")</f>
        <v/>
      </c>
      <c r="E505" s="4" t="str">
        <f>Registered!AT1215</f>
        <v/>
      </c>
      <c r="F505" s="4" t="str">
        <f>Registered!AU1215</f>
        <v/>
      </c>
      <c r="G505" s="4" t="str">
        <f>Registered!AW1215</f>
        <v/>
      </c>
      <c r="H505" s="4" t="str">
        <f>Registered!AX1215</f>
        <v/>
      </c>
      <c r="I505" s="4" t="str">
        <f>Registered!AY1215</f>
        <v/>
      </c>
    </row>
    <row r="506" spans="1:9" x14ac:dyDescent="0.25">
      <c r="A506" s="4" t="str">
        <f>Registered!B1217</f>
        <v>Jakobsen</v>
      </c>
      <c r="B506" s="4" t="str">
        <f>Registered!A1217</f>
        <v>Rachel</v>
      </c>
      <c r="C506" s="4" t="str">
        <f>IF(Registered!AR1217&gt;0,Registered!AR1217&amp;" Color Bags", "")</f>
        <v>5 Color Bags</v>
      </c>
      <c r="D506" s="4" t="str">
        <f>IF(Registered!AS1217&gt;0,(IF(Registered!AS1217=1,Registered!AS1217&amp;" T-Shirt",Registered!AS1217&amp;" T-Shirts")), "")</f>
        <v/>
      </c>
      <c r="E506" s="4" t="str">
        <f>Registered!AT1217</f>
        <v/>
      </c>
      <c r="F506" s="4" t="str">
        <f>Registered!AU1217</f>
        <v/>
      </c>
      <c r="G506" s="4" t="str">
        <f>Registered!AW1217</f>
        <v>1 Meal</v>
      </c>
      <c r="H506" s="4" t="str">
        <f>Registered!AX1217</f>
        <v/>
      </c>
      <c r="I506" s="4" t="str">
        <f>Registered!AY1217</f>
        <v/>
      </c>
    </row>
    <row r="507" spans="1:9" x14ac:dyDescent="0.25">
      <c r="A507" s="4" t="str">
        <f>Registered!B1218</f>
        <v>James</v>
      </c>
      <c r="B507" s="4" t="str">
        <f>Registered!A1218</f>
        <v>Logan</v>
      </c>
      <c r="C507" s="4" t="str">
        <f>IF(Registered!AR1218&gt;0,Registered!AR1218&amp;" Color Bags", "")</f>
        <v>15 Color Bags</v>
      </c>
      <c r="D507" s="4" t="str">
        <f>IF(Registered!AS1218&gt;0,(IF(Registered!AS1218=1,Registered!AS1218&amp;" T-Shirt",Registered!AS1218&amp;" T-Shirts")), "")</f>
        <v/>
      </c>
      <c r="E507" s="4" t="str">
        <f>Registered!AT1218</f>
        <v/>
      </c>
      <c r="F507" s="4" t="str">
        <f>Registered!AU1218</f>
        <v/>
      </c>
      <c r="G507" s="4" t="str">
        <f>Registered!AW1218</f>
        <v/>
      </c>
      <c r="H507" s="4" t="str">
        <f>Registered!AX1218</f>
        <v/>
      </c>
      <c r="I507" s="4" t="str">
        <f>Registered!AY1218</f>
        <v/>
      </c>
    </row>
    <row r="508" spans="1:9" x14ac:dyDescent="0.25">
      <c r="A508" s="4" t="str">
        <f>Registered!B1220</f>
        <v>Jefferies</v>
      </c>
      <c r="B508" s="4" t="str">
        <f>Registered!A1220</f>
        <v>Sean</v>
      </c>
      <c r="C508" s="4" t="str">
        <f>IF(Registered!AR1220&gt;0,Registered!AR1220&amp;" Color Bags", "")</f>
        <v>5 Color Bags</v>
      </c>
      <c r="D508" s="4" t="str">
        <f>IF(Registered!AS1220&gt;0,(IF(Registered!AS1220=1,Registered!AS1220&amp;" T-Shirt",Registered!AS1220&amp;" T-Shirts")), "")</f>
        <v/>
      </c>
      <c r="E508" s="4" t="str">
        <f>Registered!AT1220</f>
        <v/>
      </c>
      <c r="F508" s="4" t="str">
        <f>Registered!AU1220</f>
        <v/>
      </c>
      <c r="G508" s="4" t="str">
        <f>Registered!AW1220</f>
        <v/>
      </c>
      <c r="H508" s="4" t="str">
        <f>Registered!AX1220</f>
        <v/>
      </c>
      <c r="I508" s="4" t="str">
        <f>Registered!AY1220</f>
        <v/>
      </c>
    </row>
    <row r="509" spans="1:9" x14ac:dyDescent="0.25">
      <c r="A509" s="4" t="str">
        <f>Registered!B1223</f>
        <v>Jenny</v>
      </c>
      <c r="B509" s="4" t="str">
        <f>Registered!A1223</f>
        <v>Virginia</v>
      </c>
      <c r="C509" s="4" t="str">
        <f>IF(Registered!AR1223&gt;0,Registered!AR1223&amp;" Color Bags", "")</f>
        <v>10 Color Bags</v>
      </c>
      <c r="D509" s="4" t="str">
        <f>IF(Registered!AS1223&gt;0,(IF(Registered!AS1223=1,Registered!AS1223&amp;" T-Shirt",Registered!AS1223&amp;" T-Shirts")), "")</f>
        <v/>
      </c>
      <c r="E509" s="4" t="str">
        <f>Registered!AT1223</f>
        <v/>
      </c>
      <c r="F509" s="4" t="str">
        <f>Registered!AU1223</f>
        <v/>
      </c>
      <c r="G509" s="4" t="str">
        <f>Registered!AW1223</f>
        <v/>
      </c>
      <c r="H509" s="4" t="str">
        <f>Registered!AX1223</f>
        <v/>
      </c>
      <c r="I509" s="4" t="str">
        <f>Registered!AY1223</f>
        <v/>
      </c>
    </row>
    <row r="510" spans="1:9" x14ac:dyDescent="0.25">
      <c r="A510" s="4" t="str">
        <f>Registered!B1226</f>
        <v>Jensen</v>
      </c>
      <c r="B510" s="4" t="str">
        <f>Registered!A1226</f>
        <v>Claire</v>
      </c>
      <c r="C510" s="4" t="str">
        <f>IF(Registered!AR1226&gt;0,Registered!AR1226&amp;" Color Bags", "")</f>
        <v>20 Color Bags</v>
      </c>
      <c r="D510" s="4" t="str">
        <f>IF(Registered!AS1226&gt;0,(IF(Registered!AS1226=1,Registered!AS1226&amp;" T-Shirt",Registered!AS1226&amp;" T-Shirts")), "")</f>
        <v/>
      </c>
      <c r="E510" s="4" t="str">
        <f>Registered!AT1226</f>
        <v/>
      </c>
      <c r="F510" s="4" t="str">
        <f>Registered!AU1226</f>
        <v/>
      </c>
      <c r="G510" s="4" t="str">
        <f>Registered!AW1226</f>
        <v/>
      </c>
      <c r="H510" s="4" t="str">
        <f>Registered!AX1226</f>
        <v/>
      </c>
      <c r="I510" s="4" t="str">
        <f>Registered!AY1226</f>
        <v/>
      </c>
    </row>
    <row r="511" spans="1:9" x14ac:dyDescent="0.25">
      <c r="A511" s="4" t="str">
        <f>Registered!B1224</f>
        <v>Jensen</v>
      </c>
      <c r="B511" s="4" t="str">
        <f>Registered!A1224</f>
        <v>Ashley</v>
      </c>
      <c r="C511" s="4" t="str">
        <f>IF(Registered!AR1224&gt;0,Registered!AR1224&amp;" Color Bags", "")</f>
        <v>5 Color Bags</v>
      </c>
      <c r="D511" s="4" t="str">
        <f>IF(Registered!AS1224&gt;0,(IF(Registered!AS1224=1,Registered!AS1224&amp;" T-Shirt",Registered!AS1224&amp;" T-Shirts")), "")</f>
        <v/>
      </c>
      <c r="E511" s="4" t="str">
        <f>Registered!AT1224</f>
        <v/>
      </c>
      <c r="F511" s="4" t="str">
        <f>Registered!AU1224</f>
        <v/>
      </c>
      <c r="G511" s="4" t="str">
        <f>Registered!AW1224</f>
        <v/>
      </c>
      <c r="H511" s="4" t="str">
        <f>Registered!AX1224</f>
        <v/>
      </c>
      <c r="I511" s="4" t="str">
        <f>Registered!AY1224</f>
        <v/>
      </c>
    </row>
    <row r="512" spans="1:9" x14ac:dyDescent="0.25">
      <c r="A512" s="4" t="str">
        <f>Registered!B1230</f>
        <v>Jensen</v>
      </c>
      <c r="B512" s="4" t="str">
        <f>Registered!A1230</f>
        <v>Jennica</v>
      </c>
      <c r="C512" s="4" t="str">
        <f>IF(Registered!AR1230&gt;0,Registered!AR1230&amp;" Color Bags", "")</f>
        <v>5 Color Bags</v>
      </c>
      <c r="D512" s="4" t="str">
        <f>IF(Registered!AS1230&gt;0,(IF(Registered!AS1230=1,Registered!AS1230&amp;" T-Shirt",Registered!AS1230&amp;" T-Shirts")), "")</f>
        <v/>
      </c>
      <c r="E512" s="4" t="str">
        <f>Registered!AT1230</f>
        <v/>
      </c>
      <c r="F512" s="4" t="str">
        <f>Registered!AU1230</f>
        <v/>
      </c>
      <c r="G512" s="4" t="str">
        <f>Registered!AW1230</f>
        <v/>
      </c>
      <c r="H512" s="4" t="str">
        <f>Registered!AX1230</f>
        <v/>
      </c>
      <c r="I512" s="4" t="str">
        <f>Registered!AY1230</f>
        <v>1 DustMask</v>
      </c>
    </row>
    <row r="513" spans="1:9" x14ac:dyDescent="0.25">
      <c r="A513" s="4" t="str">
        <f>Registered!B1231</f>
        <v>Jensen</v>
      </c>
      <c r="B513" s="4" t="str">
        <f>Registered!A1231</f>
        <v>Kristen</v>
      </c>
      <c r="C513" s="4" t="str">
        <f>IF(Registered!AR1231&gt;0,Registered!AR1231&amp;" Color Bags", "")</f>
        <v>5 Color Bags</v>
      </c>
      <c r="D513" s="4" t="str">
        <f>IF(Registered!AS1231&gt;0,(IF(Registered!AS1231=1,Registered!AS1231&amp;" T-Shirt",Registered!AS1231&amp;" T-Shirts")), "")</f>
        <v/>
      </c>
      <c r="E513" s="4" t="str">
        <f>Registered!AT1231</f>
        <v/>
      </c>
      <c r="F513" s="4" t="str">
        <f>Registered!AU1231</f>
        <v/>
      </c>
      <c r="G513" s="4" t="str">
        <f>Registered!AW1231</f>
        <v>1 Meal</v>
      </c>
      <c r="H513" s="4" t="str">
        <f>Registered!AX1231</f>
        <v/>
      </c>
      <c r="I513" s="4" t="str">
        <f>Registered!AY1231</f>
        <v/>
      </c>
    </row>
    <row r="514" spans="1:9" x14ac:dyDescent="0.25">
      <c r="A514" s="4" t="str">
        <f>Registered!B1234</f>
        <v>Jensen</v>
      </c>
      <c r="B514" s="4" t="str">
        <f>Registered!A1234</f>
        <v>Mykal</v>
      </c>
      <c r="C514" s="4" t="str">
        <f>IF(Registered!AR1234&gt;0,Registered!AR1234&amp;" Color Bags", "")</f>
        <v>5 Color Bags</v>
      </c>
      <c r="D514" s="4" t="str">
        <f>IF(Registered!AS1234&gt;0,(IF(Registered!AS1234=1,Registered!AS1234&amp;" T-Shirt",Registered!AS1234&amp;" T-Shirts")), "")</f>
        <v/>
      </c>
      <c r="E514" s="4" t="str">
        <f>Registered!AT1234</f>
        <v/>
      </c>
      <c r="F514" s="4" t="str">
        <f>Registered!AU1234</f>
        <v/>
      </c>
      <c r="G514" s="4" t="str">
        <f>Registered!AW1234</f>
        <v/>
      </c>
      <c r="H514" s="4" t="str">
        <f>Registered!AX1234</f>
        <v/>
      </c>
      <c r="I514" s="4" t="str">
        <f>Registered!AY1234</f>
        <v/>
      </c>
    </row>
    <row r="515" spans="1:9" x14ac:dyDescent="0.25">
      <c r="A515" s="4" t="str">
        <f>Registered!B1238</f>
        <v>Jeskie</v>
      </c>
      <c r="B515" s="4" t="str">
        <f>Registered!A1238</f>
        <v>Margaret</v>
      </c>
      <c r="C515" s="4" t="str">
        <f>IF(Registered!AR1238&gt;0,Registered!AR1238&amp;" Color Bags", "")</f>
        <v>5 Color Bags</v>
      </c>
      <c r="D515" s="4" t="str">
        <f>IF(Registered!AS1238&gt;0,(IF(Registered!AS1238=1,Registered!AS1238&amp;" T-Shirt",Registered!AS1238&amp;" T-Shirts")), "")</f>
        <v/>
      </c>
      <c r="E515" s="4" t="str">
        <f>Registered!AT1238</f>
        <v/>
      </c>
      <c r="F515" s="4" t="str">
        <f>Registered!AU1238</f>
        <v/>
      </c>
      <c r="G515" s="4" t="str">
        <f>Registered!AW1238</f>
        <v/>
      </c>
      <c r="H515" s="4" t="str">
        <f>Registered!AX1238</f>
        <v/>
      </c>
      <c r="I515" s="4" t="str">
        <f>Registered!AY1238</f>
        <v/>
      </c>
    </row>
    <row r="516" spans="1:9" x14ac:dyDescent="0.25">
      <c r="A516" s="4" t="str">
        <f>Registered!B1239</f>
        <v>Jet</v>
      </c>
      <c r="B516" s="4" t="str">
        <f>Registered!A1239</f>
        <v>Mid</v>
      </c>
      <c r="C516" s="4" t="str">
        <f>IF(Registered!AR1239&gt;0,Registered!AR1239&amp;" Color Bags", "")</f>
        <v>5 Color Bags</v>
      </c>
      <c r="D516" s="4" t="str">
        <f>IF(Registered!AS1239&gt;0,(IF(Registered!AS1239=1,Registered!AS1239&amp;" T-Shirt",Registered!AS1239&amp;" T-Shirts")), "")</f>
        <v>1 T-Shirt</v>
      </c>
      <c r="E516" s="4" t="str">
        <f>Registered!AT1239</f>
        <v>small</v>
      </c>
      <c r="F516" s="4" t="str">
        <f>Registered!AU1239</f>
        <v/>
      </c>
      <c r="G516" s="4" t="str">
        <f>Registered!AW1239</f>
        <v/>
      </c>
      <c r="H516" s="4" t="str">
        <f>Registered!AX1239</f>
        <v/>
      </c>
      <c r="I516" s="4" t="str">
        <f>Registered!AY1239</f>
        <v/>
      </c>
    </row>
    <row r="517" spans="1:9" x14ac:dyDescent="0.25">
      <c r="A517" s="4" t="str">
        <f>Registered!B1247</f>
        <v>Jindal</v>
      </c>
      <c r="B517" s="4" t="str">
        <f>Registered!A1247</f>
        <v>Vibhu</v>
      </c>
      <c r="C517" s="4" t="str">
        <f>IF(Registered!AR1247&gt;0,Registered!AR1247&amp;" Color Bags", "")</f>
        <v>20 Color Bags</v>
      </c>
      <c r="D517" s="4" t="str">
        <f>IF(Registered!AS1247&gt;0,(IF(Registered!AS1247=1,Registered!AS1247&amp;" T-Shirt",Registered!AS1247&amp;" T-Shirts")), "")</f>
        <v>2 T-Shirts</v>
      </c>
      <c r="E517" s="4" t="str">
        <f>Registered!AT1247</f>
        <v>1 Small and 1 X small</v>
      </c>
      <c r="F517" s="4" t="str">
        <f>Registered!AU1247</f>
        <v>2 Bandanas</v>
      </c>
      <c r="G517" s="4" t="str">
        <f>Registered!AW1247</f>
        <v>2 Meals</v>
      </c>
      <c r="H517" s="4" t="str">
        <f>Registered!AX1247</f>
        <v/>
      </c>
      <c r="I517" s="4" t="str">
        <f>Registered!AY1247</f>
        <v/>
      </c>
    </row>
    <row r="518" spans="1:9" x14ac:dyDescent="0.25">
      <c r="A518" s="4" t="str">
        <f>Registered!B1251</f>
        <v>Johnson</v>
      </c>
      <c r="B518" s="4" t="str">
        <f>Registered!A1251</f>
        <v>Danielle</v>
      </c>
      <c r="C518" s="4" t="str">
        <f>IF(Registered!AR1251&gt;0,Registered!AR1251&amp;" Color Bags", "")</f>
        <v/>
      </c>
      <c r="D518" s="4" t="str">
        <f>IF(Registered!AS1251&gt;0,(IF(Registered!AS1251=1,Registered!AS1251&amp;" T-Shirt",Registered!AS1251&amp;" T-Shirts")), "")</f>
        <v/>
      </c>
      <c r="E518" s="4" t="str">
        <f>Registered!AT1251</f>
        <v/>
      </c>
      <c r="F518" s="4" t="str">
        <f>Registered!AU1251</f>
        <v>2 Bandanas</v>
      </c>
      <c r="G518" s="4" t="str">
        <f>Registered!AW1251</f>
        <v/>
      </c>
      <c r="H518" s="4" t="str">
        <f>Registered!AX1251</f>
        <v/>
      </c>
      <c r="I518" s="4" t="str">
        <f>Registered!AY1251</f>
        <v/>
      </c>
    </row>
    <row r="519" spans="1:9" x14ac:dyDescent="0.25">
      <c r="A519" s="4" t="str">
        <f>Registered!B1249</f>
        <v>Johnson</v>
      </c>
      <c r="B519" s="4" t="str">
        <f>Registered!A1249</f>
        <v>Angella</v>
      </c>
      <c r="C519" s="4" t="str">
        <f>IF(Registered!AR1249&gt;0,Registered!AR1249&amp;" Color Bags", "")</f>
        <v>10 Color Bags</v>
      </c>
      <c r="D519" s="4" t="str">
        <f>IF(Registered!AS1249&gt;0,(IF(Registered!AS1249=1,Registered!AS1249&amp;" T-Shirt",Registered!AS1249&amp;" T-Shirts")), "")</f>
        <v/>
      </c>
      <c r="E519" s="4" t="str">
        <f>Registered!AT1249</f>
        <v/>
      </c>
      <c r="F519" s="4" t="str">
        <f>Registered!AU1249</f>
        <v>2 Bandanas</v>
      </c>
      <c r="G519" s="4" t="str">
        <f>Registered!AW1249</f>
        <v>2 Meals</v>
      </c>
      <c r="H519" s="4" t="str">
        <f>Registered!AX1249</f>
        <v/>
      </c>
      <c r="I519" s="4" t="str">
        <f>Registered!AY1249</f>
        <v/>
      </c>
    </row>
    <row r="520" spans="1:9" x14ac:dyDescent="0.25">
      <c r="A520" s="4" t="str">
        <f>Registered!B1270</f>
        <v>Johnson</v>
      </c>
      <c r="B520" s="4" t="str">
        <f>Registered!A1270</f>
        <v>Whitney</v>
      </c>
      <c r="C520" s="4" t="str">
        <f>IF(Registered!AR1270&gt;0,Registered!AR1270&amp;" Color Bags", "")</f>
        <v>10 Color Bags</v>
      </c>
      <c r="D520" s="4" t="str">
        <f>IF(Registered!AS1270&gt;0,(IF(Registered!AS1270=1,Registered!AS1270&amp;" T-Shirt",Registered!AS1270&amp;" T-Shirts")), "")</f>
        <v/>
      </c>
      <c r="E520" s="4" t="str">
        <f>Registered!AT1270</f>
        <v/>
      </c>
      <c r="F520" s="4" t="str">
        <f>Registered!AU1270</f>
        <v/>
      </c>
      <c r="G520" s="4" t="str">
        <f>Registered!AW1270</f>
        <v/>
      </c>
      <c r="H520" s="4" t="str">
        <f>Registered!AX1270</f>
        <v/>
      </c>
      <c r="I520" s="4" t="str">
        <f>Registered!AY1270</f>
        <v>3 DustMask</v>
      </c>
    </row>
    <row r="521" spans="1:9" x14ac:dyDescent="0.25">
      <c r="A521" s="4" t="str">
        <f>Registered!B1257</f>
        <v>Johnson</v>
      </c>
      <c r="B521" s="4" t="str">
        <f>Registered!A1257</f>
        <v>Kaylie</v>
      </c>
      <c r="C521" s="4" t="str">
        <f>IF(Registered!AR1257&gt;0,Registered!AR1257&amp;" Color Bags", "")</f>
        <v>5 Color Bags</v>
      </c>
      <c r="D521" s="4" t="str">
        <f>IF(Registered!AS1257&gt;0,(IF(Registered!AS1257=1,Registered!AS1257&amp;" T-Shirt",Registered!AS1257&amp;" T-Shirts")), "")</f>
        <v/>
      </c>
      <c r="E521" s="4" t="str">
        <f>Registered!AT1257</f>
        <v/>
      </c>
      <c r="F521" s="4" t="str">
        <f>Registered!AU1257</f>
        <v/>
      </c>
      <c r="G521" s="4" t="str">
        <f>Registered!AW1257</f>
        <v/>
      </c>
      <c r="H521" s="4" t="str">
        <f>Registered!AX1257</f>
        <v/>
      </c>
      <c r="I521" s="4" t="str">
        <f>Registered!AY1257</f>
        <v/>
      </c>
    </row>
    <row r="522" spans="1:9" x14ac:dyDescent="0.25">
      <c r="A522" s="4" t="str">
        <f>Registered!B1258</f>
        <v>Johnson</v>
      </c>
      <c r="B522" s="4" t="str">
        <f>Registered!A1258</f>
        <v>Lindsi</v>
      </c>
      <c r="C522" s="4" t="str">
        <f>IF(Registered!AR1258&gt;0,Registered!AR1258&amp;" Color Bags", "")</f>
        <v>5 Color Bags</v>
      </c>
      <c r="D522" s="4" t="str">
        <f>IF(Registered!AS1258&gt;0,(IF(Registered!AS1258=1,Registered!AS1258&amp;" T-Shirt",Registered!AS1258&amp;" T-Shirts")), "")</f>
        <v/>
      </c>
      <c r="E522" s="4" t="str">
        <f>Registered!AT1258</f>
        <v/>
      </c>
      <c r="F522" s="4" t="str">
        <f>Registered!AU1258</f>
        <v/>
      </c>
      <c r="G522" s="4" t="str">
        <f>Registered!AW1258</f>
        <v/>
      </c>
      <c r="H522" s="4" t="str">
        <f>Registered!AX1258</f>
        <v/>
      </c>
      <c r="I522" s="4" t="str">
        <f>Registered!AY1258</f>
        <v/>
      </c>
    </row>
    <row r="523" spans="1:9" x14ac:dyDescent="0.25">
      <c r="A523" s="4" t="str">
        <f>Registered!B1260</f>
        <v>Johnson</v>
      </c>
      <c r="B523" s="4" t="str">
        <f>Registered!A1260</f>
        <v>Miranda</v>
      </c>
      <c r="C523" s="4" t="str">
        <f>IF(Registered!AR1260&gt;0,Registered!AR1260&amp;" Color Bags", "")</f>
        <v>5 Color Bags</v>
      </c>
      <c r="D523" s="4" t="str">
        <f>IF(Registered!AS1260&gt;0,(IF(Registered!AS1260=1,Registered!AS1260&amp;" T-Shirt",Registered!AS1260&amp;" T-Shirts")), "")</f>
        <v/>
      </c>
      <c r="E523" s="4" t="str">
        <f>Registered!AT1260</f>
        <v/>
      </c>
      <c r="F523" s="4" t="str">
        <f>Registered!AU1260</f>
        <v/>
      </c>
      <c r="G523" s="4" t="str">
        <f>Registered!AW1260</f>
        <v/>
      </c>
      <c r="H523" s="4" t="str">
        <f>Registered!AX1260</f>
        <v/>
      </c>
      <c r="I523" s="4" t="str">
        <f>Registered!AY1260</f>
        <v/>
      </c>
    </row>
    <row r="524" spans="1:9" x14ac:dyDescent="0.25">
      <c r="A524" s="4" t="str">
        <f>Registered!B1265</f>
        <v>Johnson</v>
      </c>
      <c r="B524" s="4" t="str">
        <f>Registered!A1265</f>
        <v>Shyla</v>
      </c>
      <c r="C524" s="4" t="str">
        <f>IF(Registered!AR1265&gt;0,Registered!AR1265&amp;" Color Bags", "")</f>
        <v>5 Color Bags</v>
      </c>
      <c r="D524" s="4" t="str">
        <f>IF(Registered!AS1265&gt;0,(IF(Registered!AS1265=1,Registered!AS1265&amp;" T-Shirt",Registered!AS1265&amp;" T-Shirts")), "")</f>
        <v/>
      </c>
      <c r="E524" s="4" t="str">
        <f>Registered!AT1265</f>
        <v/>
      </c>
      <c r="F524" s="4" t="str">
        <f>Registered!AU1265</f>
        <v/>
      </c>
      <c r="G524" s="4" t="str">
        <f>Registered!AW1265</f>
        <v/>
      </c>
      <c r="H524" s="4" t="str">
        <f>Registered!AX1265</f>
        <v/>
      </c>
      <c r="I524" s="4" t="str">
        <f>Registered!AY1265</f>
        <v/>
      </c>
    </row>
    <row r="525" spans="1:9" x14ac:dyDescent="0.25">
      <c r="A525" s="4" t="str">
        <f>Registered!B1266</f>
        <v>Johnson</v>
      </c>
      <c r="B525" s="4" t="str">
        <f>Registered!A1266</f>
        <v>Trevor</v>
      </c>
      <c r="C525" s="4" t="str">
        <f>IF(Registered!AR1266&gt;0,Registered!AR1266&amp;" Color Bags", "")</f>
        <v>5 Color Bags</v>
      </c>
      <c r="D525" s="4" t="str">
        <f>IF(Registered!AS1266&gt;0,(IF(Registered!AS1266=1,Registered!AS1266&amp;" T-Shirt",Registered!AS1266&amp;" T-Shirts")), "")</f>
        <v>1 T-Shirt</v>
      </c>
      <c r="E525" s="4" t="str">
        <f>Registered!AT1266</f>
        <v>XL</v>
      </c>
      <c r="F525" s="4" t="str">
        <f>Registered!AU1266</f>
        <v>1 Bandana</v>
      </c>
      <c r="G525" s="4" t="str">
        <f>Registered!AW1266</f>
        <v/>
      </c>
      <c r="H525" s="4" t="str">
        <f>Registered!AX1266</f>
        <v>1 BG</v>
      </c>
      <c r="I525" s="4" t="str">
        <f>Registered!AY1266</f>
        <v/>
      </c>
    </row>
    <row r="526" spans="1:9" x14ac:dyDescent="0.25">
      <c r="A526" s="4" t="str">
        <f>Registered!B1269</f>
        <v>Johnson</v>
      </c>
      <c r="B526" s="4" t="str">
        <f>Registered!A1269</f>
        <v>Vincent</v>
      </c>
      <c r="C526" s="4" t="str">
        <f>IF(Registered!AR1269&gt;0,Registered!AR1269&amp;" Color Bags", "")</f>
        <v>5 Color Bags</v>
      </c>
      <c r="D526" s="4" t="str">
        <f>IF(Registered!AS1269&gt;0,(IF(Registered!AS1269=1,Registered!AS1269&amp;" T-Shirt",Registered!AS1269&amp;" T-Shirts")), "")</f>
        <v/>
      </c>
      <c r="E526" s="4" t="str">
        <f>Registered!AT1269</f>
        <v/>
      </c>
      <c r="F526" s="4" t="str">
        <f>Registered!AU1269</f>
        <v/>
      </c>
      <c r="G526" s="4" t="str">
        <f>Registered!AW1269</f>
        <v>1 Meal</v>
      </c>
      <c r="H526" s="4" t="str">
        <f>Registered!AX1269</f>
        <v/>
      </c>
      <c r="I526" s="4" t="str">
        <f>Registered!AY1269</f>
        <v/>
      </c>
    </row>
    <row r="527" spans="1:9" x14ac:dyDescent="0.25">
      <c r="A527" s="4" t="str">
        <f>Registered!B1272</f>
        <v>Johnston</v>
      </c>
      <c r="B527" s="4" t="str">
        <f>Registered!A1272</f>
        <v>Tiffany</v>
      </c>
      <c r="C527" s="4" t="str">
        <f>IF(Registered!AR1272&gt;0,Registered!AR1272&amp;" Color Bags", "")</f>
        <v>10 Color Bags</v>
      </c>
      <c r="D527" s="4" t="str">
        <f>IF(Registered!AS1272&gt;0,(IF(Registered!AS1272=1,Registered!AS1272&amp;" T-Shirt",Registered!AS1272&amp;" T-Shirts")), "")</f>
        <v/>
      </c>
      <c r="E527" s="4" t="str">
        <f>Registered!AT1272</f>
        <v/>
      </c>
      <c r="F527" s="4" t="str">
        <f>Registered!AU1272</f>
        <v/>
      </c>
      <c r="G527" s="4" t="str">
        <f>Registered!AW1272</f>
        <v>1 Meal</v>
      </c>
      <c r="H527" s="4" t="str">
        <f>Registered!AX1272</f>
        <v/>
      </c>
      <c r="I527" s="4" t="str">
        <f>Registered!AY1272</f>
        <v>1 DustMask</v>
      </c>
    </row>
    <row r="528" spans="1:9" x14ac:dyDescent="0.25">
      <c r="A528" s="4" t="str">
        <f>Registered!B1275</f>
        <v>Jones</v>
      </c>
      <c r="B528" s="4" t="str">
        <f>Registered!A1275</f>
        <v>Emily</v>
      </c>
      <c r="C528" s="4" t="str">
        <f>IF(Registered!AR1275&gt;0,Registered!AR1275&amp;" Color Bags", "")</f>
        <v>10 Color Bags</v>
      </c>
      <c r="D528" s="4" t="str">
        <f>IF(Registered!AS1275&gt;0,(IF(Registered!AS1275=1,Registered!AS1275&amp;" T-Shirt",Registered!AS1275&amp;" T-Shirts")), "")</f>
        <v/>
      </c>
      <c r="E528" s="4" t="str">
        <f>Registered!AT1275</f>
        <v/>
      </c>
      <c r="F528" s="4" t="str">
        <f>Registered!AU1275</f>
        <v/>
      </c>
      <c r="G528" s="4" t="str">
        <f>Registered!AW1275</f>
        <v/>
      </c>
      <c r="H528" s="4" t="str">
        <f>Registered!AX1275</f>
        <v/>
      </c>
      <c r="I528" s="4" t="str">
        <f>Registered!AY1275</f>
        <v/>
      </c>
    </row>
    <row r="529" spans="1:9" x14ac:dyDescent="0.25">
      <c r="A529" s="4" t="str">
        <f>Registered!B1285</f>
        <v>Jones</v>
      </c>
      <c r="B529" s="4" t="str">
        <f>Registered!A1285</f>
        <v>Winter</v>
      </c>
      <c r="C529" s="4" t="str">
        <f>IF(Registered!AR1285&gt;0,Registered!AR1285&amp;" Color Bags", "")</f>
        <v>10 Color Bags</v>
      </c>
      <c r="D529" s="4" t="str">
        <f>IF(Registered!AS1285&gt;0,(IF(Registered!AS1285=1,Registered!AS1285&amp;" T-Shirt",Registered!AS1285&amp;" T-Shirts")), "")</f>
        <v/>
      </c>
      <c r="E529" s="4" t="str">
        <f>Registered!AT1285</f>
        <v/>
      </c>
      <c r="F529" s="4" t="str">
        <f>Registered!AU1285</f>
        <v/>
      </c>
      <c r="G529" s="4" t="str">
        <f>Registered!AW1285</f>
        <v/>
      </c>
      <c r="H529" s="4" t="str">
        <f>Registered!AX1285</f>
        <v/>
      </c>
      <c r="I529" s="4" t="str">
        <f>Registered!AY1285</f>
        <v/>
      </c>
    </row>
    <row r="530" spans="1:9" x14ac:dyDescent="0.25">
      <c r="A530" s="4" t="str">
        <f>Registered!B1283</f>
        <v>Jones</v>
      </c>
      <c r="B530" s="4" t="str">
        <f>Registered!A1283</f>
        <v>Shelly</v>
      </c>
      <c r="C530" s="4" t="str">
        <f>IF(Registered!AR1283&gt;0,Registered!AR1283&amp;" Color Bags", "")</f>
        <v>15 Color Bags</v>
      </c>
      <c r="D530" s="4" t="str">
        <f>IF(Registered!AS1283&gt;0,(IF(Registered!AS1283=1,Registered!AS1283&amp;" T-Shirt",Registered!AS1283&amp;" T-Shirts")), "")</f>
        <v/>
      </c>
      <c r="E530" s="4" t="str">
        <f>Registered!AT1283</f>
        <v/>
      </c>
      <c r="F530" s="4" t="str">
        <f>Registered!AU1283</f>
        <v/>
      </c>
      <c r="G530" s="4" t="str">
        <f>Registered!AW1283</f>
        <v/>
      </c>
      <c r="H530" s="4" t="str">
        <f>Registered!AX1283</f>
        <v/>
      </c>
      <c r="I530" s="4" t="str">
        <f>Registered!AY1283</f>
        <v>1 DustMask</v>
      </c>
    </row>
    <row r="531" spans="1:9" x14ac:dyDescent="0.25">
      <c r="A531" s="4" t="str">
        <f>Registered!B1277</f>
        <v>Jones</v>
      </c>
      <c r="B531" s="4" t="str">
        <f>Registered!A1277</f>
        <v>Karalynn</v>
      </c>
      <c r="C531" s="4" t="str">
        <f>IF(Registered!AR1277&gt;0,Registered!AR1277&amp;" Color Bags", "")</f>
        <v>5 Color Bags</v>
      </c>
      <c r="D531" s="4" t="str">
        <f>IF(Registered!AS1277&gt;0,(IF(Registered!AS1277=1,Registered!AS1277&amp;" T-Shirt",Registered!AS1277&amp;" T-Shirts")), "")</f>
        <v/>
      </c>
      <c r="E531" s="4" t="str">
        <f>Registered!AT1277</f>
        <v/>
      </c>
      <c r="F531" s="4" t="str">
        <f>Registered!AU1277</f>
        <v/>
      </c>
      <c r="G531" s="4" t="str">
        <f>Registered!AW1277</f>
        <v/>
      </c>
      <c r="H531" s="4" t="str">
        <f>Registered!AX1277</f>
        <v/>
      </c>
      <c r="I531" s="4" t="str">
        <f>Registered!AY1277</f>
        <v/>
      </c>
    </row>
    <row r="532" spans="1:9" x14ac:dyDescent="0.25">
      <c r="A532" s="4" t="str">
        <f>Registered!B1287</f>
        <v>Jorgensen</v>
      </c>
      <c r="B532" s="4" t="str">
        <f>Registered!A1287</f>
        <v>Shannon</v>
      </c>
      <c r="C532" s="4" t="str">
        <f>IF(Registered!AR1287&gt;0,Registered!AR1287&amp;" Color Bags", "")</f>
        <v>5 Color Bags</v>
      </c>
      <c r="D532" s="4" t="str">
        <f>IF(Registered!AS1287&gt;0,(IF(Registered!AS1287=1,Registered!AS1287&amp;" T-Shirt",Registered!AS1287&amp;" T-Shirts")), "")</f>
        <v/>
      </c>
      <c r="E532" s="4" t="str">
        <f>Registered!AT1287</f>
        <v/>
      </c>
      <c r="F532" s="4" t="str">
        <f>Registered!AU1287</f>
        <v/>
      </c>
      <c r="G532" s="4" t="str">
        <f>Registered!AW1287</f>
        <v/>
      </c>
      <c r="H532" s="4" t="str">
        <f>Registered!AX1287</f>
        <v/>
      </c>
      <c r="I532" s="4" t="str">
        <f>Registered!AY1287</f>
        <v/>
      </c>
    </row>
    <row r="533" spans="1:9" x14ac:dyDescent="0.25">
      <c r="A533" s="4" t="str">
        <f>Registered!B1292</f>
        <v>Judd</v>
      </c>
      <c r="B533" s="4" t="str">
        <f>Registered!A1292</f>
        <v>Matt</v>
      </c>
      <c r="C533" s="4" t="str">
        <f>IF(Registered!AR1292&gt;0,Registered!AR1292&amp;" Color Bags", "")</f>
        <v>10 Color Bags</v>
      </c>
      <c r="D533" s="4" t="str">
        <f>IF(Registered!AS1292&gt;0,(IF(Registered!AS1292=1,Registered!AS1292&amp;" T-Shirt",Registered!AS1292&amp;" T-Shirts")), "")</f>
        <v>2 T-Shirts</v>
      </c>
      <c r="E533" s="4" t="str">
        <f>Registered!AT1292</f>
        <v>Large and Medium</v>
      </c>
      <c r="F533" s="4" t="str">
        <f>Registered!AU1292</f>
        <v/>
      </c>
      <c r="G533" s="4" t="str">
        <f>Registered!AW1292</f>
        <v>2 Meals</v>
      </c>
      <c r="H533" s="4" t="str">
        <f>Registered!AX1292</f>
        <v/>
      </c>
      <c r="I533" s="4" t="str">
        <f>Registered!AY1292</f>
        <v/>
      </c>
    </row>
    <row r="534" spans="1:9" x14ac:dyDescent="0.25">
      <c r="A534" s="4" t="str">
        <f>Registered!B1294</f>
        <v>Judd</v>
      </c>
      <c r="B534" s="4" t="str">
        <f>Registered!A1294</f>
        <v>Richard</v>
      </c>
      <c r="C534" s="4" t="str">
        <f>IF(Registered!AR1294&gt;0,Registered!AR1294&amp;" Color Bags", "")</f>
        <v>5 Color Bags</v>
      </c>
      <c r="D534" s="4" t="str">
        <f>IF(Registered!AS1294&gt;0,(IF(Registered!AS1294=1,Registered!AS1294&amp;" T-Shirt",Registered!AS1294&amp;" T-Shirts")), "")</f>
        <v/>
      </c>
      <c r="E534" s="4" t="str">
        <f>Registered!AT1294</f>
        <v/>
      </c>
      <c r="F534" s="4" t="str">
        <f>Registered!AU1294</f>
        <v/>
      </c>
      <c r="G534" s="4" t="str">
        <f>Registered!AW1294</f>
        <v/>
      </c>
      <c r="H534" s="4" t="str">
        <f>Registered!AX1294</f>
        <v/>
      </c>
      <c r="I534" s="4" t="str">
        <f>Registered!AY1294</f>
        <v/>
      </c>
    </row>
    <row r="535" spans="1:9" x14ac:dyDescent="0.25">
      <c r="A535" s="4" t="str">
        <f>Registered!B1296</f>
        <v>Kaepp</v>
      </c>
      <c r="B535" s="4" t="str">
        <f>Registered!A1296</f>
        <v>Dayna</v>
      </c>
      <c r="C535" s="4" t="str">
        <f>IF(Registered!AR1296&gt;0,Registered!AR1296&amp;" Color Bags", "")</f>
        <v>10 Color Bags</v>
      </c>
      <c r="D535" s="4" t="str">
        <f>IF(Registered!AS1296&gt;0,(IF(Registered!AS1296=1,Registered!AS1296&amp;" T-Shirt",Registered!AS1296&amp;" T-Shirts")), "")</f>
        <v/>
      </c>
      <c r="E535" s="4" t="str">
        <f>Registered!AT1296</f>
        <v/>
      </c>
      <c r="F535" s="4" t="str">
        <f>Registered!AU1296</f>
        <v/>
      </c>
      <c r="G535" s="4" t="str">
        <f>Registered!AW1296</f>
        <v/>
      </c>
      <c r="H535" s="4" t="str">
        <f>Registered!AX1296</f>
        <v/>
      </c>
      <c r="I535" s="4" t="str">
        <f>Registered!AY1296</f>
        <v/>
      </c>
    </row>
    <row r="536" spans="1:9" x14ac:dyDescent="0.25">
      <c r="A536" s="4" t="str">
        <f>Registered!B1297</f>
        <v>Kahus</v>
      </c>
      <c r="B536" s="4" t="str">
        <f>Registered!A1297</f>
        <v>Taran</v>
      </c>
      <c r="C536" s="4" t="str">
        <f>IF(Registered!AR1297&gt;0,Registered!AR1297&amp;" Color Bags", "")</f>
        <v>5 Color Bags</v>
      </c>
      <c r="D536" s="4" t="str">
        <f>IF(Registered!AS1297&gt;0,(IF(Registered!AS1297=1,Registered!AS1297&amp;" T-Shirt",Registered!AS1297&amp;" T-Shirts")), "")</f>
        <v/>
      </c>
      <c r="E536" s="4" t="str">
        <f>Registered!AT1297</f>
        <v/>
      </c>
      <c r="F536" s="4" t="str">
        <f>Registered!AU1297</f>
        <v/>
      </c>
      <c r="G536" s="4" t="str">
        <f>Registered!AW1297</f>
        <v/>
      </c>
      <c r="H536" s="4" t="str">
        <f>Registered!AX1297</f>
        <v/>
      </c>
      <c r="I536" s="4" t="str">
        <f>Registered!AY1297</f>
        <v/>
      </c>
    </row>
    <row r="537" spans="1:9" x14ac:dyDescent="0.25">
      <c r="A537" s="4" t="str">
        <f>Registered!B1299</f>
        <v>Karadeniz</v>
      </c>
      <c r="B537" s="4" t="str">
        <f>Registered!A1299</f>
        <v>Emrah</v>
      </c>
      <c r="C537" s="4" t="str">
        <f>IF(Registered!AR1299&gt;0,Registered!AR1299&amp;" Color Bags", "")</f>
        <v>10 Color Bags</v>
      </c>
      <c r="D537" s="4" t="str">
        <f>IF(Registered!AS1299&gt;0,(IF(Registered!AS1299=1,Registered!AS1299&amp;" T-Shirt",Registered!AS1299&amp;" T-Shirts")), "")</f>
        <v>1 T-Shirt</v>
      </c>
      <c r="E537" s="4" t="str">
        <f>Registered!AT1299</f>
        <v>5XL, if not possible, then the biggest size</v>
      </c>
      <c r="F537" s="4" t="str">
        <f>Registered!AU1299</f>
        <v/>
      </c>
      <c r="G537" s="4" t="str">
        <f>Registered!AW1299</f>
        <v/>
      </c>
      <c r="H537" s="4" t="str">
        <f>Registered!AX1299</f>
        <v/>
      </c>
      <c r="I537" s="4" t="str">
        <f>Registered!AY1299</f>
        <v>2 DustMask</v>
      </c>
    </row>
    <row r="538" spans="1:9" x14ac:dyDescent="0.25">
      <c r="A538" s="4" t="str">
        <f>Registered!B1304</f>
        <v>Keele</v>
      </c>
      <c r="B538" s="4" t="str">
        <f>Registered!A1304</f>
        <v>Elise</v>
      </c>
      <c r="C538" s="4" t="str">
        <f>IF(Registered!AR1304&gt;0,Registered!AR1304&amp;" Color Bags", "")</f>
        <v>5 Color Bags</v>
      </c>
      <c r="D538" s="4" t="str">
        <f>IF(Registered!AS1304&gt;0,(IF(Registered!AS1304=1,Registered!AS1304&amp;" T-Shirt",Registered!AS1304&amp;" T-Shirts")), "")</f>
        <v/>
      </c>
      <c r="E538" s="4" t="str">
        <f>Registered!AT1304</f>
        <v/>
      </c>
      <c r="F538" s="4" t="str">
        <f>Registered!AU1304</f>
        <v/>
      </c>
      <c r="G538" s="4" t="str">
        <f>Registered!AW1304</f>
        <v>2 Meals</v>
      </c>
      <c r="H538" s="4" t="str">
        <f>Registered!AX1304</f>
        <v/>
      </c>
      <c r="I538" s="4" t="str">
        <f>Registered!AY1304</f>
        <v/>
      </c>
    </row>
    <row r="539" spans="1:9" x14ac:dyDescent="0.25">
      <c r="A539" s="4" t="str">
        <f>Registered!B1305</f>
        <v>Keiser</v>
      </c>
      <c r="B539" s="4" t="str">
        <f>Registered!A1305</f>
        <v>Dayna</v>
      </c>
      <c r="C539" s="4" t="str">
        <f>IF(Registered!AR1305&gt;0,Registered!AR1305&amp;" Color Bags", "")</f>
        <v>10 Color Bags</v>
      </c>
      <c r="D539" s="4" t="str">
        <f>IF(Registered!AS1305&gt;0,(IF(Registered!AS1305=1,Registered!AS1305&amp;" T-Shirt",Registered!AS1305&amp;" T-Shirts")), "")</f>
        <v/>
      </c>
      <c r="E539" s="4" t="str">
        <f>Registered!AT1305</f>
        <v/>
      </c>
      <c r="F539" s="4" t="str">
        <f>Registered!AU1305</f>
        <v/>
      </c>
      <c r="G539" s="4" t="str">
        <f>Registered!AW1305</f>
        <v/>
      </c>
      <c r="H539" s="4" t="str">
        <f>Registered!AX1305</f>
        <v/>
      </c>
      <c r="I539" s="4" t="str">
        <f>Registered!AY1305</f>
        <v/>
      </c>
    </row>
    <row r="540" spans="1:9" x14ac:dyDescent="0.25">
      <c r="A540" s="4" t="str">
        <f>Registered!B1308</f>
        <v>Kelley</v>
      </c>
      <c r="B540" s="4" t="str">
        <f>Registered!A1308</f>
        <v>Kamala</v>
      </c>
      <c r="C540" s="4" t="str">
        <f>IF(Registered!AR1308&gt;0,Registered!AR1308&amp;" Color Bags", "")</f>
        <v/>
      </c>
      <c r="D540" s="4" t="str">
        <f>IF(Registered!AS1308&gt;0,(IF(Registered!AS1308=1,Registered!AS1308&amp;" T-Shirt",Registered!AS1308&amp;" T-Shirts")), "")</f>
        <v>1 T-Shirt</v>
      </c>
      <c r="E540" s="4" t="str">
        <f>Registered!AT1308</f>
        <v>small</v>
      </c>
      <c r="F540" s="4" t="str">
        <f>Registered!AU1308</f>
        <v/>
      </c>
      <c r="G540" s="4" t="str">
        <f>Registered!AW1308</f>
        <v/>
      </c>
      <c r="H540" s="4" t="str">
        <f>Registered!AX1308</f>
        <v/>
      </c>
      <c r="I540" s="4" t="str">
        <f>Registered!AY1308</f>
        <v/>
      </c>
    </row>
    <row r="541" spans="1:9" x14ac:dyDescent="0.25">
      <c r="A541" s="4" t="str">
        <f>Registered!B1307</f>
        <v>Kelley</v>
      </c>
      <c r="B541" s="4" t="str">
        <f>Registered!A1307</f>
        <v>James</v>
      </c>
      <c r="C541" s="4" t="str">
        <f>IF(Registered!AR1307&gt;0,Registered!AR1307&amp;" Color Bags", "")</f>
        <v>5 Color Bags</v>
      </c>
      <c r="D541" s="4" t="str">
        <f>IF(Registered!AS1307&gt;0,(IF(Registered!AS1307=1,Registered!AS1307&amp;" T-Shirt",Registered!AS1307&amp;" T-Shirts")), "")</f>
        <v/>
      </c>
      <c r="E541" s="4" t="str">
        <f>Registered!AT1307</f>
        <v/>
      </c>
      <c r="F541" s="4" t="str">
        <f>Registered!AU1307</f>
        <v/>
      </c>
      <c r="G541" s="4" t="str">
        <f>Registered!AW1307</f>
        <v/>
      </c>
      <c r="H541" s="4" t="str">
        <f>Registered!AX1307</f>
        <v/>
      </c>
      <c r="I541" s="4" t="str">
        <f>Registered!AY1307</f>
        <v/>
      </c>
    </row>
    <row r="542" spans="1:9" x14ac:dyDescent="0.25">
      <c r="A542" s="4" t="str">
        <f>Registered!B1310</f>
        <v>Kelly</v>
      </c>
      <c r="B542" s="4" t="str">
        <f>Registered!A1310</f>
        <v>Genet</v>
      </c>
      <c r="C542" s="4" t="str">
        <f>IF(Registered!AR1310&gt;0,Registered!AR1310&amp;" Color Bags", "")</f>
        <v>20 Color Bags</v>
      </c>
      <c r="D542" s="4" t="str">
        <f>IF(Registered!AS1310&gt;0,(IF(Registered!AS1310=1,Registered!AS1310&amp;" T-Shirt",Registered!AS1310&amp;" T-Shirts")), "")</f>
        <v/>
      </c>
      <c r="E542" s="4" t="str">
        <f>Registered!AT1310</f>
        <v/>
      </c>
      <c r="F542" s="4" t="str">
        <f>Registered!AU1310</f>
        <v/>
      </c>
      <c r="G542" s="4" t="str">
        <f>Registered!AW1310</f>
        <v/>
      </c>
      <c r="H542" s="4" t="str">
        <f>Registered!AX1310</f>
        <v/>
      </c>
      <c r="I542" s="4" t="str">
        <f>Registered!AY1310</f>
        <v/>
      </c>
    </row>
    <row r="543" spans="1:9" x14ac:dyDescent="0.25">
      <c r="A543" s="4" t="str">
        <f>Registered!B1315</f>
        <v>Kelly</v>
      </c>
      <c r="B543" s="4" t="str">
        <f>Registered!A1315</f>
        <v>Tabitha</v>
      </c>
      <c r="C543" s="4" t="str">
        <f>IF(Registered!AR1315&gt;0,Registered!AR1315&amp;" Color Bags", "")</f>
        <v>20 Color Bags</v>
      </c>
      <c r="D543" s="4" t="str">
        <f>IF(Registered!AS1315&gt;0,(IF(Registered!AS1315=1,Registered!AS1315&amp;" T-Shirt",Registered!AS1315&amp;" T-Shirts")), "")</f>
        <v/>
      </c>
      <c r="E543" s="4" t="str">
        <f>Registered!AT1315</f>
        <v/>
      </c>
      <c r="F543" s="4" t="str">
        <f>Registered!AU1315</f>
        <v/>
      </c>
      <c r="G543" s="4" t="str">
        <f>Registered!AW1315</f>
        <v/>
      </c>
      <c r="H543" s="4" t="str">
        <f>Registered!AX1315</f>
        <v/>
      </c>
      <c r="I543" s="4" t="str">
        <f>Registered!AY1315</f>
        <v/>
      </c>
    </row>
    <row r="544" spans="1:9" x14ac:dyDescent="0.25">
      <c r="A544" s="4" t="str">
        <f>Registered!B1314</f>
        <v>Kelly</v>
      </c>
      <c r="B544" s="4" t="str">
        <f>Registered!A1314</f>
        <v>Lauren</v>
      </c>
      <c r="C544" s="4" t="str">
        <f>IF(Registered!AR1314&gt;0,Registered!AR1314&amp;" Color Bags", "")</f>
        <v>5 Color Bags</v>
      </c>
      <c r="D544" s="4" t="str">
        <f>IF(Registered!AS1314&gt;0,(IF(Registered!AS1314=1,Registered!AS1314&amp;" T-Shirt",Registered!AS1314&amp;" T-Shirts")), "")</f>
        <v/>
      </c>
      <c r="E544" s="4" t="str">
        <f>Registered!AT1314</f>
        <v/>
      </c>
      <c r="F544" s="4" t="str">
        <f>Registered!AU1314</f>
        <v/>
      </c>
      <c r="G544" s="4" t="str">
        <f>Registered!AW1314</f>
        <v/>
      </c>
      <c r="H544" s="4" t="str">
        <f>Registered!AX1314</f>
        <v/>
      </c>
      <c r="I544" s="4" t="str">
        <f>Registered!AY1314</f>
        <v/>
      </c>
    </row>
    <row r="545" spans="1:9" x14ac:dyDescent="0.25">
      <c r="A545" s="4" t="str">
        <f>Registered!B1316</f>
        <v>Kelsey</v>
      </c>
      <c r="B545" s="4" t="str">
        <f>Registered!A1316</f>
        <v>Michelle</v>
      </c>
      <c r="C545" s="4" t="str">
        <f>IF(Registered!AR1316&gt;0,Registered!AR1316&amp;" Color Bags", "")</f>
        <v>10 Color Bags</v>
      </c>
      <c r="D545" s="4" t="str">
        <f>IF(Registered!AS1316&gt;0,(IF(Registered!AS1316=1,Registered!AS1316&amp;" T-Shirt",Registered!AS1316&amp;" T-Shirts")), "")</f>
        <v>2 T-Shirts</v>
      </c>
      <c r="E545" s="4" t="str">
        <f>Registered!AT1316</f>
        <v>Size Not Specified</v>
      </c>
      <c r="F545" s="4" t="str">
        <f>Registered!AU1316</f>
        <v/>
      </c>
      <c r="G545" s="4" t="str">
        <f>Registered!AW1316</f>
        <v>2 Meals</v>
      </c>
      <c r="H545" s="4" t="str">
        <f>Registered!AX1316</f>
        <v/>
      </c>
      <c r="I545" s="4" t="str">
        <f>Registered!AY1316</f>
        <v/>
      </c>
    </row>
    <row r="546" spans="1:9" x14ac:dyDescent="0.25">
      <c r="A546" s="4" t="str">
        <f>Registered!B1317</f>
        <v>Kelso</v>
      </c>
      <c r="B546" s="4" t="str">
        <f>Registered!A1317</f>
        <v>Julie</v>
      </c>
      <c r="C546" s="4" t="str">
        <f>IF(Registered!AR1317&gt;0,Registered!AR1317&amp;" Color Bags", "")</f>
        <v>10 Color Bags</v>
      </c>
      <c r="D546" s="4" t="str">
        <f>IF(Registered!AS1317&gt;0,(IF(Registered!AS1317=1,Registered!AS1317&amp;" T-Shirt",Registered!AS1317&amp;" T-Shirts")), "")</f>
        <v>1 T-Shirt</v>
      </c>
      <c r="E546" s="4" t="str">
        <f>Registered!AT1317</f>
        <v>Large</v>
      </c>
      <c r="F546" s="4" t="str">
        <f>Registered!AU1317</f>
        <v/>
      </c>
      <c r="G546" s="4" t="str">
        <f>Registered!AW1317</f>
        <v>1 Meal</v>
      </c>
      <c r="H546" s="4" t="str">
        <f>Registered!AX1317</f>
        <v/>
      </c>
      <c r="I546" s="4" t="str">
        <f>Registered!AY1317</f>
        <v/>
      </c>
    </row>
    <row r="547" spans="1:9" x14ac:dyDescent="0.25">
      <c r="A547" s="4" t="str">
        <f>Registered!B1319</f>
        <v>Kelson ];^) ~</v>
      </c>
      <c r="B547" s="4" t="str">
        <f>Registered!A1319</f>
        <v>Landon</v>
      </c>
      <c r="C547" s="4" t="str">
        <f>IF(Registered!AR1319&gt;0,Registered!AR1319&amp;" Color Bags", "")</f>
        <v/>
      </c>
      <c r="D547" s="4" t="str">
        <f>IF(Registered!AS1319&gt;0,(IF(Registered!AS1319=1,Registered!AS1319&amp;" T-Shirt",Registered!AS1319&amp;" T-Shirts")), "")</f>
        <v/>
      </c>
      <c r="E547" s="4" t="str">
        <f>Registered!AT1319</f>
        <v/>
      </c>
      <c r="F547" s="4" t="str">
        <f>Registered!AU1319</f>
        <v/>
      </c>
      <c r="G547" s="4" t="str">
        <f>Registered!AW1319</f>
        <v/>
      </c>
      <c r="H547" s="4" t="str">
        <f>Registered!AX1319</f>
        <v/>
      </c>
      <c r="I547" s="4" t="str">
        <f>Registered!AY1319</f>
        <v>1 DustMask</v>
      </c>
    </row>
    <row r="548" spans="1:9" x14ac:dyDescent="0.25">
      <c r="A548" s="4" t="str">
        <f>Registered!B1322</f>
        <v>Kennard</v>
      </c>
      <c r="B548" s="4" t="str">
        <f>Registered!A1322</f>
        <v>Megan</v>
      </c>
      <c r="C548" s="4" t="str">
        <f>IF(Registered!AR1322&gt;0,Registered!AR1322&amp;" Color Bags", "")</f>
        <v>5 Color Bags</v>
      </c>
      <c r="D548" s="4" t="str">
        <f>IF(Registered!AS1322&gt;0,(IF(Registered!AS1322=1,Registered!AS1322&amp;" T-Shirt",Registered!AS1322&amp;" T-Shirts")), "")</f>
        <v/>
      </c>
      <c r="E548" s="4" t="str">
        <f>Registered!AT1322</f>
        <v/>
      </c>
      <c r="F548" s="4" t="str">
        <f>Registered!AU1322</f>
        <v/>
      </c>
      <c r="G548" s="4" t="str">
        <f>Registered!AW1322</f>
        <v/>
      </c>
      <c r="H548" s="4" t="str">
        <f>Registered!AX1322</f>
        <v/>
      </c>
      <c r="I548" s="4" t="str">
        <f>Registered!AY1322</f>
        <v/>
      </c>
    </row>
    <row r="549" spans="1:9" x14ac:dyDescent="0.25">
      <c r="A549" s="4" t="str">
        <f>Registered!B1323</f>
        <v>Kenney</v>
      </c>
      <c r="B549" s="4" t="str">
        <f>Registered!A1323</f>
        <v>Chelsey</v>
      </c>
      <c r="C549" s="4" t="str">
        <f>IF(Registered!AR1323&gt;0,Registered!AR1323&amp;" Color Bags", "")</f>
        <v>5 Color Bags</v>
      </c>
      <c r="D549" s="4" t="str">
        <f>IF(Registered!AS1323&gt;0,(IF(Registered!AS1323=1,Registered!AS1323&amp;" T-Shirt",Registered!AS1323&amp;" T-Shirts")), "")</f>
        <v/>
      </c>
      <c r="E549" s="4" t="str">
        <f>Registered!AT1323</f>
        <v/>
      </c>
      <c r="F549" s="4" t="str">
        <f>Registered!AU1323</f>
        <v/>
      </c>
      <c r="G549" s="4" t="str">
        <f>Registered!AW1323</f>
        <v/>
      </c>
      <c r="H549" s="4" t="str">
        <f>Registered!AX1323</f>
        <v/>
      </c>
      <c r="I549" s="4" t="str">
        <f>Registered!AY1323</f>
        <v/>
      </c>
    </row>
    <row r="550" spans="1:9" x14ac:dyDescent="0.25">
      <c r="A550" s="4" t="str">
        <f>Registered!B1328</f>
        <v>Kerr</v>
      </c>
      <c r="B550" s="4" t="str">
        <f>Registered!A1328</f>
        <v>Alondra</v>
      </c>
      <c r="C550" s="4" t="str">
        <f>IF(Registered!AR1328&gt;0,Registered!AR1328&amp;" Color Bags", "")</f>
        <v>10 Color Bags</v>
      </c>
      <c r="D550" s="4" t="str">
        <f>IF(Registered!AS1328&gt;0,(IF(Registered!AS1328=1,Registered!AS1328&amp;" T-Shirt",Registered!AS1328&amp;" T-Shirts")), "")</f>
        <v/>
      </c>
      <c r="E550" s="4" t="str">
        <f>Registered!AT1328</f>
        <v/>
      </c>
      <c r="F550" s="4" t="str">
        <f>Registered!AU1328</f>
        <v/>
      </c>
      <c r="G550" s="4" t="str">
        <f>Registered!AW1328</f>
        <v/>
      </c>
      <c r="H550" s="4" t="str">
        <f>Registered!AX1328</f>
        <v/>
      </c>
      <c r="I550" s="4" t="str">
        <f>Registered!AY1328</f>
        <v/>
      </c>
    </row>
    <row r="551" spans="1:9" x14ac:dyDescent="0.25">
      <c r="A551" s="4" t="str">
        <f>Registered!B1330</f>
        <v>Kesler</v>
      </c>
      <c r="B551" s="4" t="str">
        <f>Registered!A1330</f>
        <v>Chloe</v>
      </c>
      <c r="C551" s="4" t="str">
        <f>IF(Registered!AR1330&gt;0,Registered!AR1330&amp;" Color Bags", "")</f>
        <v>5 Color Bags</v>
      </c>
      <c r="D551" s="4" t="str">
        <f>IF(Registered!AS1330&gt;0,(IF(Registered!AS1330=1,Registered!AS1330&amp;" T-Shirt",Registered!AS1330&amp;" T-Shirts")), "")</f>
        <v/>
      </c>
      <c r="E551" s="4" t="str">
        <f>Registered!AT1330</f>
        <v/>
      </c>
      <c r="F551" s="4" t="str">
        <f>Registered!AU1330</f>
        <v/>
      </c>
      <c r="G551" s="4" t="str">
        <f>Registered!AW1330</f>
        <v/>
      </c>
      <c r="H551" s="4" t="str">
        <f>Registered!AX1330</f>
        <v/>
      </c>
      <c r="I551" s="4" t="str">
        <f>Registered!AY1330</f>
        <v/>
      </c>
    </row>
    <row r="552" spans="1:9" x14ac:dyDescent="0.25">
      <c r="A552" s="4" t="str">
        <f>Registered!B1331</f>
        <v>Ketchum</v>
      </c>
      <c r="B552" s="4" t="str">
        <f>Registered!A1331</f>
        <v>Linette</v>
      </c>
      <c r="C552" s="4" t="str">
        <f>IF(Registered!AR1331&gt;0,Registered!AR1331&amp;" Color Bags", "")</f>
        <v>30 Color Bags</v>
      </c>
      <c r="D552" s="4" t="str">
        <f>IF(Registered!AS1331&gt;0,(IF(Registered!AS1331=1,Registered!AS1331&amp;" T-Shirt",Registered!AS1331&amp;" T-Shirts")), "")</f>
        <v/>
      </c>
      <c r="E552" s="4" t="str">
        <f>Registered!AT1331</f>
        <v/>
      </c>
      <c r="F552" s="4" t="str">
        <f>Registered!AU1331</f>
        <v/>
      </c>
      <c r="G552" s="4" t="str">
        <f>Registered!AW1331</f>
        <v/>
      </c>
      <c r="H552" s="4" t="str">
        <f>Registered!AX1331</f>
        <v/>
      </c>
      <c r="I552" s="4" t="str">
        <f>Registered!AY1331</f>
        <v/>
      </c>
    </row>
    <row r="553" spans="1:9" x14ac:dyDescent="0.25">
      <c r="A553" s="4" t="str">
        <f>Registered!B1332</f>
        <v>Keyes</v>
      </c>
      <c r="B553" s="4" t="str">
        <f>Registered!A1332</f>
        <v>Eloise</v>
      </c>
      <c r="C553" s="4" t="str">
        <f>IF(Registered!AR1332&gt;0,Registered!AR1332&amp;" Color Bags", "")</f>
        <v>5 Color Bags</v>
      </c>
      <c r="D553" s="4" t="str">
        <f>IF(Registered!AS1332&gt;0,(IF(Registered!AS1332=1,Registered!AS1332&amp;" T-Shirt",Registered!AS1332&amp;" T-Shirts")), "")</f>
        <v/>
      </c>
      <c r="E553" s="4" t="str">
        <f>Registered!AT1332</f>
        <v/>
      </c>
      <c r="F553" s="4" t="str">
        <f>Registered!AU1332</f>
        <v/>
      </c>
      <c r="G553" s="4" t="str">
        <f>Registered!AW1332</f>
        <v/>
      </c>
      <c r="H553" s="4" t="str">
        <f>Registered!AX1332</f>
        <v/>
      </c>
      <c r="I553" s="4" t="str">
        <f>Registered!AY1332</f>
        <v/>
      </c>
    </row>
    <row r="554" spans="1:9" x14ac:dyDescent="0.25">
      <c r="A554" s="4" t="str">
        <f>Registered!B1334</f>
        <v>Khanna</v>
      </c>
      <c r="B554" s="4" t="str">
        <f>Registered!A1334</f>
        <v>Anil</v>
      </c>
      <c r="C554" s="4" t="str">
        <f>IF(Registered!AR1334&gt;0,Registered!AR1334&amp;" Color Bags", "")</f>
        <v>5 Color Bags</v>
      </c>
      <c r="D554" s="4" t="str">
        <f>IF(Registered!AS1334&gt;0,(IF(Registered!AS1334=1,Registered!AS1334&amp;" T-Shirt",Registered!AS1334&amp;" T-Shirts")), "")</f>
        <v>1 T-Shirt</v>
      </c>
      <c r="E554" s="4" t="str">
        <f>Registered!AT1334</f>
        <v>Medium</v>
      </c>
      <c r="F554" s="4" t="str">
        <f>Registered!AU1334</f>
        <v/>
      </c>
      <c r="G554" s="4" t="str">
        <f>Registered!AW1334</f>
        <v>3 Meals</v>
      </c>
      <c r="H554" s="4" t="str">
        <f>Registered!AX1334</f>
        <v/>
      </c>
      <c r="I554" s="4" t="str">
        <f>Registered!AY1334</f>
        <v/>
      </c>
    </row>
    <row r="555" spans="1:9" x14ac:dyDescent="0.25">
      <c r="A555" s="4" t="str">
        <f>Registered!B1337</f>
        <v>Kiisel</v>
      </c>
      <c r="B555" s="4" t="str">
        <f>Registered!A1337</f>
        <v>Jessica</v>
      </c>
      <c r="C555" s="4" t="str">
        <f>IF(Registered!AR1337&gt;0,Registered!AR1337&amp;" Color Bags", "")</f>
        <v>10 Color Bags</v>
      </c>
      <c r="D555" s="4" t="str">
        <f>IF(Registered!AS1337&gt;0,(IF(Registered!AS1337=1,Registered!AS1337&amp;" T-Shirt",Registered!AS1337&amp;" T-Shirts")), "")</f>
        <v/>
      </c>
      <c r="E555" s="4" t="str">
        <f>Registered!AT1337</f>
        <v/>
      </c>
      <c r="F555" s="4" t="str">
        <f>Registered!AU1337</f>
        <v/>
      </c>
      <c r="G555" s="4" t="str">
        <f>Registered!AW1337</f>
        <v/>
      </c>
      <c r="H555" s="4" t="str">
        <f>Registered!AX1337</f>
        <v/>
      </c>
      <c r="I555" s="4" t="str">
        <f>Registered!AY1337</f>
        <v/>
      </c>
    </row>
    <row r="556" spans="1:9" x14ac:dyDescent="0.25">
      <c r="A556" s="4" t="str">
        <f>Registered!B1339</f>
        <v>Kilpatrick</v>
      </c>
      <c r="B556" s="4" t="str">
        <f>Registered!A1339</f>
        <v>Kenzi</v>
      </c>
      <c r="C556" s="4" t="str">
        <f>IF(Registered!AR1339&gt;0,Registered!AR1339&amp;" Color Bags", "")</f>
        <v>5 Color Bags</v>
      </c>
      <c r="D556" s="4" t="str">
        <f>IF(Registered!AS1339&gt;0,(IF(Registered!AS1339=1,Registered!AS1339&amp;" T-Shirt",Registered!AS1339&amp;" T-Shirts")), "")</f>
        <v/>
      </c>
      <c r="E556" s="4" t="str">
        <f>Registered!AT1339</f>
        <v/>
      </c>
      <c r="F556" s="4" t="str">
        <f>Registered!AU1339</f>
        <v/>
      </c>
      <c r="G556" s="4" t="str">
        <f>Registered!AW1339</f>
        <v/>
      </c>
      <c r="H556" s="4" t="str">
        <f>Registered!AX1339</f>
        <v/>
      </c>
      <c r="I556" s="4" t="str">
        <f>Registered!AY1339</f>
        <v/>
      </c>
    </row>
    <row r="557" spans="1:9" x14ac:dyDescent="0.25">
      <c r="A557" s="4" t="str">
        <f>Registered!B1340</f>
        <v>Kimball</v>
      </c>
      <c r="B557" s="4" t="str">
        <f>Registered!A1340</f>
        <v>Amber</v>
      </c>
      <c r="C557" s="4" t="str">
        <f>IF(Registered!AR1340&gt;0,Registered!AR1340&amp;" Color Bags", "")</f>
        <v>10 Color Bags</v>
      </c>
      <c r="D557" s="4" t="str">
        <f>IF(Registered!AS1340&gt;0,(IF(Registered!AS1340=1,Registered!AS1340&amp;" T-Shirt",Registered!AS1340&amp;" T-Shirts")), "")</f>
        <v>2 T-Shirts</v>
      </c>
      <c r="E557" s="4" t="str">
        <f>Registered!AT1340</f>
        <v>Medium and extra large</v>
      </c>
      <c r="F557" s="4" t="str">
        <f>Registered!AU1340</f>
        <v/>
      </c>
      <c r="G557" s="4" t="str">
        <f>Registered!AW1340</f>
        <v>2 Meals</v>
      </c>
      <c r="H557" s="4" t="str">
        <f>Registered!AX1340</f>
        <v/>
      </c>
      <c r="I557" s="4" t="str">
        <f>Registered!AY1340</f>
        <v/>
      </c>
    </row>
    <row r="558" spans="1:9" x14ac:dyDescent="0.25">
      <c r="A558" s="4" t="str">
        <f>Registered!B1347</f>
        <v>Kimball</v>
      </c>
      <c r="B558" s="4" t="str">
        <f>Registered!A1347</f>
        <v>Tom</v>
      </c>
      <c r="C558" s="4" t="str">
        <f>IF(Registered!AR1347&gt;0,Registered!AR1347&amp;" Color Bags", "")</f>
        <v>40 Color Bags</v>
      </c>
      <c r="D558" s="4" t="str">
        <f>IF(Registered!AS1347&gt;0,(IF(Registered!AS1347=1,Registered!AS1347&amp;" T-Shirt",Registered!AS1347&amp;" T-Shirts")), "")</f>
        <v/>
      </c>
      <c r="E558" s="4" t="str">
        <f>Registered!AT1347</f>
        <v/>
      </c>
      <c r="F558" s="4" t="str">
        <f>Registered!AU1347</f>
        <v/>
      </c>
      <c r="G558" s="4" t="str">
        <f>Registered!AW1347</f>
        <v>6 Meals</v>
      </c>
      <c r="H558" s="4" t="str">
        <f>Registered!AX1347</f>
        <v/>
      </c>
      <c r="I558" s="4" t="str">
        <f>Registered!AY1347</f>
        <v/>
      </c>
    </row>
    <row r="559" spans="1:9" x14ac:dyDescent="0.25">
      <c r="A559" s="4" t="str">
        <f>Registered!B1341</f>
        <v>Kimball</v>
      </c>
      <c r="B559" s="4" t="str">
        <f>Registered!A1341</f>
        <v>Heather</v>
      </c>
      <c r="C559" s="4" t="str">
        <f>IF(Registered!AR1341&gt;0,Registered!AR1341&amp;" Color Bags", "")</f>
        <v>5 Color Bags</v>
      </c>
      <c r="D559" s="4" t="str">
        <f>IF(Registered!AS1341&gt;0,(IF(Registered!AS1341=1,Registered!AS1341&amp;" T-Shirt",Registered!AS1341&amp;" T-Shirts")), "")</f>
        <v/>
      </c>
      <c r="E559" s="4" t="str">
        <f>Registered!AT1341</f>
        <v/>
      </c>
      <c r="F559" s="4" t="str">
        <f>Registered!AU1341</f>
        <v/>
      </c>
      <c r="G559" s="4" t="str">
        <f>Registered!AW1341</f>
        <v/>
      </c>
      <c r="H559" s="4" t="str">
        <f>Registered!AX1341</f>
        <v/>
      </c>
      <c r="I559" s="4" t="str">
        <f>Registered!AY1341</f>
        <v/>
      </c>
    </row>
    <row r="560" spans="1:9" x14ac:dyDescent="0.25">
      <c r="A560" s="4" t="str">
        <f>Registered!B1352</f>
        <v>Kingery</v>
      </c>
      <c r="B560" s="4" t="str">
        <f>Registered!A1352</f>
        <v>Angela</v>
      </c>
      <c r="C560" s="4" t="str">
        <f>IF(Registered!AR1352&gt;0,Registered!AR1352&amp;" Color Bags", "")</f>
        <v>5 Color Bags</v>
      </c>
      <c r="D560" s="4" t="str">
        <f>IF(Registered!AS1352&gt;0,(IF(Registered!AS1352=1,Registered!AS1352&amp;" T-Shirt",Registered!AS1352&amp;" T-Shirts")), "")</f>
        <v/>
      </c>
      <c r="E560" s="4" t="str">
        <f>Registered!AT1352</f>
        <v/>
      </c>
      <c r="F560" s="4" t="str">
        <f>Registered!AU1352</f>
        <v/>
      </c>
      <c r="G560" s="4" t="str">
        <f>Registered!AW1352</f>
        <v/>
      </c>
      <c r="H560" s="4" t="str">
        <f>Registered!AX1352</f>
        <v/>
      </c>
      <c r="I560" s="4" t="str">
        <f>Registered!AY1352</f>
        <v/>
      </c>
    </row>
    <row r="561" spans="1:9" x14ac:dyDescent="0.25">
      <c r="A561" s="4" t="str">
        <f>Registered!B1356</f>
        <v>Kirby</v>
      </c>
      <c r="B561" s="4" t="str">
        <f>Registered!A1356</f>
        <v>Penny</v>
      </c>
      <c r="C561" s="4" t="str">
        <f>IF(Registered!AR1356&gt;0,Registered!AR1356&amp;" Color Bags", "")</f>
        <v>10 Color Bags</v>
      </c>
      <c r="D561" s="4" t="str">
        <f>IF(Registered!AS1356&gt;0,(IF(Registered!AS1356=1,Registered!AS1356&amp;" T-Shirt",Registered!AS1356&amp;" T-Shirts")), "")</f>
        <v/>
      </c>
      <c r="E561" s="4" t="str">
        <f>Registered!AT1356</f>
        <v/>
      </c>
      <c r="F561" s="4" t="str">
        <f>Registered!AU1356</f>
        <v/>
      </c>
      <c r="G561" s="4" t="str">
        <f>Registered!AW1356</f>
        <v/>
      </c>
      <c r="H561" s="4" t="str">
        <f>Registered!AX1356</f>
        <v/>
      </c>
      <c r="I561" s="4" t="str">
        <f>Registered!AY1356</f>
        <v/>
      </c>
    </row>
    <row r="562" spans="1:9" x14ac:dyDescent="0.25">
      <c r="A562" s="4" t="str">
        <f>Registered!B1357</f>
        <v>Kirchner</v>
      </c>
      <c r="B562" s="4" t="str">
        <f>Registered!A1357</f>
        <v>Audra</v>
      </c>
      <c r="C562" s="4" t="str">
        <f>IF(Registered!AR1357&gt;0,Registered!AR1357&amp;" Color Bags", "")</f>
        <v>10 Color Bags</v>
      </c>
      <c r="D562" s="4" t="str">
        <f>IF(Registered!AS1357&gt;0,(IF(Registered!AS1357=1,Registered!AS1357&amp;" T-Shirt",Registered!AS1357&amp;" T-Shirts")), "")</f>
        <v>1 T-Shirt</v>
      </c>
      <c r="E562" s="4" t="str">
        <f>Registered!AT1357</f>
        <v>large</v>
      </c>
      <c r="F562" s="4" t="str">
        <f>Registered!AU1357</f>
        <v>1 Bandana</v>
      </c>
      <c r="G562" s="4" t="str">
        <f>Registered!AW1357</f>
        <v>1 Meal</v>
      </c>
      <c r="H562" s="4" t="str">
        <f>Registered!AX1357</f>
        <v/>
      </c>
      <c r="I562" s="4" t="str">
        <f>Registered!AY1357</f>
        <v/>
      </c>
    </row>
    <row r="563" spans="1:9" x14ac:dyDescent="0.25">
      <c r="A563" s="4" t="str">
        <f>Registered!B1358</f>
        <v>Kirkeeide</v>
      </c>
      <c r="B563" s="4" t="str">
        <f>Registered!A1358</f>
        <v>Krista</v>
      </c>
      <c r="C563" s="4" t="str">
        <f>IF(Registered!AR1358&gt;0,Registered!AR1358&amp;" Color Bags", "")</f>
        <v>5 Color Bags</v>
      </c>
      <c r="D563" s="4" t="str">
        <f>IF(Registered!AS1358&gt;0,(IF(Registered!AS1358=1,Registered!AS1358&amp;" T-Shirt",Registered!AS1358&amp;" T-Shirts")), "")</f>
        <v/>
      </c>
      <c r="E563" s="4" t="str">
        <f>Registered!AT1358</f>
        <v/>
      </c>
      <c r="F563" s="4" t="str">
        <f>Registered!AU1358</f>
        <v/>
      </c>
      <c r="G563" s="4" t="str">
        <f>Registered!AW1358</f>
        <v/>
      </c>
      <c r="H563" s="4" t="str">
        <f>Registered!AX1358</f>
        <v/>
      </c>
      <c r="I563" s="4" t="str">
        <f>Registered!AY1358</f>
        <v/>
      </c>
    </row>
    <row r="564" spans="1:9" x14ac:dyDescent="0.25">
      <c r="A564" s="4" t="str">
        <f>Registered!B1359</f>
        <v>Kirkham</v>
      </c>
      <c r="B564" s="4" t="str">
        <f>Registered!A1359</f>
        <v>James</v>
      </c>
      <c r="C564" s="4" t="str">
        <f>IF(Registered!AR1359&gt;0,Registered!AR1359&amp;" Color Bags", "")</f>
        <v>5 Color Bags</v>
      </c>
      <c r="D564" s="4" t="str">
        <f>IF(Registered!AS1359&gt;0,(IF(Registered!AS1359=1,Registered!AS1359&amp;" T-Shirt",Registered!AS1359&amp;" T-Shirts")), "")</f>
        <v/>
      </c>
      <c r="E564" s="4" t="str">
        <f>Registered!AT1359</f>
        <v/>
      </c>
      <c r="F564" s="4" t="str">
        <f>Registered!AU1359</f>
        <v/>
      </c>
      <c r="G564" s="4" t="str">
        <f>Registered!AW1359</f>
        <v/>
      </c>
      <c r="H564" s="4" t="str">
        <f>Registered!AX1359</f>
        <v/>
      </c>
      <c r="I564" s="4" t="str">
        <f>Registered!AY1359</f>
        <v/>
      </c>
    </row>
    <row r="565" spans="1:9" x14ac:dyDescent="0.25">
      <c r="A565" s="4" t="str">
        <f>Registered!B1360</f>
        <v>Kirkham</v>
      </c>
      <c r="B565" s="4" t="str">
        <f>Registered!A1360</f>
        <v>Nathan</v>
      </c>
      <c r="C565" s="4" t="str">
        <f>IF(Registered!AR1360&gt;0,Registered!AR1360&amp;" Color Bags", "")</f>
        <v>5 Color Bags</v>
      </c>
      <c r="D565" s="4" t="str">
        <f>IF(Registered!AS1360&gt;0,(IF(Registered!AS1360=1,Registered!AS1360&amp;" T-Shirt",Registered!AS1360&amp;" T-Shirts")), "")</f>
        <v/>
      </c>
      <c r="E565" s="4" t="str">
        <f>Registered!AT1360</f>
        <v/>
      </c>
      <c r="F565" s="4" t="str">
        <f>Registered!AU1360</f>
        <v/>
      </c>
      <c r="G565" s="4" t="str">
        <f>Registered!AW1360</f>
        <v/>
      </c>
      <c r="H565" s="4" t="str">
        <f>Registered!AX1360</f>
        <v/>
      </c>
      <c r="I565" s="4" t="str">
        <f>Registered!AY1360</f>
        <v/>
      </c>
    </row>
    <row r="566" spans="1:9" x14ac:dyDescent="0.25">
      <c r="A566" s="4" t="str">
        <f>Registered!B1362</f>
        <v>Kirkpatrick</v>
      </c>
      <c r="B566" s="4" t="str">
        <f>Registered!A1362</f>
        <v>Kevin</v>
      </c>
      <c r="C566" s="4" t="str">
        <f>IF(Registered!AR1362&gt;0,Registered!AR1362&amp;" Color Bags", "")</f>
        <v>40 Color Bags</v>
      </c>
      <c r="D566" s="4" t="str">
        <f>IF(Registered!AS1362&gt;0,(IF(Registered!AS1362=1,Registered!AS1362&amp;" T-Shirt",Registered!AS1362&amp;" T-Shirts")), "")</f>
        <v/>
      </c>
      <c r="E566" s="4" t="str">
        <f>Registered!AT1362</f>
        <v/>
      </c>
      <c r="F566" s="4" t="str">
        <f>Registered!AU1362</f>
        <v/>
      </c>
      <c r="G566" s="4" t="str">
        <f>Registered!AW1362</f>
        <v>7 Meals</v>
      </c>
      <c r="H566" s="4" t="str">
        <f>Registered!AX1362</f>
        <v/>
      </c>
      <c r="I566" s="4" t="str">
        <f>Registered!AY1362</f>
        <v/>
      </c>
    </row>
    <row r="567" spans="1:9" x14ac:dyDescent="0.25">
      <c r="A567" s="4" t="str">
        <f>Registered!B1370</f>
        <v>Klupenger</v>
      </c>
      <c r="B567" s="4" t="str">
        <f>Registered!A1370</f>
        <v>Mitchel</v>
      </c>
      <c r="C567" s="4" t="str">
        <f>IF(Registered!AR1370&gt;0,Registered!AR1370&amp;" Color Bags", "")</f>
        <v>10 Color Bags</v>
      </c>
      <c r="D567" s="4" t="str">
        <f>IF(Registered!AS1370&gt;0,(IF(Registered!AS1370=1,Registered!AS1370&amp;" T-Shirt",Registered!AS1370&amp;" T-Shirts")), "")</f>
        <v/>
      </c>
      <c r="E567" s="4" t="str">
        <f>Registered!AT1370</f>
        <v/>
      </c>
      <c r="F567" s="4" t="str">
        <f>Registered!AU1370</f>
        <v/>
      </c>
      <c r="G567" s="4" t="str">
        <f>Registered!AW1370</f>
        <v/>
      </c>
      <c r="H567" s="4" t="str">
        <f>Registered!AX1370</f>
        <v/>
      </c>
      <c r="I567" s="4" t="str">
        <f>Registered!AY1370</f>
        <v/>
      </c>
    </row>
    <row r="568" spans="1:9" x14ac:dyDescent="0.25">
      <c r="A568" s="4" t="str">
        <f>Registered!B1373</f>
        <v>Knerr</v>
      </c>
      <c r="B568" s="4" t="str">
        <f>Registered!A1373</f>
        <v>Brielle</v>
      </c>
      <c r="C568" s="4" t="str">
        <f>IF(Registered!AR1373&gt;0,Registered!AR1373&amp;" Color Bags", "")</f>
        <v>10 Color Bags</v>
      </c>
      <c r="D568" s="4" t="str">
        <f>IF(Registered!AS1373&gt;0,(IF(Registered!AS1373=1,Registered!AS1373&amp;" T-Shirt",Registered!AS1373&amp;" T-Shirts")), "")</f>
        <v/>
      </c>
      <c r="E568" s="4" t="str">
        <f>Registered!AT1373</f>
        <v/>
      </c>
      <c r="F568" s="4" t="str">
        <f>Registered!AU1373</f>
        <v/>
      </c>
      <c r="G568" s="4" t="str">
        <f>Registered!AW1373</f>
        <v/>
      </c>
      <c r="H568" s="4" t="str">
        <f>Registered!AX1373</f>
        <v/>
      </c>
      <c r="I568" s="4" t="str">
        <f>Registered!AY1373</f>
        <v/>
      </c>
    </row>
    <row r="569" spans="1:9" x14ac:dyDescent="0.25">
      <c r="A569" s="4" t="str">
        <f>Registered!B1374</f>
        <v>Knight</v>
      </c>
      <c r="B569" s="4" t="str">
        <f>Registered!A1374</f>
        <v>AbiRae</v>
      </c>
      <c r="C569" s="4" t="str">
        <f>IF(Registered!AR1374&gt;0,Registered!AR1374&amp;" Color Bags", "")</f>
        <v>10 Color Bags</v>
      </c>
      <c r="D569" s="4" t="str">
        <f>IF(Registered!AS1374&gt;0,(IF(Registered!AS1374=1,Registered!AS1374&amp;" T-Shirt",Registered!AS1374&amp;" T-Shirts")), "")</f>
        <v/>
      </c>
      <c r="E569" s="4" t="str">
        <f>Registered!AT1374</f>
        <v/>
      </c>
      <c r="F569" s="4" t="str">
        <f>Registered!AU1374</f>
        <v/>
      </c>
      <c r="G569" s="4" t="str">
        <f>Registered!AW1374</f>
        <v/>
      </c>
      <c r="H569" s="4" t="str">
        <f>Registered!AX1374</f>
        <v/>
      </c>
      <c r="I569" s="4" t="str">
        <f>Registered!AY1374</f>
        <v/>
      </c>
    </row>
    <row r="570" spans="1:9" x14ac:dyDescent="0.25">
      <c r="A570" s="4" t="str">
        <f>Registered!B1375</f>
        <v>Knight</v>
      </c>
      <c r="B570" s="4" t="str">
        <f>Registered!A1375</f>
        <v>Mackenzie</v>
      </c>
      <c r="C570" s="4" t="str">
        <f>IF(Registered!AR1375&gt;0,Registered!AR1375&amp;" Color Bags", "")</f>
        <v>5 Color Bags</v>
      </c>
      <c r="D570" s="4" t="str">
        <f>IF(Registered!AS1375&gt;0,(IF(Registered!AS1375=1,Registered!AS1375&amp;" T-Shirt",Registered!AS1375&amp;" T-Shirts")), "")</f>
        <v>1 T-Shirt</v>
      </c>
      <c r="E570" s="4" t="str">
        <f>Registered!AT1375</f>
        <v>men's small</v>
      </c>
      <c r="F570" s="4" t="str">
        <f>Registered!AU1375</f>
        <v>1 Bandana</v>
      </c>
      <c r="G570" s="4" t="str">
        <f>Registered!AW1375</f>
        <v/>
      </c>
      <c r="H570" s="4" t="str">
        <f>Registered!AX1375</f>
        <v/>
      </c>
      <c r="I570" s="4" t="str">
        <f>Registered!AY1375</f>
        <v/>
      </c>
    </row>
    <row r="571" spans="1:9" x14ac:dyDescent="0.25">
      <c r="A571" s="4" t="str">
        <f>Registered!B2738</f>
        <v>Knight</v>
      </c>
      <c r="B571" s="4" t="str">
        <f>Registered!A2738</f>
        <v>Chanelle</v>
      </c>
      <c r="C571" s="4" t="str">
        <f>IF(Registered!AR2738&gt;0,Registered!AR2738&amp;" Color Bags", "")</f>
        <v>5 Color Bags</v>
      </c>
      <c r="D571" s="4" t="str">
        <f>IF(Registered!AS2738&gt;0,(IF(Registered!AS2738=1,Registered!AS2738&amp;" T-Shirt",Registered!AS2738&amp;" T-Shirts")), "")</f>
        <v>1 T-Shirt</v>
      </c>
      <c r="E571" s="4" t="str">
        <f>Registered!AT2738</f>
        <v>Size Not Specified</v>
      </c>
      <c r="F571" s="4" t="str">
        <f>Registered!AU2738</f>
        <v/>
      </c>
      <c r="G571" s="4" t="str">
        <f>Registered!AW2738</f>
        <v>1 Meal</v>
      </c>
      <c r="H571" s="4" t="str">
        <f>Registered!AX2738</f>
        <v/>
      </c>
      <c r="I571" s="4" t="str">
        <f>Registered!AY2738</f>
        <v/>
      </c>
    </row>
    <row r="572" spans="1:9" x14ac:dyDescent="0.25">
      <c r="A572" s="4" t="str">
        <f>Registered!B1377</f>
        <v>Knorr</v>
      </c>
      <c r="B572" s="4" t="str">
        <f>Registered!A1377</f>
        <v>Kristen</v>
      </c>
      <c r="C572" s="4" t="str">
        <f>IF(Registered!AR1377&gt;0,Registered!AR1377&amp;" Color Bags", "")</f>
        <v>5 Color Bags</v>
      </c>
      <c r="D572" s="4" t="str">
        <f>IF(Registered!AS1377&gt;0,(IF(Registered!AS1377=1,Registered!AS1377&amp;" T-Shirt",Registered!AS1377&amp;" T-Shirts")), "")</f>
        <v/>
      </c>
      <c r="E572" s="4" t="str">
        <f>Registered!AT1377</f>
        <v/>
      </c>
      <c r="F572" s="4" t="str">
        <f>Registered!AU1377</f>
        <v/>
      </c>
      <c r="G572" s="4" t="str">
        <f>Registered!AW1377</f>
        <v/>
      </c>
      <c r="H572" s="4" t="str">
        <f>Registered!AX1377</f>
        <v/>
      </c>
      <c r="I572" s="4" t="str">
        <f>Registered!AY1377</f>
        <v/>
      </c>
    </row>
    <row r="573" spans="1:9" x14ac:dyDescent="0.25">
      <c r="A573" s="4" t="str">
        <f>Registered!B1379</f>
        <v>Knudson</v>
      </c>
      <c r="B573" s="4" t="str">
        <f>Registered!A1379</f>
        <v>Susan</v>
      </c>
      <c r="C573" s="4" t="str">
        <f>IF(Registered!AR1379&gt;0,Registered!AR1379&amp;" Color Bags", "")</f>
        <v>40 Color Bags</v>
      </c>
      <c r="D573" s="4" t="str">
        <f>IF(Registered!AS1379&gt;0,(IF(Registered!AS1379=1,Registered!AS1379&amp;" T-Shirt",Registered!AS1379&amp;" T-Shirts")), "")</f>
        <v/>
      </c>
      <c r="E573" s="4" t="str">
        <f>Registered!AT1379</f>
        <v/>
      </c>
      <c r="F573" s="4" t="str">
        <f>Registered!AU1379</f>
        <v>2 Bandanas</v>
      </c>
      <c r="G573" s="4" t="str">
        <f>Registered!AW1379</f>
        <v/>
      </c>
      <c r="H573" s="4" t="str">
        <f>Registered!AX1379</f>
        <v>1 BG</v>
      </c>
      <c r="I573" s="4" t="str">
        <f>Registered!AY1379</f>
        <v/>
      </c>
    </row>
    <row r="574" spans="1:9" x14ac:dyDescent="0.25">
      <c r="A574" s="4" t="str">
        <f>Registered!B1380</f>
        <v>Ko Ko</v>
      </c>
      <c r="B574" s="4" t="str">
        <f>Registered!A1380</f>
        <v>Thant Mon</v>
      </c>
      <c r="C574" s="4" t="str">
        <f>IF(Registered!AR1380&gt;0,Registered!AR1380&amp;" Color Bags", "")</f>
        <v>10 Color Bags</v>
      </c>
      <c r="D574" s="4" t="str">
        <f>IF(Registered!AS1380&gt;0,(IF(Registered!AS1380=1,Registered!AS1380&amp;" T-Shirt",Registered!AS1380&amp;" T-Shirts")), "")</f>
        <v/>
      </c>
      <c r="E574" s="4" t="str">
        <f>Registered!AT1380</f>
        <v/>
      </c>
      <c r="F574" s="4" t="str">
        <f>Registered!AU1380</f>
        <v/>
      </c>
      <c r="G574" s="4" t="str">
        <f>Registered!AW1380</f>
        <v>2 Meals</v>
      </c>
      <c r="H574" s="4" t="str">
        <f>Registered!AX1380</f>
        <v/>
      </c>
      <c r="I574" s="4" t="str">
        <f>Registered!AY1380</f>
        <v/>
      </c>
    </row>
    <row r="575" spans="1:9" x14ac:dyDescent="0.25">
      <c r="A575" s="4" t="str">
        <f>Registered!B1385</f>
        <v>Kranc</v>
      </c>
      <c r="B575" s="4" t="str">
        <f>Registered!A1385</f>
        <v>Amber</v>
      </c>
      <c r="C575" s="4" t="str">
        <f>IF(Registered!AR1385&gt;0,Registered!AR1385&amp;" Color Bags", "")</f>
        <v>5 Color Bags</v>
      </c>
      <c r="D575" s="4" t="str">
        <f>IF(Registered!AS1385&gt;0,(IF(Registered!AS1385=1,Registered!AS1385&amp;" T-Shirt",Registered!AS1385&amp;" T-Shirts")), "")</f>
        <v/>
      </c>
      <c r="E575" s="4" t="str">
        <f>Registered!AT1385</f>
        <v/>
      </c>
      <c r="F575" s="4" t="str">
        <f>Registered!AU1385</f>
        <v/>
      </c>
      <c r="G575" s="4" t="str">
        <f>Registered!AW1385</f>
        <v/>
      </c>
      <c r="H575" s="4" t="str">
        <f>Registered!AX1385</f>
        <v/>
      </c>
      <c r="I575" s="4" t="str">
        <f>Registered!AY1385</f>
        <v/>
      </c>
    </row>
    <row r="576" spans="1:9" x14ac:dyDescent="0.25">
      <c r="A576" s="4" t="str">
        <f>Registered!B1387</f>
        <v>Krause</v>
      </c>
      <c r="B576" s="4" t="str">
        <f>Registered!A1387</f>
        <v>Michelle</v>
      </c>
      <c r="C576" s="4" t="str">
        <f>IF(Registered!AR1387&gt;0,Registered!AR1387&amp;" Color Bags", "")</f>
        <v>20 Color Bags</v>
      </c>
      <c r="D576" s="4" t="str">
        <f>IF(Registered!AS1387&gt;0,(IF(Registered!AS1387=1,Registered!AS1387&amp;" T-Shirt",Registered!AS1387&amp;" T-Shirts")), "")</f>
        <v>3 T-Shirts</v>
      </c>
      <c r="E576" s="4" t="str">
        <f>Registered!AT1387</f>
        <v>2 Large and 1 X-Large</v>
      </c>
      <c r="F576" s="4" t="str">
        <f>Registered!AU1387</f>
        <v/>
      </c>
      <c r="G576" s="4" t="str">
        <f>Registered!AW1387</f>
        <v/>
      </c>
      <c r="H576" s="4" t="str">
        <f>Registered!AX1387</f>
        <v/>
      </c>
      <c r="I576" s="4" t="str">
        <f>Registered!AY1387</f>
        <v/>
      </c>
    </row>
    <row r="577" spans="1:9" x14ac:dyDescent="0.25">
      <c r="A577" s="4" t="str">
        <f>Registered!B1389</f>
        <v>Krebs</v>
      </c>
      <c r="B577" s="4" t="str">
        <f>Registered!A1389</f>
        <v>Matthew</v>
      </c>
      <c r="C577" s="4" t="str">
        <f>IF(Registered!AR1389&gt;0,Registered!AR1389&amp;" Color Bags", "")</f>
        <v>10 Color Bags</v>
      </c>
      <c r="D577" s="4" t="str">
        <f>IF(Registered!AS1389&gt;0,(IF(Registered!AS1389=1,Registered!AS1389&amp;" T-Shirt",Registered!AS1389&amp;" T-Shirts")), "")</f>
        <v/>
      </c>
      <c r="E577" s="4" t="str">
        <f>Registered!AT1389</f>
        <v/>
      </c>
      <c r="F577" s="4" t="str">
        <f>Registered!AU1389</f>
        <v/>
      </c>
      <c r="G577" s="4" t="str">
        <f>Registered!AW1389</f>
        <v/>
      </c>
      <c r="H577" s="4" t="str">
        <f>Registered!AX1389</f>
        <v/>
      </c>
      <c r="I577" s="4" t="str">
        <f>Registered!AY1389</f>
        <v/>
      </c>
    </row>
    <row r="578" spans="1:9" x14ac:dyDescent="0.25">
      <c r="A578" s="4" t="str">
        <f>Registered!B1390</f>
        <v>Kreimeyer</v>
      </c>
      <c r="B578" s="4" t="str">
        <f>Registered!A1390</f>
        <v>Ara</v>
      </c>
      <c r="C578" s="4" t="str">
        <f>IF(Registered!AR1390&gt;0,Registered!AR1390&amp;" Color Bags", "")</f>
        <v>5 Color Bags</v>
      </c>
      <c r="D578" s="4" t="str">
        <f>IF(Registered!AS1390&gt;0,(IF(Registered!AS1390=1,Registered!AS1390&amp;" T-Shirt",Registered!AS1390&amp;" T-Shirts")), "")</f>
        <v/>
      </c>
      <c r="E578" s="4" t="str">
        <f>Registered!AT1390</f>
        <v/>
      </c>
      <c r="F578" s="4" t="str">
        <f>Registered!AU1390</f>
        <v/>
      </c>
      <c r="G578" s="4" t="str">
        <f>Registered!AW1390</f>
        <v/>
      </c>
      <c r="H578" s="4" t="str">
        <f>Registered!AX1390</f>
        <v/>
      </c>
      <c r="I578" s="4" t="str">
        <f>Registered!AY1390</f>
        <v/>
      </c>
    </row>
    <row r="579" spans="1:9" x14ac:dyDescent="0.25">
      <c r="A579" s="4" t="str">
        <f>Registered!B1391</f>
        <v>Krieger</v>
      </c>
      <c r="B579" s="4" t="str">
        <f>Registered!A1391</f>
        <v>Aaron</v>
      </c>
      <c r="C579" s="4" t="str">
        <f>IF(Registered!AR1391&gt;0,Registered!AR1391&amp;" Color Bags", "")</f>
        <v>5 Color Bags</v>
      </c>
      <c r="D579" s="4" t="str">
        <f>IF(Registered!AS1391&gt;0,(IF(Registered!AS1391=1,Registered!AS1391&amp;" T-Shirt",Registered!AS1391&amp;" T-Shirts")), "")</f>
        <v/>
      </c>
      <c r="E579" s="4" t="str">
        <f>Registered!AT1391</f>
        <v/>
      </c>
      <c r="F579" s="4" t="str">
        <f>Registered!AU1391</f>
        <v/>
      </c>
      <c r="G579" s="4" t="str">
        <f>Registered!AW1391</f>
        <v/>
      </c>
      <c r="H579" s="4" t="str">
        <f>Registered!AX1391</f>
        <v/>
      </c>
      <c r="I579" s="4" t="str">
        <f>Registered!AY1391</f>
        <v/>
      </c>
    </row>
    <row r="580" spans="1:9" x14ac:dyDescent="0.25">
      <c r="A580" s="4" t="str">
        <f>Registered!B1392</f>
        <v>Kros</v>
      </c>
      <c r="B580" s="4" t="str">
        <f>Registered!A1392</f>
        <v>BreAnna</v>
      </c>
      <c r="C580" s="4" t="str">
        <f>IF(Registered!AR1392&gt;0,Registered!AR1392&amp;" Color Bags", "")</f>
        <v>10 Color Bags</v>
      </c>
      <c r="D580" s="4" t="str">
        <f>IF(Registered!AS1392&gt;0,(IF(Registered!AS1392=1,Registered!AS1392&amp;" T-Shirt",Registered!AS1392&amp;" T-Shirts")), "")</f>
        <v>1 T-Shirt</v>
      </c>
      <c r="E580" s="4" t="str">
        <f>Registered!AT1392</f>
        <v>medium</v>
      </c>
      <c r="F580" s="4" t="str">
        <f>Registered!AU1392</f>
        <v>1 Bandana</v>
      </c>
      <c r="G580" s="4" t="str">
        <f>Registered!AW1392</f>
        <v>1 Meal</v>
      </c>
      <c r="H580" s="4" t="str">
        <f>Registered!AX1392</f>
        <v/>
      </c>
      <c r="I580" s="4" t="str">
        <f>Registered!AY1392</f>
        <v/>
      </c>
    </row>
    <row r="581" spans="1:9" x14ac:dyDescent="0.25">
      <c r="A581" s="4" t="str">
        <f>Registered!B1396</f>
        <v>Kunkel</v>
      </c>
      <c r="B581" s="4" t="str">
        <f>Registered!A1396</f>
        <v>Nathan</v>
      </c>
      <c r="C581" s="4" t="str">
        <f>IF(Registered!AR1396&gt;0,Registered!AR1396&amp;" Color Bags", "")</f>
        <v>10 Color Bags</v>
      </c>
      <c r="D581" s="4" t="str">
        <f>IF(Registered!AS1396&gt;0,(IF(Registered!AS1396=1,Registered!AS1396&amp;" T-Shirt",Registered!AS1396&amp;" T-Shirts")), "")</f>
        <v/>
      </c>
      <c r="E581" s="4" t="str">
        <f>Registered!AT1396</f>
        <v/>
      </c>
      <c r="F581" s="4" t="str">
        <f>Registered!AU1396</f>
        <v/>
      </c>
      <c r="G581" s="4" t="str">
        <f>Registered!AW1396</f>
        <v/>
      </c>
      <c r="H581" s="4" t="str">
        <f>Registered!AX1396</f>
        <v/>
      </c>
      <c r="I581" s="4" t="str">
        <f>Registered!AY1396</f>
        <v/>
      </c>
    </row>
    <row r="582" spans="1:9" x14ac:dyDescent="0.25">
      <c r="A582" s="4" t="str">
        <f>Registered!B1397</f>
        <v>Kunz</v>
      </c>
      <c r="B582" s="4" t="str">
        <f>Registered!A1397</f>
        <v>Ashley</v>
      </c>
      <c r="C582" s="4" t="str">
        <f>IF(Registered!AR1397&gt;0,Registered!AR1397&amp;" Color Bags", "")</f>
        <v>5 Color Bags</v>
      </c>
      <c r="D582" s="4" t="str">
        <f>IF(Registered!AS1397&gt;0,(IF(Registered!AS1397=1,Registered!AS1397&amp;" T-Shirt",Registered!AS1397&amp;" T-Shirts")), "")</f>
        <v/>
      </c>
      <c r="E582" s="4" t="str">
        <f>Registered!AT1397</f>
        <v/>
      </c>
      <c r="F582" s="4" t="str">
        <f>Registered!AU1397</f>
        <v/>
      </c>
      <c r="G582" s="4" t="str">
        <f>Registered!AW1397</f>
        <v/>
      </c>
      <c r="H582" s="4" t="str">
        <f>Registered!AX1397</f>
        <v/>
      </c>
      <c r="I582" s="4" t="str">
        <f>Registered!AY1397</f>
        <v/>
      </c>
    </row>
    <row r="583" spans="1:9" x14ac:dyDescent="0.25">
      <c r="A583" s="4" t="str">
        <f>Registered!B1398</f>
        <v>Kvamme</v>
      </c>
      <c r="B583" s="4" t="str">
        <f>Registered!A1398</f>
        <v>Alisha</v>
      </c>
      <c r="C583" s="4" t="str">
        <f>IF(Registered!AR1398&gt;0,Registered!AR1398&amp;" Color Bags", "")</f>
        <v>10 Color Bags</v>
      </c>
      <c r="D583" s="4" t="str">
        <f>IF(Registered!AS1398&gt;0,(IF(Registered!AS1398=1,Registered!AS1398&amp;" T-Shirt",Registered!AS1398&amp;" T-Shirts")), "")</f>
        <v/>
      </c>
      <c r="E583" s="4" t="str">
        <f>Registered!AT1398</f>
        <v/>
      </c>
      <c r="F583" s="4" t="str">
        <f>Registered!AU1398</f>
        <v/>
      </c>
      <c r="G583" s="4" t="str">
        <f>Registered!AW1398</f>
        <v/>
      </c>
      <c r="H583" s="4" t="str">
        <f>Registered!AX1398</f>
        <v/>
      </c>
      <c r="I583" s="4" t="str">
        <f>Registered!AY1398</f>
        <v/>
      </c>
    </row>
    <row r="584" spans="1:9" x14ac:dyDescent="0.25">
      <c r="A584" s="4" t="str">
        <f>Registered!B1401</f>
        <v>Labrum</v>
      </c>
      <c r="B584" s="4" t="str">
        <f>Registered!A1401</f>
        <v>Dakota</v>
      </c>
      <c r="C584" s="4" t="str">
        <f>IF(Registered!AR1401&gt;0,Registered!AR1401&amp;" Color Bags", "")</f>
        <v>10 Color Bags</v>
      </c>
      <c r="D584" s="4" t="str">
        <f>IF(Registered!AS1401&gt;0,(IF(Registered!AS1401=1,Registered!AS1401&amp;" T-Shirt",Registered!AS1401&amp;" T-Shirts")), "")</f>
        <v/>
      </c>
      <c r="E584" s="4" t="str">
        <f>Registered!AT1401</f>
        <v/>
      </c>
      <c r="F584" s="4" t="str">
        <f>Registered!AU1401</f>
        <v/>
      </c>
      <c r="G584" s="4" t="str">
        <f>Registered!AW1401</f>
        <v/>
      </c>
      <c r="H584" s="4" t="str">
        <f>Registered!AX1401</f>
        <v/>
      </c>
      <c r="I584" s="4" t="str">
        <f>Registered!AY1401</f>
        <v/>
      </c>
    </row>
    <row r="585" spans="1:9" x14ac:dyDescent="0.25">
      <c r="A585" s="4" t="str">
        <f>Registered!B1402</f>
        <v>Labrum</v>
      </c>
      <c r="B585" s="4" t="str">
        <f>Registered!A1402</f>
        <v>Rebecca</v>
      </c>
      <c r="C585" s="4" t="str">
        <f>IF(Registered!AR1402&gt;0,Registered!AR1402&amp;" Color Bags", "")</f>
        <v>5 Color Bags</v>
      </c>
      <c r="D585" s="4" t="str">
        <f>IF(Registered!AS1402&gt;0,(IF(Registered!AS1402=1,Registered!AS1402&amp;" T-Shirt",Registered!AS1402&amp;" T-Shirts")), "")</f>
        <v/>
      </c>
      <c r="E585" s="4" t="str">
        <f>Registered!AT1402</f>
        <v/>
      </c>
      <c r="F585" s="4" t="str">
        <f>Registered!AU1402</f>
        <v/>
      </c>
      <c r="G585" s="4" t="str">
        <f>Registered!AW1402</f>
        <v/>
      </c>
      <c r="H585" s="4" t="str">
        <f>Registered!AX1402</f>
        <v/>
      </c>
      <c r="I585" s="4" t="str">
        <f>Registered!AY1402</f>
        <v/>
      </c>
    </row>
    <row r="586" spans="1:9" x14ac:dyDescent="0.25">
      <c r="A586" s="4" t="str">
        <f>Registered!B1406</f>
        <v>Lam</v>
      </c>
      <c r="B586" s="4" t="str">
        <f>Registered!A1406</f>
        <v>Alec</v>
      </c>
      <c r="C586" s="4" t="str">
        <f>IF(Registered!AR1406&gt;0,Registered!AR1406&amp;" Color Bags", "")</f>
        <v>5 Color Bags</v>
      </c>
      <c r="D586" s="4" t="str">
        <f>IF(Registered!AS1406&gt;0,(IF(Registered!AS1406=1,Registered!AS1406&amp;" T-Shirt",Registered!AS1406&amp;" T-Shirts")), "")</f>
        <v/>
      </c>
      <c r="E586" s="4" t="str">
        <f>Registered!AT1406</f>
        <v/>
      </c>
      <c r="F586" s="4" t="str">
        <f>Registered!AU1406</f>
        <v/>
      </c>
      <c r="G586" s="4" t="str">
        <f>Registered!AW1406</f>
        <v/>
      </c>
      <c r="H586" s="4" t="str">
        <f>Registered!AX1406</f>
        <v/>
      </c>
      <c r="I586" s="4" t="str">
        <f>Registered!AY1406</f>
        <v/>
      </c>
    </row>
    <row r="587" spans="1:9" x14ac:dyDescent="0.25">
      <c r="A587" s="4" t="str">
        <f>Registered!B1408</f>
        <v>Lambert</v>
      </c>
      <c r="B587" s="4" t="str">
        <f>Registered!A1408</f>
        <v>Steph</v>
      </c>
      <c r="C587" s="4" t="str">
        <f>IF(Registered!AR1408&gt;0,Registered!AR1408&amp;" Color Bags", "")</f>
        <v>25 Color Bags</v>
      </c>
      <c r="D587" s="4" t="str">
        <f>IF(Registered!AS1408&gt;0,(IF(Registered!AS1408=1,Registered!AS1408&amp;" T-Shirt",Registered!AS1408&amp;" T-Shirts")), "")</f>
        <v>4 T-Shirts</v>
      </c>
      <c r="E587" s="4" t="str">
        <f>Registered!AT1408</f>
        <v>two extra large two large</v>
      </c>
      <c r="F587" s="4" t="str">
        <f>Registered!AU1408</f>
        <v>4 Bandanas</v>
      </c>
      <c r="G587" s="4" t="str">
        <f>Registered!AW1408</f>
        <v/>
      </c>
      <c r="H587" s="4" t="str">
        <f>Registered!AX1408</f>
        <v/>
      </c>
      <c r="I587" s="4" t="str">
        <f>Registered!AY1408</f>
        <v/>
      </c>
    </row>
    <row r="588" spans="1:9" x14ac:dyDescent="0.25">
      <c r="A588" s="4" t="str">
        <f>Registered!B1407</f>
        <v>Lambert</v>
      </c>
      <c r="B588" s="4" t="str">
        <f>Registered!A1407</f>
        <v>Brad</v>
      </c>
      <c r="C588" s="4" t="str">
        <f>IF(Registered!AR1407&gt;0,Registered!AR1407&amp;" Color Bags", "")</f>
        <v>30 Color Bags</v>
      </c>
      <c r="D588" s="4" t="str">
        <f>IF(Registered!AS1407&gt;0,(IF(Registered!AS1407=1,Registered!AS1407&amp;" T-Shirt",Registered!AS1407&amp;" T-Shirts")), "")</f>
        <v/>
      </c>
      <c r="E588" s="4" t="str">
        <f>Registered!AT1407</f>
        <v/>
      </c>
      <c r="F588" s="4" t="str">
        <f>Registered!AU1407</f>
        <v/>
      </c>
      <c r="G588" s="4" t="str">
        <f>Registered!AW1407</f>
        <v/>
      </c>
      <c r="H588" s="4" t="str">
        <f>Registered!AX1407</f>
        <v/>
      </c>
      <c r="I588" s="4" t="str">
        <f>Registered!AY1407</f>
        <v/>
      </c>
    </row>
    <row r="589" spans="1:9" x14ac:dyDescent="0.25">
      <c r="A589" s="4" t="str">
        <f>Registered!B1409</f>
        <v>Lamont</v>
      </c>
      <c r="B589" s="4" t="str">
        <f>Registered!A1409</f>
        <v>Brett</v>
      </c>
      <c r="C589" s="4" t="str">
        <f>IF(Registered!AR1409&gt;0,Registered!AR1409&amp;" Color Bags", "")</f>
        <v>5 Color Bags</v>
      </c>
      <c r="D589" s="4" t="str">
        <f>IF(Registered!AS1409&gt;0,(IF(Registered!AS1409=1,Registered!AS1409&amp;" T-Shirt",Registered!AS1409&amp;" T-Shirts")), "")</f>
        <v/>
      </c>
      <c r="E589" s="4" t="str">
        <f>Registered!AT1409</f>
        <v/>
      </c>
      <c r="F589" s="4" t="str">
        <f>Registered!AU1409</f>
        <v/>
      </c>
      <c r="G589" s="4" t="str">
        <f>Registered!AW1409</f>
        <v/>
      </c>
      <c r="H589" s="4" t="str">
        <f>Registered!AX1409</f>
        <v/>
      </c>
      <c r="I589" s="4" t="str">
        <f>Registered!AY1409</f>
        <v/>
      </c>
    </row>
    <row r="590" spans="1:9" x14ac:dyDescent="0.25">
      <c r="A590" s="4" t="str">
        <f>Registered!B1410</f>
        <v>Lange</v>
      </c>
      <c r="B590" s="4" t="str">
        <f>Registered!A1410</f>
        <v>Angel</v>
      </c>
      <c r="C590" s="4" t="str">
        <f>IF(Registered!AR1410&gt;0,Registered!AR1410&amp;" Color Bags", "")</f>
        <v>5 Color Bags</v>
      </c>
      <c r="D590" s="4" t="str">
        <f>IF(Registered!AS1410&gt;0,(IF(Registered!AS1410=1,Registered!AS1410&amp;" T-Shirt",Registered!AS1410&amp;" T-Shirts")), "")</f>
        <v/>
      </c>
      <c r="E590" s="4" t="str">
        <f>Registered!AT1410</f>
        <v/>
      </c>
      <c r="F590" s="4" t="str">
        <f>Registered!AU1410</f>
        <v/>
      </c>
      <c r="G590" s="4" t="str">
        <f>Registered!AW1410</f>
        <v/>
      </c>
      <c r="H590" s="4" t="str">
        <f>Registered!AX1410</f>
        <v/>
      </c>
      <c r="I590" s="4" t="str">
        <f>Registered!AY1410</f>
        <v/>
      </c>
    </row>
    <row r="591" spans="1:9" x14ac:dyDescent="0.25">
      <c r="A591" s="4" t="str">
        <f>Registered!B1411</f>
        <v>Lara</v>
      </c>
      <c r="B591" s="4" t="str">
        <f>Registered!A1411</f>
        <v>Chandler</v>
      </c>
      <c r="C591" s="4" t="str">
        <f>IF(Registered!AR1411&gt;0,Registered!AR1411&amp;" Color Bags", "")</f>
        <v>5 Color Bags</v>
      </c>
      <c r="D591" s="4" t="str">
        <f>IF(Registered!AS1411&gt;0,(IF(Registered!AS1411=1,Registered!AS1411&amp;" T-Shirt",Registered!AS1411&amp;" T-Shirts")), "")</f>
        <v/>
      </c>
      <c r="E591" s="4" t="str">
        <f>Registered!AT1411</f>
        <v/>
      </c>
      <c r="F591" s="4" t="str">
        <f>Registered!AU1411</f>
        <v/>
      </c>
      <c r="G591" s="4" t="str">
        <f>Registered!AW1411</f>
        <v/>
      </c>
      <c r="H591" s="4" t="str">
        <f>Registered!AX1411</f>
        <v/>
      </c>
      <c r="I591" s="4" t="str">
        <f>Registered!AY1411</f>
        <v/>
      </c>
    </row>
    <row r="592" spans="1:9" x14ac:dyDescent="0.25">
      <c r="A592" s="4" t="str">
        <f>Registered!B1413</f>
        <v>Larrabee</v>
      </c>
      <c r="B592" s="4" t="str">
        <f>Registered!A1413</f>
        <v>Nicole</v>
      </c>
      <c r="C592" s="4" t="str">
        <f>IF(Registered!AR1413&gt;0,Registered!AR1413&amp;" Color Bags", "")</f>
        <v>10 Color Bags</v>
      </c>
      <c r="D592" s="4" t="str">
        <f>IF(Registered!AS1413&gt;0,(IF(Registered!AS1413=1,Registered!AS1413&amp;" T-Shirt",Registered!AS1413&amp;" T-Shirts")), "")</f>
        <v/>
      </c>
      <c r="E592" s="4" t="str">
        <f>Registered!AT1413</f>
        <v/>
      </c>
      <c r="F592" s="4" t="str">
        <f>Registered!AU1413</f>
        <v/>
      </c>
      <c r="G592" s="4" t="str">
        <f>Registered!AW1413</f>
        <v/>
      </c>
      <c r="H592" s="4" t="str">
        <f>Registered!AX1413</f>
        <v/>
      </c>
      <c r="I592" s="4" t="str">
        <f>Registered!AY1413</f>
        <v/>
      </c>
    </row>
    <row r="593" spans="1:9" x14ac:dyDescent="0.25">
      <c r="A593" s="4" t="str">
        <f>Registered!B1418</f>
        <v>Larsen</v>
      </c>
      <c r="B593" s="4" t="str">
        <f>Registered!A1418</f>
        <v>Jamie</v>
      </c>
      <c r="C593" s="4" t="str">
        <f>IF(Registered!AR1418&gt;0,Registered!AR1418&amp;" Color Bags", "")</f>
        <v>10 Color Bags</v>
      </c>
      <c r="D593" s="4" t="str">
        <f>IF(Registered!AS1418&gt;0,(IF(Registered!AS1418=1,Registered!AS1418&amp;" T-Shirt",Registered!AS1418&amp;" T-Shirts")), "")</f>
        <v/>
      </c>
      <c r="E593" s="4" t="str">
        <f>Registered!AT1418</f>
        <v/>
      </c>
      <c r="F593" s="4" t="str">
        <f>Registered!AU1418</f>
        <v/>
      </c>
      <c r="G593" s="4" t="str">
        <f>Registered!AW1418</f>
        <v/>
      </c>
      <c r="H593" s="4" t="str">
        <f>Registered!AX1418</f>
        <v/>
      </c>
      <c r="I593" s="4" t="str">
        <f>Registered!AY1418</f>
        <v>1 DustMask</v>
      </c>
    </row>
    <row r="594" spans="1:9" x14ac:dyDescent="0.25">
      <c r="A594" s="4" t="str">
        <f>Registered!B1425</f>
        <v>Larsen</v>
      </c>
      <c r="B594" s="4" t="str">
        <f>Registered!A1425</f>
        <v>Tristen</v>
      </c>
      <c r="C594" s="4" t="str">
        <f>IF(Registered!AR1425&gt;0,Registered!AR1425&amp;" Color Bags", "")</f>
        <v>20 Color Bags</v>
      </c>
      <c r="D594" s="4" t="str">
        <f>IF(Registered!AS1425&gt;0,(IF(Registered!AS1425=1,Registered!AS1425&amp;" T-Shirt",Registered!AS1425&amp;" T-Shirts")), "")</f>
        <v/>
      </c>
      <c r="E594" s="4" t="str">
        <f>Registered!AT1425</f>
        <v/>
      </c>
      <c r="F594" s="4" t="str">
        <f>Registered!AU1425</f>
        <v/>
      </c>
      <c r="G594" s="4" t="str">
        <f>Registered!AW1425</f>
        <v/>
      </c>
      <c r="H594" s="4" t="str">
        <f>Registered!AX1425</f>
        <v/>
      </c>
      <c r="I594" s="4" t="str">
        <f>Registered!AY1425</f>
        <v/>
      </c>
    </row>
    <row r="595" spans="1:9" x14ac:dyDescent="0.25">
      <c r="A595" s="4" t="str">
        <f>Registered!B1414</f>
        <v>Larsen</v>
      </c>
      <c r="B595" s="4" t="str">
        <f>Registered!A1414</f>
        <v>Frankie</v>
      </c>
      <c r="C595" s="4" t="str">
        <f>IF(Registered!AR1414&gt;0,Registered!AR1414&amp;" Color Bags", "")</f>
        <v>30 Color Bags</v>
      </c>
      <c r="D595" s="4" t="str">
        <f>IF(Registered!AS1414&gt;0,(IF(Registered!AS1414=1,Registered!AS1414&amp;" T-Shirt",Registered!AS1414&amp;" T-Shirts")), "")</f>
        <v/>
      </c>
      <c r="E595" s="4" t="str">
        <f>Registered!AT1414</f>
        <v/>
      </c>
      <c r="F595" s="4" t="str">
        <f>Registered!AU1414</f>
        <v/>
      </c>
      <c r="G595" s="4" t="str">
        <f>Registered!AW1414</f>
        <v/>
      </c>
      <c r="H595" s="4" t="str">
        <f>Registered!AX1414</f>
        <v/>
      </c>
      <c r="I595" s="4" t="str">
        <f>Registered!AY1414</f>
        <v/>
      </c>
    </row>
    <row r="596" spans="1:9" x14ac:dyDescent="0.25">
      <c r="A596" s="4" t="str">
        <f>Registered!B1428</f>
        <v>Larson</v>
      </c>
      <c r="B596" s="4" t="str">
        <f>Registered!A1428</f>
        <v>Joseph</v>
      </c>
      <c r="C596" s="4" t="str">
        <f>IF(Registered!AR1428&gt;0,Registered!AR1428&amp;" Color Bags", "")</f>
        <v>10 Color Bags</v>
      </c>
      <c r="D596" s="4" t="str">
        <f>IF(Registered!AS1428&gt;0,(IF(Registered!AS1428=1,Registered!AS1428&amp;" T-Shirt",Registered!AS1428&amp;" T-Shirts")), "")</f>
        <v>2 T-Shirts</v>
      </c>
      <c r="E596" s="4" t="str">
        <f>Registered!AT1428</f>
        <v>One XXL and one Medium.</v>
      </c>
      <c r="F596" s="4" t="str">
        <f>Registered!AU1428</f>
        <v/>
      </c>
      <c r="G596" s="4" t="str">
        <f>Registered!AW1428</f>
        <v>2 Meals</v>
      </c>
      <c r="H596" s="4" t="str">
        <f>Registered!AX1428</f>
        <v/>
      </c>
      <c r="I596" s="4" t="str">
        <f>Registered!AY1428</f>
        <v/>
      </c>
    </row>
    <row r="597" spans="1:9" x14ac:dyDescent="0.25">
      <c r="A597" s="4" t="str">
        <f>Registered!B1427</f>
        <v>Larson</v>
      </c>
      <c r="B597" s="4" t="str">
        <f>Registered!A1427</f>
        <v>Alyssa</v>
      </c>
      <c r="C597" s="4" t="str">
        <f>IF(Registered!AR1427&gt;0,Registered!AR1427&amp;" Color Bags", "")</f>
        <v>5 Color Bags</v>
      </c>
      <c r="D597" s="4" t="str">
        <f>IF(Registered!AS1427&gt;0,(IF(Registered!AS1427=1,Registered!AS1427&amp;" T-Shirt",Registered!AS1427&amp;" T-Shirts")), "")</f>
        <v/>
      </c>
      <c r="E597" s="4" t="str">
        <f>Registered!AT1427</f>
        <v/>
      </c>
      <c r="F597" s="4" t="str">
        <f>Registered!AU1427</f>
        <v/>
      </c>
      <c r="G597" s="4" t="str">
        <f>Registered!AW1427</f>
        <v/>
      </c>
      <c r="H597" s="4" t="str">
        <f>Registered!AX1427</f>
        <v/>
      </c>
      <c r="I597" s="4" t="str">
        <f>Registered!AY1427</f>
        <v/>
      </c>
    </row>
    <row r="598" spans="1:9" x14ac:dyDescent="0.25">
      <c r="A598" s="4" t="str">
        <f>Registered!B1431</f>
        <v>Last</v>
      </c>
      <c r="B598" s="4" t="str">
        <f>Registered!A1431</f>
        <v>Felicia</v>
      </c>
      <c r="C598" s="4" t="str">
        <f>IF(Registered!AR1431&gt;0,Registered!AR1431&amp;" Color Bags", "")</f>
        <v>5 Color Bags</v>
      </c>
      <c r="D598" s="4" t="str">
        <f>IF(Registered!AS1431&gt;0,(IF(Registered!AS1431=1,Registered!AS1431&amp;" T-Shirt",Registered!AS1431&amp;" T-Shirts")), "")</f>
        <v/>
      </c>
      <c r="E598" s="4" t="str">
        <f>Registered!AT1431</f>
        <v/>
      </c>
      <c r="F598" s="4" t="str">
        <f>Registered!AU1431</f>
        <v/>
      </c>
      <c r="G598" s="4" t="str">
        <f>Registered!AW1431</f>
        <v/>
      </c>
      <c r="H598" s="4" t="str">
        <f>Registered!AX1431</f>
        <v/>
      </c>
      <c r="I598" s="4" t="str">
        <f>Registered!AY1431</f>
        <v/>
      </c>
    </row>
    <row r="599" spans="1:9" x14ac:dyDescent="0.25">
      <c r="A599" s="4" t="str">
        <f>Registered!B1433</f>
        <v>Lauchnor</v>
      </c>
      <c r="B599" s="4" t="str">
        <f>Registered!A1433</f>
        <v>Joe</v>
      </c>
      <c r="C599" s="4" t="str">
        <f>IF(Registered!AR1433&gt;0,Registered!AR1433&amp;" Color Bags", "")</f>
        <v>10 Color Bags</v>
      </c>
      <c r="D599" s="4" t="str">
        <f>IF(Registered!AS1433&gt;0,(IF(Registered!AS1433=1,Registered!AS1433&amp;" T-Shirt",Registered!AS1433&amp;" T-Shirts")), "")</f>
        <v/>
      </c>
      <c r="E599" s="4" t="str">
        <f>Registered!AT1433</f>
        <v/>
      </c>
      <c r="F599" s="4" t="str">
        <f>Registered!AU1433</f>
        <v/>
      </c>
      <c r="G599" s="4" t="str">
        <f>Registered!AW1433</f>
        <v/>
      </c>
      <c r="H599" s="4" t="str">
        <f>Registered!AX1433</f>
        <v/>
      </c>
      <c r="I599" s="4" t="str">
        <f>Registered!AY1433</f>
        <v/>
      </c>
    </row>
    <row r="600" spans="1:9" x14ac:dyDescent="0.25">
      <c r="A600" s="4" t="str">
        <f>Registered!B1434</f>
        <v>Laus</v>
      </c>
      <c r="B600" s="4" t="str">
        <f>Registered!A1434</f>
        <v>Kristin</v>
      </c>
      <c r="C600" s="4" t="str">
        <f>IF(Registered!AR1434&gt;0,Registered!AR1434&amp;" Color Bags", "")</f>
        <v>20 Color Bags</v>
      </c>
      <c r="D600" s="4" t="str">
        <f>IF(Registered!AS1434&gt;0,(IF(Registered!AS1434=1,Registered!AS1434&amp;" T-Shirt",Registered!AS1434&amp;" T-Shirts")), "")</f>
        <v/>
      </c>
      <c r="E600" s="4" t="str">
        <f>Registered!AT1434</f>
        <v/>
      </c>
      <c r="F600" s="4" t="str">
        <f>Registered!AU1434</f>
        <v/>
      </c>
      <c r="G600" s="4" t="str">
        <f>Registered!AW1434</f>
        <v>4 Meals</v>
      </c>
      <c r="H600" s="4" t="str">
        <f>Registered!AX1434</f>
        <v/>
      </c>
      <c r="I600" s="4" t="str">
        <f>Registered!AY1434</f>
        <v/>
      </c>
    </row>
    <row r="601" spans="1:9" x14ac:dyDescent="0.25">
      <c r="A601" s="4" t="str">
        <f>Registered!B1436</f>
        <v>Leabman</v>
      </c>
      <c r="B601" s="4" t="str">
        <f>Registered!A1436</f>
        <v>James</v>
      </c>
      <c r="C601" s="4" t="str">
        <f>IF(Registered!AR1436&gt;0,Registered!AR1436&amp;" Color Bags", "")</f>
        <v>10 Color Bags</v>
      </c>
      <c r="D601" s="4" t="str">
        <f>IF(Registered!AS1436&gt;0,(IF(Registered!AS1436=1,Registered!AS1436&amp;" T-Shirt",Registered!AS1436&amp;" T-Shirts")), "")</f>
        <v>2 T-Shirts</v>
      </c>
      <c r="E601" s="4" t="str">
        <f>Registered!AT1436</f>
        <v>1 Medium, 1 Large</v>
      </c>
      <c r="F601" s="4" t="str">
        <f>Registered!AU1436</f>
        <v/>
      </c>
      <c r="G601" s="4" t="str">
        <f>Registered!AW1436</f>
        <v/>
      </c>
      <c r="H601" s="4" t="str">
        <f>Registered!AX1436</f>
        <v/>
      </c>
      <c r="I601" s="4" t="str">
        <f>Registered!AY1436</f>
        <v/>
      </c>
    </row>
    <row r="602" spans="1:9" x14ac:dyDescent="0.25">
      <c r="A602" s="4" t="str">
        <f>Registered!B1438</f>
        <v>Leach</v>
      </c>
      <c r="B602" s="4" t="str">
        <f>Registered!A1438</f>
        <v>Joseph</v>
      </c>
      <c r="C602" s="4" t="str">
        <f>IF(Registered!AR1438&gt;0,Registered!AR1438&amp;" Color Bags", "")</f>
        <v>25 Color Bags</v>
      </c>
      <c r="D602" s="4" t="str">
        <f>IF(Registered!AS1438&gt;0,(IF(Registered!AS1438=1,Registered!AS1438&amp;" T-Shirt",Registered!AS1438&amp;" T-Shirts")), "")</f>
        <v>5 T-Shirts</v>
      </c>
      <c r="E602" s="4" t="str">
        <f>Registered!AT1438</f>
        <v>One XL, two Large, two medium</v>
      </c>
      <c r="F602" s="4" t="str">
        <f>Registered!AU1438</f>
        <v/>
      </c>
      <c r="G602" s="4" t="str">
        <f>Registered!AW1438</f>
        <v>5 Meals</v>
      </c>
      <c r="H602" s="4" t="str">
        <f>Registered!AX1438</f>
        <v/>
      </c>
      <c r="I602" s="4" t="str">
        <f>Registered!AY1438</f>
        <v>2 DustMask</v>
      </c>
    </row>
    <row r="603" spans="1:9" x14ac:dyDescent="0.25">
      <c r="A603" s="4" t="str">
        <f>Registered!B1441</f>
        <v>LeBaron</v>
      </c>
      <c r="B603" s="4" t="str">
        <f>Registered!A1441</f>
        <v>Steven</v>
      </c>
      <c r="C603" s="4" t="str">
        <f>IF(Registered!AR1441&gt;0,Registered!AR1441&amp;" Color Bags", "")</f>
        <v>10 Color Bags</v>
      </c>
      <c r="D603" s="4" t="str">
        <f>IF(Registered!AS1441&gt;0,(IF(Registered!AS1441=1,Registered!AS1441&amp;" T-Shirt",Registered!AS1441&amp;" T-Shirts")), "")</f>
        <v/>
      </c>
      <c r="E603" s="4" t="str">
        <f>Registered!AT1441</f>
        <v/>
      </c>
      <c r="F603" s="4" t="str">
        <f>Registered!AU1441</f>
        <v/>
      </c>
      <c r="G603" s="4" t="str">
        <f>Registered!AW1441</f>
        <v/>
      </c>
      <c r="H603" s="4" t="str">
        <f>Registered!AX1441</f>
        <v/>
      </c>
      <c r="I603" s="4" t="str">
        <f>Registered!AY1441</f>
        <v/>
      </c>
    </row>
    <row r="604" spans="1:9" x14ac:dyDescent="0.25">
      <c r="A604" s="4" t="str">
        <f>Registered!B1442</f>
        <v>Ledna</v>
      </c>
      <c r="B604" s="4" t="str">
        <f>Registered!A1442</f>
        <v>Timothy</v>
      </c>
      <c r="C604" s="4" t="str">
        <f>IF(Registered!AR1442&gt;0,Registered!AR1442&amp;" Color Bags", "")</f>
        <v>40 Color Bags</v>
      </c>
      <c r="D604" s="4" t="str">
        <f>IF(Registered!AS1442&gt;0,(IF(Registered!AS1442=1,Registered!AS1442&amp;" T-Shirt",Registered!AS1442&amp;" T-Shirts")), "")</f>
        <v/>
      </c>
      <c r="E604" s="4" t="str">
        <f>Registered!AT1442</f>
        <v/>
      </c>
      <c r="F604" s="4" t="str">
        <f>Registered!AU1442</f>
        <v/>
      </c>
      <c r="G604" s="4" t="str">
        <f>Registered!AW1442</f>
        <v/>
      </c>
      <c r="H604" s="4" t="str">
        <f>Registered!AX1442</f>
        <v/>
      </c>
      <c r="I604" s="4" t="str">
        <f>Registered!AY1442</f>
        <v/>
      </c>
    </row>
    <row r="605" spans="1:9" x14ac:dyDescent="0.25">
      <c r="A605" s="4" t="str">
        <f>Registered!B1445</f>
        <v>Lee</v>
      </c>
      <c r="B605" s="4" t="str">
        <f>Registered!A1445</f>
        <v>Charles</v>
      </c>
      <c r="C605" s="4" t="str">
        <f>IF(Registered!AR1445&gt;0,Registered!AR1445&amp;" Color Bags", "")</f>
        <v>5 Color Bags</v>
      </c>
      <c r="D605" s="4" t="str">
        <f>IF(Registered!AS1445&gt;0,(IF(Registered!AS1445=1,Registered!AS1445&amp;" T-Shirt",Registered!AS1445&amp;" T-Shirts")), "")</f>
        <v/>
      </c>
      <c r="E605" s="4" t="str">
        <f>Registered!AT1445</f>
        <v/>
      </c>
      <c r="F605" s="4" t="str">
        <f>Registered!AU1445</f>
        <v/>
      </c>
      <c r="G605" s="4" t="str">
        <f>Registered!AW1445</f>
        <v/>
      </c>
      <c r="H605" s="4" t="str">
        <f>Registered!AX1445</f>
        <v/>
      </c>
      <c r="I605" s="4" t="str">
        <f>Registered!AY1445</f>
        <v/>
      </c>
    </row>
    <row r="606" spans="1:9" x14ac:dyDescent="0.25">
      <c r="A606" s="4" t="str">
        <f>Registered!B1449</f>
        <v>Leek</v>
      </c>
      <c r="B606" s="4" t="str">
        <f>Registered!A1449</f>
        <v>Marcie</v>
      </c>
      <c r="C606" s="4" t="str">
        <f>IF(Registered!AR1449&gt;0,Registered!AR1449&amp;" Color Bags", "")</f>
        <v>10 Color Bags</v>
      </c>
      <c r="D606" s="4" t="str">
        <f>IF(Registered!AS1449&gt;0,(IF(Registered!AS1449=1,Registered!AS1449&amp;" T-Shirt",Registered!AS1449&amp;" T-Shirts")), "")</f>
        <v/>
      </c>
      <c r="E606" s="4" t="str">
        <f>Registered!AT1449</f>
        <v/>
      </c>
      <c r="F606" s="4" t="str">
        <f>Registered!AU1449</f>
        <v/>
      </c>
      <c r="G606" s="4" t="str">
        <f>Registered!AW1449</f>
        <v/>
      </c>
      <c r="H606" s="4" t="str">
        <f>Registered!AX1449</f>
        <v/>
      </c>
      <c r="I606" s="4" t="str">
        <f>Registered!AY1449</f>
        <v/>
      </c>
    </row>
    <row r="607" spans="1:9" x14ac:dyDescent="0.25">
      <c r="A607" s="4" t="str">
        <f>Registered!B1451</f>
        <v>Leetham</v>
      </c>
      <c r="B607" s="4" t="str">
        <f>Registered!A1451</f>
        <v>Shawna</v>
      </c>
      <c r="C607" s="4" t="str">
        <f>IF(Registered!AR1451&gt;0,Registered!AR1451&amp;" Color Bags", "")</f>
        <v>10 Color Bags</v>
      </c>
      <c r="D607" s="4" t="str">
        <f>IF(Registered!AS1451&gt;0,(IF(Registered!AS1451=1,Registered!AS1451&amp;" T-Shirt",Registered!AS1451&amp;" T-Shirts")), "")</f>
        <v/>
      </c>
      <c r="E607" s="4" t="str">
        <f>Registered!AT1451</f>
        <v/>
      </c>
      <c r="F607" s="4" t="str">
        <f>Registered!AU1451</f>
        <v/>
      </c>
      <c r="G607" s="4" t="str">
        <f>Registered!AW1451</f>
        <v/>
      </c>
      <c r="H607" s="4" t="str">
        <f>Registered!AX1451</f>
        <v/>
      </c>
      <c r="I607" s="4" t="str">
        <f>Registered!AY1451</f>
        <v/>
      </c>
    </row>
    <row r="608" spans="1:9" x14ac:dyDescent="0.25">
      <c r="A608" s="4" t="str">
        <f>Registered!B1455</f>
        <v>Leifson</v>
      </c>
      <c r="B608" s="4" t="str">
        <f>Registered!A1455</f>
        <v>Audrey</v>
      </c>
      <c r="C608" s="4" t="str">
        <f>IF(Registered!AR1455&gt;0,Registered!AR1455&amp;" Color Bags", "")</f>
        <v>5 Color Bags</v>
      </c>
      <c r="D608" s="4" t="str">
        <f>IF(Registered!AS1455&gt;0,(IF(Registered!AS1455=1,Registered!AS1455&amp;" T-Shirt",Registered!AS1455&amp;" T-Shirts")), "")</f>
        <v/>
      </c>
      <c r="E608" s="4" t="str">
        <f>Registered!AT1455</f>
        <v/>
      </c>
      <c r="F608" s="4" t="str">
        <f>Registered!AU1455</f>
        <v/>
      </c>
      <c r="G608" s="4" t="str">
        <f>Registered!AW1455</f>
        <v/>
      </c>
      <c r="H608" s="4" t="str">
        <f>Registered!AX1455</f>
        <v/>
      </c>
      <c r="I608" s="4" t="str">
        <f>Registered!AY1455</f>
        <v/>
      </c>
    </row>
    <row r="609" spans="1:9" x14ac:dyDescent="0.25">
      <c r="A609" s="4" t="str">
        <f>Registered!B1456</f>
        <v>Lemmon</v>
      </c>
      <c r="B609" s="4" t="str">
        <f>Registered!A1456</f>
        <v>Anna</v>
      </c>
      <c r="C609" s="4" t="str">
        <f>IF(Registered!AR1456&gt;0,Registered!AR1456&amp;" Color Bags", "")</f>
        <v>5 Color Bags</v>
      </c>
      <c r="D609" s="4" t="str">
        <f>IF(Registered!AS1456&gt;0,(IF(Registered!AS1456=1,Registered!AS1456&amp;" T-Shirt",Registered!AS1456&amp;" T-Shirts")), "")</f>
        <v/>
      </c>
      <c r="E609" s="4" t="str">
        <f>Registered!AT1456</f>
        <v/>
      </c>
      <c r="F609" s="4" t="str">
        <f>Registered!AU1456</f>
        <v/>
      </c>
      <c r="G609" s="4" t="str">
        <f>Registered!AW1456</f>
        <v/>
      </c>
      <c r="H609" s="4" t="str">
        <f>Registered!AX1456</f>
        <v/>
      </c>
      <c r="I609" s="4" t="str">
        <f>Registered!AY1456</f>
        <v/>
      </c>
    </row>
    <row r="610" spans="1:9" x14ac:dyDescent="0.25">
      <c r="A610" s="4" t="str">
        <f>Registered!B1460</f>
        <v>Leon</v>
      </c>
      <c r="B610" s="4" t="str">
        <f>Registered!A1460</f>
        <v>Amber</v>
      </c>
      <c r="C610" s="4" t="str">
        <f>IF(Registered!AR1460&gt;0,Registered!AR1460&amp;" Color Bags", "")</f>
        <v>10 Color Bags</v>
      </c>
      <c r="D610" s="4" t="str">
        <f>IF(Registered!AS1460&gt;0,(IF(Registered!AS1460=1,Registered!AS1460&amp;" T-Shirt",Registered!AS1460&amp;" T-Shirts")), "")</f>
        <v/>
      </c>
      <c r="E610" s="4" t="str">
        <f>Registered!AT1460</f>
        <v/>
      </c>
      <c r="F610" s="4" t="str">
        <f>Registered!AU1460</f>
        <v/>
      </c>
      <c r="G610" s="4" t="str">
        <f>Registered!AW1460</f>
        <v/>
      </c>
      <c r="H610" s="4" t="str">
        <f>Registered!AX1460</f>
        <v/>
      </c>
      <c r="I610" s="4" t="str">
        <f>Registered!AY1460</f>
        <v/>
      </c>
    </row>
    <row r="611" spans="1:9" x14ac:dyDescent="0.25">
      <c r="A611" s="4" t="str">
        <f>Registered!B1461</f>
        <v>Leon</v>
      </c>
      <c r="B611" s="4" t="str">
        <f>Registered!A1461</f>
        <v>Andrea</v>
      </c>
      <c r="C611" s="4" t="str">
        <f>IF(Registered!AR1461&gt;0,Registered!AR1461&amp;" Color Bags", "")</f>
        <v>10 Color Bags</v>
      </c>
      <c r="D611" s="4" t="str">
        <f>IF(Registered!AS1461&gt;0,(IF(Registered!AS1461=1,Registered!AS1461&amp;" T-Shirt",Registered!AS1461&amp;" T-Shirts")), "")</f>
        <v>2 T-Shirts</v>
      </c>
      <c r="E611" s="4" t="str">
        <f>Registered!AT1461</f>
        <v>woman's size medium and man's size XL</v>
      </c>
      <c r="F611" s="4" t="str">
        <f>Registered!AU1461</f>
        <v/>
      </c>
      <c r="G611" s="4" t="str">
        <f>Registered!AW1461</f>
        <v/>
      </c>
      <c r="H611" s="4" t="str">
        <f>Registered!AX1461</f>
        <v/>
      </c>
      <c r="I611" s="4" t="str">
        <f>Registered!AY1461</f>
        <v/>
      </c>
    </row>
    <row r="612" spans="1:9" x14ac:dyDescent="0.25">
      <c r="A612" s="4" t="str">
        <f>Registered!B1462</f>
        <v>Leonelli Gober</v>
      </c>
      <c r="B612" s="4" t="str">
        <f>Registered!A1462</f>
        <v>Libby</v>
      </c>
      <c r="C612" s="4" t="str">
        <f>IF(Registered!AR1462&gt;0,Registered!AR1462&amp;" Color Bags", "")</f>
        <v>10 Color Bags</v>
      </c>
      <c r="D612" s="4" t="str">
        <f>IF(Registered!AS1462&gt;0,(IF(Registered!AS1462=1,Registered!AS1462&amp;" T-Shirt",Registered!AS1462&amp;" T-Shirts")), "")</f>
        <v/>
      </c>
      <c r="E612" s="4" t="str">
        <f>Registered!AT1462</f>
        <v/>
      </c>
      <c r="F612" s="4" t="str">
        <f>Registered!AU1462</f>
        <v/>
      </c>
      <c r="G612" s="4" t="str">
        <f>Registered!AW1462</f>
        <v/>
      </c>
      <c r="H612" s="4" t="str">
        <f>Registered!AX1462</f>
        <v/>
      </c>
      <c r="I612" s="4" t="str">
        <f>Registered!AY1462</f>
        <v/>
      </c>
    </row>
    <row r="613" spans="1:9" x14ac:dyDescent="0.25">
      <c r="A613" s="4" t="str">
        <f>Registered!B1469</f>
        <v>Lewis</v>
      </c>
      <c r="B613" s="4" t="str">
        <f>Registered!A1469</f>
        <v>Jeff</v>
      </c>
      <c r="C613" s="4" t="str">
        <f>IF(Registered!AR1469&gt;0,Registered!AR1469&amp;" Color Bags", "")</f>
        <v>5 Color Bags</v>
      </c>
      <c r="D613" s="4" t="str">
        <f>IF(Registered!AS1469&gt;0,(IF(Registered!AS1469=1,Registered!AS1469&amp;" T-Shirt",Registered!AS1469&amp;" T-Shirts")), "")</f>
        <v/>
      </c>
      <c r="E613" s="4" t="str">
        <f>Registered!AT1469</f>
        <v/>
      </c>
      <c r="F613" s="4" t="str">
        <f>Registered!AU1469</f>
        <v/>
      </c>
      <c r="G613" s="4" t="str">
        <f>Registered!AW1469</f>
        <v/>
      </c>
      <c r="H613" s="4" t="str">
        <f>Registered!AX1469</f>
        <v/>
      </c>
      <c r="I613" s="4" t="str">
        <f>Registered!AY1469</f>
        <v/>
      </c>
    </row>
    <row r="614" spans="1:9" x14ac:dyDescent="0.25">
      <c r="A614" s="4" t="str">
        <f>Registered!B1471</f>
        <v>Liddell</v>
      </c>
      <c r="B614" s="4" t="str">
        <f>Registered!A1471</f>
        <v>Haily</v>
      </c>
      <c r="C614" s="4" t="str">
        <f>IF(Registered!AR1471&gt;0,Registered!AR1471&amp;" Color Bags", "")</f>
        <v>40 Color Bags</v>
      </c>
      <c r="D614" s="4" t="str">
        <f>IF(Registered!AS1471&gt;0,(IF(Registered!AS1471=1,Registered!AS1471&amp;" T-Shirt",Registered!AS1471&amp;" T-Shirts")), "")</f>
        <v/>
      </c>
      <c r="E614" s="4" t="str">
        <f>Registered!AT1471</f>
        <v/>
      </c>
      <c r="F614" s="4" t="str">
        <f>Registered!AU1471</f>
        <v/>
      </c>
      <c r="G614" s="4" t="str">
        <f>Registered!AW1471</f>
        <v/>
      </c>
      <c r="H614" s="4" t="str">
        <f>Registered!AX1471</f>
        <v/>
      </c>
      <c r="I614" s="4" t="str">
        <f>Registered!AY1471</f>
        <v/>
      </c>
    </row>
    <row r="615" spans="1:9" x14ac:dyDescent="0.25">
      <c r="A615" s="4" t="str">
        <f>Registered!B1477</f>
        <v>Lisenbee</v>
      </c>
      <c r="B615" s="4" t="str">
        <f>Registered!A1477</f>
        <v>Kim</v>
      </c>
      <c r="C615" s="4" t="str">
        <f>IF(Registered!AR1477&gt;0,Registered!AR1477&amp;" Color Bags", "")</f>
        <v>10 Color Bags</v>
      </c>
      <c r="D615" s="4" t="str">
        <f>IF(Registered!AS1477&gt;0,(IF(Registered!AS1477=1,Registered!AS1477&amp;" T-Shirt",Registered!AS1477&amp;" T-Shirts")), "")</f>
        <v>1 T-Shirt</v>
      </c>
      <c r="E615" s="4" t="str">
        <f>Registered!AT1477</f>
        <v>medium</v>
      </c>
      <c r="F615" s="4" t="str">
        <f>Registered!AU1477</f>
        <v>1 Bandana</v>
      </c>
      <c r="G615" s="4" t="str">
        <f>Registered!AW1477</f>
        <v>1 Meal</v>
      </c>
      <c r="H615" s="4" t="str">
        <f>Registered!AX1477</f>
        <v/>
      </c>
      <c r="I615" s="4" t="str">
        <f>Registered!AY1477</f>
        <v/>
      </c>
    </row>
    <row r="616" spans="1:9" x14ac:dyDescent="0.25">
      <c r="A616" s="4" t="str">
        <f>Registered!B1478</f>
        <v>Liston</v>
      </c>
      <c r="B616" s="4" t="str">
        <f>Registered!A1478</f>
        <v>Corrin</v>
      </c>
      <c r="C616" s="4" t="str">
        <f>IF(Registered!AR1478&gt;0,Registered!AR1478&amp;" Color Bags", "")</f>
        <v>10 Color Bags</v>
      </c>
      <c r="D616" s="4" t="str">
        <f>IF(Registered!AS1478&gt;0,(IF(Registered!AS1478=1,Registered!AS1478&amp;" T-Shirt",Registered!AS1478&amp;" T-Shirts")), "")</f>
        <v/>
      </c>
      <c r="E616" s="4" t="str">
        <f>Registered!AT1478</f>
        <v/>
      </c>
      <c r="F616" s="4" t="str">
        <f>Registered!AU1478</f>
        <v/>
      </c>
      <c r="G616" s="4" t="str">
        <f>Registered!AW1478</f>
        <v>2 Meals</v>
      </c>
      <c r="H616" s="4" t="str">
        <f>Registered!AX1478</f>
        <v/>
      </c>
      <c r="I616" s="4" t="str">
        <f>Registered!AY1478</f>
        <v/>
      </c>
    </row>
    <row r="617" spans="1:9" x14ac:dyDescent="0.25">
      <c r="A617" s="4" t="str">
        <f>Registered!B1479</f>
        <v>Little</v>
      </c>
      <c r="B617" s="4" t="str">
        <f>Registered!A1479</f>
        <v>Adam</v>
      </c>
      <c r="C617" s="4" t="str">
        <f>IF(Registered!AR1479&gt;0,Registered!AR1479&amp;" Color Bags", "")</f>
        <v>10 Color Bags</v>
      </c>
      <c r="D617" s="4" t="str">
        <f>IF(Registered!AS1479&gt;0,(IF(Registered!AS1479=1,Registered!AS1479&amp;" T-Shirt",Registered!AS1479&amp;" T-Shirts")), "")</f>
        <v/>
      </c>
      <c r="E617" s="4" t="str">
        <f>Registered!AT1479</f>
        <v/>
      </c>
      <c r="F617" s="4" t="str">
        <f>Registered!AU1479</f>
        <v/>
      </c>
      <c r="G617" s="4" t="str">
        <f>Registered!AW1479</f>
        <v/>
      </c>
      <c r="H617" s="4" t="str">
        <f>Registered!AX1479</f>
        <v/>
      </c>
      <c r="I617" s="4" t="str">
        <f>Registered!AY1479</f>
        <v/>
      </c>
    </row>
    <row r="618" spans="1:9" x14ac:dyDescent="0.25">
      <c r="A618" s="4" t="str">
        <f>Registered!B1482</f>
        <v>Livingston</v>
      </c>
      <c r="B618" s="4" t="str">
        <f>Registered!A1482</f>
        <v>Amy</v>
      </c>
      <c r="C618" s="4" t="str">
        <f>IF(Registered!AR1482&gt;0,Registered!AR1482&amp;" Color Bags", "")</f>
        <v>20 Color Bags</v>
      </c>
      <c r="D618" s="4" t="str">
        <f>IF(Registered!AS1482&gt;0,(IF(Registered!AS1482=1,Registered!AS1482&amp;" T-Shirt",Registered!AS1482&amp;" T-Shirts")), "")</f>
        <v/>
      </c>
      <c r="E618" s="4" t="str">
        <f>Registered!AT1482</f>
        <v/>
      </c>
      <c r="F618" s="4" t="str">
        <f>Registered!AU1482</f>
        <v/>
      </c>
      <c r="G618" s="4" t="str">
        <f>Registered!AW1482</f>
        <v/>
      </c>
      <c r="H618" s="4" t="str">
        <f>Registered!AX1482</f>
        <v/>
      </c>
      <c r="I618" s="4" t="str">
        <f>Registered!AY1482</f>
        <v/>
      </c>
    </row>
    <row r="619" spans="1:9" x14ac:dyDescent="0.25">
      <c r="A619" s="4" t="str">
        <f>Registered!B1485</f>
        <v>Lloyd</v>
      </c>
      <c r="B619" s="4" t="str">
        <f>Registered!A1485</f>
        <v>Gina</v>
      </c>
      <c r="C619" s="4" t="str">
        <f>IF(Registered!AR1485&gt;0,Registered!AR1485&amp;" Color Bags", "")</f>
        <v>10 Color Bags</v>
      </c>
      <c r="D619" s="4" t="str">
        <f>IF(Registered!AS1485&gt;0,(IF(Registered!AS1485=1,Registered!AS1485&amp;" T-Shirt",Registered!AS1485&amp;" T-Shirts")), "")</f>
        <v/>
      </c>
      <c r="E619" s="4" t="str">
        <f>Registered!AT1485</f>
        <v/>
      </c>
      <c r="F619" s="4" t="str">
        <f>Registered!AU1485</f>
        <v/>
      </c>
      <c r="G619" s="4" t="str">
        <f>Registered!AW1485</f>
        <v/>
      </c>
      <c r="H619" s="4" t="str">
        <f>Registered!AX1485</f>
        <v/>
      </c>
      <c r="I619" s="4" t="str">
        <f>Registered!AY1485</f>
        <v>3 DustMask</v>
      </c>
    </row>
    <row r="620" spans="1:9" x14ac:dyDescent="0.25">
      <c r="A620" s="4" t="str">
        <f>Registered!B1484</f>
        <v>Lloyd</v>
      </c>
      <c r="B620" s="4" t="str">
        <f>Registered!A1484</f>
        <v>Amanda</v>
      </c>
      <c r="C620" s="4" t="str">
        <f>IF(Registered!AR1484&gt;0,Registered!AR1484&amp;" Color Bags", "")</f>
        <v>5 Color Bags</v>
      </c>
      <c r="D620" s="4" t="str">
        <f>IF(Registered!AS1484&gt;0,(IF(Registered!AS1484=1,Registered!AS1484&amp;" T-Shirt",Registered!AS1484&amp;" T-Shirts")), "")</f>
        <v/>
      </c>
      <c r="E620" s="4" t="str">
        <f>Registered!AT1484</f>
        <v/>
      </c>
      <c r="F620" s="4" t="str">
        <f>Registered!AU1484</f>
        <v/>
      </c>
      <c r="G620" s="4" t="str">
        <f>Registered!AW1484</f>
        <v/>
      </c>
      <c r="H620" s="4" t="str">
        <f>Registered!AX1484</f>
        <v/>
      </c>
      <c r="I620" s="4" t="str">
        <f>Registered!AY1484</f>
        <v/>
      </c>
    </row>
    <row r="621" spans="1:9" x14ac:dyDescent="0.25">
      <c r="A621" s="4" t="str">
        <f>Registered!B1488</f>
        <v>Lombardo</v>
      </c>
      <c r="B621" s="4" t="str">
        <f>Registered!A1488</f>
        <v>Luis</v>
      </c>
      <c r="C621" s="4" t="str">
        <f>IF(Registered!AR1488&gt;0,Registered!AR1488&amp;" Color Bags", "")</f>
        <v>20 Color Bags</v>
      </c>
      <c r="D621" s="4" t="str">
        <f>IF(Registered!AS1488&gt;0,(IF(Registered!AS1488=1,Registered!AS1488&amp;" T-Shirt",Registered!AS1488&amp;" T-Shirts")), "")</f>
        <v/>
      </c>
      <c r="E621" s="4" t="str">
        <f>Registered!AT1488</f>
        <v/>
      </c>
      <c r="F621" s="4" t="str">
        <f>Registered!AU1488</f>
        <v/>
      </c>
      <c r="G621" s="4" t="str">
        <f>Registered!AW1488</f>
        <v/>
      </c>
      <c r="H621" s="4" t="str">
        <f>Registered!AX1488</f>
        <v/>
      </c>
      <c r="I621" s="4" t="str">
        <f>Registered!AY1488</f>
        <v/>
      </c>
    </row>
    <row r="622" spans="1:9" x14ac:dyDescent="0.25">
      <c r="A622" s="4" t="str">
        <f>Registered!B1493</f>
        <v>Long</v>
      </c>
      <c r="B622" s="4" t="str">
        <f>Registered!A1493</f>
        <v>Chad</v>
      </c>
      <c r="C622" s="4" t="str">
        <f>IF(Registered!AR1493&gt;0,Registered!AR1493&amp;" Color Bags", "")</f>
        <v>10 Color Bags</v>
      </c>
      <c r="D622" s="4" t="str">
        <f>IF(Registered!AS1493&gt;0,(IF(Registered!AS1493=1,Registered!AS1493&amp;" T-Shirt",Registered!AS1493&amp;" T-Shirts")), "")</f>
        <v/>
      </c>
      <c r="E622" s="4" t="str">
        <f>Registered!AT1493</f>
        <v/>
      </c>
      <c r="F622" s="4" t="str">
        <f>Registered!AU1493</f>
        <v/>
      </c>
      <c r="G622" s="4" t="str">
        <f>Registered!AW1493</f>
        <v/>
      </c>
      <c r="H622" s="4" t="str">
        <f>Registered!AX1493</f>
        <v/>
      </c>
      <c r="I622" s="4" t="str">
        <f>Registered!AY1493</f>
        <v/>
      </c>
    </row>
    <row r="623" spans="1:9" x14ac:dyDescent="0.25">
      <c r="A623" s="4" t="str">
        <f>Registered!B1496</f>
        <v>Long</v>
      </c>
      <c r="B623" s="4" t="str">
        <f>Registered!A1496</f>
        <v>Samantha</v>
      </c>
      <c r="C623" s="4" t="str">
        <f>IF(Registered!AR1496&gt;0,Registered!AR1496&amp;" Color Bags", "")</f>
        <v>10 Color Bags</v>
      </c>
      <c r="D623" s="4" t="str">
        <f>IF(Registered!AS1496&gt;0,(IF(Registered!AS1496=1,Registered!AS1496&amp;" T-Shirt",Registered!AS1496&amp;" T-Shirts")), "")</f>
        <v/>
      </c>
      <c r="E623" s="4" t="str">
        <f>Registered!AT1496</f>
        <v/>
      </c>
      <c r="F623" s="4" t="str">
        <f>Registered!AU1496</f>
        <v/>
      </c>
      <c r="G623" s="4" t="str">
        <f>Registered!AW1496</f>
        <v>1 Meal</v>
      </c>
      <c r="H623" s="4" t="str">
        <f>Registered!AX1496</f>
        <v/>
      </c>
      <c r="I623" s="4" t="str">
        <f>Registered!AY1496</f>
        <v/>
      </c>
    </row>
    <row r="624" spans="1:9" x14ac:dyDescent="0.25">
      <c r="A624" s="4" t="str">
        <f>Registered!B1495</f>
        <v>Long</v>
      </c>
      <c r="B624" s="4" t="str">
        <f>Registered!A1495</f>
        <v>Jamie</v>
      </c>
      <c r="C624" s="4" t="str">
        <f>IF(Registered!AR1495&gt;0,Registered!AR1495&amp;" Color Bags", "")</f>
        <v>5 Color Bags</v>
      </c>
      <c r="D624" s="4" t="str">
        <f>IF(Registered!AS1495&gt;0,(IF(Registered!AS1495=1,Registered!AS1495&amp;" T-Shirt",Registered!AS1495&amp;" T-Shirts")), "")</f>
        <v/>
      </c>
      <c r="E624" s="4" t="str">
        <f>Registered!AT1495</f>
        <v/>
      </c>
      <c r="F624" s="4" t="str">
        <f>Registered!AU1495</f>
        <v/>
      </c>
      <c r="G624" s="4" t="str">
        <f>Registered!AW1495</f>
        <v/>
      </c>
      <c r="H624" s="4" t="str">
        <f>Registered!AX1495</f>
        <v/>
      </c>
      <c r="I624" s="4" t="str">
        <f>Registered!AY1495</f>
        <v/>
      </c>
    </row>
    <row r="625" spans="1:9" x14ac:dyDescent="0.25">
      <c r="A625" s="4" t="str">
        <f>Registered!B1501</f>
        <v>Lopez</v>
      </c>
      <c r="B625" s="4" t="str">
        <f>Registered!A1501</f>
        <v>Madeleine</v>
      </c>
      <c r="C625" s="4" t="str">
        <f>IF(Registered!AR1501&gt;0,Registered!AR1501&amp;" Color Bags", "")</f>
        <v>15 Color Bags</v>
      </c>
      <c r="D625" s="4" t="str">
        <f>IF(Registered!AS1501&gt;0,(IF(Registered!AS1501=1,Registered!AS1501&amp;" T-Shirt",Registered!AS1501&amp;" T-Shirts")), "")</f>
        <v/>
      </c>
      <c r="E625" s="4" t="str">
        <f>Registered!AT1501</f>
        <v/>
      </c>
      <c r="F625" s="4" t="str">
        <f>Registered!AU1501</f>
        <v/>
      </c>
      <c r="G625" s="4" t="str">
        <f>Registered!AW1501</f>
        <v/>
      </c>
      <c r="H625" s="4" t="str">
        <f>Registered!AX1501</f>
        <v/>
      </c>
      <c r="I625" s="4" t="str">
        <f>Registered!AY1501</f>
        <v/>
      </c>
    </row>
    <row r="626" spans="1:9" x14ac:dyDescent="0.25">
      <c r="A626" s="4" t="str">
        <f>Registered!B1502</f>
        <v>Lopez</v>
      </c>
      <c r="B626" s="4" t="str">
        <f>Registered!A1502</f>
        <v>Sydney</v>
      </c>
      <c r="C626" s="4" t="str">
        <f>IF(Registered!AR1502&gt;0,Registered!AR1502&amp;" Color Bags", "")</f>
        <v>20 Color Bags</v>
      </c>
      <c r="D626" s="4" t="str">
        <f>IF(Registered!AS1502&gt;0,(IF(Registered!AS1502=1,Registered!AS1502&amp;" T-Shirt",Registered!AS1502&amp;" T-Shirts")), "")</f>
        <v/>
      </c>
      <c r="E626" s="4" t="str">
        <f>Registered!AT1502</f>
        <v/>
      </c>
      <c r="F626" s="4" t="str">
        <f>Registered!AU1502</f>
        <v/>
      </c>
      <c r="G626" s="4" t="str">
        <f>Registered!AW1502</f>
        <v/>
      </c>
      <c r="H626" s="4" t="str">
        <f>Registered!AX1502</f>
        <v/>
      </c>
      <c r="I626" s="4" t="str">
        <f>Registered!AY1502</f>
        <v/>
      </c>
    </row>
    <row r="627" spans="1:9" x14ac:dyDescent="0.25">
      <c r="A627" s="4" t="str">
        <f>Registered!B1498</f>
        <v>Lopez</v>
      </c>
      <c r="B627" s="4" t="str">
        <f>Registered!A1498</f>
        <v>Damian</v>
      </c>
      <c r="C627" s="4" t="str">
        <f>IF(Registered!AR1498&gt;0,Registered!AR1498&amp;" Color Bags", "")</f>
        <v>25 Color Bags</v>
      </c>
      <c r="D627" s="4" t="str">
        <f>IF(Registered!AS1498&gt;0,(IF(Registered!AS1498=1,Registered!AS1498&amp;" T-Shirt",Registered!AS1498&amp;" T-Shirts")), "")</f>
        <v/>
      </c>
      <c r="E627" s="4" t="str">
        <f>Registered!AT1498</f>
        <v/>
      </c>
      <c r="F627" s="4" t="str">
        <f>Registered!AU1498</f>
        <v/>
      </c>
      <c r="G627" s="4" t="str">
        <f>Registered!AW1498</f>
        <v/>
      </c>
      <c r="H627" s="4" t="str">
        <f>Registered!AX1498</f>
        <v/>
      </c>
      <c r="I627" s="4" t="str">
        <f>Registered!AY1498</f>
        <v>1 DustMask</v>
      </c>
    </row>
    <row r="628" spans="1:9" x14ac:dyDescent="0.25">
      <c r="A628" s="4" t="str">
        <f>Registered!B1499</f>
        <v>Lopez</v>
      </c>
      <c r="B628" s="4" t="str">
        <f>Registered!A1499</f>
        <v>Florencia</v>
      </c>
      <c r="C628" s="4" t="str">
        <f>IF(Registered!AR1499&gt;0,Registered!AR1499&amp;" Color Bags", "")</f>
        <v>5 Color Bags</v>
      </c>
      <c r="D628" s="4" t="str">
        <f>IF(Registered!AS1499&gt;0,(IF(Registered!AS1499=1,Registered!AS1499&amp;" T-Shirt",Registered!AS1499&amp;" T-Shirts")), "")</f>
        <v/>
      </c>
      <c r="E628" s="4" t="str">
        <f>Registered!AT1499</f>
        <v/>
      </c>
      <c r="F628" s="4" t="str">
        <f>Registered!AU1499</f>
        <v/>
      </c>
      <c r="G628" s="4" t="str">
        <f>Registered!AW1499</f>
        <v/>
      </c>
      <c r="H628" s="4" t="str">
        <f>Registered!AX1499</f>
        <v/>
      </c>
      <c r="I628" s="4" t="str">
        <f>Registered!AY1499</f>
        <v/>
      </c>
    </row>
    <row r="629" spans="1:9" x14ac:dyDescent="0.25">
      <c r="A629" s="4" t="str">
        <f>Registered!B1503</f>
        <v>Lopez</v>
      </c>
      <c r="B629" s="4" t="str">
        <f>Registered!A1503</f>
        <v>Tezzy</v>
      </c>
      <c r="C629" s="4" t="str">
        <f>IF(Registered!AR1503&gt;0,Registered!AR1503&amp;" Color Bags", "")</f>
        <v>5 Color Bags</v>
      </c>
      <c r="D629" s="4" t="str">
        <f>IF(Registered!AS1503&gt;0,(IF(Registered!AS1503=1,Registered!AS1503&amp;" T-Shirt",Registered!AS1503&amp;" T-Shirts")), "")</f>
        <v/>
      </c>
      <c r="E629" s="4" t="str">
        <f>Registered!AT1503</f>
        <v/>
      </c>
      <c r="F629" s="4" t="str">
        <f>Registered!AU1503</f>
        <v/>
      </c>
      <c r="G629" s="4" t="str">
        <f>Registered!AW1503</f>
        <v/>
      </c>
      <c r="H629" s="4" t="str">
        <f>Registered!AX1503</f>
        <v/>
      </c>
      <c r="I629" s="4" t="str">
        <f>Registered!AY1503</f>
        <v/>
      </c>
    </row>
    <row r="630" spans="1:9" x14ac:dyDescent="0.25">
      <c r="A630" s="4" t="str">
        <f>Registered!B1505</f>
        <v>Loumis</v>
      </c>
      <c r="B630" s="4" t="str">
        <f>Registered!A1505</f>
        <v>Ranie</v>
      </c>
      <c r="C630" s="4" t="str">
        <f>IF(Registered!AR1505&gt;0,Registered!AR1505&amp;" Color Bags", "")</f>
        <v>10 Color Bags</v>
      </c>
      <c r="D630" s="4" t="str">
        <f>IF(Registered!AS1505&gt;0,(IF(Registered!AS1505=1,Registered!AS1505&amp;" T-Shirt",Registered!AS1505&amp;" T-Shirts")), "")</f>
        <v/>
      </c>
      <c r="E630" s="4" t="str">
        <f>Registered!AT1505</f>
        <v/>
      </c>
      <c r="F630" s="4" t="str">
        <f>Registered!AU1505</f>
        <v/>
      </c>
      <c r="G630" s="4" t="str">
        <f>Registered!AW1505</f>
        <v/>
      </c>
      <c r="H630" s="4" t="str">
        <f>Registered!AX1505</f>
        <v/>
      </c>
      <c r="I630" s="4" t="str">
        <f>Registered!AY1505</f>
        <v/>
      </c>
    </row>
    <row r="631" spans="1:9" x14ac:dyDescent="0.25">
      <c r="A631" s="4" t="str">
        <f>Registered!B1506</f>
        <v>Love</v>
      </c>
      <c r="B631" s="4" t="str">
        <f>Registered!A1506</f>
        <v>Ashley</v>
      </c>
      <c r="C631" s="4" t="str">
        <f>IF(Registered!AR1506&gt;0,Registered!AR1506&amp;" Color Bags", "")</f>
        <v>15 Color Bags</v>
      </c>
      <c r="D631" s="4" t="str">
        <f>IF(Registered!AS1506&gt;0,(IF(Registered!AS1506=1,Registered!AS1506&amp;" T-Shirt",Registered!AS1506&amp;" T-Shirts")), "")</f>
        <v/>
      </c>
      <c r="E631" s="4" t="str">
        <f>Registered!AT1506</f>
        <v/>
      </c>
      <c r="F631" s="4" t="str">
        <f>Registered!AU1506</f>
        <v/>
      </c>
      <c r="G631" s="4" t="str">
        <f>Registered!AW1506</f>
        <v/>
      </c>
      <c r="H631" s="4" t="str">
        <f>Registered!AX1506</f>
        <v/>
      </c>
      <c r="I631" s="4" t="str">
        <f>Registered!AY1506</f>
        <v/>
      </c>
    </row>
    <row r="632" spans="1:9" x14ac:dyDescent="0.25">
      <c r="A632" s="4" t="str">
        <f>Registered!B1507</f>
        <v>Love</v>
      </c>
      <c r="B632" s="4" t="str">
        <f>Registered!A1507</f>
        <v>Kapiolani</v>
      </c>
      <c r="C632" s="4" t="str">
        <f>IF(Registered!AR1507&gt;0,Registered!AR1507&amp;" Color Bags", "")</f>
        <v>30 Color Bags</v>
      </c>
      <c r="D632" s="4" t="str">
        <f>IF(Registered!AS1507&gt;0,(IF(Registered!AS1507=1,Registered!AS1507&amp;" T-Shirt",Registered!AS1507&amp;" T-Shirts")), "")</f>
        <v/>
      </c>
      <c r="E632" s="4" t="str">
        <f>Registered!AT1507</f>
        <v/>
      </c>
      <c r="F632" s="4" t="str">
        <f>Registered!AU1507</f>
        <v/>
      </c>
      <c r="G632" s="4" t="str">
        <f>Registered!AW1507</f>
        <v/>
      </c>
      <c r="H632" s="4" t="str">
        <f>Registered!AX1507</f>
        <v/>
      </c>
      <c r="I632" s="4" t="str">
        <f>Registered!AY1507</f>
        <v/>
      </c>
    </row>
    <row r="633" spans="1:9" x14ac:dyDescent="0.25">
      <c r="A633" s="4" t="str">
        <f>Registered!B1509</f>
        <v>Lowe</v>
      </c>
      <c r="B633" s="4" t="str">
        <f>Registered!A1509</f>
        <v>Jennifer</v>
      </c>
      <c r="C633" s="4" t="str">
        <f>IF(Registered!AR1509&gt;0,Registered!AR1509&amp;" Color Bags", "")</f>
        <v>20 Color Bags</v>
      </c>
      <c r="D633" s="4" t="str">
        <f>IF(Registered!AS1509&gt;0,(IF(Registered!AS1509=1,Registered!AS1509&amp;" T-Shirt",Registered!AS1509&amp;" T-Shirts")), "")</f>
        <v/>
      </c>
      <c r="E633" s="4" t="str">
        <f>Registered!AT1509</f>
        <v/>
      </c>
      <c r="F633" s="4" t="str">
        <f>Registered!AU1509</f>
        <v>1 Bandana</v>
      </c>
      <c r="G633" s="4" t="str">
        <f>Registered!AW1509</f>
        <v/>
      </c>
      <c r="H633" s="4" t="str">
        <f>Registered!AX1509</f>
        <v/>
      </c>
      <c r="I633" s="4" t="str">
        <f>Registered!AY1509</f>
        <v/>
      </c>
    </row>
    <row r="634" spans="1:9" x14ac:dyDescent="0.25">
      <c r="A634" s="4" t="str">
        <f>Registered!B1512</f>
        <v>Lucas</v>
      </c>
      <c r="B634" s="4" t="str">
        <f>Registered!A1512</f>
        <v>Manny</v>
      </c>
      <c r="C634" s="4" t="str">
        <f>IF(Registered!AR1512&gt;0,Registered!AR1512&amp;" Color Bags", "")</f>
        <v>10 Color Bags</v>
      </c>
      <c r="D634" s="4" t="str">
        <f>IF(Registered!AS1512&gt;0,(IF(Registered!AS1512=1,Registered!AS1512&amp;" T-Shirt",Registered!AS1512&amp;" T-Shirts")), "")</f>
        <v>2 T-Shirts</v>
      </c>
      <c r="E634" s="4" t="str">
        <f>Registered!AT1512</f>
        <v>large</v>
      </c>
      <c r="F634" s="4" t="str">
        <f>Registered!AU1512</f>
        <v/>
      </c>
      <c r="G634" s="4" t="str">
        <f>Registered!AW1512</f>
        <v>2 Meals</v>
      </c>
      <c r="H634" s="4" t="str">
        <f>Registered!AX1512</f>
        <v/>
      </c>
      <c r="I634" s="4" t="str">
        <f>Registered!AY1512</f>
        <v/>
      </c>
    </row>
    <row r="635" spans="1:9" x14ac:dyDescent="0.25">
      <c r="A635" s="4" t="str">
        <f>Registered!B1511</f>
        <v>Lucas</v>
      </c>
      <c r="B635" s="4" t="str">
        <f>Registered!A1511</f>
        <v>Audrey</v>
      </c>
      <c r="C635" s="4" t="str">
        <f>IF(Registered!AR1511&gt;0,Registered!AR1511&amp;" Color Bags", "")</f>
        <v>5 Color Bags</v>
      </c>
      <c r="D635" s="4" t="str">
        <f>IF(Registered!AS1511&gt;0,(IF(Registered!AS1511=1,Registered!AS1511&amp;" T-Shirt",Registered!AS1511&amp;" T-Shirts")), "")</f>
        <v/>
      </c>
      <c r="E635" s="4" t="str">
        <f>Registered!AT1511</f>
        <v/>
      </c>
      <c r="F635" s="4" t="str">
        <f>Registered!AU1511</f>
        <v/>
      </c>
      <c r="G635" s="4" t="str">
        <f>Registered!AW1511</f>
        <v/>
      </c>
      <c r="H635" s="4" t="str">
        <f>Registered!AX1511</f>
        <v/>
      </c>
      <c r="I635" s="4" t="str">
        <f>Registered!AY1511</f>
        <v/>
      </c>
    </row>
    <row r="636" spans="1:9" x14ac:dyDescent="0.25">
      <c r="A636" s="4" t="str">
        <f>Registered!B1514</f>
        <v>Lugo</v>
      </c>
      <c r="B636" s="4" t="str">
        <f>Registered!A1514</f>
        <v>Donaji</v>
      </c>
      <c r="C636" s="4" t="str">
        <f>IF(Registered!AR1514&gt;0,Registered!AR1514&amp;" Color Bags", "")</f>
        <v>10 Color Bags</v>
      </c>
      <c r="D636" s="4" t="str">
        <f>IF(Registered!AS1514&gt;0,(IF(Registered!AS1514=1,Registered!AS1514&amp;" T-Shirt",Registered!AS1514&amp;" T-Shirts")), "")</f>
        <v/>
      </c>
      <c r="E636" s="4" t="str">
        <f>Registered!AT1514</f>
        <v/>
      </c>
      <c r="F636" s="4" t="str">
        <f>Registered!AU1514</f>
        <v/>
      </c>
      <c r="G636" s="4" t="str">
        <f>Registered!AW1514</f>
        <v/>
      </c>
      <c r="H636" s="4" t="str">
        <f>Registered!AX1514</f>
        <v/>
      </c>
      <c r="I636" s="4" t="str">
        <f>Registered!AY1514</f>
        <v/>
      </c>
    </row>
    <row r="637" spans="1:9" x14ac:dyDescent="0.25">
      <c r="A637" s="4" t="str">
        <f>Registered!B1516</f>
        <v>Lumpkin</v>
      </c>
      <c r="B637" s="4" t="str">
        <f>Registered!A1516</f>
        <v>Bryce</v>
      </c>
      <c r="C637" s="4" t="str">
        <f>IF(Registered!AR1516&gt;0,Registered!AR1516&amp;" Color Bags", "")</f>
        <v>5 Color Bags</v>
      </c>
      <c r="D637" s="4" t="str">
        <f>IF(Registered!AS1516&gt;0,(IF(Registered!AS1516=1,Registered!AS1516&amp;" T-Shirt",Registered!AS1516&amp;" T-Shirts")), "")</f>
        <v/>
      </c>
      <c r="E637" s="4" t="str">
        <f>Registered!AT1516</f>
        <v/>
      </c>
      <c r="F637" s="4" t="str">
        <f>Registered!AU1516</f>
        <v/>
      </c>
      <c r="G637" s="4" t="str">
        <f>Registered!AW1516</f>
        <v/>
      </c>
      <c r="H637" s="4" t="str">
        <f>Registered!AX1516</f>
        <v/>
      </c>
      <c r="I637" s="4" t="str">
        <f>Registered!AY1516</f>
        <v/>
      </c>
    </row>
    <row r="638" spans="1:9" x14ac:dyDescent="0.25">
      <c r="A638" s="4" t="str">
        <f>Registered!B1518</f>
        <v>Lundberg</v>
      </c>
      <c r="B638" s="4" t="str">
        <f>Registered!A1518</f>
        <v>Todd</v>
      </c>
      <c r="C638" s="4" t="str">
        <f>IF(Registered!AR1518&gt;0,Registered!AR1518&amp;" Color Bags", "")</f>
        <v>5 Color Bags</v>
      </c>
      <c r="D638" s="4" t="str">
        <f>IF(Registered!AS1518&gt;0,(IF(Registered!AS1518=1,Registered!AS1518&amp;" T-Shirt",Registered!AS1518&amp;" T-Shirts")), "")</f>
        <v/>
      </c>
      <c r="E638" s="4" t="str">
        <f>Registered!AT1518</f>
        <v/>
      </c>
      <c r="F638" s="4" t="str">
        <f>Registered!AU1518</f>
        <v/>
      </c>
      <c r="G638" s="4" t="str">
        <f>Registered!AW1518</f>
        <v/>
      </c>
      <c r="H638" s="4" t="str">
        <f>Registered!AX1518</f>
        <v/>
      </c>
      <c r="I638" s="4" t="str">
        <f>Registered!AY1518</f>
        <v/>
      </c>
    </row>
    <row r="639" spans="1:9" x14ac:dyDescent="0.25">
      <c r="A639" s="4" t="str">
        <f>Registered!B1520</f>
        <v>Lynch</v>
      </c>
      <c r="B639" s="4" t="str">
        <f>Registered!A1520</f>
        <v>Michael</v>
      </c>
      <c r="C639" s="4" t="str">
        <f>IF(Registered!AR1520&gt;0,Registered!AR1520&amp;" Color Bags", "")</f>
        <v>35 Color Bags</v>
      </c>
      <c r="D639" s="4" t="str">
        <f>IF(Registered!AS1520&gt;0,(IF(Registered!AS1520=1,Registered!AS1520&amp;" T-Shirt",Registered!AS1520&amp;" T-Shirts")), "")</f>
        <v>5 T-Shirts</v>
      </c>
      <c r="E639" s="4" t="str">
        <f>Registered!AT1520</f>
        <v>One adult XL, one adult Large, three adult Small</v>
      </c>
      <c r="F639" s="4" t="str">
        <f>Registered!AU1520</f>
        <v/>
      </c>
      <c r="G639" s="4" t="str">
        <f>Registered!AW1520</f>
        <v>5 Meals</v>
      </c>
      <c r="H639" s="4" t="str">
        <f>Registered!AX1520</f>
        <v>1 BG</v>
      </c>
      <c r="I639" s="4" t="str">
        <f>Registered!AY1520</f>
        <v/>
      </c>
    </row>
    <row r="640" spans="1:9" x14ac:dyDescent="0.25">
      <c r="A640" s="4" t="str">
        <f>Registered!B1521</f>
        <v>Lyons</v>
      </c>
      <c r="B640" s="4" t="str">
        <f>Registered!A1521</f>
        <v>Caitlyn</v>
      </c>
      <c r="C640" s="4" t="str">
        <f>IF(Registered!AR1521&gt;0,Registered!AR1521&amp;" Color Bags", "")</f>
        <v>15 Color Bags</v>
      </c>
      <c r="D640" s="4" t="str">
        <f>IF(Registered!AS1521&gt;0,(IF(Registered!AS1521=1,Registered!AS1521&amp;" T-Shirt",Registered!AS1521&amp;" T-Shirts")), "")</f>
        <v/>
      </c>
      <c r="E640" s="4" t="str">
        <f>Registered!AT1521</f>
        <v/>
      </c>
      <c r="F640" s="4" t="str">
        <f>Registered!AU1521</f>
        <v/>
      </c>
      <c r="G640" s="4" t="str">
        <f>Registered!AW1521</f>
        <v/>
      </c>
      <c r="H640" s="4" t="str">
        <f>Registered!AX1521</f>
        <v/>
      </c>
      <c r="I640" s="4" t="str">
        <f>Registered!AY1521</f>
        <v/>
      </c>
    </row>
    <row r="641" spans="1:9" x14ac:dyDescent="0.25">
      <c r="A641" s="4" t="str">
        <f>Registered!B1522</f>
        <v>Lytle</v>
      </c>
      <c r="B641" s="4" t="str">
        <f>Registered!A1522</f>
        <v>Christy</v>
      </c>
      <c r="C641" s="4" t="str">
        <f>IF(Registered!AR1522&gt;0,Registered!AR1522&amp;" Color Bags", "")</f>
        <v>10 Color Bags</v>
      </c>
      <c r="D641" s="4" t="str">
        <f>IF(Registered!AS1522&gt;0,(IF(Registered!AS1522=1,Registered!AS1522&amp;" T-Shirt",Registered!AS1522&amp;" T-Shirts")), "")</f>
        <v/>
      </c>
      <c r="E641" s="4" t="str">
        <f>Registered!AT1522</f>
        <v/>
      </c>
      <c r="F641" s="4" t="str">
        <f>Registered!AU1522</f>
        <v/>
      </c>
      <c r="G641" s="4" t="str">
        <f>Registered!AW1522</f>
        <v/>
      </c>
      <c r="H641" s="4" t="str">
        <f>Registered!AX1522</f>
        <v/>
      </c>
      <c r="I641" s="4" t="str">
        <f>Registered!AY1522</f>
        <v/>
      </c>
    </row>
    <row r="642" spans="1:9" x14ac:dyDescent="0.25">
      <c r="A642" s="4" t="str">
        <f>Registered!B1526</f>
        <v>MacCabe</v>
      </c>
      <c r="B642" s="4" t="str">
        <f>Registered!A1526</f>
        <v>Philip</v>
      </c>
      <c r="C642" s="4" t="str">
        <f>IF(Registered!AR1526&gt;0,Registered!AR1526&amp;" Color Bags", "")</f>
        <v>5 Color Bags</v>
      </c>
      <c r="D642" s="4" t="str">
        <f>IF(Registered!AS1526&gt;0,(IF(Registered!AS1526=1,Registered!AS1526&amp;" T-Shirt",Registered!AS1526&amp;" T-Shirts")), "")</f>
        <v/>
      </c>
      <c r="E642" s="4" t="str">
        <f>Registered!AT1526</f>
        <v/>
      </c>
      <c r="F642" s="4" t="str">
        <f>Registered!AU1526</f>
        <v/>
      </c>
      <c r="G642" s="4" t="str">
        <f>Registered!AW1526</f>
        <v/>
      </c>
      <c r="H642" s="4" t="str">
        <f>Registered!AX1526</f>
        <v/>
      </c>
      <c r="I642" s="4" t="str">
        <f>Registered!AY1526</f>
        <v/>
      </c>
    </row>
    <row r="643" spans="1:9" x14ac:dyDescent="0.25">
      <c r="A643" s="4" t="str">
        <f>Registered!B1534</f>
        <v>Madsen</v>
      </c>
      <c r="B643" s="4" t="str">
        <f>Registered!A1534</f>
        <v>Kathne</v>
      </c>
      <c r="C643" s="4" t="str">
        <f>IF(Registered!AR1534&gt;0,Registered!AR1534&amp;" Color Bags", "")</f>
        <v>10 Color Bags</v>
      </c>
      <c r="D643" s="4" t="str">
        <f>IF(Registered!AS1534&gt;0,(IF(Registered!AS1534=1,Registered!AS1534&amp;" T-Shirt",Registered!AS1534&amp;" T-Shirts")), "")</f>
        <v/>
      </c>
      <c r="E643" s="4" t="str">
        <f>Registered!AT1534</f>
        <v/>
      </c>
      <c r="F643" s="4" t="str">
        <f>Registered!AU1534</f>
        <v/>
      </c>
      <c r="G643" s="4" t="str">
        <f>Registered!AW1534</f>
        <v/>
      </c>
      <c r="H643" s="4" t="str">
        <f>Registered!AX1534</f>
        <v/>
      </c>
      <c r="I643" s="4" t="str">
        <f>Registered!AY1534</f>
        <v/>
      </c>
    </row>
    <row r="644" spans="1:9" x14ac:dyDescent="0.25">
      <c r="A644" s="4" t="str">
        <f>Registered!B1535</f>
        <v>Madsen</v>
      </c>
      <c r="B644" s="4" t="str">
        <f>Registered!A1535</f>
        <v>McKenzie</v>
      </c>
      <c r="C644" s="4" t="str">
        <f>IF(Registered!AR1535&gt;0,Registered!AR1535&amp;" Color Bags", "")</f>
        <v>5 Color Bags</v>
      </c>
      <c r="D644" s="4" t="str">
        <f>IF(Registered!AS1535&gt;0,(IF(Registered!AS1535=1,Registered!AS1535&amp;" T-Shirt",Registered!AS1535&amp;" T-Shirts")), "")</f>
        <v/>
      </c>
      <c r="E644" s="4" t="str">
        <f>Registered!AT1535</f>
        <v/>
      </c>
      <c r="F644" s="4" t="str">
        <f>Registered!AU1535</f>
        <v/>
      </c>
      <c r="G644" s="4" t="str">
        <f>Registered!AW1535</f>
        <v/>
      </c>
      <c r="H644" s="4" t="str">
        <f>Registered!AX1535</f>
        <v/>
      </c>
      <c r="I644" s="4" t="str">
        <f>Registered!AY1535</f>
        <v/>
      </c>
    </row>
    <row r="645" spans="1:9" x14ac:dyDescent="0.25">
      <c r="A645" s="4" t="str">
        <f>Registered!B1537</f>
        <v>Maes</v>
      </c>
      <c r="B645" s="4" t="str">
        <f>Registered!A1537</f>
        <v>Adam</v>
      </c>
      <c r="C645" s="4" t="str">
        <f>IF(Registered!AR1537&gt;0,Registered!AR1537&amp;" Color Bags", "")</f>
        <v>10 Color Bags</v>
      </c>
      <c r="D645" s="4" t="str">
        <f>IF(Registered!AS1537&gt;0,(IF(Registered!AS1537=1,Registered!AS1537&amp;" T-Shirt",Registered!AS1537&amp;" T-Shirts")), "")</f>
        <v/>
      </c>
      <c r="E645" s="4" t="str">
        <f>Registered!AT1537</f>
        <v/>
      </c>
      <c r="F645" s="4" t="str">
        <f>Registered!AU1537</f>
        <v/>
      </c>
      <c r="G645" s="4" t="str">
        <f>Registered!AW1537</f>
        <v/>
      </c>
      <c r="H645" s="4" t="str">
        <f>Registered!AX1537</f>
        <v/>
      </c>
      <c r="I645" s="4" t="str">
        <f>Registered!AY1537</f>
        <v/>
      </c>
    </row>
    <row r="646" spans="1:9" x14ac:dyDescent="0.25">
      <c r="A646" s="4" t="str">
        <f>Registered!B1539</f>
        <v>Magazin</v>
      </c>
      <c r="B646" s="4" t="str">
        <f>Registered!A1539</f>
        <v>Sarah</v>
      </c>
      <c r="C646" s="4" t="str">
        <f>IF(Registered!AR1539&gt;0,Registered!AR1539&amp;" Color Bags", "")</f>
        <v>20 Color Bags</v>
      </c>
      <c r="D646" s="4" t="str">
        <f>IF(Registered!AS1539&gt;0,(IF(Registered!AS1539=1,Registered!AS1539&amp;" T-Shirt",Registered!AS1539&amp;" T-Shirts")), "")</f>
        <v/>
      </c>
      <c r="E646" s="4" t="str">
        <f>Registered!AT1539</f>
        <v/>
      </c>
      <c r="F646" s="4" t="str">
        <f>Registered!AU1539</f>
        <v/>
      </c>
      <c r="G646" s="4" t="str">
        <f>Registered!AW1539</f>
        <v/>
      </c>
      <c r="H646" s="4" t="str">
        <f>Registered!AX1539</f>
        <v/>
      </c>
      <c r="I646" s="4" t="str">
        <f>Registered!AY1539</f>
        <v/>
      </c>
    </row>
    <row r="647" spans="1:9" x14ac:dyDescent="0.25">
      <c r="A647" s="4" t="str">
        <f>Registered!B1542</f>
        <v>Malcolm</v>
      </c>
      <c r="B647" s="4" t="str">
        <f>Registered!A1542</f>
        <v>Eric</v>
      </c>
      <c r="C647" s="4" t="str">
        <f>IF(Registered!AR1542&gt;0,Registered!AR1542&amp;" Color Bags", "")</f>
        <v>5 Color Bags</v>
      </c>
      <c r="D647" s="4" t="str">
        <f>IF(Registered!AS1542&gt;0,(IF(Registered!AS1542=1,Registered!AS1542&amp;" T-Shirt",Registered!AS1542&amp;" T-Shirts")), "")</f>
        <v/>
      </c>
      <c r="E647" s="4" t="str">
        <f>Registered!AT1542</f>
        <v/>
      </c>
      <c r="F647" s="4" t="str">
        <f>Registered!AU1542</f>
        <v/>
      </c>
      <c r="G647" s="4" t="str">
        <f>Registered!AW1542</f>
        <v/>
      </c>
      <c r="H647" s="4" t="str">
        <f>Registered!AX1542</f>
        <v/>
      </c>
      <c r="I647" s="4" t="str">
        <f>Registered!AY1542</f>
        <v/>
      </c>
    </row>
    <row r="648" spans="1:9" x14ac:dyDescent="0.25">
      <c r="A648" s="4" t="str">
        <f>Registered!B1543</f>
        <v>Maldonado</v>
      </c>
      <c r="B648" s="4" t="str">
        <f>Registered!A1543</f>
        <v>Daniel</v>
      </c>
      <c r="C648" s="4" t="str">
        <f>IF(Registered!AR1543&gt;0,Registered!AR1543&amp;" Color Bags", "")</f>
        <v>5 Color Bags</v>
      </c>
      <c r="D648" s="4" t="str">
        <f>IF(Registered!AS1543&gt;0,(IF(Registered!AS1543=1,Registered!AS1543&amp;" T-Shirt",Registered!AS1543&amp;" T-Shirts")), "")</f>
        <v/>
      </c>
      <c r="E648" s="4" t="str">
        <f>Registered!AT1543</f>
        <v/>
      </c>
      <c r="F648" s="4" t="str">
        <f>Registered!AU1543</f>
        <v/>
      </c>
      <c r="G648" s="4" t="str">
        <f>Registered!AW1543</f>
        <v/>
      </c>
      <c r="H648" s="4" t="str">
        <f>Registered!AX1543</f>
        <v/>
      </c>
      <c r="I648" s="4" t="str">
        <f>Registered!AY1543</f>
        <v/>
      </c>
    </row>
    <row r="649" spans="1:9" x14ac:dyDescent="0.25">
      <c r="A649" s="4" t="str">
        <f>Registered!B1544</f>
        <v>Malensek</v>
      </c>
      <c r="B649" s="4" t="str">
        <f>Registered!A1544</f>
        <v>Matthew</v>
      </c>
      <c r="C649" s="4" t="str">
        <f>IF(Registered!AR1544&gt;0,Registered!AR1544&amp;" Color Bags", "")</f>
        <v>10 Color Bags</v>
      </c>
      <c r="D649" s="4" t="str">
        <f>IF(Registered!AS1544&gt;0,(IF(Registered!AS1544=1,Registered!AS1544&amp;" T-Shirt",Registered!AS1544&amp;" T-Shirts")), "")</f>
        <v/>
      </c>
      <c r="E649" s="4" t="str">
        <f>Registered!AT1544</f>
        <v/>
      </c>
      <c r="F649" s="4" t="str">
        <f>Registered!AU1544</f>
        <v/>
      </c>
      <c r="G649" s="4" t="str">
        <f>Registered!AW1544</f>
        <v/>
      </c>
      <c r="H649" s="4" t="str">
        <f>Registered!AX1544</f>
        <v/>
      </c>
      <c r="I649" s="4" t="str">
        <f>Registered!AY1544</f>
        <v/>
      </c>
    </row>
    <row r="650" spans="1:9" x14ac:dyDescent="0.25">
      <c r="A650" s="4" t="str">
        <f>Registered!B1547</f>
        <v>Malone</v>
      </c>
      <c r="B650" s="4" t="str">
        <f>Registered!A1547</f>
        <v>Jennifer</v>
      </c>
      <c r="C650" s="4" t="str">
        <f>IF(Registered!AR1547&gt;0,Registered!AR1547&amp;" Color Bags", "")</f>
        <v>5 Color Bags</v>
      </c>
      <c r="D650" s="4" t="str">
        <f>IF(Registered!AS1547&gt;0,(IF(Registered!AS1547=1,Registered!AS1547&amp;" T-Shirt",Registered!AS1547&amp;" T-Shirts")), "")</f>
        <v/>
      </c>
      <c r="E650" s="4" t="str">
        <f>Registered!AT1547</f>
        <v/>
      </c>
      <c r="F650" s="4" t="str">
        <f>Registered!AU1547</f>
        <v/>
      </c>
      <c r="G650" s="4" t="str">
        <f>Registered!AW1547</f>
        <v/>
      </c>
      <c r="H650" s="4" t="str">
        <f>Registered!AX1547</f>
        <v/>
      </c>
      <c r="I650" s="4" t="str">
        <f>Registered!AY1547</f>
        <v/>
      </c>
    </row>
    <row r="651" spans="1:9" x14ac:dyDescent="0.25">
      <c r="A651" s="4" t="str">
        <f>Registered!B1549</f>
        <v>Manandhar</v>
      </c>
      <c r="B651" s="4" t="str">
        <f>Registered!A1549</f>
        <v>Swikrit</v>
      </c>
      <c r="C651" s="4" t="str">
        <f>IF(Registered!AR1549&gt;0,Registered!AR1549&amp;" Color Bags", "")</f>
        <v>10 Color Bags</v>
      </c>
      <c r="D651" s="4" t="str">
        <f>IF(Registered!AS1549&gt;0,(IF(Registered!AS1549=1,Registered!AS1549&amp;" T-Shirt",Registered!AS1549&amp;" T-Shirts")), "")</f>
        <v/>
      </c>
      <c r="E651" s="4" t="str">
        <f>Registered!AT1549</f>
        <v/>
      </c>
      <c r="F651" s="4" t="str">
        <f>Registered!AU1549</f>
        <v/>
      </c>
      <c r="G651" s="4" t="str">
        <f>Registered!AW1549</f>
        <v>2 Meals</v>
      </c>
      <c r="H651" s="4" t="str">
        <f>Registered!AX1549</f>
        <v/>
      </c>
      <c r="I651" s="4" t="str">
        <f>Registered!AY1549</f>
        <v>1 DustMask</v>
      </c>
    </row>
    <row r="652" spans="1:9" x14ac:dyDescent="0.25">
      <c r="A652" s="4" t="str">
        <f>Registered!B1550</f>
        <v>Mangelson</v>
      </c>
      <c r="B652" s="4" t="str">
        <f>Registered!A1550</f>
        <v>Austin</v>
      </c>
      <c r="C652" s="4" t="str">
        <f>IF(Registered!AR1550&gt;0,Registered!AR1550&amp;" Color Bags", "")</f>
        <v>5 Color Bags</v>
      </c>
      <c r="D652" s="4" t="str">
        <f>IF(Registered!AS1550&gt;0,(IF(Registered!AS1550=1,Registered!AS1550&amp;" T-Shirt",Registered!AS1550&amp;" T-Shirts")), "")</f>
        <v/>
      </c>
      <c r="E652" s="4" t="str">
        <f>Registered!AT1550</f>
        <v/>
      </c>
      <c r="F652" s="4" t="str">
        <f>Registered!AU1550</f>
        <v/>
      </c>
      <c r="G652" s="4" t="str">
        <f>Registered!AW1550</f>
        <v/>
      </c>
      <c r="H652" s="4" t="str">
        <f>Registered!AX1550</f>
        <v/>
      </c>
      <c r="I652" s="4" t="str">
        <f>Registered!AY1550</f>
        <v/>
      </c>
    </row>
    <row r="653" spans="1:9" x14ac:dyDescent="0.25">
      <c r="A653" s="4" t="str">
        <f>Registered!B1551</f>
        <v>Mangelson</v>
      </c>
      <c r="B653" s="4" t="str">
        <f>Registered!A1551</f>
        <v>Hannah</v>
      </c>
      <c r="C653" s="4" t="str">
        <f>IF(Registered!AR1551&gt;0,Registered!AR1551&amp;" Color Bags", "")</f>
        <v>5 Color Bags</v>
      </c>
      <c r="D653" s="4" t="str">
        <f>IF(Registered!AS1551&gt;0,(IF(Registered!AS1551=1,Registered!AS1551&amp;" T-Shirt",Registered!AS1551&amp;" T-Shirts")), "")</f>
        <v/>
      </c>
      <c r="E653" s="4" t="str">
        <f>Registered!AT1551</f>
        <v/>
      </c>
      <c r="F653" s="4" t="str">
        <f>Registered!AU1551</f>
        <v/>
      </c>
      <c r="G653" s="4" t="str">
        <f>Registered!AW1551</f>
        <v/>
      </c>
      <c r="H653" s="4" t="str">
        <f>Registered!AX1551</f>
        <v/>
      </c>
      <c r="I653" s="4" t="str">
        <f>Registered!AY1551</f>
        <v/>
      </c>
    </row>
    <row r="654" spans="1:9" x14ac:dyDescent="0.25">
      <c r="A654" s="4" t="str">
        <f>Registered!B1555</f>
        <v>Manriquez</v>
      </c>
      <c r="B654" s="4" t="str">
        <f>Registered!A1555</f>
        <v>Bianca</v>
      </c>
      <c r="C654" s="4" t="str">
        <f>IF(Registered!AR1555&gt;0,Registered!AR1555&amp;" Color Bags", "")</f>
        <v>20 Color Bags</v>
      </c>
      <c r="D654" s="4" t="str">
        <f>IF(Registered!AS1555&gt;0,(IF(Registered!AS1555=1,Registered!AS1555&amp;" T-Shirt",Registered!AS1555&amp;" T-Shirts")), "")</f>
        <v/>
      </c>
      <c r="E654" s="4" t="str">
        <f>Registered!AT1555</f>
        <v/>
      </c>
      <c r="F654" s="4" t="str">
        <f>Registered!AU1555</f>
        <v/>
      </c>
      <c r="G654" s="4" t="str">
        <f>Registered!AW1555</f>
        <v/>
      </c>
      <c r="H654" s="4" t="str">
        <f>Registered!AX1555</f>
        <v/>
      </c>
      <c r="I654" s="4" t="str">
        <f>Registered!AY1555</f>
        <v/>
      </c>
    </row>
    <row r="655" spans="1:9" x14ac:dyDescent="0.25">
      <c r="A655" s="4" t="str">
        <f>Registered!B1556</f>
        <v>Manuel</v>
      </c>
      <c r="B655" s="4" t="str">
        <f>Registered!A1556</f>
        <v>Kristil</v>
      </c>
      <c r="C655" s="4" t="str">
        <f>IF(Registered!AR1556&gt;0,Registered!AR1556&amp;" Color Bags", "")</f>
        <v>25 Color Bags</v>
      </c>
      <c r="D655" s="4" t="str">
        <f>IF(Registered!AS1556&gt;0,(IF(Registered!AS1556=1,Registered!AS1556&amp;" T-Shirt",Registered!AS1556&amp;" T-Shirts")), "")</f>
        <v/>
      </c>
      <c r="E655" s="4" t="str">
        <f>Registered!AT1556</f>
        <v/>
      </c>
      <c r="F655" s="4" t="str">
        <f>Registered!AU1556</f>
        <v/>
      </c>
      <c r="G655" s="4" t="str">
        <f>Registered!AW1556</f>
        <v/>
      </c>
      <c r="H655" s="4" t="str">
        <f>Registered!AX1556</f>
        <v/>
      </c>
      <c r="I655" s="4" t="str">
        <f>Registered!AY1556</f>
        <v/>
      </c>
    </row>
    <row r="656" spans="1:9" x14ac:dyDescent="0.25">
      <c r="A656" s="4" t="str">
        <f>Registered!B1558</f>
        <v>Marchese</v>
      </c>
      <c r="B656" s="4" t="str">
        <f>Registered!A1558</f>
        <v>Tony</v>
      </c>
      <c r="C656" s="4" t="str">
        <f>IF(Registered!AR1558&gt;0,Registered!AR1558&amp;" Color Bags", "")</f>
        <v>5 Color Bags</v>
      </c>
      <c r="D656" s="4" t="str">
        <f>IF(Registered!AS1558&gt;0,(IF(Registered!AS1558=1,Registered!AS1558&amp;" T-Shirt",Registered!AS1558&amp;" T-Shirts")), "")</f>
        <v/>
      </c>
      <c r="E656" s="4" t="str">
        <f>Registered!AT1558</f>
        <v/>
      </c>
      <c r="F656" s="4" t="str">
        <f>Registered!AU1558</f>
        <v/>
      </c>
      <c r="G656" s="4" t="str">
        <f>Registered!AW1558</f>
        <v/>
      </c>
      <c r="H656" s="4" t="str">
        <f>Registered!AX1558</f>
        <v/>
      </c>
      <c r="I656" s="4" t="str">
        <f>Registered!AY1558</f>
        <v/>
      </c>
    </row>
    <row r="657" spans="1:9" x14ac:dyDescent="0.25">
      <c r="A657" s="4" t="str">
        <f>Registered!B1561</f>
        <v>Marler</v>
      </c>
      <c r="B657" s="4" t="str">
        <f>Registered!A1561</f>
        <v>Cambrie</v>
      </c>
      <c r="C657" s="4" t="str">
        <f>IF(Registered!AR1561&gt;0,Registered!AR1561&amp;" Color Bags", "")</f>
        <v>10 Color Bags</v>
      </c>
      <c r="D657" s="4" t="str">
        <f>IF(Registered!AS1561&gt;0,(IF(Registered!AS1561=1,Registered!AS1561&amp;" T-Shirt",Registered!AS1561&amp;" T-Shirts")), "")</f>
        <v/>
      </c>
      <c r="E657" s="4" t="str">
        <f>Registered!AT1561</f>
        <v/>
      </c>
      <c r="F657" s="4" t="str">
        <f>Registered!AU1561</f>
        <v/>
      </c>
      <c r="G657" s="4" t="str">
        <f>Registered!AW1561</f>
        <v/>
      </c>
      <c r="H657" s="4" t="str">
        <f>Registered!AX1561</f>
        <v/>
      </c>
      <c r="I657" s="4" t="str">
        <f>Registered!AY1561</f>
        <v/>
      </c>
    </row>
    <row r="658" spans="1:9" x14ac:dyDescent="0.25">
      <c r="A658" s="4" t="str">
        <f>Registered!B1563</f>
        <v>Marrott</v>
      </c>
      <c r="B658" s="4" t="str">
        <f>Registered!A1563</f>
        <v>Kendall</v>
      </c>
      <c r="C658" s="4" t="str">
        <f>IF(Registered!AR1563&gt;0,Registered!AR1563&amp;" Color Bags", "")</f>
        <v>5 Color Bags</v>
      </c>
      <c r="D658" s="4" t="str">
        <f>IF(Registered!AS1563&gt;0,(IF(Registered!AS1563=1,Registered!AS1563&amp;" T-Shirt",Registered!AS1563&amp;" T-Shirts")), "")</f>
        <v/>
      </c>
      <c r="E658" s="4" t="str">
        <f>Registered!AT1563</f>
        <v/>
      </c>
      <c r="F658" s="4" t="str">
        <f>Registered!AU1563</f>
        <v/>
      </c>
      <c r="G658" s="4" t="str">
        <f>Registered!AW1563</f>
        <v/>
      </c>
      <c r="H658" s="4" t="str">
        <f>Registered!AX1563</f>
        <v/>
      </c>
      <c r="I658" s="4" t="str">
        <f>Registered!AY1563</f>
        <v/>
      </c>
    </row>
    <row r="659" spans="1:9" x14ac:dyDescent="0.25">
      <c r="A659" s="4" t="str">
        <f>Registered!B1564</f>
        <v>Marshall</v>
      </c>
      <c r="B659" s="4" t="str">
        <f>Registered!A1564</f>
        <v>Kimberly</v>
      </c>
      <c r="C659" s="4" t="str">
        <f>IF(Registered!AR1564&gt;0,Registered!AR1564&amp;" Color Bags", "")</f>
        <v>5 Color Bags</v>
      </c>
      <c r="D659" s="4" t="str">
        <f>IF(Registered!AS1564&gt;0,(IF(Registered!AS1564=1,Registered!AS1564&amp;" T-Shirt",Registered!AS1564&amp;" T-Shirts")), "")</f>
        <v/>
      </c>
      <c r="E659" s="4" t="str">
        <f>Registered!AT1564</f>
        <v/>
      </c>
      <c r="F659" s="4" t="str">
        <f>Registered!AU1564</f>
        <v/>
      </c>
      <c r="G659" s="4" t="str">
        <f>Registered!AW1564</f>
        <v/>
      </c>
      <c r="H659" s="4" t="str">
        <f>Registered!AX1564</f>
        <v/>
      </c>
      <c r="I659" s="4" t="str">
        <f>Registered!AY1564</f>
        <v/>
      </c>
    </row>
    <row r="660" spans="1:9" x14ac:dyDescent="0.25">
      <c r="A660" s="4" t="str">
        <f>Registered!B1569</f>
        <v>Martin</v>
      </c>
      <c r="B660" s="4" t="str">
        <f>Registered!A1569</f>
        <v>Kimberly</v>
      </c>
      <c r="C660" s="4" t="str">
        <f>IF(Registered!AR1569&gt;0,Registered!AR1569&amp;" Color Bags", "")</f>
        <v>10 Color Bags</v>
      </c>
      <c r="D660" s="4" t="str">
        <f>IF(Registered!AS1569&gt;0,(IF(Registered!AS1569=1,Registered!AS1569&amp;" T-Shirt",Registered!AS1569&amp;" T-Shirts")), "")</f>
        <v/>
      </c>
      <c r="E660" s="4" t="str">
        <f>Registered!AT1569</f>
        <v/>
      </c>
      <c r="F660" s="4" t="str">
        <f>Registered!AU1569</f>
        <v/>
      </c>
      <c r="G660" s="4" t="str">
        <f>Registered!AW1569</f>
        <v/>
      </c>
      <c r="H660" s="4" t="str">
        <f>Registered!AX1569</f>
        <v/>
      </c>
      <c r="I660" s="4" t="str">
        <f>Registered!AY1569</f>
        <v/>
      </c>
    </row>
    <row r="661" spans="1:9" x14ac:dyDescent="0.25">
      <c r="A661" s="4" t="str">
        <f>Registered!B1567</f>
        <v>Martin</v>
      </c>
      <c r="B661" s="4" t="str">
        <f>Registered!A1567</f>
        <v>Brittnie</v>
      </c>
      <c r="C661" s="4" t="str">
        <f>IF(Registered!AR1567&gt;0,Registered!AR1567&amp;" Color Bags", "")</f>
        <v>5 Color Bags</v>
      </c>
      <c r="D661" s="4" t="str">
        <f>IF(Registered!AS1567&gt;0,(IF(Registered!AS1567=1,Registered!AS1567&amp;" T-Shirt",Registered!AS1567&amp;" T-Shirts")), "")</f>
        <v/>
      </c>
      <c r="E661" s="4" t="str">
        <f>Registered!AT1567</f>
        <v/>
      </c>
      <c r="F661" s="4" t="str">
        <f>Registered!AU1567</f>
        <v/>
      </c>
      <c r="G661" s="4" t="str">
        <f>Registered!AW1567</f>
        <v/>
      </c>
      <c r="H661" s="4" t="str">
        <f>Registered!AX1567</f>
        <v/>
      </c>
      <c r="I661" s="4" t="str">
        <f>Registered!AY1567</f>
        <v/>
      </c>
    </row>
    <row r="662" spans="1:9" x14ac:dyDescent="0.25">
      <c r="A662" s="4" t="str">
        <f>Registered!B1570</f>
        <v>Martin</v>
      </c>
      <c r="B662" s="4" t="str">
        <f>Registered!A1570</f>
        <v>Natalie</v>
      </c>
      <c r="C662" s="4" t="str">
        <f>IF(Registered!AR1570&gt;0,Registered!AR1570&amp;" Color Bags", "")</f>
        <v>5 Color Bags</v>
      </c>
      <c r="D662" s="4" t="str">
        <f>IF(Registered!AS1570&gt;0,(IF(Registered!AS1570=1,Registered!AS1570&amp;" T-Shirt",Registered!AS1570&amp;" T-Shirts")), "")</f>
        <v/>
      </c>
      <c r="E662" s="4" t="str">
        <f>Registered!AT1570</f>
        <v/>
      </c>
      <c r="F662" s="4" t="str">
        <f>Registered!AU1570</f>
        <v/>
      </c>
      <c r="G662" s="4" t="str">
        <f>Registered!AW1570</f>
        <v/>
      </c>
      <c r="H662" s="4" t="str">
        <f>Registered!AX1570</f>
        <v/>
      </c>
      <c r="I662" s="4" t="str">
        <f>Registered!AY1570</f>
        <v/>
      </c>
    </row>
    <row r="663" spans="1:9" x14ac:dyDescent="0.25">
      <c r="A663" s="4" t="str">
        <f>Registered!B1571</f>
        <v>Martin</v>
      </c>
      <c r="B663" s="4" t="str">
        <f>Registered!A1571</f>
        <v>Timothy</v>
      </c>
      <c r="C663" s="4" t="str">
        <f>IF(Registered!AR1571&gt;0,Registered!AR1571&amp;" Color Bags", "")</f>
        <v>5 Color Bags</v>
      </c>
      <c r="D663" s="4" t="str">
        <f>IF(Registered!AS1571&gt;0,(IF(Registered!AS1571=1,Registered!AS1571&amp;" T-Shirt",Registered!AS1571&amp;" T-Shirts")), "")</f>
        <v/>
      </c>
      <c r="E663" s="4" t="str">
        <f>Registered!AT1571</f>
        <v/>
      </c>
      <c r="F663" s="4" t="str">
        <f>Registered!AU1571</f>
        <v/>
      </c>
      <c r="G663" s="4" t="str">
        <f>Registered!AW1571</f>
        <v/>
      </c>
      <c r="H663" s="4" t="str">
        <f>Registered!AX1571</f>
        <v/>
      </c>
      <c r="I663" s="4" t="str">
        <f>Registered!AY1571</f>
        <v/>
      </c>
    </row>
    <row r="664" spans="1:9" x14ac:dyDescent="0.25">
      <c r="A664" s="4" t="str">
        <f>Registered!B1572</f>
        <v>Martindale</v>
      </c>
      <c r="B664" s="4" t="str">
        <f>Registered!A1572</f>
        <v>Tarah</v>
      </c>
      <c r="C664" s="4" t="str">
        <f>IF(Registered!AR1572&gt;0,Registered!AR1572&amp;" Color Bags", "")</f>
        <v>10 Color Bags</v>
      </c>
      <c r="D664" s="4" t="str">
        <f>IF(Registered!AS1572&gt;0,(IF(Registered!AS1572=1,Registered!AS1572&amp;" T-Shirt",Registered!AS1572&amp;" T-Shirts")), "")</f>
        <v/>
      </c>
      <c r="E664" s="4" t="str">
        <f>Registered!AT1572</f>
        <v/>
      </c>
      <c r="F664" s="4" t="str">
        <f>Registered!AU1572</f>
        <v/>
      </c>
      <c r="G664" s="4" t="str">
        <f>Registered!AW1572</f>
        <v/>
      </c>
      <c r="H664" s="4" t="str">
        <f>Registered!AX1572</f>
        <v/>
      </c>
      <c r="I664" s="4" t="str">
        <f>Registered!AY1572</f>
        <v/>
      </c>
    </row>
    <row r="665" spans="1:9" x14ac:dyDescent="0.25">
      <c r="A665" s="4" t="str">
        <f>Registered!B1573</f>
        <v>Martinez</v>
      </c>
      <c r="B665" s="4" t="str">
        <f>Registered!A1573</f>
        <v>Alberia</v>
      </c>
      <c r="C665" s="4" t="str">
        <f>IF(Registered!AR1573&gt;0,Registered!AR1573&amp;" Color Bags", "")</f>
        <v>10 Color Bags</v>
      </c>
      <c r="D665" s="4" t="str">
        <f>IF(Registered!AS1573&gt;0,(IF(Registered!AS1573=1,Registered!AS1573&amp;" T-Shirt",Registered!AS1573&amp;" T-Shirts")), "")</f>
        <v>3 T-Shirts</v>
      </c>
      <c r="E665" s="4" t="str">
        <f>Registered!AT1573</f>
        <v>medium, medium, child small</v>
      </c>
      <c r="F665" s="4" t="str">
        <f>Registered!AU1573</f>
        <v/>
      </c>
      <c r="G665" s="4" t="str">
        <f>Registered!AW1573</f>
        <v>2 Meals</v>
      </c>
      <c r="H665" s="4" t="str">
        <f>Registered!AX1573</f>
        <v/>
      </c>
      <c r="I665" s="4" t="str">
        <f>Registered!AY1573</f>
        <v/>
      </c>
    </row>
    <row r="666" spans="1:9" x14ac:dyDescent="0.25">
      <c r="A666" s="4" t="str">
        <f>Registered!B1577</f>
        <v>Martinez</v>
      </c>
      <c r="B666" s="4" t="str">
        <f>Registered!A1577</f>
        <v>Kjirsten</v>
      </c>
      <c r="C666" s="4" t="str">
        <f>IF(Registered!AR1577&gt;0,Registered!AR1577&amp;" Color Bags", "")</f>
        <v>10 Color Bags</v>
      </c>
      <c r="D666" s="4" t="str">
        <f>IF(Registered!AS1577&gt;0,(IF(Registered!AS1577=1,Registered!AS1577&amp;" T-Shirt",Registered!AS1577&amp;" T-Shirts")), "")</f>
        <v/>
      </c>
      <c r="E666" s="4" t="str">
        <f>Registered!AT1577</f>
        <v/>
      </c>
      <c r="F666" s="4" t="str">
        <f>Registered!AU1577</f>
        <v/>
      </c>
      <c r="G666" s="4" t="str">
        <f>Registered!AW1577</f>
        <v>1 Meal</v>
      </c>
      <c r="H666" s="4" t="str">
        <f>Registered!AX1577</f>
        <v/>
      </c>
      <c r="I666" s="4" t="str">
        <f>Registered!AY1577</f>
        <v/>
      </c>
    </row>
    <row r="667" spans="1:9" x14ac:dyDescent="0.25">
      <c r="A667" s="4" t="str">
        <f>Registered!B1574</f>
        <v>Martinez</v>
      </c>
      <c r="B667" s="4" t="str">
        <f>Registered!A1574</f>
        <v>Christina</v>
      </c>
      <c r="C667" s="4" t="str">
        <f>IF(Registered!AR1574&gt;0,Registered!AR1574&amp;" Color Bags", "")</f>
        <v>5 Color Bags</v>
      </c>
      <c r="D667" s="4" t="str">
        <f>IF(Registered!AS1574&gt;0,(IF(Registered!AS1574=1,Registered!AS1574&amp;" T-Shirt",Registered!AS1574&amp;" T-Shirts")), "")</f>
        <v>1 T-Shirt</v>
      </c>
      <c r="E667" s="4" t="str">
        <f>Registered!AT1574</f>
        <v>Small</v>
      </c>
      <c r="F667" s="4" t="str">
        <f>Registered!AU1574</f>
        <v/>
      </c>
      <c r="G667" s="4" t="str">
        <f>Registered!AW1574</f>
        <v>1 Meal</v>
      </c>
      <c r="H667" s="4" t="str">
        <f>Registered!AX1574</f>
        <v/>
      </c>
      <c r="I667" s="4" t="str">
        <f>Registered!AY1574</f>
        <v/>
      </c>
    </row>
    <row r="668" spans="1:9" x14ac:dyDescent="0.25">
      <c r="A668" s="4" t="str">
        <f>Registered!B1576</f>
        <v>Martinez</v>
      </c>
      <c r="B668" s="4" t="str">
        <f>Registered!A1576</f>
        <v>Kathy</v>
      </c>
      <c r="C668" s="4" t="str">
        <f>IF(Registered!AR1576&gt;0,Registered!AR1576&amp;" Color Bags", "")</f>
        <v>5 Color Bags</v>
      </c>
      <c r="D668" s="4" t="str">
        <f>IF(Registered!AS1576&gt;0,(IF(Registered!AS1576=1,Registered!AS1576&amp;" T-Shirt",Registered!AS1576&amp;" T-Shirts")), "")</f>
        <v/>
      </c>
      <c r="E668" s="4" t="str">
        <f>Registered!AT1576</f>
        <v/>
      </c>
      <c r="F668" s="4" t="str">
        <f>Registered!AU1576</f>
        <v/>
      </c>
      <c r="G668" s="4" t="str">
        <f>Registered!AW1576</f>
        <v>3 Meals</v>
      </c>
      <c r="H668" s="4" t="str">
        <f>Registered!AX1576</f>
        <v/>
      </c>
      <c r="I668" s="4" t="str">
        <f>Registered!AY1576</f>
        <v/>
      </c>
    </row>
    <row r="669" spans="1:9" x14ac:dyDescent="0.25">
      <c r="A669" s="4" t="str">
        <f>Registered!B1578</f>
        <v>Martinez</v>
      </c>
      <c r="B669" s="4" t="str">
        <f>Registered!A1578</f>
        <v>Natalie</v>
      </c>
      <c r="C669" s="4" t="str">
        <f>IF(Registered!AR1578&gt;0,Registered!AR1578&amp;" Color Bags", "")</f>
        <v>5 Color Bags</v>
      </c>
      <c r="D669" s="4" t="str">
        <f>IF(Registered!AS1578&gt;0,(IF(Registered!AS1578=1,Registered!AS1578&amp;" T-Shirt",Registered!AS1578&amp;" T-Shirts")), "")</f>
        <v/>
      </c>
      <c r="E669" s="4" t="str">
        <f>Registered!AT1578</f>
        <v/>
      </c>
      <c r="F669" s="4" t="str">
        <f>Registered!AU1578</f>
        <v/>
      </c>
      <c r="G669" s="4" t="str">
        <f>Registered!AW1578</f>
        <v/>
      </c>
      <c r="H669" s="4" t="str">
        <f>Registered!AX1578</f>
        <v/>
      </c>
      <c r="I669" s="4" t="str">
        <f>Registered!AY1578</f>
        <v/>
      </c>
    </row>
    <row r="670" spans="1:9" x14ac:dyDescent="0.25">
      <c r="A670" s="4" t="str">
        <f>Registered!B1580</f>
        <v>Martorano</v>
      </c>
      <c r="B670" s="4" t="str">
        <f>Registered!A1580</f>
        <v>Megan</v>
      </c>
      <c r="C670" s="4" t="str">
        <f>IF(Registered!AR1580&gt;0,Registered!AR1580&amp;" Color Bags", "")</f>
        <v>20 Color Bags</v>
      </c>
      <c r="D670" s="4" t="str">
        <f>IF(Registered!AS1580&gt;0,(IF(Registered!AS1580=1,Registered!AS1580&amp;" T-Shirt",Registered!AS1580&amp;" T-Shirts")), "")</f>
        <v/>
      </c>
      <c r="E670" s="4" t="str">
        <f>Registered!AT1580</f>
        <v/>
      </c>
      <c r="F670" s="4" t="str">
        <f>Registered!AU1580</f>
        <v/>
      </c>
      <c r="G670" s="4" t="str">
        <f>Registered!AW1580</f>
        <v/>
      </c>
      <c r="H670" s="4" t="str">
        <f>Registered!AX1580</f>
        <v/>
      </c>
      <c r="I670" s="4" t="str">
        <f>Registered!AY1580</f>
        <v/>
      </c>
    </row>
    <row r="671" spans="1:9" x14ac:dyDescent="0.25">
      <c r="A671" s="4" t="str">
        <f>Registered!B1582</f>
        <v>Marzzarella</v>
      </c>
      <c r="B671" s="4" t="str">
        <f>Registered!A1582</f>
        <v>Katie</v>
      </c>
      <c r="C671" s="4" t="str">
        <f>IF(Registered!AR1582&gt;0,Registered!AR1582&amp;" Color Bags", "")</f>
        <v>5 Color Bags</v>
      </c>
      <c r="D671" s="4" t="str">
        <f>IF(Registered!AS1582&gt;0,(IF(Registered!AS1582=1,Registered!AS1582&amp;" T-Shirt",Registered!AS1582&amp;" T-Shirts")), "")</f>
        <v/>
      </c>
      <c r="E671" s="4" t="str">
        <f>Registered!AT1582</f>
        <v/>
      </c>
      <c r="F671" s="4" t="str">
        <f>Registered!AU1582</f>
        <v/>
      </c>
      <c r="G671" s="4" t="str">
        <f>Registered!AW1582</f>
        <v/>
      </c>
      <c r="H671" s="4" t="str">
        <f>Registered!AX1582</f>
        <v/>
      </c>
      <c r="I671" s="4" t="str">
        <f>Registered!AY1582</f>
        <v/>
      </c>
    </row>
    <row r="672" spans="1:9" x14ac:dyDescent="0.25">
      <c r="A672" s="4" t="str">
        <f>Registered!B1584</f>
        <v>Massey</v>
      </c>
      <c r="B672" s="4" t="str">
        <f>Registered!A1584</f>
        <v>Shelby</v>
      </c>
      <c r="C672" s="4" t="str">
        <f>IF(Registered!AR1584&gt;0,Registered!AR1584&amp;" Color Bags", "")</f>
        <v>5 Color Bags</v>
      </c>
      <c r="D672" s="4" t="str">
        <f>IF(Registered!AS1584&gt;0,(IF(Registered!AS1584=1,Registered!AS1584&amp;" T-Shirt",Registered!AS1584&amp;" T-Shirts")), "")</f>
        <v>1 T-Shirt</v>
      </c>
      <c r="E672" s="4" t="str">
        <f>Registered!AT1584</f>
        <v>medium</v>
      </c>
      <c r="F672" s="4" t="str">
        <f>Registered!AU1584</f>
        <v/>
      </c>
      <c r="G672" s="4" t="str">
        <f>Registered!AW1584</f>
        <v>1 Meal</v>
      </c>
      <c r="H672" s="4" t="str">
        <f>Registered!AX1584</f>
        <v/>
      </c>
      <c r="I672" s="4" t="str">
        <f>Registered!AY1584</f>
        <v/>
      </c>
    </row>
    <row r="673" spans="1:9" x14ac:dyDescent="0.25">
      <c r="A673" s="4" t="str">
        <f>Registered!B1585</f>
        <v>Matern</v>
      </c>
      <c r="B673" s="4" t="str">
        <f>Registered!A1585</f>
        <v>Jason</v>
      </c>
      <c r="C673" s="4" t="str">
        <f>IF(Registered!AR1585&gt;0,Registered!AR1585&amp;" Color Bags", "")</f>
        <v>10 Color Bags</v>
      </c>
      <c r="D673" s="4" t="str">
        <f>IF(Registered!AS1585&gt;0,(IF(Registered!AS1585=1,Registered!AS1585&amp;" T-Shirt",Registered!AS1585&amp;" T-Shirts")), "")</f>
        <v/>
      </c>
      <c r="E673" s="4" t="str">
        <f>Registered!AT1585</f>
        <v/>
      </c>
      <c r="F673" s="4" t="str">
        <f>Registered!AU1585</f>
        <v/>
      </c>
      <c r="G673" s="4" t="str">
        <f>Registered!AW1585</f>
        <v/>
      </c>
      <c r="H673" s="4" t="str">
        <f>Registered!AX1585</f>
        <v/>
      </c>
      <c r="I673" s="4" t="str">
        <f>Registered!AY1585</f>
        <v/>
      </c>
    </row>
    <row r="674" spans="1:9" x14ac:dyDescent="0.25">
      <c r="A674" s="4" t="str">
        <f>Registered!B1589</f>
        <v>Mathiesen</v>
      </c>
      <c r="B674" s="4" t="str">
        <f>Registered!A1589</f>
        <v>Amber</v>
      </c>
      <c r="C674" s="4" t="str">
        <f>IF(Registered!AR1589&gt;0,Registered!AR1589&amp;" Color Bags", "")</f>
        <v>5 Color Bags</v>
      </c>
      <c r="D674" s="4" t="str">
        <f>IF(Registered!AS1589&gt;0,(IF(Registered!AS1589=1,Registered!AS1589&amp;" T-Shirt",Registered!AS1589&amp;" T-Shirts")), "")</f>
        <v/>
      </c>
      <c r="E674" s="4" t="str">
        <f>Registered!AT1589</f>
        <v/>
      </c>
      <c r="F674" s="4" t="str">
        <f>Registered!AU1589</f>
        <v/>
      </c>
      <c r="G674" s="4" t="str">
        <f>Registered!AW1589</f>
        <v>2 Meals</v>
      </c>
      <c r="H674" s="4" t="str">
        <f>Registered!AX1589</f>
        <v/>
      </c>
      <c r="I674" s="4" t="str">
        <f>Registered!AY1589</f>
        <v/>
      </c>
    </row>
    <row r="675" spans="1:9" x14ac:dyDescent="0.25">
      <c r="A675" s="4" t="str">
        <f>Registered!B1592</f>
        <v>Mauseth</v>
      </c>
      <c r="B675" s="4" t="str">
        <f>Registered!A1592</f>
        <v>Mercedes</v>
      </c>
      <c r="C675" s="4" t="str">
        <f>IF(Registered!AR1592&gt;0,Registered!AR1592&amp;" Color Bags", "")</f>
        <v>25 Color Bags</v>
      </c>
      <c r="D675" s="4" t="str">
        <f>IF(Registered!AS1592&gt;0,(IF(Registered!AS1592=1,Registered!AS1592&amp;" T-Shirt",Registered!AS1592&amp;" T-Shirts")), "")</f>
        <v>5 T-Shirts</v>
      </c>
      <c r="E675" s="4" t="str">
        <f>Registered!AT1592</f>
        <v>L, XL, XL, XL, XXL</v>
      </c>
      <c r="F675" s="4" t="str">
        <f>Registered!AU1592</f>
        <v/>
      </c>
      <c r="G675" s="4" t="str">
        <f>Registered!AW1592</f>
        <v>5 Meals</v>
      </c>
      <c r="H675" s="4" t="str">
        <f>Registered!AX1592</f>
        <v/>
      </c>
      <c r="I675" s="4" t="str">
        <f>Registered!AY1592</f>
        <v/>
      </c>
    </row>
    <row r="676" spans="1:9" x14ac:dyDescent="0.25">
      <c r="A676" s="4" t="str">
        <f>Registered!B1597</f>
        <v>Maynard</v>
      </c>
      <c r="B676" s="4" t="str">
        <f>Registered!A1597</f>
        <v>Michael</v>
      </c>
      <c r="C676" s="4" t="str">
        <f>IF(Registered!AR1597&gt;0,Registered!AR1597&amp;" Color Bags", "")</f>
        <v>5 Color Bags</v>
      </c>
      <c r="D676" s="4" t="str">
        <f>IF(Registered!AS1597&gt;0,(IF(Registered!AS1597=1,Registered!AS1597&amp;" T-Shirt",Registered!AS1597&amp;" T-Shirts")), "")</f>
        <v/>
      </c>
      <c r="E676" s="4" t="str">
        <f>Registered!AT1597</f>
        <v/>
      </c>
      <c r="F676" s="4" t="str">
        <f>Registered!AU1597</f>
        <v/>
      </c>
      <c r="G676" s="4" t="str">
        <f>Registered!AW1597</f>
        <v/>
      </c>
      <c r="H676" s="4" t="str">
        <f>Registered!AX1597</f>
        <v/>
      </c>
      <c r="I676" s="4" t="str">
        <f>Registered!AY1597</f>
        <v/>
      </c>
    </row>
    <row r="677" spans="1:9" x14ac:dyDescent="0.25">
      <c r="A677" s="4" t="str">
        <f>Registered!B1598</f>
        <v>McAllister</v>
      </c>
      <c r="B677" s="4" t="str">
        <f>Registered!A1598</f>
        <v>Caitlyn</v>
      </c>
      <c r="C677" s="4" t="str">
        <f>IF(Registered!AR1598&gt;0,Registered!AR1598&amp;" Color Bags", "")</f>
        <v>5 Color Bags</v>
      </c>
      <c r="D677" s="4" t="str">
        <f>IF(Registered!AS1598&gt;0,(IF(Registered!AS1598=1,Registered!AS1598&amp;" T-Shirt",Registered!AS1598&amp;" T-Shirts")), "")</f>
        <v/>
      </c>
      <c r="E677" s="4" t="str">
        <f>Registered!AT1598</f>
        <v/>
      </c>
      <c r="F677" s="4" t="str">
        <f>Registered!AU1598</f>
        <v/>
      </c>
      <c r="G677" s="4" t="str">
        <f>Registered!AW1598</f>
        <v>1 Meal</v>
      </c>
      <c r="H677" s="4" t="str">
        <f>Registered!AX1598</f>
        <v/>
      </c>
      <c r="I677" s="4" t="str">
        <f>Registered!AY1598</f>
        <v/>
      </c>
    </row>
    <row r="678" spans="1:9" x14ac:dyDescent="0.25">
      <c r="A678" s="4" t="str">
        <f>Registered!B1600</f>
        <v>McBeth</v>
      </c>
      <c r="B678" s="4" t="str">
        <f>Registered!A1600</f>
        <v>Tyler</v>
      </c>
      <c r="C678" s="4" t="str">
        <f>IF(Registered!AR1600&gt;0,Registered!AR1600&amp;" Color Bags", "")</f>
        <v>5 Color Bags</v>
      </c>
      <c r="D678" s="4" t="str">
        <f>IF(Registered!AS1600&gt;0,(IF(Registered!AS1600=1,Registered!AS1600&amp;" T-Shirt",Registered!AS1600&amp;" T-Shirts")), "")</f>
        <v/>
      </c>
      <c r="E678" s="4" t="str">
        <f>Registered!AT1600</f>
        <v/>
      </c>
      <c r="F678" s="4" t="str">
        <f>Registered!AU1600</f>
        <v/>
      </c>
      <c r="G678" s="4" t="str">
        <f>Registered!AW1600</f>
        <v/>
      </c>
      <c r="H678" s="4" t="str">
        <f>Registered!AX1600</f>
        <v/>
      </c>
      <c r="I678" s="4" t="str">
        <f>Registered!AY1600</f>
        <v/>
      </c>
    </row>
    <row r="679" spans="1:9" x14ac:dyDescent="0.25">
      <c r="A679" s="4" t="str">
        <f>Registered!B1604</f>
        <v>McCabe</v>
      </c>
      <c r="B679" s="4" t="str">
        <f>Registered!A1604</f>
        <v>Jentre</v>
      </c>
      <c r="C679" s="4" t="str">
        <f>IF(Registered!AR1604&gt;0,Registered!AR1604&amp;" Color Bags", "")</f>
        <v>5 Color Bags</v>
      </c>
      <c r="D679" s="4" t="str">
        <f>IF(Registered!AS1604&gt;0,(IF(Registered!AS1604=1,Registered!AS1604&amp;" T-Shirt",Registered!AS1604&amp;" T-Shirts")), "")</f>
        <v>1 T-Shirt</v>
      </c>
      <c r="E679" s="4" t="str">
        <f>Registered!AT1604</f>
        <v>Women's small</v>
      </c>
      <c r="F679" s="4" t="str">
        <f>Registered!AU1604</f>
        <v/>
      </c>
      <c r="G679" s="4" t="str">
        <f>Registered!AW1604</f>
        <v>1 Meal</v>
      </c>
      <c r="H679" s="4" t="str">
        <f>Registered!AX1604</f>
        <v/>
      </c>
      <c r="I679" s="4" t="str">
        <f>Registered!AY1604</f>
        <v/>
      </c>
    </row>
    <row r="680" spans="1:9" x14ac:dyDescent="0.25">
      <c r="A680" s="4" t="str">
        <f>Registered!B1603</f>
        <v>Mccarty</v>
      </c>
      <c r="B680" s="4" t="str">
        <f>Registered!A1603</f>
        <v>Stephanie</v>
      </c>
      <c r="C680" s="4" t="str">
        <f>IF(Registered!AR1603&gt;0,Registered!AR1603&amp;" Color Bags", "")</f>
        <v>10 Color Bags</v>
      </c>
      <c r="D680" s="4" t="str">
        <f>IF(Registered!AS1603&gt;0,(IF(Registered!AS1603=1,Registered!AS1603&amp;" T-Shirt",Registered!AS1603&amp;" T-Shirts")), "")</f>
        <v/>
      </c>
      <c r="E680" s="4" t="str">
        <f>Registered!AT1603</f>
        <v/>
      </c>
      <c r="F680" s="4" t="str">
        <f>Registered!AU1603</f>
        <v/>
      </c>
      <c r="G680" s="4" t="str">
        <f>Registered!AW1603</f>
        <v/>
      </c>
      <c r="H680" s="4" t="str">
        <f>Registered!AX1603</f>
        <v/>
      </c>
      <c r="I680" s="4" t="str">
        <f>Registered!AY1603</f>
        <v/>
      </c>
    </row>
    <row r="681" spans="1:9" x14ac:dyDescent="0.25">
      <c r="A681" s="4" t="str">
        <f>Registered!B1611</f>
        <v>McDonald</v>
      </c>
      <c r="B681" s="4" t="str">
        <f>Registered!A1611</f>
        <v>Ciara</v>
      </c>
      <c r="C681" s="4" t="str">
        <f>IF(Registered!AR1611&gt;0,Registered!AR1611&amp;" Color Bags", "")</f>
        <v>10 Color Bags</v>
      </c>
      <c r="D681" s="4" t="str">
        <f>IF(Registered!AS1611&gt;0,(IF(Registered!AS1611=1,Registered!AS1611&amp;" T-Shirt",Registered!AS1611&amp;" T-Shirts")), "")</f>
        <v/>
      </c>
      <c r="E681" s="4" t="str">
        <f>Registered!AT1611</f>
        <v/>
      </c>
      <c r="F681" s="4" t="str">
        <f>Registered!AU1611</f>
        <v/>
      </c>
      <c r="G681" s="4" t="str">
        <f>Registered!AW1611</f>
        <v/>
      </c>
      <c r="H681" s="4" t="str">
        <f>Registered!AX1611</f>
        <v/>
      </c>
      <c r="I681" s="4" t="str">
        <f>Registered!AY1611</f>
        <v/>
      </c>
    </row>
    <row r="682" spans="1:9" x14ac:dyDescent="0.25">
      <c r="A682" s="4" t="str">
        <f>Registered!B1612</f>
        <v>McDonald</v>
      </c>
      <c r="B682" s="4" t="str">
        <f>Registered!A1612</f>
        <v>Macall</v>
      </c>
      <c r="C682" s="4" t="str">
        <f>IF(Registered!AR1612&gt;0,Registered!AR1612&amp;" Color Bags", "")</f>
        <v>5 Color Bags</v>
      </c>
      <c r="D682" s="4" t="str">
        <f>IF(Registered!AS1612&gt;0,(IF(Registered!AS1612=1,Registered!AS1612&amp;" T-Shirt",Registered!AS1612&amp;" T-Shirts")), "")</f>
        <v/>
      </c>
      <c r="E682" s="4" t="str">
        <f>Registered!AT1612</f>
        <v/>
      </c>
      <c r="F682" s="4" t="str">
        <f>Registered!AU1612</f>
        <v/>
      </c>
      <c r="G682" s="4" t="str">
        <f>Registered!AW1612</f>
        <v/>
      </c>
      <c r="H682" s="4" t="str">
        <f>Registered!AX1612</f>
        <v/>
      </c>
      <c r="I682" s="4" t="str">
        <f>Registered!AY1612</f>
        <v/>
      </c>
    </row>
    <row r="683" spans="1:9" x14ac:dyDescent="0.25">
      <c r="A683" s="4" t="str">
        <f>Registered!B1617</f>
        <v>McFarland</v>
      </c>
      <c r="B683" s="4" t="str">
        <f>Registered!A1617</f>
        <v>Tricia</v>
      </c>
      <c r="C683" s="4" t="str">
        <f>IF(Registered!AR1617&gt;0,Registered!AR1617&amp;" Color Bags", "")</f>
        <v>10 Color Bags</v>
      </c>
      <c r="D683" s="4" t="str">
        <f>IF(Registered!AS1617&gt;0,(IF(Registered!AS1617=1,Registered!AS1617&amp;" T-Shirt",Registered!AS1617&amp;" T-Shirts")), "")</f>
        <v/>
      </c>
      <c r="E683" s="4" t="str">
        <f>Registered!AT1617</f>
        <v/>
      </c>
      <c r="F683" s="4" t="str">
        <f>Registered!AU1617</f>
        <v/>
      </c>
      <c r="G683" s="4" t="str">
        <f>Registered!AW1617</f>
        <v/>
      </c>
      <c r="H683" s="4" t="str">
        <f>Registered!AX1617</f>
        <v/>
      </c>
      <c r="I683" s="4" t="str">
        <f>Registered!AY1617</f>
        <v/>
      </c>
    </row>
    <row r="684" spans="1:9" x14ac:dyDescent="0.25">
      <c r="A684" s="4" t="str">
        <f>Registered!B1619</f>
        <v>McGarrell</v>
      </c>
      <c r="B684" s="4" t="str">
        <f>Registered!A1619</f>
        <v>Shellby</v>
      </c>
      <c r="C684" s="4" t="str">
        <f>IF(Registered!AR1619&gt;0,Registered!AR1619&amp;" Color Bags", "")</f>
        <v>10 Color Bags</v>
      </c>
      <c r="D684" s="4" t="str">
        <f>IF(Registered!AS1619&gt;0,(IF(Registered!AS1619=1,Registered!AS1619&amp;" T-Shirt",Registered!AS1619&amp;" T-Shirts")), "")</f>
        <v/>
      </c>
      <c r="E684" s="4" t="str">
        <f>Registered!AT1619</f>
        <v/>
      </c>
      <c r="F684" s="4" t="str">
        <f>Registered!AU1619</f>
        <v/>
      </c>
      <c r="G684" s="4" t="str">
        <f>Registered!AW1619</f>
        <v/>
      </c>
      <c r="H684" s="4" t="str">
        <f>Registered!AX1619</f>
        <v/>
      </c>
      <c r="I684" s="4" t="str">
        <f>Registered!AY1619</f>
        <v/>
      </c>
    </row>
    <row r="685" spans="1:9" x14ac:dyDescent="0.25">
      <c r="A685" s="4" t="str">
        <f>Registered!B1620</f>
        <v>McGarry</v>
      </c>
      <c r="B685" s="4" t="str">
        <f>Registered!A1620</f>
        <v>Kelsey</v>
      </c>
      <c r="C685" s="4" t="str">
        <f>IF(Registered!AR1620&gt;0,Registered!AR1620&amp;" Color Bags", "")</f>
        <v>20 Color Bags</v>
      </c>
      <c r="D685" s="4" t="str">
        <f>IF(Registered!AS1620&gt;0,(IF(Registered!AS1620=1,Registered!AS1620&amp;" T-Shirt",Registered!AS1620&amp;" T-Shirts")), "")</f>
        <v>2 T-Shirts</v>
      </c>
      <c r="E685" s="4" t="str">
        <f>Registered!AT1620</f>
        <v>1 Adult Large and 1 Adult medium</v>
      </c>
      <c r="F685" s="4" t="str">
        <f>Registered!AU1620</f>
        <v/>
      </c>
      <c r="G685" s="4" t="str">
        <f>Registered!AW1620</f>
        <v/>
      </c>
      <c r="H685" s="4" t="str">
        <f>Registered!AX1620</f>
        <v/>
      </c>
      <c r="I685" s="4" t="str">
        <f>Registered!AY1620</f>
        <v/>
      </c>
    </row>
    <row r="686" spans="1:9" x14ac:dyDescent="0.25">
      <c r="A686" s="4" t="str">
        <f>Registered!B1622</f>
        <v>McGinnis</v>
      </c>
      <c r="B686" s="4" t="str">
        <f>Registered!A1622</f>
        <v>Tessa</v>
      </c>
      <c r="C686" s="4" t="str">
        <f>IF(Registered!AR1622&gt;0,Registered!AR1622&amp;" Color Bags", "")</f>
        <v>5 Color Bags</v>
      </c>
      <c r="D686" s="4" t="str">
        <f>IF(Registered!AS1622&gt;0,(IF(Registered!AS1622=1,Registered!AS1622&amp;" T-Shirt",Registered!AS1622&amp;" T-Shirts")), "")</f>
        <v/>
      </c>
      <c r="E686" s="4" t="str">
        <f>Registered!AT1622</f>
        <v/>
      </c>
      <c r="F686" s="4" t="str">
        <f>Registered!AU1622</f>
        <v/>
      </c>
      <c r="G686" s="4" t="str">
        <f>Registered!AW1622</f>
        <v/>
      </c>
      <c r="H686" s="4" t="str">
        <f>Registered!AX1622</f>
        <v/>
      </c>
      <c r="I686" s="4" t="str">
        <f>Registered!AY1622</f>
        <v/>
      </c>
    </row>
    <row r="687" spans="1:9" x14ac:dyDescent="0.25">
      <c r="A687" s="4" t="str">
        <f>Registered!B1624</f>
        <v>McInnis</v>
      </c>
      <c r="B687" s="4" t="str">
        <f>Registered!A1624</f>
        <v>Katie</v>
      </c>
      <c r="C687" s="4" t="str">
        <f>IF(Registered!AR1624&gt;0,Registered!AR1624&amp;" Color Bags", "")</f>
        <v>5 Color Bags</v>
      </c>
      <c r="D687" s="4" t="str">
        <f>IF(Registered!AS1624&gt;0,(IF(Registered!AS1624=1,Registered!AS1624&amp;" T-Shirt",Registered!AS1624&amp;" T-Shirts")), "")</f>
        <v/>
      </c>
      <c r="E687" s="4" t="str">
        <f>Registered!AT1624</f>
        <v/>
      </c>
      <c r="F687" s="4" t="str">
        <f>Registered!AU1624</f>
        <v/>
      </c>
      <c r="G687" s="4" t="str">
        <f>Registered!AW1624</f>
        <v/>
      </c>
      <c r="H687" s="4" t="str">
        <f>Registered!AX1624</f>
        <v/>
      </c>
      <c r="I687" s="4" t="str">
        <f>Registered!AY1624</f>
        <v/>
      </c>
    </row>
    <row r="688" spans="1:9" x14ac:dyDescent="0.25">
      <c r="A688" s="4" t="str">
        <f>Registered!B1625</f>
        <v>McKay</v>
      </c>
      <c r="B688" s="4" t="str">
        <f>Registered!A1625</f>
        <v>Chris</v>
      </c>
      <c r="C688" s="4" t="str">
        <f>IF(Registered!AR1625&gt;0,Registered!AR1625&amp;" Color Bags", "")</f>
        <v>10 Color Bags</v>
      </c>
      <c r="D688" s="4" t="str">
        <f>IF(Registered!AS1625&gt;0,(IF(Registered!AS1625=1,Registered!AS1625&amp;" T-Shirt",Registered!AS1625&amp;" T-Shirts")), "")</f>
        <v/>
      </c>
      <c r="E688" s="4" t="str">
        <f>Registered!AT1625</f>
        <v/>
      </c>
      <c r="F688" s="4" t="str">
        <f>Registered!AU1625</f>
        <v/>
      </c>
      <c r="G688" s="4" t="str">
        <f>Registered!AW1625</f>
        <v/>
      </c>
      <c r="H688" s="4" t="str">
        <f>Registered!AX1625</f>
        <v/>
      </c>
      <c r="I688" s="4" t="str">
        <f>Registered!AY1625</f>
        <v/>
      </c>
    </row>
    <row r="689" spans="1:9" x14ac:dyDescent="0.25">
      <c r="A689" s="4" t="str">
        <f>Registered!B1629</f>
        <v>McKinney</v>
      </c>
      <c r="B689" s="4" t="str">
        <f>Registered!A1629</f>
        <v>Jessica</v>
      </c>
      <c r="C689" s="4" t="str">
        <f>IF(Registered!AR1629&gt;0,Registered!AR1629&amp;" Color Bags", "")</f>
        <v>5 Color Bags</v>
      </c>
      <c r="D689" s="4" t="str">
        <f>IF(Registered!AS1629&gt;0,(IF(Registered!AS1629=1,Registered!AS1629&amp;" T-Shirt",Registered!AS1629&amp;" T-Shirts")), "")</f>
        <v/>
      </c>
      <c r="E689" s="4" t="str">
        <f>Registered!AT1629</f>
        <v/>
      </c>
      <c r="F689" s="4" t="str">
        <f>Registered!AU1629</f>
        <v/>
      </c>
      <c r="G689" s="4" t="str">
        <f>Registered!AW1629</f>
        <v/>
      </c>
      <c r="H689" s="4" t="str">
        <f>Registered!AX1629</f>
        <v/>
      </c>
      <c r="I689" s="4" t="str">
        <f>Registered!AY1629</f>
        <v/>
      </c>
    </row>
    <row r="690" spans="1:9" x14ac:dyDescent="0.25">
      <c r="A690" s="4" t="str">
        <f>Registered!B1630</f>
        <v>McKinney</v>
      </c>
      <c r="B690" s="4" t="str">
        <f>Registered!A1630</f>
        <v>Joshua</v>
      </c>
      <c r="C690" s="4" t="str">
        <f>IF(Registered!AR1630&gt;0,Registered!AR1630&amp;" Color Bags", "")</f>
        <v>5 Color Bags</v>
      </c>
      <c r="D690" s="4" t="str">
        <f>IF(Registered!AS1630&gt;0,(IF(Registered!AS1630=1,Registered!AS1630&amp;" T-Shirt",Registered!AS1630&amp;" T-Shirts")), "")</f>
        <v/>
      </c>
      <c r="E690" s="4" t="str">
        <f>Registered!AT1630</f>
        <v/>
      </c>
      <c r="F690" s="4" t="str">
        <f>Registered!AU1630</f>
        <v/>
      </c>
      <c r="G690" s="4" t="str">
        <f>Registered!AW1630</f>
        <v/>
      </c>
      <c r="H690" s="4" t="str">
        <f>Registered!AX1630</f>
        <v/>
      </c>
      <c r="I690" s="4" t="str">
        <f>Registered!AY1630</f>
        <v/>
      </c>
    </row>
    <row r="691" spans="1:9" x14ac:dyDescent="0.25">
      <c r="A691" s="4" t="str">
        <f>Registered!B1631</f>
        <v>McKinnon</v>
      </c>
      <c r="B691" s="4" t="str">
        <f>Registered!A1631</f>
        <v>Deja</v>
      </c>
      <c r="C691" s="4" t="str">
        <f>IF(Registered!AR1631&gt;0,Registered!AR1631&amp;" Color Bags", "")</f>
        <v>10 Color Bags</v>
      </c>
      <c r="D691" s="4" t="str">
        <f>IF(Registered!AS1631&gt;0,(IF(Registered!AS1631=1,Registered!AS1631&amp;" T-Shirt",Registered!AS1631&amp;" T-Shirts")), "")</f>
        <v/>
      </c>
      <c r="E691" s="4" t="str">
        <f>Registered!AT1631</f>
        <v/>
      </c>
      <c r="F691" s="4" t="str">
        <f>Registered!AU1631</f>
        <v/>
      </c>
      <c r="G691" s="4" t="str">
        <f>Registered!AW1631</f>
        <v/>
      </c>
      <c r="H691" s="4" t="str">
        <f>Registered!AX1631</f>
        <v/>
      </c>
      <c r="I691" s="4" t="str">
        <f>Registered!AY1631</f>
        <v/>
      </c>
    </row>
    <row r="692" spans="1:9" x14ac:dyDescent="0.25">
      <c r="A692" s="4" t="str">
        <f>Registered!B1632</f>
        <v>McKinnon</v>
      </c>
      <c r="B692" s="4" t="str">
        <f>Registered!A1632</f>
        <v>Todd</v>
      </c>
      <c r="C692" s="4" t="str">
        <f>IF(Registered!AR1632&gt;0,Registered!AR1632&amp;" Color Bags", "")</f>
        <v>10 Color Bags</v>
      </c>
      <c r="D692" s="4" t="str">
        <f>IF(Registered!AS1632&gt;0,(IF(Registered!AS1632=1,Registered!AS1632&amp;" T-Shirt",Registered!AS1632&amp;" T-Shirts")), "")</f>
        <v/>
      </c>
      <c r="E692" s="4" t="str">
        <f>Registered!AT1632</f>
        <v/>
      </c>
      <c r="F692" s="4" t="str">
        <f>Registered!AU1632</f>
        <v/>
      </c>
      <c r="G692" s="4" t="str">
        <f>Registered!AW1632</f>
        <v/>
      </c>
      <c r="H692" s="4" t="str">
        <f>Registered!AX1632</f>
        <v/>
      </c>
      <c r="I692" s="4" t="str">
        <f>Registered!AY1632</f>
        <v>1 DustMask</v>
      </c>
    </row>
    <row r="693" spans="1:9" x14ac:dyDescent="0.25">
      <c r="A693" s="4" t="str">
        <f>Registered!B1633</f>
        <v>McLean</v>
      </c>
      <c r="B693" s="4" t="str">
        <f>Registered!A1633</f>
        <v>Mallory</v>
      </c>
      <c r="C693" s="4" t="str">
        <f>IF(Registered!AR1633&gt;0,Registered!AR1633&amp;" Color Bags", "")</f>
        <v>15 Color Bags</v>
      </c>
      <c r="D693" s="4" t="str">
        <f>IF(Registered!AS1633&gt;0,(IF(Registered!AS1633=1,Registered!AS1633&amp;" T-Shirt",Registered!AS1633&amp;" T-Shirts")), "")</f>
        <v>1 T-Shirt</v>
      </c>
      <c r="E693" s="4" t="str">
        <f>Registered!AT1633</f>
        <v>medium</v>
      </c>
      <c r="F693" s="4" t="str">
        <f>Registered!AU1633</f>
        <v/>
      </c>
      <c r="G693" s="4" t="str">
        <f>Registered!AW1633</f>
        <v/>
      </c>
      <c r="H693" s="4" t="str">
        <f>Registered!AX1633</f>
        <v/>
      </c>
      <c r="I693" s="4" t="str">
        <f>Registered!AY1633</f>
        <v/>
      </c>
    </row>
    <row r="694" spans="1:9" x14ac:dyDescent="0.25">
      <c r="A694" s="4" t="str">
        <f>Registered!B1637</f>
        <v>McNeil</v>
      </c>
      <c r="B694" s="4" t="str">
        <f>Registered!A1637</f>
        <v>Cinnamon</v>
      </c>
      <c r="C694" s="4" t="str">
        <f>IF(Registered!AR1637&gt;0,Registered!AR1637&amp;" Color Bags", "")</f>
        <v>20 Color Bags</v>
      </c>
      <c r="D694" s="4" t="str">
        <f>IF(Registered!AS1637&gt;0,(IF(Registered!AS1637=1,Registered!AS1637&amp;" T-Shirt",Registered!AS1637&amp;" T-Shirts")), "")</f>
        <v/>
      </c>
      <c r="E694" s="4" t="str">
        <f>Registered!AT1637</f>
        <v/>
      </c>
      <c r="F694" s="4" t="str">
        <f>Registered!AU1637</f>
        <v/>
      </c>
      <c r="G694" s="4" t="str">
        <f>Registered!AW1637</f>
        <v/>
      </c>
      <c r="H694" s="4" t="str">
        <f>Registered!AX1637</f>
        <v/>
      </c>
      <c r="I694" s="4" t="str">
        <f>Registered!AY1637</f>
        <v/>
      </c>
    </row>
    <row r="695" spans="1:9" x14ac:dyDescent="0.25">
      <c r="A695" s="4" t="str">
        <f>Registered!B1638</f>
        <v>McQueen</v>
      </c>
      <c r="B695" s="4" t="str">
        <f>Registered!A1638</f>
        <v>Alisabeth</v>
      </c>
      <c r="C695" s="4" t="str">
        <f>IF(Registered!AR1638&gt;0,Registered!AR1638&amp;" Color Bags", "")</f>
        <v>5 Color Bags</v>
      </c>
      <c r="D695" s="4" t="str">
        <f>IF(Registered!AS1638&gt;0,(IF(Registered!AS1638=1,Registered!AS1638&amp;" T-Shirt",Registered!AS1638&amp;" T-Shirts")), "")</f>
        <v/>
      </c>
      <c r="E695" s="4" t="str">
        <f>Registered!AT1638</f>
        <v/>
      </c>
      <c r="F695" s="4" t="str">
        <f>Registered!AU1638</f>
        <v/>
      </c>
      <c r="G695" s="4" t="str">
        <f>Registered!AW1638</f>
        <v/>
      </c>
      <c r="H695" s="4" t="str">
        <f>Registered!AX1638</f>
        <v/>
      </c>
      <c r="I695" s="4" t="str">
        <f>Registered!AY1638</f>
        <v/>
      </c>
    </row>
    <row r="696" spans="1:9" x14ac:dyDescent="0.25">
      <c r="A696" s="4" t="str">
        <f>Registered!B1640</f>
        <v>Meads</v>
      </c>
      <c r="B696" s="4" t="str">
        <f>Registered!A1640</f>
        <v>Stefanie</v>
      </c>
      <c r="C696" s="4" t="str">
        <f>IF(Registered!AR1640&gt;0,Registered!AR1640&amp;" Color Bags", "")</f>
        <v>5 Color Bags</v>
      </c>
      <c r="D696" s="4" t="str">
        <f>IF(Registered!AS1640&gt;0,(IF(Registered!AS1640=1,Registered!AS1640&amp;" T-Shirt",Registered!AS1640&amp;" T-Shirts")), "")</f>
        <v/>
      </c>
      <c r="E696" s="4" t="str">
        <f>Registered!AT1640</f>
        <v/>
      </c>
      <c r="F696" s="4" t="str">
        <f>Registered!AU1640</f>
        <v/>
      </c>
      <c r="G696" s="4" t="str">
        <f>Registered!AW1640</f>
        <v/>
      </c>
      <c r="H696" s="4" t="str">
        <f>Registered!AX1640</f>
        <v/>
      </c>
      <c r="I696" s="4" t="str">
        <f>Registered!AY1640</f>
        <v/>
      </c>
    </row>
    <row r="697" spans="1:9" x14ac:dyDescent="0.25">
      <c r="A697" s="4" t="str">
        <f>Registered!B2740</f>
        <v>Meads</v>
      </c>
      <c r="B697" s="4" t="str">
        <f>Registered!A2740</f>
        <v>Trevor</v>
      </c>
      <c r="C697" s="4" t="str">
        <f>IF(Registered!AR2740&gt;0,Registered!AR2740&amp;" Color Bags", "")</f>
        <v>5 Color Bags</v>
      </c>
      <c r="D697" s="4" t="str">
        <f>IF(Registered!AS2740&gt;0,(IF(Registered!AS2740=1,Registered!AS2740&amp;" T-Shirt",Registered!AS2740&amp;" T-Shirts")), "")</f>
        <v/>
      </c>
      <c r="E697" s="4" t="str">
        <f>Registered!AT2740</f>
        <v/>
      </c>
      <c r="F697" s="4" t="str">
        <f>Registered!AU2740</f>
        <v/>
      </c>
      <c r="G697" s="4" t="str">
        <f>Registered!AW2740</f>
        <v/>
      </c>
      <c r="H697" s="4" t="str">
        <f>Registered!AX2740</f>
        <v/>
      </c>
      <c r="I697" s="4" t="str">
        <f>Registered!AY2740</f>
        <v/>
      </c>
    </row>
    <row r="698" spans="1:9" x14ac:dyDescent="0.25">
      <c r="A698" s="4" t="str">
        <f>Registered!B1642</f>
        <v>Mears</v>
      </c>
      <c r="B698" s="4" t="str">
        <f>Registered!A1642</f>
        <v>Shelby</v>
      </c>
      <c r="C698" s="4" t="str">
        <f>IF(Registered!AR1642&gt;0,Registered!AR1642&amp;" Color Bags", "")</f>
        <v>5 Color Bags</v>
      </c>
      <c r="D698" s="4" t="str">
        <f>IF(Registered!AS1642&gt;0,(IF(Registered!AS1642=1,Registered!AS1642&amp;" T-Shirt",Registered!AS1642&amp;" T-Shirts")), "")</f>
        <v/>
      </c>
      <c r="E698" s="4" t="str">
        <f>Registered!AT1642</f>
        <v/>
      </c>
      <c r="F698" s="4" t="str">
        <f>Registered!AU1642</f>
        <v/>
      </c>
      <c r="G698" s="4" t="str">
        <f>Registered!AW1642</f>
        <v/>
      </c>
      <c r="H698" s="4" t="str">
        <f>Registered!AX1642</f>
        <v/>
      </c>
      <c r="I698" s="4" t="str">
        <f>Registered!AY1642</f>
        <v/>
      </c>
    </row>
    <row r="699" spans="1:9" x14ac:dyDescent="0.25">
      <c r="A699" s="4" t="str">
        <f>Registered!B1644</f>
        <v>Medley</v>
      </c>
      <c r="B699" s="4" t="str">
        <f>Registered!A1644</f>
        <v>Ben</v>
      </c>
      <c r="C699" s="4" t="str">
        <f>IF(Registered!AR1644&gt;0,Registered!AR1644&amp;" Color Bags", "")</f>
        <v>5 Color Bags</v>
      </c>
      <c r="D699" s="4" t="str">
        <f>IF(Registered!AS1644&gt;0,(IF(Registered!AS1644=1,Registered!AS1644&amp;" T-Shirt",Registered!AS1644&amp;" T-Shirts")), "")</f>
        <v/>
      </c>
      <c r="E699" s="4" t="str">
        <f>Registered!AT1644</f>
        <v/>
      </c>
      <c r="F699" s="4" t="str">
        <f>Registered!AU1644</f>
        <v/>
      </c>
      <c r="G699" s="4" t="str">
        <f>Registered!AW1644</f>
        <v/>
      </c>
      <c r="H699" s="4" t="str">
        <f>Registered!AX1644</f>
        <v/>
      </c>
      <c r="I699" s="4" t="str">
        <f>Registered!AY1644</f>
        <v/>
      </c>
    </row>
    <row r="700" spans="1:9" x14ac:dyDescent="0.25">
      <c r="A700" s="4" t="str">
        <f>Registered!B1645</f>
        <v>Meeks</v>
      </c>
      <c r="B700" s="4" t="str">
        <f>Registered!A1645</f>
        <v>Lang</v>
      </c>
      <c r="C700" s="4" t="str">
        <f>IF(Registered!AR1645&gt;0,Registered!AR1645&amp;" Color Bags", "")</f>
        <v>10 Color Bags</v>
      </c>
      <c r="D700" s="4" t="str">
        <f>IF(Registered!AS1645&gt;0,(IF(Registered!AS1645=1,Registered!AS1645&amp;" T-Shirt",Registered!AS1645&amp;" T-Shirts")), "")</f>
        <v/>
      </c>
      <c r="E700" s="4" t="str">
        <f>Registered!AT1645</f>
        <v/>
      </c>
      <c r="F700" s="4" t="str">
        <f>Registered!AU1645</f>
        <v/>
      </c>
      <c r="G700" s="4" t="str">
        <f>Registered!AW1645</f>
        <v/>
      </c>
      <c r="H700" s="4" t="str">
        <f>Registered!AX1645</f>
        <v/>
      </c>
      <c r="I700" s="4" t="str">
        <f>Registered!AY1645</f>
        <v/>
      </c>
    </row>
    <row r="701" spans="1:9" x14ac:dyDescent="0.25">
      <c r="A701" s="4" t="str">
        <f>Registered!B1646</f>
        <v>Meikle</v>
      </c>
      <c r="B701" s="4" t="str">
        <f>Registered!A1646</f>
        <v>Tammy</v>
      </c>
      <c r="C701" s="4" t="str">
        <f>IF(Registered!AR1646&gt;0,Registered!AR1646&amp;" Color Bags", "")</f>
        <v>10 Color Bags</v>
      </c>
      <c r="D701" s="4" t="str">
        <f>IF(Registered!AS1646&gt;0,(IF(Registered!AS1646=1,Registered!AS1646&amp;" T-Shirt",Registered!AS1646&amp;" T-Shirts")), "")</f>
        <v/>
      </c>
      <c r="E701" s="4" t="str">
        <f>Registered!AT1646</f>
        <v/>
      </c>
      <c r="F701" s="4" t="str">
        <f>Registered!AU1646</f>
        <v/>
      </c>
      <c r="G701" s="4" t="str">
        <f>Registered!AW1646</f>
        <v/>
      </c>
      <c r="H701" s="4" t="str">
        <f>Registered!AX1646</f>
        <v/>
      </c>
      <c r="I701" s="4" t="str">
        <f>Registered!AY1646</f>
        <v/>
      </c>
    </row>
    <row r="702" spans="1:9" x14ac:dyDescent="0.25">
      <c r="A702" s="4" t="str">
        <f>Registered!B1647</f>
        <v>Meldrum</v>
      </c>
      <c r="B702" s="4" t="str">
        <f>Registered!A1647</f>
        <v>Kaitlyn</v>
      </c>
      <c r="C702" s="4" t="str">
        <f>IF(Registered!AR1647&gt;0,Registered!AR1647&amp;" Color Bags", "")</f>
        <v>5 Color Bags</v>
      </c>
      <c r="D702" s="4" t="str">
        <f>IF(Registered!AS1647&gt;0,(IF(Registered!AS1647=1,Registered!AS1647&amp;" T-Shirt",Registered!AS1647&amp;" T-Shirts")), "")</f>
        <v/>
      </c>
      <c r="E702" s="4" t="str">
        <f>Registered!AT1647</f>
        <v/>
      </c>
      <c r="F702" s="4" t="str">
        <f>Registered!AU1647</f>
        <v/>
      </c>
      <c r="G702" s="4" t="str">
        <f>Registered!AW1647</f>
        <v>1 Meal</v>
      </c>
      <c r="H702" s="4" t="str">
        <f>Registered!AX1647</f>
        <v/>
      </c>
      <c r="I702" s="4" t="str">
        <f>Registered!AY1647</f>
        <v/>
      </c>
    </row>
    <row r="703" spans="1:9" x14ac:dyDescent="0.25">
      <c r="A703" s="4" t="str">
        <f>Registered!B1648</f>
        <v>Meldrum</v>
      </c>
      <c r="B703" s="4" t="str">
        <f>Registered!A1648</f>
        <v>Marian</v>
      </c>
      <c r="C703" s="4" t="str">
        <f>IF(Registered!AR1648&gt;0,Registered!AR1648&amp;" Color Bags", "")</f>
        <v>5 Color Bags</v>
      </c>
      <c r="D703" s="4" t="str">
        <f>IF(Registered!AS1648&gt;0,(IF(Registered!AS1648=1,Registered!AS1648&amp;" T-Shirt",Registered!AS1648&amp;" T-Shirts")), "")</f>
        <v/>
      </c>
      <c r="E703" s="4" t="str">
        <f>Registered!AT1648</f>
        <v/>
      </c>
      <c r="F703" s="4" t="str">
        <f>Registered!AU1648</f>
        <v/>
      </c>
      <c r="G703" s="4" t="str">
        <f>Registered!AW1648</f>
        <v>1 Meal</v>
      </c>
      <c r="H703" s="4" t="str">
        <f>Registered!AX1648</f>
        <v/>
      </c>
      <c r="I703" s="4" t="str">
        <f>Registered!AY1648</f>
        <v>1 DustMask</v>
      </c>
    </row>
    <row r="704" spans="1:9" x14ac:dyDescent="0.25">
      <c r="A704" s="4" t="str">
        <f>Registered!B1649</f>
        <v>Meldrum</v>
      </c>
      <c r="B704" s="4" t="str">
        <f>Registered!A1649</f>
        <v>Melissa</v>
      </c>
      <c r="C704" s="4" t="str">
        <f>IF(Registered!AR1649&gt;0,Registered!AR1649&amp;" Color Bags", "")</f>
        <v>5 Color Bags</v>
      </c>
      <c r="D704" s="4" t="str">
        <f>IF(Registered!AS1649&gt;0,(IF(Registered!AS1649=1,Registered!AS1649&amp;" T-Shirt",Registered!AS1649&amp;" T-Shirts")), "")</f>
        <v>1 T-Shirt</v>
      </c>
      <c r="E704" s="4" t="str">
        <f>Registered!AT1649</f>
        <v>medium</v>
      </c>
      <c r="F704" s="4" t="str">
        <f>Registered!AU1649</f>
        <v/>
      </c>
      <c r="G704" s="4" t="str">
        <f>Registered!AW1649</f>
        <v>1 Meal</v>
      </c>
      <c r="H704" s="4" t="str">
        <f>Registered!AX1649</f>
        <v/>
      </c>
      <c r="I704" s="4" t="str">
        <f>Registered!AY1649</f>
        <v/>
      </c>
    </row>
    <row r="705" spans="1:9" x14ac:dyDescent="0.25">
      <c r="A705" s="4" t="str">
        <f>Registered!B1652</f>
        <v>Mendoza</v>
      </c>
      <c r="B705" s="4" t="str">
        <f>Registered!A1652</f>
        <v>Brianda</v>
      </c>
      <c r="C705" s="4" t="str">
        <f>IF(Registered!AR1652&gt;0,Registered!AR1652&amp;" Color Bags", "")</f>
        <v>10 Color Bags</v>
      </c>
      <c r="D705" s="4" t="str">
        <f>IF(Registered!AS1652&gt;0,(IF(Registered!AS1652=1,Registered!AS1652&amp;" T-Shirt",Registered!AS1652&amp;" T-Shirts")), "")</f>
        <v/>
      </c>
      <c r="E705" s="4" t="str">
        <f>Registered!AT1652</f>
        <v/>
      </c>
      <c r="F705" s="4" t="str">
        <f>Registered!AU1652</f>
        <v/>
      </c>
      <c r="G705" s="4" t="str">
        <f>Registered!AW1652</f>
        <v/>
      </c>
      <c r="H705" s="4" t="str">
        <f>Registered!AX1652</f>
        <v/>
      </c>
      <c r="I705" s="4" t="str">
        <f>Registered!AY1652</f>
        <v/>
      </c>
    </row>
    <row r="706" spans="1:9" x14ac:dyDescent="0.25">
      <c r="A706" s="4" t="str">
        <f>Registered!B1655</f>
        <v>Meng</v>
      </c>
      <c r="B706" s="4" t="str">
        <f>Registered!A1655</f>
        <v>Betty</v>
      </c>
      <c r="C706" s="4" t="str">
        <f>IF(Registered!AR1655&gt;0,Registered!AR1655&amp;" Color Bags", "")</f>
        <v>5 Color Bags</v>
      </c>
      <c r="D706" s="4" t="str">
        <f>IF(Registered!AS1655&gt;0,(IF(Registered!AS1655=1,Registered!AS1655&amp;" T-Shirt",Registered!AS1655&amp;" T-Shirts")), "")</f>
        <v>1 T-Shirt</v>
      </c>
      <c r="E706" s="4" t="str">
        <f>Registered!AT1655</f>
        <v>adult medium</v>
      </c>
      <c r="F706" s="4" t="str">
        <f>Registered!AU1655</f>
        <v>1 Bandana</v>
      </c>
      <c r="G706" s="4" t="str">
        <f>Registered!AW1655</f>
        <v>1 Meal</v>
      </c>
      <c r="H706" s="4" t="str">
        <f>Registered!AX1655</f>
        <v/>
      </c>
      <c r="I706" s="4" t="str">
        <f>Registered!AY1655</f>
        <v/>
      </c>
    </row>
    <row r="707" spans="1:9" x14ac:dyDescent="0.25">
      <c r="A707" s="4" t="str">
        <f>Registered!B1656</f>
        <v>Meng</v>
      </c>
      <c r="B707" s="4" t="str">
        <f>Registered!A1656</f>
        <v>Jonathon</v>
      </c>
      <c r="C707" s="4" t="str">
        <f>IF(Registered!AR1656&gt;0,Registered!AR1656&amp;" Color Bags", "")</f>
        <v>5 Color Bags</v>
      </c>
      <c r="D707" s="4" t="str">
        <f>IF(Registered!AS1656&gt;0,(IF(Registered!AS1656=1,Registered!AS1656&amp;" T-Shirt",Registered!AS1656&amp;" T-Shirts")), "")</f>
        <v/>
      </c>
      <c r="E707" s="4" t="str">
        <f>Registered!AT1656</f>
        <v/>
      </c>
      <c r="F707" s="4" t="str">
        <f>Registered!AU1656</f>
        <v/>
      </c>
      <c r="G707" s="4" t="str">
        <f>Registered!AW1656</f>
        <v/>
      </c>
      <c r="H707" s="4" t="str">
        <f>Registered!AX1656</f>
        <v/>
      </c>
      <c r="I707" s="4" t="str">
        <f>Registered!AY1656</f>
        <v/>
      </c>
    </row>
    <row r="708" spans="1:9" x14ac:dyDescent="0.25">
      <c r="A708" s="4" t="str">
        <f>Registered!B1658</f>
        <v>Mercier</v>
      </c>
      <c r="B708" s="4" t="str">
        <f>Registered!A1658</f>
        <v>Kyla</v>
      </c>
      <c r="C708" s="4" t="str">
        <f>IF(Registered!AR1658&gt;0,Registered!AR1658&amp;" Color Bags", "")</f>
        <v>5 Color Bags</v>
      </c>
      <c r="D708" s="4" t="str">
        <f>IF(Registered!AS1658&gt;0,(IF(Registered!AS1658=1,Registered!AS1658&amp;" T-Shirt",Registered!AS1658&amp;" T-Shirts")), "")</f>
        <v>1 T-Shirt</v>
      </c>
      <c r="E708" s="4" t="str">
        <f>Registered!AT1658</f>
        <v>Size Not Specified</v>
      </c>
      <c r="F708" s="4" t="str">
        <f>Registered!AU1658</f>
        <v/>
      </c>
      <c r="G708" s="4" t="str">
        <f>Registered!AW1658</f>
        <v>1 Meal</v>
      </c>
      <c r="H708" s="4" t="str">
        <f>Registered!AX1658</f>
        <v/>
      </c>
      <c r="I708" s="4" t="str">
        <f>Registered!AY1658</f>
        <v/>
      </c>
    </row>
    <row r="709" spans="1:9" x14ac:dyDescent="0.25">
      <c r="A709" s="4" t="str">
        <f>Registered!B1660</f>
        <v>Merrill</v>
      </c>
      <c r="B709" s="4" t="str">
        <f>Registered!A1660</f>
        <v>Hayden</v>
      </c>
      <c r="C709" s="4" t="str">
        <f>IF(Registered!AR1660&gt;0,Registered!AR1660&amp;" Color Bags", "")</f>
        <v>10 Color Bags</v>
      </c>
      <c r="D709" s="4" t="str">
        <f>IF(Registered!AS1660&gt;0,(IF(Registered!AS1660=1,Registered!AS1660&amp;" T-Shirt",Registered!AS1660&amp;" T-Shirts")), "")</f>
        <v>2 T-Shirts</v>
      </c>
      <c r="E709" s="4" t="str">
        <f>Registered!AT1660</f>
        <v>Medium and Small</v>
      </c>
      <c r="F709" s="4" t="str">
        <f>Registered!AU1660</f>
        <v/>
      </c>
      <c r="G709" s="4" t="str">
        <f>Registered!AW1660</f>
        <v>2 Meals</v>
      </c>
      <c r="H709" s="4" t="str">
        <f>Registered!AX1660</f>
        <v/>
      </c>
      <c r="I709" s="4" t="str">
        <f>Registered!AY1660</f>
        <v/>
      </c>
    </row>
    <row r="710" spans="1:9" x14ac:dyDescent="0.25">
      <c r="A710" s="4" t="str">
        <f>Registered!B1661</f>
        <v>Merrill</v>
      </c>
      <c r="B710" s="4" t="str">
        <f>Registered!A1661</f>
        <v>Jana</v>
      </c>
      <c r="C710" s="4" t="str">
        <f>IF(Registered!AR1661&gt;0,Registered!AR1661&amp;" Color Bags", "")</f>
        <v>5 Color Bags</v>
      </c>
      <c r="D710" s="4" t="str">
        <f>IF(Registered!AS1661&gt;0,(IF(Registered!AS1661=1,Registered!AS1661&amp;" T-Shirt",Registered!AS1661&amp;" T-Shirts")), "")</f>
        <v>1 T-Shirt</v>
      </c>
      <c r="E710" s="4" t="str">
        <f>Registered!AT1661</f>
        <v>Large</v>
      </c>
      <c r="F710" s="4" t="str">
        <f>Registered!AU1661</f>
        <v/>
      </c>
      <c r="G710" s="4" t="str">
        <f>Registered!AW1661</f>
        <v/>
      </c>
      <c r="H710" s="4" t="str">
        <f>Registered!AX1661</f>
        <v/>
      </c>
      <c r="I710" s="4" t="str">
        <f>Registered!AY1661</f>
        <v/>
      </c>
    </row>
    <row r="711" spans="1:9" x14ac:dyDescent="0.25">
      <c r="A711" s="4" t="str">
        <f>Registered!B1662</f>
        <v>Merry</v>
      </c>
      <c r="B711" s="4" t="str">
        <f>Registered!A1662</f>
        <v>Heather</v>
      </c>
      <c r="C711" s="4" t="str">
        <f>IF(Registered!AR1662&gt;0,Registered!AR1662&amp;" Color Bags", "")</f>
        <v>15 Color Bags</v>
      </c>
      <c r="D711" s="4" t="str">
        <f>IF(Registered!AS1662&gt;0,(IF(Registered!AS1662=1,Registered!AS1662&amp;" T-Shirt",Registered!AS1662&amp;" T-Shirts")), "")</f>
        <v/>
      </c>
      <c r="E711" s="4" t="str">
        <f>Registered!AT1662</f>
        <v/>
      </c>
      <c r="F711" s="4" t="str">
        <f>Registered!AU1662</f>
        <v/>
      </c>
      <c r="G711" s="4" t="str">
        <f>Registered!AW1662</f>
        <v/>
      </c>
      <c r="H711" s="4" t="str">
        <f>Registered!AX1662</f>
        <v/>
      </c>
      <c r="I711" s="4" t="str">
        <f>Registered!AY1662</f>
        <v/>
      </c>
    </row>
    <row r="712" spans="1:9" x14ac:dyDescent="0.25">
      <c r="A712" s="4" t="str">
        <f>Registered!B1663</f>
        <v>Meyer</v>
      </c>
      <c r="B712" s="4" t="str">
        <f>Registered!A1663</f>
        <v>Analee</v>
      </c>
      <c r="C712" s="4" t="str">
        <f>IF(Registered!AR1663&gt;0,Registered!AR1663&amp;" Color Bags", "")</f>
        <v>10 Color Bags</v>
      </c>
      <c r="D712" s="4" t="str">
        <f>IF(Registered!AS1663&gt;0,(IF(Registered!AS1663=1,Registered!AS1663&amp;" T-Shirt",Registered!AS1663&amp;" T-Shirts")), "")</f>
        <v>2 T-Shirts</v>
      </c>
      <c r="E712" s="4" t="str">
        <f>Registered!AT1663</f>
        <v>Large</v>
      </c>
      <c r="F712" s="4" t="str">
        <f>Registered!AU1663</f>
        <v/>
      </c>
      <c r="G712" s="4" t="str">
        <f>Registered!AW1663</f>
        <v/>
      </c>
      <c r="H712" s="4" t="str">
        <f>Registered!AX1663</f>
        <v/>
      </c>
      <c r="I712" s="4" t="str">
        <f>Registered!AY1663</f>
        <v/>
      </c>
    </row>
    <row r="713" spans="1:9" x14ac:dyDescent="0.25">
      <c r="A713" s="4" t="str">
        <f>Registered!B1665</f>
        <v>Midgley</v>
      </c>
      <c r="B713" s="4" t="str">
        <f>Registered!A1665</f>
        <v>Ashley</v>
      </c>
      <c r="C713" s="4" t="str">
        <f>IF(Registered!AR1665&gt;0,Registered!AR1665&amp;" Color Bags", "")</f>
        <v>5 Color Bags</v>
      </c>
      <c r="D713" s="4" t="str">
        <f>IF(Registered!AS1665&gt;0,(IF(Registered!AS1665=1,Registered!AS1665&amp;" T-Shirt",Registered!AS1665&amp;" T-Shirts")), "")</f>
        <v/>
      </c>
      <c r="E713" s="4" t="str">
        <f>Registered!AT1665</f>
        <v/>
      </c>
      <c r="F713" s="4" t="str">
        <f>Registered!AU1665</f>
        <v/>
      </c>
      <c r="G713" s="4" t="str">
        <f>Registered!AW1665</f>
        <v/>
      </c>
      <c r="H713" s="4" t="str">
        <f>Registered!AX1665</f>
        <v/>
      </c>
      <c r="I713" s="4" t="str">
        <f>Registered!AY1665</f>
        <v/>
      </c>
    </row>
    <row r="714" spans="1:9" x14ac:dyDescent="0.25">
      <c r="A714" s="4" t="str">
        <f>Registered!B1668</f>
        <v>Miller</v>
      </c>
      <c r="B714" s="4" t="str">
        <f>Registered!A1668</f>
        <v>Breanna</v>
      </c>
      <c r="C714" s="4" t="str">
        <f>IF(Registered!AR1668&gt;0,Registered!AR1668&amp;" Color Bags", "")</f>
        <v>10 Color Bags</v>
      </c>
      <c r="D714" s="4" t="str">
        <f>IF(Registered!AS1668&gt;0,(IF(Registered!AS1668=1,Registered!AS1668&amp;" T-Shirt",Registered!AS1668&amp;" T-Shirts")), "")</f>
        <v>3 T-Shirts</v>
      </c>
      <c r="E714" s="4" t="str">
        <f>Registered!AT1668</f>
        <v>3 Small</v>
      </c>
      <c r="F714" s="4" t="str">
        <f>Registered!AU1668</f>
        <v/>
      </c>
      <c r="G714" s="4" t="str">
        <f>Registered!AW1668</f>
        <v/>
      </c>
      <c r="H714" s="4" t="str">
        <f>Registered!AX1668</f>
        <v/>
      </c>
      <c r="I714" s="4" t="str">
        <f>Registered!AY1668</f>
        <v/>
      </c>
    </row>
    <row r="715" spans="1:9" x14ac:dyDescent="0.25">
      <c r="A715" s="4" t="str">
        <f>Registered!B1672</f>
        <v>Miller</v>
      </c>
      <c r="B715" s="4" t="str">
        <f>Registered!A1672</f>
        <v>Lindsey</v>
      </c>
      <c r="C715" s="4" t="str">
        <f>IF(Registered!AR1672&gt;0,Registered!AR1672&amp;" Color Bags", "")</f>
        <v>10 Color Bags</v>
      </c>
      <c r="D715" s="4" t="str">
        <f>IF(Registered!AS1672&gt;0,(IF(Registered!AS1672=1,Registered!AS1672&amp;" T-Shirt",Registered!AS1672&amp;" T-Shirts")), "")</f>
        <v/>
      </c>
      <c r="E715" s="4" t="str">
        <f>Registered!AT1672</f>
        <v/>
      </c>
      <c r="F715" s="4" t="str">
        <f>Registered!AU1672</f>
        <v/>
      </c>
      <c r="G715" s="4" t="str">
        <f>Registered!AW1672</f>
        <v/>
      </c>
      <c r="H715" s="4" t="str">
        <f>Registered!AX1672</f>
        <v/>
      </c>
      <c r="I715" s="4" t="str">
        <f>Registered!AY1672</f>
        <v/>
      </c>
    </row>
    <row r="716" spans="1:9" x14ac:dyDescent="0.25">
      <c r="A716" s="4" t="str">
        <f>Registered!B1674</f>
        <v>Miller</v>
      </c>
      <c r="B716" s="4" t="str">
        <f>Registered!A1674</f>
        <v>Ricaren</v>
      </c>
      <c r="C716" s="4" t="str">
        <f>IF(Registered!AR1674&gt;0,Registered!AR1674&amp;" Color Bags", "")</f>
        <v>20 Color Bags</v>
      </c>
      <c r="D716" s="4" t="str">
        <f>IF(Registered!AS1674&gt;0,(IF(Registered!AS1674=1,Registered!AS1674&amp;" T-Shirt",Registered!AS1674&amp;" T-Shirts")), "")</f>
        <v>4 T-Shirts</v>
      </c>
      <c r="E716" s="4" t="str">
        <f>Registered!AT1674</f>
        <v>1 adult large, 1 adult 3xl, 1 adult small, 1 medium kids (6x)</v>
      </c>
      <c r="F716" s="4" t="str">
        <f>Registered!AU1674</f>
        <v/>
      </c>
      <c r="G716" s="4" t="str">
        <f>Registered!AW1674</f>
        <v>2 Meals</v>
      </c>
      <c r="H716" s="4" t="str">
        <f>Registered!AX1674</f>
        <v/>
      </c>
      <c r="I716" s="4" t="str">
        <f>Registered!AY1674</f>
        <v/>
      </c>
    </row>
    <row r="717" spans="1:9" x14ac:dyDescent="0.25">
      <c r="A717" s="4" t="str">
        <f>Registered!B1669</f>
        <v>Miller</v>
      </c>
      <c r="B717" s="4" t="str">
        <f>Registered!A1669</f>
        <v>Clarissa</v>
      </c>
      <c r="C717" s="4" t="str">
        <f>IF(Registered!AR1669&gt;0,Registered!AR1669&amp;" Color Bags", "")</f>
        <v>5 Color Bags</v>
      </c>
      <c r="D717" s="4" t="str">
        <f>IF(Registered!AS1669&gt;0,(IF(Registered!AS1669=1,Registered!AS1669&amp;" T-Shirt",Registered!AS1669&amp;" T-Shirts")), "")</f>
        <v/>
      </c>
      <c r="E717" s="4" t="str">
        <f>Registered!AT1669</f>
        <v/>
      </c>
      <c r="F717" s="4" t="str">
        <f>Registered!AU1669</f>
        <v/>
      </c>
      <c r="G717" s="4" t="str">
        <f>Registered!AW1669</f>
        <v/>
      </c>
      <c r="H717" s="4" t="str">
        <f>Registered!AX1669</f>
        <v/>
      </c>
      <c r="I717" s="4" t="str">
        <f>Registered!AY1669</f>
        <v/>
      </c>
    </row>
    <row r="718" spans="1:9" x14ac:dyDescent="0.25">
      <c r="A718" s="4" t="str">
        <f>Registered!B1679</f>
        <v>Millet</v>
      </c>
      <c r="B718" s="4" t="str">
        <f>Registered!A1679</f>
        <v>Mackenzie</v>
      </c>
      <c r="C718" s="4" t="str">
        <f>IF(Registered!AR1679&gt;0,Registered!AR1679&amp;" Color Bags", "")</f>
        <v>5 Color Bags</v>
      </c>
      <c r="D718" s="4" t="str">
        <f>IF(Registered!AS1679&gt;0,(IF(Registered!AS1679=1,Registered!AS1679&amp;" T-Shirt",Registered!AS1679&amp;" T-Shirts")), "")</f>
        <v/>
      </c>
      <c r="E718" s="4" t="str">
        <f>Registered!AT1679</f>
        <v/>
      </c>
      <c r="F718" s="4" t="str">
        <f>Registered!AU1679</f>
        <v/>
      </c>
      <c r="G718" s="4" t="str">
        <f>Registered!AW1679</f>
        <v/>
      </c>
      <c r="H718" s="4" t="str">
        <f>Registered!AX1679</f>
        <v/>
      </c>
      <c r="I718" s="4" t="str">
        <f>Registered!AY1679</f>
        <v/>
      </c>
    </row>
    <row r="719" spans="1:9" x14ac:dyDescent="0.25">
      <c r="A719" s="4" t="str">
        <f>Registered!B1680</f>
        <v>Milligan</v>
      </c>
      <c r="B719" s="4" t="str">
        <f>Registered!A1680</f>
        <v>Jared</v>
      </c>
      <c r="C719" s="4" t="str">
        <f>IF(Registered!AR1680&gt;0,Registered!AR1680&amp;" Color Bags", "")</f>
        <v>25 Color Bags</v>
      </c>
      <c r="D719" s="4" t="str">
        <f>IF(Registered!AS1680&gt;0,(IF(Registered!AS1680=1,Registered!AS1680&amp;" T-Shirt",Registered!AS1680&amp;" T-Shirts")), "")</f>
        <v/>
      </c>
      <c r="E719" s="4" t="str">
        <f>Registered!AT1680</f>
        <v/>
      </c>
      <c r="F719" s="4" t="str">
        <f>Registered!AU1680</f>
        <v>5 Bandanas</v>
      </c>
      <c r="G719" s="4" t="str">
        <f>Registered!AW1680</f>
        <v/>
      </c>
      <c r="H719" s="4" t="str">
        <f>Registered!AX1680</f>
        <v/>
      </c>
      <c r="I719" s="4" t="str">
        <f>Registered!AY1680</f>
        <v/>
      </c>
    </row>
    <row r="720" spans="1:9" x14ac:dyDescent="0.25">
      <c r="A720" s="4" t="str">
        <f>Registered!B1681</f>
        <v>Mills</v>
      </c>
      <c r="B720" s="4" t="str">
        <f>Registered!A1681</f>
        <v>Lori</v>
      </c>
      <c r="C720" s="4" t="str">
        <f>IF(Registered!AR1681&gt;0,Registered!AR1681&amp;" Color Bags", "")</f>
        <v>10 Color Bags</v>
      </c>
      <c r="D720" s="4" t="str">
        <f>IF(Registered!AS1681&gt;0,(IF(Registered!AS1681=1,Registered!AS1681&amp;" T-Shirt",Registered!AS1681&amp;" T-Shirts")), "")</f>
        <v>2 T-Shirts</v>
      </c>
      <c r="E720" s="4" t="str">
        <f>Registered!AT1681</f>
        <v>Medium and XXLarge</v>
      </c>
      <c r="F720" s="4" t="str">
        <f>Registered!AU1681</f>
        <v/>
      </c>
      <c r="G720" s="4" t="str">
        <f>Registered!AW1681</f>
        <v/>
      </c>
      <c r="H720" s="4" t="str">
        <f>Registered!AX1681</f>
        <v/>
      </c>
      <c r="I720" s="4" t="str">
        <f>Registered!AY1681</f>
        <v/>
      </c>
    </row>
    <row r="721" spans="1:9" x14ac:dyDescent="0.25">
      <c r="A721" s="4" t="str">
        <f>Registered!B1683</f>
        <v>Minard</v>
      </c>
      <c r="B721" s="4" t="str">
        <f>Registered!A1683</f>
        <v>Lauren</v>
      </c>
      <c r="C721" s="4" t="str">
        <f>IF(Registered!AR1683&gt;0,Registered!AR1683&amp;" Color Bags", "")</f>
        <v>5 Color Bags</v>
      </c>
      <c r="D721" s="4" t="str">
        <f>IF(Registered!AS1683&gt;0,(IF(Registered!AS1683=1,Registered!AS1683&amp;" T-Shirt",Registered!AS1683&amp;" T-Shirts")), "")</f>
        <v/>
      </c>
      <c r="E721" s="4" t="str">
        <f>Registered!AT1683</f>
        <v/>
      </c>
      <c r="F721" s="4" t="str">
        <f>Registered!AU1683</f>
        <v/>
      </c>
      <c r="G721" s="4" t="str">
        <f>Registered!AW1683</f>
        <v/>
      </c>
      <c r="H721" s="4" t="str">
        <f>Registered!AX1683</f>
        <v/>
      </c>
      <c r="I721" s="4" t="str">
        <f>Registered!AY1683</f>
        <v/>
      </c>
    </row>
    <row r="722" spans="1:9" x14ac:dyDescent="0.25">
      <c r="A722" s="4" t="str">
        <f>Registered!B1686</f>
        <v>Minkel</v>
      </c>
      <c r="B722" s="4" t="str">
        <f>Registered!A1686</f>
        <v>Hanna</v>
      </c>
      <c r="C722" s="4" t="str">
        <f>IF(Registered!AR1686&gt;0,Registered!AR1686&amp;" Color Bags", "")</f>
        <v>5 Color Bags</v>
      </c>
      <c r="D722" s="4" t="str">
        <f>IF(Registered!AS1686&gt;0,(IF(Registered!AS1686=1,Registered!AS1686&amp;" T-Shirt",Registered!AS1686&amp;" T-Shirts")), "")</f>
        <v/>
      </c>
      <c r="E722" s="4" t="str">
        <f>Registered!AT1686</f>
        <v/>
      </c>
      <c r="F722" s="4" t="str">
        <f>Registered!AU1686</f>
        <v/>
      </c>
      <c r="G722" s="4" t="str">
        <f>Registered!AW1686</f>
        <v/>
      </c>
      <c r="H722" s="4" t="str">
        <f>Registered!AX1686</f>
        <v/>
      </c>
      <c r="I722" s="4" t="str">
        <f>Registered!AY1686</f>
        <v/>
      </c>
    </row>
    <row r="723" spans="1:9" x14ac:dyDescent="0.25">
      <c r="A723" s="4" t="str">
        <f>Registered!B1688</f>
        <v>Mirzaakbari</v>
      </c>
      <c r="B723" s="4" t="str">
        <f>Registered!A1688</f>
        <v>Kim</v>
      </c>
      <c r="C723" s="4" t="str">
        <f>IF(Registered!AR1688&gt;0,Registered!AR1688&amp;" Color Bags", "")</f>
        <v>10 Color Bags</v>
      </c>
      <c r="D723" s="4" t="str">
        <f>IF(Registered!AS1688&gt;0,(IF(Registered!AS1688=1,Registered!AS1688&amp;" T-Shirt",Registered!AS1688&amp;" T-Shirts")), "")</f>
        <v/>
      </c>
      <c r="E723" s="4" t="str">
        <f>Registered!AT1688</f>
        <v/>
      </c>
      <c r="F723" s="4" t="str">
        <f>Registered!AU1688</f>
        <v/>
      </c>
      <c r="G723" s="4" t="str">
        <f>Registered!AW1688</f>
        <v/>
      </c>
      <c r="H723" s="4" t="str">
        <f>Registered!AX1688</f>
        <v/>
      </c>
      <c r="I723" s="4" t="str">
        <f>Registered!AY1688</f>
        <v/>
      </c>
    </row>
    <row r="724" spans="1:9" x14ac:dyDescent="0.25">
      <c r="A724" s="4" t="str">
        <f>Registered!B1691</f>
        <v>Mokrzycki</v>
      </c>
      <c r="B724" s="4" t="str">
        <f>Registered!A1691</f>
        <v>Renae</v>
      </c>
      <c r="C724" s="4" t="str">
        <f>IF(Registered!AR1691&gt;0,Registered!AR1691&amp;" Color Bags", "")</f>
        <v>25 Color Bags</v>
      </c>
      <c r="D724" s="4" t="str">
        <f>IF(Registered!AS1691&gt;0,(IF(Registered!AS1691=1,Registered!AS1691&amp;" T-Shirt",Registered!AS1691&amp;" T-Shirts")), "")</f>
        <v>1 T-Shirt</v>
      </c>
      <c r="E724" s="4" t="str">
        <f>Registered!AT1691</f>
        <v>M</v>
      </c>
      <c r="F724" s="4" t="str">
        <f>Registered!AU1691</f>
        <v/>
      </c>
      <c r="G724" s="4" t="str">
        <f>Registered!AW1691</f>
        <v>1 Meal</v>
      </c>
      <c r="H724" s="4" t="str">
        <f>Registered!AX1691</f>
        <v/>
      </c>
      <c r="I724" s="4" t="str">
        <f>Registered!AY1691</f>
        <v/>
      </c>
    </row>
    <row r="725" spans="1:9" x14ac:dyDescent="0.25">
      <c r="A725" s="4" t="str">
        <f>Registered!B1692</f>
        <v>Moniak</v>
      </c>
      <c r="B725" s="4" t="str">
        <f>Registered!A1692</f>
        <v>Danielle</v>
      </c>
      <c r="C725" s="4" t="str">
        <f>IF(Registered!AR1692&gt;0,Registered!AR1692&amp;" Color Bags", "")</f>
        <v>5 Color Bags</v>
      </c>
      <c r="D725" s="4" t="str">
        <f>IF(Registered!AS1692&gt;0,(IF(Registered!AS1692=1,Registered!AS1692&amp;" T-Shirt",Registered!AS1692&amp;" T-Shirts")), "")</f>
        <v>1 T-Shirt</v>
      </c>
      <c r="E725" s="4" t="str">
        <f>Registered!AT1692</f>
        <v>m</v>
      </c>
      <c r="F725" s="4" t="str">
        <f>Registered!AU1692</f>
        <v/>
      </c>
      <c r="G725" s="4" t="str">
        <f>Registered!AW1692</f>
        <v>1 Meal</v>
      </c>
      <c r="H725" s="4" t="str">
        <f>Registered!AX1692</f>
        <v/>
      </c>
      <c r="I725" s="4" t="str">
        <f>Registered!AY1692</f>
        <v/>
      </c>
    </row>
    <row r="726" spans="1:9" x14ac:dyDescent="0.25">
      <c r="A726" s="4" t="str">
        <f>Registered!B1694</f>
        <v>Montes</v>
      </c>
      <c r="B726" s="4" t="str">
        <f>Registered!A1694</f>
        <v>Alejandra</v>
      </c>
      <c r="C726" s="4" t="str">
        <f>IF(Registered!AR1694&gt;0,Registered!AR1694&amp;" Color Bags", "")</f>
        <v>5 Color Bags</v>
      </c>
      <c r="D726" s="4" t="str">
        <f>IF(Registered!AS1694&gt;0,(IF(Registered!AS1694=1,Registered!AS1694&amp;" T-Shirt",Registered!AS1694&amp;" T-Shirts")), "")</f>
        <v/>
      </c>
      <c r="E726" s="4" t="str">
        <f>Registered!AT1694</f>
        <v/>
      </c>
      <c r="F726" s="4" t="str">
        <f>Registered!AU1694</f>
        <v/>
      </c>
      <c r="G726" s="4" t="str">
        <f>Registered!AW1694</f>
        <v/>
      </c>
      <c r="H726" s="4" t="str">
        <f>Registered!AX1694</f>
        <v/>
      </c>
      <c r="I726" s="4" t="str">
        <f>Registered!AY1694</f>
        <v/>
      </c>
    </row>
    <row r="727" spans="1:9" x14ac:dyDescent="0.25">
      <c r="A727" s="4" t="str">
        <f>Registered!B1700</f>
        <v>Moody</v>
      </c>
      <c r="B727" s="4" t="str">
        <f>Registered!A1700</f>
        <v>Leslie</v>
      </c>
      <c r="C727" s="4" t="str">
        <f>IF(Registered!AR1700&gt;0,Registered!AR1700&amp;" Color Bags", "")</f>
        <v>10 Color Bags</v>
      </c>
      <c r="D727" s="4" t="str">
        <f>IF(Registered!AS1700&gt;0,(IF(Registered!AS1700=1,Registered!AS1700&amp;" T-Shirt",Registered!AS1700&amp;" T-Shirts")), "")</f>
        <v/>
      </c>
      <c r="E727" s="4" t="str">
        <f>Registered!AT1700</f>
        <v/>
      </c>
      <c r="F727" s="4" t="str">
        <f>Registered!AU1700</f>
        <v/>
      </c>
      <c r="G727" s="4" t="str">
        <f>Registered!AW1700</f>
        <v/>
      </c>
      <c r="H727" s="4" t="str">
        <f>Registered!AX1700</f>
        <v/>
      </c>
      <c r="I727" s="4" t="str">
        <f>Registered!AY1700</f>
        <v/>
      </c>
    </row>
    <row r="728" spans="1:9" x14ac:dyDescent="0.25">
      <c r="A728" s="4" t="str">
        <f>Registered!B1701</f>
        <v>Mook</v>
      </c>
      <c r="B728" s="4" t="str">
        <f>Registered!A1701</f>
        <v>Trenton</v>
      </c>
      <c r="C728" s="4" t="str">
        <f>IF(Registered!AR1701&gt;0,Registered!AR1701&amp;" Color Bags", "")</f>
        <v>5 Color Bags</v>
      </c>
      <c r="D728" s="4" t="str">
        <f>IF(Registered!AS1701&gt;0,(IF(Registered!AS1701=1,Registered!AS1701&amp;" T-Shirt",Registered!AS1701&amp;" T-Shirts")), "")</f>
        <v/>
      </c>
      <c r="E728" s="4" t="str">
        <f>Registered!AT1701</f>
        <v/>
      </c>
      <c r="F728" s="4" t="str">
        <f>Registered!AU1701</f>
        <v>1 Bandana</v>
      </c>
      <c r="G728" s="4" t="str">
        <f>Registered!AW1701</f>
        <v/>
      </c>
      <c r="H728" s="4" t="str">
        <f>Registered!AX1701</f>
        <v/>
      </c>
      <c r="I728" s="4" t="str">
        <f>Registered!AY1701</f>
        <v/>
      </c>
    </row>
    <row r="729" spans="1:9" x14ac:dyDescent="0.25">
      <c r="A729" s="4" t="str">
        <f>Registered!B1702</f>
        <v>Mooney</v>
      </c>
      <c r="B729" s="4" t="str">
        <f>Registered!A1702</f>
        <v>Cathy</v>
      </c>
      <c r="C729" s="4" t="str">
        <f>IF(Registered!AR1702&gt;0,Registered!AR1702&amp;" Color Bags", "")</f>
        <v>5 Color Bags</v>
      </c>
      <c r="D729" s="4" t="str">
        <f>IF(Registered!AS1702&gt;0,(IF(Registered!AS1702=1,Registered!AS1702&amp;" T-Shirt",Registered!AS1702&amp;" T-Shirts")), "")</f>
        <v/>
      </c>
      <c r="E729" s="4" t="str">
        <f>Registered!AT1702</f>
        <v/>
      </c>
      <c r="F729" s="4" t="str">
        <f>Registered!AU1702</f>
        <v/>
      </c>
      <c r="G729" s="4" t="str">
        <f>Registered!AW1702</f>
        <v>1 Meal</v>
      </c>
      <c r="H729" s="4" t="str">
        <f>Registered!AX1702</f>
        <v/>
      </c>
      <c r="I729" s="4" t="str">
        <f>Registered!AY1702</f>
        <v/>
      </c>
    </row>
    <row r="730" spans="1:9" x14ac:dyDescent="0.25">
      <c r="A730" s="4" t="str">
        <f>Registered!B1706</f>
        <v>Moore</v>
      </c>
      <c r="B730" s="4" t="str">
        <f>Registered!A1706</f>
        <v>Marshall</v>
      </c>
      <c r="C730" s="4" t="str">
        <f>IF(Registered!AR1706&gt;0,Registered!AR1706&amp;" Color Bags", "")</f>
        <v>10 Color Bags</v>
      </c>
      <c r="D730" s="4" t="str">
        <f>IF(Registered!AS1706&gt;0,(IF(Registered!AS1706=1,Registered!AS1706&amp;" T-Shirt",Registered!AS1706&amp;" T-Shirts")), "")</f>
        <v/>
      </c>
      <c r="E730" s="4" t="str">
        <f>Registered!AT1706</f>
        <v/>
      </c>
      <c r="F730" s="4" t="str">
        <f>Registered!AU1706</f>
        <v/>
      </c>
      <c r="G730" s="4" t="str">
        <f>Registered!AW1706</f>
        <v/>
      </c>
      <c r="H730" s="4" t="str">
        <f>Registered!AX1706</f>
        <v/>
      </c>
      <c r="I730" s="4" t="str">
        <f>Registered!AY1706</f>
        <v/>
      </c>
    </row>
    <row r="731" spans="1:9" x14ac:dyDescent="0.25">
      <c r="A731" s="4" t="str">
        <f>Registered!B1703</f>
        <v>Moore</v>
      </c>
      <c r="B731" s="4" t="str">
        <f>Registered!A1703</f>
        <v>Bandi</v>
      </c>
      <c r="C731" s="4" t="str">
        <f>IF(Registered!AR1703&gt;0,Registered!AR1703&amp;" Color Bags", "")</f>
        <v>5 Color Bags</v>
      </c>
      <c r="D731" s="4" t="str">
        <f>IF(Registered!AS1703&gt;0,(IF(Registered!AS1703=1,Registered!AS1703&amp;" T-Shirt",Registered!AS1703&amp;" T-Shirts")), "")</f>
        <v/>
      </c>
      <c r="E731" s="4" t="str">
        <f>Registered!AT1703</f>
        <v/>
      </c>
      <c r="F731" s="4" t="str">
        <f>Registered!AU1703</f>
        <v/>
      </c>
      <c r="G731" s="4" t="str">
        <f>Registered!AW1703</f>
        <v/>
      </c>
      <c r="H731" s="4" t="str">
        <f>Registered!AX1703</f>
        <v/>
      </c>
      <c r="I731" s="4" t="str">
        <f>Registered!AY1703</f>
        <v/>
      </c>
    </row>
    <row r="732" spans="1:9" x14ac:dyDescent="0.25">
      <c r="A732" s="4" t="str">
        <f>Registered!B1707</f>
        <v>Mora</v>
      </c>
      <c r="B732" s="4" t="str">
        <f>Registered!A1707</f>
        <v>Lydia</v>
      </c>
      <c r="C732" s="4" t="str">
        <f>IF(Registered!AR1707&gt;0,Registered!AR1707&amp;" Color Bags", "")</f>
        <v>10 Color Bags</v>
      </c>
      <c r="D732" s="4" t="str">
        <f>IF(Registered!AS1707&gt;0,(IF(Registered!AS1707=1,Registered!AS1707&amp;" T-Shirt",Registered!AS1707&amp;" T-Shirts")), "")</f>
        <v/>
      </c>
      <c r="E732" s="4" t="str">
        <f>Registered!AT1707</f>
        <v/>
      </c>
      <c r="F732" s="4" t="str">
        <f>Registered!AU1707</f>
        <v/>
      </c>
      <c r="G732" s="4" t="str">
        <f>Registered!AW1707</f>
        <v/>
      </c>
      <c r="H732" s="4" t="str">
        <f>Registered!AX1707</f>
        <v/>
      </c>
      <c r="I732" s="4" t="str">
        <f>Registered!AY1707</f>
        <v/>
      </c>
    </row>
    <row r="733" spans="1:9" x14ac:dyDescent="0.25">
      <c r="A733" s="4" t="str">
        <f>Registered!B1711</f>
        <v>Morales</v>
      </c>
      <c r="B733" s="4" t="str">
        <f>Registered!A1711</f>
        <v>Marlenne</v>
      </c>
      <c r="C733" s="4" t="str">
        <f>IF(Registered!AR1711&gt;0,Registered!AR1711&amp;" Color Bags", "")</f>
        <v>10 Color Bags</v>
      </c>
      <c r="D733" s="4" t="str">
        <f>IF(Registered!AS1711&gt;0,(IF(Registered!AS1711=1,Registered!AS1711&amp;" T-Shirt",Registered!AS1711&amp;" T-Shirts")), "")</f>
        <v/>
      </c>
      <c r="E733" s="4" t="str">
        <f>Registered!AT1711</f>
        <v/>
      </c>
      <c r="F733" s="4" t="str">
        <f>Registered!AU1711</f>
        <v/>
      </c>
      <c r="G733" s="4" t="str">
        <f>Registered!AW1711</f>
        <v/>
      </c>
      <c r="H733" s="4" t="str">
        <f>Registered!AX1711</f>
        <v/>
      </c>
      <c r="I733" s="4" t="str">
        <f>Registered!AY1711</f>
        <v/>
      </c>
    </row>
    <row r="734" spans="1:9" x14ac:dyDescent="0.25">
      <c r="A734" s="4" t="str">
        <f>Registered!B1716</f>
        <v>Morris</v>
      </c>
      <c r="B734" s="4" t="str">
        <f>Registered!A1716</f>
        <v>Jenny</v>
      </c>
      <c r="C734" s="4" t="str">
        <f>IF(Registered!AR1716&gt;0,Registered!AR1716&amp;" Color Bags", "")</f>
        <v>20 Color Bags</v>
      </c>
      <c r="D734" s="4" t="str">
        <f>IF(Registered!AS1716&gt;0,(IF(Registered!AS1716=1,Registered!AS1716&amp;" T-Shirt",Registered!AS1716&amp;" T-Shirts")), "")</f>
        <v/>
      </c>
      <c r="E734" s="4" t="str">
        <f>Registered!AT1716</f>
        <v/>
      </c>
      <c r="F734" s="4" t="str">
        <f>Registered!AU1716</f>
        <v>2 Bandanas</v>
      </c>
      <c r="G734" s="4" t="str">
        <f>Registered!AW1716</f>
        <v/>
      </c>
      <c r="H734" s="4" t="str">
        <f>Registered!AX1716</f>
        <v/>
      </c>
      <c r="I734" s="4" t="str">
        <f>Registered!AY1716</f>
        <v/>
      </c>
    </row>
    <row r="735" spans="1:9" x14ac:dyDescent="0.25">
      <c r="A735" s="4" t="str">
        <f>Registered!B1718</f>
        <v>Mortensen</v>
      </c>
      <c r="B735" s="4" t="str">
        <f>Registered!A1718</f>
        <v>Brian</v>
      </c>
      <c r="C735" s="4" t="str">
        <f>IF(Registered!AR1718&gt;0,Registered!AR1718&amp;" Color Bags", "")</f>
        <v>10 Color Bags</v>
      </c>
      <c r="D735" s="4" t="str">
        <f>IF(Registered!AS1718&gt;0,(IF(Registered!AS1718=1,Registered!AS1718&amp;" T-Shirt",Registered!AS1718&amp;" T-Shirts")), "")</f>
        <v/>
      </c>
      <c r="E735" s="4" t="str">
        <f>Registered!AT1718</f>
        <v/>
      </c>
      <c r="F735" s="4" t="str">
        <f>Registered!AU1718</f>
        <v/>
      </c>
      <c r="G735" s="4" t="str">
        <f>Registered!AW1718</f>
        <v/>
      </c>
      <c r="H735" s="4" t="str">
        <f>Registered!AX1718</f>
        <v/>
      </c>
      <c r="I735" s="4" t="str">
        <f>Registered!AY1718</f>
        <v/>
      </c>
    </row>
    <row r="736" spans="1:9" x14ac:dyDescent="0.25">
      <c r="A736" s="4" t="str">
        <f>Registered!B1723</f>
        <v>Mosby</v>
      </c>
      <c r="B736" s="4" t="str">
        <f>Registered!A1723</f>
        <v>Lauren</v>
      </c>
      <c r="C736" s="4" t="str">
        <f>IF(Registered!AR1723&gt;0,Registered!AR1723&amp;" Color Bags", "")</f>
        <v>10 Color Bags</v>
      </c>
      <c r="D736" s="4" t="str">
        <f>IF(Registered!AS1723&gt;0,(IF(Registered!AS1723=1,Registered!AS1723&amp;" T-Shirt",Registered!AS1723&amp;" T-Shirts")), "")</f>
        <v/>
      </c>
      <c r="E736" s="4" t="str">
        <f>Registered!AT1723</f>
        <v/>
      </c>
      <c r="F736" s="4" t="str">
        <f>Registered!AU1723</f>
        <v/>
      </c>
      <c r="G736" s="4" t="str">
        <f>Registered!AW1723</f>
        <v/>
      </c>
      <c r="H736" s="4" t="str">
        <f>Registered!AX1723</f>
        <v/>
      </c>
      <c r="I736" s="4" t="str">
        <f>Registered!AY1723</f>
        <v/>
      </c>
    </row>
    <row r="737" spans="1:9" x14ac:dyDescent="0.25">
      <c r="A737" s="4" t="str">
        <f>Registered!B1726</f>
        <v>Muffler</v>
      </c>
      <c r="B737" s="4" t="str">
        <f>Registered!A1726</f>
        <v>Deanna</v>
      </c>
      <c r="C737" s="4" t="str">
        <f>IF(Registered!AR1726&gt;0,Registered!AR1726&amp;" Color Bags", "")</f>
        <v>10 Color Bags</v>
      </c>
      <c r="D737" s="4" t="str">
        <f>IF(Registered!AS1726&gt;0,(IF(Registered!AS1726=1,Registered!AS1726&amp;" T-Shirt",Registered!AS1726&amp;" T-Shirts")), "")</f>
        <v/>
      </c>
      <c r="E737" s="4" t="str">
        <f>Registered!AT1726</f>
        <v/>
      </c>
      <c r="F737" s="4" t="str">
        <f>Registered!AU1726</f>
        <v/>
      </c>
      <c r="G737" s="4" t="str">
        <f>Registered!AW1726</f>
        <v/>
      </c>
      <c r="H737" s="4" t="str">
        <f>Registered!AX1726</f>
        <v/>
      </c>
      <c r="I737" s="4" t="str">
        <f>Registered!AY1726</f>
        <v/>
      </c>
    </row>
    <row r="738" spans="1:9" x14ac:dyDescent="0.25">
      <c r="A738" s="4" t="str">
        <f>Registered!B1727</f>
        <v>Muir</v>
      </c>
      <c r="B738" s="4" t="str">
        <f>Registered!A1727</f>
        <v>Madi</v>
      </c>
      <c r="C738" s="4" t="str">
        <f>IF(Registered!AR1727&gt;0,Registered!AR1727&amp;" Color Bags", "")</f>
        <v>10 Color Bags</v>
      </c>
      <c r="D738" s="4" t="str">
        <f>IF(Registered!AS1727&gt;0,(IF(Registered!AS1727=1,Registered!AS1727&amp;" T-Shirt",Registered!AS1727&amp;" T-Shirts")), "")</f>
        <v/>
      </c>
      <c r="E738" s="4" t="str">
        <f>Registered!AT1727</f>
        <v/>
      </c>
      <c r="F738" s="4" t="str">
        <f>Registered!AU1727</f>
        <v/>
      </c>
      <c r="G738" s="4" t="str">
        <f>Registered!AW1727</f>
        <v/>
      </c>
      <c r="H738" s="4" t="str">
        <f>Registered!AX1727</f>
        <v/>
      </c>
      <c r="I738" s="4" t="str">
        <f>Registered!AY1727</f>
        <v/>
      </c>
    </row>
    <row r="739" spans="1:9" x14ac:dyDescent="0.25">
      <c r="A739" s="4" t="str">
        <f>Registered!B1728</f>
        <v>Mullins</v>
      </c>
      <c r="B739" s="4" t="str">
        <f>Registered!A1728</f>
        <v>Marissa</v>
      </c>
      <c r="C739" s="4" t="str">
        <f>IF(Registered!AR1728&gt;0,Registered!AR1728&amp;" Color Bags", "")</f>
        <v>10 Color Bags</v>
      </c>
      <c r="D739" s="4" t="str">
        <f>IF(Registered!AS1728&gt;0,(IF(Registered!AS1728=1,Registered!AS1728&amp;" T-Shirt",Registered!AS1728&amp;" T-Shirts")), "")</f>
        <v/>
      </c>
      <c r="E739" s="4" t="str">
        <f>Registered!AT1728</f>
        <v/>
      </c>
      <c r="F739" s="4" t="str">
        <f>Registered!AU1728</f>
        <v/>
      </c>
      <c r="G739" s="4" t="str">
        <f>Registered!AW1728</f>
        <v/>
      </c>
      <c r="H739" s="4" t="str">
        <f>Registered!AX1728</f>
        <v/>
      </c>
      <c r="I739" s="4" t="str">
        <f>Registered!AY1728</f>
        <v/>
      </c>
    </row>
    <row r="740" spans="1:9" x14ac:dyDescent="0.25">
      <c r="A740" s="4" t="str">
        <f>Registered!B1729</f>
        <v>Mulroy</v>
      </c>
      <c r="B740" s="4" t="str">
        <f>Registered!A1729</f>
        <v>Kelly</v>
      </c>
      <c r="C740" s="4" t="str">
        <f>IF(Registered!AR1729&gt;0,Registered!AR1729&amp;" Color Bags", "")</f>
        <v>5 Color Bags</v>
      </c>
      <c r="D740" s="4" t="str">
        <f>IF(Registered!AS1729&gt;0,(IF(Registered!AS1729=1,Registered!AS1729&amp;" T-Shirt",Registered!AS1729&amp;" T-Shirts")), "")</f>
        <v/>
      </c>
      <c r="E740" s="4" t="str">
        <f>Registered!AT1729</f>
        <v/>
      </c>
      <c r="F740" s="4" t="str">
        <f>Registered!AU1729</f>
        <v/>
      </c>
      <c r="G740" s="4" t="str">
        <f>Registered!AW1729</f>
        <v/>
      </c>
      <c r="H740" s="4" t="str">
        <f>Registered!AX1729</f>
        <v/>
      </c>
      <c r="I740" s="4" t="str">
        <f>Registered!AY1729</f>
        <v/>
      </c>
    </row>
    <row r="741" spans="1:9" x14ac:dyDescent="0.25">
      <c r="A741" s="4" t="str">
        <f>Registered!B1731</f>
        <v>Murata</v>
      </c>
      <c r="B741" s="4" t="str">
        <f>Registered!A1731</f>
        <v>Narumi</v>
      </c>
      <c r="C741" s="4" t="str">
        <f>IF(Registered!AR1731&gt;0,Registered!AR1731&amp;" Color Bags", "")</f>
        <v>5 Color Bags</v>
      </c>
      <c r="D741" s="4" t="str">
        <f>IF(Registered!AS1731&gt;0,(IF(Registered!AS1731=1,Registered!AS1731&amp;" T-Shirt",Registered!AS1731&amp;" T-Shirts")), "")</f>
        <v/>
      </c>
      <c r="E741" s="4" t="str">
        <f>Registered!AT1731</f>
        <v/>
      </c>
      <c r="F741" s="4" t="str">
        <f>Registered!AU1731</f>
        <v/>
      </c>
      <c r="G741" s="4" t="str">
        <f>Registered!AW1731</f>
        <v/>
      </c>
      <c r="H741" s="4" t="str">
        <f>Registered!AX1731</f>
        <v/>
      </c>
      <c r="I741" s="4" t="str">
        <f>Registered!AY1731</f>
        <v/>
      </c>
    </row>
    <row r="742" spans="1:9" x14ac:dyDescent="0.25">
      <c r="A742" s="4" t="str">
        <f>Registered!B1732</f>
        <v>Murdock</v>
      </c>
      <c r="B742" s="4" t="str">
        <f>Registered!A1732</f>
        <v>Kaylin</v>
      </c>
      <c r="C742" s="4" t="str">
        <f>IF(Registered!AR1732&gt;0,Registered!AR1732&amp;" Color Bags", "")</f>
        <v>10 Color Bags</v>
      </c>
      <c r="D742" s="4" t="str">
        <f>IF(Registered!AS1732&gt;0,(IF(Registered!AS1732=1,Registered!AS1732&amp;" T-Shirt",Registered!AS1732&amp;" T-Shirts")), "")</f>
        <v/>
      </c>
      <c r="E742" s="4" t="str">
        <f>Registered!AT1732</f>
        <v/>
      </c>
      <c r="F742" s="4" t="str">
        <f>Registered!AU1732</f>
        <v/>
      </c>
      <c r="G742" s="4" t="str">
        <f>Registered!AW1732</f>
        <v/>
      </c>
      <c r="H742" s="4" t="str">
        <f>Registered!AX1732</f>
        <v/>
      </c>
      <c r="I742" s="4" t="str">
        <f>Registered!AY1732</f>
        <v>1 DustMask</v>
      </c>
    </row>
    <row r="743" spans="1:9" x14ac:dyDescent="0.25">
      <c r="A743" s="4" t="str">
        <f>Registered!B1734</f>
        <v>Murphy</v>
      </c>
      <c r="B743" s="4" t="str">
        <f>Registered!A1734</f>
        <v>Brad</v>
      </c>
      <c r="C743" s="4" t="str">
        <f>IF(Registered!AR1734&gt;0,Registered!AR1734&amp;" Color Bags", "")</f>
        <v>10 Color Bags</v>
      </c>
      <c r="D743" s="4" t="str">
        <f>IF(Registered!AS1734&gt;0,(IF(Registered!AS1734=1,Registered!AS1734&amp;" T-Shirt",Registered!AS1734&amp;" T-Shirts")), "")</f>
        <v>2 T-Shirts</v>
      </c>
      <c r="E743" s="4" t="str">
        <f>Registered!AT1734</f>
        <v>xl on both</v>
      </c>
      <c r="F743" s="4" t="str">
        <f>Registered!AU1734</f>
        <v/>
      </c>
      <c r="G743" s="4" t="str">
        <f>Registered!AW1734</f>
        <v>2 Meals</v>
      </c>
      <c r="H743" s="4" t="str">
        <f>Registered!AX1734</f>
        <v/>
      </c>
      <c r="I743" s="4" t="str">
        <f>Registered!AY1734</f>
        <v/>
      </c>
    </row>
    <row r="744" spans="1:9" x14ac:dyDescent="0.25">
      <c r="A744" s="4" t="str">
        <f>Registered!B1738</f>
        <v>Nag</v>
      </c>
      <c r="B744" s="4" t="str">
        <f>Registered!A1738</f>
        <v>Subhadeep</v>
      </c>
      <c r="C744" s="4" t="str">
        <f>IF(Registered!AR1738&gt;0,Registered!AR1738&amp;" Color Bags", "")</f>
        <v>5 Color Bags</v>
      </c>
      <c r="D744" s="4" t="str">
        <f>IF(Registered!AS1738&gt;0,(IF(Registered!AS1738=1,Registered!AS1738&amp;" T-Shirt",Registered!AS1738&amp;" T-Shirts")), "")</f>
        <v/>
      </c>
      <c r="E744" s="4" t="str">
        <f>Registered!AT1738</f>
        <v/>
      </c>
      <c r="F744" s="4" t="str">
        <f>Registered!AU1738</f>
        <v/>
      </c>
      <c r="G744" s="4" t="str">
        <f>Registered!AW1738</f>
        <v>3 Meals</v>
      </c>
      <c r="H744" s="4" t="str">
        <f>Registered!AX1738</f>
        <v/>
      </c>
      <c r="I744" s="4" t="str">
        <f>Registered!AY1738</f>
        <v/>
      </c>
    </row>
    <row r="745" spans="1:9" x14ac:dyDescent="0.25">
      <c r="A745" s="4" t="str">
        <f>Registered!B1740</f>
        <v>Nakamura</v>
      </c>
      <c r="B745" s="4" t="str">
        <f>Registered!A1740</f>
        <v>Adrienne</v>
      </c>
      <c r="C745" s="4" t="str">
        <f>IF(Registered!AR1740&gt;0,Registered!AR1740&amp;" Color Bags", "")</f>
        <v>10 Color Bags</v>
      </c>
      <c r="D745" s="4" t="str">
        <f>IF(Registered!AS1740&gt;0,(IF(Registered!AS1740=1,Registered!AS1740&amp;" T-Shirt",Registered!AS1740&amp;" T-Shirts")), "")</f>
        <v/>
      </c>
      <c r="E745" s="4" t="str">
        <f>Registered!AT1740</f>
        <v/>
      </c>
      <c r="F745" s="4" t="str">
        <f>Registered!AU1740</f>
        <v/>
      </c>
      <c r="G745" s="4" t="str">
        <f>Registered!AW1740</f>
        <v/>
      </c>
      <c r="H745" s="4" t="str">
        <f>Registered!AX1740</f>
        <v/>
      </c>
      <c r="I745" s="4" t="str">
        <f>Registered!AY1740</f>
        <v/>
      </c>
    </row>
    <row r="746" spans="1:9" x14ac:dyDescent="0.25">
      <c r="A746" s="4" t="str">
        <f>Registered!B1741</f>
        <v>Napohaku</v>
      </c>
      <c r="B746" s="4" t="str">
        <f>Registered!A1741</f>
        <v>Hannah</v>
      </c>
      <c r="C746" s="4" t="str">
        <f>IF(Registered!AR1741&gt;0,Registered!AR1741&amp;" Color Bags", "")</f>
        <v>5 Color Bags</v>
      </c>
      <c r="D746" s="4" t="str">
        <f>IF(Registered!AS1741&gt;0,(IF(Registered!AS1741=1,Registered!AS1741&amp;" T-Shirt",Registered!AS1741&amp;" T-Shirts")), "")</f>
        <v>1 T-Shirt</v>
      </c>
      <c r="E746" s="4" t="str">
        <f>Registered!AT1741</f>
        <v>Size Not Specified</v>
      </c>
      <c r="F746" s="4" t="str">
        <f>Registered!AU1741</f>
        <v/>
      </c>
      <c r="G746" s="4" t="str">
        <f>Registered!AW1741</f>
        <v/>
      </c>
      <c r="H746" s="4" t="str">
        <f>Registered!AX1741</f>
        <v/>
      </c>
      <c r="I746" s="4" t="str">
        <f>Registered!AY1741</f>
        <v/>
      </c>
    </row>
    <row r="747" spans="1:9" x14ac:dyDescent="0.25">
      <c r="A747" s="4" t="str">
        <f>Registered!B1742</f>
        <v>Nash</v>
      </c>
      <c r="B747" s="4" t="str">
        <f>Registered!A1742</f>
        <v>Diana</v>
      </c>
      <c r="C747" s="4" t="str">
        <f>IF(Registered!AR1742&gt;0,Registered!AR1742&amp;" Color Bags", "")</f>
        <v>5 Color Bags</v>
      </c>
      <c r="D747" s="4" t="str">
        <f>IF(Registered!AS1742&gt;0,(IF(Registered!AS1742=1,Registered!AS1742&amp;" T-Shirt",Registered!AS1742&amp;" T-Shirts")), "")</f>
        <v/>
      </c>
      <c r="E747" s="4" t="str">
        <f>Registered!AT1742</f>
        <v/>
      </c>
      <c r="F747" s="4" t="str">
        <f>Registered!AU1742</f>
        <v/>
      </c>
      <c r="G747" s="4" t="str">
        <f>Registered!AW1742</f>
        <v/>
      </c>
      <c r="H747" s="4" t="str">
        <f>Registered!AX1742</f>
        <v/>
      </c>
      <c r="I747" s="4" t="str">
        <f>Registered!AY1742</f>
        <v/>
      </c>
    </row>
    <row r="748" spans="1:9" x14ac:dyDescent="0.25">
      <c r="A748" s="4" t="str">
        <f>Registered!B1743</f>
        <v>Natarajan</v>
      </c>
      <c r="B748" s="4" t="str">
        <f>Registered!A1743</f>
        <v>Shiv</v>
      </c>
      <c r="C748" s="4" t="str">
        <f>IF(Registered!AR1743&gt;0,Registered!AR1743&amp;" Color Bags", "")</f>
        <v>10 Color Bags</v>
      </c>
      <c r="D748" s="4" t="str">
        <f>IF(Registered!AS1743&gt;0,(IF(Registered!AS1743=1,Registered!AS1743&amp;" T-Shirt",Registered!AS1743&amp;" T-Shirts")), "")</f>
        <v/>
      </c>
      <c r="E748" s="4" t="str">
        <f>Registered!AT1743</f>
        <v/>
      </c>
      <c r="F748" s="4" t="str">
        <f>Registered!AU1743</f>
        <v/>
      </c>
      <c r="G748" s="4" t="str">
        <f>Registered!AW1743</f>
        <v/>
      </c>
      <c r="H748" s="4" t="str">
        <f>Registered!AX1743</f>
        <v/>
      </c>
      <c r="I748" s="4" t="str">
        <f>Registered!AY1743</f>
        <v/>
      </c>
    </row>
    <row r="749" spans="1:9" x14ac:dyDescent="0.25">
      <c r="A749" s="4" t="str">
        <f>Registered!B1745</f>
        <v>Naylor</v>
      </c>
      <c r="B749" s="4" t="str">
        <f>Registered!A1745</f>
        <v>Carleigh</v>
      </c>
      <c r="C749" s="4" t="str">
        <f>IF(Registered!AR1745&gt;0,Registered!AR1745&amp;" Color Bags", "")</f>
        <v>5 Color Bags</v>
      </c>
      <c r="D749" s="4" t="str">
        <f>IF(Registered!AS1745&gt;0,(IF(Registered!AS1745=1,Registered!AS1745&amp;" T-Shirt",Registered!AS1745&amp;" T-Shirts")), "")</f>
        <v/>
      </c>
      <c r="E749" s="4" t="str">
        <f>Registered!AT1745</f>
        <v/>
      </c>
      <c r="F749" s="4" t="str">
        <f>Registered!AU1745</f>
        <v/>
      </c>
      <c r="G749" s="4" t="str">
        <f>Registered!AW1745</f>
        <v/>
      </c>
      <c r="H749" s="4" t="str">
        <f>Registered!AX1745</f>
        <v/>
      </c>
      <c r="I749" s="4" t="str">
        <f>Registered!AY1745</f>
        <v/>
      </c>
    </row>
    <row r="750" spans="1:9" x14ac:dyDescent="0.25">
      <c r="A750" s="4" t="str">
        <f>Registered!B1747</f>
        <v>Naylor</v>
      </c>
      <c r="B750" s="4" t="str">
        <f>Registered!A1747</f>
        <v>Jordan</v>
      </c>
      <c r="C750" s="4" t="str">
        <f>IF(Registered!AR1747&gt;0,Registered!AR1747&amp;" Color Bags", "")</f>
        <v>5 Color Bags</v>
      </c>
      <c r="D750" s="4" t="str">
        <f>IF(Registered!AS1747&gt;0,(IF(Registered!AS1747=1,Registered!AS1747&amp;" T-Shirt",Registered!AS1747&amp;" T-Shirts")), "")</f>
        <v/>
      </c>
      <c r="E750" s="4" t="str">
        <f>Registered!AT1747</f>
        <v/>
      </c>
      <c r="F750" s="4" t="str">
        <f>Registered!AU1747</f>
        <v/>
      </c>
      <c r="G750" s="4" t="str">
        <f>Registered!AW1747</f>
        <v/>
      </c>
      <c r="H750" s="4" t="str">
        <f>Registered!AX1747</f>
        <v/>
      </c>
      <c r="I750" s="4" t="str">
        <f>Registered!AY1747</f>
        <v/>
      </c>
    </row>
    <row r="751" spans="1:9" x14ac:dyDescent="0.25">
      <c r="A751" s="4" t="str">
        <f>Registered!B1749</f>
        <v>Neal</v>
      </c>
      <c r="B751" s="4" t="str">
        <f>Registered!A1749</f>
        <v>Junie</v>
      </c>
      <c r="C751" s="4" t="str">
        <f>IF(Registered!AR1749&gt;0,Registered!AR1749&amp;" Color Bags", "")</f>
        <v>10 Color Bags</v>
      </c>
      <c r="D751" s="4" t="str">
        <f>IF(Registered!AS1749&gt;0,(IF(Registered!AS1749=1,Registered!AS1749&amp;" T-Shirt",Registered!AS1749&amp;" T-Shirts")), "")</f>
        <v/>
      </c>
      <c r="E751" s="4" t="str">
        <f>Registered!AT1749</f>
        <v/>
      </c>
      <c r="F751" s="4" t="str">
        <f>Registered!AU1749</f>
        <v/>
      </c>
      <c r="G751" s="4" t="str">
        <f>Registered!AW1749</f>
        <v/>
      </c>
      <c r="H751" s="4" t="str">
        <f>Registered!AX1749</f>
        <v/>
      </c>
      <c r="I751" s="4" t="str">
        <f>Registered!AY1749</f>
        <v/>
      </c>
    </row>
    <row r="752" spans="1:9" x14ac:dyDescent="0.25">
      <c r="A752" s="4" t="str">
        <f>Registered!B1755</f>
        <v>Neily</v>
      </c>
      <c r="B752" s="4" t="str">
        <f>Registered!A1755</f>
        <v>Loretta</v>
      </c>
      <c r="C752" s="4" t="str">
        <f>IF(Registered!AR1755&gt;0,Registered!AR1755&amp;" Color Bags", "")</f>
        <v>10 Color Bags</v>
      </c>
      <c r="D752" s="4" t="str">
        <f>IF(Registered!AS1755&gt;0,(IF(Registered!AS1755=1,Registered!AS1755&amp;" T-Shirt",Registered!AS1755&amp;" T-Shirts")), "")</f>
        <v>2 T-Shirts</v>
      </c>
      <c r="E752" s="4" t="str">
        <f>Registered!AT1755</f>
        <v>Small and mediam</v>
      </c>
      <c r="F752" s="4" t="str">
        <f>Registered!AU1755</f>
        <v>2 Bandanas</v>
      </c>
      <c r="G752" s="4" t="str">
        <f>Registered!AW1755</f>
        <v/>
      </c>
      <c r="H752" s="4" t="str">
        <f>Registered!AX1755</f>
        <v/>
      </c>
      <c r="I752" s="4" t="str">
        <f>Registered!AY1755</f>
        <v/>
      </c>
    </row>
    <row r="753" spans="1:9" x14ac:dyDescent="0.25">
      <c r="A753" s="4" t="str">
        <f>Registered!B1756</f>
        <v>Nejatifar</v>
      </c>
      <c r="B753" s="4" t="str">
        <f>Registered!A1756</f>
        <v>Mary</v>
      </c>
      <c r="C753" s="4" t="str">
        <f>IF(Registered!AR1756&gt;0,Registered!AR1756&amp;" Color Bags", "")</f>
        <v>10 Color Bags</v>
      </c>
      <c r="D753" s="4" t="str">
        <f>IF(Registered!AS1756&gt;0,(IF(Registered!AS1756=1,Registered!AS1756&amp;" T-Shirt",Registered!AS1756&amp;" T-Shirts")), "")</f>
        <v/>
      </c>
      <c r="E753" s="4" t="str">
        <f>Registered!AT1756</f>
        <v/>
      </c>
      <c r="F753" s="4" t="str">
        <f>Registered!AU1756</f>
        <v/>
      </c>
      <c r="G753" s="4" t="str">
        <f>Registered!AW1756</f>
        <v/>
      </c>
      <c r="H753" s="4" t="str">
        <f>Registered!AX1756</f>
        <v/>
      </c>
      <c r="I753" s="4" t="str">
        <f>Registered!AY1756</f>
        <v/>
      </c>
    </row>
    <row r="754" spans="1:9" x14ac:dyDescent="0.25">
      <c r="A754" s="4" t="str">
        <f>Registered!B1757</f>
        <v>Nelson</v>
      </c>
      <c r="B754" s="4" t="str">
        <f>Registered!A1757</f>
        <v>Alisa</v>
      </c>
      <c r="C754" s="4" t="str">
        <f>IF(Registered!AR1757&gt;0,Registered!AR1757&amp;" Color Bags", "")</f>
        <v/>
      </c>
      <c r="D754" s="4" t="str">
        <f>IF(Registered!AS1757&gt;0,(IF(Registered!AS1757=1,Registered!AS1757&amp;" T-Shirt",Registered!AS1757&amp;" T-Shirts")), "")</f>
        <v>1 T-Shirt</v>
      </c>
      <c r="E754" s="4" t="str">
        <f>Registered!AT1757</f>
        <v>small</v>
      </c>
      <c r="F754" s="4" t="str">
        <f>Registered!AU1757</f>
        <v/>
      </c>
      <c r="G754" s="4" t="str">
        <f>Registered!AW1757</f>
        <v/>
      </c>
      <c r="H754" s="4" t="str">
        <f>Registered!AX1757</f>
        <v/>
      </c>
      <c r="I754" s="4" t="str">
        <f>Registered!AY1757</f>
        <v/>
      </c>
    </row>
    <row r="755" spans="1:9" x14ac:dyDescent="0.25">
      <c r="A755" s="4" t="str">
        <f>Registered!B1769</f>
        <v>Nelson</v>
      </c>
      <c r="B755" s="4" t="str">
        <f>Registered!A1769</f>
        <v>Kinley</v>
      </c>
      <c r="C755" s="4" t="str">
        <f>IF(Registered!AR1769&gt;0,Registered!AR1769&amp;" Color Bags", "")</f>
        <v/>
      </c>
      <c r="D755" s="4" t="str">
        <f>IF(Registered!AS1769&gt;0,(IF(Registered!AS1769=1,Registered!AS1769&amp;" T-Shirt",Registered!AS1769&amp;" T-Shirts")), "")</f>
        <v>1 T-Shirt</v>
      </c>
      <c r="E755" s="4" t="str">
        <f>Registered!AT1769</f>
        <v>S</v>
      </c>
      <c r="F755" s="4" t="str">
        <f>Registered!AU1769</f>
        <v/>
      </c>
      <c r="G755" s="4" t="str">
        <f>Registered!AW1769</f>
        <v/>
      </c>
      <c r="H755" s="4" t="str">
        <f>Registered!AX1769</f>
        <v/>
      </c>
      <c r="I755" s="4" t="str">
        <f>Registered!AY1769</f>
        <v/>
      </c>
    </row>
    <row r="756" spans="1:9" x14ac:dyDescent="0.25">
      <c r="A756" s="4" t="str">
        <f>Registered!B1760</f>
        <v>Nelson</v>
      </c>
      <c r="B756" s="4" t="str">
        <f>Registered!A1760</f>
        <v>Chelsea</v>
      </c>
      <c r="C756" s="4" t="str">
        <f>IF(Registered!AR1760&gt;0,Registered!AR1760&amp;" Color Bags", "")</f>
        <v>10 Color Bags</v>
      </c>
      <c r="D756" s="4" t="str">
        <f>IF(Registered!AS1760&gt;0,(IF(Registered!AS1760=1,Registered!AS1760&amp;" T-Shirt",Registered!AS1760&amp;" T-Shirts")), "")</f>
        <v/>
      </c>
      <c r="E756" s="4" t="str">
        <f>Registered!AT1760</f>
        <v/>
      </c>
      <c r="F756" s="4" t="str">
        <f>Registered!AU1760</f>
        <v/>
      </c>
      <c r="G756" s="4" t="str">
        <f>Registered!AW1760</f>
        <v/>
      </c>
      <c r="H756" s="4" t="str">
        <f>Registered!AX1760</f>
        <v/>
      </c>
      <c r="I756" s="4" t="str">
        <f>Registered!AY1760</f>
        <v/>
      </c>
    </row>
    <row r="757" spans="1:9" x14ac:dyDescent="0.25">
      <c r="A757" s="4" t="str">
        <f>Registered!B1767</f>
        <v>Nelson</v>
      </c>
      <c r="B757" s="4" t="str">
        <f>Registered!A1767</f>
        <v>Katy</v>
      </c>
      <c r="C757" s="4" t="str">
        <f>IF(Registered!AR1767&gt;0,Registered!AR1767&amp;" Color Bags", "")</f>
        <v>10 Color Bags</v>
      </c>
      <c r="D757" s="4" t="str">
        <f>IF(Registered!AS1767&gt;0,(IF(Registered!AS1767=1,Registered!AS1767&amp;" T-Shirt",Registered!AS1767&amp;" T-Shirts")), "")</f>
        <v>2 T-Shirts</v>
      </c>
      <c r="E757" s="4" t="str">
        <f>Registered!AT1767</f>
        <v>1 Large, 1 medium</v>
      </c>
      <c r="F757" s="4" t="str">
        <f>Registered!AU1767</f>
        <v/>
      </c>
      <c r="G757" s="4" t="str">
        <f>Registered!AW1767</f>
        <v>2 Meals</v>
      </c>
      <c r="H757" s="4" t="str">
        <f>Registered!AX1767</f>
        <v/>
      </c>
      <c r="I757" s="4" t="str">
        <f>Registered!AY1767</f>
        <v/>
      </c>
    </row>
    <row r="758" spans="1:9" x14ac:dyDescent="0.25">
      <c r="A758" s="4" t="str">
        <f>Registered!B1770</f>
        <v>Nelson</v>
      </c>
      <c r="B758" s="4" t="str">
        <f>Registered!A1770</f>
        <v>Mike</v>
      </c>
      <c r="C758" s="4" t="str">
        <f>IF(Registered!AR1770&gt;0,Registered!AR1770&amp;" Color Bags", "")</f>
        <v>10 Color Bags</v>
      </c>
      <c r="D758" s="4" t="str">
        <f>IF(Registered!AS1770&gt;0,(IF(Registered!AS1770=1,Registered!AS1770&amp;" T-Shirt",Registered!AS1770&amp;" T-Shirts")), "")</f>
        <v>2 T-Shirts</v>
      </c>
      <c r="E758" s="4" t="str">
        <f>Registered!AT1770</f>
        <v>1 large and 1 medium</v>
      </c>
      <c r="F758" s="4" t="str">
        <f>Registered!AU1770</f>
        <v>2 Bandanas</v>
      </c>
      <c r="G758" s="4" t="str">
        <f>Registered!AW1770</f>
        <v/>
      </c>
      <c r="H758" s="4" t="str">
        <f>Registered!AX1770</f>
        <v/>
      </c>
      <c r="I758" s="4" t="str">
        <f>Registered!AY1770</f>
        <v/>
      </c>
    </row>
    <row r="759" spans="1:9" x14ac:dyDescent="0.25">
      <c r="A759" s="4" t="str">
        <f>Registered!B1763</f>
        <v>Nelson</v>
      </c>
      <c r="B759" s="4" t="str">
        <f>Registered!A1763</f>
        <v>Jake</v>
      </c>
      <c r="C759" s="4" t="str">
        <f>IF(Registered!AR1763&gt;0,Registered!AR1763&amp;" Color Bags", "")</f>
        <v>15 Color Bags</v>
      </c>
      <c r="D759" s="4" t="str">
        <f>IF(Registered!AS1763&gt;0,(IF(Registered!AS1763=1,Registered!AS1763&amp;" T-Shirt",Registered!AS1763&amp;" T-Shirts")), "")</f>
        <v/>
      </c>
      <c r="E759" s="4" t="str">
        <f>Registered!AT1763</f>
        <v/>
      </c>
      <c r="F759" s="4" t="str">
        <f>Registered!AU1763</f>
        <v/>
      </c>
      <c r="G759" s="4" t="str">
        <f>Registered!AW1763</f>
        <v/>
      </c>
      <c r="H759" s="4" t="str">
        <f>Registered!AX1763</f>
        <v/>
      </c>
      <c r="I759" s="4" t="str">
        <f>Registered!AY1763</f>
        <v/>
      </c>
    </row>
    <row r="760" spans="1:9" x14ac:dyDescent="0.25">
      <c r="A760" s="4" t="str">
        <f>Registered!B1761</f>
        <v>Nelson</v>
      </c>
      <c r="B760" s="4" t="str">
        <f>Registered!A1761</f>
        <v>Estelle</v>
      </c>
      <c r="C760" s="4" t="str">
        <f>IF(Registered!AR1761&gt;0,Registered!AR1761&amp;" Color Bags", "")</f>
        <v>25 Color Bags</v>
      </c>
      <c r="D760" s="4" t="str">
        <f>IF(Registered!AS1761&gt;0,(IF(Registered!AS1761=1,Registered!AS1761&amp;" T-Shirt",Registered!AS1761&amp;" T-Shirts")), "")</f>
        <v/>
      </c>
      <c r="E760" s="4" t="str">
        <f>Registered!AT1761</f>
        <v/>
      </c>
      <c r="F760" s="4" t="str">
        <f>Registered!AU1761</f>
        <v/>
      </c>
      <c r="G760" s="4" t="str">
        <f>Registered!AW1761</f>
        <v/>
      </c>
      <c r="H760" s="4" t="str">
        <f>Registered!AX1761</f>
        <v/>
      </c>
      <c r="I760" s="4" t="str">
        <f>Registered!AY1761</f>
        <v/>
      </c>
    </row>
    <row r="761" spans="1:9" x14ac:dyDescent="0.25">
      <c r="A761" s="4" t="str">
        <f>Registered!B1764</f>
        <v>Nelson</v>
      </c>
      <c r="B761" s="4" t="str">
        <f>Registered!A1764</f>
        <v>Jamie</v>
      </c>
      <c r="C761" s="4" t="str">
        <f>IF(Registered!AR1764&gt;0,Registered!AR1764&amp;" Color Bags", "")</f>
        <v>5 Color Bags</v>
      </c>
      <c r="D761" s="4" t="str">
        <f>IF(Registered!AS1764&gt;0,(IF(Registered!AS1764=1,Registered!AS1764&amp;" T-Shirt",Registered!AS1764&amp;" T-Shirts")), "")</f>
        <v/>
      </c>
      <c r="E761" s="4" t="str">
        <f>Registered!AT1764</f>
        <v/>
      </c>
      <c r="F761" s="4" t="str">
        <f>Registered!AU1764</f>
        <v/>
      </c>
      <c r="G761" s="4" t="str">
        <f>Registered!AW1764</f>
        <v/>
      </c>
      <c r="H761" s="4" t="str">
        <f>Registered!AX1764</f>
        <v/>
      </c>
      <c r="I761" s="4" t="str">
        <f>Registered!AY1764</f>
        <v/>
      </c>
    </row>
    <row r="762" spans="1:9" x14ac:dyDescent="0.25">
      <c r="A762" s="4" t="str">
        <f>Registered!B1772</f>
        <v>Nelson</v>
      </c>
      <c r="B762" s="4" t="str">
        <f>Registered!A1772</f>
        <v>Toby</v>
      </c>
      <c r="C762" s="4" t="str">
        <f>IF(Registered!AR1772&gt;0,Registered!AR1772&amp;" Color Bags", "")</f>
        <v>5 Color Bags</v>
      </c>
      <c r="D762" s="4" t="str">
        <f>IF(Registered!AS1772&gt;0,(IF(Registered!AS1772=1,Registered!AS1772&amp;" T-Shirt",Registered!AS1772&amp;" T-Shirts")), "")</f>
        <v>1 T-Shirt</v>
      </c>
      <c r="E762" s="4" t="str">
        <f>Registered!AT1772</f>
        <v>Large</v>
      </c>
      <c r="F762" s="4" t="str">
        <f>Registered!AU1772</f>
        <v/>
      </c>
      <c r="G762" s="4" t="str">
        <f>Registered!AW1772</f>
        <v>1 Meal</v>
      </c>
      <c r="H762" s="4" t="str">
        <f>Registered!AX1772</f>
        <v/>
      </c>
      <c r="I762" s="4" t="str">
        <f>Registered!AY1772</f>
        <v/>
      </c>
    </row>
    <row r="763" spans="1:9" x14ac:dyDescent="0.25">
      <c r="A763" s="4" t="str">
        <f>Registered!B1773</f>
        <v>Nesis</v>
      </c>
      <c r="B763" s="4" t="str">
        <f>Registered!A1773</f>
        <v>Sara</v>
      </c>
      <c r="C763" s="4" t="str">
        <f>IF(Registered!AR1773&gt;0,Registered!AR1773&amp;" Color Bags", "")</f>
        <v>10 Color Bags</v>
      </c>
      <c r="D763" s="4" t="str">
        <f>IF(Registered!AS1773&gt;0,(IF(Registered!AS1773=1,Registered!AS1773&amp;" T-Shirt",Registered!AS1773&amp;" T-Shirts")), "")</f>
        <v/>
      </c>
      <c r="E763" s="4" t="str">
        <f>Registered!AT1773</f>
        <v/>
      </c>
      <c r="F763" s="4" t="str">
        <f>Registered!AU1773</f>
        <v/>
      </c>
      <c r="G763" s="4" t="str">
        <f>Registered!AW1773</f>
        <v/>
      </c>
      <c r="H763" s="4" t="str">
        <f>Registered!AX1773</f>
        <v/>
      </c>
      <c r="I763" s="4" t="str">
        <f>Registered!AY1773</f>
        <v>1 DustMask</v>
      </c>
    </row>
    <row r="764" spans="1:9" x14ac:dyDescent="0.25">
      <c r="A764" s="4" t="str">
        <f>Registered!B1777</f>
        <v>Nevitt</v>
      </c>
      <c r="B764" s="4" t="str">
        <f>Registered!A1777</f>
        <v>Emily</v>
      </c>
      <c r="C764" s="4" t="str">
        <f>IF(Registered!AR1777&gt;0,Registered!AR1777&amp;" Color Bags", "")</f>
        <v>10 Color Bags</v>
      </c>
      <c r="D764" s="4" t="str">
        <f>IF(Registered!AS1777&gt;0,(IF(Registered!AS1777=1,Registered!AS1777&amp;" T-Shirt",Registered!AS1777&amp;" T-Shirts")), "")</f>
        <v/>
      </c>
      <c r="E764" s="4" t="str">
        <f>Registered!AT1777</f>
        <v/>
      </c>
      <c r="F764" s="4" t="str">
        <f>Registered!AU1777</f>
        <v/>
      </c>
      <c r="G764" s="4" t="str">
        <f>Registered!AW1777</f>
        <v/>
      </c>
      <c r="H764" s="4" t="str">
        <f>Registered!AX1777</f>
        <v>1 BG</v>
      </c>
      <c r="I764" s="4" t="str">
        <f>Registered!AY1777</f>
        <v/>
      </c>
    </row>
    <row r="765" spans="1:9" x14ac:dyDescent="0.25">
      <c r="A765" s="4" t="str">
        <f>Registered!B1778</f>
        <v>Newby</v>
      </c>
      <c r="B765" s="4" t="str">
        <f>Registered!A1778</f>
        <v>Honour</v>
      </c>
      <c r="C765" s="4" t="str">
        <f>IF(Registered!AR1778&gt;0,Registered!AR1778&amp;" Color Bags", "")</f>
        <v>10 Color Bags</v>
      </c>
      <c r="D765" s="4" t="str">
        <f>IF(Registered!AS1778&gt;0,(IF(Registered!AS1778=1,Registered!AS1778&amp;" T-Shirt",Registered!AS1778&amp;" T-Shirts")), "")</f>
        <v>2 T-Shirts</v>
      </c>
      <c r="E765" s="4" t="str">
        <f>Registered!AT1778</f>
        <v>Size Not Specified</v>
      </c>
      <c r="F765" s="4" t="str">
        <f>Registered!AU1778</f>
        <v/>
      </c>
      <c r="G765" s="4" t="str">
        <f>Registered!AW1778</f>
        <v/>
      </c>
      <c r="H765" s="4" t="str">
        <f>Registered!AX1778</f>
        <v/>
      </c>
      <c r="I765" s="4" t="str">
        <f>Registered!AY1778</f>
        <v/>
      </c>
    </row>
    <row r="766" spans="1:9" x14ac:dyDescent="0.25">
      <c r="A766" s="4" t="str">
        <f>Registered!B1780</f>
        <v>Newell</v>
      </c>
      <c r="B766" s="4" t="str">
        <f>Registered!A1780</f>
        <v>Telesa</v>
      </c>
      <c r="C766" s="4" t="str">
        <f>IF(Registered!AR1780&gt;0,Registered!AR1780&amp;" Color Bags", "")</f>
        <v>10 Color Bags</v>
      </c>
      <c r="D766" s="4" t="str">
        <f>IF(Registered!AS1780&gt;0,(IF(Registered!AS1780=1,Registered!AS1780&amp;" T-Shirt",Registered!AS1780&amp;" T-Shirts")), "")</f>
        <v/>
      </c>
      <c r="E766" s="4" t="str">
        <f>Registered!AT1780</f>
        <v/>
      </c>
      <c r="F766" s="4" t="str">
        <f>Registered!AU1780</f>
        <v/>
      </c>
      <c r="G766" s="4" t="str">
        <f>Registered!AW1780</f>
        <v/>
      </c>
      <c r="H766" s="4" t="str">
        <f>Registered!AX1780</f>
        <v/>
      </c>
      <c r="I766" s="4" t="str">
        <f>Registered!AY1780</f>
        <v/>
      </c>
    </row>
    <row r="767" spans="1:9" x14ac:dyDescent="0.25">
      <c r="A767" s="4" t="str">
        <f>Registered!B1782</f>
        <v>Nichols</v>
      </c>
      <c r="B767" s="4" t="str">
        <f>Registered!A1782</f>
        <v>Adam</v>
      </c>
      <c r="C767" s="4" t="str">
        <f>IF(Registered!AR1782&gt;0,Registered!AR1782&amp;" Color Bags", "")</f>
        <v>10 Color Bags</v>
      </c>
      <c r="D767" s="4" t="str">
        <f>IF(Registered!AS1782&gt;0,(IF(Registered!AS1782=1,Registered!AS1782&amp;" T-Shirt",Registered!AS1782&amp;" T-Shirts")), "")</f>
        <v/>
      </c>
      <c r="E767" s="4" t="str">
        <f>Registered!AT1782</f>
        <v/>
      </c>
      <c r="F767" s="4" t="str">
        <f>Registered!AU1782</f>
        <v/>
      </c>
      <c r="G767" s="4" t="str">
        <f>Registered!AW1782</f>
        <v/>
      </c>
      <c r="H767" s="4" t="str">
        <f>Registered!AX1782</f>
        <v/>
      </c>
      <c r="I767" s="4" t="str">
        <f>Registered!AY1782</f>
        <v/>
      </c>
    </row>
    <row r="768" spans="1:9" x14ac:dyDescent="0.25">
      <c r="A768" s="4" t="str">
        <f>Registered!B1783</f>
        <v>Nichols</v>
      </c>
      <c r="B768" s="4" t="str">
        <f>Registered!A1783</f>
        <v>Kayla</v>
      </c>
      <c r="C768" s="4" t="str">
        <f>IF(Registered!AR1783&gt;0,Registered!AR1783&amp;" Color Bags", "")</f>
        <v>15 Color Bags</v>
      </c>
      <c r="D768" s="4" t="str">
        <f>IF(Registered!AS1783&gt;0,(IF(Registered!AS1783=1,Registered!AS1783&amp;" T-Shirt",Registered!AS1783&amp;" T-Shirts")), "")</f>
        <v>3 T-Shirts</v>
      </c>
      <c r="E768" s="4" t="str">
        <f>Registered!AT1783</f>
        <v>Adult small, Adult large, Adult 3x</v>
      </c>
      <c r="F768" s="4" t="str">
        <f>Registered!AU1783</f>
        <v/>
      </c>
      <c r="G768" s="4" t="str">
        <f>Registered!AW1783</f>
        <v>3 Meals</v>
      </c>
      <c r="H768" s="4" t="str">
        <f>Registered!AX1783</f>
        <v/>
      </c>
      <c r="I768" s="4" t="str">
        <f>Registered!AY1783</f>
        <v/>
      </c>
    </row>
    <row r="769" spans="1:9" x14ac:dyDescent="0.25">
      <c r="A769" s="4" t="str">
        <f>Registered!B1790</f>
        <v>Nielsen</v>
      </c>
      <c r="B769" s="4" t="str">
        <f>Registered!A1790</f>
        <v>Kent</v>
      </c>
      <c r="C769" s="4" t="str">
        <f>IF(Registered!AR1790&gt;0,Registered!AR1790&amp;" Color Bags", "")</f>
        <v>10 Color Bags</v>
      </c>
      <c r="D769" s="4" t="str">
        <f>IF(Registered!AS1790&gt;0,(IF(Registered!AS1790=1,Registered!AS1790&amp;" T-Shirt",Registered!AS1790&amp;" T-Shirts")), "")</f>
        <v/>
      </c>
      <c r="E769" s="4" t="str">
        <f>Registered!AT1790</f>
        <v/>
      </c>
      <c r="F769" s="4" t="str">
        <f>Registered!AU1790</f>
        <v/>
      </c>
      <c r="G769" s="4" t="str">
        <f>Registered!AW1790</f>
        <v/>
      </c>
      <c r="H769" s="4" t="str">
        <f>Registered!AX1790</f>
        <v/>
      </c>
      <c r="I769" s="4" t="str">
        <f>Registered!AY1790</f>
        <v/>
      </c>
    </row>
    <row r="770" spans="1:9" x14ac:dyDescent="0.25">
      <c r="A770" s="4" t="str">
        <f>Registered!B1795</f>
        <v>Nielsen</v>
      </c>
      <c r="B770" s="4" t="str">
        <f>Registered!A1795</f>
        <v>Thomissa</v>
      </c>
      <c r="C770" s="4" t="str">
        <f>IF(Registered!AR1795&gt;0,Registered!AR1795&amp;" Color Bags", "")</f>
        <v>10 Color Bags</v>
      </c>
      <c r="D770" s="4" t="str">
        <f>IF(Registered!AS1795&gt;0,(IF(Registered!AS1795=1,Registered!AS1795&amp;" T-Shirt",Registered!AS1795&amp;" T-Shirts")), "")</f>
        <v>5 T-Shirts</v>
      </c>
      <c r="E770" s="4" t="str">
        <f>Registered!AT1795</f>
        <v>2M, 1L, 1XL, 1XXL</v>
      </c>
      <c r="F770" s="4" t="str">
        <f>Registered!AU1795</f>
        <v/>
      </c>
      <c r="G770" s="4" t="str">
        <f>Registered!AW1795</f>
        <v/>
      </c>
      <c r="H770" s="4" t="str">
        <f>Registered!AX1795</f>
        <v/>
      </c>
      <c r="I770" s="4" t="str">
        <f>Registered!AY1795</f>
        <v/>
      </c>
    </row>
    <row r="771" spans="1:9" x14ac:dyDescent="0.25">
      <c r="A771" s="4" t="str">
        <f>Registered!B1789</f>
        <v>Nielsen</v>
      </c>
      <c r="B771" s="4" t="str">
        <f>Registered!A1789</f>
        <v>Catherine</v>
      </c>
      <c r="C771" s="4" t="str">
        <f>IF(Registered!AR1789&gt;0,Registered!AR1789&amp;" Color Bags", "")</f>
        <v>15 Color Bags</v>
      </c>
      <c r="D771" s="4" t="str">
        <f>IF(Registered!AS1789&gt;0,(IF(Registered!AS1789=1,Registered!AS1789&amp;" T-Shirt",Registered!AS1789&amp;" T-Shirts")), "")</f>
        <v>3 T-Shirts</v>
      </c>
      <c r="E771" s="4" t="str">
        <f>Registered!AT1789</f>
        <v>Medium, Large and 2X Large</v>
      </c>
      <c r="F771" s="4" t="str">
        <f>Registered!AU1789</f>
        <v>3 Bandanas</v>
      </c>
      <c r="G771" s="4" t="str">
        <f>Registered!AW1789</f>
        <v>3 Meals</v>
      </c>
      <c r="H771" s="4" t="str">
        <f>Registered!AX1789</f>
        <v/>
      </c>
      <c r="I771" s="4" t="str">
        <f>Registered!AY1789</f>
        <v/>
      </c>
    </row>
    <row r="772" spans="1:9" x14ac:dyDescent="0.25">
      <c r="A772" s="4" t="str">
        <f>Registered!B1796</f>
        <v>Nielsen</v>
      </c>
      <c r="B772" s="4" t="str">
        <f>Registered!A1796</f>
        <v>Whitney</v>
      </c>
      <c r="C772" s="4" t="str">
        <f>IF(Registered!AR1796&gt;0,Registered!AR1796&amp;" Color Bags", "")</f>
        <v>20 Color Bags</v>
      </c>
      <c r="D772" s="4" t="str">
        <f>IF(Registered!AS1796&gt;0,(IF(Registered!AS1796=1,Registered!AS1796&amp;" T-Shirt",Registered!AS1796&amp;" T-Shirts")), "")</f>
        <v/>
      </c>
      <c r="E772" s="4" t="str">
        <f>Registered!AT1796</f>
        <v/>
      </c>
      <c r="F772" s="4" t="str">
        <f>Registered!AU1796</f>
        <v/>
      </c>
      <c r="G772" s="4" t="str">
        <f>Registered!AW1796</f>
        <v/>
      </c>
      <c r="H772" s="4" t="str">
        <f>Registered!AX1796</f>
        <v/>
      </c>
      <c r="I772" s="4" t="str">
        <f>Registered!AY1796</f>
        <v/>
      </c>
    </row>
    <row r="773" spans="1:9" x14ac:dyDescent="0.25">
      <c r="A773" s="4" t="str">
        <f>Registered!B1798</f>
        <v>Nieslon</v>
      </c>
      <c r="B773" s="4" t="str">
        <f>Registered!A1798</f>
        <v>Keira</v>
      </c>
      <c r="C773" s="4" t="str">
        <f>IF(Registered!AR1798&gt;0,Registered!AR1798&amp;" Color Bags", "")</f>
        <v>20 Color Bags</v>
      </c>
      <c r="D773" s="4" t="str">
        <f>IF(Registered!AS1798&gt;0,(IF(Registered!AS1798=1,Registered!AS1798&amp;" T-Shirt",Registered!AS1798&amp;" T-Shirts")), "")</f>
        <v/>
      </c>
      <c r="E773" s="4" t="str">
        <f>Registered!AT1798</f>
        <v/>
      </c>
      <c r="F773" s="4" t="str">
        <f>Registered!AU1798</f>
        <v/>
      </c>
      <c r="G773" s="4" t="str">
        <f>Registered!AW1798</f>
        <v>2 Meals</v>
      </c>
      <c r="H773" s="4" t="str">
        <f>Registered!AX1798</f>
        <v/>
      </c>
      <c r="I773" s="4" t="str">
        <f>Registered!AY1798</f>
        <v/>
      </c>
    </row>
    <row r="774" spans="1:9" x14ac:dyDescent="0.25">
      <c r="A774" s="4" t="str">
        <f>Registered!B1800</f>
        <v>Nippert</v>
      </c>
      <c r="B774" s="4" t="str">
        <f>Registered!A1800</f>
        <v>Angela</v>
      </c>
      <c r="C774" s="4" t="str">
        <f>IF(Registered!AR1800&gt;0,Registered!AR1800&amp;" Color Bags", "")</f>
        <v>30 Color Bags</v>
      </c>
      <c r="D774" s="4" t="str">
        <f>IF(Registered!AS1800&gt;0,(IF(Registered!AS1800=1,Registered!AS1800&amp;" T-Shirt",Registered!AS1800&amp;" T-Shirts")), "")</f>
        <v>4 T-Shirts</v>
      </c>
      <c r="E774" s="4" t="str">
        <f>Registered!AT1800</f>
        <v>(2) adult small   (2) adult 2x</v>
      </c>
      <c r="F774" s="4" t="str">
        <f>Registered!AU1800</f>
        <v/>
      </c>
      <c r="G774" s="4" t="str">
        <f>Registered!AW1800</f>
        <v>4 Meals</v>
      </c>
      <c r="H774" s="4" t="str">
        <f>Registered!AX1800</f>
        <v/>
      </c>
      <c r="I774" s="4" t="str">
        <f>Registered!AY1800</f>
        <v/>
      </c>
    </row>
    <row r="775" spans="1:9" x14ac:dyDescent="0.25">
      <c r="A775" s="4" t="str">
        <f>Registered!B1803</f>
        <v>Noguera</v>
      </c>
      <c r="B775" s="4" t="str">
        <f>Registered!A1803</f>
        <v>Amber</v>
      </c>
      <c r="C775" s="4" t="str">
        <f>IF(Registered!AR1803&gt;0,Registered!AR1803&amp;" Color Bags", "")</f>
        <v>10 Color Bags</v>
      </c>
      <c r="D775" s="4" t="str">
        <f>IF(Registered!AS1803&gt;0,(IF(Registered!AS1803=1,Registered!AS1803&amp;" T-Shirt",Registered!AS1803&amp;" T-Shirts")), "")</f>
        <v>2 T-Shirts</v>
      </c>
      <c r="E775" s="4" t="str">
        <f>Registered!AT1803</f>
        <v>Adult Extra Small or Youth Large</v>
      </c>
      <c r="F775" s="4" t="str">
        <f>Registered!AU1803</f>
        <v/>
      </c>
      <c r="G775" s="4" t="str">
        <f>Registered!AW1803</f>
        <v/>
      </c>
      <c r="H775" s="4" t="str">
        <f>Registered!AX1803</f>
        <v/>
      </c>
      <c r="I775" s="4" t="str">
        <f>Registered!AY1803</f>
        <v/>
      </c>
    </row>
    <row r="776" spans="1:9" x14ac:dyDescent="0.25">
      <c r="A776" s="4" t="str">
        <f>Registered!B1804</f>
        <v>Norcross</v>
      </c>
      <c r="B776" s="4" t="str">
        <f>Registered!A1804</f>
        <v>Darrion</v>
      </c>
      <c r="C776" s="4" t="str">
        <f>IF(Registered!AR1804&gt;0,Registered!AR1804&amp;" Color Bags", "")</f>
        <v>20 Color Bags</v>
      </c>
      <c r="D776" s="4" t="str">
        <f>IF(Registered!AS1804&gt;0,(IF(Registered!AS1804=1,Registered!AS1804&amp;" T-Shirt",Registered!AS1804&amp;" T-Shirts")), "")</f>
        <v/>
      </c>
      <c r="E776" s="4" t="str">
        <f>Registered!AT1804</f>
        <v/>
      </c>
      <c r="F776" s="4" t="str">
        <f>Registered!AU1804</f>
        <v>1 Bandana</v>
      </c>
      <c r="G776" s="4" t="str">
        <f>Registered!AW1804</f>
        <v/>
      </c>
      <c r="H776" s="4" t="str">
        <f>Registered!AX1804</f>
        <v/>
      </c>
      <c r="I776" s="4" t="str">
        <f>Registered!AY1804</f>
        <v/>
      </c>
    </row>
    <row r="777" spans="1:9" x14ac:dyDescent="0.25">
      <c r="A777" s="4" t="str">
        <f>Registered!B1805</f>
        <v>Northam</v>
      </c>
      <c r="B777" s="4" t="str">
        <f>Registered!A1805</f>
        <v>Nefretiti</v>
      </c>
      <c r="C777" s="4" t="str">
        <f>IF(Registered!AR1805&gt;0,Registered!AR1805&amp;" Color Bags", "")</f>
        <v>15 Color Bags</v>
      </c>
      <c r="D777" s="4" t="str">
        <f>IF(Registered!AS1805&gt;0,(IF(Registered!AS1805=1,Registered!AS1805&amp;" T-Shirt",Registered!AS1805&amp;" T-Shirts")), "")</f>
        <v>1 T-Shirt</v>
      </c>
      <c r="E777" s="4" t="str">
        <f>Registered!AT1805</f>
        <v>XL</v>
      </c>
      <c r="F777" s="4" t="str">
        <f>Registered!AU1805</f>
        <v>1 Bandana</v>
      </c>
      <c r="G777" s="4" t="str">
        <f>Registered!AW1805</f>
        <v>1 Meal</v>
      </c>
      <c r="H777" s="4" t="str">
        <f>Registered!AX1805</f>
        <v>1 BG</v>
      </c>
      <c r="I777" s="4" t="str">
        <f>Registered!AY1805</f>
        <v/>
      </c>
    </row>
    <row r="778" spans="1:9" x14ac:dyDescent="0.25">
      <c r="A778" s="4" t="str">
        <f>Registered!B1807</f>
        <v>Norton</v>
      </c>
      <c r="B778" s="4" t="str">
        <f>Registered!A1807</f>
        <v>Rose</v>
      </c>
      <c r="C778" s="4" t="str">
        <f>IF(Registered!AR1807&gt;0,Registered!AR1807&amp;" Color Bags", "")</f>
        <v>10 Color Bags</v>
      </c>
      <c r="D778" s="4" t="str">
        <f>IF(Registered!AS1807&gt;0,(IF(Registered!AS1807=1,Registered!AS1807&amp;" T-Shirt",Registered!AS1807&amp;" T-Shirts")), "")</f>
        <v/>
      </c>
      <c r="E778" s="4" t="str">
        <f>Registered!AT1807</f>
        <v/>
      </c>
      <c r="F778" s="4" t="str">
        <f>Registered!AU1807</f>
        <v/>
      </c>
      <c r="G778" s="4" t="str">
        <f>Registered!AW1807</f>
        <v/>
      </c>
      <c r="H778" s="4" t="str">
        <f>Registered!AX1807</f>
        <v/>
      </c>
      <c r="I778" s="4" t="str">
        <f>Registered!AY1807</f>
        <v/>
      </c>
    </row>
    <row r="779" spans="1:9" x14ac:dyDescent="0.25">
      <c r="A779" s="4" t="str">
        <f>Registered!B1808</f>
        <v>Noursalehi</v>
      </c>
      <c r="B779" s="4" t="str">
        <f>Registered!A1808</f>
        <v>Nariman</v>
      </c>
      <c r="C779" s="4" t="str">
        <f>IF(Registered!AR1808&gt;0,Registered!AR1808&amp;" Color Bags", "")</f>
        <v>20 Color Bags</v>
      </c>
      <c r="D779" s="4" t="str">
        <f>IF(Registered!AS1808&gt;0,(IF(Registered!AS1808=1,Registered!AS1808&amp;" T-Shirt",Registered!AS1808&amp;" T-Shirts")), "")</f>
        <v/>
      </c>
      <c r="E779" s="4" t="str">
        <f>Registered!AT1808</f>
        <v/>
      </c>
      <c r="F779" s="4" t="str">
        <f>Registered!AU1808</f>
        <v/>
      </c>
      <c r="G779" s="4" t="str">
        <f>Registered!AW1808</f>
        <v>2 Meals</v>
      </c>
      <c r="H779" s="4" t="str">
        <f>Registered!AX1808</f>
        <v/>
      </c>
      <c r="I779" s="4" t="str">
        <f>Registered!AY1808</f>
        <v/>
      </c>
    </row>
    <row r="780" spans="1:9" x14ac:dyDescent="0.25">
      <c r="A780" s="4" t="str">
        <f>Registered!B2733</f>
        <v>Nystrom</v>
      </c>
      <c r="B780" s="4" t="str">
        <f>Registered!A2733</f>
        <v>Jilleen</v>
      </c>
      <c r="C780" s="4" t="str">
        <f>IF(Registered!AR2733&gt;0,Registered!AR2733&amp;" Color Bags", "")</f>
        <v>10 Color Bags</v>
      </c>
      <c r="D780" s="4" t="str">
        <f>IF(Registered!AS2733&gt;0,(IF(Registered!AS2733=1,Registered!AS2733&amp;" T-Shirt",Registered!AS2733&amp;" T-Shirts")), "")</f>
        <v>1 T-Shirt</v>
      </c>
      <c r="E780" s="4" t="str">
        <f>Registered!AT2733</f>
        <v>Size Not Specified</v>
      </c>
      <c r="F780" s="4" t="str">
        <f>Registered!AU2733</f>
        <v>1 Bandana</v>
      </c>
      <c r="G780" s="4" t="str">
        <f>Registered!AW2733</f>
        <v>1 Meal</v>
      </c>
      <c r="H780" s="4" t="str">
        <f>Registered!AX2733</f>
        <v/>
      </c>
      <c r="I780" s="4" t="str">
        <f>Registered!AY2733</f>
        <v/>
      </c>
    </row>
    <row r="781" spans="1:9" x14ac:dyDescent="0.25">
      <c r="A781" s="4" t="str">
        <f>Registered!B1814</f>
        <v>Ochoa</v>
      </c>
      <c r="B781" s="4" t="str">
        <f>Registered!A1814</f>
        <v>Enrique</v>
      </c>
      <c r="C781" s="4" t="str">
        <f>IF(Registered!AR1814&gt;0,Registered!AR1814&amp;" Color Bags", "")</f>
        <v>5 Color Bags</v>
      </c>
      <c r="D781" s="4" t="str">
        <f>IF(Registered!AS1814&gt;0,(IF(Registered!AS1814=1,Registered!AS1814&amp;" T-Shirt",Registered!AS1814&amp;" T-Shirts")), "")</f>
        <v>1 T-Shirt</v>
      </c>
      <c r="E781" s="4" t="str">
        <f>Registered!AT1814</f>
        <v>large</v>
      </c>
      <c r="F781" s="4" t="str">
        <f>Registered!AU1814</f>
        <v/>
      </c>
      <c r="G781" s="4" t="str">
        <f>Registered!AW1814</f>
        <v>1 Meal</v>
      </c>
      <c r="H781" s="4" t="str">
        <f>Registered!AX1814</f>
        <v/>
      </c>
      <c r="I781" s="4" t="str">
        <f>Registered!AY1814</f>
        <v/>
      </c>
    </row>
    <row r="782" spans="1:9" x14ac:dyDescent="0.25">
      <c r="A782" s="4" t="str">
        <f>Registered!B1816</f>
        <v>Ohmie</v>
      </c>
      <c r="B782" s="4" t="str">
        <f>Registered!A1816</f>
        <v>Adrian</v>
      </c>
      <c r="C782" s="4" t="str">
        <f>IF(Registered!AR1816&gt;0,Registered!AR1816&amp;" Color Bags", "")</f>
        <v>10 Color Bags</v>
      </c>
      <c r="D782" s="4" t="str">
        <f>IF(Registered!AS1816&gt;0,(IF(Registered!AS1816=1,Registered!AS1816&amp;" T-Shirt",Registered!AS1816&amp;" T-Shirts")), "")</f>
        <v/>
      </c>
      <c r="E782" s="4" t="str">
        <f>Registered!AT1816</f>
        <v/>
      </c>
      <c r="F782" s="4" t="str">
        <f>Registered!AU1816</f>
        <v/>
      </c>
      <c r="G782" s="4" t="str">
        <f>Registered!AW1816</f>
        <v/>
      </c>
      <c r="H782" s="4" t="str">
        <f>Registered!AX1816</f>
        <v/>
      </c>
      <c r="I782" s="4" t="str">
        <f>Registered!AY1816</f>
        <v>1 DustMask</v>
      </c>
    </row>
    <row r="783" spans="1:9" x14ac:dyDescent="0.25">
      <c r="A783" s="4" t="str">
        <f>Registered!B1817</f>
        <v>Oke</v>
      </c>
      <c r="B783" s="4" t="str">
        <f>Registered!A1817</f>
        <v>Kellie</v>
      </c>
      <c r="C783" s="4" t="str">
        <f>IF(Registered!AR1817&gt;0,Registered!AR1817&amp;" Color Bags", "")</f>
        <v>10 Color Bags</v>
      </c>
      <c r="D783" s="4" t="str">
        <f>IF(Registered!AS1817&gt;0,(IF(Registered!AS1817=1,Registered!AS1817&amp;" T-Shirt",Registered!AS1817&amp;" T-Shirts")), "")</f>
        <v>2 T-Shirts</v>
      </c>
      <c r="E783" s="4" t="str">
        <f>Registered!AT1817</f>
        <v>adult xl, adult l</v>
      </c>
      <c r="F783" s="4" t="str">
        <f>Registered!AU1817</f>
        <v/>
      </c>
      <c r="G783" s="4" t="str">
        <f>Registered!AW1817</f>
        <v>2 Meals</v>
      </c>
      <c r="H783" s="4" t="str">
        <f>Registered!AX1817</f>
        <v/>
      </c>
      <c r="I783" s="4" t="str">
        <f>Registered!AY1817</f>
        <v/>
      </c>
    </row>
    <row r="784" spans="1:9" x14ac:dyDescent="0.25">
      <c r="A784" s="4" t="str">
        <f>Registered!B1820</f>
        <v>Oliver</v>
      </c>
      <c r="B784" s="4" t="str">
        <f>Registered!A1820</f>
        <v>Amy</v>
      </c>
      <c r="C784" s="4" t="str">
        <f>IF(Registered!AR1820&gt;0,Registered!AR1820&amp;" Color Bags", "")</f>
        <v>10 Color Bags</v>
      </c>
      <c r="D784" s="4" t="str">
        <f>IF(Registered!AS1820&gt;0,(IF(Registered!AS1820=1,Registered!AS1820&amp;" T-Shirt",Registered!AS1820&amp;" T-Shirts")), "")</f>
        <v>2 T-Shirts</v>
      </c>
      <c r="E784" s="4" t="str">
        <f>Registered!AT1820</f>
        <v>M, XL</v>
      </c>
      <c r="F784" s="4" t="str">
        <f>Registered!AU1820</f>
        <v/>
      </c>
      <c r="G784" s="4" t="str">
        <f>Registered!AW1820</f>
        <v>2 Meals</v>
      </c>
      <c r="H784" s="4" t="str">
        <f>Registered!AX1820</f>
        <v/>
      </c>
      <c r="I784" s="4" t="str">
        <f>Registered!AY1820</f>
        <v/>
      </c>
    </row>
    <row r="785" spans="1:9" x14ac:dyDescent="0.25">
      <c r="A785" s="4" t="str">
        <f>Registered!B1824</f>
        <v>Olsen</v>
      </c>
      <c r="B785" s="4" t="str">
        <f>Registered!A1824</f>
        <v>Brittany</v>
      </c>
      <c r="C785" s="4" t="str">
        <f>IF(Registered!AR1824&gt;0,Registered!AR1824&amp;" Color Bags", "")</f>
        <v>10 Color Bags</v>
      </c>
      <c r="D785" s="4" t="str">
        <f>IF(Registered!AS1824&gt;0,(IF(Registered!AS1824=1,Registered!AS1824&amp;" T-Shirt",Registered!AS1824&amp;" T-Shirts")), "")</f>
        <v/>
      </c>
      <c r="E785" s="4" t="str">
        <f>Registered!AT1824</f>
        <v/>
      </c>
      <c r="F785" s="4" t="str">
        <f>Registered!AU1824</f>
        <v/>
      </c>
      <c r="G785" s="4" t="str">
        <f>Registered!AW1824</f>
        <v/>
      </c>
      <c r="H785" s="4" t="str">
        <f>Registered!AX1824</f>
        <v/>
      </c>
      <c r="I785" s="4" t="str">
        <f>Registered!AY1824</f>
        <v/>
      </c>
    </row>
    <row r="786" spans="1:9" x14ac:dyDescent="0.25">
      <c r="A786" s="4" t="str">
        <f>Registered!B1825</f>
        <v>Olsen</v>
      </c>
      <c r="B786" s="4" t="str">
        <f>Registered!A1825</f>
        <v>Darrin</v>
      </c>
      <c r="C786" s="4" t="str">
        <f>IF(Registered!AR1825&gt;0,Registered!AR1825&amp;" Color Bags", "")</f>
        <v>10 Color Bags</v>
      </c>
      <c r="D786" s="4" t="str">
        <f>IF(Registered!AS1825&gt;0,(IF(Registered!AS1825=1,Registered!AS1825&amp;" T-Shirt",Registered!AS1825&amp;" T-Shirts")), "")</f>
        <v/>
      </c>
      <c r="E786" s="4" t="str">
        <f>Registered!AT1825</f>
        <v/>
      </c>
      <c r="F786" s="4" t="str">
        <f>Registered!AU1825</f>
        <v/>
      </c>
      <c r="G786" s="4" t="str">
        <f>Registered!AW1825</f>
        <v/>
      </c>
      <c r="H786" s="4" t="str">
        <f>Registered!AX1825</f>
        <v/>
      </c>
      <c r="I786" s="4" t="str">
        <f>Registered!AY1825</f>
        <v/>
      </c>
    </row>
    <row r="787" spans="1:9" x14ac:dyDescent="0.25">
      <c r="A787" s="4" t="str">
        <f>Registered!B1835</f>
        <v>Olson</v>
      </c>
      <c r="B787" s="4" t="str">
        <f>Registered!A1835</f>
        <v>Mindi</v>
      </c>
      <c r="C787" s="4" t="str">
        <f>IF(Registered!AR1835&gt;0,Registered!AR1835&amp;" Color Bags", "")</f>
        <v>10 Color Bags</v>
      </c>
      <c r="D787" s="4" t="str">
        <f>IF(Registered!AS1835&gt;0,(IF(Registered!AS1835=1,Registered!AS1835&amp;" T-Shirt",Registered!AS1835&amp;" T-Shirts")), "")</f>
        <v/>
      </c>
      <c r="E787" s="4" t="str">
        <f>Registered!AT1835</f>
        <v/>
      </c>
      <c r="F787" s="4" t="str">
        <f>Registered!AU1835</f>
        <v/>
      </c>
      <c r="G787" s="4" t="str">
        <f>Registered!AW1835</f>
        <v/>
      </c>
      <c r="H787" s="4" t="str">
        <f>Registered!AX1835</f>
        <v/>
      </c>
      <c r="I787" s="4" t="str">
        <f>Registered!AY1835</f>
        <v/>
      </c>
    </row>
    <row r="788" spans="1:9" x14ac:dyDescent="0.25">
      <c r="A788" s="4" t="str">
        <f>Registered!B1812</f>
        <v>O'Meara</v>
      </c>
      <c r="B788" s="4" t="str">
        <f>Registered!A1812</f>
        <v>Jenelle</v>
      </c>
      <c r="C788" s="4" t="str">
        <f>IF(Registered!AR1812&gt;0,Registered!AR1812&amp;" Color Bags", "")</f>
        <v>5 Color Bags</v>
      </c>
      <c r="D788" s="4" t="str">
        <f>IF(Registered!AS1812&gt;0,(IF(Registered!AS1812=1,Registered!AS1812&amp;" T-Shirt",Registered!AS1812&amp;" T-Shirts")), "")</f>
        <v/>
      </c>
      <c r="E788" s="4" t="str">
        <f>Registered!AT1812</f>
        <v/>
      </c>
      <c r="F788" s="4" t="str">
        <f>Registered!AU1812</f>
        <v/>
      </c>
      <c r="G788" s="4" t="str">
        <f>Registered!AW1812</f>
        <v/>
      </c>
      <c r="H788" s="4" t="str">
        <f>Registered!AX1812</f>
        <v/>
      </c>
      <c r="I788" s="4" t="str">
        <f>Registered!AY1812</f>
        <v/>
      </c>
    </row>
    <row r="789" spans="1:9" x14ac:dyDescent="0.25">
      <c r="A789" s="4" t="str">
        <f>Registered!B1813</f>
        <v>O'Neill</v>
      </c>
      <c r="B789" s="4" t="str">
        <f>Registered!A1813</f>
        <v>Ciaran</v>
      </c>
      <c r="C789" s="4" t="str">
        <f>IF(Registered!AR1813&gt;0,Registered!AR1813&amp;" Color Bags", "")</f>
        <v>5 Color Bags</v>
      </c>
      <c r="D789" s="4" t="str">
        <f>IF(Registered!AS1813&gt;0,(IF(Registered!AS1813=1,Registered!AS1813&amp;" T-Shirt",Registered!AS1813&amp;" T-Shirts")), "")</f>
        <v/>
      </c>
      <c r="E789" s="4" t="str">
        <f>Registered!AT1813</f>
        <v/>
      </c>
      <c r="F789" s="4" t="str">
        <f>Registered!AU1813</f>
        <v/>
      </c>
      <c r="G789" s="4" t="str">
        <f>Registered!AW1813</f>
        <v/>
      </c>
      <c r="H789" s="4" t="str">
        <f>Registered!AX1813</f>
        <v/>
      </c>
      <c r="I789" s="4" t="str">
        <f>Registered!AY1813</f>
        <v/>
      </c>
    </row>
    <row r="790" spans="1:9" x14ac:dyDescent="0.25">
      <c r="A790" s="4" t="str">
        <f>Registered!B1838</f>
        <v>Ord</v>
      </c>
      <c r="B790" s="4" t="str">
        <f>Registered!A1838</f>
        <v>James</v>
      </c>
      <c r="C790" s="4" t="str">
        <f>IF(Registered!AR1838&gt;0,Registered!AR1838&amp;" Color Bags", "")</f>
        <v>10 Color Bags</v>
      </c>
      <c r="D790" s="4" t="str">
        <f>IF(Registered!AS1838&gt;0,(IF(Registered!AS1838=1,Registered!AS1838&amp;" T-Shirt",Registered!AS1838&amp;" T-Shirts")), "")</f>
        <v/>
      </c>
      <c r="E790" s="4" t="str">
        <f>Registered!AT1838</f>
        <v/>
      </c>
      <c r="F790" s="4" t="str">
        <f>Registered!AU1838</f>
        <v/>
      </c>
      <c r="G790" s="4" t="str">
        <f>Registered!AW1838</f>
        <v/>
      </c>
      <c r="H790" s="4" t="str">
        <f>Registered!AX1838</f>
        <v>1 BG</v>
      </c>
      <c r="I790" s="4" t="str">
        <f>Registered!AY1838</f>
        <v>2 DustMask</v>
      </c>
    </row>
    <row r="791" spans="1:9" x14ac:dyDescent="0.25">
      <c r="A791" s="4" t="str">
        <f>Registered!B1843</f>
        <v>Ortiz</v>
      </c>
      <c r="B791" s="4" t="str">
        <f>Registered!A1843</f>
        <v>Sarah</v>
      </c>
      <c r="C791" s="4" t="str">
        <f>IF(Registered!AR1843&gt;0,Registered!AR1843&amp;" Color Bags", "")</f>
        <v>5 Color Bags</v>
      </c>
      <c r="D791" s="4" t="str">
        <f>IF(Registered!AS1843&gt;0,(IF(Registered!AS1843=1,Registered!AS1843&amp;" T-Shirt",Registered!AS1843&amp;" T-Shirts")), "")</f>
        <v/>
      </c>
      <c r="E791" s="4" t="str">
        <f>Registered!AT1843</f>
        <v/>
      </c>
      <c r="F791" s="4" t="str">
        <f>Registered!AU1843</f>
        <v/>
      </c>
      <c r="G791" s="4" t="str">
        <f>Registered!AW1843</f>
        <v/>
      </c>
      <c r="H791" s="4" t="str">
        <f>Registered!AX1843</f>
        <v/>
      </c>
      <c r="I791" s="4" t="str">
        <f>Registered!AY1843</f>
        <v/>
      </c>
    </row>
    <row r="792" spans="1:9" x14ac:dyDescent="0.25">
      <c r="A792" s="4" t="str">
        <f>Registered!B1844</f>
        <v>Ostler</v>
      </c>
      <c r="B792" s="4" t="str">
        <f>Registered!A1844</f>
        <v>Jordan</v>
      </c>
      <c r="C792" s="4" t="str">
        <f>IF(Registered!AR1844&gt;0,Registered!AR1844&amp;" Color Bags", "")</f>
        <v>10 Color Bags</v>
      </c>
      <c r="D792" s="4" t="str">
        <f>IF(Registered!AS1844&gt;0,(IF(Registered!AS1844=1,Registered!AS1844&amp;" T-Shirt",Registered!AS1844&amp;" T-Shirts")), "")</f>
        <v>1 T-Shirt</v>
      </c>
      <c r="E792" s="4" t="str">
        <f>Registered!AT1844</f>
        <v>Medium</v>
      </c>
      <c r="F792" s="4" t="str">
        <f>Registered!AU1844</f>
        <v>1 Bandana</v>
      </c>
      <c r="G792" s="4" t="str">
        <f>Registered!AW1844</f>
        <v/>
      </c>
      <c r="H792" s="4" t="str">
        <f>Registered!AX1844</f>
        <v>1 BG</v>
      </c>
      <c r="I792" s="4" t="str">
        <f>Registered!AY1844</f>
        <v/>
      </c>
    </row>
    <row r="793" spans="1:9" x14ac:dyDescent="0.25">
      <c r="A793" s="4" t="str">
        <f>Registered!B1845</f>
        <v>Ostler</v>
      </c>
      <c r="B793" s="4" t="str">
        <f>Registered!A1845</f>
        <v>Landon</v>
      </c>
      <c r="C793" s="4" t="str">
        <f>IF(Registered!AR1845&gt;0,Registered!AR1845&amp;" Color Bags", "")</f>
        <v>10 Color Bags</v>
      </c>
      <c r="D793" s="4" t="str">
        <f>IF(Registered!AS1845&gt;0,(IF(Registered!AS1845=1,Registered!AS1845&amp;" T-Shirt",Registered!AS1845&amp;" T-Shirts")), "")</f>
        <v/>
      </c>
      <c r="E793" s="4" t="str">
        <f>Registered!AT1845</f>
        <v/>
      </c>
      <c r="F793" s="4" t="str">
        <f>Registered!AU1845</f>
        <v/>
      </c>
      <c r="G793" s="4" t="str">
        <f>Registered!AW1845</f>
        <v/>
      </c>
      <c r="H793" s="4" t="str">
        <f>Registered!AX1845</f>
        <v/>
      </c>
      <c r="I793" s="4" t="str">
        <f>Registered!AY1845</f>
        <v/>
      </c>
    </row>
    <row r="794" spans="1:9" x14ac:dyDescent="0.25">
      <c r="A794" s="4" t="str">
        <f>Registered!B1846</f>
        <v>Ostrom</v>
      </c>
      <c r="B794" s="4" t="str">
        <f>Registered!A1846</f>
        <v>Chante</v>
      </c>
      <c r="C794" s="4" t="str">
        <f>IF(Registered!AR1846&gt;0,Registered!AR1846&amp;" Color Bags", "")</f>
        <v>5 Color Bags</v>
      </c>
      <c r="D794" s="4" t="str">
        <f>IF(Registered!AS1846&gt;0,(IF(Registered!AS1846=1,Registered!AS1846&amp;" T-Shirt",Registered!AS1846&amp;" T-Shirts")), "")</f>
        <v/>
      </c>
      <c r="E794" s="4" t="str">
        <f>Registered!AT1846</f>
        <v/>
      </c>
      <c r="F794" s="4" t="str">
        <f>Registered!AU1846</f>
        <v/>
      </c>
      <c r="G794" s="4" t="str">
        <f>Registered!AW1846</f>
        <v/>
      </c>
      <c r="H794" s="4" t="str">
        <f>Registered!AX1846</f>
        <v/>
      </c>
      <c r="I794" s="4" t="str">
        <f>Registered!AY1846</f>
        <v/>
      </c>
    </row>
    <row r="795" spans="1:9" x14ac:dyDescent="0.25">
      <c r="A795" s="4" t="str">
        <f>Registered!B1847</f>
        <v>Ouke</v>
      </c>
      <c r="B795" s="4" t="str">
        <f>Registered!A1847</f>
        <v>Kathryn</v>
      </c>
      <c r="C795" s="4" t="str">
        <f>IF(Registered!AR1847&gt;0,Registered!AR1847&amp;" Color Bags", "")</f>
        <v>5 Color Bags</v>
      </c>
      <c r="D795" s="4" t="str">
        <f>IF(Registered!AS1847&gt;0,(IF(Registered!AS1847=1,Registered!AS1847&amp;" T-Shirt",Registered!AS1847&amp;" T-Shirts")), "")</f>
        <v/>
      </c>
      <c r="E795" s="4" t="str">
        <f>Registered!AT1847</f>
        <v/>
      </c>
      <c r="F795" s="4" t="str">
        <f>Registered!AU1847</f>
        <v/>
      </c>
      <c r="G795" s="4" t="str">
        <f>Registered!AW1847</f>
        <v/>
      </c>
      <c r="H795" s="4" t="str">
        <f>Registered!AX1847</f>
        <v/>
      </c>
      <c r="I795" s="4" t="str">
        <f>Registered!AY1847</f>
        <v/>
      </c>
    </row>
    <row r="796" spans="1:9" x14ac:dyDescent="0.25">
      <c r="A796" s="4" t="str">
        <f>Registered!B1848</f>
        <v>Ouwerkerk</v>
      </c>
      <c r="B796" s="4" t="str">
        <f>Registered!A1848</f>
        <v>Carlee</v>
      </c>
      <c r="C796" s="4" t="str">
        <f>IF(Registered!AR1848&gt;0,Registered!AR1848&amp;" Color Bags", "")</f>
        <v>5 Color Bags</v>
      </c>
      <c r="D796" s="4" t="str">
        <f>IF(Registered!AS1848&gt;0,(IF(Registered!AS1848=1,Registered!AS1848&amp;" T-Shirt",Registered!AS1848&amp;" T-Shirts")), "")</f>
        <v/>
      </c>
      <c r="E796" s="4" t="str">
        <f>Registered!AT1848</f>
        <v/>
      </c>
      <c r="F796" s="4" t="str">
        <f>Registered!AU1848</f>
        <v/>
      </c>
      <c r="G796" s="4" t="str">
        <f>Registered!AW1848</f>
        <v/>
      </c>
      <c r="H796" s="4" t="str">
        <f>Registered!AX1848</f>
        <v/>
      </c>
      <c r="I796" s="4" t="str">
        <f>Registered!AY1848</f>
        <v/>
      </c>
    </row>
    <row r="797" spans="1:9" x14ac:dyDescent="0.25">
      <c r="A797" s="4" t="str">
        <f>Registered!B1853</f>
        <v>Owens</v>
      </c>
      <c r="B797" s="4" t="str">
        <f>Registered!A1853</f>
        <v>Shawna</v>
      </c>
      <c r="C797" s="4" t="str">
        <f>IF(Registered!AR1853&gt;0,Registered!AR1853&amp;" Color Bags", "")</f>
        <v>10 Color Bags</v>
      </c>
      <c r="D797" s="4" t="str">
        <f>IF(Registered!AS1853&gt;0,(IF(Registered!AS1853=1,Registered!AS1853&amp;" T-Shirt",Registered!AS1853&amp;" T-Shirts")), "")</f>
        <v/>
      </c>
      <c r="E797" s="4" t="str">
        <f>Registered!AT1853</f>
        <v/>
      </c>
      <c r="F797" s="4" t="str">
        <f>Registered!AU1853</f>
        <v/>
      </c>
      <c r="G797" s="4" t="str">
        <f>Registered!AW1853</f>
        <v/>
      </c>
      <c r="H797" s="4" t="str">
        <f>Registered!AX1853</f>
        <v/>
      </c>
      <c r="I797" s="4" t="str">
        <f>Registered!AY1853</f>
        <v/>
      </c>
    </row>
    <row r="798" spans="1:9" x14ac:dyDescent="0.25">
      <c r="A798" s="4" t="str">
        <f>Registered!B1855</f>
        <v>Packer</v>
      </c>
      <c r="B798" s="4" t="str">
        <f>Registered!A1855</f>
        <v>Kaitlin</v>
      </c>
      <c r="C798" s="4" t="str">
        <f>IF(Registered!AR1855&gt;0,Registered!AR1855&amp;" Color Bags", "")</f>
        <v>5 Color Bags</v>
      </c>
      <c r="D798" s="4" t="str">
        <f>IF(Registered!AS1855&gt;0,(IF(Registered!AS1855=1,Registered!AS1855&amp;" T-Shirt",Registered!AS1855&amp;" T-Shirts")), "")</f>
        <v/>
      </c>
      <c r="E798" s="4" t="str">
        <f>Registered!AT1855</f>
        <v/>
      </c>
      <c r="F798" s="4" t="str">
        <f>Registered!AU1855</f>
        <v/>
      </c>
      <c r="G798" s="4" t="str">
        <f>Registered!AW1855</f>
        <v/>
      </c>
      <c r="H798" s="4" t="str">
        <f>Registered!AX1855</f>
        <v/>
      </c>
      <c r="I798" s="4" t="str">
        <f>Registered!AY1855</f>
        <v/>
      </c>
    </row>
    <row r="799" spans="1:9" x14ac:dyDescent="0.25">
      <c r="A799" s="4" t="str">
        <f>Registered!B1856</f>
        <v>Packer</v>
      </c>
      <c r="B799" s="4" t="str">
        <f>Registered!A1856</f>
        <v>Kelsie</v>
      </c>
      <c r="C799" s="4" t="str">
        <f>IF(Registered!AR1856&gt;0,Registered!AR1856&amp;" Color Bags", "")</f>
        <v>5 Color Bags</v>
      </c>
      <c r="D799" s="4" t="str">
        <f>IF(Registered!AS1856&gt;0,(IF(Registered!AS1856=1,Registered!AS1856&amp;" T-Shirt",Registered!AS1856&amp;" T-Shirts")), "")</f>
        <v/>
      </c>
      <c r="E799" s="4" t="str">
        <f>Registered!AT1856</f>
        <v/>
      </c>
      <c r="F799" s="4" t="str">
        <f>Registered!AU1856</f>
        <v/>
      </c>
      <c r="G799" s="4" t="str">
        <f>Registered!AW1856</f>
        <v/>
      </c>
      <c r="H799" s="4" t="str">
        <f>Registered!AX1856</f>
        <v/>
      </c>
      <c r="I799" s="4" t="str">
        <f>Registered!AY1856</f>
        <v/>
      </c>
    </row>
    <row r="800" spans="1:9" x14ac:dyDescent="0.25">
      <c r="A800" s="4" t="str">
        <f>Registered!B1857</f>
        <v>Padelsky</v>
      </c>
      <c r="B800" s="4" t="str">
        <f>Registered!A1857</f>
        <v>McCall</v>
      </c>
      <c r="C800" s="4" t="str">
        <f>IF(Registered!AR1857&gt;0,Registered!AR1857&amp;" Color Bags", "")</f>
        <v>5 Color Bags</v>
      </c>
      <c r="D800" s="4" t="str">
        <f>IF(Registered!AS1857&gt;0,(IF(Registered!AS1857=1,Registered!AS1857&amp;" T-Shirt",Registered!AS1857&amp;" T-Shirts")), "")</f>
        <v/>
      </c>
      <c r="E800" s="4" t="str">
        <f>Registered!AT1857</f>
        <v/>
      </c>
      <c r="F800" s="4" t="str">
        <f>Registered!AU1857</f>
        <v/>
      </c>
      <c r="G800" s="4" t="str">
        <f>Registered!AW1857</f>
        <v/>
      </c>
      <c r="H800" s="4" t="str">
        <f>Registered!AX1857</f>
        <v/>
      </c>
      <c r="I800" s="4" t="str">
        <f>Registered!AY1857</f>
        <v/>
      </c>
    </row>
    <row r="801" spans="1:9" x14ac:dyDescent="0.25">
      <c r="A801" s="4" t="str">
        <f>Registered!B1861</f>
        <v>Paine</v>
      </c>
      <c r="B801" s="4" t="str">
        <f>Registered!A1861</f>
        <v>Allyson</v>
      </c>
      <c r="C801" s="4" t="str">
        <f>IF(Registered!AR1861&gt;0,Registered!AR1861&amp;" Color Bags", "")</f>
        <v>10 Color Bags</v>
      </c>
      <c r="D801" s="4" t="str">
        <f>IF(Registered!AS1861&gt;0,(IF(Registered!AS1861=1,Registered!AS1861&amp;" T-Shirt",Registered!AS1861&amp;" T-Shirts")), "")</f>
        <v/>
      </c>
      <c r="E801" s="4" t="str">
        <f>Registered!AT1861</f>
        <v/>
      </c>
      <c r="F801" s="4" t="str">
        <f>Registered!AU1861</f>
        <v/>
      </c>
      <c r="G801" s="4" t="str">
        <f>Registered!AW1861</f>
        <v/>
      </c>
      <c r="H801" s="4" t="str">
        <f>Registered!AX1861</f>
        <v/>
      </c>
      <c r="I801" s="4" t="str">
        <f>Registered!AY1861</f>
        <v/>
      </c>
    </row>
    <row r="802" spans="1:9" x14ac:dyDescent="0.25">
      <c r="A802" s="4" t="str">
        <f>Registered!B1866</f>
        <v>Paras</v>
      </c>
      <c r="B802" s="4" t="str">
        <f>Registered!A1866</f>
        <v>Katie</v>
      </c>
      <c r="C802" s="4" t="str">
        <f>IF(Registered!AR1866&gt;0,Registered!AR1866&amp;" Color Bags", "")</f>
        <v>5 Color Bags</v>
      </c>
      <c r="D802" s="4" t="str">
        <f>IF(Registered!AS1866&gt;0,(IF(Registered!AS1866=1,Registered!AS1866&amp;" T-Shirt",Registered!AS1866&amp;" T-Shirts")), "")</f>
        <v/>
      </c>
      <c r="E802" s="4" t="str">
        <f>Registered!AT1866</f>
        <v/>
      </c>
      <c r="F802" s="4" t="str">
        <f>Registered!AU1866</f>
        <v/>
      </c>
      <c r="G802" s="4" t="str">
        <f>Registered!AW1866</f>
        <v/>
      </c>
      <c r="H802" s="4" t="str">
        <f>Registered!AX1866</f>
        <v/>
      </c>
      <c r="I802" s="4" t="str">
        <f>Registered!AY1866</f>
        <v/>
      </c>
    </row>
    <row r="803" spans="1:9" x14ac:dyDescent="0.25">
      <c r="A803" s="4" t="str">
        <f>Registered!B1867</f>
        <v>Pardo</v>
      </c>
      <c r="B803" s="4" t="str">
        <f>Registered!A1867</f>
        <v>Jose</v>
      </c>
      <c r="C803" s="4" t="str">
        <f>IF(Registered!AR1867&gt;0,Registered!AR1867&amp;" Color Bags", "")</f>
        <v>5 Color Bags</v>
      </c>
      <c r="D803" s="4" t="str">
        <f>IF(Registered!AS1867&gt;0,(IF(Registered!AS1867=1,Registered!AS1867&amp;" T-Shirt",Registered!AS1867&amp;" T-Shirts")), "")</f>
        <v/>
      </c>
      <c r="E803" s="4" t="str">
        <f>Registered!AT1867</f>
        <v/>
      </c>
      <c r="F803" s="4" t="str">
        <f>Registered!AU1867</f>
        <v/>
      </c>
      <c r="G803" s="4" t="str">
        <f>Registered!AW1867</f>
        <v/>
      </c>
      <c r="H803" s="4" t="str">
        <f>Registered!AX1867</f>
        <v/>
      </c>
      <c r="I803" s="4" t="str">
        <f>Registered!AY1867</f>
        <v/>
      </c>
    </row>
    <row r="804" spans="1:9" x14ac:dyDescent="0.25">
      <c r="A804" s="4" t="str">
        <f>Registered!B1871</f>
        <v>Park</v>
      </c>
      <c r="B804" s="4" t="str">
        <f>Registered!A1871</f>
        <v>Kelly Caitlyn</v>
      </c>
      <c r="C804" s="4" t="str">
        <f>IF(Registered!AR1871&gt;0,Registered!AR1871&amp;" Color Bags", "")</f>
        <v>5 Color Bags</v>
      </c>
      <c r="D804" s="4" t="str">
        <f>IF(Registered!AS1871&gt;0,(IF(Registered!AS1871=1,Registered!AS1871&amp;" T-Shirt",Registered!AS1871&amp;" T-Shirts")), "")</f>
        <v/>
      </c>
      <c r="E804" s="4" t="str">
        <f>Registered!AT1871</f>
        <v/>
      </c>
      <c r="F804" s="4" t="str">
        <f>Registered!AU1871</f>
        <v/>
      </c>
      <c r="G804" s="4" t="str">
        <f>Registered!AW1871</f>
        <v/>
      </c>
      <c r="H804" s="4" t="str">
        <f>Registered!AX1871</f>
        <v/>
      </c>
      <c r="I804" s="4" t="str">
        <f>Registered!AY1871</f>
        <v/>
      </c>
    </row>
    <row r="805" spans="1:9" x14ac:dyDescent="0.25">
      <c r="A805" s="4" t="str">
        <f>Registered!B1873</f>
        <v>Parker</v>
      </c>
      <c r="B805" s="4" t="str">
        <f>Registered!A1873</f>
        <v>Rene</v>
      </c>
      <c r="C805" s="4" t="str">
        <f>IF(Registered!AR1873&gt;0,Registered!AR1873&amp;" Color Bags", "")</f>
        <v>5 Color Bags</v>
      </c>
      <c r="D805" s="4" t="str">
        <f>IF(Registered!AS1873&gt;0,(IF(Registered!AS1873=1,Registered!AS1873&amp;" T-Shirt",Registered!AS1873&amp;" T-Shirts")), "")</f>
        <v/>
      </c>
      <c r="E805" s="4" t="str">
        <f>Registered!AT1873</f>
        <v/>
      </c>
      <c r="F805" s="4" t="str">
        <f>Registered!AU1873</f>
        <v/>
      </c>
      <c r="G805" s="4" t="str">
        <f>Registered!AW1873</f>
        <v/>
      </c>
      <c r="H805" s="4" t="str">
        <f>Registered!AX1873</f>
        <v/>
      </c>
      <c r="I805" s="4" t="str">
        <f>Registered!AY1873</f>
        <v/>
      </c>
    </row>
    <row r="806" spans="1:9" x14ac:dyDescent="0.25">
      <c r="A806" s="4" t="str">
        <f>Registered!B1879</f>
        <v>Patel</v>
      </c>
      <c r="B806" s="4" t="str">
        <f>Registered!A1879</f>
        <v>Ashvin</v>
      </c>
      <c r="C806" s="4" t="str">
        <f>IF(Registered!AR1879&gt;0,Registered!AR1879&amp;" Color Bags", "")</f>
        <v>5 Color Bags</v>
      </c>
      <c r="D806" s="4" t="str">
        <f>IF(Registered!AS1879&gt;0,(IF(Registered!AS1879=1,Registered!AS1879&amp;" T-Shirt",Registered!AS1879&amp;" T-Shirts")), "")</f>
        <v>1 T-Shirt</v>
      </c>
      <c r="E806" s="4" t="str">
        <f>Registered!AT1879</f>
        <v>Adult Large</v>
      </c>
      <c r="F806" s="4" t="str">
        <f>Registered!AU1879</f>
        <v/>
      </c>
      <c r="G806" s="4" t="str">
        <f>Registered!AW1879</f>
        <v>1 Meal</v>
      </c>
      <c r="H806" s="4" t="str">
        <f>Registered!AX1879</f>
        <v/>
      </c>
      <c r="I806" s="4" t="str">
        <f>Registered!AY1879</f>
        <v/>
      </c>
    </row>
    <row r="807" spans="1:9" x14ac:dyDescent="0.25">
      <c r="A807" s="4" t="str">
        <f>Registered!B1880</f>
        <v>Patel</v>
      </c>
      <c r="B807" s="4" t="str">
        <f>Registered!A1880</f>
        <v>Hardik</v>
      </c>
      <c r="C807" s="4" t="str">
        <f>IF(Registered!AR1880&gt;0,Registered!AR1880&amp;" Color Bags", "")</f>
        <v>50 Color Bags</v>
      </c>
      <c r="D807" s="4" t="str">
        <f>IF(Registered!AS1880&gt;0,(IF(Registered!AS1880=1,Registered!AS1880&amp;" T-Shirt",Registered!AS1880&amp;" T-Shirts")), "")</f>
        <v>8 T-Shirts</v>
      </c>
      <c r="E807" s="4" t="str">
        <f>Registered!AT1880</f>
        <v>L, M, S, S</v>
      </c>
      <c r="F807" s="4" t="str">
        <f>Registered!AU1880</f>
        <v/>
      </c>
      <c r="G807" s="4" t="str">
        <f>Registered!AW1880</f>
        <v>4 Meals</v>
      </c>
      <c r="H807" s="4" t="str">
        <f>Registered!AX1880</f>
        <v/>
      </c>
      <c r="I807" s="4" t="str">
        <f>Registered!AY1880</f>
        <v>2 DustMask</v>
      </c>
    </row>
    <row r="808" spans="1:9" x14ac:dyDescent="0.25">
      <c r="A808" s="4" t="str">
        <f>Registered!B1881</f>
        <v>Patil</v>
      </c>
      <c r="B808" s="4" t="str">
        <f>Registered!A1881</f>
        <v>Krutika</v>
      </c>
      <c r="C808" s="4" t="str">
        <f>IF(Registered!AR1881&gt;0,Registered!AR1881&amp;" Color Bags", "")</f>
        <v/>
      </c>
      <c r="D808" s="4" t="str">
        <f>IF(Registered!AS1881&gt;0,(IF(Registered!AS1881=1,Registered!AS1881&amp;" T-Shirt",Registered!AS1881&amp;" T-Shirts")), "")</f>
        <v/>
      </c>
      <c r="E808" s="4" t="str">
        <f>Registered!AT1881</f>
        <v/>
      </c>
      <c r="F808" s="4" t="str">
        <f>Registered!AU1881</f>
        <v/>
      </c>
      <c r="G808" s="4" t="str">
        <f>Registered!AW1881</f>
        <v>1 Meal</v>
      </c>
      <c r="H808" s="4" t="str">
        <f>Registered!AX1881</f>
        <v/>
      </c>
      <c r="I808" s="4" t="str">
        <f>Registered!AY1881</f>
        <v/>
      </c>
    </row>
    <row r="809" spans="1:9" x14ac:dyDescent="0.25">
      <c r="A809" s="4" t="str">
        <f>Registered!B1883</f>
        <v>Patterson</v>
      </c>
      <c r="B809" s="4" t="str">
        <f>Registered!A1883</f>
        <v>Bonni</v>
      </c>
      <c r="C809" s="4" t="str">
        <f>IF(Registered!AR1883&gt;0,Registered!AR1883&amp;" Color Bags", "")</f>
        <v>5 Color Bags</v>
      </c>
      <c r="D809" s="4" t="str">
        <f>IF(Registered!AS1883&gt;0,(IF(Registered!AS1883=1,Registered!AS1883&amp;" T-Shirt",Registered!AS1883&amp;" T-Shirts")), "")</f>
        <v/>
      </c>
      <c r="E809" s="4" t="str">
        <f>Registered!AT1883</f>
        <v/>
      </c>
      <c r="F809" s="4" t="str">
        <f>Registered!AU1883</f>
        <v/>
      </c>
      <c r="G809" s="4" t="str">
        <f>Registered!AW1883</f>
        <v/>
      </c>
      <c r="H809" s="4" t="str">
        <f>Registered!AX1883</f>
        <v/>
      </c>
      <c r="I809" s="4" t="str">
        <f>Registered!AY1883</f>
        <v/>
      </c>
    </row>
    <row r="810" spans="1:9" x14ac:dyDescent="0.25">
      <c r="A810" s="4" t="str">
        <f>Registered!B1884</f>
        <v>Patton</v>
      </c>
      <c r="B810" s="4" t="str">
        <f>Registered!A1884</f>
        <v>Rachal</v>
      </c>
      <c r="C810" s="4" t="str">
        <f>IF(Registered!AR1884&gt;0,Registered!AR1884&amp;" Color Bags", "")</f>
        <v>40 Color Bags</v>
      </c>
      <c r="D810" s="4" t="str">
        <f>IF(Registered!AS1884&gt;0,(IF(Registered!AS1884=1,Registered!AS1884&amp;" T-Shirt",Registered!AS1884&amp;" T-Shirts")), "")</f>
        <v/>
      </c>
      <c r="E810" s="4" t="str">
        <f>Registered!AT1884</f>
        <v/>
      </c>
      <c r="F810" s="4" t="str">
        <f>Registered!AU1884</f>
        <v/>
      </c>
      <c r="G810" s="4" t="str">
        <f>Registered!AW1884</f>
        <v/>
      </c>
      <c r="H810" s="4" t="str">
        <f>Registered!AX1884</f>
        <v/>
      </c>
      <c r="I810" s="4" t="str">
        <f>Registered!AY1884</f>
        <v/>
      </c>
    </row>
    <row r="811" spans="1:9" x14ac:dyDescent="0.25">
      <c r="A811" s="4" t="str">
        <f>Registered!B1886</f>
        <v>Pauni</v>
      </c>
      <c r="B811" s="4" t="str">
        <f>Registered!A1886</f>
        <v>Jessica</v>
      </c>
      <c r="C811" s="4" t="str">
        <f>IF(Registered!AR1886&gt;0,Registered!AR1886&amp;" Color Bags", "")</f>
        <v>5 Color Bags</v>
      </c>
      <c r="D811" s="4" t="str">
        <f>IF(Registered!AS1886&gt;0,(IF(Registered!AS1886=1,Registered!AS1886&amp;" T-Shirt",Registered!AS1886&amp;" T-Shirts")), "")</f>
        <v/>
      </c>
      <c r="E811" s="4" t="str">
        <f>Registered!AT1886</f>
        <v/>
      </c>
      <c r="F811" s="4" t="str">
        <f>Registered!AU1886</f>
        <v/>
      </c>
      <c r="G811" s="4" t="str">
        <f>Registered!AW1886</f>
        <v/>
      </c>
      <c r="H811" s="4" t="str">
        <f>Registered!AX1886</f>
        <v/>
      </c>
      <c r="I811" s="4" t="str">
        <f>Registered!AY1886</f>
        <v/>
      </c>
    </row>
    <row r="812" spans="1:9" x14ac:dyDescent="0.25">
      <c r="A812" s="4" t="str">
        <f>Registered!B1887</f>
        <v>Pavlus</v>
      </c>
      <c r="B812" s="4" t="str">
        <f>Registered!A1887</f>
        <v>Megan</v>
      </c>
      <c r="C812" s="4" t="str">
        <f>IF(Registered!AR1887&gt;0,Registered!AR1887&amp;" Color Bags", "")</f>
        <v>30 Color Bags</v>
      </c>
      <c r="D812" s="4" t="str">
        <f>IF(Registered!AS1887&gt;0,(IF(Registered!AS1887=1,Registered!AS1887&amp;" T-Shirt",Registered!AS1887&amp;" T-Shirts")), "")</f>
        <v/>
      </c>
      <c r="E812" s="4" t="str">
        <f>Registered!AT1887</f>
        <v/>
      </c>
      <c r="F812" s="4" t="str">
        <f>Registered!AU1887</f>
        <v/>
      </c>
      <c r="G812" s="4" t="str">
        <f>Registered!AW1887</f>
        <v/>
      </c>
      <c r="H812" s="4" t="str">
        <f>Registered!AX1887</f>
        <v/>
      </c>
      <c r="I812" s="4" t="str">
        <f>Registered!AY1887</f>
        <v/>
      </c>
    </row>
    <row r="813" spans="1:9" x14ac:dyDescent="0.25">
      <c r="A813" s="4" t="str">
        <f>Registered!B1890</f>
        <v>Payne</v>
      </c>
      <c r="B813" s="4" t="str">
        <f>Registered!A1890</f>
        <v>Trent</v>
      </c>
      <c r="C813" s="4" t="str">
        <f>IF(Registered!AR1890&gt;0,Registered!AR1890&amp;" Color Bags", "")</f>
        <v>40 Color Bags</v>
      </c>
      <c r="D813" s="4" t="str">
        <f>IF(Registered!AS1890&gt;0,(IF(Registered!AS1890=1,Registered!AS1890&amp;" T-Shirt",Registered!AS1890&amp;" T-Shirts")), "")</f>
        <v/>
      </c>
      <c r="E813" s="4" t="str">
        <f>Registered!AT1890</f>
        <v/>
      </c>
      <c r="F813" s="4" t="str">
        <f>Registered!AU1890</f>
        <v/>
      </c>
      <c r="G813" s="4" t="str">
        <f>Registered!AW1890</f>
        <v/>
      </c>
      <c r="H813" s="4" t="str">
        <f>Registered!AX1890</f>
        <v/>
      </c>
      <c r="I813" s="4" t="str">
        <f>Registered!AY1890</f>
        <v/>
      </c>
    </row>
    <row r="814" spans="1:9" x14ac:dyDescent="0.25">
      <c r="A814" s="4" t="str">
        <f>Registered!B1891</f>
        <v>Peacock</v>
      </c>
      <c r="B814" s="4" t="str">
        <f>Registered!A1891</f>
        <v>Carolyn</v>
      </c>
      <c r="C814" s="4" t="str">
        <f>IF(Registered!AR1891&gt;0,Registered!AR1891&amp;" Color Bags", "")</f>
        <v>10 Color Bags</v>
      </c>
      <c r="D814" s="4" t="str">
        <f>IF(Registered!AS1891&gt;0,(IF(Registered!AS1891=1,Registered!AS1891&amp;" T-Shirt",Registered!AS1891&amp;" T-Shirts")), "")</f>
        <v>2 T-Shirts</v>
      </c>
      <c r="E814" s="4" t="str">
        <f>Registered!AT1891</f>
        <v>Large</v>
      </c>
      <c r="F814" s="4" t="str">
        <f>Registered!AU1891</f>
        <v/>
      </c>
      <c r="G814" s="4" t="str">
        <f>Registered!AW1891</f>
        <v>2 Meals</v>
      </c>
      <c r="H814" s="4" t="str">
        <f>Registered!AX1891</f>
        <v/>
      </c>
      <c r="I814" s="4" t="str">
        <f>Registered!AY1891</f>
        <v/>
      </c>
    </row>
    <row r="815" spans="1:9" x14ac:dyDescent="0.25">
      <c r="A815" s="4" t="str">
        <f>Registered!B1893</f>
        <v>Pearson</v>
      </c>
      <c r="B815" s="4" t="str">
        <f>Registered!A1893</f>
        <v>Jamie</v>
      </c>
      <c r="C815" s="4" t="str">
        <f>IF(Registered!AR1893&gt;0,Registered!AR1893&amp;" Color Bags", "")</f>
        <v>10 Color Bags</v>
      </c>
      <c r="D815" s="4" t="str">
        <f>IF(Registered!AS1893&gt;0,(IF(Registered!AS1893=1,Registered!AS1893&amp;" T-Shirt",Registered!AS1893&amp;" T-Shirts")), "")</f>
        <v/>
      </c>
      <c r="E815" s="4" t="str">
        <f>Registered!AT1893</f>
        <v/>
      </c>
      <c r="F815" s="4" t="str">
        <f>Registered!AU1893</f>
        <v/>
      </c>
      <c r="G815" s="4" t="str">
        <f>Registered!AW1893</f>
        <v/>
      </c>
      <c r="H815" s="4" t="str">
        <f>Registered!AX1893</f>
        <v/>
      </c>
      <c r="I815" s="4" t="str">
        <f>Registered!AY1893</f>
        <v/>
      </c>
    </row>
    <row r="816" spans="1:9" x14ac:dyDescent="0.25">
      <c r="A816" s="4" t="str">
        <f>Registered!B1894</f>
        <v>Pearson</v>
      </c>
      <c r="B816" s="4" t="str">
        <f>Registered!A1894</f>
        <v>Josh</v>
      </c>
      <c r="C816" s="4" t="str">
        <f>IF(Registered!AR1894&gt;0,Registered!AR1894&amp;" Color Bags", "")</f>
        <v>5 Color Bags</v>
      </c>
      <c r="D816" s="4" t="str">
        <f>IF(Registered!AS1894&gt;0,(IF(Registered!AS1894=1,Registered!AS1894&amp;" T-Shirt",Registered!AS1894&amp;" T-Shirts")), "")</f>
        <v/>
      </c>
      <c r="E816" s="4" t="str">
        <f>Registered!AT1894</f>
        <v/>
      </c>
      <c r="F816" s="4" t="str">
        <f>Registered!AU1894</f>
        <v/>
      </c>
      <c r="G816" s="4" t="str">
        <f>Registered!AW1894</f>
        <v/>
      </c>
      <c r="H816" s="4" t="str">
        <f>Registered!AX1894</f>
        <v/>
      </c>
      <c r="I816" s="4" t="str">
        <f>Registered!AY1894</f>
        <v/>
      </c>
    </row>
    <row r="817" spans="1:9" x14ac:dyDescent="0.25">
      <c r="A817" s="4" t="str">
        <f>Registered!B1897</f>
        <v>Peck</v>
      </c>
      <c r="B817" s="4" t="str">
        <f>Registered!A1897</f>
        <v>Jordan</v>
      </c>
      <c r="C817" s="4" t="str">
        <f>IF(Registered!AR1897&gt;0,Registered!AR1897&amp;" Color Bags", "")</f>
        <v>10 Color Bags</v>
      </c>
      <c r="D817" s="4" t="str">
        <f>IF(Registered!AS1897&gt;0,(IF(Registered!AS1897=1,Registered!AS1897&amp;" T-Shirt",Registered!AS1897&amp;" T-Shirts")), "")</f>
        <v/>
      </c>
      <c r="E817" s="4" t="str">
        <f>Registered!AT1897</f>
        <v/>
      </c>
      <c r="F817" s="4" t="str">
        <f>Registered!AU1897</f>
        <v>1 Bandana</v>
      </c>
      <c r="G817" s="4" t="str">
        <f>Registered!AW1897</f>
        <v/>
      </c>
      <c r="H817" s="4" t="str">
        <f>Registered!AX1897</f>
        <v>1 BG</v>
      </c>
      <c r="I817" s="4" t="str">
        <f>Registered!AY1897</f>
        <v/>
      </c>
    </row>
    <row r="818" spans="1:9" x14ac:dyDescent="0.25">
      <c r="A818" s="4" t="str">
        <f>Registered!B1906</f>
        <v>Perez</v>
      </c>
      <c r="B818" s="4" t="str">
        <f>Registered!A1906</f>
        <v>Susana</v>
      </c>
      <c r="C818" s="4" t="str">
        <f>IF(Registered!AR1906&gt;0,Registered!AR1906&amp;" Color Bags", "")</f>
        <v>20 Color Bags</v>
      </c>
      <c r="D818" s="4" t="str">
        <f>IF(Registered!AS1906&gt;0,(IF(Registered!AS1906=1,Registered!AS1906&amp;" T-Shirt",Registered!AS1906&amp;" T-Shirts")), "")</f>
        <v>3 T-Shirts</v>
      </c>
      <c r="E818" s="4" t="str">
        <f>Registered!AT1906</f>
        <v>2 Adult Large , 1 Adult Medium</v>
      </c>
      <c r="F818" s="4" t="str">
        <f>Registered!AU1906</f>
        <v/>
      </c>
      <c r="G818" s="4" t="str">
        <f>Registered!AW1906</f>
        <v>3 Meals</v>
      </c>
      <c r="H818" s="4" t="str">
        <f>Registered!AX1906</f>
        <v/>
      </c>
      <c r="I818" s="4" t="str">
        <f>Registered!AY1906</f>
        <v>1 DustMask</v>
      </c>
    </row>
    <row r="819" spans="1:9" x14ac:dyDescent="0.25">
      <c r="A819" s="4" t="str">
        <f>Registered!B1905</f>
        <v>Perez</v>
      </c>
      <c r="B819" s="4" t="str">
        <f>Registered!A1905</f>
        <v>Leona</v>
      </c>
      <c r="C819" s="4" t="str">
        <f>IF(Registered!AR1905&gt;0,Registered!AR1905&amp;" Color Bags", "")</f>
        <v>35 Color Bags</v>
      </c>
      <c r="D819" s="4" t="str">
        <f>IF(Registered!AS1905&gt;0,(IF(Registered!AS1905=1,Registered!AS1905&amp;" T-Shirt",Registered!AS1905&amp;" T-Shirts")), "")</f>
        <v>3 T-Shirts</v>
      </c>
      <c r="E819" s="4" t="str">
        <f>Registered!AT1905</f>
        <v>2 Mediums and 1 XL</v>
      </c>
      <c r="F819" s="4" t="str">
        <f>Registered!AU1905</f>
        <v/>
      </c>
      <c r="G819" s="4" t="str">
        <f>Registered!AW1905</f>
        <v>3 Meals</v>
      </c>
      <c r="H819" s="4" t="str">
        <f>Registered!AX1905</f>
        <v/>
      </c>
      <c r="I819" s="4" t="str">
        <f>Registered!AY1905</f>
        <v/>
      </c>
    </row>
    <row r="820" spans="1:9" x14ac:dyDescent="0.25">
      <c r="A820" s="4" t="str">
        <f>Registered!B1907</f>
        <v>Perkes</v>
      </c>
      <c r="B820" s="4" t="str">
        <f>Registered!A1907</f>
        <v>Melyssa</v>
      </c>
      <c r="C820" s="4" t="str">
        <f>IF(Registered!AR1907&gt;0,Registered!AR1907&amp;" Color Bags", "")</f>
        <v>5 Color Bags</v>
      </c>
      <c r="D820" s="4" t="str">
        <f>IF(Registered!AS1907&gt;0,(IF(Registered!AS1907=1,Registered!AS1907&amp;" T-Shirt",Registered!AS1907&amp;" T-Shirts")), "")</f>
        <v/>
      </c>
      <c r="E820" s="4" t="str">
        <f>Registered!AT1907</f>
        <v/>
      </c>
      <c r="F820" s="4" t="str">
        <f>Registered!AU1907</f>
        <v/>
      </c>
      <c r="G820" s="4" t="str">
        <f>Registered!AW1907</f>
        <v/>
      </c>
      <c r="H820" s="4" t="str">
        <f>Registered!AX1907</f>
        <v/>
      </c>
      <c r="I820" s="4" t="str">
        <f>Registered!AY1907</f>
        <v/>
      </c>
    </row>
    <row r="821" spans="1:9" x14ac:dyDescent="0.25">
      <c r="A821" s="4" t="str">
        <f>Registered!B1908</f>
        <v>Perkins</v>
      </c>
      <c r="B821" s="4" t="str">
        <f>Registered!A1908</f>
        <v>Anne</v>
      </c>
      <c r="C821" s="4" t="str">
        <f>IF(Registered!AR1908&gt;0,Registered!AR1908&amp;" Color Bags", "")</f>
        <v>5 Color Bags</v>
      </c>
      <c r="D821" s="4" t="str">
        <f>IF(Registered!AS1908&gt;0,(IF(Registered!AS1908=1,Registered!AS1908&amp;" T-Shirt",Registered!AS1908&amp;" T-Shirts")), "")</f>
        <v/>
      </c>
      <c r="E821" s="4" t="str">
        <f>Registered!AT1908</f>
        <v/>
      </c>
      <c r="F821" s="4" t="str">
        <f>Registered!AU1908</f>
        <v/>
      </c>
      <c r="G821" s="4" t="str">
        <f>Registered!AW1908</f>
        <v/>
      </c>
      <c r="H821" s="4" t="str">
        <f>Registered!AX1908</f>
        <v/>
      </c>
      <c r="I821" s="4" t="str">
        <f>Registered!AY1908</f>
        <v/>
      </c>
    </row>
    <row r="822" spans="1:9" x14ac:dyDescent="0.25">
      <c r="A822" s="4" t="str">
        <f>Registered!B1910</f>
        <v>Perkins</v>
      </c>
      <c r="B822" s="4" t="str">
        <f>Registered!A1910</f>
        <v>Jodi</v>
      </c>
      <c r="C822" s="4" t="str">
        <f>IF(Registered!AR1910&gt;0,Registered!AR1910&amp;" Color Bags", "")</f>
        <v>5 Color Bags</v>
      </c>
      <c r="D822" s="4" t="str">
        <f>IF(Registered!AS1910&gt;0,(IF(Registered!AS1910=1,Registered!AS1910&amp;" T-Shirt",Registered!AS1910&amp;" T-Shirts")), "")</f>
        <v/>
      </c>
      <c r="E822" s="4" t="str">
        <f>Registered!AT1910</f>
        <v/>
      </c>
      <c r="F822" s="4" t="str">
        <f>Registered!AU1910</f>
        <v/>
      </c>
      <c r="G822" s="4" t="str">
        <f>Registered!AW1910</f>
        <v/>
      </c>
      <c r="H822" s="4" t="str">
        <f>Registered!AX1910</f>
        <v/>
      </c>
      <c r="I822" s="4" t="str">
        <f>Registered!AY1910</f>
        <v/>
      </c>
    </row>
    <row r="823" spans="1:9" x14ac:dyDescent="0.25">
      <c r="A823" s="4" t="str">
        <f>Registered!B1913</f>
        <v>Perry</v>
      </c>
      <c r="B823" s="4" t="str">
        <f>Registered!A1913</f>
        <v>Joey</v>
      </c>
      <c r="C823" s="4" t="str">
        <f>IF(Registered!AR1913&gt;0,Registered!AR1913&amp;" Color Bags", "")</f>
        <v>10 Color Bags</v>
      </c>
      <c r="D823" s="4" t="str">
        <f>IF(Registered!AS1913&gt;0,(IF(Registered!AS1913=1,Registered!AS1913&amp;" T-Shirt",Registered!AS1913&amp;" T-Shirts")), "")</f>
        <v/>
      </c>
      <c r="E823" s="4" t="str">
        <f>Registered!AT1913</f>
        <v/>
      </c>
      <c r="F823" s="4" t="str">
        <f>Registered!AU1913</f>
        <v/>
      </c>
      <c r="G823" s="4" t="str">
        <f>Registered!AW1913</f>
        <v/>
      </c>
      <c r="H823" s="4" t="str">
        <f>Registered!AX1913</f>
        <v/>
      </c>
      <c r="I823" s="4" t="str">
        <f>Registered!AY1913</f>
        <v/>
      </c>
    </row>
    <row r="824" spans="1:9" x14ac:dyDescent="0.25">
      <c r="A824" s="4" t="str">
        <f>Registered!B1915</f>
        <v>Perryman</v>
      </c>
      <c r="B824" s="4" t="str">
        <f>Registered!A1915</f>
        <v>Shaelinn A.</v>
      </c>
      <c r="C824" s="4" t="str">
        <f>IF(Registered!AR1915&gt;0,Registered!AR1915&amp;" Color Bags", "")</f>
        <v>10 Color Bags</v>
      </c>
      <c r="D824" s="4" t="str">
        <f>IF(Registered!AS1915&gt;0,(IF(Registered!AS1915=1,Registered!AS1915&amp;" T-Shirt",Registered!AS1915&amp;" T-Shirts")), "")</f>
        <v/>
      </c>
      <c r="E824" s="4" t="str">
        <f>Registered!AT1915</f>
        <v/>
      </c>
      <c r="F824" s="4" t="str">
        <f>Registered!AU1915</f>
        <v/>
      </c>
      <c r="G824" s="4" t="str">
        <f>Registered!AW1915</f>
        <v/>
      </c>
      <c r="H824" s="4" t="str">
        <f>Registered!AX1915</f>
        <v/>
      </c>
      <c r="I824" s="4" t="str">
        <f>Registered!AY1915</f>
        <v/>
      </c>
    </row>
    <row r="825" spans="1:9" x14ac:dyDescent="0.25">
      <c r="A825" s="4" t="str">
        <f>Registered!B1916</f>
        <v>Peters</v>
      </c>
      <c r="B825" s="4" t="str">
        <f>Registered!A1916</f>
        <v>Aline</v>
      </c>
      <c r="C825" s="4" t="str">
        <f>IF(Registered!AR1916&gt;0,Registered!AR1916&amp;" Color Bags", "")</f>
        <v>5 Color Bags</v>
      </c>
      <c r="D825" s="4" t="str">
        <f>IF(Registered!AS1916&gt;0,(IF(Registered!AS1916=1,Registered!AS1916&amp;" T-Shirt",Registered!AS1916&amp;" T-Shirts")), "")</f>
        <v/>
      </c>
      <c r="E825" s="4" t="str">
        <f>Registered!AT1916</f>
        <v/>
      </c>
      <c r="F825" s="4" t="str">
        <f>Registered!AU1916</f>
        <v/>
      </c>
      <c r="G825" s="4" t="str">
        <f>Registered!AW1916</f>
        <v/>
      </c>
      <c r="H825" s="4" t="str">
        <f>Registered!AX1916</f>
        <v/>
      </c>
      <c r="I825" s="4" t="str">
        <f>Registered!AY1916</f>
        <v/>
      </c>
    </row>
    <row r="826" spans="1:9" x14ac:dyDescent="0.25">
      <c r="A826" s="4" t="str">
        <f>Registered!B1917</f>
        <v>Petersen</v>
      </c>
      <c r="B826" s="4" t="str">
        <f>Registered!A1917</f>
        <v>Dan</v>
      </c>
      <c r="C826" s="4" t="str">
        <f>IF(Registered!AR1917&gt;0,Registered!AR1917&amp;" Color Bags", "")</f>
        <v>25 Color Bags</v>
      </c>
      <c r="D826" s="4" t="str">
        <f>IF(Registered!AS1917&gt;0,(IF(Registered!AS1917=1,Registered!AS1917&amp;" T-Shirt",Registered!AS1917&amp;" T-Shirts")), "")</f>
        <v/>
      </c>
      <c r="E826" s="4" t="str">
        <f>Registered!AT1917</f>
        <v/>
      </c>
      <c r="F826" s="4" t="str">
        <f>Registered!AU1917</f>
        <v/>
      </c>
      <c r="G826" s="4" t="str">
        <f>Registered!AW1917</f>
        <v/>
      </c>
      <c r="H826" s="4" t="str">
        <f>Registered!AX1917</f>
        <v/>
      </c>
      <c r="I826" s="4" t="str">
        <f>Registered!AY1917</f>
        <v/>
      </c>
    </row>
    <row r="827" spans="1:9" x14ac:dyDescent="0.25">
      <c r="A827" s="4" t="str">
        <f>Registered!B1918</f>
        <v>Petersen</v>
      </c>
      <c r="B827" s="4" t="str">
        <f>Registered!A1918</f>
        <v>Jacob</v>
      </c>
      <c r="C827" s="4" t="str">
        <f>IF(Registered!AR1918&gt;0,Registered!AR1918&amp;" Color Bags", "")</f>
        <v>5 Color Bags</v>
      </c>
      <c r="D827" s="4" t="str">
        <f>IF(Registered!AS1918&gt;0,(IF(Registered!AS1918=1,Registered!AS1918&amp;" T-Shirt",Registered!AS1918&amp;" T-Shirts")), "")</f>
        <v/>
      </c>
      <c r="E827" s="4" t="str">
        <f>Registered!AT1918</f>
        <v/>
      </c>
      <c r="F827" s="4" t="str">
        <f>Registered!AU1918</f>
        <v/>
      </c>
      <c r="G827" s="4" t="str">
        <f>Registered!AW1918</f>
        <v/>
      </c>
      <c r="H827" s="4" t="str">
        <f>Registered!AX1918</f>
        <v/>
      </c>
      <c r="I827" s="4" t="str">
        <f>Registered!AY1918</f>
        <v/>
      </c>
    </row>
    <row r="828" spans="1:9" x14ac:dyDescent="0.25">
      <c r="A828" s="4" t="str">
        <f>Registered!B1921</f>
        <v>Peterson</v>
      </c>
      <c r="B828" s="4" t="str">
        <f>Registered!A1921</f>
        <v>Darren</v>
      </c>
      <c r="C828" s="4" t="str">
        <f>IF(Registered!AR1921&gt;0,Registered!AR1921&amp;" Color Bags", "")</f>
        <v>10 Color Bags</v>
      </c>
      <c r="D828" s="4" t="str">
        <f>IF(Registered!AS1921&gt;0,(IF(Registered!AS1921=1,Registered!AS1921&amp;" T-Shirt",Registered!AS1921&amp;" T-Shirts")), "")</f>
        <v/>
      </c>
      <c r="E828" s="4" t="str">
        <f>Registered!AT1921</f>
        <v/>
      </c>
      <c r="F828" s="4" t="str">
        <f>Registered!AU1921</f>
        <v/>
      </c>
      <c r="G828" s="4" t="str">
        <f>Registered!AW1921</f>
        <v/>
      </c>
      <c r="H828" s="4" t="str">
        <f>Registered!AX1921</f>
        <v/>
      </c>
      <c r="I828" s="4" t="str">
        <f>Registered!AY1921</f>
        <v/>
      </c>
    </row>
    <row r="829" spans="1:9" x14ac:dyDescent="0.25">
      <c r="A829" s="4" t="str">
        <f>Registered!B1927</f>
        <v>Peterson</v>
      </c>
      <c r="B829" s="4" t="str">
        <f>Registered!A1927</f>
        <v>Steven</v>
      </c>
      <c r="C829" s="4" t="str">
        <f>IF(Registered!AR1927&gt;0,Registered!AR1927&amp;" Color Bags", "")</f>
        <v>15 Color Bags</v>
      </c>
      <c r="D829" s="4" t="str">
        <f>IF(Registered!AS1927&gt;0,(IF(Registered!AS1927=1,Registered!AS1927&amp;" T-Shirt",Registered!AS1927&amp;" T-Shirts")), "")</f>
        <v/>
      </c>
      <c r="E829" s="4" t="str">
        <f>Registered!AT1927</f>
        <v/>
      </c>
      <c r="F829" s="4" t="str">
        <f>Registered!AU1927</f>
        <v/>
      </c>
      <c r="G829" s="4" t="str">
        <f>Registered!AW1927</f>
        <v/>
      </c>
      <c r="H829" s="4" t="str">
        <f>Registered!AX1927</f>
        <v/>
      </c>
      <c r="I829" s="4" t="str">
        <f>Registered!AY1927</f>
        <v/>
      </c>
    </row>
    <row r="830" spans="1:9" x14ac:dyDescent="0.25">
      <c r="A830" s="4" t="str">
        <f>Registered!B1920</f>
        <v>Peterson</v>
      </c>
      <c r="B830" s="4" t="str">
        <f>Registered!A1920</f>
        <v>Autum</v>
      </c>
      <c r="C830" s="4" t="str">
        <f>IF(Registered!AR1920&gt;0,Registered!AR1920&amp;" Color Bags", "")</f>
        <v>40 Color Bags</v>
      </c>
      <c r="D830" s="4" t="str">
        <f>IF(Registered!AS1920&gt;0,(IF(Registered!AS1920=1,Registered!AS1920&amp;" T-Shirt",Registered!AS1920&amp;" T-Shirts")), "")</f>
        <v/>
      </c>
      <c r="E830" s="4" t="str">
        <f>Registered!AT1920</f>
        <v/>
      </c>
      <c r="F830" s="4" t="str">
        <f>Registered!AU1920</f>
        <v/>
      </c>
      <c r="G830" s="4" t="str">
        <f>Registered!AW1920</f>
        <v/>
      </c>
      <c r="H830" s="4" t="str">
        <f>Registered!AX1920</f>
        <v/>
      </c>
      <c r="I830" s="4" t="str">
        <f>Registered!AY1920</f>
        <v/>
      </c>
    </row>
    <row r="831" spans="1:9" x14ac:dyDescent="0.25">
      <c r="A831" s="4" t="str">
        <f>Registered!B1924</f>
        <v>Peterson</v>
      </c>
      <c r="B831" s="4" t="str">
        <f>Registered!A1924</f>
        <v>Lacey</v>
      </c>
      <c r="C831" s="4" t="str">
        <f>IF(Registered!AR1924&gt;0,Registered!AR1924&amp;" Color Bags", "")</f>
        <v>5 Color Bags</v>
      </c>
      <c r="D831" s="4" t="str">
        <f>IF(Registered!AS1924&gt;0,(IF(Registered!AS1924=1,Registered!AS1924&amp;" T-Shirt",Registered!AS1924&amp;" T-Shirts")), "")</f>
        <v/>
      </c>
      <c r="E831" s="4" t="str">
        <f>Registered!AT1924</f>
        <v/>
      </c>
      <c r="F831" s="4" t="str">
        <f>Registered!AU1924</f>
        <v/>
      </c>
      <c r="G831" s="4" t="str">
        <f>Registered!AW1924</f>
        <v/>
      </c>
      <c r="H831" s="4" t="str">
        <f>Registered!AX1924</f>
        <v/>
      </c>
      <c r="I831" s="4" t="str">
        <f>Registered!AY1924</f>
        <v/>
      </c>
    </row>
    <row r="832" spans="1:9" x14ac:dyDescent="0.25">
      <c r="A832" s="4" t="str">
        <f>Registered!B1928</f>
        <v>Peterson</v>
      </c>
      <c r="B832" s="4" t="str">
        <f>Registered!A1928</f>
        <v>Tyler</v>
      </c>
      <c r="C832" s="4" t="str">
        <f>IF(Registered!AR1928&gt;0,Registered!AR1928&amp;" Color Bags", "")</f>
        <v>5 Color Bags</v>
      </c>
      <c r="D832" s="4" t="str">
        <f>IF(Registered!AS1928&gt;0,(IF(Registered!AS1928=1,Registered!AS1928&amp;" T-Shirt",Registered!AS1928&amp;" T-Shirts")), "")</f>
        <v/>
      </c>
      <c r="E832" s="4" t="str">
        <f>Registered!AT1928</f>
        <v/>
      </c>
      <c r="F832" s="4" t="str">
        <f>Registered!AU1928</f>
        <v/>
      </c>
      <c r="G832" s="4" t="str">
        <f>Registered!AW1928</f>
        <v/>
      </c>
      <c r="H832" s="4" t="str">
        <f>Registered!AX1928</f>
        <v/>
      </c>
      <c r="I832" s="4" t="str">
        <f>Registered!AY1928</f>
        <v/>
      </c>
    </row>
    <row r="833" spans="1:9" x14ac:dyDescent="0.25">
      <c r="A833" s="4" t="str">
        <f>Registered!B1931</f>
        <v>Pfeil</v>
      </c>
      <c r="B833" s="4" t="str">
        <f>Registered!A1931</f>
        <v>Amber</v>
      </c>
      <c r="C833" s="4" t="str">
        <f>IF(Registered!AR1931&gt;0,Registered!AR1931&amp;" Color Bags", "")</f>
        <v>30 Color Bags</v>
      </c>
      <c r="D833" s="4" t="str">
        <f>IF(Registered!AS1931&gt;0,(IF(Registered!AS1931=1,Registered!AS1931&amp;" T-Shirt",Registered!AS1931&amp;" T-Shirts")), "")</f>
        <v/>
      </c>
      <c r="E833" s="4" t="str">
        <f>Registered!AT1931</f>
        <v/>
      </c>
      <c r="F833" s="4" t="str">
        <f>Registered!AU1931</f>
        <v/>
      </c>
      <c r="G833" s="4" t="str">
        <f>Registered!AW1931</f>
        <v/>
      </c>
      <c r="H833" s="4" t="str">
        <f>Registered!AX1931</f>
        <v/>
      </c>
      <c r="I833" s="4" t="str">
        <f>Registered!AY1931</f>
        <v/>
      </c>
    </row>
    <row r="834" spans="1:9" x14ac:dyDescent="0.25">
      <c r="A834" s="4" t="str">
        <f>Registered!B1935</f>
        <v>Pham</v>
      </c>
      <c r="B834" s="4" t="str">
        <f>Registered!A1935</f>
        <v>Kimberly</v>
      </c>
      <c r="C834" s="4" t="str">
        <f>IF(Registered!AR1935&gt;0,Registered!AR1935&amp;" Color Bags", "")</f>
        <v>20 Color Bags</v>
      </c>
      <c r="D834" s="4" t="str">
        <f>IF(Registered!AS1935&gt;0,(IF(Registered!AS1935=1,Registered!AS1935&amp;" T-Shirt",Registered!AS1935&amp;" T-Shirts")), "")</f>
        <v/>
      </c>
      <c r="E834" s="4" t="str">
        <f>Registered!AT1935</f>
        <v/>
      </c>
      <c r="F834" s="4" t="str">
        <f>Registered!AU1935</f>
        <v/>
      </c>
      <c r="G834" s="4" t="str">
        <f>Registered!AW1935</f>
        <v/>
      </c>
      <c r="H834" s="4" t="str">
        <f>Registered!AX1935</f>
        <v/>
      </c>
      <c r="I834" s="4" t="str">
        <f>Registered!AY1935</f>
        <v/>
      </c>
    </row>
    <row r="835" spans="1:9" x14ac:dyDescent="0.25">
      <c r="A835" s="4" t="str">
        <f>Registered!B1936</f>
        <v>Phillips</v>
      </c>
      <c r="B835" s="4" t="str">
        <f>Registered!A1936</f>
        <v>Diana</v>
      </c>
      <c r="C835" s="4" t="str">
        <f>IF(Registered!AR1936&gt;0,Registered!AR1936&amp;" Color Bags", "")</f>
        <v>5 Color Bags</v>
      </c>
      <c r="D835" s="4" t="str">
        <f>IF(Registered!AS1936&gt;0,(IF(Registered!AS1936=1,Registered!AS1936&amp;" T-Shirt",Registered!AS1936&amp;" T-Shirts")), "")</f>
        <v>1 T-Shirt</v>
      </c>
      <c r="E835" s="4" t="str">
        <f>Registered!AT1936</f>
        <v>Large</v>
      </c>
      <c r="F835" s="4" t="str">
        <f>Registered!AU1936</f>
        <v/>
      </c>
      <c r="G835" s="4" t="str">
        <f>Registered!AW1936</f>
        <v>1 Meal</v>
      </c>
      <c r="H835" s="4" t="str">
        <f>Registered!AX1936</f>
        <v/>
      </c>
      <c r="I835" s="4" t="str">
        <f>Registered!AY1936</f>
        <v/>
      </c>
    </row>
    <row r="836" spans="1:9" x14ac:dyDescent="0.25">
      <c r="A836" s="4" t="str">
        <f>Registered!B1938</f>
        <v>Phim</v>
      </c>
      <c r="B836" s="4" t="str">
        <f>Registered!A1938</f>
        <v>Tammy</v>
      </c>
      <c r="C836" s="4" t="str">
        <f>IF(Registered!AR1938&gt;0,Registered!AR1938&amp;" Color Bags", "")</f>
        <v>10 Color Bags</v>
      </c>
      <c r="D836" s="4" t="str">
        <f>IF(Registered!AS1938&gt;0,(IF(Registered!AS1938=1,Registered!AS1938&amp;" T-Shirt",Registered!AS1938&amp;" T-Shirts")), "")</f>
        <v/>
      </c>
      <c r="E836" s="4" t="str">
        <f>Registered!AT1938</f>
        <v/>
      </c>
      <c r="F836" s="4" t="str">
        <f>Registered!AU1938</f>
        <v>4 Bandanas</v>
      </c>
      <c r="G836" s="4" t="str">
        <f>Registered!AW1938</f>
        <v/>
      </c>
      <c r="H836" s="4" t="str">
        <f>Registered!AX1938</f>
        <v/>
      </c>
      <c r="I836" s="4" t="str">
        <f>Registered!AY1938</f>
        <v/>
      </c>
    </row>
    <row r="837" spans="1:9" x14ac:dyDescent="0.25">
      <c r="A837" s="4" t="str">
        <f>Registered!B1940</f>
        <v>Pickard</v>
      </c>
      <c r="B837" s="4" t="str">
        <f>Registered!A1940</f>
        <v>Sierra</v>
      </c>
      <c r="C837" s="4" t="str">
        <f>IF(Registered!AR1940&gt;0,Registered!AR1940&amp;" Color Bags", "")</f>
        <v>15 Color Bags</v>
      </c>
      <c r="D837" s="4" t="str">
        <f>IF(Registered!AS1940&gt;0,(IF(Registered!AS1940=1,Registered!AS1940&amp;" T-Shirt",Registered!AS1940&amp;" T-Shirts")), "")</f>
        <v/>
      </c>
      <c r="E837" s="4" t="str">
        <f>Registered!AT1940</f>
        <v/>
      </c>
      <c r="F837" s="4" t="str">
        <f>Registered!AU1940</f>
        <v/>
      </c>
      <c r="G837" s="4" t="str">
        <f>Registered!AW1940</f>
        <v/>
      </c>
      <c r="H837" s="4" t="str">
        <f>Registered!AX1940</f>
        <v/>
      </c>
      <c r="I837" s="4" t="str">
        <f>Registered!AY1940</f>
        <v/>
      </c>
    </row>
    <row r="838" spans="1:9" x14ac:dyDescent="0.25">
      <c r="A838" s="4" t="str">
        <f>Registered!B1944</f>
        <v>Pientka</v>
      </c>
      <c r="B838" s="4" t="str">
        <f>Registered!A1944</f>
        <v>Michelle</v>
      </c>
      <c r="C838" s="4" t="str">
        <f>IF(Registered!AR1944&gt;0,Registered!AR1944&amp;" Color Bags", "")</f>
        <v>10 Color Bags</v>
      </c>
      <c r="D838" s="4" t="str">
        <f>IF(Registered!AS1944&gt;0,(IF(Registered!AS1944=1,Registered!AS1944&amp;" T-Shirt",Registered!AS1944&amp;" T-Shirts")), "")</f>
        <v/>
      </c>
      <c r="E838" s="4" t="str">
        <f>Registered!AT1944</f>
        <v/>
      </c>
      <c r="F838" s="4" t="str">
        <f>Registered!AU1944</f>
        <v/>
      </c>
      <c r="G838" s="4" t="str">
        <f>Registered!AW1944</f>
        <v/>
      </c>
      <c r="H838" s="4" t="str">
        <f>Registered!AX1944</f>
        <v/>
      </c>
      <c r="I838" s="4" t="str">
        <f>Registered!AY1944</f>
        <v/>
      </c>
    </row>
    <row r="839" spans="1:9" x14ac:dyDescent="0.25">
      <c r="A839" s="4" t="str">
        <f>Registered!B1947</f>
        <v>Pierson</v>
      </c>
      <c r="B839" s="4" t="str">
        <f>Registered!A1947</f>
        <v>Connor</v>
      </c>
      <c r="C839" s="4" t="str">
        <f>IF(Registered!AR1947&gt;0,Registered!AR1947&amp;" Color Bags", "")</f>
        <v>10 Color Bags</v>
      </c>
      <c r="D839" s="4" t="str">
        <f>IF(Registered!AS1947&gt;0,(IF(Registered!AS1947=1,Registered!AS1947&amp;" T-Shirt",Registered!AS1947&amp;" T-Shirts")), "")</f>
        <v/>
      </c>
      <c r="E839" s="4" t="str">
        <f>Registered!AT1947</f>
        <v/>
      </c>
      <c r="F839" s="4" t="str">
        <f>Registered!AU1947</f>
        <v/>
      </c>
      <c r="G839" s="4" t="str">
        <f>Registered!AW1947</f>
        <v>1 Meal</v>
      </c>
      <c r="H839" s="4" t="str">
        <f>Registered!AX1947</f>
        <v/>
      </c>
      <c r="I839" s="4" t="str">
        <f>Registered!AY1947</f>
        <v/>
      </c>
    </row>
    <row r="840" spans="1:9" x14ac:dyDescent="0.25">
      <c r="A840" s="4" t="str">
        <f>Registered!B1951</f>
        <v>Pietszak</v>
      </c>
      <c r="B840" s="4" t="str">
        <f>Registered!A1951</f>
        <v>Henry</v>
      </c>
      <c r="C840" s="4" t="str">
        <f>IF(Registered!AR1951&gt;0,Registered!AR1951&amp;" Color Bags", "")</f>
        <v>10 Color Bags</v>
      </c>
      <c r="D840" s="4" t="str">
        <f>IF(Registered!AS1951&gt;0,(IF(Registered!AS1951=1,Registered!AS1951&amp;" T-Shirt",Registered!AS1951&amp;" T-Shirts")), "")</f>
        <v/>
      </c>
      <c r="E840" s="4" t="str">
        <f>Registered!AT1951</f>
        <v/>
      </c>
      <c r="F840" s="4" t="str">
        <f>Registered!AU1951</f>
        <v/>
      </c>
      <c r="G840" s="4" t="str">
        <f>Registered!AW1951</f>
        <v/>
      </c>
      <c r="H840" s="4" t="str">
        <f>Registered!AX1951</f>
        <v/>
      </c>
      <c r="I840" s="4" t="str">
        <f>Registered!AY1951</f>
        <v/>
      </c>
    </row>
    <row r="841" spans="1:9" x14ac:dyDescent="0.25">
      <c r="A841" s="4" t="str">
        <f>Registered!B1955</f>
        <v>Pitts</v>
      </c>
      <c r="B841" s="4" t="str">
        <f>Registered!A1955</f>
        <v>Debra</v>
      </c>
      <c r="C841" s="4" t="str">
        <f>IF(Registered!AR1955&gt;0,Registered!AR1955&amp;" Color Bags", "")</f>
        <v>5 Color Bags</v>
      </c>
      <c r="D841" s="4" t="str">
        <f>IF(Registered!AS1955&gt;0,(IF(Registered!AS1955=1,Registered!AS1955&amp;" T-Shirt",Registered!AS1955&amp;" T-Shirts")), "")</f>
        <v>1 T-Shirt</v>
      </c>
      <c r="E841" s="4" t="str">
        <f>Registered!AT1955</f>
        <v>XXXL</v>
      </c>
      <c r="F841" s="4" t="str">
        <f>Registered!AU1955</f>
        <v/>
      </c>
      <c r="G841" s="4" t="str">
        <f>Registered!AW1955</f>
        <v>1 Meal</v>
      </c>
      <c r="H841" s="4" t="str">
        <f>Registered!AX1955</f>
        <v/>
      </c>
      <c r="I841" s="4" t="str">
        <f>Registered!AY1955</f>
        <v/>
      </c>
    </row>
    <row r="842" spans="1:9" x14ac:dyDescent="0.25">
      <c r="A842" s="4" t="str">
        <f>Registered!B1957</f>
        <v>Player</v>
      </c>
      <c r="B842" s="4" t="str">
        <f>Registered!A1957</f>
        <v>Robyn</v>
      </c>
      <c r="C842" s="4" t="str">
        <f>IF(Registered!AR1957&gt;0,Registered!AR1957&amp;" Color Bags", "")</f>
        <v>5 Color Bags</v>
      </c>
      <c r="D842" s="4" t="str">
        <f>IF(Registered!AS1957&gt;0,(IF(Registered!AS1957=1,Registered!AS1957&amp;" T-Shirt",Registered!AS1957&amp;" T-Shirts")), "")</f>
        <v/>
      </c>
      <c r="E842" s="4" t="str">
        <f>Registered!AT1957</f>
        <v/>
      </c>
      <c r="F842" s="4" t="str">
        <f>Registered!AU1957</f>
        <v/>
      </c>
      <c r="G842" s="4" t="str">
        <f>Registered!AW1957</f>
        <v/>
      </c>
      <c r="H842" s="4" t="str">
        <f>Registered!AX1957</f>
        <v/>
      </c>
      <c r="I842" s="4" t="str">
        <f>Registered!AY1957</f>
        <v/>
      </c>
    </row>
    <row r="843" spans="1:9" x14ac:dyDescent="0.25">
      <c r="A843" s="4" t="str">
        <f>Registered!B1958</f>
        <v>Plowman</v>
      </c>
      <c r="B843" s="4" t="str">
        <f>Registered!A1958</f>
        <v>Makinsey</v>
      </c>
      <c r="C843" s="4" t="str">
        <f>IF(Registered!AR1958&gt;0,Registered!AR1958&amp;" Color Bags", "")</f>
        <v>5 Color Bags</v>
      </c>
      <c r="D843" s="4" t="str">
        <f>IF(Registered!AS1958&gt;0,(IF(Registered!AS1958=1,Registered!AS1958&amp;" T-Shirt",Registered!AS1958&amp;" T-Shirts")), "")</f>
        <v/>
      </c>
      <c r="E843" s="4" t="str">
        <f>Registered!AT1958</f>
        <v/>
      </c>
      <c r="F843" s="4" t="str">
        <f>Registered!AU1958</f>
        <v/>
      </c>
      <c r="G843" s="4" t="str">
        <f>Registered!AW1958</f>
        <v/>
      </c>
      <c r="H843" s="4" t="str">
        <f>Registered!AX1958</f>
        <v/>
      </c>
      <c r="I843" s="4" t="str">
        <f>Registered!AY1958</f>
        <v/>
      </c>
    </row>
    <row r="844" spans="1:9" x14ac:dyDescent="0.25">
      <c r="A844" s="4" t="str">
        <f>Registered!B1959</f>
        <v>Plummer</v>
      </c>
      <c r="B844" s="4" t="str">
        <f>Registered!A1959</f>
        <v>Nathan</v>
      </c>
      <c r="C844" s="4" t="str">
        <f>IF(Registered!AR1959&gt;0,Registered!AR1959&amp;" Color Bags", "")</f>
        <v>5 Color Bags</v>
      </c>
      <c r="D844" s="4" t="str">
        <f>IF(Registered!AS1959&gt;0,(IF(Registered!AS1959=1,Registered!AS1959&amp;" T-Shirt",Registered!AS1959&amp;" T-Shirts")), "")</f>
        <v>1 T-Shirt</v>
      </c>
      <c r="E844" s="4" t="str">
        <f>Registered!AT1959</f>
        <v>Size Not Specified</v>
      </c>
      <c r="F844" s="4" t="str">
        <f>Registered!AU1959</f>
        <v/>
      </c>
      <c r="G844" s="4" t="str">
        <f>Registered!AW1959</f>
        <v>1 Meal</v>
      </c>
      <c r="H844" s="4" t="str">
        <f>Registered!AX1959</f>
        <v/>
      </c>
      <c r="I844" s="4" t="str">
        <f>Registered!AY1959</f>
        <v/>
      </c>
    </row>
    <row r="845" spans="1:9" x14ac:dyDescent="0.25">
      <c r="A845" s="4" t="str">
        <f>Registered!B1960</f>
        <v>Plummer</v>
      </c>
      <c r="B845" s="4" t="str">
        <f>Registered!A1960</f>
        <v>Rian</v>
      </c>
      <c r="C845" s="4" t="str">
        <f>IF(Registered!AR1960&gt;0,Registered!AR1960&amp;" Color Bags", "")</f>
        <v>5 Color Bags</v>
      </c>
      <c r="D845" s="4" t="str">
        <f>IF(Registered!AS1960&gt;0,(IF(Registered!AS1960=1,Registered!AS1960&amp;" T-Shirt",Registered!AS1960&amp;" T-Shirts")), "")</f>
        <v/>
      </c>
      <c r="E845" s="4" t="str">
        <f>Registered!AT1960</f>
        <v/>
      </c>
      <c r="F845" s="4" t="str">
        <f>Registered!AU1960</f>
        <v/>
      </c>
      <c r="G845" s="4" t="str">
        <f>Registered!AW1960</f>
        <v/>
      </c>
      <c r="H845" s="4" t="str">
        <f>Registered!AX1960</f>
        <v/>
      </c>
      <c r="I845" s="4" t="str">
        <f>Registered!AY1960</f>
        <v/>
      </c>
    </row>
    <row r="846" spans="1:9" x14ac:dyDescent="0.25">
      <c r="A846" s="4" t="str">
        <f>Registered!B1962</f>
        <v>Polasek</v>
      </c>
      <c r="B846" s="4" t="str">
        <f>Registered!A1962</f>
        <v>Staci</v>
      </c>
      <c r="C846" s="4" t="str">
        <f>IF(Registered!AR1962&gt;0,Registered!AR1962&amp;" Color Bags", "")</f>
        <v>5 Color Bags</v>
      </c>
      <c r="D846" s="4" t="str">
        <f>IF(Registered!AS1962&gt;0,(IF(Registered!AS1962=1,Registered!AS1962&amp;" T-Shirt",Registered!AS1962&amp;" T-Shirts")), "")</f>
        <v>1 T-Shirt</v>
      </c>
      <c r="E846" s="4" t="str">
        <f>Registered!AT1962</f>
        <v>MEDIUM</v>
      </c>
      <c r="F846" s="4" t="str">
        <f>Registered!AU1962</f>
        <v/>
      </c>
      <c r="G846" s="4" t="str">
        <f>Registered!AW1962</f>
        <v>1 Meal</v>
      </c>
      <c r="H846" s="4" t="str">
        <f>Registered!AX1962</f>
        <v/>
      </c>
      <c r="I846" s="4" t="str">
        <f>Registered!AY1962</f>
        <v/>
      </c>
    </row>
    <row r="847" spans="1:9" x14ac:dyDescent="0.25">
      <c r="A847" s="4" t="str">
        <f>Registered!B1966</f>
        <v>Pollock</v>
      </c>
      <c r="B847" s="4" t="str">
        <f>Registered!A1966</f>
        <v>Nick</v>
      </c>
      <c r="C847" s="4" t="str">
        <f>IF(Registered!AR1966&gt;0,Registered!AR1966&amp;" Color Bags", "")</f>
        <v>10 Color Bags</v>
      </c>
      <c r="D847" s="4" t="str">
        <f>IF(Registered!AS1966&gt;0,(IF(Registered!AS1966=1,Registered!AS1966&amp;" T-Shirt",Registered!AS1966&amp;" T-Shirts")), "")</f>
        <v/>
      </c>
      <c r="E847" s="4" t="str">
        <f>Registered!AT1966</f>
        <v/>
      </c>
      <c r="F847" s="4" t="str">
        <f>Registered!AU1966</f>
        <v/>
      </c>
      <c r="G847" s="4" t="str">
        <f>Registered!AW1966</f>
        <v/>
      </c>
      <c r="H847" s="4" t="str">
        <f>Registered!AX1966</f>
        <v/>
      </c>
      <c r="I847" s="4" t="str">
        <f>Registered!AY1966</f>
        <v/>
      </c>
    </row>
    <row r="848" spans="1:9" x14ac:dyDescent="0.25">
      <c r="A848" s="4" t="str">
        <f>Registered!B1967</f>
        <v>Pond</v>
      </c>
      <c r="B848" s="4" t="str">
        <f>Registered!A1967</f>
        <v>Chealsy</v>
      </c>
      <c r="C848" s="4" t="str">
        <f>IF(Registered!AR1967&gt;0,Registered!AR1967&amp;" Color Bags", "")</f>
        <v>10 Color Bags</v>
      </c>
      <c r="D848" s="4" t="str">
        <f>IF(Registered!AS1967&gt;0,(IF(Registered!AS1967=1,Registered!AS1967&amp;" T-Shirt",Registered!AS1967&amp;" T-Shirts")), "")</f>
        <v/>
      </c>
      <c r="E848" s="4" t="str">
        <f>Registered!AT1967</f>
        <v/>
      </c>
      <c r="F848" s="4" t="str">
        <f>Registered!AU1967</f>
        <v/>
      </c>
      <c r="G848" s="4" t="str">
        <f>Registered!AW1967</f>
        <v/>
      </c>
      <c r="H848" s="4" t="str">
        <f>Registered!AX1967</f>
        <v/>
      </c>
      <c r="I848" s="4" t="str">
        <f>Registered!AY1967</f>
        <v/>
      </c>
    </row>
    <row r="849" spans="1:9" x14ac:dyDescent="0.25">
      <c r="A849" s="4" t="str">
        <f>Registered!B1979</f>
        <v>POnd</v>
      </c>
      <c r="B849" s="4" t="str">
        <f>Registered!A1979</f>
        <v>Jamie</v>
      </c>
      <c r="C849" s="4" t="str">
        <f>IF(Registered!AR1979&gt;0,Registered!AR1979&amp;" Color Bags", "")</f>
        <v>10 Color Bags</v>
      </c>
      <c r="D849" s="4" t="str">
        <f>IF(Registered!AS1979&gt;0,(IF(Registered!AS1979=1,Registered!AS1979&amp;" T-Shirt",Registered!AS1979&amp;" T-Shirts")), "")</f>
        <v/>
      </c>
      <c r="E849" s="4" t="str">
        <f>Registered!AT1979</f>
        <v/>
      </c>
      <c r="F849" s="4" t="str">
        <f>Registered!AU1979</f>
        <v/>
      </c>
      <c r="G849" s="4" t="str">
        <f>Registered!AW1979</f>
        <v/>
      </c>
      <c r="H849" s="4" t="str">
        <f>Registered!AX1979</f>
        <v/>
      </c>
      <c r="I849" s="4" t="str">
        <f>Registered!AY1979</f>
        <v/>
      </c>
    </row>
    <row r="850" spans="1:9" x14ac:dyDescent="0.25">
      <c r="A850" s="4" t="str">
        <f>Registered!B1969</f>
        <v>Pope</v>
      </c>
      <c r="B850" s="4" t="str">
        <f>Registered!A1969</f>
        <v>Rachael</v>
      </c>
      <c r="C850" s="4" t="str">
        <f>IF(Registered!AR1969&gt;0,Registered!AR1969&amp;" Color Bags", "")</f>
        <v>10 Color Bags</v>
      </c>
      <c r="D850" s="4" t="str">
        <f>IF(Registered!AS1969&gt;0,(IF(Registered!AS1969=1,Registered!AS1969&amp;" T-Shirt",Registered!AS1969&amp;" T-Shirts")), "")</f>
        <v/>
      </c>
      <c r="E850" s="4" t="str">
        <f>Registered!AT1969</f>
        <v/>
      </c>
      <c r="F850" s="4" t="str">
        <f>Registered!AU1969</f>
        <v/>
      </c>
      <c r="G850" s="4" t="str">
        <f>Registered!AW1969</f>
        <v/>
      </c>
      <c r="H850" s="4" t="str">
        <f>Registered!AX1969</f>
        <v/>
      </c>
      <c r="I850" s="4" t="str">
        <f>Registered!AY1969</f>
        <v/>
      </c>
    </row>
    <row r="851" spans="1:9" x14ac:dyDescent="0.25">
      <c r="A851" s="4" t="str">
        <f>Registered!B1973</f>
        <v>Posada</v>
      </c>
      <c r="B851" s="4" t="str">
        <f>Registered!A1973</f>
        <v>Carlos</v>
      </c>
      <c r="C851" s="4" t="str">
        <f>IF(Registered!AR1973&gt;0,Registered!AR1973&amp;" Color Bags", "")</f>
        <v>5 Color Bags</v>
      </c>
      <c r="D851" s="4" t="str">
        <f>IF(Registered!AS1973&gt;0,(IF(Registered!AS1973=1,Registered!AS1973&amp;" T-Shirt",Registered!AS1973&amp;" T-Shirts")), "")</f>
        <v>1 T-Shirt</v>
      </c>
      <c r="E851" s="4" t="str">
        <f>Registered!AT1973</f>
        <v>medium</v>
      </c>
      <c r="F851" s="4" t="str">
        <f>Registered!AU1973</f>
        <v/>
      </c>
      <c r="G851" s="4" t="str">
        <f>Registered!AW1973</f>
        <v>1 Meal</v>
      </c>
      <c r="H851" s="4" t="str">
        <f>Registered!AX1973</f>
        <v/>
      </c>
      <c r="I851" s="4" t="str">
        <f>Registered!AY1973</f>
        <v/>
      </c>
    </row>
    <row r="852" spans="1:9" x14ac:dyDescent="0.25">
      <c r="A852" s="4" t="str">
        <f>Registered!B1975</f>
        <v>Potter</v>
      </c>
      <c r="B852" s="4" t="str">
        <f>Registered!A1975</f>
        <v>Michael</v>
      </c>
      <c r="C852" s="4" t="str">
        <f>IF(Registered!AR1975&gt;0,Registered!AR1975&amp;" Color Bags", "")</f>
        <v/>
      </c>
      <c r="D852" s="4" t="str">
        <f>IF(Registered!AS1975&gt;0,(IF(Registered!AS1975=1,Registered!AS1975&amp;" T-Shirt",Registered!AS1975&amp;" T-Shirts")), "")</f>
        <v>1 T-Shirt</v>
      </c>
      <c r="E852" s="4" t="str">
        <f>Registered!AT1975</f>
        <v>Adult Medium</v>
      </c>
      <c r="F852" s="4" t="str">
        <f>Registered!AU1975</f>
        <v/>
      </c>
      <c r="G852" s="4" t="str">
        <f>Registered!AW1975</f>
        <v/>
      </c>
      <c r="H852" s="4" t="str">
        <f>Registered!AX1975</f>
        <v/>
      </c>
      <c r="I852" s="4" t="str">
        <f>Registered!AY1975</f>
        <v>1 DustMask</v>
      </c>
    </row>
    <row r="853" spans="1:9" x14ac:dyDescent="0.25">
      <c r="A853" s="4" t="str">
        <f>Registered!B1981</f>
        <v>Prajapati</v>
      </c>
      <c r="B853" s="4" t="str">
        <f>Registered!A1981</f>
        <v>Hina</v>
      </c>
      <c r="C853" s="4" t="str">
        <f>IF(Registered!AR1981&gt;0,Registered!AR1981&amp;" Color Bags", "")</f>
        <v>5 Color Bags</v>
      </c>
      <c r="D853" s="4" t="str">
        <f>IF(Registered!AS1981&gt;0,(IF(Registered!AS1981=1,Registered!AS1981&amp;" T-Shirt",Registered!AS1981&amp;" T-Shirts")), "")</f>
        <v/>
      </c>
      <c r="E853" s="4" t="str">
        <f>Registered!AT1981</f>
        <v/>
      </c>
      <c r="F853" s="4" t="str">
        <f>Registered!AU1981</f>
        <v/>
      </c>
      <c r="G853" s="4" t="str">
        <f>Registered!AW1981</f>
        <v>2 Meals</v>
      </c>
      <c r="H853" s="4" t="str">
        <f>Registered!AX1981</f>
        <v/>
      </c>
      <c r="I853" s="4" t="str">
        <f>Registered!AY1981</f>
        <v/>
      </c>
    </row>
    <row r="854" spans="1:9" x14ac:dyDescent="0.25">
      <c r="A854" s="4" t="str">
        <f>Registered!B1984</f>
        <v>Price</v>
      </c>
      <c r="B854" s="4" t="str">
        <f>Registered!A1984</f>
        <v>Brandi</v>
      </c>
      <c r="C854" s="4" t="str">
        <f>IF(Registered!AR1984&gt;0,Registered!AR1984&amp;" Color Bags", "")</f>
        <v>10 Color Bags</v>
      </c>
      <c r="D854" s="4" t="str">
        <f>IF(Registered!AS1984&gt;0,(IF(Registered!AS1984=1,Registered!AS1984&amp;" T-Shirt",Registered!AS1984&amp;" T-Shirts")), "")</f>
        <v/>
      </c>
      <c r="E854" s="4" t="str">
        <f>Registered!AT1984</f>
        <v/>
      </c>
      <c r="F854" s="4" t="str">
        <f>Registered!AU1984</f>
        <v/>
      </c>
      <c r="G854" s="4" t="str">
        <f>Registered!AW1984</f>
        <v/>
      </c>
      <c r="H854" s="4" t="str">
        <f>Registered!AX1984</f>
        <v/>
      </c>
      <c r="I854" s="4" t="str">
        <f>Registered!AY1984</f>
        <v/>
      </c>
    </row>
    <row r="855" spans="1:9" x14ac:dyDescent="0.25">
      <c r="A855" s="4" t="str">
        <f>Registered!B1986</f>
        <v>Price</v>
      </c>
      <c r="B855" s="4" t="str">
        <f>Registered!A1986</f>
        <v>Kevin</v>
      </c>
      <c r="C855" s="4" t="str">
        <f>IF(Registered!AR1986&gt;0,Registered!AR1986&amp;" Color Bags", "")</f>
        <v>10 Color Bags</v>
      </c>
      <c r="D855" s="4" t="str">
        <f>IF(Registered!AS1986&gt;0,(IF(Registered!AS1986=1,Registered!AS1986&amp;" T-Shirt",Registered!AS1986&amp;" T-Shirts")), "")</f>
        <v/>
      </c>
      <c r="E855" s="4" t="str">
        <f>Registered!AT1986</f>
        <v/>
      </c>
      <c r="F855" s="4" t="str">
        <f>Registered!AU1986</f>
        <v/>
      </c>
      <c r="G855" s="4" t="str">
        <f>Registered!AW1986</f>
        <v/>
      </c>
      <c r="H855" s="4" t="str">
        <f>Registered!AX1986</f>
        <v/>
      </c>
      <c r="I855" s="4" t="str">
        <f>Registered!AY1986</f>
        <v/>
      </c>
    </row>
    <row r="856" spans="1:9" x14ac:dyDescent="0.25">
      <c r="A856" s="4" t="str">
        <f>Registered!B1985</f>
        <v>Price</v>
      </c>
      <c r="B856" s="4" t="str">
        <f>Registered!A1985</f>
        <v>Emily</v>
      </c>
      <c r="C856" s="4" t="str">
        <f>IF(Registered!AR1985&gt;0,Registered!AR1985&amp;" Color Bags", "")</f>
        <v>15 Color Bags</v>
      </c>
      <c r="D856" s="4" t="str">
        <f>IF(Registered!AS1985&gt;0,(IF(Registered!AS1985=1,Registered!AS1985&amp;" T-Shirt",Registered!AS1985&amp;" T-Shirts")), "")</f>
        <v>3 T-Shirts</v>
      </c>
      <c r="E856" s="4" t="str">
        <f>Registered!AT1985</f>
        <v>Large, large, and medium</v>
      </c>
      <c r="F856" s="4" t="str">
        <f>Registered!AU1985</f>
        <v/>
      </c>
      <c r="G856" s="4" t="str">
        <f>Registered!AW1985</f>
        <v>3 Meals</v>
      </c>
      <c r="H856" s="4" t="str">
        <f>Registered!AX1985</f>
        <v/>
      </c>
      <c r="I856" s="4" t="str">
        <f>Registered!AY1985</f>
        <v/>
      </c>
    </row>
    <row r="857" spans="1:9" x14ac:dyDescent="0.25">
      <c r="A857" s="4" t="str">
        <f>Registered!B1983</f>
        <v>Price</v>
      </c>
      <c r="B857" s="4" t="str">
        <f>Registered!A1983</f>
        <v>Bo</v>
      </c>
      <c r="C857" s="4" t="str">
        <f>IF(Registered!AR1983&gt;0,Registered!AR1983&amp;" Color Bags", "")</f>
        <v>20 Color Bags</v>
      </c>
      <c r="D857" s="4" t="str">
        <f>IF(Registered!AS1983&gt;0,(IF(Registered!AS1983=1,Registered!AS1983&amp;" T-Shirt",Registered!AS1983&amp;" T-Shirts")), "")</f>
        <v/>
      </c>
      <c r="E857" s="4" t="str">
        <f>Registered!AT1983</f>
        <v/>
      </c>
      <c r="F857" s="4" t="str">
        <f>Registered!AU1983</f>
        <v/>
      </c>
      <c r="G857" s="4" t="str">
        <f>Registered!AW1983</f>
        <v/>
      </c>
      <c r="H857" s="4" t="str">
        <f>Registered!AX1983</f>
        <v/>
      </c>
      <c r="I857" s="4" t="str">
        <f>Registered!AY1983</f>
        <v/>
      </c>
    </row>
    <row r="858" spans="1:9" x14ac:dyDescent="0.25">
      <c r="A858" s="4" t="str">
        <f>Registered!B1988</f>
        <v>Priddis</v>
      </c>
      <c r="B858" s="4" t="str">
        <f>Registered!A1988</f>
        <v>Richard</v>
      </c>
      <c r="C858" s="4" t="str">
        <f>IF(Registered!AR1988&gt;0,Registered!AR1988&amp;" Color Bags", "")</f>
        <v>10 Color Bags</v>
      </c>
      <c r="D858" s="4" t="str">
        <f>IF(Registered!AS1988&gt;0,(IF(Registered!AS1988=1,Registered!AS1988&amp;" T-Shirt",Registered!AS1988&amp;" T-Shirts")), "")</f>
        <v/>
      </c>
      <c r="E858" s="4" t="str">
        <f>Registered!AT1988</f>
        <v/>
      </c>
      <c r="F858" s="4" t="str">
        <f>Registered!AU1988</f>
        <v/>
      </c>
      <c r="G858" s="4" t="str">
        <f>Registered!AW1988</f>
        <v/>
      </c>
      <c r="H858" s="4" t="str">
        <f>Registered!AX1988</f>
        <v/>
      </c>
      <c r="I858" s="4" t="str">
        <f>Registered!AY1988</f>
        <v/>
      </c>
    </row>
    <row r="859" spans="1:9" x14ac:dyDescent="0.25">
      <c r="A859" s="4" t="str">
        <f>Registered!B1989</f>
        <v>Prisbrey</v>
      </c>
      <c r="B859" s="4" t="str">
        <f>Registered!A1989</f>
        <v>Ashlee</v>
      </c>
      <c r="C859" s="4" t="str">
        <f>IF(Registered!AR1989&gt;0,Registered!AR1989&amp;" Color Bags", "")</f>
        <v>40 Color Bags</v>
      </c>
      <c r="D859" s="4" t="str">
        <f>IF(Registered!AS1989&gt;0,(IF(Registered!AS1989=1,Registered!AS1989&amp;" T-Shirt",Registered!AS1989&amp;" T-Shirts")), "")</f>
        <v/>
      </c>
      <c r="E859" s="4" t="str">
        <f>Registered!AT1989</f>
        <v/>
      </c>
      <c r="F859" s="4" t="str">
        <f>Registered!AU1989</f>
        <v>1 Bandana</v>
      </c>
      <c r="G859" s="4" t="str">
        <f>Registered!AW1989</f>
        <v/>
      </c>
      <c r="H859" s="4" t="str">
        <f>Registered!AX1989</f>
        <v/>
      </c>
      <c r="I859" s="4" t="str">
        <f>Registered!AY1989</f>
        <v/>
      </c>
    </row>
    <row r="860" spans="1:9" x14ac:dyDescent="0.25">
      <c r="A860" s="4" t="str">
        <f>Registered!B1992</f>
        <v>Provencio</v>
      </c>
      <c r="B860" s="4" t="str">
        <f>Registered!A1992</f>
        <v>Matt</v>
      </c>
      <c r="C860" s="4" t="str">
        <f>IF(Registered!AR1992&gt;0,Registered!AR1992&amp;" Color Bags", "")</f>
        <v>5 Color Bags</v>
      </c>
      <c r="D860" s="4" t="str">
        <f>IF(Registered!AS1992&gt;0,(IF(Registered!AS1992=1,Registered!AS1992&amp;" T-Shirt",Registered!AS1992&amp;" T-Shirts")), "")</f>
        <v>1 T-Shirt</v>
      </c>
      <c r="E860" s="4" t="str">
        <f>Registered!AT1992</f>
        <v>Medium</v>
      </c>
      <c r="F860" s="4" t="str">
        <f>Registered!AU1992</f>
        <v/>
      </c>
      <c r="G860" s="4" t="str">
        <f>Registered!AW1992</f>
        <v>1 Meal</v>
      </c>
      <c r="H860" s="4" t="str">
        <f>Registered!AX1992</f>
        <v/>
      </c>
      <c r="I860" s="4" t="str">
        <f>Registered!AY1992</f>
        <v/>
      </c>
    </row>
    <row r="861" spans="1:9" x14ac:dyDescent="0.25">
      <c r="A861" s="4" t="str">
        <f>Registered!B1993</f>
        <v>Puckett</v>
      </c>
      <c r="B861" s="4" t="str">
        <f>Registered!A1993</f>
        <v>Chantele</v>
      </c>
      <c r="C861" s="4" t="str">
        <f>IF(Registered!AR1993&gt;0,Registered!AR1993&amp;" Color Bags", "")</f>
        <v>10 Color Bags</v>
      </c>
      <c r="D861" s="4" t="str">
        <f>IF(Registered!AS1993&gt;0,(IF(Registered!AS1993=1,Registered!AS1993&amp;" T-Shirt",Registered!AS1993&amp;" T-Shirts")), "")</f>
        <v>2 T-Shirts</v>
      </c>
      <c r="E861" s="4" t="str">
        <f>Registered!AT1993</f>
        <v>2, XL T-Shirts</v>
      </c>
      <c r="F861" s="4" t="str">
        <f>Registered!AU1993</f>
        <v/>
      </c>
      <c r="G861" s="4" t="str">
        <f>Registered!AW1993</f>
        <v>2 Meals</v>
      </c>
      <c r="H861" s="4" t="str">
        <f>Registered!AX1993</f>
        <v/>
      </c>
      <c r="I861" s="4" t="str">
        <f>Registered!AY1993</f>
        <v/>
      </c>
    </row>
    <row r="862" spans="1:9" x14ac:dyDescent="0.25">
      <c r="A862" s="4" t="str">
        <f>Registered!B1994</f>
        <v>Pukpumin</v>
      </c>
      <c r="B862" s="4" t="str">
        <f>Registered!A1994</f>
        <v>Rebecca</v>
      </c>
      <c r="C862" s="4" t="str">
        <f>IF(Registered!AR1994&gt;0,Registered!AR1994&amp;" Color Bags", "")</f>
        <v>5 Color Bags</v>
      </c>
      <c r="D862" s="4" t="str">
        <f>IF(Registered!AS1994&gt;0,(IF(Registered!AS1994=1,Registered!AS1994&amp;" T-Shirt",Registered!AS1994&amp;" T-Shirts")), "")</f>
        <v/>
      </c>
      <c r="E862" s="4" t="str">
        <f>Registered!AT1994</f>
        <v/>
      </c>
      <c r="F862" s="4" t="str">
        <f>Registered!AU1994</f>
        <v/>
      </c>
      <c r="G862" s="4" t="str">
        <f>Registered!AW1994</f>
        <v/>
      </c>
      <c r="H862" s="4" t="str">
        <f>Registered!AX1994</f>
        <v/>
      </c>
      <c r="I862" s="4" t="str">
        <f>Registered!AY1994</f>
        <v/>
      </c>
    </row>
    <row r="863" spans="1:9" x14ac:dyDescent="0.25">
      <c r="A863" s="4" t="str">
        <f>Registered!B1996</f>
        <v>Pulver</v>
      </c>
      <c r="B863" s="4" t="str">
        <f>Registered!A1996</f>
        <v>Danni</v>
      </c>
      <c r="C863" s="4" t="str">
        <f>IF(Registered!AR1996&gt;0,Registered!AR1996&amp;" Color Bags", "")</f>
        <v>5 Color Bags</v>
      </c>
      <c r="D863" s="4" t="str">
        <f>IF(Registered!AS1996&gt;0,(IF(Registered!AS1996=1,Registered!AS1996&amp;" T-Shirt",Registered!AS1996&amp;" T-Shirts")), "")</f>
        <v/>
      </c>
      <c r="E863" s="4" t="str">
        <f>Registered!AT1996</f>
        <v/>
      </c>
      <c r="F863" s="4" t="str">
        <f>Registered!AU1996</f>
        <v/>
      </c>
      <c r="G863" s="4" t="str">
        <f>Registered!AW1996</f>
        <v/>
      </c>
      <c r="H863" s="4" t="str">
        <f>Registered!AX1996</f>
        <v/>
      </c>
      <c r="I863" s="4" t="str">
        <f>Registered!AY1996</f>
        <v/>
      </c>
    </row>
    <row r="864" spans="1:9" x14ac:dyDescent="0.25">
      <c r="A864" s="4" t="str">
        <f>Registered!B2722</f>
        <v>Purcell</v>
      </c>
      <c r="B864" s="4" t="str">
        <f>Registered!A2722</f>
        <v>Laura</v>
      </c>
      <c r="C864" s="4" t="str">
        <f>IF(Registered!AR2722&gt;0,Registered!AR2722&amp;" Color Bags", "")</f>
        <v>5 Color Bags</v>
      </c>
      <c r="D864" s="4" t="str">
        <f>IF(Registered!AS2722&gt;0,(IF(Registered!AS2722=1,Registered!AS2722&amp;" T-Shirt",Registered!AS2722&amp;" T-Shirts")), "")</f>
        <v/>
      </c>
      <c r="E864" s="4" t="str">
        <f>Registered!AT2722</f>
        <v/>
      </c>
      <c r="F864" s="4" t="str">
        <f>Registered!AU2722</f>
        <v/>
      </c>
      <c r="G864" s="4" t="str">
        <f>Registered!AW2722</f>
        <v/>
      </c>
      <c r="H864" s="4" t="str">
        <f>Registered!AX2722</f>
        <v/>
      </c>
      <c r="I864" s="4" t="str">
        <f>Registered!AY2722</f>
        <v/>
      </c>
    </row>
    <row r="865" spans="1:9" x14ac:dyDescent="0.25">
      <c r="A865" s="4" t="str">
        <f>Registered!B1997</f>
        <v>Puri</v>
      </c>
      <c r="B865" s="4" t="str">
        <f>Registered!A1997</f>
        <v>Aayush</v>
      </c>
      <c r="C865" s="4" t="str">
        <f>IF(Registered!AR1997&gt;0,Registered!AR1997&amp;" Color Bags", "")</f>
        <v>10 Color Bags</v>
      </c>
      <c r="D865" s="4" t="str">
        <f>IF(Registered!AS1997&gt;0,(IF(Registered!AS1997=1,Registered!AS1997&amp;" T-Shirt",Registered!AS1997&amp;" T-Shirts")), "")</f>
        <v>2 T-Shirts</v>
      </c>
      <c r="E865" s="4" t="str">
        <f>Registered!AT1997</f>
        <v>1 Small and 1 Large</v>
      </c>
      <c r="F865" s="4" t="str">
        <f>Registered!AU1997</f>
        <v/>
      </c>
      <c r="G865" s="4" t="str">
        <f>Registered!AW1997</f>
        <v>2 Meals</v>
      </c>
      <c r="H865" s="4" t="str">
        <f>Registered!AX1997</f>
        <v/>
      </c>
      <c r="I865" s="4" t="str">
        <f>Registered!AY1997</f>
        <v/>
      </c>
    </row>
    <row r="866" spans="1:9" x14ac:dyDescent="0.25">
      <c r="A866" s="4" t="str">
        <f>Registered!B1998</f>
        <v>Purwar</v>
      </c>
      <c r="B866" s="4" t="str">
        <f>Registered!A1998</f>
        <v>Jahnvi</v>
      </c>
      <c r="C866" s="4" t="str">
        <f>IF(Registered!AR1998&gt;0,Registered!AR1998&amp;" Color Bags", "")</f>
        <v>10 Color Bags</v>
      </c>
      <c r="D866" s="4" t="str">
        <f>IF(Registered!AS1998&gt;0,(IF(Registered!AS1998=1,Registered!AS1998&amp;" T-Shirt",Registered!AS1998&amp;" T-Shirts")), "")</f>
        <v/>
      </c>
      <c r="E866" s="4" t="str">
        <f>Registered!AT1998</f>
        <v/>
      </c>
      <c r="F866" s="4" t="str">
        <f>Registered!AU1998</f>
        <v/>
      </c>
      <c r="G866" s="4" t="str">
        <f>Registered!AW1998</f>
        <v>2 Meals</v>
      </c>
      <c r="H866" s="4" t="str">
        <f>Registered!AX1998</f>
        <v/>
      </c>
      <c r="I866" s="4" t="str">
        <f>Registered!AY1998</f>
        <v/>
      </c>
    </row>
    <row r="867" spans="1:9" x14ac:dyDescent="0.25">
      <c r="A867" s="4" t="str">
        <f>Registered!B2001</f>
        <v>Quadros</v>
      </c>
      <c r="B867" s="4" t="str">
        <f>Registered!A2001</f>
        <v>Gabriela</v>
      </c>
      <c r="C867" s="4" t="str">
        <f>IF(Registered!AR2001&gt;0,Registered!AR2001&amp;" Color Bags", "")</f>
        <v>5 Color Bags</v>
      </c>
      <c r="D867" s="4" t="str">
        <f>IF(Registered!AS2001&gt;0,(IF(Registered!AS2001=1,Registered!AS2001&amp;" T-Shirt",Registered!AS2001&amp;" T-Shirts")), "")</f>
        <v/>
      </c>
      <c r="E867" s="4" t="str">
        <f>Registered!AT2001</f>
        <v/>
      </c>
      <c r="F867" s="4" t="str">
        <f>Registered!AU2001</f>
        <v/>
      </c>
      <c r="G867" s="4" t="str">
        <f>Registered!AW2001</f>
        <v/>
      </c>
      <c r="H867" s="4" t="str">
        <f>Registered!AX2001</f>
        <v/>
      </c>
      <c r="I867" s="4" t="str">
        <f>Registered!AY2001</f>
        <v/>
      </c>
    </row>
    <row r="868" spans="1:9" x14ac:dyDescent="0.25">
      <c r="A868" s="4" t="str">
        <f>Registered!B2002</f>
        <v>Quinlog</v>
      </c>
      <c r="B868" s="4" t="str">
        <f>Registered!A2002</f>
        <v>Daniel</v>
      </c>
      <c r="C868" s="4" t="str">
        <f>IF(Registered!AR2002&gt;0,Registered!AR2002&amp;" Color Bags", "")</f>
        <v>10 Color Bags</v>
      </c>
      <c r="D868" s="4" t="str">
        <f>IF(Registered!AS2002&gt;0,(IF(Registered!AS2002=1,Registered!AS2002&amp;" T-Shirt",Registered!AS2002&amp;" T-Shirts")), "")</f>
        <v/>
      </c>
      <c r="E868" s="4" t="str">
        <f>Registered!AT2002</f>
        <v/>
      </c>
      <c r="F868" s="4" t="str">
        <f>Registered!AU2002</f>
        <v>2 Bandanas</v>
      </c>
      <c r="G868" s="4" t="str">
        <f>Registered!AW2002</f>
        <v>2 Meals</v>
      </c>
      <c r="H868" s="4" t="str">
        <f>Registered!AX2002</f>
        <v/>
      </c>
      <c r="I868" s="4" t="str">
        <f>Registered!AY2002</f>
        <v/>
      </c>
    </row>
    <row r="869" spans="1:9" x14ac:dyDescent="0.25">
      <c r="A869" s="4" t="str">
        <f>Registered!B2004</f>
        <v>Rada</v>
      </c>
      <c r="B869" s="4" t="str">
        <f>Registered!A2004</f>
        <v>Courtney</v>
      </c>
      <c r="C869" s="4" t="str">
        <f>IF(Registered!AR2004&gt;0,Registered!AR2004&amp;" Color Bags", "")</f>
        <v>5 Color Bags</v>
      </c>
      <c r="D869" s="4" t="str">
        <f>IF(Registered!AS2004&gt;0,(IF(Registered!AS2004=1,Registered!AS2004&amp;" T-Shirt",Registered!AS2004&amp;" T-Shirts")), "")</f>
        <v/>
      </c>
      <c r="E869" s="4" t="str">
        <f>Registered!AT2004</f>
        <v/>
      </c>
      <c r="F869" s="4" t="str">
        <f>Registered!AU2004</f>
        <v/>
      </c>
      <c r="G869" s="4" t="str">
        <f>Registered!AW2004</f>
        <v/>
      </c>
      <c r="H869" s="4" t="str">
        <f>Registered!AX2004</f>
        <v/>
      </c>
      <c r="I869" s="4" t="str">
        <f>Registered!AY2004</f>
        <v/>
      </c>
    </row>
    <row r="870" spans="1:9" x14ac:dyDescent="0.25">
      <c r="A870" s="4" t="str">
        <f>Registered!B2007</f>
        <v>Rail</v>
      </c>
      <c r="B870" s="4" t="str">
        <f>Registered!A2007</f>
        <v>Catherine</v>
      </c>
      <c r="C870" s="4" t="str">
        <f>IF(Registered!AR2007&gt;0,Registered!AR2007&amp;" Color Bags", "")</f>
        <v>10 Color Bags</v>
      </c>
      <c r="D870" s="4" t="str">
        <f>IF(Registered!AS2007&gt;0,(IF(Registered!AS2007=1,Registered!AS2007&amp;" T-Shirt",Registered!AS2007&amp;" T-Shirts")), "")</f>
        <v/>
      </c>
      <c r="E870" s="4" t="str">
        <f>Registered!AT2007</f>
        <v/>
      </c>
      <c r="F870" s="4" t="str">
        <f>Registered!AU2007</f>
        <v/>
      </c>
      <c r="G870" s="4" t="str">
        <f>Registered!AW2007</f>
        <v/>
      </c>
      <c r="H870" s="4" t="str">
        <f>Registered!AX2007</f>
        <v/>
      </c>
      <c r="I870" s="4" t="str">
        <f>Registered!AY2007</f>
        <v/>
      </c>
    </row>
    <row r="871" spans="1:9" x14ac:dyDescent="0.25">
      <c r="A871" s="4" t="str">
        <f>Registered!B2011</f>
        <v>Randall</v>
      </c>
      <c r="B871" s="4" t="str">
        <f>Registered!A2011</f>
        <v>Kala</v>
      </c>
      <c r="C871" s="4" t="str">
        <f>IF(Registered!AR2011&gt;0,Registered!AR2011&amp;" Color Bags", "")</f>
        <v>5 Color Bags</v>
      </c>
      <c r="D871" s="4" t="str">
        <f>IF(Registered!AS2011&gt;0,(IF(Registered!AS2011=1,Registered!AS2011&amp;" T-Shirt",Registered!AS2011&amp;" T-Shirts")), "")</f>
        <v/>
      </c>
      <c r="E871" s="4" t="str">
        <f>Registered!AT2011</f>
        <v/>
      </c>
      <c r="F871" s="4" t="str">
        <f>Registered!AU2011</f>
        <v/>
      </c>
      <c r="G871" s="4" t="str">
        <f>Registered!AW2011</f>
        <v/>
      </c>
      <c r="H871" s="4" t="str">
        <f>Registered!AX2011</f>
        <v/>
      </c>
      <c r="I871" s="4" t="str">
        <f>Registered!AY2011</f>
        <v/>
      </c>
    </row>
    <row r="872" spans="1:9" x14ac:dyDescent="0.25">
      <c r="A872" s="4" t="str">
        <f>Registered!B2015</f>
        <v>Rasmussen</v>
      </c>
      <c r="B872" s="4" t="str">
        <f>Registered!A2015</f>
        <v>Cortney</v>
      </c>
      <c r="C872" s="4" t="str">
        <f>IF(Registered!AR2015&gt;0,Registered!AR2015&amp;" Color Bags", "")</f>
        <v>10 Color Bags</v>
      </c>
      <c r="D872" s="4" t="str">
        <f>IF(Registered!AS2015&gt;0,(IF(Registered!AS2015=1,Registered!AS2015&amp;" T-Shirt",Registered!AS2015&amp;" T-Shirts")), "")</f>
        <v/>
      </c>
      <c r="E872" s="4" t="str">
        <f>Registered!AT2015</f>
        <v/>
      </c>
      <c r="F872" s="4" t="str">
        <f>Registered!AU2015</f>
        <v/>
      </c>
      <c r="G872" s="4" t="str">
        <f>Registered!AW2015</f>
        <v/>
      </c>
      <c r="H872" s="4" t="str">
        <f>Registered!AX2015</f>
        <v/>
      </c>
      <c r="I872" s="4" t="str">
        <f>Registered!AY2015</f>
        <v/>
      </c>
    </row>
    <row r="873" spans="1:9" x14ac:dyDescent="0.25">
      <c r="A873" s="4" t="str">
        <f>Registered!B2017</f>
        <v>Rasmussen</v>
      </c>
      <c r="B873" s="4" t="str">
        <f>Registered!A2017</f>
        <v>Leeah</v>
      </c>
      <c r="C873" s="4" t="str">
        <f>IF(Registered!AR2017&gt;0,Registered!AR2017&amp;" Color Bags", "")</f>
        <v>10 Color Bags</v>
      </c>
      <c r="D873" s="4" t="str">
        <f>IF(Registered!AS2017&gt;0,(IF(Registered!AS2017=1,Registered!AS2017&amp;" T-Shirt",Registered!AS2017&amp;" T-Shirts")), "")</f>
        <v/>
      </c>
      <c r="E873" s="4" t="str">
        <f>Registered!AT2017</f>
        <v/>
      </c>
      <c r="F873" s="4" t="str">
        <f>Registered!AU2017</f>
        <v/>
      </c>
      <c r="G873" s="4" t="str">
        <f>Registered!AW2017</f>
        <v>3 Meals</v>
      </c>
      <c r="H873" s="4" t="str">
        <f>Registered!AX2017</f>
        <v/>
      </c>
      <c r="I873" s="4" t="str">
        <f>Registered!AY2017</f>
        <v/>
      </c>
    </row>
    <row r="874" spans="1:9" x14ac:dyDescent="0.25">
      <c r="A874" s="4" t="str">
        <f>Registered!B2016</f>
        <v>Rasmussen</v>
      </c>
      <c r="B874" s="4" t="str">
        <f>Registered!A2016</f>
        <v>Hannah</v>
      </c>
      <c r="C874" s="4" t="str">
        <f>IF(Registered!AR2016&gt;0,Registered!AR2016&amp;" Color Bags", "")</f>
        <v>5 Color Bags</v>
      </c>
      <c r="D874" s="4" t="str">
        <f>IF(Registered!AS2016&gt;0,(IF(Registered!AS2016=1,Registered!AS2016&amp;" T-Shirt",Registered!AS2016&amp;" T-Shirts")), "")</f>
        <v/>
      </c>
      <c r="E874" s="4" t="str">
        <f>Registered!AT2016</f>
        <v/>
      </c>
      <c r="F874" s="4" t="str">
        <f>Registered!AU2016</f>
        <v/>
      </c>
      <c r="G874" s="4" t="str">
        <f>Registered!AW2016</f>
        <v/>
      </c>
      <c r="H874" s="4" t="str">
        <f>Registered!AX2016</f>
        <v/>
      </c>
      <c r="I874" s="4" t="str">
        <f>Registered!AY2016</f>
        <v/>
      </c>
    </row>
    <row r="875" spans="1:9" x14ac:dyDescent="0.25">
      <c r="A875" s="4" t="str">
        <f>Registered!B2019</f>
        <v>Rasmussen</v>
      </c>
      <c r="B875" s="4" t="str">
        <f>Registered!A2019</f>
        <v>Steven</v>
      </c>
      <c r="C875" s="4" t="str">
        <f>IF(Registered!AR2019&gt;0,Registered!AR2019&amp;" Color Bags", "")</f>
        <v>5 Color Bags</v>
      </c>
      <c r="D875" s="4" t="str">
        <f>IF(Registered!AS2019&gt;0,(IF(Registered!AS2019=1,Registered!AS2019&amp;" T-Shirt",Registered!AS2019&amp;" T-Shirts")), "")</f>
        <v/>
      </c>
      <c r="E875" s="4" t="str">
        <f>Registered!AT2019</f>
        <v/>
      </c>
      <c r="F875" s="4" t="str">
        <f>Registered!AU2019</f>
        <v/>
      </c>
      <c r="G875" s="4" t="str">
        <f>Registered!AW2019</f>
        <v/>
      </c>
      <c r="H875" s="4" t="str">
        <f>Registered!AX2019</f>
        <v/>
      </c>
      <c r="I875" s="4" t="str">
        <f>Registered!AY2019</f>
        <v/>
      </c>
    </row>
    <row r="876" spans="1:9" x14ac:dyDescent="0.25">
      <c r="A876" s="4" t="str">
        <f>Registered!B2023</f>
        <v>Ratliff</v>
      </c>
      <c r="B876" s="4" t="str">
        <f>Registered!A2023</f>
        <v>Lily</v>
      </c>
      <c r="C876" s="4" t="str">
        <f>IF(Registered!AR2023&gt;0,Registered!AR2023&amp;" Color Bags", "")</f>
        <v>5 Color Bags</v>
      </c>
      <c r="D876" s="4" t="str">
        <f>IF(Registered!AS2023&gt;0,(IF(Registered!AS2023=1,Registered!AS2023&amp;" T-Shirt",Registered!AS2023&amp;" T-Shirts")), "")</f>
        <v/>
      </c>
      <c r="E876" s="4" t="str">
        <f>Registered!AT2023</f>
        <v/>
      </c>
      <c r="F876" s="4" t="str">
        <f>Registered!AU2023</f>
        <v/>
      </c>
      <c r="G876" s="4" t="str">
        <f>Registered!AW2023</f>
        <v/>
      </c>
      <c r="H876" s="4" t="str">
        <f>Registered!AX2023</f>
        <v/>
      </c>
      <c r="I876" s="4" t="str">
        <f>Registered!AY2023</f>
        <v/>
      </c>
    </row>
    <row r="877" spans="1:9" x14ac:dyDescent="0.25">
      <c r="A877" s="4" t="str">
        <f>Registered!B2024</f>
        <v>Rausch</v>
      </c>
      <c r="B877" s="4" t="str">
        <f>Registered!A2024</f>
        <v>Dylan</v>
      </c>
      <c r="C877" s="4" t="str">
        <f>IF(Registered!AR2024&gt;0,Registered!AR2024&amp;" Color Bags", "")</f>
        <v/>
      </c>
      <c r="D877" s="4" t="str">
        <f>IF(Registered!AS2024&gt;0,(IF(Registered!AS2024=1,Registered!AS2024&amp;" T-Shirt",Registered!AS2024&amp;" T-Shirts")), "")</f>
        <v/>
      </c>
      <c r="E877" s="4" t="str">
        <f>Registered!AT2024</f>
        <v/>
      </c>
      <c r="F877" s="4" t="str">
        <f>Registered!AU2024</f>
        <v>1 Bandana</v>
      </c>
      <c r="G877" s="4" t="str">
        <f>Registered!AW2024</f>
        <v/>
      </c>
      <c r="H877" s="4" t="str">
        <f>Registered!AX2024</f>
        <v>1 BG</v>
      </c>
      <c r="I877" s="4" t="str">
        <f>Registered!AY2024</f>
        <v/>
      </c>
    </row>
    <row r="878" spans="1:9" x14ac:dyDescent="0.25">
      <c r="A878" s="4" t="str">
        <f>Registered!B2026</f>
        <v>Rawlings</v>
      </c>
      <c r="B878" s="4" t="str">
        <f>Registered!A2026</f>
        <v>Bree</v>
      </c>
      <c r="C878" s="4" t="str">
        <f>IF(Registered!AR2026&gt;0,Registered!AR2026&amp;" Color Bags", "")</f>
        <v>40 Color Bags</v>
      </c>
      <c r="D878" s="4" t="str">
        <f>IF(Registered!AS2026&gt;0,(IF(Registered!AS2026=1,Registered!AS2026&amp;" T-Shirt",Registered!AS2026&amp;" T-Shirts")), "")</f>
        <v/>
      </c>
      <c r="E878" s="4" t="str">
        <f>Registered!AT2026</f>
        <v/>
      </c>
      <c r="F878" s="4" t="str">
        <f>Registered!AU2026</f>
        <v/>
      </c>
      <c r="G878" s="4" t="str">
        <f>Registered!AW2026</f>
        <v/>
      </c>
      <c r="H878" s="4" t="str">
        <f>Registered!AX2026</f>
        <v/>
      </c>
      <c r="I878" s="4" t="str">
        <f>Registered!AY2026</f>
        <v/>
      </c>
    </row>
    <row r="879" spans="1:9" x14ac:dyDescent="0.25">
      <c r="A879" s="4" t="str">
        <f>Registered!B2027</f>
        <v>Ray</v>
      </c>
      <c r="B879" s="4" t="str">
        <f>Registered!A2027</f>
        <v>Tenika</v>
      </c>
      <c r="C879" s="4" t="str">
        <f>IF(Registered!AR2027&gt;0,Registered!AR2027&amp;" Color Bags", "")</f>
        <v>5 Color Bags</v>
      </c>
      <c r="D879" s="4" t="str">
        <f>IF(Registered!AS2027&gt;0,(IF(Registered!AS2027=1,Registered!AS2027&amp;" T-Shirt",Registered!AS2027&amp;" T-Shirts")), "")</f>
        <v/>
      </c>
      <c r="E879" s="4" t="str">
        <f>Registered!AT2027</f>
        <v/>
      </c>
      <c r="F879" s="4" t="str">
        <f>Registered!AU2027</f>
        <v/>
      </c>
      <c r="G879" s="4" t="str">
        <f>Registered!AW2027</f>
        <v/>
      </c>
      <c r="H879" s="4" t="str">
        <f>Registered!AX2027</f>
        <v/>
      </c>
      <c r="I879" s="4" t="str">
        <f>Registered!AY2027</f>
        <v/>
      </c>
    </row>
    <row r="880" spans="1:9" x14ac:dyDescent="0.25">
      <c r="A880" s="4" t="str">
        <f>Registered!B2030</f>
        <v>Redd</v>
      </c>
      <c r="B880" s="4" t="str">
        <f>Registered!A2030</f>
        <v>Philip</v>
      </c>
      <c r="C880" s="4" t="str">
        <f>IF(Registered!AR2030&gt;0,Registered!AR2030&amp;" Color Bags", "")</f>
        <v>30 Color Bags</v>
      </c>
      <c r="D880" s="4" t="str">
        <f>IF(Registered!AS2030&gt;0,(IF(Registered!AS2030=1,Registered!AS2030&amp;" T-Shirt",Registered!AS2030&amp;" T-Shirts")), "")</f>
        <v/>
      </c>
      <c r="E880" s="4" t="str">
        <f>Registered!AT2030</f>
        <v/>
      </c>
      <c r="F880" s="4" t="str">
        <f>Registered!AU2030</f>
        <v/>
      </c>
      <c r="G880" s="4" t="str">
        <f>Registered!AW2030</f>
        <v/>
      </c>
      <c r="H880" s="4" t="str">
        <f>Registered!AX2030</f>
        <v/>
      </c>
      <c r="I880" s="4" t="str">
        <f>Registered!AY2030</f>
        <v/>
      </c>
    </row>
    <row r="881" spans="1:9" x14ac:dyDescent="0.25">
      <c r="A881" s="4" t="str">
        <f>Registered!B2031</f>
        <v>Reder</v>
      </c>
      <c r="B881" s="4" t="str">
        <f>Registered!A2031</f>
        <v>Anna</v>
      </c>
      <c r="C881" s="4" t="str">
        <f>IF(Registered!AR2031&gt;0,Registered!AR2031&amp;" Color Bags", "")</f>
        <v>5 Color Bags</v>
      </c>
      <c r="D881" s="4" t="str">
        <f>IF(Registered!AS2031&gt;0,(IF(Registered!AS2031=1,Registered!AS2031&amp;" T-Shirt",Registered!AS2031&amp;" T-Shirts")), "")</f>
        <v/>
      </c>
      <c r="E881" s="4" t="str">
        <f>Registered!AT2031</f>
        <v/>
      </c>
      <c r="F881" s="4" t="str">
        <f>Registered!AU2031</f>
        <v/>
      </c>
      <c r="G881" s="4" t="str">
        <f>Registered!AW2031</f>
        <v/>
      </c>
      <c r="H881" s="4" t="str">
        <f>Registered!AX2031</f>
        <v/>
      </c>
      <c r="I881" s="4" t="str">
        <f>Registered!AY2031</f>
        <v/>
      </c>
    </row>
    <row r="882" spans="1:9" x14ac:dyDescent="0.25">
      <c r="A882" s="4" t="str">
        <f>Registered!B2033</f>
        <v>Reed</v>
      </c>
      <c r="B882" s="4" t="str">
        <f>Registered!A2033</f>
        <v>Jenna</v>
      </c>
      <c r="C882" s="4" t="str">
        <f>IF(Registered!AR2033&gt;0,Registered!AR2033&amp;" Color Bags", "")</f>
        <v>10 Color Bags</v>
      </c>
      <c r="D882" s="4" t="str">
        <f>IF(Registered!AS2033&gt;0,(IF(Registered!AS2033=1,Registered!AS2033&amp;" T-Shirt",Registered!AS2033&amp;" T-Shirts")), "")</f>
        <v/>
      </c>
      <c r="E882" s="4" t="str">
        <f>Registered!AT2033</f>
        <v/>
      </c>
      <c r="F882" s="4" t="str">
        <f>Registered!AU2033</f>
        <v/>
      </c>
      <c r="G882" s="4" t="str">
        <f>Registered!AW2033</f>
        <v/>
      </c>
      <c r="H882" s="4" t="str">
        <f>Registered!AX2033</f>
        <v/>
      </c>
      <c r="I882" s="4" t="str">
        <f>Registered!AY2033</f>
        <v/>
      </c>
    </row>
    <row r="883" spans="1:9" x14ac:dyDescent="0.25">
      <c r="A883" s="4" t="str">
        <f>Registered!B2035</f>
        <v>Rees</v>
      </c>
      <c r="B883" s="4" t="str">
        <f>Registered!A2035</f>
        <v>Aaron</v>
      </c>
      <c r="C883" s="4" t="str">
        <f>IF(Registered!AR2035&gt;0,Registered!AR2035&amp;" Color Bags", "")</f>
        <v>10 Color Bags</v>
      </c>
      <c r="D883" s="4" t="str">
        <f>IF(Registered!AS2035&gt;0,(IF(Registered!AS2035=1,Registered!AS2035&amp;" T-Shirt",Registered!AS2035&amp;" T-Shirts")), "")</f>
        <v/>
      </c>
      <c r="E883" s="4" t="str">
        <f>Registered!AT2035</f>
        <v/>
      </c>
      <c r="F883" s="4" t="str">
        <f>Registered!AU2035</f>
        <v/>
      </c>
      <c r="G883" s="4" t="str">
        <f>Registered!AW2035</f>
        <v/>
      </c>
      <c r="H883" s="4" t="str">
        <f>Registered!AX2035</f>
        <v/>
      </c>
      <c r="I883" s="4" t="str">
        <f>Registered!AY2035</f>
        <v/>
      </c>
    </row>
    <row r="884" spans="1:9" x14ac:dyDescent="0.25">
      <c r="A884" s="4" t="str">
        <f>Registered!B2038</f>
        <v>Reese</v>
      </c>
      <c r="B884" s="4" t="str">
        <f>Registered!A2038</f>
        <v>Ashlee</v>
      </c>
      <c r="C884" s="4" t="str">
        <f>IF(Registered!AR2038&gt;0,Registered!AR2038&amp;" Color Bags", "")</f>
        <v>10 Color Bags</v>
      </c>
      <c r="D884" s="4" t="str">
        <f>IF(Registered!AS2038&gt;0,(IF(Registered!AS2038=1,Registered!AS2038&amp;" T-Shirt",Registered!AS2038&amp;" T-Shirts")), "")</f>
        <v/>
      </c>
      <c r="E884" s="4" t="str">
        <f>Registered!AT2038</f>
        <v/>
      </c>
      <c r="F884" s="4" t="str">
        <f>Registered!AU2038</f>
        <v/>
      </c>
      <c r="G884" s="4" t="str">
        <f>Registered!AW2038</f>
        <v/>
      </c>
      <c r="H884" s="4" t="str">
        <f>Registered!AX2038</f>
        <v/>
      </c>
      <c r="I884" s="4" t="str">
        <f>Registered!AY2038</f>
        <v/>
      </c>
    </row>
    <row r="885" spans="1:9" x14ac:dyDescent="0.25">
      <c r="A885" s="4" t="str">
        <f>Registered!B2041</f>
        <v>Reeves</v>
      </c>
      <c r="B885" s="4" t="str">
        <f>Registered!A2041</f>
        <v>Jamie</v>
      </c>
      <c r="C885" s="4" t="str">
        <f>IF(Registered!AR2041&gt;0,Registered!AR2041&amp;" Color Bags", "")</f>
        <v>10 Color Bags</v>
      </c>
      <c r="D885" s="4" t="str">
        <f>IF(Registered!AS2041&gt;0,(IF(Registered!AS2041=1,Registered!AS2041&amp;" T-Shirt",Registered!AS2041&amp;" T-Shirts")), "")</f>
        <v/>
      </c>
      <c r="E885" s="4" t="str">
        <f>Registered!AT2041</f>
        <v/>
      </c>
      <c r="F885" s="4" t="str">
        <f>Registered!AU2041</f>
        <v/>
      </c>
      <c r="G885" s="4" t="str">
        <f>Registered!AW2041</f>
        <v/>
      </c>
      <c r="H885" s="4" t="str">
        <f>Registered!AX2041</f>
        <v/>
      </c>
      <c r="I885" s="4" t="str">
        <f>Registered!AY2041</f>
        <v/>
      </c>
    </row>
    <row r="886" spans="1:9" x14ac:dyDescent="0.25">
      <c r="A886" s="4" t="str">
        <f>Registered!B2042</f>
        <v>Reid</v>
      </c>
      <c r="B886" s="4" t="str">
        <f>Registered!A2042</f>
        <v>Brandon</v>
      </c>
      <c r="C886" s="4" t="str">
        <f>IF(Registered!AR2042&gt;0,Registered!AR2042&amp;" Color Bags", "")</f>
        <v>15 Color Bags</v>
      </c>
      <c r="D886" s="4" t="str">
        <f>IF(Registered!AS2042&gt;0,(IF(Registered!AS2042=1,Registered!AS2042&amp;" T-Shirt",Registered!AS2042&amp;" T-Shirts")), "")</f>
        <v/>
      </c>
      <c r="E886" s="4" t="str">
        <f>Registered!AT2042</f>
        <v/>
      </c>
      <c r="F886" s="4" t="str">
        <f>Registered!AU2042</f>
        <v/>
      </c>
      <c r="G886" s="4" t="str">
        <f>Registered!AW2042</f>
        <v/>
      </c>
      <c r="H886" s="4" t="str">
        <f>Registered!AX2042</f>
        <v/>
      </c>
      <c r="I886" s="4" t="str">
        <f>Registered!AY2042</f>
        <v/>
      </c>
    </row>
    <row r="887" spans="1:9" x14ac:dyDescent="0.25">
      <c r="A887" s="4" t="str">
        <f>Registered!B2045</f>
        <v>Rendon</v>
      </c>
      <c r="B887" s="4" t="str">
        <f>Registered!A2045</f>
        <v>Desiree</v>
      </c>
      <c r="C887" s="4" t="str">
        <f>IF(Registered!AR2045&gt;0,Registered!AR2045&amp;" Color Bags", "")</f>
        <v>10 Color Bags</v>
      </c>
      <c r="D887" s="4" t="str">
        <f>IF(Registered!AS2045&gt;0,(IF(Registered!AS2045=1,Registered!AS2045&amp;" T-Shirt",Registered!AS2045&amp;" T-Shirts")), "")</f>
        <v>2 T-Shirts</v>
      </c>
      <c r="E887" s="4" t="str">
        <f>Registered!AT2045</f>
        <v>Small, Large</v>
      </c>
      <c r="F887" s="4" t="str">
        <f>Registered!AU2045</f>
        <v/>
      </c>
      <c r="G887" s="4" t="str">
        <f>Registered!AW2045</f>
        <v/>
      </c>
      <c r="H887" s="4" t="str">
        <f>Registered!AX2045</f>
        <v/>
      </c>
      <c r="I887" s="4" t="str">
        <f>Registered!AY2045</f>
        <v/>
      </c>
    </row>
    <row r="888" spans="1:9" x14ac:dyDescent="0.25">
      <c r="A888" s="4" t="str">
        <f>Registered!B2047</f>
        <v>Renwick</v>
      </c>
      <c r="B888" s="4" t="str">
        <f>Registered!A2047</f>
        <v>Kiel</v>
      </c>
      <c r="C888" s="4" t="str">
        <f>IF(Registered!AR2047&gt;0,Registered!AR2047&amp;" Color Bags", "")</f>
        <v>10 Color Bags</v>
      </c>
      <c r="D888" s="4" t="str">
        <f>IF(Registered!AS2047&gt;0,(IF(Registered!AS2047=1,Registered!AS2047&amp;" T-Shirt",Registered!AS2047&amp;" T-Shirts")), "")</f>
        <v/>
      </c>
      <c r="E888" s="4" t="str">
        <f>Registered!AT2047</f>
        <v/>
      </c>
      <c r="F888" s="4" t="str">
        <f>Registered!AU2047</f>
        <v/>
      </c>
      <c r="G888" s="4" t="str">
        <f>Registered!AW2047</f>
        <v/>
      </c>
      <c r="H888" s="4" t="str">
        <f>Registered!AX2047</f>
        <v/>
      </c>
      <c r="I888" s="4" t="str">
        <f>Registered!AY2047</f>
        <v/>
      </c>
    </row>
    <row r="889" spans="1:9" x14ac:dyDescent="0.25">
      <c r="A889" s="4" t="str">
        <f>Registered!B2051</f>
        <v>Reynolds</v>
      </c>
      <c r="B889" s="4" t="str">
        <f>Registered!A2051</f>
        <v>Daniel</v>
      </c>
      <c r="C889" s="4" t="str">
        <f>IF(Registered!AR2051&gt;0,Registered!AR2051&amp;" Color Bags", "")</f>
        <v>10 Color Bags</v>
      </c>
      <c r="D889" s="4" t="str">
        <f>IF(Registered!AS2051&gt;0,(IF(Registered!AS2051=1,Registered!AS2051&amp;" T-Shirt",Registered!AS2051&amp;" T-Shirts")), "")</f>
        <v/>
      </c>
      <c r="E889" s="4" t="str">
        <f>Registered!AT2051</f>
        <v/>
      </c>
      <c r="F889" s="4" t="str">
        <f>Registered!AU2051</f>
        <v/>
      </c>
      <c r="G889" s="4" t="str">
        <f>Registered!AW2051</f>
        <v/>
      </c>
      <c r="H889" s="4" t="str">
        <f>Registered!AX2051</f>
        <v/>
      </c>
      <c r="I889" s="4" t="str">
        <f>Registered!AY2051</f>
        <v/>
      </c>
    </row>
    <row r="890" spans="1:9" x14ac:dyDescent="0.25">
      <c r="A890" s="4" t="str">
        <f>Registered!B2057</f>
        <v>Reynolds</v>
      </c>
      <c r="B890" s="4" t="str">
        <f>Registered!A2057</f>
        <v>Landon</v>
      </c>
      <c r="C890" s="4" t="str">
        <f>IF(Registered!AR2057&gt;0,Registered!AR2057&amp;" Color Bags", "")</f>
        <v>10 Color Bags</v>
      </c>
      <c r="D890" s="4" t="str">
        <f>IF(Registered!AS2057&gt;0,(IF(Registered!AS2057=1,Registered!AS2057&amp;" T-Shirt",Registered!AS2057&amp;" T-Shirts")), "")</f>
        <v/>
      </c>
      <c r="E890" s="4" t="str">
        <f>Registered!AT2057</f>
        <v/>
      </c>
      <c r="F890" s="4" t="str">
        <f>Registered!AU2057</f>
        <v/>
      </c>
      <c r="G890" s="4" t="str">
        <f>Registered!AW2057</f>
        <v/>
      </c>
      <c r="H890" s="4" t="str">
        <f>Registered!AX2057</f>
        <v/>
      </c>
      <c r="I890" s="4" t="str">
        <f>Registered!AY2057</f>
        <v/>
      </c>
    </row>
    <row r="891" spans="1:9" x14ac:dyDescent="0.25">
      <c r="A891" s="4" t="str">
        <f>Registered!B2052</f>
        <v>Reynolds</v>
      </c>
      <c r="B891" s="4" t="str">
        <f>Registered!A2052</f>
        <v>Gabriel</v>
      </c>
      <c r="C891" s="4" t="str">
        <f>IF(Registered!AR2052&gt;0,Registered!AR2052&amp;" Color Bags", "")</f>
        <v>15 Color Bags</v>
      </c>
      <c r="D891" s="4" t="str">
        <f>IF(Registered!AS2052&gt;0,(IF(Registered!AS2052=1,Registered!AS2052&amp;" T-Shirt",Registered!AS2052&amp;" T-Shirts")), "")</f>
        <v/>
      </c>
      <c r="E891" s="4" t="str">
        <f>Registered!AT2052</f>
        <v/>
      </c>
      <c r="F891" s="4" t="str">
        <f>Registered!AU2052</f>
        <v/>
      </c>
      <c r="G891" s="4" t="str">
        <f>Registered!AW2052</f>
        <v/>
      </c>
      <c r="H891" s="4" t="str">
        <f>Registered!AX2052</f>
        <v/>
      </c>
      <c r="I891" s="4" t="str">
        <f>Registered!AY2052</f>
        <v/>
      </c>
    </row>
    <row r="892" spans="1:9" x14ac:dyDescent="0.25">
      <c r="A892" s="4" t="str">
        <f>Registered!B2060</f>
        <v>Reynolds</v>
      </c>
      <c r="B892" s="4" t="str">
        <f>Registered!A2060</f>
        <v>Shania</v>
      </c>
      <c r="C892" s="4" t="str">
        <f>IF(Registered!AR2060&gt;0,Registered!AR2060&amp;" Color Bags", "")</f>
        <v>15 Color Bags</v>
      </c>
      <c r="D892" s="4" t="str">
        <f>IF(Registered!AS2060&gt;0,(IF(Registered!AS2060=1,Registered!AS2060&amp;" T-Shirt",Registered!AS2060&amp;" T-Shirts")), "")</f>
        <v/>
      </c>
      <c r="E892" s="4" t="str">
        <f>Registered!AT2060</f>
        <v/>
      </c>
      <c r="F892" s="4" t="str">
        <f>Registered!AU2060</f>
        <v/>
      </c>
      <c r="G892" s="4" t="str">
        <f>Registered!AW2060</f>
        <v/>
      </c>
      <c r="H892" s="4" t="str">
        <f>Registered!AX2060</f>
        <v/>
      </c>
      <c r="I892" s="4" t="str">
        <f>Registered!AY2060</f>
        <v/>
      </c>
    </row>
    <row r="893" spans="1:9" x14ac:dyDescent="0.25">
      <c r="A893" s="4" t="str">
        <f>Registered!B2050</f>
        <v>Reynolds</v>
      </c>
      <c r="B893" s="4" t="str">
        <f>Registered!A2050</f>
        <v>Brenna</v>
      </c>
      <c r="C893" s="4" t="str">
        <f>IF(Registered!AR2050&gt;0,Registered!AR2050&amp;" Color Bags", "")</f>
        <v>20 Color Bags</v>
      </c>
      <c r="D893" s="4" t="str">
        <f>IF(Registered!AS2050&gt;0,(IF(Registered!AS2050=1,Registered!AS2050&amp;" T-Shirt",Registered!AS2050&amp;" T-Shirts")), "")</f>
        <v/>
      </c>
      <c r="E893" s="4" t="str">
        <f>Registered!AT2050</f>
        <v/>
      </c>
      <c r="F893" s="4" t="str">
        <f>Registered!AU2050</f>
        <v/>
      </c>
      <c r="G893" s="4" t="str">
        <f>Registered!AW2050</f>
        <v/>
      </c>
      <c r="H893" s="4" t="str">
        <f>Registered!AX2050</f>
        <v/>
      </c>
      <c r="I893" s="4" t="str">
        <f>Registered!AY2050</f>
        <v/>
      </c>
    </row>
    <row r="894" spans="1:9" x14ac:dyDescent="0.25">
      <c r="A894" s="4" t="str">
        <f>Registered!B2053</f>
        <v>Reynolds</v>
      </c>
      <c r="B894" s="4" t="str">
        <f>Registered!A2053</f>
        <v>Katie</v>
      </c>
      <c r="C894" s="4" t="str">
        <f>IF(Registered!AR2053&gt;0,Registered!AR2053&amp;" Color Bags", "")</f>
        <v>5 Color Bags</v>
      </c>
      <c r="D894" s="4" t="str">
        <f>IF(Registered!AS2053&gt;0,(IF(Registered!AS2053=1,Registered!AS2053&amp;" T-Shirt",Registered!AS2053&amp;" T-Shirts")), "")</f>
        <v/>
      </c>
      <c r="E894" s="4" t="str">
        <f>Registered!AT2053</f>
        <v/>
      </c>
      <c r="F894" s="4" t="str">
        <f>Registered!AU2053</f>
        <v/>
      </c>
      <c r="G894" s="4" t="str">
        <f>Registered!AW2053</f>
        <v/>
      </c>
      <c r="H894" s="4" t="str">
        <f>Registered!AX2053</f>
        <v/>
      </c>
      <c r="I894" s="4" t="str">
        <f>Registered!AY2053</f>
        <v/>
      </c>
    </row>
    <row r="895" spans="1:9" x14ac:dyDescent="0.25">
      <c r="A895" s="4" t="str">
        <f>Registered!B2061</f>
        <v>Reynoso</v>
      </c>
      <c r="B895" s="4" t="str">
        <f>Registered!A2061</f>
        <v>Holly</v>
      </c>
      <c r="C895" s="4" t="str">
        <f>IF(Registered!AR2061&gt;0,Registered!AR2061&amp;" Color Bags", "")</f>
        <v>5 Color Bags</v>
      </c>
      <c r="D895" s="4" t="str">
        <f>IF(Registered!AS2061&gt;0,(IF(Registered!AS2061=1,Registered!AS2061&amp;" T-Shirt",Registered!AS2061&amp;" T-Shirts")), "")</f>
        <v/>
      </c>
      <c r="E895" s="4" t="str">
        <f>Registered!AT2061</f>
        <v/>
      </c>
      <c r="F895" s="4" t="str">
        <f>Registered!AU2061</f>
        <v/>
      </c>
      <c r="G895" s="4" t="str">
        <f>Registered!AW2061</f>
        <v/>
      </c>
      <c r="H895" s="4" t="str">
        <f>Registered!AX2061</f>
        <v/>
      </c>
      <c r="I895" s="4" t="str">
        <f>Registered!AY2061</f>
        <v/>
      </c>
    </row>
    <row r="896" spans="1:9" x14ac:dyDescent="0.25">
      <c r="A896" s="4" t="str">
        <f>Registered!B2062</f>
        <v>Richards</v>
      </c>
      <c r="B896" s="4" t="str">
        <f>Registered!A2062</f>
        <v>Chelsea</v>
      </c>
      <c r="C896" s="4" t="str">
        <f>IF(Registered!AR2062&gt;0,Registered!AR2062&amp;" Color Bags", "")</f>
        <v>15 Color Bags</v>
      </c>
      <c r="D896" s="4" t="str">
        <f>IF(Registered!AS2062&gt;0,(IF(Registered!AS2062=1,Registered!AS2062&amp;" T-Shirt",Registered!AS2062&amp;" T-Shirts")), "")</f>
        <v/>
      </c>
      <c r="E896" s="4" t="str">
        <f>Registered!AT2062</f>
        <v/>
      </c>
      <c r="F896" s="4" t="str">
        <f>Registered!AU2062</f>
        <v/>
      </c>
      <c r="G896" s="4" t="str">
        <f>Registered!AW2062</f>
        <v/>
      </c>
      <c r="H896" s="4" t="str">
        <f>Registered!AX2062</f>
        <v/>
      </c>
      <c r="I896" s="4" t="str">
        <f>Registered!AY2062</f>
        <v/>
      </c>
    </row>
    <row r="897" spans="1:9" x14ac:dyDescent="0.25">
      <c r="A897" s="4" t="str">
        <f>Registered!B2066</f>
        <v>Richardson</v>
      </c>
      <c r="B897" s="4" t="str">
        <f>Registered!A2066</f>
        <v>Randee</v>
      </c>
      <c r="C897" s="4" t="str">
        <f>IF(Registered!AR2066&gt;0,Registered!AR2066&amp;" Color Bags", "")</f>
        <v>10 Color Bags</v>
      </c>
      <c r="D897" s="4" t="str">
        <f>IF(Registered!AS2066&gt;0,(IF(Registered!AS2066=1,Registered!AS2066&amp;" T-Shirt",Registered!AS2066&amp;" T-Shirts")), "")</f>
        <v/>
      </c>
      <c r="E897" s="4" t="str">
        <f>Registered!AT2066</f>
        <v/>
      </c>
      <c r="F897" s="4" t="str">
        <f>Registered!AU2066</f>
        <v/>
      </c>
      <c r="G897" s="4" t="str">
        <f>Registered!AW2066</f>
        <v/>
      </c>
      <c r="H897" s="4" t="str">
        <f>Registered!AX2066</f>
        <v/>
      </c>
      <c r="I897" s="4" t="str">
        <f>Registered!AY2066</f>
        <v/>
      </c>
    </row>
    <row r="898" spans="1:9" x14ac:dyDescent="0.25">
      <c r="A898" s="4" t="str">
        <f>Registered!B2065</f>
        <v>Richardson</v>
      </c>
      <c r="B898" s="4" t="str">
        <f>Registered!A2065</f>
        <v>Jessica</v>
      </c>
      <c r="C898" s="4" t="str">
        <f>IF(Registered!AR2065&gt;0,Registered!AR2065&amp;" Color Bags", "")</f>
        <v>5 Color Bags</v>
      </c>
      <c r="D898" s="4" t="str">
        <f>IF(Registered!AS2065&gt;0,(IF(Registered!AS2065=1,Registered!AS2065&amp;" T-Shirt",Registered!AS2065&amp;" T-Shirts")), "")</f>
        <v/>
      </c>
      <c r="E898" s="4" t="str">
        <f>Registered!AT2065</f>
        <v/>
      </c>
      <c r="F898" s="4" t="str">
        <f>Registered!AU2065</f>
        <v/>
      </c>
      <c r="G898" s="4" t="str">
        <f>Registered!AW2065</f>
        <v/>
      </c>
      <c r="H898" s="4" t="str">
        <f>Registered!AX2065</f>
        <v/>
      </c>
      <c r="I898" s="4" t="str">
        <f>Registered!AY2065</f>
        <v/>
      </c>
    </row>
    <row r="899" spans="1:9" x14ac:dyDescent="0.25">
      <c r="A899" s="4" t="str">
        <f>Registered!B2067</f>
        <v>Richelieu</v>
      </c>
      <c r="B899" s="4" t="str">
        <f>Registered!A2067</f>
        <v>Tyler</v>
      </c>
      <c r="C899" s="4" t="str">
        <f>IF(Registered!AR2067&gt;0,Registered!AR2067&amp;" Color Bags", "")</f>
        <v>10 Color Bags</v>
      </c>
      <c r="D899" s="4" t="str">
        <f>IF(Registered!AS2067&gt;0,(IF(Registered!AS2067=1,Registered!AS2067&amp;" T-Shirt",Registered!AS2067&amp;" T-Shirts")), "")</f>
        <v>2 T-Shirts</v>
      </c>
      <c r="E899" s="4" t="str">
        <f>Registered!AT2067</f>
        <v>extra small, large</v>
      </c>
      <c r="F899" s="4" t="str">
        <f>Registered!AU2067</f>
        <v/>
      </c>
      <c r="G899" s="4" t="str">
        <f>Registered!AW2067</f>
        <v>2 Meals</v>
      </c>
      <c r="H899" s="4" t="str">
        <f>Registered!AX2067</f>
        <v/>
      </c>
      <c r="I899" s="4" t="str">
        <f>Registered!AY2067</f>
        <v/>
      </c>
    </row>
    <row r="900" spans="1:9" x14ac:dyDescent="0.25">
      <c r="A900" s="4" t="str">
        <f>Registered!B2072</f>
        <v>Rigby</v>
      </c>
      <c r="B900" s="4" t="str">
        <f>Registered!A2072</f>
        <v>Jessica</v>
      </c>
      <c r="C900" s="4" t="str">
        <f>IF(Registered!AR2072&gt;0,Registered!AR2072&amp;" Color Bags", "")</f>
        <v>10 Color Bags</v>
      </c>
      <c r="D900" s="4" t="str">
        <f>IF(Registered!AS2072&gt;0,(IF(Registered!AS2072=1,Registered!AS2072&amp;" T-Shirt",Registered!AS2072&amp;" T-Shirts")), "")</f>
        <v/>
      </c>
      <c r="E900" s="4" t="str">
        <f>Registered!AT2072</f>
        <v/>
      </c>
      <c r="F900" s="4" t="str">
        <f>Registered!AU2072</f>
        <v/>
      </c>
      <c r="G900" s="4" t="str">
        <f>Registered!AW2072</f>
        <v/>
      </c>
      <c r="H900" s="4" t="str">
        <f>Registered!AX2072</f>
        <v/>
      </c>
      <c r="I900" s="4" t="str">
        <f>Registered!AY2072</f>
        <v/>
      </c>
    </row>
    <row r="901" spans="1:9" x14ac:dyDescent="0.25">
      <c r="A901" s="4" t="str">
        <f>Registered!B2075</f>
        <v>Riley</v>
      </c>
      <c r="B901" s="4" t="str">
        <f>Registered!A2075</f>
        <v>Gina</v>
      </c>
      <c r="C901" s="4" t="str">
        <f>IF(Registered!AR2075&gt;0,Registered!AR2075&amp;" Color Bags", "")</f>
        <v>10 Color Bags</v>
      </c>
      <c r="D901" s="4" t="str">
        <f>IF(Registered!AS2075&gt;0,(IF(Registered!AS2075=1,Registered!AS2075&amp;" T-Shirt",Registered!AS2075&amp;" T-Shirts")), "")</f>
        <v/>
      </c>
      <c r="E901" s="4" t="str">
        <f>Registered!AT2075</f>
        <v/>
      </c>
      <c r="F901" s="4" t="str">
        <f>Registered!AU2075</f>
        <v/>
      </c>
      <c r="G901" s="4" t="str">
        <f>Registered!AW2075</f>
        <v/>
      </c>
      <c r="H901" s="4" t="str">
        <f>Registered!AX2075</f>
        <v/>
      </c>
      <c r="I901" s="4" t="str">
        <f>Registered!AY2075</f>
        <v/>
      </c>
    </row>
    <row r="902" spans="1:9" x14ac:dyDescent="0.25">
      <c r="A902" s="4" t="str">
        <f>Registered!B2076</f>
        <v>Rios</v>
      </c>
      <c r="B902" s="4" t="str">
        <f>Registered!A2076</f>
        <v>Cindy</v>
      </c>
      <c r="C902" s="4" t="str">
        <f>IF(Registered!AR2076&gt;0,Registered!AR2076&amp;" Color Bags", "")</f>
        <v>40 Color Bags</v>
      </c>
      <c r="D902" s="4" t="str">
        <f>IF(Registered!AS2076&gt;0,(IF(Registered!AS2076=1,Registered!AS2076&amp;" T-Shirt",Registered!AS2076&amp;" T-Shirts")), "")</f>
        <v/>
      </c>
      <c r="E902" s="4" t="str">
        <f>Registered!AT2076</f>
        <v/>
      </c>
      <c r="F902" s="4" t="str">
        <f>Registered!AU2076</f>
        <v/>
      </c>
      <c r="G902" s="4" t="str">
        <f>Registered!AW2076</f>
        <v/>
      </c>
      <c r="H902" s="4" t="str">
        <f>Registered!AX2076</f>
        <v/>
      </c>
      <c r="I902" s="4" t="str">
        <f>Registered!AY2076</f>
        <v/>
      </c>
    </row>
    <row r="903" spans="1:9" x14ac:dyDescent="0.25">
      <c r="A903" s="4" t="str">
        <f>Registered!B2079</f>
        <v>Ripley</v>
      </c>
      <c r="B903" s="4" t="str">
        <f>Registered!A2079</f>
        <v>Sarah</v>
      </c>
      <c r="C903" s="4" t="str">
        <f>IF(Registered!AR2079&gt;0,Registered!AR2079&amp;" Color Bags", "")</f>
        <v>5 Color Bags</v>
      </c>
      <c r="D903" s="4" t="str">
        <f>IF(Registered!AS2079&gt;0,(IF(Registered!AS2079=1,Registered!AS2079&amp;" T-Shirt",Registered!AS2079&amp;" T-Shirts")), "")</f>
        <v/>
      </c>
      <c r="E903" s="4" t="str">
        <f>Registered!AT2079</f>
        <v/>
      </c>
      <c r="F903" s="4" t="str">
        <f>Registered!AU2079</f>
        <v/>
      </c>
      <c r="G903" s="4" t="str">
        <f>Registered!AW2079</f>
        <v/>
      </c>
      <c r="H903" s="4" t="str">
        <f>Registered!AX2079</f>
        <v/>
      </c>
      <c r="I903" s="4" t="str">
        <f>Registered!AY2079</f>
        <v/>
      </c>
    </row>
    <row r="904" spans="1:9" x14ac:dyDescent="0.25">
      <c r="A904" s="4" t="str">
        <f>Registered!B2080</f>
        <v>Rixey</v>
      </c>
      <c r="B904" s="4" t="str">
        <f>Registered!A2080</f>
        <v>Catherine</v>
      </c>
      <c r="C904" s="4" t="str">
        <f>IF(Registered!AR2080&gt;0,Registered!AR2080&amp;" Color Bags", "")</f>
        <v>25 Color Bags</v>
      </c>
      <c r="D904" s="4" t="str">
        <f>IF(Registered!AS2080&gt;0,(IF(Registered!AS2080=1,Registered!AS2080&amp;" T-Shirt",Registered!AS2080&amp;" T-Shirts")), "")</f>
        <v>2 T-Shirts</v>
      </c>
      <c r="E904" s="4" t="str">
        <f>Registered!AT2080</f>
        <v>1 Large, 1 Medium</v>
      </c>
      <c r="F904" s="4" t="str">
        <f>Registered!AU2080</f>
        <v>2 Bandanas</v>
      </c>
      <c r="G904" s="4" t="str">
        <f>Registered!AW2080</f>
        <v/>
      </c>
      <c r="H904" s="4" t="str">
        <f>Registered!AX2080</f>
        <v/>
      </c>
      <c r="I904" s="4" t="str">
        <f>Registered!AY2080</f>
        <v>2 DustMask</v>
      </c>
    </row>
    <row r="905" spans="1:9" x14ac:dyDescent="0.25">
      <c r="A905" s="4" t="str">
        <f>Registered!B2081</f>
        <v>Rizzo</v>
      </c>
      <c r="B905" s="4" t="str">
        <f>Registered!A2081</f>
        <v>Miranda</v>
      </c>
      <c r="C905" s="4" t="str">
        <f>IF(Registered!AR2081&gt;0,Registered!AR2081&amp;" Color Bags", "")</f>
        <v>5 Color Bags</v>
      </c>
      <c r="D905" s="4" t="str">
        <f>IF(Registered!AS2081&gt;0,(IF(Registered!AS2081=1,Registered!AS2081&amp;" T-Shirt",Registered!AS2081&amp;" T-Shirts")), "")</f>
        <v/>
      </c>
      <c r="E905" s="4" t="str">
        <f>Registered!AT2081</f>
        <v/>
      </c>
      <c r="F905" s="4" t="str">
        <f>Registered!AU2081</f>
        <v/>
      </c>
      <c r="G905" s="4" t="str">
        <f>Registered!AW2081</f>
        <v/>
      </c>
      <c r="H905" s="4" t="str">
        <f>Registered!AX2081</f>
        <v/>
      </c>
      <c r="I905" s="4" t="str">
        <f>Registered!AY2081</f>
        <v/>
      </c>
    </row>
    <row r="906" spans="1:9" x14ac:dyDescent="0.25">
      <c r="A906" s="4" t="str">
        <f>Registered!B2087</f>
        <v>Robinson</v>
      </c>
      <c r="B906" s="4" t="str">
        <f>Registered!A2087</f>
        <v>Skyla</v>
      </c>
      <c r="C906" s="4" t="str">
        <f>IF(Registered!AR2087&gt;0,Registered!AR2087&amp;" Color Bags", "")</f>
        <v>10 Color Bags</v>
      </c>
      <c r="D906" s="4" t="str">
        <f>IF(Registered!AS2087&gt;0,(IF(Registered!AS2087=1,Registered!AS2087&amp;" T-Shirt",Registered!AS2087&amp;" T-Shirts")), "")</f>
        <v/>
      </c>
      <c r="E906" s="4" t="str">
        <f>Registered!AT2087</f>
        <v/>
      </c>
      <c r="F906" s="4" t="str">
        <f>Registered!AU2087</f>
        <v/>
      </c>
      <c r="G906" s="4" t="str">
        <f>Registered!AW2087</f>
        <v/>
      </c>
      <c r="H906" s="4" t="str">
        <f>Registered!AX2087</f>
        <v/>
      </c>
      <c r="I906" s="4" t="str">
        <f>Registered!AY2087</f>
        <v/>
      </c>
    </row>
    <row r="907" spans="1:9" x14ac:dyDescent="0.25">
      <c r="A907" s="4" t="str">
        <f>Registered!B2091</f>
        <v>Robison</v>
      </c>
      <c r="B907" s="4" t="str">
        <f>Registered!A2091</f>
        <v>Kris</v>
      </c>
      <c r="C907" s="4" t="str">
        <f>IF(Registered!AR2091&gt;0,Registered!AR2091&amp;" Color Bags", "")</f>
        <v>20 Color Bags</v>
      </c>
      <c r="D907" s="4" t="str">
        <f>IF(Registered!AS2091&gt;0,(IF(Registered!AS2091=1,Registered!AS2091&amp;" T-Shirt",Registered!AS2091&amp;" T-Shirts")), "")</f>
        <v/>
      </c>
      <c r="E907" s="4" t="str">
        <f>Registered!AT2091</f>
        <v/>
      </c>
      <c r="F907" s="4" t="str">
        <f>Registered!AU2091</f>
        <v/>
      </c>
      <c r="G907" s="4" t="str">
        <f>Registered!AW2091</f>
        <v/>
      </c>
      <c r="H907" s="4" t="str">
        <f>Registered!AX2091</f>
        <v/>
      </c>
      <c r="I907" s="4" t="str">
        <f>Registered!AY2091</f>
        <v/>
      </c>
    </row>
    <row r="908" spans="1:9" x14ac:dyDescent="0.25">
      <c r="A908" s="4" t="str">
        <f>Registered!B2093</f>
        <v>Rockwood</v>
      </c>
      <c r="B908" s="4" t="str">
        <f>Registered!A2093</f>
        <v>Christina</v>
      </c>
      <c r="C908" s="4" t="str">
        <f>IF(Registered!AR2093&gt;0,Registered!AR2093&amp;" Color Bags", "")</f>
        <v>10 Color Bags</v>
      </c>
      <c r="D908" s="4" t="str">
        <f>IF(Registered!AS2093&gt;0,(IF(Registered!AS2093=1,Registered!AS2093&amp;" T-Shirt",Registered!AS2093&amp;" T-Shirts")), "")</f>
        <v/>
      </c>
      <c r="E908" s="4" t="str">
        <f>Registered!AT2093</f>
        <v/>
      </c>
      <c r="F908" s="4" t="str">
        <f>Registered!AU2093</f>
        <v/>
      </c>
      <c r="G908" s="4" t="str">
        <f>Registered!AW2093</f>
        <v/>
      </c>
      <c r="H908" s="4" t="str">
        <f>Registered!AX2093</f>
        <v/>
      </c>
      <c r="I908" s="4" t="str">
        <f>Registered!AY2093</f>
        <v/>
      </c>
    </row>
    <row r="909" spans="1:9" x14ac:dyDescent="0.25">
      <c r="A909" s="4" t="str">
        <f>Registered!B2096</f>
        <v>Rodriguez</v>
      </c>
      <c r="B909" s="4" t="str">
        <f>Registered!A2096</f>
        <v>Veronica</v>
      </c>
      <c r="C909" s="4" t="str">
        <f>IF(Registered!AR2096&gt;0,Registered!AR2096&amp;" Color Bags", "")</f>
        <v>20 Color Bags</v>
      </c>
      <c r="D909" s="4" t="str">
        <f>IF(Registered!AS2096&gt;0,(IF(Registered!AS2096=1,Registered!AS2096&amp;" T-Shirt",Registered!AS2096&amp;" T-Shirts")), "")</f>
        <v/>
      </c>
      <c r="E909" s="4" t="str">
        <f>Registered!AT2096</f>
        <v/>
      </c>
      <c r="F909" s="4" t="str">
        <f>Registered!AU2096</f>
        <v/>
      </c>
      <c r="G909" s="4" t="str">
        <f>Registered!AW2096</f>
        <v/>
      </c>
      <c r="H909" s="4" t="str">
        <f>Registered!AX2096</f>
        <v/>
      </c>
      <c r="I909" s="4" t="str">
        <f>Registered!AY2096</f>
        <v/>
      </c>
    </row>
    <row r="910" spans="1:9" x14ac:dyDescent="0.25">
      <c r="A910" s="4" t="str">
        <f>Registered!B2099</f>
        <v>Rohman</v>
      </c>
      <c r="B910" s="4" t="str">
        <f>Registered!A2099</f>
        <v>Amy</v>
      </c>
      <c r="C910" s="4" t="str">
        <f>IF(Registered!AR2099&gt;0,Registered!AR2099&amp;" Color Bags", "")</f>
        <v>5 Color Bags</v>
      </c>
      <c r="D910" s="4" t="str">
        <f>IF(Registered!AS2099&gt;0,(IF(Registered!AS2099=1,Registered!AS2099&amp;" T-Shirt",Registered!AS2099&amp;" T-Shirts")), "")</f>
        <v/>
      </c>
      <c r="E910" s="4" t="str">
        <f>Registered!AT2099</f>
        <v/>
      </c>
      <c r="F910" s="4" t="str">
        <f>Registered!AU2099</f>
        <v/>
      </c>
      <c r="G910" s="4" t="str">
        <f>Registered!AW2099</f>
        <v/>
      </c>
      <c r="H910" s="4" t="str">
        <f>Registered!AX2099</f>
        <v/>
      </c>
      <c r="I910" s="4" t="str">
        <f>Registered!AY2099</f>
        <v/>
      </c>
    </row>
    <row r="911" spans="1:9" x14ac:dyDescent="0.25">
      <c r="A911" s="4" t="str">
        <f>Registered!B2100</f>
        <v>Rokovitz</v>
      </c>
      <c r="B911" s="4" t="str">
        <f>Registered!A2100</f>
        <v>Amber</v>
      </c>
      <c r="C911" s="4" t="str">
        <f>IF(Registered!AR2100&gt;0,Registered!AR2100&amp;" Color Bags", "")</f>
        <v>5 Color Bags</v>
      </c>
      <c r="D911" s="4" t="str">
        <f>IF(Registered!AS2100&gt;0,(IF(Registered!AS2100=1,Registered!AS2100&amp;" T-Shirt",Registered!AS2100&amp;" T-Shirts")), "")</f>
        <v/>
      </c>
      <c r="E911" s="4" t="str">
        <f>Registered!AT2100</f>
        <v/>
      </c>
      <c r="F911" s="4" t="str">
        <f>Registered!AU2100</f>
        <v/>
      </c>
      <c r="G911" s="4" t="str">
        <f>Registered!AW2100</f>
        <v/>
      </c>
      <c r="H911" s="4" t="str">
        <f>Registered!AX2100</f>
        <v/>
      </c>
      <c r="I911" s="4" t="str">
        <f>Registered!AY2100</f>
        <v/>
      </c>
    </row>
    <row r="912" spans="1:9" x14ac:dyDescent="0.25">
      <c r="A912" s="4" t="str">
        <f>Registered!B2102</f>
        <v>Rolen</v>
      </c>
      <c r="B912" s="4" t="str">
        <f>Registered!A2102</f>
        <v>Phillip</v>
      </c>
      <c r="C912" s="4" t="str">
        <f>IF(Registered!AR2102&gt;0,Registered!AR2102&amp;" Color Bags", "")</f>
        <v>10 Color Bags</v>
      </c>
      <c r="D912" s="4" t="str">
        <f>IF(Registered!AS2102&gt;0,(IF(Registered!AS2102=1,Registered!AS2102&amp;" T-Shirt",Registered!AS2102&amp;" T-Shirts")), "")</f>
        <v>2 T-Shirts</v>
      </c>
      <c r="E912" s="4" t="str">
        <f>Registered!AT2102</f>
        <v>XXL and L</v>
      </c>
      <c r="F912" s="4" t="str">
        <f>Registered!AU2102</f>
        <v/>
      </c>
      <c r="G912" s="4" t="str">
        <f>Registered!AW2102</f>
        <v>2 Meals</v>
      </c>
      <c r="H912" s="4" t="str">
        <f>Registered!AX2102</f>
        <v/>
      </c>
      <c r="I912" s="4" t="str">
        <f>Registered!AY2102</f>
        <v/>
      </c>
    </row>
    <row r="913" spans="1:9" x14ac:dyDescent="0.25">
      <c r="A913" s="4" t="str">
        <f>Registered!B2105</f>
        <v>Romay</v>
      </c>
      <c r="B913" s="4" t="str">
        <f>Registered!A2105</f>
        <v>Diana</v>
      </c>
      <c r="C913" s="4" t="str">
        <f>IF(Registered!AR2105&gt;0,Registered!AR2105&amp;" Color Bags", "")</f>
        <v>20 Color Bags</v>
      </c>
      <c r="D913" s="4" t="str">
        <f>IF(Registered!AS2105&gt;0,(IF(Registered!AS2105=1,Registered!AS2105&amp;" T-Shirt",Registered!AS2105&amp;" T-Shirts")), "")</f>
        <v/>
      </c>
      <c r="E913" s="4" t="str">
        <f>Registered!AT2105</f>
        <v/>
      </c>
      <c r="F913" s="4" t="str">
        <f>Registered!AU2105</f>
        <v/>
      </c>
      <c r="G913" s="4" t="str">
        <f>Registered!AW2105</f>
        <v/>
      </c>
      <c r="H913" s="4" t="str">
        <f>Registered!AX2105</f>
        <v/>
      </c>
      <c r="I913" s="4" t="str">
        <f>Registered!AY2105</f>
        <v/>
      </c>
    </row>
    <row r="914" spans="1:9" x14ac:dyDescent="0.25">
      <c r="A914" s="4" t="str">
        <f>Registered!B2106</f>
        <v>Romo</v>
      </c>
      <c r="B914" s="4" t="str">
        <f>Registered!A2106</f>
        <v>Nicole</v>
      </c>
      <c r="C914" s="4" t="str">
        <f>IF(Registered!AR2106&gt;0,Registered!AR2106&amp;" Color Bags", "")</f>
        <v>10 Color Bags</v>
      </c>
      <c r="D914" s="4" t="str">
        <f>IF(Registered!AS2106&gt;0,(IF(Registered!AS2106=1,Registered!AS2106&amp;" T-Shirt",Registered!AS2106&amp;" T-Shirts")), "")</f>
        <v>1 T-Shirt</v>
      </c>
      <c r="E914" s="4" t="str">
        <f>Registered!AT2106</f>
        <v>Medium</v>
      </c>
      <c r="F914" s="4" t="str">
        <f>Registered!AU2106</f>
        <v>1 Bandana</v>
      </c>
      <c r="G914" s="4" t="str">
        <f>Registered!AW2106</f>
        <v/>
      </c>
      <c r="H914" s="4" t="str">
        <f>Registered!AX2106</f>
        <v/>
      </c>
      <c r="I914" s="4" t="str">
        <f>Registered!AY2106</f>
        <v/>
      </c>
    </row>
    <row r="915" spans="1:9" x14ac:dyDescent="0.25">
      <c r="A915" s="4" t="str">
        <f>Registered!B2111</f>
        <v>Ross</v>
      </c>
      <c r="B915" s="4" t="str">
        <f>Registered!A2111</f>
        <v>Jamie</v>
      </c>
      <c r="C915" s="4" t="str">
        <f>IF(Registered!AR2111&gt;0,Registered!AR2111&amp;" Color Bags", "")</f>
        <v>10 Color Bags</v>
      </c>
      <c r="D915" s="4" t="str">
        <f>IF(Registered!AS2111&gt;0,(IF(Registered!AS2111=1,Registered!AS2111&amp;" T-Shirt",Registered!AS2111&amp;" T-Shirts")), "")</f>
        <v/>
      </c>
      <c r="E915" s="4" t="str">
        <f>Registered!AT2111</f>
        <v/>
      </c>
      <c r="F915" s="4" t="str">
        <f>Registered!AU2111</f>
        <v>2 Bandanas</v>
      </c>
      <c r="G915" s="4" t="str">
        <f>Registered!AW2111</f>
        <v/>
      </c>
      <c r="H915" s="4" t="str">
        <f>Registered!AX2111</f>
        <v/>
      </c>
      <c r="I915" s="4" t="str">
        <f>Registered!AY2111</f>
        <v/>
      </c>
    </row>
    <row r="916" spans="1:9" x14ac:dyDescent="0.25">
      <c r="A916" s="4" t="str">
        <f>Registered!B2114</f>
        <v>Rowan</v>
      </c>
      <c r="B916" s="4" t="str">
        <f>Registered!A2114</f>
        <v>Bree</v>
      </c>
      <c r="C916" s="4" t="str">
        <f>IF(Registered!AR2114&gt;0,Registered!AR2114&amp;" Color Bags", "")</f>
        <v>10 Color Bags</v>
      </c>
      <c r="D916" s="4" t="str">
        <f>IF(Registered!AS2114&gt;0,(IF(Registered!AS2114=1,Registered!AS2114&amp;" T-Shirt",Registered!AS2114&amp;" T-Shirts")), "")</f>
        <v/>
      </c>
      <c r="E916" s="4" t="str">
        <f>Registered!AT2114</f>
        <v/>
      </c>
      <c r="F916" s="4" t="str">
        <f>Registered!AU2114</f>
        <v/>
      </c>
      <c r="G916" s="4" t="str">
        <f>Registered!AW2114</f>
        <v/>
      </c>
      <c r="H916" s="4" t="str">
        <f>Registered!AX2114</f>
        <v/>
      </c>
      <c r="I916" s="4" t="str">
        <f>Registered!AY2114</f>
        <v/>
      </c>
    </row>
    <row r="917" spans="1:9" x14ac:dyDescent="0.25">
      <c r="A917" s="4" t="str">
        <f>Registered!B2119</f>
        <v>Rowsell</v>
      </c>
      <c r="B917" s="4" t="str">
        <f>Registered!A2119</f>
        <v>MaKayla</v>
      </c>
      <c r="C917" s="4" t="str">
        <f>IF(Registered!AR2119&gt;0,Registered!AR2119&amp;" Color Bags", "")</f>
        <v>10 Color Bags</v>
      </c>
      <c r="D917" s="4" t="str">
        <f>IF(Registered!AS2119&gt;0,(IF(Registered!AS2119=1,Registered!AS2119&amp;" T-Shirt",Registered!AS2119&amp;" T-Shirts")), "")</f>
        <v/>
      </c>
      <c r="E917" s="4" t="str">
        <f>Registered!AT2119</f>
        <v/>
      </c>
      <c r="F917" s="4" t="str">
        <f>Registered!AU2119</f>
        <v/>
      </c>
      <c r="G917" s="4" t="str">
        <f>Registered!AW2119</f>
        <v/>
      </c>
      <c r="H917" s="4" t="str">
        <f>Registered!AX2119</f>
        <v/>
      </c>
      <c r="I917" s="4" t="str">
        <f>Registered!AY2119</f>
        <v/>
      </c>
    </row>
    <row r="918" spans="1:9" x14ac:dyDescent="0.25">
      <c r="A918" s="4" t="str">
        <f>Registered!B2120</f>
        <v>Roylance</v>
      </c>
      <c r="B918" s="4" t="str">
        <f>Registered!A2120</f>
        <v>Brooke</v>
      </c>
      <c r="C918" s="4" t="str">
        <f>IF(Registered!AR2120&gt;0,Registered!AR2120&amp;" Color Bags", "")</f>
        <v>10 Color Bags</v>
      </c>
      <c r="D918" s="4" t="str">
        <f>IF(Registered!AS2120&gt;0,(IF(Registered!AS2120=1,Registered!AS2120&amp;" T-Shirt",Registered!AS2120&amp;" T-Shirts")), "")</f>
        <v/>
      </c>
      <c r="E918" s="4" t="str">
        <f>Registered!AT2120</f>
        <v/>
      </c>
      <c r="F918" s="4" t="str">
        <f>Registered!AU2120</f>
        <v>2 Bandanas</v>
      </c>
      <c r="G918" s="4" t="str">
        <f>Registered!AW2120</f>
        <v/>
      </c>
      <c r="H918" s="4" t="str">
        <f>Registered!AX2120</f>
        <v/>
      </c>
      <c r="I918" s="4" t="str">
        <f>Registered!AY2120</f>
        <v/>
      </c>
    </row>
    <row r="919" spans="1:9" x14ac:dyDescent="0.25">
      <c r="A919" s="4" t="str">
        <f>Registered!B2122</f>
        <v>Roylance</v>
      </c>
      <c r="B919" s="4" t="str">
        <f>Registered!A2122</f>
        <v>Staci</v>
      </c>
      <c r="C919" s="4" t="str">
        <f>IF(Registered!AR2122&gt;0,Registered!AR2122&amp;" Color Bags", "")</f>
        <v>10 Color Bags</v>
      </c>
      <c r="D919" s="4" t="str">
        <f>IF(Registered!AS2122&gt;0,(IF(Registered!AS2122=1,Registered!AS2122&amp;" T-Shirt",Registered!AS2122&amp;" T-Shirts")), "")</f>
        <v/>
      </c>
      <c r="E919" s="4" t="str">
        <f>Registered!AT2122</f>
        <v/>
      </c>
      <c r="F919" s="4" t="str">
        <f>Registered!AU2122</f>
        <v/>
      </c>
      <c r="G919" s="4" t="str">
        <f>Registered!AW2122</f>
        <v/>
      </c>
      <c r="H919" s="4" t="str">
        <f>Registered!AX2122</f>
        <v/>
      </c>
      <c r="I919" s="4" t="str">
        <f>Registered!AY2122</f>
        <v/>
      </c>
    </row>
    <row r="920" spans="1:9" x14ac:dyDescent="0.25">
      <c r="A920" s="4" t="str">
        <f>Registered!B2123</f>
        <v>Rueckert</v>
      </c>
      <c r="B920" s="4" t="str">
        <f>Registered!A2123</f>
        <v>Amanda</v>
      </c>
      <c r="C920" s="4" t="str">
        <f>IF(Registered!AR2123&gt;0,Registered!AR2123&amp;" Color Bags", "")</f>
        <v>5 Color Bags</v>
      </c>
      <c r="D920" s="4" t="str">
        <f>IF(Registered!AS2123&gt;0,(IF(Registered!AS2123=1,Registered!AS2123&amp;" T-Shirt",Registered!AS2123&amp;" T-Shirts")), "")</f>
        <v/>
      </c>
      <c r="E920" s="4" t="str">
        <f>Registered!AT2123</f>
        <v/>
      </c>
      <c r="F920" s="4" t="str">
        <f>Registered!AU2123</f>
        <v/>
      </c>
      <c r="G920" s="4" t="str">
        <f>Registered!AW2123</f>
        <v/>
      </c>
      <c r="H920" s="4" t="str">
        <f>Registered!AX2123</f>
        <v/>
      </c>
      <c r="I920" s="4" t="str">
        <f>Registered!AY2123</f>
        <v/>
      </c>
    </row>
    <row r="921" spans="1:9" x14ac:dyDescent="0.25">
      <c r="A921" s="4" t="str">
        <f>Registered!B2128</f>
        <v>Ruyak</v>
      </c>
      <c r="B921" s="4" t="str">
        <f>Registered!A2128</f>
        <v>John</v>
      </c>
      <c r="C921" s="4" t="str">
        <f>IF(Registered!AR2128&gt;0,Registered!AR2128&amp;" Color Bags", "")</f>
        <v>15 Color Bags</v>
      </c>
      <c r="D921" s="4" t="str">
        <f>IF(Registered!AS2128&gt;0,(IF(Registered!AS2128=1,Registered!AS2128&amp;" T-Shirt",Registered!AS2128&amp;" T-Shirts")), "")</f>
        <v/>
      </c>
      <c r="E921" s="4" t="str">
        <f>Registered!AT2128</f>
        <v/>
      </c>
      <c r="F921" s="4" t="str">
        <f>Registered!AU2128</f>
        <v/>
      </c>
      <c r="G921" s="4" t="str">
        <f>Registered!AW2128</f>
        <v/>
      </c>
      <c r="H921" s="4" t="str">
        <f>Registered!AX2128</f>
        <v/>
      </c>
      <c r="I921" s="4" t="str">
        <f>Registered!AY2128</f>
        <v/>
      </c>
    </row>
    <row r="922" spans="1:9" x14ac:dyDescent="0.25">
      <c r="A922" s="4" t="str">
        <f>Registered!B2134</f>
        <v>Sagra</v>
      </c>
      <c r="B922" s="4" t="str">
        <f>Registered!A2134</f>
        <v>Jennifer</v>
      </c>
      <c r="C922" s="4" t="str">
        <f>IF(Registered!AR2134&gt;0,Registered!AR2134&amp;" Color Bags", "")</f>
        <v>20 Color Bags</v>
      </c>
      <c r="D922" s="4" t="str">
        <f>IF(Registered!AS2134&gt;0,(IF(Registered!AS2134=1,Registered!AS2134&amp;" T-Shirt",Registered!AS2134&amp;" T-Shirts")), "")</f>
        <v/>
      </c>
      <c r="E922" s="4" t="str">
        <f>Registered!AT2134</f>
        <v/>
      </c>
      <c r="F922" s="4" t="str">
        <f>Registered!AU2134</f>
        <v/>
      </c>
      <c r="G922" s="4" t="str">
        <f>Registered!AW2134</f>
        <v/>
      </c>
      <c r="H922" s="4" t="str">
        <f>Registered!AX2134</f>
        <v/>
      </c>
      <c r="I922" s="4" t="str">
        <f>Registered!AY2134</f>
        <v/>
      </c>
    </row>
    <row r="923" spans="1:9" x14ac:dyDescent="0.25">
      <c r="A923" s="4" t="str">
        <f>Registered!B2137</f>
        <v>Sakievich</v>
      </c>
      <c r="B923" s="4" t="str">
        <f>Registered!A2137</f>
        <v>Luke</v>
      </c>
      <c r="C923" s="4" t="str">
        <f>IF(Registered!AR2137&gt;0,Registered!AR2137&amp;" Color Bags", "")</f>
        <v>5 Color Bags</v>
      </c>
      <c r="D923" s="4" t="str">
        <f>IF(Registered!AS2137&gt;0,(IF(Registered!AS2137=1,Registered!AS2137&amp;" T-Shirt",Registered!AS2137&amp;" T-Shirts")), "")</f>
        <v/>
      </c>
      <c r="E923" s="4" t="str">
        <f>Registered!AT2137</f>
        <v/>
      </c>
      <c r="F923" s="4" t="str">
        <f>Registered!AU2137</f>
        <v/>
      </c>
      <c r="G923" s="4" t="str">
        <f>Registered!AW2137</f>
        <v/>
      </c>
      <c r="H923" s="4" t="str">
        <f>Registered!AX2137</f>
        <v/>
      </c>
      <c r="I923" s="4" t="str">
        <f>Registered!AY2137</f>
        <v/>
      </c>
    </row>
    <row r="924" spans="1:9" x14ac:dyDescent="0.25">
      <c r="A924" s="4" t="str">
        <f>Registered!B2139</f>
        <v>Salazar</v>
      </c>
      <c r="B924" s="4" t="str">
        <f>Registered!A2139</f>
        <v>David</v>
      </c>
      <c r="C924" s="4" t="str">
        <f>IF(Registered!AR2139&gt;0,Registered!AR2139&amp;" Color Bags", "")</f>
        <v>15 Color Bags</v>
      </c>
      <c r="D924" s="4" t="str">
        <f>IF(Registered!AS2139&gt;0,(IF(Registered!AS2139=1,Registered!AS2139&amp;" T-Shirt",Registered!AS2139&amp;" T-Shirts")), "")</f>
        <v>3 T-Shirts</v>
      </c>
      <c r="E924" s="4" t="str">
        <f>Registered!AT2139</f>
        <v>Two - Medium shirts, One - Large shirt</v>
      </c>
      <c r="F924" s="4" t="str">
        <f>Registered!AU2139</f>
        <v/>
      </c>
      <c r="G924" s="4" t="str">
        <f>Registered!AW2139</f>
        <v>3 Meals</v>
      </c>
      <c r="H924" s="4" t="str">
        <f>Registered!AX2139</f>
        <v/>
      </c>
      <c r="I924" s="4" t="str">
        <f>Registered!AY2139</f>
        <v/>
      </c>
    </row>
    <row r="925" spans="1:9" x14ac:dyDescent="0.25">
      <c r="A925" s="4" t="str">
        <f>Registered!B2140</f>
        <v>Salinas</v>
      </c>
      <c r="B925" s="4" t="str">
        <f>Registered!A2140</f>
        <v>Caitlin</v>
      </c>
      <c r="C925" s="4" t="str">
        <f>IF(Registered!AR2140&gt;0,Registered!AR2140&amp;" Color Bags", "")</f>
        <v>5 Color Bags</v>
      </c>
      <c r="D925" s="4" t="str">
        <f>IF(Registered!AS2140&gt;0,(IF(Registered!AS2140=1,Registered!AS2140&amp;" T-Shirt",Registered!AS2140&amp;" T-Shirts")), "")</f>
        <v>1 T-Shirt</v>
      </c>
      <c r="E925" s="4" t="str">
        <f>Registered!AT2140</f>
        <v>M</v>
      </c>
      <c r="F925" s="4" t="str">
        <f>Registered!AU2140</f>
        <v/>
      </c>
      <c r="G925" s="4" t="str">
        <f>Registered!AW2140</f>
        <v>1 Meal</v>
      </c>
      <c r="H925" s="4" t="str">
        <f>Registered!AX2140</f>
        <v/>
      </c>
      <c r="I925" s="4" t="str">
        <f>Registered!AY2140</f>
        <v/>
      </c>
    </row>
    <row r="926" spans="1:9" x14ac:dyDescent="0.25">
      <c r="A926" s="4" t="str">
        <f>Registered!B2141</f>
        <v>Salinas</v>
      </c>
      <c r="B926" s="4" t="str">
        <f>Registered!A2141</f>
        <v>Heather</v>
      </c>
      <c r="C926" s="4" t="str">
        <f>IF(Registered!AR2141&gt;0,Registered!AR2141&amp;" Color Bags", "")</f>
        <v>5 Color Bags</v>
      </c>
      <c r="D926" s="4" t="str">
        <f>IF(Registered!AS2141&gt;0,(IF(Registered!AS2141=1,Registered!AS2141&amp;" T-Shirt",Registered!AS2141&amp;" T-Shirts")), "")</f>
        <v/>
      </c>
      <c r="E926" s="4" t="str">
        <f>Registered!AT2141</f>
        <v/>
      </c>
      <c r="F926" s="4" t="str">
        <f>Registered!AU2141</f>
        <v>1 Bandana</v>
      </c>
      <c r="G926" s="4" t="str">
        <f>Registered!AW2141</f>
        <v/>
      </c>
      <c r="H926" s="4" t="str">
        <f>Registered!AX2141</f>
        <v/>
      </c>
      <c r="I926" s="4" t="str">
        <f>Registered!AY2141</f>
        <v/>
      </c>
    </row>
    <row r="927" spans="1:9" x14ac:dyDescent="0.25">
      <c r="A927" s="4" t="str">
        <f>Registered!B2146</f>
        <v>Sanchez</v>
      </c>
      <c r="B927" s="4" t="str">
        <f>Registered!A2146</f>
        <v>Curtis</v>
      </c>
      <c r="C927" s="4" t="str">
        <f>IF(Registered!AR2146&gt;0,Registered!AR2146&amp;" Color Bags", "")</f>
        <v>20 Color Bags</v>
      </c>
      <c r="D927" s="4" t="str">
        <f>IF(Registered!AS2146&gt;0,(IF(Registered!AS2146=1,Registered!AS2146&amp;" T-Shirt",Registered!AS2146&amp;" T-Shirts")), "")</f>
        <v/>
      </c>
      <c r="E927" s="4" t="str">
        <f>Registered!AT2146</f>
        <v/>
      </c>
      <c r="F927" s="4" t="str">
        <f>Registered!AU2146</f>
        <v>2 Bandanas</v>
      </c>
      <c r="G927" s="4" t="str">
        <f>Registered!AW2146</f>
        <v/>
      </c>
      <c r="H927" s="4" t="str">
        <f>Registered!AX2146</f>
        <v/>
      </c>
      <c r="I927" s="4" t="str">
        <f>Registered!AY2146</f>
        <v/>
      </c>
    </row>
    <row r="928" spans="1:9" x14ac:dyDescent="0.25">
      <c r="A928" s="4" t="str">
        <f>Registered!B2151</f>
        <v>Sanderson</v>
      </c>
      <c r="B928" s="4" t="str">
        <f>Registered!A2151</f>
        <v>Terry</v>
      </c>
      <c r="C928" s="4" t="str">
        <f>IF(Registered!AR2151&gt;0,Registered!AR2151&amp;" Color Bags", "")</f>
        <v>10 Color Bags</v>
      </c>
      <c r="D928" s="4" t="str">
        <f>IF(Registered!AS2151&gt;0,(IF(Registered!AS2151=1,Registered!AS2151&amp;" T-Shirt",Registered!AS2151&amp;" T-Shirts")), "")</f>
        <v/>
      </c>
      <c r="E928" s="4" t="str">
        <f>Registered!AT2151</f>
        <v/>
      </c>
      <c r="F928" s="4" t="str">
        <f>Registered!AU2151</f>
        <v/>
      </c>
      <c r="G928" s="4" t="str">
        <f>Registered!AW2151</f>
        <v/>
      </c>
      <c r="H928" s="4" t="str">
        <f>Registered!AX2151</f>
        <v/>
      </c>
      <c r="I928" s="4" t="str">
        <f>Registered!AY2151</f>
        <v/>
      </c>
    </row>
    <row r="929" spans="1:9" x14ac:dyDescent="0.25">
      <c r="A929" s="4" t="str">
        <f>Registered!B2152</f>
        <v>Sandford</v>
      </c>
      <c r="B929" s="4" t="str">
        <f>Registered!A2152</f>
        <v>Brian</v>
      </c>
      <c r="C929" s="4" t="str">
        <f>IF(Registered!AR2152&gt;0,Registered!AR2152&amp;" Color Bags", "")</f>
        <v>10 Color Bags</v>
      </c>
      <c r="D929" s="4" t="str">
        <f>IF(Registered!AS2152&gt;0,(IF(Registered!AS2152=1,Registered!AS2152&amp;" T-Shirt",Registered!AS2152&amp;" T-Shirts")), "")</f>
        <v>2 T-Shirts</v>
      </c>
      <c r="E929" s="4" t="str">
        <f>Registered!AT2152</f>
        <v>two Mediums</v>
      </c>
      <c r="F929" s="4" t="str">
        <f>Registered!AU2152</f>
        <v/>
      </c>
      <c r="G929" s="4" t="str">
        <f>Registered!AW2152</f>
        <v>2 Meals</v>
      </c>
      <c r="H929" s="4" t="str">
        <f>Registered!AX2152</f>
        <v/>
      </c>
      <c r="I929" s="4" t="str">
        <f>Registered!AY2152</f>
        <v/>
      </c>
    </row>
    <row r="930" spans="1:9" x14ac:dyDescent="0.25">
      <c r="A930" s="4" t="str">
        <f>Registered!B2153</f>
        <v>Sandoval</v>
      </c>
      <c r="B930" s="4" t="str">
        <f>Registered!A2153</f>
        <v>Carrie</v>
      </c>
      <c r="C930" s="4" t="str">
        <f>IF(Registered!AR2153&gt;0,Registered!AR2153&amp;" Color Bags", "")</f>
        <v>5 Color Bags</v>
      </c>
      <c r="D930" s="4" t="str">
        <f>IF(Registered!AS2153&gt;0,(IF(Registered!AS2153=1,Registered!AS2153&amp;" T-Shirt",Registered!AS2153&amp;" T-Shirts")), "")</f>
        <v>1 T-Shirt</v>
      </c>
      <c r="E930" s="4" t="str">
        <f>Registered!AT2153</f>
        <v>medium</v>
      </c>
      <c r="F930" s="4" t="str">
        <f>Registered!AU2153</f>
        <v/>
      </c>
      <c r="G930" s="4" t="str">
        <f>Registered!AW2153</f>
        <v/>
      </c>
      <c r="H930" s="4" t="str">
        <f>Registered!AX2153</f>
        <v/>
      </c>
      <c r="I930" s="4" t="str">
        <f>Registered!AY2153</f>
        <v>3 DustMask</v>
      </c>
    </row>
    <row r="931" spans="1:9" x14ac:dyDescent="0.25">
      <c r="A931" s="4" t="str">
        <f>Registered!B2156</f>
        <v>Sanford</v>
      </c>
      <c r="B931" s="4" t="str">
        <f>Registered!A2156</f>
        <v>Taylor</v>
      </c>
      <c r="C931" s="4" t="str">
        <f>IF(Registered!AR2156&gt;0,Registered!AR2156&amp;" Color Bags", "")</f>
        <v>10 Color Bags</v>
      </c>
      <c r="D931" s="4" t="str">
        <f>IF(Registered!AS2156&gt;0,(IF(Registered!AS2156=1,Registered!AS2156&amp;" T-Shirt",Registered!AS2156&amp;" T-Shirts")), "")</f>
        <v>2 T-Shirts</v>
      </c>
      <c r="E931" s="4" t="str">
        <f>Registered!AT2156</f>
        <v>Small and Medium</v>
      </c>
      <c r="F931" s="4" t="str">
        <f>Registered!AU2156</f>
        <v>2 Bandanas</v>
      </c>
      <c r="G931" s="4" t="str">
        <f>Registered!AW2156</f>
        <v/>
      </c>
      <c r="H931" s="4" t="str">
        <f>Registered!AX2156</f>
        <v/>
      </c>
      <c r="I931" s="4" t="str">
        <f>Registered!AY2156</f>
        <v/>
      </c>
    </row>
    <row r="932" spans="1:9" x14ac:dyDescent="0.25">
      <c r="A932" s="4" t="str">
        <f>Registered!B2157</f>
        <v>Santos</v>
      </c>
      <c r="B932" s="4" t="str">
        <f>Registered!A2157</f>
        <v>Fatima</v>
      </c>
      <c r="C932" s="4" t="str">
        <f>IF(Registered!AR2157&gt;0,Registered!AR2157&amp;" Color Bags", "")</f>
        <v>5 Color Bags</v>
      </c>
      <c r="D932" s="4" t="str">
        <f>IF(Registered!AS2157&gt;0,(IF(Registered!AS2157=1,Registered!AS2157&amp;" T-Shirt",Registered!AS2157&amp;" T-Shirts")), "")</f>
        <v/>
      </c>
      <c r="E932" s="4" t="str">
        <f>Registered!AT2157</f>
        <v/>
      </c>
      <c r="F932" s="4" t="str">
        <f>Registered!AU2157</f>
        <v/>
      </c>
      <c r="G932" s="4" t="str">
        <f>Registered!AW2157</f>
        <v/>
      </c>
      <c r="H932" s="4" t="str">
        <f>Registered!AX2157</f>
        <v/>
      </c>
      <c r="I932" s="4" t="str">
        <f>Registered!AY2157</f>
        <v/>
      </c>
    </row>
    <row r="933" spans="1:9" x14ac:dyDescent="0.25">
      <c r="A933" s="4" t="str">
        <f>Registered!B2159</f>
        <v>Sarraf</v>
      </c>
      <c r="B933" s="4" t="str">
        <f>Registered!A2159</f>
        <v>Soraya</v>
      </c>
      <c r="C933" s="4" t="str">
        <f>IF(Registered!AR2159&gt;0,Registered!AR2159&amp;" Color Bags", "")</f>
        <v>5 Color Bags</v>
      </c>
      <c r="D933" s="4" t="str">
        <f>IF(Registered!AS2159&gt;0,(IF(Registered!AS2159=1,Registered!AS2159&amp;" T-Shirt",Registered!AS2159&amp;" T-Shirts")), "")</f>
        <v/>
      </c>
      <c r="E933" s="4" t="str">
        <f>Registered!AT2159</f>
        <v/>
      </c>
      <c r="F933" s="4" t="str">
        <f>Registered!AU2159</f>
        <v/>
      </c>
      <c r="G933" s="4" t="str">
        <f>Registered!AW2159</f>
        <v/>
      </c>
      <c r="H933" s="4" t="str">
        <f>Registered!AX2159</f>
        <v/>
      </c>
      <c r="I933" s="4" t="str">
        <f>Registered!AY2159</f>
        <v/>
      </c>
    </row>
    <row r="934" spans="1:9" x14ac:dyDescent="0.25">
      <c r="A934" s="4" t="str">
        <f>Registered!B2163</f>
        <v>Schjelderup</v>
      </c>
      <c r="B934" s="4" t="str">
        <f>Registered!A2163</f>
        <v>Mia</v>
      </c>
      <c r="C934" s="4" t="str">
        <f>IF(Registered!AR2163&gt;0,Registered!AR2163&amp;" Color Bags", "")</f>
        <v>10 Color Bags</v>
      </c>
      <c r="D934" s="4" t="str">
        <f>IF(Registered!AS2163&gt;0,(IF(Registered!AS2163=1,Registered!AS2163&amp;" T-Shirt",Registered!AS2163&amp;" T-Shirts")), "")</f>
        <v/>
      </c>
      <c r="E934" s="4" t="str">
        <f>Registered!AT2163</f>
        <v/>
      </c>
      <c r="F934" s="4" t="str">
        <f>Registered!AU2163</f>
        <v/>
      </c>
      <c r="G934" s="4" t="str">
        <f>Registered!AW2163</f>
        <v>6 Meals</v>
      </c>
      <c r="H934" s="4" t="str">
        <f>Registered!AX2163</f>
        <v/>
      </c>
      <c r="I934" s="4" t="str">
        <f>Registered!AY2163</f>
        <v/>
      </c>
    </row>
    <row r="935" spans="1:9" x14ac:dyDescent="0.25">
      <c r="A935" s="4" t="str">
        <f>Registered!B2165</f>
        <v>Schmitt</v>
      </c>
      <c r="B935" s="4" t="str">
        <f>Registered!A2165</f>
        <v>Charles</v>
      </c>
      <c r="C935" s="4" t="str">
        <f>IF(Registered!AR2165&gt;0,Registered!AR2165&amp;" Color Bags", "")</f>
        <v>10 Color Bags</v>
      </c>
      <c r="D935" s="4" t="str">
        <f>IF(Registered!AS2165&gt;0,(IF(Registered!AS2165=1,Registered!AS2165&amp;" T-Shirt",Registered!AS2165&amp;" T-Shirts")), "")</f>
        <v/>
      </c>
      <c r="E935" s="4" t="str">
        <f>Registered!AT2165</f>
        <v/>
      </c>
      <c r="F935" s="4" t="str">
        <f>Registered!AU2165</f>
        <v/>
      </c>
      <c r="G935" s="4" t="str">
        <f>Registered!AW2165</f>
        <v/>
      </c>
      <c r="H935" s="4" t="str">
        <f>Registered!AX2165</f>
        <v/>
      </c>
      <c r="I935" s="4" t="str">
        <f>Registered!AY2165</f>
        <v/>
      </c>
    </row>
    <row r="936" spans="1:9" x14ac:dyDescent="0.25">
      <c r="A936" s="4" t="str">
        <f>Registered!B2166</f>
        <v>Schofield</v>
      </c>
      <c r="B936" s="4" t="str">
        <f>Registered!A2166</f>
        <v>Mallory</v>
      </c>
      <c r="C936" s="4" t="str">
        <f>IF(Registered!AR2166&gt;0,Registered!AR2166&amp;" Color Bags", "")</f>
        <v>10 Color Bags</v>
      </c>
      <c r="D936" s="4" t="str">
        <f>IF(Registered!AS2166&gt;0,(IF(Registered!AS2166=1,Registered!AS2166&amp;" T-Shirt",Registered!AS2166&amp;" T-Shirts")), "")</f>
        <v/>
      </c>
      <c r="E936" s="4" t="str">
        <f>Registered!AT2166</f>
        <v/>
      </c>
      <c r="F936" s="4" t="str">
        <f>Registered!AU2166</f>
        <v/>
      </c>
      <c r="G936" s="4" t="str">
        <f>Registered!AW2166</f>
        <v/>
      </c>
      <c r="H936" s="4" t="str">
        <f>Registered!AX2166</f>
        <v/>
      </c>
      <c r="I936" s="4" t="str">
        <f>Registered!AY2166</f>
        <v/>
      </c>
    </row>
    <row r="937" spans="1:9" x14ac:dyDescent="0.25">
      <c r="A937" s="4" t="str">
        <f>Registered!B2168</f>
        <v>Schofield</v>
      </c>
      <c r="B937" s="4" t="str">
        <f>Registered!A2168</f>
        <v>Tenley</v>
      </c>
      <c r="C937" s="4" t="str">
        <f>IF(Registered!AR2168&gt;0,Registered!AR2168&amp;" Color Bags", "")</f>
        <v>10 Color Bags</v>
      </c>
      <c r="D937" s="4" t="str">
        <f>IF(Registered!AS2168&gt;0,(IF(Registered!AS2168=1,Registered!AS2168&amp;" T-Shirt",Registered!AS2168&amp;" T-Shirts")), "")</f>
        <v/>
      </c>
      <c r="E937" s="4" t="str">
        <f>Registered!AT2168</f>
        <v/>
      </c>
      <c r="F937" s="4" t="str">
        <f>Registered!AU2168</f>
        <v/>
      </c>
      <c r="G937" s="4" t="str">
        <f>Registered!AW2168</f>
        <v>5 Meals</v>
      </c>
      <c r="H937" s="4" t="str">
        <f>Registered!AX2168</f>
        <v/>
      </c>
      <c r="I937" s="4" t="str">
        <f>Registered!AY2168</f>
        <v/>
      </c>
    </row>
    <row r="938" spans="1:9" x14ac:dyDescent="0.25">
      <c r="A938" s="4" t="str">
        <f>Registered!B2169</f>
        <v>Scholes</v>
      </c>
      <c r="B938" s="4" t="str">
        <f>Registered!A2169</f>
        <v>Jocelyn</v>
      </c>
      <c r="C938" s="4" t="str">
        <f>IF(Registered!AR2169&gt;0,Registered!AR2169&amp;" Color Bags", "")</f>
        <v>5 Color Bags</v>
      </c>
      <c r="D938" s="4" t="str">
        <f>IF(Registered!AS2169&gt;0,(IF(Registered!AS2169=1,Registered!AS2169&amp;" T-Shirt",Registered!AS2169&amp;" T-Shirts")), "")</f>
        <v/>
      </c>
      <c r="E938" s="4" t="str">
        <f>Registered!AT2169</f>
        <v/>
      </c>
      <c r="F938" s="4" t="str">
        <f>Registered!AU2169</f>
        <v/>
      </c>
      <c r="G938" s="4" t="str">
        <f>Registered!AW2169</f>
        <v/>
      </c>
      <c r="H938" s="4" t="str">
        <f>Registered!AX2169</f>
        <v/>
      </c>
      <c r="I938" s="4" t="str">
        <f>Registered!AY2169</f>
        <v/>
      </c>
    </row>
    <row r="939" spans="1:9" x14ac:dyDescent="0.25">
      <c r="A939" s="4" t="str">
        <f>Registered!B2170</f>
        <v>Schultz</v>
      </c>
      <c r="B939" s="4" t="str">
        <f>Registered!A2170</f>
        <v>Paige</v>
      </c>
      <c r="C939" s="4" t="str">
        <f>IF(Registered!AR2170&gt;0,Registered!AR2170&amp;" Color Bags", "")</f>
        <v>5 Color Bags</v>
      </c>
      <c r="D939" s="4" t="str">
        <f>IF(Registered!AS2170&gt;0,(IF(Registered!AS2170=1,Registered!AS2170&amp;" T-Shirt",Registered!AS2170&amp;" T-Shirts")), "")</f>
        <v>1 T-Shirt</v>
      </c>
      <c r="E939" s="4" t="str">
        <f>Registered!AT2170</f>
        <v>Adult Small</v>
      </c>
      <c r="F939" s="4" t="str">
        <f>Registered!AU2170</f>
        <v/>
      </c>
      <c r="G939" s="4" t="str">
        <f>Registered!AW2170</f>
        <v>1 Meal</v>
      </c>
      <c r="H939" s="4" t="str">
        <f>Registered!AX2170</f>
        <v/>
      </c>
      <c r="I939" s="4" t="str">
        <f>Registered!AY2170</f>
        <v/>
      </c>
    </row>
    <row r="940" spans="1:9" x14ac:dyDescent="0.25">
      <c r="A940" s="4" t="str">
        <f>Registered!B2172</f>
        <v>Schwertfeger</v>
      </c>
      <c r="B940" s="4" t="str">
        <f>Registered!A2172</f>
        <v>Rebecca</v>
      </c>
      <c r="C940" s="4" t="str">
        <f>IF(Registered!AR2172&gt;0,Registered!AR2172&amp;" Color Bags", "")</f>
        <v>10 Color Bags</v>
      </c>
      <c r="D940" s="4" t="str">
        <f>IF(Registered!AS2172&gt;0,(IF(Registered!AS2172=1,Registered!AS2172&amp;" T-Shirt",Registered!AS2172&amp;" T-Shirts")), "")</f>
        <v>2 T-Shirts</v>
      </c>
      <c r="E940" s="4" t="str">
        <f>Registered!AT2172</f>
        <v>extra large</v>
      </c>
      <c r="F940" s="4" t="str">
        <f>Registered!AU2172</f>
        <v/>
      </c>
      <c r="G940" s="4" t="str">
        <f>Registered!AW2172</f>
        <v/>
      </c>
      <c r="H940" s="4" t="str">
        <f>Registered!AX2172</f>
        <v/>
      </c>
      <c r="I940" s="4" t="str">
        <f>Registered!AY2172</f>
        <v/>
      </c>
    </row>
    <row r="941" spans="1:9" x14ac:dyDescent="0.25">
      <c r="A941" s="4" t="str">
        <f>Registered!B2177</f>
        <v>Seagren</v>
      </c>
      <c r="B941" s="4" t="str">
        <f>Registered!A2177</f>
        <v>Angie</v>
      </c>
      <c r="C941" s="4" t="str">
        <f>IF(Registered!AR2177&gt;0,Registered!AR2177&amp;" Color Bags", "")</f>
        <v>10 Color Bags</v>
      </c>
      <c r="D941" s="4" t="str">
        <f>IF(Registered!AS2177&gt;0,(IF(Registered!AS2177=1,Registered!AS2177&amp;" T-Shirt",Registered!AS2177&amp;" T-Shirts")), "")</f>
        <v/>
      </c>
      <c r="E941" s="4" t="str">
        <f>Registered!AT2177</f>
        <v/>
      </c>
      <c r="F941" s="4" t="str">
        <f>Registered!AU2177</f>
        <v/>
      </c>
      <c r="G941" s="4" t="str">
        <f>Registered!AW2177</f>
        <v/>
      </c>
      <c r="H941" s="4" t="str">
        <f>Registered!AX2177</f>
        <v/>
      </c>
      <c r="I941" s="4" t="str">
        <f>Registered!AY2177</f>
        <v/>
      </c>
    </row>
    <row r="942" spans="1:9" x14ac:dyDescent="0.25">
      <c r="A942" s="4" t="str">
        <f>Registered!B2178</f>
        <v>Seamons</v>
      </c>
      <c r="B942" s="4" t="str">
        <f>Registered!A2178</f>
        <v>Erica</v>
      </c>
      <c r="C942" s="4" t="str">
        <f>IF(Registered!AR2178&gt;0,Registered!AR2178&amp;" Color Bags", "")</f>
        <v>5 Color Bags</v>
      </c>
      <c r="D942" s="4" t="str">
        <f>IF(Registered!AS2178&gt;0,(IF(Registered!AS2178=1,Registered!AS2178&amp;" T-Shirt",Registered!AS2178&amp;" T-Shirts")), "")</f>
        <v/>
      </c>
      <c r="E942" s="4" t="str">
        <f>Registered!AT2178</f>
        <v/>
      </c>
      <c r="F942" s="4" t="str">
        <f>Registered!AU2178</f>
        <v/>
      </c>
      <c r="G942" s="4" t="str">
        <f>Registered!AW2178</f>
        <v/>
      </c>
      <c r="H942" s="4" t="str">
        <f>Registered!AX2178</f>
        <v/>
      </c>
      <c r="I942" s="4" t="str">
        <f>Registered!AY2178</f>
        <v/>
      </c>
    </row>
    <row r="943" spans="1:9" x14ac:dyDescent="0.25">
      <c r="A943" s="4" t="str">
        <f>Registered!B2179</f>
        <v>Sears</v>
      </c>
      <c r="B943" s="4" t="str">
        <f>Registered!A2179</f>
        <v>Angela</v>
      </c>
      <c r="C943" s="4" t="str">
        <f>IF(Registered!AR2179&gt;0,Registered!AR2179&amp;" Color Bags", "")</f>
        <v>10 Color Bags</v>
      </c>
      <c r="D943" s="4" t="str">
        <f>IF(Registered!AS2179&gt;0,(IF(Registered!AS2179=1,Registered!AS2179&amp;" T-Shirt",Registered!AS2179&amp;" T-Shirts")), "")</f>
        <v/>
      </c>
      <c r="E943" s="4" t="str">
        <f>Registered!AT2179</f>
        <v/>
      </c>
      <c r="F943" s="4" t="str">
        <f>Registered!AU2179</f>
        <v/>
      </c>
      <c r="G943" s="4" t="str">
        <f>Registered!AW2179</f>
        <v/>
      </c>
      <c r="H943" s="4" t="str">
        <f>Registered!AX2179</f>
        <v/>
      </c>
      <c r="I943" s="4" t="str">
        <f>Registered!AY2179</f>
        <v/>
      </c>
    </row>
    <row r="944" spans="1:9" x14ac:dyDescent="0.25">
      <c r="A944" s="4" t="str">
        <f>Registered!B2180</f>
        <v>Seastrand</v>
      </c>
      <c r="B944" s="4" t="str">
        <f>Registered!A2180</f>
        <v>Jake</v>
      </c>
      <c r="C944" s="4" t="str">
        <f>IF(Registered!AR2180&gt;0,Registered!AR2180&amp;" Color Bags", "")</f>
        <v>10 Color Bags</v>
      </c>
      <c r="D944" s="4" t="str">
        <f>IF(Registered!AS2180&gt;0,(IF(Registered!AS2180=1,Registered!AS2180&amp;" T-Shirt",Registered!AS2180&amp;" T-Shirts")), "")</f>
        <v/>
      </c>
      <c r="E944" s="4" t="str">
        <f>Registered!AT2180</f>
        <v/>
      </c>
      <c r="F944" s="4" t="str">
        <f>Registered!AU2180</f>
        <v>1 Bandana</v>
      </c>
      <c r="G944" s="4" t="str">
        <f>Registered!AW2180</f>
        <v/>
      </c>
      <c r="H944" s="4" t="str">
        <f>Registered!AX2180</f>
        <v/>
      </c>
      <c r="I944" s="4" t="str">
        <f>Registered!AY2180</f>
        <v/>
      </c>
    </row>
    <row r="945" spans="1:9" x14ac:dyDescent="0.25">
      <c r="A945" s="4" t="str">
        <f>Registered!B2183</f>
        <v>Seely</v>
      </c>
      <c r="B945" s="4" t="str">
        <f>Registered!A2183</f>
        <v>Ann</v>
      </c>
      <c r="C945" s="4" t="str">
        <f>IF(Registered!AR2183&gt;0,Registered!AR2183&amp;" Color Bags", "")</f>
        <v>10 Color Bags</v>
      </c>
      <c r="D945" s="4" t="str">
        <f>IF(Registered!AS2183&gt;0,(IF(Registered!AS2183=1,Registered!AS2183&amp;" T-Shirt",Registered!AS2183&amp;" T-Shirts")), "")</f>
        <v/>
      </c>
      <c r="E945" s="4" t="str">
        <f>Registered!AT2183</f>
        <v/>
      </c>
      <c r="F945" s="4" t="str">
        <f>Registered!AU2183</f>
        <v/>
      </c>
      <c r="G945" s="4" t="str">
        <f>Registered!AW2183</f>
        <v/>
      </c>
      <c r="H945" s="4" t="str">
        <f>Registered!AX2183</f>
        <v/>
      </c>
      <c r="I945" s="4" t="str">
        <f>Registered!AY2183</f>
        <v/>
      </c>
    </row>
    <row r="946" spans="1:9" x14ac:dyDescent="0.25">
      <c r="A946" s="4" t="str">
        <f>Registered!B2184</f>
        <v>Seely</v>
      </c>
      <c r="B946" s="4" t="str">
        <f>Registered!A2184</f>
        <v>Becky</v>
      </c>
      <c r="C946" s="4" t="str">
        <f>IF(Registered!AR2184&gt;0,Registered!AR2184&amp;" Color Bags", "")</f>
        <v>30 Color Bags</v>
      </c>
      <c r="D946" s="4" t="str">
        <f>IF(Registered!AS2184&gt;0,(IF(Registered!AS2184=1,Registered!AS2184&amp;" T-Shirt",Registered!AS2184&amp;" T-Shirts")), "")</f>
        <v/>
      </c>
      <c r="E946" s="4" t="str">
        <f>Registered!AT2184</f>
        <v/>
      </c>
      <c r="F946" s="4" t="str">
        <f>Registered!AU2184</f>
        <v/>
      </c>
      <c r="G946" s="4" t="str">
        <f>Registered!AW2184</f>
        <v/>
      </c>
      <c r="H946" s="4" t="str">
        <f>Registered!AX2184</f>
        <v/>
      </c>
      <c r="I946" s="4" t="str">
        <f>Registered!AY2184</f>
        <v/>
      </c>
    </row>
    <row r="947" spans="1:9" x14ac:dyDescent="0.25">
      <c r="A947" s="4" t="str">
        <f>Registered!B2188</f>
        <v>Segalla</v>
      </c>
      <c r="B947" s="4" t="str">
        <f>Registered!A2188</f>
        <v>Rachel</v>
      </c>
      <c r="C947" s="4" t="str">
        <f>IF(Registered!AR2188&gt;0,Registered!AR2188&amp;" Color Bags", "")</f>
        <v>10 Color Bags</v>
      </c>
      <c r="D947" s="4" t="str">
        <f>IF(Registered!AS2188&gt;0,(IF(Registered!AS2188=1,Registered!AS2188&amp;" T-Shirt",Registered!AS2188&amp;" T-Shirts")), "")</f>
        <v/>
      </c>
      <c r="E947" s="4" t="str">
        <f>Registered!AT2188</f>
        <v/>
      </c>
      <c r="F947" s="4" t="str">
        <f>Registered!AU2188</f>
        <v>3 Bandanas</v>
      </c>
      <c r="G947" s="4" t="str">
        <f>Registered!AW2188</f>
        <v/>
      </c>
      <c r="H947" s="4" t="str">
        <f>Registered!AX2188</f>
        <v/>
      </c>
      <c r="I947" s="4" t="str">
        <f>Registered!AY2188</f>
        <v/>
      </c>
    </row>
    <row r="948" spans="1:9" x14ac:dyDescent="0.25">
      <c r="A948" s="4" t="str">
        <f>Registered!B2189</f>
        <v>Segalla</v>
      </c>
      <c r="B948" s="4" t="str">
        <f>Registered!A2189</f>
        <v>Tony</v>
      </c>
      <c r="C948" s="4" t="str">
        <f>IF(Registered!AR2189&gt;0,Registered!AR2189&amp;" Color Bags", "")</f>
        <v>10 Color Bags</v>
      </c>
      <c r="D948" s="4" t="str">
        <f>IF(Registered!AS2189&gt;0,(IF(Registered!AS2189=1,Registered!AS2189&amp;" T-Shirt",Registered!AS2189&amp;" T-Shirts")), "")</f>
        <v/>
      </c>
      <c r="E948" s="4" t="str">
        <f>Registered!AT2189</f>
        <v/>
      </c>
      <c r="F948" s="4" t="str">
        <f>Registered!AU2189</f>
        <v/>
      </c>
      <c r="G948" s="4" t="str">
        <f>Registered!AW2189</f>
        <v/>
      </c>
      <c r="H948" s="4" t="str">
        <f>Registered!AX2189</f>
        <v/>
      </c>
      <c r="I948" s="4" t="str">
        <f>Registered!AY2189</f>
        <v/>
      </c>
    </row>
    <row r="949" spans="1:9" x14ac:dyDescent="0.25">
      <c r="A949" s="4" t="str">
        <f>Registered!B2191</f>
        <v>Selig</v>
      </c>
      <c r="B949" s="4" t="str">
        <f>Registered!A2191</f>
        <v>Allison</v>
      </c>
      <c r="C949" s="4" t="str">
        <f>IF(Registered!AR2191&gt;0,Registered!AR2191&amp;" Color Bags", "")</f>
        <v>10 Color Bags</v>
      </c>
      <c r="D949" s="4" t="str">
        <f>IF(Registered!AS2191&gt;0,(IF(Registered!AS2191=1,Registered!AS2191&amp;" T-Shirt",Registered!AS2191&amp;" T-Shirts")), "")</f>
        <v/>
      </c>
      <c r="E949" s="4" t="str">
        <f>Registered!AT2191</f>
        <v/>
      </c>
      <c r="F949" s="4" t="str">
        <f>Registered!AU2191</f>
        <v/>
      </c>
      <c r="G949" s="4" t="str">
        <f>Registered!AW2191</f>
        <v>2 Meals</v>
      </c>
      <c r="H949" s="4" t="str">
        <f>Registered!AX2191</f>
        <v/>
      </c>
      <c r="I949" s="4" t="str">
        <f>Registered!AY2191</f>
        <v/>
      </c>
    </row>
    <row r="950" spans="1:9" x14ac:dyDescent="0.25">
      <c r="A950" s="4" t="str">
        <f>Registered!B2194</f>
        <v>Semrau</v>
      </c>
      <c r="B950" s="4" t="str">
        <f>Registered!A2194</f>
        <v>Justin</v>
      </c>
      <c r="C950" s="4" t="str">
        <f>IF(Registered!AR2194&gt;0,Registered!AR2194&amp;" Color Bags", "")</f>
        <v>45 Color Bags</v>
      </c>
      <c r="D950" s="4" t="str">
        <f>IF(Registered!AS2194&gt;0,(IF(Registered!AS2194=1,Registered!AS2194&amp;" T-Shirt",Registered!AS2194&amp;" T-Shirts")), "")</f>
        <v>1 T-Shirt</v>
      </c>
      <c r="E950" s="4" t="str">
        <f>Registered!AT2194</f>
        <v>XL</v>
      </c>
      <c r="F950" s="4" t="str">
        <f>Registered!AU2194</f>
        <v/>
      </c>
      <c r="G950" s="4" t="str">
        <f>Registered!AW2194</f>
        <v>1 Meal</v>
      </c>
      <c r="H950" s="4" t="str">
        <f>Registered!AX2194</f>
        <v/>
      </c>
      <c r="I950" s="4" t="str">
        <f>Registered!AY2194</f>
        <v/>
      </c>
    </row>
    <row r="951" spans="1:9" x14ac:dyDescent="0.25">
      <c r="A951" s="4" t="str">
        <f>Registered!B2193</f>
        <v>Semrau</v>
      </c>
      <c r="B951" s="4" t="str">
        <f>Registered!A2193</f>
        <v>Amy</v>
      </c>
      <c r="C951" s="4" t="str">
        <f>IF(Registered!AR2193&gt;0,Registered!AR2193&amp;" Color Bags", "")</f>
        <v>5 Color Bags</v>
      </c>
      <c r="D951" s="4" t="str">
        <f>IF(Registered!AS2193&gt;0,(IF(Registered!AS2193=1,Registered!AS2193&amp;" T-Shirt",Registered!AS2193&amp;" T-Shirts")), "")</f>
        <v>1 T-Shirt</v>
      </c>
      <c r="E951" s="4" t="str">
        <f>Registered!AT2193</f>
        <v>M</v>
      </c>
      <c r="F951" s="4" t="str">
        <f>Registered!AU2193</f>
        <v/>
      </c>
      <c r="G951" s="4" t="str">
        <f>Registered!AW2193</f>
        <v>1 Meal</v>
      </c>
      <c r="H951" s="4" t="str">
        <f>Registered!AX2193</f>
        <v/>
      </c>
      <c r="I951" s="4" t="str">
        <f>Registered!AY2193</f>
        <v/>
      </c>
    </row>
    <row r="952" spans="1:9" x14ac:dyDescent="0.25">
      <c r="A952" s="4" t="str">
        <f>Registered!B2198</f>
        <v>Seymour</v>
      </c>
      <c r="B952" s="4" t="str">
        <f>Registered!A2198</f>
        <v>Elizabeth</v>
      </c>
      <c r="C952" s="4" t="str">
        <f>IF(Registered!AR2198&gt;0,Registered!AR2198&amp;" Color Bags", "")</f>
        <v>10 Color Bags</v>
      </c>
      <c r="D952" s="4" t="str">
        <f>IF(Registered!AS2198&gt;0,(IF(Registered!AS2198=1,Registered!AS2198&amp;" T-Shirt",Registered!AS2198&amp;" T-Shirts")), "")</f>
        <v/>
      </c>
      <c r="E952" s="4" t="str">
        <f>Registered!AT2198</f>
        <v/>
      </c>
      <c r="F952" s="4" t="str">
        <f>Registered!AU2198</f>
        <v/>
      </c>
      <c r="G952" s="4" t="str">
        <f>Registered!AW2198</f>
        <v>2 Meals</v>
      </c>
      <c r="H952" s="4" t="str">
        <f>Registered!AX2198</f>
        <v/>
      </c>
      <c r="I952" s="4" t="str">
        <f>Registered!AY2198</f>
        <v/>
      </c>
    </row>
    <row r="953" spans="1:9" x14ac:dyDescent="0.25">
      <c r="A953" s="4" t="str">
        <f>Registered!B2200</f>
        <v>Shah</v>
      </c>
      <c r="B953" s="4" t="str">
        <f>Registered!A2200</f>
        <v>Jaydev</v>
      </c>
      <c r="C953" s="4" t="str">
        <f>IF(Registered!AR2200&gt;0,Registered!AR2200&amp;" Color Bags", "")</f>
        <v>5 Color Bags</v>
      </c>
      <c r="D953" s="4" t="str">
        <f>IF(Registered!AS2200&gt;0,(IF(Registered!AS2200=1,Registered!AS2200&amp;" T-Shirt",Registered!AS2200&amp;" T-Shirts")), "")</f>
        <v/>
      </c>
      <c r="E953" s="4" t="str">
        <f>Registered!AT2200</f>
        <v/>
      </c>
      <c r="F953" s="4" t="str">
        <f>Registered!AU2200</f>
        <v/>
      </c>
      <c r="G953" s="4" t="str">
        <f>Registered!AW2200</f>
        <v>1 Meal</v>
      </c>
      <c r="H953" s="4" t="str">
        <f>Registered!AX2200</f>
        <v/>
      </c>
      <c r="I953" s="4" t="str">
        <f>Registered!AY2200</f>
        <v/>
      </c>
    </row>
    <row r="954" spans="1:9" x14ac:dyDescent="0.25">
      <c r="A954" s="4" t="str">
        <f>Registered!B2203</f>
        <v>Shane</v>
      </c>
      <c r="B954" s="4" t="str">
        <f>Registered!A2203</f>
        <v>Christopher</v>
      </c>
      <c r="C954" s="4" t="str">
        <f>IF(Registered!AR2203&gt;0,Registered!AR2203&amp;" Color Bags", "")</f>
        <v>15 Color Bags</v>
      </c>
      <c r="D954" s="4" t="str">
        <f>IF(Registered!AS2203&gt;0,(IF(Registered!AS2203=1,Registered!AS2203&amp;" T-Shirt",Registered!AS2203&amp;" T-Shirts")), "")</f>
        <v/>
      </c>
      <c r="E954" s="4" t="str">
        <f>Registered!AT2203</f>
        <v/>
      </c>
      <c r="F954" s="4" t="str">
        <f>Registered!AU2203</f>
        <v/>
      </c>
      <c r="G954" s="4" t="str">
        <f>Registered!AW2203</f>
        <v/>
      </c>
      <c r="H954" s="4" t="str">
        <f>Registered!AX2203</f>
        <v/>
      </c>
      <c r="I954" s="4" t="str">
        <f>Registered!AY2203</f>
        <v>1 DustMask</v>
      </c>
    </row>
    <row r="955" spans="1:9" x14ac:dyDescent="0.25">
      <c r="A955" s="4" t="str">
        <f>Registered!B2205</f>
        <v>Sharma</v>
      </c>
      <c r="B955" s="4" t="str">
        <f>Registered!A2205</f>
        <v>Dipeshkumar</v>
      </c>
      <c r="C955" s="4" t="str">
        <f>IF(Registered!AR2205&gt;0,Registered!AR2205&amp;" Color Bags", "")</f>
        <v>10 Color Bags</v>
      </c>
      <c r="D955" s="4" t="str">
        <f>IF(Registered!AS2205&gt;0,(IF(Registered!AS2205=1,Registered!AS2205&amp;" T-Shirt",Registered!AS2205&amp;" T-Shirts")), "")</f>
        <v/>
      </c>
      <c r="E955" s="4" t="str">
        <f>Registered!AT2205</f>
        <v/>
      </c>
      <c r="F955" s="4" t="str">
        <f>Registered!AU2205</f>
        <v>1 Bandana</v>
      </c>
      <c r="G955" s="4" t="str">
        <f>Registered!AW2205</f>
        <v/>
      </c>
      <c r="H955" s="4" t="str">
        <f>Registered!AX2205</f>
        <v/>
      </c>
      <c r="I955" s="4" t="str">
        <f>Registered!AY2205</f>
        <v/>
      </c>
    </row>
    <row r="956" spans="1:9" x14ac:dyDescent="0.25">
      <c r="A956" s="4" t="str">
        <f>Registered!B2206</f>
        <v>Shaw</v>
      </c>
      <c r="B956" s="4" t="str">
        <f>Registered!A2206</f>
        <v>Jennifer</v>
      </c>
      <c r="C956" s="4" t="str">
        <f>IF(Registered!AR2206&gt;0,Registered!AR2206&amp;" Color Bags", "")</f>
        <v>10 Color Bags</v>
      </c>
      <c r="D956" s="4" t="str">
        <f>IF(Registered!AS2206&gt;0,(IF(Registered!AS2206=1,Registered!AS2206&amp;" T-Shirt",Registered!AS2206&amp;" T-Shirts")), "")</f>
        <v/>
      </c>
      <c r="E956" s="4" t="str">
        <f>Registered!AT2206</f>
        <v/>
      </c>
      <c r="F956" s="4" t="str">
        <f>Registered!AU2206</f>
        <v/>
      </c>
      <c r="G956" s="4" t="str">
        <f>Registered!AW2206</f>
        <v>2 Meals</v>
      </c>
      <c r="H956" s="4" t="str">
        <f>Registered!AX2206</f>
        <v/>
      </c>
      <c r="I956" s="4" t="str">
        <f>Registered!AY2206</f>
        <v/>
      </c>
    </row>
    <row r="957" spans="1:9" x14ac:dyDescent="0.25">
      <c r="A957" s="4" t="str">
        <f>Registered!B2207</f>
        <v>Shaw</v>
      </c>
      <c r="B957" s="4" t="str">
        <f>Registered!A2207</f>
        <v>Lisa</v>
      </c>
      <c r="C957" s="4" t="str">
        <f>IF(Registered!AR2207&gt;0,Registered!AR2207&amp;" Color Bags", "")</f>
        <v>10 Color Bags</v>
      </c>
      <c r="D957" s="4" t="str">
        <f>IF(Registered!AS2207&gt;0,(IF(Registered!AS2207=1,Registered!AS2207&amp;" T-Shirt",Registered!AS2207&amp;" T-Shirts")), "")</f>
        <v/>
      </c>
      <c r="E957" s="4" t="str">
        <f>Registered!AT2207</f>
        <v/>
      </c>
      <c r="F957" s="4" t="str">
        <f>Registered!AU2207</f>
        <v/>
      </c>
      <c r="G957" s="4" t="str">
        <f>Registered!AW2207</f>
        <v>2 Meals</v>
      </c>
      <c r="H957" s="4" t="str">
        <f>Registered!AX2207</f>
        <v/>
      </c>
      <c r="I957" s="4" t="str">
        <f>Registered!AY2207</f>
        <v>1 DustMask</v>
      </c>
    </row>
    <row r="958" spans="1:9" x14ac:dyDescent="0.25">
      <c r="A958" s="4" t="str">
        <f>Registered!B2208</f>
        <v>Sheetz</v>
      </c>
      <c r="B958" s="4" t="str">
        <f>Registered!A2208</f>
        <v>Brandon</v>
      </c>
      <c r="C958" s="4" t="str">
        <f>IF(Registered!AR2208&gt;0,Registered!AR2208&amp;" Color Bags", "")</f>
        <v>10 Color Bags</v>
      </c>
      <c r="D958" s="4" t="str">
        <f>IF(Registered!AS2208&gt;0,(IF(Registered!AS2208=1,Registered!AS2208&amp;" T-Shirt",Registered!AS2208&amp;" T-Shirts")), "")</f>
        <v/>
      </c>
      <c r="E958" s="4" t="str">
        <f>Registered!AT2208</f>
        <v/>
      </c>
      <c r="F958" s="4" t="str">
        <f>Registered!AU2208</f>
        <v/>
      </c>
      <c r="G958" s="4" t="str">
        <f>Registered!AW2208</f>
        <v/>
      </c>
      <c r="H958" s="4" t="str">
        <f>Registered!AX2208</f>
        <v/>
      </c>
      <c r="I958" s="4" t="str">
        <f>Registered!AY2208</f>
        <v/>
      </c>
    </row>
    <row r="959" spans="1:9" x14ac:dyDescent="0.25">
      <c r="A959" s="4" t="str">
        <f>Registered!B2209</f>
        <v>Shelden</v>
      </c>
      <c r="B959" s="4" t="str">
        <f>Registered!A2209</f>
        <v>Daniel</v>
      </c>
      <c r="C959" s="4" t="str">
        <f>IF(Registered!AR2209&gt;0,Registered!AR2209&amp;" Color Bags", "")</f>
        <v>5 Color Bags</v>
      </c>
      <c r="D959" s="4" t="str">
        <f>IF(Registered!AS2209&gt;0,(IF(Registered!AS2209=1,Registered!AS2209&amp;" T-Shirt",Registered!AS2209&amp;" T-Shirts")), "")</f>
        <v>1 T-Shirt</v>
      </c>
      <c r="E959" s="4" t="str">
        <f>Registered!AT2209</f>
        <v>Large</v>
      </c>
      <c r="F959" s="4" t="str">
        <f>Registered!AU2209</f>
        <v>1 Bandana</v>
      </c>
      <c r="G959" s="4" t="str">
        <f>Registered!AW2209</f>
        <v/>
      </c>
      <c r="H959" s="4" t="str">
        <f>Registered!AX2209</f>
        <v/>
      </c>
      <c r="I959" s="4" t="str">
        <f>Registered!AY2209</f>
        <v/>
      </c>
    </row>
    <row r="960" spans="1:9" x14ac:dyDescent="0.25">
      <c r="A960" s="4" t="str">
        <f>Registered!B2211</f>
        <v>Sheridan</v>
      </c>
      <c r="B960" s="4" t="str">
        <f>Registered!A2211</f>
        <v>Mitch</v>
      </c>
      <c r="C960" s="4" t="str">
        <f>IF(Registered!AR2211&gt;0,Registered!AR2211&amp;" Color Bags", "")</f>
        <v>5 Color Bags</v>
      </c>
      <c r="D960" s="4" t="str">
        <f>IF(Registered!AS2211&gt;0,(IF(Registered!AS2211=1,Registered!AS2211&amp;" T-Shirt",Registered!AS2211&amp;" T-Shirts")), "")</f>
        <v/>
      </c>
      <c r="E960" s="4" t="str">
        <f>Registered!AT2211</f>
        <v/>
      </c>
      <c r="F960" s="4" t="str">
        <f>Registered!AU2211</f>
        <v/>
      </c>
      <c r="G960" s="4" t="str">
        <f>Registered!AW2211</f>
        <v/>
      </c>
      <c r="H960" s="4" t="str">
        <f>Registered!AX2211</f>
        <v/>
      </c>
      <c r="I960" s="4" t="str">
        <f>Registered!AY2211</f>
        <v/>
      </c>
    </row>
    <row r="961" spans="1:9" x14ac:dyDescent="0.25">
      <c r="A961" s="4" t="str">
        <f>Registered!B2213</f>
        <v>Shinganapurkar</v>
      </c>
      <c r="B961" s="4" t="str">
        <f>Registered!A2213</f>
        <v>Suparna</v>
      </c>
      <c r="C961" s="4" t="str">
        <f>IF(Registered!AR2213&gt;0,Registered!AR2213&amp;" Color Bags", "")</f>
        <v>5 Color Bags</v>
      </c>
      <c r="D961" s="4" t="str">
        <f>IF(Registered!AS2213&gt;0,(IF(Registered!AS2213=1,Registered!AS2213&amp;" T-Shirt",Registered!AS2213&amp;" T-Shirts")), "")</f>
        <v/>
      </c>
      <c r="E961" s="4" t="str">
        <f>Registered!AT2213</f>
        <v/>
      </c>
      <c r="F961" s="4" t="str">
        <f>Registered!AU2213</f>
        <v/>
      </c>
      <c r="G961" s="4" t="str">
        <f>Registered!AW2213</f>
        <v>2 Meals</v>
      </c>
      <c r="H961" s="4" t="str">
        <f>Registered!AX2213</f>
        <v/>
      </c>
      <c r="I961" s="4" t="str">
        <f>Registered!AY2213</f>
        <v/>
      </c>
    </row>
    <row r="962" spans="1:9" x14ac:dyDescent="0.25">
      <c r="A962" s="4" t="str">
        <f>Registered!B2216</f>
        <v>Shipe</v>
      </c>
      <c r="B962" s="4" t="str">
        <f>Registered!A2216</f>
        <v>Juliana</v>
      </c>
      <c r="C962" s="4" t="str">
        <f>IF(Registered!AR2216&gt;0,Registered!AR2216&amp;" Color Bags", "")</f>
        <v>5 Color Bags</v>
      </c>
      <c r="D962" s="4" t="str">
        <f>IF(Registered!AS2216&gt;0,(IF(Registered!AS2216=1,Registered!AS2216&amp;" T-Shirt",Registered!AS2216&amp;" T-Shirts")), "")</f>
        <v/>
      </c>
      <c r="E962" s="4" t="str">
        <f>Registered!AT2216</f>
        <v/>
      </c>
      <c r="F962" s="4" t="str">
        <f>Registered!AU2216</f>
        <v/>
      </c>
      <c r="G962" s="4" t="str">
        <f>Registered!AW2216</f>
        <v>2 Meals</v>
      </c>
      <c r="H962" s="4" t="str">
        <f>Registered!AX2216</f>
        <v/>
      </c>
      <c r="I962" s="4" t="str">
        <f>Registered!AY2216</f>
        <v/>
      </c>
    </row>
    <row r="963" spans="1:9" x14ac:dyDescent="0.25">
      <c r="A963" s="4" t="str">
        <f>Registered!B2217</f>
        <v>Shipley</v>
      </c>
      <c r="B963" s="4" t="str">
        <f>Registered!A2217</f>
        <v>Briana</v>
      </c>
      <c r="C963" s="4" t="str">
        <f>IF(Registered!AR2217&gt;0,Registered!AR2217&amp;" Color Bags", "")</f>
        <v>5 Color Bags</v>
      </c>
      <c r="D963" s="4" t="str">
        <f>IF(Registered!AS2217&gt;0,(IF(Registered!AS2217=1,Registered!AS2217&amp;" T-Shirt",Registered!AS2217&amp;" T-Shirts")), "")</f>
        <v/>
      </c>
      <c r="E963" s="4" t="str">
        <f>Registered!AT2217</f>
        <v/>
      </c>
      <c r="F963" s="4" t="str">
        <f>Registered!AU2217</f>
        <v/>
      </c>
      <c r="G963" s="4" t="str">
        <f>Registered!AW2217</f>
        <v/>
      </c>
      <c r="H963" s="4" t="str">
        <f>Registered!AX2217</f>
        <v/>
      </c>
      <c r="I963" s="4" t="str">
        <f>Registered!AY2217</f>
        <v/>
      </c>
    </row>
    <row r="964" spans="1:9" x14ac:dyDescent="0.25">
      <c r="A964" s="4" t="str">
        <f>Registered!B2724</f>
        <v>Shook</v>
      </c>
      <c r="B964" s="4" t="str">
        <f>Registered!A2724</f>
        <v xml:space="preserve">Brian </v>
      </c>
      <c r="C964" s="4" t="str">
        <f>IF(Registered!AR2724&gt;0,Registered!AR2724&amp;" Color Bags", "")</f>
        <v>5 Color Bags</v>
      </c>
      <c r="D964" s="4" t="str">
        <f>IF(Registered!AS2724&gt;0,(IF(Registered!AS2724=1,Registered!AS2724&amp;" T-Shirt",Registered!AS2724&amp;" T-Shirts")), "")</f>
        <v>1 T-Shirt</v>
      </c>
      <c r="E964" s="4" t="str">
        <f>Registered!AT2724</f>
        <v>Size Not Specified</v>
      </c>
      <c r="F964" s="4" t="str">
        <f>Registered!AU2724</f>
        <v/>
      </c>
      <c r="G964" s="4" t="str">
        <f>Registered!AW2724</f>
        <v>2 Meals</v>
      </c>
      <c r="H964" s="4" t="str">
        <f>Registered!AX2724</f>
        <v/>
      </c>
      <c r="I964" s="4" t="str">
        <f>Registered!AY2724</f>
        <v/>
      </c>
    </row>
    <row r="965" spans="1:9" x14ac:dyDescent="0.25">
      <c r="A965" s="4" t="str">
        <f>Registered!B2219</f>
        <v>Shook (Saturday)</v>
      </c>
      <c r="B965" s="4" t="str">
        <f>Registered!A2219</f>
        <v>Brian</v>
      </c>
      <c r="C965" s="4" t="str">
        <f>IF(Registered!AR2219&gt;0,Registered!AR2219&amp;" Color Bags", "")</f>
        <v>65 Color Bags</v>
      </c>
      <c r="D965" s="4" t="str">
        <f>IF(Registered!AS2219&gt;0,(IF(Registered!AS2219=1,Registered!AS2219&amp;" T-Shirt",Registered!AS2219&amp;" T-Shirts")), "")</f>
        <v>3 T-Shirts</v>
      </c>
      <c r="E965" s="4" t="str">
        <f>Registered!AT2219</f>
        <v>all Med</v>
      </c>
      <c r="F965" s="4" t="str">
        <f>Registered!AU2219</f>
        <v/>
      </c>
      <c r="G965" s="4" t="str">
        <f>Registered!AW2219</f>
        <v>6 Meals</v>
      </c>
      <c r="H965" s="4" t="str">
        <f>Registered!AX2219</f>
        <v/>
      </c>
      <c r="I965" s="4" t="str">
        <f>Registered!AY2219</f>
        <v/>
      </c>
    </row>
    <row r="966" spans="1:9" x14ac:dyDescent="0.25">
      <c r="A966" s="4" t="str">
        <f>Registered!B2224</f>
        <v>Shuey</v>
      </c>
      <c r="B966" s="4" t="str">
        <f>Registered!A2224</f>
        <v>Alexandria</v>
      </c>
      <c r="C966" s="4" t="str">
        <f>IF(Registered!AR2224&gt;0,Registered!AR2224&amp;" Color Bags", "")</f>
        <v>10 Color Bags</v>
      </c>
      <c r="D966" s="4" t="str">
        <f>IF(Registered!AS2224&gt;0,(IF(Registered!AS2224=1,Registered!AS2224&amp;" T-Shirt",Registered!AS2224&amp;" T-Shirts")), "")</f>
        <v/>
      </c>
      <c r="E966" s="4" t="str">
        <f>Registered!AT2224</f>
        <v/>
      </c>
      <c r="F966" s="4" t="str">
        <f>Registered!AU2224</f>
        <v/>
      </c>
      <c r="G966" s="4" t="str">
        <f>Registered!AW2224</f>
        <v/>
      </c>
      <c r="H966" s="4" t="str">
        <f>Registered!AX2224</f>
        <v/>
      </c>
      <c r="I966" s="4" t="str">
        <f>Registered!AY2224</f>
        <v/>
      </c>
    </row>
    <row r="967" spans="1:9" x14ac:dyDescent="0.25">
      <c r="A967" s="4" t="str">
        <f>Registered!B2228</f>
        <v>Shuman</v>
      </c>
      <c r="B967" s="4" t="str">
        <f>Registered!A2228</f>
        <v>Jessica</v>
      </c>
      <c r="C967" s="4" t="str">
        <f>IF(Registered!AR2228&gt;0,Registered!AR2228&amp;" Color Bags", "")</f>
        <v>10 Color Bags</v>
      </c>
      <c r="D967" s="4" t="str">
        <f>IF(Registered!AS2228&gt;0,(IF(Registered!AS2228=1,Registered!AS2228&amp;" T-Shirt",Registered!AS2228&amp;" T-Shirts")), "")</f>
        <v/>
      </c>
      <c r="E967" s="4" t="str">
        <f>Registered!AT2228</f>
        <v/>
      </c>
      <c r="F967" s="4" t="str">
        <f>Registered!AU2228</f>
        <v/>
      </c>
      <c r="G967" s="4" t="str">
        <f>Registered!AW2228</f>
        <v/>
      </c>
      <c r="H967" s="4" t="str">
        <f>Registered!AX2228</f>
        <v/>
      </c>
      <c r="I967" s="4" t="str">
        <f>Registered!AY2228</f>
        <v/>
      </c>
    </row>
    <row r="968" spans="1:9" x14ac:dyDescent="0.25">
      <c r="A968" s="4" t="str">
        <f>Registered!B2230</f>
        <v>Shunn</v>
      </c>
      <c r="B968" s="4" t="str">
        <f>Registered!A2230</f>
        <v>Kylene</v>
      </c>
      <c r="C968" s="4" t="str">
        <f>IF(Registered!AR2230&gt;0,Registered!AR2230&amp;" Color Bags", "")</f>
        <v>30 Color Bags</v>
      </c>
      <c r="D968" s="4" t="str">
        <f>IF(Registered!AS2230&gt;0,(IF(Registered!AS2230=1,Registered!AS2230&amp;" T-Shirt",Registered!AS2230&amp;" T-Shirts")), "")</f>
        <v/>
      </c>
      <c r="E968" s="4" t="str">
        <f>Registered!AT2230</f>
        <v/>
      </c>
      <c r="F968" s="4" t="str">
        <f>Registered!AU2230</f>
        <v/>
      </c>
      <c r="G968" s="4" t="str">
        <f>Registered!AW2230</f>
        <v/>
      </c>
      <c r="H968" s="4" t="str">
        <f>Registered!AX2230</f>
        <v/>
      </c>
      <c r="I968" s="4" t="str">
        <f>Registered!AY2230</f>
        <v/>
      </c>
    </row>
    <row r="969" spans="1:9" x14ac:dyDescent="0.25">
      <c r="A969" s="4" t="str">
        <f>Registered!B2234</f>
        <v>Simpson</v>
      </c>
      <c r="B969" s="4" t="str">
        <f>Registered!A2234</f>
        <v>Jessica</v>
      </c>
      <c r="C969" s="4" t="str">
        <f>IF(Registered!AR2234&gt;0,Registered!AR2234&amp;" Color Bags", "")</f>
        <v>10 Color Bags</v>
      </c>
      <c r="D969" s="4" t="str">
        <f>IF(Registered!AS2234&gt;0,(IF(Registered!AS2234=1,Registered!AS2234&amp;" T-Shirt",Registered!AS2234&amp;" T-Shirts")), "")</f>
        <v/>
      </c>
      <c r="E969" s="4" t="str">
        <f>Registered!AT2234</f>
        <v/>
      </c>
      <c r="F969" s="4" t="str">
        <f>Registered!AU2234</f>
        <v/>
      </c>
      <c r="G969" s="4" t="str">
        <f>Registered!AW2234</f>
        <v>2 Meals</v>
      </c>
      <c r="H969" s="4" t="str">
        <f>Registered!AX2234</f>
        <v/>
      </c>
      <c r="I969" s="4" t="str">
        <f>Registered!AY2234</f>
        <v/>
      </c>
    </row>
    <row r="970" spans="1:9" x14ac:dyDescent="0.25">
      <c r="A970" s="4" t="str">
        <f>Registered!B2237</f>
        <v>Sims</v>
      </c>
      <c r="B970" s="4" t="str">
        <f>Registered!A2237</f>
        <v>Kristin</v>
      </c>
      <c r="C970" s="4" t="str">
        <f>IF(Registered!AR2237&gt;0,Registered!AR2237&amp;" Color Bags", "")</f>
        <v>10 Color Bags</v>
      </c>
      <c r="D970" s="4" t="str">
        <f>IF(Registered!AS2237&gt;0,(IF(Registered!AS2237=1,Registered!AS2237&amp;" T-Shirt",Registered!AS2237&amp;" T-Shirts")), "")</f>
        <v>2 T-Shirts</v>
      </c>
      <c r="E970" s="4" t="str">
        <f>Registered!AT2237</f>
        <v>XXXL and Medium</v>
      </c>
      <c r="F970" s="4" t="str">
        <f>Registered!AU2237</f>
        <v>2 Bandanas</v>
      </c>
      <c r="G970" s="4" t="str">
        <f>Registered!AW2237</f>
        <v>2 Meals</v>
      </c>
      <c r="H970" s="4" t="str">
        <f>Registered!AX2237</f>
        <v>1 BG</v>
      </c>
      <c r="I970" s="4" t="str">
        <f>Registered!AY2237</f>
        <v/>
      </c>
    </row>
    <row r="971" spans="1:9" x14ac:dyDescent="0.25">
      <c r="A971" s="4" t="str">
        <f>Registered!B2241</f>
        <v>Sinks</v>
      </c>
      <c r="B971" s="4" t="str">
        <f>Registered!A2241</f>
        <v>Nicholas</v>
      </c>
      <c r="C971" s="4" t="str">
        <f>IF(Registered!AR2241&gt;0,Registered!AR2241&amp;" Color Bags", "")</f>
        <v>15 Color Bags</v>
      </c>
      <c r="D971" s="4" t="str">
        <f>IF(Registered!AS2241&gt;0,(IF(Registered!AS2241=1,Registered!AS2241&amp;" T-Shirt",Registered!AS2241&amp;" T-Shirts")), "")</f>
        <v/>
      </c>
      <c r="E971" s="4" t="str">
        <f>Registered!AT2241</f>
        <v/>
      </c>
      <c r="F971" s="4" t="str">
        <f>Registered!AU2241</f>
        <v/>
      </c>
      <c r="G971" s="4" t="str">
        <f>Registered!AW2241</f>
        <v/>
      </c>
      <c r="H971" s="4" t="str">
        <f>Registered!AX2241</f>
        <v/>
      </c>
      <c r="I971" s="4" t="str">
        <f>Registered!AY2241</f>
        <v/>
      </c>
    </row>
    <row r="972" spans="1:9" x14ac:dyDescent="0.25">
      <c r="A972" s="4" t="str">
        <f>Registered!B2243</f>
        <v>Skinner</v>
      </c>
      <c r="B972" s="4" t="str">
        <f>Registered!A2243</f>
        <v>Stacie</v>
      </c>
      <c r="C972" s="4" t="str">
        <f>IF(Registered!AR2243&gt;0,Registered!AR2243&amp;" Color Bags", "")</f>
        <v>5 Color Bags</v>
      </c>
      <c r="D972" s="4" t="str">
        <f>IF(Registered!AS2243&gt;0,(IF(Registered!AS2243=1,Registered!AS2243&amp;" T-Shirt",Registered!AS2243&amp;" T-Shirts")), "")</f>
        <v/>
      </c>
      <c r="E972" s="4" t="str">
        <f>Registered!AT2243</f>
        <v/>
      </c>
      <c r="F972" s="4" t="str">
        <f>Registered!AU2243</f>
        <v/>
      </c>
      <c r="G972" s="4" t="str">
        <f>Registered!AW2243</f>
        <v/>
      </c>
      <c r="H972" s="4" t="str">
        <f>Registered!AX2243</f>
        <v/>
      </c>
      <c r="I972" s="4" t="str">
        <f>Registered!AY2243</f>
        <v/>
      </c>
    </row>
    <row r="973" spans="1:9" x14ac:dyDescent="0.25">
      <c r="A973" s="4" t="str">
        <f>Registered!B2244</f>
        <v>Skuzeski</v>
      </c>
      <c r="B973" s="4" t="str">
        <f>Registered!A2244</f>
        <v>Carrie</v>
      </c>
      <c r="C973" s="4" t="str">
        <f>IF(Registered!AR2244&gt;0,Registered!AR2244&amp;" Color Bags", "")</f>
        <v>10 Color Bags</v>
      </c>
      <c r="D973" s="4" t="str">
        <f>IF(Registered!AS2244&gt;0,(IF(Registered!AS2244=1,Registered!AS2244&amp;" T-Shirt",Registered!AS2244&amp;" T-Shirts")), "")</f>
        <v/>
      </c>
      <c r="E973" s="4" t="str">
        <f>Registered!AT2244</f>
        <v/>
      </c>
      <c r="F973" s="4" t="str">
        <f>Registered!AU2244</f>
        <v/>
      </c>
      <c r="G973" s="4" t="str">
        <f>Registered!AW2244</f>
        <v>2 Meals</v>
      </c>
      <c r="H973" s="4" t="str">
        <f>Registered!AX2244</f>
        <v/>
      </c>
      <c r="I973" s="4" t="str">
        <f>Registered!AY2244</f>
        <v/>
      </c>
    </row>
    <row r="974" spans="1:9" x14ac:dyDescent="0.25">
      <c r="A974" s="4" t="str">
        <f>Registered!B2247</f>
        <v>Slater</v>
      </c>
      <c r="B974" s="4" t="str">
        <f>Registered!A2247</f>
        <v>Amanda</v>
      </c>
      <c r="C974" s="4" t="str">
        <f>IF(Registered!AR2247&gt;0,Registered!AR2247&amp;" Color Bags", "")</f>
        <v>20 Color Bags</v>
      </c>
      <c r="D974" s="4" t="str">
        <f>IF(Registered!AS2247&gt;0,(IF(Registered!AS2247=1,Registered!AS2247&amp;" T-Shirt",Registered!AS2247&amp;" T-Shirts")), "")</f>
        <v/>
      </c>
      <c r="E974" s="4" t="str">
        <f>Registered!AT2247</f>
        <v/>
      </c>
      <c r="F974" s="4" t="str">
        <f>Registered!AU2247</f>
        <v/>
      </c>
      <c r="G974" s="4" t="str">
        <f>Registered!AW2247</f>
        <v/>
      </c>
      <c r="H974" s="4" t="str">
        <f>Registered!AX2247</f>
        <v/>
      </c>
      <c r="I974" s="4" t="str">
        <f>Registered!AY2247</f>
        <v/>
      </c>
    </row>
    <row r="975" spans="1:9" x14ac:dyDescent="0.25">
      <c r="A975" s="4" t="str">
        <f>Registered!B2252</f>
        <v>Sleight</v>
      </c>
      <c r="B975" s="4" t="str">
        <f>Registered!A2252</f>
        <v>Susan</v>
      </c>
      <c r="C975" s="4" t="str">
        <f>IF(Registered!AR2252&gt;0,Registered!AR2252&amp;" Color Bags", "")</f>
        <v>20 Color Bags</v>
      </c>
      <c r="D975" s="4" t="str">
        <f>IF(Registered!AS2252&gt;0,(IF(Registered!AS2252=1,Registered!AS2252&amp;" T-Shirt",Registered!AS2252&amp;" T-Shirts")), "")</f>
        <v>4 T-Shirts</v>
      </c>
      <c r="E975" s="4" t="str">
        <f>Registered!AT2252</f>
        <v>2 Med Adult, 1 Large Adult, 1 Small Adult</v>
      </c>
      <c r="F975" s="4" t="str">
        <f>Registered!AU2252</f>
        <v>2 Bandanas</v>
      </c>
      <c r="G975" s="4" t="str">
        <f>Registered!AW2252</f>
        <v>4 Meals</v>
      </c>
      <c r="H975" s="4" t="str">
        <f>Registered!AX2252</f>
        <v/>
      </c>
      <c r="I975" s="4" t="str">
        <f>Registered!AY2252</f>
        <v/>
      </c>
    </row>
    <row r="976" spans="1:9" x14ac:dyDescent="0.25">
      <c r="A976" s="4" t="str">
        <f>Registered!B2269</f>
        <v>Smith</v>
      </c>
      <c r="B976" s="4" t="str">
        <f>Registered!A2269</f>
        <v>Marilyn</v>
      </c>
      <c r="C976" s="4" t="str">
        <f>IF(Registered!AR2269&gt;0,Registered!AR2269&amp;" Color Bags", "")</f>
        <v>10 Color Bags</v>
      </c>
      <c r="D976" s="4" t="str">
        <f>IF(Registered!AS2269&gt;0,(IF(Registered!AS2269=1,Registered!AS2269&amp;" T-Shirt",Registered!AS2269&amp;" T-Shirts")), "")</f>
        <v/>
      </c>
      <c r="E976" s="4" t="str">
        <f>Registered!AT2269</f>
        <v/>
      </c>
      <c r="F976" s="4" t="str">
        <f>Registered!AU2269</f>
        <v/>
      </c>
      <c r="G976" s="4" t="str">
        <f>Registered!AW2269</f>
        <v/>
      </c>
      <c r="H976" s="4" t="str">
        <f>Registered!AX2269</f>
        <v/>
      </c>
      <c r="I976" s="4" t="str">
        <f>Registered!AY2269</f>
        <v/>
      </c>
    </row>
    <row r="977" spans="1:9" x14ac:dyDescent="0.25">
      <c r="A977" s="4" t="str">
        <f>Registered!B2277</f>
        <v>Smith</v>
      </c>
      <c r="B977" s="4" t="str">
        <f>Registered!A2277</f>
        <v>Tami</v>
      </c>
      <c r="C977" s="4" t="str">
        <f>IF(Registered!AR2277&gt;0,Registered!AR2277&amp;" Color Bags", "")</f>
        <v>30 Color Bags</v>
      </c>
      <c r="D977" s="4" t="str">
        <f>IF(Registered!AS2277&gt;0,(IF(Registered!AS2277=1,Registered!AS2277&amp;" T-Shirt",Registered!AS2277&amp;" T-Shirts")), "")</f>
        <v/>
      </c>
      <c r="E977" s="4" t="str">
        <f>Registered!AT2277</f>
        <v/>
      </c>
      <c r="F977" s="4" t="str">
        <f>Registered!AU2277</f>
        <v/>
      </c>
      <c r="G977" s="4" t="str">
        <f>Registered!AW2277</f>
        <v/>
      </c>
      <c r="H977" s="4" t="str">
        <f>Registered!AX2277</f>
        <v/>
      </c>
      <c r="I977" s="4" t="str">
        <f>Registered!AY2277</f>
        <v/>
      </c>
    </row>
    <row r="978" spans="1:9" x14ac:dyDescent="0.25">
      <c r="A978" s="4" t="str">
        <f>Registered!B2267</f>
        <v>Smith</v>
      </c>
      <c r="B978" s="4" t="str">
        <f>Registered!A2267</f>
        <v>Liz</v>
      </c>
      <c r="C978" s="4" t="str">
        <f>IF(Registered!AR2267&gt;0,Registered!AR2267&amp;" Color Bags", "")</f>
        <v>5 Color Bags</v>
      </c>
      <c r="D978" s="4" t="str">
        <f>IF(Registered!AS2267&gt;0,(IF(Registered!AS2267=1,Registered!AS2267&amp;" T-Shirt",Registered!AS2267&amp;" T-Shirts")), "")</f>
        <v/>
      </c>
      <c r="E978" s="4" t="str">
        <f>Registered!AT2267</f>
        <v/>
      </c>
      <c r="F978" s="4" t="str">
        <f>Registered!AU2267</f>
        <v/>
      </c>
      <c r="G978" s="4" t="str">
        <f>Registered!AW2267</f>
        <v>1 Meal</v>
      </c>
      <c r="H978" s="4" t="str">
        <f>Registered!AX2267</f>
        <v/>
      </c>
      <c r="I978" s="4" t="str">
        <f>Registered!AY2267</f>
        <v/>
      </c>
    </row>
    <row r="979" spans="1:9" x14ac:dyDescent="0.25">
      <c r="A979" s="4" t="str">
        <f>Registered!B2271</f>
        <v>Smith</v>
      </c>
      <c r="B979" s="4" t="str">
        <f>Registered!A2271</f>
        <v>Rachael</v>
      </c>
      <c r="C979" s="4" t="str">
        <f>IF(Registered!AR2271&gt;0,Registered!AR2271&amp;" Color Bags", "")</f>
        <v>5 Color Bags</v>
      </c>
      <c r="D979" s="4" t="str">
        <f>IF(Registered!AS2271&gt;0,(IF(Registered!AS2271=1,Registered!AS2271&amp;" T-Shirt",Registered!AS2271&amp;" T-Shirts")), "")</f>
        <v>1 T-Shirt</v>
      </c>
      <c r="E979" s="4" t="str">
        <f>Registered!AT2271</f>
        <v>XL</v>
      </c>
      <c r="F979" s="4" t="str">
        <f>Registered!AU2271</f>
        <v>1 Bandana</v>
      </c>
      <c r="G979" s="4" t="str">
        <f>Registered!AW2271</f>
        <v/>
      </c>
      <c r="H979" s="4" t="str">
        <f>Registered!AX2271</f>
        <v/>
      </c>
      <c r="I979" s="4" t="str">
        <f>Registered!AY2271</f>
        <v/>
      </c>
    </row>
    <row r="980" spans="1:9" x14ac:dyDescent="0.25">
      <c r="A980" s="4" t="str">
        <f>Registered!B2272</f>
        <v>Smith</v>
      </c>
      <c r="B980" s="4" t="str">
        <f>Registered!A2272</f>
        <v>Sarah</v>
      </c>
      <c r="C980" s="4" t="str">
        <f>IF(Registered!AR2272&gt;0,Registered!AR2272&amp;" Color Bags", "")</f>
        <v>5 Color Bags</v>
      </c>
      <c r="D980" s="4" t="str">
        <f>IF(Registered!AS2272&gt;0,(IF(Registered!AS2272=1,Registered!AS2272&amp;" T-Shirt",Registered!AS2272&amp;" T-Shirts")), "")</f>
        <v>1 T-Shirt</v>
      </c>
      <c r="E980" s="4" t="str">
        <f>Registered!AT2272</f>
        <v>L</v>
      </c>
      <c r="F980" s="4" t="str">
        <f>Registered!AU2272</f>
        <v/>
      </c>
      <c r="G980" s="4" t="str">
        <f>Registered!AW2272</f>
        <v>1 Meal</v>
      </c>
      <c r="H980" s="4" t="str">
        <f>Registered!AX2272</f>
        <v/>
      </c>
      <c r="I980" s="4" t="str">
        <f>Registered!AY2272</f>
        <v/>
      </c>
    </row>
    <row r="981" spans="1:9" x14ac:dyDescent="0.25">
      <c r="A981" s="4" t="str">
        <f>Registered!B2273</f>
        <v>Smith</v>
      </c>
      <c r="B981" s="4" t="str">
        <f>Registered!A2273</f>
        <v>Savannah</v>
      </c>
      <c r="C981" s="4" t="str">
        <f>IF(Registered!AR2273&gt;0,Registered!AR2273&amp;" Color Bags", "")</f>
        <v>5 Color Bags</v>
      </c>
      <c r="D981" s="4" t="str">
        <f>IF(Registered!AS2273&gt;0,(IF(Registered!AS2273=1,Registered!AS2273&amp;" T-Shirt",Registered!AS2273&amp;" T-Shirts")), "")</f>
        <v>1 T-Shirt</v>
      </c>
      <c r="E981" s="4" t="str">
        <f>Registered!AT2273</f>
        <v>M</v>
      </c>
      <c r="F981" s="4" t="str">
        <f>Registered!AU2273</f>
        <v/>
      </c>
      <c r="G981" s="4" t="str">
        <f>Registered!AW2273</f>
        <v>1 Meal</v>
      </c>
      <c r="H981" s="4" t="str">
        <f>Registered!AX2273</f>
        <v/>
      </c>
      <c r="I981" s="4" t="str">
        <f>Registered!AY2273</f>
        <v/>
      </c>
    </row>
    <row r="982" spans="1:9" x14ac:dyDescent="0.25">
      <c r="A982" s="4" t="str">
        <f>Registered!B2279</f>
        <v>Smock</v>
      </c>
      <c r="B982" s="4" t="str">
        <f>Registered!A2279</f>
        <v>Zoe</v>
      </c>
      <c r="C982" s="4" t="str">
        <f>IF(Registered!AR2279&gt;0,Registered!AR2279&amp;" Color Bags", "")</f>
        <v>5 Color Bags</v>
      </c>
      <c r="D982" s="4" t="str">
        <f>IF(Registered!AS2279&gt;0,(IF(Registered!AS2279=1,Registered!AS2279&amp;" T-Shirt",Registered!AS2279&amp;" T-Shirts")), "")</f>
        <v/>
      </c>
      <c r="E982" s="4" t="str">
        <f>Registered!AT2279</f>
        <v/>
      </c>
      <c r="F982" s="4" t="str">
        <f>Registered!AU2279</f>
        <v/>
      </c>
      <c r="G982" s="4" t="str">
        <f>Registered!AW2279</f>
        <v/>
      </c>
      <c r="H982" s="4" t="str">
        <f>Registered!AX2279</f>
        <v/>
      </c>
      <c r="I982" s="4" t="str">
        <f>Registered!AY2279</f>
        <v/>
      </c>
    </row>
    <row r="983" spans="1:9" x14ac:dyDescent="0.25">
      <c r="A983" s="4" t="str">
        <f>Registered!B2280</f>
        <v>Sneddon</v>
      </c>
      <c r="B983" s="4" t="str">
        <f>Registered!A2280</f>
        <v>Sienie</v>
      </c>
      <c r="C983" s="4" t="str">
        <f>IF(Registered!AR2280&gt;0,Registered!AR2280&amp;" Color Bags", "")</f>
        <v>10 Color Bags</v>
      </c>
      <c r="D983" s="4" t="str">
        <f>IF(Registered!AS2280&gt;0,(IF(Registered!AS2280=1,Registered!AS2280&amp;" T-Shirt",Registered!AS2280&amp;" T-Shirts")), "")</f>
        <v/>
      </c>
      <c r="E983" s="4" t="str">
        <f>Registered!AT2280</f>
        <v/>
      </c>
      <c r="F983" s="4" t="str">
        <f>Registered!AU2280</f>
        <v/>
      </c>
      <c r="G983" s="4" t="str">
        <f>Registered!AW2280</f>
        <v/>
      </c>
      <c r="H983" s="4" t="str">
        <f>Registered!AX2280</f>
        <v/>
      </c>
      <c r="I983" s="4" t="str">
        <f>Registered!AY2280</f>
        <v/>
      </c>
    </row>
    <row r="984" spans="1:9" x14ac:dyDescent="0.25">
      <c r="A984" s="4" t="str">
        <f>Registered!B2284</f>
        <v>Snow</v>
      </c>
      <c r="B984" s="4" t="str">
        <f>Registered!A2284</f>
        <v>Heather</v>
      </c>
      <c r="C984" s="4" t="str">
        <f>IF(Registered!AR2284&gt;0,Registered!AR2284&amp;" Color Bags", "")</f>
        <v>10 Color Bags</v>
      </c>
      <c r="D984" s="4" t="str">
        <f>IF(Registered!AS2284&gt;0,(IF(Registered!AS2284=1,Registered!AS2284&amp;" T-Shirt",Registered!AS2284&amp;" T-Shirts")), "")</f>
        <v>2 T-Shirts</v>
      </c>
      <c r="E984" s="4" t="str">
        <f>Registered!AT2284</f>
        <v>1 womens large and 1 womens extra large</v>
      </c>
      <c r="F984" s="4" t="str">
        <f>Registered!AU2284</f>
        <v/>
      </c>
      <c r="G984" s="4" t="str">
        <f>Registered!AW2284</f>
        <v/>
      </c>
      <c r="H984" s="4" t="str">
        <f>Registered!AX2284</f>
        <v/>
      </c>
      <c r="I984" s="4" t="str">
        <f>Registered!AY2284</f>
        <v/>
      </c>
    </row>
    <row r="985" spans="1:9" x14ac:dyDescent="0.25">
      <c r="A985" s="4" t="str">
        <f>Registered!B2283</f>
        <v>Snow</v>
      </c>
      <c r="B985" s="4" t="str">
        <f>Registered!A2283</f>
        <v>Daniel</v>
      </c>
      <c r="C985" s="4" t="str">
        <f>IF(Registered!AR2283&gt;0,Registered!AR2283&amp;" Color Bags", "")</f>
        <v>5 Color Bags</v>
      </c>
      <c r="D985" s="4" t="str">
        <f>IF(Registered!AS2283&gt;0,(IF(Registered!AS2283=1,Registered!AS2283&amp;" T-Shirt",Registered!AS2283&amp;" T-Shirts")), "")</f>
        <v/>
      </c>
      <c r="E985" s="4" t="str">
        <f>Registered!AT2283</f>
        <v/>
      </c>
      <c r="F985" s="4" t="str">
        <f>Registered!AU2283</f>
        <v>1 Bandana</v>
      </c>
      <c r="G985" s="4" t="str">
        <f>Registered!AW2283</f>
        <v/>
      </c>
      <c r="H985" s="4" t="str">
        <f>Registered!AX2283</f>
        <v/>
      </c>
      <c r="I985" s="4" t="str">
        <f>Registered!AY2283</f>
        <v/>
      </c>
    </row>
    <row r="986" spans="1:9" x14ac:dyDescent="0.25">
      <c r="A986" s="4" t="str">
        <f>Registered!B2286</f>
        <v>Snyder</v>
      </c>
      <c r="B986" s="4" t="str">
        <f>Registered!A2286</f>
        <v>Lisa</v>
      </c>
      <c r="C986" s="4" t="str">
        <f>IF(Registered!AR2286&gt;0,Registered!AR2286&amp;" Color Bags", "")</f>
        <v>10 Color Bags</v>
      </c>
      <c r="D986" s="4" t="str">
        <f>IF(Registered!AS2286&gt;0,(IF(Registered!AS2286=1,Registered!AS2286&amp;" T-Shirt",Registered!AS2286&amp;" T-Shirts")), "")</f>
        <v/>
      </c>
      <c r="E986" s="4" t="str">
        <f>Registered!AT2286</f>
        <v/>
      </c>
      <c r="F986" s="4" t="str">
        <f>Registered!AU2286</f>
        <v>2 Bandanas</v>
      </c>
      <c r="G986" s="4" t="str">
        <f>Registered!AW2286</f>
        <v/>
      </c>
      <c r="H986" s="4" t="str">
        <f>Registered!AX2286</f>
        <v/>
      </c>
      <c r="I986" s="4" t="str">
        <f>Registered!AY2286</f>
        <v/>
      </c>
    </row>
    <row r="987" spans="1:9" x14ac:dyDescent="0.25">
      <c r="A987" s="4" t="str">
        <f>Registered!B2285</f>
        <v>Snyder</v>
      </c>
      <c r="B987" s="4" t="str">
        <f>Registered!A2285</f>
        <v>Jenel</v>
      </c>
      <c r="C987" s="4" t="str">
        <f>IF(Registered!AR2285&gt;0,Registered!AR2285&amp;" Color Bags", "")</f>
        <v>20 Color Bags</v>
      </c>
      <c r="D987" s="4" t="str">
        <f>IF(Registered!AS2285&gt;0,(IF(Registered!AS2285=1,Registered!AS2285&amp;" T-Shirt",Registered!AS2285&amp;" T-Shirts")), "")</f>
        <v/>
      </c>
      <c r="E987" s="4" t="str">
        <f>Registered!AT2285</f>
        <v/>
      </c>
      <c r="F987" s="4" t="str">
        <f>Registered!AU2285</f>
        <v/>
      </c>
      <c r="G987" s="4" t="str">
        <f>Registered!AW2285</f>
        <v/>
      </c>
      <c r="H987" s="4" t="str">
        <f>Registered!AX2285</f>
        <v/>
      </c>
      <c r="I987" s="4" t="str">
        <f>Registered!AY2285</f>
        <v/>
      </c>
    </row>
    <row r="988" spans="1:9" x14ac:dyDescent="0.25">
      <c r="A988" s="4" t="str">
        <f>Registered!B2289</f>
        <v>Soiseth</v>
      </c>
      <c r="B988" s="4" t="str">
        <f>Registered!A2289</f>
        <v>Kaily</v>
      </c>
      <c r="C988" s="4" t="str">
        <f>IF(Registered!AR2289&gt;0,Registered!AR2289&amp;" Color Bags", "")</f>
        <v>10 Color Bags</v>
      </c>
      <c r="D988" s="4" t="str">
        <f>IF(Registered!AS2289&gt;0,(IF(Registered!AS2289=1,Registered!AS2289&amp;" T-Shirt",Registered!AS2289&amp;" T-Shirts")), "")</f>
        <v>2 T-Shirts</v>
      </c>
      <c r="E988" s="4" t="str">
        <f>Registered!AT2289</f>
        <v>Adult small and adult X-large</v>
      </c>
      <c r="F988" s="4" t="str">
        <f>Registered!AU2289</f>
        <v/>
      </c>
      <c r="G988" s="4" t="str">
        <f>Registered!AW2289</f>
        <v>2 Meals</v>
      </c>
      <c r="H988" s="4" t="str">
        <f>Registered!AX2289</f>
        <v/>
      </c>
      <c r="I988" s="4" t="str">
        <f>Registered!AY2289</f>
        <v/>
      </c>
    </row>
    <row r="989" spans="1:9" x14ac:dyDescent="0.25">
      <c r="A989" s="4" t="str">
        <f>Registered!B2290</f>
        <v>Solace</v>
      </c>
      <c r="B989" s="4" t="str">
        <f>Registered!A2290</f>
        <v>Melodie</v>
      </c>
      <c r="C989" s="4" t="str">
        <f>IF(Registered!AR2290&gt;0,Registered!AR2290&amp;" Color Bags", "")</f>
        <v>5 Color Bags</v>
      </c>
      <c r="D989" s="4" t="str">
        <f>IF(Registered!AS2290&gt;0,(IF(Registered!AS2290=1,Registered!AS2290&amp;" T-Shirt",Registered!AS2290&amp;" T-Shirts")), "")</f>
        <v/>
      </c>
      <c r="E989" s="4" t="str">
        <f>Registered!AT2290</f>
        <v/>
      </c>
      <c r="F989" s="4" t="str">
        <f>Registered!AU2290</f>
        <v/>
      </c>
      <c r="G989" s="4" t="str">
        <f>Registered!AW2290</f>
        <v/>
      </c>
      <c r="H989" s="4" t="str">
        <f>Registered!AX2290</f>
        <v/>
      </c>
      <c r="I989" s="4" t="str">
        <f>Registered!AY2290</f>
        <v/>
      </c>
    </row>
    <row r="990" spans="1:9" x14ac:dyDescent="0.25">
      <c r="A990" s="4" t="str">
        <f>Registered!B2292</f>
        <v>Sorensen</v>
      </c>
      <c r="B990" s="4" t="str">
        <f>Registered!A2292</f>
        <v>Nicole</v>
      </c>
      <c r="C990" s="4" t="str">
        <f>IF(Registered!AR2292&gt;0,Registered!AR2292&amp;" Color Bags", "")</f>
        <v>15 Color Bags</v>
      </c>
      <c r="D990" s="4" t="str">
        <f>IF(Registered!AS2292&gt;0,(IF(Registered!AS2292=1,Registered!AS2292&amp;" T-Shirt",Registered!AS2292&amp;" T-Shirts")), "")</f>
        <v/>
      </c>
      <c r="E990" s="4" t="str">
        <f>Registered!AT2292</f>
        <v/>
      </c>
      <c r="F990" s="4" t="str">
        <f>Registered!AU2292</f>
        <v/>
      </c>
      <c r="G990" s="4" t="str">
        <f>Registered!AW2292</f>
        <v/>
      </c>
      <c r="H990" s="4" t="str">
        <f>Registered!AX2292</f>
        <v/>
      </c>
      <c r="I990" s="4" t="str">
        <f>Registered!AY2292</f>
        <v/>
      </c>
    </row>
    <row r="991" spans="1:9" x14ac:dyDescent="0.25">
      <c r="A991" s="4" t="str">
        <f>Registered!B2291</f>
        <v>Sorensen</v>
      </c>
      <c r="B991" s="4" t="str">
        <f>Registered!A2291</f>
        <v>Jessica</v>
      </c>
      <c r="C991" s="4" t="str">
        <f>IF(Registered!AR2291&gt;0,Registered!AR2291&amp;" Color Bags", "")</f>
        <v>20 Color Bags</v>
      </c>
      <c r="D991" s="4" t="str">
        <f>IF(Registered!AS2291&gt;0,(IF(Registered!AS2291=1,Registered!AS2291&amp;" T-Shirt",Registered!AS2291&amp;" T-Shirts")), "")</f>
        <v/>
      </c>
      <c r="E991" s="4" t="str">
        <f>Registered!AT2291</f>
        <v/>
      </c>
      <c r="F991" s="4" t="str">
        <f>Registered!AU2291</f>
        <v/>
      </c>
      <c r="G991" s="4" t="str">
        <f>Registered!AW2291</f>
        <v/>
      </c>
      <c r="H991" s="4" t="str">
        <f>Registered!AX2291</f>
        <v/>
      </c>
      <c r="I991" s="4" t="str">
        <f>Registered!AY2291</f>
        <v/>
      </c>
    </row>
    <row r="992" spans="1:9" x14ac:dyDescent="0.25">
      <c r="A992" s="4" t="str">
        <f>Registered!B2294</f>
        <v>Soto</v>
      </c>
      <c r="B992" s="4" t="str">
        <f>Registered!A2294</f>
        <v>Alexander</v>
      </c>
      <c r="C992" s="4" t="str">
        <f>IF(Registered!AR2294&gt;0,Registered!AR2294&amp;" Color Bags", "")</f>
        <v>20 Color Bags</v>
      </c>
      <c r="D992" s="4" t="str">
        <f>IF(Registered!AS2294&gt;0,(IF(Registered!AS2294=1,Registered!AS2294&amp;" T-Shirt",Registered!AS2294&amp;" T-Shirts")), "")</f>
        <v>2 T-Shirts</v>
      </c>
      <c r="E992" s="4" t="str">
        <f>Registered!AT2294</f>
        <v>Large, and medium</v>
      </c>
      <c r="F992" s="4" t="str">
        <f>Registered!AU2294</f>
        <v/>
      </c>
      <c r="G992" s="4" t="str">
        <f>Registered!AW2294</f>
        <v>2 Meals</v>
      </c>
      <c r="H992" s="4" t="str">
        <f>Registered!AX2294</f>
        <v/>
      </c>
      <c r="I992" s="4" t="str">
        <f>Registered!AY2294</f>
        <v/>
      </c>
    </row>
    <row r="993" spans="1:9" x14ac:dyDescent="0.25">
      <c r="A993" s="4" t="str">
        <f>Registered!B2296</f>
        <v>Southwick</v>
      </c>
      <c r="B993" s="4" t="str">
        <f>Registered!A2296</f>
        <v>Rachel</v>
      </c>
      <c r="C993" s="4" t="str">
        <f>IF(Registered!AR2296&gt;0,Registered!AR2296&amp;" Color Bags", "")</f>
        <v>10 Color Bags</v>
      </c>
      <c r="D993" s="4" t="str">
        <f>IF(Registered!AS2296&gt;0,(IF(Registered!AS2296=1,Registered!AS2296&amp;" T-Shirt",Registered!AS2296&amp;" T-Shirts")), "")</f>
        <v/>
      </c>
      <c r="E993" s="4" t="str">
        <f>Registered!AT2296</f>
        <v/>
      </c>
      <c r="F993" s="4" t="str">
        <f>Registered!AU2296</f>
        <v/>
      </c>
      <c r="G993" s="4" t="str">
        <f>Registered!AW2296</f>
        <v/>
      </c>
      <c r="H993" s="4" t="str">
        <f>Registered!AX2296</f>
        <v/>
      </c>
      <c r="I993" s="4" t="str">
        <f>Registered!AY2296</f>
        <v>1 DustMask</v>
      </c>
    </row>
    <row r="994" spans="1:9" x14ac:dyDescent="0.25">
      <c r="A994" s="4" t="str">
        <f>Registered!B2298</f>
        <v>Speed</v>
      </c>
      <c r="B994" s="4" t="str">
        <f>Registered!A2298</f>
        <v>James</v>
      </c>
      <c r="C994" s="4" t="str">
        <f>IF(Registered!AR2298&gt;0,Registered!AR2298&amp;" Color Bags", "")</f>
        <v>40 Color Bags</v>
      </c>
      <c r="D994" s="4" t="str">
        <f>IF(Registered!AS2298&gt;0,(IF(Registered!AS2298=1,Registered!AS2298&amp;" T-Shirt",Registered!AS2298&amp;" T-Shirts")), "")</f>
        <v/>
      </c>
      <c r="E994" s="4" t="str">
        <f>Registered!AT2298</f>
        <v/>
      </c>
      <c r="F994" s="4" t="str">
        <f>Registered!AU2298</f>
        <v/>
      </c>
      <c r="G994" s="4" t="str">
        <f>Registered!AW2298</f>
        <v>2 Meals</v>
      </c>
      <c r="H994" s="4" t="str">
        <f>Registered!AX2298</f>
        <v/>
      </c>
      <c r="I994" s="4" t="str">
        <f>Registered!AY2298</f>
        <v/>
      </c>
    </row>
    <row r="995" spans="1:9" x14ac:dyDescent="0.25">
      <c r="A995" s="4" t="str">
        <f>Registered!B2300</f>
        <v>Spencer</v>
      </c>
      <c r="B995" s="4" t="str">
        <f>Registered!A2300</f>
        <v>Alan</v>
      </c>
      <c r="C995" s="4" t="str">
        <f>IF(Registered!AR2300&gt;0,Registered!AR2300&amp;" Color Bags", "")</f>
        <v>10 Color Bags</v>
      </c>
      <c r="D995" s="4" t="str">
        <f>IF(Registered!AS2300&gt;0,(IF(Registered!AS2300=1,Registered!AS2300&amp;" T-Shirt",Registered!AS2300&amp;" T-Shirts")), "")</f>
        <v/>
      </c>
      <c r="E995" s="4" t="str">
        <f>Registered!AT2300</f>
        <v/>
      </c>
      <c r="F995" s="4" t="str">
        <f>Registered!AU2300</f>
        <v>2 Bandanas</v>
      </c>
      <c r="G995" s="4" t="str">
        <f>Registered!AW2300</f>
        <v/>
      </c>
      <c r="H995" s="4" t="str">
        <f>Registered!AX2300</f>
        <v/>
      </c>
      <c r="I995" s="4" t="str">
        <f>Registered!AY2300</f>
        <v/>
      </c>
    </row>
    <row r="996" spans="1:9" x14ac:dyDescent="0.25">
      <c r="A996" s="4" t="str">
        <f>Registered!B2303</f>
        <v>Spencer</v>
      </c>
      <c r="B996" s="4" t="str">
        <f>Registered!A2303</f>
        <v>Jennifer</v>
      </c>
      <c r="C996" s="4" t="str">
        <f>IF(Registered!AR2303&gt;0,Registered!AR2303&amp;" Color Bags", "")</f>
        <v>15 Color Bags</v>
      </c>
      <c r="D996" s="4" t="str">
        <f>IF(Registered!AS2303&gt;0,(IF(Registered!AS2303=1,Registered!AS2303&amp;" T-Shirt",Registered!AS2303&amp;" T-Shirts")), "")</f>
        <v/>
      </c>
      <c r="E996" s="4" t="str">
        <f>Registered!AT2303</f>
        <v/>
      </c>
      <c r="F996" s="4" t="str">
        <f>Registered!AU2303</f>
        <v/>
      </c>
      <c r="G996" s="4" t="str">
        <f>Registered!AW2303</f>
        <v/>
      </c>
      <c r="H996" s="4" t="str">
        <f>Registered!AX2303</f>
        <v/>
      </c>
      <c r="I996" s="4" t="str">
        <f>Registered!AY2303</f>
        <v/>
      </c>
    </row>
    <row r="997" spans="1:9" x14ac:dyDescent="0.25">
      <c r="A997" s="4" t="str">
        <f>Registered!B2305</f>
        <v>Sperry</v>
      </c>
      <c r="B997" s="4" t="str">
        <f>Registered!A2305</f>
        <v>Ryan</v>
      </c>
      <c r="C997" s="4" t="str">
        <f>IF(Registered!AR2305&gt;0,Registered!AR2305&amp;" Color Bags", "")</f>
        <v>5 Color Bags</v>
      </c>
      <c r="D997" s="4" t="str">
        <f>IF(Registered!AS2305&gt;0,(IF(Registered!AS2305=1,Registered!AS2305&amp;" T-Shirt",Registered!AS2305&amp;" T-Shirts")), "")</f>
        <v/>
      </c>
      <c r="E997" s="4" t="str">
        <f>Registered!AT2305</f>
        <v/>
      </c>
      <c r="F997" s="4" t="str">
        <f>Registered!AU2305</f>
        <v/>
      </c>
      <c r="G997" s="4" t="str">
        <f>Registered!AW2305</f>
        <v/>
      </c>
      <c r="H997" s="4" t="str">
        <f>Registered!AX2305</f>
        <v/>
      </c>
      <c r="I997" s="4" t="str">
        <f>Registered!AY2305</f>
        <v/>
      </c>
    </row>
    <row r="998" spans="1:9" x14ac:dyDescent="0.25">
      <c r="A998" s="4" t="str">
        <f>Registered!B2308</f>
        <v>Spjut</v>
      </c>
      <c r="B998" s="4" t="str">
        <f>Registered!A2308</f>
        <v>Kylee</v>
      </c>
      <c r="C998" s="4" t="str">
        <f>IF(Registered!AR2308&gt;0,Registered!AR2308&amp;" Color Bags", "")</f>
        <v>5 Color Bags</v>
      </c>
      <c r="D998" s="4" t="str">
        <f>IF(Registered!AS2308&gt;0,(IF(Registered!AS2308=1,Registered!AS2308&amp;" T-Shirt",Registered!AS2308&amp;" T-Shirts")), "")</f>
        <v/>
      </c>
      <c r="E998" s="4" t="str">
        <f>Registered!AT2308</f>
        <v/>
      </c>
      <c r="F998" s="4" t="str">
        <f>Registered!AU2308</f>
        <v/>
      </c>
      <c r="G998" s="4" t="str">
        <f>Registered!AW2308</f>
        <v/>
      </c>
      <c r="H998" s="4" t="str">
        <f>Registered!AX2308</f>
        <v/>
      </c>
      <c r="I998" s="4" t="str">
        <f>Registered!AY2308</f>
        <v/>
      </c>
    </row>
    <row r="999" spans="1:9" x14ac:dyDescent="0.25">
      <c r="A999" s="4" t="str">
        <f>Registered!B2312</f>
        <v>Staheli</v>
      </c>
      <c r="B999" s="4" t="str">
        <f>Registered!A2312</f>
        <v>Jared</v>
      </c>
      <c r="C999" s="4" t="str">
        <f>IF(Registered!AR2312&gt;0,Registered!AR2312&amp;" Color Bags", "")</f>
        <v>5 Color Bags</v>
      </c>
      <c r="D999" s="4" t="str">
        <f>IF(Registered!AS2312&gt;0,(IF(Registered!AS2312=1,Registered!AS2312&amp;" T-Shirt",Registered!AS2312&amp;" T-Shirts")), "")</f>
        <v>1 T-Shirt</v>
      </c>
      <c r="E999" s="4" t="str">
        <f>Registered!AT2312</f>
        <v>M</v>
      </c>
      <c r="F999" s="4" t="str">
        <f>Registered!AU2312</f>
        <v/>
      </c>
      <c r="G999" s="4" t="str">
        <f>Registered!AW2312</f>
        <v>1 Meal</v>
      </c>
      <c r="H999" s="4" t="str">
        <f>Registered!AX2312</f>
        <v/>
      </c>
      <c r="I999" s="4" t="str">
        <f>Registered!AY2312</f>
        <v/>
      </c>
    </row>
    <row r="1000" spans="1:9" x14ac:dyDescent="0.25">
      <c r="A1000" s="4" t="str">
        <f>Registered!B2314</f>
        <v>Stahl</v>
      </c>
      <c r="B1000" s="4" t="str">
        <f>Registered!A2314</f>
        <v>Sally</v>
      </c>
      <c r="C1000" s="4" t="str">
        <f>IF(Registered!AR2314&gt;0,Registered!AR2314&amp;" Color Bags", "")</f>
        <v>5 Color Bags</v>
      </c>
      <c r="D1000" s="4" t="str">
        <f>IF(Registered!AS2314&gt;0,(IF(Registered!AS2314=1,Registered!AS2314&amp;" T-Shirt",Registered!AS2314&amp;" T-Shirts")), "")</f>
        <v/>
      </c>
      <c r="E1000" s="4" t="str">
        <f>Registered!AT2314</f>
        <v/>
      </c>
      <c r="F1000" s="4" t="str">
        <f>Registered!AU2314</f>
        <v/>
      </c>
      <c r="G1000" s="4" t="str">
        <f>Registered!AW2314</f>
        <v/>
      </c>
      <c r="H1000" s="4" t="str">
        <f>Registered!AX2314</f>
        <v/>
      </c>
      <c r="I1000" s="4" t="str">
        <f>Registered!AY2314</f>
        <v/>
      </c>
    </row>
    <row r="1001" spans="1:9" x14ac:dyDescent="0.25">
      <c r="A1001" s="4" t="str">
        <f>Registered!B2318</f>
        <v>Stanger</v>
      </c>
      <c r="B1001" s="4" t="str">
        <f>Registered!A2318</f>
        <v>Jared</v>
      </c>
      <c r="C1001" s="4" t="str">
        <f>IF(Registered!AR2318&gt;0,Registered!AR2318&amp;" Color Bags", "")</f>
        <v>20 Color Bags</v>
      </c>
      <c r="D1001" s="4" t="str">
        <f>IF(Registered!AS2318&gt;0,(IF(Registered!AS2318=1,Registered!AS2318&amp;" T-Shirt",Registered!AS2318&amp;" T-Shirts")), "")</f>
        <v/>
      </c>
      <c r="E1001" s="4" t="str">
        <f>Registered!AT2318</f>
        <v/>
      </c>
      <c r="F1001" s="4" t="str">
        <f>Registered!AU2318</f>
        <v/>
      </c>
      <c r="G1001" s="4" t="str">
        <f>Registered!AW2318</f>
        <v/>
      </c>
      <c r="H1001" s="4" t="str">
        <f>Registered!AX2318</f>
        <v/>
      </c>
      <c r="I1001" s="4" t="str">
        <f>Registered!AY2318</f>
        <v/>
      </c>
    </row>
    <row r="1002" spans="1:9" x14ac:dyDescent="0.25">
      <c r="A1002" s="4" t="str">
        <f>Registered!B2319</f>
        <v>Stankovich</v>
      </c>
      <c r="B1002" s="4" t="str">
        <f>Registered!A2319</f>
        <v>Melissa</v>
      </c>
      <c r="C1002" s="4" t="str">
        <f>IF(Registered!AR2319&gt;0,Registered!AR2319&amp;" Color Bags", "")</f>
        <v>5 Color Bags</v>
      </c>
      <c r="D1002" s="4" t="str">
        <f>IF(Registered!AS2319&gt;0,(IF(Registered!AS2319=1,Registered!AS2319&amp;" T-Shirt",Registered!AS2319&amp;" T-Shirts")), "")</f>
        <v/>
      </c>
      <c r="E1002" s="4" t="str">
        <f>Registered!AT2319</f>
        <v/>
      </c>
      <c r="F1002" s="4" t="str">
        <f>Registered!AU2319</f>
        <v/>
      </c>
      <c r="G1002" s="4" t="str">
        <f>Registered!AW2319</f>
        <v/>
      </c>
      <c r="H1002" s="4" t="str">
        <f>Registered!AX2319</f>
        <v/>
      </c>
      <c r="I1002" s="4" t="str">
        <f>Registered!AY2319</f>
        <v/>
      </c>
    </row>
    <row r="1003" spans="1:9" x14ac:dyDescent="0.25">
      <c r="A1003" s="4" t="str">
        <f>Registered!B2324</f>
        <v>Stanleyson</v>
      </c>
      <c r="B1003" s="4" t="str">
        <f>Registered!A2324</f>
        <v>Lisa</v>
      </c>
      <c r="C1003" s="4" t="str">
        <f>IF(Registered!AR2324&gt;0,Registered!AR2324&amp;" Color Bags", "")</f>
        <v>30 Color Bags</v>
      </c>
      <c r="D1003" s="4" t="str">
        <f>IF(Registered!AS2324&gt;0,(IF(Registered!AS2324=1,Registered!AS2324&amp;" T-Shirt",Registered!AS2324&amp;" T-Shirts")), "")</f>
        <v/>
      </c>
      <c r="E1003" s="4" t="str">
        <f>Registered!AT2324</f>
        <v/>
      </c>
      <c r="F1003" s="4" t="str">
        <f>Registered!AU2324</f>
        <v/>
      </c>
      <c r="G1003" s="4" t="str">
        <f>Registered!AW2324</f>
        <v/>
      </c>
      <c r="H1003" s="4" t="str">
        <f>Registered!AX2324</f>
        <v/>
      </c>
      <c r="I1003" s="4" t="str">
        <f>Registered!AY2324</f>
        <v/>
      </c>
    </row>
    <row r="1004" spans="1:9" x14ac:dyDescent="0.25">
      <c r="A1004" s="4" t="str">
        <f>Registered!B2329</f>
        <v>Starley</v>
      </c>
      <c r="B1004" s="4" t="str">
        <f>Registered!A2329</f>
        <v>Jenny</v>
      </c>
      <c r="C1004" s="4" t="str">
        <f>IF(Registered!AR2329&gt;0,Registered!AR2329&amp;" Color Bags", "")</f>
        <v>15 Color Bags</v>
      </c>
      <c r="D1004" s="4" t="str">
        <f>IF(Registered!AS2329&gt;0,(IF(Registered!AS2329=1,Registered!AS2329&amp;" T-Shirt",Registered!AS2329&amp;" T-Shirts")), "")</f>
        <v/>
      </c>
      <c r="E1004" s="4" t="str">
        <f>Registered!AT2329</f>
        <v/>
      </c>
      <c r="F1004" s="4" t="str">
        <f>Registered!AU2329</f>
        <v/>
      </c>
      <c r="G1004" s="4" t="str">
        <f>Registered!AW2329</f>
        <v/>
      </c>
      <c r="H1004" s="4" t="str">
        <f>Registered!AX2329</f>
        <v/>
      </c>
      <c r="I1004" s="4" t="str">
        <f>Registered!AY2329</f>
        <v/>
      </c>
    </row>
    <row r="1005" spans="1:9" x14ac:dyDescent="0.25">
      <c r="A1005" s="4" t="str">
        <f>Registered!B2332</f>
        <v>Stauffer</v>
      </c>
      <c r="B1005" s="4" t="str">
        <f>Registered!A2332</f>
        <v>McKinley</v>
      </c>
      <c r="C1005" s="4" t="str">
        <f>IF(Registered!AR2332&gt;0,Registered!AR2332&amp;" Color Bags", "")</f>
        <v>5 Color Bags</v>
      </c>
      <c r="D1005" s="4" t="str">
        <f>IF(Registered!AS2332&gt;0,(IF(Registered!AS2332=1,Registered!AS2332&amp;" T-Shirt",Registered!AS2332&amp;" T-Shirts")), "")</f>
        <v/>
      </c>
      <c r="E1005" s="4" t="str">
        <f>Registered!AT2332</f>
        <v/>
      </c>
      <c r="F1005" s="4" t="str">
        <f>Registered!AU2332</f>
        <v/>
      </c>
      <c r="G1005" s="4" t="str">
        <f>Registered!AW2332</f>
        <v/>
      </c>
      <c r="H1005" s="4" t="str">
        <f>Registered!AX2332</f>
        <v/>
      </c>
      <c r="I1005" s="4" t="str">
        <f>Registered!AY2332</f>
        <v/>
      </c>
    </row>
    <row r="1006" spans="1:9" x14ac:dyDescent="0.25">
      <c r="A1006" s="4" t="str">
        <f>Registered!B2333</f>
        <v>Steele</v>
      </c>
      <c r="B1006" s="4" t="str">
        <f>Registered!A2333</f>
        <v>Christie</v>
      </c>
      <c r="C1006" s="4" t="str">
        <f>IF(Registered!AR2333&gt;0,Registered!AR2333&amp;" Color Bags", "")</f>
        <v>10 Color Bags</v>
      </c>
      <c r="D1006" s="4" t="str">
        <f>IF(Registered!AS2333&gt;0,(IF(Registered!AS2333=1,Registered!AS2333&amp;" T-Shirt",Registered!AS2333&amp;" T-Shirts")), "")</f>
        <v/>
      </c>
      <c r="E1006" s="4" t="str">
        <f>Registered!AT2333</f>
        <v/>
      </c>
      <c r="F1006" s="4" t="str">
        <f>Registered!AU2333</f>
        <v/>
      </c>
      <c r="G1006" s="4" t="str">
        <f>Registered!AW2333</f>
        <v>1 Meal</v>
      </c>
      <c r="H1006" s="4" t="str">
        <f>Registered!AX2333</f>
        <v/>
      </c>
      <c r="I1006" s="4" t="str">
        <f>Registered!AY2333</f>
        <v/>
      </c>
    </row>
    <row r="1007" spans="1:9" x14ac:dyDescent="0.25">
      <c r="A1007" s="4" t="str">
        <f>Registered!B2334</f>
        <v>Steele</v>
      </c>
      <c r="B1007" s="4" t="str">
        <f>Registered!A2334</f>
        <v>Elizabeth</v>
      </c>
      <c r="C1007" s="4" t="str">
        <f>IF(Registered!AR2334&gt;0,Registered!AR2334&amp;" Color Bags", "")</f>
        <v>5 Color Bags</v>
      </c>
      <c r="D1007" s="4" t="str">
        <f>IF(Registered!AS2334&gt;0,(IF(Registered!AS2334=1,Registered!AS2334&amp;" T-Shirt",Registered!AS2334&amp;" T-Shirts")), "")</f>
        <v/>
      </c>
      <c r="E1007" s="4" t="str">
        <f>Registered!AT2334</f>
        <v/>
      </c>
      <c r="F1007" s="4" t="str">
        <f>Registered!AU2334</f>
        <v/>
      </c>
      <c r="G1007" s="4" t="str">
        <f>Registered!AW2334</f>
        <v/>
      </c>
      <c r="H1007" s="4" t="str">
        <f>Registered!AX2334</f>
        <v/>
      </c>
      <c r="I1007" s="4" t="str">
        <f>Registered!AY2334</f>
        <v/>
      </c>
    </row>
    <row r="1008" spans="1:9" x14ac:dyDescent="0.25">
      <c r="A1008" s="4" t="str">
        <f>Registered!B2336</f>
        <v>Steffler</v>
      </c>
      <c r="B1008" s="4" t="str">
        <f>Registered!A2336</f>
        <v>Jorden</v>
      </c>
      <c r="C1008" s="4" t="str">
        <f>IF(Registered!AR2336&gt;0,Registered!AR2336&amp;" Color Bags", "")</f>
        <v>5 Color Bags</v>
      </c>
      <c r="D1008" s="4" t="str">
        <f>IF(Registered!AS2336&gt;0,(IF(Registered!AS2336=1,Registered!AS2336&amp;" T-Shirt",Registered!AS2336&amp;" T-Shirts")), "")</f>
        <v>1 T-Shirt</v>
      </c>
      <c r="E1008" s="4" t="str">
        <f>Registered!AT2336</f>
        <v>Large</v>
      </c>
      <c r="F1008" s="4" t="str">
        <f>Registered!AU2336</f>
        <v/>
      </c>
      <c r="G1008" s="4" t="str">
        <f>Registered!AW2336</f>
        <v>1 Meal</v>
      </c>
      <c r="H1008" s="4" t="str">
        <f>Registered!AX2336</f>
        <v/>
      </c>
      <c r="I1008" s="4" t="str">
        <f>Registered!AY2336</f>
        <v/>
      </c>
    </row>
    <row r="1009" spans="1:9" x14ac:dyDescent="0.25">
      <c r="A1009" s="4" t="str">
        <f>Registered!B2337</f>
        <v>Stegall</v>
      </c>
      <c r="B1009" s="4" t="str">
        <f>Registered!A2337</f>
        <v>Hendrik</v>
      </c>
      <c r="C1009" s="4" t="str">
        <f>IF(Registered!AR2337&gt;0,Registered!AR2337&amp;" Color Bags", "")</f>
        <v>5 Color Bags</v>
      </c>
      <c r="D1009" s="4" t="str">
        <f>IF(Registered!AS2337&gt;0,(IF(Registered!AS2337=1,Registered!AS2337&amp;" T-Shirt",Registered!AS2337&amp;" T-Shirts")), "")</f>
        <v/>
      </c>
      <c r="E1009" s="4" t="str">
        <f>Registered!AT2337</f>
        <v/>
      </c>
      <c r="F1009" s="4" t="str">
        <f>Registered!AU2337</f>
        <v/>
      </c>
      <c r="G1009" s="4" t="str">
        <f>Registered!AW2337</f>
        <v/>
      </c>
      <c r="H1009" s="4" t="str">
        <f>Registered!AX2337</f>
        <v/>
      </c>
      <c r="I1009" s="4" t="str">
        <f>Registered!AY2337</f>
        <v/>
      </c>
    </row>
    <row r="1010" spans="1:9" x14ac:dyDescent="0.25">
      <c r="A1010" s="4" t="str">
        <f>Registered!B2343</f>
        <v>Stephens</v>
      </c>
      <c r="B1010" s="4" t="str">
        <f>Registered!A2343</f>
        <v>Tanya</v>
      </c>
      <c r="C1010" s="4" t="str">
        <f>IF(Registered!AR2343&gt;0,Registered!AR2343&amp;" Color Bags", "")</f>
        <v>5 Color Bags</v>
      </c>
      <c r="D1010" s="4" t="str">
        <f>IF(Registered!AS2343&gt;0,(IF(Registered!AS2343=1,Registered!AS2343&amp;" T-Shirt",Registered!AS2343&amp;" T-Shirts")), "")</f>
        <v/>
      </c>
      <c r="E1010" s="4" t="str">
        <f>Registered!AT2343</f>
        <v/>
      </c>
      <c r="F1010" s="4" t="str">
        <f>Registered!AU2343</f>
        <v/>
      </c>
      <c r="G1010" s="4" t="str">
        <f>Registered!AW2343</f>
        <v/>
      </c>
      <c r="H1010" s="4" t="str">
        <f>Registered!AX2343</f>
        <v/>
      </c>
      <c r="I1010" s="4" t="str">
        <f>Registered!AY2343</f>
        <v/>
      </c>
    </row>
    <row r="1011" spans="1:9" x14ac:dyDescent="0.25">
      <c r="A1011" s="4" t="str">
        <f>Registered!B2345</f>
        <v>Stevens</v>
      </c>
      <c r="B1011" s="4" t="str">
        <f>Registered!A2345</f>
        <v>Kyle</v>
      </c>
      <c r="C1011" s="4" t="str">
        <f>IF(Registered!AR2345&gt;0,Registered!AR2345&amp;" Color Bags", "")</f>
        <v>15 Color Bags</v>
      </c>
      <c r="D1011" s="4" t="str">
        <f>IF(Registered!AS2345&gt;0,(IF(Registered!AS2345=1,Registered!AS2345&amp;" T-Shirt",Registered!AS2345&amp;" T-Shirts")), "")</f>
        <v>1 T-Shirt</v>
      </c>
      <c r="E1011" s="4" t="str">
        <f>Registered!AT2345</f>
        <v>xl</v>
      </c>
      <c r="F1011" s="4" t="str">
        <f>Registered!AU2345</f>
        <v/>
      </c>
      <c r="G1011" s="4" t="str">
        <f>Registered!AW2345</f>
        <v>1 Meal</v>
      </c>
      <c r="H1011" s="4" t="str">
        <f>Registered!AX2345</f>
        <v/>
      </c>
      <c r="I1011" s="4" t="str">
        <f>Registered!AY2345</f>
        <v/>
      </c>
    </row>
    <row r="1012" spans="1:9" x14ac:dyDescent="0.25">
      <c r="A1012" s="4" t="str">
        <f>Registered!B2348</f>
        <v>Stevens</v>
      </c>
      <c r="B1012" s="4" t="str">
        <f>Registered!A2348</f>
        <v>Michael</v>
      </c>
      <c r="C1012" s="4" t="str">
        <f>IF(Registered!AR2348&gt;0,Registered!AR2348&amp;" Color Bags", "")</f>
        <v>15 Color Bags</v>
      </c>
      <c r="D1012" s="4" t="str">
        <f>IF(Registered!AS2348&gt;0,(IF(Registered!AS2348=1,Registered!AS2348&amp;" T-Shirt",Registered!AS2348&amp;" T-Shirts")), "")</f>
        <v/>
      </c>
      <c r="E1012" s="4" t="str">
        <f>Registered!AT2348</f>
        <v/>
      </c>
      <c r="F1012" s="4" t="str">
        <f>Registered!AU2348</f>
        <v/>
      </c>
      <c r="G1012" s="4" t="str">
        <f>Registered!AW2348</f>
        <v/>
      </c>
      <c r="H1012" s="4" t="str">
        <f>Registered!AX2348</f>
        <v/>
      </c>
      <c r="I1012" s="4" t="str">
        <f>Registered!AY2348</f>
        <v/>
      </c>
    </row>
    <row r="1013" spans="1:9" x14ac:dyDescent="0.25">
      <c r="A1013" s="4" t="str">
        <f>Registered!B2347</f>
        <v>Stevens</v>
      </c>
      <c r="B1013" s="4" t="str">
        <f>Registered!A2347</f>
        <v>Marli</v>
      </c>
      <c r="C1013" s="4" t="str">
        <f>IF(Registered!AR2347&gt;0,Registered!AR2347&amp;" Color Bags", "")</f>
        <v>20 Color Bags</v>
      </c>
      <c r="D1013" s="4" t="str">
        <f>IF(Registered!AS2347&gt;0,(IF(Registered!AS2347=1,Registered!AS2347&amp;" T-Shirt",Registered!AS2347&amp;" T-Shirts")), "")</f>
        <v>2 T-Shirts</v>
      </c>
      <c r="E1013" s="4" t="str">
        <f>Registered!AT2347</f>
        <v>X-Small or Small and Large</v>
      </c>
      <c r="F1013" s="4" t="str">
        <f>Registered!AU2347</f>
        <v/>
      </c>
      <c r="G1013" s="4" t="str">
        <f>Registered!AW2347</f>
        <v/>
      </c>
      <c r="H1013" s="4" t="str">
        <f>Registered!AX2347</f>
        <v/>
      </c>
      <c r="I1013" s="4" t="str">
        <f>Registered!AY2347</f>
        <v/>
      </c>
    </row>
    <row r="1014" spans="1:9" x14ac:dyDescent="0.25">
      <c r="A1014" s="4" t="str">
        <f>Registered!B2344</f>
        <v>Stevens</v>
      </c>
      <c r="B1014" s="4" t="str">
        <f>Registered!A2344</f>
        <v>Jacque</v>
      </c>
      <c r="C1014" s="4" t="str">
        <f>IF(Registered!AR2344&gt;0,Registered!AR2344&amp;" Color Bags", "")</f>
        <v>5 Color Bags</v>
      </c>
      <c r="D1014" s="4" t="str">
        <f>IF(Registered!AS2344&gt;0,(IF(Registered!AS2344=1,Registered!AS2344&amp;" T-Shirt",Registered!AS2344&amp;" T-Shirts")), "")</f>
        <v/>
      </c>
      <c r="E1014" s="4" t="str">
        <f>Registered!AT2344</f>
        <v/>
      </c>
      <c r="F1014" s="4" t="str">
        <f>Registered!AU2344</f>
        <v/>
      </c>
      <c r="G1014" s="4" t="str">
        <f>Registered!AW2344</f>
        <v/>
      </c>
      <c r="H1014" s="4" t="str">
        <f>Registered!AX2344</f>
        <v/>
      </c>
      <c r="I1014" s="4" t="str">
        <f>Registered!AY2344</f>
        <v/>
      </c>
    </row>
    <row r="1015" spans="1:9" x14ac:dyDescent="0.25">
      <c r="A1015" s="4" t="str">
        <f>Registered!B2352</f>
        <v>Stirk</v>
      </c>
      <c r="B1015" s="4" t="str">
        <f>Registered!A2352</f>
        <v>Marie</v>
      </c>
      <c r="C1015" s="4" t="str">
        <f>IF(Registered!AR2352&gt;0,Registered!AR2352&amp;" Color Bags", "")</f>
        <v>5 Color Bags</v>
      </c>
      <c r="D1015" s="4" t="str">
        <f>IF(Registered!AS2352&gt;0,(IF(Registered!AS2352=1,Registered!AS2352&amp;" T-Shirt",Registered!AS2352&amp;" T-Shirts")), "")</f>
        <v/>
      </c>
      <c r="E1015" s="4" t="str">
        <f>Registered!AT2352</f>
        <v/>
      </c>
      <c r="F1015" s="4" t="str">
        <f>Registered!AU2352</f>
        <v/>
      </c>
      <c r="G1015" s="4" t="str">
        <f>Registered!AW2352</f>
        <v/>
      </c>
      <c r="H1015" s="4" t="str">
        <f>Registered!AX2352</f>
        <v/>
      </c>
      <c r="I1015" s="4" t="str">
        <f>Registered!AY2352</f>
        <v/>
      </c>
    </row>
    <row r="1016" spans="1:9" x14ac:dyDescent="0.25">
      <c r="A1016" s="4" t="str">
        <f>Registered!B2353</f>
        <v>Stock</v>
      </c>
      <c r="B1016" s="4" t="str">
        <f>Registered!A2353</f>
        <v>Riley</v>
      </c>
      <c r="C1016" s="4" t="str">
        <f>IF(Registered!AR2353&gt;0,Registered!AR2353&amp;" Color Bags", "")</f>
        <v>15 Color Bags</v>
      </c>
      <c r="D1016" s="4" t="str">
        <f>IF(Registered!AS2353&gt;0,(IF(Registered!AS2353=1,Registered!AS2353&amp;" T-Shirt",Registered!AS2353&amp;" T-Shirts")), "")</f>
        <v/>
      </c>
      <c r="E1016" s="4" t="str">
        <f>Registered!AT2353</f>
        <v/>
      </c>
      <c r="F1016" s="4" t="str">
        <f>Registered!AU2353</f>
        <v/>
      </c>
      <c r="G1016" s="4" t="str">
        <f>Registered!AW2353</f>
        <v/>
      </c>
      <c r="H1016" s="4" t="str">
        <f>Registered!AX2353</f>
        <v/>
      </c>
      <c r="I1016" s="4" t="str">
        <f>Registered!AY2353</f>
        <v/>
      </c>
    </row>
    <row r="1017" spans="1:9" x14ac:dyDescent="0.25">
      <c r="A1017" s="4" t="str">
        <f>Registered!B2354</f>
        <v>Stoker</v>
      </c>
      <c r="B1017" s="4" t="str">
        <f>Registered!A2354</f>
        <v>Jacob</v>
      </c>
      <c r="C1017" s="4" t="str">
        <f>IF(Registered!AR2354&gt;0,Registered!AR2354&amp;" Color Bags", "")</f>
        <v>10 Color Bags</v>
      </c>
      <c r="D1017" s="4" t="str">
        <f>IF(Registered!AS2354&gt;0,(IF(Registered!AS2354=1,Registered!AS2354&amp;" T-Shirt",Registered!AS2354&amp;" T-Shirts")), "")</f>
        <v/>
      </c>
      <c r="E1017" s="4" t="str">
        <f>Registered!AT2354</f>
        <v/>
      </c>
      <c r="F1017" s="4" t="str">
        <f>Registered!AU2354</f>
        <v/>
      </c>
      <c r="G1017" s="4" t="str">
        <f>Registered!AW2354</f>
        <v/>
      </c>
      <c r="H1017" s="4" t="str">
        <f>Registered!AX2354</f>
        <v/>
      </c>
      <c r="I1017" s="4" t="str">
        <f>Registered!AY2354</f>
        <v/>
      </c>
    </row>
    <row r="1018" spans="1:9" x14ac:dyDescent="0.25">
      <c r="A1018" s="4" t="str">
        <f>Registered!B2356</f>
        <v>Stone</v>
      </c>
      <c r="B1018" s="4" t="str">
        <f>Registered!A2356</f>
        <v>Amy</v>
      </c>
      <c r="C1018" s="4" t="str">
        <f>IF(Registered!AR2356&gt;0,Registered!AR2356&amp;" Color Bags", "")</f>
        <v>20 Color Bags</v>
      </c>
      <c r="D1018" s="4" t="str">
        <f>IF(Registered!AS2356&gt;0,(IF(Registered!AS2356=1,Registered!AS2356&amp;" T-Shirt",Registered!AS2356&amp;" T-Shirts")), "")</f>
        <v/>
      </c>
      <c r="E1018" s="4" t="str">
        <f>Registered!AT2356</f>
        <v/>
      </c>
      <c r="F1018" s="4" t="str">
        <f>Registered!AU2356</f>
        <v/>
      </c>
      <c r="G1018" s="4" t="str">
        <f>Registered!AW2356</f>
        <v/>
      </c>
      <c r="H1018" s="4" t="str">
        <f>Registered!AX2356</f>
        <v/>
      </c>
      <c r="I1018" s="4" t="str">
        <f>Registered!AY2356</f>
        <v/>
      </c>
    </row>
    <row r="1019" spans="1:9" x14ac:dyDescent="0.25">
      <c r="A1019" s="4" t="str">
        <f>Registered!B2357</f>
        <v>Stone</v>
      </c>
      <c r="B1019" s="4" t="str">
        <f>Registered!A2357</f>
        <v>Audrey</v>
      </c>
      <c r="C1019" s="4" t="str">
        <f>IF(Registered!AR2357&gt;0,Registered!AR2357&amp;" Color Bags", "")</f>
        <v>5 Color Bags</v>
      </c>
      <c r="D1019" s="4" t="str">
        <f>IF(Registered!AS2357&gt;0,(IF(Registered!AS2357=1,Registered!AS2357&amp;" T-Shirt",Registered!AS2357&amp;" T-Shirts")), "")</f>
        <v/>
      </c>
      <c r="E1019" s="4" t="str">
        <f>Registered!AT2357</f>
        <v/>
      </c>
      <c r="F1019" s="4" t="str">
        <f>Registered!AU2357</f>
        <v/>
      </c>
      <c r="G1019" s="4" t="str">
        <f>Registered!AW2357</f>
        <v/>
      </c>
      <c r="H1019" s="4" t="str">
        <f>Registered!AX2357</f>
        <v/>
      </c>
      <c r="I1019" s="4" t="str">
        <f>Registered!AY2357</f>
        <v/>
      </c>
    </row>
    <row r="1020" spans="1:9" x14ac:dyDescent="0.25">
      <c r="A1020" s="4" t="str">
        <f>Registered!B2358</f>
        <v>Storms</v>
      </c>
      <c r="B1020" s="4" t="str">
        <f>Registered!A2358</f>
        <v>Chantel</v>
      </c>
      <c r="C1020" s="4" t="str">
        <f>IF(Registered!AR2358&gt;0,Registered!AR2358&amp;" Color Bags", "")</f>
        <v>5 Color Bags</v>
      </c>
      <c r="D1020" s="4" t="str">
        <f>IF(Registered!AS2358&gt;0,(IF(Registered!AS2358=1,Registered!AS2358&amp;" T-Shirt",Registered!AS2358&amp;" T-Shirts")), "")</f>
        <v/>
      </c>
      <c r="E1020" s="4" t="str">
        <f>Registered!AT2358</f>
        <v/>
      </c>
      <c r="F1020" s="4" t="str">
        <f>Registered!AU2358</f>
        <v/>
      </c>
      <c r="G1020" s="4" t="str">
        <f>Registered!AW2358</f>
        <v/>
      </c>
      <c r="H1020" s="4" t="str">
        <f>Registered!AX2358</f>
        <v/>
      </c>
      <c r="I1020" s="4" t="str">
        <f>Registered!AY2358</f>
        <v/>
      </c>
    </row>
    <row r="1021" spans="1:9" x14ac:dyDescent="0.25">
      <c r="A1021" s="4" t="str">
        <f>Registered!B2359</f>
        <v>Storrs</v>
      </c>
      <c r="B1021" s="4" t="str">
        <f>Registered!A2359</f>
        <v>Amanda</v>
      </c>
      <c r="C1021" s="4" t="str">
        <f>IF(Registered!AR2359&gt;0,Registered!AR2359&amp;" Color Bags", "")</f>
        <v>10 Color Bags</v>
      </c>
      <c r="D1021" s="4" t="str">
        <f>IF(Registered!AS2359&gt;0,(IF(Registered!AS2359=1,Registered!AS2359&amp;" T-Shirt",Registered!AS2359&amp;" T-Shirts")), "")</f>
        <v/>
      </c>
      <c r="E1021" s="4" t="str">
        <f>Registered!AT2359</f>
        <v/>
      </c>
      <c r="F1021" s="4" t="str">
        <f>Registered!AU2359</f>
        <v/>
      </c>
      <c r="G1021" s="4" t="str">
        <f>Registered!AW2359</f>
        <v/>
      </c>
      <c r="H1021" s="4" t="str">
        <f>Registered!AX2359</f>
        <v>1 BG</v>
      </c>
      <c r="I1021" s="4" t="str">
        <f>Registered!AY2359</f>
        <v/>
      </c>
    </row>
    <row r="1022" spans="1:9" x14ac:dyDescent="0.25">
      <c r="A1022" s="4" t="str">
        <f>Registered!B2360</f>
        <v>Stowell</v>
      </c>
      <c r="B1022" s="4" t="str">
        <f>Registered!A2360</f>
        <v>Chelsey</v>
      </c>
      <c r="C1022" s="4" t="str">
        <f>IF(Registered!AR2360&gt;0,Registered!AR2360&amp;" Color Bags", "")</f>
        <v>40 Color Bags</v>
      </c>
      <c r="D1022" s="4" t="str">
        <f>IF(Registered!AS2360&gt;0,(IF(Registered!AS2360=1,Registered!AS2360&amp;" T-Shirt",Registered!AS2360&amp;" T-Shirts")), "")</f>
        <v/>
      </c>
      <c r="E1022" s="4" t="str">
        <f>Registered!AT2360</f>
        <v/>
      </c>
      <c r="F1022" s="4" t="str">
        <f>Registered!AU2360</f>
        <v/>
      </c>
      <c r="G1022" s="4" t="str">
        <f>Registered!AW2360</f>
        <v/>
      </c>
      <c r="H1022" s="4" t="str">
        <f>Registered!AX2360</f>
        <v/>
      </c>
      <c r="I1022" s="4" t="str">
        <f>Registered!AY2360</f>
        <v/>
      </c>
    </row>
    <row r="1023" spans="1:9" x14ac:dyDescent="0.25">
      <c r="A1023" s="4" t="str">
        <f>Registered!B2362</f>
        <v>Straw</v>
      </c>
      <c r="B1023" s="4" t="str">
        <f>Registered!A2362</f>
        <v>Samantha</v>
      </c>
      <c r="C1023" s="4" t="str">
        <f>IF(Registered!AR2362&gt;0,Registered!AR2362&amp;" Color Bags", "")</f>
        <v>5 Color Bags</v>
      </c>
      <c r="D1023" s="4" t="str">
        <f>IF(Registered!AS2362&gt;0,(IF(Registered!AS2362=1,Registered!AS2362&amp;" T-Shirt",Registered!AS2362&amp;" T-Shirts")), "")</f>
        <v/>
      </c>
      <c r="E1023" s="4" t="str">
        <f>Registered!AT2362</f>
        <v/>
      </c>
      <c r="F1023" s="4" t="str">
        <f>Registered!AU2362</f>
        <v>1 Bandana</v>
      </c>
      <c r="G1023" s="4" t="str">
        <f>Registered!AW2362</f>
        <v/>
      </c>
      <c r="H1023" s="4" t="str">
        <f>Registered!AX2362</f>
        <v>1 BG</v>
      </c>
      <c r="I1023" s="4" t="str">
        <f>Registered!AY2362</f>
        <v/>
      </c>
    </row>
    <row r="1024" spans="1:9" x14ac:dyDescent="0.25">
      <c r="A1024" s="4" t="str">
        <f>Registered!B2364</f>
        <v>Stubbs</v>
      </c>
      <c r="B1024" s="4" t="str">
        <f>Registered!A2364</f>
        <v>ShayLyn</v>
      </c>
      <c r="C1024" s="4" t="str">
        <f>IF(Registered!AR2364&gt;0,Registered!AR2364&amp;" Color Bags", "")</f>
        <v>5 Color Bags</v>
      </c>
      <c r="D1024" s="4" t="str">
        <f>IF(Registered!AS2364&gt;0,(IF(Registered!AS2364=1,Registered!AS2364&amp;" T-Shirt",Registered!AS2364&amp;" T-Shirts")), "")</f>
        <v/>
      </c>
      <c r="E1024" s="4" t="str">
        <f>Registered!AT2364</f>
        <v/>
      </c>
      <c r="F1024" s="4" t="str">
        <f>Registered!AU2364</f>
        <v/>
      </c>
      <c r="G1024" s="4" t="str">
        <f>Registered!AW2364</f>
        <v/>
      </c>
      <c r="H1024" s="4" t="str">
        <f>Registered!AX2364</f>
        <v/>
      </c>
      <c r="I1024" s="4" t="str">
        <f>Registered!AY2364</f>
        <v/>
      </c>
    </row>
    <row r="1025" spans="1:9" x14ac:dyDescent="0.25">
      <c r="A1025" s="4" t="str">
        <f>Registered!B2366</f>
        <v>Summers</v>
      </c>
      <c r="B1025" s="4" t="str">
        <f>Registered!A2366</f>
        <v>Erik</v>
      </c>
      <c r="C1025" s="4" t="str">
        <f>IF(Registered!AR2366&gt;0,Registered!AR2366&amp;" Color Bags", "")</f>
        <v>5 Color Bags</v>
      </c>
      <c r="D1025" s="4" t="str">
        <f>IF(Registered!AS2366&gt;0,(IF(Registered!AS2366=1,Registered!AS2366&amp;" T-Shirt",Registered!AS2366&amp;" T-Shirts")), "")</f>
        <v/>
      </c>
      <c r="E1025" s="4" t="str">
        <f>Registered!AT2366</f>
        <v/>
      </c>
      <c r="F1025" s="4" t="str">
        <f>Registered!AU2366</f>
        <v/>
      </c>
      <c r="G1025" s="4" t="str">
        <f>Registered!AW2366</f>
        <v>1 Meal</v>
      </c>
      <c r="H1025" s="4" t="str">
        <f>Registered!AX2366</f>
        <v/>
      </c>
      <c r="I1025" s="4" t="str">
        <f>Registered!AY2366</f>
        <v/>
      </c>
    </row>
    <row r="1026" spans="1:9" x14ac:dyDescent="0.25">
      <c r="A1026" s="4" t="str">
        <f>Registered!B2368</f>
        <v>Sun</v>
      </c>
      <c r="B1026" s="4" t="str">
        <f>Registered!A2368</f>
        <v>Rui</v>
      </c>
      <c r="C1026" s="4" t="str">
        <f>IF(Registered!AR2368&gt;0,Registered!AR2368&amp;" Color Bags", "")</f>
        <v>40 Color Bags</v>
      </c>
      <c r="D1026" s="4" t="str">
        <f>IF(Registered!AS2368&gt;0,(IF(Registered!AS2368=1,Registered!AS2368&amp;" T-Shirt",Registered!AS2368&amp;" T-Shirts")), "")</f>
        <v/>
      </c>
      <c r="E1026" s="4" t="str">
        <f>Registered!AT2368</f>
        <v/>
      </c>
      <c r="F1026" s="4" t="str">
        <f>Registered!AU2368</f>
        <v/>
      </c>
      <c r="G1026" s="4" t="str">
        <f>Registered!AW2368</f>
        <v/>
      </c>
      <c r="H1026" s="4" t="str">
        <f>Registered!AX2368</f>
        <v/>
      </c>
      <c r="I1026" s="4" t="str">
        <f>Registered!AY2368</f>
        <v/>
      </c>
    </row>
    <row r="1027" spans="1:9" x14ac:dyDescent="0.25">
      <c r="A1027" s="4" t="str">
        <f>Registered!B2369</f>
        <v>Sundell</v>
      </c>
      <c r="B1027" s="4" t="str">
        <f>Registered!A2369</f>
        <v>Amanda</v>
      </c>
      <c r="C1027" s="4" t="str">
        <f>IF(Registered!AR2369&gt;0,Registered!AR2369&amp;" Color Bags", "")</f>
        <v>5 Color Bags</v>
      </c>
      <c r="D1027" s="4" t="str">
        <f>IF(Registered!AS2369&gt;0,(IF(Registered!AS2369=1,Registered!AS2369&amp;" T-Shirt",Registered!AS2369&amp;" T-Shirts")), "")</f>
        <v/>
      </c>
      <c r="E1027" s="4" t="str">
        <f>Registered!AT2369</f>
        <v/>
      </c>
      <c r="F1027" s="4" t="str">
        <f>Registered!AU2369</f>
        <v/>
      </c>
      <c r="G1027" s="4" t="str">
        <f>Registered!AW2369</f>
        <v/>
      </c>
      <c r="H1027" s="4" t="str">
        <f>Registered!AX2369</f>
        <v/>
      </c>
      <c r="I1027" s="4" t="str">
        <f>Registered!AY2369</f>
        <v/>
      </c>
    </row>
    <row r="1028" spans="1:9" x14ac:dyDescent="0.25">
      <c r="A1028" s="4" t="str">
        <f>Registered!B2370</f>
        <v>Suthar</v>
      </c>
      <c r="B1028" s="4" t="str">
        <f>Registered!A2370</f>
        <v>Samir</v>
      </c>
      <c r="C1028" s="4" t="str">
        <f>IF(Registered!AR2370&gt;0,Registered!AR2370&amp;" Color Bags", "")</f>
        <v>5 Color Bags</v>
      </c>
      <c r="D1028" s="4" t="str">
        <f>IF(Registered!AS2370&gt;0,(IF(Registered!AS2370=1,Registered!AS2370&amp;" T-Shirt",Registered!AS2370&amp;" T-Shirts")), "")</f>
        <v>1 T-Shirt</v>
      </c>
      <c r="E1028" s="4" t="str">
        <f>Registered!AT2370</f>
        <v>M</v>
      </c>
      <c r="F1028" s="4" t="str">
        <f>Registered!AU2370</f>
        <v/>
      </c>
      <c r="G1028" s="4" t="str">
        <f>Registered!AW2370</f>
        <v>1 Meal</v>
      </c>
      <c r="H1028" s="4" t="str">
        <f>Registered!AX2370</f>
        <v/>
      </c>
      <c r="I1028" s="4" t="str">
        <f>Registered!AY2370</f>
        <v/>
      </c>
    </row>
    <row r="1029" spans="1:9" x14ac:dyDescent="0.25">
      <c r="A1029" s="4" t="str">
        <f>Registered!B2371</f>
        <v>Sutton</v>
      </c>
      <c r="B1029" s="4" t="str">
        <f>Registered!A2371</f>
        <v>Alexandra</v>
      </c>
      <c r="C1029" s="4" t="str">
        <f>IF(Registered!AR2371&gt;0,Registered!AR2371&amp;" Color Bags", "")</f>
        <v>10 Color Bags</v>
      </c>
      <c r="D1029" s="4" t="str">
        <f>IF(Registered!AS2371&gt;0,(IF(Registered!AS2371=1,Registered!AS2371&amp;" T-Shirt",Registered!AS2371&amp;" T-Shirts")), "")</f>
        <v/>
      </c>
      <c r="E1029" s="4" t="str">
        <f>Registered!AT2371</f>
        <v/>
      </c>
      <c r="F1029" s="4" t="str">
        <f>Registered!AU2371</f>
        <v/>
      </c>
      <c r="G1029" s="4" t="str">
        <f>Registered!AW2371</f>
        <v/>
      </c>
      <c r="H1029" s="4" t="str">
        <f>Registered!AX2371</f>
        <v/>
      </c>
      <c r="I1029" s="4" t="str">
        <f>Registered!AY2371</f>
        <v/>
      </c>
    </row>
    <row r="1030" spans="1:9" x14ac:dyDescent="0.25">
      <c r="A1030" s="4" t="str">
        <f>Registered!B2372</f>
        <v>Sutton</v>
      </c>
      <c r="B1030" s="4" t="str">
        <f>Registered!A2372</f>
        <v>Kelsey</v>
      </c>
      <c r="C1030" s="4" t="str">
        <f>IF(Registered!AR2372&gt;0,Registered!AR2372&amp;" Color Bags", "")</f>
        <v>10 Color Bags</v>
      </c>
      <c r="D1030" s="4" t="str">
        <f>IF(Registered!AS2372&gt;0,(IF(Registered!AS2372=1,Registered!AS2372&amp;" T-Shirt",Registered!AS2372&amp;" T-Shirts")), "")</f>
        <v>1 T-Shirt</v>
      </c>
      <c r="E1030" s="4" t="str">
        <f>Registered!AT2372</f>
        <v>Size Not Specified</v>
      </c>
      <c r="F1030" s="4" t="str">
        <f>Registered!AU2372</f>
        <v/>
      </c>
      <c r="G1030" s="4" t="str">
        <f>Registered!AW2372</f>
        <v>1 Meal</v>
      </c>
      <c r="H1030" s="4" t="str">
        <f>Registered!AX2372</f>
        <v/>
      </c>
      <c r="I1030" s="4" t="str">
        <f>Registered!AY2372</f>
        <v/>
      </c>
    </row>
    <row r="1031" spans="1:9" x14ac:dyDescent="0.25">
      <c r="A1031" s="4" t="str">
        <f>Registered!B2373</f>
        <v>Swain</v>
      </c>
      <c r="B1031" s="4" t="str">
        <f>Registered!A2373</f>
        <v>Hannah</v>
      </c>
      <c r="C1031" s="4" t="str">
        <f>IF(Registered!AR2373&gt;0,Registered!AR2373&amp;" Color Bags", "")</f>
        <v>10 Color Bags</v>
      </c>
      <c r="D1031" s="4" t="str">
        <f>IF(Registered!AS2373&gt;0,(IF(Registered!AS2373=1,Registered!AS2373&amp;" T-Shirt",Registered!AS2373&amp;" T-Shirts")), "")</f>
        <v/>
      </c>
      <c r="E1031" s="4" t="str">
        <f>Registered!AT2373</f>
        <v/>
      </c>
      <c r="F1031" s="4" t="str">
        <f>Registered!AU2373</f>
        <v/>
      </c>
      <c r="G1031" s="4" t="str">
        <f>Registered!AW2373</f>
        <v/>
      </c>
      <c r="H1031" s="4" t="str">
        <f>Registered!AX2373</f>
        <v/>
      </c>
      <c r="I1031" s="4" t="str">
        <f>Registered!AY2373</f>
        <v/>
      </c>
    </row>
    <row r="1032" spans="1:9" x14ac:dyDescent="0.25">
      <c r="A1032" s="4" t="str">
        <f>Registered!B2375</f>
        <v>Swainston</v>
      </c>
      <c r="B1032" s="4" t="str">
        <f>Registered!A2375</f>
        <v>Shannon</v>
      </c>
      <c r="C1032" s="4" t="str">
        <f>IF(Registered!AR2375&gt;0,Registered!AR2375&amp;" Color Bags", "")</f>
        <v>20 Color Bags</v>
      </c>
      <c r="D1032" s="4" t="str">
        <f>IF(Registered!AS2375&gt;0,(IF(Registered!AS2375=1,Registered!AS2375&amp;" T-Shirt",Registered!AS2375&amp;" T-Shirts")), "")</f>
        <v>2 T-Shirts</v>
      </c>
      <c r="E1032" s="4" t="str">
        <f>Registered!AT2375</f>
        <v>(2) Large</v>
      </c>
      <c r="F1032" s="4" t="str">
        <f>Registered!AU2375</f>
        <v>1 Bandana</v>
      </c>
      <c r="G1032" s="4" t="str">
        <f>Registered!AW2375</f>
        <v/>
      </c>
      <c r="H1032" s="4" t="str">
        <f>Registered!AX2375</f>
        <v/>
      </c>
      <c r="I1032" s="4" t="str">
        <f>Registered!AY2375</f>
        <v/>
      </c>
    </row>
    <row r="1033" spans="1:9" x14ac:dyDescent="0.25">
      <c r="A1033" s="4" t="str">
        <f>Registered!B2376</f>
        <v>Swalberg</v>
      </c>
      <c r="B1033" s="4" t="str">
        <f>Registered!A2376</f>
        <v>Jacob</v>
      </c>
      <c r="C1033" s="4" t="str">
        <f>IF(Registered!AR2376&gt;0,Registered!AR2376&amp;" Color Bags", "")</f>
        <v>10 Color Bags</v>
      </c>
      <c r="D1033" s="4" t="str">
        <f>IF(Registered!AS2376&gt;0,(IF(Registered!AS2376=1,Registered!AS2376&amp;" T-Shirt",Registered!AS2376&amp;" T-Shirts")), "")</f>
        <v>2 T-Shirts</v>
      </c>
      <c r="E1033" s="4" t="str">
        <f>Registered!AT2376</f>
        <v>2-medium</v>
      </c>
      <c r="F1033" s="4" t="str">
        <f>Registered!AU2376</f>
        <v/>
      </c>
      <c r="G1033" s="4" t="str">
        <f>Registered!AW2376</f>
        <v>2 Meals</v>
      </c>
      <c r="H1033" s="4" t="str">
        <f>Registered!AX2376</f>
        <v/>
      </c>
      <c r="I1033" s="4" t="str">
        <f>Registered!AY2376</f>
        <v>2 DustMask</v>
      </c>
    </row>
    <row r="1034" spans="1:9" x14ac:dyDescent="0.25">
      <c r="A1034" s="4" t="str">
        <f>Registered!B2378</f>
        <v>Swallow</v>
      </c>
      <c r="B1034" s="4" t="str">
        <f>Registered!A2378</f>
        <v>Heather</v>
      </c>
      <c r="C1034" s="4" t="str">
        <f>IF(Registered!AR2378&gt;0,Registered!AR2378&amp;" Color Bags", "")</f>
        <v>10 Color Bags</v>
      </c>
      <c r="D1034" s="4" t="str">
        <f>IF(Registered!AS2378&gt;0,(IF(Registered!AS2378=1,Registered!AS2378&amp;" T-Shirt",Registered!AS2378&amp;" T-Shirts")), "")</f>
        <v/>
      </c>
      <c r="E1034" s="4" t="str">
        <f>Registered!AT2378</f>
        <v/>
      </c>
      <c r="F1034" s="4" t="str">
        <f>Registered!AU2378</f>
        <v/>
      </c>
      <c r="G1034" s="4" t="str">
        <f>Registered!AW2378</f>
        <v/>
      </c>
      <c r="H1034" s="4" t="str">
        <f>Registered!AX2378</f>
        <v/>
      </c>
      <c r="I1034" s="4" t="str">
        <f>Registered!AY2378</f>
        <v/>
      </c>
    </row>
    <row r="1035" spans="1:9" x14ac:dyDescent="0.25">
      <c r="A1035" s="4" t="str">
        <f>Registered!B2379</f>
        <v>Swanson</v>
      </c>
      <c r="B1035" s="4" t="str">
        <f>Registered!A2379</f>
        <v>Dustin</v>
      </c>
      <c r="C1035" s="4" t="str">
        <f>IF(Registered!AR2379&gt;0,Registered!AR2379&amp;" Color Bags", "")</f>
        <v>10 Color Bags</v>
      </c>
      <c r="D1035" s="4" t="str">
        <f>IF(Registered!AS2379&gt;0,(IF(Registered!AS2379=1,Registered!AS2379&amp;" T-Shirt",Registered!AS2379&amp;" T-Shirts")), "")</f>
        <v/>
      </c>
      <c r="E1035" s="4" t="str">
        <f>Registered!AT2379</f>
        <v/>
      </c>
      <c r="F1035" s="4" t="str">
        <f>Registered!AU2379</f>
        <v/>
      </c>
      <c r="G1035" s="4" t="str">
        <f>Registered!AW2379</f>
        <v/>
      </c>
      <c r="H1035" s="4" t="str">
        <f>Registered!AX2379</f>
        <v/>
      </c>
      <c r="I1035" s="4" t="str">
        <f>Registered!AY2379</f>
        <v/>
      </c>
    </row>
    <row r="1036" spans="1:9" x14ac:dyDescent="0.25">
      <c r="A1036" s="4" t="str">
        <f>Registered!B2381</f>
        <v>Swendsen</v>
      </c>
      <c r="B1036" s="4" t="str">
        <f>Registered!A2381</f>
        <v>Rachel</v>
      </c>
      <c r="C1036" s="4" t="str">
        <f>IF(Registered!AR2381&gt;0,Registered!AR2381&amp;" Color Bags", "")</f>
        <v>10 Color Bags</v>
      </c>
      <c r="D1036" s="4" t="str">
        <f>IF(Registered!AS2381&gt;0,(IF(Registered!AS2381=1,Registered!AS2381&amp;" T-Shirt",Registered!AS2381&amp;" T-Shirts")), "")</f>
        <v>1 T-Shirt</v>
      </c>
      <c r="E1036" s="4" t="str">
        <f>Registered!AT2381</f>
        <v>M</v>
      </c>
      <c r="F1036" s="4" t="str">
        <f>Registered!AU2381</f>
        <v/>
      </c>
      <c r="G1036" s="4" t="str">
        <f>Registered!AW2381</f>
        <v/>
      </c>
      <c r="H1036" s="4" t="str">
        <f>Registered!AX2381</f>
        <v/>
      </c>
      <c r="I1036" s="4" t="str">
        <f>Registered!AY2381</f>
        <v/>
      </c>
    </row>
    <row r="1037" spans="1:9" x14ac:dyDescent="0.25">
      <c r="A1037" s="4" t="str">
        <f>Registered!B2382</f>
        <v>Swenson</v>
      </c>
      <c r="B1037" s="4" t="str">
        <f>Registered!A2382</f>
        <v>Emily</v>
      </c>
      <c r="C1037" s="4" t="str">
        <f>IF(Registered!AR2382&gt;0,Registered!AR2382&amp;" Color Bags", "")</f>
        <v>5 Color Bags</v>
      </c>
      <c r="D1037" s="4" t="str">
        <f>IF(Registered!AS2382&gt;0,(IF(Registered!AS2382=1,Registered!AS2382&amp;" T-Shirt",Registered!AS2382&amp;" T-Shirts")), "")</f>
        <v/>
      </c>
      <c r="E1037" s="4" t="str">
        <f>Registered!AT2382</f>
        <v/>
      </c>
      <c r="F1037" s="4" t="str">
        <f>Registered!AU2382</f>
        <v/>
      </c>
      <c r="G1037" s="4" t="str">
        <f>Registered!AW2382</f>
        <v/>
      </c>
      <c r="H1037" s="4" t="str">
        <f>Registered!AX2382</f>
        <v/>
      </c>
      <c r="I1037" s="4" t="str">
        <f>Registered!AY2382</f>
        <v/>
      </c>
    </row>
    <row r="1038" spans="1:9" x14ac:dyDescent="0.25">
      <c r="A1038" s="4" t="str">
        <f>Registered!B2384</f>
        <v>Swift</v>
      </c>
      <c r="B1038" s="4" t="str">
        <f>Registered!A2384</f>
        <v>Rachel</v>
      </c>
      <c r="C1038" s="4" t="str">
        <f>IF(Registered!AR2384&gt;0,Registered!AR2384&amp;" Color Bags", "")</f>
        <v>10 Color Bags</v>
      </c>
      <c r="D1038" s="4" t="str">
        <f>IF(Registered!AS2384&gt;0,(IF(Registered!AS2384=1,Registered!AS2384&amp;" T-Shirt",Registered!AS2384&amp;" T-Shirts")), "")</f>
        <v/>
      </c>
      <c r="E1038" s="4" t="str">
        <f>Registered!AT2384</f>
        <v/>
      </c>
      <c r="F1038" s="4" t="str">
        <f>Registered!AU2384</f>
        <v/>
      </c>
      <c r="G1038" s="4" t="str">
        <f>Registered!AW2384</f>
        <v/>
      </c>
      <c r="H1038" s="4" t="str">
        <f>Registered!AX2384</f>
        <v/>
      </c>
      <c r="I1038" s="4" t="str">
        <f>Registered!AY2384</f>
        <v/>
      </c>
    </row>
    <row r="1039" spans="1:9" x14ac:dyDescent="0.25">
      <c r="A1039" s="4" t="str">
        <f>Registered!B2386</f>
        <v>Swisher</v>
      </c>
      <c r="B1039" s="4" t="str">
        <f>Registered!A2386</f>
        <v>Peter</v>
      </c>
      <c r="C1039" s="4" t="str">
        <f>IF(Registered!AR2386&gt;0,Registered!AR2386&amp;" Color Bags", "")</f>
        <v>10 Color Bags</v>
      </c>
      <c r="D1039" s="4" t="str">
        <f>IF(Registered!AS2386&gt;0,(IF(Registered!AS2386=1,Registered!AS2386&amp;" T-Shirt",Registered!AS2386&amp;" T-Shirts")), "")</f>
        <v/>
      </c>
      <c r="E1039" s="4" t="str">
        <f>Registered!AT2386</f>
        <v/>
      </c>
      <c r="F1039" s="4" t="str">
        <f>Registered!AU2386</f>
        <v/>
      </c>
      <c r="G1039" s="4" t="str">
        <f>Registered!AW2386</f>
        <v/>
      </c>
      <c r="H1039" s="4" t="str">
        <f>Registered!AX2386</f>
        <v/>
      </c>
      <c r="I1039" s="4" t="str">
        <f>Registered!AY2386</f>
        <v>1 DustMask</v>
      </c>
    </row>
    <row r="1040" spans="1:9" x14ac:dyDescent="0.25">
      <c r="A1040" s="4" t="str">
        <f>Registered!B2389</f>
        <v>Takeuchi</v>
      </c>
      <c r="B1040" s="4" t="str">
        <f>Registered!A2389</f>
        <v>Ashley</v>
      </c>
      <c r="C1040" s="4" t="str">
        <f>IF(Registered!AR2389&gt;0,Registered!AR2389&amp;" Color Bags", "")</f>
        <v>20 Color Bags</v>
      </c>
      <c r="D1040" s="4" t="str">
        <f>IF(Registered!AS2389&gt;0,(IF(Registered!AS2389=1,Registered!AS2389&amp;" T-Shirt",Registered!AS2389&amp;" T-Shirts")), "")</f>
        <v/>
      </c>
      <c r="E1040" s="4" t="str">
        <f>Registered!AT2389</f>
        <v/>
      </c>
      <c r="F1040" s="4" t="str">
        <f>Registered!AU2389</f>
        <v/>
      </c>
      <c r="G1040" s="4" t="str">
        <f>Registered!AW2389</f>
        <v/>
      </c>
      <c r="H1040" s="4" t="str">
        <f>Registered!AX2389</f>
        <v/>
      </c>
      <c r="I1040" s="4" t="str">
        <f>Registered!AY2389</f>
        <v/>
      </c>
    </row>
    <row r="1041" spans="1:9" x14ac:dyDescent="0.25">
      <c r="A1041" s="4" t="str">
        <f>Registered!B2393</f>
        <v>Talbot</v>
      </c>
      <c r="B1041" s="4" t="str">
        <f>Registered!A2393</f>
        <v>Breeanne</v>
      </c>
      <c r="C1041" s="4" t="str">
        <f>IF(Registered!AR2393&gt;0,Registered!AR2393&amp;" Color Bags", "")</f>
        <v>5 Color Bags</v>
      </c>
      <c r="D1041" s="4" t="str">
        <f>IF(Registered!AS2393&gt;0,(IF(Registered!AS2393=1,Registered!AS2393&amp;" T-Shirt",Registered!AS2393&amp;" T-Shirts")), "")</f>
        <v/>
      </c>
      <c r="E1041" s="4" t="str">
        <f>Registered!AT2393</f>
        <v/>
      </c>
      <c r="F1041" s="4" t="str">
        <f>Registered!AU2393</f>
        <v/>
      </c>
      <c r="G1041" s="4" t="str">
        <f>Registered!AW2393</f>
        <v/>
      </c>
      <c r="H1041" s="4" t="str">
        <f>Registered!AX2393</f>
        <v/>
      </c>
      <c r="I1041" s="4" t="str">
        <f>Registered!AY2393</f>
        <v/>
      </c>
    </row>
    <row r="1042" spans="1:9" x14ac:dyDescent="0.25">
      <c r="A1042" s="4" t="str">
        <f>Registered!B2398</f>
        <v>Tanner</v>
      </c>
      <c r="B1042" s="4" t="str">
        <f>Registered!A2398</f>
        <v>Trent</v>
      </c>
      <c r="C1042" s="4" t="str">
        <f>IF(Registered!AR2398&gt;0,Registered!AR2398&amp;" Color Bags", "")</f>
        <v>10 Color Bags</v>
      </c>
      <c r="D1042" s="4" t="str">
        <f>IF(Registered!AS2398&gt;0,(IF(Registered!AS2398=1,Registered!AS2398&amp;" T-Shirt",Registered!AS2398&amp;" T-Shirts")), "")</f>
        <v>1 T-Shirt</v>
      </c>
      <c r="E1042" s="4" t="str">
        <f>Registered!AT2398</f>
        <v>XL</v>
      </c>
      <c r="F1042" s="4" t="str">
        <f>Registered!AU2398</f>
        <v>1 Bandana</v>
      </c>
      <c r="G1042" s="4" t="str">
        <f>Registered!AW2398</f>
        <v/>
      </c>
      <c r="H1042" s="4" t="str">
        <f>Registered!AX2398</f>
        <v/>
      </c>
      <c r="I1042" s="4" t="str">
        <f>Registered!AY2398</f>
        <v>1 DustMask</v>
      </c>
    </row>
    <row r="1043" spans="1:9" x14ac:dyDescent="0.25">
      <c r="A1043" s="4" t="str">
        <f>Registered!B2397</f>
        <v>Tanner</v>
      </c>
      <c r="B1043" s="4" t="str">
        <f>Registered!A2397</f>
        <v>Diana</v>
      </c>
      <c r="C1043" s="4" t="str">
        <f>IF(Registered!AR2397&gt;0,Registered!AR2397&amp;" Color Bags", "")</f>
        <v>5 Color Bags</v>
      </c>
      <c r="D1043" s="4" t="str">
        <f>IF(Registered!AS2397&gt;0,(IF(Registered!AS2397=1,Registered!AS2397&amp;" T-Shirt",Registered!AS2397&amp;" T-Shirts")), "")</f>
        <v/>
      </c>
      <c r="E1043" s="4" t="str">
        <f>Registered!AT2397</f>
        <v/>
      </c>
      <c r="F1043" s="4" t="str">
        <f>Registered!AU2397</f>
        <v/>
      </c>
      <c r="G1043" s="4" t="str">
        <f>Registered!AW2397</f>
        <v/>
      </c>
      <c r="H1043" s="4" t="str">
        <f>Registered!AX2397</f>
        <v/>
      </c>
      <c r="I1043" s="4" t="str">
        <f>Registered!AY2397</f>
        <v/>
      </c>
    </row>
    <row r="1044" spans="1:9" x14ac:dyDescent="0.25">
      <c r="A1044" s="4" t="str">
        <f>Registered!B2403</f>
        <v>Tauaese</v>
      </c>
      <c r="B1044" s="4" t="str">
        <f>Registered!A2403</f>
        <v>Camrie</v>
      </c>
      <c r="C1044" s="4" t="str">
        <f>IF(Registered!AR2403&gt;0,Registered!AR2403&amp;" Color Bags", "")</f>
        <v>15 Color Bags</v>
      </c>
      <c r="D1044" s="4" t="str">
        <f>IF(Registered!AS2403&gt;0,(IF(Registered!AS2403=1,Registered!AS2403&amp;" T-Shirt",Registered!AS2403&amp;" T-Shirts")), "")</f>
        <v/>
      </c>
      <c r="E1044" s="4" t="str">
        <f>Registered!AT2403</f>
        <v/>
      </c>
      <c r="F1044" s="4" t="str">
        <f>Registered!AU2403</f>
        <v/>
      </c>
      <c r="G1044" s="4" t="str">
        <f>Registered!AW2403</f>
        <v/>
      </c>
      <c r="H1044" s="4" t="str">
        <f>Registered!AX2403</f>
        <v/>
      </c>
      <c r="I1044" s="4" t="str">
        <f>Registered!AY2403</f>
        <v/>
      </c>
    </row>
    <row r="1045" spans="1:9" x14ac:dyDescent="0.25">
      <c r="A1045" s="4" t="str">
        <f>Registered!B2405</f>
        <v>Taulanga</v>
      </c>
      <c r="B1045" s="4" t="str">
        <f>Registered!A2405</f>
        <v>Kali</v>
      </c>
      <c r="C1045" s="4" t="str">
        <f>IF(Registered!AR2405&gt;0,Registered!AR2405&amp;" Color Bags", "")</f>
        <v>20 Color Bags</v>
      </c>
      <c r="D1045" s="4" t="str">
        <f>IF(Registered!AS2405&gt;0,(IF(Registered!AS2405=1,Registered!AS2405&amp;" T-Shirt",Registered!AS2405&amp;" T-Shirts")), "")</f>
        <v/>
      </c>
      <c r="E1045" s="4" t="str">
        <f>Registered!AT2405</f>
        <v/>
      </c>
      <c r="F1045" s="4" t="str">
        <f>Registered!AU2405</f>
        <v/>
      </c>
      <c r="G1045" s="4" t="str">
        <f>Registered!AW2405</f>
        <v/>
      </c>
      <c r="H1045" s="4" t="str">
        <f>Registered!AX2405</f>
        <v/>
      </c>
      <c r="I1045" s="4" t="str">
        <f>Registered!AY2405</f>
        <v>2 DustMask</v>
      </c>
    </row>
    <row r="1046" spans="1:9" x14ac:dyDescent="0.25">
      <c r="A1046" s="4" t="str">
        <f>Registered!B2411</f>
        <v>Taylor</v>
      </c>
      <c r="B1046" s="4" t="str">
        <f>Registered!A2411</f>
        <v>Donna</v>
      </c>
      <c r="C1046" s="4" t="str">
        <f>IF(Registered!AR2411&gt;0,Registered!AR2411&amp;" Color Bags", "")</f>
        <v>10 Color Bags</v>
      </c>
      <c r="D1046" s="4" t="str">
        <f>IF(Registered!AS2411&gt;0,(IF(Registered!AS2411=1,Registered!AS2411&amp;" T-Shirt",Registered!AS2411&amp;" T-Shirts")), "")</f>
        <v>2 T-Shirts</v>
      </c>
      <c r="E1046" s="4" t="str">
        <f>Registered!AT2411</f>
        <v>both sizes large</v>
      </c>
      <c r="F1046" s="4" t="str">
        <f>Registered!AU2411</f>
        <v/>
      </c>
      <c r="G1046" s="4" t="str">
        <f>Registered!AW2411</f>
        <v/>
      </c>
      <c r="H1046" s="4" t="str">
        <f>Registered!AX2411</f>
        <v/>
      </c>
      <c r="I1046" s="4" t="str">
        <f>Registered!AY2411</f>
        <v/>
      </c>
    </row>
    <row r="1047" spans="1:9" x14ac:dyDescent="0.25">
      <c r="A1047" s="4" t="str">
        <f>Registered!B2413</f>
        <v>Taylor</v>
      </c>
      <c r="B1047" s="4" t="str">
        <f>Registered!A2413</f>
        <v>Karina</v>
      </c>
      <c r="C1047" s="4" t="str">
        <f>IF(Registered!AR2413&gt;0,Registered!AR2413&amp;" Color Bags", "")</f>
        <v>10 Color Bags</v>
      </c>
      <c r="D1047" s="4" t="str">
        <f>IF(Registered!AS2413&gt;0,(IF(Registered!AS2413=1,Registered!AS2413&amp;" T-Shirt",Registered!AS2413&amp;" T-Shirts")), "")</f>
        <v/>
      </c>
      <c r="E1047" s="4" t="str">
        <f>Registered!AT2413</f>
        <v/>
      </c>
      <c r="F1047" s="4" t="str">
        <f>Registered!AU2413</f>
        <v/>
      </c>
      <c r="G1047" s="4" t="str">
        <f>Registered!AW2413</f>
        <v/>
      </c>
      <c r="H1047" s="4" t="str">
        <f>Registered!AX2413</f>
        <v/>
      </c>
      <c r="I1047" s="4" t="str">
        <f>Registered!AY2413</f>
        <v/>
      </c>
    </row>
    <row r="1048" spans="1:9" x14ac:dyDescent="0.25">
      <c r="A1048" s="4" t="str">
        <f>Registered!B2418</f>
        <v>Terres</v>
      </c>
      <c r="B1048" s="4" t="str">
        <f>Registered!A2418</f>
        <v>Caryn</v>
      </c>
      <c r="C1048" s="4" t="str">
        <f>IF(Registered!AR2418&gt;0,Registered!AR2418&amp;" Color Bags", "")</f>
        <v>10 Color Bags</v>
      </c>
      <c r="D1048" s="4" t="str">
        <f>IF(Registered!AS2418&gt;0,(IF(Registered!AS2418=1,Registered!AS2418&amp;" T-Shirt",Registered!AS2418&amp;" T-Shirts")), "")</f>
        <v/>
      </c>
      <c r="E1048" s="4" t="str">
        <f>Registered!AT2418</f>
        <v/>
      </c>
      <c r="F1048" s="4" t="str">
        <f>Registered!AU2418</f>
        <v/>
      </c>
      <c r="G1048" s="4" t="str">
        <f>Registered!AW2418</f>
        <v/>
      </c>
      <c r="H1048" s="4" t="str">
        <f>Registered!AX2418</f>
        <v>1 BG</v>
      </c>
      <c r="I1048" s="4" t="str">
        <f>Registered!AY2418</f>
        <v>2 DustMask</v>
      </c>
    </row>
    <row r="1049" spans="1:9" x14ac:dyDescent="0.25">
      <c r="A1049" s="4" t="str">
        <f>Registered!B2420</f>
        <v>Terry</v>
      </c>
      <c r="B1049" s="4" t="str">
        <f>Registered!A2420</f>
        <v>David</v>
      </c>
      <c r="C1049" s="4" t="str">
        <f>IF(Registered!AR2420&gt;0,Registered!AR2420&amp;" Color Bags", "")</f>
        <v>10 Color Bags</v>
      </c>
      <c r="D1049" s="4" t="str">
        <f>IF(Registered!AS2420&gt;0,(IF(Registered!AS2420=1,Registered!AS2420&amp;" T-Shirt",Registered!AS2420&amp;" T-Shirts")), "")</f>
        <v/>
      </c>
      <c r="E1049" s="4" t="str">
        <f>Registered!AT2420</f>
        <v/>
      </c>
      <c r="F1049" s="4" t="str">
        <f>Registered!AU2420</f>
        <v/>
      </c>
      <c r="G1049" s="4" t="str">
        <f>Registered!AW2420</f>
        <v/>
      </c>
      <c r="H1049" s="4" t="str">
        <f>Registered!AX2420</f>
        <v/>
      </c>
      <c r="I1049" s="4" t="str">
        <f>Registered!AY2420</f>
        <v/>
      </c>
    </row>
    <row r="1050" spans="1:9" x14ac:dyDescent="0.25">
      <c r="A1050" s="4" t="str">
        <f>Registered!B2425</f>
        <v>Thomas</v>
      </c>
      <c r="B1050" s="4" t="str">
        <f>Registered!A2425</f>
        <v>Brooke</v>
      </c>
      <c r="C1050" s="4" t="str">
        <f>IF(Registered!AR2425&gt;0,Registered!AR2425&amp;" Color Bags", "")</f>
        <v>10 Color Bags</v>
      </c>
      <c r="D1050" s="4" t="str">
        <f>IF(Registered!AS2425&gt;0,(IF(Registered!AS2425=1,Registered!AS2425&amp;" T-Shirt",Registered!AS2425&amp;" T-Shirts")), "")</f>
        <v/>
      </c>
      <c r="E1050" s="4" t="str">
        <f>Registered!AT2425</f>
        <v/>
      </c>
      <c r="F1050" s="4" t="str">
        <f>Registered!AU2425</f>
        <v/>
      </c>
      <c r="G1050" s="4" t="str">
        <f>Registered!AW2425</f>
        <v/>
      </c>
      <c r="H1050" s="4" t="str">
        <f>Registered!AX2425</f>
        <v/>
      </c>
      <c r="I1050" s="4" t="str">
        <f>Registered!AY2425</f>
        <v/>
      </c>
    </row>
    <row r="1051" spans="1:9" x14ac:dyDescent="0.25">
      <c r="A1051" s="4" t="str">
        <f>Registered!B2426</f>
        <v>Thomas</v>
      </c>
      <c r="B1051" s="4" t="str">
        <f>Registered!A2426</f>
        <v>Kayla</v>
      </c>
      <c r="C1051" s="4" t="str">
        <f>IF(Registered!AR2426&gt;0,Registered!AR2426&amp;" Color Bags", "")</f>
        <v>10 Color Bags</v>
      </c>
      <c r="D1051" s="4" t="str">
        <f>IF(Registered!AS2426&gt;0,(IF(Registered!AS2426=1,Registered!AS2426&amp;" T-Shirt",Registered!AS2426&amp;" T-Shirts")), "")</f>
        <v>2 T-Shirts</v>
      </c>
      <c r="E1051" s="4" t="str">
        <f>Registered!AT2426</f>
        <v>M, YM</v>
      </c>
      <c r="F1051" s="4" t="str">
        <f>Registered!AU2426</f>
        <v/>
      </c>
      <c r="G1051" s="4" t="str">
        <f>Registered!AW2426</f>
        <v/>
      </c>
      <c r="H1051" s="4" t="str">
        <f>Registered!AX2426</f>
        <v>1 BG</v>
      </c>
      <c r="I1051" s="4" t="str">
        <f>Registered!AY2426</f>
        <v/>
      </c>
    </row>
    <row r="1052" spans="1:9" x14ac:dyDescent="0.25">
      <c r="A1052" s="4" t="str">
        <f>Registered!B2427</f>
        <v>Thomas</v>
      </c>
      <c r="B1052" s="4" t="str">
        <f>Registered!A2427</f>
        <v>Rhonda</v>
      </c>
      <c r="C1052" s="4" t="str">
        <f>IF(Registered!AR2427&gt;0,Registered!AR2427&amp;" Color Bags", "")</f>
        <v>25 Color Bags</v>
      </c>
      <c r="D1052" s="4" t="str">
        <f>IF(Registered!AS2427&gt;0,(IF(Registered!AS2427=1,Registered!AS2427&amp;" T-Shirt",Registered!AS2427&amp;" T-Shirts")), "")</f>
        <v/>
      </c>
      <c r="E1052" s="4" t="str">
        <f>Registered!AT2427</f>
        <v/>
      </c>
      <c r="F1052" s="4" t="str">
        <f>Registered!AU2427</f>
        <v/>
      </c>
      <c r="G1052" s="4" t="str">
        <f>Registered!AW2427</f>
        <v/>
      </c>
      <c r="H1052" s="4" t="str">
        <f>Registered!AX2427</f>
        <v/>
      </c>
      <c r="I1052" s="4" t="str">
        <f>Registered!AY2427</f>
        <v/>
      </c>
    </row>
    <row r="1053" spans="1:9" x14ac:dyDescent="0.25">
      <c r="A1053" s="4" t="str">
        <f>Registered!B2434</f>
        <v>Thompson</v>
      </c>
      <c r="B1053" s="4" t="str">
        <f>Registered!A2434</f>
        <v>Rachel</v>
      </c>
      <c r="C1053" s="4" t="str">
        <f>IF(Registered!AR2434&gt;0,Registered!AR2434&amp;" Color Bags", "")</f>
        <v>15 Color Bags</v>
      </c>
      <c r="D1053" s="4" t="str">
        <f>IF(Registered!AS2434&gt;0,(IF(Registered!AS2434=1,Registered!AS2434&amp;" T-Shirt",Registered!AS2434&amp;" T-Shirts")), "")</f>
        <v>1 T-Shirt</v>
      </c>
      <c r="E1053" s="4" t="str">
        <f>Registered!AT2434</f>
        <v>Adult XL</v>
      </c>
      <c r="F1053" s="4" t="str">
        <f>Registered!AU2434</f>
        <v>1 Bandana</v>
      </c>
      <c r="G1053" s="4" t="str">
        <f>Registered!AW2434</f>
        <v>1 Meal</v>
      </c>
      <c r="H1053" s="4" t="str">
        <f>Registered!AX2434</f>
        <v/>
      </c>
      <c r="I1053" s="4" t="str">
        <f>Registered!AY2434</f>
        <v/>
      </c>
    </row>
    <row r="1054" spans="1:9" x14ac:dyDescent="0.25">
      <c r="A1054" s="4" t="str">
        <f>Registered!B2428</f>
        <v>Thompson</v>
      </c>
      <c r="B1054" s="4" t="str">
        <f>Registered!A2428</f>
        <v>Andrea</v>
      </c>
      <c r="C1054" s="4" t="str">
        <f>IF(Registered!AR2428&gt;0,Registered!AR2428&amp;" Color Bags", "")</f>
        <v>20 Color Bags</v>
      </c>
      <c r="D1054" s="4" t="str">
        <f>IF(Registered!AS2428&gt;0,(IF(Registered!AS2428=1,Registered!AS2428&amp;" T-Shirt",Registered!AS2428&amp;" T-Shirts")), "")</f>
        <v/>
      </c>
      <c r="E1054" s="4" t="str">
        <f>Registered!AT2428</f>
        <v/>
      </c>
      <c r="F1054" s="4" t="str">
        <f>Registered!AU2428</f>
        <v>4 Bandanas</v>
      </c>
      <c r="G1054" s="4" t="str">
        <f>Registered!AW2428</f>
        <v/>
      </c>
      <c r="H1054" s="4" t="str">
        <f>Registered!AX2428</f>
        <v/>
      </c>
      <c r="I1054" s="4" t="str">
        <f>Registered!AY2428</f>
        <v/>
      </c>
    </row>
    <row r="1055" spans="1:9" x14ac:dyDescent="0.25">
      <c r="A1055" s="4" t="str">
        <f>Registered!B2435</f>
        <v>Thompson</v>
      </c>
      <c r="B1055" s="4" t="str">
        <f>Registered!A2435</f>
        <v>Tawny</v>
      </c>
      <c r="C1055" s="4" t="str">
        <f>IF(Registered!AR2435&gt;0,Registered!AR2435&amp;" Color Bags", "")</f>
        <v>35 Color Bags</v>
      </c>
      <c r="D1055" s="4" t="str">
        <f>IF(Registered!AS2435&gt;0,(IF(Registered!AS2435=1,Registered!AS2435&amp;" T-Shirt",Registered!AS2435&amp;" T-Shirts")), "")</f>
        <v/>
      </c>
      <c r="E1055" s="4" t="str">
        <f>Registered!AT2435</f>
        <v/>
      </c>
      <c r="F1055" s="4" t="str">
        <f>Registered!AU2435</f>
        <v/>
      </c>
      <c r="G1055" s="4" t="str">
        <f>Registered!AW2435</f>
        <v/>
      </c>
      <c r="H1055" s="4" t="str">
        <f>Registered!AX2435</f>
        <v/>
      </c>
      <c r="I1055" s="4" t="str">
        <f>Registered!AY2435</f>
        <v/>
      </c>
    </row>
    <row r="1056" spans="1:9" x14ac:dyDescent="0.25">
      <c r="A1056" s="4" t="str">
        <f>Registered!B2430</f>
        <v>Thompson</v>
      </c>
      <c r="B1056" s="4" t="str">
        <f>Registered!A2430</f>
        <v>Bobbie Jo</v>
      </c>
      <c r="C1056" s="4" t="str">
        <f>IF(Registered!AR2430&gt;0,Registered!AR2430&amp;" Color Bags", "")</f>
        <v>40 Color Bags</v>
      </c>
      <c r="D1056" s="4" t="str">
        <f>IF(Registered!AS2430&gt;0,(IF(Registered!AS2430=1,Registered!AS2430&amp;" T-Shirt",Registered!AS2430&amp;" T-Shirts")), "")</f>
        <v/>
      </c>
      <c r="E1056" s="4" t="str">
        <f>Registered!AT2430</f>
        <v/>
      </c>
      <c r="F1056" s="4" t="str">
        <f>Registered!AU2430</f>
        <v/>
      </c>
      <c r="G1056" s="4" t="str">
        <f>Registered!AW2430</f>
        <v/>
      </c>
      <c r="H1056" s="4" t="str">
        <f>Registered!AX2430</f>
        <v/>
      </c>
      <c r="I1056" s="4" t="str">
        <f>Registered!AY2430</f>
        <v/>
      </c>
    </row>
    <row r="1057" spans="1:9" x14ac:dyDescent="0.25">
      <c r="A1057" s="4" t="str">
        <f>Registered!B2433</f>
        <v>Thompson</v>
      </c>
      <c r="B1057" s="4" t="str">
        <f>Registered!A2433</f>
        <v>Mara</v>
      </c>
      <c r="C1057" s="4" t="str">
        <f>IF(Registered!AR2433&gt;0,Registered!AR2433&amp;" Color Bags", "")</f>
        <v>5 Color Bags</v>
      </c>
      <c r="D1057" s="4" t="str">
        <f>IF(Registered!AS2433&gt;0,(IF(Registered!AS2433=1,Registered!AS2433&amp;" T-Shirt",Registered!AS2433&amp;" T-Shirts")), "")</f>
        <v/>
      </c>
      <c r="E1057" s="4" t="str">
        <f>Registered!AT2433</f>
        <v/>
      </c>
      <c r="F1057" s="4" t="str">
        <f>Registered!AU2433</f>
        <v/>
      </c>
      <c r="G1057" s="4" t="str">
        <f>Registered!AW2433</f>
        <v/>
      </c>
      <c r="H1057" s="4" t="str">
        <f>Registered!AX2433</f>
        <v/>
      </c>
      <c r="I1057" s="4" t="str">
        <f>Registered!AY2433</f>
        <v/>
      </c>
    </row>
    <row r="1058" spans="1:9" x14ac:dyDescent="0.25">
      <c r="A1058" s="4" t="str">
        <f>Registered!B2438</f>
        <v>Thornburg</v>
      </c>
      <c r="B1058" s="4" t="str">
        <f>Registered!A2438</f>
        <v>Kevin</v>
      </c>
      <c r="C1058" s="4" t="str">
        <f>IF(Registered!AR2438&gt;0,Registered!AR2438&amp;" Color Bags", "")</f>
        <v>5 Color Bags</v>
      </c>
      <c r="D1058" s="4" t="str">
        <f>IF(Registered!AS2438&gt;0,(IF(Registered!AS2438=1,Registered!AS2438&amp;" T-Shirt",Registered!AS2438&amp;" T-Shirts")), "")</f>
        <v/>
      </c>
      <c r="E1058" s="4" t="str">
        <f>Registered!AT2438</f>
        <v/>
      </c>
      <c r="F1058" s="4" t="str">
        <f>Registered!AU2438</f>
        <v/>
      </c>
      <c r="G1058" s="4" t="str">
        <f>Registered!AW2438</f>
        <v/>
      </c>
      <c r="H1058" s="4" t="str">
        <f>Registered!AX2438</f>
        <v/>
      </c>
      <c r="I1058" s="4" t="str">
        <f>Registered!AY2438</f>
        <v/>
      </c>
    </row>
    <row r="1059" spans="1:9" x14ac:dyDescent="0.25">
      <c r="A1059" s="4" t="str">
        <f>Registered!B2441</f>
        <v>Thronburg</v>
      </c>
      <c r="B1059" s="4" t="str">
        <f>Registered!A2441</f>
        <v>Ross</v>
      </c>
      <c r="C1059" s="4" t="str">
        <f>IF(Registered!AR2441&gt;0,Registered!AR2441&amp;" Color Bags", "")</f>
        <v>5 Color Bags</v>
      </c>
      <c r="D1059" s="4" t="str">
        <f>IF(Registered!AS2441&gt;0,(IF(Registered!AS2441=1,Registered!AS2441&amp;" T-Shirt",Registered!AS2441&amp;" T-Shirts")), "")</f>
        <v/>
      </c>
      <c r="E1059" s="4" t="str">
        <f>Registered!AT2441</f>
        <v/>
      </c>
      <c r="F1059" s="4" t="str">
        <f>Registered!AU2441</f>
        <v/>
      </c>
      <c r="G1059" s="4" t="str">
        <f>Registered!AW2441</f>
        <v/>
      </c>
      <c r="H1059" s="4" t="str">
        <f>Registered!AX2441</f>
        <v/>
      </c>
      <c r="I1059" s="4" t="str">
        <f>Registered!AY2441</f>
        <v/>
      </c>
    </row>
    <row r="1060" spans="1:9" x14ac:dyDescent="0.25">
      <c r="A1060" s="4" t="str">
        <f>Registered!B2444</f>
        <v>Thurston</v>
      </c>
      <c r="B1060" s="4" t="str">
        <f>Registered!A2444</f>
        <v>Alyssa</v>
      </c>
      <c r="C1060" s="4" t="str">
        <f>IF(Registered!AR2444&gt;0,Registered!AR2444&amp;" Color Bags", "")</f>
        <v>10 Color Bags</v>
      </c>
      <c r="D1060" s="4" t="str">
        <f>IF(Registered!AS2444&gt;0,(IF(Registered!AS2444=1,Registered!AS2444&amp;" T-Shirt",Registered!AS2444&amp;" T-Shirts")), "")</f>
        <v>2 T-Shirts</v>
      </c>
      <c r="E1060" s="4" t="str">
        <f>Registered!AT2444</f>
        <v>Medium, Large</v>
      </c>
      <c r="F1060" s="4" t="str">
        <f>Registered!AU2444</f>
        <v/>
      </c>
      <c r="G1060" s="4" t="str">
        <f>Registered!AW2444</f>
        <v/>
      </c>
      <c r="H1060" s="4" t="str">
        <f>Registered!AX2444</f>
        <v/>
      </c>
      <c r="I1060" s="4" t="str">
        <f>Registered!AY2444</f>
        <v/>
      </c>
    </row>
    <row r="1061" spans="1:9" x14ac:dyDescent="0.25">
      <c r="A1061" s="4" t="str">
        <f>Registered!B2449</f>
        <v>Timms</v>
      </c>
      <c r="B1061" s="4" t="str">
        <f>Registered!A2449</f>
        <v>Chris</v>
      </c>
      <c r="C1061" s="4" t="str">
        <f>IF(Registered!AR2449&gt;0,Registered!AR2449&amp;" Color Bags", "")</f>
        <v>15 Color Bags</v>
      </c>
      <c r="D1061" s="4" t="str">
        <f>IF(Registered!AS2449&gt;0,(IF(Registered!AS2449=1,Registered!AS2449&amp;" T-Shirt",Registered!AS2449&amp;" T-Shirts")), "")</f>
        <v/>
      </c>
      <c r="E1061" s="4" t="str">
        <f>Registered!AT2449</f>
        <v/>
      </c>
      <c r="F1061" s="4" t="str">
        <f>Registered!AU2449</f>
        <v>1 Bandana</v>
      </c>
      <c r="G1061" s="4" t="str">
        <f>Registered!AW2449</f>
        <v/>
      </c>
      <c r="H1061" s="4" t="str">
        <f>Registered!AX2449</f>
        <v/>
      </c>
      <c r="I1061" s="4" t="str">
        <f>Registered!AY2449</f>
        <v>1 DustMask</v>
      </c>
    </row>
    <row r="1062" spans="1:9" x14ac:dyDescent="0.25">
      <c r="A1062" s="4" t="str">
        <f>Registered!B2450</f>
        <v>Timoff</v>
      </c>
      <c r="B1062" s="4" t="str">
        <f>Registered!A2450</f>
        <v>Galina</v>
      </c>
      <c r="C1062" s="4" t="str">
        <f>IF(Registered!AR2450&gt;0,Registered!AR2450&amp;" Color Bags", "")</f>
        <v>20 Color Bags</v>
      </c>
      <c r="D1062" s="4" t="str">
        <f>IF(Registered!AS2450&gt;0,(IF(Registered!AS2450=1,Registered!AS2450&amp;" T-Shirt",Registered!AS2450&amp;" T-Shirts")), "")</f>
        <v>1 T-Shirt</v>
      </c>
      <c r="E1062" s="4" t="str">
        <f>Registered!AT2450</f>
        <v>Medium</v>
      </c>
      <c r="F1062" s="4" t="str">
        <f>Registered!AU2450</f>
        <v>1 Bandana</v>
      </c>
      <c r="G1062" s="4" t="str">
        <f>Registered!AW2450</f>
        <v/>
      </c>
      <c r="H1062" s="4" t="str">
        <f>Registered!AX2450</f>
        <v/>
      </c>
      <c r="I1062" s="4" t="str">
        <f>Registered!AY2450</f>
        <v/>
      </c>
    </row>
    <row r="1063" spans="1:9" x14ac:dyDescent="0.25">
      <c r="A1063" s="4" t="str">
        <f>Registered!B2452</f>
        <v>Tingey</v>
      </c>
      <c r="B1063" s="4" t="str">
        <f>Registered!A2452</f>
        <v>Samantha</v>
      </c>
      <c r="C1063" s="4" t="str">
        <f>IF(Registered!AR2452&gt;0,Registered!AR2452&amp;" Color Bags", "")</f>
        <v>10 Color Bags</v>
      </c>
      <c r="D1063" s="4" t="str">
        <f>IF(Registered!AS2452&gt;0,(IF(Registered!AS2452=1,Registered!AS2452&amp;" T-Shirt",Registered!AS2452&amp;" T-Shirts")), "")</f>
        <v/>
      </c>
      <c r="E1063" s="4" t="str">
        <f>Registered!AT2452</f>
        <v/>
      </c>
      <c r="F1063" s="4" t="str">
        <f>Registered!AU2452</f>
        <v/>
      </c>
      <c r="G1063" s="4" t="str">
        <f>Registered!AW2452</f>
        <v/>
      </c>
      <c r="H1063" s="4" t="str">
        <f>Registered!AX2452</f>
        <v/>
      </c>
      <c r="I1063" s="4" t="str">
        <f>Registered!AY2452</f>
        <v/>
      </c>
    </row>
    <row r="1064" spans="1:9" x14ac:dyDescent="0.25">
      <c r="A1064" s="4" t="str">
        <f>Registered!B2454</f>
        <v>Titus</v>
      </c>
      <c r="B1064" s="4" t="str">
        <f>Registered!A2454</f>
        <v>Alex</v>
      </c>
      <c r="C1064" s="4" t="str">
        <f>IF(Registered!AR2454&gt;0,Registered!AR2454&amp;" Color Bags", "")</f>
        <v>5 Color Bags</v>
      </c>
      <c r="D1064" s="4" t="str">
        <f>IF(Registered!AS2454&gt;0,(IF(Registered!AS2454=1,Registered!AS2454&amp;" T-Shirt",Registered!AS2454&amp;" T-Shirts")), "")</f>
        <v/>
      </c>
      <c r="E1064" s="4" t="str">
        <f>Registered!AT2454</f>
        <v/>
      </c>
      <c r="F1064" s="4" t="str">
        <f>Registered!AU2454</f>
        <v/>
      </c>
      <c r="G1064" s="4" t="str">
        <f>Registered!AW2454</f>
        <v/>
      </c>
      <c r="H1064" s="4" t="str">
        <f>Registered!AX2454</f>
        <v/>
      </c>
      <c r="I1064" s="4" t="str">
        <f>Registered!AY2454</f>
        <v/>
      </c>
    </row>
    <row r="1065" spans="1:9" x14ac:dyDescent="0.25">
      <c r="A1065" s="4" t="str">
        <f>Registered!B2455</f>
        <v>Todd</v>
      </c>
      <c r="B1065" s="4" t="str">
        <f>Registered!A2455</f>
        <v>Tana</v>
      </c>
      <c r="C1065" s="4" t="str">
        <f>IF(Registered!AR2455&gt;0,Registered!AR2455&amp;" Color Bags", "")</f>
        <v>10 Color Bags</v>
      </c>
      <c r="D1065" s="4" t="str">
        <f>IF(Registered!AS2455&gt;0,(IF(Registered!AS2455=1,Registered!AS2455&amp;" T-Shirt",Registered!AS2455&amp;" T-Shirts")), "")</f>
        <v>2 T-Shirts</v>
      </c>
      <c r="E1065" s="4" t="str">
        <f>Registered!AT2455</f>
        <v>1 Small, 1 Large</v>
      </c>
      <c r="F1065" s="4" t="str">
        <f>Registered!AU2455</f>
        <v>2 Bandanas</v>
      </c>
      <c r="G1065" s="4" t="str">
        <f>Registered!AW2455</f>
        <v/>
      </c>
      <c r="H1065" s="4" t="str">
        <f>Registered!AX2455</f>
        <v/>
      </c>
      <c r="I1065" s="4" t="str">
        <f>Registered!AY2455</f>
        <v/>
      </c>
    </row>
    <row r="1066" spans="1:9" x14ac:dyDescent="0.25">
      <c r="A1066" s="4" t="str">
        <f>Registered!B2458</f>
        <v>Tomczak</v>
      </c>
      <c r="B1066" s="4" t="str">
        <f>Registered!A2458</f>
        <v>Emily</v>
      </c>
      <c r="C1066" s="4" t="str">
        <f>IF(Registered!AR2458&gt;0,Registered!AR2458&amp;" Color Bags", "")</f>
        <v>10 Color Bags</v>
      </c>
      <c r="D1066" s="4" t="str">
        <f>IF(Registered!AS2458&gt;0,(IF(Registered!AS2458=1,Registered!AS2458&amp;" T-Shirt",Registered!AS2458&amp;" T-Shirts")), "")</f>
        <v/>
      </c>
      <c r="E1066" s="4" t="str">
        <f>Registered!AT2458</f>
        <v/>
      </c>
      <c r="F1066" s="4" t="str">
        <f>Registered!AU2458</f>
        <v/>
      </c>
      <c r="G1066" s="4" t="str">
        <f>Registered!AW2458</f>
        <v/>
      </c>
      <c r="H1066" s="4" t="str">
        <f>Registered!AX2458</f>
        <v/>
      </c>
      <c r="I1066" s="4" t="str">
        <f>Registered!AY2458</f>
        <v/>
      </c>
    </row>
    <row r="1067" spans="1:9" x14ac:dyDescent="0.25">
      <c r="A1067" s="4" t="str">
        <f>Registered!B2462</f>
        <v>Tomsic</v>
      </c>
      <c r="B1067" s="4" t="str">
        <f>Registered!A2462</f>
        <v>Courtnee</v>
      </c>
      <c r="C1067" s="4" t="str">
        <f>IF(Registered!AR2462&gt;0,Registered!AR2462&amp;" Color Bags", "")</f>
        <v>5 Color Bags</v>
      </c>
      <c r="D1067" s="4" t="str">
        <f>IF(Registered!AS2462&gt;0,(IF(Registered!AS2462=1,Registered!AS2462&amp;" T-Shirt",Registered!AS2462&amp;" T-Shirts")), "")</f>
        <v/>
      </c>
      <c r="E1067" s="4" t="str">
        <f>Registered!AT2462</f>
        <v/>
      </c>
      <c r="F1067" s="4" t="str">
        <f>Registered!AU2462</f>
        <v/>
      </c>
      <c r="G1067" s="4" t="str">
        <f>Registered!AW2462</f>
        <v>1 Meal</v>
      </c>
      <c r="H1067" s="4" t="str">
        <f>Registered!AX2462</f>
        <v/>
      </c>
      <c r="I1067" s="4" t="str">
        <f>Registered!AY2462</f>
        <v/>
      </c>
    </row>
    <row r="1068" spans="1:9" x14ac:dyDescent="0.25">
      <c r="A1068" s="4" t="str">
        <f>Registered!B2463</f>
        <v>Toney</v>
      </c>
      <c r="B1068" s="4" t="str">
        <f>Registered!A2463</f>
        <v>Brittany</v>
      </c>
      <c r="C1068" s="4" t="str">
        <f>IF(Registered!AR2463&gt;0,Registered!AR2463&amp;" Color Bags", "")</f>
        <v>5 Color Bags</v>
      </c>
      <c r="D1068" s="4" t="str">
        <f>IF(Registered!AS2463&gt;0,(IF(Registered!AS2463=1,Registered!AS2463&amp;" T-Shirt",Registered!AS2463&amp;" T-Shirts")), "")</f>
        <v>2 T-Shirts</v>
      </c>
      <c r="E1068" s="4" t="str">
        <f>Registered!AT2463</f>
        <v>Size Not Specified</v>
      </c>
      <c r="F1068" s="4" t="str">
        <f>Registered!AU2463</f>
        <v/>
      </c>
      <c r="G1068" s="4" t="str">
        <f>Registered!AW2463</f>
        <v/>
      </c>
      <c r="H1068" s="4" t="str">
        <f>Registered!AX2463</f>
        <v/>
      </c>
      <c r="I1068" s="4" t="str">
        <f>Registered!AY2463</f>
        <v>1 DustMask</v>
      </c>
    </row>
    <row r="1069" spans="1:9" x14ac:dyDescent="0.25">
      <c r="A1069" s="4" t="str">
        <f>Registered!B2466</f>
        <v>Torres</v>
      </c>
      <c r="B1069" s="4" t="str">
        <f>Registered!A2466</f>
        <v>Alyssa</v>
      </c>
      <c r="C1069" s="4" t="str">
        <f>IF(Registered!AR2466&gt;0,Registered!AR2466&amp;" Color Bags", "")</f>
        <v>20 Color Bags</v>
      </c>
      <c r="D1069" s="4" t="str">
        <f>IF(Registered!AS2466&gt;0,(IF(Registered!AS2466=1,Registered!AS2466&amp;" T-Shirt",Registered!AS2466&amp;" T-Shirts")), "")</f>
        <v/>
      </c>
      <c r="E1069" s="4" t="str">
        <f>Registered!AT2466</f>
        <v/>
      </c>
      <c r="F1069" s="4" t="str">
        <f>Registered!AU2466</f>
        <v/>
      </c>
      <c r="G1069" s="4" t="str">
        <f>Registered!AW2466</f>
        <v/>
      </c>
      <c r="H1069" s="4" t="str">
        <f>Registered!AX2466</f>
        <v/>
      </c>
      <c r="I1069" s="4" t="str">
        <f>Registered!AY2466</f>
        <v/>
      </c>
    </row>
    <row r="1070" spans="1:9" x14ac:dyDescent="0.25">
      <c r="A1070" s="4" t="str">
        <f>Registered!B2467</f>
        <v>Toscano</v>
      </c>
      <c r="B1070" s="4" t="str">
        <f>Registered!A2467</f>
        <v>Stephanie</v>
      </c>
      <c r="C1070" s="4" t="str">
        <f>IF(Registered!AR2467&gt;0,Registered!AR2467&amp;" Color Bags", "")</f>
        <v>10 Color Bags</v>
      </c>
      <c r="D1070" s="4" t="str">
        <f>IF(Registered!AS2467&gt;0,(IF(Registered!AS2467=1,Registered!AS2467&amp;" T-Shirt",Registered!AS2467&amp;" T-Shirts")), "")</f>
        <v/>
      </c>
      <c r="E1070" s="4" t="str">
        <f>Registered!AT2467</f>
        <v/>
      </c>
      <c r="F1070" s="4" t="str">
        <f>Registered!AU2467</f>
        <v/>
      </c>
      <c r="G1070" s="4" t="str">
        <f>Registered!AW2467</f>
        <v/>
      </c>
      <c r="H1070" s="4" t="str">
        <f>Registered!AX2467</f>
        <v/>
      </c>
      <c r="I1070" s="4" t="str">
        <f>Registered!AY2467</f>
        <v/>
      </c>
    </row>
    <row r="1071" spans="1:9" x14ac:dyDescent="0.25">
      <c r="A1071" s="4" t="str">
        <f>Registered!B2468</f>
        <v>Trejo Villalobos</v>
      </c>
      <c r="B1071" s="4" t="str">
        <f>Registered!A2468</f>
        <v>Jonathan Alonso</v>
      </c>
      <c r="C1071" s="4" t="str">
        <f>IF(Registered!AR2468&gt;0,Registered!AR2468&amp;" Color Bags", "")</f>
        <v>5 Color Bags</v>
      </c>
      <c r="D1071" s="4" t="str">
        <f>IF(Registered!AS2468&gt;0,(IF(Registered!AS2468=1,Registered!AS2468&amp;" T-Shirt",Registered!AS2468&amp;" T-Shirts")), "")</f>
        <v/>
      </c>
      <c r="E1071" s="4" t="str">
        <f>Registered!AT2468</f>
        <v/>
      </c>
      <c r="F1071" s="4" t="str">
        <f>Registered!AU2468</f>
        <v/>
      </c>
      <c r="G1071" s="4" t="str">
        <f>Registered!AW2468</f>
        <v/>
      </c>
      <c r="H1071" s="4" t="str">
        <f>Registered!AX2468</f>
        <v/>
      </c>
      <c r="I1071" s="4" t="str">
        <f>Registered!AY2468</f>
        <v/>
      </c>
    </row>
    <row r="1072" spans="1:9" x14ac:dyDescent="0.25">
      <c r="A1072" s="4" t="str">
        <f>Registered!B2471</f>
        <v>Trivedi</v>
      </c>
      <c r="B1072" s="4" t="str">
        <f>Registered!A2471</f>
        <v>Avani</v>
      </c>
      <c r="C1072" s="4" t="str">
        <f>IF(Registered!AR2471&gt;0,Registered!AR2471&amp;" Color Bags", "")</f>
        <v>10 Color Bags</v>
      </c>
      <c r="D1072" s="4" t="str">
        <f>IF(Registered!AS2471&gt;0,(IF(Registered!AS2471=1,Registered!AS2471&amp;" T-Shirt",Registered!AS2471&amp;" T-Shirts")), "")</f>
        <v/>
      </c>
      <c r="E1072" s="4" t="str">
        <f>Registered!AT2471</f>
        <v/>
      </c>
      <c r="F1072" s="4" t="str">
        <f>Registered!AU2471</f>
        <v/>
      </c>
      <c r="G1072" s="4" t="str">
        <f>Registered!AW2471</f>
        <v>3 Meals</v>
      </c>
      <c r="H1072" s="4" t="str">
        <f>Registered!AX2471</f>
        <v/>
      </c>
      <c r="I1072" s="4" t="str">
        <f>Registered!AY2471</f>
        <v>1 DustMask</v>
      </c>
    </row>
    <row r="1073" spans="1:9" x14ac:dyDescent="0.25">
      <c r="A1073" s="4" t="str">
        <f>Registered!B2475</f>
        <v>Tschetter</v>
      </c>
      <c r="B1073" s="4" t="str">
        <f>Registered!A2475</f>
        <v>Michelle</v>
      </c>
      <c r="C1073" s="4" t="str">
        <f>IF(Registered!AR2475&gt;0,Registered!AR2475&amp;" Color Bags", "")</f>
        <v>5 Color Bags</v>
      </c>
      <c r="D1073" s="4" t="str">
        <f>IF(Registered!AS2475&gt;0,(IF(Registered!AS2475=1,Registered!AS2475&amp;" T-Shirt",Registered!AS2475&amp;" T-Shirts")), "")</f>
        <v/>
      </c>
      <c r="E1073" s="4" t="str">
        <f>Registered!AT2475</f>
        <v/>
      </c>
      <c r="F1073" s="4" t="str">
        <f>Registered!AU2475</f>
        <v/>
      </c>
      <c r="G1073" s="4" t="str">
        <f>Registered!AW2475</f>
        <v/>
      </c>
      <c r="H1073" s="4" t="str">
        <f>Registered!AX2475</f>
        <v/>
      </c>
      <c r="I1073" s="4" t="str">
        <f>Registered!AY2475</f>
        <v/>
      </c>
    </row>
    <row r="1074" spans="1:9" x14ac:dyDescent="0.25">
      <c r="A1074" s="4" t="str">
        <f>Registered!B2480</f>
        <v>Tucker</v>
      </c>
      <c r="B1074" s="4" t="str">
        <f>Registered!A2480</f>
        <v>Micah</v>
      </c>
      <c r="C1074" s="4" t="str">
        <f>IF(Registered!AR2480&gt;0,Registered!AR2480&amp;" Color Bags", "")</f>
        <v>5 Color Bags</v>
      </c>
      <c r="D1074" s="4" t="str">
        <f>IF(Registered!AS2480&gt;0,(IF(Registered!AS2480=1,Registered!AS2480&amp;" T-Shirt",Registered!AS2480&amp;" T-Shirts")), "")</f>
        <v/>
      </c>
      <c r="E1074" s="4" t="str">
        <f>Registered!AT2480</f>
        <v/>
      </c>
      <c r="F1074" s="4" t="str">
        <f>Registered!AU2480</f>
        <v/>
      </c>
      <c r="G1074" s="4" t="str">
        <f>Registered!AW2480</f>
        <v/>
      </c>
      <c r="H1074" s="4" t="str">
        <f>Registered!AX2480</f>
        <v/>
      </c>
      <c r="I1074" s="4" t="str">
        <f>Registered!AY2480</f>
        <v/>
      </c>
    </row>
    <row r="1075" spans="1:9" x14ac:dyDescent="0.25">
      <c r="A1075" s="4" t="str">
        <f>Registered!B2481</f>
        <v>Tuft</v>
      </c>
      <c r="B1075" s="4" t="str">
        <f>Registered!A2481</f>
        <v>Ashley</v>
      </c>
      <c r="C1075" s="4" t="str">
        <f>IF(Registered!AR2481&gt;0,Registered!AR2481&amp;" Color Bags", "")</f>
        <v>5 Color Bags</v>
      </c>
      <c r="D1075" s="4" t="str">
        <f>IF(Registered!AS2481&gt;0,(IF(Registered!AS2481=1,Registered!AS2481&amp;" T-Shirt",Registered!AS2481&amp;" T-Shirts")), "")</f>
        <v/>
      </c>
      <c r="E1075" s="4" t="str">
        <f>Registered!AT2481</f>
        <v/>
      </c>
      <c r="F1075" s="4" t="str">
        <f>Registered!AU2481</f>
        <v/>
      </c>
      <c r="G1075" s="4" t="str">
        <f>Registered!AW2481</f>
        <v/>
      </c>
      <c r="H1075" s="4" t="str">
        <f>Registered!AX2481</f>
        <v/>
      </c>
      <c r="I1075" s="4" t="str">
        <f>Registered!AY2481</f>
        <v/>
      </c>
    </row>
    <row r="1076" spans="1:9" x14ac:dyDescent="0.25">
      <c r="A1076" s="4" t="str">
        <f>Registered!B2483</f>
        <v>Turgeon</v>
      </c>
      <c r="B1076" s="4" t="str">
        <f>Registered!A2483</f>
        <v>Cyndi</v>
      </c>
      <c r="C1076" s="4" t="str">
        <f>IF(Registered!AR2483&gt;0,Registered!AR2483&amp;" Color Bags", "")</f>
        <v>30 Color Bags</v>
      </c>
      <c r="D1076" s="4" t="str">
        <f>IF(Registered!AS2483&gt;0,(IF(Registered!AS2483=1,Registered!AS2483&amp;" T-Shirt",Registered!AS2483&amp;" T-Shirts")), "")</f>
        <v/>
      </c>
      <c r="E1076" s="4" t="str">
        <f>Registered!AT2483</f>
        <v/>
      </c>
      <c r="F1076" s="4" t="str">
        <f>Registered!AU2483</f>
        <v/>
      </c>
      <c r="G1076" s="4" t="str">
        <f>Registered!AW2483</f>
        <v/>
      </c>
      <c r="H1076" s="4" t="str">
        <f>Registered!AX2483</f>
        <v/>
      </c>
      <c r="I1076" s="4" t="str">
        <f>Registered!AY2483</f>
        <v/>
      </c>
    </row>
    <row r="1077" spans="1:9" x14ac:dyDescent="0.25">
      <c r="A1077" s="4" t="str">
        <f>Registered!B2484</f>
        <v>Turley</v>
      </c>
      <c r="B1077" s="4" t="str">
        <f>Registered!A2484</f>
        <v>Erik</v>
      </c>
      <c r="C1077" s="4" t="str">
        <f>IF(Registered!AR2484&gt;0,Registered!AR2484&amp;" Color Bags", "")</f>
        <v>5 Color Bags</v>
      </c>
      <c r="D1077" s="4" t="str">
        <f>IF(Registered!AS2484&gt;0,(IF(Registered!AS2484=1,Registered!AS2484&amp;" T-Shirt",Registered!AS2484&amp;" T-Shirts")), "")</f>
        <v>1 T-Shirt</v>
      </c>
      <c r="E1077" s="4" t="str">
        <f>Registered!AT2484</f>
        <v>Large</v>
      </c>
      <c r="F1077" s="4" t="str">
        <f>Registered!AU2484</f>
        <v/>
      </c>
      <c r="G1077" s="4" t="str">
        <f>Registered!AW2484</f>
        <v/>
      </c>
      <c r="H1077" s="4" t="str">
        <f>Registered!AX2484</f>
        <v/>
      </c>
      <c r="I1077" s="4" t="str">
        <f>Registered!AY2484</f>
        <v/>
      </c>
    </row>
    <row r="1078" spans="1:9" x14ac:dyDescent="0.25">
      <c r="A1078" s="4" t="str">
        <f>Registered!B2485</f>
        <v>Turnbull</v>
      </c>
      <c r="B1078" s="4" t="str">
        <f>Registered!A2485</f>
        <v>Chance</v>
      </c>
      <c r="C1078" s="4" t="str">
        <f>IF(Registered!AR2485&gt;0,Registered!AR2485&amp;" Color Bags", "")</f>
        <v>10 Color Bags</v>
      </c>
      <c r="D1078" s="4" t="str">
        <f>IF(Registered!AS2485&gt;0,(IF(Registered!AS2485=1,Registered!AS2485&amp;" T-Shirt",Registered!AS2485&amp;" T-Shirts")), "")</f>
        <v/>
      </c>
      <c r="E1078" s="4" t="str">
        <f>Registered!AT2485</f>
        <v/>
      </c>
      <c r="F1078" s="4" t="str">
        <f>Registered!AU2485</f>
        <v/>
      </c>
      <c r="G1078" s="4" t="str">
        <f>Registered!AW2485</f>
        <v/>
      </c>
      <c r="H1078" s="4" t="str">
        <f>Registered!AX2485</f>
        <v/>
      </c>
      <c r="I1078" s="4" t="str">
        <f>Registered!AY2485</f>
        <v/>
      </c>
    </row>
    <row r="1079" spans="1:9" x14ac:dyDescent="0.25">
      <c r="A1079" s="4" t="str">
        <f>Registered!B2487</f>
        <v>Turner</v>
      </c>
      <c r="B1079" s="4" t="str">
        <f>Registered!A2487</f>
        <v>Ryan</v>
      </c>
      <c r="C1079" s="4" t="str">
        <f>IF(Registered!AR2487&gt;0,Registered!AR2487&amp;" Color Bags", "")</f>
        <v>5 Color Bags</v>
      </c>
      <c r="D1079" s="4" t="str">
        <f>IF(Registered!AS2487&gt;0,(IF(Registered!AS2487=1,Registered!AS2487&amp;" T-Shirt",Registered!AS2487&amp;" T-Shirts")), "")</f>
        <v/>
      </c>
      <c r="E1079" s="4" t="str">
        <f>Registered!AT2487</f>
        <v/>
      </c>
      <c r="F1079" s="4" t="str">
        <f>Registered!AU2487</f>
        <v/>
      </c>
      <c r="G1079" s="4" t="str">
        <f>Registered!AW2487</f>
        <v/>
      </c>
      <c r="H1079" s="4" t="str">
        <f>Registered!AX2487</f>
        <v/>
      </c>
      <c r="I1079" s="4" t="str">
        <f>Registered!AY2487</f>
        <v/>
      </c>
    </row>
    <row r="1080" spans="1:9" x14ac:dyDescent="0.25">
      <c r="A1080" s="4" t="str">
        <f>Registered!B2488</f>
        <v>Turney</v>
      </c>
      <c r="B1080" s="4" t="str">
        <f>Registered!A2488</f>
        <v>Julie</v>
      </c>
      <c r="C1080" s="4" t="str">
        <f>IF(Registered!AR2488&gt;0,Registered!AR2488&amp;" Color Bags", "")</f>
        <v>10 Color Bags</v>
      </c>
      <c r="D1080" s="4" t="str">
        <f>IF(Registered!AS2488&gt;0,(IF(Registered!AS2488=1,Registered!AS2488&amp;" T-Shirt",Registered!AS2488&amp;" T-Shirts")), "")</f>
        <v>2 T-Shirts</v>
      </c>
      <c r="E1080" s="4" t="str">
        <f>Registered!AT2488</f>
        <v>Small and Large</v>
      </c>
      <c r="F1080" s="4" t="str">
        <f>Registered!AU2488</f>
        <v/>
      </c>
      <c r="G1080" s="4" t="str">
        <f>Registered!AW2488</f>
        <v>2 Meals</v>
      </c>
      <c r="H1080" s="4" t="str">
        <f>Registered!AX2488</f>
        <v/>
      </c>
      <c r="I1080" s="4" t="str">
        <f>Registered!AY2488</f>
        <v/>
      </c>
    </row>
    <row r="1081" spans="1:9" x14ac:dyDescent="0.25">
      <c r="A1081" s="4" t="str">
        <f>Registered!B2491</f>
        <v>Unsicker</v>
      </c>
      <c r="B1081" s="4" t="str">
        <f>Registered!A2491</f>
        <v>Lyndee</v>
      </c>
      <c r="C1081" s="4" t="str">
        <f>IF(Registered!AR2491&gt;0,Registered!AR2491&amp;" Color Bags", "")</f>
        <v>5 Color Bags</v>
      </c>
      <c r="D1081" s="4" t="str">
        <f>IF(Registered!AS2491&gt;0,(IF(Registered!AS2491=1,Registered!AS2491&amp;" T-Shirt",Registered!AS2491&amp;" T-Shirts")), "")</f>
        <v/>
      </c>
      <c r="E1081" s="4" t="str">
        <f>Registered!AT2491</f>
        <v/>
      </c>
      <c r="F1081" s="4" t="str">
        <f>Registered!AU2491</f>
        <v/>
      </c>
      <c r="G1081" s="4" t="str">
        <f>Registered!AW2491</f>
        <v/>
      </c>
      <c r="H1081" s="4" t="str">
        <f>Registered!AX2491</f>
        <v/>
      </c>
      <c r="I1081" s="4" t="str">
        <f>Registered!AY2491</f>
        <v/>
      </c>
    </row>
    <row r="1082" spans="1:9" x14ac:dyDescent="0.25">
      <c r="A1082" s="4" t="str">
        <f>Registered!B2492</f>
        <v>Upton</v>
      </c>
      <c r="B1082" s="4" t="str">
        <f>Registered!A2492</f>
        <v>Sara</v>
      </c>
      <c r="C1082" s="4" t="str">
        <f>IF(Registered!AR2492&gt;0,Registered!AR2492&amp;" Color Bags", "")</f>
        <v>20 Color Bags</v>
      </c>
      <c r="D1082" s="4" t="str">
        <f>IF(Registered!AS2492&gt;0,(IF(Registered!AS2492=1,Registered!AS2492&amp;" T-Shirt",Registered!AS2492&amp;" T-Shirts")), "")</f>
        <v>2 T-Shirts</v>
      </c>
      <c r="E1082" s="4" t="str">
        <f>Registered!AT2492</f>
        <v>Size Not Specified</v>
      </c>
      <c r="F1082" s="4" t="str">
        <f>Registered!AU2492</f>
        <v/>
      </c>
      <c r="G1082" s="4" t="str">
        <f>Registered!AW2492</f>
        <v>2 Meals</v>
      </c>
      <c r="H1082" s="4" t="str">
        <f>Registered!AX2492</f>
        <v/>
      </c>
      <c r="I1082" s="4" t="str">
        <f>Registered!AY2492</f>
        <v/>
      </c>
    </row>
    <row r="1083" spans="1:9" x14ac:dyDescent="0.25">
      <c r="A1083" s="4" t="str">
        <f>Registered!B2493</f>
        <v>Uribe</v>
      </c>
      <c r="B1083" s="4" t="str">
        <f>Registered!A2493</f>
        <v>Maya</v>
      </c>
      <c r="C1083" s="4" t="str">
        <f>IF(Registered!AR2493&gt;0,Registered!AR2493&amp;" Color Bags", "")</f>
        <v>20 Color Bags</v>
      </c>
      <c r="D1083" s="4" t="str">
        <f>IF(Registered!AS2493&gt;0,(IF(Registered!AS2493=1,Registered!AS2493&amp;" T-Shirt",Registered!AS2493&amp;" T-Shirts")), "")</f>
        <v/>
      </c>
      <c r="E1083" s="4" t="str">
        <f>Registered!AT2493</f>
        <v/>
      </c>
      <c r="F1083" s="4" t="str">
        <f>Registered!AU2493</f>
        <v/>
      </c>
      <c r="G1083" s="4" t="str">
        <f>Registered!AW2493</f>
        <v/>
      </c>
      <c r="H1083" s="4" t="str">
        <f>Registered!AX2493</f>
        <v/>
      </c>
      <c r="I1083" s="4" t="str">
        <f>Registered!AY2493</f>
        <v/>
      </c>
    </row>
    <row r="1084" spans="1:9" x14ac:dyDescent="0.25">
      <c r="A1084" s="4" t="str">
        <f>Registered!B2495</f>
        <v>Valderaz</v>
      </c>
      <c r="B1084" s="4" t="str">
        <f>Registered!A2495</f>
        <v>Taylor</v>
      </c>
      <c r="C1084" s="4" t="str">
        <f>IF(Registered!AR2495&gt;0,Registered!AR2495&amp;" Color Bags", "")</f>
        <v>25 Color Bags</v>
      </c>
      <c r="D1084" s="4" t="str">
        <f>IF(Registered!AS2495&gt;0,(IF(Registered!AS2495=1,Registered!AS2495&amp;" T-Shirt",Registered!AS2495&amp;" T-Shirts")), "")</f>
        <v>3 T-Shirts</v>
      </c>
      <c r="E1084" s="4" t="str">
        <f>Registered!AT2495</f>
        <v>small, large,large</v>
      </c>
      <c r="F1084" s="4" t="str">
        <f>Registered!AU2495</f>
        <v>1 Bandana</v>
      </c>
      <c r="G1084" s="4" t="str">
        <f>Registered!AW2495</f>
        <v>3 Meals</v>
      </c>
      <c r="H1084" s="4" t="str">
        <f>Registered!AX2495</f>
        <v>1 BG</v>
      </c>
      <c r="I1084" s="4" t="str">
        <f>Registered!AY2495</f>
        <v>2 DustMask</v>
      </c>
    </row>
    <row r="1085" spans="1:9" x14ac:dyDescent="0.25">
      <c r="A1085" s="4" t="str">
        <f>Registered!B2498</f>
        <v>Valdez</v>
      </c>
      <c r="B1085" s="4" t="str">
        <f>Registered!A2498</f>
        <v>Skyler</v>
      </c>
      <c r="C1085" s="4" t="str">
        <f>IF(Registered!AR2498&gt;0,Registered!AR2498&amp;" Color Bags", "")</f>
        <v>10 Color Bags</v>
      </c>
      <c r="D1085" s="4" t="str">
        <f>IF(Registered!AS2498&gt;0,(IF(Registered!AS2498=1,Registered!AS2498&amp;" T-Shirt",Registered!AS2498&amp;" T-Shirts")), "")</f>
        <v/>
      </c>
      <c r="E1085" s="4" t="str">
        <f>Registered!AT2498</f>
        <v/>
      </c>
      <c r="F1085" s="4" t="str">
        <f>Registered!AU2498</f>
        <v/>
      </c>
      <c r="G1085" s="4" t="str">
        <f>Registered!AW2498</f>
        <v/>
      </c>
      <c r="H1085" s="4" t="str">
        <f>Registered!AX2498</f>
        <v/>
      </c>
      <c r="I1085" s="4" t="str">
        <f>Registered!AY2498</f>
        <v/>
      </c>
    </row>
    <row r="1086" spans="1:9" x14ac:dyDescent="0.25">
      <c r="A1086" s="4" t="str">
        <f>Registered!B2497</f>
        <v>Valdez</v>
      </c>
      <c r="B1086" s="4" t="str">
        <f>Registered!A2497</f>
        <v>Misty</v>
      </c>
      <c r="C1086" s="4" t="str">
        <f>IF(Registered!AR2497&gt;0,Registered!AR2497&amp;" Color Bags", "")</f>
        <v>5 Color Bags</v>
      </c>
      <c r="D1086" s="4" t="str">
        <f>IF(Registered!AS2497&gt;0,(IF(Registered!AS2497=1,Registered!AS2497&amp;" T-Shirt",Registered!AS2497&amp;" T-Shirts")), "")</f>
        <v/>
      </c>
      <c r="E1086" s="4" t="str">
        <f>Registered!AT2497</f>
        <v/>
      </c>
      <c r="F1086" s="4" t="str">
        <f>Registered!AU2497</f>
        <v/>
      </c>
      <c r="G1086" s="4" t="str">
        <f>Registered!AW2497</f>
        <v/>
      </c>
      <c r="H1086" s="4" t="str">
        <f>Registered!AX2497</f>
        <v/>
      </c>
      <c r="I1086" s="4" t="str">
        <f>Registered!AY2497</f>
        <v/>
      </c>
    </row>
    <row r="1087" spans="1:9" x14ac:dyDescent="0.25">
      <c r="A1087" s="4" t="str">
        <f>Registered!B2500</f>
        <v>Valentine</v>
      </c>
      <c r="B1087" s="4" t="str">
        <f>Registered!A2500</f>
        <v>Nicolas</v>
      </c>
      <c r="C1087" s="4" t="str">
        <f>IF(Registered!AR2500&gt;0,Registered!AR2500&amp;" Color Bags", "")</f>
        <v>10 Color Bags</v>
      </c>
      <c r="D1087" s="4" t="str">
        <f>IF(Registered!AS2500&gt;0,(IF(Registered!AS2500=1,Registered!AS2500&amp;" T-Shirt",Registered!AS2500&amp;" T-Shirts")), "")</f>
        <v/>
      </c>
      <c r="E1087" s="4" t="str">
        <f>Registered!AT2500</f>
        <v/>
      </c>
      <c r="F1087" s="4" t="str">
        <f>Registered!AU2500</f>
        <v/>
      </c>
      <c r="G1087" s="4" t="str">
        <f>Registered!AW2500</f>
        <v/>
      </c>
      <c r="H1087" s="4" t="str">
        <f>Registered!AX2500</f>
        <v/>
      </c>
      <c r="I1087" s="4" t="str">
        <f>Registered!AY2500</f>
        <v/>
      </c>
    </row>
    <row r="1088" spans="1:9" x14ac:dyDescent="0.25">
      <c r="A1088" s="4" t="str">
        <f>Registered!B2501</f>
        <v>Vallejo</v>
      </c>
      <c r="B1088" s="4" t="str">
        <f>Registered!A2501</f>
        <v>Ruben</v>
      </c>
      <c r="C1088" s="4" t="str">
        <f>IF(Registered!AR2501&gt;0,Registered!AR2501&amp;" Color Bags", "")</f>
        <v>10 Color Bags</v>
      </c>
      <c r="D1088" s="4" t="str">
        <f>IF(Registered!AS2501&gt;0,(IF(Registered!AS2501=1,Registered!AS2501&amp;" T-Shirt",Registered!AS2501&amp;" T-Shirts")), "")</f>
        <v/>
      </c>
      <c r="E1088" s="4" t="str">
        <f>Registered!AT2501</f>
        <v/>
      </c>
      <c r="F1088" s="4" t="str">
        <f>Registered!AU2501</f>
        <v>2 Bandanas</v>
      </c>
      <c r="G1088" s="4" t="str">
        <f>Registered!AW2501</f>
        <v/>
      </c>
      <c r="H1088" s="4" t="str">
        <f>Registered!AX2501</f>
        <v/>
      </c>
      <c r="I1088" s="4" t="str">
        <f>Registered!AY2501</f>
        <v/>
      </c>
    </row>
    <row r="1089" spans="1:9" x14ac:dyDescent="0.25">
      <c r="A1089" s="4" t="str">
        <f>Registered!B2504</f>
        <v>Van Orden</v>
      </c>
      <c r="B1089" s="4" t="str">
        <f>Registered!A2504</f>
        <v>Tania</v>
      </c>
      <c r="C1089" s="4" t="str">
        <f>IF(Registered!AR2504&gt;0,Registered!AR2504&amp;" Color Bags", "")</f>
        <v>5 Color Bags</v>
      </c>
      <c r="D1089" s="4" t="str">
        <f>IF(Registered!AS2504&gt;0,(IF(Registered!AS2504=1,Registered!AS2504&amp;" T-Shirt",Registered!AS2504&amp;" T-Shirts")), "")</f>
        <v/>
      </c>
      <c r="E1089" s="4" t="str">
        <f>Registered!AT2504</f>
        <v/>
      </c>
      <c r="F1089" s="4" t="str">
        <f>Registered!AU2504</f>
        <v/>
      </c>
      <c r="G1089" s="4" t="str">
        <f>Registered!AW2504</f>
        <v/>
      </c>
      <c r="H1089" s="4" t="str">
        <f>Registered!AX2504</f>
        <v/>
      </c>
      <c r="I1089" s="4" t="str">
        <f>Registered!AY2504</f>
        <v/>
      </c>
    </row>
    <row r="1090" spans="1:9" x14ac:dyDescent="0.25">
      <c r="A1090" s="4" t="str">
        <f>Registered!B2507</f>
        <v>Vargas</v>
      </c>
      <c r="B1090" s="4" t="str">
        <f>Registered!A2507</f>
        <v>Dexter Keith</v>
      </c>
      <c r="C1090" s="4" t="str">
        <f>IF(Registered!AR2507&gt;0,Registered!AR2507&amp;" Color Bags", "")</f>
        <v>10 Color Bags</v>
      </c>
      <c r="D1090" s="4" t="str">
        <f>IF(Registered!AS2507&gt;0,(IF(Registered!AS2507=1,Registered!AS2507&amp;" T-Shirt",Registered!AS2507&amp;" T-Shirts")), "")</f>
        <v>2 T-Shirts</v>
      </c>
      <c r="E1090" s="4" t="str">
        <f>Registered!AT2507</f>
        <v>(XS) Extra Small and (M) Medium</v>
      </c>
      <c r="F1090" s="4" t="str">
        <f>Registered!AU2507</f>
        <v>1 Bandana</v>
      </c>
      <c r="G1090" s="4" t="str">
        <f>Registered!AW2507</f>
        <v/>
      </c>
      <c r="H1090" s="4" t="str">
        <f>Registered!AX2507</f>
        <v/>
      </c>
      <c r="I1090" s="4" t="str">
        <f>Registered!AY2507</f>
        <v/>
      </c>
    </row>
    <row r="1091" spans="1:9" x14ac:dyDescent="0.25">
      <c r="A1091" s="4" t="str">
        <f>Registered!B2509</f>
        <v>Vaughan</v>
      </c>
      <c r="B1091" s="4" t="str">
        <f>Registered!A2509</f>
        <v>Megan</v>
      </c>
      <c r="C1091" s="4" t="str">
        <f>IF(Registered!AR2509&gt;0,Registered!AR2509&amp;" Color Bags", "")</f>
        <v>5 Color Bags</v>
      </c>
      <c r="D1091" s="4" t="str">
        <f>IF(Registered!AS2509&gt;0,(IF(Registered!AS2509=1,Registered!AS2509&amp;" T-Shirt",Registered!AS2509&amp;" T-Shirts")), "")</f>
        <v/>
      </c>
      <c r="E1091" s="4" t="str">
        <f>Registered!AT2509</f>
        <v/>
      </c>
      <c r="F1091" s="4" t="str">
        <f>Registered!AU2509</f>
        <v/>
      </c>
      <c r="G1091" s="4" t="str">
        <f>Registered!AW2509</f>
        <v/>
      </c>
      <c r="H1091" s="4" t="str">
        <f>Registered!AX2509</f>
        <v/>
      </c>
      <c r="I1091" s="4" t="str">
        <f>Registered!AY2509</f>
        <v/>
      </c>
    </row>
    <row r="1092" spans="1:9" x14ac:dyDescent="0.25">
      <c r="A1092" s="4" t="str">
        <f>Registered!B2726</f>
        <v>Venkatraman</v>
      </c>
      <c r="B1092" s="4" t="str">
        <f>Registered!A2726</f>
        <v>Subramaniam</v>
      </c>
      <c r="C1092" s="4" t="str">
        <f>IF(Registered!AR2726&gt;0,Registered!AR2726&amp;" Color Bags", "")</f>
        <v>35 Color Bags</v>
      </c>
      <c r="D1092" s="4" t="str">
        <f>IF(Registered!AS2726&gt;0,(IF(Registered!AS2726=1,Registered!AS2726&amp;" T-Shirt",Registered!AS2726&amp;" T-Shirts")), "")</f>
        <v>7 T-Shirts</v>
      </c>
      <c r="E1092" s="4" t="str">
        <f>Registered!AT2726</f>
        <v>4M, 2L, 2XL</v>
      </c>
      <c r="F1092" s="4" t="str">
        <f>Registered!AU2726</f>
        <v/>
      </c>
      <c r="G1092" s="4" t="str">
        <f>Registered!AW2726</f>
        <v>7 Meals</v>
      </c>
      <c r="H1092" s="4" t="str">
        <f>Registered!AX2726</f>
        <v/>
      </c>
      <c r="I1092" s="4" t="str">
        <f>Registered!AY2726</f>
        <v/>
      </c>
    </row>
    <row r="1093" spans="1:9" x14ac:dyDescent="0.25">
      <c r="A1093" s="4" t="str">
        <f>Registered!B2515</f>
        <v>Verma</v>
      </c>
      <c r="B1093" s="4" t="str">
        <f>Registered!A2515</f>
        <v>Ankita</v>
      </c>
      <c r="C1093" s="4" t="str">
        <f>IF(Registered!AR2515&gt;0,Registered!AR2515&amp;" Color Bags", "")</f>
        <v>30 Color Bags</v>
      </c>
      <c r="D1093" s="4" t="str">
        <f>IF(Registered!AS2515&gt;0,(IF(Registered!AS2515=1,Registered!AS2515&amp;" T-Shirt",Registered!AS2515&amp;" T-Shirts")), "")</f>
        <v/>
      </c>
      <c r="E1093" s="4" t="str">
        <f>Registered!AT2515</f>
        <v/>
      </c>
      <c r="F1093" s="4" t="str">
        <f>Registered!AU2515</f>
        <v/>
      </c>
      <c r="G1093" s="4" t="str">
        <f>Registered!AW2515</f>
        <v>9 Meals</v>
      </c>
      <c r="H1093" s="4" t="str">
        <f>Registered!AX2515</f>
        <v/>
      </c>
      <c r="I1093" s="4" t="str">
        <f>Registered!AY2515</f>
        <v/>
      </c>
    </row>
    <row r="1094" spans="1:9" x14ac:dyDescent="0.25">
      <c r="A1094" s="4" t="str">
        <f>Registered!B2514</f>
        <v>Verma</v>
      </c>
      <c r="B1094" s="4" t="str">
        <f>Registered!A2514</f>
        <v>Ajit</v>
      </c>
      <c r="C1094" s="4" t="str">
        <f>IF(Registered!AR2514&gt;0,Registered!AR2514&amp;" Color Bags", "")</f>
        <v>5 Color Bags</v>
      </c>
      <c r="D1094" s="4" t="str">
        <f>IF(Registered!AS2514&gt;0,(IF(Registered!AS2514=1,Registered!AS2514&amp;" T-Shirt",Registered!AS2514&amp;" T-Shirts")), "")</f>
        <v/>
      </c>
      <c r="E1094" s="4" t="str">
        <f>Registered!AT2514</f>
        <v/>
      </c>
      <c r="F1094" s="4" t="str">
        <f>Registered!AU2514</f>
        <v/>
      </c>
      <c r="G1094" s="4" t="str">
        <f>Registered!AW2514</f>
        <v>2 Meals</v>
      </c>
      <c r="H1094" s="4" t="str">
        <f>Registered!AX2514</f>
        <v/>
      </c>
      <c r="I1094" s="4" t="str">
        <f>Registered!AY2514</f>
        <v/>
      </c>
    </row>
    <row r="1095" spans="1:9" x14ac:dyDescent="0.25">
      <c r="A1095" s="4" t="str">
        <f>Registered!B2517</f>
        <v>Verma</v>
      </c>
      <c r="B1095" s="4" t="str">
        <f>Registered!A2517</f>
        <v>Rajesh</v>
      </c>
      <c r="C1095" s="4" t="str">
        <f>IF(Registered!AR2517&gt;0,Registered!AR2517&amp;" Color Bags", "")</f>
        <v>5 Color Bags</v>
      </c>
      <c r="D1095" s="4" t="str">
        <f>IF(Registered!AS2517&gt;0,(IF(Registered!AS2517=1,Registered!AS2517&amp;" T-Shirt",Registered!AS2517&amp;" T-Shirts")), "")</f>
        <v/>
      </c>
      <c r="E1095" s="4" t="str">
        <f>Registered!AT2517</f>
        <v/>
      </c>
      <c r="F1095" s="4" t="str">
        <f>Registered!AU2517</f>
        <v/>
      </c>
      <c r="G1095" s="4" t="str">
        <f>Registered!AW2517</f>
        <v/>
      </c>
      <c r="H1095" s="4" t="str">
        <f>Registered!AX2517</f>
        <v/>
      </c>
      <c r="I1095" s="4" t="str">
        <f>Registered!AY2517</f>
        <v/>
      </c>
    </row>
    <row r="1096" spans="1:9" x14ac:dyDescent="0.25">
      <c r="A1096" s="4" t="str">
        <f>Registered!B2521</f>
        <v>Veyette</v>
      </c>
      <c r="B1096" s="4" t="str">
        <f>Registered!A2521</f>
        <v>Jim</v>
      </c>
      <c r="C1096" s="4" t="str">
        <f>IF(Registered!AR2521&gt;0,Registered!AR2521&amp;" Color Bags", "")</f>
        <v>10 Color Bags</v>
      </c>
      <c r="D1096" s="4" t="str">
        <f>IF(Registered!AS2521&gt;0,(IF(Registered!AS2521=1,Registered!AS2521&amp;" T-Shirt",Registered!AS2521&amp;" T-Shirts")), "")</f>
        <v/>
      </c>
      <c r="E1096" s="4" t="str">
        <f>Registered!AT2521</f>
        <v/>
      </c>
      <c r="F1096" s="4" t="str">
        <f>Registered!AU2521</f>
        <v/>
      </c>
      <c r="G1096" s="4" t="str">
        <f>Registered!AW2521</f>
        <v/>
      </c>
      <c r="H1096" s="4" t="str">
        <f>Registered!AX2521</f>
        <v/>
      </c>
      <c r="I1096" s="4" t="str">
        <f>Registered!AY2521</f>
        <v/>
      </c>
    </row>
    <row r="1097" spans="1:9" x14ac:dyDescent="0.25">
      <c r="A1097" s="4" t="str">
        <f>Registered!B2523</f>
        <v>Viland</v>
      </c>
      <c r="B1097" s="4" t="str">
        <f>Registered!A2523</f>
        <v>Heather</v>
      </c>
      <c r="C1097" s="4" t="str">
        <f>IF(Registered!AR2523&gt;0,Registered!AR2523&amp;" Color Bags", "")</f>
        <v>30 Color Bags</v>
      </c>
      <c r="D1097" s="4" t="str">
        <f>IF(Registered!AS2523&gt;0,(IF(Registered!AS2523=1,Registered!AS2523&amp;" T-Shirt",Registered!AS2523&amp;" T-Shirts")), "")</f>
        <v/>
      </c>
      <c r="E1097" s="4" t="str">
        <f>Registered!AT2523</f>
        <v/>
      </c>
      <c r="F1097" s="4" t="str">
        <f>Registered!AU2523</f>
        <v/>
      </c>
      <c r="G1097" s="4" t="str">
        <f>Registered!AW2523</f>
        <v/>
      </c>
      <c r="H1097" s="4" t="str">
        <f>Registered!AX2523</f>
        <v/>
      </c>
      <c r="I1097" s="4" t="str">
        <f>Registered!AY2523</f>
        <v/>
      </c>
    </row>
    <row r="1098" spans="1:9" x14ac:dyDescent="0.25">
      <c r="A1098" s="4" t="str">
        <f>Registered!B2526</f>
        <v>Vinod</v>
      </c>
      <c r="B1098" s="4" t="str">
        <f>Registered!A2526</f>
        <v>Nirav</v>
      </c>
      <c r="C1098" s="4" t="str">
        <f>IF(Registered!AR2526&gt;0,Registered!AR2526&amp;" Color Bags", "")</f>
        <v>5 Color Bags</v>
      </c>
      <c r="D1098" s="4" t="str">
        <f>IF(Registered!AS2526&gt;0,(IF(Registered!AS2526=1,Registered!AS2526&amp;" T-Shirt",Registered!AS2526&amp;" T-Shirts")), "")</f>
        <v/>
      </c>
      <c r="E1098" s="4" t="str">
        <f>Registered!AT2526</f>
        <v/>
      </c>
      <c r="F1098" s="4" t="str">
        <f>Registered!AU2526</f>
        <v/>
      </c>
      <c r="G1098" s="4" t="str">
        <f>Registered!AW2526</f>
        <v/>
      </c>
      <c r="H1098" s="4" t="str">
        <f>Registered!AX2526</f>
        <v/>
      </c>
      <c r="I1098" s="4" t="str">
        <f>Registered!AY2526</f>
        <v/>
      </c>
    </row>
    <row r="1099" spans="1:9" x14ac:dyDescent="0.25">
      <c r="A1099" s="4" t="str">
        <f>Registered!B2528</f>
        <v>Von Weller</v>
      </c>
      <c r="B1099" s="4" t="str">
        <f>Registered!A2528</f>
        <v>Samantha</v>
      </c>
      <c r="C1099" s="4" t="str">
        <f>IF(Registered!AR2528&gt;0,Registered!AR2528&amp;" Color Bags", "")</f>
        <v>10 Color Bags</v>
      </c>
      <c r="D1099" s="4" t="str">
        <f>IF(Registered!AS2528&gt;0,(IF(Registered!AS2528=1,Registered!AS2528&amp;" T-Shirt",Registered!AS2528&amp;" T-Shirts")), "")</f>
        <v/>
      </c>
      <c r="E1099" s="4" t="str">
        <f>Registered!AT2528</f>
        <v/>
      </c>
      <c r="F1099" s="4" t="str">
        <f>Registered!AU2528</f>
        <v/>
      </c>
      <c r="G1099" s="4" t="str">
        <f>Registered!AW2528</f>
        <v/>
      </c>
      <c r="H1099" s="4" t="str">
        <f>Registered!AX2528</f>
        <v/>
      </c>
      <c r="I1099" s="4" t="str">
        <f>Registered!AY2528</f>
        <v/>
      </c>
    </row>
    <row r="1100" spans="1:9" x14ac:dyDescent="0.25">
      <c r="A1100" s="4" t="str">
        <f>Registered!B2529</f>
        <v>Vranes</v>
      </c>
      <c r="B1100" s="4" t="str">
        <f>Registered!A2529</f>
        <v>Sara</v>
      </c>
      <c r="C1100" s="4" t="str">
        <f>IF(Registered!AR2529&gt;0,Registered!AR2529&amp;" Color Bags", "")</f>
        <v>5 Color Bags</v>
      </c>
      <c r="D1100" s="4" t="str">
        <f>IF(Registered!AS2529&gt;0,(IF(Registered!AS2529=1,Registered!AS2529&amp;" T-Shirt",Registered!AS2529&amp;" T-Shirts")), "")</f>
        <v>1 T-Shirt</v>
      </c>
      <c r="E1100" s="4" t="str">
        <f>Registered!AT2529</f>
        <v>size medium, if it's the unisex t-shirt.</v>
      </c>
      <c r="F1100" s="4" t="str">
        <f>Registered!AU2529</f>
        <v/>
      </c>
      <c r="G1100" s="4" t="str">
        <f>Registered!AW2529</f>
        <v/>
      </c>
      <c r="H1100" s="4" t="str">
        <f>Registered!AX2529</f>
        <v/>
      </c>
      <c r="I1100" s="4" t="str">
        <f>Registered!AY2529</f>
        <v/>
      </c>
    </row>
    <row r="1101" spans="1:9" x14ac:dyDescent="0.25">
      <c r="A1101" s="4" t="str">
        <f>Registered!B2531</f>
        <v>Waddoups</v>
      </c>
      <c r="B1101" s="4" t="str">
        <f>Registered!A2531</f>
        <v>Amber</v>
      </c>
      <c r="C1101" s="4" t="str">
        <f>IF(Registered!AR2531&gt;0,Registered!AR2531&amp;" Color Bags", "")</f>
        <v>5 Color Bags</v>
      </c>
      <c r="D1101" s="4" t="str">
        <f>IF(Registered!AS2531&gt;0,(IF(Registered!AS2531=1,Registered!AS2531&amp;" T-Shirt",Registered!AS2531&amp;" T-Shirts")), "")</f>
        <v>1 T-Shirt</v>
      </c>
      <c r="E1101" s="4" t="str">
        <f>Registered!AT2531</f>
        <v>Large</v>
      </c>
      <c r="F1101" s="4" t="str">
        <f>Registered!AU2531</f>
        <v>1 Bandana</v>
      </c>
      <c r="G1101" s="4" t="str">
        <f>Registered!AW2531</f>
        <v>1 Meal</v>
      </c>
      <c r="H1101" s="4" t="str">
        <f>Registered!AX2531</f>
        <v/>
      </c>
      <c r="I1101" s="4" t="str">
        <f>Registered!AY2531</f>
        <v/>
      </c>
    </row>
    <row r="1102" spans="1:9" x14ac:dyDescent="0.25">
      <c r="A1102" s="4" t="str">
        <f>Registered!B2533</f>
        <v>Wagstaff</v>
      </c>
      <c r="B1102" s="4" t="str">
        <f>Registered!A2533</f>
        <v>Danielle</v>
      </c>
      <c r="C1102" s="4" t="str">
        <f>IF(Registered!AR2533&gt;0,Registered!AR2533&amp;" Color Bags", "")</f>
        <v>20 Color Bags</v>
      </c>
      <c r="D1102" s="4" t="str">
        <f>IF(Registered!AS2533&gt;0,(IF(Registered!AS2533=1,Registered!AS2533&amp;" T-Shirt",Registered!AS2533&amp;" T-Shirts")), "")</f>
        <v/>
      </c>
      <c r="E1102" s="4" t="str">
        <f>Registered!AT2533</f>
        <v/>
      </c>
      <c r="F1102" s="4" t="str">
        <f>Registered!AU2533</f>
        <v/>
      </c>
      <c r="G1102" s="4" t="str">
        <f>Registered!AW2533</f>
        <v>4 Meals</v>
      </c>
      <c r="H1102" s="4" t="str">
        <f>Registered!AX2533</f>
        <v/>
      </c>
      <c r="I1102" s="4" t="str">
        <f>Registered!AY2533</f>
        <v/>
      </c>
    </row>
    <row r="1103" spans="1:9" x14ac:dyDescent="0.25">
      <c r="A1103" s="4" t="str">
        <f>Registered!B2534</f>
        <v>Wait</v>
      </c>
      <c r="B1103" s="4" t="str">
        <f>Registered!A2534</f>
        <v>Natalie</v>
      </c>
      <c r="C1103" s="4" t="str">
        <f>IF(Registered!AR2534&gt;0,Registered!AR2534&amp;" Color Bags", "")</f>
        <v>5 Color Bags</v>
      </c>
      <c r="D1103" s="4" t="str">
        <f>IF(Registered!AS2534&gt;0,(IF(Registered!AS2534=1,Registered!AS2534&amp;" T-Shirt",Registered!AS2534&amp;" T-Shirts")), "")</f>
        <v/>
      </c>
      <c r="E1103" s="4" t="str">
        <f>Registered!AT2534</f>
        <v/>
      </c>
      <c r="F1103" s="4" t="str">
        <f>Registered!AU2534</f>
        <v/>
      </c>
      <c r="G1103" s="4" t="str">
        <f>Registered!AW2534</f>
        <v/>
      </c>
      <c r="H1103" s="4" t="str">
        <f>Registered!AX2534</f>
        <v/>
      </c>
      <c r="I1103" s="4" t="str">
        <f>Registered!AY2534</f>
        <v/>
      </c>
    </row>
    <row r="1104" spans="1:9" x14ac:dyDescent="0.25">
      <c r="A1104" s="4" t="str">
        <f>Registered!B2535</f>
        <v>Wake</v>
      </c>
      <c r="B1104" s="4" t="str">
        <f>Registered!A2535</f>
        <v>Braden</v>
      </c>
      <c r="C1104" s="4" t="str">
        <f>IF(Registered!AR2535&gt;0,Registered!AR2535&amp;" Color Bags", "")</f>
        <v>5 Color Bags</v>
      </c>
      <c r="D1104" s="4" t="str">
        <f>IF(Registered!AS2535&gt;0,(IF(Registered!AS2535=1,Registered!AS2535&amp;" T-Shirt",Registered!AS2535&amp;" T-Shirts")), "")</f>
        <v>1 T-Shirt</v>
      </c>
      <c r="E1104" s="4" t="str">
        <f>Registered!AT2535</f>
        <v>XXL</v>
      </c>
      <c r="F1104" s="4" t="str">
        <f>Registered!AU2535</f>
        <v>1 Bandana</v>
      </c>
      <c r="G1104" s="4" t="str">
        <f>Registered!AW2535</f>
        <v/>
      </c>
      <c r="H1104" s="4" t="str">
        <f>Registered!AX2535</f>
        <v/>
      </c>
      <c r="I1104" s="4" t="str">
        <f>Registered!AY2535</f>
        <v/>
      </c>
    </row>
    <row r="1105" spans="1:9" x14ac:dyDescent="0.25">
      <c r="A1105" s="4" t="str">
        <f>Registered!B2536</f>
        <v>Wakeley</v>
      </c>
      <c r="B1105" s="4" t="str">
        <f>Registered!A2536</f>
        <v>Kelty</v>
      </c>
      <c r="C1105" s="4" t="str">
        <f>IF(Registered!AR2536&gt;0,Registered!AR2536&amp;" Color Bags", "")</f>
        <v>10 Color Bags</v>
      </c>
      <c r="D1105" s="4" t="str">
        <f>IF(Registered!AS2536&gt;0,(IF(Registered!AS2536=1,Registered!AS2536&amp;" T-Shirt",Registered!AS2536&amp;" T-Shirts")), "")</f>
        <v/>
      </c>
      <c r="E1105" s="4" t="str">
        <f>Registered!AT2536</f>
        <v/>
      </c>
      <c r="F1105" s="4" t="str">
        <f>Registered!AU2536</f>
        <v/>
      </c>
      <c r="G1105" s="4" t="str">
        <f>Registered!AW2536</f>
        <v/>
      </c>
      <c r="H1105" s="4" t="str">
        <f>Registered!AX2536</f>
        <v/>
      </c>
      <c r="I1105" s="4" t="str">
        <f>Registered!AY2536</f>
        <v/>
      </c>
    </row>
    <row r="1106" spans="1:9" x14ac:dyDescent="0.25">
      <c r="A1106" s="4" t="str">
        <f>Registered!B2537</f>
        <v>Walker</v>
      </c>
      <c r="B1106" s="4" t="str">
        <f>Registered!A2537</f>
        <v>Daniel</v>
      </c>
      <c r="C1106" s="4" t="str">
        <f>IF(Registered!AR2537&gt;0,Registered!AR2537&amp;" Color Bags", "")</f>
        <v>10 Color Bags</v>
      </c>
      <c r="D1106" s="4" t="str">
        <f>IF(Registered!AS2537&gt;0,(IF(Registered!AS2537=1,Registered!AS2537&amp;" T-Shirt",Registered!AS2537&amp;" T-Shirts")), "")</f>
        <v/>
      </c>
      <c r="E1106" s="4" t="str">
        <f>Registered!AT2537</f>
        <v/>
      </c>
      <c r="F1106" s="4" t="str">
        <f>Registered!AU2537</f>
        <v/>
      </c>
      <c r="G1106" s="4" t="str">
        <f>Registered!AW2537</f>
        <v/>
      </c>
      <c r="H1106" s="4" t="str">
        <f>Registered!AX2537</f>
        <v/>
      </c>
      <c r="I1106" s="4" t="str">
        <f>Registered!AY2537</f>
        <v/>
      </c>
    </row>
    <row r="1107" spans="1:9" x14ac:dyDescent="0.25">
      <c r="A1107" s="4" t="str">
        <f>Registered!B2538</f>
        <v>Walker</v>
      </c>
      <c r="B1107" s="4" t="str">
        <f>Registered!A2538</f>
        <v>Donovan</v>
      </c>
      <c r="C1107" s="4" t="str">
        <f>IF(Registered!AR2538&gt;0,Registered!AR2538&amp;" Color Bags", "")</f>
        <v>10 Color Bags</v>
      </c>
      <c r="D1107" s="4" t="str">
        <f>IF(Registered!AS2538&gt;0,(IF(Registered!AS2538=1,Registered!AS2538&amp;" T-Shirt",Registered!AS2538&amp;" T-Shirts")), "")</f>
        <v>2 T-Shirts</v>
      </c>
      <c r="E1107" s="4" t="str">
        <f>Registered!AT2538</f>
        <v>xxl (2xl) &amp; L</v>
      </c>
      <c r="F1107" s="4" t="str">
        <f>Registered!AU2538</f>
        <v/>
      </c>
      <c r="G1107" s="4" t="str">
        <f>Registered!AW2538</f>
        <v>2 Meals</v>
      </c>
      <c r="H1107" s="4" t="str">
        <f>Registered!AX2538</f>
        <v/>
      </c>
      <c r="I1107" s="4" t="str">
        <f>Registered!AY2538</f>
        <v/>
      </c>
    </row>
    <row r="1108" spans="1:9" x14ac:dyDescent="0.25">
      <c r="A1108" s="4" t="str">
        <f>Registered!B2542</f>
        <v>Wall</v>
      </c>
      <c r="B1108" s="4" t="str">
        <f>Registered!A2542</f>
        <v>Jennifer</v>
      </c>
      <c r="C1108" s="4" t="str">
        <f>IF(Registered!AR2542&gt;0,Registered!AR2542&amp;" Color Bags", "")</f>
        <v>10 Color Bags</v>
      </c>
      <c r="D1108" s="4" t="str">
        <f>IF(Registered!AS2542&gt;0,(IF(Registered!AS2542=1,Registered!AS2542&amp;" T-Shirt",Registered!AS2542&amp;" T-Shirts")), "")</f>
        <v/>
      </c>
      <c r="E1108" s="4" t="str">
        <f>Registered!AT2542</f>
        <v/>
      </c>
      <c r="F1108" s="4" t="str">
        <f>Registered!AU2542</f>
        <v/>
      </c>
      <c r="G1108" s="4" t="str">
        <f>Registered!AW2542</f>
        <v/>
      </c>
      <c r="H1108" s="4" t="str">
        <f>Registered!AX2542</f>
        <v/>
      </c>
      <c r="I1108" s="4" t="str">
        <f>Registered!AY2542</f>
        <v/>
      </c>
    </row>
    <row r="1109" spans="1:9" x14ac:dyDescent="0.25">
      <c r="A1109" s="4" t="str">
        <f>Registered!B2543</f>
        <v>Wall</v>
      </c>
      <c r="B1109" s="4" t="str">
        <f>Registered!A2543</f>
        <v>Kait</v>
      </c>
      <c r="C1109" s="4" t="str">
        <f>IF(Registered!AR2543&gt;0,Registered!AR2543&amp;" Color Bags", "")</f>
        <v>5 Color Bags</v>
      </c>
      <c r="D1109" s="4" t="str">
        <f>IF(Registered!AS2543&gt;0,(IF(Registered!AS2543=1,Registered!AS2543&amp;" T-Shirt",Registered!AS2543&amp;" T-Shirts")), "")</f>
        <v>1 T-Shirt</v>
      </c>
      <c r="E1109" s="4" t="str">
        <f>Registered!AT2543</f>
        <v>XXL</v>
      </c>
      <c r="F1109" s="4" t="str">
        <f>Registered!AU2543</f>
        <v/>
      </c>
      <c r="G1109" s="4" t="str">
        <f>Registered!AW2543</f>
        <v>1 Meal</v>
      </c>
      <c r="H1109" s="4" t="str">
        <f>Registered!AX2543</f>
        <v/>
      </c>
      <c r="I1109" s="4" t="str">
        <f>Registered!AY2543</f>
        <v/>
      </c>
    </row>
    <row r="1110" spans="1:9" x14ac:dyDescent="0.25">
      <c r="A1110" s="4" t="str">
        <f>Registered!B2550</f>
        <v>Wangsgard</v>
      </c>
      <c r="B1110" s="4" t="str">
        <f>Registered!A2550</f>
        <v>Joette</v>
      </c>
      <c r="C1110" s="4" t="str">
        <f>IF(Registered!AR2550&gt;0,Registered!AR2550&amp;" Color Bags", "")</f>
        <v>30 Color Bags</v>
      </c>
      <c r="D1110" s="4" t="str">
        <f>IF(Registered!AS2550&gt;0,(IF(Registered!AS2550=1,Registered!AS2550&amp;" T-Shirt",Registered!AS2550&amp;" T-Shirts")), "")</f>
        <v/>
      </c>
      <c r="E1110" s="4" t="str">
        <f>Registered!AT2550</f>
        <v/>
      </c>
      <c r="F1110" s="4" t="str">
        <f>Registered!AU2550</f>
        <v/>
      </c>
      <c r="G1110" s="4" t="str">
        <f>Registered!AW2550</f>
        <v/>
      </c>
      <c r="H1110" s="4" t="str">
        <f>Registered!AX2550</f>
        <v>1 BG</v>
      </c>
      <c r="I1110" s="4" t="str">
        <f>Registered!AY2550</f>
        <v/>
      </c>
    </row>
    <row r="1111" spans="1:9" x14ac:dyDescent="0.25">
      <c r="A1111" s="4" t="str">
        <f>Registered!B2552</f>
        <v>Ward</v>
      </c>
      <c r="B1111" s="4" t="str">
        <f>Registered!A2552</f>
        <v>Holli</v>
      </c>
      <c r="C1111" s="4" t="str">
        <f>IF(Registered!AR2552&gt;0,Registered!AR2552&amp;" Color Bags", "")</f>
        <v>20 Color Bags</v>
      </c>
      <c r="D1111" s="4" t="str">
        <f>IF(Registered!AS2552&gt;0,(IF(Registered!AS2552=1,Registered!AS2552&amp;" T-Shirt",Registered!AS2552&amp;" T-Shirts")), "")</f>
        <v/>
      </c>
      <c r="E1111" s="4" t="str">
        <f>Registered!AT2552</f>
        <v/>
      </c>
      <c r="F1111" s="4" t="str">
        <f>Registered!AU2552</f>
        <v/>
      </c>
      <c r="G1111" s="4" t="str">
        <f>Registered!AW2552</f>
        <v/>
      </c>
      <c r="H1111" s="4" t="str">
        <f>Registered!AX2552</f>
        <v/>
      </c>
      <c r="I1111" s="4" t="str">
        <f>Registered!AY2552</f>
        <v/>
      </c>
    </row>
    <row r="1112" spans="1:9" x14ac:dyDescent="0.25">
      <c r="A1112" s="4" t="str">
        <f>Registered!B2554</f>
        <v>Warden</v>
      </c>
      <c r="B1112" s="4" t="str">
        <f>Registered!A2554</f>
        <v>Brinlie</v>
      </c>
      <c r="C1112" s="4" t="str">
        <f>IF(Registered!AR2554&gt;0,Registered!AR2554&amp;" Color Bags", "")</f>
        <v>5 Color Bags</v>
      </c>
      <c r="D1112" s="4" t="str">
        <f>IF(Registered!AS2554&gt;0,(IF(Registered!AS2554=1,Registered!AS2554&amp;" T-Shirt",Registered!AS2554&amp;" T-Shirts")), "")</f>
        <v/>
      </c>
      <c r="E1112" s="4" t="str">
        <f>Registered!AT2554</f>
        <v/>
      </c>
      <c r="F1112" s="4" t="str">
        <f>Registered!AU2554</f>
        <v/>
      </c>
      <c r="G1112" s="4" t="str">
        <f>Registered!AW2554</f>
        <v/>
      </c>
      <c r="H1112" s="4" t="str">
        <f>Registered!AX2554</f>
        <v/>
      </c>
      <c r="I1112" s="4" t="str">
        <f>Registered!AY2554</f>
        <v/>
      </c>
    </row>
    <row r="1113" spans="1:9" x14ac:dyDescent="0.25">
      <c r="A1113" s="4" t="str">
        <f>Registered!B2555</f>
        <v>Ware</v>
      </c>
      <c r="B1113" s="4" t="str">
        <f>Registered!A2555</f>
        <v>Reigan</v>
      </c>
      <c r="C1113" s="4" t="str">
        <f>IF(Registered!AR2555&gt;0,Registered!AR2555&amp;" Color Bags", "")</f>
        <v>5 Color Bags</v>
      </c>
      <c r="D1113" s="4" t="str">
        <f>IF(Registered!AS2555&gt;0,(IF(Registered!AS2555=1,Registered!AS2555&amp;" T-Shirt",Registered!AS2555&amp;" T-Shirts")), "")</f>
        <v>1 T-Shirt</v>
      </c>
      <c r="E1113" s="4" t="str">
        <f>Registered!AT2555</f>
        <v>Adult Medium</v>
      </c>
      <c r="F1113" s="4" t="str">
        <f>Registered!AU2555</f>
        <v/>
      </c>
      <c r="G1113" s="4" t="str">
        <f>Registered!AW2555</f>
        <v>1 Meal</v>
      </c>
      <c r="H1113" s="4" t="str">
        <f>Registered!AX2555</f>
        <v>1 BG</v>
      </c>
      <c r="I1113" s="4" t="str">
        <f>Registered!AY2555</f>
        <v/>
      </c>
    </row>
    <row r="1114" spans="1:9" x14ac:dyDescent="0.25">
      <c r="A1114" s="4" t="str">
        <f>Registered!B2559</f>
        <v>Waterlyn</v>
      </c>
      <c r="B1114" s="4" t="str">
        <f>Registered!A2559</f>
        <v>Calyn</v>
      </c>
      <c r="C1114" s="4" t="str">
        <f>IF(Registered!AR2559&gt;0,Registered!AR2559&amp;" Color Bags", "")</f>
        <v>5 Color Bags</v>
      </c>
      <c r="D1114" s="4" t="str">
        <f>IF(Registered!AS2559&gt;0,(IF(Registered!AS2559=1,Registered!AS2559&amp;" T-Shirt",Registered!AS2559&amp;" T-Shirts")), "")</f>
        <v/>
      </c>
      <c r="E1114" s="4" t="str">
        <f>Registered!AT2559</f>
        <v/>
      </c>
      <c r="F1114" s="4" t="str">
        <f>Registered!AU2559</f>
        <v/>
      </c>
      <c r="G1114" s="4" t="str">
        <f>Registered!AW2559</f>
        <v/>
      </c>
      <c r="H1114" s="4" t="str">
        <f>Registered!AX2559</f>
        <v/>
      </c>
      <c r="I1114" s="4" t="str">
        <f>Registered!AY2559</f>
        <v/>
      </c>
    </row>
    <row r="1115" spans="1:9" x14ac:dyDescent="0.25">
      <c r="A1115" s="4" t="str">
        <f>Registered!B2560</f>
        <v>Waters</v>
      </c>
      <c r="B1115" s="4" t="str">
        <f>Registered!A2560</f>
        <v>Holly</v>
      </c>
      <c r="C1115" s="4" t="str">
        <f>IF(Registered!AR2560&gt;0,Registered!AR2560&amp;" Color Bags", "")</f>
        <v>5 Color Bags</v>
      </c>
      <c r="D1115" s="4" t="str">
        <f>IF(Registered!AS2560&gt;0,(IF(Registered!AS2560=1,Registered!AS2560&amp;" T-Shirt",Registered!AS2560&amp;" T-Shirts")), "")</f>
        <v/>
      </c>
      <c r="E1115" s="4" t="str">
        <f>Registered!AT2560</f>
        <v/>
      </c>
      <c r="F1115" s="4" t="str">
        <f>Registered!AU2560</f>
        <v/>
      </c>
      <c r="G1115" s="4" t="str">
        <f>Registered!AW2560</f>
        <v/>
      </c>
      <c r="H1115" s="4" t="str">
        <f>Registered!AX2560</f>
        <v/>
      </c>
      <c r="I1115" s="4" t="str">
        <f>Registered!AY2560</f>
        <v/>
      </c>
    </row>
    <row r="1116" spans="1:9" x14ac:dyDescent="0.25">
      <c r="A1116" s="4" t="str">
        <f>Registered!B2562</f>
        <v>Waugh</v>
      </c>
      <c r="B1116" s="4" t="str">
        <f>Registered!A2562</f>
        <v>David</v>
      </c>
      <c r="C1116" s="4" t="str">
        <f>IF(Registered!AR2562&gt;0,Registered!AR2562&amp;" Color Bags", "")</f>
        <v>5 Color Bags</v>
      </c>
      <c r="D1116" s="4" t="str">
        <f>IF(Registered!AS2562&gt;0,(IF(Registered!AS2562=1,Registered!AS2562&amp;" T-Shirt",Registered!AS2562&amp;" T-Shirts")), "")</f>
        <v/>
      </c>
      <c r="E1116" s="4" t="str">
        <f>Registered!AT2562</f>
        <v/>
      </c>
      <c r="F1116" s="4" t="str">
        <f>Registered!AU2562</f>
        <v/>
      </c>
      <c r="G1116" s="4" t="str">
        <f>Registered!AW2562</f>
        <v/>
      </c>
      <c r="H1116" s="4" t="str">
        <f>Registered!AX2562</f>
        <v/>
      </c>
      <c r="I1116" s="4" t="str">
        <f>Registered!AY2562</f>
        <v/>
      </c>
    </row>
    <row r="1117" spans="1:9" x14ac:dyDescent="0.25">
      <c r="A1117" s="4" t="str">
        <f>Registered!B2564</f>
        <v>Wawrzyniak</v>
      </c>
      <c r="B1117" s="4" t="str">
        <f>Registered!A2564</f>
        <v>Kipp</v>
      </c>
      <c r="C1117" s="4" t="str">
        <f>IF(Registered!AR2564&gt;0,Registered!AR2564&amp;" Color Bags", "")</f>
        <v>30 Color Bags</v>
      </c>
      <c r="D1117" s="4" t="str">
        <f>IF(Registered!AS2564&gt;0,(IF(Registered!AS2564=1,Registered!AS2564&amp;" T-Shirt",Registered!AS2564&amp;" T-Shirts")), "")</f>
        <v/>
      </c>
      <c r="E1117" s="4" t="str">
        <f>Registered!AT2564</f>
        <v/>
      </c>
      <c r="F1117" s="4" t="str">
        <f>Registered!AU2564</f>
        <v>3 Bandanas</v>
      </c>
      <c r="G1117" s="4" t="str">
        <f>Registered!AW2564</f>
        <v/>
      </c>
      <c r="H1117" s="4" t="str">
        <f>Registered!AX2564</f>
        <v/>
      </c>
      <c r="I1117" s="4" t="str">
        <f>Registered!AY2564</f>
        <v>4 DustMask</v>
      </c>
    </row>
    <row r="1118" spans="1:9" x14ac:dyDescent="0.25">
      <c r="A1118" s="4" t="str">
        <f>Registered!B2566</f>
        <v>Weakley</v>
      </c>
      <c r="B1118" s="4" t="str">
        <f>Registered!A2566</f>
        <v>Alene</v>
      </c>
      <c r="C1118" s="4" t="str">
        <f>IF(Registered!AR2566&gt;0,Registered!AR2566&amp;" Color Bags", "")</f>
        <v>10 Color Bags</v>
      </c>
      <c r="D1118" s="4" t="str">
        <f>IF(Registered!AS2566&gt;0,(IF(Registered!AS2566=1,Registered!AS2566&amp;" T-Shirt",Registered!AS2566&amp;" T-Shirts")), "")</f>
        <v/>
      </c>
      <c r="E1118" s="4" t="str">
        <f>Registered!AT2566</f>
        <v/>
      </c>
      <c r="F1118" s="4" t="str">
        <f>Registered!AU2566</f>
        <v/>
      </c>
      <c r="G1118" s="4" t="str">
        <f>Registered!AW2566</f>
        <v/>
      </c>
      <c r="H1118" s="4" t="str">
        <f>Registered!AX2566</f>
        <v/>
      </c>
      <c r="I1118" s="4" t="str">
        <f>Registered!AY2566</f>
        <v/>
      </c>
    </row>
    <row r="1119" spans="1:9" x14ac:dyDescent="0.25">
      <c r="A1119" s="4" t="str">
        <f>Registered!B2571</f>
        <v>Weakley</v>
      </c>
      <c r="B1119" s="4" t="str">
        <f>Registered!A2571</f>
        <v>Wayne</v>
      </c>
      <c r="C1119" s="4" t="str">
        <f>IF(Registered!AR2571&gt;0,Registered!AR2571&amp;" Color Bags", "")</f>
        <v>5 Color Bags</v>
      </c>
      <c r="D1119" s="4" t="str">
        <f>IF(Registered!AS2571&gt;0,(IF(Registered!AS2571=1,Registered!AS2571&amp;" T-Shirt",Registered!AS2571&amp;" T-Shirts")), "")</f>
        <v/>
      </c>
      <c r="E1119" s="4" t="str">
        <f>Registered!AT2571</f>
        <v/>
      </c>
      <c r="F1119" s="4" t="str">
        <f>Registered!AU2571</f>
        <v/>
      </c>
      <c r="G1119" s="4" t="str">
        <f>Registered!AW2571</f>
        <v/>
      </c>
      <c r="H1119" s="4" t="str">
        <f>Registered!AX2571</f>
        <v/>
      </c>
      <c r="I1119" s="4" t="str">
        <f>Registered!AY2571</f>
        <v/>
      </c>
    </row>
    <row r="1120" spans="1:9" x14ac:dyDescent="0.25">
      <c r="A1120" s="4" t="str">
        <f>Registered!B2572</f>
        <v>Webb</v>
      </c>
      <c r="B1120" s="4" t="str">
        <f>Registered!A2572</f>
        <v>Kelsey</v>
      </c>
      <c r="C1120" s="4" t="str">
        <f>IF(Registered!AR2572&gt;0,Registered!AR2572&amp;" Color Bags", "")</f>
        <v>20 Color Bags</v>
      </c>
      <c r="D1120" s="4" t="str">
        <f>IF(Registered!AS2572&gt;0,(IF(Registered!AS2572=1,Registered!AS2572&amp;" T-Shirt",Registered!AS2572&amp;" T-Shirts")), "")</f>
        <v/>
      </c>
      <c r="E1120" s="4" t="str">
        <f>Registered!AT2572</f>
        <v/>
      </c>
      <c r="F1120" s="4" t="str">
        <f>Registered!AU2572</f>
        <v/>
      </c>
      <c r="G1120" s="4" t="str">
        <f>Registered!AW2572</f>
        <v/>
      </c>
      <c r="H1120" s="4" t="str">
        <f>Registered!AX2572</f>
        <v/>
      </c>
      <c r="I1120" s="4" t="str">
        <f>Registered!AY2572</f>
        <v/>
      </c>
    </row>
    <row r="1121" spans="1:9" x14ac:dyDescent="0.25">
      <c r="A1121" s="4" t="str">
        <f>Registered!B2573</f>
        <v>Webb</v>
      </c>
      <c r="B1121" s="4" t="str">
        <f>Registered!A2573</f>
        <v>Tiara</v>
      </c>
      <c r="C1121" s="4" t="str">
        <f>IF(Registered!AR2573&gt;0,Registered!AR2573&amp;" Color Bags", "")</f>
        <v>20 Color Bags</v>
      </c>
      <c r="D1121" s="4" t="str">
        <f>IF(Registered!AS2573&gt;0,(IF(Registered!AS2573=1,Registered!AS2573&amp;" T-Shirt",Registered!AS2573&amp;" T-Shirts")), "")</f>
        <v/>
      </c>
      <c r="E1121" s="4" t="str">
        <f>Registered!AT2573</f>
        <v/>
      </c>
      <c r="F1121" s="4" t="str">
        <f>Registered!AU2573</f>
        <v/>
      </c>
      <c r="G1121" s="4" t="str">
        <f>Registered!AW2573</f>
        <v/>
      </c>
      <c r="H1121" s="4" t="str">
        <f>Registered!AX2573</f>
        <v/>
      </c>
      <c r="I1121" s="4" t="str">
        <f>Registered!AY2573</f>
        <v/>
      </c>
    </row>
    <row r="1122" spans="1:9" x14ac:dyDescent="0.25">
      <c r="A1122" s="4" t="str">
        <f>Registered!B2576</f>
        <v>Weight</v>
      </c>
      <c r="B1122" s="4" t="str">
        <f>Registered!A2576</f>
        <v>Stephen</v>
      </c>
      <c r="C1122" s="4" t="str">
        <f>IF(Registered!AR2576&gt;0,Registered!AR2576&amp;" Color Bags", "")</f>
        <v>20 Color Bags</v>
      </c>
      <c r="D1122" s="4" t="str">
        <f>IF(Registered!AS2576&gt;0,(IF(Registered!AS2576=1,Registered!AS2576&amp;" T-Shirt",Registered!AS2576&amp;" T-Shirts")), "")</f>
        <v/>
      </c>
      <c r="E1122" s="4" t="str">
        <f>Registered!AT2576</f>
        <v/>
      </c>
      <c r="F1122" s="4" t="str">
        <f>Registered!AU2576</f>
        <v/>
      </c>
      <c r="G1122" s="4" t="str">
        <f>Registered!AW2576</f>
        <v/>
      </c>
      <c r="H1122" s="4" t="str">
        <f>Registered!AX2576</f>
        <v/>
      </c>
      <c r="I1122" s="4" t="str">
        <f>Registered!AY2576</f>
        <v/>
      </c>
    </row>
    <row r="1123" spans="1:9" x14ac:dyDescent="0.25">
      <c r="A1123" s="4" t="str">
        <f>Registered!B2578</f>
        <v>Wellbaum</v>
      </c>
      <c r="B1123" s="4" t="str">
        <f>Registered!A2578</f>
        <v>Randy</v>
      </c>
      <c r="C1123" s="4" t="str">
        <f>IF(Registered!AR2578&gt;0,Registered!AR2578&amp;" Color Bags", "")</f>
        <v>5 Color Bags</v>
      </c>
      <c r="D1123" s="4" t="str">
        <f>IF(Registered!AS2578&gt;0,(IF(Registered!AS2578=1,Registered!AS2578&amp;" T-Shirt",Registered!AS2578&amp;" T-Shirts")), "")</f>
        <v>1 T-Shirt</v>
      </c>
      <c r="E1123" s="4" t="str">
        <f>Registered!AT2578</f>
        <v>Medium</v>
      </c>
      <c r="F1123" s="4" t="str">
        <f>Registered!AU2578</f>
        <v/>
      </c>
      <c r="G1123" s="4" t="str">
        <f>Registered!AW2578</f>
        <v>1 Meal</v>
      </c>
      <c r="H1123" s="4" t="str">
        <f>Registered!AX2578</f>
        <v/>
      </c>
      <c r="I1123" s="4" t="str">
        <f>Registered!AY2578</f>
        <v/>
      </c>
    </row>
    <row r="1124" spans="1:9" x14ac:dyDescent="0.25">
      <c r="A1124" s="4" t="str">
        <f>Registered!B2580</f>
        <v>Wells</v>
      </c>
      <c r="B1124" s="4" t="str">
        <f>Registered!A2580</f>
        <v>Baylee</v>
      </c>
      <c r="C1124" s="4" t="str">
        <f>IF(Registered!AR2580&gt;0,Registered!AR2580&amp;" Color Bags", "")</f>
        <v>5 Color Bags</v>
      </c>
      <c r="D1124" s="4" t="str">
        <f>IF(Registered!AS2580&gt;0,(IF(Registered!AS2580=1,Registered!AS2580&amp;" T-Shirt",Registered!AS2580&amp;" T-Shirts")), "")</f>
        <v/>
      </c>
      <c r="E1124" s="4" t="str">
        <f>Registered!AT2580</f>
        <v/>
      </c>
      <c r="F1124" s="4" t="str">
        <f>Registered!AU2580</f>
        <v/>
      </c>
      <c r="G1124" s="4" t="str">
        <f>Registered!AW2580</f>
        <v/>
      </c>
      <c r="H1124" s="4" t="str">
        <f>Registered!AX2580</f>
        <v/>
      </c>
      <c r="I1124" s="4" t="str">
        <f>Registered!AY2580</f>
        <v/>
      </c>
    </row>
    <row r="1125" spans="1:9" x14ac:dyDescent="0.25">
      <c r="A1125" s="4" t="str">
        <f>Registered!B2581</f>
        <v>Wentworth</v>
      </c>
      <c r="B1125" s="4" t="str">
        <f>Registered!A2581</f>
        <v>Michele</v>
      </c>
      <c r="C1125" s="4" t="str">
        <f>IF(Registered!AR2581&gt;0,Registered!AR2581&amp;" Color Bags", "")</f>
        <v>10 Color Bags</v>
      </c>
      <c r="D1125" s="4" t="str">
        <f>IF(Registered!AS2581&gt;0,(IF(Registered!AS2581=1,Registered!AS2581&amp;" T-Shirt",Registered!AS2581&amp;" T-Shirts")), "")</f>
        <v/>
      </c>
      <c r="E1125" s="4" t="str">
        <f>Registered!AT2581</f>
        <v/>
      </c>
      <c r="F1125" s="4" t="str">
        <f>Registered!AU2581</f>
        <v/>
      </c>
      <c r="G1125" s="4" t="str">
        <f>Registered!AW2581</f>
        <v/>
      </c>
      <c r="H1125" s="4" t="str">
        <f>Registered!AX2581</f>
        <v/>
      </c>
      <c r="I1125" s="4" t="str">
        <f>Registered!AY2581</f>
        <v/>
      </c>
    </row>
    <row r="1126" spans="1:9" x14ac:dyDescent="0.25">
      <c r="A1126" s="4" t="str">
        <f>Registered!B2582</f>
        <v>Wentworth</v>
      </c>
      <c r="B1126" s="4" t="str">
        <f>Registered!A2582</f>
        <v>Sharr</v>
      </c>
      <c r="C1126" s="4" t="str">
        <f>IF(Registered!AR2582&gt;0,Registered!AR2582&amp;" Color Bags", "")</f>
        <v>10 Color Bags</v>
      </c>
      <c r="D1126" s="4" t="str">
        <f>IF(Registered!AS2582&gt;0,(IF(Registered!AS2582=1,Registered!AS2582&amp;" T-Shirt",Registered!AS2582&amp;" T-Shirts")), "")</f>
        <v/>
      </c>
      <c r="E1126" s="4" t="str">
        <f>Registered!AT2582</f>
        <v/>
      </c>
      <c r="F1126" s="4" t="str">
        <f>Registered!AU2582</f>
        <v/>
      </c>
      <c r="G1126" s="4" t="str">
        <f>Registered!AW2582</f>
        <v/>
      </c>
      <c r="H1126" s="4" t="str">
        <f>Registered!AX2582</f>
        <v/>
      </c>
      <c r="I1126" s="4" t="str">
        <f>Registered!AY2582</f>
        <v/>
      </c>
    </row>
    <row r="1127" spans="1:9" x14ac:dyDescent="0.25">
      <c r="A1127" s="4" t="str">
        <f>Registered!B2583</f>
        <v>Wentz</v>
      </c>
      <c r="B1127" s="4" t="str">
        <f>Registered!A2583</f>
        <v>Katie</v>
      </c>
      <c r="C1127" s="4" t="str">
        <f>IF(Registered!AR2583&gt;0,Registered!AR2583&amp;" Color Bags", "")</f>
        <v>5 Color Bags</v>
      </c>
      <c r="D1127" s="4" t="str">
        <f>IF(Registered!AS2583&gt;0,(IF(Registered!AS2583=1,Registered!AS2583&amp;" T-Shirt",Registered!AS2583&amp;" T-Shirts")), "")</f>
        <v/>
      </c>
      <c r="E1127" s="4" t="str">
        <f>Registered!AT2583</f>
        <v/>
      </c>
      <c r="F1127" s="4" t="str">
        <f>Registered!AU2583</f>
        <v/>
      </c>
      <c r="G1127" s="4" t="str">
        <f>Registered!AW2583</f>
        <v>1 Meal</v>
      </c>
      <c r="H1127" s="4" t="str">
        <f>Registered!AX2583</f>
        <v/>
      </c>
      <c r="I1127" s="4" t="str">
        <f>Registered!AY2583</f>
        <v/>
      </c>
    </row>
    <row r="1128" spans="1:9" x14ac:dyDescent="0.25">
      <c r="A1128" s="4" t="str">
        <f>Registered!B2586</f>
        <v>West</v>
      </c>
      <c r="B1128" s="4" t="str">
        <f>Registered!A2586</f>
        <v>Laurel</v>
      </c>
      <c r="C1128" s="4" t="str">
        <f>IF(Registered!AR2586&gt;0,Registered!AR2586&amp;" Color Bags", "")</f>
        <v>10 Color Bags</v>
      </c>
      <c r="D1128" s="4" t="str">
        <f>IF(Registered!AS2586&gt;0,(IF(Registered!AS2586=1,Registered!AS2586&amp;" T-Shirt",Registered!AS2586&amp;" T-Shirts")), "")</f>
        <v/>
      </c>
      <c r="E1128" s="4" t="str">
        <f>Registered!AT2586</f>
        <v/>
      </c>
      <c r="F1128" s="4" t="str">
        <f>Registered!AU2586</f>
        <v/>
      </c>
      <c r="G1128" s="4" t="str">
        <f>Registered!AW2586</f>
        <v/>
      </c>
      <c r="H1128" s="4" t="str">
        <f>Registered!AX2586</f>
        <v/>
      </c>
      <c r="I1128" s="4" t="str">
        <f>Registered!AY2586</f>
        <v>1 DustMask</v>
      </c>
    </row>
    <row r="1129" spans="1:9" x14ac:dyDescent="0.25">
      <c r="A1129" s="4" t="str">
        <f>Registered!B2587</f>
        <v>West</v>
      </c>
      <c r="B1129" s="4" t="str">
        <f>Registered!A2587</f>
        <v>Ryan</v>
      </c>
      <c r="C1129" s="4" t="str">
        <f>IF(Registered!AR2587&gt;0,Registered!AR2587&amp;" Color Bags", "")</f>
        <v>15 Color Bags</v>
      </c>
      <c r="D1129" s="4" t="str">
        <f>IF(Registered!AS2587&gt;0,(IF(Registered!AS2587=1,Registered!AS2587&amp;" T-Shirt",Registered!AS2587&amp;" T-Shirts")), "")</f>
        <v/>
      </c>
      <c r="E1129" s="4" t="str">
        <f>Registered!AT2587</f>
        <v/>
      </c>
      <c r="F1129" s="4" t="str">
        <f>Registered!AU2587</f>
        <v/>
      </c>
      <c r="G1129" s="4" t="str">
        <f>Registered!AW2587</f>
        <v/>
      </c>
      <c r="H1129" s="4" t="str">
        <f>Registered!AX2587</f>
        <v/>
      </c>
      <c r="I1129" s="4" t="str">
        <f>Registered!AY2587</f>
        <v/>
      </c>
    </row>
    <row r="1130" spans="1:9" x14ac:dyDescent="0.25">
      <c r="A1130" s="4" t="str">
        <f>Registered!B2584</f>
        <v>West</v>
      </c>
      <c r="B1130" s="4" t="str">
        <f>Registered!A2584</f>
        <v>Jasmine</v>
      </c>
      <c r="C1130" s="4" t="str">
        <f>IF(Registered!AR2584&gt;0,Registered!AR2584&amp;" Color Bags", "")</f>
        <v>5 Color Bags</v>
      </c>
      <c r="D1130" s="4" t="str">
        <f>IF(Registered!AS2584&gt;0,(IF(Registered!AS2584=1,Registered!AS2584&amp;" T-Shirt",Registered!AS2584&amp;" T-Shirts")), "")</f>
        <v/>
      </c>
      <c r="E1130" s="4" t="str">
        <f>Registered!AT2584</f>
        <v/>
      </c>
      <c r="F1130" s="4" t="str">
        <f>Registered!AU2584</f>
        <v/>
      </c>
      <c r="G1130" s="4" t="str">
        <f>Registered!AW2584</f>
        <v/>
      </c>
      <c r="H1130" s="4" t="str">
        <f>Registered!AX2584</f>
        <v/>
      </c>
      <c r="I1130" s="4" t="str">
        <f>Registered!AY2584</f>
        <v/>
      </c>
    </row>
    <row r="1131" spans="1:9" x14ac:dyDescent="0.25">
      <c r="A1131" s="4" t="str">
        <f>Registered!B2585</f>
        <v>West</v>
      </c>
      <c r="B1131" s="4" t="str">
        <f>Registered!A2585</f>
        <v>Kristyn</v>
      </c>
      <c r="C1131" s="4" t="str">
        <f>IF(Registered!AR2585&gt;0,Registered!AR2585&amp;" Color Bags", "")</f>
        <v>5 Color Bags</v>
      </c>
      <c r="D1131" s="4" t="str">
        <f>IF(Registered!AS2585&gt;0,(IF(Registered!AS2585=1,Registered!AS2585&amp;" T-Shirt",Registered!AS2585&amp;" T-Shirts")), "")</f>
        <v/>
      </c>
      <c r="E1131" s="4" t="str">
        <f>Registered!AT2585</f>
        <v/>
      </c>
      <c r="F1131" s="4" t="str">
        <f>Registered!AU2585</f>
        <v/>
      </c>
      <c r="G1131" s="4" t="str">
        <f>Registered!AW2585</f>
        <v/>
      </c>
      <c r="H1131" s="4" t="str">
        <f>Registered!AX2585</f>
        <v/>
      </c>
      <c r="I1131" s="4" t="str">
        <f>Registered!AY2585</f>
        <v/>
      </c>
    </row>
    <row r="1132" spans="1:9" x14ac:dyDescent="0.25">
      <c r="A1132" s="4" t="str">
        <f>Registered!B2588</f>
        <v>Wester</v>
      </c>
      <c r="B1132" s="4" t="str">
        <f>Registered!A2588</f>
        <v>Aaron</v>
      </c>
      <c r="C1132" s="4" t="str">
        <f>IF(Registered!AR2588&gt;0,Registered!AR2588&amp;" Color Bags", "")</f>
        <v>10 Color Bags</v>
      </c>
      <c r="D1132" s="4" t="str">
        <f>IF(Registered!AS2588&gt;0,(IF(Registered!AS2588=1,Registered!AS2588&amp;" T-Shirt",Registered!AS2588&amp;" T-Shirts")), "")</f>
        <v/>
      </c>
      <c r="E1132" s="4" t="str">
        <f>Registered!AT2588</f>
        <v/>
      </c>
      <c r="F1132" s="4" t="str">
        <f>Registered!AU2588</f>
        <v/>
      </c>
      <c r="G1132" s="4" t="str">
        <f>Registered!AW2588</f>
        <v>4 Meals</v>
      </c>
      <c r="H1132" s="4" t="str">
        <f>Registered!AX2588</f>
        <v/>
      </c>
      <c r="I1132" s="4" t="str">
        <f>Registered!AY2588</f>
        <v/>
      </c>
    </row>
    <row r="1133" spans="1:9" x14ac:dyDescent="0.25">
      <c r="A1133" s="4" t="str">
        <f>Registered!B2592</f>
        <v>Westfall</v>
      </c>
      <c r="B1133" s="4" t="str">
        <f>Registered!A2592</f>
        <v>Anne</v>
      </c>
      <c r="C1133" s="4" t="str">
        <f>IF(Registered!AR2592&gt;0,Registered!AR2592&amp;" Color Bags", "")</f>
        <v>10 Color Bags</v>
      </c>
      <c r="D1133" s="4" t="str">
        <f>IF(Registered!AS2592&gt;0,(IF(Registered!AS2592=1,Registered!AS2592&amp;" T-Shirt",Registered!AS2592&amp;" T-Shirts")), "")</f>
        <v/>
      </c>
      <c r="E1133" s="4" t="str">
        <f>Registered!AT2592</f>
        <v/>
      </c>
      <c r="F1133" s="4" t="str">
        <f>Registered!AU2592</f>
        <v>1 Bandana</v>
      </c>
      <c r="G1133" s="4" t="str">
        <f>Registered!AW2592</f>
        <v/>
      </c>
      <c r="H1133" s="4" t="str">
        <f>Registered!AX2592</f>
        <v/>
      </c>
      <c r="I1133" s="4" t="str">
        <f>Registered!AY2592</f>
        <v/>
      </c>
    </row>
    <row r="1134" spans="1:9" x14ac:dyDescent="0.25">
      <c r="A1134" s="4" t="str">
        <f>Registered!B2593</f>
        <v>Westfall</v>
      </c>
      <c r="B1134" s="4" t="str">
        <f>Registered!A2593</f>
        <v>Kate</v>
      </c>
      <c r="C1134" s="4" t="str">
        <f>IF(Registered!AR2593&gt;0,Registered!AR2593&amp;" Color Bags", "")</f>
        <v>10 Color Bags</v>
      </c>
      <c r="D1134" s="4" t="str">
        <f>IF(Registered!AS2593&gt;0,(IF(Registered!AS2593=1,Registered!AS2593&amp;" T-Shirt",Registered!AS2593&amp;" T-Shirts")), "")</f>
        <v/>
      </c>
      <c r="E1134" s="4" t="str">
        <f>Registered!AT2593</f>
        <v/>
      </c>
      <c r="F1134" s="4" t="str">
        <f>Registered!AU2593</f>
        <v/>
      </c>
      <c r="G1134" s="4" t="str">
        <f>Registered!AW2593</f>
        <v>1 Meal</v>
      </c>
      <c r="H1134" s="4" t="str">
        <f>Registered!AX2593</f>
        <v/>
      </c>
      <c r="I1134" s="4" t="str">
        <f>Registered!AY2593</f>
        <v/>
      </c>
    </row>
    <row r="1135" spans="1:9" x14ac:dyDescent="0.25">
      <c r="A1135" s="4" t="str">
        <f>Registered!B2595</f>
        <v>Weston</v>
      </c>
      <c r="B1135" s="4" t="str">
        <f>Registered!A2595</f>
        <v>Cynthia</v>
      </c>
      <c r="C1135" s="4" t="str">
        <f>IF(Registered!AR2595&gt;0,Registered!AR2595&amp;" Color Bags", "")</f>
        <v>25 Color Bags</v>
      </c>
      <c r="D1135" s="4" t="str">
        <f>IF(Registered!AS2595&gt;0,(IF(Registered!AS2595=1,Registered!AS2595&amp;" T-Shirt",Registered!AS2595&amp;" T-Shirts")), "")</f>
        <v/>
      </c>
      <c r="E1135" s="4" t="str">
        <f>Registered!AT2595</f>
        <v/>
      </c>
      <c r="F1135" s="4" t="str">
        <f>Registered!AU2595</f>
        <v/>
      </c>
      <c r="G1135" s="4" t="str">
        <f>Registered!AW2595</f>
        <v/>
      </c>
      <c r="H1135" s="4" t="str">
        <f>Registered!AX2595</f>
        <v/>
      </c>
      <c r="I1135" s="4" t="str">
        <f>Registered!AY2595</f>
        <v/>
      </c>
    </row>
    <row r="1136" spans="1:9" x14ac:dyDescent="0.25">
      <c r="A1136" s="4" t="str">
        <f>Registered!B2602</f>
        <v>White</v>
      </c>
      <c r="B1136" s="4" t="str">
        <f>Registered!A2602</f>
        <v>Lilly</v>
      </c>
      <c r="C1136" s="4" t="str">
        <f>IF(Registered!AR2602&gt;0,Registered!AR2602&amp;" Color Bags", "")</f>
        <v>5 Color Bags</v>
      </c>
      <c r="D1136" s="4" t="str">
        <f>IF(Registered!AS2602&gt;0,(IF(Registered!AS2602=1,Registered!AS2602&amp;" T-Shirt",Registered!AS2602&amp;" T-Shirts")), "")</f>
        <v>1 T-Shirt</v>
      </c>
      <c r="E1136" s="4" t="str">
        <f>Registered!AT2602</f>
        <v>XL</v>
      </c>
      <c r="F1136" s="4" t="str">
        <f>Registered!AU2602</f>
        <v/>
      </c>
      <c r="G1136" s="4" t="str">
        <f>Registered!AW2602</f>
        <v/>
      </c>
      <c r="H1136" s="4" t="str">
        <f>Registered!AX2602</f>
        <v/>
      </c>
      <c r="I1136" s="4" t="str">
        <f>Registered!AY2602</f>
        <v/>
      </c>
    </row>
    <row r="1137" spans="1:9" x14ac:dyDescent="0.25">
      <c r="A1137" s="4" t="str">
        <f>Registered!B2604</f>
        <v>White</v>
      </c>
      <c r="B1137" s="4" t="str">
        <f>Registered!A2604</f>
        <v>Tandy</v>
      </c>
      <c r="C1137" s="4" t="str">
        <f>IF(Registered!AR2604&gt;0,Registered!AR2604&amp;" Color Bags", "")</f>
        <v>60 Color Bags</v>
      </c>
      <c r="D1137" s="4" t="str">
        <f>IF(Registered!AS2604&gt;0,(IF(Registered!AS2604=1,Registered!AS2604&amp;" T-Shirt",Registered!AS2604&amp;" T-Shirts")), "")</f>
        <v/>
      </c>
      <c r="E1137" s="4" t="str">
        <f>Registered!AT2604</f>
        <v/>
      </c>
      <c r="F1137" s="4" t="str">
        <f>Registered!AU2604</f>
        <v/>
      </c>
      <c r="G1137" s="4" t="str">
        <f>Registered!AW2604</f>
        <v/>
      </c>
      <c r="H1137" s="4" t="str">
        <f>Registered!AX2604</f>
        <v/>
      </c>
      <c r="I1137" s="4" t="str">
        <f>Registered!AY2604</f>
        <v/>
      </c>
    </row>
    <row r="1138" spans="1:9" x14ac:dyDescent="0.25">
      <c r="A1138" s="4" t="str">
        <f>Registered!B2606</f>
        <v>Whiting</v>
      </c>
      <c r="B1138" s="4" t="str">
        <f>Registered!A2606</f>
        <v>Ashlynn</v>
      </c>
      <c r="C1138" s="4" t="str">
        <f>IF(Registered!AR2606&gt;0,Registered!AR2606&amp;" Color Bags", "")</f>
        <v>5 Color Bags</v>
      </c>
      <c r="D1138" s="4" t="str">
        <f>IF(Registered!AS2606&gt;0,(IF(Registered!AS2606=1,Registered!AS2606&amp;" T-Shirt",Registered!AS2606&amp;" T-Shirts")), "")</f>
        <v/>
      </c>
      <c r="E1138" s="4" t="str">
        <f>Registered!AT2606</f>
        <v/>
      </c>
      <c r="F1138" s="4" t="str">
        <f>Registered!AU2606</f>
        <v/>
      </c>
      <c r="G1138" s="4" t="str">
        <f>Registered!AW2606</f>
        <v>1 Meal</v>
      </c>
      <c r="H1138" s="4" t="str">
        <f>Registered!AX2606</f>
        <v/>
      </c>
      <c r="I1138" s="4" t="str">
        <f>Registered!AY2606</f>
        <v/>
      </c>
    </row>
    <row r="1139" spans="1:9" x14ac:dyDescent="0.25">
      <c r="A1139" s="4" t="str">
        <f>Registered!B2610</f>
        <v>Whitney</v>
      </c>
      <c r="B1139" s="4" t="str">
        <f>Registered!A2610</f>
        <v>Steven</v>
      </c>
      <c r="C1139" s="4" t="str">
        <f>IF(Registered!AR2610&gt;0,Registered!AR2610&amp;" Color Bags", "")</f>
        <v>10 Color Bags</v>
      </c>
      <c r="D1139" s="4" t="str">
        <f>IF(Registered!AS2610&gt;0,(IF(Registered!AS2610=1,Registered!AS2610&amp;" T-Shirt",Registered!AS2610&amp;" T-Shirts")), "")</f>
        <v/>
      </c>
      <c r="E1139" s="4" t="str">
        <f>Registered!AT2610</f>
        <v/>
      </c>
      <c r="F1139" s="4" t="str">
        <f>Registered!AU2610</f>
        <v/>
      </c>
      <c r="G1139" s="4" t="str">
        <f>Registered!AW2610</f>
        <v/>
      </c>
      <c r="H1139" s="4" t="str">
        <f>Registered!AX2610</f>
        <v/>
      </c>
      <c r="I1139" s="4" t="str">
        <f>Registered!AY2610</f>
        <v/>
      </c>
    </row>
    <row r="1140" spans="1:9" x14ac:dyDescent="0.25">
      <c r="A1140" s="4" t="str">
        <f>Registered!B2608</f>
        <v>Whitney</v>
      </c>
      <c r="B1140" s="4" t="str">
        <f>Registered!A2608</f>
        <v>Sam</v>
      </c>
      <c r="C1140" s="4" t="str">
        <f>IF(Registered!AR2608&gt;0,Registered!AR2608&amp;" Color Bags", "")</f>
        <v>5 Color Bags</v>
      </c>
      <c r="D1140" s="4" t="str">
        <f>IF(Registered!AS2608&gt;0,(IF(Registered!AS2608=1,Registered!AS2608&amp;" T-Shirt",Registered!AS2608&amp;" T-Shirts")), "")</f>
        <v/>
      </c>
      <c r="E1140" s="4" t="str">
        <f>Registered!AT2608</f>
        <v/>
      </c>
      <c r="F1140" s="4" t="str">
        <f>Registered!AU2608</f>
        <v/>
      </c>
      <c r="G1140" s="4" t="str">
        <f>Registered!AW2608</f>
        <v/>
      </c>
      <c r="H1140" s="4" t="str">
        <f>Registered!AX2608</f>
        <v/>
      </c>
      <c r="I1140" s="4" t="str">
        <f>Registered!AY2608</f>
        <v/>
      </c>
    </row>
    <row r="1141" spans="1:9" x14ac:dyDescent="0.25">
      <c r="A1141" s="4" t="str">
        <f>Registered!B2615</f>
        <v>Wilder</v>
      </c>
      <c r="B1141" s="4" t="str">
        <f>Registered!A2615</f>
        <v>Heidi</v>
      </c>
      <c r="C1141" s="4" t="str">
        <f>IF(Registered!AR2615&gt;0,Registered!AR2615&amp;" Color Bags", "")</f>
        <v>5 Color Bags</v>
      </c>
      <c r="D1141" s="4" t="str">
        <f>IF(Registered!AS2615&gt;0,(IF(Registered!AS2615=1,Registered!AS2615&amp;" T-Shirt",Registered!AS2615&amp;" T-Shirts")), "")</f>
        <v/>
      </c>
      <c r="E1141" s="4" t="str">
        <f>Registered!AT2615</f>
        <v/>
      </c>
      <c r="F1141" s="4" t="str">
        <f>Registered!AU2615</f>
        <v/>
      </c>
      <c r="G1141" s="4" t="str">
        <f>Registered!AW2615</f>
        <v/>
      </c>
      <c r="H1141" s="4" t="str">
        <f>Registered!AX2615</f>
        <v/>
      </c>
      <c r="I1141" s="4" t="str">
        <f>Registered!AY2615</f>
        <v/>
      </c>
    </row>
    <row r="1142" spans="1:9" x14ac:dyDescent="0.25">
      <c r="A1142" s="4" t="str">
        <f>Registered!B2617</f>
        <v>Wilding</v>
      </c>
      <c r="B1142" s="4" t="str">
        <f>Registered!A2617</f>
        <v>Zackery</v>
      </c>
      <c r="C1142" s="4" t="str">
        <f>IF(Registered!AR2617&gt;0,Registered!AR2617&amp;" Color Bags", "")</f>
        <v>10 Color Bags</v>
      </c>
      <c r="D1142" s="4" t="str">
        <f>IF(Registered!AS2617&gt;0,(IF(Registered!AS2617=1,Registered!AS2617&amp;" T-Shirt",Registered!AS2617&amp;" T-Shirts")), "")</f>
        <v/>
      </c>
      <c r="E1142" s="4" t="str">
        <f>Registered!AT2617</f>
        <v/>
      </c>
      <c r="F1142" s="4" t="str">
        <f>Registered!AU2617</f>
        <v/>
      </c>
      <c r="G1142" s="4" t="str">
        <f>Registered!AW2617</f>
        <v/>
      </c>
      <c r="H1142" s="4" t="str">
        <f>Registered!AX2617</f>
        <v/>
      </c>
      <c r="I1142" s="4" t="str">
        <f>Registered!AY2617</f>
        <v/>
      </c>
    </row>
    <row r="1143" spans="1:9" x14ac:dyDescent="0.25">
      <c r="A1143" s="4" t="str">
        <f>Registered!B2620</f>
        <v>Wilkes</v>
      </c>
      <c r="B1143" s="4" t="str">
        <f>Registered!A2620</f>
        <v>Aryanna</v>
      </c>
      <c r="C1143" s="4" t="str">
        <f>IF(Registered!AR2620&gt;0,Registered!AR2620&amp;" Color Bags", "")</f>
        <v>20 Color Bags</v>
      </c>
      <c r="D1143" s="4" t="str">
        <f>IF(Registered!AS2620&gt;0,(IF(Registered!AS2620=1,Registered!AS2620&amp;" T-Shirt",Registered!AS2620&amp;" T-Shirts")), "")</f>
        <v/>
      </c>
      <c r="E1143" s="4" t="str">
        <f>Registered!AT2620</f>
        <v/>
      </c>
      <c r="F1143" s="4" t="str">
        <f>Registered!AU2620</f>
        <v/>
      </c>
      <c r="G1143" s="4" t="str">
        <f>Registered!AW2620</f>
        <v/>
      </c>
      <c r="H1143" s="4" t="str">
        <f>Registered!AX2620</f>
        <v/>
      </c>
      <c r="I1143" s="4" t="str">
        <f>Registered!AY2620</f>
        <v/>
      </c>
    </row>
    <row r="1144" spans="1:9" x14ac:dyDescent="0.25">
      <c r="A1144" s="4" t="str">
        <f>Registered!B2624</f>
        <v>Wilkinson</v>
      </c>
      <c r="B1144" s="4" t="str">
        <f>Registered!A2624</f>
        <v>Justin</v>
      </c>
      <c r="C1144" s="4" t="str">
        <f>IF(Registered!AR2624&gt;0,Registered!AR2624&amp;" Color Bags", "")</f>
        <v>10 Color Bags</v>
      </c>
      <c r="D1144" s="4" t="str">
        <f>IF(Registered!AS2624&gt;0,(IF(Registered!AS2624=1,Registered!AS2624&amp;" T-Shirt",Registered!AS2624&amp;" T-Shirts")), "")</f>
        <v/>
      </c>
      <c r="E1144" s="4" t="str">
        <f>Registered!AT2624</f>
        <v/>
      </c>
      <c r="F1144" s="4" t="str">
        <f>Registered!AU2624</f>
        <v/>
      </c>
      <c r="G1144" s="4" t="str">
        <f>Registered!AW2624</f>
        <v/>
      </c>
      <c r="H1144" s="4" t="str">
        <f>Registered!AX2624</f>
        <v/>
      </c>
      <c r="I1144" s="4" t="str">
        <f>Registered!AY2624</f>
        <v/>
      </c>
    </row>
    <row r="1145" spans="1:9" x14ac:dyDescent="0.25">
      <c r="A1145" s="4" t="str">
        <f>Registered!B2625</f>
        <v>Wilkinson</v>
      </c>
      <c r="B1145" s="4" t="str">
        <f>Registered!A2625</f>
        <v>Shae-Lyn</v>
      </c>
      <c r="C1145" s="4" t="str">
        <f>IF(Registered!AR2625&gt;0,Registered!AR2625&amp;" Color Bags", "")</f>
        <v>5 Color Bags</v>
      </c>
      <c r="D1145" s="4" t="str">
        <f>IF(Registered!AS2625&gt;0,(IF(Registered!AS2625=1,Registered!AS2625&amp;" T-Shirt",Registered!AS2625&amp;" T-Shirts")), "")</f>
        <v/>
      </c>
      <c r="E1145" s="4" t="str">
        <f>Registered!AT2625</f>
        <v/>
      </c>
      <c r="F1145" s="4" t="str">
        <f>Registered!AU2625</f>
        <v/>
      </c>
      <c r="G1145" s="4" t="str">
        <f>Registered!AW2625</f>
        <v/>
      </c>
      <c r="H1145" s="4" t="str">
        <f>Registered!AX2625</f>
        <v/>
      </c>
      <c r="I1145" s="4" t="str">
        <f>Registered!AY2625</f>
        <v/>
      </c>
    </row>
    <row r="1146" spans="1:9" x14ac:dyDescent="0.25">
      <c r="A1146" s="4" t="str">
        <f>Registered!B2626</f>
        <v>Willard</v>
      </c>
      <c r="B1146" s="4" t="str">
        <f>Registered!A2626</f>
        <v>Erika</v>
      </c>
      <c r="C1146" s="4" t="str">
        <f>IF(Registered!AR2626&gt;0,Registered!AR2626&amp;" Color Bags", "")</f>
        <v>5 Color Bags</v>
      </c>
      <c r="D1146" s="4" t="str">
        <f>IF(Registered!AS2626&gt;0,(IF(Registered!AS2626=1,Registered!AS2626&amp;" T-Shirt",Registered!AS2626&amp;" T-Shirts")), "")</f>
        <v/>
      </c>
      <c r="E1146" s="4" t="str">
        <f>Registered!AT2626</f>
        <v/>
      </c>
      <c r="F1146" s="4" t="str">
        <f>Registered!AU2626</f>
        <v/>
      </c>
      <c r="G1146" s="4" t="str">
        <f>Registered!AW2626</f>
        <v/>
      </c>
      <c r="H1146" s="4" t="str">
        <f>Registered!AX2626</f>
        <v/>
      </c>
      <c r="I1146" s="4" t="str">
        <f>Registered!AY2626</f>
        <v/>
      </c>
    </row>
    <row r="1147" spans="1:9" x14ac:dyDescent="0.25">
      <c r="A1147" s="4" t="str">
        <f>Registered!B2634</f>
        <v>Williams</v>
      </c>
      <c r="B1147" s="4" t="str">
        <f>Registered!A2634</f>
        <v>Lauren</v>
      </c>
      <c r="C1147" s="4" t="str">
        <f>IF(Registered!AR2634&gt;0,Registered!AR2634&amp;" Color Bags", "")</f>
        <v/>
      </c>
      <c r="D1147" s="4" t="str">
        <f>IF(Registered!AS2634&gt;0,(IF(Registered!AS2634=1,Registered!AS2634&amp;" T-Shirt",Registered!AS2634&amp;" T-Shirts")), "")</f>
        <v>1 T-Shirt</v>
      </c>
      <c r="E1147" s="4" t="str">
        <f>Registered!AT2634</f>
        <v>Adult Small</v>
      </c>
      <c r="F1147" s="4" t="str">
        <f>Registered!AU2634</f>
        <v/>
      </c>
      <c r="G1147" s="4" t="str">
        <f>Registered!AW2634</f>
        <v/>
      </c>
      <c r="H1147" s="4" t="str">
        <f>Registered!AX2634</f>
        <v/>
      </c>
      <c r="I1147" s="4" t="str">
        <f>Registered!AY2634</f>
        <v/>
      </c>
    </row>
    <row r="1148" spans="1:9" x14ac:dyDescent="0.25">
      <c r="A1148" s="4" t="str">
        <f>Registered!B2633</f>
        <v>Williams</v>
      </c>
      <c r="B1148" s="4" t="str">
        <f>Registered!A2633</f>
        <v>Lauren</v>
      </c>
      <c r="C1148" s="4" t="str">
        <f>IF(Registered!AR2633&gt;0,Registered!AR2633&amp;" Color Bags", "")</f>
        <v>10 Color Bags</v>
      </c>
      <c r="D1148" s="4" t="str">
        <f>IF(Registered!AS2633&gt;0,(IF(Registered!AS2633=1,Registered!AS2633&amp;" T-Shirt",Registered!AS2633&amp;" T-Shirts")), "")</f>
        <v>2 T-Shirts</v>
      </c>
      <c r="E1148" s="4" t="str">
        <f>Registered!AT2633</f>
        <v>Small and,medium</v>
      </c>
      <c r="F1148" s="4" t="str">
        <f>Registered!AU2633</f>
        <v/>
      </c>
      <c r="G1148" s="4" t="str">
        <f>Registered!AW2633</f>
        <v>2 Meals</v>
      </c>
      <c r="H1148" s="4" t="str">
        <f>Registered!AX2633</f>
        <v/>
      </c>
      <c r="I1148" s="4" t="str">
        <f>Registered!AY2633</f>
        <v/>
      </c>
    </row>
    <row r="1149" spans="1:9" x14ac:dyDescent="0.25">
      <c r="A1149" s="4" t="str">
        <f>Registered!B2635</f>
        <v>Williams</v>
      </c>
      <c r="B1149" s="4" t="str">
        <f>Registered!A2635</f>
        <v>Shelbie</v>
      </c>
      <c r="C1149" s="4" t="str">
        <f>IF(Registered!AR2635&gt;0,Registered!AR2635&amp;" Color Bags", "")</f>
        <v>10 Color Bags</v>
      </c>
      <c r="D1149" s="4" t="str">
        <f>IF(Registered!AS2635&gt;0,(IF(Registered!AS2635=1,Registered!AS2635&amp;" T-Shirt",Registered!AS2635&amp;" T-Shirts")), "")</f>
        <v>2 T-Shirts</v>
      </c>
      <c r="E1149" s="4" t="str">
        <f>Registered!AT2635</f>
        <v>1 large and 1 small</v>
      </c>
      <c r="F1149" s="4" t="str">
        <f>Registered!AU2635</f>
        <v/>
      </c>
      <c r="G1149" s="4" t="str">
        <f>Registered!AW2635</f>
        <v/>
      </c>
      <c r="H1149" s="4" t="str">
        <f>Registered!AX2635</f>
        <v/>
      </c>
      <c r="I1149" s="4" t="str">
        <f>Registered!AY2635</f>
        <v/>
      </c>
    </row>
    <row r="1150" spans="1:9" x14ac:dyDescent="0.25">
      <c r="A1150" s="4" t="str">
        <f>Registered!B2627</f>
        <v>Williams</v>
      </c>
      <c r="B1150" s="4" t="str">
        <f>Registered!A2627</f>
        <v>Andrew</v>
      </c>
      <c r="C1150" s="4" t="str">
        <f>IF(Registered!AR2627&gt;0,Registered!AR2627&amp;" Color Bags", "")</f>
        <v>20 Color Bags</v>
      </c>
      <c r="D1150" s="4" t="str">
        <f>IF(Registered!AS2627&gt;0,(IF(Registered!AS2627=1,Registered!AS2627&amp;" T-Shirt",Registered!AS2627&amp;" T-Shirts")), "")</f>
        <v/>
      </c>
      <c r="E1150" s="4" t="str">
        <f>Registered!AT2627</f>
        <v/>
      </c>
      <c r="F1150" s="4" t="str">
        <f>Registered!AU2627</f>
        <v/>
      </c>
      <c r="G1150" s="4" t="str">
        <f>Registered!AW2627</f>
        <v/>
      </c>
      <c r="H1150" s="4" t="str">
        <f>Registered!AX2627</f>
        <v/>
      </c>
      <c r="I1150" s="4" t="str">
        <f>Registered!AY2627</f>
        <v/>
      </c>
    </row>
    <row r="1151" spans="1:9" x14ac:dyDescent="0.25">
      <c r="A1151" s="4" t="str">
        <f>Registered!B2636</f>
        <v>Williams</v>
      </c>
      <c r="B1151" s="4" t="str">
        <f>Registered!A2636</f>
        <v>Zeth</v>
      </c>
      <c r="C1151" s="4" t="str">
        <f>IF(Registered!AR2636&gt;0,Registered!AR2636&amp;" Color Bags", "")</f>
        <v>20 Color Bags</v>
      </c>
      <c r="D1151" s="4" t="str">
        <f>IF(Registered!AS2636&gt;0,(IF(Registered!AS2636=1,Registered!AS2636&amp;" T-Shirt",Registered!AS2636&amp;" T-Shirts")), "")</f>
        <v/>
      </c>
      <c r="E1151" s="4" t="str">
        <f>Registered!AT2636</f>
        <v/>
      </c>
      <c r="F1151" s="4" t="str">
        <f>Registered!AU2636</f>
        <v/>
      </c>
      <c r="G1151" s="4" t="str">
        <f>Registered!AW2636</f>
        <v/>
      </c>
      <c r="H1151" s="4" t="str">
        <f>Registered!AX2636</f>
        <v/>
      </c>
      <c r="I1151" s="4" t="str">
        <f>Registered!AY2636</f>
        <v/>
      </c>
    </row>
    <row r="1152" spans="1:9" x14ac:dyDescent="0.25">
      <c r="A1152" s="4" t="str">
        <f>Registered!B2628</f>
        <v>Williams</v>
      </c>
      <c r="B1152" s="4" t="str">
        <f>Registered!A2628</f>
        <v>Brice</v>
      </c>
      <c r="C1152" s="4" t="str">
        <f>IF(Registered!AR2628&gt;0,Registered!AR2628&amp;" Color Bags", "")</f>
        <v>5 Color Bags</v>
      </c>
      <c r="D1152" s="4" t="str">
        <f>IF(Registered!AS2628&gt;0,(IF(Registered!AS2628=1,Registered!AS2628&amp;" T-Shirt",Registered!AS2628&amp;" T-Shirts")), "")</f>
        <v/>
      </c>
      <c r="E1152" s="4" t="str">
        <f>Registered!AT2628</f>
        <v/>
      </c>
      <c r="F1152" s="4" t="str">
        <f>Registered!AU2628</f>
        <v/>
      </c>
      <c r="G1152" s="4" t="str">
        <f>Registered!AW2628</f>
        <v/>
      </c>
      <c r="H1152" s="4" t="str">
        <f>Registered!AX2628</f>
        <v/>
      </c>
      <c r="I1152" s="4" t="str">
        <f>Registered!AY2628</f>
        <v/>
      </c>
    </row>
    <row r="1153" spans="1:9" x14ac:dyDescent="0.25">
      <c r="A1153" s="4" t="str">
        <f>Registered!B2629</f>
        <v>Williams</v>
      </c>
      <c r="B1153" s="4" t="str">
        <f>Registered!A2629</f>
        <v>Candace</v>
      </c>
      <c r="C1153" s="4" t="str">
        <f>IF(Registered!AR2629&gt;0,Registered!AR2629&amp;" Color Bags", "")</f>
        <v>5 Color Bags</v>
      </c>
      <c r="D1153" s="4" t="str">
        <f>IF(Registered!AS2629&gt;0,(IF(Registered!AS2629=1,Registered!AS2629&amp;" T-Shirt",Registered!AS2629&amp;" T-Shirts")), "")</f>
        <v/>
      </c>
      <c r="E1153" s="4" t="str">
        <f>Registered!AT2629</f>
        <v/>
      </c>
      <c r="F1153" s="4" t="str">
        <f>Registered!AU2629</f>
        <v/>
      </c>
      <c r="G1153" s="4" t="str">
        <f>Registered!AW2629</f>
        <v/>
      </c>
      <c r="H1153" s="4" t="str">
        <f>Registered!AX2629</f>
        <v/>
      </c>
      <c r="I1153" s="4" t="str">
        <f>Registered!AY2629</f>
        <v/>
      </c>
    </row>
    <row r="1154" spans="1:9" x14ac:dyDescent="0.25">
      <c r="A1154" s="4" t="str">
        <f>Registered!B2631</f>
        <v>Williams</v>
      </c>
      <c r="B1154" s="4" t="str">
        <f>Registered!A2631</f>
        <v>Karen</v>
      </c>
      <c r="C1154" s="4" t="str">
        <f>IF(Registered!AR2631&gt;0,Registered!AR2631&amp;" Color Bags", "")</f>
        <v>5 Color Bags</v>
      </c>
      <c r="D1154" s="4" t="str">
        <f>IF(Registered!AS2631&gt;0,(IF(Registered!AS2631=1,Registered!AS2631&amp;" T-Shirt",Registered!AS2631&amp;" T-Shirts")), "")</f>
        <v>1 T-Shirt</v>
      </c>
      <c r="E1154" s="4" t="str">
        <f>Registered!AT2631</f>
        <v>Large</v>
      </c>
      <c r="F1154" s="4" t="str">
        <f>Registered!AU2631</f>
        <v>2 Bandanas</v>
      </c>
      <c r="G1154" s="4" t="str">
        <f>Registered!AW2631</f>
        <v>1 Meal</v>
      </c>
      <c r="H1154" s="4" t="str">
        <f>Registered!AX2631</f>
        <v/>
      </c>
      <c r="I1154" s="4" t="str">
        <f>Registered!AY2631</f>
        <v/>
      </c>
    </row>
    <row r="1155" spans="1:9" x14ac:dyDescent="0.25">
      <c r="A1155" s="4" t="str">
        <f>Registered!B2638</f>
        <v>Willie</v>
      </c>
      <c r="B1155" s="4" t="str">
        <f>Registered!A2638</f>
        <v>Nathan</v>
      </c>
      <c r="C1155" s="4" t="str">
        <f>IF(Registered!AR2638&gt;0,Registered!AR2638&amp;" Color Bags", "")</f>
        <v>5 Color Bags</v>
      </c>
      <c r="D1155" s="4" t="str">
        <f>IF(Registered!AS2638&gt;0,(IF(Registered!AS2638=1,Registered!AS2638&amp;" T-Shirt",Registered!AS2638&amp;" T-Shirts")), "")</f>
        <v>1 T-Shirt</v>
      </c>
      <c r="E1155" s="4" t="str">
        <f>Registered!AT2638</f>
        <v>Size Not Specified</v>
      </c>
      <c r="F1155" s="4" t="str">
        <f>Registered!AU2638</f>
        <v/>
      </c>
      <c r="G1155" s="4" t="str">
        <f>Registered!AW2638</f>
        <v/>
      </c>
      <c r="H1155" s="4" t="str">
        <f>Registered!AX2638</f>
        <v/>
      </c>
      <c r="I1155" s="4" t="str">
        <f>Registered!AY2638</f>
        <v/>
      </c>
    </row>
    <row r="1156" spans="1:9" x14ac:dyDescent="0.25">
      <c r="A1156" s="4" t="str">
        <f>Registered!B2643</f>
        <v>Wilson</v>
      </c>
      <c r="B1156" s="4" t="str">
        <f>Registered!A2643</f>
        <v>Tracey</v>
      </c>
      <c r="C1156" s="4" t="str">
        <f>IF(Registered!AR2643&gt;0,Registered!AR2643&amp;" Color Bags", "")</f>
        <v>10 Color Bags</v>
      </c>
      <c r="D1156" s="4" t="str">
        <f>IF(Registered!AS2643&gt;0,(IF(Registered!AS2643=1,Registered!AS2643&amp;" T-Shirt",Registered!AS2643&amp;" T-Shirts")), "")</f>
        <v/>
      </c>
      <c r="E1156" s="4" t="str">
        <f>Registered!AT2643</f>
        <v/>
      </c>
      <c r="F1156" s="4" t="str">
        <f>Registered!AU2643</f>
        <v/>
      </c>
      <c r="G1156" s="4" t="str">
        <f>Registered!AW2643</f>
        <v/>
      </c>
      <c r="H1156" s="4" t="str">
        <f>Registered!AX2643</f>
        <v/>
      </c>
      <c r="I1156" s="4" t="str">
        <f>Registered!AY2643</f>
        <v/>
      </c>
    </row>
    <row r="1157" spans="1:9" x14ac:dyDescent="0.25">
      <c r="A1157" s="4" t="str">
        <f>Registered!B2644</f>
        <v>Wilson</v>
      </c>
      <c r="B1157" s="4" t="str">
        <f>Registered!A2644</f>
        <v>William</v>
      </c>
      <c r="C1157" s="4" t="str">
        <f>IF(Registered!AR2644&gt;0,Registered!AR2644&amp;" Color Bags", "")</f>
        <v>15 Color Bags</v>
      </c>
      <c r="D1157" s="4" t="str">
        <f>IF(Registered!AS2644&gt;0,(IF(Registered!AS2644=1,Registered!AS2644&amp;" T-Shirt",Registered!AS2644&amp;" T-Shirts")), "")</f>
        <v>3 T-Shirts</v>
      </c>
      <c r="E1157" s="4" t="str">
        <f>Registered!AT2644</f>
        <v>1 large 2 smalls</v>
      </c>
      <c r="F1157" s="4" t="str">
        <f>Registered!AU2644</f>
        <v>3 Bandanas</v>
      </c>
      <c r="G1157" s="4" t="str">
        <f>Registered!AW2644</f>
        <v>3 Meals</v>
      </c>
      <c r="H1157" s="4" t="str">
        <f>Registered!AX2644</f>
        <v/>
      </c>
      <c r="I1157" s="4" t="str">
        <f>Registered!AY2644</f>
        <v/>
      </c>
    </row>
    <row r="1158" spans="1:9" x14ac:dyDescent="0.25">
      <c r="A1158" s="4" t="str">
        <f>Registered!B2642</f>
        <v>Wilson</v>
      </c>
      <c r="B1158" s="4" t="str">
        <f>Registered!A2642</f>
        <v>Susanne</v>
      </c>
      <c r="C1158" s="4" t="str">
        <f>IF(Registered!AR2642&gt;0,Registered!AR2642&amp;" Color Bags", "")</f>
        <v>20 Color Bags</v>
      </c>
      <c r="D1158" s="4" t="str">
        <f>IF(Registered!AS2642&gt;0,(IF(Registered!AS2642=1,Registered!AS2642&amp;" T-Shirt",Registered!AS2642&amp;" T-Shirts")), "")</f>
        <v/>
      </c>
      <c r="E1158" s="4" t="str">
        <f>Registered!AT2642</f>
        <v/>
      </c>
      <c r="F1158" s="4" t="str">
        <f>Registered!AU2642</f>
        <v/>
      </c>
      <c r="G1158" s="4" t="str">
        <f>Registered!AW2642</f>
        <v/>
      </c>
      <c r="H1158" s="4" t="str">
        <f>Registered!AX2642</f>
        <v/>
      </c>
      <c r="I1158" s="4" t="str">
        <f>Registered!AY2642</f>
        <v/>
      </c>
    </row>
    <row r="1159" spans="1:9" x14ac:dyDescent="0.25">
      <c r="A1159" s="4" t="str">
        <f>Registered!B2641</f>
        <v>Wilson</v>
      </c>
      <c r="B1159" s="4" t="str">
        <f>Registered!A2641</f>
        <v>Michael</v>
      </c>
      <c r="C1159" s="4" t="str">
        <f>IF(Registered!AR2641&gt;0,Registered!AR2641&amp;" Color Bags", "")</f>
        <v>5 Color Bags</v>
      </c>
      <c r="D1159" s="4" t="str">
        <f>IF(Registered!AS2641&gt;0,(IF(Registered!AS2641=1,Registered!AS2641&amp;" T-Shirt",Registered!AS2641&amp;" T-Shirts")), "")</f>
        <v/>
      </c>
      <c r="E1159" s="4" t="str">
        <f>Registered!AT2641</f>
        <v/>
      </c>
      <c r="F1159" s="4" t="str">
        <f>Registered!AU2641</f>
        <v/>
      </c>
      <c r="G1159" s="4" t="str">
        <f>Registered!AW2641</f>
        <v/>
      </c>
      <c r="H1159" s="4" t="str">
        <f>Registered!AX2641</f>
        <v/>
      </c>
      <c r="I1159" s="4" t="str">
        <f>Registered!AY2641</f>
        <v/>
      </c>
    </row>
    <row r="1160" spans="1:9" x14ac:dyDescent="0.25">
      <c r="A1160" s="4" t="str">
        <f>Registered!B2646</f>
        <v>Winchester</v>
      </c>
      <c r="B1160" s="4" t="str">
        <f>Registered!A2646</f>
        <v>Timothy</v>
      </c>
      <c r="C1160" s="4" t="str">
        <f>IF(Registered!AR2646&gt;0,Registered!AR2646&amp;" Color Bags", "")</f>
        <v>10 Color Bags</v>
      </c>
      <c r="D1160" s="4" t="str">
        <f>IF(Registered!AS2646&gt;0,(IF(Registered!AS2646=1,Registered!AS2646&amp;" T-Shirt",Registered!AS2646&amp;" T-Shirts")), "")</f>
        <v/>
      </c>
      <c r="E1160" s="4" t="str">
        <f>Registered!AT2646</f>
        <v/>
      </c>
      <c r="F1160" s="4" t="str">
        <f>Registered!AU2646</f>
        <v/>
      </c>
      <c r="G1160" s="4" t="str">
        <f>Registered!AW2646</f>
        <v/>
      </c>
      <c r="H1160" s="4" t="str">
        <f>Registered!AX2646</f>
        <v/>
      </c>
      <c r="I1160" s="4" t="str">
        <f>Registered!AY2646</f>
        <v/>
      </c>
    </row>
    <row r="1161" spans="1:9" x14ac:dyDescent="0.25">
      <c r="A1161" s="4" t="str">
        <f>Registered!B2647</f>
        <v>Winfield</v>
      </c>
      <c r="B1161" s="4" t="str">
        <f>Registered!A2647</f>
        <v>Kelley</v>
      </c>
      <c r="C1161" s="4" t="str">
        <f>IF(Registered!AR2647&gt;0,Registered!AR2647&amp;" Color Bags", "")</f>
        <v>10 Color Bags</v>
      </c>
      <c r="D1161" s="4" t="str">
        <f>IF(Registered!AS2647&gt;0,(IF(Registered!AS2647=1,Registered!AS2647&amp;" T-Shirt",Registered!AS2647&amp;" T-Shirts")), "")</f>
        <v/>
      </c>
      <c r="E1161" s="4" t="str">
        <f>Registered!AT2647</f>
        <v/>
      </c>
      <c r="F1161" s="4" t="str">
        <f>Registered!AU2647</f>
        <v/>
      </c>
      <c r="G1161" s="4" t="str">
        <f>Registered!AW2647</f>
        <v/>
      </c>
      <c r="H1161" s="4" t="str">
        <f>Registered!AX2647</f>
        <v/>
      </c>
      <c r="I1161" s="4" t="str">
        <f>Registered!AY2647</f>
        <v/>
      </c>
    </row>
    <row r="1162" spans="1:9" x14ac:dyDescent="0.25">
      <c r="A1162" s="4" t="str">
        <f>Registered!B2648</f>
        <v>Winger</v>
      </c>
      <c r="B1162" s="4" t="str">
        <f>Registered!A2648</f>
        <v>Diane</v>
      </c>
      <c r="C1162" s="4" t="str">
        <f>IF(Registered!AR2648&gt;0,Registered!AR2648&amp;" Color Bags", "")</f>
        <v>5 Color Bags</v>
      </c>
      <c r="D1162" s="4" t="str">
        <f>IF(Registered!AS2648&gt;0,(IF(Registered!AS2648=1,Registered!AS2648&amp;" T-Shirt",Registered!AS2648&amp;" T-Shirts")), "")</f>
        <v>2 T-Shirts</v>
      </c>
      <c r="E1162" s="4" t="str">
        <f>Registered!AT2648</f>
        <v>2 - Large</v>
      </c>
      <c r="F1162" s="4" t="str">
        <f>Registered!AU2648</f>
        <v/>
      </c>
      <c r="G1162" s="4" t="str">
        <f>Registered!AW2648</f>
        <v/>
      </c>
      <c r="H1162" s="4" t="str">
        <f>Registered!AX2648</f>
        <v/>
      </c>
      <c r="I1162" s="4" t="str">
        <f>Registered!AY2648</f>
        <v/>
      </c>
    </row>
    <row r="1163" spans="1:9" x14ac:dyDescent="0.25">
      <c r="A1163" s="4" t="str">
        <f>Registered!B2651</f>
        <v>Winward</v>
      </c>
      <c r="B1163" s="4" t="str">
        <f>Registered!A2651</f>
        <v>Krista</v>
      </c>
      <c r="C1163" s="4" t="str">
        <f>IF(Registered!AR2651&gt;0,Registered!AR2651&amp;" Color Bags", "")</f>
        <v>5 Color Bags</v>
      </c>
      <c r="D1163" s="4" t="str">
        <f>IF(Registered!AS2651&gt;0,(IF(Registered!AS2651=1,Registered!AS2651&amp;" T-Shirt",Registered!AS2651&amp;" T-Shirts")), "")</f>
        <v/>
      </c>
      <c r="E1163" s="4" t="str">
        <f>Registered!AT2651</f>
        <v/>
      </c>
      <c r="F1163" s="4" t="str">
        <f>Registered!AU2651</f>
        <v/>
      </c>
      <c r="G1163" s="4" t="str">
        <f>Registered!AW2651</f>
        <v/>
      </c>
      <c r="H1163" s="4" t="str">
        <f>Registered!AX2651</f>
        <v/>
      </c>
      <c r="I1163" s="4" t="str">
        <f>Registered!AY2651</f>
        <v/>
      </c>
    </row>
    <row r="1164" spans="1:9" x14ac:dyDescent="0.25">
      <c r="A1164" s="4" t="str">
        <f>Registered!B2653</f>
        <v>Wiser</v>
      </c>
      <c r="B1164" s="4" t="str">
        <f>Registered!A2653</f>
        <v>Ashley</v>
      </c>
      <c r="C1164" s="4" t="str">
        <f>IF(Registered!AR2653&gt;0,Registered!AR2653&amp;" Color Bags", "")</f>
        <v>10 Color Bags</v>
      </c>
      <c r="D1164" s="4" t="str">
        <f>IF(Registered!AS2653&gt;0,(IF(Registered!AS2653=1,Registered!AS2653&amp;" T-Shirt",Registered!AS2653&amp;" T-Shirts")), "")</f>
        <v/>
      </c>
      <c r="E1164" s="4" t="str">
        <f>Registered!AT2653</f>
        <v/>
      </c>
      <c r="F1164" s="4" t="str">
        <f>Registered!AU2653</f>
        <v/>
      </c>
      <c r="G1164" s="4" t="str">
        <f>Registered!AW2653</f>
        <v/>
      </c>
      <c r="H1164" s="4" t="str">
        <f>Registered!AX2653</f>
        <v/>
      </c>
      <c r="I1164" s="4" t="str">
        <f>Registered!AY2653</f>
        <v/>
      </c>
    </row>
    <row r="1165" spans="1:9" x14ac:dyDescent="0.25">
      <c r="A1165" s="4" t="str">
        <f>Registered!B2654</f>
        <v>Withers</v>
      </c>
      <c r="B1165" s="4" t="str">
        <f>Registered!A2654</f>
        <v>Alexa</v>
      </c>
      <c r="C1165" s="4" t="str">
        <f>IF(Registered!AR2654&gt;0,Registered!AR2654&amp;" Color Bags", "")</f>
        <v>5 Color Bags</v>
      </c>
      <c r="D1165" s="4" t="str">
        <f>IF(Registered!AS2654&gt;0,(IF(Registered!AS2654=1,Registered!AS2654&amp;" T-Shirt",Registered!AS2654&amp;" T-Shirts")), "")</f>
        <v/>
      </c>
      <c r="E1165" s="4" t="str">
        <f>Registered!AT2654</f>
        <v/>
      </c>
      <c r="F1165" s="4" t="str">
        <f>Registered!AU2654</f>
        <v/>
      </c>
      <c r="G1165" s="4" t="str">
        <f>Registered!AW2654</f>
        <v/>
      </c>
      <c r="H1165" s="4" t="str">
        <f>Registered!AX2654</f>
        <v/>
      </c>
      <c r="I1165" s="4" t="str">
        <f>Registered!AY2654</f>
        <v/>
      </c>
    </row>
    <row r="1166" spans="1:9" x14ac:dyDescent="0.25">
      <c r="A1166" s="4" t="str">
        <f>Registered!B2656</f>
        <v>Wojcik</v>
      </c>
      <c r="B1166" s="4" t="str">
        <f>Registered!A2656</f>
        <v>Shombree</v>
      </c>
      <c r="C1166" s="4" t="str">
        <f>IF(Registered!AR2656&gt;0,Registered!AR2656&amp;" Color Bags", "")</f>
        <v>5 Color Bags</v>
      </c>
      <c r="D1166" s="4" t="str">
        <f>IF(Registered!AS2656&gt;0,(IF(Registered!AS2656=1,Registered!AS2656&amp;" T-Shirt",Registered!AS2656&amp;" T-Shirts")), "")</f>
        <v/>
      </c>
      <c r="E1166" s="4" t="str">
        <f>Registered!AT2656</f>
        <v/>
      </c>
      <c r="F1166" s="4" t="str">
        <f>Registered!AU2656</f>
        <v/>
      </c>
      <c r="G1166" s="4" t="str">
        <f>Registered!AW2656</f>
        <v/>
      </c>
      <c r="H1166" s="4" t="str">
        <f>Registered!AX2656</f>
        <v/>
      </c>
      <c r="I1166" s="4" t="str">
        <f>Registered!AY2656</f>
        <v/>
      </c>
    </row>
    <row r="1167" spans="1:9" x14ac:dyDescent="0.25">
      <c r="A1167" s="4" t="str">
        <f>Registered!B2658</f>
        <v>Wolfgramm</v>
      </c>
      <c r="B1167" s="4" t="str">
        <f>Registered!A2658</f>
        <v>Georgina</v>
      </c>
      <c r="C1167" s="4" t="str">
        <f>IF(Registered!AR2658&gt;0,Registered!AR2658&amp;" Color Bags", "")</f>
        <v>10 Color Bags</v>
      </c>
      <c r="D1167" s="4" t="str">
        <f>IF(Registered!AS2658&gt;0,(IF(Registered!AS2658=1,Registered!AS2658&amp;" T-Shirt",Registered!AS2658&amp;" T-Shirts")), "")</f>
        <v/>
      </c>
      <c r="E1167" s="4" t="str">
        <f>Registered!AT2658</f>
        <v/>
      </c>
      <c r="F1167" s="4" t="str">
        <f>Registered!AU2658</f>
        <v/>
      </c>
      <c r="G1167" s="4" t="str">
        <f>Registered!AW2658</f>
        <v/>
      </c>
      <c r="H1167" s="4" t="str">
        <f>Registered!AX2658</f>
        <v/>
      </c>
      <c r="I1167" s="4" t="str">
        <f>Registered!AY2658</f>
        <v/>
      </c>
    </row>
    <row r="1168" spans="1:9" x14ac:dyDescent="0.25">
      <c r="A1168" s="4" t="str">
        <f>Registered!B2665</f>
        <v>Wood</v>
      </c>
      <c r="B1168" s="4" t="str">
        <f>Registered!A2665</f>
        <v>Mickel</v>
      </c>
      <c r="C1168" s="4" t="str">
        <f>IF(Registered!AR2665&gt;0,Registered!AR2665&amp;" Color Bags", "")</f>
        <v>10 Color Bags</v>
      </c>
      <c r="D1168" s="4" t="str">
        <f>IF(Registered!AS2665&gt;0,(IF(Registered!AS2665=1,Registered!AS2665&amp;" T-Shirt",Registered!AS2665&amp;" T-Shirts")), "")</f>
        <v/>
      </c>
      <c r="E1168" s="4" t="str">
        <f>Registered!AT2665</f>
        <v/>
      </c>
      <c r="F1168" s="4" t="str">
        <f>Registered!AU2665</f>
        <v/>
      </c>
      <c r="G1168" s="4" t="str">
        <f>Registered!AW2665</f>
        <v>2 Meals</v>
      </c>
      <c r="H1168" s="4" t="str">
        <f>Registered!AX2665</f>
        <v/>
      </c>
      <c r="I1168" s="4" t="str">
        <f>Registered!AY2665</f>
        <v/>
      </c>
    </row>
    <row r="1169" spans="1:9" x14ac:dyDescent="0.25">
      <c r="A1169" s="4" t="str">
        <f>Registered!B2661</f>
        <v>Wood</v>
      </c>
      <c r="B1169" s="4" t="str">
        <f>Registered!A2661</f>
        <v>Diane</v>
      </c>
      <c r="C1169" s="4" t="str">
        <f>IF(Registered!AR2661&gt;0,Registered!AR2661&amp;" Color Bags", "")</f>
        <v>40 Color Bags</v>
      </c>
      <c r="D1169" s="4" t="str">
        <f>IF(Registered!AS2661&gt;0,(IF(Registered!AS2661=1,Registered!AS2661&amp;" T-Shirt",Registered!AS2661&amp;" T-Shirts")), "")</f>
        <v/>
      </c>
      <c r="E1169" s="4" t="str">
        <f>Registered!AT2661</f>
        <v/>
      </c>
      <c r="F1169" s="4" t="str">
        <f>Registered!AU2661</f>
        <v/>
      </c>
      <c r="G1169" s="4" t="str">
        <f>Registered!AW2661</f>
        <v/>
      </c>
      <c r="H1169" s="4" t="str">
        <f>Registered!AX2661</f>
        <v/>
      </c>
      <c r="I1169" s="4" t="str">
        <f>Registered!AY2661</f>
        <v/>
      </c>
    </row>
    <row r="1170" spans="1:9" x14ac:dyDescent="0.25">
      <c r="A1170" s="4" t="str">
        <f>Registered!B2663</f>
        <v>Wood</v>
      </c>
      <c r="B1170" s="4" t="str">
        <f>Registered!A2663</f>
        <v>Jillian</v>
      </c>
      <c r="C1170" s="4" t="str">
        <f>IF(Registered!AR2663&gt;0,Registered!AR2663&amp;" Color Bags", "")</f>
        <v>5 Color Bags</v>
      </c>
      <c r="D1170" s="4" t="str">
        <f>IF(Registered!AS2663&gt;0,(IF(Registered!AS2663=1,Registered!AS2663&amp;" T-Shirt",Registered!AS2663&amp;" T-Shirts")), "")</f>
        <v/>
      </c>
      <c r="E1170" s="4" t="str">
        <f>Registered!AT2663</f>
        <v/>
      </c>
      <c r="F1170" s="4" t="str">
        <f>Registered!AU2663</f>
        <v/>
      </c>
      <c r="G1170" s="4" t="str">
        <f>Registered!AW2663</f>
        <v/>
      </c>
      <c r="H1170" s="4" t="str">
        <f>Registered!AX2663</f>
        <v/>
      </c>
      <c r="I1170" s="4" t="str">
        <f>Registered!AY2663</f>
        <v/>
      </c>
    </row>
    <row r="1171" spans="1:9" x14ac:dyDescent="0.25">
      <c r="A1171" s="4" t="str">
        <f>Registered!B2668</f>
        <v>Woolf</v>
      </c>
      <c r="B1171" s="4" t="str">
        <f>Registered!A2668</f>
        <v>Megan</v>
      </c>
      <c r="C1171" s="4" t="str">
        <f>IF(Registered!AR2668&gt;0,Registered!AR2668&amp;" Color Bags", "")</f>
        <v>5 Color Bags</v>
      </c>
      <c r="D1171" s="4" t="str">
        <f>IF(Registered!AS2668&gt;0,(IF(Registered!AS2668=1,Registered!AS2668&amp;" T-Shirt",Registered!AS2668&amp;" T-Shirts")), "")</f>
        <v/>
      </c>
      <c r="E1171" s="4" t="str">
        <f>Registered!AT2668</f>
        <v/>
      </c>
      <c r="F1171" s="4" t="str">
        <f>Registered!AU2668</f>
        <v/>
      </c>
      <c r="G1171" s="4" t="str">
        <f>Registered!AW2668</f>
        <v/>
      </c>
      <c r="H1171" s="4" t="str">
        <f>Registered!AX2668</f>
        <v/>
      </c>
      <c r="I1171" s="4" t="str">
        <f>Registered!AY2668</f>
        <v/>
      </c>
    </row>
    <row r="1172" spans="1:9" x14ac:dyDescent="0.25">
      <c r="A1172" s="4" t="str">
        <f>Registered!B2669</f>
        <v>Woolford</v>
      </c>
      <c r="B1172" s="4" t="str">
        <f>Registered!A2669</f>
        <v>Marti</v>
      </c>
      <c r="C1172" s="4" t="str">
        <f>IF(Registered!AR2669&gt;0,Registered!AR2669&amp;" Color Bags", "")</f>
        <v>5 Color Bags</v>
      </c>
      <c r="D1172" s="4" t="str">
        <f>IF(Registered!AS2669&gt;0,(IF(Registered!AS2669=1,Registered!AS2669&amp;" T-Shirt",Registered!AS2669&amp;" T-Shirts")), "")</f>
        <v/>
      </c>
      <c r="E1172" s="4" t="str">
        <f>Registered!AT2669</f>
        <v/>
      </c>
      <c r="F1172" s="4" t="str">
        <f>Registered!AU2669</f>
        <v/>
      </c>
      <c r="G1172" s="4" t="str">
        <f>Registered!AW2669</f>
        <v/>
      </c>
      <c r="H1172" s="4" t="str">
        <f>Registered!AX2669</f>
        <v/>
      </c>
      <c r="I1172" s="4" t="str">
        <f>Registered!AY2669</f>
        <v/>
      </c>
    </row>
    <row r="1173" spans="1:9" x14ac:dyDescent="0.25">
      <c r="A1173" s="4" t="str">
        <f>Registered!B2672</f>
        <v>Worthen</v>
      </c>
      <c r="B1173" s="4" t="str">
        <f>Registered!A2672</f>
        <v>Michelle</v>
      </c>
      <c r="C1173" s="4" t="str">
        <f>IF(Registered!AR2672&gt;0,Registered!AR2672&amp;" Color Bags", "")</f>
        <v>10 Color Bags</v>
      </c>
      <c r="D1173" s="4" t="str">
        <f>IF(Registered!AS2672&gt;0,(IF(Registered!AS2672=1,Registered!AS2672&amp;" T-Shirt",Registered!AS2672&amp;" T-Shirts")), "")</f>
        <v/>
      </c>
      <c r="E1173" s="4" t="str">
        <f>Registered!AT2672</f>
        <v/>
      </c>
      <c r="F1173" s="4" t="str">
        <f>Registered!AU2672</f>
        <v>3 Bandanas</v>
      </c>
      <c r="G1173" s="4" t="str">
        <f>Registered!AW2672</f>
        <v/>
      </c>
      <c r="H1173" s="4" t="str">
        <f>Registered!AX2672</f>
        <v/>
      </c>
      <c r="I1173" s="4" t="str">
        <f>Registered!AY2672</f>
        <v/>
      </c>
    </row>
    <row r="1174" spans="1:9" x14ac:dyDescent="0.25">
      <c r="A1174" s="4" t="str">
        <f>Registered!B2673</f>
        <v>Worthen</v>
      </c>
      <c r="B1174" s="4" t="str">
        <f>Registered!A2673</f>
        <v>Rikki</v>
      </c>
      <c r="C1174" s="4" t="str">
        <f>IF(Registered!AR2673&gt;0,Registered!AR2673&amp;" Color Bags", "")</f>
        <v>30 Color Bags</v>
      </c>
      <c r="D1174" s="4" t="str">
        <f>IF(Registered!AS2673&gt;0,(IF(Registered!AS2673=1,Registered!AS2673&amp;" T-Shirt",Registered!AS2673&amp;" T-Shirts")), "")</f>
        <v/>
      </c>
      <c r="E1174" s="4" t="str">
        <f>Registered!AT2673</f>
        <v/>
      </c>
      <c r="F1174" s="4" t="str">
        <f>Registered!AU2673</f>
        <v/>
      </c>
      <c r="G1174" s="4" t="str">
        <f>Registered!AW2673</f>
        <v/>
      </c>
      <c r="H1174" s="4" t="str">
        <f>Registered!AX2673</f>
        <v/>
      </c>
      <c r="I1174" s="4" t="str">
        <f>Registered!AY2673</f>
        <v/>
      </c>
    </row>
    <row r="1175" spans="1:9" x14ac:dyDescent="0.25">
      <c r="A1175" s="4" t="str">
        <f>Registered!B2678</f>
        <v>Wright</v>
      </c>
      <c r="B1175" s="4" t="str">
        <f>Registered!A2678</f>
        <v>Camron</v>
      </c>
      <c r="C1175" s="4" t="str">
        <f>IF(Registered!AR2678&gt;0,Registered!AR2678&amp;" Color Bags", "")</f>
        <v>10 Color Bags</v>
      </c>
      <c r="D1175" s="4" t="str">
        <f>IF(Registered!AS2678&gt;0,(IF(Registered!AS2678=1,Registered!AS2678&amp;" T-Shirt",Registered!AS2678&amp;" T-Shirts")), "")</f>
        <v>2 T-Shirts</v>
      </c>
      <c r="E1175" s="4" t="str">
        <f>Registered!AT2678</f>
        <v>Small and Medium Adult</v>
      </c>
      <c r="F1175" s="4" t="str">
        <f>Registered!AU2678</f>
        <v>2 Bandanas</v>
      </c>
      <c r="G1175" s="4" t="str">
        <f>Registered!AW2678</f>
        <v>2 Meals</v>
      </c>
      <c r="H1175" s="4" t="str">
        <f>Registered!AX2678</f>
        <v/>
      </c>
      <c r="I1175" s="4" t="str">
        <f>Registered!AY2678</f>
        <v/>
      </c>
    </row>
    <row r="1176" spans="1:9" x14ac:dyDescent="0.25">
      <c r="A1176" s="4" t="str">
        <f>Registered!B2684</f>
        <v>Wright</v>
      </c>
      <c r="B1176" s="4" t="str">
        <f>Registered!A2684</f>
        <v>Mindy</v>
      </c>
      <c r="C1176" s="4" t="str">
        <f>IF(Registered!AR2684&gt;0,Registered!AR2684&amp;" Color Bags", "")</f>
        <v>15 Color Bags</v>
      </c>
      <c r="D1176" s="4" t="str">
        <f>IF(Registered!AS2684&gt;0,(IF(Registered!AS2684=1,Registered!AS2684&amp;" T-Shirt",Registered!AS2684&amp;" T-Shirts")), "")</f>
        <v/>
      </c>
      <c r="E1176" s="4" t="str">
        <f>Registered!AT2684</f>
        <v/>
      </c>
      <c r="F1176" s="4" t="str">
        <f>Registered!AU2684</f>
        <v/>
      </c>
      <c r="G1176" s="4" t="str">
        <f>Registered!AW2684</f>
        <v/>
      </c>
      <c r="H1176" s="4" t="str">
        <f>Registered!AX2684</f>
        <v/>
      </c>
      <c r="I1176" s="4" t="str">
        <f>Registered!AY2684</f>
        <v/>
      </c>
    </row>
    <row r="1177" spans="1:9" x14ac:dyDescent="0.25">
      <c r="A1177" s="4" t="str">
        <f>Registered!B2680</f>
        <v>Wright</v>
      </c>
      <c r="B1177" s="4" t="str">
        <f>Registered!A2680</f>
        <v>Kelly</v>
      </c>
      <c r="C1177" s="4" t="str">
        <f>IF(Registered!AR2680&gt;0,Registered!AR2680&amp;" Color Bags", "")</f>
        <v>30 Color Bags</v>
      </c>
      <c r="D1177" s="4" t="str">
        <f>IF(Registered!AS2680&gt;0,(IF(Registered!AS2680=1,Registered!AS2680&amp;" T-Shirt",Registered!AS2680&amp;" T-Shirts")), "")</f>
        <v/>
      </c>
      <c r="E1177" s="4" t="str">
        <f>Registered!AT2680</f>
        <v/>
      </c>
      <c r="F1177" s="4" t="str">
        <f>Registered!AU2680</f>
        <v/>
      </c>
      <c r="G1177" s="4" t="str">
        <f>Registered!AW2680</f>
        <v/>
      </c>
      <c r="H1177" s="4" t="str">
        <f>Registered!AX2680</f>
        <v/>
      </c>
      <c r="I1177" s="4" t="str">
        <f>Registered!AY2680</f>
        <v/>
      </c>
    </row>
    <row r="1178" spans="1:9" x14ac:dyDescent="0.25">
      <c r="A1178" s="4" t="str">
        <f>Registered!B2687</f>
        <v>Wymore</v>
      </c>
      <c r="B1178" s="4" t="str">
        <f>Registered!A2687</f>
        <v>Gunnar</v>
      </c>
      <c r="C1178" s="4" t="str">
        <f>IF(Registered!AR2687&gt;0,Registered!AR2687&amp;" Color Bags", "")</f>
        <v>5 Color Bags</v>
      </c>
      <c r="D1178" s="4" t="str">
        <f>IF(Registered!AS2687&gt;0,(IF(Registered!AS2687=1,Registered!AS2687&amp;" T-Shirt",Registered!AS2687&amp;" T-Shirts")), "")</f>
        <v/>
      </c>
      <c r="E1178" s="4" t="str">
        <f>Registered!AT2687</f>
        <v/>
      </c>
      <c r="F1178" s="4" t="str">
        <f>Registered!AU2687</f>
        <v/>
      </c>
      <c r="G1178" s="4" t="str">
        <f>Registered!AW2687</f>
        <v/>
      </c>
      <c r="H1178" s="4" t="str">
        <f>Registered!AX2687</f>
        <v/>
      </c>
      <c r="I1178" s="4" t="str">
        <f>Registered!AY2687</f>
        <v/>
      </c>
    </row>
    <row r="1179" spans="1:9" x14ac:dyDescent="0.25">
      <c r="A1179" s="4" t="str">
        <f>Registered!B2694</f>
        <v>Young</v>
      </c>
      <c r="B1179" s="4" t="str">
        <f>Registered!A2694</f>
        <v>Amber</v>
      </c>
      <c r="C1179" s="4" t="str">
        <f>IF(Registered!AR2694&gt;0,Registered!AR2694&amp;" Color Bags", "")</f>
        <v>10 Color Bags</v>
      </c>
      <c r="D1179" s="4" t="str">
        <f>IF(Registered!AS2694&gt;0,(IF(Registered!AS2694=1,Registered!AS2694&amp;" T-Shirt",Registered!AS2694&amp;" T-Shirts")), "")</f>
        <v/>
      </c>
      <c r="E1179" s="4" t="str">
        <f>Registered!AT2694</f>
        <v/>
      </c>
      <c r="F1179" s="4" t="str">
        <f>Registered!AU2694</f>
        <v/>
      </c>
      <c r="G1179" s="4" t="str">
        <f>Registered!AW2694</f>
        <v/>
      </c>
      <c r="H1179" s="4" t="str">
        <f>Registered!AX2694</f>
        <v/>
      </c>
      <c r="I1179" s="4" t="str">
        <f>Registered!AY2694</f>
        <v/>
      </c>
    </row>
    <row r="1180" spans="1:9" x14ac:dyDescent="0.25">
      <c r="A1180" s="4" t="str">
        <f>Registered!B2695</f>
        <v>Young</v>
      </c>
      <c r="B1180" s="4" t="str">
        <f>Registered!A2695</f>
        <v>Brenda</v>
      </c>
      <c r="C1180" s="4" t="str">
        <f>IF(Registered!AR2695&gt;0,Registered!AR2695&amp;" Color Bags", "")</f>
        <v>20 Color Bags</v>
      </c>
      <c r="D1180" s="4" t="str">
        <f>IF(Registered!AS2695&gt;0,(IF(Registered!AS2695=1,Registered!AS2695&amp;" T-Shirt",Registered!AS2695&amp;" T-Shirts")), "")</f>
        <v>2 T-Shirts</v>
      </c>
      <c r="E1180" s="4" t="str">
        <f>Registered!AT2695</f>
        <v>large and extra large</v>
      </c>
      <c r="F1180" s="4" t="str">
        <f>Registered!AU2695</f>
        <v/>
      </c>
      <c r="G1180" s="4" t="str">
        <f>Registered!AW2695</f>
        <v/>
      </c>
      <c r="H1180" s="4" t="str">
        <f>Registered!AX2695</f>
        <v/>
      </c>
      <c r="I1180" s="4" t="str">
        <f>Registered!AY2695</f>
        <v/>
      </c>
    </row>
    <row r="1181" spans="1:9" x14ac:dyDescent="0.25">
      <c r="A1181" s="4" t="str">
        <f>Registered!B2698</f>
        <v>Young</v>
      </c>
      <c r="B1181" s="4" t="str">
        <f>Registered!A2698</f>
        <v>Jennifer</v>
      </c>
      <c r="C1181" s="4" t="str">
        <f>IF(Registered!AR2698&gt;0,Registered!AR2698&amp;" Color Bags", "")</f>
        <v>20 Color Bags</v>
      </c>
      <c r="D1181" s="4" t="str">
        <f>IF(Registered!AS2698&gt;0,(IF(Registered!AS2698=1,Registered!AS2698&amp;" T-Shirt",Registered!AS2698&amp;" T-Shirts")), "")</f>
        <v/>
      </c>
      <c r="E1181" s="4" t="str">
        <f>Registered!AT2698</f>
        <v/>
      </c>
      <c r="F1181" s="4" t="str">
        <f>Registered!AU2698</f>
        <v/>
      </c>
      <c r="G1181" s="4" t="str">
        <f>Registered!AW2698</f>
        <v/>
      </c>
      <c r="H1181" s="4" t="str">
        <f>Registered!AX2698</f>
        <v/>
      </c>
      <c r="I1181" s="4" t="str">
        <f>Registered!AY2698</f>
        <v/>
      </c>
    </row>
    <row r="1182" spans="1:9" x14ac:dyDescent="0.25">
      <c r="A1182" s="4" t="str">
        <f>Registered!B2700</f>
        <v>Young</v>
      </c>
      <c r="B1182" s="4" t="str">
        <f>Registered!A2700</f>
        <v>Kevin</v>
      </c>
      <c r="C1182" s="4" t="str">
        <f>IF(Registered!AR2700&gt;0,Registered!AR2700&amp;" Color Bags", "")</f>
        <v>20 Color Bags</v>
      </c>
      <c r="D1182" s="4" t="str">
        <f>IF(Registered!AS2700&gt;0,(IF(Registered!AS2700=1,Registered!AS2700&amp;" T-Shirt",Registered!AS2700&amp;" T-Shirts")), "")</f>
        <v/>
      </c>
      <c r="E1182" s="4" t="str">
        <f>Registered!AT2700</f>
        <v/>
      </c>
      <c r="F1182" s="4" t="str">
        <f>Registered!AU2700</f>
        <v/>
      </c>
      <c r="G1182" s="4" t="str">
        <f>Registered!AW2700</f>
        <v>3 Meals</v>
      </c>
      <c r="H1182" s="4" t="str">
        <f>Registered!AX2700</f>
        <v/>
      </c>
      <c r="I1182" s="4" t="str">
        <f>Registered!AY2700</f>
        <v/>
      </c>
    </row>
    <row r="1183" spans="1:9" x14ac:dyDescent="0.25">
      <c r="A1183" s="4" t="str">
        <f>Registered!B2705</f>
        <v>Zaelit</v>
      </c>
      <c r="B1183" s="4" t="str">
        <f>Registered!A2705</f>
        <v>Joe</v>
      </c>
      <c r="C1183" s="4" t="str">
        <f>IF(Registered!AR2705&gt;0,Registered!AR2705&amp;" Color Bags", "")</f>
        <v>10 Color Bags</v>
      </c>
      <c r="D1183" s="4" t="str">
        <f>IF(Registered!AS2705&gt;0,(IF(Registered!AS2705=1,Registered!AS2705&amp;" T-Shirt",Registered!AS2705&amp;" T-Shirts")), "")</f>
        <v/>
      </c>
      <c r="E1183" s="4" t="str">
        <f>Registered!AT2705</f>
        <v/>
      </c>
      <c r="F1183" s="4" t="str">
        <f>Registered!AU2705</f>
        <v/>
      </c>
      <c r="G1183" s="4" t="str">
        <f>Registered!AW2705</f>
        <v/>
      </c>
      <c r="H1183" s="4" t="str">
        <f>Registered!AX2705</f>
        <v/>
      </c>
      <c r="I1183" s="4" t="str">
        <f>Registered!AY2705</f>
        <v/>
      </c>
    </row>
    <row r="1184" spans="1:9" x14ac:dyDescent="0.25">
      <c r="A1184" s="4" t="str">
        <f>Registered!B2708</f>
        <v>Ziegler</v>
      </c>
      <c r="B1184" s="4" t="str">
        <f>Registered!A2708</f>
        <v>Barbara</v>
      </c>
      <c r="C1184" s="4" t="str">
        <f>IF(Registered!AR2708&gt;0,Registered!AR2708&amp;" Color Bags", "")</f>
        <v>20 Color Bags</v>
      </c>
      <c r="D1184" s="4" t="str">
        <f>IF(Registered!AS2708&gt;0,(IF(Registered!AS2708=1,Registered!AS2708&amp;" T-Shirt",Registered!AS2708&amp;" T-Shirts")), "")</f>
        <v/>
      </c>
      <c r="E1184" s="4" t="str">
        <f>Registered!AT2708</f>
        <v/>
      </c>
      <c r="F1184" s="4" t="str">
        <f>Registered!AU2708</f>
        <v/>
      </c>
      <c r="G1184" s="4" t="str">
        <f>Registered!AW2708</f>
        <v/>
      </c>
      <c r="H1184" s="4" t="str">
        <f>Registered!AX2708</f>
        <v/>
      </c>
      <c r="I1184" s="4" t="str">
        <f>Registered!AY2708</f>
        <v>1 DustMask</v>
      </c>
    </row>
    <row r="1185" spans="1:9" x14ac:dyDescent="0.25">
      <c r="A1185" s="4" t="str">
        <f>Registered!B2711</f>
        <v>Zlak</v>
      </c>
      <c r="B1185" s="4" t="str">
        <f>Registered!A2711</f>
        <v>Rafal</v>
      </c>
      <c r="C1185" s="4" t="str">
        <f>IF(Registered!AR2711&gt;0,Registered!AR2711&amp;" Color Bags", "")</f>
        <v>5 Color Bags</v>
      </c>
      <c r="D1185" s="4" t="str">
        <f>IF(Registered!AS2711&gt;0,(IF(Registered!AS2711=1,Registered!AS2711&amp;" T-Shirt",Registered!AS2711&amp;" T-Shirts")), "")</f>
        <v/>
      </c>
      <c r="E1185" s="4" t="str">
        <f>Registered!AT2711</f>
        <v/>
      </c>
      <c r="F1185" s="4" t="str">
        <f>Registered!AU2711</f>
        <v/>
      </c>
      <c r="G1185" s="4" t="str">
        <f>Registered!AW2711</f>
        <v>1 Meal</v>
      </c>
      <c r="H1185" s="4" t="str">
        <f>Registered!AX2711</f>
        <v/>
      </c>
      <c r="I1185" s="4" t="str">
        <f>Registered!AY2711</f>
        <v>1 DustMask</v>
      </c>
    </row>
    <row r="1186" spans="1:9" x14ac:dyDescent="0.25">
      <c r="A1186" s="4" t="str">
        <f>Registered!B2714</f>
        <v>Zukanovich</v>
      </c>
      <c r="B1186" s="4" t="str">
        <f>Registered!A2714</f>
        <v>Dana</v>
      </c>
      <c r="C1186" s="4" t="str">
        <f>IF(Registered!AR2714&gt;0,Registered!AR2714&amp;" Color Bags", "")</f>
        <v>5 Color Bags</v>
      </c>
      <c r="D1186" s="4" t="str">
        <f>IF(Registered!AS2714&gt;0,(IF(Registered!AS2714=1,Registered!AS2714&amp;" T-Shirt",Registered!AS2714&amp;" T-Shirts")), "")</f>
        <v/>
      </c>
      <c r="E1186" s="4" t="str">
        <f>Registered!AT2714</f>
        <v/>
      </c>
      <c r="F1186" s="4" t="str">
        <f>Registered!AU2714</f>
        <v/>
      </c>
      <c r="G1186" s="4" t="str">
        <f>Registered!AW2714</f>
        <v/>
      </c>
      <c r="H1186" s="4" t="str">
        <f>Registered!AX2714</f>
        <v/>
      </c>
      <c r="I1186" s="4" t="str">
        <f>Registered!AY2714</f>
        <v/>
      </c>
    </row>
  </sheetData>
  <autoFilter ref="A1:I1" xr:uid="{00000000-0009-0000-0000-000003000000}">
    <sortState xmlns:xlrd2="http://schemas.microsoft.com/office/spreadsheetml/2017/richdata2" ref="A2:I1186">
      <sortCondition ref="A1"/>
    </sortState>
  </autoFilter>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1186"/>
  <sheetViews>
    <sheetView workbookViewId="0">
      <selection activeCell="C11" sqref="C11"/>
    </sheetView>
  </sheetViews>
  <sheetFormatPr defaultRowHeight="15" x14ac:dyDescent="0.25"/>
  <cols>
    <col min="1" max="1" width="20.42578125" bestFit="1" customWidth="1"/>
    <col min="2" max="2" width="16.42578125" bestFit="1" customWidth="1"/>
    <col min="3" max="3" width="12.7109375" customWidth="1"/>
    <col min="4" max="4" width="10.28515625" customWidth="1"/>
    <col min="5" max="5" width="13.85546875" customWidth="1"/>
    <col min="6" max="6" width="11.42578125" customWidth="1"/>
    <col min="8" max="8" width="10.140625" customWidth="1"/>
    <col min="9" max="9" width="21.140625" customWidth="1"/>
  </cols>
  <sheetData>
    <row r="1" spans="1:9" x14ac:dyDescent="0.25">
      <c r="A1" s="4" t="s">
        <v>1</v>
      </c>
      <c r="B1" s="4" t="s">
        <v>0</v>
      </c>
      <c r="C1" s="4" t="s">
        <v>6084</v>
      </c>
      <c r="D1" s="4" t="s">
        <v>6085</v>
      </c>
      <c r="E1" s="4" t="s">
        <v>539</v>
      </c>
      <c r="F1" s="4" t="s">
        <v>6086</v>
      </c>
      <c r="G1" s="4" t="s">
        <v>6087</v>
      </c>
      <c r="H1" s="4" t="s">
        <v>6088</v>
      </c>
      <c r="I1" s="4" t="s">
        <v>6089</v>
      </c>
    </row>
    <row r="2" spans="1:9" x14ac:dyDescent="0.25">
      <c r="A2" s="4" t="str">
        <f>Registered!B3</f>
        <v>Aatish</v>
      </c>
      <c r="B2" s="4" t="str">
        <f>Registered!A3</f>
        <v>Kumar</v>
      </c>
      <c r="C2" s="4" t="str">
        <f>IF(Registered!AR3&gt;0,Registered!AR3&amp;" Color Bags", "")</f>
        <v>5 Color Bags</v>
      </c>
      <c r="D2" s="4" t="str">
        <f>IF(Registered!AS3&gt;0,(IF(Registered!AS3=1,Registered!AS3&amp;" T-Shirt",Registered!AS3&amp;" T-Shirts")), "")</f>
        <v/>
      </c>
      <c r="E2" s="4" t="str">
        <f>Registered!AT3</f>
        <v/>
      </c>
      <c r="F2" s="4" t="str">
        <f>Registered!AU3</f>
        <v/>
      </c>
      <c r="G2" s="4" t="str">
        <f>Registered!AW3</f>
        <v>2 Meals</v>
      </c>
      <c r="H2" s="4" t="str">
        <f>Registered!AX3</f>
        <v/>
      </c>
      <c r="I2" s="4" t="str">
        <f>Registered!AY3</f>
        <v/>
      </c>
    </row>
    <row r="3" spans="1:9" x14ac:dyDescent="0.25">
      <c r="A3" s="4" t="str">
        <f>Registered!B5</f>
        <v>Abalos</v>
      </c>
      <c r="B3" s="4" t="str">
        <f>Registered!A5</f>
        <v>Diana</v>
      </c>
      <c r="C3" s="4" t="str">
        <f>IF(Registered!AR5&gt;0,Registered!AR5&amp;" Color Bags", "")</f>
        <v>20 Color Bags</v>
      </c>
      <c r="D3" s="4" t="str">
        <f>IF(Registered!AS5&gt;0,(IF(Registered!AS5=1,Registered!AS5&amp;" T-Shirt",Registered!AS5&amp;" T-Shirts")), "")</f>
        <v/>
      </c>
      <c r="E3" s="4" t="str">
        <f>Registered!AT5</f>
        <v/>
      </c>
      <c r="F3" s="4" t="str">
        <f>Registered!AU5</f>
        <v/>
      </c>
      <c r="G3" s="4" t="str">
        <f>Registered!AW5</f>
        <v/>
      </c>
      <c r="H3" s="4" t="str">
        <f>Registered!AX5</f>
        <v/>
      </c>
      <c r="I3" s="4" t="str">
        <f>Registered!AY5</f>
        <v/>
      </c>
    </row>
    <row r="4" spans="1:9" x14ac:dyDescent="0.25">
      <c r="A4" s="4" t="str">
        <f>Registered!B9</f>
        <v>Acker</v>
      </c>
      <c r="B4" s="4" t="str">
        <f>Registered!A9</f>
        <v>Joshua</v>
      </c>
      <c r="C4" s="4" t="str">
        <f>IF(Registered!AR9&gt;0,Registered!AR9&amp;" Color Bags", "")</f>
        <v>5 Color Bags</v>
      </c>
      <c r="D4" s="4" t="str">
        <f>IF(Registered!AS9&gt;0,(IF(Registered!AS9=1,Registered!AS9&amp;" T-Shirt",Registered!AS9&amp;" T-Shirts")), "")</f>
        <v>2 T-Shirts</v>
      </c>
      <c r="E4" s="4" t="str">
        <f>Registered!AT9</f>
        <v>2 Mediums</v>
      </c>
      <c r="F4" s="4" t="str">
        <f>Registered!AU9</f>
        <v/>
      </c>
      <c r="G4" s="4" t="str">
        <f>Registered!AW9</f>
        <v/>
      </c>
      <c r="H4" s="4" t="str">
        <f>Registered!AX9</f>
        <v/>
      </c>
      <c r="I4" s="4" t="str">
        <f>Registered!AY9</f>
        <v/>
      </c>
    </row>
    <row r="5" spans="1:9" x14ac:dyDescent="0.25">
      <c r="A5" s="4" t="str">
        <f>Registered!B11</f>
        <v>Adair</v>
      </c>
      <c r="B5" s="4" t="str">
        <f>Registered!A11</f>
        <v>Morgan</v>
      </c>
      <c r="C5" s="4" t="str">
        <f>IF(Registered!AR11&gt;0,Registered!AR11&amp;" Color Bags", "")</f>
        <v>20 Color Bags</v>
      </c>
      <c r="D5" s="4" t="str">
        <f>IF(Registered!AS11&gt;0,(IF(Registered!AS11=1,Registered!AS11&amp;" T-Shirt",Registered!AS11&amp;" T-Shirts")), "")</f>
        <v/>
      </c>
      <c r="E5" s="4" t="str">
        <f>Registered!AT11</f>
        <v/>
      </c>
      <c r="F5" s="4" t="str">
        <f>Registered!AU11</f>
        <v/>
      </c>
      <c r="G5" s="4" t="str">
        <f>Registered!AW11</f>
        <v/>
      </c>
      <c r="H5" s="4" t="str">
        <f>Registered!AX11</f>
        <v/>
      </c>
      <c r="I5" s="4" t="str">
        <f>Registered!AY11</f>
        <v/>
      </c>
    </row>
    <row r="6" spans="1:9" x14ac:dyDescent="0.25">
      <c r="A6" s="4" t="str">
        <f>Registered!B17</f>
        <v>Adams</v>
      </c>
      <c r="B6" s="4" t="str">
        <f>Registered!A17</f>
        <v>Quinn</v>
      </c>
      <c r="C6" s="4" t="str">
        <f>IF(Registered!AR17&gt;0,Registered!AR17&amp;" Color Bags", "")</f>
        <v>15 Color Bags</v>
      </c>
      <c r="D6" s="4" t="str">
        <f>IF(Registered!AS17&gt;0,(IF(Registered!AS17=1,Registered!AS17&amp;" T-Shirt",Registered!AS17&amp;" T-Shirts")), "")</f>
        <v>3 T-Shirts</v>
      </c>
      <c r="E6" s="4" t="str">
        <f>Registered!AT17</f>
        <v>3 Large</v>
      </c>
      <c r="F6" s="4" t="str">
        <f>Registered!AU17</f>
        <v/>
      </c>
      <c r="G6" s="4" t="str">
        <f>Registered!AW17</f>
        <v>3 Meals</v>
      </c>
      <c r="H6" s="4" t="str">
        <f>Registered!AX17</f>
        <v/>
      </c>
      <c r="I6" s="4" t="str">
        <f>Registered!AY17</f>
        <v/>
      </c>
    </row>
    <row r="7" spans="1:9" x14ac:dyDescent="0.25">
      <c r="A7" s="4" t="str">
        <f>Registered!B13</f>
        <v>Adams</v>
      </c>
      <c r="B7" s="4" t="str">
        <f>Registered!A13</f>
        <v>Braidee</v>
      </c>
      <c r="C7" s="4" t="str">
        <f>IF(Registered!AR13&gt;0,Registered!AR13&amp;" Color Bags", "")</f>
        <v>5 Color Bags</v>
      </c>
      <c r="D7" s="4" t="str">
        <f>IF(Registered!AS13&gt;0,(IF(Registered!AS13=1,Registered!AS13&amp;" T-Shirt",Registered!AS13&amp;" T-Shirts")), "")</f>
        <v/>
      </c>
      <c r="E7" s="4" t="str">
        <f>Registered!AT13</f>
        <v/>
      </c>
      <c r="F7" s="4" t="str">
        <f>Registered!AU13</f>
        <v/>
      </c>
      <c r="G7" s="4" t="str">
        <f>Registered!AW13</f>
        <v/>
      </c>
      <c r="H7" s="4" t="str">
        <f>Registered!AX13</f>
        <v/>
      </c>
      <c r="I7" s="4" t="str">
        <f>Registered!AY13</f>
        <v/>
      </c>
    </row>
    <row r="8" spans="1:9" x14ac:dyDescent="0.25">
      <c r="A8" s="4" t="str">
        <f>Registered!B16</f>
        <v>Adams</v>
      </c>
      <c r="B8" s="4" t="str">
        <f>Registered!A16</f>
        <v>Margaret</v>
      </c>
      <c r="C8" s="4" t="str">
        <f>IF(Registered!AR16&gt;0,Registered!AR16&amp;" Color Bags", "")</f>
        <v>5 Color Bags</v>
      </c>
      <c r="D8" s="4" t="str">
        <f>IF(Registered!AS16&gt;0,(IF(Registered!AS16=1,Registered!AS16&amp;" T-Shirt",Registered!AS16&amp;" T-Shirts")), "")</f>
        <v/>
      </c>
      <c r="E8" s="4" t="str">
        <f>Registered!AT16</f>
        <v/>
      </c>
      <c r="F8" s="4" t="str">
        <f>Registered!AU16</f>
        <v/>
      </c>
      <c r="G8" s="4" t="str">
        <f>Registered!AW16</f>
        <v>1 Meal</v>
      </c>
      <c r="H8" s="4" t="str">
        <f>Registered!AX16</f>
        <v/>
      </c>
      <c r="I8" s="4" t="str">
        <f>Registered!AY16</f>
        <v/>
      </c>
    </row>
    <row r="9" spans="1:9" x14ac:dyDescent="0.25">
      <c r="A9" s="4" t="str">
        <f>Registered!B29</f>
        <v>Ahern</v>
      </c>
      <c r="B9" s="4" t="str">
        <f>Registered!A29</f>
        <v>Alice</v>
      </c>
      <c r="C9" s="4" t="str">
        <f>IF(Registered!AR29&gt;0,Registered!AR29&amp;" Color Bags", "")</f>
        <v>80 Color Bags</v>
      </c>
      <c r="D9" s="4" t="str">
        <f>IF(Registered!AS29&gt;0,(IF(Registered!AS29=1,Registered!AS29&amp;" T-Shirt",Registered!AS29&amp;" T-Shirts")), "")</f>
        <v/>
      </c>
      <c r="E9" s="4" t="str">
        <f>Registered!AT29</f>
        <v/>
      </c>
      <c r="F9" s="4" t="str">
        <f>Registered!AU29</f>
        <v/>
      </c>
      <c r="G9" s="4" t="str">
        <f>Registered!AW29</f>
        <v/>
      </c>
      <c r="H9" s="4" t="str">
        <f>Registered!AX29</f>
        <v/>
      </c>
      <c r="I9" s="4" t="str">
        <f>Registered!AY29</f>
        <v/>
      </c>
    </row>
    <row r="10" spans="1:9" x14ac:dyDescent="0.25">
      <c r="A10" s="4" t="str">
        <f>Registered!B32</f>
        <v>Ahles</v>
      </c>
      <c r="B10" s="4" t="str">
        <f>Registered!A32</f>
        <v>Lauren</v>
      </c>
      <c r="C10" s="4" t="str">
        <f>IF(Registered!AR32&gt;0,Registered!AR32&amp;" Color Bags", "")</f>
        <v>10 Color Bags</v>
      </c>
      <c r="D10" s="4" t="str">
        <f>IF(Registered!AS32&gt;0,(IF(Registered!AS32=1,Registered!AS32&amp;" T-Shirt",Registered!AS32&amp;" T-Shirts")), "")</f>
        <v/>
      </c>
      <c r="E10" s="4" t="str">
        <f>Registered!AT32</f>
        <v/>
      </c>
      <c r="F10" s="4" t="str">
        <f>Registered!AU32</f>
        <v/>
      </c>
      <c r="G10" s="4" t="str">
        <f>Registered!AW32</f>
        <v>2 Meals</v>
      </c>
      <c r="H10" s="4" t="str">
        <f>Registered!AX32</f>
        <v/>
      </c>
      <c r="I10" s="4" t="str">
        <f>Registered!AY32</f>
        <v/>
      </c>
    </row>
    <row r="11" spans="1:9" x14ac:dyDescent="0.25">
      <c r="A11" s="4" t="str">
        <f>Registered!B34</f>
        <v>Akina</v>
      </c>
      <c r="B11" s="4" t="str">
        <f>Registered!A34</f>
        <v>Kaile</v>
      </c>
      <c r="C11" s="4" t="str">
        <f>IF(Registered!AR34&gt;0,Registered!AR34&amp;" Color Bags", "")</f>
        <v>5 Color Bags</v>
      </c>
      <c r="D11" s="4" t="str">
        <f>IF(Registered!AS34&gt;0,(IF(Registered!AS34=1,Registered!AS34&amp;" T-Shirt",Registered!AS34&amp;" T-Shirts")), "")</f>
        <v>1 T-Shirt</v>
      </c>
      <c r="E11" s="4" t="str">
        <f>Registered!AT34</f>
        <v>Adult Medium</v>
      </c>
      <c r="F11" s="4" t="str">
        <f>Registered!AU34</f>
        <v/>
      </c>
      <c r="G11" s="4" t="str">
        <f>Registered!AW34</f>
        <v>1 Meal</v>
      </c>
      <c r="H11" s="4" t="str">
        <f>Registered!AX34</f>
        <v>1 BG</v>
      </c>
      <c r="I11" s="4" t="str">
        <f>Registered!AY34</f>
        <v/>
      </c>
    </row>
    <row r="12" spans="1:9" x14ac:dyDescent="0.25">
      <c r="A12" s="4" t="str">
        <f>Registered!B37</f>
        <v>Alexander</v>
      </c>
      <c r="B12" s="4" t="str">
        <f>Registered!A37</f>
        <v>Staci</v>
      </c>
      <c r="C12" s="4" t="str">
        <f>IF(Registered!AR37&gt;0,Registered!AR37&amp;" Color Bags", "")</f>
        <v>5 Color Bags</v>
      </c>
      <c r="D12" s="4" t="str">
        <f>IF(Registered!AS37&gt;0,(IF(Registered!AS37=1,Registered!AS37&amp;" T-Shirt",Registered!AS37&amp;" T-Shirts")), "")</f>
        <v>1 T-Shirt</v>
      </c>
      <c r="E12" s="4" t="str">
        <f>Registered!AT37</f>
        <v>Men's medium</v>
      </c>
      <c r="F12" s="4" t="str">
        <f>Registered!AU37</f>
        <v>1 Bandana</v>
      </c>
      <c r="G12" s="4" t="str">
        <f>Registered!AW37</f>
        <v/>
      </c>
      <c r="H12" s="4" t="str">
        <f>Registered!AX37</f>
        <v/>
      </c>
      <c r="I12" s="4" t="str">
        <f>Registered!AY37</f>
        <v/>
      </c>
    </row>
    <row r="13" spans="1:9" x14ac:dyDescent="0.25">
      <c r="A13" s="4" t="str">
        <f>Registered!B39</f>
        <v>Alfarhan</v>
      </c>
      <c r="B13" s="4" t="str">
        <f>Registered!A39</f>
        <v>Mortdha</v>
      </c>
      <c r="C13" s="4" t="str">
        <f>IF(Registered!AR39&gt;0,Registered!AR39&amp;" Color Bags", "")</f>
        <v>40 Color Bags</v>
      </c>
      <c r="D13" s="4" t="str">
        <f>IF(Registered!AS39&gt;0,(IF(Registered!AS39=1,Registered!AS39&amp;" T-Shirt",Registered!AS39&amp;" T-Shirts")), "")</f>
        <v/>
      </c>
      <c r="E13" s="4" t="str">
        <f>Registered!AT39</f>
        <v/>
      </c>
      <c r="F13" s="4" t="str">
        <f>Registered!AU39</f>
        <v/>
      </c>
      <c r="G13" s="4" t="str">
        <f>Registered!AW39</f>
        <v/>
      </c>
      <c r="H13" s="4" t="str">
        <f>Registered!AX39</f>
        <v/>
      </c>
      <c r="I13" s="4" t="str">
        <f>Registered!AY39</f>
        <v/>
      </c>
    </row>
    <row r="14" spans="1:9" x14ac:dyDescent="0.25">
      <c r="A14" s="4" t="str">
        <f>Registered!B2720</f>
        <v>Allen</v>
      </c>
      <c r="B14" s="4" t="str">
        <f>Registered!A2720</f>
        <v>Sarah</v>
      </c>
      <c r="C14" s="4" t="str">
        <f>IF(Registered!AR2720&gt;0,Registered!AR2720&amp;" Color Bags", "")</f>
        <v>10 Color Bags</v>
      </c>
      <c r="D14" s="4" t="str">
        <f>IF(Registered!AS2720&gt;0,(IF(Registered!AS2720=1,Registered!AS2720&amp;" T-Shirt",Registered!AS2720&amp;" T-Shirts")), "")</f>
        <v/>
      </c>
      <c r="E14" s="4" t="str">
        <f>Registered!AT2720</f>
        <v/>
      </c>
      <c r="F14" s="4" t="str">
        <f>Registered!AU2720</f>
        <v/>
      </c>
      <c r="G14" s="4" t="str">
        <f>Registered!AW2720</f>
        <v/>
      </c>
      <c r="H14" s="4" t="str">
        <f>Registered!AX2720</f>
        <v/>
      </c>
      <c r="I14" s="4" t="str">
        <f>Registered!AY2720</f>
        <v/>
      </c>
    </row>
    <row r="15" spans="1:9" x14ac:dyDescent="0.25">
      <c r="A15" s="4" t="str">
        <f>Registered!B43</f>
        <v>Allen</v>
      </c>
      <c r="B15" s="4" t="str">
        <f>Registered!A43</f>
        <v>Bryan</v>
      </c>
      <c r="C15" s="4" t="str">
        <f>IF(Registered!AR43&gt;0,Registered!AR43&amp;" Color Bags", "")</f>
        <v>5 Color Bags</v>
      </c>
      <c r="D15" s="4" t="str">
        <f>IF(Registered!AS43&gt;0,(IF(Registered!AS43=1,Registered!AS43&amp;" T-Shirt",Registered!AS43&amp;" T-Shirts")), "")</f>
        <v>1 T-Shirt</v>
      </c>
      <c r="E15" s="4" t="str">
        <f>Registered!AT43</f>
        <v>Large</v>
      </c>
      <c r="F15" s="4" t="str">
        <f>Registered!AU43</f>
        <v/>
      </c>
      <c r="G15" s="4" t="str">
        <f>Registered!AW43</f>
        <v>1 Meal</v>
      </c>
      <c r="H15" s="4" t="str">
        <f>Registered!AX43</f>
        <v/>
      </c>
      <c r="I15" s="4" t="str">
        <f>Registered!AY43</f>
        <v/>
      </c>
    </row>
    <row r="16" spans="1:9" x14ac:dyDescent="0.25">
      <c r="A16" s="4" t="str">
        <f>Registered!B44</f>
        <v>Allison</v>
      </c>
      <c r="B16" s="4" t="str">
        <f>Registered!A44</f>
        <v>Vicki</v>
      </c>
      <c r="C16" s="4" t="str">
        <f>IF(Registered!AR44&gt;0,Registered!AR44&amp;" Color Bags", "")</f>
        <v>10 Color Bags</v>
      </c>
      <c r="D16" s="4" t="str">
        <f>IF(Registered!AS44&gt;0,(IF(Registered!AS44=1,Registered!AS44&amp;" T-Shirt",Registered!AS44&amp;" T-Shirts")), "")</f>
        <v/>
      </c>
      <c r="E16" s="4" t="str">
        <f>Registered!AT44</f>
        <v/>
      </c>
      <c r="F16" s="4" t="str">
        <f>Registered!AU44</f>
        <v/>
      </c>
      <c r="G16" s="4" t="str">
        <f>Registered!AW44</f>
        <v/>
      </c>
      <c r="H16" s="4" t="str">
        <f>Registered!AX44</f>
        <v/>
      </c>
      <c r="I16" s="4" t="str">
        <f>Registered!AY44</f>
        <v/>
      </c>
    </row>
    <row r="17" spans="1:9" x14ac:dyDescent="0.25">
      <c r="A17" s="4" t="str">
        <f>Registered!B46</f>
        <v>Allred</v>
      </c>
      <c r="B17" s="4" t="str">
        <f>Registered!A46</f>
        <v>Jake</v>
      </c>
      <c r="C17" s="4" t="str">
        <f>IF(Registered!AR46&gt;0,Registered!AR46&amp;" Color Bags", "")</f>
        <v>10 Color Bags</v>
      </c>
      <c r="D17" s="4" t="str">
        <f>IF(Registered!AS46&gt;0,(IF(Registered!AS46=1,Registered!AS46&amp;" T-Shirt",Registered!AS46&amp;" T-Shirts")), "")</f>
        <v/>
      </c>
      <c r="E17" s="4" t="str">
        <f>Registered!AT46</f>
        <v/>
      </c>
      <c r="F17" s="4" t="str">
        <f>Registered!AU46</f>
        <v/>
      </c>
      <c r="G17" s="4" t="str">
        <f>Registered!AW46</f>
        <v/>
      </c>
      <c r="H17" s="4" t="str">
        <f>Registered!AX46</f>
        <v/>
      </c>
      <c r="I17" s="4" t="str">
        <f>Registered!AY46</f>
        <v/>
      </c>
    </row>
    <row r="18" spans="1:9" x14ac:dyDescent="0.25">
      <c r="A18" s="4" t="str">
        <f>Registered!B48</f>
        <v>Allred</v>
      </c>
      <c r="B18" s="4" t="str">
        <f>Registered!A48</f>
        <v>Kristin</v>
      </c>
      <c r="C18" s="4" t="str">
        <f>IF(Registered!AR48&gt;0,Registered!AR48&amp;" Color Bags", "")</f>
        <v>20 Color Bags</v>
      </c>
      <c r="D18" s="4" t="str">
        <f>IF(Registered!AS48&gt;0,(IF(Registered!AS48=1,Registered!AS48&amp;" T-Shirt",Registered!AS48&amp;" T-Shirts")), "")</f>
        <v/>
      </c>
      <c r="E18" s="4" t="str">
        <f>Registered!AT48</f>
        <v/>
      </c>
      <c r="F18" s="4" t="str">
        <f>Registered!AU48</f>
        <v/>
      </c>
      <c r="G18" s="4" t="str">
        <f>Registered!AW48</f>
        <v/>
      </c>
      <c r="H18" s="4" t="str">
        <f>Registered!AX48</f>
        <v/>
      </c>
      <c r="I18" s="4" t="str">
        <f>Registered!AY48</f>
        <v/>
      </c>
    </row>
    <row r="19" spans="1:9" x14ac:dyDescent="0.25">
      <c r="A19" s="4" t="str">
        <f>Registered!B47</f>
        <v>Allred</v>
      </c>
      <c r="B19" s="4" t="str">
        <f>Registered!A47</f>
        <v>Jason</v>
      </c>
      <c r="C19" s="4" t="str">
        <f>IF(Registered!AR47&gt;0,Registered!AR47&amp;" Color Bags", "")</f>
        <v>5 Color Bags</v>
      </c>
      <c r="D19" s="4" t="str">
        <f>IF(Registered!AS47&gt;0,(IF(Registered!AS47=1,Registered!AS47&amp;" T-Shirt",Registered!AS47&amp;" T-Shirts")), "")</f>
        <v/>
      </c>
      <c r="E19" s="4" t="str">
        <f>Registered!AT47</f>
        <v/>
      </c>
      <c r="F19" s="4" t="str">
        <f>Registered!AU47</f>
        <v/>
      </c>
      <c r="G19" s="4" t="str">
        <f>Registered!AW47</f>
        <v/>
      </c>
      <c r="H19" s="4" t="str">
        <f>Registered!AX47</f>
        <v/>
      </c>
      <c r="I19" s="4" t="str">
        <f>Registered!AY47</f>
        <v/>
      </c>
    </row>
    <row r="20" spans="1:9" x14ac:dyDescent="0.25">
      <c r="A20" s="4" t="str">
        <f>Registered!B49</f>
        <v>Allred</v>
      </c>
      <c r="B20" s="4" t="str">
        <f>Registered!A49</f>
        <v>Madison</v>
      </c>
      <c r="C20" s="4" t="str">
        <f>IF(Registered!AR49&gt;0,Registered!AR49&amp;" Color Bags", "")</f>
        <v>5 Color Bags</v>
      </c>
      <c r="D20" s="4" t="str">
        <f>IF(Registered!AS49&gt;0,(IF(Registered!AS49=1,Registered!AS49&amp;" T-Shirt",Registered!AS49&amp;" T-Shirts")), "")</f>
        <v>1 T-Shirt</v>
      </c>
      <c r="E20" s="4" t="str">
        <f>Registered!AT49</f>
        <v>small</v>
      </c>
      <c r="F20" s="4" t="str">
        <f>Registered!AU49</f>
        <v/>
      </c>
      <c r="G20" s="4" t="str">
        <f>Registered!AW49</f>
        <v/>
      </c>
      <c r="H20" s="4" t="str">
        <f>Registered!AX49</f>
        <v/>
      </c>
      <c r="I20" s="4" t="str">
        <f>Registered!AY49</f>
        <v/>
      </c>
    </row>
    <row r="21" spans="1:9" x14ac:dyDescent="0.25">
      <c r="A21" s="4" t="str">
        <f>Registered!B51</f>
        <v>Ampuero</v>
      </c>
      <c r="B21" s="4" t="str">
        <f>Registered!A51</f>
        <v>Lyndsey</v>
      </c>
      <c r="C21" s="4" t="str">
        <f>IF(Registered!AR51&gt;0,Registered!AR51&amp;" Color Bags", "")</f>
        <v>5 Color Bags</v>
      </c>
      <c r="D21" s="4" t="str">
        <f>IF(Registered!AS51&gt;0,(IF(Registered!AS51=1,Registered!AS51&amp;" T-Shirt",Registered!AS51&amp;" T-Shirts")), "")</f>
        <v>1 T-Shirt</v>
      </c>
      <c r="E21" s="4" t="str">
        <f>Registered!AT51</f>
        <v>L</v>
      </c>
      <c r="F21" s="4" t="str">
        <f>Registered!AU51</f>
        <v/>
      </c>
      <c r="G21" s="4" t="str">
        <f>Registered!AW51</f>
        <v>1 Meal</v>
      </c>
      <c r="H21" s="4" t="str">
        <f>Registered!AX51</f>
        <v/>
      </c>
      <c r="I21" s="4" t="str">
        <f>Registered!AY51</f>
        <v/>
      </c>
    </row>
    <row r="22" spans="1:9" x14ac:dyDescent="0.25">
      <c r="A22" s="4" t="str">
        <f>Registered!B54</f>
        <v>Andersen</v>
      </c>
      <c r="B22" s="4" t="str">
        <f>Registered!A54</f>
        <v>Tori</v>
      </c>
      <c r="C22" s="4" t="str">
        <f>IF(Registered!AR54&gt;0,Registered!AR54&amp;" Color Bags", "")</f>
        <v>5 Color Bags</v>
      </c>
      <c r="D22" s="4" t="str">
        <f>IF(Registered!AS54&gt;0,(IF(Registered!AS54=1,Registered!AS54&amp;" T-Shirt",Registered!AS54&amp;" T-Shirts")), "")</f>
        <v/>
      </c>
      <c r="E22" s="4" t="str">
        <f>Registered!AT54</f>
        <v/>
      </c>
      <c r="F22" s="4" t="str">
        <f>Registered!AU54</f>
        <v/>
      </c>
      <c r="G22" s="4" t="str">
        <f>Registered!AW54</f>
        <v/>
      </c>
      <c r="H22" s="4" t="str">
        <f>Registered!AX54</f>
        <v/>
      </c>
      <c r="I22" s="4" t="str">
        <f>Registered!AY54</f>
        <v/>
      </c>
    </row>
    <row r="23" spans="1:9" x14ac:dyDescent="0.25">
      <c r="A23" s="4" t="str">
        <f>Registered!B58</f>
        <v>Anderson</v>
      </c>
      <c r="B23" s="4" t="str">
        <f>Registered!A58</f>
        <v>Carson</v>
      </c>
      <c r="C23" s="4" t="str">
        <f>IF(Registered!AR58&gt;0,Registered!AR58&amp;" Color Bags", "")</f>
        <v>10 Color Bags</v>
      </c>
      <c r="D23" s="4" t="str">
        <f>IF(Registered!AS58&gt;0,(IF(Registered!AS58=1,Registered!AS58&amp;" T-Shirt",Registered!AS58&amp;" T-Shirts")), "")</f>
        <v/>
      </c>
      <c r="E23" s="4" t="str">
        <f>Registered!AT58</f>
        <v/>
      </c>
      <c r="F23" s="4" t="str">
        <f>Registered!AU58</f>
        <v/>
      </c>
      <c r="G23" s="4" t="str">
        <f>Registered!AW58</f>
        <v/>
      </c>
      <c r="H23" s="4" t="str">
        <f>Registered!AX58</f>
        <v/>
      </c>
      <c r="I23" s="4" t="str">
        <f>Registered!AY58</f>
        <v/>
      </c>
    </row>
    <row r="24" spans="1:9" x14ac:dyDescent="0.25">
      <c r="A24" s="4" t="str">
        <f>Registered!B68</f>
        <v>Anderson</v>
      </c>
      <c r="B24" s="4" t="str">
        <f>Registered!A68</f>
        <v>Kelley</v>
      </c>
      <c r="C24" s="4" t="str">
        <f>IF(Registered!AR68&gt;0,Registered!AR68&amp;" Color Bags", "")</f>
        <v>10 Color Bags</v>
      </c>
      <c r="D24" s="4" t="str">
        <f>IF(Registered!AS68&gt;0,(IF(Registered!AS68=1,Registered!AS68&amp;" T-Shirt",Registered!AS68&amp;" T-Shirts")), "")</f>
        <v>2 T-Shirts</v>
      </c>
      <c r="E24" s="4" t="str">
        <f>Registered!AT68</f>
        <v>2 Large</v>
      </c>
      <c r="F24" s="4" t="str">
        <f>Registered!AU68</f>
        <v/>
      </c>
      <c r="G24" s="4" t="str">
        <f>Registered!AW68</f>
        <v/>
      </c>
      <c r="H24" s="4" t="str">
        <f>Registered!AX68</f>
        <v/>
      </c>
      <c r="I24" s="4" t="str">
        <f>Registered!AY68</f>
        <v/>
      </c>
    </row>
    <row r="25" spans="1:9" x14ac:dyDescent="0.25">
      <c r="A25" s="4" t="str">
        <f>Registered!B80</f>
        <v>Anderson</v>
      </c>
      <c r="B25" s="4" t="str">
        <f>Registered!A80</f>
        <v>Zana</v>
      </c>
      <c r="C25" s="4" t="str">
        <f>IF(Registered!AR80&gt;0,Registered!AR80&amp;" Color Bags", "")</f>
        <v>10 Color Bags</v>
      </c>
      <c r="D25" s="4" t="str">
        <f>IF(Registered!AS80&gt;0,(IF(Registered!AS80=1,Registered!AS80&amp;" T-Shirt",Registered!AS80&amp;" T-Shirts")), "")</f>
        <v/>
      </c>
      <c r="E25" s="4" t="str">
        <f>Registered!AT80</f>
        <v/>
      </c>
      <c r="F25" s="4" t="str">
        <f>Registered!AU80</f>
        <v>1 Bandana</v>
      </c>
      <c r="G25" s="4" t="str">
        <f>Registered!AW80</f>
        <v>2 Meals</v>
      </c>
      <c r="H25" s="4" t="str">
        <f>Registered!AX80</f>
        <v/>
      </c>
      <c r="I25" s="4" t="str">
        <f>Registered!AY80</f>
        <v/>
      </c>
    </row>
    <row r="26" spans="1:9" x14ac:dyDescent="0.25">
      <c r="A26" s="4" t="str">
        <f>Registered!B64</f>
        <v>Anderson</v>
      </c>
      <c r="B26" s="4" t="str">
        <f>Registered!A64</f>
        <v>Jennifer</v>
      </c>
      <c r="C26" s="4" t="str">
        <f>IF(Registered!AR64&gt;0,Registered!AR64&amp;" Color Bags", "")</f>
        <v>25 Color Bags</v>
      </c>
      <c r="D26" s="4" t="str">
        <f>IF(Registered!AS64&gt;0,(IF(Registered!AS64=1,Registered!AS64&amp;" T-Shirt",Registered!AS64&amp;" T-Shirts")), "")</f>
        <v>5 T-Shirts</v>
      </c>
      <c r="E26" s="4" t="str">
        <f>Registered!AT64</f>
        <v>S, M, M, XXL, XXL</v>
      </c>
      <c r="F26" s="4" t="str">
        <f>Registered!AU64</f>
        <v/>
      </c>
      <c r="G26" s="4" t="str">
        <f>Registered!AW64</f>
        <v>5 Meals</v>
      </c>
      <c r="H26" s="4" t="str">
        <f>Registered!AX64</f>
        <v/>
      </c>
      <c r="I26" s="4" t="str">
        <f>Registered!AY64</f>
        <v/>
      </c>
    </row>
    <row r="27" spans="1:9" x14ac:dyDescent="0.25">
      <c r="A27" s="4" t="str">
        <f>Registered!B57</f>
        <v>Anderson</v>
      </c>
      <c r="B27" s="4" t="str">
        <f>Registered!A57</f>
        <v>Bailie</v>
      </c>
      <c r="C27" s="4" t="str">
        <f>IF(Registered!AR57&gt;0,Registered!AR57&amp;" Color Bags", "")</f>
        <v>5 Color Bags</v>
      </c>
      <c r="D27" s="4" t="str">
        <f>IF(Registered!AS57&gt;0,(IF(Registered!AS57=1,Registered!AS57&amp;" T-Shirt",Registered!AS57&amp;" T-Shirts")), "")</f>
        <v/>
      </c>
      <c r="E27" s="4" t="str">
        <f>Registered!AT57</f>
        <v/>
      </c>
      <c r="F27" s="4" t="str">
        <f>Registered!AU57</f>
        <v/>
      </c>
      <c r="G27" s="4" t="str">
        <f>Registered!AW57</f>
        <v/>
      </c>
      <c r="H27" s="4" t="str">
        <f>Registered!AX57</f>
        <v/>
      </c>
      <c r="I27" s="4" t="str">
        <f>Registered!AY57</f>
        <v/>
      </c>
    </row>
    <row r="28" spans="1:9" x14ac:dyDescent="0.25">
      <c r="A28" s="4" t="str">
        <f>Registered!B71</f>
        <v>Anderson</v>
      </c>
      <c r="B28" s="4" t="str">
        <f>Registered!A71</f>
        <v>Megan</v>
      </c>
      <c r="C28" s="4" t="str">
        <f>IF(Registered!AR71&gt;0,Registered!AR71&amp;" Color Bags", "")</f>
        <v>5 Color Bags</v>
      </c>
      <c r="D28" s="4" t="str">
        <f>IF(Registered!AS71&gt;0,(IF(Registered!AS71=1,Registered!AS71&amp;" T-Shirt",Registered!AS71&amp;" T-Shirts")), "")</f>
        <v/>
      </c>
      <c r="E28" s="4" t="str">
        <f>Registered!AT71</f>
        <v/>
      </c>
      <c r="F28" s="4" t="str">
        <f>Registered!AU71</f>
        <v/>
      </c>
      <c r="G28" s="4" t="str">
        <f>Registered!AW71</f>
        <v/>
      </c>
      <c r="H28" s="4" t="str">
        <f>Registered!AX71</f>
        <v/>
      </c>
      <c r="I28" s="4" t="str">
        <f>Registered!AY71</f>
        <v/>
      </c>
    </row>
    <row r="29" spans="1:9" x14ac:dyDescent="0.25">
      <c r="A29" s="4" t="str">
        <f>Registered!B76</f>
        <v>Anderson</v>
      </c>
      <c r="B29" s="4" t="str">
        <f>Registered!A76</f>
        <v>Sarah</v>
      </c>
      <c r="C29" s="4" t="str">
        <f>IF(Registered!AR76&gt;0,Registered!AR76&amp;" Color Bags", "")</f>
        <v>5 Color Bags</v>
      </c>
      <c r="D29" s="4" t="str">
        <f>IF(Registered!AS76&gt;0,(IF(Registered!AS76=1,Registered!AS76&amp;" T-Shirt",Registered!AS76&amp;" T-Shirts")), "")</f>
        <v>2 T-Shirts</v>
      </c>
      <c r="E29" s="4" t="str">
        <f>Registered!AT76</f>
        <v>1 Ladies Small 1 Mens Medium</v>
      </c>
      <c r="F29" s="4" t="str">
        <f>Registered!AU76</f>
        <v/>
      </c>
      <c r="G29" s="4" t="str">
        <f>Registered!AW76</f>
        <v/>
      </c>
      <c r="H29" s="4" t="str">
        <f>Registered!AX76</f>
        <v/>
      </c>
      <c r="I29" s="4" t="str">
        <f>Registered!AY76</f>
        <v/>
      </c>
    </row>
    <row r="30" spans="1:9" x14ac:dyDescent="0.25">
      <c r="A30" s="4" t="str">
        <f>Registered!B78</f>
        <v>Anderson</v>
      </c>
      <c r="B30" s="4" t="str">
        <f>Registered!A78</f>
        <v>Tucker</v>
      </c>
      <c r="C30" s="4" t="str">
        <f>IF(Registered!AR78&gt;0,Registered!AR78&amp;" Color Bags", "")</f>
        <v>5 Color Bags</v>
      </c>
      <c r="D30" s="4" t="str">
        <f>IF(Registered!AS78&gt;0,(IF(Registered!AS78=1,Registered!AS78&amp;" T-Shirt",Registered!AS78&amp;" T-Shirts")), "")</f>
        <v/>
      </c>
      <c r="E30" s="4" t="str">
        <f>Registered!AT78</f>
        <v/>
      </c>
      <c r="F30" s="4" t="str">
        <f>Registered!AU78</f>
        <v/>
      </c>
      <c r="G30" s="4" t="str">
        <f>Registered!AW78</f>
        <v/>
      </c>
      <c r="H30" s="4" t="str">
        <f>Registered!AX78</f>
        <v/>
      </c>
      <c r="I30" s="4" t="str">
        <f>Registered!AY78</f>
        <v/>
      </c>
    </row>
    <row r="31" spans="1:9" x14ac:dyDescent="0.25">
      <c r="A31" s="4" t="str">
        <f>Registered!B81</f>
        <v>Antezana</v>
      </c>
      <c r="B31" s="4" t="str">
        <f>Registered!A81</f>
        <v>Carla</v>
      </c>
      <c r="C31" s="4" t="str">
        <f>IF(Registered!AR81&gt;0,Registered!AR81&amp;" Color Bags", "")</f>
        <v>5 Color Bags</v>
      </c>
      <c r="D31" s="4" t="str">
        <f>IF(Registered!AS81&gt;0,(IF(Registered!AS81=1,Registered!AS81&amp;" T-Shirt",Registered!AS81&amp;" T-Shirts")), "")</f>
        <v/>
      </c>
      <c r="E31" s="4" t="str">
        <f>Registered!AT81</f>
        <v/>
      </c>
      <c r="F31" s="4" t="str">
        <f>Registered!AU81</f>
        <v/>
      </c>
      <c r="G31" s="4" t="str">
        <f>Registered!AW81</f>
        <v/>
      </c>
      <c r="H31" s="4" t="str">
        <f>Registered!AX81</f>
        <v/>
      </c>
      <c r="I31" s="4" t="str">
        <f>Registered!AY81</f>
        <v/>
      </c>
    </row>
    <row r="32" spans="1:9" x14ac:dyDescent="0.25">
      <c r="A32" s="4" t="str">
        <f>Registered!B86</f>
        <v>Appleton</v>
      </c>
      <c r="B32" s="4" t="str">
        <f>Registered!A86</f>
        <v>Jennifer</v>
      </c>
      <c r="C32" s="4" t="str">
        <f>IF(Registered!AR86&gt;0,Registered!AR86&amp;" Color Bags", "")</f>
        <v>10 Color Bags</v>
      </c>
      <c r="D32" s="4" t="str">
        <f>IF(Registered!AS86&gt;0,(IF(Registered!AS86=1,Registered!AS86&amp;" T-Shirt",Registered!AS86&amp;" T-Shirts")), "")</f>
        <v/>
      </c>
      <c r="E32" s="4" t="str">
        <f>Registered!AT86</f>
        <v/>
      </c>
      <c r="F32" s="4" t="str">
        <f>Registered!AU86</f>
        <v/>
      </c>
      <c r="G32" s="4" t="str">
        <f>Registered!AW86</f>
        <v/>
      </c>
      <c r="H32" s="4" t="str">
        <f>Registered!AX86</f>
        <v/>
      </c>
      <c r="I32" s="4" t="str">
        <f>Registered!AY86</f>
        <v/>
      </c>
    </row>
    <row r="33" spans="1:9" x14ac:dyDescent="0.25">
      <c r="A33" s="4" t="str">
        <f>Registered!B87</f>
        <v>Aragoneses Arguelles</v>
      </c>
      <c r="B33" s="4" t="str">
        <f>Registered!A87</f>
        <v>Adolfo Guillermo</v>
      </c>
      <c r="C33" s="4" t="str">
        <f>IF(Registered!AR87&gt;0,Registered!AR87&amp;" Color Bags", "")</f>
        <v>10 Color Bags</v>
      </c>
      <c r="D33" s="4" t="str">
        <f>IF(Registered!AS87&gt;0,(IF(Registered!AS87=1,Registered!AS87&amp;" T-Shirt",Registered!AS87&amp;" T-Shirts")), "")</f>
        <v>1 T-Shirt</v>
      </c>
      <c r="E33" s="4" t="str">
        <f>Registered!AT87</f>
        <v>XXL</v>
      </c>
      <c r="F33" s="4" t="str">
        <f>Registered!AU87</f>
        <v/>
      </c>
      <c r="G33" s="4" t="str">
        <f>Registered!AW87</f>
        <v>1 Meal</v>
      </c>
      <c r="H33" s="4" t="str">
        <f>Registered!AX87</f>
        <v/>
      </c>
      <c r="I33" s="4" t="str">
        <f>Registered!AY87</f>
        <v/>
      </c>
    </row>
    <row r="34" spans="1:9" x14ac:dyDescent="0.25">
      <c r="A34" s="4" t="str">
        <f>Registered!B89</f>
        <v>Archibald</v>
      </c>
      <c r="B34" s="4" t="str">
        <f>Registered!A89</f>
        <v>Chelsi</v>
      </c>
      <c r="C34" s="4" t="str">
        <f>IF(Registered!AR89&gt;0,Registered!AR89&amp;" Color Bags", "")</f>
        <v>10 Color Bags</v>
      </c>
      <c r="D34" s="4" t="str">
        <f>IF(Registered!AS89&gt;0,(IF(Registered!AS89=1,Registered!AS89&amp;" T-Shirt",Registered!AS89&amp;" T-Shirts")), "")</f>
        <v/>
      </c>
      <c r="E34" s="4" t="str">
        <f>Registered!AT89</f>
        <v/>
      </c>
      <c r="F34" s="4" t="str">
        <f>Registered!AU89</f>
        <v/>
      </c>
      <c r="G34" s="4" t="str">
        <f>Registered!AW89</f>
        <v/>
      </c>
      <c r="H34" s="4" t="str">
        <f>Registered!AX89</f>
        <v/>
      </c>
      <c r="I34" s="4" t="str">
        <f>Registered!AY89</f>
        <v/>
      </c>
    </row>
    <row r="35" spans="1:9" x14ac:dyDescent="0.25">
      <c r="A35" s="4" t="str">
        <f>Registered!B93</f>
        <v>Arnold</v>
      </c>
      <c r="B35" s="4" t="str">
        <f>Registered!A93</f>
        <v>Danielle</v>
      </c>
      <c r="C35" s="4" t="str">
        <f>IF(Registered!AR93&gt;0,Registered!AR93&amp;" Color Bags", "")</f>
        <v>5 Color Bags</v>
      </c>
      <c r="D35" s="4" t="str">
        <f>IF(Registered!AS93&gt;0,(IF(Registered!AS93=1,Registered!AS93&amp;" T-Shirt",Registered!AS93&amp;" T-Shirts")), "")</f>
        <v>1 T-Shirt</v>
      </c>
      <c r="E35" s="4" t="str">
        <f>Registered!AT93</f>
        <v>Small</v>
      </c>
      <c r="F35" s="4" t="str">
        <f>Registered!AU93</f>
        <v>2 Bandanas</v>
      </c>
      <c r="G35" s="4" t="str">
        <f>Registered!AW93</f>
        <v/>
      </c>
      <c r="H35" s="4" t="str">
        <f>Registered!AX93</f>
        <v/>
      </c>
      <c r="I35" s="4" t="str">
        <f>Registered!AY93</f>
        <v/>
      </c>
    </row>
    <row r="36" spans="1:9" x14ac:dyDescent="0.25">
      <c r="A36" s="4" t="str">
        <f>Registered!B95</f>
        <v>Arnovitz</v>
      </c>
      <c r="B36" s="4" t="str">
        <f>Registered!A95</f>
        <v>Sonya</v>
      </c>
      <c r="C36" s="4" t="str">
        <f>IF(Registered!AR95&gt;0,Registered!AR95&amp;" Color Bags", "")</f>
        <v>20 Color Bags</v>
      </c>
      <c r="D36" s="4" t="str">
        <f>IF(Registered!AS95&gt;0,(IF(Registered!AS95=1,Registered!AS95&amp;" T-Shirt",Registered!AS95&amp;" T-Shirts")), "")</f>
        <v/>
      </c>
      <c r="E36" s="4" t="str">
        <f>Registered!AT95</f>
        <v/>
      </c>
      <c r="F36" s="4" t="str">
        <f>Registered!AU95</f>
        <v/>
      </c>
      <c r="G36" s="4" t="str">
        <f>Registered!AW95</f>
        <v>4 Meals</v>
      </c>
      <c r="H36" s="4" t="str">
        <f>Registered!AX95</f>
        <v/>
      </c>
      <c r="I36" s="4" t="str">
        <f>Registered!AY95</f>
        <v/>
      </c>
    </row>
    <row r="37" spans="1:9" x14ac:dyDescent="0.25">
      <c r="A37" s="4" t="str">
        <f>Registered!B99</f>
        <v>Astin</v>
      </c>
      <c r="B37" s="4" t="str">
        <f>Registered!A99</f>
        <v>Amber</v>
      </c>
      <c r="C37" s="4" t="str">
        <f>IF(Registered!AR99&gt;0,Registered!AR99&amp;" Color Bags", "")</f>
        <v>20 Color Bags</v>
      </c>
      <c r="D37" s="4" t="str">
        <f>IF(Registered!AS99&gt;0,(IF(Registered!AS99=1,Registered!AS99&amp;" T-Shirt",Registered!AS99&amp;" T-Shirts")), "")</f>
        <v/>
      </c>
      <c r="E37" s="4" t="str">
        <f>Registered!AT99</f>
        <v/>
      </c>
      <c r="F37" s="4" t="str">
        <f>Registered!AU99</f>
        <v/>
      </c>
      <c r="G37" s="4" t="str">
        <f>Registered!AW99</f>
        <v>3 Meals</v>
      </c>
      <c r="H37" s="4" t="str">
        <f>Registered!AX99</f>
        <v/>
      </c>
      <c r="I37" s="4" t="str">
        <f>Registered!AY99</f>
        <v/>
      </c>
    </row>
    <row r="38" spans="1:9" x14ac:dyDescent="0.25">
      <c r="A38" s="4" t="str">
        <f>Registered!B102</f>
        <v>Austen</v>
      </c>
      <c r="B38" s="4" t="str">
        <f>Registered!A102</f>
        <v>Monica</v>
      </c>
      <c r="C38" s="4" t="str">
        <f>IF(Registered!AR102&gt;0,Registered!AR102&amp;" Color Bags", "")</f>
        <v>20 Color Bags</v>
      </c>
      <c r="D38" s="4" t="str">
        <f>IF(Registered!AS102&gt;0,(IF(Registered!AS102=1,Registered!AS102&amp;" T-Shirt",Registered!AS102&amp;" T-Shirts")), "")</f>
        <v/>
      </c>
      <c r="E38" s="4" t="str">
        <f>Registered!AT102</f>
        <v/>
      </c>
      <c r="F38" s="4" t="str">
        <f>Registered!AU102</f>
        <v/>
      </c>
      <c r="G38" s="4" t="str">
        <f>Registered!AW102</f>
        <v/>
      </c>
      <c r="H38" s="4" t="str">
        <f>Registered!AX102</f>
        <v/>
      </c>
      <c r="I38" s="4" t="str">
        <f>Registered!AY102</f>
        <v/>
      </c>
    </row>
    <row r="39" spans="1:9" x14ac:dyDescent="0.25">
      <c r="A39" s="4" t="str">
        <f>Registered!B103</f>
        <v>Austin</v>
      </c>
      <c r="B39" s="4" t="str">
        <f>Registered!A103</f>
        <v>Sandi</v>
      </c>
      <c r="C39" s="4" t="str">
        <f>IF(Registered!AR103&gt;0,Registered!AR103&amp;" Color Bags", "")</f>
        <v>20 Color Bags</v>
      </c>
      <c r="D39" s="4" t="str">
        <f>IF(Registered!AS103&gt;0,(IF(Registered!AS103=1,Registered!AS103&amp;" T-Shirt",Registered!AS103&amp;" T-Shirts")), "")</f>
        <v/>
      </c>
      <c r="E39" s="4" t="str">
        <f>Registered!AT103</f>
        <v/>
      </c>
      <c r="F39" s="4" t="str">
        <f>Registered!AU103</f>
        <v/>
      </c>
      <c r="G39" s="4" t="str">
        <f>Registered!AW103</f>
        <v/>
      </c>
      <c r="H39" s="4" t="str">
        <f>Registered!AX103</f>
        <v/>
      </c>
      <c r="I39" s="4" t="str">
        <f>Registered!AY103</f>
        <v/>
      </c>
    </row>
    <row r="40" spans="1:9" x14ac:dyDescent="0.25">
      <c r="A40" s="4" t="str">
        <f>Registered!B105</f>
        <v>Averett</v>
      </c>
      <c r="B40" s="4" t="str">
        <f>Registered!A105</f>
        <v>Amie</v>
      </c>
      <c r="C40" s="4" t="str">
        <f>IF(Registered!AR105&gt;0,Registered!AR105&amp;" Color Bags", "")</f>
        <v>20 Color Bags</v>
      </c>
      <c r="D40" s="4" t="str">
        <f>IF(Registered!AS105&gt;0,(IF(Registered!AS105=1,Registered!AS105&amp;" T-Shirt",Registered!AS105&amp;" T-Shirts")), "")</f>
        <v/>
      </c>
      <c r="E40" s="4" t="str">
        <f>Registered!AT105</f>
        <v/>
      </c>
      <c r="F40" s="4" t="str">
        <f>Registered!AU105</f>
        <v/>
      </c>
      <c r="G40" s="4" t="str">
        <f>Registered!AW105</f>
        <v/>
      </c>
      <c r="H40" s="4" t="str">
        <f>Registered!AX105</f>
        <v/>
      </c>
      <c r="I40" s="4" t="str">
        <f>Registered!AY105</f>
        <v/>
      </c>
    </row>
    <row r="41" spans="1:9" x14ac:dyDescent="0.25">
      <c r="A41" s="4" t="str">
        <f>Registered!B107</f>
        <v>Avery</v>
      </c>
      <c r="B41" s="4" t="str">
        <f>Registered!A107</f>
        <v>Charlee</v>
      </c>
      <c r="C41" s="4" t="str">
        <f>IF(Registered!AR107&gt;0,Registered!AR107&amp;" Color Bags", "")</f>
        <v>10 Color Bags</v>
      </c>
      <c r="D41" s="4" t="str">
        <f>IF(Registered!AS107&gt;0,(IF(Registered!AS107=1,Registered!AS107&amp;" T-Shirt",Registered!AS107&amp;" T-Shirts")), "")</f>
        <v/>
      </c>
      <c r="E41" s="4" t="str">
        <f>Registered!AT107</f>
        <v/>
      </c>
      <c r="F41" s="4" t="str">
        <f>Registered!AU107</f>
        <v/>
      </c>
      <c r="G41" s="4" t="str">
        <f>Registered!AW107</f>
        <v/>
      </c>
      <c r="H41" s="4" t="str">
        <f>Registered!AX107</f>
        <v/>
      </c>
      <c r="I41" s="4" t="str">
        <f>Registered!AY107</f>
        <v/>
      </c>
    </row>
    <row r="42" spans="1:9" x14ac:dyDescent="0.25">
      <c r="A42" s="4" t="str">
        <f>Registered!B109</f>
        <v>Avila</v>
      </c>
      <c r="B42" s="4" t="str">
        <f>Registered!A109</f>
        <v>Miguel</v>
      </c>
      <c r="C42" s="4" t="str">
        <f>IF(Registered!AR109&gt;0,Registered!AR109&amp;" Color Bags", "")</f>
        <v>10 Color Bags</v>
      </c>
      <c r="D42" s="4" t="str">
        <f>IF(Registered!AS109&gt;0,(IF(Registered!AS109=1,Registered!AS109&amp;" T-Shirt",Registered!AS109&amp;" T-Shirts")), "")</f>
        <v/>
      </c>
      <c r="E42" s="4" t="str">
        <f>Registered!AT109</f>
        <v/>
      </c>
      <c r="F42" s="4" t="str">
        <f>Registered!AU109</f>
        <v/>
      </c>
      <c r="G42" s="4" t="str">
        <f>Registered!AW109</f>
        <v/>
      </c>
      <c r="H42" s="4" t="str">
        <f>Registered!AX109</f>
        <v/>
      </c>
      <c r="I42" s="4" t="str">
        <f>Registered!AY109</f>
        <v/>
      </c>
    </row>
    <row r="43" spans="1:9" x14ac:dyDescent="0.25">
      <c r="A43" s="4" t="str">
        <f>Registered!B112</f>
        <v>Babaran</v>
      </c>
      <c r="B43" s="4" t="str">
        <f>Registered!A112</f>
        <v>Dorothy Ann</v>
      </c>
      <c r="C43" s="4" t="str">
        <f>IF(Registered!AR112&gt;0,Registered!AR112&amp;" Color Bags", "")</f>
        <v>60 Color Bags</v>
      </c>
      <c r="D43" s="4" t="str">
        <f>IF(Registered!AS112&gt;0,(IF(Registered!AS112=1,Registered!AS112&amp;" T-Shirt",Registered!AS112&amp;" T-Shirts")), "")</f>
        <v/>
      </c>
      <c r="E43" s="4" t="str">
        <f>Registered!AT112</f>
        <v/>
      </c>
      <c r="F43" s="4" t="str">
        <f>Registered!AU112</f>
        <v/>
      </c>
      <c r="G43" s="4" t="str">
        <f>Registered!AW112</f>
        <v/>
      </c>
      <c r="H43" s="4" t="str">
        <f>Registered!AX112</f>
        <v/>
      </c>
      <c r="I43" s="4" t="str">
        <f>Registered!AY112</f>
        <v/>
      </c>
    </row>
    <row r="44" spans="1:9" x14ac:dyDescent="0.25">
      <c r="A44" s="4" t="str">
        <f>Registered!B113</f>
        <v>Baca</v>
      </c>
      <c r="B44" s="4" t="str">
        <f>Registered!A113</f>
        <v>Jenny</v>
      </c>
      <c r="C44" s="4" t="str">
        <f>IF(Registered!AR113&gt;0,Registered!AR113&amp;" Color Bags", "")</f>
        <v>5 Color Bags</v>
      </c>
      <c r="D44" s="4" t="str">
        <f>IF(Registered!AS113&gt;0,(IF(Registered!AS113=1,Registered!AS113&amp;" T-Shirt",Registered!AS113&amp;" T-Shirts")), "")</f>
        <v>1 T-Shirt</v>
      </c>
      <c r="E44" s="4" t="str">
        <f>Registered!AT113</f>
        <v>Medium</v>
      </c>
      <c r="F44" s="4" t="str">
        <f>Registered!AU113</f>
        <v/>
      </c>
      <c r="G44" s="4" t="str">
        <f>Registered!AW113</f>
        <v>1 Meal</v>
      </c>
      <c r="H44" s="4" t="str">
        <f>Registered!AX113</f>
        <v/>
      </c>
      <c r="I44" s="4" t="str">
        <f>Registered!AY113</f>
        <v/>
      </c>
    </row>
    <row r="45" spans="1:9" x14ac:dyDescent="0.25">
      <c r="A45" s="4" t="str">
        <f>Registered!B176</f>
        <v>BAhm</v>
      </c>
      <c r="B45" s="4" t="str">
        <f>Registered!A176</f>
        <v>Candice</v>
      </c>
      <c r="C45" s="4" t="str">
        <f>IF(Registered!AR176&gt;0,Registered!AR176&amp;" Color Bags", "")</f>
        <v>5 Color Bags</v>
      </c>
      <c r="D45" s="4" t="str">
        <f>IF(Registered!AS176&gt;0,(IF(Registered!AS176=1,Registered!AS176&amp;" T-Shirt",Registered!AS176&amp;" T-Shirts")), "")</f>
        <v/>
      </c>
      <c r="E45" s="4" t="str">
        <f>Registered!AT176</f>
        <v/>
      </c>
      <c r="F45" s="4" t="str">
        <f>Registered!AU176</f>
        <v/>
      </c>
      <c r="G45" s="4" t="str">
        <f>Registered!AW176</f>
        <v/>
      </c>
      <c r="H45" s="4" t="str">
        <f>Registered!AX176</f>
        <v/>
      </c>
      <c r="I45" s="4" t="str">
        <f>Registered!AY176</f>
        <v/>
      </c>
    </row>
    <row r="46" spans="1:9" x14ac:dyDescent="0.25">
      <c r="A46" s="4" t="str">
        <f>Registered!B124</f>
        <v>Bailey</v>
      </c>
      <c r="B46" s="4" t="str">
        <f>Registered!A124</f>
        <v>Kimberly</v>
      </c>
      <c r="C46" s="4" t="str">
        <f>IF(Registered!AR124&gt;0,Registered!AR124&amp;" Color Bags", "")</f>
        <v>10 Color Bags</v>
      </c>
      <c r="D46" s="4" t="str">
        <f>IF(Registered!AS124&gt;0,(IF(Registered!AS124=1,Registered!AS124&amp;" T-Shirt",Registered!AS124&amp;" T-Shirts")), "")</f>
        <v/>
      </c>
      <c r="E46" s="4" t="str">
        <f>Registered!AT124</f>
        <v/>
      </c>
      <c r="F46" s="4" t="str">
        <f>Registered!AU124</f>
        <v/>
      </c>
      <c r="G46" s="4" t="str">
        <f>Registered!AW124</f>
        <v/>
      </c>
      <c r="H46" s="4" t="str">
        <f>Registered!AX124</f>
        <v/>
      </c>
      <c r="I46" s="4" t="str">
        <f>Registered!AY124</f>
        <v/>
      </c>
    </row>
    <row r="47" spans="1:9" x14ac:dyDescent="0.25">
      <c r="A47" s="4" t="str">
        <f>Registered!B119</f>
        <v>Bailey</v>
      </c>
      <c r="B47" s="4" t="str">
        <f>Registered!A119</f>
        <v>Corey</v>
      </c>
      <c r="C47" s="4" t="str">
        <f>IF(Registered!AR119&gt;0,Registered!AR119&amp;" Color Bags", "")</f>
        <v>40 Color Bags</v>
      </c>
      <c r="D47" s="4" t="str">
        <f>IF(Registered!AS119&gt;0,(IF(Registered!AS119=1,Registered!AS119&amp;" T-Shirt",Registered!AS119&amp;" T-Shirts")), "")</f>
        <v/>
      </c>
      <c r="E47" s="4" t="str">
        <f>Registered!AT119</f>
        <v/>
      </c>
      <c r="F47" s="4" t="str">
        <f>Registered!AU119</f>
        <v/>
      </c>
      <c r="G47" s="4" t="str">
        <f>Registered!AW119</f>
        <v/>
      </c>
      <c r="H47" s="4" t="str">
        <f>Registered!AX119</f>
        <v/>
      </c>
      <c r="I47" s="4" t="str">
        <f>Registered!AY119</f>
        <v/>
      </c>
    </row>
    <row r="48" spans="1:9" x14ac:dyDescent="0.25">
      <c r="A48" s="4" t="str">
        <f>Registered!B127</f>
        <v>Baker</v>
      </c>
      <c r="B48" s="4" t="str">
        <f>Registered!A127</f>
        <v>Ali</v>
      </c>
      <c r="C48" s="4" t="str">
        <f>IF(Registered!AR127&gt;0,Registered!AR127&amp;" Color Bags", "")</f>
        <v>10 Color Bags</v>
      </c>
      <c r="D48" s="4" t="str">
        <f>IF(Registered!AS127&gt;0,(IF(Registered!AS127=1,Registered!AS127&amp;" T-Shirt",Registered!AS127&amp;" T-Shirts")), "")</f>
        <v/>
      </c>
      <c r="E48" s="4" t="str">
        <f>Registered!AT127</f>
        <v/>
      </c>
      <c r="F48" s="4" t="str">
        <f>Registered!AU127</f>
        <v/>
      </c>
      <c r="G48" s="4" t="str">
        <f>Registered!AW127</f>
        <v/>
      </c>
      <c r="H48" s="4" t="str">
        <f>Registered!AX127</f>
        <v/>
      </c>
      <c r="I48" s="4" t="str">
        <f>Registered!AY127</f>
        <v/>
      </c>
    </row>
    <row r="49" spans="1:9" x14ac:dyDescent="0.25">
      <c r="A49" s="4" t="str">
        <f>Registered!B132</f>
        <v>Bale</v>
      </c>
      <c r="B49" s="4" t="str">
        <f>Registered!A132</f>
        <v>Bristol</v>
      </c>
      <c r="C49" s="4" t="str">
        <f>IF(Registered!AR132&gt;0,Registered!AR132&amp;" Color Bags", "")</f>
        <v>20 Color Bags</v>
      </c>
      <c r="D49" s="4" t="str">
        <f>IF(Registered!AS132&gt;0,(IF(Registered!AS132=1,Registered!AS132&amp;" T-Shirt",Registered!AS132&amp;" T-Shirts")), "")</f>
        <v/>
      </c>
      <c r="E49" s="4" t="str">
        <f>Registered!AT132</f>
        <v/>
      </c>
      <c r="F49" s="4" t="str">
        <f>Registered!AU132</f>
        <v/>
      </c>
      <c r="G49" s="4" t="str">
        <f>Registered!AW132</f>
        <v/>
      </c>
      <c r="H49" s="4" t="str">
        <f>Registered!AX132</f>
        <v/>
      </c>
      <c r="I49" s="4" t="str">
        <f>Registered!AY132</f>
        <v/>
      </c>
    </row>
    <row r="50" spans="1:9" x14ac:dyDescent="0.25">
      <c r="A50" s="4" t="str">
        <f>Registered!B134</f>
        <v>Ballard</v>
      </c>
      <c r="B50" s="4" t="str">
        <f>Registered!A134</f>
        <v>Shannon</v>
      </c>
      <c r="C50" s="4" t="str">
        <f>IF(Registered!AR134&gt;0,Registered!AR134&amp;" Color Bags", "")</f>
        <v>5 Color Bags</v>
      </c>
      <c r="D50" s="4" t="str">
        <f>IF(Registered!AS134&gt;0,(IF(Registered!AS134=1,Registered!AS134&amp;" T-Shirt",Registered!AS134&amp;" T-Shirts")), "")</f>
        <v/>
      </c>
      <c r="E50" s="4" t="str">
        <f>Registered!AT134</f>
        <v/>
      </c>
      <c r="F50" s="4" t="str">
        <f>Registered!AU134</f>
        <v/>
      </c>
      <c r="G50" s="4" t="str">
        <f>Registered!AW134</f>
        <v/>
      </c>
      <c r="H50" s="4" t="str">
        <f>Registered!AX134</f>
        <v/>
      </c>
      <c r="I50" s="4" t="str">
        <f>Registered!AY134</f>
        <v/>
      </c>
    </row>
    <row r="51" spans="1:9" x14ac:dyDescent="0.25">
      <c r="A51" s="4" t="str">
        <f>Registered!B135</f>
        <v>Bangerter</v>
      </c>
      <c r="B51" s="4" t="str">
        <f>Registered!A135</f>
        <v>Brenna</v>
      </c>
      <c r="C51" s="4" t="str">
        <f>IF(Registered!AR135&gt;0,Registered!AR135&amp;" Color Bags", "")</f>
        <v>5 Color Bags</v>
      </c>
      <c r="D51" s="4" t="str">
        <f>IF(Registered!AS135&gt;0,(IF(Registered!AS135=1,Registered!AS135&amp;" T-Shirt",Registered!AS135&amp;" T-Shirts")), "")</f>
        <v/>
      </c>
      <c r="E51" s="4" t="str">
        <f>Registered!AT135</f>
        <v/>
      </c>
      <c r="F51" s="4" t="str">
        <f>Registered!AU135</f>
        <v/>
      </c>
      <c r="G51" s="4" t="str">
        <f>Registered!AW135</f>
        <v/>
      </c>
      <c r="H51" s="4" t="str">
        <f>Registered!AX135</f>
        <v/>
      </c>
      <c r="I51" s="4" t="str">
        <f>Registered!AY135</f>
        <v/>
      </c>
    </row>
    <row r="52" spans="1:9" x14ac:dyDescent="0.25">
      <c r="A52" s="4" t="str">
        <f>Registered!B136</f>
        <v>Banis</v>
      </c>
      <c r="B52" s="4" t="str">
        <f>Registered!A136</f>
        <v>Mychal</v>
      </c>
      <c r="C52" s="4" t="str">
        <f>IF(Registered!AR136&gt;0,Registered!AR136&amp;" Color Bags", "")</f>
        <v>10 Color Bags</v>
      </c>
      <c r="D52" s="4" t="str">
        <f>IF(Registered!AS136&gt;0,(IF(Registered!AS136=1,Registered!AS136&amp;" T-Shirt",Registered!AS136&amp;" T-Shirts")), "")</f>
        <v/>
      </c>
      <c r="E52" s="4" t="str">
        <f>Registered!AT136</f>
        <v/>
      </c>
      <c r="F52" s="4" t="str">
        <f>Registered!AU136</f>
        <v>1 Bandana</v>
      </c>
      <c r="G52" s="4" t="str">
        <f>Registered!AW136</f>
        <v/>
      </c>
      <c r="H52" s="4" t="str">
        <f>Registered!AX136</f>
        <v/>
      </c>
      <c r="I52" s="4" t="str">
        <f>Registered!AY136</f>
        <v/>
      </c>
    </row>
    <row r="53" spans="1:9" x14ac:dyDescent="0.25">
      <c r="A53" s="4" t="str">
        <f>Registered!B137</f>
        <v>Barber</v>
      </c>
      <c r="B53" s="4" t="str">
        <f>Registered!A137</f>
        <v>Andrea</v>
      </c>
      <c r="C53" s="4" t="str">
        <f>IF(Registered!AR137&gt;0,Registered!AR137&amp;" Color Bags", "")</f>
        <v>20 Color Bags</v>
      </c>
      <c r="D53" s="4" t="str">
        <f>IF(Registered!AS137&gt;0,(IF(Registered!AS137=1,Registered!AS137&amp;" T-Shirt",Registered!AS137&amp;" T-Shirts")), "")</f>
        <v/>
      </c>
      <c r="E53" s="4" t="str">
        <f>Registered!AT137</f>
        <v/>
      </c>
      <c r="F53" s="4" t="str">
        <f>Registered!AU137</f>
        <v/>
      </c>
      <c r="G53" s="4" t="str">
        <f>Registered!AW137</f>
        <v/>
      </c>
      <c r="H53" s="4" t="str">
        <f>Registered!AX137</f>
        <v/>
      </c>
      <c r="I53" s="4" t="str">
        <f>Registered!AY137</f>
        <v/>
      </c>
    </row>
    <row r="54" spans="1:9" x14ac:dyDescent="0.25">
      <c r="A54" s="4" t="str">
        <f>Registered!B143</f>
        <v>Barlow</v>
      </c>
      <c r="B54" s="4" t="str">
        <f>Registered!A143</f>
        <v>Mary</v>
      </c>
      <c r="C54" s="4" t="str">
        <f>IF(Registered!AR143&gt;0,Registered!AR143&amp;" Color Bags", "")</f>
        <v>20 Color Bags</v>
      </c>
      <c r="D54" s="4" t="str">
        <f>IF(Registered!AS143&gt;0,(IF(Registered!AS143=1,Registered!AS143&amp;" T-Shirt",Registered!AS143&amp;" T-Shirts")), "")</f>
        <v/>
      </c>
      <c r="E54" s="4" t="str">
        <f>Registered!AT143</f>
        <v/>
      </c>
      <c r="F54" s="4" t="str">
        <f>Registered!AU143</f>
        <v/>
      </c>
      <c r="G54" s="4" t="str">
        <f>Registered!AW143</f>
        <v/>
      </c>
      <c r="H54" s="4" t="str">
        <f>Registered!AX143</f>
        <v/>
      </c>
      <c r="I54" s="4" t="str">
        <f>Registered!AY143</f>
        <v/>
      </c>
    </row>
    <row r="55" spans="1:9" x14ac:dyDescent="0.25">
      <c r="A55" s="4" t="str">
        <f>Registered!B141</f>
        <v>Barlow</v>
      </c>
      <c r="B55" s="4" t="str">
        <f>Registered!A141</f>
        <v>Bonnie</v>
      </c>
      <c r="C55" s="4" t="str">
        <f>IF(Registered!AR141&gt;0,Registered!AR141&amp;" Color Bags", "")</f>
        <v>5 Color Bags</v>
      </c>
      <c r="D55" s="4" t="str">
        <f>IF(Registered!AS141&gt;0,(IF(Registered!AS141=1,Registered!AS141&amp;" T-Shirt",Registered!AS141&amp;" T-Shirts")), "")</f>
        <v/>
      </c>
      <c r="E55" s="4" t="str">
        <f>Registered!AT141</f>
        <v/>
      </c>
      <c r="F55" s="4" t="str">
        <f>Registered!AU141</f>
        <v/>
      </c>
      <c r="G55" s="4" t="str">
        <f>Registered!AW141</f>
        <v/>
      </c>
      <c r="H55" s="4" t="str">
        <f>Registered!AX141</f>
        <v/>
      </c>
      <c r="I55" s="4" t="str">
        <f>Registered!AY141</f>
        <v/>
      </c>
    </row>
    <row r="56" spans="1:9" x14ac:dyDescent="0.25">
      <c r="A56" s="4" t="str">
        <f>Registered!B142</f>
        <v>Barlow</v>
      </c>
      <c r="B56" s="4" t="str">
        <f>Registered!A142</f>
        <v>Elizabeth</v>
      </c>
      <c r="C56" s="4" t="str">
        <f>IF(Registered!AR142&gt;0,Registered!AR142&amp;" Color Bags", "")</f>
        <v>5 Color Bags</v>
      </c>
      <c r="D56" s="4" t="str">
        <f>IF(Registered!AS142&gt;0,(IF(Registered!AS142=1,Registered!AS142&amp;" T-Shirt",Registered!AS142&amp;" T-Shirts")), "")</f>
        <v/>
      </c>
      <c r="E56" s="4" t="str">
        <f>Registered!AT142</f>
        <v/>
      </c>
      <c r="F56" s="4" t="str">
        <f>Registered!AU142</f>
        <v/>
      </c>
      <c r="G56" s="4" t="str">
        <f>Registered!AW142</f>
        <v/>
      </c>
      <c r="H56" s="4" t="str">
        <f>Registered!AX142</f>
        <v/>
      </c>
      <c r="I56" s="4" t="str">
        <f>Registered!AY142</f>
        <v/>
      </c>
    </row>
    <row r="57" spans="1:9" x14ac:dyDescent="0.25">
      <c r="A57" s="4" t="str">
        <f>Registered!B149</f>
        <v>Barnes</v>
      </c>
      <c r="B57" s="4" t="str">
        <f>Registered!A149</f>
        <v>Sydney</v>
      </c>
      <c r="C57" s="4" t="str">
        <f>IF(Registered!AR149&gt;0,Registered!AR149&amp;" Color Bags", "")</f>
        <v>5 Color Bags</v>
      </c>
      <c r="D57" s="4" t="str">
        <f>IF(Registered!AS149&gt;0,(IF(Registered!AS149=1,Registered!AS149&amp;" T-Shirt",Registered!AS149&amp;" T-Shirts")), "")</f>
        <v/>
      </c>
      <c r="E57" s="4" t="str">
        <f>Registered!AT149</f>
        <v/>
      </c>
      <c r="F57" s="4" t="str">
        <f>Registered!AU149</f>
        <v/>
      </c>
      <c r="G57" s="4" t="str">
        <f>Registered!AW149</f>
        <v/>
      </c>
      <c r="H57" s="4" t="str">
        <f>Registered!AX149</f>
        <v/>
      </c>
      <c r="I57" s="4" t="str">
        <f>Registered!AY149</f>
        <v/>
      </c>
    </row>
    <row r="58" spans="1:9" x14ac:dyDescent="0.25">
      <c r="A58" s="4" t="str">
        <f>Registered!B152</f>
        <v>Barney</v>
      </c>
      <c r="B58" s="4" t="str">
        <f>Registered!A152</f>
        <v>Melissa</v>
      </c>
      <c r="C58" s="4" t="str">
        <f>IF(Registered!AR152&gt;0,Registered!AR152&amp;" Color Bags", "")</f>
        <v>10 Color Bags</v>
      </c>
      <c r="D58" s="4" t="str">
        <f>IF(Registered!AS152&gt;0,(IF(Registered!AS152=1,Registered!AS152&amp;" T-Shirt",Registered!AS152&amp;" T-Shirts")), "")</f>
        <v/>
      </c>
      <c r="E58" s="4" t="str">
        <f>Registered!AT152</f>
        <v/>
      </c>
      <c r="F58" s="4" t="str">
        <f>Registered!AU152</f>
        <v/>
      </c>
      <c r="G58" s="4" t="str">
        <f>Registered!AW152</f>
        <v/>
      </c>
      <c r="H58" s="4" t="str">
        <f>Registered!AX152</f>
        <v/>
      </c>
      <c r="I58" s="4" t="str">
        <f>Registered!AY152</f>
        <v/>
      </c>
    </row>
    <row r="59" spans="1:9" x14ac:dyDescent="0.25">
      <c r="A59" s="4" t="str">
        <f>Registered!B151</f>
        <v>Barney</v>
      </c>
      <c r="B59" s="4" t="str">
        <f>Registered!A151</f>
        <v>Madason</v>
      </c>
      <c r="C59" s="4" t="str">
        <f>IF(Registered!AR151&gt;0,Registered!AR151&amp;" Color Bags", "")</f>
        <v>20 Color Bags</v>
      </c>
      <c r="D59" s="4" t="str">
        <f>IF(Registered!AS151&gt;0,(IF(Registered!AS151=1,Registered!AS151&amp;" T-Shirt",Registered!AS151&amp;" T-Shirts")), "")</f>
        <v/>
      </c>
      <c r="E59" s="4" t="str">
        <f>Registered!AT151</f>
        <v/>
      </c>
      <c r="F59" s="4" t="str">
        <f>Registered!AU151</f>
        <v/>
      </c>
      <c r="G59" s="4" t="str">
        <f>Registered!AW151</f>
        <v/>
      </c>
      <c r="H59" s="4" t="str">
        <f>Registered!AX151</f>
        <v/>
      </c>
      <c r="I59" s="4" t="str">
        <f>Registered!AY151</f>
        <v/>
      </c>
    </row>
    <row r="60" spans="1:9" x14ac:dyDescent="0.25">
      <c r="A60" s="4" t="str">
        <f>Registered!B153</f>
        <v>Barrett</v>
      </c>
      <c r="B60" s="4" t="str">
        <f>Registered!A153</f>
        <v>Dawn</v>
      </c>
      <c r="C60" s="4" t="str">
        <f>IF(Registered!AR153&gt;0,Registered!AR153&amp;" Color Bags", "")</f>
        <v>20 Color Bags</v>
      </c>
      <c r="D60" s="4" t="str">
        <f>IF(Registered!AS153&gt;0,(IF(Registered!AS153=1,Registered!AS153&amp;" T-Shirt",Registered!AS153&amp;" T-Shirts")), "")</f>
        <v/>
      </c>
      <c r="E60" s="4" t="str">
        <f>Registered!AT153</f>
        <v/>
      </c>
      <c r="F60" s="4" t="str">
        <f>Registered!AU153</f>
        <v/>
      </c>
      <c r="G60" s="4" t="str">
        <f>Registered!AW153</f>
        <v/>
      </c>
      <c r="H60" s="4" t="str">
        <f>Registered!AX153</f>
        <v/>
      </c>
      <c r="I60" s="4" t="str">
        <f>Registered!AY153</f>
        <v/>
      </c>
    </row>
    <row r="61" spans="1:9" x14ac:dyDescent="0.25">
      <c r="A61" s="4" t="str">
        <f>Registered!B156</f>
        <v>Barrus</v>
      </c>
      <c r="B61" s="4" t="str">
        <f>Registered!A156</f>
        <v>CarrieAnne</v>
      </c>
      <c r="C61" s="4" t="str">
        <f>IF(Registered!AR156&gt;0,Registered!AR156&amp;" Color Bags", "")</f>
        <v>10 Color Bags</v>
      </c>
      <c r="D61" s="4" t="str">
        <f>IF(Registered!AS156&gt;0,(IF(Registered!AS156=1,Registered!AS156&amp;" T-Shirt",Registered!AS156&amp;" T-Shirts")), "")</f>
        <v/>
      </c>
      <c r="E61" s="4" t="str">
        <f>Registered!AT156</f>
        <v/>
      </c>
      <c r="F61" s="4" t="str">
        <f>Registered!AU156</f>
        <v/>
      </c>
      <c r="G61" s="4" t="str">
        <f>Registered!AW156</f>
        <v>3 Meals</v>
      </c>
      <c r="H61" s="4" t="str">
        <f>Registered!AX156</f>
        <v/>
      </c>
      <c r="I61" s="4" t="str">
        <f>Registered!AY156</f>
        <v/>
      </c>
    </row>
    <row r="62" spans="1:9" x14ac:dyDescent="0.25">
      <c r="A62" s="4" t="str">
        <f>Registered!B157</f>
        <v>Barrus</v>
      </c>
      <c r="B62" s="4" t="str">
        <f>Registered!A157</f>
        <v>Taylor</v>
      </c>
      <c r="C62" s="4" t="str">
        <f>IF(Registered!AR157&gt;0,Registered!AR157&amp;" Color Bags", "")</f>
        <v>10 Color Bags</v>
      </c>
      <c r="D62" s="4" t="str">
        <f>IF(Registered!AS157&gt;0,(IF(Registered!AS157=1,Registered!AS157&amp;" T-Shirt",Registered!AS157&amp;" T-Shirts")), "")</f>
        <v/>
      </c>
      <c r="E62" s="4" t="str">
        <f>Registered!AT157</f>
        <v/>
      </c>
      <c r="F62" s="4" t="str">
        <f>Registered!AU157</f>
        <v/>
      </c>
      <c r="G62" s="4" t="str">
        <f>Registered!AW157</f>
        <v/>
      </c>
      <c r="H62" s="4" t="str">
        <f>Registered!AX157</f>
        <v/>
      </c>
      <c r="I62" s="4" t="str">
        <f>Registered!AY157</f>
        <v/>
      </c>
    </row>
    <row r="63" spans="1:9" x14ac:dyDescent="0.25">
      <c r="A63" s="4" t="str">
        <f>Registered!B159</f>
        <v>Barry</v>
      </c>
      <c r="B63" s="4" t="str">
        <f>Registered!A159</f>
        <v>Shawn</v>
      </c>
      <c r="C63" s="4" t="str">
        <f>IF(Registered!AR159&gt;0,Registered!AR159&amp;" Color Bags", "")</f>
        <v>5 Color Bags</v>
      </c>
      <c r="D63" s="4" t="str">
        <f>IF(Registered!AS159&gt;0,(IF(Registered!AS159=1,Registered!AS159&amp;" T-Shirt",Registered!AS159&amp;" T-Shirts")), "")</f>
        <v>1 T-Shirt</v>
      </c>
      <c r="E63" s="4" t="str">
        <f>Registered!AT159</f>
        <v>XXXL</v>
      </c>
      <c r="F63" s="4" t="str">
        <f>Registered!AU159</f>
        <v/>
      </c>
      <c r="G63" s="4" t="str">
        <f>Registered!AW159</f>
        <v>1 Meal</v>
      </c>
      <c r="H63" s="4" t="str">
        <f>Registered!AX159</f>
        <v/>
      </c>
      <c r="I63" s="4" t="str">
        <f>Registered!AY159</f>
        <v/>
      </c>
    </row>
    <row r="64" spans="1:9" x14ac:dyDescent="0.25">
      <c r="A64" s="4" t="str">
        <f>Registered!B166</f>
        <v>Barton</v>
      </c>
      <c r="B64" s="4" t="str">
        <f>Registered!A166</f>
        <v>Jessica</v>
      </c>
      <c r="C64" s="4" t="str">
        <f>IF(Registered!AR166&gt;0,Registered!AR166&amp;" Color Bags", "")</f>
        <v>5 Color Bags</v>
      </c>
      <c r="D64" s="4" t="str">
        <f>IF(Registered!AS166&gt;0,(IF(Registered!AS166=1,Registered!AS166&amp;" T-Shirt",Registered!AS166&amp;" T-Shirts")), "")</f>
        <v/>
      </c>
      <c r="E64" s="4" t="str">
        <f>Registered!AT166</f>
        <v/>
      </c>
      <c r="F64" s="4" t="str">
        <f>Registered!AU166</f>
        <v/>
      </c>
      <c r="G64" s="4" t="str">
        <f>Registered!AW166</f>
        <v/>
      </c>
      <c r="H64" s="4" t="str">
        <f>Registered!AX166</f>
        <v/>
      </c>
      <c r="I64" s="4" t="str">
        <f>Registered!AY166</f>
        <v/>
      </c>
    </row>
    <row r="65" spans="1:9" x14ac:dyDescent="0.25">
      <c r="A65" s="4" t="str">
        <f>Registered!B170</f>
        <v>Bassett</v>
      </c>
      <c r="B65" s="4" t="str">
        <f>Registered!A170</f>
        <v>Allison</v>
      </c>
      <c r="C65" s="4" t="str">
        <f>IF(Registered!AR170&gt;0,Registered!AR170&amp;" Color Bags", "")</f>
        <v>10 Color Bags</v>
      </c>
      <c r="D65" s="4" t="str">
        <f>IF(Registered!AS170&gt;0,(IF(Registered!AS170=1,Registered!AS170&amp;" T-Shirt",Registered!AS170&amp;" T-Shirts")), "")</f>
        <v/>
      </c>
      <c r="E65" s="4" t="str">
        <f>Registered!AT170</f>
        <v/>
      </c>
      <c r="F65" s="4" t="str">
        <f>Registered!AU170</f>
        <v/>
      </c>
      <c r="G65" s="4" t="str">
        <f>Registered!AW170</f>
        <v/>
      </c>
      <c r="H65" s="4" t="str">
        <f>Registered!AX170</f>
        <v/>
      </c>
      <c r="I65" s="4" t="str">
        <f>Registered!AY170</f>
        <v/>
      </c>
    </row>
    <row r="66" spans="1:9" x14ac:dyDescent="0.25">
      <c r="A66" s="4" t="str">
        <f>Registered!B171</f>
        <v>Batista-Velez</v>
      </c>
      <c r="B66" s="4" t="str">
        <f>Registered!A171</f>
        <v>Carissa</v>
      </c>
      <c r="C66" s="4" t="str">
        <f>IF(Registered!AR171&gt;0,Registered!AR171&amp;" Color Bags", "")</f>
        <v>5 Color Bags</v>
      </c>
      <c r="D66" s="4" t="str">
        <f>IF(Registered!AS171&gt;0,(IF(Registered!AS171=1,Registered!AS171&amp;" T-Shirt",Registered!AS171&amp;" T-Shirts")), "")</f>
        <v/>
      </c>
      <c r="E66" s="4" t="str">
        <f>Registered!AT171</f>
        <v/>
      </c>
      <c r="F66" s="4" t="str">
        <f>Registered!AU171</f>
        <v/>
      </c>
      <c r="G66" s="4" t="str">
        <f>Registered!AW171</f>
        <v>2 Meals</v>
      </c>
      <c r="H66" s="4" t="str">
        <f>Registered!AX171</f>
        <v/>
      </c>
      <c r="I66" s="4" t="str">
        <f>Registered!AY171</f>
        <v/>
      </c>
    </row>
    <row r="67" spans="1:9" x14ac:dyDescent="0.25">
      <c r="A67" s="4" t="str">
        <f>Registered!B172</f>
        <v>Bauer</v>
      </c>
      <c r="B67" s="4" t="str">
        <f>Registered!A172</f>
        <v>Michelle</v>
      </c>
      <c r="C67" s="4" t="str">
        <f>IF(Registered!AR172&gt;0,Registered!AR172&amp;" Color Bags", "")</f>
        <v>10 Color Bags</v>
      </c>
      <c r="D67" s="4" t="str">
        <f>IF(Registered!AS172&gt;0,(IF(Registered!AS172=1,Registered!AS172&amp;" T-Shirt",Registered!AS172&amp;" T-Shirts")), "")</f>
        <v/>
      </c>
      <c r="E67" s="4" t="str">
        <f>Registered!AT172</f>
        <v/>
      </c>
      <c r="F67" s="4" t="str">
        <f>Registered!AU172</f>
        <v/>
      </c>
      <c r="G67" s="4" t="str">
        <f>Registered!AW172</f>
        <v/>
      </c>
      <c r="H67" s="4" t="str">
        <f>Registered!AX172</f>
        <v/>
      </c>
      <c r="I67" s="4" t="str">
        <f>Registered!AY172</f>
        <v/>
      </c>
    </row>
    <row r="68" spans="1:9" x14ac:dyDescent="0.25">
      <c r="A68" s="4" t="str">
        <f>Registered!B179</f>
        <v>Beal</v>
      </c>
      <c r="B68" s="4" t="str">
        <f>Registered!A179</f>
        <v>Tena</v>
      </c>
      <c r="C68" s="4" t="str">
        <f>IF(Registered!AR179&gt;0,Registered!AR179&amp;" Color Bags", "")</f>
        <v>5 Color Bags</v>
      </c>
      <c r="D68" s="4" t="str">
        <f>IF(Registered!AS179&gt;0,(IF(Registered!AS179=1,Registered!AS179&amp;" T-Shirt",Registered!AS179&amp;" T-Shirts")), "")</f>
        <v/>
      </c>
      <c r="E68" s="4" t="str">
        <f>Registered!AT179</f>
        <v/>
      </c>
      <c r="F68" s="4" t="str">
        <f>Registered!AU179</f>
        <v/>
      </c>
      <c r="G68" s="4" t="str">
        <f>Registered!AW179</f>
        <v/>
      </c>
      <c r="H68" s="4" t="str">
        <f>Registered!AX179</f>
        <v/>
      </c>
      <c r="I68" s="4" t="str">
        <f>Registered!AY179</f>
        <v/>
      </c>
    </row>
    <row r="69" spans="1:9" x14ac:dyDescent="0.25">
      <c r="A69" s="4" t="str">
        <f>Registered!B180</f>
        <v>Beard</v>
      </c>
      <c r="B69" s="4" t="str">
        <f>Registered!A180</f>
        <v>Lisa</v>
      </c>
      <c r="C69" s="4" t="str">
        <f>IF(Registered!AR180&gt;0,Registered!AR180&amp;" Color Bags", "")</f>
        <v>10 Color Bags</v>
      </c>
      <c r="D69" s="4" t="str">
        <f>IF(Registered!AS180&gt;0,(IF(Registered!AS180=1,Registered!AS180&amp;" T-Shirt",Registered!AS180&amp;" T-Shirts")), "")</f>
        <v/>
      </c>
      <c r="E69" s="4" t="str">
        <f>Registered!AT180</f>
        <v/>
      </c>
      <c r="F69" s="4" t="str">
        <f>Registered!AU180</f>
        <v/>
      </c>
      <c r="G69" s="4" t="str">
        <f>Registered!AW180</f>
        <v/>
      </c>
      <c r="H69" s="4" t="str">
        <f>Registered!AX180</f>
        <v/>
      </c>
      <c r="I69" s="4" t="str">
        <f>Registered!AY180</f>
        <v/>
      </c>
    </row>
    <row r="70" spans="1:9" x14ac:dyDescent="0.25">
      <c r="A70" s="4" t="str">
        <f>Registered!B183</f>
        <v>Beazer</v>
      </c>
      <c r="B70" s="4" t="str">
        <f>Registered!A183</f>
        <v>Spencer</v>
      </c>
      <c r="C70" s="4" t="str">
        <f>IF(Registered!AR183&gt;0,Registered!AR183&amp;" Color Bags", "")</f>
        <v>10 Color Bags</v>
      </c>
      <c r="D70" s="4" t="str">
        <f>IF(Registered!AS183&gt;0,(IF(Registered!AS183=1,Registered!AS183&amp;" T-Shirt",Registered!AS183&amp;" T-Shirts")), "")</f>
        <v/>
      </c>
      <c r="E70" s="4" t="str">
        <f>Registered!AT183</f>
        <v/>
      </c>
      <c r="F70" s="4" t="str">
        <f>Registered!AU183</f>
        <v/>
      </c>
      <c r="G70" s="4" t="str">
        <f>Registered!AW183</f>
        <v>2 Meals</v>
      </c>
      <c r="H70" s="4" t="str">
        <f>Registered!AX183</f>
        <v/>
      </c>
      <c r="I70" s="4" t="str">
        <f>Registered!AY183</f>
        <v>1 DustMask</v>
      </c>
    </row>
    <row r="71" spans="1:9" x14ac:dyDescent="0.25">
      <c r="A71" s="4" t="str">
        <f>Registered!B184</f>
        <v>Becerra</v>
      </c>
      <c r="B71" s="4" t="str">
        <f>Registered!A184</f>
        <v>Natalia</v>
      </c>
      <c r="C71" s="4" t="str">
        <f>IF(Registered!AR184&gt;0,Registered!AR184&amp;" Color Bags", "")</f>
        <v>10 Color Bags</v>
      </c>
      <c r="D71" s="4" t="str">
        <f>IF(Registered!AS184&gt;0,(IF(Registered!AS184=1,Registered!AS184&amp;" T-Shirt",Registered!AS184&amp;" T-Shirts")), "")</f>
        <v/>
      </c>
      <c r="E71" s="4" t="str">
        <f>Registered!AT184</f>
        <v/>
      </c>
      <c r="F71" s="4" t="str">
        <f>Registered!AU184</f>
        <v/>
      </c>
      <c r="G71" s="4" t="str">
        <f>Registered!AW184</f>
        <v/>
      </c>
      <c r="H71" s="4" t="str">
        <f>Registered!AX184</f>
        <v/>
      </c>
      <c r="I71" s="4" t="str">
        <f>Registered!AY184</f>
        <v/>
      </c>
    </row>
    <row r="72" spans="1:9" x14ac:dyDescent="0.25">
      <c r="A72" s="4" t="str">
        <f>Registered!B188</f>
        <v>Beecher</v>
      </c>
      <c r="B72" s="4" t="str">
        <f>Registered!A188</f>
        <v>Jennifer</v>
      </c>
      <c r="C72" s="4" t="str">
        <f>IF(Registered!AR188&gt;0,Registered!AR188&amp;" Color Bags", "")</f>
        <v>20 Color Bags</v>
      </c>
      <c r="D72" s="4" t="str">
        <f>IF(Registered!AS188&gt;0,(IF(Registered!AS188=1,Registered!AS188&amp;" T-Shirt",Registered!AS188&amp;" T-Shirts")), "")</f>
        <v/>
      </c>
      <c r="E72" s="4" t="str">
        <f>Registered!AT188</f>
        <v/>
      </c>
      <c r="F72" s="4" t="str">
        <f>Registered!AU188</f>
        <v/>
      </c>
      <c r="G72" s="4" t="str">
        <f>Registered!AW188</f>
        <v/>
      </c>
      <c r="H72" s="4" t="str">
        <f>Registered!AX188</f>
        <v/>
      </c>
      <c r="I72" s="4" t="str">
        <f>Registered!AY188</f>
        <v/>
      </c>
    </row>
    <row r="73" spans="1:9" x14ac:dyDescent="0.25">
      <c r="A73" s="4" t="str">
        <f>Registered!B193</f>
        <v>Behunin</v>
      </c>
      <c r="B73" s="4" t="str">
        <f>Registered!A193</f>
        <v>Sara</v>
      </c>
      <c r="C73" s="4" t="str">
        <f>IF(Registered!AR193&gt;0,Registered!AR193&amp;" Color Bags", "")</f>
        <v>5 Color Bags</v>
      </c>
      <c r="D73" s="4" t="str">
        <f>IF(Registered!AS193&gt;0,(IF(Registered!AS193=1,Registered!AS193&amp;" T-Shirt",Registered!AS193&amp;" T-Shirts")), "")</f>
        <v>1 T-Shirt</v>
      </c>
      <c r="E73" s="4" t="str">
        <f>Registered!AT193</f>
        <v>Medium Womens</v>
      </c>
      <c r="F73" s="4" t="str">
        <f>Registered!AU193</f>
        <v/>
      </c>
      <c r="G73" s="4" t="str">
        <f>Registered!AW193</f>
        <v>1 Meal</v>
      </c>
      <c r="H73" s="4" t="str">
        <f>Registered!AX193</f>
        <v/>
      </c>
      <c r="I73" s="4" t="str">
        <f>Registered!AY193</f>
        <v/>
      </c>
    </row>
    <row r="74" spans="1:9" x14ac:dyDescent="0.25">
      <c r="A74" s="4" t="str">
        <f>Registered!B198</f>
        <v>Benford</v>
      </c>
      <c r="B74" s="4" t="str">
        <f>Registered!A198</f>
        <v>Courtney</v>
      </c>
      <c r="C74" s="4" t="str">
        <f>IF(Registered!AR198&gt;0,Registered!AR198&amp;" Color Bags", "")</f>
        <v>15 Color Bags</v>
      </c>
      <c r="D74" s="4" t="str">
        <f>IF(Registered!AS198&gt;0,(IF(Registered!AS198=1,Registered!AS198&amp;" T-Shirt",Registered!AS198&amp;" T-Shirts")), "")</f>
        <v>3 T-Shirts</v>
      </c>
      <c r="E74" s="4" t="str">
        <f>Registered!AT198</f>
        <v>Small, Medium, and Large</v>
      </c>
      <c r="F74" s="4" t="str">
        <f>Registered!AU198</f>
        <v>3 Bandanas</v>
      </c>
      <c r="G74" s="4" t="str">
        <f>Registered!AW198</f>
        <v>3 Meals</v>
      </c>
      <c r="H74" s="4" t="str">
        <f>Registered!AX198</f>
        <v/>
      </c>
      <c r="I74" s="4" t="str">
        <f>Registered!AY198</f>
        <v/>
      </c>
    </row>
    <row r="75" spans="1:9" x14ac:dyDescent="0.25">
      <c r="A75" s="4" t="str">
        <f>Registered!B201</f>
        <v>Benoit</v>
      </c>
      <c r="B75" s="4" t="str">
        <f>Registered!A201</f>
        <v>Reece</v>
      </c>
      <c r="C75" s="4" t="str">
        <f>IF(Registered!AR201&gt;0,Registered!AR201&amp;" Color Bags", "")</f>
        <v>20 Color Bags</v>
      </c>
      <c r="D75" s="4" t="str">
        <f>IF(Registered!AS201&gt;0,(IF(Registered!AS201=1,Registered!AS201&amp;" T-Shirt",Registered!AS201&amp;" T-Shirts")), "")</f>
        <v/>
      </c>
      <c r="E75" s="4" t="str">
        <f>Registered!AT201</f>
        <v/>
      </c>
      <c r="F75" s="4" t="str">
        <f>Registered!AU201</f>
        <v/>
      </c>
      <c r="G75" s="4" t="str">
        <f>Registered!AW201</f>
        <v>2 Meals</v>
      </c>
      <c r="H75" s="4" t="str">
        <f>Registered!AX201</f>
        <v/>
      </c>
      <c r="I75" s="4" t="str">
        <f>Registered!AY201</f>
        <v/>
      </c>
    </row>
    <row r="76" spans="1:9" x14ac:dyDescent="0.25">
      <c r="A76" s="4" t="str">
        <f>Registered!B204</f>
        <v>Bentley</v>
      </c>
      <c r="B76" s="4" t="str">
        <f>Registered!A204</f>
        <v>Jason</v>
      </c>
      <c r="C76" s="4" t="str">
        <f>IF(Registered!AR204&gt;0,Registered!AR204&amp;" Color Bags", "")</f>
        <v>10 Color Bags</v>
      </c>
      <c r="D76" s="4" t="str">
        <f>IF(Registered!AS204&gt;0,(IF(Registered!AS204=1,Registered!AS204&amp;" T-Shirt",Registered!AS204&amp;" T-Shirts")), "")</f>
        <v/>
      </c>
      <c r="E76" s="4" t="str">
        <f>Registered!AT204</f>
        <v/>
      </c>
      <c r="F76" s="4" t="str">
        <f>Registered!AU204</f>
        <v/>
      </c>
      <c r="G76" s="4" t="str">
        <f>Registered!AW204</f>
        <v/>
      </c>
      <c r="H76" s="4" t="str">
        <f>Registered!AX204</f>
        <v/>
      </c>
      <c r="I76" s="4" t="str">
        <f>Registered!AY204</f>
        <v/>
      </c>
    </row>
    <row r="77" spans="1:9" x14ac:dyDescent="0.25">
      <c r="A77" s="4" t="str">
        <f>Registered!B206</f>
        <v>Berger</v>
      </c>
      <c r="B77" s="4" t="str">
        <f>Registered!A206</f>
        <v>Heidi</v>
      </c>
      <c r="C77" s="4" t="str">
        <f>IF(Registered!AR206&gt;0,Registered!AR206&amp;" Color Bags", "")</f>
        <v>20 Color Bags</v>
      </c>
      <c r="D77" s="4" t="str">
        <f>IF(Registered!AS206&gt;0,(IF(Registered!AS206=1,Registered!AS206&amp;" T-Shirt",Registered!AS206&amp;" T-Shirts")), "")</f>
        <v/>
      </c>
      <c r="E77" s="4" t="str">
        <f>Registered!AT206</f>
        <v/>
      </c>
      <c r="F77" s="4" t="str">
        <f>Registered!AU206</f>
        <v/>
      </c>
      <c r="G77" s="4" t="str">
        <f>Registered!AW206</f>
        <v>2 Meals</v>
      </c>
      <c r="H77" s="4" t="str">
        <f>Registered!AX206</f>
        <v/>
      </c>
      <c r="I77" s="4" t="str">
        <f>Registered!AY206</f>
        <v/>
      </c>
    </row>
    <row r="78" spans="1:9" x14ac:dyDescent="0.25">
      <c r="A78" s="4" t="str">
        <f>Registered!B207</f>
        <v>Berger</v>
      </c>
      <c r="B78" s="4" t="str">
        <f>Registered!A207</f>
        <v>Jordan</v>
      </c>
      <c r="C78" s="4" t="str">
        <f>IF(Registered!AR207&gt;0,Registered!AR207&amp;" Color Bags", "")</f>
        <v>5 Color Bags</v>
      </c>
      <c r="D78" s="4" t="str">
        <f>IF(Registered!AS207&gt;0,(IF(Registered!AS207=1,Registered!AS207&amp;" T-Shirt",Registered!AS207&amp;" T-Shirts")), "")</f>
        <v/>
      </c>
      <c r="E78" s="4" t="str">
        <f>Registered!AT207</f>
        <v/>
      </c>
      <c r="F78" s="4" t="str">
        <f>Registered!AU207</f>
        <v/>
      </c>
      <c r="G78" s="4" t="str">
        <f>Registered!AW207</f>
        <v/>
      </c>
      <c r="H78" s="4" t="str">
        <f>Registered!AX207</f>
        <v/>
      </c>
      <c r="I78" s="4" t="str">
        <f>Registered!AY207</f>
        <v/>
      </c>
    </row>
    <row r="79" spans="1:9" x14ac:dyDescent="0.25">
      <c r="A79" s="4" t="str">
        <f>Registered!B209</f>
        <v>Bernkopf</v>
      </c>
      <c r="B79" s="4" t="str">
        <f>Registered!A209</f>
        <v>Allyn</v>
      </c>
      <c r="C79" s="4" t="str">
        <f>IF(Registered!AR209&gt;0,Registered!AR209&amp;" Color Bags", "")</f>
        <v>10 Color Bags</v>
      </c>
      <c r="D79" s="4" t="str">
        <f>IF(Registered!AS209&gt;0,(IF(Registered!AS209=1,Registered!AS209&amp;" T-Shirt",Registered!AS209&amp;" T-Shirts")), "")</f>
        <v/>
      </c>
      <c r="E79" s="4" t="str">
        <f>Registered!AT209</f>
        <v/>
      </c>
      <c r="F79" s="4" t="str">
        <f>Registered!AU209</f>
        <v/>
      </c>
      <c r="G79" s="4" t="str">
        <f>Registered!AW209</f>
        <v/>
      </c>
      <c r="H79" s="4" t="str">
        <f>Registered!AX209</f>
        <v>1 BG</v>
      </c>
      <c r="I79" s="4" t="str">
        <f>Registered!AY209</f>
        <v/>
      </c>
    </row>
    <row r="80" spans="1:9" x14ac:dyDescent="0.25">
      <c r="A80" s="4" t="str">
        <f>Registered!B210</f>
        <v>Bertagnolli</v>
      </c>
      <c r="B80" s="4" t="str">
        <f>Registered!A210</f>
        <v>Kati</v>
      </c>
      <c r="C80" s="4" t="str">
        <f>IF(Registered!AR210&gt;0,Registered!AR210&amp;" Color Bags", "")</f>
        <v>10 Color Bags</v>
      </c>
      <c r="D80" s="4" t="str">
        <f>IF(Registered!AS210&gt;0,(IF(Registered!AS210=1,Registered!AS210&amp;" T-Shirt",Registered!AS210&amp;" T-Shirts")), "")</f>
        <v/>
      </c>
      <c r="E80" s="4" t="str">
        <f>Registered!AT210</f>
        <v/>
      </c>
      <c r="F80" s="4" t="str">
        <f>Registered!AU210</f>
        <v/>
      </c>
      <c r="G80" s="4" t="str">
        <f>Registered!AW210</f>
        <v/>
      </c>
      <c r="H80" s="4" t="str">
        <f>Registered!AX210</f>
        <v/>
      </c>
      <c r="I80" s="4" t="str">
        <f>Registered!AY210</f>
        <v/>
      </c>
    </row>
    <row r="81" spans="1:9" x14ac:dyDescent="0.25">
      <c r="A81" s="4" t="str">
        <f>Registered!B211</f>
        <v>Beschle Armstrong</v>
      </c>
      <c r="B81" s="4" t="str">
        <f>Registered!A211</f>
        <v>Danielle Susan</v>
      </c>
      <c r="C81" s="4" t="str">
        <f>IF(Registered!AR211&gt;0,Registered!AR211&amp;" Color Bags", "")</f>
        <v>10 Color Bags</v>
      </c>
      <c r="D81" s="4" t="str">
        <f>IF(Registered!AS211&gt;0,(IF(Registered!AS211=1,Registered!AS211&amp;" T-Shirt",Registered!AS211&amp;" T-Shirts")), "")</f>
        <v>1 T-Shirt</v>
      </c>
      <c r="E81" s="4" t="str">
        <f>Registered!AT211</f>
        <v>Extralarge</v>
      </c>
      <c r="F81" s="4" t="str">
        <f>Registered!AU211</f>
        <v/>
      </c>
      <c r="G81" s="4" t="str">
        <f>Registered!AW211</f>
        <v>1 Meal</v>
      </c>
      <c r="H81" s="4" t="str">
        <f>Registered!AX211</f>
        <v/>
      </c>
      <c r="I81" s="4" t="str">
        <f>Registered!AY211</f>
        <v>1 DustMask</v>
      </c>
    </row>
    <row r="82" spans="1:9" x14ac:dyDescent="0.25">
      <c r="A82" s="4" t="str">
        <f>Registered!B212</f>
        <v>Bhimalingam</v>
      </c>
      <c r="B82" s="4" t="str">
        <f>Registered!A212</f>
        <v>Subhash</v>
      </c>
      <c r="C82" s="4" t="str">
        <f>IF(Registered!AR212&gt;0,Registered!AR212&amp;" Color Bags", "")</f>
        <v>20 Color Bags</v>
      </c>
      <c r="D82" s="4" t="str">
        <f>IF(Registered!AS212&gt;0,(IF(Registered!AS212=1,Registered!AS212&amp;" T-Shirt",Registered!AS212&amp;" T-Shirts")), "")</f>
        <v/>
      </c>
      <c r="E82" s="4" t="str">
        <f>Registered!AT212</f>
        <v/>
      </c>
      <c r="F82" s="4" t="str">
        <f>Registered!AU212</f>
        <v/>
      </c>
      <c r="G82" s="4" t="str">
        <f>Registered!AW212</f>
        <v/>
      </c>
      <c r="H82" s="4" t="str">
        <f>Registered!AX212</f>
        <v/>
      </c>
      <c r="I82" s="4" t="str">
        <f>Registered!AY212</f>
        <v/>
      </c>
    </row>
    <row r="83" spans="1:9" x14ac:dyDescent="0.25">
      <c r="A83" s="4" t="str">
        <f>Registered!B214</f>
        <v>Billat</v>
      </c>
      <c r="B83" s="4" t="str">
        <f>Registered!A214</f>
        <v>Hailey</v>
      </c>
      <c r="C83" s="4" t="str">
        <f>IF(Registered!AR214&gt;0,Registered!AR214&amp;" Color Bags", "")</f>
        <v>5 Color Bags</v>
      </c>
      <c r="D83" s="4" t="str">
        <f>IF(Registered!AS214&gt;0,(IF(Registered!AS214=1,Registered!AS214&amp;" T-Shirt",Registered!AS214&amp;" T-Shirts")), "")</f>
        <v/>
      </c>
      <c r="E83" s="4" t="str">
        <f>Registered!AT214</f>
        <v/>
      </c>
      <c r="F83" s="4" t="str">
        <f>Registered!AU214</f>
        <v/>
      </c>
      <c r="G83" s="4" t="str">
        <f>Registered!AW214</f>
        <v/>
      </c>
      <c r="H83" s="4" t="str">
        <f>Registered!AX214</f>
        <v/>
      </c>
      <c r="I83" s="4" t="str">
        <f>Registered!AY214</f>
        <v/>
      </c>
    </row>
    <row r="84" spans="1:9" x14ac:dyDescent="0.25">
      <c r="A84" s="4" t="str">
        <f>Registered!B218</f>
        <v>Birdzell</v>
      </c>
      <c r="B84" s="4" t="str">
        <f>Registered!A218</f>
        <v>Shannon</v>
      </c>
      <c r="C84" s="4" t="str">
        <f>IF(Registered!AR218&gt;0,Registered!AR218&amp;" Color Bags", "")</f>
        <v>10 Color Bags</v>
      </c>
      <c r="D84" s="4" t="str">
        <f>IF(Registered!AS218&gt;0,(IF(Registered!AS218=1,Registered!AS218&amp;" T-Shirt",Registered!AS218&amp;" T-Shirts")), "")</f>
        <v/>
      </c>
      <c r="E84" s="4" t="str">
        <f>Registered!AT218</f>
        <v/>
      </c>
      <c r="F84" s="4" t="str">
        <f>Registered!AU218</f>
        <v/>
      </c>
      <c r="G84" s="4" t="str">
        <f>Registered!AW218</f>
        <v/>
      </c>
      <c r="H84" s="4" t="str">
        <f>Registered!AX218</f>
        <v/>
      </c>
      <c r="I84" s="4" t="str">
        <f>Registered!AY218</f>
        <v/>
      </c>
    </row>
    <row r="85" spans="1:9" x14ac:dyDescent="0.25">
      <c r="A85" s="4" t="str">
        <f>Registered!B220</f>
        <v>Bitner</v>
      </c>
      <c r="B85" s="4" t="str">
        <f>Registered!A220</f>
        <v>Ariel</v>
      </c>
      <c r="C85" s="4" t="str">
        <f>IF(Registered!AR220&gt;0,Registered!AR220&amp;" Color Bags", "")</f>
        <v>5 Color Bags</v>
      </c>
      <c r="D85" s="4" t="str">
        <f>IF(Registered!AS220&gt;0,(IF(Registered!AS220=1,Registered!AS220&amp;" T-Shirt",Registered!AS220&amp;" T-Shirts")), "")</f>
        <v/>
      </c>
      <c r="E85" s="4" t="str">
        <f>Registered!AT220</f>
        <v/>
      </c>
      <c r="F85" s="4" t="str">
        <f>Registered!AU220</f>
        <v/>
      </c>
      <c r="G85" s="4" t="str">
        <f>Registered!AW220</f>
        <v/>
      </c>
      <c r="H85" s="4" t="str">
        <f>Registered!AX220</f>
        <v/>
      </c>
      <c r="I85" s="4" t="str">
        <f>Registered!AY220</f>
        <v/>
      </c>
    </row>
    <row r="86" spans="1:9" x14ac:dyDescent="0.25">
      <c r="A86" s="4" t="str">
        <f>Registered!B224</f>
        <v>Blackburn</v>
      </c>
      <c r="B86" s="4" t="str">
        <f>Registered!A224</f>
        <v>Thomas</v>
      </c>
      <c r="C86" s="4" t="str">
        <f>IF(Registered!AR224&gt;0,Registered!AR224&amp;" Color Bags", "")</f>
        <v>15 Color Bags</v>
      </c>
      <c r="D86" s="4" t="str">
        <f>IF(Registered!AS224&gt;0,(IF(Registered!AS224=1,Registered!AS224&amp;" T-Shirt",Registered!AS224&amp;" T-Shirts")), "")</f>
        <v/>
      </c>
      <c r="E86" s="4" t="str">
        <f>Registered!AT224</f>
        <v/>
      </c>
      <c r="F86" s="4" t="str">
        <f>Registered!AU224</f>
        <v/>
      </c>
      <c r="G86" s="4" t="str">
        <f>Registered!AW224</f>
        <v/>
      </c>
      <c r="H86" s="4" t="str">
        <f>Registered!AX224</f>
        <v/>
      </c>
      <c r="I86" s="4" t="str">
        <f>Registered!AY224</f>
        <v/>
      </c>
    </row>
    <row r="87" spans="1:9" x14ac:dyDescent="0.25">
      <c r="A87" s="4" t="str">
        <f>Registered!B225</f>
        <v>Blackham</v>
      </c>
      <c r="B87" s="4" t="str">
        <f>Registered!A225</f>
        <v>Kristen</v>
      </c>
      <c r="C87" s="4" t="str">
        <f>IF(Registered!AR225&gt;0,Registered!AR225&amp;" Color Bags", "")</f>
        <v>5 Color Bags</v>
      </c>
      <c r="D87" s="4" t="str">
        <f>IF(Registered!AS225&gt;0,(IF(Registered!AS225=1,Registered!AS225&amp;" T-Shirt",Registered!AS225&amp;" T-Shirts")), "")</f>
        <v/>
      </c>
      <c r="E87" s="4" t="str">
        <f>Registered!AT225</f>
        <v/>
      </c>
      <c r="F87" s="4" t="str">
        <f>Registered!AU225</f>
        <v/>
      </c>
      <c r="G87" s="4" t="str">
        <f>Registered!AW225</f>
        <v/>
      </c>
      <c r="H87" s="4" t="str">
        <f>Registered!AX225</f>
        <v/>
      </c>
      <c r="I87" s="4" t="str">
        <f>Registered!AY225</f>
        <v/>
      </c>
    </row>
    <row r="88" spans="1:9" x14ac:dyDescent="0.25">
      <c r="A88" s="4" t="str">
        <f>Registered!B226</f>
        <v>Blackledge</v>
      </c>
      <c r="B88" s="4" t="str">
        <f>Registered!A226</f>
        <v>Samantha</v>
      </c>
      <c r="C88" s="4" t="str">
        <f>IF(Registered!AR226&gt;0,Registered!AR226&amp;" Color Bags", "")</f>
        <v>10 Color Bags</v>
      </c>
      <c r="D88" s="4" t="str">
        <f>IF(Registered!AS226&gt;0,(IF(Registered!AS226=1,Registered!AS226&amp;" T-Shirt",Registered!AS226&amp;" T-Shirts")), "")</f>
        <v/>
      </c>
      <c r="E88" s="4" t="str">
        <f>Registered!AT226</f>
        <v/>
      </c>
      <c r="F88" s="4" t="str">
        <f>Registered!AU226</f>
        <v/>
      </c>
      <c r="G88" s="4" t="str">
        <f>Registered!AW226</f>
        <v/>
      </c>
      <c r="H88" s="4" t="str">
        <f>Registered!AX226</f>
        <v/>
      </c>
      <c r="I88" s="4" t="str">
        <f>Registered!AY226</f>
        <v/>
      </c>
    </row>
    <row r="89" spans="1:9" x14ac:dyDescent="0.25">
      <c r="A89" s="4" t="str">
        <f>Registered!B227</f>
        <v>Blair</v>
      </c>
      <c r="B89" s="4" t="str">
        <f>Registered!A227</f>
        <v>Kayla</v>
      </c>
      <c r="C89" s="4" t="str">
        <f>IF(Registered!AR227&gt;0,Registered!AR227&amp;" Color Bags", "")</f>
        <v>15 Color Bags</v>
      </c>
      <c r="D89" s="4" t="str">
        <f>IF(Registered!AS227&gt;0,(IF(Registered!AS227=1,Registered!AS227&amp;" T-Shirt",Registered!AS227&amp;" T-Shirts")), "")</f>
        <v/>
      </c>
      <c r="E89" s="4" t="str">
        <f>Registered!AT227</f>
        <v/>
      </c>
      <c r="F89" s="4" t="str">
        <f>Registered!AU227</f>
        <v/>
      </c>
      <c r="G89" s="4" t="str">
        <f>Registered!AW227</f>
        <v/>
      </c>
      <c r="H89" s="4" t="str">
        <f>Registered!AX227</f>
        <v/>
      </c>
      <c r="I89" s="4" t="str">
        <f>Registered!AY227</f>
        <v/>
      </c>
    </row>
    <row r="90" spans="1:9" x14ac:dyDescent="0.25">
      <c r="A90" s="4" t="str">
        <f>Registered!B232</f>
        <v>Blake</v>
      </c>
      <c r="B90" s="4" t="str">
        <f>Registered!A232</f>
        <v>Rachelle</v>
      </c>
      <c r="C90" s="4" t="str">
        <f>IF(Registered!AR232&gt;0,Registered!AR232&amp;" Color Bags", "")</f>
        <v>10 Color Bags</v>
      </c>
      <c r="D90" s="4" t="str">
        <f>IF(Registered!AS232&gt;0,(IF(Registered!AS232=1,Registered!AS232&amp;" T-Shirt",Registered!AS232&amp;" T-Shirts")), "")</f>
        <v/>
      </c>
      <c r="E90" s="4" t="str">
        <f>Registered!AT232</f>
        <v/>
      </c>
      <c r="F90" s="4" t="str">
        <f>Registered!AU232</f>
        <v/>
      </c>
      <c r="G90" s="4" t="str">
        <f>Registered!AW232</f>
        <v/>
      </c>
      <c r="H90" s="4" t="str">
        <f>Registered!AX232</f>
        <v/>
      </c>
      <c r="I90" s="4" t="str">
        <f>Registered!AY232</f>
        <v/>
      </c>
    </row>
    <row r="91" spans="1:9" x14ac:dyDescent="0.25">
      <c r="A91" s="4" t="str">
        <f>Registered!B234</f>
        <v>Blankinship</v>
      </c>
      <c r="B91" s="4" t="str">
        <f>Registered!A234</f>
        <v>Emily</v>
      </c>
      <c r="C91" s="4" t="str">
        <f>IF(Registered!AR234&gt;0,Registered!AR234&amp;" Color Bags", "")</f>
        <v/>
      </c>
      <c r="D91" s="4" t="str">
        <f>IF(Registered!AS234&gt;0,(IF(Registered!AS234=1,Registered!AS234&amp;" T-Shirt",Registered!AS234&amp;" T-Shirts")), "")</f>
        <v>1 T-Shirt</v>
      </c>
      <c r="E91" s="4" t="str">
        <f>Registered!AT234</f>
        <v>Size Not Specified</v>
      </c>
      <c r="F91" s="4" t="str">
        <f>Registered!AU234</f>
        <v/>
      </c>
      <c r="G91" s="4" t="str">
        <f>Registered!AW234</f>
        <v/>
      </c>
      <c r="H91" s="4" t="str">
        <f>Registered!AX234</f>
        <v/>
      </c>
      <c r="I91" s="4" t="str">
        <f>Registered!AY234</f>
        <v/>
      </c>
    </row>
    <row r="92" spans="1:9" x14ac:dyDescent="0.25">
      <c r="A92" s="4" t="str">
        <f>Registered!B235</f>
        <v>Blaser</v>
      </c>
      <c r="B92" s="4" t="str">
        <f>Registered!A235</f>
        <v>Laurajane</v>
      </c>
      <c r="C92" s="4" t="str">
        <f>IF(Registered!AR235&gt;0,Registered!AR235&amp;" Color Bags", "")</f>
        <v>5 Color Bags</v>
      </c>
      <c r="D92" s="4" t="str">
        <f>IF(Registered!AS235&gt;0,(IF(Registered!AS235=1,Registered!AS235&amp;" T-Shirt",Registered!AS235&amp;" T-Shirts")), "")</f>
        <v/>
      </c>
      <c r="E92" s="4" t="str">
        <f>Registered!AT235</f>
        <v/>
      </c>
      <c r="F92" s="4" t="str">
        <f>Registered!AU235</f>
        <v/>
      </c>
      <c r="G92" s="4" t="str">
        <f>Registered!AW235</f>
        <v/>
      </c>
      <c r="H92" s="4" t="str">
        <f>Registered!AX235</f>
        <v/>
      </c>
      <c r="I92" s="4" t="str">
        <f>Registered!AY235</f>
        <v/>
      </c>
    </row>
    <row r="93" spans="1:9" x14ac:dyDescent="0.25">
      <c r="A93" s="4" t="str">
        <f>Registered!B237</f>
        <v>Boada</v>
      </c>
      <c r="B93" s="4" t="str">
        <f>Registered!A237</f>
        <v>Luis</v>
      </c>
      <c r="C93" s="4" t="str">
        <f>IF(Registered!AR237&gt;0,Registered!AR237&amp;" Color Bags", "")</f>
        <v>10 Color Bags</v>
      </c>
      <c r="D93" s="4" t="str">
        <f>IF(Registered!AS237&gt;0,(IF(Registered!AS237=1,Registered!AS237&amp;" T-Shirt",Registered!AS237&amp;" T-Shirts")), "")</f>
        <v>2 T-Shirts</v>
      </c>
      <c r="E93" s="4" t="str">
        <f>Registered!AT237</f>
        <v>MEDIUM</v>
      </c>
      <c r="F93" s="4" t="str">
        <f>Registered!AU237</f>
        <v/>
      </c>
      <c r="G93" s="4" t="str">
        <f>Registered!AW237</f>
        <v>1 Meal</v>
      </c>
      <c r="H93" s="4" t="str">
        <f>Registered!AX237</f>
        <v/>
      </c>
      <c r="I93" s="4" t="str">
        <f>Registered!AY237</f>
        <v>1 DustMask</v>
      </c>
    </row>
    <row r="94" spans="1:9" x14ac:dyDescent="0.25">
      <c r="A94" s="4" t="str">
        <f>Registered!B238</f>
        <v>Boeckmann</v>
      </c>
      <c r="B94" s="4" t="str">
        <f>Registered!A238</f>
        <v>Elise</v>
      </c>
      <c r="C94" s="4" t="str">
        <f>IF(Registered!AR238&gt;0,Registered!AR238&amp;" Color Bags", "")</f>
        <v>5 Color Bags</v>
      </c>
      <c r="D94" s="4" t="str">
        <f>IF(Registered!AS238&gt;0,(IF(Registered!AS238=1,Registered!AS238&amp;" T-Shirt",Registered!AS238&amp;" T-Shirts")), "")</f>
        <v/>
      </c>
      <c r="E94" s="4" t="str">
        <f>Registered!AT238</f>
        <v/>
      </c>
      <c r="F94" s="4" t="str">
        <f>Registered!AU238</f>
        <v/>
      </c>
      <c r="G94" s="4" t="str">
        <f>Registered!AW238</f>
        <v/>
      </c>
      <c r="H94" s="4" t="str">
        <f>Registered!AX238</f>
        <v/>
      </c>
      <c r="I94" s="4" t="str">
        <f>Registered!AY238</f>
        <v/>
      </c>
    </row>
    <row r="95" spans="1:9" x14ac:dyDescent="0.25">
      <c r="A95" s="4" t="str">
        <f>Registered!B239</f>
        <v>Boehm</v>
      </c>
      <c r="B95" s="4" t="str">
        <f>Registered!A239</f>
        <v>Chelsee</v>
      </c>
      <c r="C95" s="4" t="str">
        <f>IF(Registered!AR239&gt;0,Registered!AR239&amp;" Color Bags", "")</f>
        <v>15 Color Bags</v>
      </c>
      <c r="D95" s="4" t="str">
        <f>IF(Registered!AS239&gt;0,(IF(Registered!AS239=1,Registered!AS239&amp;" T-Shirt",Registered!AS239&amp;" T-Shirts")), "")</f>
        <v/>
      </c>
      <c r="E95" s="4" t="str">
        <f>Registered!AT239</f>
        <v/>
      </c>
      <c r="F95" s="4" t="str">
        <f>Registered!AU239</f>
        <v/>
      </c>
      <c r="G95" s="4" t="str">
        <f>Registered!AW239</f>
        <v/>
      </c>
      <c r="H95" s="4" t="str">
        <f>Registered!AX239</f>
        <v/>
      </c>
      <c r="I95" s="4" t="str">
        <f>Registered!AY239</f>
        <v/>
      </c>
    </row>
    <row r="96" spans="1:9" x14ac:dyDescent="0.25">
      <c r="A96" s="4" t="str">
        <f>Registered!B240</f>
        <v>Bogardus</v>
      </c>
      <c r="B96" s="4" t="str">
        <f>Registered!A240</f>
        <v>Keri</v>
      </c>
      <c r="C96" s="4" t="str">
        <f>IF(Registered!AR240&gt;0,Registered!AR240&amp;" Color Bags", "")</f>
        <v>10 Color Bags</v>
      </c>
      <c r="D96" s="4" t="str">
        <f>IF(Registered!AS240&gt;0,(IF(Registered!AS240=1,Registered!AS240&amp;" T-Shirt",Registered!AS240&amp;" T-Shirts")), "")</f>
        <v/>
      </c>
      <c r="E96" s="4" t="str">
        <f>Registered!AT240</f>
        <v/>
      </c>
      <c r="F96" s="4" t="str">
        <f>Registered!AU240</f>
        <v/>
      </c>
      <c r="G96" s="4" t="str">
        <f>Registered!AW240</f>
        <v>1 Meal</v>
      </c>
      <c r="H96" s="4" t="str">
        <f>Registered!AX240</f>
        <v/>
      </c>
      <c r="I96" s="4" t="str">
        <f>Registered!AY240</f>
        <v>1 DustMask</v>
      </c>
    </row>
    <row r="97" spans="1:9" x14ac:dyDescent="0.25">
      <c r="A97" s="4" t="str">
        <f>Registered!B242</f>
        <v>Bogumil</v>
      </c>
      <c r="B97" s="4" t="str">
        <f>Registered!A242</f>
        <v>Grace</v>
      </c>
      <c r="C97" s="4" t="str">
        <f>IF(Registered!AR242&gt;0,Registered!AR242&amp;" Color Bags", "")</f>
        <v>5 Color Bags</v>
      </c>
      <c r="D97" s="4" t="str">
        <f>IF(Registered!AS242&gt;0,(IF(Registered!AS242=1,Registered!AS242&amp;" T-Shirt",Registered!AS242&amp;" T-Shirts")), "")</f>
        <v/>
      </c>
      <c r="E97" s="4" t="str">
        <f>Registered!AT242</f>
        <v/>
      </c>
      <c r="F97" s="4" t="str">
        <f>Registered!AU242</f>
        <v/>
      </c>
      <c r="G97" s="4" t="str">
        <f>Registered!AW242</f>
        <v/>
      </c>
      <c r="H97" s="4" t="str">
        <f>Registered!AX242</f>
        <v/>
      </c>
      <c r="I97" s="4" t="str">
        <f>Registered!AY242</f>
        <v/>
      </c>
    </row>
    <row r="98" spans="1:9" x14ac:dyDescent="0.25">
      <c r="A98" s="4" t="str">
        <f>Registered!B245</f>
        <v>Boiteux</v>
      </c>
      <c r="B98" s="4" t="str">
        <f>Registered!A245</f>
        <v>Blake</v>
      </c>
      <c r="C98" s="4" t="str">
        <f>IF(Registered!AR245&gt;0,Registered!AR245&amp;" Color Bags", "")</f>
        <v>10 Color Bags</v>
      </c>
      <c r="D98" s="4" t="str">
        <f>IF(Registered!AS245&gt;0,(IF(Registered!AS245=1,Registered!AS245&amp;" T-Shirt",Registered!AS245&amp;" T-Shirts")), "")</f>
        <v/>
      </c>
      <c r="E98" s="4" t="str">
        <f>Registered!AT245</f>
        <v/>
      </c>
      <c r="F98" s="4" t="str">
        <f>Registered!AU245</f>
        <v/>
      </c>
      <c r="G98" s="4" t="str">
        <f>Registered!AW245</f>
        <v/>
      </c>
      <c r="H98" s="4" t="str">
        <f>Registered!AX245</f>
        <v/>
      </c>
      <c r="I98" s="4" t="str">
        <f>Registered!AY245</f>
        <v/>
      </c>
    </row>
    <row r="99" spans="1:9" x14ac:dyDescent="0.25">
      <c r="A99" s="4" t="str">
        <f>Registered!B246</f>
        <v>Boiteux</v>
      </c>
      <c r="B99" s="4" t="str">
        <f>Registered!A246</f>
        <v>Carly</v>
      </c>
      <c r="C99" s="4" t="str">
        <f>IF(Registered!AR246&gt;0,Registered!AR246&amp;" Color Bags", "")</f>
        <v>20 Color Bags</v>
      </c>
      <c r="D99" s="4" t="str">
        <f>IF(Registered!AS246&gt;0,(IF(Registered!AS246=1,Registered!AS246&amp;" T-Shirt",Registered!AS246&amp;" T-Shirts")), "")</f>
        <v/>
      </c>
      <c r="E99" s="4" t="str">
        <f>Registered!AT246</f>
        <v/>
      </c>
      <c r="F99" s="4" t="str">
        <f>Registered!AU246</f>
        <v/>
      </c>
      <c r="G99" s="4" t="str">
        <f>Registered!AW246</f>
        <v/>
      </c>
      <c r="H99" s="4" t="str">
        <f>Registered!AX246</f>
        <v/>
      </c>
      <c r="I99" s="4" t="str">
        <f>Registered!AY246</f>
        <v/>
      </c>
    </row>
    <row r="100" spans="1:9" x14ac:dyDescent="0.25">
      <c r="A100" s="4" t="str">
        <f>Registered!B247</f>
        <v>Bolduc</v>
      </c>
      <c r="B100" s="4" t="str">
        <f>Registered!A247</f>
        <v>Angela</v>
      </c>
      <c r="C100" s="4" t="str">
        <f>IF(Registered!AR247&gt;0,Registered!AR247&amp;" Color Bags", "")</f>
        <v>20 Color Bags</v>
      </c>
      <c r="D100" s="4" t="str">
        <f>IF(Registered!AS247&gt;0,(IF(Registered!AS247=1,Registered!AS247&amp;" T-Shirt",Registered!AS247&amp;" T-Shirts")), "")</f>
        <v/>
      </c>
      <c r="E100" s="4" t="str">
        <f>Registered!AT247</f>
        <v/>
      </c>
      <c r="F100" s="4" t="str">
        <f>Registered!AU247</f>
        <v/>
      </c>
      <c r="G100" s="4" t="str">
        <f>Registered!AW247</f>
        <v/>
      </c>
      <c r="H100" s="4" t="str">
        <f>Registered!AX247</f>
        <v/>
      </c>
      <c r="I100" s="4" t="str">
        <f>Registered!AY247</f>
        <v/>
      </c>
    </row>
    <row r="101" spans="1:9" x14ac:dyDescent="0.25">
      <c r="A101" s="4" t="str">
        <f>Registered!B249</f>
        <v>Boley</v>
      </c>
      <c r="B101" s="4" t="str">
        <f>Registered!A249</f>
        <v>Jennifer</v>
      </c>
      <c r="C101" s="4" t="str">
        <f>IF(Registered!AR249&gt;0,Registered!AR249&amp;" Color Bags", "")</f>
        <v>10 Color Bags</v>
      </c>
      <c r="D101" s="4" t="str">
        <f>IF(Registered!AS249&gt;0,(IF(Registered!AS249=1,Registered!AS249&amp;" T-Shirt",Registered!AS249&amp;" T-Shirts")), "")</f>
        <v/>
      </c>
      <c r="E101" s="4" t="str">
        <f>Registered!AT249</f>
        <v/>
      </c>
      <c r="F101" s="4" t="str">
        <f>Registered!AU249</f>
        <v/>
      </c>
      <c r="G101" s="4" t="str">
        <f>Registered!AW249</f>
        <v>1 Meal</v>
      </c>
      <c r="H101" s="4" t="str">
        <f>Registered!AX249</f>
        <v/>
      </c>
      <c r="I101" s="4" t="str">
        <f>Registered!AY249</f>
        <v/>
      </c>
    </row>
    <row r="102" spans="1:9" x14ac:dyDescent="0.25">
      <c r="A102" s="4" t="str">
        <f>Registered!B253</f>
        <v>Bonnett</v>
      </c>
      <c r="B102" s="4" t="str">
        <f>Registered!A253</f>
        <v>Andrew</v>
      </c>
      <c r="C102" s="4" t="str">
        <f>IF(Registered!AR253&gt;0,Registered!AR253&amp;" Color Bags", "")</f>
        <v>5 Color Bags</v>
      </c>
      <c r="D102" s="4" t="str">
        <f>IF(Registered!AS253&gt;0,(IF(Registered!AS253=1,Registered!AS253&amp;" T-Shirt",Registered!AS253&amp;" T-Shirts")), "")</f>
        <v>1 T-Shirt</v>
      </c>
      <c r="E102" s="4" t="str">
        <f>Registered!AT253</f>
        <v>Adult Medium</v>
      </c>
      <c r="F102" s="4" t="str">
        <f>Registered!AU253</f>
        <v/>
      </c>
      <c r="G102" s="4" t="str">
        <f>Registered!AW253</f>
        <v>1 Meal</v>
      </c>
      <c r="H102" s="4" t="str">
        <f>Registered!AX253</f>
        <v/>
      </c>
      <c r="I102" s="4" t="str">
        <f>Registered!AY253</f>
        <v/>
      </c>
    </row>
    <row r="103" spans="1:9" x14ac:dyDescent="0.25">
      <c r="A103" s="4" t="str">
        <f>Registered!B260</f>
        <v>Boren</v>
      </c>
      <c r="B103" s="4" t="str">
        <f>Registered!A260</f>
        <v>Megan</v>
      </c>
      <c r="C103" s="4" t="str">
        <f>IF(Registered!AR260&gt;0,Registered!AR260&amp;" Color Bags", "")</f>
        <v>10 Color Bags</v>
      </c>
      <c r="D103" s="4" t="str">
        <f>IF(Registered!AS260&gt;0,(IF(Registered!AS260=1,Registered!AS260&amp;" T-Shirt",Registered!AS260&amp;" T-Shirts")), "")</f>
        <v>1 T-Shirt</v>
      </c>
      <c r="E103" s="4" t="str">
        <f>Registered!AT260</f>
        <v>xl</v>
      </c>
      <c r="F103" s="4" t="str">
        <f>Registered!AU260</f>
        <v/>
      </c>
      <c r="G103" s="4" t="str">
        <f>Registered!AW260</f>
        <v>1 Meal</v>
      </c>
      <c r="H103" s="4" t="str">
        <f>Registered!AX260</f>
        <v/>
      </c>
      <c r="I103" s="4" t="str">
        <f>Registered!AY260</f>
        <v/>
      </c>
    </row>
    <row r="104" spans="1:9" x14ac:dyDescent="0.25">
      <c r="A104" s="4" t="str">
        <f>Registered!B262</f>
        <v>Borrego</v>
      </c>
      <c r="B104" s="4" t="str">
        <f>Registered!A262</f>
        <v>Brigitta</v>
      </c>
      <c r="C104" s="4" t="str">
        <f>IF(Registered!AR262&gt;0,Registered!AR262&amp;" Color Bags", "")</f>
        <v>5 Color Bags</v>
      </c>
      <c r="D104" s="4" t="str">
        <f>IF(Registered!AS262&gt;0,(IF(Registered!AS262=1,Registered!AS262&amp;" T-Shirt",Registered!AS262&amp;" T-Shirts")), "")</f>
        <v/>
      </c>
      <c r="E104" s="4" t="str">
        <f>Registered!AT262</f>
        <v/>
      </c>
      <c r="F104" s="4" t="str">
        <f>Registered!AU262</f>
        <v/>
      </c>
      <c r="G104" s="4" t="str">
        <f>Registered!AW262</f>
        <v>3 Meals</v>
      </c>
      <c r="H104" s="4" t="str">
        <f>Registered!AX262</f>
        <v/>
      </c>
      <c r="I104" s="4" t="str">
        <f>Registered!AY262</f>
        <v/>
      </c>
    </row>
    <row r="105" spans="1:9" x14ac:dyDescent="0.25">
      <c r="A105" s="4" t="str">
        <f>Registered!B263</f>
        <v>Bosserman</v>
      </c>
      <c r="B105" s="4" t="str">
        <f>Registered!A263</f>
        <v>Brandie</v>
      </c>
      <c r="C105" s="4" t="str">
        <f>IF(Registered!AR263&gt;0,Registered!AR263&amp;" Color Bags", "")</f>
        <v>5 Color Bags</v>
      </c>
      <c r="D105" s="4" t="str">
        <f>IF(Registered!AS263&gt;0,(IF(Registered!AS263=1,Registered!AS263&amp;" T-Shirt",Registered!AS263&amp;" T-Shirts")), "")</f>
        <v/>
      </c>
      <c r="E105" s="4" t="str">
        <f>Registered!AT263</f>
        <v/>
      </c>
      <c r="F105" s="4" t="str">
        <f>Registered!AU263</f>
        <v/>
      </c>
      <c r="G105" s="4" t="str">
        <f>Registered!AW263</f>
        <v/>
      </c>
      <c r="H105" s="4" t="str">
        <f>Registered!AX263</f>
        <v/>
      </c>
      <c r="I105" s="4" t="str">
        <f>Registered!AY263</f>
        <v/>
      </c>
    </row>
    <row r="106" spans="1:9" x14ac:dyDescent="0.25">
      <c r="A106" s="4" t="str">
        <f>Registered!B264</f>
        <v>Bottoms</v>
      </c>
      <c r="B106" s="4" t="str">
        <f>Registered!A264</f>
        <v>Erika</v>
      </c>
      <c r="C106" s="4" t="str">
        <f>IF(Registered!AR264&gt;0,Registered!AR264&amp;" Color Bags", "")</f>
        <v>10 Color Bags</v>
      </c>
      <c r="D106" s="4" t="str">
        <f>IF(Registered!AS264&gt;0,(IF(Registered!AS264=1,Registered!AS264&amp;" T-Shirt",Registered!AS264&amp;" T-Shirts")), "")</f>
        <v/>
      </c>
      <c r="E106" s="4" t="str">
        <f>Registered!AT264</f>
        <v/>
      </c>
      <c r="F106" s="4" t="str">
        <f>Registered!AU264</f>
        <v/>
      </c>
      <c r="G106" s="4" t="str">
        <f>Registered!AW264</f>
        <v>4 Meals</v>
      </c>
      <c r="H106" s="4" t="str">
        <f>Registered!AX264</f>
        <v/>
      </c>
      <c r="I106" s="4" t="str">
        <f>Registered!AY264</f>
        <v/>
      </c>
    </row>
    <row r="107" spans="1:9" x14ac:dyDescent="0.25">
      <c r="A107" s="4" t="str">
        <f>Registered!B265</f>
        <v>Boucher</v>
      </c>
      <c r="B107" s="4" t="str">
        <f>Registered!A265</f>
        <v>Catherine</v>
      </c>
      <c r="C107" s="4" t="str">
        <f>IF(Registered!AR265&gt;0,Registered!AR265&amp;" Color Bags", "")</f>
        <v>10 Color Bags</v>
      </c>
      <c r="D107" s="4" t="str">
        <f>IF(Registered!AS265&gt;0,(IF(Registered!AS265=1,Registered!AS265&amp;" T-Shirt",Registered!AS265&amp;" T-Shirts")), "")</f>
        <v/>
      </c>
      <c r="E107" s="4" t="str">
        <f>Registered!AT265</f>
        <v/>
      </c>
      <c r="F107" s="4" t="str">
        <f>Registered!AU265</f>
        <v/>
      </c>
      <c r="G107" s="4" t="str">
        <f>Registered!AW265</f>
        <v>2 Meals</v>
      </c>
      <c r="H107" s="4" t="str">
        <f>Registered!AX265</f>
        <v/>
      </c>
      <c r="I107" s="4" t="str">
        <f>Registered!AY265</f>
        <v/>
      </c>
    </row>
    <row r="108" spans="1:9" x14ac:dyDescent="0.25">
      <c r="A108" s="4" t="str">
        <f>Registered!B266</f>
        <v>Bourne</v>
      </c>
      <c r="B108" s="4" t="str">
        <f>Registered!A266</f>
        <v>Kaitlyn</v>
      </c>
      <c r="C108" s="4" t="str">
        <f>IF(Registered!AR266&gt;0,Registered!AR266&amp;" Color Bags", "")</f>
        <v>10 Color Bags</v>
      </c>
      <c r="D108" s="4" t="str">
        <f>IF(Registered!AS266&gt;0,(IF(Registered!AS266=1,Registered!AS266&amp;" T-Shirt",Registered!AS266&amp;" T-Shirts")), "")</f>
        <v/>
      </c>
      <c r="E108" s="4" t="str">
        <f>Registered!AT266</f>
        <v/>
      </c>
      <c r="F108" s="4" t="str">
        <f>Registered!AU266</f>
        <v/>
      </c>
      <c r="G108" s="4" t="str">
        <f>Registered!AW266</f>
        <v/>
      </c>
      <c r="H108" s="4" t="str">
        <f>Registered!AX266</f>
        <v/>
      </c>
      <c r="I108" s="4" t="str">
        <f>Registered!AY266</f>
        <v/>
      </c>
    </row>
    <row r="109" spans="1:9" x14ac:dyDescent="0.25">
      <c r="A109" s="4" t="str">
        <f>Registered!B268</f>
        <v>Bowden</v>
      </c>
      <c r="B109" s="4" t="str">
        <f>Registered!A268</f>
        <v>Ashley</v>
      </c>
      <c r="C109" s="4" t="str">
        <f>IF(Registered!AR268&gt;0,Registered!AR268&amp;" Color Bags", "")</f>
        <v>30 Color Bags</v>
      </c>
      <c r="D109" s="4" t="str">
        <f>IF(Registered!AS268&gt;0,(IF(Registered!AS268=1,Registered!AS268&amp;" T-Shirt",Registered!AS268&amp;" T-Shirts")), "")</f>
        <v/>
      </c>
      <c r="E109" s="4" t="str">
        <f>Registered!AT268</f>
        <v/>
      </c>
      <c r="F109" s="4" t="str">
        <f>Registered!AU268</f>
        <v/>
      </c>
      <c r="G109" s="4" t="str">
        <f>Registered!AW268</f>
        <v/>
      </c>
      <c r="H109" s="4" t="str">
        <f>Registered!AX268</f>
        <v/>
      </c>
      <c r="I109" s="4" t="str">
        <f>Registered!AY268</f>
        <v/>
      </c>
    </row>
    <row r="110" spans="1:9" x14ac:dyDescent="0.25">
      <c r="A110" s="4" t="str">
        <f>Registered!B269</f>
        <v>Bowen</v>
      </c>
      <c r="B110" s="4" t="str">
        <f>Registered!A269</f>
        <v>Brooke</v>
      </c>
      <c r="C110" s="4" t="str">
        <f>IF(Registered!AR269&gt;0,Registered!AR269&amp;" Color Bags", "")</f>
        <v>20 Color Bags</v>
      </c>
      <c r="D110" s="4" t="str">
        <f>IF(Registered!AS269&gt;0,(IF(Registered!AS269=1,Registered!AS269&amp;" T-Shirt",Registered!AS269&amp;" T-Shirts")), "")</f>
        <v/>
      </c>
      <c r="E110" s="4" t="str">
        <f>Registered!AT269</f>
        <v/>
      </c>
      <c r="F110" s="4" t="str">
        <f>Registered!AU269</f>
        <v/>
      </c>
      <c r="G110" s="4" t="str">
        <f>Registered!AW269</f>
        <v/>
      </c>
      <c r="H110" s="4" t="str">
        <f>Registered!AX269</f>
        <v/>
      </c>
      <c r="I110" s="4" t="str">
        <f>Registered!AY269</f>
        <v/>
      </c>
    </row>
    <row r="111" spans="1:9" x14ac:dyDescent="0.25">
      <c r="A111" s="4" t="str">
        <f>Registered!B270</f>
        <v>Bowen</v>
      </c>
      <c r="B111" s="4" t="str">
        <f>Registered!A270</f>
        <v>Mark</v>
      </c>
      <c r="C111" s="4" t="str">
        <f>IF(Registered!AR270&gt;0,Registered!AR270&amp;" Color Bags", "")</f>
        <v>5 Color Bags</v>
      </c>
      <c r="D111" s="4" t="str">
        <f>IF(Registered!AS270&gt;0,(IF(Registered!AS270=1,Registered!AS270&amp;" T-Shirt",Registered!AS270&amp;" T-Shirts")), "")</f>
        <v/>
      </c>
      <c r="E111" s="4" t="str">
        <f>Registered!AT270</f>
        <v/>
      </c>
      <c r="F111" s="4" t="str">
        <f>Registered!AU270</f>
        <v/>
      </c>
      <c r="G111" s="4" t="str">
        <f>Registered!AW270</f>
        <v/>
      </c>
      <c r="H111" s="4" t="str">
        <f>Registered!AX270</f>
        <v/>
      </c>
      <c r="I111" s="4" t="str">
        <f>Registered!AY270</f>
        <v>1 DustMask</v>
      </c>
    </row>
    <row r="112" spans="1:9" x14ac:dyDescent="0.25">
      <c r="A112" s="4" t="str">
        <f>Registered!B274</f>
        <v>Bowles</v>
      </c>
      <c r="B112" s="4" t="str">
        <f>Registered!A274</f>
        <v>Downy</v>
      </c>
      <c r="C112" s="4" t="str">
        <f>IF(Registered!AR274&gt;0,Registered!AR274&amp;" Color Bags", "")</f>
        <v>10 Color Bags</v>
      </c>
      <c r="D112" s="4" t="str">
        <f>IF(Registered!AS274&gt;0,(IF(Registered!AS274=1,Registered!AS274&amp;" T-Shirt",Registered!AS274&amp;" T-Shirts")), "")</f>
        <v/>
      </c>
      <c r="E112" s="4" t="str">
        <f>Registered!AT274</f>
        <v/>
      </c>
      <c r="F112" s="4" t="str">
        <f>Registered!AU274</f>
        <v/>
      </c>
      <c r="G112" s="4" t="str">
        <f>Registered!AW274</f>
        <v/>
      </c>
      <c r="H112" s="4" t="str">
        <f>Registered!AX274</f>
        <v/>
      </c>
      <c r="I112" s="4" t="str">
        <f>Registered!AY274</f>
        <v/>
      </c>
    </row>
    <row r="113" spans="1:9" x14ac:dyDescent="0.25">
      <c r="A113" s="4" t="str">
        <f>Registered!B277</f>
        <v>Bowman</v>
      </c>
      <c r="B113" s="4" t="str">
        <f>Registered!A277</f>
        <v>Kaysie</v>
      </c>
      <c r="C113" s="4" t="str">
        <f>IF(Registered!AR277&gt;0,Registered!AR277&amp;" Color Bags", "")</f>
        <v>10 Color Bags</v>
      </c>
      <c r="D113" s="4" t="str">
        <f>IF(Registered!AS277&gt;0,(IF(Registered!AS277=1,Registered!AS277&amp;" T-Shirt",Registered!AS277&amp;" T-Shirts")), "")</f>
        <v>1 T-Shirt</v>
      </c>
      <c r="E113" s="4" t="str">
        <f>Registered!AT277</f>
        <v>Large</v>
      </c>
      <c r="F113" s="4" t="str">
        <f>Registered!AU277</f>
        <v>1 Bandana</v>
      </c>
      <c r="G113" s="4" t="str">
        <f>Registered!AW277</f>
        <v/>
      </c>
      <c r="H113" s="4" t="str">
        <f>Registered!AX277</f>
        <v/>
      </c>
      <c r="I113" s="4" t="str">
        <f>Registered!AY277</f>
        <v/>
      </c>
    </row>
    <row r="114" spans="1:9" x14ac:dyDescent="0.25">
      <c r="A114" s="4" t="str">
        <f>Registered!B279</f>
        <v>Bown</v>
      </c>
      <c r="B114" s="4" t="str">
        <f>Registered!A279</f>
        <v>Aubrey</v>
      </c>
      <c r="C114" s="4" t="str">
        <f>IF(Registered!AR279&gt;0,Registered!AR279&amp;" Color Bags", "")</f>
        <v>15 Color Bags</v>
      </c>
      <c r="D114" s="4" t="str">
        <f>IF(Registered!AS279&gt;0,(IF(Registered!AS279=1,Registered!AS279&amp;" T-Shirt",Registered!AS279&amp;" T-Shirts")), "")</f>
        <v/>
      </c>
      <c r="E114" s="4" t="str">
        <f>Registered!AT279</f>
        <v/>
      </c>
      <c r="F114" s="4" t="str">
        <f>Registered!AU279</f>
        <v/>
      </c>
      <c r="G114" s="4" t="str">
        <f>Registered!AW279</f>
        <v/>
      </c>
      <c r="H114" s="4" t="str">
        <f>Registered!AX279</f>
        <v/>
      </c>
      <c r="I114" s="4" t="str">
        <f>Registered!AY279</f>
        <v/>
      </c>
    </row>
    <row r="115" spans="1:9" x14ac:dyDescent="0.25">
      <c r="A115" s="4" t="str">
        <f>Registered!B280</f>
        <v>Bown</v>
      </c>
      <c r="B115" s="4" t="str">
        <f>Registered!A280</f>
        <v>Bethany</v>
      </c>
      <c r="C115" s="4" t="str">
        <f>IF(Registered!AR280&gt;0,Registered!AR280&amp;" Color Bags", "")</f>
        <v>20 Color Bags</v>
      </c>
      <c r="D115" s="4" t="str">
        <f>IF(Registered!AS280&gt;0,(IF(Registered!AS280=1,Registered!AS280&amp;" T-Shirt",Registered!AS280&amp;" T-Shirts")), "")</f>
        <v/>
      </c>
      <c r="E115" s="4" t="str">
        <f>Registered!AT280</f>
        <v/>
      </c>
      <c r="F115" s="4" t="str">
        <f>Registered!AU280</f>
        <v/>
      </c>
      <c r="G115" s="4" t="str">
        <f>Registered!AW280</f>
        <v/>
      </c>
      <c r="H115" s="4" t="str">
        <f>Registered!AX280</f>
        <v/>
      </c>
      <c r="I115" s="4" t="str">
        <f>Registered!AY280</f>
        <v>1 DustMask</v>
      </c>
    </row>
    <row r="116" spans="1:9" x14ac:dyDescent="0.25">
      <c r="A116" s="4" t="str">
        <f>Registered!B278</f>
        <v>Bown</v>
      </c>
      <c r="B116" s="4" t="str">
        <f>Registered!A278</f>
        <v>Ashley</v>
      </c>
      <c r="C116" s="4" t="str">
        <f>IF(Registered!AR278&gt;0,Registered!AR278&amp;" Color Bags", "")</f>
        <v>45 Color Bags</v>
      </c>
      <c r="D116" s="4" t="str">
        <f>IF(Registered!AS278&gt;0,(IF(Registered!AS278=1,Registered!AS278&amp;" T-Shirt",Registered!AS278&amp;" T-Shirts")), "")</f>
        <v/>
      </c>
      <c r="E116" s="4" t="str">
        <f>Registered!AT278</f>
        <v/>
      </c>
      <c r="F116" s="4" t="str">
        <f>Registered!AU278</f>
        <v/>
      </c>
      <c r="G116" s="4" t="str">
        <f>Registered!AW278</f>
        <v/>
      </c>
      <c r="H116" s="4" t="str">
        <f>Registered!AX278</f>
        <v/>
      </c>
      <c r="I116" s="4" t="str">
        <f>Registered!AY278</f>
        <v/>
      </c>
    </row>
    <row r="117" spans="1:9" x14ac:dyDescent="0.25">
      <c r="A117" s="4" t="str">
        <f>Registered!B283</f>
        <v>Boyce</v>
      </c>
      <c r="B117" s="4" t="str">
        <f>Registered!A283</f>
        <v>Aleigh</v>
      </c>
      <c r="C117" s="4" t="str">
        <f>IF(Registered!AR283&gt;0,Registered!AR283&amp;" Color Bags", "")</f>
        <v>5 Color Bags</v>
      </c>
      <c r="D117" s="4" t="str">
        <f>IF(Registered!AS283&gt;0,(IF(Registered!AS283=1,Registered!AS283&amp;" T-Shirt",Registered!AS283&amp;" T-Shirts")), "")</f>
        <v/>
      </c>
      <c r="E117" s="4" t="str">
        <f>Registered!AT283</f>
        <v/>
      </c>
      <c r="F117" s="4" t="str">
        <f>Registered!AU283</f>
        <v/>
      </c>
      <c r="G117" s="4" t="str">
        <f>Registered!AW283</f>
        <v/>
      </c>
      <c r="H117" s="4" t="str">
        <f>Registered!AX283</f>
        <v/>
      </c>
      <c r="I117" s="4" t="str">
        <f>Registered!AY283</f>
        <v/>
      </c>
    </row>
    <row r="118" spans="1:9" x14ac:dyDescent="0.25">
      <c r="A118" s="4" t="str">
        <f>Registered!B287</f>
        <v>Boyd</v>
      </c>
      <c r="B118" s="4" t="str">
        <f>Registered!A287</f>
        <v>Corina</v>
      </c>
      <c r="C118" s="4" t="str">
        <f>IF(Registered!AR287&gt;0,Registered!AR287&amp;" Color Bags", "")</f>
        <v>20 Color Bags</v>
      </c>
      <c r="D118" s="4" t="str">
        <f>IF(Registered!AS287&gt;0,(IF(Registered!AS287=1,Registered!AS287&amp;" T-Shirt",Registered!AS287&amp;" T-Shirts")), "")</f>
        <v/>
      </c>
      <c r="E118" s="4" t="str">
        <f>Registered!AT287</f>
        <v/>
      </c>
      <c r="F118" s="4" t="str">
        <f>Registered!AU287</f>
        <v>3 Bandanas</v>
      </c>
      <c r="G118" s="4" t="str">
        <f>Registered!AW287</f>
        <v/>
      </c>
      <c r="H118" s="4" t="str">
        <f>Registered!AX287</f>
        <v/>
      </c>
      <c r="I118" s="4" t="str">
        <f>Registered!AY287</f>
        <v/>
      </c>
    </row>
    <row r="119" spans="1:9" x14ac:dyDescent="0.25">
      <c r="A119" s="4" t="str">
        <f>Registered!B286</f>
        <v>Boyd</v>
      </c>
      <c r="B119" s="4" t="str">
        <f>Registered!A286</f>
        <v>Brandon</v>
      </c>
      <c r="C119" s="4" t="str">
        <f>IF(Registered!AR286&gt;0,Registered!AR286&amp;" Color Bags", "")</f>
        <v>5 Color Bags</v>
      </c>
      <c r="D119" s="4" t="str">
        <f>IF(Registered!AS286&gt;0,(IF(Registered!AS286=1,Registered!AS286&amp;" T-Shirt",Registered!AS286&amp;" T-Shirts")), "")</f>
        <v/>
      </c>
      <c r="E119" s="4" t="str">
        <f>Registered!AT286</f>
        <v/>
      </c>
      <c r="F119" s="4" t="str">
        <f>Registered!AU286</f>
        <v/>
      </c>
      <c r="G119" s="4" t="str">
        <f>Registered!AW286</f>
        <v/>
      </c>
      <c r="H119" s="4" t="str">
        <f>Registered!AX286</f>
        <v/>
      </c>
      <c r="I119" s="4" t="str">
        <f>Registered!AY286</f>
        <v/>
      </c>
    </row>
    <row r="120" spans="1:9" x14ac:dyDescent="0.25">
      <c r="A120" s="4" t="str">
        <f>Registered!B291</f>
        <v>Brackemyre</v>
      </c>
      <c r="B120" s="4" t="str">
        <f>Registered!A291</f>
        <v>Brent</v>
      </c>
      <c r="C120" s="4" t="str">
        <f>IF(Registered!AR291&gt;0,Registered!AR291&amp;" Color Bags", "")</f>
        <v>10 Color Bags</v>
      </c>
      <c r="D120" s="4" t="str">
        <f>IF(Registered!AS291&gt;0,(IF(Registered!AS291=1,Registered!AS291&amp;" T-Shirt",Registered!AS291&amp;" T-Shirts")), "")</f>
        <v/>
      </c>
      <c r="E120" s="4" t="str">
        <f>Registered!AT291</f>
        <v/>
      </c>
      <c r="F120" s="4" t="str">
        <f>Registered!AU291</f>
        <v/>
      </c>
      <c r="G120" s="4" t="str">
        <f>Registered!AW291</f>
        <v/>
      </c>
      <c r="H120" s="4" t="str">
        <f>Registered!AX291</f>
        <v/>
      </c>
      <c r="I120" s="4" t="str">
        <f>Registered!AY291</f>
        <v/>
      </c>
    </row>
    <row r="121" spans="1:9" x14ac:dyDescent="0.25">
      <c r="A121" s="4" t="str">
        <f>Registered!B294</f>
        <v>Bradford</v>
      </c>
      <c r="B121" s="4" t="str">
        <f>Registered!A294</f>
        <v>Michelle</v>
      </c>
      <c r="C121" s="4" t="str">
        <f>IF(Registered!AR294&gt;0,Registered!AR294&amp;" Color Bags", "")</f>
        <v>10 Color Bags</v>
      </c>
      <c r="D121" s="4" t="str">
        <f>IF(Registered!AS294&gt;0,(IF(Registered!AS294=1,Registered!AS294&amp;" T-Shirt",Registered!AS294&amp;" T-Shirts")), "")</f>
        <v/>
      </c>
      <c r="E121" s="4" t="str">
        <f>Registered!AT294</f>
        <v/>
      </c>
      <c r="F121" s="4" t="str">
        <f>Registered!AU294</f>
        <v/>
      </c>
      <c r="G121" s="4" t="str">
        <f>Registered!AW294</f>
        <v/>
      </c>
      <c r="H121" s="4" t="str">
        <f>Registered!AX294</f>
        <v/>
      </c>
      <c r="I121" s="4" t="str">
        <f>Registered!AY294</f>
        <v/>
      </c>
    </row>
    <row r="122" spans="1:9" x14ac:dyDescent="0.25">
      <c r="A122" s="4" t="str">
        <f>Registered!B295</f>
        <v>Bradshaw</v>
      </c>
      <c r="B122" s="4" t="str">
        <f>Registered!A295</f>
        <v>Aleeshia</v>
      </c>
      <c r="C122" s="4" t="str">
        <f>IF(Registered!AR295&gt;0,Registered!AR295&amp;" Color Bags", "")</f>
        <v>5 Color Bags</v>
      </c>
      <c r="D122" s="4" t="str">
        <f>IF(Registered!AS295&gt;0,(IF(Registered!AS295=1,Registered!AS295&amp;" T-Shirt",Registered!AS295&amp;" T-Shirts")), "")</f>
        <v/>
      </c>
      <c r="E122" s="4" t="str">
        <f>Registered!AT295</f>
        <v/>
      </c>
      <c r="F122" s="4" t="str">
        <f>Registered!AU295</f>
        <v/>
      </c>
      <c r="G122" s="4" t="str">
        <f>Registered!AW295</f>
        <v/>
      </c>
      <c r="H122" s="4" t="str">
        <f>Registered!AX295</f>
        <v/>
      </c>
      <c r="I122" s="4" t="str">
        <f>Registered!AY295</f>
        <v/>
      </c>
    </row>
    <row r="123" spans="1:9" x14ac:dyDescent="0.25">
      <c r="A123" s="4" t="str">
        <f>Registered!B296</f>
        <v>Branham</v>
      </c>
      <c r="B123" s="4" t="str">
        <f>Registered!A296</f>
        <v>Steven</v>
      </c>
      <c r="C123" s="4" t="str">
        <f>IF(Registered!AR296&gt;0,Registered!AR296&amp;" Color Bags", "")</f>
        <v>10 Color Bags</v>
      </c>
      <c r="D123" s="4" t="str">
        <f>IF(Registered!AS296&gt;0,(IF(Registered!AS296=1,Registered!AS296&amp;" T-Shirt",Registered!AS296&amp;" T-Shirts")), "")</f>
        <v/>
      </c>
      <c r="E123" s="4" t="str">
        <f>Registered!AT296</f>
        <v/>
      </c>
      <c r="F123" s="4" t="str">
        <f>Registered!AU296</f>
        <v/>
      </c>
      <c r="G123" s="4" t="str">
        <f>Registered!AW296</f>
        <v>2 Meals</v>
      </c>
      <c r="H123" s="4" t="str">
        <f>Registered!AX296</f>
        <v/>
      </c>
      <c r="I123" s="4" t="str">
        <f>Registered!AY296</f>
        <v/>
      </c>
    </row>
    <row r="124" spans="1:9" x14ac:dyDescent="0.25">
      <c r="A124" s="4" t="str">
        <f>Registered!B298</f>
        <v>Brimhall</v>
      </c>
      <c r="B124" s="4" t="str">
        <f>Registered!A298</f>
        <v>Parker</v>
      </c>
      <c r="C124" s="4" t="str">
        <f>IF(Registered!AR298&gt;0,Registered!AR298&amp;" Color Bags", "")</f>
        <v>10 Color Bags</v>
      </c>
      <c r="D124" s="4" t="str">
        <f>IF(Registered!AS298&gt;0,(IF(Registered!AS298=1,Registered!AS298&amp;" T-Shirt",Registered!AS298&amp;" T-Shirts")), "")</f>
        <v/>
      </c>
      <c r="E124" s="4" t="str">
        <f>Registered!AT298</f>
        <v/>
      </c>
      <c r="F124" s="4" t="str">
        <f>Registered!AU298</f>
        <v/>
      </c>
      <c r="G124" s="4" t="str">
        <f>Registered!AW298</f>
        <v/>
      </c>
      <c r="H124" s="4" t="str">
        <f>Registered!AX298</f>
        <v/>
      </c>
      <c r="I124" s="4" t="str">
        <f>Registered!AY298</f>
        <v/>
      </c>
    </row>
    <row r="125" spans="1:9" x14ac:dyDescent="0.25">
      <c r="A125" s="4" t="str">
        <f>Registered!B299</f>
        <v>Brinkerhoff</v>
      </c>
      <c r="B125" s="4" t="str">
        <f>Registered!A299</f>
        <v>Brenda</v>
      </c>
      <c r="C125" s="4" t="str">
        <f>IF(Registered!AR299&gt;0,Registered!AR299&amp;" Color Bags", "")</f>
        <v>10 Color Bags</v>
      </c>
      <c r="D125" s="4" t="str">
        <f>IF(Registered!AS299&gt;0,(IF(Registered!AS299=1,Registered!AS299&amp;" T-Shirt",Registered!AS299&amp;" T-Shirts")), "")</f>
        <v/>
      </c>
      <c r="E125" s="4" t="str">
        <f>Registered!AT299</f>
        <v/>
      </c>
      <c r="F125" s="4" t="str">
        <f>Registered!AU299</f>
        <v/>
      </c>
      <c r="G125" s="4" t="str">
        <f>Registered!AW299</f>
        <v/>
      </c>
      <c r="H125" s="4" t="str">
        <f>Registered!AX299</f>
        <v/>
      </c>
      <c r="I125" s="4" t="str">
        <f>Registered!AY299</f>
        <v>1 DustMask</v>
      </c>
    </row>
    <row r="126" spans="1:9" x14ac:dyDescent="0.25">
      <c r="A126" s="4" t="str">
        <f>Registered!B301</f>
        <v>Brinkerhoff</v>
      </c>
      <c r="B126" s="4" t="str">
        <f>Registered!A301</f>
        <v>Kami</v>
      </c>
      <c r="C126" s="4" t="str">
        <f>IF(Registered!AR301&gt;0,Registered!AR301&amp;" Color Bags", "")</f>
        <v>10 Color Bags</v>
      </c>
      <c r="D126" s="4" t="str">
        <f>IF(Registered!AS301&gt;0,(IF(Registered!AS301=1,Registered!AS301&amp;" T-Shirt",Registered!AS301&amp;" T-Shirts")), "")</f>
        <v/>
      </c>
      <c r="E126" s="4" t="str">
        <f>Registered!AT301</f>
        <v/>
      </c>
      <c r="F126" s="4" t="str">
        <f>Registered!AU301</f>
        <v/>
      </c>
      <c r="G126" s="4" t="str">
        <f>Registered!AW301</f>
        <v/>
      </c>
      <c r="H126" s="4" t="str">
        <f>Registered!AX301</f>
        <v/>
      </c>
      <c r="I126" s="4" t="str">
        <f>Registered!AY301</f>
        <v/>
      </c>
    </row>
    <row r="127" spans="1:9" x14ac:dyDescent="0.25">
      <c r="A127" s="4" t="str">
        <f>Registered!B303</f>
        <v>Brizzee</v>
      </c>
      <c r="B127" s="4" t="str">
        <f>Registered!A303</f>
        <v>Alexa</v>
      </c>
      <c r="C127" s="4" t="str">
        <f>IF(Registered!AR303&gt;0,Registered!AR303&amp;" Color Bags", "")</f>
        <v>10 Color Bags</v>
      </c>
      <c r="D127" s="4" t="str">
        <f>IF(Registered!AS303&gt;0,(IF(Registered!AS303=1,Registered!AS303&amp;" T-Shirt",Registered!AS303&amp;" T-Shirts")), "")</f>
        <v/>
      </c>
      <c r="E127" s="4" t="str">
        <f>Registered!AT303</f>
        <v/>
      </c>
      <c r="F127" s="4" t="str">
        <f>Registered!AU303</f>
        <v/>
      </c>
      <c r="G127" s="4" t="str">
        <f>Registered!AW303</f>
        <v/>
      </c>
      <c r="H127" s="4" t="str">
        <f>Registered!AX303</f>
        <v/>
      </c>
      <c r="I127" s="4" t="str">
        <f>Registered!AY303</f>
        <v/>
      </c>
    </row>
    <row r="128" spans="1:9" x14ac:dyDescent="0.25">
      <c r="A128" s="4" t="str">
        <f>Registered!B304</f>
        <v>Broberg</v>
      </c>
      <c r="B128" s="4" t="str">
        <f>Registered!A304</f>
        <v>Lacey</v>
      </c>
      <c r="C128" s="4" t="str">
        <f>IF(Registered!AR304&gt;0,Registered!AR304&amp;" Color Bags", "")</f>
        <v>10 Color Bags</v>
      </c>
      <c r="D128" s="4" t="str">
        <f>IF(Registered!AS304&gt;0,(IF(Registered!AS304=1,Registered!AS304&amp;" T-Shirt",Registered!AS304&amp;" T-Shirts")), "")</f>
        <v/>
      </c>
      <c r="E128" s="4" t="str">
        <f>Registered!AT304</f>
        <v/>
      </c>
      <c r="F128" s="4" t="str">
        <f>Registered!AU304</f>
        <v/>
      </c>
      <c r="G128" s="4" t="str">
        <f>Registered!AW304</f>
        <v/>
      </c>
      <c r="H128" s="4" t="str">
        <f>Registered!AX304</f>
        <v/>
      </c>
      <c r="I128" s="4" t="str">
        <f>Registered!AY304</f>
        <v/>
      </c>
    </row>
    <row r="129" spans="1:9" x14ac:dyDescent="0.25">
      <c r="A129" s="4" t="str">
        <f>Registered!B309</f>
        <v>Brosig</v>
      </c>
      <c r="B129" s="4" t="str">
        <f>Registered!A309</f>
        <v>Amber</v>
      </c>
      <c r="C129" s="4" t="str">
        <f>IF(Registered!AR309&gt;0,Registered!AR309&amp;" Color Bags", "")</f>
        <v>10 Color Bags</v>
      </c>
      <c r="D129" s="4" t="str">
        <f>IF(Registered!AS309&gt;0,(IF(Registered!AS309=1,Registered!AS309&amp;" T-Shirt",Registered!AS309&amp;" T-Shirts")), "")</f>
        <v/>
      </c>
      <c r="E129" s="4" t="str">
        <f>Registered!AT309</f>
        <v/>
      </c>
      <c r="F129" s="4" t="str">
        <f>Registered!AU309</f>
        <v/>
      </c>
      <c r="G129" s="4" t="str">
        <f>Registered!AW309</f>
        <v/>
      </c>
      <c r="H129" s="4" t="str">
        <f>Registered!AX309</f>
        <v/>
      </c>
      <c r="I129" s="4" t="str">
        <f>Registered!AY309</f>
        <v>1 DustMask</v>
      </c>
    </row>
    <row r="130" spans="1:9" x14ac:dyDescent="0.25">
      <c r="A130" s="4" t="str">
        <f>Registered!B319</f>
        <v>Brown</v>
      </c>
      <c r="B130" s="4" t="str">
        <f>Registered!A319</f>
        <v>Nathan</v>
      </c>
      <c r="C130" s="4" t="str">
        <f>IF(Registered!AR319&gt;0,Registered!AR319&amp;" Color Bags", "")</f>
        <v>10 Color Bags</v>
      </c>
      <c r="D130" s="4" t="str">
        <f>IF(Registered!AS319&gt;0,(IF(Registered!AS319=1,Registered!AS319&amp;" T-Shirt",Registered!AS319&amp;" T-Shirts")), "")</f>
        <v/>
      </c>
      <c r="E130" s="4" t="str">
        <f>Registered!AT319</f>
        <v/>
      </c>
      <c r="F130" s="4" t="str">
        <f>Registered!AU319</f>
        <v/>
      </c>
      <c r="G130" s="4" t="str">
        <f>Registered!AW319</f>
        <v/>
      </c>
      <c r="H130" s="4" t="str">
        <f>Registered!AX319</f>
        <v/>
      </c>
      <c r="I130" s="4" t="str">
        <f>Registered!AY319</f>
        <v>1 DustMask</v>
      </c>
    </row>
    <row r="131" spans="1:9" x14ac:dyDescent="0.25">
      <c r="A131" s="4" t="str">
        <f>Registered!B318</f>
        <v>Brown</v>
      </c>
      <c r="B131" s="4" t="str">
        <f>Registered!A318</f>
        <v>Michelle</v>
      </c>
      <c r="C131" s="4" t="str">
        <f>IF(Registered!AR318&gt;0,Registered!AR318&amp;" Color Bags", "")</f>
        <v>20 Color Bags</v>
      </c>
      <c r="D131" s="4" t="str">
        <f>IF(Registered!AS318&gt;0,(IF(Registered!AS318=1,Registered!AS318&amp;" T-Shirt",Registered!AS318&amp;" T-Shirts")), "")</f>
        <v/>
      </c>
      <c r="E131" s="4" t="str">
        <f>Registered!AT318</f>
        <v/>
      </c>
      <c r="F131" s="4" t="str">
        <f>Registered!AU318</f>
        <v/>
      </c>
      <c r="G131" s="4" t="str">
        <f>Registered!AW318</f>
        <v/>
      </c>
      <c r="H131" s="4" t="str">
        <f>Registered!AX318</f>
        <v/>
      </c>
      <c r="I131" s="4" t="str">
        <f>Registered!AY318</f>
        <v/>
      </c>
    </row>
    <row r="132" spans="1:9" x14ac:dyDescent="0.25">
      <c r="A132" s="4" t="str">
        <f>Registered!B320</f>
        <v>Brown</v>
      </c>
      <c r="B132" s="4" t="str">
        <f>Registered!A320</f>
        <v>Presley</v>
      </c>
      <c r="C132" s="4" t="str">
        <f>IF(Registered!AR320&gt;0,Registered!AR320&amp;" Color Bags", "")</f>
        <v>20 Color Bags</v>
      </c>
      <c r="D132" s="4" t="str">
        <f>IF(Registered!AS320&gt;0,(IF(Registered!AS320=1,Registered!AS320&amp;" T-Shirt",Registered!AS320&amp;" T-Shirts")), "")</f>
        <v>4 T-Shirts</v>
      </c>
      <c r="E132" s="4" t="str">
        <f>Registered!AT320</f>
        <v>All adult medium</v>
      </c>
      <c r="F132" s="4" t="str">
        <f>Registered!AU320</f>
        <v/>
      </c>
      <c r="G132" s="4" t="str">
        <f>Registered!AW320</f>
        <v>4 Meals</v>
      </c>
      <c r="H132" s="4" t="str">
        <f>Registered!AX320</f>
        <v/>
      </c>
      <c r="I132" s="4" t="str">
        <f>Registered!AY320</f>
        <v/>
      </c>
    </row>
    <row r="133" spans="1:9" x14ac:dyDescent="0.25">
      <c r="A133" s="4" t="str">
        <f>Registered!B310</f>
        <v>Brown</v>
      </c>
      <c r="B133" s="4" t="str">
        <f>Registered!A310</f>
        <v>Alice</v>
      </c>
      <c r="C133" s="4" t="str">
        <f>IF(Registered!AR310&gt;0,Registered!AR310&amp;" Color Bags", "")</f>
        <v>5 Color Bags</v>
      </c>
      <c r="D133" s="4" t="str">
        <f>IF(Registered!AS310&gt;0,(IF(Registered!AS310=1,Registered!AS310&amp;" T-Shirt",Registered!AS310&amp;" T-Shirts")), "")</f>
        <v>1 T-Shirt</v>
      </c>
      <c r="E133" s="4" t="str">
        <f>Registered!AT310</f>
        <v>XXL</v>
      </c>
      <c r="F133" s="4" t="str">
        <f>Registered!AU310</f>
        <v/>
      </c>
      <c r="G133" s="4" t="str">
        <f>Registered!AW310</f>
        <v/>
      </c>
      <c r="H133" s="4" t="str">
        <f>Registered!AX310</f>
        <v/>
      </c>
      <c r="I133" s="4" t="str">
        <f>Registered!AY310</f>
        <v/>
      </c>
    </row>
    <row r="134" spans="1:9" x14ac:dyDescent="0.25">
      <c r="A134" s="4" t="str">
        <f>Registered!B311</f>
        <v>Brown</v>
      </c>
      <c r="B134" s="4" t="str">
        <f>Registered!A311</f>
        <v>Amy</v>
      </c>
      <c r="C134" s="4" t="str">
        <f>IF(Registered!AR311&gt;0,Registered!AR311&amp;" Color Bags", "")</f>
        <v>5 Color Bags</v>
      </c>
      <c r="D134" s="4" t="str">
        <f>IF(Registered!AS311&gt;0,(IF(Registered!AS311=1,Registered!AS311&amp;" T-Shirt",Registered!AS311&amp;" T-Shirts")), "")</f>
        <v/>
      </c>
      <c r="E134" s="4" t="str">
        <f>Registered!AT311</f>
        <v/>
      </c>
      <c r="F134" s="4" t="str">
        <f>Registered!AU311</f>
        <v/>
      </c>
      <c r="G134" s="4" t="str">
        <f>Registered!AW311</f>
        <v/>
      </c>
      <c r="H134" s="4" t="str">
        <f>Registered!AX311</f>
        <v/>
      </c>
      <c r="I134" s="4" t="str">
        <f>Registered!AY311</f>
        <v/>
      </c>
    </row>
    <row r="135" spans="1:9" x14ac:dyDescent="0.25">
      <c r="A135" s="4" t="str">
        <f>Registered!B315</f>
        <v>Brown</v>
      </c>
      <c r="B135" s="4" t="str">
        <f>Registered!A315</f>
        <v>DaLynn</v>
      </c>
      <c r="C135" s="4" t="str">
        <f>IF(Registered!AR315&gt;0,Registered!AR315&amp;" Color Bags", "")</f>
        <v>5 Color Bags</v>
      </c>
      <c r="D135" s="4" t="str">
        <f>IF(Registered!AS315&gt;0,(IF(Registered!AS315=1,Registered!AS315&amp;" T-Shirt",Registered!AS315&amp;" T-Shirts")), "")</f>
        <v/>
      </c>
      <c r="E135" s="4" t="str">
        <f>Registered!AT315</f>
        <v/>
      </c>
      <c r="F135" s="4" t="str">
        <f>Registered!AU315</f>
        <v/>
      </c>
      <c r="G135" s="4" t="str">
        <f>Registered!AW315</f>
        <v/>
      </c>
      <c r="H135" s="4" t="str">
        <f>Registered!AX315</f>
        <v/>
      </c>
      <c r="I135" s="4" t="str">
        <f>Registered!AY315</f>
        <v/>
      </c>
    </row>
    <row r="136" spans="1:9" x14ac:dyDescent="0.25">
      <c r="A136" s="4" t="str">
        <f>Registered!B321</f>
        <v>Brown</v>
      </c>
      <c r="B136" s="4" t="str">
        <f>Registered!A321</f>
        <v>Sydney</v>
      </c>
      <c r="C136" s="4" t="str">
        <f>IF(Registered!AR321&gt;0,Registered!AR321&amp;" Color Bags", "")</f>
        <v>5 Color Bags</v>
      </c>
      <c r="D136" s="4" t="str">
        <f>IF(Registered!AS321&gt;0,(IF(Registered!AS321=1,Registered!AS321&amp;" T-Shirt",Registered!AS321&amp;" T-Shirts")), "")</f>
        <v>1 T-Shirt</v>
      </c>
      <c r="E136" s="4" t="str">
        <f>Registered!AT321</f>
        <v>L</v>
      </c>
      <c r="F136" s="4" t="str">
        <f>Registered!AU321</f>
        <v/>
      </c>
      <c r="G136" s="4" t="str">
        <f>Registered!AW321</f>
        <v>1 Meal</v>
      </c>
      <c r="H136" s="4" t="str">
        <f>Registered!AX321</f>
        <v/>
      </c>
      <c r="I136" s="4" t="str">
        <f>Registered!AY321</f>
        <v>1 DustMask</v>
      </c>
    </row>
    <row r="137" spans="1:9" x14ac:dyDescent="0.25">
      <c r="A137" s="4" t="str">
        <f>Registered!B322</f>
        <v>Bruening</v>
      </c>
      <c r="B137" s="4" t="str">
        <f>Registered!A322</f>
        <v>Jacque</v>
      </c>
      <c r="C137" s="4" t="str">
        <f>IF(Registered!AR322&gt;0,Registered!AR322&amp;" Color Bags", "")</f>
        <v>5 Color Bags</v>
      </c>
      <c r="D137" s="4" t="str">
        <f>IF(Registered!AS322&gt;0,(IF(Registered!AS322=1,Registered!AS322&amp;" T-Shirt",Registered!AS322&amp;" T-Shirts")), "")</f>
        <v/>
      </c>
      <c r="E137" s="4" t="str">
        <f>Registered!AT322</f>
        <v/>
      </c>
      <c r="F137" s="4" t="str">
        <f>Registered!AU322</f>
        <v/>
      </c>
      <c r="G137" s="4" t="str">
        <f>Registered!AW322</f>
        <v/>
      </c>
      <c r="H137" s="4" t="str">
        <f>Registered!AX322</f>
        <v/>
      </c>
      <c r="I137" s="4" t="str">
        <f>Registered!AY322</f>
        <v/>
      </c>
    </row>
    <row r="138" spans="1:9" x14ac:dyDescent="0.25">
      <c r="A138" s="4" t="str">
        <f>Registered!B324</f>
        <v>Brunette</v>
      </c>
      <c r="B138" s="4" t="str">
        <f>Registered!A324</f>
        <v>Renee</v>
      </c>
      <c r="C138" s="4" t="str">
        <f>IF(Registered!AR324&gt;0,Registered!AR324&amp;" Color Bags", "")</f>
        <v>5 Color Bags</v>
      </c>
      <c r="D138" s="4" t="str">
        <f>IF(Registered!AS324&gt;0,(IF(Registered!AS324=1,Registered!AS324&amp;" T-Shirt",Registered!AS324&amp;" T-Shirts")), "")</f>
        <v/>
      </c>
      <c r="E138" s="4" t="str">
        <f>Registered!AT324</f>
        <v/>
      </c>
      <c r="F138" s="4" t="str">
        <f>Registered!AU324</f>
        <v/>
      </c>
      <c r="G138" s="4" t="str">
        <f>Registered!AW324</f>
        <v/>
      </c>
      <c r="H138" s="4" t="str">
        <f>Registered!AX324</f>
        <v/>
      </c>
      <c r="I138" s="4" t="str">
        <f>Registered!AY324</f>
        <v/>
      </c>
    </row>
    <row r="139" spans="1:9" x14ac:dyDescent="0.25">
      <c r="A139" s="4" t="str">
        <f>Registered!B328</f>
        <v>Buchanan</v>
      </c>
      <c r="B139" s="4" t="str">
        <f>Registered!A328</f>
        <v>Jason</v>
      </c>
      <c r="C139" s="4" t="str">
        <f>IF(Registered!AR328&gt;0,Registered!AR328&amp;" Color Bags", "")</f>
        <v>20 Color Bags</v>
      </c>
      <c r="D139" s="4" t="str">
        <f>IF(Registered!AS328&gt;0,(IF(Registered!AS328=1,Registered!AS328&amp;" T-Shirt",Registered!AS328&amp;" T-Shirts")), "")</f>
        <v/>
      </c>
      <c r="E139" s="4" t="str">
        <f>Registered!AT328</f>
        <v/>
      </c>
      <c r="F139" s="4" t="str">
        <f>Registered!AU328</f>
        <v/>
      </c>
      <c r="G139" s="4" t="str">
        <f>Registered!AW328</f>
        <v/>
      </c>
      <c r="H139" s="4" t="str">
        <f>Registered!AX328</f>
        <v/>
      </c>
      <c r="I139" s="4" t="str">
        <f>Registered!AY328</f>
        <v>2 DustMask</v>
      </c>
    </row>
    <row r="140" spans="1:9" x14ac:dyDescent="0.25">
      <c r="A140" s="4" t="str">
        <f>Registered!B329</f>
        <v>Buchanan</v>
      </c>
      <c r="B140" s="4" t="str">
        <f>Registered!A329</f>
        <v>Lauren</v>
      </c>
      <c r="C140" s="4" t="str">
        <f>IF(Registered!AR329&gt;0,Registered!AR329&amp;" Color Bags", "")</f>
        <v>5 Color Bags</v>
      </c>
      <c r="D140" s="4" t="str">
        <f>IF(Registered!AS329&gt;0,(IF(Registered!AS329=1,Registered!AS329&amp;" T-Shirt",Registered!AS329&amp;" T-Shirts")), "")</f>
        <v/>
      </c>
      <c r="E140" s="4" t="str">
        <f>Registered!AT329</f>
        <v/>
      </c>
      <c r="F140" s="4" t="str">
        <f>Registered!AU329</f>
        <v>1 Bandana</v>
      </c>
      <c r="G140" s="4" t="str">
        <f>Registered!AW329</f>
        <v/>
      </c>
      <c r="H140" s="4" t="str">
        <f>Registered!AX329</f>
        <v/>
      </c>
      <c r="I140" s="4" t="str">
        <f>Registered!AY329</f>
        <v>1 DustMask</v>
      </c>
    </row>
    <row r="141" spans="1:9" x14ac:dyDescent="0.25">
      <c r="A141" s="4" t="str">
        <f>Registered!B330</f>
        <v>Buckhoff</v>
      </c>
      <c r="B141" s="4" t="str">
        <f>Registered!A330</f>
        <v>Valerie</v>
      </c>
      <c r="C141" s="4" t="str">
        <f>IF(Registered!AR330&gt;0,Registered!AR330&amp;" Color Bags", "")</f>
        <v>5 Color Bags</v>
      </c>
      <c r="D141" s="4" t="str">
        <f>IF(Registered!AS330&gt;0,(IF(Registered!AS330=1,Registered!AS330&amp;" T-Shirt",Registered!AS330&amp;" T-Shirts")), "")</f>
        <v/>
      </c>
      <c r="E141" s="4" t="str">
        <f>Registered!AT330</f>
        <v/>
      </c>
      <c r="F141" s="4" t="str">
        <f>Registered!AU330</f>
        <v/>
      </c>
      <c r="G141" s="4" t="str">
        <f>Registered!AW330</f>
        <v/>
      </c>
      <c r="H141" s="4" t="str">
        <f>Registered!AX330</f>
        <v/>
      </c>
      <c r="I141" s="4" t="str">
        <f>Registered!AY330</f>
        <v/>
      </c>
    </row>
    <row r="142" spans="1:9" x14ac:dyDescent="0.25">
      <c r="A142" s="4" t="str">
        <f>Registered!B331</f>
        <v>Buerkle</v>
      </c>
      <c r="B142" s="4" t="str">
        <f>Registered!A331</f>
        <v>Heather</v>
      </c>
      <c r="C142" s="4" t="str">
        <f>IF(Registered!AR331&gt;0,Registered!AR331&amp;" Color Bags", "")</f>
        <v>15 Color Bags</v>
      </c>
      <c r="D142" s="4" t="str">
        <f>IF(Registered!AS331&gt;0,(IF(Registered!AS331=1,Registered!AS331&amp;" T-Shirt",Registered!AS331&amp;" T-Shirts")), "")</f>
        <v/>
      </c>
      <c r="E142" s="4" t="str">
        <f>Registered!AT331</f>
        <v/>
      </c>
      <c r="F142" s="4" t="str">
        <f>Registered!AU331</f>
        <v/>
      </c>
      <c r="G142" s="4" t="str">
        <f>Registered!AW331</f>
        <v/>
      </c>
      <c r="H142" s="4" t="str">
        <f>Registered!AX331</f>
        <v/>
      </c>
      <c r="I142" s="4" t="str">
        <f>Registered!AY331</f>
        <v/>
      </c>
    </row>
    <row r="143" spans="1:9" x14ac:dyDescent="0.25">
      <c r="A143" s="4" t="str">
        <f>Registered!B337</f>
        <v>Bunnell</v>
      </c>
      <c r="B143" s="4" t="str">
        <f>Registered!A337</f>
        <v>Brytnee</v>
      </c>
      <c r="C143" s="4" t="str">
        <f>IF(Registered!AR337&gt;0,Registered!AR337&amp;" Color Bags", "")</f>
        <v>10 Color Bags</v>
      </c>
      <c r="D143" s="4" t="str">
        <f>IF(Registered!AS337&gt;0,(IF(Registered!AS337=1,Registered!AS337&amp;" T-Shirt",Registered!AS337&amp;" T-Shirts")), "")</f>
        <v/>
      </c>
      <c r="E143" s="4" t="str">
        <f>Registered!AT337</f>
        <v/>
      </c>
      <c r="F143" s="4" t="str">
        <f>Registered!AU337</f>
        <v/>
      </c>
      <c r="G143" s="4" t="str">
        <f>Registered!AW337</f>
        <v/>
      </c>
      <c r="H143" s="4" t="str">
        <f>Registered!AX337</f>
        <v/>
      </c>
      <c r="I143" s="4" t="str">
        <f>Registered!AY337</f>
        <v/>
      </c>
    </row>
    <row r="144" spans="1:9" x14ac:dyDescent="0.25">
      <c r="A144" s="4" t="str">
        <f>Registered!B339</f>
        <v>Burrell</v>
      </c>
      <c r="B144" s="4" t="str">
        <f>Registered!A339</f>
        <v>Alyssa</v>
      </c>
      <c r="C144" s="4" t="str">
        <f>IF(Registered!AR339&gt;0,Registered!AR339&amp;" Color Bags", "")</f>
        <v>10 Color Bags</v>
      </c>
      <c r="D144" s="4" t="str">
        <f>IF(Registered!AS339&gt;0,(IF(Registered!AS339=1,Registered!AS339&amp;" T-Shirt",Registered!AS339&amp;" T-Shirts")), "")</f>
        <v/>
      </c>
      <c r="E144" s="4" t="str">
        <f>Registered!AT339</f>
        <v/>
      </c>
      <c r="F144" s="4" t="str">
        <f>Registered!AU339</f>
        <v/>
      </c>
      <c r="G144" s="4" t="str">
        <f>Registered!AW339</f>
        <v/>
      </c>
      <c r="H144" s="4" t="str">
        <f>Registered!AX339</f>
        <v/>
      </c>
      <c r="I144" s="4" t="str">
        <f>Registered!AY339</f>
        <v/>
      </c>
    </row>
    <row r="145" spans="1:9" x14ac:dyDescent="0.25">
      <c r="A145" s="4" t="str">
        <f>Registered!B342</f>
        <v>Burress</v>
      </c>
      <c r="B145" s="4" t="str">
        <f>Registered!A342</f>
        <v>Stephen</v>
      </c>
      <c r="C145" s="4" t="str">
        <f>IF(Registered!AR342&gt;0,Registered!AR342&amp;" Color Bags", "")</f>
        <v>10 Color Bags</v>
      </c>
      <c r="D145" s="4" t="str">
        <f>IF(Registered!AS342&gt;0,(IF(Registered!AS342=1,Registered!AS342&amp;" T-Shirt",Registered!AS342&amp;" T-Shirts")), "")</f>
        <v>2 T-Shirts</v>
      </c>
      <c r="E145" s="4" t="str">
        <f>Registered!AT342</f>
        <v>Mens Large, Womens Medium</v>
      </c>
      <c r="F145" s="4" t="str">
        <f>Registered!AU342</f>
        <v/>
      </c>
      <c r="G145" s="4" t="str">
        <f>Registered!AW342</f>
        <v>2 Meals</v>
      </c>
      <c r="H145" s="4" t="str">
        <f>Registered!AX342</f>
        <v/>
      </c>
      <c r="I145" s="4" t="str">
        <f>Registered!AY342</f>
        <v/>
      </c>
    </row>
    <row r="146" spans="1:9" x14ac:dyDescent="0.25">
      <c r="A146" s="4" t="str">
        <f>Registered!B343</f>
        <v>Burt</v>
      </c>
      <c r="B146" s="4" t="str">
        <f>Registered!A343</f>
        <v>Aaron</v>
      </c>
      <c r="C146" s="4" t="str">
        <f>IF(Registered!AR343&gt;0,Registered!AR343&amp;" Color Bags", "")</f>
        <v>5 Color Bags</v>
      </c>
      <c r="D146" s="4" t="str">
        <f>IF(Registered!AS343&gt;0,(IF(Registered!AS343=1,Registered!AS343&amp;" T-Shirt",Registered!AS343&amp;" T-Shirts")), "")</f>
        <v/>
      </c>
      <c r="E146" s="4" t="str">
        <f>Registered!AT343</f>
        <v/>
      </c>
      <c r="F146" s="4" t="str">
        <f>Registered!AU343</f>
        <v/>
      </c>
      <c r="G146" s="4" t="str">
        <f>Registered!AW343</f>
        <v/>
      </c>
      <c r="H146" s="4" t="str">
        <f>Registered!AX343</f>
        <v/>
      </c>
      <c r="I146" s="4" t="str">
        <f>Registered!AY343</f>
        <v/>
      </c>
    </row>
    <row r="147" spans="1:9" x14ac:dyDescent="0.25">
      <c r="A147" s="4" t="str">
        <f>Registered!B345</f>
        <v>Burton</v>
      </c>
      <c r="B147" s="4" t="str">
        <f>Registered!A345</f>
        <v>Katheryn</v>
      </c>
      <c r="C147" s="4" t="str">
        <f>IF(Registered!AR345&gt;0,Registered!AR345&amp;" Color Bags", "")</f>
        <v>10 Color Bags</v>
      </c>
      <c r="D147" s="4" t="str">
        <f>IF(Registered!AS345&gt;0,(IF(Registered!AS345=1,Registered!AS345&amp;" T-Shirt",Registered!AS345&amp;" T-Shirts")), "")</f>
        <v/>
      </c>
      <c r="E147" s="4" t="str">
        <f>Registered!AT345</f>
        <v/>
      </c>
      <c r="F147" s="4" t="str">
        <f>Registered!AU345</f>
        <v/>
      </c>
      <c r="G147" s="4" t="str">
        <f>Registered!AW345</f>
        <v/>
      </c>
      <c r="H147" s="4" t="str">
        <f>Registered!AX345</f>
        <v/>
      </c>
      <c r="I147" s="4" t="str">
        <f>Registered!AY345</f>
        <v/>
      </c>
    </row>
    <row r="148" spans="1:9" x14ac:dyDescent="0.25">
      <c r="A148" s="4" t="str">
        <f>Registered!B357</f>
        <v>Call</v>
      </c>
      <c r="B148" s="4" t="str">
        <f>Registered!A357</f>
        <v>Cindy</v>
      </c>
      <c r="C148" s="4" t="str">
        <f>IF(Registered!AR357&gt;0,Registered!AR357&amp;" Color Bags", "")</f>
        <v>10 Color Bags</v>
      </c>
      <c r="D148" s="4" t="str">
        <f>IF(Registered!AS357&gt;0,(IF(Registered!AS357=1,Registered!AS357&amp;" T-Shirt",Registered!AS357&amp;" T-Shirts")), "")</f>
        <v/>
      </c>
      <c r="E148" s="4" t="str">
        <f>Registered!AT357</f>
        <v/>
      </c>
      <c r="F148" s="4" t="str">
        <f>Registered!AU357</f>
        <v/>
      </c>
      <c r="G148" s="4" t="str">
        <f>Registered!AW357</f>
        <v/>
      </c>
      <c r="H148" s="4" t="str">
        <f>Registered!AX357</f>
        <v/>
      </c>
      <c r="I148" s="4" t="str">
        <f>Registered!AY357</f>
        <v/>
      </c>
    </row>
    <row r="149" spans="1:9" x14ac:dyDescent="0.25">
      <c r="A149" s="4" t="str">
        <f>Registered!B359</f>
        <v>Call</v>
      </c>
      <c r="B149" s="4" t="str">
        <f>Registered!A359</f>
        <v>Rachel</v>
      </c>
      <c r="C149" s="4" t="str">
        <f>IF(Registered!AR359&gt;0,Registered!AR359&amp;" Color Bags", "")</f>
        <v>10 Color Bags</v>
      </c>
      <c r="D149" s="4" t="str">
        <f>IF(Registered!AS359&gt;0,(IF(Registered!AS359=1,Registered!AS359&amp;" T-Shirt",Registered!AS359&amp;" T-Shirts")), "")</f>
        <v/>
      </c>
      <c r="E149" s="4" t="str">
        <f>Registered!AT359</f>
        <v/>
      </c>
      <c r="F149" s="4" t="str">
        <f>Registered!AU359</f>
        <v/>
      </c>
      <c r="G149" s="4" t="str">
        <f>Registered!AW359</f>
        <v/>
      </c>
      <c r="H149" s="4" t="str">
        <f>Registered!AX359</f>
        <v/>
      </c>
      <c r="I149" s="4" t="str">
        <f>Registered!AY359</f>
        <v/>
      </c>
    </row>
    <row r="150" spans="1:9" x14ac:dyDescent="0.25">
      <c r="A150" s="4" t="str">
        <f>Registered!B367</f>
        <v>Campo</v>
      </c>
      <c r="B150" s="4" t="str">
        <f>Registered!A367</f>
        <v>Gage</v>
      </c>
      <c r="C150" s="4" t="str">
        <f>IF(Registered!AR367&gt;0,Registered!AR367&amp;" Color Bags", "")</f>
        <v>10 Color Bags</v>
      </c>
      <c r="D150" s="4" t="str">
        <f>IF(Registered!AS367&gt;0,(IF(Registered!AS367=1,Registered!AS367&amp;" T-Shirt",Registered!AS367&amp;" T-Shirts")), "")</f>
        <v/>
      </c>
      <c r="E150" s="4" t="str">
        <f>Registered!AT367</f>
        <v/>
      </c>
      <c r="F150" s="4" t="str">
        <f>Registered!AU367</f>
        <v/>
      </c>
      <c r="G150" s="4" t="str">
        <f>Registered!AW367</f>
        <v/>
      </c>
      <c r="H150" s="4" t="str">
        <f>Registered!AX367</f>
        <v/>
      </c>
      <c r="I150" s="4" t="str">
        <f>Registered!AY367</f>
        <v/>
      </c>
    </row>
    <row r="151" spans="1:9" x14ac:dyDescent="0.25">
      <c r="A151" s="4" t="str">
        <f>Registered!B370</f>
        <v>Cannon</v>
      </c>
      <c r="B151" s="4" t="str">
        <f>Registered!A370</f>
        <v>Larissa</v>
      </c>
      <c r="C151" s="4" t="str">
        <f>IF(Registered!AR370&gt;0,Registered!AR370&amp;" Color Bags", "")</f>
        <v>5 Color Bags</v>
      </c>
      <c r="D151" s="4" t="str">
        <f>IF(Registered!AS370&gt;0,(IF(Registered!AS370=1,Registered!AS370&amp;" T-Shirt",Registered!AS370&amp;" T-Shirts")), "")</f>
        <v/>
      </c>
      <c r="E151" s="4" t="str">
        <f>Registered!AT370</f>
        <v/>
      </c>
      <c r="F151" s="4" t="str">
        <f>Registered!AU370</f>
        <v/>
      </c>
      <c r="G151" s="4" t="str">
        <f>Registered!AW370</f>
        <v/>
      </c>
      <c r="H151" s="4" t="str">
        <f>Registered!AX370</f>
        <v/>
      </c>
      <c r="I151" s="4" t="str">
        <f>Registered!AY370</f>
        <v/>
      </c>
    </row>
    <row r="152" spans="1:9" x14ac:dyDescent="0.25">
      <c r="A152" s="4" t="str">
        <f>Registered!B372</f>
        <v>Canova</v>
      </c>
      <c r="B152" s="4" t="str">
        <f>Registered!A372</f>
        <v>Matt</v>
      </c>
      <c r="C152" s="4" t="str">
        <f>IF(Registered!AR372&gt;0,Registered!AR372&amp;" Color Bags", "")</f>
        <v>5 Color Bags</v>
      </c>
      <c r="D152" s="4" t="str">
        <f>IF(Registered!AS372&gt;0,(IF(Registered!AS372=1,Registered!AS372&amp;" T-Shirt",Registered!AS372&amp;" T-Shirts")), "")</f>
        <v>1 T-Shirt</v>
      </c>
      <c r="E152" s="4" t="str">
        <f>Registered!AT372</f>
        <v>X-large</v>
      </c>
      <c r="F152" s="4" t="str">
        <f>Registered!AU372</f>
        <v/>
      </c>
      <c r="G152" s="4" t="str">
        <f>Registered!AW372</f>
        <v/>
      </c>
      <c r="H152" s="4" t="str">
        <f>Registered!AX372</f>
        <v/>
      </c>
      <c r="I152" s="4" t="str">
        <f>Registered!AY372</f>
        <v/>
      </c>
    </row>
    <row r="153" spans="1:9" x14ac:dyDescent="0.25">
      <c r="A153" s="4" t="str">
        <f>Registered!B374</f>
        <v>Card</v>
      </c>
      <c r="B153" s="4" t="str">
        <f>Registered!A374</f>
        <v>Stacy</v>
      </c>
      <c r="C153" s="4" t="str">
        <f>IF(Registered!AR374&gt;0,Registered!AR374&amp;" Color Bags", "")</f>
        <v>5 Color Bags</v>
      </c>
      <c r="D153" s="4" t="str">
        <f>IF(Registered!AS374&gt;0,(IF(Registered!AS374=1,Registered!AS374&amp;" T-Shirt",Registered!AS374&amp;" T-Shirts")), "")</f>
        <v/>
      </c>
      <c r="E153" s="4" t="str">
        <f>Registered!AT374</f>
        <v/>
      </c>
      <c r="F153" s="4" t="str">
        <f>Registered!AU374</f>
        <v/>
      </c>
      <c r="G153" s="4" t="str">
        <f>Registered!AW374</f>
        <v/>
      </c>
      <c r="H153" s="4" t="str">
        <f>Registered!AX374</f>
        <v/>
      </c>
      <c r="I153" s="4" t="str">
        <f>Registered!AY374</f>
        <v/>
      </c>
    </row>
    <row r="154" spans="1:9" x14ac:dyDescent="0.25">
      <c r="A154" s="4" t="str">
        <f>Registered!B379</f>
        <v>Carlson</v>
      </c>
      <c r="B154" s="4" t="str">
        <f>Registered!A379</f>
        <v>Veronica</v>
      </c>
      <c r="C154" s="4" t="str">
        <f>IF(Registered!AR379&gt;0,Registered!AR379&amp;" Color Bags", "")</f>
        <v>10 Color Bags</v>
      </c>
      <c r="D154" s="4" t="str">
        <f>IF(Registered!AS379&gt;0,(IF(Registered!AS379=1,Registered!AS379&amp;" T-Shirt",Registered!AS379&amp;" T-Shirts")), "")</f>
        <v/>
      </c>
      <c r="E154" s="4" t="str">
        <f>Registered!AT379</f>
        <v/>
      </c>
      <c r="F154" s="4" t="str">
        <f>Registered!AU379</f>
        <v>1 Bandana</v>
      </c>
      <c r="G154" s="4" t="str">
        <f>Registered!AW379</f>
        <v/>
      </c>
      <c r="H154" s="4" t="str">
        <f>Registered!AX379</f>
        <v/>
      </c>
      <c r="I154" s="4" t="str">
        <f>Registered!AY379</f>
        <v/>
      </c>
    </row>
    <row r="155" spans="1:9" x14ac:dyDescent="0.25">
      <c r="A155" s="4" t="str">
        <f>Registered!B377</f>
        <v>Carlson</v>
      </c>
      <c r="B155" s="4" t="str">
        <f>Registered!A377</f>
        <v>Scott</v>
      </c>
      <c r="C155" s="4" t="str">
        <f>IF(Registered!AR377&gt;0,Registered!AR377&amp;" Color Bags", "")</f>
        <v>5 Color Bags</v>
      </c>
      <c r="D155" s="4" t="str">
        <f>IF(Registered!AS377&gt;0,(IF(Registered!AS377=1,Registered!AS377&amp;" T-Shirt",Registered!AS377&amp;" T-Shirts")), "")</f>
        <v/>
      </c>
      <c r="E155" s="4" t="str">
        <f>Registered!AT377</f>
        <v/>
      </c>
      <c r="F155" s="4" t="str">
        <f>Registered!AU377</f>
        <v/>
      </c>
      <c r="G155" s="4" t="str">
        <f>Registered!AW377</f>
        <v/>
      </c>
      <c r="H155" s="4" t="str">
        <f>Registered!AX377</f>
        <v/>
      </c>
      <c r="I155" s="4" t="str">
        <f>Registered!AY377</f>
        <v/>
      </c>
    </row>
    <row r="156" spans="1:9" x14ac:dyDescent="0.25">
      <c r="A156" s="4" t="str">
        <f>Registered!B384</f>
        <v>Carr</v>
      </c>
      <c r="B156" s="4" t="str">
        <f>Registered!A384</f>
        <v>Jason</v>
      </c>
      <c r="C156" s="4" t="str">
        <f>IF(Registered!AR384&gt;0,Registered!AR384&amp;" Color Bags", "")</f>
        <v>10 Color Bags</v>
      </c>
      <c r="D156" s="4" t="str">
        <f>IF(Registered!AS384&gt;0,(IF(Registered!AS384=1,Registered!AS384&amp;" T-Shirt",Registered!AS384&amp;" T-Shirts")), "")</f>
        <v/>
      </c>
      <c r="E156" s="4" t="str">
        <f>Registered!AT384</f>
        <v/>
      </c>
      <c r="F156" s="4" t="str">
        <f>Registered!AU384</f>
        <v/>
      </c>
      <c r="G156" s="4" t="str">
        <f>Registered!AW384</f>
        <v/>
      </c>
      <c r="H156" s="4" t="str">
        <f>Registered!AX384</f>
        <v/>
      </c>
      <c r="I156" s="4" t="str">
        <f>Registered!AY384</f>
        <v/>
      </c>
    </row>
    <row r="157" spans="1:9" x14ac:dyDescent="0.25">
      <c r="A157" s="4" t="str">
        <f>Registered!B385</f>
        <v>Carriger</v>
      </c>
      <c r="B157" s="4" t="str">
        <f>Registered!A385</f>
        <v>Matt</v>
      </c>
      <c r="C157" s="4" t="str">
        <f>IF(Registered!AR385&gt;0,Registered!AR385&amp;" Color Bags", "")</f>
        <v>10 Color Bags</v>
      </c>
      <c r="D157" s="4" t="str">
        <f>IF(Registered!AS385&gt;0,(IF(Registered!AS385=1,Registered!AS385&amp;" T-Shirt",Registered!AS385&amp;" T-Shirts")), "")</f>
        <v/>
      </c>
      <c r="E157" s="4" t="str">
        <f>Registered!AT385</f>
        <v/>
      </c>
      <c r="F157" s="4" t="str">
        <f>Registered!AU385</f>
        <v/>
      </c>
      <c r="G157" s="4" t="str">
        <f>Registered!AW385</f>
        <v/>
      </c>
      <c r="H157" s="4" t="str">
        <f>Registered!AX385</f>
        <v/>
      </c>
      <c r="I157" s="4" t="str">
        <f>Registered!AY385</f>
        <v/>
      </c>
    </row>
    <row r="158" spans="1:9" x14ac:dyDescent="0.25">
      <c r="A158" s="4" t="str">
        <f>Registered!B388</f>
        <v>Carroll</v>
      </c>
      <c r="B158" s="4" t="str">
        <f>Registered!A388</f>
        <v>Jerry</v>
      </c>
      <c r="C158" s="4" t="str">
        <f>IF(Registered!AR388&gt;0,Registered!AR388&amp;" Color Bags", "")</f>
        <v>20 Color Bags</v>
      </c>
      <c r="D158" s="4" t="str">
        <f>IF(Registered!AS388&gt;0,(IF(Registered!AS388=1,Registered!AS388&amp;" T-Shirt",Registered!AS388&amp;" T-Shirts")), "")</f>
        <v/>
      </c>
      <c r="E158" s="4" t="str">
        <f>Registered!AT388</f>
        <v/>
      </c>
      <c r="F158" s="4" t="str">
        <f>Registered!AU388</f>
        <v/>
      </c>
      <c r="G158" s="4" t="str">
        <f>Registered!AW388</f>
        <v/>
      </c>
      <c r="H158" s="4" t="str">
        <f>Registered!AX388</f>
        <v/>
      </c>
      <c r="I158" s="4" t="str">
        <f>Registered!AY388</f>
        <v/>
      </c>
    </row>
    <row r="159" spans="1:9" x14ac:dyDescent="0.25">
      <c r="A159" s="4" t="str">
        <f>Registered!B391</f>
        <v>Carter</v>
      </c>
      <c r="B159" s="4" t="str">
        <f>Registered!A391</f>
        <v>Jess</v>
      </c>
      <c r="C159" s="4" t="str">
        <f>IF(Registered!AR391&gt;0,Registered!AR391&amp;" Color Bags", "")</f>
        <v>20 Color Bags</v>
      </c>
      <c r="D159" s="4" t="str">
        <f>IF(Registered!AS391&gt;0,(IF(Registered!AS391=1,Registered!AS391&amp;" T-Shirt",Registered!AS391&amp;" T-Shirts")), "")</f>
        <v/>
      </c>
      <c r="E159" s="4" t="str">
        <f>Registered!AT391</f>
        <v/>
      </c>
      <c r="F159" s="4" t="str">
        <f>Registered!AU391</f>
        <v/>
      </c>
      <c r="G159" s="4" t="str">
        <f>Registered!AW391</f>
        <v/>
      </c>
      <c r="H159" s="4" t="str">
        <f>Registered!AX391</f>
        <v/>
      </c>
      <c r="I159" s="4" t="str">
        <f>Registered!AY391</f>
        <v/>
      </c>
    </row>
    <row r="160" spans="1:9" x14ac:dyDescent="0.25">
      <c r="A160" s="4" t="str">
        <f>Registered!B396</f>
        <v>Casey</v>
      </c>
      <c r="B160" s="4" t="str">
        <f>Registered!A396</f>
        <v>Teri</v>
      </c>
      <c r="C160" s="4" t="str">
        <f>IF(Registered!AR396&gt;0,Registered!AR396&amp;" Color Bags", "")</f>
        <v>10 Color Bags</v>
      </c>
      <c r="D160" s="4" t="str">
        <f>IF(Registered!AS396&gt;0,(IF(Registered!AS396=1,Registered!AS396&amp;" T-Shirt",Registered!AS396&amp;" T-Shirts")), "")</f>
        <v/>
      </c>
      <c r="E160" s="4" t="str">
        <f>Registered!AT396</f>
        <v/>
      </c>
      <c r="F160" s="4" t="str">
        <f>Registered!AU396</f>
        <v>2 Bandanas</v>
      </c>
      <c r="G160" s="4" t="str">
        <f>Registered!AW396</f>
        <v>2 Meals</v>
      </c>
      <c r="H160" s="4" t="str">
        <f>Registered!AX396</f>
        <v/>
      </c>
      <c r="I160" s="4" t="str">
        <f>Registered!AY396</f>
        <v/>
      </c>
    </row>
    <row r="161" spans="1:9" x14ac:dyDescent="0.25">
      <c r="A161" s="4" t="str">
        <f>Registered!B398</f>
        <v>Castillo</v>
      </c>
      <c r="B161" s="4" t="str">
        <f>Registered!A398</f>
        <v>Christopher</v>
      </c>
      <c r="C161" s="4" t="str">
        <f>IF(Registered!AR398&gt;0,Registered!AR398&amp;" Color Bags", "")</f>
        <v>10 Color Bags</v>
      </c>
      <c r="D161" s="4" t="str">
        <f>IF(Registered!AS398&gt;0,(IF(Registered!AS398=1,Registered!AS398&amp;" T-Shirt",Registered!AS398&amp;" T-Shirts")), "")</f>
        <v/>
      </c>
      <c r="E161" s="4" t="str">
        <f>Registered!AT398</f>
        <v/>
      </c>
      <c r="F161" s="4" t="str">
        <f>Registered!AU398</f>
        <v/>
      </c>
      <c r="G161" s="4" t="str">
        <f>Registered!AW398</f>
        <v/>
      </c>
      <c r="H161" s="4" t="str">
        <f>Registered!AX398</f>
        <v/>
      </c>
      <c r="I161" s="4" t="str">
        <f>Registered!AY398</f>
        <v/>
      </c>
    </row>
    <row r="162" spans="1:9" x14ac:dyDescent="0.25">
      <c r="A162" s="4" t="str">
        <f>Registered!B399</f>
        <v>Castillo</v>
      </c>
      <c r="B162" s="4" t="str">
        <f>Registered!A399</f>
        <v>Rebeca</v>
      </c>
      <c r="C162" s="4" t="str">
        <f>IF(Registered!AR399&gt;0,Registered!AR399&amp;" Color Bags", "")</f>
        <v>5 Color Bags</v>
      </c>
      <c r="D162" s="4" t="str">
        <f>IF(Registered!AS399&gt;0,(IF(Registered!AS399=1,Registered!AS399&amp;" T-Shirt",Registered!AS399&amp;" T-Shirts")), "")</f>
        <v/>
      </c>
      <c r="E162" s="4" t="str">
        <f>Registered!AT399</f>
        <v/>
      </c>
      <c r="F162" s="4" t="str">
        <f>Registered!AU399</f>
        <v/>
      </c>
      <c r="G162" s="4" t="str">
        <f>Registered!AW399</f>
        <v/>
      </c>
      <c r="H162" s="4" t="str">
        <f>Registered!AX399</f>
        <v/>
      </c>
      <c r="I162" s="4" t="str">
        <f>Registered!AY399</f>
        <v/>
      </c>
    </row>
    <row r="163" spans="1:9" x14ac:dyDescent="0.25">
      <c r="A163" s="4" t="str">
        <f>Registered!B401</f>
        <v>Castro</v>
      </c>
      <c r="B163" s="4" t="str">
        <f>Registered!A401</f>
        <v>Abril</v>
      </c>
      <c r="C163" s="4" t="str">
        <f>IF(Registered!AR401&gt;0,Registered!AR401&amp;" Color Bags", "")</f>
        <v>15 Color Bags</v>
      </c>
      <c r="D163" s="4" t="str">
        <f>IF(Registered!AS401&gt;0,(IF(Registered!AS401=1,Registered!AS401&amp;" T-Shirt",Registered!AS401&amp;" T-Shirts")), "")</f>
        <v/>
      </c>
      <c r="E163" s="4" t="str">
        <f>Registered!AT401</f>
        <v/>
      </c>
      <c r="F163" s="4" t="str">
        <f>Registered!AU401</f>
        <v/>
      </c>
      <c r="G163" s="4" t="str">
        <f>Registered!AW401</f>
        <v/>
      </c>
      <c r="H163" s="4" t="str">
        <f>Registered!AX401</f>
        <v/>
      </c>
      <c r="I163" s="4" t="str">
        <f>Registered!AY401</f>
        <v/>
      </c>
    </row>
    <row r="164" spans="1:9" x14ac:dyDescent="0.25">
      <c r="A164" s="4" t="str">
        <f>Registered!B404</f>
        <v>Cervantes</v>
      </c>
      <c r="B164" s="4" t="str">
        <f>Registered!A404</f>
        <v>Maritsa</v>
      </c>
      <c r="C164" s="4" t="str">
        <f>IF(Registered!AR404&gt;0,Registered!AR404&amp;" Color Bags", "")</f>
        <v>10 Color Bags</v>
      </c>
      <c r="D164" s="4" t="str">
        <f>IF(Registered!AS404&gt;0,(IF(Registered!AS404=1,Registered!AS404&amp;" T-Shirt",Registered!AS404&amp;" T-Shirts")), "")</f>
        <v/>
      </c>
      <c r="E164" s="4" t="str">
        <f>Registered!AT404</f>
        <v/>
      </c>
      <c r="F164" s="4" t="str">
        <f>Registered!AU404</f>
        <v/>
      </c>
      <c r="G164" s="4" t="str">
        <f>Registered!AW404</f>
        <v/>
      </c>
      <c r="H164" s="4" t="str">
        <f>Registered!AX404</f>
        <v/>
      </c>
      <c r="I164" s="4" t="str">
        <f>Registered!AY404</f>
        <v/>
      </c>
    </row>
    <row r="165" spans="1:9" x14ac:dyDescent="0.25">
      <c r="A165" s="4" t="str">
        <f>Registered!B405</f>
        <v>Chabries</v>
      </c>
      <c r="B165" s="4" t="str">
        <f>Registered!A405</f>
        <v>Tami</v>
      </c>
      <c r="C165" s="4" t="str">
        <f>IF(Registered!AR405&gt;0,Registered!AR405&amp;" Color Bags", "")</f>
        <v>30 Color Bags</v>
      </c>
      <c r="D165" s="4" t="str">
        <f>IF(Registered!AS405&gt;0,(IF(Registered!AS405=1,Registered!AS405&amp;" T-Shirt",Registered!AS405&amp;" T-Shirts")), "")</f>
        <v/>
      </c>
      <c r="E165" s="4" t="str">
        <f>Registered!AT405</f>
        <v/>
      </c>
      <c r="F165" s="4" t="str">
        <f>Registered!AU405</f>
        <v/>
      </c>
      <c r="G165" s="4" t="str">
        <f>Registered!AW405</f>
        <v/>
      </c>
      <c r="H165" s="4" t="str">
        <f>Registered!AX405</f>
        <v/>
      </c>
      <c r="I165" s="4" t="str">
        <f>Registered!AY405</f>
        <v/>
      </c>
    </row>
    <row r="166" spans="1:9" x14ac:dyDescent="0.25">
      <c r="A166" s="4" t="str">
        <f>Registered!B410</f>
        <v>Champion</v>
      </c>
      <c r="B166" s="4" t="str">
        <f>Registered!A410</f>
        <v>Matt</v>
      </c>
      <c r="C166" s="4" t="str">
        <f>IF(Registered!AR410&gt;0,Registered!AR410&amp;" Color Bags", "")</f>
        <v>15 Color Bags</v>
      </c>
      <c r="D166" s="4" t="str">
        <f>IF(Registered!AS410&gt;0,(IF(Registered!AS410=1,Registered!AS410&amp;" T-Shirt",Registered!AS410&amp;" T-Shirts")), "")</f>
        <v/>
      </c>
      <c r="E166" s="4" t="str">
        <f>Registered!AT410</f>
        <v/>
      </c>
      <c r="F166" s="4" t="str">
        <f>Registered!AU410</f>
        <v/>
      </c>
      <c r="G166" s="4" t="str">
        <f>Registered!AW410</f>
        <v/>
      </c>
      <c r="H166" s="4" t="str">
        <f>Registered!AX410</f>
        <v/>
      </c>
      <c r="I166" s="4" t="str">
        <f>Registered!AY410</f>
        <v/>
      </c>
    </row>
    <row r="167" spans="1:9" x14ac:dyDescent="0.25">
      <c r="A167" s="4" t="str">
        <f>Registered!B414</f>
        <v>Chapman</v>
      </c>
      <c r="B167" s="4" t="str">
        <f>Registered!A414</f>
        <v>Kim</v>
      </c>
      <c r="C167" s="4" t="str">
        <f>IF(Registered!AR414&gt;0,Registered!AR414&amp;" Color Bags", "")</f>
        <v>10 Color Bags</v>
      </c>
      <c r="D167" s="4" t="str">
        <f>IF(Registered!AS414&gt;0,(IF(Registered!AS414=1,Registered!AS414&amp;" T-Shirt",Registered!AS414&amp;" T-Shirts")), "")</f>
        <v/>
      </c>
      <c r="E167" s="4" t="str">
        <f>Registered!AT414</f>
        <v/>
      </c>
      <c r="F167" s="4" t="str">
        <f>Registered!AU414</f>
        <v/>
      </c>
      <c r="G167" s="4" t="str">
        <f>Registered!AW414</f>
        <v/>
      </c>
      <c r="H167" s="4" t="str">
        <f>Registered!AX414</f>
        <v/>
      </c>
      <c r="I167" s="4" t="str">
        <f>Registered!AY414</f>
        <v/>
      </c>
    </row>
    <row r="168" spans="1:9" x14ac:dyDescent="0.25">
      <c r="A168" s="4" t="str">
        <f>Registered!B418</f>
        <v>Cherrington</v>
      </c>
      <c r="B168" s="4" t="str">
        <f>Registered!A418</f>
        <v>Amber</v>
      </c>
      <c r="C168" s="4" t="str">
        <f>IF(Registered!AR418&gt;0,Registered!AR418&amp;" Color Bags", "")</f>
        <v>15 Color Bags</v>
      </c>
      <c r="D168" s="4" t="str">
        <f>IF(Registered!AS418&gt;0,(IF(Registered!AS418=1,Registered!AS418&amp;" T-Shirt",Registered!AS418&amp;" T-Shirts")), "")</f>
        <v/>
      </c>
      <c r="E168" s="4" t="str">
        <f>Registered!AT418</f>
        <v/>
      </c>
      <c r="F168" s="4" t="str">
        <f>Registered!AU418</f>
        <v/>
      </c>
      <c r="G168" s="4" t="str">
        <f>Registered!AW418</f>
        <v/>
      </c>
      <c r="H168" s="4" t="str">
        <f>Registered!AX418</f>
        <v/>
      </c>
      <c r="I168" s="4" t="str">
        <f>Registered!AY418</f>
        <v/>
      </c>
    </row>
    <row r="169" spans="1:9" x14ac:dyDescent="0.25">
      <c r="A169" s="4" t="str">
        <f>Registered!B421</f>
        <v>Chilcott</v>
      </c>
      <c r="B169" s="4" t="str">
        <f>Registered!A421</f>
        <v>Troy</v>
      </c>
      <c r="C169" s="4" t="str">
        <f>IF(Registered!AR421&gt;0,Registered!AR421&amp;" Color Bags", "")</f>
        <v>5 Color Bags</v>
      </c>
      <c r="D169" s="4" t="str">
        <f>IF(Registered!AS421&gt;0,(IF(Registered!AS421=1,Registered!AS421&amp;" T-Shirt",Registered!AS421&amp;" T-Shirts")), "")</f>
        <v/>
      </c>
      <c r="E169" s="4" t="str">
        <f>Registered!AT421</f>
        <v/>
      </c>
      <c r="F169" s="4" t="str">
        <f>Registered!AU421</f>
        <v/>
      </c>
      <c r="G169" s="4" t="str">
        <f>Registered!AW421</f>
        <v/>
      </c>
      <c r="H169" s="4" t="str">
        <f>Registered!AX421</f>
        <v/>
      </c>
      <c r="I169" s="4" t="str">
        <f>Registered!AY421</f>
        <v/>
      </c>
    </row>
    <row r="170" spans="1:9" x14ac:dyDescent="0.25">
      <c r="A170" s="4" t="str">
        <f>Registered!B423</f>
        <v>Christensen</v>
      </c>
      <c r="B170" s="4" t="str">
        <f>Registered!A423</f>
        <v>Christy</v>
      </c>
      <c r="C170" s="4" t="str">
        <f>IF(Registered!AR423&gt;0,Registered!AR423&amp;" Color Bags", "")</f>
        <v>10 Color Bags</v>
      </c>
      <c r="D170" s="4" t="str">
        <f>IF(Registered!AS423&gt;0,(IF(Registered!AS423=1,Registered!AS423&amp;" T-Shirt",Registered!AS423&amp;" T-Shirts")), "")</f>
        <v>1 T-Shirt</v>
      </c>
      <c r="E170" s="4" t="str">
        <f>Registered!AT423</f>
        <v>Extra small or small adult</v>
      </c>
      <c r="F170" s="4" t="str">
        <f>Registered!AU423</f>
        <v/>
      </c>
      <c r="G170" s="4" t="str">
        <f>Registered!AW423</f>
        <v>2 Meals</v>
      </c>
      <c r="H170" s="4" t="str">
        <f>Registered!AX423</f>
        <v/>
      </c>
      <c r="I170" s="4" t="str">
        <f>Registered!AY423</f>
        <v/>
      </c>
    </row>
    <row r="171" spans="1:9" x14ac:dyDescent="0.25">
      <c r="A171" s="4" t="str">
        <f>Registered!B422</f>
        <v>Christensen</v>
      </c>
      <c r="B171" s="4" t="str">
        <f>Registered!A422</f>
        <v>Brent</v>
      </c>
      <c r="C171" s="4" t="str">
        <f>IF(Registered!AR422&gt;0,Registered!AR422&amp;" Color Bags", "")</f>
        <v>20 Color Bags</v>
      </c>
      <c r="D171" s="4" t="str">
        <f>IF(Registered!AS422&gt;0,(IF(Registered!AS422=1,Registered!AS422&amp;" T-Shirt",Registered!AS422&amp;" T-Shirts")), "")</f>
        <v/>
      </c>
      <c r="E171" s="4" t="str">
        <f>Registered!AT422</f>
        <v/>
      </c>
      <c r="F171" s="4" t="str">
        <f>Registered!AU422</f>
        <v/>
      </c>
      <c r="G171" s="4" t="str">
        <f>Registered!AW422</f>
        <v/>
      </c>
      <c r="H171" s="4" t="str">
        <f>Registered!AX422</f>
        <v/>
      </c>
      <c r="I171" s="4" t="str">
        <f>Registered!AY422</f>
        <v>5 DustMask</v>
      </c>
    </row>
    <row r="172" spans="1:9" x14ac:dyDescent="0.25">
      <c r="A172" s="4" t="str">
        <f>Registered!B425</f>
        <v>Christensen</v>
      </c>
      <c r="B172" s="4" t="str">
        <f>Registered!A425</f>
        <v>Dennis</v>
      </c>
      <c r="C172" s="4" t="str">
        <f>IF(Registered!AR425&gt;0,Registered!AR425&amp;" Color Bags", "")</f>
        <v>5 Color Bags</v>
      </c>
      <c r="D172" s="4" t="str">
        <f>IF(Registered!AS425&gt;0,(IF(Registered!AS425=1,Registered!AS425&amp;" T-Shirt",Registered!AS425&amp;" T-Shirts")), "")</f>
        <v/>
      </c>
      <c r="E172" s="4" t="str">
        <f>Registered!AT425</f>
        <v/>
      </c>
      <c r="F172" s="4" t="str">
        <f>Registered!AU425</f>
        <v/>
      </c>
      <c r="G172" s="4" t="str">
        <f>Registered!AW425</f>
        <v/>
      </c>
      <c r="H172" s="4" t="str">
        <f>Registered!AX425</f>
        <v/>
      </c>
      <c r="I172" s="4" t="str">
        <f>Registered!AY425</f>
        <v/>
      </c>
    </row>
    <row r="173" spans="1:9" x14ac:dyDescent="0.25">
      <c r="A173" s="4" t="str">
        <f>Registered!B427</f>
        <v>Christensen</v>
      </c>
      <c r="B173" s="4" t="str">
        <f>Registered!A427</f>
        <v>Megan</v>
      </c>
      <c r="C173" s="4" t="str">
        <f>IF(Registered!AR427&gt;0,Registered!AR427&amp;" Color Bags", "")</f>
        <v>5 Color Bags</v>
      </c>
      <c r="D173" s="4" t="str">
        <f>IF(Registered!AS427&gt;0,(IF(Registered!AS427=1,Registered!AS427&amp;" T-Shirt",Registered!AS427&amp;" T-Shirts")), "")</f>
        <v/>
      </c>
      <c r="E173" s="4" t="str">
        <f>Registered!AT427</f>
        <v/>
      </c>
      <c r="F173" s="4" t="str">
        <f>Registered!AU427</f>
        <v/>
      </c>
      <c r="G173" s="4" t="str">
        <f>Registered!AW427</f>
        <v/>
      </c>
      <c r="H173" s="4" t="str">
        <f>Registered!AX427</f>
        <v/>
      </c>
      <c r="I173" s="4" t="str">
        <f>Registered!AY427</f>
        <v/>
      </c>
    </row>
    <row r="174" spans="1:9" x14ac:dyDescent="0.25">
      <c r="A174" s="4" t="str">
        <f>Registered!B429</f>
        <v>Christian</v>
      </c>
      <c r="B174" s="4" t="str">
        <f>Registered!A429</f>
        <v>Carly</v>
      </c>
      <c r="C174" s="4" t="str">
        <f>IF(Registered!AR429&gt;0,Registered!AR429&amp;" Color Bags", "")</f>
        <v>5 Color Bags</v>
      </c>
      <c r="D174" s="4" t="str">
        <f>IF(Registered!AS429&gt;0,(IF(Registered!AS429=1,Registered!AS429&amp;" T-Shirt",Registered!AS429&amp;" T-Shirts")), "")</f>
        <v/>
      </c>
      <c r="E174" s="4" t="str">
        <f>Registered!AT429</f>
        <v/>
      </c>
      <c r="F174" s="4" t="str">
        <f>Registered!AU429</f>
        <v/>
      </c>
      <c r="G174" s="4" t="str">
        <f>Registered!AW429</f>
        <v/>
      </c>
      <c r="H174" s="4" t="str">
        <f>Registered!AX429</f>
        <v/>
      </c>
      <c r="I174" s="4" t="str">
        <f>Registered!AY429</f>
        <v/>
      </c>
    </row>
    <row r="175" spans="1:9" x14ac:dyDescent="0.25">
      <c r="A175" s="4" t="str">
        <f>Registered!B430</f>
        <v>Christiansen</v>
      </c>
      <c r="B175" s="4" t="str">
        <f>Registered!A430</f>
        <v>Sarah</v>
      </c>
      <c r="C175" s="4" t="str">
        <f>IF(Registered!AR430&gt;0,Registered!AR430&amp;" Color Bags", "")</f>
        <v>5 Color Bags</v>
      </c>
      <c r="D175" s="4" t="str">
        <f>IF(Registered!AS430&gt;0,(IF(Registered!AS430=1,Registered!AS430&amp;" T-Shirt",Registered!AS430&amp;" T-Shirts")), "")</f>
        <v/>
      </c>
      <c r="E175" s="4" t="str">
        <f>Registered!AT430</f>
        <v/>
      </c>
      <c r="F175" s="4" t="str">
        <f>Registered!AU430</f>
        <v/>
      </c>
      <c r="G175" s="4" t="str">
        <f>Registered!AW430</f>
        <v/>
      </c>
      <c r="H175" s="4" t="str">
        <f>Registered!AX430</f>
        <v/>
      </c>
      <c r="I175" s="4" t="str">
        <f>Registered!AY430</f>
        <v/>
      </c>
    </row>
    <row r="176" spans="1:9" x14ac:dyDescent="0.25">
      <c r="A176" s="4" t="str">
        <f>Registered!B431</f>
        <v>Church</v>
      </c>
      <c r="B176" s="4" t="str">
        <f>Registered!A431</f>
        <v>Kristen</v>
      </c>
      <c r="C176" s="4" t="str">
        <f>IF(Registered!AR431&gt;0,Registered!AR431&amp;" Color Bags", "")</f>
        <v>10 Color Bags</v>
      </c>
      <c r="D176" s="4" t="str">
        <f>IF(Registered!AS431&gt;0,(IF(Registered!AS431=1,Registered!AS431&amp;" T-Shirt",Registered!AS431&amp;" T-Shirts")), "")</f>
        <v/>
      </c>
      <c r="E176" s="4" t="str">
        <f>Registered!AT431</f>
        <v/>
      </c>
      <c r="F176" s="4" t="str">
        <f>Registered!AU431</f>
        <v/>
      </c>
      <c r="G176" s="4" t="str">
        <f>Registered!AW431</f>
        <v>1 Meal</v>
      </c>
      <c r="H176" s="4" t="str">
        <f>Registered!AX431</f>
        <v/>
      </c>
      <c r="I176" s="4" t="str">
        <f>Registered!AY431</f>
        <v/>
      </c>
    </row>
    <row r="177" spans="1:9" x14ac:dyDescent="0.25">
      <c r="A177" s="4" t="str">
        <f>Registered!B432</f>
        <v>Ciacchella</v>
      </c>
      <c r="B177" s="4" t="str">
        <f>Registered!A432</f>
        <v>Cristina</v>
      </c>
      <c r="C177" s="4" t="str">
        <f>IF(Registered!AR432&gt;0,Registered!AR432&amp;" Color Bags", "")</f>
        <v>5 Color Bags</v>
      </c>
      <c r="D177" s="4" t="str">
        <f>IF(Registered!AS432&gt;0,(IF(Registered!AS432=1,Registered!AS432&amp;" T-Shirt",Registered!AS432&amp;" T-Shirts")), "")</f>
        <v/>
      </c>
      <c r="E177" s="4" t="str">
        <f>Registered!AT432</f>
        <v/>
      </c>
      <c r="F177" s="4" t="str">
        <f>Registered!AU432</f>
        <v/>
      </c>
      <c r="G177" s="4" t="str">
        <f>Registered!AW432</f>
        <v/>
      </c>
      <c r="H177" s="4" t="str">
        <f>Registered!AX432</f>
        <v/>
      </c>
      <c r="I177" s="4" t="str">
        <f>Registered!AY432</f>
        <v/>
      </c>
    </row>
    <row r="178" spans="1:9" x14ac:dyDescent="0.25">
      <c r="A178" s="4" t="str">
        <f>Registered!B433</f>
        <v>Cihi</v>
      </c>
      <c r="B178" s="4" t="str">
        <f>Registered!A433</f>
        <v>Brianna</v>
      </c>
      <c r="C178" s="4" t="str">
        <f>IF(Registered!AR433&gt;0,Registered!AR433&amp;" Color Bags", "")</f>
        <v>10 Color Bags</v>
      </c>
      <c r="D178" s="4" t="str">
        <f>IF(Registered!AS433&gt;0,(IF(Registered!AS433=1,Registered!AS433&amp;" T-Shirt",Registered!AS433&amp;" T-Shirts")), "")</f>
        <v/>
      </c>
      <c r="E178" s="4" t="str">
        <f>Registered!AT433</f>
        <v/>
      </c>
      <c r="F178" s="4" t="str">
        <f>Registered!AU433</f>
        <v/>
      </c>
      <c r="G178" s="4" t="str">
        <f>Registered!AW433</f>
        <v/>
      </c>
      <c r="H178" s="4" t="str">
        <f>Registered!AX433</f>
        <v/>
      </c>
      <c r="I178" s="4" t="str">
        <f>Registered!AY433</f>
        <v/>
      </c>
    </row>
    <row r="179" spans="1:9" x14ac:dyDescent="0.25">
      <c r="A179" s="4" t="str">
        <f>Registered!B434</f>
        <v>Clancy</v>
      </c>
      <c r="B179" s="4" t="str">
        <f>Registered!A434</f>
        <v>Veronica</v>
      </c>
      <c r="C179" s="4" t="str">
        <f>IF(Registered!AR434&gt;0,Registered!AR434&amp;" Color Bags", "")</f>
        <v>10 Color Bags</v>
      </c>
      <c r="D179" s="4" t="str">
        <f>IF(Registered!AS434&gt;0,(IF(Registered!AS434=1,Registered!AS434&amp;" T-Shirt",Registered!AS434&amp;" T-Shirts")), "")</f>
        <v/>
      </c>
      <c r="E179" s="4" t="str">
        <f>Registered!AT434</f>
        <v/>
      </c>
      <c r="F179" s="4" t="str">
        <f>Registered!AU434</f>
        <v/>
      </c>
      <c r="G179" s="4" t="str">
        <f>Registered!AW434</f>
        <v/>
      </c>
      <c r="H179" s="4" t="str">
        <f>Registered!AX434</f>
        <v/>
      </c>
      <c r="I179" s="4" t="str">
        <f>Registered!AY434</f>
        <v/>
      </c>
    </row>
    <row r="180" spans="1:9" x14ac:dyDescent="0.25">
      <c r="A180" s="4" t="str">
        <f>Registered!B437</f>
        <v>Clarke</v>
      </c>
      <c r="B180" s="4" t="str">
        <f>Registered!A437</f>
        <v>Annastasia</v>
      </c>
      <c r="C180" s="4" t="str">
        <f>IF(Registered!AR437&gt;0,Registered!AR437&amp;" Color Bags", "")</f>
        <v>10 Color Bags</v>
      </c>
      <c r="D180" s="4" t="str">
        <f>IF(Registered!AS437&gt;0,(IF(Registered!AS437=1,Registered!AS437&amp;" T-Shirt",Registered!AS437&amp;" T-Shirts")), "")</f>
        <v/>
      </c>
      <c r="E180" s="4" t="str">
        <f>Registered!AT437</f>
        <v/>
      </c>
      <c r="F180" s="4" t="str">
        <f>Registered!AU437</f>
        <v/>
      </c>
      <c r="G180" s="4" t="str">
        <f>Registered!AW437</f>
        <v/>
      </c>
      <c r="H180" s="4" t="str">
        <f>Registered!AX437</f>
        <v/>
      </c>
      <c r="I180" s="4" t="str">
        <f>Registered!AY437</f>
        <v/>
      </c>
    </row>
    <row r="181" spans="1:9" x14ac:dyDescent="0.25">
      <c r="A181" s="4" t="str">
        <f>Registered!B438</f>
        <v>Classon</v>
      </c>
      <c r="B181" s="4" t="str">
        <f>Registered!A438</f>
        <v>Gracie</v>
      </c>
      <c r="C181" s="4" t="str">
        <f>IF(Registered!AR438&gt;0,Registered!AR438&amp;" Color Bags", "")</f>
        <v>5 Color Bags</v>
      </c>
      <c r="D181" s="4" t="str">
        <f>IF(Registered!AS438&gt;0,(IF(Registered!AS438=1,Registered!AS438&amp;" T-Shirt",Registered!AS438&amp;" T-Shirts")), "")</f>
        <v/>
      </c>
      <c r="E181" s="4" t="str">
        <f>Registered!AT438</f>
        <v/>
      </c>
      <c r="F181" s="4" t="str">
        <f>Registered!AU438</f>
        <v/>
      </c>
      <c r="G181" s="4" t="str">
        <f>Registered!AW438</f>
        <v/>
      </c>
      <c r="H181" s="4" t="str">
        <f>Registered!AX438</f>
        <v/>
      </c>
      <c r="I181" s="4" t="str">
        <f>Registered!AY438</f>
        <v/>
      </c>
    </row>
    <row r="182" spans="1:9" x14ac:dyDescent="0.25">
      <c r="A182" s="4" t="str">
        <f>Registered!B439</f>
        <v>Clawson</v>
      </c>
      <c r="B182" s="4" t="str">
        <f>Registered!A439</f>
        <v>Lacy</v>
      </c>
      <c r="C182" s="4" t="str">
        <f>IF(Registered!AR439&gt;0,Registered!AR439&amp;" Color Bags", "")</f>
        <v>20 Color Bags</v>
      </c>
      <c r="D182" s="4" t="str">
        <f>IF(Registered!AS439&gt;0,(IF(Registered!AS439=1,Registered!AS439&amp;" T-Shirt",Registered!AS439&amp;" T-Shirts")), "")</f>
        <v/>
      </c>
      <c r="E182" s="4" t="str">
        <f>Registered!AT439</f>
        <v/>
      </c>
      <c r="F182" s="4" t="str">
        <f>Registered!AU439</f>
        <v/>
      </c>
      <c r="G182" s="4" t="str">
        <f>Registered!AW439</f>
        <v/>
      </c>
      <c r="H182" s="4" t="str">
        <f>Registered!AX439</f>
        <v/>
      </c>
      <c r="I182" s="4" t="str">
        <f>Registered!AY439</f>
        <v/>
      </c>
    </row>
    <row r="183" spans="1:9" x14ac:dyDescent="0.25">
      <c r="A183" s="4" t="str">
        <f>Registered!B440</f>
        <v>Clawson</v>
      </c>
      <c r="B183" s="4" t="str">
        <f>Registered!A440</f>
        <v>Savannah</v>
      </c>
      <c r="C183" s="4" t="str">
        <f>IF(Registered!AR440&gt;0,Registered!AR440&amp;" Color Bags", "")</f>
        <v>5 Color Bags</v>
      </c>
      <c r="D183" s="4" t="str">
        <f>IF(Registered!AS440&gt;0,(IF(Registered!AS440=1,Registered!AS440&amp;" T-Shirt",Registered!AS440&amp;" T-Shirts")), "")</f>
        <v/>
      </c>
      <c r="E183" s="4" t="str">
        <f>Registered!AT440</f>
        <v/>
      </c>
      <c r="F183" s="4" t="str">
        <f>Registered!AU440</f>
        <v/>
      </c>
      <c r="G183" s="4" t="str">
        <f>Registered!AW440</f>
        <v/>
      </c>
      <c r="H183" s="4" t="str">
        <f>Registered!AX440</f>
        <v/>
      </c>
      <c r="I183" s="4" t="str">
        <f>Registered!AY440</f>
        <v/>
      </c>
    </row>
    <row r="184" spans="1:9" x14ac:dyDescent="0.25">
      <c r="A184" s="4" t="str">
        <f>Registered!B443</f>
        <v>Clements</v>
      </c>
      <c r="B184" s="4" t="str">
        <f>Registered!A443</f>
        <v>Nicole</v>
      </c>
      <c r="C184" s="4" t="str">
        <f>IF(Registered!AR443&gt;0,Registered!AR443&amp;" Color Bags", "")</f>
        <v>10 Color Bags</v>
      </c>
      <c r="D184" s="4" t="str">
        <f>IF(Registered!AS443&gt;0,(IF(Registered!AS443=1,Registered!AS443&amp;" T-Shirt",Registered!AS443&amp;" T-Shirts")), "")</f>
        <v/>
      </c>
      <c r="E184" s="4" t="str">
        <f>Registered!AT443</f>
        <v/>
      </c>
      <c r="F184" s="4" t="str">
        <f>Registered!AU443</f>
        <v/>
      </c>
      <c r="G184" s="4" t="str">
        <f>Registered!AW443</f>
        <v/>
      </c>
      <c r="H184" s="4" t="str">
        <f>Registered!AX443</f>
        <v/>
      </c>
      <c r="I184" s="4" t="str">
        <f>Registered!AY443</f>
        <v/>
      </c>
    </row>
    <row r="185" spans="1:9" x14ac:dyDescent="0.25">
      <c r="A185" s="4" t="str">
        <f>Registered!B444</f>
        <v>Cloe</v>
      </c>
      <c r="B185" s="4" t="str">
        <f>Registered!A444</f>
        <v>Emily</v>
      </c>
      <c r="C185" s="4" t="str">
        <f>IF(Registered!AR444&gt;0,Registered!AR444&amp;" Color Bags", "")</f>
        <v>5 Color Bags</v>
      </c>
      <c r="D185" s="4" t="str">
        <f>IF(Registered!AS444&gt;0,(IF(Registered!AS444=1,Registered!AS444&amp;" T-Shirt",Registered!AS444&amp;" T-Shirts")), "")</f>
        <v/>
      </c>
      <c r="E185" s="4" t="str">
        <f>Registered!AT444</f>
        <v/>
      </c>
      <c r="F185" s="4" t="str">
        <f>Registered!AU444</f>
        <v/>
      </c>
      <c r="G185" s="4" t="str">
        <f>Registered!AW444</f>
        <v/>
      </c>
      <c r="H185" s="4" t="str">
        <f>Registered!AX444</f>
        <v/>
      </c>
      <c r="I185" s="4" t="str">
        <f>Registered!AY444</f>
        <v/>
      </c>
    </row>
    <row r="186" spans="1:9" x14ac:dyDescent="0.25">
      <c r="A186" s="4" t="str">
        <f>Registered!B449</f>
        <v>Cluff</v>
      </c>
      <c r="B186" s="4" t="str">
        <f>Registered!A449</f>
        <v>Karen</v>
      </c>
      <c r="C186" s="4" t="str">
        <f>IF(Registered!AR449&gt;0,Registered!AR449&amp;" Color Bags", "")</f>
        <v>10 Color Bags</v>
      </c>
      <c r="D186" s="4" t="str">
        <f>IF(Registered!AS449&gt;0,(IF(Registered!AS449=1,Registered!AS449&amp;" T-Shirt",Registered!AS449&amp;" T-Shirts")), "")</f>
        <v/>
      </c>
      <c r="E186" s="4" t="str">
        <f>Registered!AT449</f>
        <v/>
      </c>
      <c r="F186" s="4" t="str">
        <f>Registered!AU449</f>
        <v/>
      </c>
      <c r="G186" s="4" t="str">
        <f>Registered!AW449</f>
        <v/>
      </c>
      <c r="H186" s="4" t="str">
        <f>Registered!AX449</f>
        <v/>
      </c>
      <c r="I186" s="4" t="str">
        <f>Registered!AY449</f>
        <v/>
      </c>
    </row>
    <row r="187" spans="1:9" x14ac:dyDescent="0.25">
      <c r="A187" s="4" t="str">
        <f>Registered!B453</f>
        <v>Cole</v>
      </c>
      <c r="B187" s="4" t="str">
        <f>Registered!A453</f>
        <v>Chrystl</v>
      </c>
      <c r="C187" s="4" t="str">
        <f>IF(Registered!AR453&gt;0,Registered!AR453&amp;" Color Bags", "")</f>
        <v>5 Color Bags</v>
      </c>
      <c r="D187" s="4" t="str">
        <f>IF(Registered!AS453&gt;0,(IF(Registered!AS453=1,Registered!AS453&amp;" T-Shirt",Registered!AS453&amp;" T-Shirts")), "")</f>
        <v>1 T-Shirt</v>
      </c>
      <c r="E187" s="4" t="str">
        <f>Registered!AT453</f>
        <v>Large</v>
      </c>
      <c r="F187" s="4" t="str">
        <f>Registered!AU453</f>
        <v>1 Bandana</v>
      </c>
      <c r="G187" s="4" t="str">
        <f>Registered!AW453</f>
        <v/>
      </c>
      <c r="H187" s="4" t="str">
        <f>Registered!AX453</f>
        <v/>
      </c>
      <c r="I187" s="4" t="str">
        <f>Registered!AY453</f>
        <v/>
      </c>
    </row>
    <row r="188" spans="1:9" x14ac:dyDescent="0.25">
      <c r="A188" s="4" t="str">
        <f>Registered!B456</f>
        <v>Coleman</v>
      </c>
      <c r="B188" s="4" t="str">
        <f>Registered!A456</f>
        <v>McKenzie</v>
      </c>
      <c r="C188" s="4" t="str">
        <f>IF(Registered!AR456&gt;0,Registered!AR456&amp;" Color Bags", "")</f>
        <v>10 Color Bags</v>
      </c>
      <c r="D188" s="4" t="str">
        <f>IF(Registered!AS456&gt;0,(IF(Registered!AS456=1,Registered!AS456&amp;" T-Shirt",Registered!AS456&amp;" T-Shirts")), "")</f>
        <v/>
      </c>
      <c r="E188" s="4" t="str">
        <f>Registered!AT456</f>
        <v/>
      </c>
      <c r="F188" s="4" t="str">
        <f>Registered!AU456</f>
        <v/>
      </c>
      <c r="G188" s="4" t="str">
        <f>Registered!AW456</f>
        <v/>
      </c>
      <c r="H188" s="4" t="str">
        <f>Registered!AX456</f>
        <v/>
      </c>
      <c r="I188" s="4" t="str">
        <f>Registered!AY456</f>
        <v/>
      </c>
    </row>
    <row r="189" spans="1:9" x14ac:dyDescent="0.25">
      <c r="A189" s="4" t="str">
        <f>Registered!B455</f>
        <v>Coleman</v>
      </c>
      <c r="B189" s="4" t="str">
        <f>Registered!A455</f>
        <v>Cora</v>
      </c>
      <c r="C189" s="4" t="str">
        <f>IF(Registered!AR455&gt;0,Registered!AR455&amp;" Color Bags", "")</f>
        <v>15 Color Bags</v>
      </c>
      <c r="D189" s="4" t="str">
        <f>IF(Registered!AS455&gt;0,(IF(Registered!AS455=1,Registered!AS455&amp;" T-Shirt",Registered!AS455&amp;" T-Shirts")), "")</f>
        <v/>
      </c>
      <c r="E189" s="4" t="str">
        <f>Registered!AT455</f>
        <v/>
      </c>
      <c r="F189" s="4" t="str">
        <f>Registered!AU455</f>
        <v/>
      </c>
      <c r="G189" s="4" t="str">
        <f>Registered!AW455</f>
        <v/>
      </c>
      <c r="H189" s="4" t="str">
        <f>Registered!AX455</f>
        <v/>
      </c>
      <c r="I189" s="4" t="str">
        <f>Registered!AY455</f>
        <v/>
      </c>
    </row>
    <row r="190" spans="1:9" x14ac:dyDescent="0.25">
      <c r="A190" s="4" t="str">
        <f>Registered!B454</f>
        <v>Coleman</v>
      </c>
      <c r="B190" s="4" t="str">
        <f>Registered!A454</f>
        <v>Brittany</v>
      </c>
      <c r="C190" s="4" t="str">
        <f>IF(Registered!AR454&gt;0,Registered!AR454&amp;" Color Bags", "")</f>
        <v>5 Color Bags</v>
      </c>
      <c r="D190" s="4" t="str">
        <f>IF(Registered!AS454&gt;0,(IF(Registered!AS454=1,Registered!AS454&amp;" T-Shirt",Registered!AS454&amp;" T-Shirts")), "")</f>
        <v>1 T-Shirt</v>
      </c>
      <c r="E190" s="4" t="str">
        <f>Registered!AT454</f>
        <v>Women's XL</v>
      </c>
      <c r="F190" s="4" t="str">
        <f>Registered!AU454</f>
        <v>1 Bandana</v>
      </c>
      <c r="G190" s="4" t="str">
        <f>Registered!AW454</f>
        <v/>
      </c>
      <c r="H190" s="4" t="str">
        <f>Registered!AX454</f>
        <v/>
      </c>
      <c r="I190" s="4" t="str">
        <f>Registered!AY454</f>
        <v/>
      </c>
    </row>
    <row r="191" spans="1:9" x14ac:dyDescent="0.25">
      <c r="A191" s="4" t="str">
        <f>Registered!B465</f>
        <v>Comp</v>
      </c>
      <c r="B191" s="4" t="str">
        <f>Registered!A465</f>
        <v>Michael</v>
      </c>
      <c r="C191" s="4" t="str">
        <f>IF(Registered!AR465&gt;0,Registered!AR465&amp;" Color Bags", "")</f>
        <v>5 Color Bags</v>
      </c>
      <c r="D191" s="4" t="str">
        <f>IF(Registered!AS465&gt;0,(IF(Registered!AS465=1,Registered!AS465&amp;" T-Shirt",Registered!AS465&amp;" T-Shirts")), "")</f>
        <v/>
      </c>
      <c r="E191" s="4" t="str">
        <f>Registered!AT465</f>
        <v/>
      </c>
      <c r="F191" s="4" t="str">
        <f>Registered!AU465</f>
        <v/>
      </c>
      <c r="G191" s="4" t="str">
        <f>Registered!AW465</f>
        <v/>
      </c>
      <c r="H191" s="4" t="str">
        <f>Registered!AX465</f>
        <v/>
      </c>
      <c r="I191" s="4" t="str">
        <f>Registered!AY465</f>
        <v/>
      </c>
    </row>
    <row r="192" spans="1:9" x14ac:dyDescent="0.25">
      <c r="A192" s="4" t="str">
        <f>Registered!B467</f>
        <v>Compton</v>
      </c>
      <c r="B192" s="4" t="str">
        <f>Registered!A467</f>
        <v>Rebecca</v>
      </c>
      <c r="C192" s="4" t="str">
        <f>IF(Registered!AR467&gt;0,Registered!AR467&amp;" Color Bags", "")</f>
        <v>20 Color Bags</v>
      </c>
      <c r="D192" s="4" t="str">
        <f>IF(Registered!AS467&gt;0,(IF(Registered!AS467=1,Registered!AS467&amp;" T-Shirt",Registered!AS467&amp;" T-Shirts")), "")</f>
        <v/>
      </c>
      <c r="E192" s="4" t="str">
        <f>Registered!AT467</f>
        <v/>
      </c>
      <c r="F192" s="4" t="str">
        <f>Registered!AU467</f>
        <v/>
      </c>
      <c r="G192" s="4" t="str">
        <f>Registered!AW467</f>
        <v/>
      </c>
      <c r="H192" s="4" t="str">
        <f>Registered!AX467</f>
        <v/>
      </c>
      <c r="I192" s="4" t="str">
        <f>Registered!AY467</f>
        <v/>
      </c>
    </row>
    <row r="193" spans="1:9" x14ac:dyDescent="0.25">
      <c r="A193" s="4" t="str">
        <f>Registered!B472</f>
        <v>Conner</v>
      </c>
      <c r="B193" s="4" t="str">
        <f>Registered!A472</f>
        <v>Raquel</v>
      </c>
      <c r="C193" s="4" t="str">
        <f>IF(Registered!AR472&gt;0,Registered!AR472&amp;" Color Bags", "")</f>
        <v>10 Color Bags</v>
      </c>
      <c r="D193" s="4" t="str">
        <f>IF(Registered!AS472&gt;0,(IF(Registered!AS472=1,Registered!AS472&amp;" T-Shirt",Registered!AS472&amp;" T-Shirts")), "")</f>
        <v/>
      </c>
      <c r="E193" s="4" t="str">
        <f>Registered!AT472</f>
        <v/>
      </c>
      <c r="F193" s="4" t="str">
        <f>Registered!AU472</f>
        <v/>
      </c>
      <c r="G193" s="4" t="str">
        <f>Registered!AW472</f>
        <v/>
      </c>
      <c r="H193" s="4" t="str">
        <f>Registered!AX472</f>
        <v/>
      </c>
      <c r="I193" s="4" t="str">
        <f>Registered!AY472</f>
        <v/>
      </c>
    </row>
    <row r="194" spans="1:9" x14ac:dyDescent="0.25">
      <c r="A194" s="4" t="str">
        <f>Registered!B474</f>
        <v>Connor</v>
      </c>
      <c r="B194" s="4" t="str">
        <f>Registered!A474</f>
        <v>Lisa</v>
      </c>
      <c r="C194" s="4" t="str">
        <f>IF(Registered!AR474&gt;0,Registered!AR474&amp;" Color Bags", "")</f>
        <v>5 Color Bags</v>
      </c>
      <c r="D194" s="4" t="str">
        <f>IF(Registered!AS474&gt;0,(IF(Registered!AS474=1,Registered!AS474&amp;" T-Shirt",Registered!AS474&amp;" T-Shirts")), "")</f>
        <v/>
      </c>
      <c r="E194" s="4" t="str">
        <f>Registered!AT474</f>
        <v/>
      </c>
      <c r="F194" s="4" t="str">
        <f>Registered!AU474</f>
        <v/>
      </c>
      <c r="G194" s="4" t="str">
        <f>Registered!AW474</f>
        <v/>
      </c>
      <c r="H194" s="4" t="str">
        <f>Registered!AX474</f>
        <v/>
      </c>
      <c r="I194" s="4" t="str">
        <f>Registered!AY474</f>
        <v/>
      </c>
    </row>
    <row r="195" spans="1:9" x14ac:dyDescent="0.25">
      <c r="A195" s="4" t="str">
        <f>Registered!B477</f>
        <v>Contos</v>
      </c>
      <c r="B195" s="4" t="str">
        <f>Registered!A477</f>
        <v>Cindy</v>
      </c>
      <c r="C195" s="4" t="str">
        <f>IF(Registered!AR477&gt;0,Registered!AR477&amp;" Color Bags", "")</f>
        <v>5 Color Bags</v>
      </c>
      <c r="D195" s="4" t="str">
        <f>IF(Registered!AS477&gt;0,(IF(Registered!AS477=1,Registered!AS477&amp;" T-Shirt",Registered!AS477&amp;" T-Shirts")), "")</f>
        <v>1 T-Shirt</v>
      </c>
      <c r="E195" s="4" t="str">
        <f>Registered!AT477</f>
        <v>Adult small</v>
      </c>
      <c r="F195" s="4" t="str">
        <f>Registered!AU477</f>
        <v/>
      </c>
      <c r="G195" s="4" t="str">
        <f>Registered!AW477</f>
        <v/>
      </c>
      <c r="H195" s="4" t="str">
        <f>Registered!AX477</f>
        <v/>
      </c>
      <c r="I195" s="4" t="str">
        <f>Registered!AY477</f>
        <v/>
      </c>
    </row>
    <row r="196" spans="1:9" x14ac:dyDescent="0.25">
      <c r="A196" s="4" t="str">
        <f>Registered!B480</f>
        <v>Cook</v>
      </c>
      <c r="B196" s="4" t="str">
        <f>Registered!A480</f>
        <v>Chelise</v>
      </c>
      <c r="C196" s="4" t="str">
        <f>IF(Registered!AR480&gt;0,Registered!AR480&amp;" Color Bags", "")</f>
        <v>10 Color Bags</v>
      </c>
      <c r="D196" s="4" t="str">
        <f>IF(Registered!AS480&gt;0,(IF(Registered!AS480=1,Registered!AS480&amp;" T-Shirt",Registered!AS480&amp;" T-Shirts")), "")</f>
        <v/>
      </c>
      <c r="E196" s="4" t="str">
        <f>Registered!AT480</f>
        <v/>
      </c>
      <c r="F196" s="4" t="str">
        <f>Registered!AU480</f>
        <v/>
      </c>
      <c r="G196" s="4" t="str">
        <f>Registered!AW480</f>
        <v/>
      </c>
      <c r="H196" s="4" t="str">
        <f>Registered!AX480</f>
        <v/>
      </c>
      <c r="I196" s="4" t="str">
        <f>Registered!AY480</f>
        <v/>
      </c>
    </row>
    <row r="197" spans="1:9" x14ac:dyDescent="0.25">
      <c r="A197" s="4" t="str">
        <f>Registered!B481</f>
        <v>Cook</v>
      </c>
      <c r="B197" s="4" t="str">
        <f>Registered!A481</f>
        <v>Mike</v>
      </c>
      <c r="C197" s="4" t="str">
        <f>IF(Registered!AR481&gt;0,Registered!AR481&amp;" Color Bags", "")</f>
        <v>10 Color Bags</v>
      </c>
      <c r="D197" s="4" t="str">
        <f>IF(Registered!AS481&gt;0,(IF(Registered!AS481=1,Registered!AS481&amp;" T-Shirt",Registered!AS481&amp;" T-Shirts")), "")</f>
        <v/>
      </c>
      <c r="E197" s="4" t="str">
        <f>Registered!AT481</f>
        <v/>
      </c>
      <c r="F197" s="4" t="str">
        <f>Registered!AU481</f>
        <v/>
      </c>
      <c r="G197" s="4" t="str">
        <f>Registered!AW481</f>
        <v/>
      </c>
      <c r="H197" s="4" t="str">
        <f>Registered!AX481</f>
        <v/>
      </c>
      <c r="I197" s="4" t="str">
        <f>Registered!AY481</f>
        <v/>
      </c>
    </row>
    <row r="198" spans="1:9" x14ac:dyDescent="0.25">
      <c r="A198" s="4" t="str">
        <f>Registered!B482</f>
        <v>Cook</v>
      </c>
      <c r="B198" s="4" t="str">
        <f>Registered!A482</f>
        <v>Neichel</v>
      </c>
      <c r="C198" s="4" t="str">
        <f>IF(Registered!AR482&gt;0,Registered!AR482&amp;" Color Bags", "")</f>
        <v>10 Color Bags</v>
      </c>
      <c r="D198" s="4" t="str">
        <f>IF(Registered!AS482&gt;0,(IF(Registered!AS482=1,Registered!AS482&amp;" T-Shirt",Registered!AS482&amp;" T-Shirts")), "")</f>
        <v/>
      </c>
      <c r="E198" s="4" t="str">
        <f>Registered!AT482</f>
        <v/>
      </c>
      <c r="F198" s="4" t="str">
        <f>Registered!AU482</f>
        <v/>
      </c>
      <c r="G198" s="4" t="str">
        <f>Registered!AW482</f>
        <v/>
      </c>
      <c r="H198" s="4" t="str">
        <f>Registered!AX482</f>
        <v/>
      </c>
      <c r="I198" s="4" t="str">
        <f>Registered!AY482</f>
        <v>1 DustMask</v>
      </c>
    </row>
    <row r="199" spans="1:9" x14ac:dyDescent="0.25">
      <c r="A199" s="4" t="str">
        <f>Registered!B483</f>
        <v>Cook</v>
      </c>
      <c r="B199" s="4" t="str">
        <f>Registered!A483</f>
        <v>Peyton</v>
      </c>
      <c r="C199" s="4" t="str">
        <f>IF(Registered!AR483&gt;0,Registered!AR483&amp;" Color Bags", "")</f>
        <v>10 Color Bags</v>
      </c>
      <c r="D199" s="4" t="str">
        <f>IF(Registered!AS483&gt;0,(IF(Registered!AS483=1,Registered!AS483&amp;" T-Shirt",Registered!AS483&amp;" T-Shirts")), "")</f>
        <v>2 T-Shirts</v>
      </c>
      <c r="E199" s="4" t="str">
        <f>Registered!AT483</f>
        <v>Adult XL and Adult Medium</v>
      </c>
      <c r="F199" s="4" t="str">
        <f>Registered!AU483</f>
        <v/>
      </c>
      <c r="G199" s="4" t="str">
        <f>Registered!AW483</f>
        <v/>
      </c>
      <c r="H199" s="4" t="str">
        <f>Registered!AX483</f>
        <v/>
      </c>
      <c r="I199" s="4" t="str">
        <f>Registered!AY483</f>
        <v/>
      </c>
    </row>
    <row r="200" spans="1:9" x14ac:dyDescent="0.25">
      <c r="A200" s="4" t="str">
        <f>Registered!B485</f>
        <v>Cook</v>
      </c>
      <c r="B200" s="4" t="str">
        <f>Registered!A485</f>
        <v>William</v>
      </c>
      <c r="C200" s="4" t="str">
        <f>IF(Registered!AR485&gt;0,Registered!AR485&amp;" Color Bags", "")</f>
        <v>5 Color Bags</v>
      </c>
      <c r="D200" s="4" t="str">
        <f>IF(Registered!AS485&gt;0,(IF(Registered!AS485=1,Registered!AS485&amp;" T-Shirt",Registered!AS485&amp;" T-Shirts")), "")</f>
        <v>1 T-Shirt</v>
      </c>
      <c r="E200" s="4" t="str">
        <f>Registered!AT485</f>
        <v>Large</v>
      </c>
      <c r="F200" s="4" t="str">
        <f>Registered!AU485</f>
        <v/>
      </c>
      <c r="G200" s="4" t="str">
        <f>Registered!AW485</f>
        <v/>
      </c>
      <c r="H200" s="4" t="str">
        <f>Registered!AX485</f>
        <v/>
      </c>
      <c r="I200" s="4" t="str">
        <f>Registered!AY485</f>
        <v/>
      </c>
    </row>
    <row r="201" spans="1:9" x14ac:dyDescent="0.25">
      <c r="A201" s="4" t="str">
        <f>Registered!B490</f>
        <v>Copeland</v>
      </c>
      <c r="B201" s="4" t="str">
        <f>Registered!A490</f>
        <v>Brian</v>
      </c>
      <c r="C201" s="4" t="str">
        <f>IF(Registered!AR490&gt;0,Registered!AR490&amp;" Color Bags", "")</f>
        <v>10 Color Bags</v>
      </c>
      <c r="D201" s="4" t="str">
        <f>IF(Registered!AS490&gt;0,(IF(Registered!AS490=1,Registered!AS490&amp;" T-Shirt",Registered!AS490&amp;" T-Shirts")), "")</f>
        <v>2 T-Shirts</v>
      </c>
      <c r="E201" s="4" t="str">
        <f>Registered!AT490</f>
        <v>Adult Small</v>
      </c>
      <c r="F201" s="4" t="str">
        <f>Registered!AU490</f>
        <v/>
      </c>
      <c r="G201" s="4" t="str">
        <f>Registered!AW490</f>
        <v>2 Meals</v>
      </c>
      <c r="H201" s="4" t="str">
        <f>Registered!AX490</f>
        <v/>
      </c>
      <c r="I201" s="4" t="str">
        <f>Registered!AY490</f>
        <v/>
      </c>
    </row>
    <row r="202" spans="1:9" x14ac:dyDescent="0.25">
      <c r="A202" s="4" t="str">
        <f>Registered!B492</f>
        <v>Cornwell</v>
      </c>
      <c r="B202" s="4" t="str">
        <f>Registered!A492</f>
        <v>Olivia</v>
      </c>
      <c r="C202" s="4" t="str">
        <f>IF(Registered!AR492&gt;0,Registered!AR492&amp;" Color Bags", "")</f>
        <v>5 Color Bags</v>
      </c>
      <c r="D202" s="4" t="str">
        <f>IF(Registered!AS492&gt;0,(IF(Registered!AS492=1,Registered!AS492&amp;" T-Shirt",Registered!AS492&amp;" T-Shirts")), "")</f>
        <v/>
      </c>
      <c r="E202" s="4" t="str">
        <f>Registered!AT492</f>
        <v/>
      </c>
      <c r="F202" s="4" t="str">
        <f>Registered!AU492</f>
        <v/>
      </c>
      <c r="G202" s="4" t="str">
        <f>Registered!AW492</f>
        <v/>
      </c>
      <c r="H202" s="4" t="str">
        <f>Registered!AX492</f>
        <v/>
      </c>
      <c r="I202" s="4" t="str">
        <f>Registered!AY492</f>
        <v/>
      </c>
    </row>
    <row r="203" spans="1:9" x14ac:dyDescent="0.25">
      <c r="A203" s="4" t="str">
        <f>Registered!B494</f>
        <v>Coulson</v>
      </c>
      <c r="B203" s="4" t="str">
        <f>Registered!A494</f>
        <v>Jill</v>
      </c>
      <c r="C203" s="4" t="str">
        <f>IF(Registered!AR494&gt;0,Registered!AR494&amp;" Color Bags", "")</f>
        <v>20 Color Bags</v>
      </c>
      <c r="D203" s="4" t="str">
        <f>IF(Registered!AS494&gt;0,(IF(Registered!AS494=1,Registered!AS494&amp;" T-Shirt",Registered!AS494&amp;" T-Shirts")), "")</f>
        <v/>
      </c>
      <c r="E203" s="4" t="str">
        <f>Registered!AT494</f>
        <v/>
      </c>
      <c r="F203" s="4" t="str">
        <f>Registered!AU494</f>
        <v/>
      </c>
      <c r="G203" s="4" t="str">
        <f>Registered!AW494</f>
        <v/>
      </c>
      <c r="H203" s="4" t="str">
        <f>Registered!AX494</f>
        <v/>
      </c>
      <c r="I203" s="4" t="str">
        <f>Registered!AY494</f>
        <v/>
      </c>
    </row>
    <row r="204" spans="1:9" x14ac:dyDescent="0.25">
      <c r="A204" s="4" t="str">
        <f>Registered!B503</f>
        <v>Cox</v>
      </c>
      <c r="B204" s="4" t="str">
        <f>Registered!A503</f>
        <v>Joshua</v>
      </c>
      <c r="C204" s="4" t="str">
        <f>IF(Registered!AR503&gt;0,Registered!AR503&amp;" Color Bags", "")</f>
        <v>20 Color Bags</v>
      </c>
      <c r="D204" s="4" t="str">
        <f>IF(Registered!AS503&gt;0,(IF(Registered!AS503=1,Registered!AS503&amp;" T-Shirt",Registered!AS503&amp;" T-Shirts")), "")</f>
        <v/>
      </c>
      <c r="E204" s="4" t="str">
        <f>Registered!AT503</f>
        <v/>
      </c>
      <c r="F204" s="4" t="str">
        <f>Registered!AU503</f>
        <v/>
      </c>
      <c r="G204" s="4" t="str">
        <f>Registered!AW503</f>
        <v/>
      </c>
      <c r="H204" s="4" t="str">
        <f>Registered!AX503</f>
        <v/>
      </c>
      <c r="I204" s="4" t="str">
        <f>Registered!AY503</f>
        <v/>
      </c>
    </row>
    <row r="205" spans="1:9" x14ac:dyDescent="0.25">
      <c r="A205" s="4" t="str">
        <f>Registered!B499</f>
        <v>Cox</v>
      </c>
      <c r="B205" s="4" t="str">
        <f>Registered!A499</f>
        <v>David</v>
      </c>
      <c r="C205" s="4" t="str">
        <f>IF(Registered!AR499&gt;0,Registered!AR499&amp;" Color Bags", "")</f>
        <v>5 Color Bags</v>
      </c>
      <c r="D205" s="4" t="str">
        <f>IF(Registered!AS499&gt;0,(IF(Registered!AS499=1,Registered!AS499&amp;" T-Shirt",Registered!AS499&amp;" T-Shirts")), "")</f>
        <v>1 T-Shirt</v>
      </c>
      <c r="E205" s="4" t="str">
        <f>Registered!AT499</f>
        <v>Size Not Specified</v>
      </c>
      <c r="F205" s="4" t="str">
        <f>Registered!AU499</f>
        <v>4 Bandanas</v>
      </c>
      <c r="G205" s="4" t="str">
        <f>Registered!AW499</f>
        <v>1 Meal</v>
      </c>
      <c r="H205" s="4" t="str">
        <f>Registered!AX499</f>
        <v/>
      </c>
      <c r="I205" s="4" t="str">
        <f>Registered!AY499</f>
        <v/>
      </c>
    </row>
    <row r="206" spans="1:9" x14ac:dyDescent="0.25">
      <c r="A206" s="4" t="str">
        <f>Registered!B500</f>
        <v>Cox</v>
      </c>
      <c r="B206" s="4" t="str">
        <f>Registered!A500</f>
        <v>Emily</v>
      </c>
      <c r="C206" s="4" t="str">
        <f>IF(Registered!AR500&gt;0,Registered!AR500&amp;" Color Bags", "")</f>
        <v>5 Color Bags</v>
      </c>
      <c r="D206" s="4" t="str">
        <f>IF(Registered!AS500&gt;0,(IF(Registered!AS500=1,Registered!AS500&amp;" T-Shirt",Registered!AS500&amp;" T-Shirts")), "")</f>
        <v/>
      </c>
      <c r="E206" s="4" t="str">
        <f>Registered!AT500</f>
        <v/>
      </c>
      <c r="F206" s="4" t="str">
        <f>Registered!AU500</f>
        <v/>
      </c>
      <c r="G206" s="4" t="str">
        <f>Registered!AW500</f>
        <v/>
      </c>
      <c r="H206" s="4" t="str">
        <f>Registered!AX500</f>
        <v/>
      </c>
      <c r="I206" s="4" t="str">
        <f>Registered!AY500</f>
        <v/>
      </c>
    </row>
    <row r="207" spans="1:9" x14ac:dyDescent="0.25">
      <c r="A207" s="4" t="str">
        <f>Registered!B505</f>
        <v>Cramer</v>
      </c>
      <c r="B207" s="4" t="str">
        <f>Registered!A505</f>
        <v>Heather</v>
      </c>
      <c r="C207" s="4" t="str">
        <f>IF(Registered!AR505&gt;0,Registered!AR505&amp;" Color Bags", "")</f>
        <v>10 Color Bags</v>
      </c>
      <c r="D207" s="4" t="str">
        <f>IF(Registered!AS505&gt;0,(IF(Registered!AS505=1,Registered!AS505&amp;" T-Shirt",Registered!AS505&amp;" T-Shirts")), "")</f>
        <v>2 T-Shirts</v>
      </c>
      <c r="E207" s="4" t="str">
        <f>Registered!AT505</f>
        <v>2 Mediums</v>
      </c>
      <c r="F207" s="4" t="str">
        <f>Registered!AU505</f>
        <v/>
      </c>
      <c r="G207" s="4" t="str">
        <f>Registered!AW505</f>
        <v>2 Meals</v>
      </c>
      <c r="H207" s="4" t="str">
        <f>Registered!AX505</f>
        <v/>
      </c>
      <c r="I207" s="4" t="str">
        <f>Registered!AY505</f>
        <v/>
      </c>
    </row>
    <row r="208" spans="1:9" x14ac:dyDescent="0.25">
      <c r="A208" s="4" t="str">
        <f>Registered!B506</f>
        <v>Crandall</v>
      </c>
      <c r="B208" s="4" t="str">
        <f>Registered!A506</f>
        <v>Sarah</v>
      </c>
      <c r="C208" s="4" t="str">
        <f>IF(Registered!AR506&gt;0,Registered!AR506&amp;" Color Bags", "")</f>
        <v>5 Color Bags</v>
      </c>
      <c r="D208" s="4" t="str">
        <f>IF(Registered!AS506&gt;0,(IF(Registered!AS506=1,Registered!AS506&amp;" T-Shirt",Registered!AS506&amp;" T-Shirts")), "")</f>
        <v/>
      </c>
      <c r="E208" s="4" t="str">
        <f>Registered!AT506</f>
        <v/>
      </c>
      <c r="F208" s="4" t="str">
        <f>Registered!AU506</f>
        <v/>
      </c>
      <c r="G208" s="4" t="str">
        <f>Registered!AW506</f>
        <v/>
      </c>
      <c r="H208" s="4" t="str">
        <f>Registered!AX506</f>
        <v/>
      </c>
      <c r="I208" s="4" t="str">
        <f>Registered!AY506</f>
        <v/>
      </c>
    </row>
    <row r="209" spans="1:9" x14ac:dyDescent="0.25">
      <c r="A209" s="4" t="str">
        <f>Registered!B508</f>
        <v>Crapo</v>
      </c>
      <c r="B209" s="4" t="str">
        <f>Registered!A508</f>
        <v>Cameron</v>
      </c>
      <c r="C209" s="4" t="str">
        <f>IF(Registered!AR508&gt;0,Registered!AR508&amp;" Color Bags", "")</f>
        <v/>
      </c>
      <c r="D209" s="4" t="str">
        <f>IF(Registered!AS508&gt;0,(IF(Registered!AS508=1,Registered!AS508&amp;" T-Shirt",Registered!AS508&amp;" T-Shirts")), "")</f>
        <v/>
      </c>
      <c r="E209" s="4" t="str">
        <f>Registered!AT508</f>
        <v/>
      </c>
      <c r="F209" s="4" t="str">
        <f>Registered!AU508</f>
        <v/>
      </c>
      <c r="G209" s="4" t="str">
        <f>Registered!AW508</f>
        <v>2 Meals</v>
      </c>
      <c r="H209" s="4" t="str">
        <f>Registered!AX508</f>
        <v/>
      </c>
      <c r="I209" s="4" t="str">
        <f>Registered!AY508</f>
        <v/>
      </c>
    </row>
    <row r="210" spans="1:9" x14ac:dyDescent="0.25">
      <c r="A210" s="4" t="str">
        <f>Registered!B507</f>
        <v>Crapo</v>
      </c>
      <c r="B210" s="4" t="str">
        <f>Registered!A507</f>
        <v>Amanda</v>
      </c>
      <c r="C210" s="4" t="str">
        <f>IF(Registered!AR507&gt;0,Registered!AR507&amp;" Color Bags", "")</f>
        <v>10 Color Bags</v>
      </c>
      <c r="D210" s="4" t="str">
        <f>IF(Registered!AS507&gt;0,(IF(Registered!AS507=1,Registered!AS507&amp;" T-Shirt",Registered!AS507&amp;" T-Shirts")), "")</f>
        <v/>
      </c>
      <c r="E210" s="4" t="str">
        <f>Registered!AT507</f>
        <v/>
      </c>
      <c r="F210" s="4" t="str">
        <f>Registered!AU507</f>
        <v/>
      </c>
      <c r="G210" s="4" t="str">
        <f>Registered!AW507</f>
        <v/>
      </c>
      <c r="H210" s="4" t="str">
        <f>Registered!AX507</f>
        <v/>
      </c>
      <c r="I210" s="4" t="str">
        <f>Registered!AY507</f>
        <v/>
      </c>
    </row>
    <row r="211" spans="1:9" x14ac:dyDescent="0.25">
      <c r="A211" s="4" t="str">
        <f>Registered!B509</f>
        <v>Crapo</v>
      </c>
      <c r="B211" s="4" t="str">
        <f>Registered!A509</f>
        <v>Cherie</v>
      </c>
      <c r="C211" s="4" t="str">
        <f>IF(Registered!AR509&gt;0,Registered!AR509&amp;" Color Bags", "")</f>
        <v>40 Color Bags</v>
      </c>
      <c r="D211" s="4" t="str">
        <f>IF(Registered!AS509&gt;0,(IF(Registered!AS509=1,Registered!AS509&amp;" T-Shirt",Registered!AS509&amp;" T-Shirts")), "")</f>
        <v/>
      </c>
      <c r="E211" s="4" t="str">
        <f>Registered!AT509</f>
        <v/>
      </c>
      <c r="F211" s="4" t="str">
        <f>Registered!AU509</f>
        <v/>
      </c>
      <c r="G211" s="4" t="str">
        <f>Registered!AW509</f>
        <v/>
      </c>
      <c r="H211" s="4" t="str">
        <f>Registered!AX509</f>
        <v/>
      </c>
      <c r="I211" s="4" t="str">
        <f>Registered!AY509</f>
        <v/>
      </c>
    </row>
    <row r="212" spans="1:9" x14ac:dyDescent="0.25">
      <c r="A212" s="4" t="str">
        <f>Registered!B510</f>
        <v>Crapo</v>
      </c>
      <c r="B212" s="4" t="str">
        <f>Registered!A510</f>
        <v>Joseph</v>
      </c>
      <c r="C212" s="4" t="str">
        <f>IF(Registered!AR510&gt;0,Registered!AR510&amp;" Color Bags", "")</f>
        <v>5 Color Bags</v>
      </c>
      <c r="D212" s="4" t="str">
        <f>IF(Registered!AS510&gt;0,(IF(Registered!AS510=1,Registered!AS510&amp;" T-Shirt",Registered!AS510&amp;" T-Shirts")), "")</f>
        <v/>
      </c>
      <c r="E212" s="4" t="str">
        <f>Registered!AT510</f>
        <v/>
      </c>
      <c r="F212" s="4" t="str">
        <f>Registered!AU510</f>
        <v/>
      </c>
      <c r="G212" s="4" t="str">
        <f>Registered!AW510</f>
        <v/>
      </c>
      <c r="H212" s="4" t="str">
        <f>Registered!AX510</f>
        <v/>
      </c>
      <c r="I212" s="4" t="str">
        <f>Registered!AY510</f>
        <v/>
      </c>
    </row>
    <row r="213" spans="1:9" x14ac:dyDescent="0.25">
      <c r="A213" s="4" t="str">
        <f>Registered!B514</f>
        <v>Crawford</v>
      </c>
      <c r="B213" s="4" t="str">
        <f>Registered!A514</f>
        <v>Kelsey</v>
      </c>
      <c r="C213" s="4" t="str">
        <f>IF(Registered!AR514&gt;0,Registered!AR514&amp;" Color Bags", "")</f>
        <v>10 Color Bags</v>
      </c>
      <c r="D213" s="4" t="str">
        <f>IF(Registered!AS514&gt;0,(IF(Registered!AS514=1,Registered!AS514&amp;" T-Shirt",Registered!AS514&amp;" T-Shirts")), "")</f>
        <v/>
      </c>
      <c r="E213" s="4" t="str">
        <f>Registered!AT514</f>
        <v/>
      </c>
      <c r="F213" s="4" t="str">
        <f>Registered!AU514</f>
        <v/>
      </c>
      <c r="G213" s="4" t="str">
        <f>Registered!AW514</f>
        <v/>
      </c>
      <c r="H213" s="4" t="str">
        <f>Registered!AX514</f>
        <v/>
      </c>
      <c r="I213" s="4" t="str">
        <f>Registered!AY514</f>
        <v>1 DustMask</v>
      </c>
    </row>
    <row r="214" spans="1:9" x14ac:dyDescent="0.25">
      <c r="A214" s="4" t="str">
        <f>Registered!B517</f>
        <v>Crofutt</v>
      </c>
      <c r="B214" s="4" t="str">
        <f>Registered!A517</f>
        <v>Stacey</v>
      </c>
      <c r="C214" s="4" t="str">
        <f>IF(Registered!AR517&gt;0,Registered!AR517&amp;" Color Bags", "")</f>
        <v>20 Color Bags</v>
      </c>
      <c r="D214" s="4" t="str">
        <f>IF(Registered!AS517&gt;0,(IF(Registered!AS517=1,Registered!AS517&amp;" T-Shirt",Registered!AS517&amp;" T-Shirts")), "")</f>
        <v/>
      </c>
      <c r="E214" s="4" t="str">
        <f>Registered!AT517</f>
        <v/>
      </c>
      <c r="F214" s="4" t="str">
        <f>Registered!AU517</f>
        <v/>
      </c>
      <c r="G214" s="4" t="str">
        <f>Registered!AW517</f>
        <v/>
      </c>
      <c r="H214" s="4" t="str">
        <f>Registered!AX517</f>
        <v/>
      </c>
      <c r="I214" s="4" t="str">
        <f>Registered!AY517</f>
        <v/>
      </c>
    </row>
    <row r="215" spans="1:9" x14ac:dyDescent="0.25">
      <c r="A215" s="4" t="str">
        <f>Registered!B518</f>
        <v>Crosgrove</v>
      </c>
      <c r="B215" s="4" t="str">
        <f>Registered!A518</f>
        <v>Brandan</v>
      </c>
      <c r="C215" s="4" t="str">
        <f>IF(Registered!AR518&gt;0,Registered!AR518&amp;" Color Bags", "")</f>
        <v>40 Color Bags</v>
      </c>
      <c r="D215" s="4" t="str">
        <f>IF(Registered!AS518&gt;0,(IF(Registered!AS518=1,Registered!AS518&amp;" T-Shirt",Registered!AS518&amp;" T-Shirts")), "")</f>
        <v/>
      </c>
      <c r="E215" s="4" t="str">
        <f>Registered!AT518</f>
        <v/>
      </c>
      <c r="F215" s="4" t="str">
        <f>Registered!AU518</f>
        <v/>
      </c>
      <c r="G215" s="4" t="str">
        <f>Registered!AW518</f>
        <v/>
      </c>
      <c r="H215" s="4" t="str">
        <f>Registered!AX518</f>
        <v/>
      </c>
      <c r="I215" s="4" t="str">
        <f>Registered!AY518</f>
        <v>2 DustMask</v>
      </c>
    </row>
    <row r="216" spans="1:9" x14ac:dyDescent="0.25">
      <c r="A216" s="4" t="str">
        <f>Registered!B525</f>
        <v>Cruz</v>
      </c>
      <c r="B216" s="4" t="str">
        <f>Registered!A525</f>
        <v>Michaella</v>
      </c>
      <c r="C216" s="4" t="str">
        <f>IF(Registered!AR525&gt;0,Registered!AR525&amp;" Color Bags", "")</f>
        <v>10 Color Bags</v>
      </c>
      <c r="D216" s="4" t="str">
        <f>IF(Registered!AS525&gt;0,(IF(Registered!AS525=1,Registered!AS525&amp;" T-Shirt",Registered!AS525&amp;" T-Shirts")), "")</f>
        <v>1 T-Shirt</v>
      </c>
      <c r="E216" s="4" t="str">
        <f>Registered!AT525</f>
        <v>Small</v>
      </c>
      <c r="F216" s="4" t="str">
        <f>Registered!AU525</f>
        <v/>
      </c>
      <c r="G216" s="4" t="str">
        <f>Registered!AW525</f>
        <v/>
      </c>
      <c r="H216" s="4" t="str">
        <f>Registered!AX525</f>
        <v/>
      </c>
      <c r="I216" s="4" t="str">
        <f>Registered!AY525</f>
        <v/>
      </c>
    </row>
    <row r="217" spans="1:9" x14ac:dyDescent="0.25">
      <c r="A217" s="4" t="str">
        <f>Registered!B524</f>
        <v>Cruz</v>
      </c>
      <c r="B217" s="4" t="str">
        <f>Registered!A524</f>
        <v>Mackenzie</v>
      </c>
      <c r="C217" s="4" t="str">
        <f>IF(Registered!AR524&gt;0,Registered!AR524&amp;" Color Bags", "")</f>
        <v>5 Color Bags</v>
      </c>
      <c r="D217" s="4" t="str">
        <f>IF(Registered!AS524&gt;0,(IF(Registered!AS524=1,Registered!AS524&amp;" T-Shirt",Registered!AS524&amp;" T-Shirts")), "")</f>
        <v/>
      </c>
      <c r="E217" s="4" t="str">
        <f>Registered!AT524</f>
        <v/>
      </c>
      <c r="F217" s="4" t="str">
        <f>Registered!AU524</f>
        <v/>
      </c>
      <c r="G217" s="4" t="str">
        <f>Registered!AW524</f>
        <v/>
      </c>
      <c r="H217" s="4" t="str">
        <f>Registered!AX524</f>
        <v/>
      </c>
      <c r="I217" s="4" t="str">
        <f>Registered!AY524</f>
        <v/>
      </c>
    </row>
    <row r="218" spans="1:9" x14ac:dyDescent="0.25">
      <c r="A218" s="4" t="str">
        <f>Registered!B530</f>
        <v>Curtis</v>
      </c>
      <c r="B218" s="4" t="str">
        <f>Registered!A530</f>
        <v>John</v>
      </c>
      <c r="C218" s="4" t="str">
        <f>IF(Registered!AR530&gt;0,Registered!AR530&amp;" Color Bags", "")</f>
        <v>5 Color Bags</v>
      </c>
      <c r="D218" s="4" t="str">
        <f>IF(Registered!AS530&gt;0,(IF(Registered!AS530=1,Registered!AS530&amp;" T-Shirt",Registered!AS530&amp;" T-Shirts")), "")</f>
        <v/>
      </c>
      <c r="E218" s="4" t="str">
        <f>Registered!AT530</f>
        <v/>
      </c>
      <c r="F218" s="4" t="str">
        <f>Registered!AU530</f>
        <v/>
      </c>
      <c r="G218" s="4" t="str">
        <f>Registered!AW530</f>
        <v>1 Meal</v>
      </c>
      <c r="H218" s="4" t="str">
        <f>Registered!AX530</f>
        <v/>
      </c>
      <c r="I218" s="4" t="str">
        <f>Registered!AY530</f>
        <v/>
      </c>
    </row>
    <row r="219" spans="1:9" x14ac:dyDescent="0.25">
      <c r="A219" s="4" t="str">
        <f>Registered!B532</f>
        <v>Czech</v>
      </c>
      <c r="B219" s="4" t="str">
        <f>Registered!A532</f>
        <v>Greg</v>
      </c>
      <c r="C219" s="4" t="str">
        <f>IF(Registered!AR532&gt;0,Registered!AR532&amp;" Color Bags", "")</f>
        <v>5 Color Bags</v>
      </c>
      <c r="D219" s="4" t="str">
        <f>IF(Registered!AS532&gt;0,(IF(Registered!AS532=1,Registered!AS532&amp;" T-Shirt",Registered!AS532&amp;" T-Shirts")), "")</f>
        <v/>
      </c>
      <c r="E219" s="4" t="str">
        <f>Registered!AT532</f>
        <v/>
      </c>
      <c r="F219" s="4" t="str">
        <f>Registered!AU532</f>
        <v/>
      </c>
      <c r="G219" s="4" t="str">
        <f>Registered!AW532</f>
        <v/>
      </c>
      <c r="H219" s="4" t="str">
        <f>Registered!AX532</f>
        <v/>
      </c>
      <c r="I219" s="4" t="str">
        <f>Registered!AY532</f>
        <v/>
      </c>
    </row>
    <row r="220" spans="1:9" x14ac:dyDescent="0.25">
      <c r="A220" s="4" t="str">
        <f>Registered!B536</f>
        <v>Daily</v>
      </c>
      <c r="B220" s="4" t="str">
        <f>Registered!A536</f>
        <v>Chase</v>
      </c>
      <c r="C220" s="4" t="str">
        <f>IF(Registered!AR536&gt;0,Registered!AR536&amp;" Color Bags", "")</f>
        <v>10 Color Bags</v>
      </c>
      <c r="D220" s="4" t="str">
        <f>IF(Registered!AS536&gt;0,(IF(Registered!AS536=1,Registered!AS536&amp;" T-Shirt",Registered!AS536&amp;" T-Shirts")), "")</f>
        <v/>
      </c>
      <c r="E220" s="4" t="str">
        <f>Registered!AT536</f>
        <v/>
      </c>
      <c r="F220" s="4" t="str">
        <f>Registered!AU536</f>
        <v/>
      </c>
      <c r="G220" s="4" t="str">
        <f>Registered!AW536</f>
        <v/>
      </c>
      <c r="H220" s="4" t="str">
        <f>Registered!AX536</f>
        <v/>
      </c>
      <c r="I220" s="4" t="str">
        <f>Registered!AY536</f>
        <v/>
      </c>
    </row>
    <row r="221" spans="1:9" x14ac:dyDescent="0.25">
      <c r="A221" s="4" t="str">
        <f>Registered!B539</f>
        <v>Dalley</v>
      </c>
      <c r="B221" s="4" t="str">
        <f>Registered!A539</f>
        <v>Shannon</v>
      </c>
      <c r="C221" s="4" t="str">
        <f>IF(Registered!AR539&gt;0,Registered!AR539&amp;" Color Bags", "")</f>
        <v>20 Color Bags</v>
      </c>
      <c r="D221" s="4" t="str">
        <f>IF(Registered!AS539&gt;0,(IF(Registered!AS539=1,Registered!AS539&amp;" T-Shirt",Registered!AS539&amp;" T-Shirts")), "")</f>
        <v/>
      </c>
      <c r="E221" s="4" t="str">
        <f>Registered!AT539</f>
        <v/>
      </c>
      <c r="F221" s="4" t="str">
        <f>Registered!AU539</f>
        <v/>
      </c>
      <c r="G221" s="4" t="str">
        <f>Registered!AW539</f>
        <v/>
      </c>
      <c r="H221" s="4" t="str">
        <f>Registered!AX539</f>
        <v/>
      </c>
      <c r="I221" s="4" t="str">
        <f>Registered!AY539</f>
        <v/>
      </c>
    </row>
    <row r="222" spans="1:9" x14ac:dyDescent="0.25">
      <c r="A222" s="4" t="str">
        <f>Registered!B538</f>
        <v>Dalley</v>
      </c>
      <c r="B222" s="4" t="str">
        <f>Registered!A538</f>
        <v>Katy</v>
      </c>
      <c r="C222" s="4" t="str">
        <f>IF(Registered!AR538&gt;0,Registered!AR538&amp;" Color Bags", "")</f>
        <v>5 Color Bags</v>
      </c>
      <c r="D222" s="4" t="str">
        <f>IF(Registered!AS538&gt;0,(IF(Registered!AS538=1,Registered!AS538&amp;" T-Shirt",Registered!AS538&amp;" T-Shirts")), "")</f>
        <v>1 T-Shirt</v>
      </c>
      <c r="E222" s="4" t="str">
        <f>Registered!AT538</f>
        <v>M</v>
      </c>
      <c r="F222" s="4" t="str">
        <f>Registered!AU538</f>
        <v/>
      </c>
      <c r="G222" s="4" t="str">
        <f>Registered!AW538</f>
        <v>1 Meal</v>
      </c>
      <c r="H222" s="4" t="str">
        <f>Registered!AX538</f>
        <v/>
      </c>
      <c r="I222" s="4" t="str">
        <f>Registered!AY538</f>
        <v/>
      </c>
    </row>
    <row r="223" spans="1:9" x14ac:dyDescent="0.25">
      <c r="A223" s="4" t="str">
        <f>Registered!B551</f>
        <v>Davis</v>
      </c>
      <c r="B223" s="4" t="str">
        <f>Registered!A551</f>
        <v>Kristen</v>
      </c>
      <c r="C223" s="4" t="str">
        <f>IF(Registered!AR551&gt;0,Registered!AR551&amp;" Color Bags", "")</f>
        <v>10 Color Bags</v>
      </c>
      <c r="D223" s="4" t="str">
        <f>IF(Registered!AS551&gt;0,(IF(Registered!AS551=1,Registered!AS551&amp;" T-Shirt",Registered!AS551&amp;" T-Shirts")), "")</f>
        <v/>
      </c>
      <c r="E223" s="4" t="str">
        <f>Registered!AT551</f>
        <v/>
      </c>
      <c r="F223" s="4" t="str">
        <f>Registered!AU551</f>
        <v/>
      </c>
      <c r="G223" s="4" t="str">
        <f>Registered!AW551</f>
        <v/>
      </c>
      <c r="H223" s="4" t="str">
        <f>Registered!AX551</f>
        <v/>
      </c>
      <c r="I223" s="4" t="str">
        <f>Registered!AY551</f>
        <v/>
      </c>
    </row>
    <row r="224" spans="1:9" x14ac:dyDescent="0.25">
      <c r="A224" s="4" t="str">
        <f>Registered!B553</f>
        <v>Davis</v>
      </c>
      <c r="B224" s="4" t="str">
        <f>Registered!A553</f>
        <v>Pamela</v>
      </c>
      <c r="C224" s="4" t="str">
        <f>IF(Registered!AR553&gt;0,Registered!AR553&amp;" Color Bags", "")</f>
        <v>10 Color Bags</v>
      </c>
      <c r="D224" s="4" t="str">
        <f>IF(Registered!AS553&gt;0,(IF(Registered!AS553=1,Registered!AS553&amp;" T-Shirt",Registered!AS553&amp;" T-Shirts")), "")</f>
        <v/>
      </c>
      <c r="E224" s="4" t="str">
        <f>Registered!AT553</f>
        <v/>
      </c>
      <c r="F224" s="4" t="str">
        <f>Registered!AU553</f>
        <v>2 Bandanas</v>
      </c>
      <c r="G224" s="4" t="str">
        <f>Registered!AW553</f>
        <v/>
      </c>
      <c r="H224" s="4" t="str">
        <f>Registered!AX553</f>
        <v/>
      </c>
      <c r="I224" s="4" t="str">
        <f>Registered!AY553</f>
        <v/>
      </c>
    </row>
    <row r="225" spans="1:9" x14ac:dyDescent="0.25">
      <c r="A225" s="4" t="str">
        <f>Registered!B556</f>
        <v>Davis</v>
      </c>
      <c r="B225" s="4" t="str">
        <f>Registered!A556</f>
        <v>Ronda</v>
      </c>
      <c r="C225" s="4" t="str">
        <f>IF(Registered!AR556&gt;0,Registered!AR556&amp;" Color Bags", "")</f>
        <v>10 Color Bags</v>
      </c>
      <c r="D225" s="4" t="str">
        <f>IF(Registered!AS556&gt;0,(IF(Registered!AS556=1,Registered!AS556&amp;" T-Shirt",Registered!AS556&amp;" T-Shirts")), "")</f>
        <v/>
      </c>
      <c r="E225" s="4" t="str">
        <f>Registered!AT556</f>
        <v/>
      </c>
      <c r="F225" s="4" t="str">
        <f>Registered!AU556</f>
        <v/>
      </c>
      <c r="G225" s="4" t="str">
        <f>Registered!AW556</f>
        <v>2 Meals</v>
      </c>
      <c r="H225" s="4" t="str">
        <f>Registered!AX556</f>
        <v/>
      </c>
      <c r="I225" s="4" t="str">
        <f>Registered!AY556</f>
        <v/>
      </c>
    </row>
    <row r="226" spans="1:9" x14ac:dyDescent="0.25">
      <c r="A226" s="4" t="str">
        <f>Registered!B547</f>
        <v>Davis</v>
      </c>
      <c r="B226" s="4" t="str">
        <f>Registered!A547</f>
        <v>Cory</v>
      </c>
      <c r="C226" s="4" t="str">
        <f>IF(Registered!AR547&gt;0,Registered!AR547&amp;" Color Bags", "")</f>
        <v>20 Color Bags</v>
      </c>
      <c r="D226" s="4" t="str">
        <f>IF(Registered!AS547&gt;0,(IF(Registered!AS547=1,Registered!AS547&amp;" T-Shirt",Registered!AS547&amp;" T-Shirts")), "")</f>
        <v/>
      </c>
      <c r="E226" s="4" t="str">
        <f>Registered!AT547</f>
        <v/>
      </c>
      <c r="F226" s="4" t="str">
        <f>Registered!AU547</f>
        <v/>
      </c>
      <c r="G226" s="4" t="str">
        <f>Registered!AW547</f>
        <v/>
      </c>
      <c r="H226" s="4" t="str">
        <f>Registered!AX547</f>
        <v/>
      </c>
      <c r="I226" s="4" t="str">
        <f>Registered!AY547</f>
        <v/>
      </c>
    </row>
    <row r="227" spans="1:9" x14ac:dyDescent="0.25">
      <c r="A227" s="4" t="str">
        <f>Registered!B555</f>
        <v>Davis</v>
      </c>
      <c r="B227" s="4" t="str">
        <f>Registered!A555</f>
        <v>Roger</v>
      </c>
      <c r="C227" s="4" t="str">
        <f>IF(Registered!AR555&gt;0,Registered!AR555&amp;" Color Bags", "")</f>
        <v>5 Color Bags</v>
      </c>
      <c r="D227" s="4" t="str">
        <f>IF(Registered!AS555&gt;0,(IF(Registered!AS555=1,Registered!AS555&amp;" T-Shirt",Registered!AS555&amp;" T-Shirts")), "")</f>
        <v>1 T-Shirt</v>
      </c>
      <c r="E227" s="4" t="str">
        <f>Registered!AT555</f>
        <v>L</v>
      </c>
      <c r="F227" s="4" t="str">
        <f>Registered!AU555</f>
        <v>1 Bandana</v>
      </c>
      <c r="G227" s="4" t="str">
        <f>Registered!AW555</f>
        <v>1 Meal</v>
      </c>
      <c r="H227" s="4" t="str">
        <f>Registered!AX555</f>
        <v/>
      </c>
      <c r="I227" s="4" t="str">
        <f>Registered!AY555</f>
        <v/>
      </c>
    </row>
    <row r="228" spans="1:9" x14ac:dyDescent="0.25">
      <c r="A228" s="4" t="str">
        <f>Registered!B559</f>
        <v>Dawson</v>
      </c>
      <c r="B228" s="4" t="str">
        <f>Registered!A559</f>
        <v>Misty</v>
      </c>
      <c r="C228" s="4" t="str">
        <f>IF(Registered!AR559&gt;0,Registered!AR559&amp;" Color Bags", "")</f>
        <v>25 Color Bags</v>
      </c>
      <c r="D228" s="4" t="str">
        <f>IF(Registered!AS559&gt;0,(IF(Registered!AS559=1,Registered!AS559&amp;" T-Shirt",Registered!AS559&amp;" T-Shirts")), "")</f>
        <v>3 T-Shirts</v>
      </c>
      <c r="E228" s="4" t="str">
        <f>Registered!AT559</f>
        <v>two mediums, one large.</v>
      </c>
      <c r="F228" s="4" t="str">
        <f>Registered!AU559</f>
        <v/>
      </c>
      <c r="G228" s="4" t="str">
        <f>Registered!AW559</f>
        <v>3 Meals</v>
      </c>
      <c r="H228" s="4" t="str">
        <f>Registered!AX559</f>
        <v/>
      </c>
      <c r="I228" s="4" t="str">
        <f>Registered!AY559</f>
        <v/>
      </c>
    </row>
    <row r="229" spans="1:9" x14ac:dyDescent="0.25">
      <c r="A229" s="4" t="str">
        <f>Registered!B560</f>
        <v>Day</v>
      </c>
      <c r="B229" s="4" t="str">
        <f>Registered!A560</f>
        <v>Chelsie</v>
      </c>
      <c r="C229" s="4" t="str">
        <f>IF(Registered!AR560&gt;0,Registered!AR560&amp;" Color Bags", "")</f>
        <v>5 Color Bags</v>
      </c>
      <c r="D229" s="4" t="str">
        <f>IF(Registered!AS560&gt;0,(IF(Registered!AS560=1,Registered!AS560&amp;" T-Shirt",Registered!AS560&amp;" T-Shirts")), "")</f>
        <v/>
      </c>
      <c r="E229" s="4" t="str">
        <f>Registered!AT560</f>
        <v/>
      </c>
      <c r="F229" s="4" t="str">
        <f>Registered!AU560</f>
        <v/>
      </c>
      <c r="G229" s="4" t="str">
        <f>Registered!AW560</f>
        <v/>
      </c>
      <c r="H229" s="4" t="str">
        <f>Registered!AX560</f>
        <v/>
      </c>
      <c r="I229" s="4" t="str">
        <f>Registered!AY560</f>
        <v/>
      </c>
    </row>
    <row r="230" spans="1:9" x14ac:dyDescent="0.25">
      <c r="A230" s="4" t="str">
        <f>Registered!B562</f>
        <v>Day</v>
      </c>
      <c r="B230" s="4" t="str">
        <f>Registered!A562</f>
        <v>Linda</v>
      </c>
      <c r="C230" s="4" t="str">
        <f>IF(Registered!AR562&gt;0,Registered!AR562&amp;" Color Bags", "")</f>
        <v>5 Color Bags</v>
      </c>
      <c r="D230" s="4" t="str">
        <f>IF(Registered!AS562&gt;0,(IF(Registered!AS562=1,Registered!AS562&amp;" T-Shirt",Registered!AS562&amp;" T-Shirts")), "")</f>
        <v/>
      </c>
      <c r="E230" s="4" t="str">
        <f>Registered!AT562</f>
        <v/>
      </c>
      <c r="F230" s="4" t="str">
        <f>Registered!AU562</f>
        <v/>
      </c>
      <c r="G230" s="4" t="str">
        <f>Registered!AW562</f>
        <v/>
      </c>
      <c r="H230" s="4" t="str">
        <f>Registered!AX562</f>
        <v/>
      </c>
      <c r="I230" s="4" t="str">
        <f>Registered!AY562</f>
        <v/>
      </c>
    </row>
    <row r="231" spans="1:9" x14ac:dyDescent="0.25">
      <c r="A231" s="4" t="str">
        <f>Registered!B563</f>
        <v>De Hoyos</v>
      </c>
      <c r="B231" s="4" t="str">
        <f>Registered!A563</f>
        <v>Michelle</v>
      </c>
      <c r="C231" s="4" t="str">
        <f>IF(Registered!AR563&gt;0,Registered!AR563&amp;" Color Bags", "")</f>
        <v>40 Color Bags</v>
      </c>
      <c r="D231" s="4" t="str">
        <f>IF(Registered!AS563&gt;0,(IF(Registered!AS563=1,Registered!AS563&amp;" T-Shirt",Registered!AS563&amp;" T-Shirts")), "")</f>
        <v/>
      </c>
      <c r="E231" s="4" t="str">
        <f>Registered!AT563</f>
        <v/>
      </c>
      <c r="F231" s="4" t="str">
        <f>Registered!AU563</f>
        <v/>
      </c>
      <c r="G231" s="4" t="str">
        <f>Registered!AW563</f>
        <v/>
      </c>
      <c r="H231" s="4" t="str">
        <f>Registered!AX563</f>
        <v/>
      </c>
      <c r="I231" s="4" t="str">
        <f>Registered!AY563</f>
        <v/>
      </c>
    </row>
    <row r="232" spans="1:9" x14ac:dyDescent="0.25">
      <c r="A232" s="4" t="str">
        <f>Registered!B564</f>
        <v>De Los Rios</v>
      </c>
      <c r="B232" s="4" t="str">
        <f>Registered!A564</f>
        <v>Alicia</v>
      </c>
      <c r="C232" s="4" t="str">
        <f>IF(Registered!AR564&gt;0,Registered!AR564&amp;" Color Bags", "")</f>
        <v>15 Color Bags</v>
      </c>
      <c r="D232" s="4" t="str">
        <f>IF(Registered!AS564&gt;0,(IF(Registered!AS564=1,Registered!AS564&amp;" T-Shirt",Registered!AS564&amp;" T-Shirts")), "")</f>
        <v/>
      </c>
      <c r="E232" s="4" t="str">
        <f>Registered!AT564</f>
        <v/>
      </c>
      <c r="F232" s="4" t="str">
        <f>Registered!AU564</f>
        <v/>
      </c>
      <c r="G232" s="4" t="str">
        <f>Registered!AW564</f>
        <v/>
      </c>
      <c r="H232" s="4" t="str">
        <f>Registered!AX564</f>
        <v/>
      </c>
      <c r="I232" s="4" t="str">
        <f>Registered!AY564</f>
        <v/>
      </c>
    </row>
    <row r="233" spans="1:9" x14ac:dyDescent="0.25">
      <c r="A233" s="4" t="str">
        <f>Registered!B565</f>
        <v>De Montreux</v>
      </c>
      <c r="B233" s="4" t="str">
        <f>Registered!A565</f>
        <v>Melinda</v>
      </c>
      <c r="C233" s="4" t="str">
        <f>IF(Registered!AR565&gt;0,Registered!AR565&amp;" Color Bags", "")</f>
        <v>5 Color Bags</v>
      </c>
      <c r="D233" s="4" t="str">
        <f>IF(Registered!AS565&gt;0,(IF(Registered!AS565=1,Registered!AS565&amp;" T-Shirt",Registered!AS565&amp;" T-Shirts")), "")</f>
        <v/>
      </c>
      <c r="E233" s="4" t="str">
        <f>Registered!AT565</f>
        <v/>
      </c>
      <c r="F233" s="4" t="str">
        <f>Registered!AU565</f>
        <v/>
      </c>
      <c r="G233" s="4" t="str">
        <f>Registered!AW565</f>
        <v>3 Meals</v>
      </c>
      <c r="H233" s="4" t="str">
        <f>Registered!AX565</f>
        <v/>
      </c>
      <c r="I233" s="4" t="str">
        <f>Registered!AY565</f>
        <v/>
      </c>
    </row>
    <row r="234" spans="1:9" x14ac:dyDescent="0.25">
      <c r="A234" s="4" t="str">
        <f>Registered!B567</f>
        <v>Dean</v>
      </c>
      <c r="B234" s="4" t="str">
        <f>Registered!A567</f>
        <v>Haley</v>
      </c>
      <c r="C234" s="4" t="str">
        <f>IF(Registered!AR567&gt;0,Registered!AR567&amp;" Color Bags", "")</f>
        <v>30 Color Bags</v>
      </c>
      <c r="D234" s="4" t="str">
        <f>IF(Registered!AS567&gt;0,(IF(Registered!AS567=1,Registered!AS567&amp;" T-Shirt",Registered!AS567&amp;" T-Shirts")), "")</f>
        <v/>
      </c>
      <c r="E234" s="4" t="str">
        <f>Registered!AT567</f>
        <v/>
      </c>
      <c r="F234" s="4" t="str">
        <f>Registered!AU567</f>
        <v/>
      </c>
      <c r="G234" s="4" t="str">
        <f>Registered!AW567</f>
        <v/>
      </c>
      <c r="H234" s="4" t="str">
        <f>Registered!AX567</f>
        <v/>
      </c>
      <c r="I234" s="4" t="str">
        <f>Registered!AY567</f>
        <v/>
      </c>
    </row>
    <row r="235" spans="1:9" x14ac:dyDescent="0.25">
      <c r="A235" s="4" t="str">
        <f>Registered!B569</f>
        <v>DeForest</v>
      </c>
      <c r="B235" s="4" t="str">
        <f>Registered!A569</f>
        <v>Nathaniel</v>
      </c>
      <c r="C235" s="4" t="str">
        <f>IF(Registered!AR569&gt;0,Registered!AR569&amp;" Color Bags", "")</f>
        <v>5 Color Bags</v>
      </c>
      <c r="D235" s="4" t="str">
        <f>IF(Registered!AS569&gt;0,(IF(Registered!AS569=1,Registered!AS569&amp;" T-Shirt",Registered!AS569&amp;" T-Shirts")), "")</f>
        <v/>
      </c>
      <c r="E235" s="4" t="str">
        <f>Registered!AT569</f>
        <v/>
      </c>
      <c r="F235" s="4" t="str">
        <f>Registered!AU569</f>
        <v/>
      </c>
      <c r="G235" s="4" t="str">
        <f>Registered!AW569</f>
        <v/>
      </c>
      <c r="H235" s="4" t="str">
        <f>Registered!AX569</f>
        <v/>
      </c>
      <c r="I235" s="4" t="str">
        <f>Registered!AY569</f>
        <v/>
      </c>
    </row>
    <row r="236" spans="1:9" x14ac:dyDescent="0.25">
      <c r="A236" s="4" t="str">
        <f>Registered!B572</f>
        <v>Dekker</v>
      </c>
      <c r="B236" s="4" t="str">
        <f>Registered!A572</f>
        <v>Emily</v>
      </c>
      <c r="C236" s="4" t="str">
        <f>IF(Registered!AR572&gt;0,Registered!AR572&amp;" Color Bags", "")</f>
        <v>5 Color Bags</v>
      </c>
      <c r="D236" s="4" t="str">
        <f>IF(Registered!AS572&gt;0,(IF(Registered!AS572=1,Registered!AS572&amp;" T-Shirt",Registered!AS572&amp;" T-Shirts")), "")</f>
        <v/>
      </c>
      <c r="E236" s="4" t="str">
        <f>Registered!AT572</f>
        <v/>
      </c>
      <c r="F236" s="4" t="str">
        <f>Registered!AU572</f>
        <v/>
      </c>
      <c r="G236" s="4" t="str">
        <f>Registered!AW572</f>
        <v/>
      </c>
      <c r="H236" s="4" t="str">
        <f>Registered!AX572</f>
        <v/>
      </c>
      <c r="I236" s="4" t="str">
        <f>Registered!AY572</f>
        <v/>
      </c>
    </row>
    <row r="237" spans="1:9" x14ac:dyDescent="0.25">
      <c r="A237" s="4" t="str">
        <f>Registered!B576</f>
        <v>Delgado</v>
      </c>
      <c r="B237" s="4" t="str">
        <f>Registered!A576</f>
        <v>Rafael Agustin</v>
      </c>
      <c r="C237" s="4" t="str">
        <f>IF(Registered!AR576&gt;0,Registered!AR576&amp;" Color Bags", "")</f>
        <v>5 Color Bags</v>
      </c>
      <c r="D237" s="4" t="str">
        <f>IF(Registered!AS576&gt;0,(IF(Registered!AS576=1,Registered!AS576&amp;" T-Shirt",Registered!AS576&amp;" T-Shirts")), "")</f>
        <v/>
      </c>
      <c r="E237" s="4" t="str">
        <f>Registered!AT576</f>
        <v/>
      </c>
      <c r="F237" s="4" t="str">
        <f>Registered!AU576</f>
        <v/>
      </c>
      <c r="G237" s="4" t="str">
        <f>Registered!AW576</f>
        <v/>
      </c>
      <c r="H237" s="4" t="str">
        <f>Registered!AX576</f>
        <v/>
      </c>
      <c r="I237" s="4" t="str">
        <f>Registered!AY576</f>
        <v/>
      </c>
    </row>
    <row r="238" spans="1:9" x14ac:dyDescent="0.25">
      <c r="A238" s="4" t="str">
        <f>Registered!B578</f>
        <v>DeLong</v>
      </c>
      <c r="B238" s="4" t="str">
        <f>Registered!A578</f>
        <v>Mavis Anne</v>
      </c>
      <c r="C238" s="4" t="str">
        <f>IF(Registered!AR578&gt;0,Registered!AR578&amp;" Color Bags", "")</f>
        <v>5 Color Bags</v>
      </c>
      <c r="D238" s="4" t="str">
        <f>IF(Registered!AS578&gt;0,(IF(Registered!AS578=1,Registered!AS578&amp;" T-Shirt",Registered!AS578&amp;" T-Shirts")), "")</f>
        <v/>
      </c>
      <c r="E238" s="4" t="str">
        <f>Registered!AT578</f>
        <v/>
      </c>
      <c r="F238" s="4" t="str">
        <f>Registered!AU578</f>
        <v/>
      </c>
      <c r="G238" s="4" t="str">
        <f>Registered!AW578</f>
        <v>1 Meal</v>
      </c>
      <c r="H238" s="4" t="str">
        <f>Registered!AX578</f>
        <v/>
      </c>
      <c r="I238" s="4" t="str">
        <f>Registered!AY578</f>
        <v/>
      </c>
    </row>
    <row r="239" spans="1:9" x14ac:dyDescent="0.25">
      <c r="A239" s="4" t="str">
        <f>Registered!B580</f>
        <v>Deneau</v>
      </c>
      <c r="B239" s="4" t="str">
        <f>Registered!A580</f>
        <v>Kayla</v>
      </c>
      <c r="C239" s="4" t="str">
        <f>IF(Registered!AR580&gt;0,Registered!AR580&amp;" Color Bags", "")</f>
        <v/>
      </c>
      <c r="D239" s="4" t="str">
        <f>IF(Registered!AS580&gt;0,(IF(Registered!AS580=1,Registered!AS580&amp;" T-Shirt",Registered!AS580&amp;" T-Shirts")), "")</f>
        <v/>
      </c>
      <c r="E239" s="4" t="str">
        <f>Registered!AT580</f>
        <v/>
      </c>
      <c r="F239" s="4" t="str">
        <f>Registered!AU580</f>
        <v>1 Bandana</v>
      </c>
      <c r="G239" s="4" t="str">
        <f>Registered!AW580</f>
        <v/>
      </c>
      <c r="H239" s="4" t="str">
        <f>Registered!AX580</f>
        <v>1 BG</v>
      </c>
      <c r="I239" s="4" t="str">
        <f>Registered!AY580</f>
        <v/>
      </c>
    </row>
    <row r="240" spans="1:9" x14ac:dyDescent="0.25">
      <c r="A240" s="4" t="str">
        <f>Registered!B581</f>
        <v>Derryberry</v>
      </c>
      <c r="B240" s="4" t="str">
        <f>Registered!A581</f>
        <v>Shaye</v>
      </c>
      <c r="C240" s="4" t="str">
        <f>IF(Registered!AR581&gt;0,Registered!AR581&amp;" Color Bags", "")</f>
        <v>10 Color Bags</v>
      </c>
      <c r="D240" s="4" t="str">
        <f>IF(Registered!AS581&gt;0,(IF(Registered!AS581=1,Registered!AS581&amp;" T-Shirt",Registered!AS581&amp;" T-Shirts")), "")</f>
        <v/>
      </c>
      <c r="E240" s="4" t="str">
        <f>Registered!AT581</f>
        <v/>
      </c>
      <c r="F240" s="4" t="str">
        <f>Registered!AU581</f>
        <v/>
      </c>
      <c r="G240" s="4" t="str">
        <f>Registered!AW581</f>
        <v/>
      </c>
      <c r="H240" s="4" t="str">
        <f>Registered!AX581</f>
        <v/>
      </c>
      <c r="I240" s="4" t="str">
        <f>Registered!AY581</f>
        <v/>
      </c>
    </row>
    <row r="241" spans="1:9" x14ac:dyDescent="0.25">
      <c r="A241" s="4" t="str">
        <f>Registered!B582</f>
        <v>DeVore</v>
      </c>
      <c r="B241" s="4" t="str">
        <f>Registered!A582</f>
        <v>Sheri</v>
      </c>
      <c r="C241" s="4" t="str">
        <f>IF(Registered!AR582&gt;0,Registered!AR582&amp;" Color Bags", "")</f>
        <v>10 Color Bags</v>
      </c>
      <c r="D241" s="4" t="str">
        <f>IF(Registered!AS582&gt;0,(IF(Registered!AS582=1,Registered!AS582&amp;" T-Shirt",Registered!AS582&amp;" T-Shirts")), "")</f>
        <v/>
      </c>
      <c r="E241" s="4" t="str">
        <f>Registered!AT582</f>
        <v/>
      </c>
      <c r="F241" s="4" t="str">
        <f>Registered!AU582</f>
        <v/>
      </c>
      <c r="G241" s="4" t="str">
        <f>Registered!AW582</f>
        <v/>
      </c>
      <c r="H241" s="4" t="str">
        <f>Registered!AX582</f>
        <v/>
      </c>
      <c r="I241" s="4" t="str">
        <f>Registered!AY582</f>
        <v/>
      </c>
    </row>
    <row r="242" spans="1:9" x14ac:dyDescent="0.25">
      <c r="A242" s="4" t="str">
        <f>Registered!B583</f>
        <v>DeWitt</v>
      </c>
      <c r="B242" s="4" t="str">
        <f>Registered!A583</f>
        <v>Kendall</v>
      </c>
      <c r="C242" s="4" t="str">
        <f>IF(Registered!AR583&gt;0,Registered!AR583&amp;" Color Bags", "")</f>
        <v>5 Color Bags</v>
      </c>
      <c r="D242" s="4" t="str">
        <f>IF(Registered!AS583&gt;0,(IF(Registered!AS583=1,Registered!AS583&amp;" T-Shirt",Registered!AS583&amp;" T-Shirts")), "")</f>
        <v/>
      </c>
      <c r="E242" s="4" t="str">
        <f>Registered!AT583</f>
        <v/>
      </c>
      <c r="F242" s="4" t="str">
        <f>Registered!AU583</f>
        <v/>
      </c>
      <c r="G242" s="4" t="str">
        <f>Registered!AW583</f>
        <v/>
      </c>
      <c r="H242" s="4" t="str">
        <f>Registered!AX583</f>
        <v/>
      </c>
      <c r="I242" s="4" t="str">
        <f>Registered!AY583</f>
        <v/>
      </c>
    </row>
    <row r="243" spans="1:9" x14ac:dyDescent="0.25">
      <c r="A243" s="4" t="str">
        <f>Registered!B584</f>
        <v>DeYoung</v>
      </c>
      <c r="B243" s="4" t="str">
        <f>Registered!A584</f>
        <v>James</v>
      </c>
      <c r="C243" s="4" t="str">
        <f>IF(Registered!AR584&gt;0,Registered!AR584&amp;" Color Bags", "")</f>
        <v>10 Color Bags</v>
      </c>
      <c r="D243" s="4" t="str">
        <f>IF(Registered!AS584&gt;0,(IF(Registered!AS584=1,Registered!AS584&amp;" T-Shirt",Registered!AS584&amp;" T-Shirts")), "")</f>
        <v/>
      </c>
      <c r="E243" s="4" t="str">
        <f>Registered!AT584</f>
        <v/>
      </c>
      <c r="F243" s="4" t="str">
        <f>Registered!AU584</f>
        <v/>
      </c>
      <c r="G243" s="4" t="str">
        <f>Registered!AW584</f>
        <v/>
      </c>
      <c r="H243" s="4" t="str">
        <f>Registered!AX584</f>
        <v/>
      </c>
      <c r="I243" s="4" t="str">
        <f>Registered!AY584</f>
        <v/>
      </c>
    </row>
    <row r="244" spans="1:9" x14ac:dyDescent="0.25">
      <c r="A244" s="4" t="str">
        <f>Registered!B586</f>
        <v>Dhruv</v>
      </c>
      <c r="B244" s="4" t="str">
        <f>Registered!A586</f>
        <v>Nirav</v>
      </c>
      <c r="C244" s="4" t="str">
        <f>IF(Registered!AR586&gt;0,Registered!AR586&amp;" Color Bags", "")</f>
        <v>40 Color Bags</v>
      </c>
      <c r="D244" s="4" t="str">
        <f>IF(Registered!AS586&gt;0,(IF(Registered!AS586=1,Registered!AS586&amp;" T-Shirt",Registered!AS586&amp;" T-Shirts")), "")</f>
        <v/>
      </c>
      <c r="E244" s="4" t="str">
        <f>Registered!AT586</f>
        <v/>
      </c>
      <c r="F244" s="4" t="str">
        <f>Registered!AU586</f>
        <v/>
      </c>
      <c r="G244" s="4" t="str">
        <f>Registered!AW586</f>
        <v/>
      </c>
      <c r="H244" s="4" t="str">
        <f>Registered!AX586</f>
        <v/>
      </c>
      <c r="I244" s="4" t="str">
        <f>Registered!AY586</f>
        <v/>
      </c>
    </row>
    <row r="245" spans="1:9" x14ac:dyDescent="0.25">
      <c r="A245" s="4" t="str">
        <f>Registered!B591</f>
        <v>Dimond</v>
      </c>
      <c r="B245" s="4" t="str">
        <f>Registered!A591</f>
        <v>Matt</v>
      </c>
      <c r="C245" s="4" t="str">
        <f>IF(Registered!AR591&gt;0,Registered!AR591&amp;" Color Bags", "")</f>
        <v>10 Color Bags</v>
      </c>
      <c r="D245" s="4" t="str">
        <f>IF(Registered!AS591&gt;0,(IF(Registered!AS591=1,Registered!AS591&amp;" T-Shirt",Registered!AS591&amp;" T-Shirts")), "")</f>
        <v/>
      </c>
      <c r="E245" s="4" t="str">
        <f>Registered!AT591</f>
        <v/>
      </c>
      <c r="F245" s="4" t="str">
        <f>Registered!AU591</f>
        <v/>
      </c>
      <c r="G245" s="4" t="str">
        <f>Registered!AW591</f>
        <v/>
      </c>
      <c r="H245" s="4" t="str">
        <f>Registered!AX591</f>
        <v/>
      </c>
      <c r="I245" s="4" t="str">
        <f>Registered!AY591</f>
        <v/>
      </c>
    </row>
    <row r="246" spans="1:9" x14ac:dyDescent="0.25">
      <c r="A246" s="4" t="str">
        <f>Registered!B594</f>
        <v>Dobson</v>
      </c>
      <c r="B246" s="4" t="str">
        <f>Registered!A594</f>
        <v>Gwen</v>
      </c>
      <c r="C246" s="4" t="str">
        <f>IF(Registered!AR594&gt;0,Registered!AR594&amp;" Color Bags", "")</f>
        <v>30 Color Bags</v>
      </c>
      <c r="D246" s="4" t="str">
        <f>IF(Registered!AS594&gt;0,(IF(Registered!AS594=1,Registered!AS594&amp;" T-Shirt",Registered!AS594&amp;" T-Shirts")), "")</f>
        <v/>
      </c>
      <c r="E246" s="4" t="str">
        <f>Registered!AT594</f>
        <v/>
      </c>
      <c r="F246" s="4" t="str">
        <f>Registered!AU594</f>
        <v/>
      </c>
      <c r="G246" s="4" t="str">
        <f>Registered!AW594</f>
        <v/>
      </c>
      <c r="H246" s="4" t="str">
        <f>Registered!AX594</f>
        <v/>
      </c>
      <c r="I246" s="4" t="str">
        <f>Registered!AY594</f>
        <v/>
      </c>
    </row>
    <row r="247" spans="1:9" x14ac:dyDescent="0.25">
      <c r="A247" s="4" t="str">
        <f>Registered!B597</f>
        <v>Dominguez</v>
      </c>
      <c r="B247" s="4" t="str">
        <f>Registered!A597</f>
        <v>Kelsey</v>
      </c>
      <c r="C247" s="4" t="str">
        <f>IF(Registered!AR597&gt;0,Registered!AR597&amp;" Color Bags", "")</f>
        <v>10 Color Bags</v>
      </c>
      <c r="D247" s="4" t="str">
        <f>IF(Registered!AS597&gt;0,(IF(Registered!AS597=1,Registered!AS597&amp;" T-Shirt",Registered!AS597&amp;" T-Shirts")), "")</f>
        <v>2 T-Shirts</v>
      </c>
      <c r="E247" s="4" t="str">
        <f>Registered!AT597</f>
        <v>Size Not Specified</v>
      </c>
      <c r="F247" s="4" t="str">
        <f>Registered!AU597</f>
        <v/>
      </c>
      <c r="G247" s="4" t="str">
        <f>Registered!AW597</f>
        <v>2 Meals</v>
      </c>
      <c r="H247" s="4" t="str">
        <f>Registered!AX597</f>
        <v/>
      </c>
      <c r="I247" s="4" t="str">
        <f>Registered!AY597</f>
        <v/>
      </c>
    </row>
    <row r="248" spans="1:9" x14ac:dyDescent="0.25">
      <c r="A248" s="4" t="str">
        <f>Registered!B598</f>
        <v>Donahue</v>
      </c>
      <c r="B248" s="4" t="str">
        <f>Registered!A598</f>
        <v>Erika</v>
      </c>
      <c r="C248" s="4" t="str">
        <f>IF(Registered!AR598&gt;0,Registered!AR598&amp;" Color Bags", "")</f>
        <v>10 Color Bags</v>
      </c>
      <c r="D248" s="4" t="str">
        <f>IF(Registered!AS598&gt;0,(IF(Registered!AS598=1,Registered!AS598&amp;" T-Shirt",Registered!AS598&amp;" T-Shirts")), "")</f>
        <v/>
      </c>
      <c r="E248" s="4" t="str">
        <f>Registered!AT598</f>
        <v/>
      </c>
      <c r="F248" s="4" t="str">
        <f>Registered!AU598</f>
        <v/>
      </c>
      <c r="G248" s="4" t="str">
        <f>Registered!AW598</f>
        <v/>
      </c>
      <c r="H248" s="4" t="str">
        <f>Registered!AX598</f>
        <v/>
      </c>
      <c r="I248" s="4" t="str">
        <f>Registered!AY598</f>
        <v/>
      </c>
    </row>
    <row r="249" spans="1:9" x14ac:dyDescent="0.25">
      <c r="A249" s="4" t="str">
        <f>Registered!B600</f>
        <v>Donnelly</v>
      </c>
      <c r="B249" s="4" t="str">
        <f>Registered!A600</f>
        <v>Justin</v>
      </c>
      <c r="C249" s="4" t="str">
        <f>IF(Registered!AR600&gt;0,Registered!AR600&amp;" Color Bags", "")</f>
        <v>10 Color Bags</v>
      </c>
      <c r="D249" s="4" t="str">
        <f>IF(Registered!AS600&gt;0,(IF(Registered!AS600=1,Registered!AS600&amp;" T-Shirt",Registered!AS600&amp;" T-Shirts")), "")</f>
        <v>2 T-Shirts</v>
      </c>
      <c r="E249" s="4" t="str">
        <f>Registered!AT600</f>
        <v>medium</v>
      </c>
      <c r="F249" s="4" t="str">
        <f>Registered!AU600</f>
        <v/>
      </c>
      <c r="G249" s="4" t="str">
        <f>Registered!AW600</f>
        <v>2 Meals</v>
      </c>
      <c r="H249" s="4" t="str">
        <f>Registered!AX600</f>
        <v/>
      </c>
      <c r="I249" s="4" t="str">
        <f>Registered!AY600</f>
        <v/>
      </c>
    </row>
    <row r="250" spans="1:9" x14ac:dyDescent="0.25">
      <c r="A250" s="4" t="str">
        <f>Registered!B601</f>
        <v>Donovan</v>
      </c>
      <c r="B250" s="4" t="str">
        <f>Registered!A601</f>
        <v>Ellen</v>
      </c>
      <c r="C250" s="4" t="str">
        <f>IF(Registered!AR601&gt;0,Registered!AR601&amp;" Color Bags", "")</f>
        <v>20 Color Bags</v>
      </c>
      <c r="D250" s="4" t="str">
        <f>IF(Registered!AS601&gt;0,(IF(Registered!AS601=1,Registered!AS601&amp;" T-Shirt",Registered!AS601&amp;" T-Shirts")), "")</f>
        <v/>
      </c>
      <c r="E250" s="4" t="str">
        <f>Registered!AT601</f>
        <v/>
      </c>
      <c r="F250" s="4" t="str">
        <f>Registered!AU601</f>
        <v/>
      </c>
      <c r="G250" s="4" t="str">
        <f>Registered!AW601</f>
        <v/>
      </c>
      <c r="H250" s="4" t="str">
        <f>Registered!AX601</f>
        <v/>
      </c>
      <c r="I250" s="4" t="str">
        <f>Registered!AY601</f>
        <v/>
      </c>
    </row>
    <row r="251" spans="1:9" x14ac:dyDescent="0.25">
      <c r="A251" s="4" t="str">
        <f>Registered!B603</f>
        <v>Dopson</v>
      </c>
      <c r="B251" s="4" t="str">
        <f>Registered!A603</f>
        <v>Telena</v>
      </c>
      <c r="C251" s="4" t="str">
        <f>IF(Registered!AR603&gt;0,Registered!AR603&amp;" Color Bags", "")</f>
        <v>5 Color Bags</v>
      </c>
      <c r="D251" s="4" t="str">
        <f>IF(Registered!AS603&gt;0,(IF(Registered!AS603=1,Registered!AS603&amp;" T-Shirt",Registered!AS603&amp;" T-Shirts")), "")</f>
        <v/>
      </c>
      <c r="E251" s="4" t="str">
        <f>Registered!AT603</f>
        <v/>
      </c>
      <c r="F251" s="4" t="str">
        <f>Registered!AU603</f>
        <v/>
      </c>
      <c r="G251" s="4" t="str">
        <f>Registered!AW603</f>
        <v/>
      </c>
      <c r="H251" s="4" t="str">
        <f>Registered!AX603</f>
        <v/>
      </c>
      <c r="I251" s="4" t="str">
        <f>Registered!AY603</f>
        <v/>
      </c>
    </row>
    <row r="252" spans="1:9" x14ac:dyDescent="0.25">
      <c r="A252" s="4" t="str">
        <f>Registered!B604</f>
        <v>Dotson</v>
      </c>
      <c r="B252" s="4" t="str">
        <f>Registered!A604</f>
        <v>Misty</v>
      </c>
      <c r="C252" s="4" t="str">
        <f>IF(Registered!AR604&gt;0,Registered!AR604&amp;" Color Bags", "")</f>
        <v>10 Color Bags</v>
      </c>
      <c r="D252" s="4" t="str">
        <f>IF(Registered!AS604&gt;0,(IF(Registered!AS604=1,Registered!AS604&amp;" T-Shirt",Registered!AS604&amp;" T-Shirts")), "")</f>
        <v/>
      </c>
      <c r="E252" s="4" t="str">
        <f>Registered!AT604</f>
        <v/>
      </c>
      <c r="F252" s="4" t="str">
        <f>Registered!AU604</f>
        <v/>
      </c>
      <c r="G252" s="4" t="str">
        <f>Registered!AW604</f>
        <v/>
      </c>
      <c r="H252" s="4" t="str">
        <f>Registered!AX604</f>
        <v/>
      </c>
      <c r="I252" s="4" t="str">
        <f>Registered!AY604</f>
        <v>1 DustMask</v>
      </c>
    </row>
    <row r="253" spans="1:9" x14ac:dyDescent="0.25">
      <c r="A253" s="4" t="str">
        <f>Registered!B607</f>
        <v>Doty</v>
      </c>
      <c r="B253" s="4" t="str">
        <f>Registered!A607</f>
        <v>Justin</v>
      </c>
      <c r="C253" s="4" t="str">
        <f>IF(Registered!AR607&gt;0,Registered!AR607&amp;" Color Bags", "")</f>
        <v>20 Color Bags</v>
      </c>
      <c r="D253" s="4" t="str">
        <f>IF(Registered!AS607&gt;0,(IF(Registered!AS607=1,Registered!AS607&amp;" T-Shirt",Registered!AS607&amp;" T-Shirts")), "")</f>
        <v/>
      </c>
      <c r="E253" s="4" t="str">
        <f>Registered!AT607</f>
        <v/>
      </c>
      <c r="F253" s="4" t="str">
        <f>Registered!AU607</f>
        <v>4 Bandanas</v>
      </c>
      <c r="G253" s="4" t="str">
        <f>Registered!AW607</f>
        <v/>
      </c>
      <c r="H253" s="4" t="str">
        <f>Registered!AX607</f>
        <v/>
      </c>
      <c r="I253" s="4" t="str">
        <f>Registered!AY607</f>
        <v/>
      </c>
    </row>
    <row r="254" spans="1:9" x14ac:dyDescent="0.25">
      <c r="A254" s="4" t="str">
        <f>Registered!B609</f>
        <v>Dowdle</v>
      </c>
      <c r="B254" s="4" t="str">
        <f>Registered!A609</f>
        <v>Cynthia</v>
      </c>
      <c r="C254" s="4" t="str">
        <f>IF(Registered!AR609&gt;0,Registered!AR609&amp;" Color Bags", "")</f>
        <v>20 Color Bags</v>
      </c>
      <c r="D254" s="4" t="str">
        <f>IF(Registered!AS609&gt;0,(IF(Registered!AS609=1,Registered!AS609&amp;" T-Shirt",Registered!AS609&amp;" T-Shirts")), "")</f>
        <v/>
      </c>
      <c r="E254" s="4" t="str">
        <f>Registered!AT609</f>
        <v/>
      </c>
      <c r="F254" s="4" t="str">
        <f>Registered!AU609</f>
        <v/>
      </c>
      <c r="G254" s="4" t="str">
        <f>Registered!AW609</f>
        <v/>
      </c>
      <c r="H254" s="4" t="str">
        <f>Registered!AX609</f>
        <v/>
      </c>
      <c r="I254" s="4" t="str">
        <f>Registered!AY609</f>
        <v/>
      </c>
    </row>
    <row r="255" spans="1:9" x14ac:dyDescent="0.25">
      <c r="A255" s="4" t="str">
        <f>Registered!B613</f>
        <v>Doxey</v>
      </c>
      <c r="B255" s="4" t="str">
        <f>Registered!A613</f>
        <v>Whitney</v>
      </c>
      <c r="C255" s="4" t="str">
        <f>IF(Registered!AR613&gt;0,Registered!AR613&amp;" Color Bags", "")</f>
        <v/>
      </c>
      <c r="D255" s="4" t="str">
        <f>IF(Registered!AS613&gt;0,(IF(Registered!AS613=1,Registered!AS613&amp;" T-Shirt",Registered!AS613&amp;" T-Shirts")), "")</f>
        <v/>
      </c>
      <c r="E255" s="4" t="str">
        <f>Registered!AT613</f>
        <v/>
      </c>
      <c r="F255" s="4" t="str">
        <f>Registered!AU613</f>
        <v>1 Bandana</v>
      </c>
      <c r="G255" s="4" t="str">
        <f>Registered!AW613</f>
        <v>1 Meal</v>
      </c>
      <c r="H255" s="4" t="str">
        <f>Registered!AX613</f>
        <v/>
      </c>
      <c r="I255" s="4" t="str">
        <f>Registered!AY613</f>
        <v/>
      </c>
    </row>
    <row r="256" spans="1:9" x14ac:dyDescent="0.25">
      <c r="A256" s="4" t="str">
        <f>Registered!B612</f>
        <v>Doxey</v>
      </c>
      <c r="B256" s="4" t="str">
        <f>Registered!A612</f>
        <v>Andrew</v>
      </c>
      <c r="C256" s="4" t="str">
        <f>IF(Registered!AR612&gt;0,Registered!AR612&amp;" Color Bags", "")</f>
        <v>5 Color Bags</v>
      </c>
      <c r="D256" s="4" t="str">
        <f>IF(Registered!AS612&gt;0,(IF(Registered!AS612=1,Registered!AS612&amp;" T-Shirt",Registered!AS612&amp;" T-Shirts")), "")</f>
        <v>1 T-Shirt</v>
      </c>
      <c r="E256" s="4" t="str">
        <f>Registered!AT612</f>
        <v>Medium</v>
      </c>
      <c r="F256" s="4" t="str">
        <f>Registered!AU612</f>
        <v>1 Bandana</v>
      </c>
      <c r="G256" s="4" t="str">
        <f>Registered!AW612</f>
        <v>1 Meal</v>
      </c>
      <c r="H256" s="4" t="str">
        <f>Registered!AX612</f>
        <v>1 BG</v>
      </c>
      <c r="I256" s="4" t="str">
        <f>Registered!AY612</f>
        <v/>
      </c>
    </row>
    <row r="257" spans="1:9" x14ac:dyDescent="0.25">
      <c r="A257" s="4" t="str">
        <f>Registered!B614</f>
        <v>Draper</v>
      </c>
      <c r="B257" s="4" t="str">
        <f>Registered!A614</f>
        <v>Jonathon</v>
      </c>
      <c r="C257" s="4" t="str">
        <f>IF(Registered!AR614&gt;0,Registered!AR614&amp;" Color Bags", "")</f>
        <v>10 Color Bags</v>
      </c>
      <c r="D257" s="4" t="str">
        <f>IF(Registered!AS614&gt;0,(IF(Registered!AS614=1,Registered!AS614&amp;" T-Shirt",Registered!AS614&amp;" T-Shirts")), "")</f>
        <v/>
      </c>
      <c r="E257" s="4" t="str">
        <f>Registered!AT614</f>
        <v/>
      </c>
      <c r="F257" s="4" t="str">
        <f>Registered!AU614</f>
        <v/>
      </c>
      <c r="G257" s="4" t="str">
        <f>Registered!AW614</f>
        <v/>
      </c>
      <c r="H257" s="4" t="str">
        <f>Registered!AX614</f>
        <v/>
      </c>
      <c r="I257" s="4" t="str">
        <f>Registered!AY614</f>
        <v/>
      </c>
    </row>
    <row r="258" spans="1:9" x14ac:dyDescent="0.25">
      <c r="A258" s="4" t="str">
        <f>Registered!B615</f>
        <v>Draughan</v>
      </c>
      <c r="B258" s="4" t="str">
        <f>Registered!A615</f>
        <v>Doug</v>
      </c>
      <c r="C258" s="4" t="str">
        <f>IF(Registered!AR615&gt;0,Registered!AR615&amp;" Color Bags", "")</f>
        <v>10 Color Bags</v>
      </c>
      <c r="D258" s="4" t="str">
        <f>IF(Registered!AS615&gt;0,(IF(Registered!AS615=1,Registered!AS615&amp;" T-Shirt",Registered!AS615&amp;" T-Shirts")), "")</f>
        <v/>
      </c>
      <c r="E258" s="4" t="str">
        <f>Registered!AT615</f>
        <v/>
      </c>
      <c r="F258" s="4" t="str">
        <f>Registered!AU615</f>
        <v/>
      </c>
      <c r="G258" s="4" t="str">
        <f>Registered!AW615</f>
        <v/>
      </c>
      <c r="H258" s="4" t="str">
        <f>Registered!AX615</f>
        <v/>
      </c>
      <c r="I258" s="4" t="str">
        <f>Registered!AY615</f>
        <v/>
      </c>
    </row>
    <row r="259" spans="1:9" x14ac:dyDescent="0.25">
      <c r="A259" s="4" t="str">
        <f>Registered!B617</f>
        <v>Duarte</v>
      </c>
      <c r="B259" s="4" t="str">
        <f>Registered!A617</f>
        <v>Claudia</v>
      </c>
      <c r="C259" s="4" t="str">
        <f>IF(Registered!AR617&gt;0,Registered!AR617&amp;" Color Bags", "")</f>
        <v>15 Color Bags</v>
      </c>
      <c r="D259" s="4" t="str">
        <f>IF(Registered!AS617&gt;0,(IF(Registered!AS617=1,Registered!AS617&amp;" T-Shirt",Registered!AS617&amp;" T-Shirts")), "")</f>
        <v/>
      </c>
      <c r="E259" s="4" t="str">
        <f>Registered!AT617</f>
        <v/>
      </c>
      <c r="F259" s="4" t="str">
        <f>Registered!AU617</f>
        <v/>
      </c>
      <c r="G259" s="4" t="str">
        <f>Registered!AW617</f>
        <v/>
      </c>
      <c r="H259" s="4" t="str">
        <f>Registered!AX617</f>
        <v/>
      </c>
      <c r="I259" s="4" t="str">
        <f>Registered!AY617</f>
        <v/>
      </c>
    </row>
    <row r="260" spans="1:9" x14ac:dyDescent="0.25">
      <c r="A260" s="4" t="str">
        <f>Registered!B619</f>
        <v>Dudley</v>
      </c>
      <c r="B260" s="4" t="str">
        <f>Registered!A619</f>
        <v>Sage</v>
      </c>
      <c r="C260" s="4" t="str">
        <f>IF(Registered!AR619&gt;0,Registered!AR619&amp;" Color Bags", "")</f>
        <v>5 Color Bags</v>
      </c>
      <c r="D260" s="4" t="str">
        <f>IF(Registered!AS619&gt;0,(IF(Registered!AS619=1,Registered!AS619&amp;" T-Shirt",Registered!AS619&amp;" T-Shirts")), "")</f>
        <v/>
      </c>
      <c r="E260" s="4" t="str">
        <f>Registered!AT619</f>
        <v/>
      </c>
      <c r="F260" s="4" t="str">
        <f>Registered!AU619</f>
        <v/>
      </c>
      <c r="G260" s="4" t="str">
        <f>Registered!AW619</f>
        <v/>
      </c>
      <c r="H260" s="4" t="str">
        <f>Registered!AX619</f>
        <v/>
      </c>
      <c r="I260" s="4" t="str">
        <f>Registered!AY619</f>
        <v/>
      </c>
    </row>
    <row r="261" spans="1:9" x14ac:dyDescent="0.25">
      <c r="A261" s="4" t="str">
        <f>Registered!B620</f>
        <v>Dugger</v>
      </c>
      <c r="B261" s="4" t="str">
        <f>Registered!A620</f>
        <v>Cory</v>
      </c>
      <c r="C261" s="4" t="str">
        <f>IF(Registered!AR620&gt;0,Registered!AR620&amp;" Color Bags", "")</f>
        <v>5 Color Bags</v>
      </c>
      <c r="D261" s="4" t="str">
        <f>IF(Registered!AS620&gt;0,(IF(Registered!AS620=1,Registered!AS620&amp;" T-Shirt",Registered!AS620&amp;" T-Shirts")), "")</f>
        <v/>
      </c>
      <c r="E261" s="4" t="str">
        <f>Registered!AT620</f>
        <v/>
      </c>
      <c r="F261" s="4" t="str">
        <f>Registered!AU620</f>
        <v>1 Bandana</v>
      </c>
      <c r="G261" s="4" t="str">
        <f>Registered!AW620</f>
        <v/>
      </c>
      <c r="H261" s="4" t="str">
        <f>Registered!AX620</f>
        <v/>
      </c>
      <c r="I261" s="4" t="str">
        <f>Registered!AY620</f>
        <v/>
      </c>
    </row>
    <row r="262" spans="1:9" x14ac:dyDescent="0.25">
      <c r="A262" s="4" t="str">
        <f>Registered!B621</f>
        <v>Duler</v>
      </c>
      <c r="B262" s="4" t="str">
        <f>Registered!A621</f>
        <v>Kristina</v>
      </c>
      <c r="C262" s="4" t="str">
        <f>IF(Registered!AR621&gt;0,Registered!AR621&amp;" Color Bags", "")</f>
        <v>5 Color Bags</v>
      </c>
      <c r="D262" s="4" t="str">
        <f>IF(Registered!AS621&gt;0,(IF(Registered!AS621=1,Registered!AS621&amp;" T-Shirt",Registered!AS621&amp;" T-Shirts")), "")</f>
        <v/>
      </c>
      <c r="E262" s="4" t="str">
        <f>Registered!AT621</f>
        <v/>
      </c>
      <c r="F262" s="4" t="str">
        <f>Registered!AU621</f>
        <v/>
      </c>
      <c r="G262" s="4" t="str">
        <f>Registered!AW621</f>
        <v>1 Meal</v>
      </c>
      <c r="H262" s="4" t="str">
        <f>Registered!AX621</f>
        <v/>
      </c>
      <c r="I262" s="4" t="str">
        <f>Registered!AY621</f>
        <v/>
      </c>
    </row>
    <row r="263" spans="1:9" x14ac:dyDescent="0.25">
      <c r="A263" s="4" t="str">
        <f>Registered!B623</f>
        <v>Dumont</v>
      </c>
      <c r="B263" s="4" t="str">
        <f>Registered!A623</f>
        <v>Catherine</v>
      </c>
      <c r="C263" s="4" t="str">
        <f>IF(Registered!AR623&gt;0,Registered!AR623&amp;" Color Bags", "")</f>
        <v>20 Color Bags</v>
      </c>
      <c r="D263" s="4" t="str">
        <f>IF(Registered!AS623&gt;0,(IF(Registered!AS623=1,Registered!AS623&amp;" T-Shirt",Registered!AS623&amp;" T-Shirts")), "")</f>
        <v/>
      </c>
      <c r="E263" s="4" t="str">
        <f>Registered!AT623</f>
        <v/>
      </c>
      <c r="F263" s="4" t="str">
        <f>Registered!AU623</f>
        <v>2 Bandanas</v>
      </c>
      <c r="G263" s="4" t="str">
        <f>Registered!AW623</f>
        <v>2 Meals</v>
      </c>
      <c r="H263" s="4" t="str">
        <f>Registered!AX623</f>
        <v>1 BG</v>
      </c>
      <c r="I263" s="4" t="str">
        <f>Registered!AY623</f>
        <v/>
      </c>
    </row>
    <row r="264" spans="1:9" x14ac:dyDescent="0.25">
      <c r="A264" s="4" t="str">
        <f>Registered!B627</f>
        <v>Dunbar</v>
      </c>
      <c r="B264" s="4" t="str">
        <f>Registered!A627</f>
        <v>Michelle</v>
      </c>
      <c r="C264" s="4" t="str">
        <f>IF(Registered!AR627&gt;0,Registered!AR627&amp;" Color Bags", "")</f>
        <v>20 Color Bags</v>
      </c>
      <c r="D264" s="4" t="str">
        <f>IF(Registered!AS627&gt;0,(IF(Registered!AS627=1,Registered!AS627&amp;" T-Shirt",Registered!AS627&amp;" T-Shirts")), "")</f>
        <v/>
      </c>
      <c r="E264" s="4" t="str">
        <f>Registered!AT627</f>
        <v/>
      </c>
      <c r="F264" s="4" t="str">
        <f>Registered!AU627</f>
        <v/>
      </c>
      <c r="G264" s="4" t="str">
        <f>Registered!AW627</f>
        <v/>
      </c>
      <c r="H264" s="4" t="str">
        <f>Registered!AX627</f>
        <v/>
      </c>
      <c r="I264" s="4" t="str">
        <f>Registered!AY627</f>
        <v/>
      </c>
    </row>
    <row r="265" spans="1:9" x14ac:dyDescent="0.25">
      <c r="A265" s="4" t="str">
        <f>Registered!B628</f>
        <v>Duncan</v>
      </c>
      <c r="B265" s="4" t="str">
        <f>Registered!A628</f>
        <v>Charity</v>
      </c>
      <c r="C265" s="4" t="str">
        <f>IF(Registered!AR628&gt;0,Registered!AR628&amp;" Color Bags", "")</f>
        <v>10 Color Bags</v>
      </c>
      <c r="D265" s="4" t="str">
        <f>IF(Registered!AS628&gt;0,(IF(Registered!AS628=1,Registered!AS628&amp;" T-Shirt",Registered!AS628&amp;" T-Shirts")), "")</f>
        <v>2 T-Shirts</v>
      </c>
      <c r="E265" s="4" t="str">
        <f>Registered!AT628</f>
        <v>one Large and one Medium</v>
      </c>
      <c r="F265" s="4" t="str">
        <f>Registered!AU628</f>
        <v/>
      </c>
      <c r="G265" s="4" t="str">
        <f>Registered!AW628</f>
        <v>2 Meals</v>
      </c>
      <c r="H265" s="4" t="str">
        <f>Registered!AX628</f>
        <v/>
      </c>
      <c r="I265" s="4" t="str">
        <f>Registered!AY628</f>
        <v/>
      </c>
    </row>
    <row r="266" spans="1:9" x14ac:dyDescent="0.25">
      <c r="A266" s="4" t="str">
        <f>Registered!B630</f>
        <v>Durfey</v>
      </c>
      <c r="B266" s="4" t="str">
        <f>Registered!A630</f>
        <v>Anthony</v>
      </c>
      <c r="C266" s="4" t="str">
        <f>IF(Registered!AR630&gt;0,Registered!AR630&amp;" Color Bags", "")</f>
        <v>5 Color Bags</v>
      </c>
      <c r="D266" s="4" t="str">
        <f>IF(Registered!AS630&gt;0,(IF(Registered!AS630=1,Registered!AS630&amp;" T-Shirt",Registered!AS630&amp;" T-Shirts")), "")</f>
        <v/>
      </c>
      <c r="E266" s="4" t="str">
        <f>Registered!AT630</f>
        <v/>
      </c>
      <c r="F266" s="4" t="str">
        <f>Registered!AU630</f>
        <v/>
      </c>
      <c r="G266" s="4" t="str">
        <f>Registered!AW630</f>
        <v/>
      </c>
      <c r="H266" s="4" t="str">
        <f>Registered!AX630</f>
        <v/>
      </c>
      <c r="I266" s="4" t="str">
        <f>Registered!AY630</f>
        <v/>
      </c>
    </row>
    <row r="267" spans="1:9" x14ac:dyDescent="0.25">
      <c r="A267" s="4" t="str">
        <f>Registered!B631</f>
        <v>Durham</v>
      </c>
      <c r="B267" s="4" t="str">
        <f>Registered!A631</f>
        <v>Jordan</v>
      </c>
      <c r="C267" s="4" t="str">
        <f>IF(Registered!AR631&gt;0,Registered!AR631&amp;" Color Bags", "")</f>
        <v>10 Color Bags</v>
      </c>
      <c r="D267" s="4" t="str">
        <f>IF(Registered!AS631&gt;0,(IF(Registered!AS631=1,Registered!AS631&amp;" T-Shirt",Registered!AS631&amp;" T-Shirts")), "")</f>
        <v>2 T-Shirts</v>
      </c>
      <c r="E267" s="4" t="str">
        <f>Registered!AT631</f>
        <v>XL</v>
      </c>
      <c r="F267" s="4" t="str">
        <f>Registered!AU631</f>
        <v/>
      </c>
      <c r="G267" s="4" t="str">
        <f>Registered!AW631</f>
        <v>2 Meals</v>
      </c>
      <c r="H267" s="4" t="str">
        <f>Registered!AX631</f>
        <v/>
      </c>
      <c r="I267" s="4" t="str">
        <f>Registered!AY631</f>
        <v/>
      </c>
    </row>
    <row r="268" spans="1:9" x14ac:dyDescent="0.25">
      <c r="A268" s="4" t="str">
        <f>Registered!B632</f>
        <v>Durr</v>
      </c>
      <c r="B268" s="4" t="str">
        <f>Registered!A632</f>
        <v>Sarah</v>
      </c>
      <c r="C268" s="4" t="str">
        <f>IF(Registered!AR632&gt;0,Registered!AR632&amp;" Color Bags", "")</f>
        <v>15 Color Bags</v>
      </c>
      <c r="D268" s="4" t="str">
        <f>IF(Registered!AS632&gt;0,(IF(Registered!AS632=1,Registered!AS632&amp;" T-Shirt",Registered!AS632&amp;" T-Shirts")), "")</f>
        <v/>
      </c>
      <c r="E268" s="4" t="str">
        <f>Registered!AT632</f>
        <v/>
      </c>
      <c r="F268" s="4" t="str">
        <f>Registered!AU632</f>
        <v/>
      </c>
      <c r="G268" s="4" t="str">
        <f>Registered!AW632</f>
        <v/>
      </c>
      <c r="H268" s="4" t="str">
        <f>Registered!AX632</f>
        <v/>
      </c>
      <c r="I268" s="4" t="str">
        <f>Registered!AY632</f>
        <v/>
      </c>
    </row>
    <row r="269" spans="1:9" x14ac:dyDescent="0.25">
      <c r="A269" s="4" t="str">
        <f>Registered!B634</f>
        <v>Durtschi</v>
      </c>
      <c r="B269" s="4" t="str">
        <f>Registered!A634</f>
        <v>Lela</v>
      </c>
      <c r="C269" s="4" t="str">
        <f>IF(Registered!AR634&gt;0,Registered!AR634&amp;" Color Bags", "")</f>
        <v>5 Color Bags</v>
      </c>
      <c r="D269" s="4" t="str">
        <f>IF(Registered!AS634&gt;0,(IF(Registered!AS634=1,Registered!AS634&amp;" T-Shirt",Registered!AS634&amp;" T-Shirts")), "")</f>
        <v/>
      </c>
      <c r="E269" s="4" t="str">
        <f>Registered!AT634</f>
        <v/>
      </c>
      <c r="F269" s="4" t="str">
        <f>Registered!AU634</f>
        <v/>
      </c>
      <c r="G269" s="4" t="str">
        <f>Registered!AW634</f>
        <v/>
      </c>
      <c r="H269" s="4" t="str">
        <f>Registered!AX634</f>
        <v/>
      </c>
      <c r="I269" s="4" t="str">
        <f>Registered!AY634</f>
        <v/>
      </c>
    </row>
    <row r="270" spans="1:9" x14ac:dyDescent="0.25">
      <c r="A270" s="4" t="str">
        <f>Registered!B637</f>
        <v>Dyck</v>
      </c>
      <c r="B270" s="4" t="str">
        <f>Registered!A637</f>
        <v>Kimberly</v>
      </c>
      <c r="C270" s="4" t="str">
        <f>IF(Registered!AR637&gt;0,Registered!AR637&amp;" Color Bags", "")</f>
        <v>10 Color Bags</v>
      </c>
      <c r="D270" s="4" t="str">
        <f>IF(Registered!AS637&gt;0,(IF(Registered!AS637=1,Registered!AS637&amp;" T-Shirt",Registered!AS637&amp;" T-Shirts")), "")</f>
        <v>1 T-Shirt</v>
      </c>
      <c r="E270" s="4" t="str">
        <f>Registered!AT637</f>
        <v>Medium</v>
      </c>
      <c r="F270" s="4" t="str">
        <f>Registered!AU637</f>
        <v/>
      </c>
      <c r="G270" s="4" t="str">
        <f>Registered!AW637</f>
        <v/>
      </c>
      <c r="H270" s="4" t="str">
        <f>Registered!AX637</f>
        <v/>
      </c>
      <c r="I270" s="4" t="str">
        <f>Registered!AY637</f>
        <v/>
      </c>
    </row>
    <row r="271" spans="1:9" x14ac:dyDescent="0.25">
      <c r="A271" s="4" t="str">
        <f>Registered!B642</f>
        <v>Edrington</v>
      </c>
      <c r="B271" s="4" t="str">
        <f>Registered!A642</f>
        <v>Corinne</v>
      </c>
      <c r="C271" s="4" t="str">
        <f>IF(Registered!AR642&gt;0,Registered!AR642&amp;" Color Bags", "")</f>
        <v>10 Color Bags</v>
      </c>
      <c r="D271" s="4" t="str">
        <f>IF(Registered!AS642&gt;0,(IF(Registered!AS642=1,Registered!AS642&amp;" T-Shirt",Registered!AS642&amp;" T-Shirts")), "")</f>
        <v/>
      </c>
      <c r="E271" s="4" t="str">
        <f>Registered!AT642</f>
        <v/>
      </c>
      <c r="F271" s="4" t="str">
        <f>Registered!AU642</f>
        <v/>
      </c>
      <c r="G271" s="4" t="str">
        <f>Registered!AW642</f>
        <v/>
      </c>
      <c r="H271" s="4" t="str">
        <f>Registered!AX642</f>
        <v/>
      </c>
      <c r="I271" s="4" t="str">
        <f>Registered!AY642</f>
        <v/>
      </c>
    </row>
    <row r="272" spans="1:9" x14ac:dyDescent="0.25">
      <c r="A272" s="4" t="str">
        <f>Registered!B643</f>
        <v>Edwards</v>
      </c>
      <c r="B272" s="4" t="str">
        <f>Registered!A643</f>
        <v>Nic</v>
      </c>
      <c r="C272" s="4" t="str">
        <f>IF(Registered!AR643&gt;0,Registered!AR643&amp;" Color Bags", "")</f>
        <v>30 Color Bags</v>
      </c>
      <c r="D272" s="4" t="str">
        <f>IF(Registered!AS643&gt;0,(IF(Registered!AS643=1,Registered!AS643&amp;" T-Shirt",Registered!AS643&amp;" T-Shirts")), "")</f>
        <v/>
      </c>
      <c r="E272" s="4" t="str">
        <f>Registered!AT643</f>
        <v/>
      </c>
      <c r="F272" s="4" t="str">
        <f>Registered!AU643</f>
        <v/>
      </c>
      <c r="G272" s="4" t="str">
        <f>Registered!AW643</f>
        <v/>
      </c>
      <c r="H272" s="4" t="str">
        <f>Registered!AX643</f>
        <v/>
      </c>
      <c r="I272" s="4" t="str">
        <f>Registered!AY643</f>
        <v/>
      </c>
    </row>
    <row r="273" spans="1:9" x14ac:dyDescent="0.25">
      <c r="A273" s="4" t="str">
        <f>Registered!B646</f>
        <v>Egan</v>
      </c>
      <c r="B273" s="4" t="str">
        <f>Registered!A646</f>
        <v>Kris</v>
      </c>
      <c r="C273" s="4" t="str">
        <f>IF(Registered!AR646&gt;0,Registered!AR646&amp;" Color Bags", "")</f>
        <v>5 Color Bags</v>
      </c>
      <c r="D273" s="4" t="str">
        <f>IF(Registered!AS646&gt;0,(IF(Registered!AS646=1,Registered!AS646&amp;" T-Shirt",Registered!AS646&amp;" T-Shirts")), "")</f>
        <v/>
      </c>
      <c r="E273" s="4" t="str">
        <f>Registered!AT646</f>
        <v/>
      </c>
      <c r="F273" s="4" t="str">
        <f>Registered!AU646</f>
        <v/>
      </c>
      <c r="G273" s="4" t="str">
        <f>Registered!AW646</f>
        <v>2 Meals</v>
      </c>
      <c r="H273" s="4" t="str">
        <f>Registered!AX646</f>
        <v/>
      </c>
      <c r="I273" s="4" t="str">
        <f>Registered!AY646</f>
        <v/>
      </c>
    </row>
    <row r="274" spans="1:9" x14ac:dyDescent="0.25">
      <c r="A274" s="4" t="str">
        <f>Registered!B647</f>
        <v>Eggen</v>
      </c>
      <c r="B274" s="4" t="str">
        <f>Registered!A647</f>
        <v>Tammy</v>
      </c>
      <c r="C274" s="4" t="str">
        <f>IF(Registered!AR647&gt;0,Registered!AR647&amp;" Color Bags", "")</f>
        <v>5 Color Bags</v>
      </c>
      <c r="D274" s="4" t="str">
        <f>IF(Registered!AS647&gt;0,(IF(Registered!AS647=1,Registered!AS647&amp;" T-Shirt",Registered!AS647&amp;" T-Shirts")), "")</f>
        <v>2 T-Shirts</v>
      </c>
      <c r="E274" s="4" t="str">
        <f>Registered!AT647</f>
        <v>I bought 2 so one in XLarge and one in Large</v>
      </c>
      <c r="F274" s="4" t="str">
        <f>Registered!AU647</f>
        <v/>
      </c>
      <c r="G274" s="4" t="str">
        <f>Registered!AW647</f>
        <v/>
      </c>
      <c r="H274" s="4" t="str">
        <f>Registered!AX647</f>
        <v/>
      </c>
      <c r="I274" s="4" t="str">
        <f>Registered!AY647</f>
        <v/>
      </c>
    </row>
    <row r="275" spans="1:9" x14ac:dyDescent="0.25">
      <c r="A275" s="4" t="str">
        <f>Registered!B649</f>
        <v>Eldredge</v>
      </c>
      <c r="B275" s="4" t="str">
        <f>Registered!A649</f>
        <v>Sophia</v>
      </c>
      <c r="C275" s="4" t="str">
        <f>IF(Registered!AR649&gt;0,Registered!AR649&amp;" Color Bags", "")</f>
        <v>20 Color Bags</v>
      </c>
      <c r="D275" s="4" t="str">
        <f>IF(Registered!AS649&gt;0,(IF(Registered!AS649=1,Registered!AS649&amp;" T-Shirt",Registered!AS649&amp;" T-Shirts")), "")</f>
        <v/>
      </c>
      <c r="E275" s="4" t="str">
        <f>Registered!AT649</f>
        <v/>
      </c>
      <c r="F275" s="4" t="str">
        <f>Registered!AU649</f>
        <v/>
      </c>
      <c r="G275" s="4" t="str">
        <f>Registered!AW649</f>
        <v/>
      </c>
      <c r="H275" s="4" t="str">
        <f>Registered!AX649</f>
        <v/>
      </c>
      <c r="I275" s="4" t="str">
        <f>Registered!AY649</f>
        <v/>
      </c>
    </row>
    <row r="276" spans="1:9" x14ac:dyDescent="0.25">
      <c r="A276" s="4" t="str">
        <f>Registered!B651</f>
        <v>Elkington</v>
      </c>
      <c r="B276" s="4" t="str">
        <f>Registered!A651</f>
        <v>Joshua</v>
      </c>
      <c r="C276" s="4" t="str">
        <f>IF(Registered!AR651&gt;0,Registered!AR651&amp;" Color Bags", "")</f>
        <v>10 Color Bags</v>
      </c>
      <c r="D276" s="4" t="str">
        <f>IF(Registered!AS651&gt;0,(IF(Registered!AS651=1,Registered!AS651&amp;" T-Shirt",Registered!AS651&amp;" T-Shirts")), "")</f>
        <v/>
      </c>
      <c r="E276" s="4" t="str">
        <f>Registered!AT651</f>
        <v/>
      </c>
      <c r="F276" s="4" t="str">
        <f>Registered!AU651</f>
        <v/>
      </c>
      <c r="G276" s="4" t="str">
        <f>Registered!AW651</f>
        <v/>
      </c>
      <c r="H276" s="4" t="str">
        <f>Registered!AX651</f>
        <v/>
      </c>
      <c r="I276" s="4" t="str">
        <f>Registered!AY651</f>
        <v/>
      </c>
    </row>
    <row r="277" spans="1:9" x14ac:dyDescent="0.25">
      <c r="A277" s="4" t="str">
        <f>Registered!B653</f>
        <v>Elliott</v>
      </c>
      <c r="B277" s="4" t="str">
        <f>Registered!A653</f>
        <v>Halie</v>
      </c>
      <c r="C277" s="4" t="str">
        <f>IF(Registered!AR653&gt;0,Registered!AR653&amp;" Color Bags", "")</f>
        <v>5 Color Bags</v>
      </c>
      <c r="D277" s="4" t="str">
        <f>IF(Registered!AS653&gt;0,(IF(Registered!AS653=1,Registered!AS653&amp;" T-Shirt",Registered!AS653&amp;" T-Shirts")), "")</f>
        <v>1 T-Shirt</v>
      </c>
      <c r="E277" s="4" t="str">
        <f>Registered!AT653</f>
        <v>small</v>
      </c>
      <c r="F277" s="4" t="str">
        <f>Registered!AU653</f>
        <v/>
      </c>
      <c r="G277" s="4" t="str">
        <f>Registered!AW653</f>
        <v>1 Meal</v>
      </c>
      <c r="H277" s="4" t="str">
        <f>Registered!AX653</f>
        <v/>
      </c>
      <c r="I277" s="4" t="str">
        <f>Registered!AY653</f>
        <v/>
      </c>
    </row>
    <row r="278" spans="1:9" x14ac:dyDescent="0.25">
      <c r="A278" s="4" t="str">
        <f>Registered!B657</f>
        <v>Emery</v>
      </c>
      <c r="B278" s="4" t="str">
        <f>Registered!A657</f>
        <v>Robyn</v>
      </c>
      <c r="C278" s="4" t="str">
        <f>IF(Registered!AR657&gt;0,Registered!AR657&amp;" Color Bags", "")</f>
        <v>5 Color Bags</v>
      </c>
      <c r="D278" s="4" t="str">
        <f>IF(Registered!AS657&gt;0,(IF(Registered!AS657=1,Registered!AS657&amp;" T-Shirt",Registered!AS657&amp;" T-Shirts")), "")</f>
        <v>1 T-Shirt</v>
      </c>
      <c r="E278" s="4" t="str">
        <f>Registered!AT657</f>
        <v>2x</v>
      </c>
      <c r="F278" s="4" t="str">
        <f>Registered!AU657</f>
        <v/>
      </c>
      <c r="G278" s="4" t="str">
        <f>Registered!AW657</f>
        <v/>
      </c>
      <c r="H278" s="4" t="str">
        <f>Registered!AX657</f>
        <v/>
      </c>
      <c r="I278" s="4" t="str">
        <f>Registered!AY657</f>
        <v/>
      </c>
    </row>
    <row r="279" spans="1:9" x14ac:dyDescent="0.25">
      <c r="A279" s="4" t="str">
        <f>Registered!B658</f>
        <v>Encizo</v>
      </c>
      <c r="B279" s="4" t="str">
        <f>Registered!A658</f>
        <v>Beth</v>
      </c>
      <c r="C279" s="4" t="str">
        <f>IF(Registered!AR658&gt;0,Registered!AR658&amp;" Color Bags", "")</f>
        <v>5 Color Bags</v>
      </c>
      <c r="D279" s="4" t="str">
        <f>IF(Registered!AS658&gt;0,(IF(Registered!AS658=1,Registered!AS658&amp;" T-Shirt",Registered!AS658&amp;" T-Shirts")), "")</f>
        <v/>
      </c>
      <c r="E279" s="4" t="str">
        <f>Registered!AT658</f>
        <v/>
      </c>
      <c r="F279" s="4" t="str">
        <f>Registered!AU658</f>
        <v/>
      </c>
      <c r="G279" s="4" t="str">
        <f>Registered!AW658</f>
        <v/>
      </c>
      <c r="H279" s="4" t="str">
        <f>Registered!AX658</f>
        <v/>
      </c>
      <c r="I279" s="4" t="str">
        <f>Registered!AY658</f>
        <v/>
      </c>
    </row>
    <row r="280" spans="1:9" x14ac:dyDescent="0.25">
      <c r="A280" s="4" t="str">
        <f>Registered!B659</f>
        <v>Epperson</v>
      </c>
      <c r="B280" s="4" t="str">
        <f>Registered!A659</f>
        <v>Heather</v>
      </c>
      <c r="C280" s="4" t="str">
        <f>IF(Registered!AR659&gt;0,Registered!AR659&amp;" Color Bags", "")</f>
        <v>5 Color Bags</v>
      </c>
      <c r="D280" s="4" t="str">
        <f>IF(Registered!AS659&gt;0,(IF(Registered!AS659=1,Registered!AS659&amp;" T-Shirt",Registered!AS659&amp;" T-Shirts")), "")</f>
        <v/>
      </c>
      <c r="E280" s="4" t="str">
        <f>Registered!AT659</f>
        <v/>
      </c>
      <c r="F280" s="4" t="str">
        <f>Registered!AU659</f>
        <v/>
      </c>
      <c r="G280" s="4" t="str">
        <f>Registered!AW659</f>
        <v/>
      </c>
      <c r="H280" s="4" t="str">
        <f>Registered!AX659</f>
        <v/>
      </c>
      <c r="I280" s="4" t="str">
        <f>Registered!AY659</f>
        <v/>
      </c>
    </row>
    <row r="281" spans="1:9" x14ac:dyDescent="0.25">
      <c r="A281" s="4" t="str">
        <f>Registered!B660</f>
        <v>Equihua</v>
      </c>
      <c r="B281" s="4" t="str">
        <f>Registered!A660</f>
        <v>Tania</v>
      </c>
      <c r="C281" s="4" t="str">
        <f>IF(Registered!AR660&gt;0,Registered!AR660&amp;" Color Bags", "")</f>
        <v>20 Color Bags</v>
      </c>
      <c r="D281" s="4" t="str">
        <f>IF(Registered!AS660&gt;0,(IF(Registered!AS660=1,Registered!AS660&amp;" T-Shirt",Registered!AS660&amp;" T-Shirts")), "")</f>
        <v/>
      </c>
      <c r="E281" s="4" t="str">
        <f>Registered!AT660</f>
        <v/>
      </c>
      <c r="F281" s="4" t="str">
        <f>Registered!AU660</f>
        <v/>
      </c>
      <c r="G281" s="4" t="str">
        <f>Registered!AW660</f>
        <v/>
      </c>
      <c r="H281" s="4" t="str">
        <f>Registered!AX660</f>
        <v/>
      </c>
      <c r="I281" s="4" t="str">
        <f>Registered!AY660</f>
        <v/>
      </c>
    </row>
    <row r="282" spans="1:9" x14ac:dyDescent="0.25">
      <c r="A282" s="4" t="str">
        <f>Registered!B661</f>
        <v>Ericksen</v>
      </c>
      <c r="B282" s="4" t="str">
        <f>Registered!A661</f>
        <v>Brady</v>
      </c>
      <c r="C282" s="4" t="str">
        <f>IF(Registered!AR661&gt;0,Registered!AR661&amp;" Color Bags", "")</f>
        <v>5 Color Bags</v>
      </c>
      <c r="D282" s="4" t="str">
        <f>IF(Registered!AS661&gt;0,(IF(Registered!AS661=1,Registered!AS661&amp;" T-Shirt",Registered!AS661&amp;" T-Shirts")), "")</f>
        <v/>
      </c>
      <c r="E282" s="4" t="str">
        <f>Registered!AT661</f>
        <v/>
      </c>
      <c r="F282" s="4" t="str">
        <f>Registered!AU661</f>
        <v/>
      </c>
      <c r="G282" s="4" t="str">
        <f>Registered!AW661</f>
        <v/>
      </c>
      <c r="H282" s="4" t="str">
        <f>Registered!AX661</f>
        <v/>
      </c>
      <c r="I282" s="4" t="str">
        <f>Registered!AY661</f>
        <v/>
      </c>
    </row>
    <row r="283" spans="1:9" x14ac:dyDescent="0.25">
      <c r="A283" s="4" t="str">
        <f>Registered!B665</f>
        <v>Estey</v>
      </c>
      <c r="B283" s="4" t="str">
        <f>Registered!A665</f>
        <v>Tamara</v>
      </c>
      <c r="C283" s="4" t="str">
        <f>IF(Registered!AR665&gt;0,Registered!AR665&amp;" Color Bags", "")</f>
        <v>5 Color Bags</v>
      </c>
      <c r="D283" s="4" t="str">
        <f>IF(Registered!AS665&gt;0,(IF(Registered!AS665=1,Registered!AS665&amp;" T-Shirt",Registered!AS665&amp;" T-Shirts")), "")</f>
        <v/>
      </c>
      <c r="E283" s="4" t="str">
        <f>Registered!AT665</f>
        <v/>
      </c>
      <c r="F283" s="4" t="str">
        <f>Registered!AU665</f>
        <v/>
      </c>
      <c r="G283" s="4" t="str">
        <f>Registered!AW665</f>
        <v>1 Meal</v>
      </c>
      <c r="H283" s="4" t="str">
        <f>Registered!AX665</f>
        <v>1 BG</v>
      </c>
      <c r="I283" s="4" t="str">
        <f>Registered!AY665</f>
        <v/>
      </c>
    </row>
    <row r="284" spans="1:9" x14ac:dyDescent="0.25">
      <c r="A284" s="4" t="str">
        <f>Registered!B666</f>
        <v>Evans</v>
      </c>
      <c r="B284" s="4" t="str">
        <f>Registered!A666</f>
        <v>Chris</v>
      </c>
      <c r="C284" s="4" t="str">
        <f>IF(Registered!AR666&gt;0,Registered!AR666&amp;" Color Bags", "")</f>
        <v>10 Color Bags</v>
      </c>
      <c r="D284" s="4" t="str">
        <f>IF(Registered!AS666&gt;0,(IF(Registered!AS666=1,Registered!AS666&amp;" T-Shirt",Registered!AS666&amp;" T-Shirts")), "")</f>
        <v>2 T-Shirts</v>
      </c>
      <c r="E284" s="4" t="str">
        <f>Registered!AT666</f>
        <v>One (1) Extra Large and One (1) Large</v>
      </c>
      <c r="F284" s="4" t="str">
        <f>Registered!AU666</f>
        <v>2 Bandanas</v>
      </c>
      <c r="G284" s="4" t="str">
        <f>Registered!AW666</f>
        <v>2 Meals</v>
      </c>
      <c r="H284" s="4" t="str">
        <f>Registered!AX666</f>
        <v/>
      </c>
      <c r="I284" s="4" t="str">
        <f>Registered!AY666</f>
        <v/>
      </c>
    </row>
    <row r="285" spans="1:9" x14ac:dyDescent="0.25">
      <c r="A285" s="4" t="str">
        <f>Registered!B672</f>
        <v>Ewell</v>
      </c>
      <c r="B285" s="4" t="str">
        <f>Registered!A672</f>
        <v>Briana</v>
      </c>
      <c r="C285" s="4" t="str">
        <f>IF(Registered!AR672&gt;0,Registered!AR672&amp;" Color Bags", "")</f>
        <v>40 Color Bags</v>
      </c>
      <c r="D285" s="4" t="str">
        <f>IF(Registered!AS672&gt;0,(IF(Registered!AS672=1,Registered!AS672&amp;" T-Shirt",Registered!AS672&amp;" T-Shirts")), "")</f>
        <v>1 T-Shirt</v>
      </c>
      <c r="E285" s="4" t="str">
        <f>Registered!AT672</f>
        <v>Large</v>
      </c>
      <c r="F285" s="4" t="str">
        <f>Registered!AU672</f>
        <v>1 Bandana</v>
      </c>
      <c r="G285" s="4" t="str">
        <f>Registered!AW672</f>
        <v/>
      </c>
      <c r="H285" s="4" t="str">
        <f>Registered!AX672</f>
        <v/>
      </c>
      <c r="I285" s="4" t="str">
        <f>Registered!AY672</f>
        <v/>
      </c>
    </row>
    <row r="286" spans="1:9" x14ac:dyDescent="0.25">
      <c r="A286" s="4" t="str">
        <f>Registered!B675</f>
        <v>Fallentine</v>
      </c>
      <c r="B286" s="4" t="str">
        <f>Registered!A675</f>
        <v>C. J.</v>
      </c>
      <c r="C286" s="4" t="str">
        <f>IF(Registered!AR675&gt;0,Registered!AR675&amp;" Color Bags", "")</f>
        <v>5 Color Bags</v>
      </c>
      <c r="D286" s="4" t="str">
        <f>IF(Registered!AS675&gt;0,(IF(Registered!AS675=1,Registered!AS675&amp;" T-Shirt",Registered!AS675&amp;" T-Shirts")), "")</f>
        <v/>
      </c>
      <c r="E286" s="4" t="str">
        <f>Registered!AT675</f>
        <v/>
      </c>
      <c r="F286" s="4" t="str">
        <f>Registered!AU675</f>
        <v/>
      </c>
      <c r="G286" s="4" t="str">
        <f>Registered!AW675</f>
        <v/>
      </c>
      <c r="H286" s="4" t="str">
        <f>Registered!AX675</f>
        <v/>
      </c>
      <c r="I286" s="4" t="str">
        <f>Registered!AY675</f>
        <v/>
      </c>
    </row>
    <row r="287" spans="1:9" x14ac:dyDescent="0.25">
      <c r="A287" s="4" t="str">
        <f>Registered!B676</f>
        <v>Fannen</v>
      </c>
      <c r="B287" s="4" t="str">
        <f>Registered!A676</f>
        <v>Caitlin</v>
      </c>
      <c r="C287" s="4" t="str">
        <f>IF(Registered!AR676&gt;0,Registered!AR676&amp;" Color Bags", "")</f>
        <v>5 Color Bags</v>
      </c>
      <c r="D287" s="4" t="str">
        <f>IF(Registered!AS676&gt;0,(IF(Registered!AS676=1,Registered!AS676&amp;" T-Shirt",Registered!AS676&amp;" T-Shirts")), "")</f>
        <v/>
      </c>
      <c r="E287" s="4" t="str">
        <f>Registered!AT676</f>
        <v/>
      </c>
      <c r="F287" s="4" t="str">
        <f>Registered!AU676</f>
        <v/>
      </c>
      <c r="G287" s="4" t="str">
        <f>Registered!AW676</f>
        <v/>
      </c>
      <c r="H287" s="4" t="str">
        <f>Registered!AX676</f>
        <v/>
      </c>
      <c r="I287" s="4" t="str">
        <f>Registered!AY676</f>
        <v/>
      </c>
    </row>
    <row r="288" spans="1:9" x14ac:dyDescent="0.25">
      <c r="A288" s="4" t="str">
        <f>Registered!B677</f>
        <v>Farmer</v>
      </c>
      <c r="B288" s="4" t="str">
        <f>Registered!A677</f>
        <v>Allison</v>
      </c>
      <c r="C288" s="4" t="str">
        <f>IF(Registered!AR677&gt;0,Registered!AR677&amp;" Color Bags", "")</f>
        <v>5 Color Bags</v>
      </c>
      <c r="D288" s="4" t="str">
        <f>IF(Registered!AS677&gt;0,(IF(Registered!AS677=1,Registered!AS677&amp;" T-Shirt",Registered!AS677&amp;" T-Shirts")), "")</f>
        <v/>
      </c>
      <c r="E288" s="4" t="str">
        <f>Registered!AT677</f>
        <v/>
      </c>
      <c r="F288" s="4" t="str">
        <f>Registered!AU677</f>
        <v/>
      </c>
      <c r="G288" s="4" t="str">
        <f>Registered!AW677</f>
        <v/>
      </c>
      <c r="H288" s="4" t="str">
        <f>Registered!AX677</f>
        <v/>
      </c>
      <c r="I288" s="4" t="str">
        <f>Registered!AY677</f>
        <v/>
      </c>
    </row>
    <row r="289" spans="1:9" x14ac:dyDescent="0.25">
      <c r="A289" s="4" t="str">
        <f>Registered!B679</f>
        <v>Farrell</v>
      </c>
      <c r="B289" s="4" t="str">
        <f>Registered!A679</f>
        <v>Shannon</v>
      </c>
      <c r="C289" s="4" t="str">
        <f>IF(Registered!AR679&gt;0,Registered!AR679&amp;" Color Bags", "")</f>
        <v>15 Color Bags</v>
      </c>
      <c r="D289" s="4" t="str">
        <f>IF(Registered!AS679&gt;0,(IF(Registered!AS679=1,Registered!AS679&amp;" T-Shirt",Registered!AS679&amp;" T-Shirts")), "")</f>
        <v>1 T-Shirt</v>
      </c>
      <c r="E289" s="4" t="str">
        <f>Registered!AT679</f>
        <v>Medium</v>
      </c>
      <c r="F289" s="4" t="str">
        <f>Registered!AU679</f>
        <v/>
      </c>
      <c r="G289" s="4" t="str">
        <f>Registered!AW679</f>
        <v>4 Meals</v>
      </c>
      <c r="H289" s="4" t="str">
        <f>Registered!AX679</f>
        <v/>
      </c>
      <c r="I289" s="4" t="str">
        <f>Registered!AY679</f>
        <v/>
      </c>
    </row>
    <row r="290" spans="1:9" x14ac:dyDescent="0.25">
      <c r="A290" s="4" t="str">
        <f>Registered!B680</f>
        <v>Farrington</v>
      </c>
      <c r="B290" s="4" t="str">
        <f>Registered!A680</f>
        <v>Gregg</v>
      </c>
      <c r="C290" s="4" t="str">
        <f>IF(Registered!AR680&gt;0,Registered!AR680&amp;" Color Bags", "")</f>
        <v>10 Color Bags</v>
      </c>
      <c r="D290" s="4" t="str">
        <f>IF(Registered!AS680&gt;0,(IF(Registered!AS680=1,Registered!AS680&amp;" T-Shirt",Registered!AS680&amp;" T-Shirts")), "")</f>
        <v>2 T-Shirts</v>
      </c>
      <c r="E290" s="4" t="str">
        <f>Registered!AT680</f>
        <v>2 Large</v>
      </c>
      <c r="F290" s="4" t="str">
        <f>Registered!AU680</f>
        <v>2 Bandanas</v>
      </c>
      <c r="G290" s="4" t="str">
        <f>Registered!AW680</f>
        <v/>
      </c>
      <c r="H290" s="4" t="str">
        <f>Registered!AX680</f>
        <v/>
      </c>
      <c r="I290" s="4" t="str">
        <f>Registered!AY680</f>
        <v>1 DustMask</v>
      </c>
    </row>
    <row r="291" spans="1:9" x14ac:dyDescent="0.25">
      <c r="A291" s="4" t="str">
        <f>Registered!B685</f>
        <v>Faye</v>
      </c>
      <c r="B291" s="4" t="str">
        <f>Registered!A685</f>
        <v>Ryan</v>
      </c>
      <c r="C291" s="4" t="str">
        <f>IF(Registered!AR685&gt;0,Registered!AR685&amp;" Color Bags", "")</f>
        <v>5 Color Bags</v>
      </c>
      <c r="D291" s="4" t="str">
        <f>IF(Registered!AS685&gt;0,(IF(Registered!AS685=1,Registered!AS685&amp;" T-Shirt",Registered!AS685&amp;" T-Shirts")), "")</f>
        <v/>
      </c>
      <c r="E291" s="4" t="str">
        <f>Registered!AT685</f>
        <v/>
      </c>
      <c r="F291" s="4" t="str">
        <f>Registered!AU685</f>
        <v/>
      </c>
      <c r="G291" s="4" t="str">
        <f>Registered!AW685</f>
        <v/>
      </c>
      <c r="H291" s="4" t="str">
        <f>Registered!AX685</f>
        <v/>
      </c>
      <c r="I291" s="4" t="str">
        <f>Registered!AY685</f>
        <v/>
      </c>
    </row>
    <row r="292" spans="1:9" x14ac:dyDescent="0.25">
      <c r="A292" s="4" t="str">
        <f>Registered!B687</f>
        <v>Feliciano</v>
      </c>
      <c r="B292" s="4" t="str">
        <f>Registered!A687</f>
        <v>Brian</v>
      </c>
      <c r="C292" s="4" t="str">
        <f>IF(Registered!AR687&gt;0,Registered!AR687&amp;" Color Bags", "")</f>
        <v>10 Color Bags</v>
      </c>
      <c r="D292" s="4" t="str">
        <f>IF(Registered!AS687&gt;0,(IF(Registered!AS687=1,Registered!AS687&amp;" T-Shirt",Registered!AS687&amp;" T-Shirts")), "")</f>
        <v>1 T-Shirt</v>
      </c>
      <c r="E292" s="4" t="str">
        <f>Registered!AT687</f>
        <v>Medium</v>
      </c>
      <c r="F292" s="4" t="str">
        <f>Registered!AU687</f>
        <v/>
      </c>
      <c r="G292" s="4" t="str">
        <f>Registered!AW687</f>
        <v>1 Meal</v>
      </c>
      <c r="H292" s="4" t="str">
        <f>Registered!AX687</f>
        <v/>
      </c>
      <c r="I292" s="4" t="str">
        <f>Registered!AY687</f>
        <v/>
      </c>
    </row>
    <row r="293" spans="1:9" x14ac:dyDescent="0.25">
      <c r="A293" s="4" t="str">
        <f>Registered!B688</f>
        <v>Felosi</v>
      </c>
      <c r="B293" s="4" t="str">
        <f>Registered!A688</f>
        <v>Robyn</v>
      </c>
      <c r="C293" s="4" t="str">
        <f>IF(Registered!AR688&gt;0,Registered!AR688&amp;" Color Bags", "")</f>
        <v>5 Color Bags</v>
      </c>
      <c r="D293" s="4" t="str">
        <f>IF(Registered!AS688&gt;0,(IF(Registered!AS688=1,Registered!AS688&amp;" T-Shirt",Registered!AS688&amp;" T-Shirts")), "")</f>
        <v/>
      </c>
      <c r="E293" s="4" t="str">
        <f>Registered!AT688</f>
        <v/>
      </c>
      <c r="F293" s="4" t="str">
        <f>Registered!AU688</f>
        <v>2 Bandanas</v>
      </c>
      <c r="G293" s="4" t="str">
        <f>Registered!AW688</f>
        <v/>
      </c>
      <c r="H293" s="4" t="str">
        <f>Registered!AX688</f>
        <v/>
      </c>
      <c r="I293" s="4" t="str">
        <f>Registered!AY688</f>
        <v/>
      </c>
    </row>
    <row r="294" spans="1:9" x14ac:dyDescent="0.25">
      <c r="A294" s="4" t="str">
        <f>Registered!B690</f>
        <v>Fenstermaker</v>
      </c>
      <c r="B294" s="4" t="str">
        <f>Registered!A690</f>
        <v>Nick</v>
      </c>
      <c r="C294" s="4" t="str">
        <f>IF(Registered!AR690&gt;0,Registered!AR690&amp;" Color Bags", "")</f>
        <v>20 Color Bags</v>
      </c>
      <c r="D294" s="4" t="str">
        <f>IF(Registered!AS690&gt;0,(IF(Registered!AS690=1,Registered!AS690&amp;" T-Shirt",Registered!AS690&amp;" T-Shirts")), "")</f>
        <v/>
      </c>
      <c r="E294" s="4" t="str">
        <f>Registered!AT690</f>
        <v/>
      </c>
      <c r="F294" s="4" t="str">
        <f>Registered!AU690</f>
        <v/>
      </c>
      <c r="G294" s="4" t="str">
        <f>Registered!AW690</f>
        <v/>
      </c>
      <c r="H294" s="4" t="str">
        <f>Registered!AX690</f>
        <v/>
      </c>
      <c r="I294" s="4" t="str">
        <f>Registered!AY690</f>
        <v/>
      </c>
    </row>
    <row r="295" spans="1:9" x14ac:dyDescent="0.25">
      <c r="A295" s="4" t="str">
        <f>Registered!B693</f>
        <v>Feragen</v>
      </c>
      <c r="B295" s="4" t="str">
        <f>Registered!A693</f>
        <v>Oly</v>
      </c>
      <c r="C295" s="4" t="str">
        <f>IF(Registered!AR693&gt;0,Registered!AR693&amp;" Color Bags", "")</f>
        <v>20 Color Bags</v>
      </c>
      <c r="D295" s="4" t="str">
        <f>IF(Registered!AS693&gt;0,(IF(Registered!AS693=1,Registered!AS693&amp;" T-Shirt",Registered!AS693&amp;" T-Shirts")), "")</f>
        <v/>
      </c>
      <c r="E295" s="4" t="str">
        <f>Registered!AT693</f>
        <v/>
      </c>
      <c r="F295" s="4" t="str">
        <f>Registered!AU693</f>
        <v/>
      </c>
      <c r="G295" s="4" t="str">
        <f>Registered!AW693</f>
        <v/>
      </c>
      <c r="H295" s="4" t="str">
        <f>Registered!AX693</f>
        <v/>
      </c>
      <c r="I295" s="4" t="str">
        <f>Registered!AY693</f>
        <v/>
      </c>
    </row>
    <row r="296" spans="1:9" x14ac:dyDescent="0.25">
      <c r="A296" s="4" t="str">
        <f>Registered!B694</f>
        <v>Fernandez</v>
      </c>
      <c r="B296" s="4" t="str">
        <f>Registered!A694</f>
        <v>Jessica</v>
      </c>
      <c r="C296" s="4" t="str">
        <f>IF(Registered!AR694&gt;0,Registered!AR694&amp;" Color Bags", "")</f>
        <v/>
      </c>
      <c r="D296" s="4" t="str">
        <f>IF(Registered!AS694&gt;0,(IF(Registered!AS694=1,Registered!AS694&amp;" T-Shirt",Registered!AS694&amp;" T-Shirts")), "")</f>
        <v/>
      </c>
      <c r="E296" s="4" t="str">
        <f>Registered!AT694</f>
        <v/>
      </c>
      <c r="F296" s="4" t="str">
        <f>Registered!AU694</f>
        <v/>
      </c>
      <c r="G296" s="4" t="str">
        <f>Registered!AW694</f>
        <v>2 Meals</v>
      </c>
      <c r="H296" s="4" t="str">
        <f>Registered!AX694</f>
        <v/>
      </c>
      <c r="I296" s="4" t="str">
        <f>Registered!AY694</f>
        <v/>
      </c>
    </row>
    <row r="297" spans="1:9" x14ac:dyDescent="0.25">
      <c r="A297" s="4" t="str">
        <f>Registered!B696</f>
        <v>Fernley</v>
      </c>
      <c r="B297" s="4" t="str">
        <f>Registered!A696</f>
        <v>Tania</v>
      </c>
      <c r="C297" s="4" t="str">
        <f>IF(Registered!AR696&gt;0,Registered!AR696&amp;" Color Bags", "")</f>
        <v>10 Color Bags</v>
      </c>
      <c r="D297" s="4" t="str">
        <f>IF(Registered!AS696&gt;0,(IF(Registered!AS696=1,Registered!AS696&amp;" T-Shirt",Registered!AS696&amp;" T-Shirts")), "")</f>
        <v>2 T-Shirts</v>
      </c>
      <c r="E297" s="4" t="str">
        <f>Registered!AT696</f>
        <v>Small and Large</v>
      </c>
      <c r="F297" s="4" t="str">
        <f>Registered!AU696</f>
        <v/>
      </c>
      <c r="G297" s="4" t="str">
        <f>Registered!AW696</f>
        <v>2 Meals</v>
      </c>
      <c r="H297" s="4" t="str">
        <f>Registered!AX696</f>
        <v/>
      </c>
      <c r="I297" s="4" t="str">
        <f>Registered!AY696</f>
        <v/>
      </c>
    </row>
    <row r="298" spans="1:9" x14ac:dyDescent="0.25">
      <c r="A298" s="4" t="str">
        <f>Registered!B698</f>
        <v>Ferry</v>
      </c>
      <c r="B298" s="4" t="str">
        <f>Registered!A698</f>
        <v>Ashley</v>
      </c>
      <c r="C298" s="4" t="str">
        <f>IF(Registered!AR698&gt;0,Registered!AR698&amp;" Color Bags", "")</f>
        <v>5 Color Bags</v>
      </c>
      <c r="D298" s="4" t="str">
        <f>IF(Registered!AS698&gt;0,(IF(Registered!AS698=1,Registered!AS698&amp;" T-Shirt",Registered!AS698&amp;" T-Shirts")), "")</f>
        <v/>
      </c>
      <c r="E298" s="4" t="str">
        <f>Registered!AT698</f>
        <v/>
      </c>
      <c r="F298" s="4" t="str">
        <f>Registered!AU698</f>
        <v/>
      </c>
      <c r="G298" s="4" t="str">
        <f>Registered!AW698</f>
        <v/>
      </c>
      <c r="H298" s="4" t="str">
        <f>Registered!AX698</f>
        <v/>
      </c>
      <c r="I298" s="4" t="str">
        <f>Registered!AY698</f>
        <v/>
      </c>
    </row>
    <row r="299" spans="1:9" x14ac:dyDescent="0.25">
      <c r="A299" s="4" t="str">
        <f>Registered!B703</f>
        <v>Fife</v>
      </c>
      <c r="B299" s="4" t="str">
        <f>Registered!A703</f>
        <v>Kellie</v>
      </c>
      <c r="C299" s="4" t="str">
        <f>IF(Registered!AR703&gt;0,Registered!AR703&amp;" Color Bags", "")</f>
        <v>10 Color Bags</v>
      </c>
      <c r="D299" s="4" t="str">
        <f>IF(Registered!AS703&gt;0,(IF(Registered!AS703=1,Registered!AS703&amp;" T-Shirt",Registered!AS703&amp;" T-Shirts")), "")</f>
        <v/>
      </c>
      <c r="E299" s="4" t="str">
        <f>Registered!AT703</f>
        <v/>
      </c>
      <c r="F299" s="4" t="str">
        <f>Registered!AU703</f>
        <v/>
      </c>
      <c r="G299" s="4" t="str">
        <f>Registered!AW703</f>
        <v/>
      </c>
      <c r="H299" s="4" t="str">
        <f>Registered!AX703</f>
        <v/>
      </c>
      <c r="I299" s="4" t="str">
        <f>Registered!AY703</f>
        <v/>
      </c>
    </row>
    <row r="300" spans="1:9" x14ac:dyDescent="0.25">
      <c r="A300" s="4" t="str">
        <f>Registered!B704</f>
        <v>Finegan</v>
      </c>
      <c r="B300" s="4" t="str">
        <f>Registered!A704</f>
        <v>Kasey</v>
      </c>
      <c r="C300" s="4" t="str">
        <f>IF(Registered!AR704&gt;0,Registered!AR704&amp;" Color Bags", "")</f>
        <v>10 Color Bags</v>
      </c>
      <c r="D300" s="4" t="str">
        <f>IF(Registered!AS704&gt;0,(IF(Registered!AS704=1,Registered!AS704&amp;" T-Shirt",Registered!AS704&amp;" T-Shirts")), "")</f>
        <v>1 T-Shirt</v>
      </c>
      <c r="E300" s="4" t="str">
        <f>Registered!AT704</f>
        <v>Medium</v>
      </c>
      <c r="F300" s="4" t="str">
        <f>Registered!AU704</f>
        <v/>
      </c>
      <c r="G300" s="4" t="str">
        <f>Registered!AW704</f>
        <v>1 Meal</v>
      </c>
      <c r="H300" s="4" t="str">
        <f>Registered!AX704</f>
        <v>1 BG</v>
      </c>
      <c r="I300" s="4" t="str">
        <f>Registered!AY704</f>
        <v/>
      </c>
    </row>
    <row r="301" spans="1:9" x14ac:dyDescent="0.25">
      <c r="A301" s="4" t="str">
        <f>Registered!B705</f>
        <v>Firth</v>
      </c>
      <c r="B301" s="4" t="str">
        <f>Registered!A705</f>
        <v>Jason</v>
      </c>
      <c r="C301" s="4" t="str">
        <f>IF(Registered!AR705&gt;0,Registered!AR705&amp;" Color Bags", "")</f>
        <v>5 Color Bags</v>
      </c>
      <c r="D301" s="4" t="str">
        <f>IF(Registered!AS705&gt;0,(IF(Registered!AS705=1,Registered!AS705&amp;" T-Shirt",Registered!AS705&amp;" T-Shirts")), "")</f>
        <v/>
      </c>
      <c r="E301" s="4" t="str">
        <f>Registered!AT705</f>
        <v/>
      </c>
      <c r="F301" s="4" t="str">
        <f>Registered!AU705</f>
        <v/>
      </c>
      <c r="G301" s="4" t="str">
        <f>Registered!AW705</f>
        <v>1 Meal</v>
      </c>
      <c r="H301" s="4" t="str">
        <f>Registered!AX705</f>
        <v/>
      </c>
      <c r="I301" s="4" t="str">
        <f>Registered!AY705</f>
        <v/>
      </c>
    </row>
    <row r="302" spans="1:9" x14ac:dyDescent="0.25">
      <c r="A302" s="4" t="str">
        <f>Registered!B709</f>
        <v>Fitzgerald</v>
      </c>
      <c r="B302" s="4" t="str">
        <f>Registered!A709</f>
        <v>Nicole</v>
      </c>
      <c r="C302" s="4" t="str">
        <f>IF(Registered!AR709&gt;0,Registered!AR709&amp;" Color Bags", "")</f>
        <v>10 Color Bags</v>
      </c>
      <c r="D302" s="4" t="str">
        <f>IF(Registered!AS709&gt;0,(IF(Registered!AS709=1,Registered!AS709&amp;" T-Shirt",Registered!AS709&amp;" T-Shirts")), "")</f>
        <v/>
      </c>
      <c r="E302" s="4" t="str">
        <f>Registered!AT709</f>
        <v/>
      </c>
      <c r="F302" s="4" t="str">
        <f>Registered!AU709</f>
        <v/>
      </c>
      <c r="G302" s="4" t="str">
        <f>Registered!AW709</f>
        <v/>
      </c>
      <c r="H302" s="4" t="str">
        <f>Registered!AX709</f>
        <v/>
      </c>
      <c r="I302" s="4" t="str">
        <f>Registered!AY709</f>
        <v/>
      </c>
    </row>
    <row r="303" spans="1:9" x14ac:dyDescent="0.25">
      <c r="A303" s="4" t="str">
        <f>Registered!B710</f>
        <v>Flanders</v>
      </c>
      <c r="B303" s="4" t="str">
        <f>Registered!A710</f>
        <v>Amanda</v>
      </c>
      <c r="C303" s="4" t="str">
        <f>IF(Registered!AR710&gt;0,Registered!AR710&amp;" Color Bags", "")</f>
        <v>10 Color Bags</v>
      </c>
      <c r="D303" s="4" t="str">
        <f>IF(Registered!AS710&gt;0,(IF(Registered!AS710=1,Registered!AS710&amp;" T-Shirt",Registered!AS710&amp;" T-Shirts")), "")</f>
        <v/>
      </c>
      <c r="E303" s="4" t="str">
        <f>Registered!AT710</f>
        <v/>
      </c>
      <c r="F303" s="4" t="str">
        <f>Registered!AU710</f>
        <v/>
      </c>
      <c r="G303" s="4" t="str">
        <f>Registered!AW710</f>
        <v/>
      </c>
      <c r="H303" s="4" t="str">
        <f>Registered!AX710</f>
        <v/>
      </c>
      <c r="I303" s="4" t="str">
        <f>Registered!AY710</f>
        <v/>
      </c>
    </row>
    <row r="304" spans="1:9" x14ac:dyDescent="0.25">
      <c r="A304" s="4" t="str">
        <f>Registered!B715</f>
        <v>Flnaders</v>
      </c>
      <c r="B304" s="4" t="str">
        <f>Registered!A715</f>
        <v>Becky</v>
      </c>
      <c r="C304" s="4" t="str">
        <f>IF(Registered!AR715&gt;0,Registered!AR715&amp;" Color Bags", "")</f>
        <v>20 Color Bags</v>
      </c>
      <c r="D304" s="4" t="str">
        <f>IF(Registered!AS715&gt;0,(IF(Registered!AS715=1,Registered!AS715&amp;" T-Shirt",Registered!AS715&amp;" T-Shirts")), "")</f>
        <v/>
      </c>
      <c r="E304" s="4" t="str">
        <f>Registered!AT715</f>
        <v/>
      </c>
      <c r="F304" s="4" t="str">
        <f>Registered!AU715</f>
        <v/>
      </c>
      <c r="G304" s="4" t="str">
        <f>Registered!AW715</f>
        <v/>
      </c>
      <c r="H304" s="4" t="str">
        <f>Registered!AX715</f>
        <v/>
      </c>
      <c r="I304" s="4" t="str">
        <f>Registered!AY715</f>
        <v/>
      </c>
    </row>
    <row r="305" spans="1:9" x14ac:dyDescent="0.25">
      <c r="A305" s="4" t="str">
        <f>Registered!B718</f>
        <v>Fluckiger</v>
      </c>
      <c r="B305" s="4" t="str">
        <f>Registered!A718</f>
        <v>Sarah</v>
      </c>
      <c r="C305" s="4" t="str">
        <f>IF(Registered!AR718&gt;0,Registered!AR718&amp;" Color Bags", "")</f>
        <v>10 Color Bags</v>
      </c>
      <c r="D305" s="4" t="str">
        <f>IF(Registered!AS718&gt;0,(IF(Registered!AS718=1,Registered!AS718&amp;" T-Shirt",Registered!AS718&amp;" T-Shirts")), "")</f>
        <v/>
      </c>
      <c r="E305" s="4" t="str">
        <f>Registered!AT718</f>
        <v/>
      </c>
      <c r="F305" s="4" t="str">
        <f>Registered!AU718</f>
        <v/>
      </c>
      <c r="G305" s="4" t="str">
        <f>Registered!AW718</f>
        <v/>
      </c>
      <c r="H305" s="4" t="str">
        <f>Registered!AX718</f>
        <v/>
      </c>
      <c r="I305" s="4" t="str">
        <f>Registered!AY718</f>
        <v/>
      </c>
    </row>
    <row r="306" spans="1:9" x14ac:dyDescent="0.25">
      <c r="A306" s="4" t="str">
        <f>Registered!B723</f>
        <v>Ford</v>
      </c>
      <c r="B306" s="4" t="str">
        <f>Registered!A723</f>
        <v>Lisa</v>
      </c>
      <c r="C306" s="4" t="str">
        <f>IF(Registered!AR723&gt;0,Registered!AR723&amp;" Color Bags", "")</f>
        <v>10 Color Bags</v>
      </c>
      <c r="D306" s="4" t="str">
        <f>IF(Registered!AS723&gt;0,(IF(Registered!AS723=1,Registered!AS723&amp;" T-Shirt",Registered!AS723&amp;" T-Shirts")), "")</f>
        <v/>
      </c>
      <c r="E306" s="4" t="str">
        <f>Registered!AT723</f>
        <v/>
      </c>
      <c r="F306" s="4" t="str">
        <f>Registered!AU723</f>
        <v/>
      </c>
      <c r="G306" s="4" t="str">
        <f>Registered!AW723</f>
        <v/>
      </c>
      <c r="H306" s="4" t="str">
        <f>Registered!AX723</f>
        <v/>
      </c>
      <c r="I306" s="4" t="str">
        <f>Registered!AY723</f>
        <v/>
      </c>
    </row>
    <row r="307" spans="1:9" x14ac:dyDescent="0.25">
      <c r="A307" s="4" t="str">
        <f>Registered!B725</f>
        <v>Ford</v>
      </c>
      <c r="B307" s="4" t="str">
        <f>Registered!A725</f>
        <v>Paul</v>
      </c>
      <c r="C307" s="4" t="str">
        <f>IF(Registered!AR725&gt;0,Registered!AR725&amp;" Color Bags", "")</f>
        <v>10 Color Bags</v>
      </c>
      <c r="D307" s="4" t="str">
        <f>IF(Registered!AS725&gt;0,(IF(Registered!AS725=1,Registered!AS725&amp;" T-Shirt",Registered!AS725&amp;" T-Shirts")), "")</f>
        <v/>
      </c>
      <c r="E307" s="4" t="str">
        <f>Registered!AT725</f>
        <v/>
      </c>
      <c r="F307" s="4" t="str">
        <f>Registered!AU725</f>
        <v/>
      </c>
      <c r="G307" s="4" t="str">
        <f>Registered!AW725</f>
        <v/>
      </c>
      <c r="H307" s="4" t="str">
        <f>Registered!AX725</f>
        <v/>
      </c>
      <c r="I307" s="4" t="str">
        <f>Registered!AY725</f>
        <v/>
      </c>
    </row>
    <row r="308" spans="1:9" x14ac:dyDescent="0.25">
      <c r="A308" s="4" t="str">
        <f>Registered!B727</f>
        <v>Forkus</v>
      </c>
      <c r="B308" s="4" t="str">
        <f>Registered!A727</f>
        <v>Abbey</v>
      </c>
      <c r="C308" s="4" t="str">
        <f>IF(Registered!AR727&gt;0,Registered!AR727&amp;" Color Bags", "")</f>
        <v>5 Color Bags</v>
      </c>
      <c r="D308" s="4" t="str">
        <f>IF(Registered!AS727&gt;0,(IF(Registered!AS727=1,Registered!AS727&amp;" T-Shirt",Registered!AS727&amp;" T-Shirts")), "")</f>
        <v/>
      </c>
      <c r="E308" s="4" t="str">
        <f>Registered!AT727</f>
        <v/>
      </c>
      <c r="F308" s="4" t="str">
        <f>Registered!AU727</f>
        <v/>
      </c>
      <c r="G308" s="4" t="str">
        <f>Registered!AW727</f>
        <v/>
      </c>
      <c r="H308" s="4" t="str">
        <f>Registered!AX727</f>
        <v/>
      </c>
      <c r="I308" s="4" t="str">
        <f>Registered!AY727</f>
        <v/>
      </c>
    </row>
    <row r="309" spans="1:9" x14ac:dyDescent="0.25">
      <c r="A309" s="4" t="str">
        <f>Registered!B728</f>
        <v>Forster</v>
      </c>
      <c r="B309" s="4" t="str">
        <f>Registered!A728</f>
        <v>Henry</v>
      </c>
      <c r="C309" s="4" t="str">
        <f>IF(Registered!AR728&gt;0,Registered!AR728&amp;" Color Bags", "")</f>
        <v>30 Color Bags</v>
      </c>
      <c r="D309" s="4" t="str">
        <f>IF(Registered!AS728&gt;0,(IF(Registered!AS728=1,Registered!AS728&amp;" T-Shirt",Registered!AS728&amp;" T-Shirts")), "")</f>
        <v>2 T-Shirts</v>
      </c>
      <c r="E309" s="4" t="str">
        <f>Registered!AT728</f>
        <v>xl and l</v>
      </c>
      <c r="F309" s="4" t="str">
        <f>Registered!AU728</f>
        <v>2 Bandanas</v>
      </c>
      <c r="G309" s="4" t="str">
        <f>Registered!AW728</f>
        <v>2 Meals</v>
      </c>
      <c r="H309" s="4" t="str">
        <f>Registered!AX728</f>
        <v/>
      </c>
      <c r="I309" s="4" t="str">
        <f>Registered!AY728</f>
        <v/>
      </c>
    </row>
    <row r="310" spans="1:9" x14ac:dyDescent="0.25">
      <c r="A310" s="4" t="str">
        <f>Registered!B734</f>
        <v>Forsythe</v>
      </c>
      <c r="B310" s="4" t="str">
        <f>Registered!A734</f>
        <v>Samantha</v>
      </c>
      <c r="C310" s="4" t="str">
        <f>IF(Registered!AR734&gt;0,Registered!AR734&amp;" Color Bags", "")</f>
        <v>10 Color Bags</v>
      </c>
      <c r="D310" s="4" t="str">
        <f>IF(Registered!AS734&gt;0,(IF(Registered!AS734=1,Registered!AS734&amp;" T-Shirt",Registered!AS734&amp;" T-Shirts")), "")</f>
        <v/>
      </c>
      <c r="E310" s="4" t="str">
        <f>Registered!AT734</f>
        <v/>
      </c>
      <c r="F310" s="4" t="str">
        <f>Registered!AU734</f>
        <v/>
      </c>
      <c r="G310" s="4" t="str">
        <f>Registered!AW734</f>
        <v>7 Meals</v>
      </c>
      <c r="H310" s="4" t="str">
        <f>Registered!AX734</f>
        <v/>
      </c>
      <c r="I310" s="4" t="str">
        <f>Registered!AY734</f>
        <v>2 DustMask</v>
      </c>
    </row>
    <row r="311" spans="1:9" x14ac:dyDescent="0.25">
      <c r="A311" s="4" t="str">
        <f>Registered!B743</f>
        <v>Fowler</v>
      </c>
      <c r="B311" s="4" t="str">
        <f>Registered!A743</f>
        <v>Tina</v>
      </c>
      <c r="C311" s="4" t="str">
        <f>IF(Registered!AR743&gt;0,Registered!AR743&amp;" Color Bags", "")</f>
        <v>15 Color Bags</v>
      </c>
      <c r="D311" s="4" t="str">
        <f>IF(Registered!AS743&gt;0,(IF(Registered!AS743=1,Registered!AS743&amp;" T-Shirt",Registered!AS743&amp;" T-Shirts")), "")</f>
        <v/>
      </c>
      <c r="E311" s="4" t="str">
        <f>Registered!AT743</f>
        <v/>
      </c>
      <c r="F311" s="4" t="str">
        <f>Registered!AU743</f>
        <v/>
      </c>
      <c r="G311" s="4" t="str">
        <f>Registered!AW743</f>
        <v/>
      </c>
      <c r="H311" s="4" t="str">
        <f>Registered!AX743</f>
        <v/>
      </c>
      <c r="I311" s="4" t="str">
        <f>Registered!AY743</f>
        <v/>
      </c>
    </row>
    <row r="312" spans="1:9" x14ac:dyDescent="0.25">
      <c r="A312" s="4" t="str">
        <f>Registered!B740</f>
        <v>Fowler</v>
      </c>
      <c r="B312" s="4" t="str">
        <f>Registered!A740</f>
        <v>Austen</v>
      </c>
      <c r="C312" s="4" t="str">
        <f>IF(Registered!AR740&gt;0,Registered!AR740&amp;" Color Bags", "")</f>
        <v>25 Color Bags</v>
      </c>
      <c r="D312" s="4" t="str">
        <f>IF(Registered!AS740&gt;0,(IF(Registered!AS740=1,Registered!AS740&amp;" T-Shirt",Registered!AS740&amp;" T-Shirts")), "")</f>
        <v>2 T-Shirts</v>
      </c>
      <c r="E312" s="4" t="str">
        <f>Registered!AT740</f>
        <v>S, M</v>
      </c>
      <c r="F312" s="4" t="str">
        <f>Registered!AU740</f>
        <v/>
      </c>
      <c r="G312" s="4" t="str">
        <f>Registered!AW740</f>
        <v>2 Meals</v>
      </c>
      <c r="H312" s="4" t="str">
        <f>Registered!AX740</f>
        <v/>
      </c>
      <c r="I312" s="4" t="str">
        <f>Registered!AY740</f>
        <v/>
      </c>
    </row>
    <row r="313" spans="1:9" x14ac:dyDescent="0.25">
      <c r="A313" s="4" t="str">
        <f>Registered!B741</f>
        <v>Fowler</v>
      </c>
      <c r="B313" s="4" t="str">
        <f>Registered!A741</f>
        <v>Matthew</v>
      </c>
      <c r="C313" s="4" t="str">
        <f>IF(Registered!AR741&gt;0,Registered!AR741&amp;" Color Bags", "")</f>
        <v>5 Color Bags</v>
      </c>
      <c r="D313" s="4" t="str">
        <f>IF(Registered!AS741&gt;0,(IF(Registered!AS741=1,Registered!AS741&amp;" T-Shirt",Registered!AS741&amp;" T-Shirts")), "")</f>
        <v/>
      </c>
      <c r="E313" s="4" t="str">
        <f>Registered!AT741</f>
        <v/>
      </c>
      <c r="F313" s="4" t="str">
        <f>Registered!AU741</f>
        <v/>
      </c>
      <c r="G313" s="4" t="str">
        <f>Registered!AW741</f>
        <v/>
      </c>
      <c r="H313" s="4" t="str">
        <f>Registered!AX741</f>
        <v/>
      </c>
      <c r="I313" s="4" t="str">
        <f>Registered!AY741</f>
        <v/>
      </c>
    </row>
    <row r="314" spans="1:9" x14ac:dyDescent="0.25">
      <c r="A314" s="4" t="str">
        <f>Registered!B747</f>
        <v>Foy</v>
      </c>
      <c r="B314" s="4" t="str">
        <f>Registered!A747</f>
        <v>Lindsay</v>
      </c>
      <c r="C314" s="4" t="str">
        <f>IF(Registered!AR747&gt;0,Registered!AR747&amp;" Color Bags", "")</f>
        <v>5 Color Bags</v>
      </c>
      <c r="D314" s="4" t="str">
        <f>IF(Registered!AS747&gt;0,(IF(Registered!AS747=1,Registered!AS747&amp;" T-Shirt",Registered!AS747&amp;" T-Shirts")), "")</f>
        <v/>
      </c>
      <c r="E314" s="4" t="str">
        <f>Registered!AT747</f>
        <v/>
      </c>
      <c r="F314" s="4" t="str">
        <f>Registered!AU747</f>
        <v/>
      </c>
      <c r="G314" s="4" t="str">
        <f>Registered!AW747</f>
        <v/>
      </c>
      <c r="H314" s="4" t="str">
        <f>Registered!AX747</f>
        <v/>
      </c>
      <c r="I314" s="4" t="str">
        <f>Registered!AY747</f>
        <v/>
      </c>
    </row>
    <row r="315" spans="1:9" x14ac:dyDescent="0.25">
      <c r="A315" s="4" t="str">
        <f>Registered!B751</f>
        <v>Frailey</v>
      </c>
      <c r="B315" s="4" t="str">
        <f>Registered!A751</f>
        <v>Robert</v>
      </c>
      <c r="C315" s="4" t="str">
        <f>IF(Registered!AR751&gt;0,Registered!AR751&amp;" Color Bags", "")</f>
        <v>20 Color Bags</v>
      </c>
      <c r="D315" s="4" t="str">
        <f>IF(Registered!AS751&gt;0,(IF(Registered!AS751=1,Registered!AS751&amp;" T-Shirt",Registered!AS751&amp;" T-Shirts")), "")</f>
        <v/>
      </c>
      <c r="E315" s="4" t="str">
        <f>Registered!AT751</f>
        <v/>
      </c>
      <c r="F315" s="4" t="str">
        <f>Registered!AU751</f>
        <v/>
      </c>
      <c r="G315" s="4" t="str">
        <f>Registered!AW751</f>
        <v/>
      </c>
      <c r="H315" s="4" t="str">
        <f>Registered!AX751</f>
        <v/>
      </c>
      <c r="I315" s="4" t="str">
        <f>Registered!AY751</f>
        <v/>
      </c>
    </row>
    <row r="316" spans="1:9" x14ac:dyDescent="0.25">
      <c r="A316" s="4" t="str">
        <f>Registered!B754</f>
        <v>Francis</v>
      </c>
      <c r="B316" s="4" t="str">
        <f>Registered!A754</f>
        <v>Kevin</v>
      </c>
      <c r="C316" s="4" t="str">
        <f>IF(Registered!AR754&gt;0,Registered!AR754&amp;" Color Bags", "")</f>
        <v>20 Color Bags</v>
      </c>
      <c r="D316" s="4" t="str">
        <f>IF(Registered!AS754&gt;0,(IF(Registered!AS754=1,Registered!AS754&amp;" T-Shirt",Registered!AS754&amp;" T-Shirts")), "")</f>
        <v/>
      </c>
      <c r="E316" s="4" t="str">
        <f>Registered!AT754</f>
        <v/>
      </c>
      <c r="F316" s="4" t="str">
        <f>Registered!AU754</f>
        <v/>
      </c>
      <c r="G316" s="4" t="str">
        <f>Registered!AW754</f>
        <v/>
      </c>
      <c r="H316" s="4" t="str">
        <f>Registered!AX754</f>
        <v/>
      </c>
      <c r="I316" s="4" t="str">
        <f>Registered!AY754</f>
        <v/>
      </c>
    </row>
    <row r="317" spans="1:9" x14ac:dyDescent="0.25">
      <c r="A317" s="4" t="str">
        <f>Registered!B755</f>
        <v>Francis</v>
      </c>
      <c r="B317" s="4" t="str">
        <f>Registered!A755</f>
        <v>Maria Sarah</v>
      </c>
      <c r="C317" s="4" t="str">
        <f>IF(Registered!AR755&gt;0,Registered!AR755&amp;" Color Bags", "")</f>
        <v>5 Color Bags</v>
      </c>
      <c r="D317" s="4" t="str">
        <f>IF(Registered!AS755&gt;0,(IF(Registered!AS755=1,Registered!AS755&amp;" T-Shirt",Registered!AS755&amp;" T-Shirts")), "")</f>
        <v>1 T-Shirt</v>
      </c>
      <c r="E317" s="4" t="str">
        <f>Registered!AT755</f>
        <v>Medium</v>
      </c>
      <c r="F317" s="4" t="str">
        <f>Registered!AU755</f>
        <v/>
      </c>
      <c r="G317" s="4" t="str">
        <f>Registered!AW755</f>
        <v>2 Meals</v>
      </c>
      <c r="H317" s="4" t="str">
        <f>Registered!AX755</f>
        <v/>
      </c>
      <c r="I317" s="4" t="str">
        <f>Registered!AY755</f>
        <v/>
      </c>
    </row>
    <row r="318" spans="1:9" x14ac:dyDescent="0.25">
      <c r="A318" s="4" t="str">
        <f>Registered!B756</f>
        <v>Frandsen</v>
      </c>
      <c r="B318" s="4" t="str">
        <f>Registered!A756</f>
        <v>Catrina</v>
      </c>
      <c r="C318" s="4" t="str">
        <f>IF(Registered!AR756&gt;0,Registered!AR756&amp;" Color Bags", "")</f>
        <v>20 Color Bags</v>
      </c>
      <c r="D318" s="4" t="str">
        <f>IF(Registered!AS756&gt;0,(IF(Registered!AS756=1,Registered!AS756&amp;" T-Shirt",Registered!AS756&amp;" T-Shirts")), "")</f>
        <v/>
      </c>
      <c r="E318" s="4" t="str">
        <f>Registered!AT756</f>
        <v/>
      </c>
      <c r="F318" s="4" t="str">
        <f>Registered!AU756</f>
        <v/>
      </c>
      <c r="G318" s="4" t="str">
        <f>Registered!AW756</f>
        <v/>
      </c>
      <c r="H318" s="4" t="str">
        <f>Registered!AX756</f>
        <v/>
      </c>
      <c r="I318" s="4" t="str">
        <f>Registered!AY756</f>
        <v/>
      </c>
    </row>
    <row r="319" spans="1:9" x14ac:dyDescent="0.25">
      <c r="A319" s="4" t="str">
        <f>Registered!B757</f>
        <v>Frandsen</v>
      </c>
      <c r="B319" s="4" t="str">
        <f>Registered!A757</f>
        <v>Rashelle</v>
      </c>
      <c r="C319" s="4" t="str">
        <f>IF(Registered!AR757&gt;0,Registered!AR757&amp;" Color Bags", "")</f>
        <v>5 Color Bags</v>
      </c>
      <c r="D319" s="4" t="str">
        <f>IF(Registered!AS757&gt;0,(IF(Registered!AS757=1,Registered!AS757&amp;" T-Shirt",Registered!AS757&amp;" T-Shirts")), "")</f>
        <v/>
      </c>
      <c r="E319" s="4" t="str">
        <f>Registered!AT757</f>
        <v/>
      </c>
      <c r="F319" s="4" t="str">
        <f>Registered!AU757</f>
        <v/>
      </c>
      <c r="G319" s="4" t="str">
        <f>Registered!AW757</f>
        <v/>
      </c>
      <c r="H319" s="4" t="str">
        <f>Registered!AX757</f>
        <v/>
      </c>
      <c r="I319" s="4" t="str">
        <f>Registered!AY757</f>
        <v/>
      </c>
    </row>
    <row r="320" spans="1:9" x14ac:dyDescent="0.25">
      <c r="A320" s="4" t="str">
        <f>Registered!B758</f>
        <v>Franks</v>
      </c>
      <c r="B320" s="4" t="str">
        <f>Registered!A758</f>
        <v>Jeannette</v>
      </c>
      <c r="C320" s="4" t="str">
        <f>IF(Registered!AR758&gt;0,Registered!AR758&amp;" Color Bags", "")</f>
        <v>5 Color Bags</v>
      </c>
      <c r="D320" s="4" t="str">
        <f>IF(Registered!AS758&gt;0,(IF(Registered!AS758=1,Registered!AS758&amp;" T-Shirt",Registered!AS758&amp;" T-Shirts")), "")</f>
        <v/>
      </c>
      <c r="E320" s="4" t="str">
        <f>Registered!AT758</f>
        <v/>
      </c>
      <c r="F320" s="4" t="str">
        <f>Registered!AU758</f>
        <v>2 Bandanas</v>
      </c>
      <c r="G320" s="4" t="str">
        <f>Registered!AW758</f>
        <v/>
      </c>
      <c r="H320" s="4" t="str">
        <f>Registered!AX758</f>
        <v/>
      </c>
      <c r="I320" s="4" t="str">
        <f>Registered!AY758</f>
        <v>1 DustMask</v>
      </c>
    </row>
    <row r="321" spans="1:9" x14ac:dyDescent="0.25">
      <c r="A321" s="4" t="str">
        <f>Registered!B760</f>
        <v>Frary</v>
      </c>
      <c r="B321" s="4" t="str">
        <f>Registered!A760</f>
        <v>Lauren</v>
      </c>
      <c r="C321" s="4" t="str">
        <f>IF(Registered!AR760&gt;0,Registered!AR760&amp;" Color Bags", "")</f>
        <v>5 Color Bags</v>
      </c>
      <c r="D321" s="4" t="str">
        <f>IF(Registered!AS760&gt;0,(IF(Registered!AS760=1,Registered!AS760&amp;" T-Shirt",Registered!AS760&amp;" T-Shirts")), "")</f>
        <v/>
      </c>
      <c r="E321" s="4" t="str">
        <f>Registered!AT760</f>
        <v/>
      </c>
      <c r="F321" s="4" t="str">
        <f>Registered!AU760</f>
        <v/>
      </c>
      <c r="G321" s="4" t="str">
        <f>Registered!AW760</f>
        <v/>
      </c>
      <c r="H321" s="4" t="str">
        <f>Registered!AX760</f>
        <v/>
      </c>
      <c r="I321" s="4" t="str">
        <f>Registered!AY760</f>
        <v/>
      </c>
    </row>
    <row r="322" spans="1:9" x14ac:dyDescent="0.25">
      <c r="A322" s="4" t="str">
        <f>Registered!B763</f>
        <v>Fredsall</v>
      </c>
      <c r="B322" s="4" t="str">
        <f>Registered!A763</f>
        <v>Jennifer</v>
      </c>
      <c r="C322" s="4" t="str">
        <f>IF(Registered!AR763&gt;0,Registered!AR763&amp;" Color Bags", "")</f>
        <v>5 Color Bags</v>
      </c>
      <c r="D322" s="4" t="str">
        <f>IF(Registered!AS763&gt;0,(IF(Registered!AS763=1,Registered!AS763&amp;" T-Shirt",Registered!AS763&amp;" T-Shirts")), "")</f>
        <v/>
      </c>
      <c r="E322" s="4" t="str">
        <f>Registered!AT763</f>
        <v/>
      </c>
      <c r="F322" s="4" t="str">
        <f>Registered!AU763</f>
        <v/>
      </c>
      <c r="G322" s="4" t="str">
        <f>Registered!AW763</f>
        <v/>
      </c>
      <c r="H322" s="4" t="str">
        <f>Registered!AX763</f>
        <v/>
      </c>
      <c r="I322" s="4" t="str">
        <f>Registered!AY763</f>
        <v/>
      </c>
    </row>
    <row r="323" spans="1:9" x14ac:dyDescent="0.25">
      <c r="A323" s="4" t="str">
        <f>Registered!B764</f>
        <v>Freeman</v>
      </c>
      <c r="B323" s="4" t="str">
        <f>Registered!A764</f>
        <v>Aurora</v>
      </c>
      <c r="C323" s="4" t="str">
        <f>IF(Registered!AR764&gt;0,Registered!AR764&amp;" Color Bags", "")</f>
        <v>20 Color Bags</v>
      </c>
      <c r="D323" s="4" t="str">
        <f>IF(Registered!AS764&gt;0,(IF(Registered!AS764=1,Registered!AS764&amp;" T-Shirt",Registered!AS764&amp;" T-Shirts")), "")</f>
        <v/>
      </c>
      <c r="E323" s="4" t="str">
        <f>Registered!AT764</f>
        <v/>
      </c>
      <c r="F323" s="4" t="str">
        <f>Registered!AU764</f>
        <v/>
      </c>
      <c r="G323" s="4" t="str">
        <f>Registered!AW764</f>
        <v/>
      </c>
      <c r="H323" s="4" t="str">
        <f>Registered!AX764</f>
        <v/>
      </c>
      <c r="I323" s="4" t="str">
        <f>Registered!AY764</f>
        <v/>
      </c>
    </row>
    <row r="324" spans="1:9" x14ac:dyDescent="0.25">
      <c r="A324" s="4" t="str">
        <f>Registered!B765</f>
        <v>Freeman</v>
      </c>
      <c r="B324" s="4" t="str">
        <f>Registered!A765</f>
        <v>Douglas</v>
      </c>
      <c r="C324" s="4" t="str">
        <f>IF(Registered!AR765&gt;0,Registered!AR765&amp;" Color Bags", "")</f>
        <v>20 Color Bags</v>
      </c>
      <c r="D324" s="4" t="str">
        <f>IF(Registered!AS765&gt;0,(IF(Registered!AS765=1,Registered!AS765&amp;" T-Shirt",Registered!AS765&amp;" T-Shirts")), "")</f>
        <v/>
      </c>
      <c r="E324" s="4" t="str">
        <f>Registered!AT765</f>
        <v/>
      </c>
      <c r="F324" s="4" t="str">
        <f>Registered!AU765</f>
        <v/>
      </c>
      <c r="G324" s="4" t="str">
        <f>Registered!AW765</f>
        <v/>
      </c>
      <c r="H324" s="4" t="str">
        <f>Registered!AX765</f>
        <v/>
      </c>
      <c r="I324" s="4" t="str">
        <f>Registered!AY765</f>
        <v/>
      </c>
    </row>
    <row r="325" spans="1:9" x14ac:dyDescent="0.25">
      <c r="A325" s="4" t="str">
        <f>Registered!B767</f>
        <v>French</v>
      </c>
      <c r="B325" s="4" t="str">
        <f>Registered!A767</f>
        <v>Carina</v>
      </c>
      <c r="C325" s="4" t="str">
        <f>IF(Registered!AR767&gt;0,Registered!AR767&amp;" Color Bags", "")</f>
        <v>15 Color Bags</v>
      </c>
      <c r="D325" s="4" t="str">
        <f>IF(Registered!AS767&gt;0,(IF(Registered!AS767=1,Registered!AS767&amp;" T-Shirt",Registered!AS767&amp;" T-Shirts")), "")</f>
        <v>2 T-Shirts</v>
      </c>
      <c r="E325" s="4" t="str">
        <f>Registered!AT767</f>
        <v>Larges</v>
      </c>
      <c r="F325" s="4" t="str">
        <f>Registered!AU767</f>
        <v/>
      </c>
      <c r="G325" s="4" t="str">
        <f>Registered!AW767</f>
        <v>2 Meals</v>
      </c>
      <c r="H325" s="4" t="str">
        <f>Registered!AX767</f>
        <v/>
      </c>
      <c r="I325" s="4" t="str">
        <f>Registered!AY767</f>
        <v/>
      </c>
    </row>
    <row r="326" spans="1:9" x14ac:dyDescent="0.25">
      <c r="A326" s="4" t="str">
        <f>Registered!B771</f>
        <v>Friedman</v>
      </c>
      <c r="B326" s="4" t="str">
        <f>Registered!A771</f>
        <v>Starrlyn</v>
      </c>
      <c r="C326" s="4" t="str">
        <f>IF(Registered!AR771&gt;0,Registered!AR771&amp;" Color Bags", "")</f>
        <v>10 Color Bags</v>
      </c>
      <c r="D326" s="4" t="str">
        <f>IF(Registered!AS771&gt;0,(IF(Registered!AS771=1,Registered!AS771&amp;" T-Shirt",Registered!AS771&amp;" T-Shirts")), "")</f>
        <v/>
      </c>
      <c r="E326" s="4" t="str">
        <f>Registered!AT771</f>
        <v/>
      </c>
      <c r="F326" s="4" t="str">
        <f>Registered!AU771</f>
        <v/>
      </c>
      <c r="G326" s="4" t="str">
        <f>Registered!AW771</f>
        <v/>
      </c>
      <c r="H326" s="4" t="str">
        <f>Registered!AX771</f>
        <v/>
      </c>
      <c r="I326" s="4" t="str">
        <f>Registered!AY771</f>
        <v/>
      </c>
    </row>
    <row r="327" spans="1:9" x14ac:dyDescent="0.25">
      <c r="A327" s="4" t="str">
        <f>Registered!B772</f>
        <v>Fritz</v>
      </c>
      <c r="B327" s="4" t="str">
        <f>Registered!A772</f>
        <v>Casey</v>
      </c>
      <c r="C327" s="4" t="str">
        <f>IF(Registered!AR772&gt;0,Registered!AR772&amp;" Color Bags", "")</f>
        <v>5 Color Bags</v>
      </c>
      <c r="D327" s="4" t="str">
        <f>IF(Registered!AS772&gt;0,(IF(Registered!AS772=1,Registered!AS772&amp;" T-Shirt",Registered!AS772&amp;" T-Shirts")), "")</f>
        <v/>
      </c>
      <c r="E327" s="4" t="str">
        <f>Registered!AT772</f>
        <v/>
      </c>
      <c r="F327" s="4" t="str">
        <f>Registered!AU772</f>
        <v/>
      </c>
      <c r="G327" s="4" t="str">
        <f>Registered!AW772</f>
        <v/>
      </c>
      <c r="H327" s="4" t="str">
        <f>Registered!AX772</f>
        <v/>
      </c>
      <c r="I327" s="4" t="str">
        <f>Registered!AY772</f>
        <v/>
      </c>
    </row>
    <row r="328" spans="1:9" x14ac:dyDescent="0.25">
      <c r="A328" s="4" t="str">
        <f>Registered!B773</f>
        <v>Frkovich</v>
      </c>
      <c r="B328" s="4" t="str">
        <f>Registered!A773</f>
        <v>Jodi</v>
      </c>
      <c r="C328" s="4" t="str">
        <f>IF(Registered!AR773&gt;0,Registered!AR773&amp;" Color Bags", "")</f>
        <v>15 Color Bags</v>
      </c>
      <c r="D328" s="4" t="str">
        <f>IF(Registered!AS773&gt;0,(IF(Registered!AS773=1,Registered!AS773&amp;" T-Shirt",Registered!AS773&amp;" T-Shirts")), "")</f>
        <v/>
      </c>
      <c r="E328" s="4" t="str">
        <f>Registered!AT773</f>
        <v/>
      </c>
      <c r="F328" s="4" t="str">
        <f>Registered!AU773</f>
        <v/>
      </c>
      <c r="G328" s="4" t="str">
        <f>Registered!AW773</f>
        <v/>
      </c>
      <c r="H328" s="4" t="str">
        <f>Registered!AX773</f>
        <v/>
      </c>
      <c r="I328" s="4" t="str">
        <f>Registered!AY773</f>
        <v>2 DustMask</v>
      </c>
    </row>
    <row r="329" spans="1:9" x14ac:dyDescent="0.25">
      <c r="A329" s="4" t="str">
        <f>Registered!B775</f>
        <v>Frost</v>
      </c>
      <c r="B329" s="4" t="str">
        <f>Registered!A775</f>
        <v>Jeanne</v>
      </c>
      <c r="C329" s="4" t="str">
        <f>IF(Registered!AR775&gt;0,Registered!AR775&amp;" Color Bags", "")</f>
        <v>5 Color Bags</v>
      </c>
      <c r="D329" s="4" t="str">
        <f>IF(Registered!AS775&gt;0,(IF(Registered!AS775=1,Registered!AS775&amp;" T-Shirt",Registered!AS775&amp;" T-Shirts")), "")</f>
        <v>1 T-Shirt</v>
      </c>
      <c r="E329" s="4" t="str">
        <f>Registered!AT775</f>
        <v>large</v>
      </c>
      <c r="F329" s="4" t="str">
        <f>Registered!AU775</f>
        <v>1 Bandana</v>
      </c>
      <c r="G329" s="4" t="str">
        <f>Registered!AW775</f>
        <v/>
      </c>
      <c r="H329" s="4" t="str">
        <f>Registered!AX775</f>
        <v/>
      </c>
      <c r="I329" s="4" t="str">
        <f>Registered!AY775</f>
        <v/>
      </c>
    </row>
    <row r="330" spans="1:9" x14ac:dyDescent="0.25">
      <c r="A330" s="4" t="str">
        <f>Registered!B777</f>
        <v>Fuller</v>
      </c>
      <c r="B330" s="4" t="str">
        <f>Registered!A777</f>
        <v>Emily</v>
      </c>
      <c r="C330" s="4" t="str">
        <f>IF(Registered!AR777&gt;0,Registered!AR777&amp;" Color Bags", "")</f>
        <v>5 Color Bags</v>
      </c>
      <c r="D330" s="4" t="str">
        <f>IF(Registered!AS777&gt;0,(IF(Registered!AS777=1,Registered!AS777&amp;" T-Shirt",Registered!AS777&amp;" T-Shirts")), "")</f>
        <v/>
      </c>
      <c r="E330" s="4" t="str">
        <f>Registered!AT777</f>
        <v/>
      </c>
      <c r="F330" s="4" t="str">
        <f>Registered!AU777</f>
        <v/>
      </c>
      <c r="G330" s="4" t="str">
        <f>Registered!AW777</f>
        <v/>
      </c>
      <c r="H330" s="4" t="str">
        <f>Registered!AX777</f>
        <v/>
      </c>
      <c r="I330" s="4" t="str">
        <f>Registered!AY777</f>
        <v/>
      </c>
    </row>
    <row r="331" spans="1:9" x14ac:dyDescent="0.25">
      <c r="A331" s="4" t="str">
        <f>Registered!B779</f>
        <v>Fullmer</v>
      </c>
      <c r="B331" s="4" t="str">
        <f>Registered!A779</f>
        <v>Robert</v>
      </c>
      <c r="C331" s="4" t="str">
        <f>IF(Registered!AR779&gt;0,Registered!AR779&amp;" Color Bags", "")</f>
        <v>5 Color Bags</v>
      </c>
      <c r="D331" s="4" t="str">
        <f>IF(Registered!AS779&gt;0,(IF(Registered!AS779=1,Registered!AS779&amp;" T-Shirt",Registered!AS779&amp;" T-Shirts")), "")</f>
        <v/>
      </c>
      <c r="E331" s="4" t="str">
        <f>Registered!AT779</f>
        <v/>
      </c>
      <c r="F331" s="4" t="str">
        <f>Registered!AU779</f>
        <v/>
      </c>
      <c r="G331" s="4" t="str">
        <f>Registered!AW779</f>
        <v/>
      </c>
      <c r="H331" s="4" t="str">
        <f>Registered!AX779</f>
        <v/>
      </c>
      <c r="I331" s="4" t="str">
        <f>Registered!AY779</f>
        <v/>
      </c>
    </row>
    <row r="332" spans="1:9" x14ac:dyDescent="0.25">
      <c r="A332" s="4" t="str">
        <f>Registered!B781</f>
        <v>Funk</v>
      </c>
      <c r="B332" s="4" t="str">
        <f>Registered!A781</f>
        <v>Chris</v>
      </c>
      <c r="C332" s="4" t="str">
        <f>IF(Registered!AR781&gt;0,Registered!AR781&amp;" Color Bags", "")</f>
        <v>5 Color Bags</v>
      </c>
      <c r="D332" s="4" t="str">
        <f>IF(Registered!AS781&gt;0,(IF(Registered!AS781=1,Registered!AS781&amp;" T-Shirt",Registered!AS781&amp;" T-Shirts")), "")</f>
        <v/>
      </c>
      <c r="E332" s="4" t="str">
        <f>Registered!AT781</f>
        <v/>
      </c>
      <c r="F332" s="4" t="str">
        <f>Registered!AU781</f>
        <v>1 Bandana</v>
      </c>
      <c r="G332" s="4" t="str">
        <f>Registered!AW781</f>
        <v/>
      </c>
      <c r="H332" s="4" t="str">
        <f>Registered!AX781</f>
        <v/>
      </c>
      <c r="I332" s="4" t="str">
        <f>Registered!AY781</f>
        <v/>
      </c>
    </row>
    <row r="333" spans="1:9" x14ac:dyDescent="0.25">
      <c r="A333" s="4" t="str">
        <f>Registered!B790</f>
        <v>Galbraith</v>
      </c>
      <c r="B333" s="4" t="str">
        <f>Registered!A790</f>
        <v>Teara</v>
      </c>
      <c r="C333" s="4" t="str">
        <f>IF(Registered!AR790&gt;0,Registered!AR790&amp;" Color Bags", "")</f>
        <v>40 Color Bags</v>
      </c>
      <c r="D333" s="4" t="str">
        <f>IF(Registered!AS790&gt;0,(IF(Registered!AS790=1,Registered!AS790&amp;" T-Shirt",Registered!AS790&amp;" T-Shirts")), "")</f>
        <v/>
      </c>
      <c r="E333" s="4" t="str">
        <f>Registered!AT790</f>
        <v/>
      </c>
      <c r="F333" s="4" t="str">
        <f>Registered!AU790</f>
        <v/>
      </c>
      <c r="G333" s="4" t="str">
        <f>Registered!AW790</f>
        <v/>
      </c>
      <c r="H333" s="4" t="str">
        <f>Registered!AX790</f>
        <v/>
      </c>
      <c r="I333" s="4" t="str">
        <f>Registered!AY790</f>
        <v/>
      </c>
    </row>
    <row r="334" spans="1:9" x14ac:dyDescent="0.25">
      <c r="A334" s="4" t="str">
        <f>Registered!B793</f>
        <v>Gale</v>
      </c>
      <c r="B334" s="4" t="str">
        <f>Registered!A793</f>
        <v>Katie</v>
      </c>
      <c r="C334" s="4" t="str">
        <f>IF(Registered!AR793&gt;0,Registered!AR793&amp;" Color Bags", "")</f>
        <v>5 Color Bags</v>
      </c>
      <c r="D334" s="4" t="str">
        <f>IF(Registered!AS793&gt;0,(IF(Registered!AS793=1,Registered!AS793&amp;" T-Shirt",Registered!AS793&amp;" T-Shirts")), "")</f>
        <v/>
      </c>
      <c r="E334" s="4" t="str">
        <f>Registered!AT793</f>
        <v/>
      </c>
      <c r="F334" s="4" t="str">
        <f>Registered!AU793</f>
        <v/>
      </c>
      <c r="G334" s="4" t="str">
        <f>Registered!AW793</f>
        <v/>
      </c>
      <c r="H334" s="4" t="str">
        <f>Registered!AX793</f>
        <v/>
      </c>
      <c r="I334" s="4" t="str">
        <f>Registered!AY793</f>
        <v/>
      </c>
    </row>
    <row r="335" spans="1:9" x14ac:dyDescent="0.25">
      <c r="A335" s="4" t="str">
        <f>Registered!B794</f>
        <v>Gallegos</v>
      </c>
      <c r="B335" s="4" t="str">
        <f>Registered!A794</f>
        <v>Michelle</v>
      </c>
      <c r="C335" s="4" t="str">
        <f>IF(Registered!AR794&gt;0,Registered!AR794&amp;" Color Bags", "")</f>
        <v>20 Color Bags</v>
      </c>
      <c r="D335" s="4" t="str">
        <f>IF(Registered!AS794&gt;0,(IF(Registered!AS794=1,Registered!AS794&amp;" T-Shirt",Registered!AS794&amp;" T-Shirts")), "")</f>
        <v>3 T-Shirts</v>
      </c>
      <c r="E335" s="4" t="str">
        <f>Registered!AT794</f>
        <v>Adult Medium, Child Large, Child Medium</v>
      </c>
      <c r="F335" s="4" t="str">
        <f>Registered!AU794</f>
        <v/>
      </c>
      <c r="G335" s="4" t="str">
        <f>Registered!AW794</f>
        <v>2 Meals</v>
      </c>
      <c r="H335" s="4" t="str">
        <f>Registered!AX794</f>
        <v/>
      </c>
      <c r="I335" s="4" t="str">
        <f>Registered!AY794</f>
        <v/>
      </c>
    </row>
    <row r="336" spans="1:9" x14ac:dyDescent="0.25">
      <c r="A336" s="4" t="str">
        <f>Registered!B795</f>
        <v>Galli</v>
      </c>
      <c r="B336" s="4" t="str">
        <f>Registered!A795</f>
        <v>Mary-Kathryn</v>
      </c>
      <c r="C336" s="4" t="str">
        <f>IF(Registered!AR795&gt;0,Registered!AR795&amp;" Color Bags", "")</f>
        <v>10 Color Bags</v>
      </c>
      <c r="D336" s="4" t="str">
        <f>IF(Registered!AS795&gt;0,(IF(Registered!AS795=1,Registered!AS795&amp;" T-Shirt",Registered!AS795&amp;" T-Shirts")), "")</f>
        <v/>
      </c>
      <c r="E336" s="4" t="str">
        <f>Registered!AT795</f>
        <v/>
      </c>
      <c r="F336" s="4" t="str">
        <f>Registered!AU795</f>
        <v/>
      </c>
      <c r="G336" s="4" t="str">
        <f>Registered!AW795</f>
        <v/>
      </c>
      <c r="H336" s="4" t="str">
        <f>Registered!AX795</f>
        <v/>
      </c>
      <c r="I336" s="4" t="str">
        <f>Registered!AY795</f>
        <v/>
      </c>
    </row>
    <row r="337" spans="1:9" x14ac:dyDescent="0.25">
      <c r="A337" s="4" t="str">
        <f>Registered!B798</f>
        <v>Gamble</v>
      </c>
      <c r="B337" s="4" t="str">
        <f>Registered!A798</f>
        <v>Timothy</v>
      </c>
      <c r="C337" s="4" t="str">
        <f>IF(Registered!AR798&gt;0,Registered!AR798&amp;" Color Bags", "")</f>
        <v>30 Color Bags</v>
      </c>
      <c r="D337" s="4" t="str">
        <f>IF(Registered!AS798&gt;0,(IF(Registered!AS798=1,Registered!AS798&amp;" T-Shirt",Registered!AS798&amp;" T-Shirts")), "")</f>
        <v/>
      </c>
      <c r="E337" s="4" t="str">
        <f>Registered!AT798</f>
        <v/>
      </c>
      <c r="F337" s="4" t="str">
        <f>Registered!AU798</f>
        <v/>
      </c>
      <c r="G337" s="4" t="str">
        <f>Registered!AW798</f>
        <v/>
      </c>
      <c r="H337" s="4" t="str">
        <f>Registered!AX798</f>
        <v/>
      </c>
      <c r="I337" s="4" t="str">
        <f>Registered!AY798</f>
        <v/>
      </c>
    </row>
    <row r="338" spans="1:9" x14ac:dyDescent="0.25">
      <c r="A338" s="4" t="str">
        <f>Registered!B799</f>
        <v>Garback</v>
      </c>
      <c r="B338" s="4" t="str">
        <f>Registered!A799</f>
        <v>Ashley</v>
      </c>
      <c r="C338" s="4" t="str">
        <f>IF(Registered!AR799&gt;0,Registered!AR799&amp;" Color Bags", "")</f>
        <v>15 Color Bags</v>
      </c>
      <c r="D338" s="4" t="str">
        <f>IF(Registered!AS799&gt;0,(IF(Registered!AS799=1,Registered!AS799&amp;" T-Shirt",Registered!AS799&amp;" T-Shirts")), "")</f>
        <v>1 T-Shirt</v>
      </c>
      <c r="E338" s="4" t="str">
        <f>Registered!AT799</f>
        <v>1 small</v>
      </c>
      <c r="F338" s="4" t="str">
        <f>Registered!AU799</f>
        <v/>
      </c>
      <c r="G338" s="4" t="str">
        <f>Registered!AW799</f>
        <v/>
      </c>
      <c r="H338" s="4" t="str">
        <f>Registered!AX799</f>
        <v/>
      </c>
      <c r="I338" s="4" t="str">
        <f>Registered!AY799</f>
        <v/>
      </c>
    </row>
    <row r="339" spans="1:9" x14ac:dyDescent="0.25">
      <c r="A339" s="4" t="str">
        <f>Registered!B805</f>
        <v>Garcia</v>
      </c>
      <c r="B339" s="4" t="str">
        <f>Registered!A805</f>
        <v>Veronica</v>
      </c>
      <c r="C339" s="4" t="str">
        <f>IF(Registered!AR805&gt;0,Registered!AR805&amp;" Color Bags", "")</f>
        <v>5 Color Bags</v>
      </c>
      <c r="D339" s="4" t="str">
        <f>IF(Registered!AS805&gt;0,(IF(Registered!AS805=1,Registered!AS805&amp;" T-Shirt",Registered!AS805&amp;" T-Shirts")), "")</f>
        <v/>
      </c>
      <c r="E339" s="4" t="str">
        <f>Registered!AT805</f>
        <v/>
      </c>
      <c r="F339" s="4" t="str">
        <f>Registered!AU805</f>
        <v>2 Bandanas</v>
      </c>
      <c r="G339" s="4" t="str">
        <f>Registered!AW805</f>
        <v/>
      </c>
      <c r="H339" s="4" t="str">
        <f>Registered!AX805</f>
        <v/>
      </c>
      <c r="I339" s="4" t="str">
        <f>Registered!AY805</f>
        <v/>
      </c>
    </row>
    <row r="340" spans="1:9" x14ac:dyDescent="0.25">
      <c r="A340" s="4" t="str">
        <f>Registered!B809</f>
        <v>Gardner</v>
      </c>
      <c r="B340" s="4" t="str">
        <f>Registered!A809</f>
        <v>Lauren</v>
      </c>
      <c r="C340" s="4" t="str">
        <f>IF(Registered!AR809&gt;0,Registered!AR809&amp;" Color Bags", "")</f>
        <v>10 Color Bags</v>
      </c>
      <c r="D340" s="4" t="str">
        <f>IF(Registered!AS809&gt;0,(IF(Registered!AS809=1,Registered!AS809&amp;" T-Shirt",Registered!AS809&amp;" T-Shirts")), "")</f>
        <v/>
      </c>
      <c r="E340" s="4" t="str">
        <f>Registered!AT809</f>
        <v/>
      </c>
      <c r="F340" s="4" t="str">
        <f>Registered!AU809</f>
        <v/>
      </c>
      <c r="G340" s="4" t="str">
        <f>Registered!AW809</f>
        <v>2 Meals</v>
      </c>
      <c r="H340" s="4" t="str">
        <f>Registered!AX809</f>
        <v/>
      </c>
      <c r="I340" s="4" t="str">
        <f>Registered!AY809</f>
        <v/>
      </c>
    </row>
    <row r="341" spans="1:9" x14ac:dyDescent="0.25">
      <c r="A341" s="4" t="str">
        <f>Registered!B810</f>
        <v>Gardner</v>
      </c>
      <c r="B341" s="4" t="str">
        <f>Registered!A810</f>
        <v>Sandi</v>
      </c>
      <c r="C341" s="4" t="str">
        <f>IF(Registered!AR810&gt;0,Registered!AR810&amp;" Color Bags", "")</f>
        <v>10 Color Bags</v>
      </c>
      <c r="D341" s="4" t="str">
        <f>IF(Registered!AS810&gt;0,(IF(Registered!AS810=1,Registered!AS810&amp;" T-Shirt",Registered!AS810&amp;" T-Shirts")), "")</f>
        <v/>
      </c>
      <c r="E341" s="4" t="str">
        <f>Registered!AT810</f>
        <v/>
      </c>
      <c r="F341" s="4" t="str">
        <f>Registered!AU810</f>
        <v/>
      </c>
      <c r="G341" s="4" t="str">
        <f>Registered!AW810</f>
        <v/>
      </c>
      <c r="H341" s="4" t="str">
        <f>Registered!AX810</f>
        <v/>
      </c>
      <c r="I341" s="4" t="str">
        <f>Registered!AY810</f>
        <v/>
      </c>
    </row>
    <row r="342" spans="1:9" x14ac:dyDescent="0.25">
      <c r="A342" s="4" t="str">
        <f>Registered!B811</f>
        <v>Gardner</v>
      </c>
      <c r="B342" s="4" t="str">
        <f>Registered!A811</f>
        <v>Tim</v>
      </c>
      <c r="C342" s="4" t="str">
        <f>IF(Registered!AR811&gt;0,Registered!AR811&amp;" Color Bags", "")</f>
        <v>15 Color Bags</v>
      </c>
      <c r="D342" s="4" t="str">
        <f>IF(Registered!AS811&gt;0,(IF(Registered!AS811=1,Registered!AS811&amp;" T-Shirt",Registered!AS811&amp;" T-Shirts")), "")</f>
        <v/>
      </c>
      <c r="E342" s="4" t="str">
        <f>Registered!AT811</f>
        <v/>
      </c>
      <c r="F342" s="4" t="str">
        <f>Registered!AU811</f>
        <v/>
      </c>
      <c r="G342" s="4" t="str">
        <f>Registered!AW811</f>
        <v/>
      </c>
      <c r="H342" s="4" t="str">
        <f>Registered!AX811</f>
        <v/>
      </c>
      <c r="I342" s="4" t="str">
        <f>Registered!AY811</f>
        <v/>
      </c>
    </row>
    <row r="343" spans="1:9" x14ac:dyDescent="0.25">
      <c r="A343" s="4" t="str">
        <f>Registered!B807</f>
        <v>Gardner</v>
      </c>
      <c r="B343" s="4" t="str">
        <f>Registered!A807</f>
        <v>Kenneth</v>
      </c>
      <c r="C343" s="4" t="str">
        <f>IF(Registered!AR807&gt;0,Registered!AR807&amp;" Color Bags", "")</f>
        <v>30 Color Bags</v>
      </c>
      <c r="D343" s="4" t="str">
        <f>IF(Registered!AS807&gt;0,(IF(Registered!AS807=1,Registered!AS807&amp;" T-Shirt",Registered!AS807&amp;" T-Shirts")), "")</f>
        <v/>
      </c>
      <c r="E343" s="4" t="str">
        <f>Registered!AT807</f>
        <v/>
      </c>
      <c r="F343" s="4" t="str">
        <f>Registered!AU807</f>
        <v/>
      </c>
      <c r="G343" s="4" t="str">
        <f>Registered!AW807</f>
        <v/>
      </c>
      <c r="H343" s="4" t="str">
        <f>Registered!AX807</f>
        <v/>
      </c>
      <c r="I343" s="4" t="str">
        <f>Registered!AY807</f>
        <v/>
      </c>
    </row>
    <row r="344" spans="1:9" x14ac:dyDescent="0.25">
      <c r="A344" s="4" t="str">
        <f>Registered!B813</f>
        <v>Garlick</v>
      </c>
      <c r="B344" s="4" t="str">
        <f>Registered!A813</f>
        <v>April</v>
      </c>
      <c r="C344" s="4" t="str">
        <f>IF(Registered!AR813&gt;0,Registered!AR813&amp;" Color Bags", "")</f>
        <v>35 Color Bags</v>
      </c>
      <c r="D344" s="4" t="str">
        <f>IF(Registered!AS813&gt;0,(IF(Registered!AS813=1,Registered!AS813&amp;" T-Shirt",Registered!AS813&amp;" T-Shirts")), "")</f>
        <v>7 T-Shirts</v>
      </c>
      <c r="E344" s="4" t="str">
        <f>Registered!AT813</f>
        <v>6 large, one small</v>
      </c>
      <c r="F344" s="4" t="str">
        <f>Registered!AU813</f>
        <v/>
      </c>
      <c r="G344" s="4" t="str">
        <f>Registered!AW813</f>
        <v>7 Meals</v>
      </c>
      <c r="H344" s="4" t="str">
        <f>Registered!AX813</f>
        <v/>
      </c>
      <c r="I344" s="4" t="str">
        <f>Registered!AY813</f>
        <v/>
      </c>
    </row>
    <row r="345" spans="1:9" x14ac:dyDescent="0.25">
      <c r="A345" s="4" t="str">
        <f>Registered!B822</f>
        <v>Garrett</v>
      </c>
      <c r="B345" s="4" t="str">
        <f>Registered!A822</f>
        <v>Kathy</v>
      </c>
      <c r="C345" s="4" t="str">
        <f>IF(Registered!AR822&gt;0,Registered!AR822&amp;" Color Bags", "")</f>
        <v>15 Color Bags</v>
      </c>
      <c r="D345" s="4" t="str">
        <f>IF(Registered!AS822&gt;0,(IF(Registered!AS822=1,Registered!AS822&amp;" T-Shirt",Registered!AS822&amp;" T-Shirts")), "")</f>
        <v/>
      </c>
      <c r="E345" s="4" t="str">
        <f>Registered!AT822</f>
        <v/>
      </c>
      <c r="F345" s="4" t="str">
        <f>Registered!AU822</f>
        <v>2 Bandanas</v>
      </c>
      <c r="G345" s="4" t="str">
        <f>Registered!AW822</f>
        <v>2 Meals</v>
      </c>
      <c r="H345" s="4" t="str">
        <f>Registered!AX822</f>
        <v/>
      </c>
      <c r="I345" s="4" t="str">
        <f>Registered!AY822</f>
        <v/>
      </c>
    </row>
    <row r="346" spans="1:9" x14ac:dyDescent="0.25">
      <c r="A346" s="4" t="str">
        <f>Registered!B819</f>
        <v>Garrett</v>
      </c>
      <c r="B346" s="4" t="str">
        <f>Registered!A819</f>
        <v>Anna</v>
      </c>
      <c r="C346" s="4" t="str">
        <f>IF(Registered!AR819&gt;0,Registered!AR819&amp;" Color Bags", "")</f>
        <v>5 Color Bags</v>
      </c>
      <c r="D346" s="4" t="str">
        <f>IF(Registered!AS819&gt;0,(IF(Registered!AS819=1,Registered!AS819&amp;" T-Shirt",Registered!AS819&amp;" T-Shirts")), "")</f>
        <v/>
      </c>
      <c r="E346" s="4" t="str">
        <f>Registered!AT819</f>
        <v/>
      </c>
      <c r="F346" s="4" t="str">
        <f>Registered!AU819</f>
        <v/>
      </c>
      <c r="G346" s="4" t="str">
        <f>Registered!AW819</f>
        <v/>
      </c>
      <c r="H346" s="4" t="str">
        <f>Registered!AX819</f>
        <v/>
      </c>
      <c r="I346" s="4" t="str">
        <f>Registered!AY819</f>
        <v/>
      </c>
    </row>
    <row r="347" spans="1:9" x14ac:dyDescent="0.25">
      <c r="A347" s="4" t="str">
        <f>Registered!B821</f>
        <v>Garrett</v>
      </c>
      <c r="B347" s="4" t="str">
        <f>Registered!A821</f>
        <v>Flint</v>
      </c>
      <c r="C347" s="4" t="str">
        <f>IF(Registered!AR821&gt;0,Registered!AR821&amp;" Color Bags", "")</f>
        <v>5 Color Bags</v>
      </c>
      <c r="D347" s="4" t="str">
        <f>IF(Registered!AS821&gt;0,(IF(Registered!AS821=1,Registered!AS821&amp;" T-Shirt",Registered!AS821&amp;" T-Shirts")), "")</f>
        <v/>
      </c>
      <c r="E347" s="4" t="str">
        <f>Registered!AT821</f>
        <v/>
      </c>
      <c r="F347" s="4" t="str">
        <f>Registered!AU821</f>
        <v/>
      </c>
      <c r="G347" s="4" t="str">
        <f>Registered!AW821</f>
        <v/>
      </c>
      <c r="H347" s="4" t="str">
        <f>Registered!AX821</f>
        <v/>
      </c>
      <c r="I347" s="4" t="str">
        <f>Registered!AY821</f>
        <v/>
      </c>
    </row>
    <row r="348" spans="1:9" x14ac:dyDescent="0.25">
      <c r="A348" s="4" t="str">
        <f>Registered!B824</f>
        <v>Garriga</v>
      </c>
      <c r="B348" s="4" t="str">
        <f>Registered!A824</f>
        <v>Jennifer</v>
      </c>
      <c r="C348" s="4" t="str">
        <f>IF(Registered!AR824&gt;0,Registered!AR824&amp;" Color Bags", "")</f>
        <v>10 Color Bags</v>
      </c>
      <c r="D348" s="4" t="str">
        <f>IF(Registered!AS824&gt;0,(IF(Registered!AS824=1,Registered!AS824&amp;" T-Shirt",Registered!AS824&amp;" T-Shirts")), "")</f>
        <v/>
      </c>
      <c r="E348" s="4" t="str">
        <f>Registered!AT824</f>
        <v/>
      </c>
      <c r="F348" s="4" t="str">
        <f>Registered!AU824</f>
        <v/>
      </c>
      <c r="G348" s="4" t="str">
        <f>Registered!AW824</f>
        <v/>
      </c>
      <c r="H348" s="4" t="str">
        <f>Registered!AX824</f>
        <v/>
      </c>
      <c r="I348" s="4" t="str">
        <f>Registered!AY824</f>
        <v/>
      </c>
    </row>
    <row r="349" spans="1:9" x14ac:dyDescent="0.25">
      <c r="A349" s="4" t="str">
        <f>Registered!B826</f>
        <v>Garrigues</v>
      </c>
      <c r="B349" s="4" t="str">
        <f>Registered!A826</f>
        <v>Amber</v>
      </c>
      <c r="C349" s="4" t="str">
        <f>IF(Registered!AR826&gt;0,Registered!AR826&amp;" Color Bags", "")</f>
        <v>10 Color Bags</v>
      </c>
      <c r="D349" s="4" t="str">
        <f>IF(Registered!AS826&gt;0,(IF(Registered!AS826=1,Registered!AS826&amp;" T-Shirt",Registered!AS826&amp;" T-Shirts")), "")</f>
        <v/>
      </c>
      <c r="E349" s="4" t="str">
        <f>Registered!AT826</f>
        <v/>
      </c>
      <c r="F349" s="4" t="str">
        <f>Registered!AU826</f>
        <v/>
      </c>
      <c r="G349" s="4" t="str">
        <f>Registered!AW826</f>
        <v/>
      </c>
      <c r="H349" s="4" t="str">
        <f>Registered!AX826</f>
        <v/>
      </c>
      <c r="I349" s="4" t="str">
        <f>Registered!AY826</f>
        <v/>
      </c>
    </row>
    <row r="350" spans="1:9" x14ac:dyDescent="0.25">
      <c r="A350" s="4" t="str">
        <f>Registered!B829</f>
        <v>Gavaldon</v>
      </c>
      <c r="B350" s="4" t="str">
        <f>Registered!A829</f>
        <v>Sarah</v>
      </c>
      <c r="C350" s="4" t="str">
        <f>IF(Registered!AR829&gt;0,Registered!AR829&amp;" Color Bags", "")</f>
        <v>25 Color Bags</v>
      </c>
      <c r="D350" s="4" t="str">
        <f>IF(Registered!AS829&gt;0,(IF(Registered!AS829=1,Registered!AS829&amp;" T-Shirt",Registered!AS829&amp;" T-Shirts")), "")</f>
        <v/>
      </c>
      <c r="E350" s="4" t="str">
        <f>Registered!AT829</f>
        <v/>
      </c>
      <c r="F350" s="4" t="str">
        <f>Registered!AU829</f>
        <v/>
      </c>
      <c r="G350" s="4" t="str">
        <f>Registered!AW829</f>
        <v/>
      </c>
      <c r="H350" s="4" t="str">
        <f>Registered!AX829</f>
        <v/>
      </c>
      <c r="I350" s="4" t="str">
        <f>Registered!AY829</f>
        <v/>
      </c>
    </row>
    <row r="351" spans="1:9" x14ac:dyDescent="0.25">
      <c r="A351" s="4" t="str">
        <f>Registered!B830</f>
        <v>Gelzer</v>
      </c>
      <c r="B351" s="4" t="str">
        <f>Registered!A830</f>
        <v>Theresa</v>
      </c>
      <c r="C351" s="4" t="str">
        <f>IF(Registered!AR830&gt;0,Registered!AR830&amp;" Color Bags", "")</f>
        <v>5 Color Bags</v>
      </c>
      <c r="D351" s="4" t="str">
        <f>IF(Registered!AS830&gt;0,(IF(Registered!AS830=1,Registered!AS830&amp;" T-Shirt",Registered!AS830&amp;" T-Shirts")), "")</f>
        <v>1 T-Shirt</v>
      </c>
      <c r="E351" s="4" t="str">
        <f>Registered!AT830</f>
        <v>Medium</v>
      </c>
      <c r="F351" s="4" t="str">
        <f>Registered!AU830</f>
        <v>1 Bandana</v>
      </c>
      <c r="G351" s="4" t="str">
        <f>Registered!AW830</f>
        <v/>
      </c>
      <c r="H351" s="4" t="str">
        <f>Registered!AX830</f>
        <v/>
      </c>
      <c r="I351" s="4" t="str">
        <f>Registered!AY830</f>
        <v/>
      </c>
    </row>
    <row r="352" spans="1:9" x14ac:dyDescent="0.25">
      <c r="A352" s="4" t="str">
        <f>Registered!B831</f>
        <v>Gendler</v>
      </c>
      <c r="B352" s="4" t="str">
        <f>Registered!A831</f>
        <v>Marjorie</v>
      </c>
      <c r="C352" s="4" t="str">
        <f>IF(Registered!AR831&gt;0,Registered!AR831&amp;" Color Bags", "")</f>
        <v>5 Color Bags</v>
      </c>
      <c r="D352" s="4" t="str">
        <f>IF(Registered!AS831&gt;0,(IF(Registered!AS831=1,Registered!AS831&amp;" T-Shirt",Registered!AS831&amp;" T-Shirts")), "")</f>
        <v/>
      </c>
      <c r="E352" s="4" t="str">
        <f>Registered!AT831</f>
        <v/>
      </c>
      <c r="F352" s="4" t="str">
        <f>Registered!AU831</f>
        <v/>
      </c>
      <c r="G352" s="4" t="str">
        <f>Registered!AW831</f>
        <v>1 Meal</v>
      </c>
      <c r="H352" s="4" t="str">
        <f>Registered!AX831</f>
        <v/>
      </c>
      <c r="I352" s="4" t="str">
        <f>Registered!AY831</f>
        <v/>
      </c>
    </row>
    <row r="353" spans="1:9" x14ac:dyDescent="0.25">
      <c r="A353" s="4" t="str">
        <f>Registered!B834</f>
        <v>Genkov</v>
      </c>
      <c r="B353" s="4" t="str">
        <f>Registered!A834</f>
        <v>Wendy</v>
      </c>
      <c r="C353" s="4" t="str">
        <f>IF(Registered!AR834&gt;0,Registered!AR834&amp;" Color Bags", "")</f>
        <v>10 Color Bags</v>
      </c>
      <c r="D353" s="4" t="str">
        <f>IF(Registered!AS834&gt;0,(IF(Registered!AS834=1,Registered!AS834&amp;" T-Shirt",Registered!AS834&amp;" T-Shirts")), "")</f>
        <v>2 T-Shirts</v>
      </c>
      <c r="E353" s="4" t="str">
        <f>Registered!AT834</f>
        <v>Large</v>
      </c>
      <c r="F353" s="4" t="str">
        <f>Registered!AU834</f>
        <v/>
      </c>
      <c r="G353" s="4" t="str">
        <f>Registered!AW834</f>
        <v>2 Meals</v>
      </c>
      <c r="H353" s="4" t="str">
        <f>Registered!AX834</f>
        <v/>
      </c>
      <c r="I353" s="4" t="str">
        <f>Registered!AY834</f>
        <v/>
      </c>
    </row>
    <row r="354" spans="1:9" x14ac:dyDescent="0.25">
      <c r="A354" s="4" t="str">
        <f>Registered!B835</f>
        <v>Gerads</v>
      </c>
      <c r="B354" s="4" t="str">
        <f>Registered!A835</f>
        <v>Shawn</v>
      </c>
      <c r="C354" s="4" t="str">
        <f>IF(Registered!AR835&gt;0,Registered!AR835&amp;" Color Bags", "")</f>
        <v>5 Color Bags</v>
      </c>
      <c r="D354" s="4" t="str">
        <f>IF(Registered!AS835&gt;0,(IF(Registered!AS835=1,Registered!AS835&amp;" T-Shirt",Registered!AS835&amp;" T-Shirts")), "")</f>
        <v/>
      </c>
      <c r="E354" s="4" t="str">
        <f>Registered!AT835</f>
        <v/>
      </c>
      <c r="F354" s="4" t="str">
        <f>Registered!AU835</f>
        <v/>
      </c>
      <c r="G354" s="4" t="str">
        <f>Registered!AW835</f>
        <v>1 Meal</v>
      </c>
      <c r="H354" s="4" t="str">
        <f>Registered!AX835</f>
        <v/>
      </c>
      <c r="I354" s="4" t="str">
        <f>Registered!AY835</f>
        <v/>
      </c>
    </row>
    <row r="355" spans="1:9" x14ac:dyDescent="0.25">
      <c r="A355" s="4" t="str">
        <f>Registered!B837</f>
        <v>Gerber</v>
      </c>
      <c r="B355" s="4" t="str">
        <f>Registered!A837</f>
        <v>Ken</v>
      </c>
      <c r="C355" s="4" t="str">
        <f>IF(Registered!AR837&gt;0,Registered!AR837&amp;" Color Bags", "")</f>
        <v>10 Color Bags</v>
      </c>
      <c r="D355" s="4" t="str">
        <f>IF(Registered!AS837&gt;0,(IF(Registered!AS837=1,Registered!AS837&amp;" T-Shirt",Registered!AS837&amp;" T-Shirts")), "")</f>
        <v/>
      </c>
      <c r="E355" s="4" t="str">
        <f>Registered!AT837</f>
        <v/>
      </c>
      <c r="F355" s="4" t="str">
        <f>Registered!AU837</f>
        <v/>
      </c>
      <c r="G355" s="4" t="str">
        <f>Registered!AW837</f>
        <v/>
      </c>
      <c r="H355" s="4" t="str">
        <f>Registered!AX837</f>
        <v/>
      </c>
      <c r="I355" s="4" t="str">
        <f>Registered!AY837</f>
        <v/>
      </c>
    </row>
    <row r="356" spans="1:9" x14ac:dyDescent="0.25">
      <c r="A356" s="4" t="str">
        <f>Registered!B839</f>
        <v>Giddings</v>
      </c>
      <c r="B356" s="4" t="str">
        <f>Registered!A839</f>
        <v>David</v>
      </c>
      <c r="C356" s="4" t="str">
        <f>IF(Registered!AR839&gt;0,Registered!AR839&amp;" Color Bags", "")</f>
        <v>10 Color Bags</v>
      </c>
      <c r="D356" s="4" t="str">
        <f>IF(Registered!AS839&gt;0,(IF(Registered!AS839=1,Registered!AS839&amp;" T-Shirt",Registered!AS839&amp;" T-Shirts")), "")</f>
        <v/>
      </c>
      <c r="E356" s="4" t="str">
        <f>Registered!AT839</f>
        <v/>
      </c>
      <c r="F356" s="4" t="str">
        <f>Registered!AU839</f>
        <v/>
      </c>
      <c r="G356" s="4" t="str">
        <f>Registered!AW839</f>
        <v/>
      </c>
      <c r="H356" s="4" t="str">
        <f>Registered!AX839</f>
        <v/>
      </c>
      <c r="I356" s="4" t="str">
        <f>Registered!AY839</f>
        <v/>
      </c>
    </row>
    <row r="357" spans="1:9" x14ac:dyDescent="0.25">
      <c r="A357" s="4" t="str">
        <f>Registered!B840</f>
        <v>Gilbert</v>
      </c>
      <c r="B357" s="4" t="str">
        <f>Registered!A840</f>
        <v>Brenda</v>
      </c>
      <c r="C357" s="4" t="str">
        <f>IF(Registered!AR840&gt;0,Registered!AR840&amp;" Color Bags", "")</f>
        <v>10 Color Bags</v>
      </c>
      <c r="D357" s="4" t="str">
        <f>IF(Registered!AS840&gt;0,(IF(Registered!AS840=1,Registered!AS840&amp;" T-Shirt",Registered!AS840&amp;" T-Shirts")), "")</f>
        <v>2 T-Shirts</v>
      </c>
      <c r="E357" s="4" t="str">
        <f>Registered!AT840</f>
        <v>XL</v>
      </c>
      <c r="F357" s="4" t="str">
        <f>Registered!AU840</f>
        <v>2 Bandanas</v>
      </c>
      <c r="G357" s="4" t="str">
        <f>Registered!AW840</f>
        <v>2 Meals</v>
      </c>
      <c r="H357" s="4" t="str">
        <f>Registered!AX840</f>
        <v/>
      </c>
      <c r="I357" s="4" t="str">
        <f>Registered!AY840</f>
        <v/>
      </c>
    </row>
    <row r="358" spans="1:9" x14ac:dyDescent="0.25">
      <c r="A358" s="4" t="str">
        <f>Registered!B841</f>
        <v>Gilbert</v>
      </c>
      <c r="B358" s="4" t="str">
        <f>Registered!A841</f>
        <v>Jessica</v>
      </c>
      <c r="C358" s="4" t="str">
        <f>IF(Registered!AR841&gt;0,Registered!AR841&amp;" Color Bags", "")</f>
        <v>10 Color Bags</v>
      </c>
      <c r="D358" s="4" t="str">
        <f>IF(Registered!AS841&gt;0,(IF(Registered!AS841=1,Registered!AS841&amp;" T-Shirt",Registered!AS841&amp;" T-Shirts")), "")</f>
        <v/>
      </c>
      <c r="E358" s="4" t="str">
        <f>Registered!AT841</f>
        <v/>
      </c>
      <c r="F358" s="4" t="str">
        <f>Registered!AU841</f>
        <v/>
      </c>
      <c r="G358" s="4" t="str">
        <f>Registered!AW841</f>
        <v/>
      </c>
      <c r="H358" s="4" t="str">
        <f>Registered!AX841</f>
        <v/>
      </c>
      <c r="I358" s="4" t="str">
        <f>Registered!AY841</f>
        <v/>
      </c>
    </row>
    <row r="359" spans="1:9" x14ac:dyDescent="0.25">
      <c r="A359" s="4" t="str">
        <f>Registered!B842</f>
        <v>Gilbert</v>
      </c>
      <c r="B359" s="4" t="str">
        <f>Registered!A842</f>
        <v>Kathryn</v>
      </c>
      <c r="C359" s="4" t="str">
        <f>IF(Registered!AR842&gt;0,Registered!AR842&amp;" Color Bags", "")</f>
        <v>10 Color Bags</v>
      </c>
      <c r="D359" s="4" t="str">
        <f>IF(Registered!AS842&gt;0,(IF(Registered!AS842=1,Registered!AS842&amp;" T-Shirt",Registered!AS842&amp;" T-Shirts")), "")</f>
        <v>2 T-Shirts</v>
      </c>
      <c r="E359" s="4" t="str">
        <f>Registered!AT842</f>
        <v>Size Not Specified</v>
      </c>
      <c r="F359" s="4" t="str">
        <f>Registered!AU842</f>
        <v/>
      </c>
      <c r="G359" s="4" t="str">
        <f>Registered!AW842</f>
        <v>2 Meals</v>
      </c>
      <c r="H359" s="4" t="str">
        <f>Registered!AX842</f>
        <v/>
      </c>
      <c r="I359" s="4" t="str">
        <f>Registered!AY842</f>
        <v/>
      </c>
    </row>
    <row r="360" spans="1:9" x14ac:dyDescent="0.25">
      <c r="A360" s="4" t="str">
        <f>Registered!B844</f>
        <v>Gilbert</v>
      </c>
      <c r="B360" s="4" t="str">
        <f>Registered!A844</f>
        <v>Monica</v>
      </c>
      <c r="C360" s="4" t="str">
        <f>IF(Registered!AR844&gt;0,Registered!AR844&amp;" Color Bags", "")</f>
        <v>10 Color Bags</v>
      </c>
      <c r="D360" s="4" t="str">
        <f>IF(Registered!AS844&gt;0,(IF(Registered!AS844=1,Registered!AS844&amp;" T-Shirt",Registered!AS844&amp;" T-Shirts")), "")</f>
        <v/>
      </c>
      <c r="E360" s="4" t="str">
        <f>Registered!AT844</f>
        <v/>
      </c>
      <c r="F360" s="4" t="str">
        <f>Registered!AU844</f>
        <v/>
      </c>
      <c r="G360" s="4" t="str">
        <f>Registered!AW844</f>
        <v/>
      </c>
      <c r="H360" s="4" t="str">
        <f>Registered!AX844</f>
        <v/>
      </c>
      <c r="I360" s="4" t="str">
        <f>Registered!AY844</f>
        <v/>
      </c>
    </row>
    <row r="361" spans="1:9" x14ac:dyDescent="0.25">
      <c r="A361" s="4" t="str">
        <f>Registered!B853</f>
        <v>Gillespie</v>
      </c>
      <c r="B361" s="4" t="str">
        <f>Registered!A853</f>
        <v>Austin</v>
      </c>
      <c r="C361" s="4" t="str">
        <f>IF(Registered!AR853&gt;0,Registered!AR853&amp;" Color Bags", "")</f>
        <v>5 Color Bags</v>
      </c>
      <c r="D361" s="4" t="str">
        <f>IF(Registered!AS853&gt;0,(IF(Registered!AS853=1,Registered!AS853&amp;" T-Shirt",Registered!AS853&amp;" T-Shirts")), "")</f>
        <v/>
      </c>
      <c r="E361" s="4" t="str">
        <f>Registered!AT853</f>
        <v/>
      </c>
      <c r="F361" s="4" t="str">
        <f>Registered!AU853</f>
        <v/>
      </c>
      <c r="G361" s="4" t="str">
        <f>Registered!AW853</f>
        <v/>
      </c>
      <c r="H361" s="4" t="str">
        <f>Registered!AX853</f>
        <v/>
      </c>
      <c r="I361" s="4" t="str">
        <f>Registered!AY853</f>
        <v/>
      </c>
    </row>
    <row r="362" spans="1:9" x14ac:dyDescent="0.25">
      <c r="A362" s="4" t="str">
        <f>Registered!B856</f>
        <v>Gilson</v>
      </c>
      <c r="B362" s="4" t="str">
        <f>Registered!A856</f>
        <v>Shannon</v>
      </c>
      <c r="C362" s="4" t="str">
        <f>IF(Registered!AR856&gt;0,Registered!AR856&amp;" Color Bags", "")</f>
        <v>10 Color Bags</v>
      </c>
      <c r="D362" s="4" t="str">
        <f>IF(Registered!AS856&gt;0,(IF(Registered!AS856=1,Registered!AS856&amp;" T-Shirt",Registered!AS856&amp;" T-Shirts")), "")</f>
        <v/>
      </c>
      <c r="E362" s="4" t="str">
        <f>Registered!AT856</f>
        <v/>
      </c>
      <c r="F362" s="4" t="str">
        <f>Registered!AU856</f>
        <v>2 Bandanas</v>
      </c>
      <c r="G362" s="4" t="str">
        <f>Registered!AW856</f>
        <v>2 Meals</v>
      </c>
      <c r="H362" s="4" t="str">
        <f>Registered!AX856</f>
        <v/>
      </c>
      <c r="I362" s="4" t="str">
        <f>Registered!AY856</f>
        <v/>
      </c>
    </row>
    <row r="363" spans="1:9" x14ac:dyDescent="0.25">
      <c r="A363" s="4" t="str">
        <f>Registered!B857</f>
        <v>Glaus</v>
      </c>
      <c r="B363" s="4" t="str">
        <f>Registered!A857</f>
        <v>Zachary</v>
      </c>
      <c r="C363" s="4" t="str">
        <f>IF(Registered!AR857&gt;0,Registered!AR857&amp;" Color Bags", "")</f>
        <v>10 Color Bags</v>
      </c>
      <c r="D363" s="4" t="str">
        <f>IF(Registered!AS857&gt;0,(IF(Registered!AS857=1,Registered!AS857&amp;" T-Shirt",Registered!AS857&amp;" T-Shirts")), "")</f>
        <v/>
      </c>
      <c r="E363" s="4" t="str">
        <f>Registered!AT857</f>
        <v/>
      </c>
      <c r="F363" s="4" t="str">
        <f>Registered!AU857</f>
        <v/>
      </c>
      <c r="G363" s="4" t="str">
        <f>Registered!AW857</f>
        <v/>
      </c>
      <c r="H363" s="4" t="str">
        <f>Registered!AX857</f>
        <v/>
      </c>
      <c r="I363" s="4" t="str">
        <f>Registered!AY857</f>
        <v/>
      </c>
    </row>
    <row r="364" spans="1:9" x14ac:dyDescent="0.25">
      <c r="A364" s="4" t="str">
        <f>Registered!B861</f>
        <v>Godderidge</v>
      </c>
      <c r="B364" s="4" t="str">
        <f>Registered!A861</f>
        <v>Nicole</v>
      </c>
      <c r="C364" s="4" t="str">
        <f>IF(Registered!AR861&gt;0,Registered!AR861&amp;" Color Bags", "")</f>
        <v>5 Color Bags</v>
      </c>
      <c r="D364" s="4" t="str">
        <f>IF(Registered!AS861&gt;0,(IF(Registered!AS861=1,Registered!AS861&amp;" T-Shirt",Registered!AS861&amp;" T-Shirts")), "")</f>
        <v>1 T-Shirt</v>
      </c>
      <c r="E364" s="4" t="str">
        <f>Registered!AT861</f>
        <v>Extra Large</v>
      </c>
      <c r="F364" s="4" t="str">
        <f>Registered!AU861</f>
        <v/>
      </c>
      <c r="G364" s="4" t="str">
        <f>Registered!AW861</f>
        <v/>
      </c>
      <c r="H364" s="4" t="str">
        <f>Registered!AX861</f>
        <v/>
      </c>
      <c r="I364" s="4" t="str">
        <f>Registered!AY861</f>
        <v>1 DustMask</v>
      </c>
    </row>
    <row r="365" spans="1:9" x14ac:dyDescent="0.25">
      <c r="A365" s="4" t="str">
        <f>Registered!B863</f>
        <v>Goff</v>
      </c>
      <c r="B365" s="4" t="str">
        <f>Registered!A863</f>
        <v>Jessica-Ryan</v>
      </c>
      <c r="C365" s="4" t="str">
        <f>IF(Registered!AR863&gt;0,Registered!AR863&amp;" Color Bags", "")</f>
        <v>10 Color Bags</v>
      </c>
      <c r="D365" s="4" t="str">
        <f>IF(Registered!AS863&gt;0,(IF(Registered!AS863=1,Registered!AS863&amp;" T-Shirt",Registered!AS863&amp;" T-Shirts")), "")</f>
        <v>1 T-Shirt</v>
      </c>
      <c r="E365" s="4" t="str">
        <f>Registered!AT863</f>
        <v>s</v>
      </c>
      <c r="F365" s="4" t="str">
        <f>Registered!AU863</f>
        <v/>
      </c>
      <c r="G365" s="4" t="str">
        <f>Registered!AW863</f>
        <v/>
      </c>
      <c r="H365" s="4" t="str">
        <f>Registered!AX863</f>
        <v/>
      </c>
      <c r="I365" s="4" t="str">
        <f>Registered!AY863</f>
        <v/>
      </c>
    </row>
    <row r="366" spans="1:9" x14ac:dyDescent="0.25">
      <c r="A366" s="4" t="str">
        <f>Registered!B864</f>
        <v>Gold</v>
      </c>
      <c r="B366" s="4" t="str">
        <f>Registered!A864</f>
        <v>Joelyne</v>
      </c>
      <c r="C366" s="4" t="str">
        <f>IF(Registered!AR864&gt;0,Registered!AR864&amp;" Color Bags", "")</f>
        <v>10 Color Bags</v>
      </c>
      <c r="D366" s="4" t="str">
        <f>IF(Registered!AS864&gt;0,(IF(Registered!AS864=1,Registered!AS864&amp;" T-Shirt",Registered!AS864&amp;" T-Shirts")), "")</f>
        <v>2 T-Shirts</v>
      </c>
      <c r="E366" s="4" t="str">
        <f>Registered!AT864</f>
        <v>Small and Medium</v>
      </c>
      <c r="F366" s="4" t="str">
        <f>Registered!AU864</f>
        <v/>
      </c>
      <c r="G366" s="4" t="str">
        <f>Registered!AW864</f>
        <v>4 Meals</v>
      </c>
      <c r="H366" s="4" t="str">
        <f>Registered!AX864</f>
        <v/>
      </c>
      <c r="I366" s="4" t="str">
        <f>Registered!AY864</f>
        <v/>
      </c>
    </row>
    <row r="367" spans="1:9" x14ac:dyDescent="0.25">
      <c r="A367" s="4" t="str">
        <f>Registered!B865</f>
        <v>Gomm</v>
      </c>
      <c r="B367" s="4" t="str">
        <f>Registered!A865</f>
        <v>Katie</v>
      </c>
      <c r="C367" s="4" t="str">
        <f>IF(Registered!AR865&gt;0,Registered!AR865&amp;" Color Bags", "")</f>
        <v>10 Color Bags</v>
      </c>
      <c r="D367" s="4" t="str">
        <f>IF(Registered!AS865&gt;0,(IF(Registered!AS865=1,Registered!AS865&amp;" T-Shirt",Registered!AS865&amp;" T-Shirts")), "")</f>
        <v/>
      </c>
      <c r="E367" s="4" t="str">
        <f>Registered!AT865</f>
        <v/>
      </c>
      <c r="F367" s="4" t="str">
        <f>Registered!AU865</f>
        <v/>
      </c>
      <c r="G367" s="4" t="str">
        <f>Registered!AW865</f>
        <v/>
      </c>
      <c r="H367" s="4" t="str">
        <f>Registered!AX865</f>
        <v/>
      </c>
      <c r="I367" s="4" t="str">
        <f>Registered!AY865</f>
        <v/>
      </c>
    </row>
    <row r="368" spans="1:9" x14ac:dyDescent="0.25">
      <c r="A368" s="4" t="str">
        <f>Registered!B866</f>
        <v>Gomm</v>
      </c>
      <c r="B368" s="4" t="str">
        <f>Registered!A866</f>
        <v>Kiera</v>
      </c>
      <c r="C368" s="4" t="str">
        <f>IF(Registered!AR866&gt;0,Registered!AR866&amp;" Color Bags", "")</f>
        <v>5 Color Bags</v>
      </c>
      <c r="D368" s="4" t="str">
        <f>IF(Registered!AS866&gt;0,(IF(Registered!AS866=1,Registered!AS866&amp;" T-Shirt",Registered!AS866&amp;" T-Shirts")), "")</f>
        <v/>
      </c>
      <c r="E368" s="4" t="str">
        <f>Registered!AT866</f>
        <v/>
      </c>
      <c r="F368" s="4" t="str">
        <f>Registered!AU866</f>
        <v/>
      </c>
      <c r="G368" s="4" t="str">
        <f>Registered!AW866</f>
        <v/>
      </c>
      <c r="H368" s="4" t="str">
        <f>Registered!AX866</f>
        <v/>
      </c>
      <c r="I368" s="4" t="str">
        <f>Registered!AY866</f>
        <v/>
      </c>
    </row>
    <row r="369" spans="1:9" x14ac:dyDescent="0.25">
      <c r="A369" s="4" t="str">
        <f>Registered!B2715</f>
        <v>Gonzalez</v>
      </c>
      <c r="B369" s="4" t="str">
        <f>Registered!A2715</f>
        <v>Aundrea</v>
      </c>
      <c r="C369" s="4" t="str">
        <f>IF(Registered!AR2715&gt;0,Registered!AR2715&amp;" Color Bags", "")</f>
        <v>20 Color Bags</v>
      </c>
      <c r="D369" s="4" t="str">
        <f>IF(Registered!AS2715&gt;0,(IF(Registered!AS2715=1,Registered!AS2715&amp;" T-Shirt",Registered!AS2715&amp;" T-Shirts")), "")</f>
        <v/>
      </c>
      <c r="E369" s="4" t="str">
        <f>Registered!AT2715</f>
        <v/>
      </c>
      <c r="F369" s="4" t="str">
        <f>Registered!AU2715</f>
        <v/>
      </c>
      <c r="G369" s="4" t="str">
        <f>Registered!AW2715</f>
        <v/>
      </c>
      <c r="H369" s="4" t="str">
        <f>Registered!AX2715</f>
        <v/>
      </c>
      <c r="I369" s="4" t="str">
        <f>Registered!AY2715</f>
        <v/>
      </c>
    </row>
    <row r="370" spans="1:9" x14ac:dyDescent="0.25">
      <c r="A370" s="4" t="str">
        <f>Registered!B870</f>
        <v>Goodfellow</v>
      </c>
      <c r="B370" s="4" t="str">
        <f>Registered!A870</f>
        <v>Stephanie</v>
      </c>
      <c r="C370" s="4" t="str">
        <f>IF(Registered!AR870&gt;0,Registered!AR870&amp;" Color Bags", "")</f>
        <v>5 Color Bags</v>
      </c>
      <c r="D370" s="4" t="str">
        <f>IF(Registered!AS870&gt;0,(IF(Registered!AS870=1,Registered!AS870&amp;" T-Shirt",Registered!AS870&amp;" T-Shirts")), "")</f>
        <v/>
      </c>
      <c r="E370" s="4" t="str">
        <f>Registered!AT870</f>
        <v/>
      </c>
      <c r="F370" s="4" t="str">
        <f>Registered!AU870</f>
        <v/>
      </c>
      <c r="G370" s="4" t="str">
        <f>Registered!AW870</f>
        <v/>
      </c>
      <c r="H370" s="4" t="str">
        <f>Registered!AX870</f>
        <v/>
      </c>
      <c r="I370" s="4" t="str">
        <f>Registered!AY870</f>
        <v/>
      </c>
    </row>
    <row r="371" spans="1:9" x14ac:dyDescent="0.25">
      <c r="A371" s="4" t="str">
        <f>Registered!B871</f>
        <v>Goodwin</v>
      </c>
      <c r="B371" s="4" t="str">
        <f>Registered!A871</f>
        <v>Clara</v>
      </c>
      <c r="C371" s="4" t="str">
        <f>IF(Registered!AR871&gt;0,Registered!AR871&amp;" Color Bags", "")</f>
        <v>5 Color Bags</v>
      </c>
      <c r="D371" s="4" t="str">
        <f>IF(Registered!AS871&gt;0,(IF(Registered!AS871=1,Registered!AS871&amp;" T-Shirt",Registered!AS871&amp;" T-Shirts")), "")</f>
        <v/>
      </c>
      <c r="E371" s="4" t="str">
        <f>Registered!AT871</f>
        <v/>
      </c>
      <c r="F371" s="4" t="str">
        <f>Registered!AU871</f>
        <v/>
      </c>
      <c r="G371" s="4" t="str">
        <f>Registered!AW871</f>
        <v/>
      </c>
      <c r="H371" s="4" t="str">
        <f>Registered!AX871</f>
        <v/>
      </c>
      <c r="I371" s="4" t="str">
        <f>Registered!AY871</f>
        <v/>
      </c>
    </row>
    <row r="372" spans="1:9" x14ac:dyDescent="0.25">
      <c r="A372" s="4" t="str">
        <f>Registered!B874</f>
        <v>Goold</v>
      </c>
      <c r="B372" s="4" t="str">
        <f>Registered!A874</f>
        <v>Kira</v>
      </c>
      <c r="C372" s="4" t="str">
        <f>IF(Registered!AR874&gt;0,Registered!AR874&amp;" Color Bags", "")</f>
        <v>30 Color Bags</v>
      </c>
      <c r="D372" s="4" t="str">
        <f>IF(Registered!AS874&gt;0,(IF(Registered!AS874=1,Registered!AS874&amp;" T-Shirt",Registered!AS874&amp;" T-Shirts")), "")</f>
        <v/>
      </c>
      <c r="E372" s="4" t="str">
        <f>Registered!AT874</f>
        <v/>
      </c>
      <c r="F372" s="4" t="str">
        <f>Registered!AU874</f>
        <v/>
      </c>
      <c r="G372" s="4" t="str">
        <f>Registered!AW874</f>
        <v>4 Meals</v>
      </c>
      <c r="H372" s="4" t="str">
        <f>Registered!AX874</f>
        <v/>
      </c>
      <c r="I372" s="4" t="str">
        <f>Registered!AY874</f>
        <v/>
      </c>
    </row>
    <row r="373" spans="1:9" x14ac:dyDescent="0.25">
      <c r="A373" s="4" t="str">
        <f>Registered!B872</f>
        <v>Goold</v>
      </c>
      <c r="B373" s="4" t="str">
        <f>Registered!A872</f>
        <v>Eric</v>
      </c>
      <c r="C373" s="4" t="str">
        <f>IF(Registered!AR872&gt;0,Registered!AR872&amp;" Color Bags", "")</f>
        <v>5 Color Bags</v>
      </c>
      <c r="D373" s="4" t="str">
        <f>IF(Registered!AS872&gt;0,(IF(Registered!AS872=1,Registered!AS872&amp;" T-Shirt",Registered!AS872&amp;" T-Shirts")), "")</f>
        <v/>
      </c>
      <c r="E373" s="4" t="str">
        <f>Registered!AT872</f>
        <v/>
      </c>
      <c r="F373" s="4" t="str">
        <f>Registered!AU872</f>
        <v/>
      </c>
      <c r="G373" s="4" t="str">
        <f>Registered!AW872</f>
        <v/>
      </c>
      <c r="H373" s="4" t="str">
        <f>Registered!AX872</f>
        <v/>
      </c>
      <c r="I373" s="4" t="str">
        <f>Registered!AY872</f>
        <v/>
      </c>
    </row>
    <row r="374" spans="1:9" x14ac:dyDescent="0.25">
      <c r="A374" s="4" t="str">
        <f>Registered!B881</f>
        <v>Grant</v>
      </c>
      <c r="B374" s="4" t="str">
        <f>Registered!A881</f>
        <v>Jennifer</v>
      </c>
      <c r="C374" s="4" t="str">
        <f>IF(Registered!AR881&gt;0,Registered!AR881&amp;" Color Bags", "")</f>
        <v>20 Color Bags</v>
      </c>
      <c r="D374" s="4" t="str">
        <f>IF(Registered!AS881&gt;0,(IF(Registered!AS881=1,Registered!AS881&amp;" T-Shirt",Registered!AS881&amp;" T-Shirts")), "")</f>
        <v/>
      </c>
      <c r="E374" s="4" t="str">
        <f>Registered!AT881</f>
        <v/>
      </c>
      <c r="F374" s="4" t="str">
        <f>Registered!AU881</f>
        <v/>
      </c>
      <c r="G374" s="4" t="str">
        <f>Registered!AW881</f>
        <v/>
      </c>
      <c r="H374" s="4" t="str">
        <f>Registered!AX881</f>
        <v/>
      </c>
      <c r="I374" s="4" t="str">
        <f>Registered!AY881</f>
        <v/>
      </c>
    </row>
    <row r="375" spans="1:9" x14ac:dyDescent="0.25">
      <c r="A375" s="4" t="str">
        <f>Registered!B883</f>
        <v>Grate</v>
      </c>
      <c r="B375" s="4" t="str">
        <f>Registered!A883</f>
        <v>Paul</v>
      </c>
      <c r="C375" s="4" t="str">
        <f>IF(Registered!AR883&gt;0,Registered!AR883&amp;" Color Bags", "")</f>
        <v>5 Color Bags</v>
      </c>
      <c r="D375" s="4" t="str">
        <f>IF(Registered!AS883&gt;0,(IF(Registered!AS883=1,Registered!AS883&amp;" T-Shirt",Registered!AS883&amp;" T-Shirts")), "")</f>
        <v/>
      </c>
      <c r="E375" s="4" t="str">
        <f>Registered!AT883</f>
        <v/>
      </c>
      <c r="F375" s="4" t="str">
        <f>Registered!AU883</f>
        <v/>
      </c>
      <c r="G375" s="4" t="str">
        <f>Registered!AW883</f>
        <v/>
      </c>
      <c r="H375" s="4" t="str">
        <f>Registered!AX883</f>
        <v/>
      </c>
      <c r="I375" s="4" t="str">
        <f>Registered!AY883</f>
        <v/>
      </c>
    </row>
    <row r="376" spans="1:9" x14ac:dyDescent="0.25">
      <c r="A376" s="4" t="str">
        <f>Registered!B885</f>
        <v>Gray Jr</v>
      </c>
      <c r="B376" s="4" t="str">
        <f>Registered!A885</f>
        <v>Wayne</v>
      </c>
      <c r="C376" s="4" t="str">
        <f>IF(Registered!AR885&gt;0,Registered!AR885&amp;" Color Bags", "")</f>
        <v>20 Color Bags</v>
      </c>
      <c r="D376" s="4" t="str">
        <f>IF(Registered!AS885&gt;0,(IF(Registered!AS885=1,Registered!AS885&amp;" T-Shirt",Registered!AS885&amp;" T-Shirts")), "")</f>
        <v>4 T-Shirts</v>
      </c>
      <c r="E376" s="4" t="str">
        <f>Registered!AT885</f>
        <v>1 XL, 1 Large, 2 Medium</v>
      </c>
      <c r="F376" s="4" t="str">
        <f>Registered!AU885</f>
        <v/>
      </c>
      <c r="G376" s="4" t="str">
        <f>Registered!AW885</f>
        <v/>
      </c>
      <c r="H376" s="4" t="str">
        <f>Registered!AX885</f>
        <v/>
      </c>
      <c r="I376" s="4" t="str">
        <f>Registered!AY885</f>
        <v/>
      </c>
    </row>
    <row r="377" spans="1:9" x14ac:dyDescent="0.25">
      <c r="A377" s="4" t="str">
        <f>Registered!B886</f>
        <v>Green</v>
      </c>
      <c r="B377" s="4" t="str">
        <f>Registered!A886</f>
        <v>Avalon</v>
      </c>
      <c r="C377" s="4" t="str">
        <f>IF(Registered!AR886&gt;0,Registered!AR886&amp;" Color Bags", "")</f>
        <v>10 Color Bags</v>
      </c>
      <c r="D377" s="4" t="str">
        <f>IF(Registered!AS886&gt;0,(IF(Registered!AS886=1,Registered!AS886&amp;" T-Shirt",Registered!AS886&amp;" T-Shirts")), "")</f>
        <v/>
      </c>
      <c r="E377" s="4" t="str">
        <f>Registered!AT886</f>
        <v/>
      </c>
      <c r="F377" s="4" t="str">
        <f>Registered!AU886</f>
        <v>1 Bandana</v>
      </c>
      <c r="G377" s="4" t="str">
        <f>Registered!AW886</f>
        <v/>
      </c>
      <c r="H377" s="4" t="str">
        <f>Registered!AX886</f>
        <v/>
      </c>
      <c r="I377" s="4" t="str">
        <f>Registered!AY886</f>
        <v/>
      </c>
    </row>
    <row r="378" spans="1:9" x14ac:dyDescent="0.25">
      <c r="A378" s="4" t="str">
        <f>Registered!B891</f>
        <v>Green</v>
      </c>
      <c r="B378" s="4" t="str">
        <f>Registered!A891</f>
        <v>Nicole</v>
      </c>
      <c r="C378" s="4" t="str">
        <f>IF(Registered!AR891&gt;0,Registered!AR891&amp;" Color Bags", "")</f>
        <v>10 Color Bags</v>
      </c>
      <c r="D378" s="4" t="str">
        <f>IF(Registered!AS891&gt;0,(IF(Registered!AS891=1,Registered!AS891&amp;" T-Shirt",Registered!AS891&amp;" T-Shirts")), "")</f>
        <v/>
      </c>
      <c r="E378" s="4" t="str">
        <f>Registered!AT891</f>
        <v/>
      </c>
      <c r="F378" s="4" t="str">
        <f>Registered!AU891</f>
        <v/>
      </c>
      <c r="G378" s="4" t="str">
        <f>Registered!AW891</f>
        <v/>
      </c>
      <c r="H378" s="4" t="str">
        <f>Registered!AX891</f>
        <v/>
      </c>
      <c r="I378" s="4" t="str">
        <f>Registered!AY891</f>
        <v/>
      </c>
    </row>
    <row r="379" spans="1:9" x14ac:dyDescent="0.25">
      <c r="A379" s="4" t="str">
        <f>Registered!B892</f>
        <v>Green</v>
      </c>
      <c r="B379" s="4" t="str">
        <f>Registered!A892</f>
        <v>Sara</v>
      </c>
      <c r="C379" s="4" t="str">
        <f>IF(Registered!AR892&gt;0,Registered!AR892&amp;" Color Bags", "")</f>
        <v>10 Color Bags</v>
      </c>
      <c r="D379" s="4" t="str">
        <f>IF(Registered!AS892&gt;0,(IF(Registered!AS892=1,Registered!AS892&amp;" T-Shirt",Registered!AS892&amp;" T-Shirts")), "")</f>
        <v/>
      </c>
      <c r="E379" s="4" t="str">
        <f>Registered!AT892</f>
        <v/>
      </c>
      <c r="F379" s="4" t="str">
        <f>Registered!AU892</f>
        <v/>
      </c>
      <c r="G379" s="4" t="str">
        <f>Registered!AW892</f>
        <v/>
      </c>
      <c r="H379" s="4" t="str">
        <f>Registered!AX892</f>
        <v/>
      </c>
      <c r="I379" s="4" t="str">
        <f>Registered!AY892</f>
        <v/>
      </c>
    </row>
    <row r="380" spans="1:9" x14ac:dyDescent="0.25">
      <c r="A380" s="4" t="str">
        <f>Registered!B887</f>
        <v>Green</v>
      </c>
      <c r="B380" s="4" t="str">
        <f>Registered!A887</f>
        <v>Coulette</v>
      </c>
      <c r="C380" s="4" t="str">
        <f>IF(Registered!AR887&gt;0,Registered!AR887&amp;" Color Bags", "")</f>
        <v>5 Color Bags</v>
      </c>
      <c r="D380" s="4" t="str">
        <f>IF(Registered!AS887&gt;0,(IF(Registered!AS887=1,Registered!AS887&amp;" T-Shirt",Registered!AS887&amp;" T-Shirts")), "")</f>
        <v/>
      </c>
      <c r="E380" s="4" t="str">
        <f>Registered!AT887</f>
        <v/>
      </c>
      <c r="F380" s="4" t="str">
        <f>Registered!AU887</f>
        <v/>
      </c>
      <c r="G380" s="4" t="str">
        <f>Registered!AW887</f>
        <v/>
      </c>
      <c r="H380" s="4" t="str">
        <f>Registered!AX887</f>
        <v/>
      </c>
      <c r="I380" s="4" t="str">
        <f>Registered!AY887</f>
        <v/>
      </c>
    </row>
    <row r="381" spans="1:9" x14ac:dyDescent="0.25">
      <c r="A381" s="4" t="str">
        <f>Registered!B895</f>
        <v>Greene</v>
      </c>
      <c r="B381" s="4" t="str">
        <f>Registered!A895</f>
        <v>Gibson</v>
      </c>
      <c r="C381" s="4" t="str">
        <f>IF(Registered!AR895&gt;0,Registered!AR895&amp;" Color Bags", "")</f>
        <v>5 Color Bags</v>
      </c>
      <c r="D381" s="4" t="str">
        <f>IF(Registered!AS895&gt;0,(IF(Registered!AS895=1,Registered!AS895&amp;" T-Shirt",Registered!AS895&amp;" T-Shirts")), "")</f>
        <v/>
      </c>
      <c r="E381" s="4" t="str">
        <f>Registered!AT895</f>
        <v/>
      </c>
      <c r="F381" s="4" t="str">
        <f>Registered!AU895</f>
        <v/>
      </c>
      <c r="G381" s="4" t="str">
        <f>Registered!AW895</f>
        <v/>
      </c>
      <c r="H381" s="4" t="str">
        <f>Registered!AX895</f>
        <v/>
      </c>
      <c r="I381" s="4" t="str">
        <f>Registered!AY895</f>
        <v/>
      </c>
    </row>
    <row r="382" spans="1:9" x14ac:dyDescent="0.25">
      <c r="A382" s="4" t="str">
        <f>Registered!B899</f>
        <v>Greenwell</v>
      </c>
      <c r="B382" s="4" t="str">
        <f>Registered!A899</f>
        <v>Kaitlynn</v>
      </c>
      <c r="C382" s="4" t="str">
        <f>IF(Registered!AR899&gt;0,Registered!AR899&amp;" Color Bags", "")</f>
        <v>10 Color Bags</v>
      </c>
      <c r="D382" s="4" t="str">
        <f>IF(Registered!AS899&gt;0,(IF(Registered!AS899=1,Registered!AS899&amp;" T-Shirt",Registered!AS899&amp;" T-Shirts")), "")</f>
        <v/>
      </c>
      <c r="E382" s="4" t="str">
        <f>Registered!AT899</f>
        <v/>
      </c>
      <c r="F382" s="4" t="str">
        <f>Registered!AU899</f>
        <v/>
      </c>
      <c r="G382" s="4" t="str">
        <f>Registered!AW899</f>
        <v/>
      </c>
      <c r="H382" s="4" t="str">
        <f>Registered!AX899</f>
        <v/>
      </c>
      <c r="I382" s="4" t="str">
        <f>Registered!AY899</f>
        <v/>
      </c>
    </row>
    <row r="383" spans="1:9" x14ac:dyDescent="0.25">
      <c r="A383" s="4" t="str">
        <f>Registered!B901</f>
        <v>Greer</v>
      </c>
      <c r="B383" s="4" t="str">
        <f>Registered!A901</f>
        <v>Rose</v>
      </c>
      <c r="C383" s="4" t="str">
        <f>IF(Registered!AR901&gt;0,Registered!AR901&amp;" Color Bags", "")</f>
        <v>20 Color Bags</v>
      </c>
      <c r="D383" s="4" t="str">
        <f>IF(Registered!AS901&gt;0,(IF(Registered!AS901=1,Registered!AS901&amp;" T-Shirt",Registered!AS901&amp;" T-Shirts")), "")</f>
        <v/>
      </c>
      <c r="E383" s="4" t="str">
        <f>Registered!AT901</f>
        <v/>
      </c>
      <c r="F383" s="4" t="str">
        <f>Registered!AU901</f>
        <v/>
      </c>
      <c r="G383" s="4" t="str">
        <f>Registered!AW901</f>
        <v>4 Meals</v>
      </c>
      <c r="H383" s="4" t="str">
        <f>Registered!AX901</f>
        <v/>
      </c>
      <c r="I383" s="4" t="str">
        <f>Registered!AY901</f>
        <v/>
      </c>
    </row>
    <row r="384" spans="1:9" x14ac:dyDescent="0.25">
      <c r="A384" s="4" t="str">
        <f>Registered!B902</f>
        <v>Gregersen</v>
      </c>
      <c r="B384" s="4" t="str">
        <f>Registered!A902</f>
        <v>Kameo</v>
      </c>
      <c r="C384" s="4" t="str">
        <f>IF(Registered!AR902&gt;0,Registered!AR902&amp;" Color Bags", "")</f>
        <v>10 Color Bags</v>
      </c>
      <c r="D384" s="4" t="str">
        <f>IF(Registered!AS902&gt;0,(IF(Registered!AS902=1,Registered!AS902&amp;" T-Shirt",Registered!AS902&amp;" T-Shirts")), "")</f>
        <v/>
      </c>
      <c r="E384" s="4" t="str">
        <f>Registered!AT902</f>
        <v/>
      </c>
      <c r="F384" s="4" t="str">
        <f>Registered!AU902</f>
        <v/>
      </c>
      <c r="G384" s="4" t="str">
        <f>Registered!AW902</f>
        <v/>
      </c>
      <c r="H384" s="4" t="str">
        <f>Registered!AX902</f>
        <v/>
      </c>
      <c r="I384" s="4" t="str">
        <f>Registered!AY902</f>
        <v/>
      </c>
    </row>
    <row r="385" spans="1:9" x14ac:dyDescent="0.25">
      <c r="A385" s="4" t="str">
        <f>Registered!B905</f>
        <v>Griffith</v>
      </c>
      <c r="B385" s="4" t="str">
        <f>Registered!A905</f>
        <v>Adison</v>
      </c>
      <c r="C385" s="4" t="str">
        <f>IF(Registered!AR905&gt;0,Registered!AR905&amp;" Color Bags", "")</f>
        <v>5 Color Bags</v>
      </c>
      <c r="D385" s="4" t="str">
        <f>IF(Registered!AS905&gt;0,(IF(Registered!AS905=1,Registered!AS905&amp;" T-Shirt",Registered!AS905&amp;" T-Shirts")), "")</f>
        <v/>
      </c>
      <c r="E385" s="4" t="str">
        <f>Registered!AT905</f>
        <v/>
      </c>
      <c r="F385" s="4" t="str">
        <f>Registered!AU905</f>
        <v/>
      </c>
      <c r="G385" s="4" t="str">
        <f>Registered!AW905</f>
        <v/>
      </c>
      <c r="H385" s="4" t="str">
        <f>Registered!AX905</f>
        <v/>
      </c>
      <c r="I385" s="4" t="str">
        <f>Registered!AY905</f>
        <v/>
      </c>
    </row>
    <row r="386" spans="1:9" x14ac:dyDescent="0.25">
      <c r="A386" s="4" t="str">
        <f>Registered!B908</f>
        <v>Gross</v>
      </c>
      <c r="B386" s="4" t="str">
        <f>Registered!A908</f>
        <v>Danny</v>
      </c>
      <c r="C386" s="4" t="str">
        <f>IF(Registered!AR908&gt;0,Registered!AR908&amp;" Color Bags", "")</f>
        <v>40 Color Bags</v>
      </c>
      <c r="D386" s="4" t="str">
        <f>IF(Registered!AS908&gt;0,(IF(Registered!AS908=1,Registered!AS908&amp;" T-Shirt",Registered!AS908&amp;" T-Shirts")), "")</f>
        <v>4 T-Shirts</v>
      </c>
      <c r="E386" s="4" t="str">
        <f>Registered!AT908</f>
        <v>3 mediums, 1 small</v>
      </c>
      <c r="F386" s="4" t="str">
        <f>Registered!AU908</f>
        <v>4 Bandanas</v>
      </c>
      <c r="G386" s="4" t="str">
        <f>Registered!AW908</f>
        <v/>
      </c>
      <c r="H386" s="4" t="str">
        <f>Registered!AX908</f>
        <v/>
      </c>
      <c r="I386" s="4" t="str">
        <f>Registered!AY908</f>
        <v/>
      </c>
    </row>
    <row r="387" spans="1:9" x14ac:dyDescent="0.25">
      <c r="A387" s="4" t="str">
        <f>Registered!B910</f>
        <v>Grover</v>
      </c>
      <c r="B387" s="4" t="str">
        <f>Registered!A910</f>
        <v>David</v>
      </c>
      <c r="C387" s="4" t="str">
        <f>IF(Registered!AR910&gt;0,Registered!AR910&amp;" Color Bags", "")</f>
        <v>35 Color Bags</v>
      </c>
      <c r="D387" s="4" t="str">
        <f>IF(Registered!AS910&gt;0,(IF(Registered!AS910=1,Registered!AS910&amp;" T-Shirt",Registered!AS910&amp;" T-Shirts")), "")</f>
        <v>1 T-Shirt</v>
      </c>
      <c r="E387" s="4" t="str">
        <f>Registered!AT910</f>
        <v>lg</v>
      </c>
      <c r="F387" s="4" t="str">
        <f>Registered!AU910</f>
        <v>1 Bandana</v>
      </c>
      <c r="G387" s="4" t="str">
        <f>Registered!AW910</f>
        <v/>
      </c>
      <c r="H387" s="4" t="str">
        <f>Registered!AX910</f>
        <v/>
      </c>
      <c r="I387" s="4" t="str">
        <f>Registered!AY910</f>
        <v/>
      </c>
    </row>
    <row r="388" spans="1:9" x14ac:dyDescent="0.25">
      <c r="A388" s="4" t="str">
        <f>Registered!B911</f>
        <v>Grow</v>
      </c>
      <c r="B388" s="4" t="str">
        <f>Registered!A911</f>
        <v>Abby</v>
      </c>
      <c r="C388" s="4" t="str">
        <f>IF(Registered!AR911&gt;0,Registered!AR911&amp;" Color Bags", "")</f>
        <v>5 Color Bags</v>
      </c>
      <c r="D388" s="4" t="str">
        <f>IF(Registered!AS911&gt;0,(IF(Registered!AS911=1,Registered!AS911&amp;" T-Shirt",Registered!AS911&amp;" T-Shirts")), "")</f>
        <v/>
      </c>
      <c r="E388" s="4" t="str">
        <f>Registered!AT911</f>
        <v/>
      </c>
      <c r="F388" s="4" t="str">
        <f>Registered!AU911</f>
        <v/>
      </c>
      <c r="G388" s="4" t="str">
        <f>Registered!AW911</f>
        <v/>
      </c>
      <c r="H388" s="4" t="str">
        <f>Registered!AX911</f>
        <v/>
      </c>
      <c r="I388" s="4" t="str">
        <f>Registered!AY911</f>
        <v/>
      </c>
    </row>
    <row r="389" spans="1:9" x14ac:dyDescent="0.25">
      <c r="A389" s="4" t="str">
        <f>Registered!B912</f>
        <v>Grunwald</v>
      </c>
      <c r="B389" s="4" t="str">
        <f>Registered!A912</f>
        <v>Mark</v>
      </c>
      <c r="C389" s="4" t="str">
        <f>IF(Registered!AR912&gt;0,Registered!AR912&amp;" Color Bags", "")</f>
        <v>15 Color Bags</v>
      </c>
      <c r="D389" s="4" t="str">
        <f>IF(Registered!AS912&gt;0,(IF(Registered!AS912=1,Registered!AS912&amp;" T-Shirt",Registered!AS912&amp;" T-Shirts")), "")</f>
        <v/>
      </c>
      <c r="E389" s="4" t="str">
        <f>Registered!AT912</f>
        <v/>
      </c>
      <c r="F389" s="4" t="str">
        <f>Registered!AU912</f>
        <v/>
      </c>
      <c r="G389" s="4" t="str">
        <f>Registered!AW912</f>
        <v/>
      </c>
      <c r="H389" s="4" t="str">
        <f>Registered!AX912</f>
        <v/>
      </c>
      <c r="I389" s="4" t="str">
        <f>Registered!AY912</f>
        <v/>
      </c>
    </row>
    <row r="390" spans="1:9" x14ac:dyDescent="0.25">
      <c r="A390" s="4" t="str">
        <f>Registered!B973</f>
        <v>Guterman</v>
      </c>
      <c r="B390" s="4" t="str">
        <f>Registered!A973</f>
        <v>Tammara</v>
      </c>
      <c r="C390" s="4" t="str">
        <f>IF(Registered!AR973&gt;0,Registered!AR973&amp;" Color Bags", "")</f>
        <v>10 Color Bags</v>
      </c>
      <c r="D390" s="4" t="str">
        <f>IF(Registered!AS973&gt;0,(IF(Registered!AS973=1,Registered!AS973&amp;" T-Shirt",Registered!AS973&amp;" T-Shirts")), "")</f>
        <v/>
      </c>
      <c r="E390" s="4" t="str">
        <f>Registered!AT973</f>
        <v/>
      </c>
      <c r="F390" s="4" t="str">
        <f>Registered!AU973</f>
        <v>2 Bandanas</v>
      </c>
      <c r="G390" s="4" t="str">
        <f>Registered!AW973</f>
        <v>1 Meal</v>
      </c>
      <c r="H390" s="4" t="str">
        <f>Registered!AX973</f>
        <v/>
      </c>
      <c r="I390" s="4" t="str">
        <f>Registered!AY973</f>
        <v/>
      </c>
    </row>
    <row r="391" spans="1:9" x14ac:dyDescent="0.25">
      <c r="A391" s="4" t="str">
        <f>Registered!B974</f>
        <v>Guthrie</v>
      </c>
      <c r="B391" s="4" t="str">
        <f>Registered!A974</f>
        <v>Kristin</v>
      </c>
      <c r="C391" s="4" t="str">
        <f>IF(Registered!AR974&gt;0,Registered!AR974&amp;" Color Bags", "")</f>
        <v>5 Color Bags</v>
      </c>
      <c r="D391" s="4" t="str">
        <f>IF(Registered!AS974&gt;0,(IF(Registered!AS974=1,Registered!AS974&amp;" T-Shirt",Registered!AS974&amp;" T-Shirts")), "")</f>
        <v/>
      </c>
      <c r="E391" s="4" t="str">
        <f>Registered!AT974</f>
        <v/>
      </c>
      <c r="F391" s="4" t="str">
        <f>Registered!AU974</f>
        <v/>
      </c>
      <c r="G391" s="4" t="str">
        <f>Registered!AW974</f>
        <v>1 Meal</v>
      </c>
      <c r="H391" s="4" t="str">
        <f>Registered!AX974</f>
        <v/>
      </c>
      <c r="I391" s="4" t="str">
        <f>Registered!AY974</f>
        <v/>
      </c>
    </row>
    <row r="392" spans="1:9" x14ac:dyDescent="0.25">
      <c r="A392" s="4" t="str">
        <f>Registered!B976</f>
        <v>Hackworth</v>
      </c>
      <c r="B392" s="4" t="str">
        <f>Registered!A976</f>
        <v>Ashlee</v>
      </c>
      <c r="C392" s="4" t="str">
        <f>IF(Registered!AR976&gt;0,Registered!AR976&amp;" Color Bags", "")</f>
        <v>5 Color Bags</v>
      </c>
      <c r="D392" s="4" t="str">
        <f>IF(Registered!AS976&gt;0,(IF(Registered!AS976=1,Registered!AS976&amp;" T-Shirt",Registered!AS976&amp;" T-Shirts")), "")</f>
        <v/>
      </c>
      <c r="E392" s="4" t="str">
        <f>Registered!AT976</f>
        <v/>
      </c>
      <c r="F392" s="4" t="str">
        <f>Registered!AU976</f>
        <v/>
      </c>
      <c r="G392" s="4" t="str">
        <f>Registered!AW976</f>
        <v/>
      </c>
      <c r="H392" s="4" t="str">
        <f>Registered!AX976</f>
        <v/>
      </c>
      <c r="I392" s="4" t="str">
        <f>Registered!AY976</f>
        <v/>
      </c>
    </row>
    <row r="393" spans="1:9" x14ac:dyDescent="0.25">
      <c r="A393" s="4" t="str">
        <f>Registered!B977</f>
        <v>Hadden</v>
      </c>
      <c r="B393" s="4" t="str">
        <f>Registered!A977</f>
        <v>Natalie</v>
      </c>
      <c r="C393" s="4" t="str">
        <f>IF(Registered!AR977&gt;0,Registered!AR977&amp;" Color Bags", "")</f>
        <v>5 Color Bags</v>
      </c>
      <c r="D393" s="4" t="str">
        <f>IF(Registered!AS977&gt;0,(IF(Registered!AS977=1,Registered!AS977&amp;" T-Shirt",Registered!AS977&amp;" T-Shirts")), "")</f>
        <v/>
      </c>
      <c r="E393" s="4" t="str">
        <f>Registered!AT977</f>
        <v/>
      </c>
      <c r="F393" s="4" t="str">
        <f>Registered!AU977</f>
        <v/>
      </c>
      <c r="G393" s="4" t="str">
        <f>Registered!AW977</f>
        <v/>
      </c>
      <c r="H393" s="4" t="str">
        <f>Registered!AX977</f>
        <v/>
      </c>
      <c r="I393" s="4" t="str">
        <f>Registered!AY977</f>
        <v/>
      </c>
    </row>
    <row r="394" spans="1:9" x14ac:dyDescent="0.25">
      <c r="A394" s="4" t="str">
        <f>Registered!B978</f>
        <v>Hadley</v>
      </c>
      <c r="B394" s="4" t="str">
        <f>Registered!A978</f>
        <v>Joni</v>
      </c>
      <c r="C394" s="4" t="str">
        <f>IF(Registered!AR978&gt;0,Registered!AR978&amp;" Color Bags", "")</f>
        <v>10 Color Bags</v>
      </c>
      <c r="D394" s="4" t="str">
        <f>IF(Registered!AS978&gt;0,(IF(Registered!AS978=1,Registered!AS978&amp;" T-Shirt",Registered!AS978&amp;" T-Shirts")), "")</f>
        <v/>
      </c>
      <c r="E394" s="4" t="str">
        <f>Registered!AT978</f>
        <v/>
      </c>
      <c r="F394" s="4" t="str">
        <f>Registered!AU978</f>
        <v/>
      </c>
      <c r="G394" s="4" t="str">
        <f>Registered!AW978</f>
        <v/>
      </c>
      <c r="H394" s="4" t="str">
        <f>Registered!AX978</f>
        <v/>
      </c>
      <c r="I394" s="4" t="str">
        <f>Registered!AY978</f>
        <v/>
      </c>
    </row>
    <row r="395" spans="1:9" x14ac:dyDescent="0.25">
      <c r="A395" s="4" t="str">
        <f>Registered!B982</f>
        <v>Hagen</v>
      </c>
      <c r="B395" s="4" t="str">
        <f>Registered!A982</f>
        <v>Chantel</v>
      </c>
      <c r="C395" s="4" t="str">
        <f>IF(Registered!AR982&gt;0,Registered!AR982&amp;" Color Bags", "")</f>
        <v>5 Color Bags</v>
      </c>
      <c r="D395" s="4" t="str">
        <f>IF(Registered!AS982&gt;0,(IF(Registered!AS982=1,Registered!AS982&amp;" T-Shirt",Registered!AS982&amp;" T-Shirts")), "")</f>
        <v/>
      </c>
      <c r="E395" s="4" t="str">
        <f>Registered!AT982</f>
        <v/>
      </c>
      <c r="F395" s="4" t="str">
        <f>Registered!AU982</f>
        <v/>
      </c>
      <c r="G395" s="4" t="str">
        <f>Registered!AW982</f>
        <v/>
      </c>
      <c r="H395" s="4" t="str">
        <f>Registered!AX982</f>
        <v/>
      </c>
      <c r="I395" s="4" t="str">
        <f>Registered!AY982</f>
        <v/>
      </c>
    </row>
    <row r="396" spans="1:9" x14ac:dyDescent="0.25">
      <c r="A396" s="4" t="str">
        <f>Registered!B985</f>
        <v>Haggai</v>
      </c>
      <c r="B396" s="4" t="str">
        <f>Registered!A985</f>
        <v>Vardi</v>
      </c>
      <c r="C396" s="4" t="str">
        <f>IF(Registered!AR985&gt;0,Registered!AR985&amp;" Color Bags", "")</f>
        <v>5 Color Bags</v>
      </c>
      <c r="D396" s="4" t="str">
        <f>IF(Registered!AS985&gt;0,(IF(Registered!AS985=1,Registered!AS985&amp;" T-Shirt",Registered!AS985&amp;" T-Shirts")), "")</f>
        <v>1 T-Shirt</v>
      </c>
      <c r="E396" s="4" t="str">
        <f>Registered!AT985</f>
        <v>Men - Small</v>
      </c>
      <c r="F396" s="4" t="str">
        <f>Registered!AU985</f>
        <v/>
      </c>
      <c r="G396" s="4" t="str">
        <f>Registered!AW985</f>
        <v>1 Meal</v>
      </c>
      <c r="H396" s="4" t="str">
        <f>Registered!AX985</f>
        <v/>
      </c>
      <c r="I396" s="4" t="str">
        <f>Registered!AY985</f>
        <v/>
      </c>
    </row>
    <row r="397" spans="1:9" x14ac:dyDescent="0.25">
      <c r="A397" s="4" t="str">
        <f>Registered!B988</f>
        <v>Halaliku</v>
      </c>
      <c r="B397" s="4" t="str">
        <f>Registered!A988</f>
        <v>Anthony</v>
      </c>
      <c r="C397" s="4" t="str">
        <f>IF(Registered!AR988&gt;0,Registered!AR988&amp;" Color Bags", "")</f>
        <v>10 Color Bags</v>
      </c>
      <c r="D397" s="4" t="str">
        <f>IF(Registered!AS988&gt;0,(IF(Registered!AS988=1,Registered!AS988&amp;" T-Shirt",Registered!AS988&amp;" T-Shirts")), "")</f>
        <v/>
      </c>
      <c r="E397" s="4" t="str">
        <f>Registered!AT988</f>
        <v/>
      </c>
      <c r="F397" s="4" t="str">
        <f>Registered!AU988</f>
        <v/>
      </c>
      <c r="G397" s="4" t="str">
        <f>Registered!AW988</f>
        <v/>
      </c>
      <c r="H397" s="4" t="str">
        <f>Registered!AX988</f>
        <v/>
      </c>
      <c r="I397" s="4" t="str">
        <f>Registered!AY988</f>
        <v/>
      </c>
    </row>
    <row r="398" spans="1:9" x14ac:dyDescent="0.25">
      <c r="A398" s="4" t="str">
        <f>Registered!B990</f>
        <v>Hale</v>
      </c>
      <c r="B398" s="4" t="str">
        <f>Registered!A990</f>
        <v>Madison</v>
      </c>
      <c r="C398" s="4" t="str">
        <f>IF(Registered!AR990&gt;0,Registered!AR990&amp;" Color Bags", "")</f>
        <v>15 Color Bags</v>
      </c>
      <c r="D398" s="4" t="str">
        <f>IF(Registered!AS990&gt;0,(IF(Registered!AS990=1,Registered!AS990&amp;" T-Shirt",Registered!AS990&amp;" T-Shirts")), "")</f>
        <v/>
      </c>
      <c r="E398" s="4" t="str">
        <f>Registered!AT990</f>
        <v/>
      </c>
      <c r="F398" s="4" t="str">
        <f>Registered!AU990</f>
        <v/>
      </c>
      <c r="G398" s="4" t="str">
        <f>Registered!AW990</f>
        <v/>
      </c>
      <c r="H398" s="4" t="str">
        <f>Registered!AX990</f>
        <v/>
      </c>
      <c r="I398" s="4" t="str">
        <f>Registered!AY990</f>
        <v/>
      </c>
    </row>
    <row r="399" spans="1:9" x14ac:dyDescent="0.25">
      <c r="A399" s="4" t="str">
        <f>Registered!B993</f>
        <v>Hall</v>
      </c>
      <c r="B399" s="4" t="str">
        <f>Registered!A993</f>
        <v>Hailey</v>
      </c>
      <c r="C399" s="4" t="str">
        <f>IF(Registered!AR993&gt;0,Registered!AR993&amp;" Color Bags", "")</f>
        <v>10 Color Bags</v>
      </c>
      <c r="D399" s="4" t="str">
        <f>IF(Registered!AS993&gt;0,(IF(Registered!AS993=1,Registered!AS993&amp;" T-Shirt",Registered!AS993&amp;" T-Shirts")), "")</f>
        <v/>
      </c>
      <c r="E399" s="4" t="str">
        <f>Registered!AT993</f>
        <v/>
      </c>
      <c r="F399" s="4" t="str">
        <f>Registered!AU993</f>
        <v/>
      </c>
      <c r="G399" s="4" t="str">
        <f>Registered!AW993</f>
        <v>2 Meals</v>
      </c>
      <c r="H399" s="4" t="str">
        <f>Registered!AX993</f>
        <v/>
      </c>
      <c r="I399" s="4" t="str">
        <f>Registered!AY993</f>
        <v/>
      </c>
    </row>
    <row r="400" spans="1:9" x14ac:dyDescent="0.25">
      <c r="A400" s="4" t="str">
        <f>Registered!B994</f>
        <v>Hall</v>
      </c>
      <c r="B400" s="4" t="str">
        <f>Registered!A994</f>
        <v>MIcahel</v>
      </c>
      <c r="C400" s="4" t="str">
        <f>IF(Registered!AR994&gt;0,Registered!AR994&amp;" Color Bags", "")</f>
        <v>20 Color Bags</v>
      </c>
      <c r="D400" s="4" t="str">
        <f>IF(Registered!AS994&gt;0,(IF(Registered!AS994=1,Registered!AS994&amp;" T-Shirt",Registered!AS994&amp;" T-Shirts")), "")</f>
        <v/>
      </c>
      <c r="E400" s="4" t="str">
        <f>Registered!AT994</f>
        <v/>
      </c>
      <c r="F400" s="4" t="str">
        <f>Registered!AU994</f>
        <v>1 Bandana</v>
      </c>
      <c r="G400" s="4" t="str">
        <f>Registered!AW994</f>
        <v/>
      </c>
      <c r="H400" s="4" t="str">
        <f>Registered!AX994</f>
        <v/>
      </c>
      <c r="I400" s="4" t="str">
        <f>Registered!AY994</f>
        <v/>
      </c>
    </row>
    <row r="401" spans="1:9" x14ac:dyDescent="0.25">
      <c r="A401" s="4" t="str">
        <f>Registered!B995</f>
        <v>Hall</v>
      </c>
      <c r="B401" s="4" t="str">
        <f>Registered!A995</f>
        <v>Tyler</v>
      </c>
      <c r="C401" s="4" t="str">
        <f>IF(Registered!AR995&gt;0,Registered!AR995&amp;" Color Bags", "")</f>
        <v>5 Color Bags</v>
      </c>
      <c r="D401" s="4" t="str">
        <f>IF(Registered!AS995&gt;0,(IF(Registered!AS995=1,Registered!AS995&amp;" T-Shirt",Registered!AS995&amp;" T-Shirts")), "")</f>
        <v/>
      </c>
      <c r="E401" s="4" t="str">
        <f>Registered!AT995</f>
        <v/>
      </c>
      <c r="F401" s="4" t="str">
        <f>Registered!AU995</f>
        <v/>
      </c>
      <c r="G401" s="4" t="str">
        <f>Registered!AW995</f>
        <v>1 Meal</v>
      </c>
      <c r="H401" s="4" t="str">
        <f>Registered!AX995</f>
        <v/>
      </c>
      <c r="I401" s="4" t="str">
        <f>Registered!AY995</f>
        <v/>
      </c>
    </row>
    <row r="402" spans="1:9" x14ac:dyDescent="0.25">
      <c r="A402" s="4" t="str">
        <f>Registered!B996</f>
        <v>Halliday</v>
      </c>
      <c r="B402" s="4" t="str">
        <f>Registered!A996</f>
        <v>Jeff</v>
      </c>
      <c r="C402" s="4" t="str">
        <f>IF(Registered!AR996&gt;0,Registered!AR996&amp;" Color Bags", "")</f>
        <v>40 Color Bags</v>
      </c>
      <c r="D402" s="4" t="str">
        <f>IF(Registered!AS996&gt;0,(IF(Registered!AS996=1,Registered!AS996&amp;" T-Shirt",Registered!AS996&amp;" T-Shirts")), "")</f>
        <v/>
      </c>
      <c r="E402" s="4" t="str">
        <f>Registered!AT996</f>
        <v/>
      </c>
      <c r="F402" s="4" t="str">
        <f>Registered!AU996</f>
        <v/>
      </c>
      <c r="G402" s="4" t="str">
        <f>Registered!AW996</f>
        <v/>
      </c>
      <c r="H402" s="4" t="str">
        <f>Registered!AX996</f>
        <v/>
      </c>
      <c r="I402" s="4" t="str">
        <f>Registered!AY996</f>
        <v/>
      </c>
    </row>
    <row r="403" spans="1:9" x14ac:dyDescent="0.25">
      <c r="A403" s="4" t="str">
        <f>Registered!B999</f>
        <v>Hallmark</v>
      </c>
      <c r="B403" s="4" t="str">
        <f>Registered!A999</f>
        <v>Darci</v>
      </c>
      <c r="C403" s="4" t="str">
        <f>IF(Registered!AR999&gt;0,Registered!AR999&amp;" Color Bags", "")</f>
        <v>5 Color Bags</v>
      </c>
      <c r="D403" s="4" t="str">
        <f>IF(Registered!AS999&gt;0,(IF(Registered!AS999=1,Registered!AS999&amp;" T-Shirt",Registered!AS999&amp;" T-Shirts")), "")</f>
        <v/>
      </c>
      <c r="E403" s="4" t="str">
        <f>Registered!AT999</f>
        <v/>
      </c>
      <c r="F403" s="4" t="str">
        <f>Registered!AU999</f>
        <v/>
      </c>
      <c r="G403" s="4" t="str">
        <f>Registered!AW999</f>
        <v/>
      </c>
      <c r="H403" s="4" t="str">
        <f>Registered!AX999</f>
        <v/>
      </c>
      <c r="I403" s="4" t="str">
        <f>Registered!AY999</f>
        <v/>
      </c>
    </row>
    <row r="404" spans="1:9" x14ac:dyDescent="0.25">
      <c r="A404" s="4" t="str">
        <f>Registered!B1000</f>
        <v>Hallows</v>
      </c>
      <c r="B404" s="4" t="str">
        <f>Registered!A1000</f>
        <v>Jesseca</v>
      </c>
      <c r="C404" s="4" t="str">
        <f>IF(Registered!AR1000&gt;0,Registered!AR1000&amp;" Color Bags", "")</f>
        <v/>
      </c>
      <c r="D404" s="4" t="str">
        <f>IF(Registered!AS1000&gt;0,(IF(Registered!AS1000=1,Registered!AS1000&amp;" T-Shirt",Registered!AS1000&amp;" T-Shirts")), "")</f>
        <v/>
      </c>
      <c r="E404" s="4" t="str">
        <f>Registered!AT1000</f>
        <v/>
      </c>
      <c r="F404" s="4" t="str">
        <f>Registered!AU1000</f>
        <v>1 Bandana</v>
      </c>
      <c r="G404" s="4" t="str">
        <f>Registered!AW1000</f>
        <v/>
      </c>
      <c r="H404" s="4" t="str">
        <f>Registered!AX1000</f>
        <v/>
      </c>
      <c r="I404" s="4" t="str">
        <f>Registered!AY1000</f>
        <v/>
      </c>
    </row>
    <row r="405" spans="1:9" x14ac:dyDescent="0.25">
      <c r="A405" s="4" t="str">
        <f>Registered!B1001</f>
        <v>Hamblin</v>
      </c>
      <c r="B405" s="4" t="str">
        <f>Registered!A1001</f>
        <v>Blake</v>
      </c>
      <c r="C405" s="4" t="str">
        <f>IF(Registered!AR1001&gt;0,Registered!AR1001&amp;" Color Bags", "")</f>
        <v>5 Color Bags</v>
      </c>
      <c r="D405" s="4" t="str">
        <f>IF(Registered!AS1001&gt;0,(IF(Registered!AS1001=1,Registered!AS1001&amp;" T-Shirt",Registered!AS1001&amp;" T-Shirts")), "")</f>
        <v/>
      </c>
      <c r="E405" s="4" t="str">
        <f>Registered!AT1001</f>
        <v/>
      </c>
      <c r="F405" s="4" t="str">
        <f>Registered!AU1001</f>
        <v/>
      </c>
      <c r="G405" s="4" t="str">
        <f>Registered!AW1001</f>
        <v/>
      </c>
      <c r="H405" s="4" t="str">
        <f>Registered!AX1001</f>
        <v/>
      </c>
      <c r="I405" s="4" t="str">
        <f>Registered!AY1001</f>
        <v/>
      </c>
    </row>
    <row r="406" spans="1:9" x14ac:dyDescent="0.25">
      <c r="A406" s="4" t="str">
        <f>Registered!B1002</f>
        <v>Hamblin</v>
      </c>
      <c r="B406" s="4" t="str">
        <f>Registered!A1002</f>
        <v>Elizabeth</v>
      </c>
      <c r="C406" s="4" t="str">
        <f>IF(Registered!AR1002&gt;0,Registered!AR1002&amp;" Color Bags", "")</f>
        <v>5 Color Bags</v>
      </c>
      <c r="D406" s="4" t="str">
        <f>IF(Registered!AS1002&gt;0,(IF(Registered!AS1002=1,Registered!AS1002&amp;" T-Shirt",Registered!AS1002&amp;" T-Shirts")), "")</f>
        <v>1 T-Shirt</v>
      </c>
      <c r="E406" s="4" t="str">
        <f>Registered!AT1002</f>
        <v>Medium</v>
      </c>
      <c r="F406" s="4" t="str">
        <f>Registered!AU1002</f>
        <v/>
      </c>
      <c r="G406" s="4" t="str">
        <f>Registered!AW1002</f>
        <v/>
      </c>
      <c r="H406" s="4" t="str">
        <f>Registered!AX1002</f>
        <v/>
      </c>
      <c r="I406" s="4" t="str">
        <f>Registered!AY1002</f>
        <v/>
      </c>
    </row>
    <row r="407" spans="1:9" x14ac:dyDescent="0.25">
      <c r="A407" s="4" t="str">
        <f>Registered!B1003</f>
        <v>Hamill</v>
      </c>
      <c r="B407" s="4" t="str">
        <f>Registered!A1003</f>
        <v>Lily</v>
      </c>
      <c r="C407" s="4" t="str">
        <f>IF(Registered!AR1003&gt;0,Registered!AR1003&amp;" Color Bags", "")</f>
        <v>5 Color Bags</v>
      </c>
      <c r="D407" s="4" t="str">
        <f>IF(Registered!AS1003&gt;0,(IF(Registered!AS1003=1,Registered!AS1003&amp;" T-Shirt",Registered!AS1003&amp;" T-Shirts")), "")</f>
        <v/>
      </c>
      <c r="E407" s="4" t="str">
        <f>Registered!AT1003</f>
        <v/>
      </c>
      <c r="F407" s="4" t="str">
        <f>Registered!AU1003</f>
        <v/>
      </c>
      <c r="G407" s="4" t="str">
        <f>Registered!AW1003</f>
        <v/>
      </c>
      <c r="H407" s="4" t="str">
        <f>Registered!AX1003</f>
        <v/>
      </c>
      <c r="I407" s="4" t="str">
        <f>Registered!AY1003</f>
        <v/>
      </c>
    </row>
    <row r="408" spans="1:9" x14ac:dyDescent="0.25">
      <c r="A408" s="4" t="str">
        <f>Registered!B1004</f>
        <v>Hamilton</v>
      </c>
      <c r="B408" s="4" t="str">
        <f>Registered!A1004</f>
        <v>Holly</v>
      </c>
      <c r="C408" s="4" t="str">
        <f>IF(Registered!AR1004&gt;0,Registered!AR1004&amp;" Color Bags", "")</f>
        <v>20 Color Bags</v>
      </c>
      <c r="D408" s="4" t="str">
        <f>IF(Registered!AS1004&gt;0,(IF(Registered!AS1004=1,Registered!AS1004&amp;" T-Shirt",Registered!AS1004&amp;" T-Shirts")), "")</f>
        <v/>
      </c>
      <c r="E408" s="4" t="str">
        <f>Registered!AT1004</f>
        <v/>
      </c>
      <c r="F408" s="4" t="str">
        <f>Registered!AU1004</f>
        <v/>
      </c>
      <c r="G408" s="4" t="str">
        <f>Registered!AW1004</f>
        <v/>
      </c>
      <c r="H408" s="4" t="str">
        <f>Registered!AX1004</f>
        <v/>
      </c>
      <c r="I408" s="4" t="str">
        <f>Registered!AY1004</f>
        <v/>
      </c>
    </row>
    <row r="409" spans="1:9" x14ac:dyDescent="0.25">
      <c r="A409" s="4" t="str">
        <f>Registered!B1006</f>
        <v>Hamilton</v>
      </c>
      <c r="B409" s="4" t="str">
        <f>Registered!A1006</f>
        <v>Tonni</v>
      </c>
      <c r="C409" s="4" t="str">
        <f>IF(Registered!AR1006&gt;0,Registered!AR1006&amp;" Color Bags", "")</f>
        <v>40 Color Bags</v>
      </c>
      <c r="D409" s="4" t="str">
        <f>IF(Registered!AS1006&gt;0,(IF(Registered!AS1006=1,Registered!AS1006&amp;" T-Shirt",Registered!AS1006&amp;" T-Shirts")), "")</f>
        <v/>
      </c>
      <c r="E409" s="4" t="str">
        <f>Registered!AT1006</f>
        <v/>
      </c>
      <c r="F409" s="4" t="str">
        <f>Registered!AU1006</f>
        <v/>
      </c>
      <c r="G409" s="4" t="str">
        <f>Registered!AW1006</f>
        <v/>
      </c>
      <c r="H409" s="4" t="str">
        <f>Registered!AX1006</f>
        <v/>
      </c>
      <c r="I409" s="4" t="str">
        <f>Registered!AY1006</f>
        <v/>
      </c>
    </row>
    <row r="410" spans="1:9" x14ac:dyDescent="0.25">
      <c r="A410" s="4" t="str">
        <f>Registered!B1007</f>
        <v>Hammond</v>
      </c>
      <c r="B410" s="4" t="str">
        <f>Registered!A1007</f>
        <v>Jill</v>
      </c>
      <c r="C410" s="4" t="str">
        <f>IF(Registered!AR1007&gt;0,Registered!AR1007&amp;" Color Bags", "")</f>
        <v>10 Color Bags</v>
      </c>
      <c r="D410" s="4" t="str">
        <f>IF(Registered!AS1007&gt;0,(IF(Registered!AS1007=1,Registered!AS1007&amp;" T-Shirt",Registered!AS1007&amp;" T-Shirts")), "")</f>
        <v/>
      </c>
      <c r="E410" s="4" t="str">
        <f>Registered!AT1007</f>
        <v/>
      </c>
      <c r="F410" s="4" t="str">
        <f>Registered!AU1007</f>
        <v/>
      </c>
      <c r="G410" s="4" t="str">
        <f>Registered!AW1007</f>
        <v/>
      </c>
      <c r="H410" s="4" t="str">
        <f>Registered!AX1007</f>
        <v/>
      </c>
      <c r="I410" s="4" t="str">
        <f>Registered!AY1007</f>
        <v/>
      </c>
    </row>
    <row r="411" spans="1:9" x14ac:dyDescent="0.25">
      <c r="A411" s="4" t="str">
        <f>Registered!B1009</f>
        <v>Hancock</v>
      </c>
      <c r="B411" s="4" t="str">
        <f>Registered!A1009</f>
        <v>Ty</v>
      </c>
      <c r="C411" s="4" t="str">
        <f>IF(Registered!AR1009&gt;0,Registered!AR1009&amp;" Color Bags", "")</f>
        <v>15 Color Bags</v>
      </c>
      <c r="D411" s="4" t="str">
        <f>IF(Registered!AS1009&gt;0,(IF(Registered!AS1009=1,Registered!AS1009&amp;" T-Shirt",Registered!AS1009&amp;" T-Shirts")), "")</f>
        <v/>
      </c>
      <c r="E411" s="4" t="str">
        <f>Registered!AT1009</f>
        <v/>
      </c>
      <c r="F411" s="4" t="str">
        <f>Registered!AU1009</f>
        <v/>
      </c>
      <c r="G411" s="4" t="str">
        <f>Registered!AW1009</f>
        <v/>
      </c>
      <c r="H411" s="4" t="str">
        <f>Registered!AX1009</f>
        <v/>
      </c>
      <c r="I411" s="4" t="str">
        <f>Registered!AY1009</f>
        <v/>
      </c>
    </row>
    <row r="412" spans="1:9" x14ac:dyDescent="0.25">
      <c r="A412" s="4" t="str">
        <f>Registered!B1010</f>
        <v>Hanks</v>
      </c>
      <c r="B412" s="4" t="str">
        <f>Registered!A1010</f>
        <v>Jordan</v>
      </c>
      <c r="C412" s="4" t="str">
        <f>IF(Registered!AR1010&gt;0,Registered!AR1010&amp;" Color Bags", "")</f>
        <v>10 Color Bags</v>
      </c>
      <c r="D412" s="4" t="str">
        <f>IF(Registered!AS1010&gt;0,(IF(Registered!AS1010=1,Registered!AS1010&amp;" T-Shirt",Registered!AS1010&amp;" T-Shirts")), "")</f>
        <v>2 T-Shirts</v>
      </c>
      <c r="E412" s="4" t="str">
        <f>Registered!AT1010</f>
        <v>(2) adult small</v>
      </c>
      <c r="F412" s="4" t="str">
        <f>Registered!AU1010</f>
        <v/>
      </c>
      <c r="G412" s="4" t="str">
        <f>Registered!AW1010</f>
        <v/>
      </c>
      <c r="H412" s="4" t="str">
        <f>Registered!AX1010</f>
        <v/>
      </c>
      <c r="I412" s="4" t="str">
        <f>Registered!AY1010</f>
        <v/>
      </c>
    </row>
    <row r="413" spans="1:9" x14ac:dyDescent="0.25">
      <c r="A413" s="4" t="str">
        <f>Registered!B1012</f>
        <v>Hansen</v>
      </c>
      <c r="B413" s="4" t="str">
        <f>Registered!A1012</f>
        <v>Dakota</v>
      </c>
      <c r="C413" s="4" t="str">
        <f>IF(Registered!AR1012&gt;0,Registered!AR1012&amp;" Color Bags", "")</f>
        <v>20 Color Bags</v>
      </c>
      <c r="D413" s="4" t="str">
        <f>IF(Registered!AS1012&gt;0,(IF(Registered!AS1012=1,Registered!AS1012&amp;" T-Shirt",Registered!AS1012&amp;" T-Shirts")), "")</f>
        <v/>
      </c>
      <c r="E413" s="4" t="str">
        <f>Registered!AT1012</f>
        <v/>
      </c>
      <c r="F413" s="4" t="str">
        <f>Registered!AU1012</f>
        <v>1 Bandana</v>
      </c>
      <c r="G413" s="4" t="str">
        <f>Registered!AW1012</f>
        <v/>
      </c>
      <c r="H413" s="4" t="str">
        <f>Registered!AX1012</f>
        <v/>
      </c>
      <c r="I413" s="4" t="str">
        <f>Registered!AY1012</f>
        <v/>
      </c>
    </row>
    <row r="414" spans="1:9" x14ac:dyDescent="0.25">
      <c r="A414" s="4" t="str">
        <f>Registered!B1013</f>
        <v>Hansen</v>
      </c>
      <c r="B414" s="4" t="str">
        <f>Registered!A1013</f>
        <v>Emili</v>
      </c>
      <c r="C414" s="4" t="str">
        <f>IF(Registered!AR1013&gt;0,Registered!AR1013&amp;" Color Bags", "")</f>
        <v>5 Color Bags</v>
      </c>
      <c r="D414" s="4" t="str">
        <f>IF(Registered!AS1013&gt;0,(IF(Registered!AS1013=1,Registered!AS1013&amp;" T-Shirt",Registered!AS1013&amp;" T-Shirts")), "")</f>
        <v>1 T-Shirt</v>
      </c>
      <c r="E414" s="4" t="str">
        <f>Registered!AT1013</f>
        <v>M</v>
      </c>
      <c r="F414" s="4" t="str">
        <f>Registered!AU1013</f>
        <v/>
      </c>
      <c r="G414" s="4" t="str">
        <f>Registered!AW1013</f>
        <v>1 Meal</v>
      </c>
      <c r="H414" s="4" t="str">
        <f>Registered!AX1013</f>
        <v/>
      </c>
      <c r="I414" s="4" t="str">
        <f>Registered!AY1013</f>
        <v/>
      </c>
    </row>
    <row r="415" spans="1:9" x14ac:dyDescent="0.25">
      <c r="A415" s="4" t="str">
        <f>Registered!B1018</f>
        <v>Hansen</v>
      </c>
      <c r="B415" s="4" t="str">
        <f>Registered!A1018</f>
        <v>McKay</v>
      </c>
      <c r="C415" s="4" t="str">
        <f>IF(Registered!AR1018&gt;0,Registered!AR1018&amp;" Color Bags", "")</f>
        <v>5 Color Bags</v>
      </c>
      <c r="D415" s="4" t="str">
        <f>IF(Registered!AS1018&gt;0,(IF(Registered!AS1018=1,Registered!AS1018&amp;" T-Shirt",Registered!AS1018&amp;" T-Shirts")), "")</f>
        <v/>
      </c>
      <c r="E415" s="4" t="str">
        <f>Registered!AT1018</f>
        <v/>
      </c>
      <c r="F415" s="4" t="str">
        <f>Registered!AU1018</f>
        <v/>
      </c>
      <c r="G415" s="4" t="str">
        <f>Registered!AW1018</f>
        <v/>
      </c>
      <c r="H415" s="4" t="str">
        <f>Registered!AX1018</f>
        <v/>
      </c>
      <c r="I415" s="4" t="str">
        <f>Registered!AY1018</f>
        <v/>
      </c>
    </row>
    <row r="416" spans="1:9" x14ac:dyDescent="0.25">
      <c r="A416" s="4" t="str">
        <f>Registered!B1021</f>
        <v>Hanson</v>
      </c>
      <c r="B416" s="4" t="str">
        <f>Registered!A1021</f>
        <v>Rose</v>
      </c>
      <c r="C416" s="4" t="str">
        <f>IF(Registered!AR1021&gt;0,Registered!AR1021&amp;" Color Bags", "")</f>
        <v>5 Color Bags</v>
      </c>
      <c r="D416" s="4" t="str">
        <f>IF(Registered!AS1021&gt;0,(IF(Registered!AS1021=1,Registered!AS1021&amp;" T-Shirt",Registered!AS1021&amp;" T-Shirts")), "")</f>
        <v/>
      </c>
      <c r="E416" s="4" t="str">
        <f>Registered!AT1021</f>
        <v/>
      </c>
      <c r="F416" s="4" t="str">
        <f>Registered!AU1021</f>
        <v/>
      </c>
      <c r="G416" s="4" t="str">
        <f>Registered!AW1021</f>
        <v/>
      </c>
      <c r="H416" s="4" t="str">
        <f>Registered!AX1021</f>
        <v/>
      </c>
      <c r="I416" s="4" t="str">
        <f>Registered!AY1021</f>
        <v/>
      </c>
    </row>
    <row r="417" spans="1:9" x14ac:dyDescent="0.25">
      <c r="A417" s="4" t="str">
        <f>Registered!B1024</f>
        <v>Hardman</v>
      </c>
      <c r="B417" s="4" t="str">
        <f>Registered!A1024</f>
        <v>Geric</v>
      </c>
      <c r="C417" s="4" t="str">
        <f>IF(Registered!AR1024&gt;0,Registered!AR1024&amp;" Color Bags", "")</f>
        <v>10 Color Bags</v>
      </c>
      <c r="D417" s="4" t="str">
        <f>IF(Registered!AS1024&gt;0,(IF(Registered!AS1024=1,Registered!AS1024&amp;" T-Shirt",Registered!AS1024&amp;" T-Shirts")), "")</f>
        <v/>
      </c>
      <c r="E417" s="4" t="str">
        <f>Registered!AT1024</f>
        <v/>
      </c>
      <c r="F417" s="4" t="str">
        <f>Registered!AU1024</f>
        <v/>
      </c>
      <c r="G417" s="4" t="str">
        <f>Registered!AW1024</f>
        <v/>
      </c>
      <c r="H417" s="4" t="str">
        <f>Registered!AX1024</f>
        <v/>
      </c>
      <c r="I417" s="4" t="str">
        <f>Registered!AY1024</f>
        <v/>
      </c>
    </row>
    <row r="418" spans="1:9" x14ac:dyDescent="0.25">
      <c r="A418" s="4" t="str">
        <f>Registered!B1028</f>
        <v>Hargraves</v>
      </c>
      <c r="B418" s="4" t="str">
        <f>Registered!A1028</f>
        <v>Rhiannon</v>
      </c>
      <c r="C418" s="4" t="str">
        <f>IF(Registered!AR1028&gt;0,Registered!AR1028&amp;" Color Bags", "")</f>
        <v>5 Color Bags</v>
      </c>
      <c r="D418" s="4" t="str">
        <f>IF(Registered!AS1028&gt;0,(IF(Registered!AS1028=1,Registered!AS1028&amp;" T-Shirt",Registered!AS1028&amp;" T-Shirts")), "")</f>
        <v/>
      </c>
      <c r="E418" s="4" t="str">
        <f>Registered!AT1028</f>
        <v/>
      </c>
      <c r="F418" s="4" t="str">
        <f>Registered!AU1028</f>
        <v/>
      </c>
      <c r="G418" s="4" t="str">
        <f>Registered!AW1028</f>
        <v/>
      </c>
      <c r="H418" s="4" t="str">
        <f>Registered!AX1028</f>
        <v/>
      </c>
      <c r="I418" s="4" t="str">
        <f>Registered!AY1028</f>
        <v/>
      </c>
    </row>
    <row r="419" spans="1:9" x14ac:dyDescent="0.25">
      <c r="A419" s="4" t="str">
        <f>Registered!B1030</f>
        <v>Harmer</v>
      </c>
      <c r="B419" s="4" t="str">
        <f>Registered!A1030</f>
        <v>Lisa</v>
      </c>
      <c r="C419" s="4" t="str">
        <f>IF(Registered!AR1030&gt;0,Registered!AR1030&amp;" Color Bags", "")</f>
        <v>20 Color Bags</v>
      </c>
      <c r="D419" s="4" t="str">
        <f>IF(Registered!AS1030&gt;0,(IF(Registered!AS1030=1,Registered!AS1030&amp;" T-Shirt",Registered!AS1030&amp;" T-Shirts")), "")</f>
        <v/>
      </c>
      <c r="E419" s="4" t="str">
        <f>Registered!AT1030</f>
        <v/>
      </c>
      <c r="F419" s="4" t="str">
        <f>Registered!AU1030</f>
        <v/>
      </c>
      <c r="G419" s="4" t="str">
        <f>Registered!AW1030</f>
        <v/>
      </c>
      <c r="H419" s="4" t="str">
        <f>Registered!AX1030</f>
        <v/>
      </c>
      <c r="I419" s="4" t="str">
        <f>Registered!AY1030</f>
        <v/>
      </c>
    </row>
    <row r="420" spans="1:9" x14ac:dyDescent="0.25">
      <c r="A420" s="4" t="str">
        <f>Registered!B1036</f>
        <v>Harper</v>
      </c>
      <c r="B420" s="4" t="str">
        <f>Registered!A1036</f>
        <v>Karmel</v>
      </c>
      <c r="C420" s="4" t="str">
        <f>IF(Registered!AR1036&gt;0,Registered!AR1036&amp;" Color Bags", "")</f>
        <v>40 Color Bags</v>
      </c>
      <c r="D420" s="4" t="str">
        <f>IF(Registered!AS1036&gt;0,(IF(Registered!AS1036=1,Registered!AS1036&amp;" T-Shirt",Registered!AS1036&amp;" T-Shirts")), "")</f>
        <v/>
      </c>
      <c r="E420" s="4" t="str">
        <f>Registered!AT1036</f>
        <v/>
      </c>
      <c r="F420" s="4" t="str">
        <f>Registered!AU1036</f>
        <v/>
      </c>
      <c r="G420" s="4" t="str">
        <f>Registered!AW1036</f>
        <v/>
      </c>
      <c r="H420" s="4" t="str">
        <f>Registered!AX1036</f>
        <v/>
      </c>
      <c r="I420" s="4" t="str">
        <f>Registered!AY1036</f>
        <v>1 DustMask</v>
      </c>
    </row>
    <row r="421" spans="1:9" x14ac:dyDescent="0.25">
      <c r="A421" s="4" t="str">
        <f>Registered!B1034</f>
        <v>Harper</v>
      </c>
      <c r="B421" s="4" t="str">
        <f>Registered!A1034</f>
        <v>Janessa</v>
      </c>
      <c r="C421" s="4" t="str">
        <f>IF(Registered!AR1034&gt;0,Registered!AR1034&amp;" Color Bags", "")</f>
        <v>5 Color Bags</v>
      </c>
      <c r="D421" s="4" t="str">
        <f>IF(Registered!AS1034&gt;0,(IF(Registered!AS1034=1,Registered!AS1034&amp;" T-Shirt",Registered!AS1034&amp;" T-Shirts")), "")</f>
        <v/>
      </c>
      <c r="E421" s="4" t="str">
        <f>Registered!AT1034</f>
        <v/>
      </c>
      <c r="F421" s="4" t="str">
        <f>Registered!AU1034</f>
        <v/>
      </c>
      <c r="G421" s="4" t="str">
        <f>Registered!AW1034</f>
        <v/>
      </c>
      <c r="H421" s="4" t="str">
        <f>Registered!AX1034</f>
        <v/>
      </c>
      <c r="I421" s="4" t="str">
        <f>Registered!AY1034</f>
        <v/>
      </c>
    </row>
    <row r="422" spans="1:9" x14ac:dyDescent="0.25">
      <c r="A422" s="4" t="str">
        <f>Registered!B1040</f>
        <v>Harrington</v>
      </c>
      <c r="B422" s="4" t="str">
        <f>Registered!A1040</f>
        <v>Kim</v>
      </c>
      <c r="C422" s="4" t="str">
        <f>IF(Registered!AR1040&gt;0,Registered!AR1040&amp;" Color Bags", "")</f>
        <v>40 Color Bags</v>
      </c>
      <c r="D422" s="4" t="str">
        <f>IF(Registered!AS1040&gt;0,(IF(Registered!AS1040=1,Registered!AS1040&amp;" T-Shirt",Registered!AS1040&amp;" T-Shirts")), "")</f>
        <v/>
      </c>
      <c r="E422" s="4" t="str">
        <f>Registered!AT1040</f>
        <v/>
      </c>
      <c r="F422" s="4" t="str">
        <f>Registered!AU1040</f>
        <v/>
      </c>
      <c r="G422" s="4" t="str">
        <f>Registered!AW1040</f>
        <v/>
      </c>
      <c r="H422" s="4" t="str">
        <f>Registered!AX1040</f>
        <v/>
      </c>
      <c r="I422" s="4" t="str">
        <f>Registered!AY1040</f>
        <v/>
      </c>
    </row>
    <row r="423" spans="1:9" x14ac:dyDescent="0.25">
      <c r="A423" s="4" t="str">
        <f>Registered!B1042</f>
        <v>Harris</v>
      </c>
      <c r="B423" s="4" t="str">
        <f>Registered!A1042</f>
        <v>Ariel</v>
      </c>
      <c r="C423" s="4" t="str">
        <f>IF(Registered!AR1042&gt;0,Registered!AR1042&amp;" Color Bags", "")</f>
        <v/>
      </c>
      <c r="D423" s="4" t="str">
        <f>IF(Registered!AS1042&gt;0,(IF(Registered!AS1042=1,Registered!AS1042&amp;" T-Shirt",Registered!AS1042&amp;" T-Shirts")), "")</f>
        <v/>
      </c>
      <c r="E423" s="4" t="str">
        <f>Registered!AT1042</f>
        <v/>
      </c>
      <c r="F423" s="4" t="str">
        <f>Registered!AU1042</f>
        <v/>
      </c>
      <c r="G423" s="4" t="str">
        <f>Registered!AW1042</f>
        <v>1 Meal</v>
      </c>
      <c r="H423" s="4" t="str">
        <f>Registered!AX1042</f>
        <v/>
      </c>
      <c r="I423" s="4" t="str">
        <f>Registered!AY1042</f>
        <v/>
      </c>
    </row>
    <row r="424" spans="1:9" x14ac:dyDescent="0.25">
      <c r="A424" s="4" t="str">
        <f>Registered!B1043</f>
        <v>Harris</v>
      </c>
      <c r="B424" s="4" t="str">
        <f>Registered!A1043</f>
        <v>Makenzie</v>
      </c>
      <c r="C424" s="4" t="str">
        <f>IF(Registered!AR1043&gt;0,Registered!AR1043&amp;" Color Bags", "")</f>
        <v>5 Color Bags</v>
      </c>
      <c r="D424" s="4" t="str">
        <f>IF(Registered!AS1043&gt;0,(IF(Registered!AS1043=1,Registered!AS1043&amp;" T-Shirt",Registered!AS1043&amp;" T-Shirts")), "")</f>
        <v/>
      </c>
      <c r="E424" s="4" t="str">
        <f>Registered!AT1043</f>
        <v/>
      </c>
      <c r="F424" s="4" t="str">
        <f>Registered!AU1043</f>
        <v/>
      </c>
      <c r="G424" s="4" t="str">
        <f>Registered!AW1043</f>
        <v/>
      </c>
      <c r="H424" s="4" t="str">
        <f>Registered!AX1043</f>
        <v/>
      </c>
      <c r="I424" s="4" t="str">
        <f>Registered!AY1043</f>
        <v/>
      </c>
    </row>
    <row r="425" spans="1:9" x14ac:dyDescent="0.25">
      <c r="A425" s="4" t="str">
        <f>Registered!B1044</f>
        <v>Harris</v>
      </c>
      <c r="B425" s="4" t="str">
        <f>Registered!A1044</f>
        <v>Sindy</v>
      </c>
      <c r="C425" s="4" t="str">
        <f>IF(Registered!AR1044&gt;0,Registered!AR1044&amp;" Color Bags", "")</f>
        <v>5 Color Bags</v>
      </c>
      <c r="D425" s="4" t="str">
        <f>IF(Registered!AS1044&gt;0,(IF(Registered!AS1044=1,Registered!AS1044&amp;" T-Shirt",Registered!AS1044&amp;" T-Shirts")), "")</f>
        <v/>
      </c>
      <c r="E425" s="4" t="str">
        <f>Registered!AT1044</f>
        <v/>
      </c>
      <c r="F425" s="4" t="str">
        <f>Registered!AU1044</f>
        <v>1 Bandana</v>
      </c>
      <c r="G425" s="4" t="str">
        <f>Registered!AW1044</f>
        <v/>
      </c>
      <c r="H425" s="4" t="str">
        <f>Registered!AX1044</f>
        <v/>
      </c>
      <c r="I425" s="4" t="str">
        <f>Registered!AY1044</f>
        <v/>
      </c>
    </row>
    <row r="426" spans="1:9" x14ac:dyDescent="0.25">
      <c r="A426" s="4" t="str">
        <f>Registered!B1045</f>
        <v>Harrison</v>
      </c>
      <c r="B426" s="4" t="str">
        <f>Registered!A1045</f>
        <v>Cory</v>
      </c>
      <c r="C426" s="4" t="str">
        <f>IF(Registered!AR1045&gt;0,Registered!AR1045&amp;" Color Bags", "")</f>
        <v>5 Color Bags</v>
      </c>
      <c r="D426" s="4" t="str">
        <f>IF(Registered!AS1045&gt;0,(IF(Registered!AS1045=1,Registered!AS1045&amp;" T-Shirt",Registered!AS1045&amp;" T-Shirts")), "")</f>
        <v/>
      </c>
      <c r="E426" s="4" t="str">
        <f>Registered!AT1045</f>
        <v/>
      </c>
      <c r="F426" s="4" t="str">
        <f>Registered!AU1045</f>
        <v/>
      </c>
      <c r="G426" s="4" t="str">
        <f>Registered!AW1045</f>
        <v/>
      </c>
      <c r="H426" s="4" t="str">
        <f>Registered!AX1045</f>
        <v/>
      </c>
      <c r="I426" s="4" t="str">
        <f>Registered!AY1045</f>
        <v/>
      </c>
    </row>
    <row r="427" spans="1:9" x14ac:dyDescent="0.25">
      <c r="A427" s="4" t="str">
        <f>Registered!B1048</f>
        <v>Harrison</v>
      </c>
      <c r="B427" s="4" t="str">
        <f>Registered!A1048</f>
        <v>Trevor</v>
      </c>
      <c r="C427" s="4" t="str">
        <f>IF(Registered!AR1048&gt;0,Registered!AR1048&amp;" Color Bags", "")</f>
        <v>5 Color Bags</v>
      </c>
      <c r="D427" s="4" t="str">
        <f>IF(Registered!AS1048&gt;0,(IF(Registered!AS1048=1,Registered!AS1048&amp;" T-Shirt",Registered!AS1048&amp;" T-Shirts")), "")</f>
        <v/>
      </c>
      <c r="E427" s="4" t="str">
        <f>Registered!AT1048</f>
        <v/>
      </c>
      <c r="F427" s="4" t="str">
        <f>Registered!AU1048</f>
        <v/>
      </c>
      <c r="G427" s="4" t="str">
        <f>Registered!AW1048</f>
        <v/>
      </c>
      <c r="H427" s="4" t="str">
        <f>Registered!AX1048</f>
        <v/>
      </c>
      <c r="I427" s="4" t="str">
        <f>Registered!AY1048</f>
        <v/>
      </c>
    </row>
    <row r="428" spans="1:9" x14ac:dyDescent="0.25">
      <c r="A428" s="4" t="str">
        <f>Registered!B1050</f>
        <v>Hart</v>
      </c>
      <c r="B428" s="4" t="str">
        <f>Registered!A1050</f>
        <v>Kelly</v>
      </c>
      <c r="C428" s="4" t="str">
        <f>IF(Registered!AR1050&gt;0,Registered!AR1050&amp;" Color Bags", "")</f>
        <v>5 Color Bags</v>
      </c>
      <c r="D428" s="4" t="str">
        <f>IF(Registered!AS1050&gt;0,(IF(Registered!AS1050=1,Registered!AS1050&amp;" T-Shirt",Registered!AS1050&amp;" T-Shirts")), "")</f>
        <v/>
      </c>
      <c r="E428" s="4" t="str">
        <f>Registered!AT1050</f>
        <v/>
      </c>
      <c r="F428" s="4" t="str">
        <f>Registered!AU1050</f>
        <v>1 Bandana</v>
      </c>
      <c r="G428" s="4" t="str">
        <f>Registered!AW1050</f>
        <v/>
      </c>
      <c r="H428" s="4" t="str">
        <f>Registered!AX1050</f>
        <v/>
      </c>
      <c r="I428" s="4" t="str">
        <f>Registered!AY1050</f>
        <v/>
      </c>
    </row>
    <row r="429" spans="1:9" x14ac:dyDescent="0.25">
      <c r="A429" s="4" t="str">
        <f>Registered!B1051</f>
        <v>Hart</v>
      </c>
      <c r="B429" s="4" t="str">
        <f>Registered!A1051</f>
        <v>Marisa</v>
      </c>
      <c r="C429" s="4" t="str">
        <f>IF(Registered!AR1051&gt;0,Registered!AR1051&amp;" Color Bags", "")</f>
        <v>5 Color Bags</v>
      </c>
      <c r="D429" s="4" t="str">
        <f>IF(Registered!AS1051&gt;0,(IF(Registered!AS1051=1,Registered!AS1051&amp;" T-Shirt",Registered!AS1051&amp;" T-Shirts")), "")</f>
        <v/>
      </c>
      <c r="E429" s="4" t="str">
        <f>Registered!AT1051</f>
        <v/>
      </c>
      <c r="F429" s="4" t="str">
        <f>Registered!AU1051</f>
        <v/>
      </c>
      <c r="G429" s="4" t="str">
        <f>Registered!AW1051</f>
        <v/>
      </c>
      <c r="H429" s="4" t="str">
        <f>Registered!AX1051</f>
        <v/>
      </c>
      <c r="I429" s="4" t="str">
        <f>Registered!AY1051</f>
        <v/>
      </c>
    </row>
    <row r="430" spans="1:9" x14ac:dyDescent="0.25">
      <c r="A430" s="4" t="str">
        <f>Registered!B1057</f>
        <v>Harward</v>
      </c>
      <c r="B430" s="4" t="str">
        <f>Registered!A1057</f>
        <v>Melinda</v>
      </c>
      <c r="C430" s="4" t="str">
        <f>IF(Registered!AR1057&gt;0,Registered!AR1057&amp;" Color Bags", "")</f>
        <v>5 Color Bags</v>
      </c>
      <c r="D430" s="4" t="str">
        <f>IF(Registered!AS1057&gt;0,(IF(Registered!AS1057=1,Registered!AS1057&amp;" T-Shirt",Registered!AS1057&amp;" T-Shirts")), "")</f>
        <v/>
      </c>
      <c r="E430" s="4" t="str">
        <f>Registered!AT1057</f>
        <v/>
      </c>
      <c r="F430" s="4" t="str">
        <f>Registered!AU1057</f>
        <v/>
      </c>
      <c r="G430" s="4" t="str">
        <f>Registered!AW1057</f>
        <v/>
      </c>
      <c r="H430" s="4" t="str">
        <f>Registered!AX1057</f>
        <v/>
      </c>
      <c r="I430" s="4" t="str">
        <f>Registered!AY1057</f>
        <v/>
      </c>
    </row>
    <row r="431" spans="1:9" x14ac:dyDescent="0.25">
      <c r="A431" s="4" t="str">
        <f>Registered!B1058</f>
        <v>Harward</v>
      </c>
      <c r="B431" s="4" t="str">
        <f>Registered!A1058</f>
        <v>Scott</v>
      </c>
      <c r="C431" s="4" t="str">
        <f>IF(Registered!AR1058&gt;0,Registered!AR1058&amp;" Color Bags", "")</f>
        <v>5 Color Bags</v>
      </c>
      <c r="D431" s="4" t="str">
        <f>IF(Registered!AS1058&gt;0,(IF(Registered!AS1058=1,Registered!AS1058&amp;" T-Shirt",Registered!AS1058&amp;" T-Shirts")), "")</f>
        <v/>
      </c>
      <c r="E431" s="4" t="str">
        <f>Registered!AT1058</f>
        <v/>
      </c>
      <c r="F431" s="4" t="str">
        <f>Registered!AU1058</f>
        <v/>
      </c>
      <c r="G431" s="4" t="str">
        <f>Registered!AW1058</f>
        <v/>
      </c>
      <c r="H431" s="4" t="str">
        <f>Registered!AX1058</f>
        <v/>
      </c>
      <c r="I431" s="4" t="str">
        <f>Registered!AY1058</f>
        <v/>
      </c>
    </row>
    <row r="432" spans="1:9" x14ac:dyDescent="0.25">
      <c r="A432" s="4" t="str">
        <f>Registered!B1059</f>
        <v>Hasleton</v>
      </c>
      <c r="B432" s="4" t="str">
        <f>Registered!A1059</f>
        <v>Janae</v>
      </c>
      <c r="C432" s="4" t="str">
        <f>IF(Registered!AR1059&gt;0,Registered!AR1059&amp;" Color Bags", "")</f>
        <v>5 Color Bags</v>
      </c>
      <c r="D432" s="4" t="str">
        <f>IF(Registered!AS1059&gt;0,(IF(Registered!AS1059=1,Registered!AS1059&amp;" T-Shirt",Registered!AS1059&amp;" T-Shirts")), "")</f>
        <v/>
      </c>
      <c r="E432" s="4" t="str">
        <f>Registered!AT1059</f>
        <v/>
      </c>
      <c r="F432" s="4" t="str">
        <f>Registered!AU1059</f>
        <v/>
      </c>
      <c r="G432" s="4" t="str">
        <f>Registered!AW1059</f>
        <v/>
      </c>
      <c r="H432" s="4" t="str">
        <f>Registered!AX1059</f>
        <v/>
      </c>
      <c r="I432" s="4" t="str">
        <f>Registered!AY1059</f>
        <v/>
      </c>
    </row>
    <row r="433" spans="1:9" x14ac:dyDescent="0.25">
      <c r="A433" s="4" t="str">
        <f>Registered!B1060</f>
        <v>Hastings</v>
      </c>
      <c r="B433" s="4" t="str">
        <f>Registered!A1060</f>
        <v>Nicole</v>
      </c>
      <c r="C433" s="4" t="str">
        <f>IF(Registered!AR1060&gt;0,Registered!AR1060&amp;" Color Bags", "")</f>
        <v>5 Color Bags</v>
      </c>
      <c r="D433" s="4" t="str">
        <f>IF(Registered!AS1060&gt;0,(IF(Registered!AS1060=1,Registered!AS1060&amp;" T-Shirt",Registered!AS1060&amp;" T-Shirts")), "")</f>
        <v/>
      </c>
      <c r="E433" s="4" t="str">
        <f>Registered!AT1060</f>
        <v/>
      </c>
      <c r="F433" s="4" t="str">
        <f>Registered!AU1060</f>
        <v/>
      </c>
      <c r="G433" s="4" t="str">
        <f>Registered!AW1060</f>
        <v/>
      </c>
      <c r="H433" s="4" t="str">
        <f>Registered!AX1060</f>
        <v/>
      </c>
      <c r="I433" s="4" t="str">
        <f>Registered!AY1060</f>
        <v/>
      </c>
    </row>
    <row r="434" spans="1:9" x14ac:dyDescent="0.25">
      <c r="A434" s="4" t="str">
        <f>Registered!B1061</f>
        <v>Hatch</v>
      </c>
      <c r="B434" s="4" t="str">
        <f>Registered!A1061</f>
        <v>Crystal</v>
      </c>
      <c r="C434" s="4" t="str">
        <f>IF(Registered!AR1061&gt;0,Registered!AR1061&amp;" Color Bags", "")</f>
        <v>10 Color Bags</v>
      </c>
      <c r="D434" s="4" t="str">
        <f>IF(Registered!AS1061&gt;0,(IF(Registered!AS1061=1,Registered!AS1061&amp;" T-Shirt",Registered!AS1061&amp;" T-Shirts")), "")</f>
        <v/>
      </c>
      <c r="E434" s="4" t="str">
        <f>Registered!AT1061</f>
        <v/>
      </c>
      <c r="F434" s="4" t="str">
        <f>Registered!AU1061</f>
        <v>1 Bandana</v>
      </c>
      <c r="G434" s="4" t="str">
        <f>Registered!AW1061</f>
        <v/>
      </c>
      <c r="H434" s="4" t="str">
        <f>Registered!AX1061</f>
        <v/>
      </c>
      <c r="I434" s="4" t="str">
        <f>Registered!AY1061</f>
        <v/>
      </c>
    </row>
    <row r="435" spans="1:9" x14ac:dyDescent="0.25">
      <c r="A435" s="4" t="str">
        <f>Registered!B1062</f>
        <v>Hatcher</v>
      </c>
      <c r="B435" s="4" t="str">
        <f>Registered!A1062</f>
        <v>Abigail</v>
      </c>
      <c r="C435" s="4" t="str">
        <f>IF(Registered!AR1062&gt;0,Registered!AR1062&amp;" Color Bags", "")</f>
        <v>20 Color Bags</v>
      </c>
      <c r="D435" s="4" t="str">
        <f>IF(Registered!AS1062&gt;0,(IF(Registered!AS1062=1,Registered!AS1062&amp;" T-Shirt",Registered!AS1062&amp;" T-Shirts")), "")</f>
        <v/>
      </c>
      <c r="E435" s="4" t="str">
        <f>Registered!AT1062</f>
        <v/>
      </c>
      <c r="F435" s="4" t="str">
        <f>Registered!AU1062</f>
        <v/>
      </c>
      <c r="G435" s="4" t="str">
        <f>Registered!AW1062</f>
        <v/>
      </c>
      <c r="H435" s="4" t="str">
        <f>Registered!AX1062</f>
        <v/>
      </c>
      <c r="I435" s="4" t="str">
        <f>Registered!AY1062</f>
        <v/>
      </c>
    </row>
    <row r="436" spans="1:9" x14ac:dyDescent="0.25">
      <c r="A436" s="4" t="str">
        <f>Registered!B1063</f>
        <v>Hatcher</v>
      </c>
      <c r="B436" s="4" t="str">
        <f>Registered!A1063</f>
        <v>MaryAnn</v>
      </c>
      <c r="C436" s="4" t="str">
        <f>IF(Registered!AR1063&gt;0,Registered!AR1063&amp;" Color Bags", "")</f>
        <v>5 Color Bags</v>
      </c>
      <c r="D436" s="4" t="str">
        <f>IF(Registered!AS1063&gt;0,(IF(Registered!AS1063=1,Registered!AS1063&amp;" T-Shirt",Registered!AS1063&amp;" T-Shirts")), "")</f>
        <v/>
      </c>
      <c r="E436" s="4" t="str">
        <f>Registered!AT1063</f>
        <v/>
      </c>
      <c r="F436" s="4" t="str">
        <f>Registered!AU1063</f>
        <v/>
      </c>
      <c r="G436" s="4" t="str">
        <f>Registered!AW1063</f>
        <v/>
      </c>
      <c r="H436" s="4" t="str">
        <f>Registered!AX1063</f>
        <v/>
      </c>
      <c r="I436" s="4" t="str">
        <f>Registered!AY1063</f>
        <v/>
      </c>
    </row>
    <row r="437" spans="1:9" x14ac:dyDescent="0.25">
      <c r="A437" s="4" t="str">
        <f>Registered!B1065</f>
        <v>Hawkes</v>
      </c>
      <c r="B437" s="4" t="str">
        <f>Registered!A1065</f>
        <v>Dan</v>
      </c>
      <c r="C437" s="4" t="str">
        <f>IF(Registered!AR1065&gt;0,Registered!AR1065&amp;" Color Bags", "")</f>
        <v>5 Color Bags</v>
      </c>
      <c r="D437" s="4" t="str">
        <f>IF(Registered!AS1065&gt;0,(IF(Registered!AS1065=1,Registered!AS1065&amp;" T-Shirt",Registered!AS1065&amp;" T-Shirts")), "")</f>
        <v/>
      </c>
      <c r="E437" s="4" t="str">
        <f>Registered!AT1065</f>
        <v/>
      </c>
      <c r="F437" s="4" t="str">
        <f>Registered!AU1065</f>
        <v/>
      </c>
      <c r="G437" s="4" t="str">
        <f>Registered!AW1065</f>
        <v/>
      </c>
      <c r="H437" s="4" t="str">
        <f>Registered!AX1065</f>
        <v/>
      </c>
      <c r="I437" s="4" t="str">
        <f>Registered!AY1065</f>
        <v/>
      </c>
    </row>
    <row r="438" spans="1:9" x14ac:dyDescent="0.25">
      <c r="A438" s="4" t="str">
        <f>Registered!B1070</f>
        <v>Hawkins</v>
      </c>
      <c r="B438" s="4" t="str">
        <f>Registered!A1070</f>
        <v>Stefan</v>
      </c>
      <c r="C438" s="4" t="str">
        <f>IF(Registered!AR1070&gt;0,Registered!AR1070&amp;" Color Bags", "")</f>
        <v>10 Color Bags</v>
      </c>
      <c r="D438" s="4" t="str">
        <f>IF(Registered!AS1070&gt;0,(IF(Registered!AS1070=1,Registered!AS1070&amp;" T-Shirt",Registered!AS1070&amp;" T-Shirts")), "")</f>
        <v/>
      </c>
      <c r="E438" s="4" t="str">
        <f>Registered!AT1070</f>
        <v/>
      </c>
      <c r="F438" s="4" t="str">
        <f>Registered!AU1070</f>
        <v/>
      </c>
      <c r="G438" s="4" t="str">
        <f>Registered!AW1070</f>
        <v/>
      </c>
      <c r="H438" s="4" t="str">
        <f>Registered!AX1070</f>
        <v/>
      </c>
      <c r="I438" s="4" t="str">
        <f>Registered!AY1070</f>
        <v/>
      </c>
    </row>
    <row r="439" spans="1:9" x14ac:dyDescent="0.25">
      <c r="A439" s="4" t="str">
        <f>Registered!B1068</f>
        <v>Hawkins</v>
      </c>
      <c r="B439" s="4" t="str">
        <f>Registered!A1068</f>
        <v>NataLee</v>
      </c>
      <c r="C439" s="4" t="str">
        <f>IF(Registered!AR1068&gt;0,Registered!AR1068&amp;" Color Bags", "")</f>
        <v>5 Color Bags</v>
      </c>
      <c r="D439" s="4" t="str">
        <f>IF(Registered!AS1068&gt;0,(IF(Registered!AS1068=1,Registered!AS1068&amp;" T-Shirt",Registered!AS1068&amp;" T-Shirts")), "")</f>
        <v/>
      </c>
      <c r="E439" s="4" t="str">
        <f>Registered!AT1068</f>
        <v/>
      </c>
      <c r="F439" s="4" t="str">
        <f>Registered!AU1068</f>
        <v/>
      </c>
      <c r="G439" s="4" t="str">
        <f>Registered!AW1068</f>
        <v/>
      </c>
      <c r="H439" s="4" t="str">
        <f>Registered!AX1068</f>
        <v/>
      </c>
      <c r="I439" s="4" t="str">
        <f>Registered!AY1068</f>
        <v/>
      </c>
    </row>
    <row r="440" spans="1:9" x14ac:dyDescent="0.25">
      <c r="A440" s="4" t="str">
        <f>Registered!B1069</f>
        <v>Hawkins</v>
      </c>
      <c r="B440" s="4" t="str">
        <f>Registered!A1069</f>
        <v>Sienna</v>
      </c>
      <c r="C440" s="4" t="str">
        <f>IF(Registered!AR1069&gt;0,Registered!AR1069&amp;" Color Bags", "")</f>
        <v>5 Color Bags</v>
      </c>
      <c r="D440" s="4" t="str">
        <f>IF(Registered!AS1069&gt;0,(IF(Registered!AS1069=1,Registered!AS1069&amp;" T-Shirt",Registered!AS1069&amp;" T-Shirts")), "")</f>
        <v/>
      </c>
      <c r="E440" s="4" t="str">
        <f>Registered!AT1069</f>
        <v/>
      </c>
      <c r="F440" s="4" t="str">
        <f>Registered!AU1069</f>
        <v/>
      </c>
      <c r="G440" s="4" t="str">
        <f>Registered!AW1069</f>
        <v/>
      </c>
      <c r="H440" s="4" t="str">
        <f>Registered!AX1069</f>
        <v/>
      </c>
      <c r="I440" s="4" t="str">
        <f>Registered!AY1069</f>
        <v/>
      </c>
    </row>
    <row r="441" spans="1:9" x14ac:dyDescent="0.25">
      <c r="A441" s="4" t="str">
        <f>Registered!B1071</f>
        <v>Haws</v>
      </c>
      <c r="B441" s="4" t="str">
        <f>Registered!A1071</f>
        <v>Jannika</v>
      </c>
      <c r="C441" s="4" t="str">
        <f>IF(Registered!AR1071&gt;0,Registered!AR1071&amp;" Color Bags", "")</f>
        <v>20 Color Bags</v>
      </c>
      <c r="D441" s="4" t="str">
        <f>IF(Registered!AS1071&gt;0,(IF(Registered!AS1071=1,Registered!AS1071&amp;" T-Shirt",Registered!AS1071&amp;" T-Shirts")), "")</f>
        <v/>
      </c>
      <c r="E441" s="4" t="str">
        <f>Registered!AT1071</f>
        <v/>
      </c>
      <c r="F441" s="4" t="str">
        <f>Registered!AU1071</f>
        <v/>
      </c>
      <c r="G441" s="4" t="str">
        <f>Registered!AW1071</f>
        <v/>
      </c>
      <c r="H441" s="4" t="str">
        <f>Registered!AX1071</f>
        <v/>
      </c>
      <c r="I441" s="4" t="str">
        <f>Registered!AY1071</f>
        <v/>
      </c>
    </row>
    <row r="442" spans="1:9" x14ac:dyDescent="0.25">
      <c r="A442" s="4" t="str">
        <f>Registered!B1075</f>
        <v>Haynes</v>
      </c>
      <c r="B442" s="4" t="str">
        <f>Registered!A1075</f>
        <v>Maria</v>
      </c>
      <c r="C442" s="4" t="str">
        <f>IF(Registered!AR1075&gt;0,Registered!AR1075&amp;" Color Bags", "")</f>
        <v>10 Color Bags</v>
      </c>
      <c r="D442" s="4" t="str">
        <f>IF(Registered!AS1075&gt;0,(IF(Registered!AS1075=1,Registered!AS1075&amp;" T-Shirt",Registered!AS1075&amp;" T-Shirts")), "")</f>
        <v/>
      </c>
      <c r="E442" s="4" t="str">
        <f>Registered!AT1075</f>
        <v/>
      </c>
      <c r="F442" s="4" t="str">
        <f>Registered!AU1075</f>
        <v/>
      </c>
      <c r="G442" s="4" t="str">
        <f>Registered!AW1075</f>
        <v/>
      </c>
      <c r="H442" s="4" t="str">
        <f>Registered!AX1075</f>
        <v/>
      </c>
      <c r="I442" s="4" t="str">
        <f>Registered!AY1075</f>
        <v/>
      </c>
    </row>
    <row r="443" spans="1:9" x14ac:dyDescent="0.25">
      <c r="A443" s="4" t="str">
        <f>Registered!B1073</f>
        <v>Haynes</v>
      </c>
      <c r="B443" s="4" t="str">
        <f>Registered!A1073</f>
        <v>Abbey</v>
      </c>
      <c r="C443" s="4" t="str">
        <f>IF(Registered!AR1073&gt;0,Registered!AR1073&amp;" Color Bags", "")</f>
        <v>20 Color Bags</v>
      </c>
      <c r="D443" s="4" t="str">
        <f>IF(Registered!AS1073&gt;0,(IF(Registered!AS1073=1,Registered!AS1073&amp;" T-Shirt",Registered!AS1073&amp;" T-Shirts")), "")</f>
        <v/>
      </c>
      <c r="E443" s="4" t="str">
        <f>Registered!AT1073</f>
        <v/>
      </c>
      <c r="F443" s="4" t="str">
        <f>Registered!AU1073</f>
        <v/>
      </c>
      <c r="G443" s="4" t="str">
        <f>Registered!AW1073</f>
        <v/>
      </c>
      <c r="H443" s="4" t="str">
        <f>Registered!AX1073</f>
        <v/>
      </c>
      <c r="I443" s="4" t="str">
        <f>Registered!AY1073</f>
        <v/>
      </c>
    </row>
    <row r="444" spans="1:9" x14ac:dyDescent="0.25">
      <c r="A444" s="4" t="str">
        <f>Registered!B1078</f>
        <v>Haynes</v>
      </c>
      <c r="B444" s="4" t="str">
        <f>Registered!A1078</f>
        <v>Natalie</v>
      </c>
      <c r="C444" s="4" t="str">
        <f>IF(Registered!AR1078&gt;0,Registered!AR1078&amp;" Color Bags", "")</f>
        <v>5 Color Bags</v>
      </c>
      <c r="D444" s="4" t="str">
        <f>IF(Registered!AS1078&gt;0,(IF(Registered!AS1078=1,Registered!AS1078&amp;" T-Shirt",Registered!AS1078&amp;" T-Shirts")), "")</f>
        <v/>
      </c>
      <c r="E444" s="4" t="str">
        <f>Registered!AT1078</f>
        <v/>
      </c>
      <c r="F444" s="4" t="str">
        <f>Registered!AU1078</f>
        <v/>
      </c>
      <c r="G444" s="4" t="str">
        <f>Registered!AW1078</f>
        <v/>
      </c>
      <c r="H444" s="4" t="str">
        <f>Registered!AX1078</f>
        <v/>
      </c>
      <c r="I444" s="4" t="str">
        <f>Registered!AY1078</f>
        <v/>
      </c>
    </row>
    <row r="445" spans="1:9" x14ac:dyDescent="0.25">
      <c r="A445" s="4" t="str">
        <f>Registered!B1080</f>
        <v>Hazman</v>
      </c>
      <c r="B445" s="4" t="str">
        <f>Registered!A1080</f>
        <v>Carolina</v>
      </c>
      <c r="C445" s="4" t="str">
        <f>IF(Registered!AR1080&gt;0,Registered!AR1080&amp;" Color Bags", "")</f>
        <v>10 Color Bags</v>
      </c>
      <c r="D445" s="4" t="str">
        <f>IF(Registered!AS1080&gt;0,(IF(Registered!AS1080=1,Registered!AS1080&amp;" T-Shirt",Registered!AS1080&amp;" T-Shirts")), "")</f>
        <v/>
      </c>
      <c r="E445" s="4" t="str">
        <f>Registered!AT1080</f>
        <v/>
      </c>
      <c r="F445" s="4" t="str">
        <f>Registered!AU1080</f>
        <v/>
      </c>
      <c r="G445" s="4" t="str">
        <f>Registered!AW1080</f>
        <v>2 Meals</v>
      </c>
      <c r="H445" s="4" t="str">
        <f>Registered!AX1080</f>
        <v/>
      </c>
      <c r="I445" s="4" t="str">
        <f>Registered!AY1080</f>
        <v/>
      </c>
    </row>
    <row r="446" spans="1:9" x14ac:dyDescent="0.25">
      <c r="A446" s="4" t="str">
        <f>Registered!B1083</f>
        <v>Heer</v>
      </c>
      <c r="B446" s="4" t="str">
        <f>Registered!A1083</f>
        <v>Bryce</v>
      </c>
      <c r="C446" s="4" t="str">
        <f>IF(Registered!AR1083&gt;0,Registered!AR1083&amp;" Color Bags", "")</f>
        <v>5 Color Bags</v>
      </c>
      <c r="D446" s="4" t="str">
        <f>IF(Registered!AS1083&gt;0,(IF(Registered!AS1083=1,Registered!AS1083&amp;" T-Shirt",Registered!AS1083&amp;" T-Shirts")), "")</f>
        <v/>
      </c>
      <c r="E446" s="4" t="str">
        <f>Registered!AT1083</f>
        <v/>
      </c>
      <c r="F446" s="4" t="str">
        <f>Registered!AU1083</f>
        <v/>
      </c>
      <c r="G446" s="4" t="str">
        <f>Registered!AW1083</f>
        <v/>
      </c>
      <c r="H446" s="4" t="str">
        <f>Registered!AX1083</f>
        <v/>
      </c>
      <c r="I446" s="4" t="str">
        <f>Registered!AY1083</f>
        <v/>
      </c>
    </row>
    <row r="447" spans="1:9" x14ac:dyDescent="0.25">
      <c r="A447" s="4" t="str">
        <f>Registered!B1084</f>
        <v>Hehl</v>
      </c>
      <c r="B447" s="4" t="str">
        <f>Registered!A1084</f>
        <v>Alyssa</v>
      </c>
      <c r="C447" s="4" t="str">
        <f>IF(Registered!AR1084&gt;0,Registered!AR1084&amp;" Color Bags", "")</f>
        <v/>
      </c>
      <c r="D447" s="4" t="str">
        <f>IF(Registered!AS1084&gt;0,(IF(Registered!AS1084=1,Registered!AS1084&amp;" T-Shirt",Registered!AS1084&amp;" T-Shirts")), "")</f>
        <v/>
      </c>
      <c r="E447" s="4" t="str">
        <f>Registered!AT1084</f>
        <v/>
      </c>
      <c r="F447" s="4" t="str">
        <f>Registered!AU1084</f>
        <v/>
      </c>
      <c r="G447" s="4" t="str">
        <f>Registered!AW1084</f>
        <v>1 Meal</v>
      </c>
      <c r="H447" s="4" t="str">
        <f>Registered!AX1084</f>
        <v/>
      </c>
      <c r="I447" s="4" t="str">
        <f>Registered!AY1084</f>
        <v/>
      </c>
    </row>
    <row r="448" spans="1:9" x14ac:dyDescent="0.25">
      <c r="A448" s="4" t="str">
        <f>Registered!B1085</f>
        <v>Heiner</v>
      </c>
      <c r="B448" s="4" t="str">
        <f>Registered!A1085</f>
        <v>Carly</v>
      </c>
      <c r="C448" s="4" t="str">
        <f>IF(Registered!AR1085&gt;0,Registered!AR1085&amp;" Color Bags", "")</f>
        <v>5 Color Bags</v>
      </c>
      <c r="D448" s="4" t="str">
        <f>IF(Registered!AS1085&gt;0,(IF(Registered!AS1085=1,Registered!AS1085&amp;" T-Shirt",Registered!AS1085&amp;" T-Shirts")), "")</f>
        <v>1 T-Shirt</v>
      </c>
      <c r="E448" s="4" t="str">
        <f>Registered!AT1085</f>
        <v>Medium</v>
      </c>
      <c r="F448" s="4" t="str">
        <f>Registered!AU1085</f>
        <v/>
      </c>
      <c r="G448" s="4" t="str">
        <f>Registered!AW1085</f>
        <v/>
      </c>
      <c r="H448" s="4" t="str">
        <f>Registered!AX1085</f>
        <v/>
      </c>
      <c r="I448" s="4" t="str">
        <f>Registered!AY1085</f>
        <v/>
      </c>
    </row>
    <row r="449" spans="1:9" x14ac:dyDescent="0.25">
      <c r="A449" s="4" t="str">
        <f>Registered!B1086</f>
        <v>Heisterman</v>
      </c>
      <c r="B449" s="4" t="str">
        <f>Registered!A1086</f>
        <v>Alison</v>
      </c>
      <c r="C449" s="4" t="str">
        <f>IF(Registered!AR1086&gt;0,Registered!AR1086&amp;" Color Bags", "")</f>
        <v>40 Color Bags</v>
      </c>
      <c r="D449" s="4" t="str">
        <f>IF(Registered!AS1086&gt;0,(IF(Registered!AS1086=1,Registered!AS1086&amp;" T-Shirt",Registered!AS1086&amp;" T-Shirts")), "")</f>
        <v/>
      </c>
      <c r="E449" s="4" t="str">
        <f>Registered!AT1086</f>
        <v/>
      </c>
      <c r="F449" s="4" t="str">
        <f>Registered!AU1086</f>
        <v/>
      </c>
      <c r="G449" s="4" t="str">
        <f>Registered!AW1086</f>
        <v/>
      </c>
      <c r="H449" s="4" t="str">
        <f>Registered!AX1086</f>
        <v/>
      </c>
      <c r="I449" s="4" t="str">
        <f>Registered!AY1086</f>
        <v/>
      </c>
    </row>
    <row r="450" spans="1:9" x14ac:dyDescent="0.25">
      <c r="A450" s="4" t="str">
        <f>Registered!B1088</f>
        <v>Hemmert</v>
      </c>
      <c r="B450" s="4" t="str">
        <f>Registered!A1088</f>
        <v>Alexandra</v>
      </c>
      <c r="C450" s="4" t="str">
        <f>IF(Registered!AR1088&gt;0,Registered!AR1088&amp;" Color Bags", "")</f>
        <v>15 Color Bags</v>
      </c>
      <c r="D450" s="4" t="str">
        <f>IF(Registered!AS1088&gt;0,(IF(Registered!AS1088=1,Registered!AS1088&amp;" T-Shirt",Registered!AS1088&amp;" T-Shirts")), "")</f>
        <v/>
      </c>
      <c r="E450" s="4" t="str">
        <f>Registered!AT1088</f>
        <v/>
      </c>
      <c r="F450" s="4" t="str">
        <f>Registered!AU1088</f>
        <v/>
      </c>
      <c r="G450" s="4" t="str">
        <f>Registered!AW1088</f>
        <v/>
      </c>
      <c r="H450" s="4" t="str">
        <f>Registered!AX1088</f>
        <v/>
      </c>
      <c r="I450" s="4" t="str">
        <f>Registered!AY1088</f>
        <v/>
      </c>
    </row>
    <row r="451" spans="1:9" x14ac:dyDescent="0.25">
      <c r="A451" s="4" t="str">
        <f>Registered!B1090</f>
        <v>Henager</v>
      </c>
      <c r="B451" s="4" t="str">
        <f>Registered!A1090</f>
        <v>Mindy</v>
      </c>
      <c r="C451" s="4" t="str">
        <f>IF(Registered!AR1090&gt;0,Registered!AR1090&amp;" Color Bags", "")</f>
        <v>20 Color Bags</v>
      </c>
      <c r="D451" s="4" t="str">
        <f>IF(Registered!AS1090&gt;0,(IF(Registered!AS1090=1,Registered!AS1090&amp;" T-Shirt",Registered!AS1090&amp;" T-Shirts")), "")</f>
        <v/>
      </c>
      <c r="E451" s="4" t="str">
        <f>Registered!AT1090</f>
        <v/>
      </c>
      <c r="F451" s="4" t="str">
        <f>Registered!AU1090</f>
        <v/>
      </c>
      <c r="G451" s="4" t="str">
        <f>Registered!AW1090</f>
        <v/>
      </c>
      <c r="H451" s="4" t="str">
        <f>Registered!AX1090</f>
        <v/>
      </c>
      <c r="I451" s="4" t="str">
        <f>Registered!AY1090</f>
        <v/>
      </c>
    </row>
    <row r="452" spans="1:9" x14ac:dyDescent="0.25">
      <c r="A452" s="4" t="str">
        <f>Registered!B1093</f>
        <v>Henderson</v>
      </c>
      <c r="B452" s="4" t="str">
        <f>Registered!A1093</f>
        <v>Julie</v>
      </c>
      <c r="C452" s="4" t="str">
        <f>IF(Registered!AR1093&gt;0,Registered!AR1093&amp;" Color Bags", "")</f>
        <v>5 Color Bags</v>
      </c>
      <c r="D452" s="4" t="str">
        <f>IF(Registered!AS1093&gt;0,(IF(Registered!AS1093=1,Registered!AS1093&amp;" T-Shirt",Registered!AS1093&amp;" T-Shirts")), "")</f>
        <v>1 T-Shirt</v>
      </c>
      <c r="E452" s="4" t="str">
        <f>Registered!AT1093</f>
        <v>Small</v>
      </c>
      <c r="F452" s="4" t="str">
        <f>Registered!AU1093</f>
        <v>1 Bandana</v>
      </c>
      <c r="G452" s="4" t="str">
        <f>Registered!AW1093</f>
        <v>1 Meal</v>
      </c>
      <c r="H452" s="4" t="str">
        <f>Registered!AX1093</f>
        <v/>
      </c>
      <c r="I452" s="4" t="str">
        <f>Registered!AY1093</f>
        <v/>
      </c>
    </row>
    <row r="453" spans="1:9" x14ac:dyDescent="0.25">
      <c r="A453" s="4" t="str">
        <f>Registered!B1095</f>
        <v>Hendrickson</v>
      </c>
      <c r="B453" s="4" t="str">
        <f>Registered!A1095</f>
        <v>Ashley</v>
      </c>
      <c r="C453" s="4" t="str">
        <f>IF(Registered!AR1095&gt;0,Registered!AR1095&amp;" Color Bags", "")</f>
        <v>10 Color Bags</v>
      </c>
      <c r="D453" s="4" t="str">
        <f>IF(Registered!AS1095&gt;0,(IF(Registered!AS1095=1,Registered!AS1095&amp;" T-Shirt",Registered!AS1095&amp;" T-Shirts")), "")</f>
        <v>1 T-Shirt</v>
      </c>
      <c r="E453" s="4" t="str">
        <f>Registered!AT1095</f>
        <v>Extra large</v>
      </c>
      <c r="F453" s="4" t="str">
        <f>Registered!AU1095</f>
        <v/>
      </c>
      <c r="G453" s="4" t="str">
        <f>Registered!AW1095</f>
        <v>1 Meal</v>
      </c>
      <c r="H453" s="4" t="str">
        <f>Registered!AX1095</f>
        <v/>
      </c>
      <c r="I453" s="4" t="str">
        <f>Registered!AY1095</f>
        <v/>
      </c>
    </row>
    <row r="454" spans="1:9" x14ac:dyDescent="0.25">
      <c r="A454" s="4" t="str">
        <f>Registered!B1097</f>
        <v>Hendrix</v>
      </c>
      <c r="B454" s="4" t="str">
        <f>Registered!A1097</f>
        <v>Ashley</v>
      </c>
      <c r="C454" s="4" t="str">
        <f>IF(Registered!AR1097&gt;0,Registered!AR1097&amp;" Color Bags", "")</f>
        <v>30 Color Bags</v>
      </c>
      <c r="D454" s="4" t="str">
        <f>IF(Registered!AS1097&gt;0,(IF(Registered!AS1097=1,Registered!AS1097&amp;" T-Shirt",Registered!AS1097&amp;" T-Shirts")), "")</f>
        <v/>
      </c>
      <c r="E454" s="4" t="str">
        <f>Registered!AT1097</f>
        <v/>
      </c>
      <c r="F454" s="4" t="str">
        <f>Registered!AU1097</f>
        <v/>
      </c>
      <c r="G454" s="4" t="str">
        <f>Registered!AW1097</f>
        <v/>
      </c>
      <c r="H454" s="4" t="str">
        <f>Registered!AX1097</f>
        <v/>
      </c>
      <c r="I454" s="4" t="str">
        <f>Registered!AY1097</f>
        <v/>
      </c>
    </row>
    <row r="455" spans="1:9" x14ac:dyDescent="0.25">
      <c r="A455" s="4" t="str">
        <f>Registered!B1101</f>
        <v>Hepworth</v>
      </c>
      <c r="B455" s="4" t="str">
        <f>Registered!A1101</f>
        <v>Alex</v>
      </c>
      <c r="C455" s="4" t="str">
        <f>IF(Registered!AR1101&gt;0,Registered!AR1101&amp;" Color Bags", "")</f>
        <v>5 Color Bags</v>
      </c>
      <c r="D455" s="4" t="str">
        <f>IF(Registered!AS1101&gt;0,(IF(Registered!AS1101=1,Registered!AS1101&amp;" T-Shirt",Registered!AS1101&amp;" T-Shirts")), "")</f>
        <v>1 T-Shirt</v>
      </c>
      <c r="E455" s="4" t="str">
        <f>Registered!AT1101</f>
        <v>Extra Large</v>
      </c>
      <c r="F455" s="4" t="str">
        <f>Registered!AU1101</f>
        <v/>
      </c>
      <c r="G455" s="4" t="str">
        <f>Registered!AW1101</f>
        <v>1 Meal</v>
      </c>
      <c r="H455" s="4" t="str">
        <f>Registered!AX1101</f>
        <v/>
      </c>
      <c r="I455" s="4" t="str">
        <f>Registered!AY1101</f>
        <v/>
      </c>
    </row>
    <row r="456" spans="1:9" x14ac:dyDescent="0.25">
      <c r="A456" s="4" t="str">
        <f>Registered!B1102</f>
        <v>Heredia Lopez</v>
      </c>
      <c r="B456" s="4" t="str">
        <f>Registered!A1102</f>
        <v>Brenda</v>
      </c>
      <c r="C456" s="4" t="str">
        <f>IF(Registered!AR1102&gt;0,Registered!AR1102&amp;" Color Bags", "")</f>
        <v>15 Color Bags</v>
      </c>
      <c r="D456" s="4" t="str">
        <f>IF(Registered!AS1102&gt;0,(IF(Registered!AS1102=1,Registered!AS1102&amp;" T-Shirt",Registered!AS1102&amp;" T-Shirts")), "")</f>
        <v/>
      </c>
      <c r="E456" s="4" t="str">
        <f>Registered!AT1102</f>
        <v/>
      </c>
      <c r="F456" s="4" t="str">
        <f>Registered!AU1102</f>
        <v/>
      </c>
      <c r="G456" s="4" t="str">
        <f>Registered!AW1102</f>
        <v>4 Meals</v>
      </c>
      <c r="H456" s="4" t="str">
        <f>Registered!AX1102</f>
        <v/>
      </c>
      <c r="I456" s="4" t="str">
        <f>Registered!AY1102</f>
        <v/>
      </c>
    </row>
    <row r="457" spans="1:9" x14ac:dyDescent="0.25">
      <c r="A457" s="4" t="str">
        <f>Registered!B1105</f>
        <v>Hernandez</v>
      </c>
      <c r="B457" s="4" t="str">
        <f>Registered!A1105</f>
        <v>Ashley</v>
      </c>
      <c r="C457" s="4" t="str">
        <f>IF(Registered!AR1105&gt;0,Registered!AR1105&amp;" Color Bags", "")</f>
        <v>30 Color Bags</v>
      </c>
      <c r="D457" s="4" t="str">
        <f>IF(Registered!AS1105&gt;0,(IF(Registered!AS1105=1,Registered!AS1105&amp;" T-Shirt",Registered!AS1105&amp;" T-Shirts")), "")</f>
        <v/>
      </c>
      <c r="E457" s="4" t="str">
        <f>Registered!AT1105</f>
        <v/>
      </c>
      <c r="F457" s="4" t="str">
        <f>Registered!AU1105</f>
        <v/>
      </c>
      <c r="G457" s="4" t="str">
        <f>Registered!AW1105</f>
        <v/>
      </c>
      <c r="H457" s="4" t="str">
        <f>Registered!AX1105</f>
        <v/>
      </c>
      <c r="I457" s="4" t="str">
        <f>Registered!AY1105</f>
        <v/>
      </c>
    </row>
    <row r="458" spans="1:9" x14ac:dyDescent="0.25">
      <c r="A458" s="4" t="str">
        <f>Registered!B1106</f>
        <v>Herndon</v>
      </c>
      <c r="B458" s="4" t="str">
        <f>Registered!A1106</f>
        <v>Natalie</v>
      </c>
      <c r="C458" s="4" t="str">
        <f>IF(Registered!AR1106&gt;0,Registered!AR1106&amp;" Color Bags", "")</f>
        <v>30 Color Bags</v>
      </c>
      <c r="D458" s="4" t="str">
        <f>IF(Registered!AS1106&gt;0,(IF(Registered!AS1106=1,Registered!AS1106&amp;" T-Shirt",Registered!AS1106&amp;" T-Shirts")), "")</f>
        <v/>
      </c>
      <c r="E458" s="4" t="str">
        <f>Registered!AT1106</f>
        <v/>
      </c>
      <c r="F458" s="4" t="str">
        <f>Registered!AU1106</f>
        <v/>
      </c>
      <c r="G458" s="4" t="str">
        <f>Registered!AW1106</f>
        <v/>
      </c>
      <c r="H458" s="4" t="str">
        <f>Registered!AX1106</f>
        <v/>
      </c>
      <c r="I458" s="4" t="str">
        <f>Registered!AY1106</f>
        <v>2 DustMask</v>
      </c>
    </row>
    <row r="459" spans="1:9" x14ac:dyDescent="0.25">
      <c r="A459" s="4" t="str">
        <f>Registered!B1107</f>
        <v>Herrera</v>
      </c>
      <c r="B459" s="4" t="str">
        <f>Registered!A1107</f>
        <v>Daniel</v>
      </c>
      <c r="C459" s="4" t="str">
        <f>IF(Registered!AR1107&gt;0,Registered!AR1107&amp;" Color Bags", "")</f>
        <v>5 Color Bags</v>
      </c>
      <c r="D459" s="4" t="str">
        <f>IF(Registered!AS1107&gt;0,(IF(Registered!AS1107=1,Registered!AS1107&amp;" T-Shirt",Registered!AS1107&amp;" T-Shirts")), "")</f>
        <v>2 T-Shirts</v>
      </c>
      <c r="E459" s="4" t="str">
        <f>Registered!AT1107</f>
        <v>medium</v>
      </c>
      <c r="F459" s="4" t="str">
        <f>Registered!AU1107</f>
        <v>2 Bandanas</v>
      </c>
      <c r="G459" s="4" t="str">
        <f>Registered!AW1107</f>
        <v>1 Meal</v>
      </c>
      <c r="H459" s="4" t="str">
        <f>Registered!AX1107</f>
        <v/>
      </c>
      <c r="I459" s="4" t="str">
        <f>Registered!AY1107</f>
        <v/>
      </c>
    </row>
    <row r="460" spans="1:9" x14ac:dyDescent="0.25">
      <c r="A460" s="4" t="str">
        <f>Registered!B1110</f>
        <v>Hiatt</v>
      </c>
      <c r="B460" s="4" t="str">
        <f>Registered!A1110</f>
        <v>Alisha</v>
      </c>
      <c r="C460" s="4" t="str">
        <f>IF(Registered!AR1110&gt;0,Registered!AR1110&amp;" Color Bags", "")</f>
        <v>5 Color Bags</v>
      </c>
      <c r="D460" s="4" t="str">
        <f>IF(Registered!AS1110&gt;0,(IF(Registered!AS1110=1,Registered!AS1110&amp;" T-Shirt",Registered!AS1110&amp;" T-Shirts")), "")</f>
        <v>1 T-Shirt</v>
      </c>
      <c r="E460" s="4" t="str">
        <f>Registered!AT1110</f>
        <v>Adult Small</v>
      </c>
      <c r="F460" s="4" t="str">
        <f>Registered!AU1110</f>
        <v/>
      </c>
      <c r="G460" s="4" t="str">
        <f>Registered!AW1110</f>
        <v/>
      </c>
      <c r="H460" s="4" t="str">
        <f>Registered!AX1110</f>
        <v/>
      </c>
      <c r="I460" s="4" t="str">
        <f>Registered!AY1110</f>
        <v/>
      </c>
    </row>
    <row r="461" spans="1:9" x14ac:dyDescent="0.25">
      <c r="A461" s="4" t="str">
        <f>Registered!B1112</f>
        <v>Hicks</v>
      </c>
      <c r="B461" s="4" t="str">
        <f>Registered!A1112</f>
        <v>Kyle</v>
      </c>
      <c r="C461" s="4" t="str">
        <f>IF(Registered!AR1112&gt;0,Registered!AR1112&amp;" Color Bags", "")</f>
        <v>10 Color Bags</v>
      </c>
      <c r="D461" s="4" t="str">
        <f>IF(Registered!AS1112&gt;0,(IF(Registered!AS1112=1,Registered!AS1112&amp;" T-Shirt",Registered!AS1112&amp;" T-Shirts")), "")</f>
        <v/>
      </c>
      <c r="E461" s="4" t="str">
        <f>Registered!AT1112</f>
        <v/>
      </c>
      <c r="F461" s="4" t="str">
        <f>Registered!AU1112</f>
        <v/>
      </c>
      <c r="G461" s="4" t="str">
        <f>Registered!AW1112</f>
        <v>2 Meals</v>
      </c>
      <c r="H461" s="4" t="str">
        <f>Registered!AX1112</f>
        <v/>
      </c>
      <c r="I461" s="4" t="str">
        <f>Registered!AY1112</f>
        <v/>
      </c>
    </row>
    <row r="462" spans="1:9" x14ac:dyDescent="0.25">
      <c r="A462" s="4" t="str">
        <f>Registered!B1113</f>
        <v>Hidrosollo</v>
      </c>
      <c r="B462" s="4" t="str">
        <f>Registered!A1113</f>
        <v>Jummel</v>
      </c>
      <c r="C462" s="4" t="str">
        <f>IF(Registered!AR1113&gt;0,Registered!AR1113&amp;" Color Bags", "")</f>
        <v>5 Color Bags</v>
      </c>
      <c r="D462" s="4" t="str">
        <f>IF(Registered!AS1113&gt;0,(IF(Registered!AS1113=1,Registered!AS1113&amp;" T-Shirt",Registered!AS1113&amp;" T-Shirts")), "")</f>
        <v>1 T-Shirt</v>
      </c>
      <c r="E462" s="4" t="str">
        <f>Registered!AT1113</f>
        <v>Large (mens)</v>
      </c>
      <c r="F462" s="4" t="str">
        <f>Registered!AU1113</f>
        <v>1 Bandana</v>
      </c>
      <c r="G462" s="4" t="str">
        <f>Registered!AW1113</f>
        <v>1 Meal</v>
      </c>
      <c r="H462" s="4" t="str">
        <f>Registered!AX1113</f>
        <v/>
      </c>
      <c r="I462" s="4" t="str">
        <f>Registered!AY1113</f>
        <v/>
      </c>
    </row>
    <row r="463" spans="1:9" x14ac:dyDescent="0.25">
      <c r="A463" s="4" t="str">
        <f>Registered!B1114</f>
        <v>Higbee</v>
      </c>
      <c r="B463" s="4" t="str">
        <f>Registered!A1114</f>
        <v>Ashley</v>
      </c>
      <c r="C463" s="4" t="str">
        <f>IF(Registered!AR1114&gt;0,Registered!AR1114&amp;" Color Bags", "")</f>
        <v>15 Color Bags</v>
      </c>
      <c r="D463" s="4" t="str">
        <f>IF(Registered!AS1114&gt;0,(IF(Registered!AS1114=1,Registered!AS1114&amp;" T-Shirt",Registered!AS1114&amp;" T-Shirts")), "")</f>
        <v/>
      </c>
      <c r="E463" s="4" t="str">
        <f>Registered!AT1114</f>
        <v/>
      </c>
      <c r="F463" s="4" t="str">
        <f>Registered!AU1114</f>
        <v/>
      </c>
      <c r="G463" s="4" t="str">
        <f>Registered!AW1114</f>
        <v/>
      </c>
      <c r="H463" s="4" t="str">
        <f>Registered!AX1114</f>
        <v/>
      </c>
      <c r="I463" s="4" t="str">
        <f>Registered!AY1114</f>
        <v/>
      </c>
    </row>
    <row r="464" spans="1:9" x14ac:dyDescent="0.25">
      <c r="A464" s="4" t="str">
        <f>Registered!B1116</f>
        <v>Higgs</v>
      </c>
      <c r="B464" s="4" t="str">
        <f>Registered!A1116</f>
        <v>Nate</v>
      </c>
      <c r="C464" s="4" t="str">
        <f>IF(Registered!AR1116&gt;0,Registered!AR1116&amp;" Color Bags", "")</f>
        <v>10 Color Bags</v>
      </c>
      <c r="D464" s="4" t="str">
        <f>IF(Registered!AS1116&gt;0,(IF(Registered!AS1116=1,Registered!AS1116&amp;" T-Shirt",Registered!AS1116&amp;" T-Shirts")), "")</f>
        <v/>
      </c>
      <c r="E464" s="4" t="str">
        <f>Registered!AT1116</f>
        <v/>
      </c>
      <c r="F464" s="4" t="str">
        <f>Registered!AU1116</f>
        <v/>
      </c>
      <c r="G464" s="4" t="str">
        <f>Registered!AW1116</f>
        <v/>
      </c>
      <c r="H464" s="4" t="str">
        <f>Registered!AX1116</f>
        <v/>
      </c>
      <c r="I464" s="4" t="str">
        <f>Registered!AY1116</f>
        <v/>
      </c>
    </row>
    <row r="465" spans="1:9" x14ac:dyDescent="0.25">
      <c r="A465" s="4" t="str">
        <f>Registered!B1119</f>
        <v>Hill</v>
      </c>
      <c r="B465" s="4" t="str">
        <f>Registered!A1119</f>
        <v>Jamie</v>
      </c>
      <c r="C465" s="4" t="str">
        <f>IF(Registered!AR1119&gt;0,Registered!AR1119&amp;" Color Bags", "")</f>
        <v>10 Color Bags</v>
      </c>
      <c r="D465" s="4" t="str">
        <f>IF(Registered!AS1119&gt;0,(IF(Registered!AS1119=1,Registered!AS1119&amp;" T-Shirt",Registered!AS1119&amp;" T-Shirts")), "")</f>
        <v/>
      </c>
      <c r="E465" s="4" t="str">
        <f>Registered!AT1119</f>
        <v/>
      </c>
      <c r="F465" s="4" t="str">
        <f>Registered!AU1119</f>
        <v/>
      </c>
      <c r="G465" s="4" t="str">
        <f>Registered!AW1119</f>
        <v/>
      </c>
      <c r="H465" s="4" t="str">
        <f>Registered!AX1119</f>
        <v/>
      </c>
      <c r="I465" s="4" t="str">
        <f>Registered!AY1119</f>
        <v/>
      </c>
    </row>
    <row r="466" spans="1:9" x14ac:dyDescent="0.25">
      <c r="A466" s="4" t="str">
        <f>Registered!B1118</f>
        <v>Hill</v>
      </c>
      <c r="B466" s="4" t="str">
        <f>Registered!A1118</f>
        <v>Ali</v>
      </c>
      <c r="C466" s="4" t="str">
        <f>IF(Registered!AR1118&gt;0,Registered!AR1118&amp;" Color Bags", "")</f>
        <v>5 Color Bags</v>
      </c>
      <c r="D466" s="4" t="str">
        <f>IF(Registered!AS1118&gt;0,(IF(Registered!AS1118=1,Registered!AS1118&amp;" T-Shirt",Registered!AS1118&amp;" T-Shirts")), "")</f>
        <v/>
      </c>
      <c r="E466" s="4" t="str">
        <f>Registered!AT1118</f>
        <v/>
      </c>
      <c r="F466" s="4" t="str">
        <f>Registered!AU1118</f>
        <v/>
      </c>
      <c r="G466" s="4" t="str">
        <f>Registered!AW1118</f>
        <v/>
      </c>
      <c r="H466" s="4" t="str">
        <f>Registered!AX1118</f>
        <v/>
      </c>
      <c r="I466" s="4" t="str">
        <f>Registered!AY1118</f>
        <v/>
      </c>
    </row>
    <row r="467" spans="1:9" x14ac:dyDescent="0.25">
      <c r="A467" s="4" t="str">
        <f>Registered!B1122</f>
        <v>Hill</v>
      </c>
      <c r="B467" s="4" t="str">
        <f>Registered!A1122</f>
        <v>Kristin</v>
      </c>
      <c r="C467" s="4" t="str">
        <f>IF(Registered!AR1122&gt;0,Registered!AR1122&amp;" Color Bags", "")</f>
        <v>50 Color Bags</v>
      </c>
      <c r="D467" s="4" t="str">
        <f>IF(Registered!AS1122&gt;0,(IF(Registered!AS1122=1,Registered!AS1122&amp;" T-Shirt",Registered!AS1122&amp;" T-Shirts")), "")</f>
        <v/>
      </c>
      <c r="E467" s="4" t="str">
        <f>Registered!AT1122</f>
        <v/>
      </c>
      <c r="F467" s="4" t="str">
        <f>Registered!AU1122</f>
        <v/>
      </c>
      <c r="G467" s="4" t="str">
        <f>Registered!AW1122</f>
        <v/>
      </c>
      <c r="H467" s="4" t="str">
        <f>Registered!AX1122</f>
        <v/>
      </c>
      <c r="I467" s="4" t="str">
        <f>Registered!AY1122</f>
        <v/>
      </c>
    </row>
    <row r="468" spans="1:9" x14ac:dyDescent="0.25">
      <c r="A468" s="4" t="str">
        <f>Registered!B1125</f>
        <v>Hinton</v>
      </c>
      <c r="B468" s="4" t="str">
        <f>Registered!A1125</f>
        <v>Bonnie</v>
      </c>
      <c r="C468" s="4" t="str">
        <f>IF(Registered!AR1125&gt;0,Registered!AR1125&amp;" Color Bags", "")</f>
        <v>5 Color Bags</v>
      </c>
      <c r="D468" s="4" t="str">
        <f>IF(Registered!AS1125&gt;0,(IF(Registered!AS1125=1,Registered!AS1125&amp;" T-Shirt",Registered!AS1125&amp;" T-Shirts")), "")</f>
        <v/>
      </c>
      <c r="E468" s="4" t="str">
        <f>Registered!AT1125</f>
        <v/>
      </c>
      <c r="F468" s="4" t="str">
        <f>Registered!AU1125</f>
        <v/>
      </c>
      <c r="G468" s="4" t="str">
        <f>Registered!AW1125</f>
        <v/>
      </c>
      <c r="H468" s="4" t="str">
        <f>Registered!AX1125</f>
        <v/>
      </c>
      <c r="I468" s="4" t="str">
        <f>Registered!AY1125</f>
        <v/>
      </c>
    </row>
    <row r="469" spans="1:9" x14ac:dyDescent="0.25">
      <c r="A469" s="4" t="str">
        <f>Registered!B1126</f>
        <v>Hixon</v>
      </c>
      <c r="B469" s="4" t="str">
        <f>Registered!A1126</f>
        <v>Katie</v>
      </c>
      <c r="C469" s="4" t="str">
        <f>IF(Registered!AR1126&gt;0,Registered!AR1126&amp;" Color Bags", "")</f>
        <v>15 Color Bags</v>
      </c>
      <c r="D469" s="4" t="str">
        <f>IF(Registered!AS1126&gt;0,(IF(Registered!AS1126=1,Registered!AS1126&amp;" T-Shirt",Registered!AS1126&amp;" T-Shirts")), "")</f>
        <v>3 T-Shirts</v>
      </c>
      <c r="E469" s="4" t="str">
        <f>Registered!AT1126</f>
        <v>2 small 1 medium</v>
      </c>
      <c r="F469" s="4" t="str">
        <f>Registered!AU1126</f>
        <v/>
      </c>
      <c r="G469" s="4" t="str">
        <f>Registered!AW1126</f>
        <v>3 Meals</v>
      </c>
      <c r="H469" s="4" t="str">
        <f>Registered!AX1126</f>
        <v/>
      </c>
      <c r="I469" s="4" t="str">
        <f>Registered!AY1126</f>
        <v/>
      </c>
    </row>
    <row r="470" spans="1:9" x14ac:dyDescent="0.25">
      <c r="A470" s="4" t="str">
        <f>Registered!B1130</f>
        <v>Hoggan</v>
      </c>
      <c r="B470" s="4" t="str">
        <f>Registered!A1130</f>
        <v>Alexandria</v>
      </c>
      <c r="C470" s="4" t="str">
        <f>IF(Registered!AR1130&gt;0,Registered!AR1130&amp;" Color Bags", "")</f>
        <v>5 Color Bags</v>
      </c>
      <c r="D470" s="4" t="str">
        <f>IF(Registered!AS1130&gt;0,(IF(Registered!AS1130=1,Registered!AS1130&amp;" T-Shirt",Registered!AS1130&amp;" T-Shirts")), "")</f>
        <v/>
      </c>
      <c r="E470" s="4" t="str">
        <f>Registered!AT1130</f>
        <v/>
      </c>
      <c r="F470" s="4" t="str">
        <f>Registered!AU1130</f>
        <v/>
      </c>
      <c r="G470" s="4" t="str">
        <f>Registered!AW1130</f>
        <v/>
      </c>
      <c r="H470" s="4" t="str">
        <f>Registered!AX1130</f>
        <v/>
      </c>
      <c r="I470" s="4" t="str">
        <f>Registered!AY1130</f>
        <v/>
      </c>
    </row>
    <row r="471" spans="1:9" x14ac:dyDescent="0.25">
      <c r="A471" s="4" t="str">
        <f>Registered!B1132</f>
        <v>Holbrook</v>
      </c>
      <c r="B471" s="4" t="str">
        <f>Registered!A1132</f>
        <v>Rozan</v>
      </c>
      <c r="C471" s="4" t="str">
        <f>IF(Registered!AR1132&gt;0,Registered!AR1132&amp;" Color Bags", "")</f>
        <v>5 Color Bags</v>
      </c>
      <c r="D471" s="4" t="str">
        <f>IF(Registered!AS1132&gt;0,(IF(Registered!AS1132=1,Registered!AS1132&amp;" T-Shirt",Registered!AS1132&amp;" T-Shirts")), "")</f>
        <v/>
      </c>
      <c r="E471" s="4" t="str">
        <f>Registered!AT1132</f>
        <v/>
      </c>
      <c r="F471" s="4" t="str">
        <f>Registered!AU1132</f>
        <v/>
      </c>
      <c r="G471" s="4" t="str">
        <f>Registered!AW1132</f>
        <v/>
      </c>
      <c r="H471" s="4" t="str">
        <f>Registered!AX1132</f>
        <v/>
      </c>
      <c r="I471" s="4" t="str">
        <f>Registered!AY1132</f>
        <v/>
      </c>
    </row>
    <row r="472" spans="1:9" x14ac:dyDescent="0.25">
      <c r="A472" s="4" t="str">
        <f>Registered!B1133</f>
        <v>Holdsworth</v>
      </c>
      <c r="B472" s="4" t="str">
        <f>Registered!A1133</f>
        <v>Whitney</v>
      </c>
      <c r="C472" s="4" t="str">
        <f>IF(Registered!AR1133&gt;0,Registered!AR1133&amp;" Color Bags", "")</f>
        <v>5 Color Bags</v>
      </c>
      <c r="D472" s="4" t="str">
        <f>IF(Registered!AS1133&gt;0,(IF(Registered!AS1133=1,Registered!AS1133&amp;" T-Shirt",Registered!AS1133&amp;" T-Shirts")), "")</f>
        <v/>
      </c>
      <c r="E472" s="4" t="str">
        <f>Registered!AT1133</f>
        <v/>
      </c>
      <c r="F472" s="4" t="str">
        <f>Registered!AU1133</f>
        <v/>
      </c>
      <c r="G472" s="4" t="str">
        <f>Registered!AW1133</f>
        <v/>
      </c>
      <c r="H472" s="4" t="str">
        <f>Registered!AX1133</f>
        <v/>
      </c>
      <c r="I472" s="4" t="str">
        <f>Registered!AY1133</f>
        <v/>
      </c>
    </row>
    <row r="473" spans="1:9" x14ac:dyDescent="0.25">
      <c r="A473" s="4" t="str">
        <f>Registered!B1136</f>
        <v>Holmes</v>
      </c>
      <c r="B473" s="4" t="str">
        <f>Registered!A1136</f>
        <v>Dakotah</v>
      </c>
      <c r="C473" s="4" t="str">
        <f>IF(Registered!AR1136&gt;0,Registered!AR1136&amp;" Color Bags", "")</f>
        <v>10 Color Bags</v>
      </c>
      <c r="D473" s="4" t="str">
        <f>IF(Registered!AS1136&gt;0,(IF(Registered!AS1136=1,Registered!AS1136&amp;" T-Shirt",Registered!AS1136&amp;" T-Shirts")), "")</f>
        <v/>
      </c>
      <c r="E473" s="4" t="str">
        <f>Registered!AT1136</f>
        <v/>
      </c>
      <c r="F473" s="4" t="str">
        <f>Registered!AU1136</f>
        <v/>
      </c>
      <c r="G473" s="4" t="str">
        <f>Registered!AW1136</f>
        <v/>
      </c>
      <c r="H473" s="4" t="str">
        <f>Registered!AX1136</f>
        <v/>
      </c>
      <c r="I473" s="4" t="str">
        <f>Registered!AY1136</f>
        <v/>
      </c>
    </row>
    <row r="474" spans="1:9" x14ac:dyDescent="0.25">
      <c r="A474" s="4" t="str">
        <f>Registered!B1139</f>
        <v>Holmes</v>
      </c>
      <c r="B474" s="4" t="str">
        <f>Registered!A1139</f>
        <v>Kelsy</v>
      </c>
      <c r="C474" s="4" t="str">
        <f>IF(Registered!AR1139&gt;0,Registered!AR1139&amp;" Color Bags", "")</f>
        <v>10 Color Bags</v>
      </c>
      <c r="D474" s="4" t="str">
        <f>IF(Registered!AS1139&gt;0,(IF(Registered!AS1139=1,Registered!AS1139&amp;" T-Shirt",Registered!AS1139&amp;" T-Shirts")), "")</f>
        <v/>
      </c>
      <c r="E474" s="4" t="str">
        <f>Registered!AT1139</f>
        <v/>
      </c>
      <c r="F474" s="4" t="str">
        <f>Registered!AU1139</f>
        <v/>
      </c>
      <c r="G474" s="4" t="str">
        <f>Registered!AW1139</f>
        <v/>
      </c>
      <c r="H474" s="4" t="str">
        <f>Registered!AX1139</f>
        <v/>
      </c>
      <c r="I474" s="4" t="str">
        <f>Registered!AY1139</f>
        <v/>
      </c>
    </row>
    <row r="475" spans="1:9" x14ac:dyDescent="0.25">
      <c r="A475" s="4" t="str">
        <f>Registered!B1141</f>
        <v>Holt</v>
      </c>
      <c r="B475" s="4" t="str">
        <f>Registered!A1141</f>
        <v>Gina</v>
      </c>
      <c r="C475" s="4" t="str">
        <f>IF(Registered!AR1141&gt;0,Registered!AR1141&amp;" Color Bags", "")</f>
        <v>20 Color Bags</v>
      </c>
      <c r="D475" s="4" t="str">
        <f>IF(Registered!AS1141&gt;0,(IF(Registered!AS1141=1,Registered!AS1141&amp;" T-Shirt",Registered!AS1141&amp;" T-Shirts")), "")</f>
        <v>4 T-Shirts</v>
      </c>
      <c r="E475" s="4" t="str">
        <f>Registered!AT1141</f>
        <v>Adult Small and Adult Large</v>
      </c>
      <c r="F475" s="4" t="str">
        <f>Registered!AU1141</f>
        <v>2 Bandanas</v>
      </c>
      <c r="G475" s="4" t="str">
        <f>Registered!AW1141</f>
        <v>2 Meals</v>
      </c>
      <c r="H475" s="4" t="str">
        <f>Registered!AX1141</f>
        <v/>
      </c>
      <c r="I475" s="4" t="str">
        <f>Registered!AY1141</f>
        <v/>
      </c>
    </row>
    <row r="476" spans="1:9" x14ac:dyDescent="0.25">
      <c r="A476" s="4" t="str">
        <f>Registered!B1142</f>
        <v>Holyoak</v>
      </c>
      <c r="B476" s="4" t="str">
        <f>Registered!A1142</f>
        <v>Mike</v>
      </c>
      <c r="C476" s="4" t="str">
        <f>IF(Registered!AR1142&gt;0,Registered!AR1142&amp;" Color Bags", "")</f>
        <v>10 Color Bags</v>
      </c>
      <c r="D476" s="4" t="str">
        <f>IF(Registered!AS1142&gt;0,(IF(Registered!AS1142=1,Registered!AS1142&amp;" T-Shirt",Registered!AS1142&amp;" T-Shirts")), "")</f>
        <v>2 T-Shirts</v>
      </c>
      <c r="E476" s="4" t="str">
        <f>Registered!AT1142</f>
        <v>XL and L</v>
      </c>
      <c r="F476" s="4" t="str">
        <f>Registered!AU1142</f>
        <v/>
      </c>
      <c r="G476" s="4" t="str">
        <f>Registered!AW1142</f>
        <v>2 Meals</v>
      </c>
      <c r="H476" s="4" t="str">
        <f>Registered!AX1142</f>
        <v/>
      </c>
      <c r="I476" s="4" t="str">
        <f>Registered!AY1142</f>
        <v/>
      </c>
    </row>
    <row r="477" spans="1:9" x14ac:dyDescent="0.25">
      <c r="A477" s="4" t="str">
        <f>Registered!B1144</f>
        <v>Hone</v>
      </c>
      <c r="B477" s="4" t="str">
        <f>Registered!A1144</f>
        <v>Michael</v>
      </c>
      <c r="C477" s="4" t="str">
        <f>IF(Registered!AR1144&gt;0,Registered!AR1144&amp;" Color Bags", "")</f>
        <v>15 Color Bags</v>
      </c>
      <c r="D477" s="4" t="str">
        <f>IF(Registered!AS1144&gt;0,(IF(Registered!AS1144=1,Registered!AS1144&amp;" T-Shirt",Registered!AS1144&amp;" T-Shirts")), "")</f>
        <v/>
      </c>
      <c r="E477" s="4" t="str">
        <f>Registered!AT1144</f>
        <v/>
      </c>
      <c r="F477" s="4" t="str">
        <f>Registered!AU1144</f>
        <v/>
      </c>
      <c r="G477" s="4" t="str">
        <f>Registered!AW1144</f>
        <v/>
      </c>
      <c r="H477" s="4" t="str">
        <f>Registered!AX1144</f>
        <v/>
      </c>
      <c r="I477" s="4" t="str">
        <f>Registered!AY1144</f>
        <v/>
      </c>
    </row>
    <row r="478" spans="1:9" x14ac:dyDescent="0.25">
      <c r="A478" s="4" t="str">
        <f>Registered!B1145</f>
        <v>Honey</v>
      </c>
      <c r="B478" s="4" t="str">
        <f>Registered!A1145</f>
        <v>Brenda</v>
      </c>
      <c r="C478" s="4" t="str">
        <f>IF(Registered!AR1145&gt;0,Registered!AR1145&amp;" Color Bags", "")</f>
        <v>10 Color Bags</v>
      </c>
      <c r="D478" s="4" t="str">
        <f>IF(Registered!AS1145&gt;0,(IF(Registered!AS1145=1,Registered!AS1145&amp;" T-Shirt",Registered!AS1145&amp;" T-Shirts")), "")</f>
        <v/>
      </c>
      <c r="E478" s="4" t="str">
        <f>Registered!AT1145</f>
        <v/>
      </c>
      <c r="F478" s="4" t="str">
        <f>Registered!AU1145</f>
        <v/>
      </c>
      <c r="G478" s="4" t="str">
        <f>Registered!AW1145</f>
        <v/>
      </c>
      <c r="H478" s="4" t="str">
        <f>Registered!AX1145</f>
        <v/>
      </c>
      <c r="I478" s="4" t="str">
        <f>Registered!AY1145</f>
        <v/>
      </c>
    </row>
    <row r="479" spans="1:9" x14ac:dyDescent="0.25">
      <c r="A479" s="4" t="str">
        <f>Registered!B1149</f>
        <v>Hooten</v>
      </c>
      <c r="B479" s="4" t="str">
        <f>Registered!A1149</f>
        <v>Kristina</v>
      </c>
      <c r="C479" s="4" t="str">
        <f>IF(Registered!AR1149&gt;0,Registered!AR1149&amp;" Color Bags", "")</f>
        <v>10 Color Bags</v>
      </c>
      <c r="D479" s="4" t="str">
        <f>IF(Registered!AS1149&gt;0,(IF(Registered!AS1149=1,Registered!AS1149&amp;" T-Shirt",Registered!AS1149&amp;" T-Shirts")), "")</f>
        <v/>
      </c>
      <c r="E479" s="4" t="str">
        <f>Registered!AT1149</f>
        <v/>
      </c>
      <c r="F479" s="4" t="str">
        <f>Registered!AU1149</f>
        <v/>
      </c>
      <c r="G479" s="4" t="str">
        <f>Registered!AW1149</f>
        <v>4 Meals</v>
      </c>
      <c r="H479" s="4" t="str">
        <f>Registered!AX1149</f>
        <v/>
      </c>
      <c r="I479" s="4" t="str">
        <f>Registered!AY1149</f>
        <v/>
      </c>
    </row>
    <row r="480" spans="1:9" x14ac:dyDescent="0.25">
      <c r="A480" s="4" t="str">
        <f>Registered!B1155</f>
        <v>Hopkins</v>
      </c>
      <c r="B480" s="4" t="str">
        <f>Registered!A1155</f>
        <v>Neva</v>
      </c>
      <c r="C480" s="4" t="str">
        <f>IF(Registered!AR1155&gt;0,Registered!AR1155&amp;" Color Bags", "")</f>
        <v>10 Color Bags</v>
      </c>
      <c r="D480" s="4" t="str">
        <f>IF(Registered!AS1155&gt;0,(IF(Registered!AS1155=1,Registered!AS1155&amp;" T-Shirt",Registered!AS1155&amp;" T-Shirts")), "")</f>
        <v/>
      </c>
      <c r="E480" s="4" t="str">
        <f>Registered!AT1155</f>
        <v/>
      </c>
      <c r="F480" s="4" t="str">
        <f>Registered!AU1155</f>
        <v/>
      </c>
      <c r="G480" s="4" t="str">
        <f>Registered!AW1155</f>
        <v/>
      </c>
      <c r="H480" s="4" t="str">
        <f>Registered!AX1155</f>
        <v/>
      </c>
      <c r="I480" s="4" t="str">
        <f>Registered!AY1155</f>
        <v/>
      </c>
    </row>
    <row r="481" spans="1:9" x14ac:dyDescent="0.25">
      <c r="A481" s="4" t="str">
        <f>Registered!B1152</f>
        <v>Hopkins</v>
      </c>
      <c r="B481" s="4" t="str">
        <f>Registered!A1152</f>
        <v>Candice</v>
      </c>
      <c r="C481" s="4" t="str">
        <f>IF(Registered!AR1152&gt;0,Registered!AR1152&amp;" Color Bags", "")</f>
        <v>15 Color Bags</v>
      </c>
      <c r="D481" s="4" t="str">
        <f>IF(Registered!AS1152&gt;0,(IF(Registered!AS1152=1,Registered!AS1152&amp;" T-Shirt",Registered!AS1152&amp;" T-Shirts")), "")</f>
        <v/>
      </c>
      <c r="E481" s="4" t="str">
        <f>Registered!AT1152</f>
        <v/>
      </c>
      <c r="F481" s="4" t="str">
        <f>Registered!AU1152</f>
        <v/>
      </c>
      <c r="G481" s="4" t="str">
        <f>Registered!AW1152</f>
        <v/>
      </c>
      <c r="H481" s="4" t="str">
        <f>Registered!AX1152</f>
        <v/>
      </c>
      <c r="I481" s="4" t="str">
        <f>Registered!AY1152</f>
        <v/>
      </c>
    </row>
    <row r="482" spans="1:9" x14ac:dyDescent="0.25">
      <c r="A482" s="4" t="str">
        <f>Registered!B1160</f>
        <v>Horton</v>
      </c>
      <c r="B482" s="4" t="str">
        <f>Registered!A1160</f>
        <v>Austin</v>
      </c>
      <c r="C482" s="4" t="str">
        <f>IF(Registered!AR1160&gt;0,Registered!AR1160&amp;" Color Bags", "")</f>
        <v>25 Color Bags</v>
      </c>
      <c r="D482" s="4" t="str">
        <f>IF(Registered!AS1160&gt;0,(IF(Registered!AS1160=1,Registered!AS1160&amp;" T-Shirt",Registered!AS1160&amp;" T-Shirts")), "")</f>
        <v/>
      </c>
      <c r="E482" s="4" t="str">
        <f>Registered!AT1160</f>
        <v/>
      </c>
      <c r="F482" s="4" t="str">
        <f>Registered!AU1160</f>
        <v/>
      </c>
      <c r="G482" s="4" t="str">
        <f>Registered!AW1160</f>
        <v/>
      </c>
      <c r="H482" s="4" t="str">
        <f>Registered!AX1160</f>
        <v/>
      </c>
      <c r="I482" s="4" t="str">
        <f>Registered!AY1160</f>
        <v/>
      </c>
    </row>
    <row r="483" spans="1:9" x14ac:dyDescent="0.25">
      <c r="A483" s="4" t="str">
        <f>Registered!B1159</f>
        <v>Horton</v>
      </c>
      <c r="B483" s="4" t="str">
        <f>Registered!A1159</f>
        <v>Anadine</v>
      </c>
      <c r="C483" s="4" t="str">
        <f>IF(Registered!AR1159&gt;0,Registered!AR1159&amp;" Color Bags", "")</f>
        <v>5 Color Bags</v>
      </c>
      <c r="D483" s="4" t="str">
        <f>IF(Registered!AS1159&gt;0,(IF(Registered!AS1159=1,Registered!AS1159&amp;" T-Shirt",Registered!AS1159&amp;" T-Shirts")), "")</f>
        <v/>
      </c>
      <c r="E483" s="4" t="str">
        <f>Registered!AT1159</f>
        <v/>
      </c>
      <c r="F483" s="4" t="str">
        <f>Registered!AU1159</f>
        <v/>
      </c>
      <c r="G483" s="4" t="str">
        <f>Registered!AW1159</f>
        <v>4 Meals</v>
      </c>
      <c r="H483" s="4" t="str">
        <f>Registered!AX1159</f>
        <v/>
      </c>
      <c r="I483" s="4" t="str">
        <f>Registered!AY1159</f>
        <v/>
      </c>
    </row>
    <row r="484" spans="1:9" x14ac:dyDescent="0.25">
      <c r="A484" s="4" t="str">
        <f>Registered!B1165</f>
        <v>Hovanec</v>
      </c>
      <c r="B484" s="4" t="str">
        <f>Registered!A1165</f>
        <v>Matthew</v>
      </c>
      <c r="C484" s="4" t="str">
        <f>IF(Registered!AR1165&gt;0,Registered!AR1165&amp;" Color Bags", "")</f>
        <v>10 Color Bags</v>
      </c>
      <c r="D484" s="4" t="str">
        <f>IF(Registered!AS1165&gt;0,(IF(Registered!AS1165=1,Registered!AS1165&amp;" T-Shirt",Registered!AS1165&amp;" T-Shirts")), "")</f>
        <v/>
      </c>
      <c r="E484" s="4" t="str">
        <f>Registered!AT1165</f>
        <v/>
      </c>
      <c r="F484" s="4" t="str">
        <f>Registered!AU1165</f>
        <v/>
      </c>
      <c r="G484" s="4" t="str">
        <f>Registered!AW1165</f>
        <v/>
      </c>
      <c r="H484" s="4" t="str">
        <f>Registered!AX1165</f>
        <v/>
      </c>
      <c r="I484" s="4" t="str">
        <f>Registered!AY1165</f>
        <v/>
      </c>
    </row>
    <row r="485" spans="1:9" x14ac:dyDescent="0.25">
      <c r="A485" s="4" t="str">
        <f>Registered!B1168</f>
        <v>Howard</v>
      </c>
      <c r="B485" s="4" t="str">
        <f>Registered!A1168</f>
        <v>Sara</v>
      </c>
      <c r="C485" s="4" t="str">
        <f>IF(Registered!AR1168&gt;0,Registered!AR1168&amp;" Color Bags", "")</f>
        <v>10 Color Bags</v>
      </c>
      <c r="D485" s="4" t="str">
        <f>IF(Registered!AS1168&gt;0,(IF(Registered!AS1168=1,Registered!AS1168&amp;" T-Shirt",Registered!AS1168&amp;" T-Shirts")), "")</f>
        <v/>
      </c>
      <c r="E485" s="4" t="str">
        <f>Registered!AT1168</f>
        <v/>
      </c>
      <c r="F485" s="4" t="str">
        <f>Registered!AU1168</f>
        <v/>
      </c>
      <c r="G485" s="4" t="str">
        <f>Registered!AW1168</f>
        <v>2 Meals</v>
      </c>
      <c r="H485" s="4" t="str">
        <f>Registered!AX1168</f>
        <v/>
      </c>
      <c r="I485" s="4" t="str">
        <f>Registered!AY1168</f>
        <v/>
      </c>
    </row>
    <row r="486" spans="1:9" x14ac:dyDescent="0.25">
      <c r="A486" s="4" t="str">
        <f>Registered!B1169</f>
        <v>Howe</v>
      </c>
      <c r="B486" s="4" t="str">
        <f>Registered!A1169</f>
        <v>Britni</v>
      </c>
      <c r="C486" s="4" t="str">
        <f>IF(Registered!AR1169&gt;0,Registered!AR1169&amp;" Color Bags", "")</f>
        <v>10 Color Bags</v>
      </c>
      <c r="D486" s="4" t="str">
        <f>IF(Registered!AS1169&gt;0,(IF(Registered!AS1169=1,Registered!AS1169&amp;" T-Shirt",Registered!AS1169&amp;" T-Shirts")), "")</f>
        <v/>
      </c>
      <c r="E486" s="4" t="str">
        <f>Registered!AT1169</f>
        <v/>
      </c>
      <c r="F486" s="4" t="str">
        <f>Registered!AU1169</f>
        <v/>
      </c>
      <c r="G486" s="4" t="str">
        <f>Registered!AW1169</f>
        <v/>
      </c>
      <c r="H486" s="4" t="str">
        <f>Registered!AX1169</f>
        <v/>
      </c>
      <c r="I486" s="4" t="str">
        <f>Registered!AY1169</f>
        <v/>
      </c>
    </row>
    <row r="487" spans="1:9" x14ac:dyDescent="0.25">
      <c r="A487" s="4" t="str">
        <f>Registered!B1171</f>
        <v>Howells</v>
      </c>
      <c r="B487" s="4" t="str">
        <f>Registered!A1171</f>
        <v>Mary</v>
      </c>
      <c r="C487" s="4" t="str">
        <f>IF(Registered!AR1171&gt;0,Registered!AR1171&amp;" Color Bags", "")</f>
        <v>5 Color Bags</v>
      </c>
      <c r="D487" s="4" t="str">
        <f>IF(Registered!AS1171&gt;0,(IF(Registered!AS1171=1,Registered!AS1171&amp;" T-Shirt",Registered!AS1171&amp;" T-Shirts")), "")</f>
        <v/>
      </c>
      <c r="E487" s="4" t="str">
        <f>Registered!AT1171</f>
        <v/>
      </c>
      <c r="F487" s="4" t="str">
        <f>Registered!AU1171</f>
        <v/>
      </c>
      <c r="G487" s="4" t="str">
        <f>Registered!AW1171</f>
        <v/>
      </c>
      <c r="H487" s="4" t="str">
        <f>Registered!AX1171</f>
        <v/>
      </c>
      <c r="I487" s="4" t="str">
        <f>Registered!AY1171</f>
        <v/>
      </c>
    </row>
    <row r="488" spans="1:9" x14ac:dyDescent="0.25">
      <c r="A488" s="4" t="str">
        <f>Registered!B1175</f>
        <v>Huang</v>
      </c>
      <c r="B488" s="4" t="str">
        <f>Registered!A1175</f>
        <v>Eddie</v>
      </c>
      <c r="C488" s="4" t="str">
        <f>IF(Registered!AR1175&gt;0,Registered!AR1175&amp;" Color Bags", "")</f>
        <v>20 Color Bags</v>
      </c>
      <c r="D488" s="4" t="str">
        <f>IF(Registered!AS1175&gt;0,(IF(Registered!AS1175=1,Registered!AS1175&amp;" T-Shirt",Registered!AS1175&amp;" T-Shirts")), "")</f>
        <v/>
      </c>
      <c r="E488" s="4" t="str">
        <f>Registered!AT1175</f>
        <v/>
      </c>
      <c r="F488" s="4" t="str">
        <f>Registered!AU1175</f>
        <v>2 Bandanas</v>
      </c>
      <c r="G488" s="4" t="str">
        <f>Registered!AW1175</f>
        <v>2 Meals</v>
      </c>
      <c r="H488" s="4" t="str">
        <f>Registered!AX1175</f>
        <v/>
      </c>
      <c r="I488" s="4" t="str">
        <f>Registered!AY1175</f>
        <v/>
      </c>
    </row>
    <row r="489" spans="1:9" x14ac:dyDescent="0.25">
      <c r="A489" s="4" t="str">
        <f>Registered!B1177</f>
        <v>Hudak</v>
      </c>
      <c r="B489" s="4" t="str">
        <f>Registered!A1177</f>
        <v>Rob</v>
      </c>
      <c r="C489" s="4" t="str">
        <f>IF(Registered!AR1177&gt;0,Registered!AR1177&amp;" Color Bags", "")</f>
        <v>5 Color Bags</v>
      </c>
      <c r="D489" s="4" t="str">
        <f>IF(Registered!AS1177&gt;0,(IF(Registered!AS1177=1,Registered!AS1177&amp;" T-Shirt",Registered!AS1177&amp;" T-Shirts")), "")</f>
        <v/>
      </c>
      <c r="E489" s="4" t="str">
        <f>Registered!AT1177</f>
        <v/>
      </c>
      <c r="F489" s="4" t="str">
        <f>Registered!AU1177</f>
        <v/>
      </c>
      <c r="G489" s="4" t="str">
        <f>Registered!AW1177</f>
        <v>1 Meal</v>
      </c>
      <c r="H489" s="4" t="str">
        <f>Registered!AX1177</f>
        <v/>
      </c>
      <c r="I489" s="4" t="str">
        <f>Registered!AY1177</f>
        <v/>
      </c>
    </row>
    <row r="490" spans="1:9" x14ac:dyDescent="0.25">
      <c r="A490" s="4" t="str">
        <f>Registered!B1178</f>
        <v>Huddleston</v>
      </c>
      <c r="B490" s="4" t="str">
        <f>Registered!A1178</f>
        <v>Tauni</v>
      </c>
      <c r="C490" s="4" t="str">
        <f>IF(Registered!AR1178&gt;0,Registered!AR1178&amp;" Color Bags", "")</f>
        <v>10 Color Bags</v>
      </c>
      <c r="D490" s="4" t="str">
        <f>IF(Registered!AS1178&gt;0,(IF(Registered!AS1178=1,Registered!AS1178&amp;" T-Shirt",Registered!AS1178&amp;" T-Shirts")), "")</f>
        <v/>
      </c>
      <c r="E490" s="4" t="str">
        <f>Registered!AT1178</f>
        <v/>
      </c>
      <c r="F490" s="4" t="str">
        <f>Registered!AU1178</f>
        <v/>
      </c>
      <c r="G490" s="4" t="str">
        <f>Registered!AW1178</f>
        <v/>
      </c>
      <c r="H490" s="4" t="str">
        <f>Registered!AX1178</f>
        <v/>
      </c>
      <c r="I490" s="4" t="str">
        <f>Registered!AY1178</f>
        <v/>
      </c>
    </row>
    <row r="491" spans="1:9" x14ac:dyDescent="0.25">
      <c r="A491" s="4" t="str">
        <f>Registered!B1181</f>
        <v>Hugentobler</v>
      </c>
      <c r="B491" s="4" t="str">
        <f>Registered!A1181</f>
        <v>Sara</v>
      </c>
      <c r="C491" s="4" t="str">
        <f>IF(Registered!AR1181&gt;0,Registered!AR1181&amp;" Color Bags", "")</f>
        <v>5 Color Bags</v>
      </c>
      <c r="D491" s="4" t="str">
        <f>IF(Registered!AS1181&gt;0,(IF(Registered!AS1181=1,Registered!AS1181&amp;" T-Shirt",Registered!AS1181&amp;" T-Shirts")), "")</f>
        <v/>
      </c>
      <c r="E491" s="4" t="str">
        <f>Registered!AT1181</f>
        <v/>
      </c>
      <c r="F491" s="4" t="str">
        <f>Registered!AU1181</f>
        <v/>
      </c>
      <c r="G491" s="4" t="str">
        <f>Registered!AW1181</f>
        <v>2 Meals</v>
      </c>
      <c r="H491" s="4" t="str">
        <f>Registered!AX1181</f>
        <v/>
      </c>
      <c r="I491" s="4" t="str">
        <f>Registered!AY1181</f>
        <v/>
      </c>
    </row>
    <row r="492" spans="1:9" x14ac:dyDescent="0.25">
      <c r="A492" s="4" t="str">
        <f>Registered!B1186</f>
        <v>Hunsaker</v>
      </c>
      <c r="B492" s="4" t="str">
        <f>Registered!A1186</f>
        <v>Aleena</v>
      </c>
      <c r="C492" s="4" t="str">
        <f>IF(Registered!AR1186&gt;0,Registered!AR1186&amp;" Color Bags", "")</f>
        <v>10 Color Bags</v>
      </c>
      <c r="D492" s="4" t="str">
        <f>IF(Registered!AS1186&gt;0,(IF(Registered!AS1186=1,Registered!AS1186&amp;" T-Shirt",Registered!AS1186&amp;" T-Shirts")), "")</f>
        <v/>
      </c>
      <c r="E492" s="4" t="str">
        <f>Registered!AT1186</f>
        <v/>
      </c>
      <c r="F492" s="4" t="str">
        <f>Registered!AU1186</f>
        <v/>
      </c>
      <c r="G492" s="4" t="str">
        <f>Registered!AW1186</f>
        <v/>
      </c>
      <c r="H492" s="4" t="str">
        <f>Registered!AX1186</f>
        <v/>
      </c>
      <c r="I492" s="4" t="str">
        <f>Registered!AY1186</f>
        <v/>
      </c>
    </row>
    <row r="493" spans="1:9" x14ac:dyDescent="0.25">
      <c r="A493" s="4" t="str">
        <f>Registered!B1190</f>
        <v>Hunt</v>
      </c>
      <c r="B493" s="4" t="str">
        <f>Registered!A1190</f>
        <v>Mercedes</v>
      </c>
      <c r="C493" s="4" t="str">
        <f>IF(Registered!AR1190&gt;0,Registered!AR1190&amp;" Color Bags", "")</f>
        <v>15 Color Bags</v>
      </c>
      <c r="D493" s="4" t="str">
        <f>IF(Registered!AS1190&gt;0,(IF(Registered!AS1190=1,Registered!AS1190&amp;" T-Shirt",Registered!AS1190&amp;" T-Shirts")), "")</f>
        <v/>
      </c>
      <c r="E493" s="4" t="str">
        <f>Registered!AT1190</f>
        <v/>
      </c>
      <c r="F493" s="4" t="str">
        <f>Registered!AU1190</f>
        <v/>
      </c>
      <c r="G493" s="4" t="str">
        <f>Registered!AW1190</f>
        <v/>
      </c>
      <c r="H493" s="4" t="str">
        <f>Registered!AX1190</f>
        <v/>
      </c>
      <c r="I493" s="4" t="str">
        <f>Registered!AY1190</f>
        <v/>
      </c>
    </row>
    <row r="494" spans="1:9" x14ac:dyDescent="0.25">
      <c r="A494" s="4" t="str">
        <f>Registered!B1189</f>
        <v>Hunt</v>
      </c>
      <c r="B494" s="4" t="str">
        <f>Registered!A1189</f>
        <v>Jessica</v>
      </c>
      <c r="C494" s="4" t="str">
        <f>IF(Registered!AR1189&gt;0,Registered!AR1189&amp;" Color Bags", "")</f>
        <v>30 Color Bags</v>
      </c>
      <c r="D494" s="4" t="str">
        <f>IF(Registered!AS1189&gt;0,(IF(Registered!AS1189=1,Registered!AS1189&amp;" T-Shirt",Registered!AS1189&amp;" T-Shirts")), "")</f>
        <v/>
      </c>
      <c r="E494" s="4" t="str">
        <f>Registered!AT1189</f>
        <v/>
      </c>
      <c r="F494" s="4" t="str">
        <f>Registered!AU1189</f>
        <v/>
      </c>
      <c r="G494" s="4" t="str">
        <f>Registered!AW1189</f>
        <v/>
      </c>
      <c r="H494" s="4" t="str">
        <f>Registered!AX1189</f>
        <v/>
      </c>
      <c r="I494" s="4" t="str">
        <f>Registered!AY1189</f>
        <v/>
      </c>
    </row>
    <row r="495" spans="1:9" x14ac:dyDescent="0.25">
      <c r="A495" s="4" t="str">
        <f>Registered!B1193</f>
        <v>Hunter</v>
      </c>
      <c r="B495" s="4" t="str">
        <f>Registered!A1193</f>
        <v>Nina</v>
      </c>
      <c r="C495" s="4" t="str">
        <f>IF(Registered!AR1193&gt;0,Registered!AR1193&amp;" Color Bags", "")</f>
        <v>5 Color Bags</v>
      </c>
      <c r="D495" s="4" t="str">
        <f>IF(Registered!AS1193&gt;0,(IF(Registered!AS1193=1,Registered!AS1193&amp;" T-Shirt",Registered!AS1193&amp;" T-Shirts")), "")</f>
        <v/>
      </c>
      <c r="E495" s="4" t="str">
        <f>Registered!AT1193</f>
        <v/>
      </c>
      <c r="F495" s="4" t="str">
        <f>Registered!AU1193</f>
        <v/>
      </c>
      <c r="G495" s="4" t="str">
        <f>Registered!AW1193</f>
        <v/>
      </c>
      <c r="H495" s="4" t="str">
        <f>Registered!AX1193</f>
        <v/>
      </c>
      <c r="I495" s="4" t="str">
        <f>Registered!AY1193</f>
        <v/>
      </c>
    </row>
    <row r="496" spans="1:9" x14ac:dyDescent="0.25">
      <c r="A496" s="4" t="str">
        <f>Registered!B1194</f>
        <v>Huppi</v>
      </c>
      <c r="B496" s="4" t="str">
        <f>Registered!A1194</f>
        <v>Becca</v>
      </c>
      <c r="C496" s="4" t="str">
        <f>IF(Registered!AR1194&gt;0,Registered!AR1194&amp;" Color Bags", "")</f>
        <v>5 Color Bags</v>
      </c>
      <c r="D496" s="4" t="str">
        <f>IF(Registered!AS1194&gt;0,(IF(Registered!AS1194=1,Registered!AS1194&amp;" T-Shirt",Registered!AS1194&amp;" T-Shirts")), "")</f>
        <v/>
      </c>
      <c r="E496" s="4" t="str">
        <f>Registered!AT1194</f>
        <v/>
      </c>
      <c r="F496" s="4" t="str">
        <f>Registered!AU1194</f>
        <v/>
      </c>
      <c r="G496" s="4" t="str">
        <f>Registered!AW1194</f>
        <v/>
      </c>
      <c r="H496" s="4" t="str">
        <f>Registered!AX1194</f>
        <v/>
      </c>
      <c r="I496" s="4" t="str">
        <f>Registered!AY1194</f>
        <v/>
      </c>
    </row>
    <row r="497" spans="1:9" x14ac:dyDescent="0.25">
      <c r="A497" s="4" t="str">
        <f>Registered!B1198</f>
        <v>Hurty</v>
      </c>
      <c r="B497" s="4" t="str">
        <f>Registered!A1198</f>
        <v>Tim</v>
      </c>
      <c r="C497" s="4" t="str">
        <f>IF(Registered!AR1198&gt;0,Registered!AR1198&amp;" Color Bags", "")</f>
        <v>10 Color Bags</v>
      </c>
      <c r="D497" s="4" t="str">
        <f>IF(Registered!AS1198&gt;0,(IF(Registered!AS1198=1,Registered!AS1198&amp;" T-Shirt",Registered!AS1198&amp;" T-Shirts")), "")</f>
        <v/>
      </c>
      <c r="E497" s="4" t="str">
        <f>Registered!AT1198</f>
        <v/>
      </c>
      <c r="F497" s="4" t="str">
        <f>Registered!AU1198</f>
        <v/>
      </c>
      <c r="G497" s="4" t="str">
        <f>Registered!AW1198</f>
        <v/>
      </c>
      <c r="H497" s="4" t="str">
        <f>Registered!AX1198</f>
        <v/>
      </c>
      <c r="I497" s="4" t="str">
        <f>Registered!AY1198</f>
        <v/>
      </c>
    </row>
    <row r="498" spans="1:9" x14ac:dyDescent="0.25">
      <c r="A498" s="4" t="str">
        <f>Registered!B1202</f>
        <v>Hutchinson</v>
      </c>
      <c r="B498" s="4" t="str">
        <f>Registered!A1202</f>
        <v>Virginia</v>
      </c>
      <c r="C498" s="4" t="str">
        <f>IF(Registered!AR1202&gt;0,Registered!AR1202&amp;" Color Bags", "")</f>
        <v>15 Color Bags</v>
      </c>
      <c r="D498" s="4" t="str">
        <f>IF(Registered!AS1202&gt;0,(IF(Registered!AS1202=1,Registered!AS1202&amp;" T-Shirt",Registered!AS1202&amp;" T-Shirts")), "")</f>
        <v/>
      </c>
      <c r="E498" s="4" t="str">
        <f>Registered!AT1202</f>
        <v/>
      </c>
      <c r="F498" s="4" t="str">
        <f>Registered!AU1202</f>
        <v/>
      </c>
      <c r="G498" s="4" t="str">
        <f>Registered!AW1202</f>
        <v/>
      </c>
      <c r="H498" s="4" t="str">
        <f>Registered!AX1202</f>
        <v/>
      </c>
      <c r="I498" s="4" t="str">
        <f>Registered!AY1202</f>
        <v/>
      </c>
    </row>
    <row r="499" spans="1:9" x14ac:dyDescent="0.25">
      <c r="A499" s="4" t="str">
        <f>Registered!B1205</f>
        <v>Hyte</v>
      </c>
      <c r="B499" s="4" t="str">
        <f>Registered!A1205</f>
        <v>Heidi</v>
      </c>
      <c r="C499" s="4" t="str">
        <f>IF(Registered!AR1205&gt;0,Registered!AR1205&amp;" Color Bags", "")</f>
        <v>10 Color Bags</v>
      </c>
      <c r="D499" s="4" t="str">
        <f>IF(Registered!AS1205&gt;0,(IF(Registered!AS1205=1,Registered!AS1205&amp;" T-Shirt",Registered!AS1205&amp;" T-Shirts")), "")</f>
        <v/>
      </c>
      <c r="E499" s="4" t="str">
        <f>Registered!AT1205</f>
        <v/>
      </c>
      <c r="F499" s="4" t="str">
        <f>Registered!AU1205</f>
        <v/>
      </c>
      <c r="G499" s="4" t="str">
        <f>Registered!AW1205</f>
        <v/>
      </c>
      <c r="H499" s="4" t="str">
        <f>Registered!AX1205</f>
        <v/>
      </c>
      <c r="I499" s="4" t="str">
        <f>Registered!AY1205</f>
        <v>1 DustMask</v>
      </c>
    </row>
    <row r="500" spans="1:9" x14ac:dyDescent="0.25">
      <c r="A500" s="4" t="str">
        <f>Registered!B1206</f>
        <v>Ingoglia</v>
      </c>
      <c r="B500" s="4" t="str">
        <f>Registered!A1206</f>
        <v>Joseph</v>
      </c>
      <c r="C500" s="4" t="str">
        <f>IF(Registered!AR1206&gt;0,Registered!AR1206&amp;" Color Bags", "")</f>
        <v>5 Color Bags</v>
      </c>
      <c r="D500" s="4" t="str">
        <f>IF(Registered!AS1206&gt;0,(IF(Registered!AS1206=1,Registered!AS1206&amp;" T-Shirt",Registered!AS1206&amp;" T-Shirts")), "")</f>
        <v/>
      </c>
      <c r="E500" s="4" t="str">
        <f>Registered!AT1206</f>
        <v/>
      </c>
      <c r="F500" s="4" t="str">
        <f>Registered!AU1206</f>
        <v/>
      </c>
      <c r="G500" s="4" t="str">
        <f>Registered!AW1206</f>
        <v/>
      </c>
      <c r="H500" s="4" t="str">
        <f>Registered!AX1206</f>
        <v/>
      </c>
      <c r="I500" s="4" t="str">
        <f>Registered!AY1206</f>
        <v/>
      </c>
    </row>
    <row r="501" spans="1:9" x14ac:dyDescent="0.25">
      <c r="A501" s="4" t="str">
        <f>Registered!B1207</f>
        <v>Ipson</v>
      </c>
      <c r="B501" s="4" t="str">
        <f>Registered!A1207</f>
        <v>Hailee</v>
      </c>
      <c r="C501" s="4" t="str">
        <f>IF(Registered!AR1207&gt;0,Registered!AR1207&amp;" Color Bags", "")</f>
        <v>5 Color Bags</v>
      </c>
      <c r="D501" s="4" t="str">
        <f>IF(Registered!AS1207&gt;0,(IF(Registered!AS1207=1,Registered!AS1207&amp;" T-Shirt",Registered!AS1207&amp;" T-Shirts")), "")</f>
        <v/>
      </c>
      <c r="E501" s="4" t="str">
        <f>Registered!AT1207</f>
        <v/>
      </c>
      <c r="F501" s="4" t="str">
        <f>Registered!AU1207</f>
        <v/>
      </c>
      <c r="G501" s="4" t="str">
        <f>Registered!AW1207</f>
        <v/>
      </c>
      <c r="H501" s="4" t="str">
        <f>Registered!AX1207</f>
        <v/>
      </c>
      <c r="I501" s="4" t="str">
        <f>Registered!AY1207</f>
        <v/>
      </c>
    </row>
    <row r="502" spans="1:9" x14ac:dyDescent="0.25">
      <c r="A502" s="4" t="str">
        <f>Registered!B1210</f>
        <v>Ithurralde</v>
      </c>
      <c r="B502" s="4" t="str">
        <f>Registered!A1210</f>
        <v>Anthony</v>
      </c>
      <c r="C502" s="4" t="str">
        <f>IF(Registered!AR1210&gt;0,Registered!AR1210&amp;" Color Bags", "")</f>
        <v>5 Color Bags</v>
      </c>
      <c r="D502" s="4" t="str">
        <f>IF(Registered!AS1210&gt;0,(IF(Registered!AS1210=1,Registered!AS1210&amp;" T-Shirt",Registered!AS1210&amp;" T-Shirts")), "")</f>
        <v/>
      </c>
      <c r="E502" s="4" t="str">
        <f>Registered!AT1210</f>
        <v/>
      </c>
      <c r="F502" s="4" t="str">
        <f>Registered!AU1210</f>
        <v/>
      </c>
      <c r="G502" s="4" t="str">
        <f>Registered!AW1210</f>
        <v>1 Meal</v>
      </c>
      <c r="H502" s="4" t="str">
        <f>Registered!AX1210</f>
        <v/>
      </c>
      <c r="I502" s="4" t="str">
        <f>Registered!AY1210</f>
        <v/>
      </c>
    </row>
    <row r="503" spans="1:9" x14ac:dyDescent="0.25">
      <c r="A503" s="4" t="str">
        <f>Registered!B1211</f>
        <v>Ito</v>
      </c>
      <c r="B503" s="4" t="str">
        <f>Registered!A1211</f>
        <v>Hiroki</v>
      </c>
      <c r="C503" s="4" t="str">
        <f>IF(Registered!AR1211&gt;0,Registered!AR1211&amp;" Color Bags", "")</f>
        <v>10 Color Bags</v>
      </c>
      <c r="D503" s="4" t="str">
        <f>IF(Registered!AS1211&gt;0,(IF(Registered!AS1211=1,Registered!AS1211&amp;" T-Shirt",Registered!AS1211&amp;" T-Shirts")), "")</f>
        <v>1 T-Shirt</v>
      </c>
      <c r="E503" s="4" t="str">
        <f>Registered!AT1211</f>
        <v>S</v>
      </c>
      <c r="F503" s="4" t="str">
        <f>Registered!AU1211</f>
        <v/>
      </c>
      <c r="G503" s="4" t="str">
        <f>Registered!AW1211</f>
        <v/>
      </c>
      <c r="H503" s="4" t="str">
        <f>Registered!AX1211</f>
        <v/>
      </c>
      <c r="I503" s="4" t="str">
        <f>Registered!AY1211</f>
        <v/>
      </c>
    </row>
    <row r="504" spans="1:9" x14ac:dyDescent="0.25">
      <c r="A504" s="4" t="str">
        <f>Registered!B1213</f>
        <v>Jackson</v>
      </c>
      <c r="B504" s="4" t="str">
        <f>Registered!A1213</f>
        <v>Scott</v>
      </c>
      <c r="C504" s="4" t="str">
        <f>IF(Registered!AR1213&gt;0,Registered!AR1213&amp;" Color Bags", "")</f>
        <v>10 Color Bags</v>
      </c>
      <c r="D504" s="4" t="str">
        <f>IF(Registered!AS1213&gt;0,(IF(Registered!AS1213=1,Registered!AS1213&amp;" T-Shirt",Registered!AS1213&amp;" T-Shirts")), "")</f>
        <v/>
      </c>
      <c r="E504" s="4" t="str">
        <f>Registered!AT1213</f>
        <v/>
      </c>
      <c r="F504" s="4" t="str">
        <f>Registered!AU1213</f>
        <v/>
      </c>
      <c r="G504" s="4" t="str">
        <f>Registered!AW1213</f>
        <v/>
      </c>
      <c r="H504" s="4" t="str">
        <f>Registered!AX1213</f>
        <v/>
      </c>
      <c r="I504" s="4" t="str">
        <f>Registered!AY1213</f>
        <v/>
      </c>
    </row>
    <row r="505" spans="1:9" x14ac:dyDescent="0.25">
      <c r="A505" s="4" t="str">
        <f>Registered!B1215</f>
        <v>Jacobson</v>
      </c>
      <c r="B505" s="4" t="str">
        <f>Registered!A1215</f>
        <v>Jenna</v>
      </c>
      <c r="C505" s="4" t="str">
        <f>IF(Registered!AR1215&gt;0,Registered!AR1215&amp;" Color Bags", "")</f>
        <v>5 Color Bags</v>
      </c>
      <c r="D505" s="4" t="str">
        <f>IF(Registered!AS1215&gt;0,(IF(Registered!AS1215=1,Registered!AS1215&amp;" T-Shirt",Registered!AS1215&amp;" T-Shirts")), "")</f>
        <v/>
      </c>
      <c r="E505" s="4" t="str">
        <f>Registered!AT1215</f>
        <v/>
      </c>
      <c r="F505" s="4" t="str">
        <f>Registered!AU1215</f>
        <v/>
      </c>
      <c r="G505" s="4" t="str">
        <f>Registered!AW1215</f>
        <v/>
      </c>
      <c r="H505" s="4" t="str">
        <f>Registered!AX1215</f>
        <v/>
      </c>
      <c r="I505" s="4" t="str">
        <f>Registered!AY1215</f>
        <v/>
      </c>
    </row>
    <row r="506" spans="1:9" x14ac:dyDescent="0.25">
      <c r="A506" s="4" t="str">
        <f>Registered!B1217</f>
        <v>Jakobsen</v>
      </c>
      <c r="B506" s="4" t="str">
        <f>Registered!A1217</f>
        <v>Rachel</v>
      </c>
      <c r="C506" s="4" t="str">
        <f>IF(Registered!AR1217&gt;0,Registered!AR1217&amp;" Color Bags", "")</f>
        <v>5 Color Bags</v>
      </c>
      <c r="D506" s="4" t="str">
        <f>IF(Registered!AS1217&gt;0,(IF(Registered!AS1217=1,Registered!AS1217&amp;" T-Shirt",Registered!AS1217&amp;" T-Shirts")), "")</f>
        <v/>
      </c>
      <c r="E506" s="4" t="str">
        <f>Registered!AT1217</f>
        <v/>
      </c>
      <c r="F506" s="4" t="str">
        <f>Registered!AU1217</f>
        <v/>
      </c>
      <c r="G506" s="4" t="str">
        <f>Registered!AW1217</f>
        <v>1 Meal</v>
      </c>
      <c r="H506" s="4" t="str">
        <f>Registered!AX1217</f>
        <v/>
      </c>
      <c r="I506" s="4" t="str">
        <f>Registered!AY1217</f>
        <v/>
      </c>
    </row>
    <row r="507" spans="1:9" x14ac:dyDescent="0.25">
      <c r="A507" s="4" t="str">
        <f>Registered!B1218</f>
        <v>James</v>
      </c>
      <c r="B507" s="4" t="str">
        <f>Registered!A1218</f>
        <v>Logan</v>
      </c>
      <c r="C507" s="4" t="str">
        <f>IF(Registered!AR1218&gt;0,Registered!AR1218&amp;" Color Bags", "")</f>
        <v>15 Color Bags</v>
      </c>
      <c r="D507" s="4" t="str">
        <f>IF(Registered!AS1218&gt;0,(IF(Registered!AS1218=1,Registered!AS1218&amp;" T-Shirt",Registered!AS1218&amp;" T-Shirts")), "")</f>
        <v/>
      </c>
      <c r="E507" s="4" t="str">
        <f>Registered!AT1218</f>
        <v/>
      </c>
      <c r="F507" s="4" t="str">
        <f>Registered!AU1218</f>
        <v/>
      </c>
      <c r="G507" s="4" t="str">
        <f>Registered!AW1218</f>
        <v/>
      </c>
      <c r="H507" s="4" t="str">
        <f>Registered!AX1218</f>
        <v/>
      </c>
      <c r="I507" s="4" t="str">
        <f>Registered!AY1218</f>
        <v/>
      </c>
    </row>
    <row r="508" spans="1:9" x14ac:dyDescent="0.25">
      <c r="A508" s="4" t="str">
        <f>Registered!B1220</f>
        <v>Jefferies</v>
      </c>
      <c r="B508" s="4" t="str">
        <f>Registered!A1220</f>
        <v>Sean</v>
      </c>
      <c r="C508" s="4" t="str">
        <f>IF(Registered!AR1220&gt;0,Registered!AR1220&amp;" Color Bags", "")</f>
        <v>5 Color Bags</v>
      </c>
      <c r="D508" s="4" t="str">
        <f>IF(Registered!AS1220&gt;0,(IF(Registered!AS1220=1,Registered!AS1220&amp;" T-Shirt",Registered!AS1220&amp;" T-Shirts")), "")</f>
        <v/>
      </c>
      <c r="E508" s="4" t="str">
        <f>Registered!AT1220</f>
        <v/>
      </c>
      <c r="F508" s="4" t="str">
        <f>Registered!AU1220</f>
        <v/>
      </c>
      <c r="G508" s="4" t="str">
        <f>Registered!AW1220</f>
        <v/>
      </c>
      <c r="H508" s="4" t="str">
        <f>Registered!AX1220</f>
        <v/>
      </c>
      <c r="I508" s="4" t="str">
        <f>Registered!AY1220</f>
        <v/>
      </c>
    </row>
    <row r="509" spans="1:9" x14ac:dyDescent="0.25">
      <c r="A509" s="4" t="str">
        <f>Registered!B1223</f>
        <v>Jenny</v>
      </c>
      <c r="B509" s="4" t="str">
        <f>Registered!A1223</f>
        <v>Virginia</v>
      </c>
      <c r="C509" s="4" t="str">
        <f>IF(Registered!AR1223&gt;0,Registered!AR1223&amp;" Color Bags", "")</f>
        <v>10 Color Bags</v>
      </c>
      <c r="D509" s="4" t="str">
        <f>IF(Registered!AS1223&gt;0,(IF(Registered!AS1223=1,Registered!AS1223&amp;" T-Shirt",Registered!AS1223&amp;" T-Shirts")), "")</f>
        <v/>
      </c>
      <c r="E509" s="4" t="str">
        <f>Registered!AT1223</f>
        <v/>
      </c>
      <c r="F509" s="4" t="str">
        <f>Registered!AU1223</f>
        <v/>
      </c>
      <c r="G509" s="4" t="str">
        <f>Registered!AW1223</f>
        <v/>
      </c>
      <c r="H509" s="4" t="str">
        <f>Registered!AX1223</f>
        <v/>
      </c>
      <c r="I509" s="4" t="str">
        <f>Registered!AY1223</f>
        <v/>
      </c>
    </row>
    <row r="510" spans="1:9" x14ac:dyDescent="0.25">
      <c r="A510" s="4" t="str">
        <f>Registered!B1226</f>
        <v>Jensen</v>
      </c>
      <c r="B510" s="4" t="str">
        <f>Registered!A1226</f>
        <v>Claire</v>
      </c>
      <c r="C510" s="4" t="str">
        <f>IF(Registered!AR1226&gt;0,Registered!AR1226&amp;" Color Bags", "")</f>
        <v>20 Color Bags</v>
      </c>
      <c r="D510" s="4" t="str">
        <f>IF(Registered!AS1226&gt;0,(IF(Registered!AS1226=1,Registered!AS1226&amp;" T-Shirt",Registered!AS1226&amp;" T-Shirts")), "")</f>
        <v/>
      </c>
      <c r="E510" s="4" t="str">
        <f>Registered!AT1226</f>
        <v/>
      </c>
      <c r="F510" s="4" t="str">
        <f>Registered!AU1226</f>
        <v/>
      </c>
      <c r="G510" s="4" t="str">
        <f>Registered!AW1226</f>
        <v/>
      </c>
      <c r="H510" s="4" t="str">
        <f>Registered!AX1226</f>
        <v/>
      </c>
      <c r="I510" s="4" t="str">
        <f>Registered!AY1226</f>
        <v/>
      </c>
    </row>
    <row r="511" spans="1:9" x14ac:dyDescent="0.25">
      <c r="A511" s="4" t="str">
        <f>Registered!B1224</f>
        <v>Jensen</v>
      </c>
      <c r="B511" s="4" t="str">
        <f>Registered!A1224</f>
        <v>Ashley</v>
      </c>
      <c r="C511" s="4" t="str">
        <f>IF(Registered!AR1224&gt;0,Registered!AR1224&amp;" Color Bags", "")</f>
        <v>5 Color Bags</v>
      </c>
      <c r="D511" s="4" t="str">
        <f>IF(Registered!AS1224&gt;0,(IF(Registered!AS1224=1,Registered!AS1224&amp;" T-Shirt",Registered!AS1224&amp;" T-Shirts")), "")</f>
        <v/>
      </c>
      <c r="E511" s="4" t="str">
        <f>Registered!AT1224</f>
        <v/>
      </c>
      <c r="F511" s="4" t="str">
        <f>Registered!AU1224</f>
        <v/>
      </c>
      <c r="G511" s="4" t="str">
        <f>Registered!AW1224</f>
        <v/>
      </c>
      <c r="H511" s="4" t="str">
        <f>Registered!AX1224</f>
        <v/>
      </c>
      <c r="I511" s="4" t="str">
        <f>Registered!AY1224</f>
        <v/>
      </c>
    </row>
    <row r="512" spans="1:9" x14ac:dyDescent="0.25">
      <c r="A512" s="4" t="str">
        <f>Registered!B1230</f>
        <v>Jensen</v>
      </c>
      <c r="B512" s="4" t="str">
        <f>Registered!A1230</f>
        <v>Jennica</v>
      </c>
      <c r="C512" s="4" t="str">
        <f>IF(Registered!AR1230&gt;0,Registered!AR1230&amp;" Color Bags", "")</f>
        <v>5 Color Bags</v>
      </c>
      <c r="D512" s="4" t="str">
        <f>IF(Registered!AS1230&gt;0,(IF(Registered!AS1230=1,Registered!AS1230&amp;" T-Shirt",Registered!AS1230&amp;" T-Shirts")), "")</f>
        <v/>
      </c>
      <c r="E512" s="4" t="str">
        <f>Registered!AT1230</f>
        <v/>
      </c>
      <c r="F512" s="4" t="str">
        <f>Registered!AU1230</f>
        <v/>
      </c>
      <c r="G512" s="4" t="str">
        <f>Registered!AW1230</f>
        <v/>
      </c>
      <c r="H512" s="4" t="str">
        <f>Registered!AX1230</f>
        <v/>
      </c>
      <c r="I512" s="4" t="str">
        <f>Registered!AY1230</f>
        <v>1 DustMask</v>
      </c>
    </row>
    <row r="513" spans="1:9" x14ac:dyDescent="0.25">
      <c r="A513" s="4" t="str">
        <f>Registered!B1231</f>
        <v>Jensen</v>
      </c>
      <c r="B513" s="4" t="str">
        <f>Registered!A1231</f>
        <v>Kristen</v>
      </c>
      <c r="C513" s="4" t="str">
        <f>IF(Registered!AR1231&gt;0,Registered!AR1231&amp;" Color Bags", "")</f>
        <v>5 Color Bags</v>
      </c>
      <c r="D513" s="4" t="str">
        <f>IF(Registered!AS1231&gt;0,(IF(Registered!AS1231=1,Registered!AS1231&amp;" T-Shirt",Registered!AS1231&amp;" T-Shirts")), "")</f>
        <v/>
      </c>
      <c r="E513" s="4" t="str">
        <f>Registered!AT1231</f>
        <v/>
      </c>
      <c r="F513" s="4" t="str">
        <f>Registered!AU1231</f>
        <v/>
      </c>
      <c r="G513" s="4" t="str">
        <f>Registered!AW1231</f>
        <v>1 Meal</v>
      </c>
      <c r="H513" s="4" t="str">
        <f>Registered!AX1231</f>
        <v/>
      </c>
      <c r="I513" s="4" t="str">
        <f>Registered!AY1231</f>
        <v/>
      </c>
    </row>
    <row r="514" spans="1:9" x14ac:dyDescent="0.25">
      <c r="A514" s="4" t="str">
        <f>Registered!B1234</f>
        <v>Jensen</v>
      </c>
      <c r="B514" s="4" t="str">
        <f>Registered!A1234</f>
        <v>Mykal</v>
      </c>
      <c r="C514" s="4" t="str">
        <f>IF(Registered!AR1234&gt;0,Registered!AR1234&amp;" Color Bags", "")</f>
        <v>5 Color Bags</v>
      </c>
      <c r="D514" s="4" t="str">
        <f>IF(Registered!AS1234&gt;0,(IF(Registered!AS1234=1,Registered!AS1234&amp;" T-Shirt",Registered!AS1234&amp;" T-Shirts")), "")</f>
        <v/>
      </c>
      <c r="E514" s="4" t="str">
        <f>Registered!AT1234</f>
        <v/>
      </c>
      <c r="F514" s="4" t="str">
        <f>Registered!AU1234</f>
        <v/>
      </c>
      <c r="G514" s="4" t="str">
        <f>Registered!AW1234</f>
        <v/>
      </c>
      <c r="H514" s="4" t="str">
        <f>Registered!AX1234</f>
        <v/>
      </c>
      <c r="I514" s="4" t="str">
        <f>Registered!AY1234</f>
        <v/>
      </c>
    </row>
    <row r="515" spans="1:9" x14ac:dyDescent="0.25">
      <c r="A515" s="4" t="str">
        <f>Registered!B1238</f>
        <v>Jeskie</v>
      </c>
      <c r="B515" s="4" t="str">
        <f>Registered!A1238</f>
        <v>Margaret</v>
      </c>
      <c r="C515" s="4" t="str">
        <f>IF(Registered!AR1238&gt;0,Registered!AR1238&amp;" Color Bags", "")</f>
        <v>5 Color Bags</v>
      </c>
      <c r="D515" s="4" t="str">
        <f>IF(Registered!AS1238&gt;0,(IF(Registered!AS1238=1,Registered!AS1238&amp;" T-Shirt",Registered!AS1238&amp;" T-Shirts")), "")</f>
        <v/>
      </c>
      <c r="E515" s="4" t="str">
        <f>Registered!AT1238</f>
        <v/>
      </c>
      <c r="F515" s="4" t="str">
        <f>Registered!AU1238</f>
        <v/>
      </c>
      <c r="G515" s="4" t="str">
        <f>Registered!AW1238</f>
        <v/>
      </c>
      <c r="H515" s="4" t="str">
        <f>Registered!AX1238</f>
        <v/>
      </c>
      <c r="I515" s="4" t="str">
        <f>Registered!AY1238</f>
        <v/>
      </c>
    </row>
    <row r="516" spans="1:9" x14ac:dyDescent="0.25">
      <c r="A516" s="4" t="str">
        <f>Registered!B1239</f>
        <v>Jet</v>
      </c>
      <c r="B516" s="4" t="str">
        <f>Registered!A1239</f>
        <v>Mid</v>
      </c>
      <c r="C516" s="4" t="str">
        <f>IF(Registered!AR1239&gt;0,Registered!AR1239&amp;" Color Bags", "")</f>
        <v>5 Color Bags</v>
      </c>
      <c r="D516" s="4" t="str">
        <f>IF(Registered!AS1239&gt;0,(IF(Registered!AS1239=1,Registered!AS1239&amp;" T-Shirt",Registered!AS1239&amp;" T-Shirts")), "")</f>
        <v>1 T-Shirt</v>
      </c>
      <c r="E516" s="4" t="str">
        <f>Registered!AT1239</f>
        <v>small</v>
      </c>
      <c r="F516" s="4" t="str">
        <f>Registered!AU1239</f>
        <v/>
      </c>
      <c r="G516" s="4" t="str">
        <f>Registered!AW1239</f>
        <v/>
      </c>
      <c r="H516" s="4" t="str">
        <f>Registered!AX1239</f>
        <v/>
      </c>
      <c r="I516" s="4" t="str">
        <f>Registered!AY1239</f>
        <v/>
      </c>
    </row>
    <row r="517" spans="1:9" x14ac:dyDescent="0.25">
      <c r="A517" s="4" t="str">
        <f>Registered!B1247</f>
        <v>Jindal</v>
      </c>
      <c r="B517" s="4" t="str">
        <f>Registered!A1247</f>
        <v>Vibhu</v>
      </c>
      <c r="C517" s="4" t="str">
        <f>IF(Registered!AR1247&gt;0,Registered!AR1247&amp;" Color Bags", "")</f>
        <v>20 Color Bags</v>
      </c>
      <c r="D517" s="4" t="str">
        <f>IF(Registered!AS1247&gt;0,(IF(Registered!AS1247=1,Registered!AS1247&amp;" T-Shirt",Registered!AS1247&amp;" T-Shirts")), "")</f>
        <v>2 T-Shirts</v>
      </c>
      <c r="E517" s="4" t="str">
        <f>Registered!AT1247</f>
        <v>1 Small and 1 X small</v>
      </c>
      <c r="F517" s="4" t="str">
        <f>Registered!AU1247</f>
        <v>2 Bandanas</v>
      </c>
      <c r="G517" s="4" t="str">
        <f>Registered!AW1247</f>
        <v>2 Meals</v>
      </c>
      <c r="H517" s="4" t="str">
        <f>Registered!AX1247</f>
        <v/>
      </c>
      <c r="I517" s="4" t="str">
        <f>Registered!AY1247</f>
        <v/>
      </c>
    </row>
    <row r="518" spans="1:9" x14ac:dyDescent="0.25">
      <c r="A518" s="4" t="str">
        <f>Registered!B1251</f>
        <v>Johnson</v>
      </c>
      <c r="B518" s="4" t="str">
        <f>Registered!A1251</f>
        <v>Danielle</v>
      </c>
      <c r="C518" s="4" t="str">
        <f>IF(Registered!AR1251&gt;0,Registered!AR1251&amp;" Color Bags", "")</f>
        <v/>
      </c>
      <c r="D518" s="4" t="str">
        <f>IF(Registered!AS1251&gt;0,(IF(Registered!AS1251=1,Registered!AS1251&amp;" T-Shirt",Registered!AS1251&amp;" T-Shirts")), "")</f>
        <v/>
      </c>
      <c r="E518" s="4" t="str">
        <f>Registered!AT1251</f>
        <v/>
      </c>
      <c r="F518" s="4" t="str">
        <f>Registered!AU1251</f>
        <v>2 Bandanas</v>
      </c>
      <c r="G518" s="4" t="str">
        <f>Registered!AW1251</f>
        <v/>
      </c>
      <c r="H518" s="4" t="str">
        <f>Registered!AX1251</f>
        <v/>
      </c>
      <c r="I518" s="4" t="str">
        <f>Registered!AY1251</f>
        <v/>
      </c>
    </row>
    <row r="519" spans="1:9" x14ac:dyDescent="0.25">
      <c r="A519" s="4" t="str">
        <f>Registered!B1249</f>
        <v>Johnson</v>
      </c>
      <c r="B519" s="4" t="str">
        <f>Registered!A1249</f>
        <v>Angella</v>
      </c>
      <c r="C519" s="4" t="str">
        <f>IF(Registered!AR1249&gt;0,Registered!AR1249&amp;" Color Bags", "")</f>
        <v>10 Color Bags</v>
      </c>
      <c r="D519" s="4" t="str">
        <f>IF(Registered!AS1249&gt;0,(IF(Registered!AS1249=1,Registered!AS1249&amp;" T-Shirt",Registered!AS1249&amp;" T-Shirts")), "")</f>
        <v/>
      </c>
      <c r="E519" s="4" t="str">
        <f>Registered!AT1249</f>
        <v/>
      </c>
      <c r="F519" s="4" t="str">
        <f>Registered!AU1249</f>
        <v>2 Bandanas</v>
      </c>
      <c r="G519" s="4" t="str">
        <f>Registered!AW1249</f>
        <v>2 Meals</v>
      </c>
      <c r="H519" s="4" t="str">
        <f>Registered!AX1249</f>
        <v/>
      </c>
      <c r="I519" s="4" t="str">
        <f>Registered!AY1249</f>
        <v/>
      </c>
    </row>
    <row r="520" spans="1:9" x14ac:dyDescent="0.25">
      <c r="A520" s="4" t="str">
        <f>Registered!B1270</f>
        <v>Johnson</v>
      </c>
      <c r="B520" s="4" t="str">
        <f>Registered!A1270</f>
        <v>Whitney</v>
      </c>
      <c r="C520" s="4" t="str">
        <f>IF(Registered!AR1270&gt;0,Registered!AR1270&amp;" Color Bags", "")</f>
        <v>10 Color Bags</v>
      </c>
      <c r="D520" s="4" t="str">
        <f>IF(Registered!AS1270&gt;0,(IF(Registered!AS1270=1,Registered!AS1270&amp;" T-Shirt",Registered!AS1270&amp;" T-Shirts")), "")</f>
        <v/>
      </c>
      <c r="E520" s="4" t="str">
        <f>Registered!AT1270</f>
        <v/>
      </c>
      <c r="F520" s="4" t="str">
        <f>Registered!AU1270</f>
        <v/>
      </c>
      <c r="G520" s="4" t="str">
        <f>Registered!AW1270</f>
        <v/>
      </c>
      <c r="H520" s="4" t="str">
        <f>Registered!AX1270</f>
        <v/>
      </c>
      <c r="I520" s="4" t="str">
        <f>Registered!AY1270</f>
        <v>3 DustMask</v>
      </c>
    </row>
    <row r="521" spans="1:9" x14ac:dyDescent="0.25">
      <c r="A521" s="4" t="str">
        <f>Registered!B1257</f>
        <v>Johnson</v>
      </c>
      <c r="B521" s="4" t="str">
        <f>Registered!A1257</f>
        <v>Kaylie</v>
      </c>
      <c r="C521" s="4" t="str">
        <f>IF(Registered!AR1257&gt;0,Registered!AR1257&amp;" Color Bags", "")</f>
        <v>5 Color Bags</v>
      </c>
      <c r="D521" s="4" t="str">
        <f>IF(Registered!AS1257&gt;0,(IF(Registered!AS1257=1,Registered!AS1257&amp;" T-Shirt",Registered!AS1257&amp;" T-Shirts")), "")</f>
        <v/>
      </c>
      <c r="E521" s="4" t="str">
        <f>Registered!AT1257</f>
        <v/>
      </c>
      <c r="F521" s="4" t="str">
        <f>Registered!AU1257</f>
        <v/>
      </c>
      <c r="G521" s="4" t="str">
        <f>Registered!AW1257</f>
        <v/>
      </c>
      <c r="H521" s="4" t="str">
        <f>Registered!AX1257</f>
        <v/>
      </c>
      <c r="I521" s="4" t="str">
        <f>Registered!AY1257</f>
        <v/>
      </c>
    </row>
    <row r="522" spans="1:9" x14ac:dyDescent="0.25">
      <c r="A522" s="4" t="str">
        <f>Registered!B1258</f>
        <v>Johnson</v>
      </c>
      <c r="B522" s="4" t="str">
        <f>Registered!A1258</f>
        <v>Lindsi</v>
      </c>
      <c r="C522" s="4" t="str">
        <f>IF(Registered!AR1258&gt;0,Registered!AR1258&amp;" Color Bags", "")</f>
        <v>5 Color Bags</v>
      </c>
      <c r="D522" s="4" t="str">
        <f>IF(Registered!AS1258&gt;0,(IF(Registered!AS1258=1,Registered!AS1258&amp;" T-Shirt",Registered!AS1258&amp;" T-Shirts")), "")</f>
        <v/>
      </c>
      <c r="E522" s="4" t="str">
        <f>Registered!AT1258</f>
        <v/>
      </c>
      <c r="F522" s="4" t="str">
        <f>Registered!AU1258</f>
        <v/>
      </c>
      <c r="G522" s="4" t="str">
        <f>Registered!AW1258</f>
        <v/>
      </c>
      <c r="H522" s="4" t="str">
        <f>Registered!AX1258</f>
        <v/>
      </c>
      <c r="I522" s="4" t="str">
        <f>Registered!AY1258</f>
        <v/>
      </c>
    </row>
    <row r="523" spans="1:9" x14ac:dyDescent="0.25">
      <c r="A523" s="4" t="str">
        <f>Registered!B1260</f>
        <v>Johnson</v>
      </c>
      <c r="B523" s="4" t="str">
        <f>Registered!A1260</f>
        <v>Miranda</v>
      </c>
      <c r="C523" s="4" t="str">
        <f>IF(Registered!AR1260&gt;0,Registered!AR1260&amp;" Color Bags", "")</f>
        <v>5 Color Bags</v>
      </c>
      <c r="D523" s="4" t="str">
        <f>IF(Registered!AS1260&gt;0,(IF(Registered!AS1260=1,Registered!AS1260&amp;" T-Shirt",Registered!AS1260&amp;" T-Shirts")), "")</f>
        <v/>
      </c>
      <c r="E523" s="4" t="str">
        <f>Registered!AT1260</f>
        <v/>
      </c>
      <c r="F523" s="4" t="str">
        <f>Registered!AU1260</f>
        <v/>
      </c>
      <c r="G523" s="4" t="str">
        <f>Registered!AW1260</f>
        <v/>
      </c>
      <c r="H523" s="4" t="str">
        <f>Registered!AX1260</f>
        <v/>
      </c>
      <c r="I523" s="4" t="str">
        <f>Registered!AY1260</f>
        <v/>
      </c>
    </row>
    <row r="524" spans="1:9" x14ac:dyDescent="0.25">
      <c r="A524" s="4" t="str">
        <f>Registered!B1265</f>
        <v>Johnson</v>
      </c>
      <c r="B524" s="4" t="str">
        <f>Registered!A1265</f>
        <v>Shyla</v>
      </c>
      <c r="C524" s="4" t="str">
        <f>IF(Registered!AR1265&gt;0,Registered!AR1265&amp;" Color Bags", "")</f>
        <v>5 Color Bags</v>
      </c>
      <c r="D524" s="4" t="str">
        <f>IF(Registered!AS1265&gt;0,(IF(Registered!AS1265=1,Registered!AS1265&amp;" T-Shirt",Registered!AS1265&amp;" T-Shirts")), "")</f>
        <v/>
      </c>
      <c r="E524" s="4" t="str">
        <f>Registered!AT1265</f>
        <v/>
      </c>
      <c r="F524" s="4" t="str">
        <f>Registered!AU1265</f>
        <v/>
      </c>
      <c r="G524" s="4" t="str">
        <f>Registered!AW1265</f>
        <v/>
      </c>
      <c r="H524" s="4" t="str">
        <f>Registered!AX1265</f>
        <v/>
      </c>
      <c r="I524" s="4" t="str">
        <f>Registered!AY1265</f>
        <v/>
      </c>
    </row>
    <row r="525" spans="1:9" x14ac:dyDescent="0.25">
      <c r="A525" s="4" t="str">
        <f>Registered!B1266</f>
        <v>Johnson</v>
      </c>
      <c r="B525" s="4" t="str">
        <f>Registered!A1266</f>
        <v>Trevor</v>
      </c>
      <c r="C525" s="4" t="str">
        <f>IF(Registered!AR1266&gt;0,Registered!AR1266&amp;" Color Bags", "")</f>
        <v>5 Color Bags</v>
      </c>
      <c r="D525" s="4" t="str">
        <f>IF(Registered!AS1266&gt;0,(IF(Registered!AS1266=1,Registered!AS1266&amp;" T-Shirt",Registered!AS1266&amp;" T-Shirts")), "")</f>
        <v>1 T-Shirt</v>
      </c>
      <c r="E525" s="4" t="str">
        <f>Registered!AT1266</f>
        <v>XL</v>
      </c>
      <c r="F525" s="4" t="str">
        <f>Registered!AU1266</f>
        <v>1 Bandana</v>
      </c>
      <c r="G525" s="4" t="str">
        <f>Registered!AW1266</f>
        <v/>
      </c>
      <c r="H525" s="4" t="str">
        <f>Registered!AX1266</f>
        <v>1 BG</v>
      </c>
      <c r="I525" s="4" t="str">
        <f>Registered!AY1266</f>
        <v/>
      </c>
    </row>
    <row r="526" spans="1:9" x14ac:dyDescent="0.25">
      <c r="A526" s="4" t="str">
        <f>Registered!B1269</f>
        <v>Johnson</v>
      </c>
      <c r="B526" s="4" t="str">
        <f>Registered!A1269</f>
        <v>Vincent</v>
      </c>
      <c r="C526" s="4" t="str">
        <f>IF(Registered!AR1269&gt;0,Registered!AR1269&amp;" Color Bags", "")</f>
        <v>5 Color Bags</v>
      </c>
      <c r="D526" s="4" t="str">
        <f>IF(Registered!AS1269&gt;0,(IF(Registered!AS1269=1,Registered!AS1269&amp;" T-Shirt",Registered!AS1269&amp;" T-Shirts")), "")</f>
        <v/>
      </c>
      <c r="E526" s="4" t="str">
        <f>Registered!AT1269</f>
        <v/>
      </c>
      <c r="F526" s="4" t="str">
        <f>Registered!AU1269</f>
        <v/>
      </c>
      <c r="G526" s="4" t="str">
        <f>Registered!AW1269</f>
        <v>1 Meal</v>
      </c>
      <c r="H526" s="4" t="str">
        <f>Registered!AX1269</f>
        <v/>
      </c>
      <c r="I526" s="4" t="str">
        <f>Registered!AY1269</f>
        <v/>
      </c>
    </row>
    <row r="527" spans="1:9" x14ac:dyDescent="0.25">
      <c r="A527" s="4" t="str">
        <f>Registered!B1272</f>
        <v>Johnston</v>
      </c>
      <c r="B527" s="4" t="str">
        <f>Registered!A1272</f>
        <v>Tiffany</v>
      </c>
      <c r="C527" s="4" t="str">
        <f>IF(Registered!AR1272&gt;0,Registered!AR1272&amp;" Color Bags", "")</f>
        <v>10 Color Bags</v>
      </c>
      <c r="D527" s="4" t="str">
        <f>IF(Registered!AS1272&gt;0,(IF(Registered!AS1272=1,Registered!AS1272&amp;" T-Shirt",Registered!AS1272&amp;" T-Shirts")), "")</f>
        <v/>
      </c>
      <c r="E527" s="4" t="str">
        <f>Registered!AT1272</f>
        <v/>
      </c>
      <c r="F527" s="4" t="str">
        <f>Registered!AU1272</f>
        <v/>
      </c>
      <c r="G527" s="4" t="str">
        <f>Registered!AW1272</f>
        <v>1 Meal</v>
      </c>
      <c r="H527" s="4" t="str">
        <f>Registered!AX1272</f>
        <v/>
      </c>
      <c r="I527" s="4" t="str">
        <f>Registered!AY1272</f>
        <v>1 DustMask</v>
      </c>
    </row>
    <row r="528" spans="1:9" x14ac:dyDescent="0.25">
      <c r="A528" s="4" t="str">
        <f>Registered!B1275</f>
        <v>Jones</v>
      </c>
      <c r="B528" s="4" t="str">
        <f>Registered!A1275</f>
        <v>Emily</v>
      </c>
      <c r="C528" s="4" t="str">
        <f>IF(Registered!AR1275&gt;0,Registered!AR1275&amp;" Color Bags", "")</f>
        <v>10 Color Bags</v>
      </c>
      <c r="D528" s="4" t="str">
        <f>IF(Registered!AS1275&gt;0,(IF(Registered!AS1275=1,Registered!AS1275&amp;" T-Shirt",Registered!AS1275&amp;" T-Shirts")), "")</f>
        <v/>
      </c>
      <c r="E528" s="4" t="str">
        <f>Registered!AT1275</f>
        <v/>
      </c>
      <c r="F528" s="4" t="str">
        <f>Registered!AU1275</f>
        <v/>
      </c>
      <c r="G528" s="4" t="str">
        <f>Registered!AW1275</f>
        <v/>
      </c>
      <c r="H528" s="4" t="str">
        <f>Registered!AX1275</f>
        <v/>
      </c>
      <c r="I528" s="4" t="str">
        <f>Registered!AY1275</f>
        <v/>
      </c>
    </row>
    <row r="529" spans="1:9" x14ac:dyDescent="0.25">
      <c r="A529" s="4" t="str">
        <f>Registered!B1285</f>
        <v>Jones</v>
      </c>
      <c r="B529" s="4" t="str">
        <f>Registered!A1285</f>
        <v>Winter</v>
      </c>
      <c r="C529" s="4" t="str">
        <f>IF(Registered!AR1285&gt;0,Registered!AR1285&amp;" Color Bags", "")</f>
        <v>10 Color Bags</v>
      </c>
      <c r="D529" s="4" t="str">
        <f>IF(Registered!AS1285&gt;0,(IF(Registered!AS1285=1,Registered!AS1285&amp;" T-Shirt",Registered!AS1285&amp;" T-Shirts")), "")</f>
        <v/>
      </c>
      <c r="E529" s="4" t="str">
        <f>Registered!AT1285</f>
        <v/>
      </c>
      <c r="F529" s="4" t="str">
        <f>Registered!AU1285</f>
        <v/>
      </c>
      <c r="G529" s="4" t="str">
        <f>Registered!AW1285</f>
        <v/>
      </c>
      <c r="H529" s="4" t="str">
        <f>Registered!AX1285</f>
        <v/>
      </c>
      <c r="I529" s="4" t="str">
        <f>Registered!AY1285</f>
        <v/>
      </c>
    </row>
    <row r="530" spans="1:9" x14ac:dyDescent="0.25">
      <c r="A530" s="4" t="str">
        <f>Registered!B1283</f>
        <v>Jones</v>
      </c>
      <c r="B530" s="4" t="str">
        <f>Registered!A1283</f>
        <v>Shelly</v>
      </c>
      <c r="C530" s="4" t="str">
        <f>IF(Registered!AR1283&gt;0,Registered!AR1283&amp;" Color Bags", "")</f>
        <v>15 Color Bags</v>
      </c>
      <c r="D530" s="4" t="str">
        <f>IF(Registered!AS1283&gt;0,(IF(Registered!AS1283=1,Registered!AS1283&amp;" T-Shirt",Registered!AS1283&amp;" T-Shirts")), "")</f>
        <v/>
      </c>
      <c r="E530" s="4" t="str">
        <f>Registered!AT1283</f>
        <v/>
      </c>
      <c r="F530" s="4" t="str">
        <f>Registered!AU1283</f>
        <v/>
      </c>
      <c r="G530" s="4" t="str">
        <f>Registered!AW1283</f>
        <v/>
      </c>
      <c r="H530" s="4" t="str">
        <f>Registered!AX1283</f>
        <v/>
      </c>
      <c r="I530" s="4" t="str">
        <f>Registered!AY1283</f>
        <v>1 DustMask</v>
      </c>
    </row>
    <row r="531" spans="1:9" x14ac:dyDescent="0.25">
      <c r="A531" s="4" t="str">
        <f>Registered!B1277</f>
        <v>Jones</v>
      </c>
      <c r="B531" s="4" t="str">
        <f>Registered!A1277</f>
        <v>Karalynn</v>
      </c>
      <c r="C531" s="4" t="str">
        <f>IF(Registered!AR1277&gt;0,Registered!AR1277&amp;" Color Bags", "")</f>
        <v>5 Color Bags</v>
      </c>
      <c r="D531" s="4" t="str">
        <f>IF(Registered!AS1277&gt;0,(IF(Registered!AS1277=1,Registered!AS1277&amp;" T-Shirt",Registered!AS1277&amp;" T-Shirts")), "")</f>
        <v/>
      </c>
      <c r="E531" s="4" t="str">
        <f>Registered!AT1277</f>
        <v/>
      </c>
      <c r="F531" s="4" t="str">
        <f>Registered!AU1277</f>
        <v/>
      </c>
      <c r="G531" s="4" t="str">
        <f>Registered!AW1277</f>
        <v/>
      </c>
      <c r="H531" s="4" t="str">
        <f>Registered!AX1277</f>
        <v/>
      </c>
      <c r="I531" s="4" t="str">
        <f>Registered!AY1277</f>
        <v/>
      </c>
    </row>
    <row r="532" spans="1:9" x14ac:dyDescent="0.25">
      <c r="A532" s="4" t="str">
        <f>Registered!B1287</f>
        <v>Jorgensen</v>
      </c>
      <c r="B532" s="4" t="str">
        <f>Registered!A1287</f>
        <v>Shannon</v>
      </c>
      <c r="C532" s="4" t="str">
        <f>IF(Registered!AR1287&gt;0,Registered!AR1287&amp;" Color Bags", "")</f>
        <v>5 Color Bags</v>
      </c>
      <c r="D532" s="4" t="str">
        <f>IF(Registered!AS1287&gt;0,(IF(Registered!AS1287=1,Registered!AS1287&amp;" T-Shirt",Registered!AS1287&amp;" T-Shirts")), "")</f>
        <v/>
      </c>
      <c r="E532" s="4" t="str">
        <f>Registered!AT1287</f>
        <v/>
      </c>
      <c r="F532" s="4" t="str">
        <f>Registered!AU1287</f>
        <v/>
      </c>
      <c r="G532" s="4" t="str">
        <f>Registered!AW1287</f>
        <v/>
      </c>
      <c r="H532" s="4" t="str">
        <f>Registered!AX1287</f>
        <v/>
      </c>
      <c r="I532" s="4" t="str">
        <f>Registered!AY1287</f>
        <v/>
      </c>
    </row>
    <row r="533" spans="1:9" x14ac:dyDescent="0.25">
      <c r="A533" s="4" t="str">
        <f>Registered!B1292</f>
        <v>Judd</v>
      </c>
      <c r="B533" s="4" t="str">
        <f>Registered!A1292</f>
        <v>Matt</v>
      </c>
      <c r="C533" s="4" t="str">
        <f>IF(Registered!AR1292&gt;0,Registered!AR1292&amp;" Color Bags", "")</f>
        <v>10 Color Bags</v>
      </c>
      <c r="D533" s="4" t="str">
        <f>IF(Registered!AS1292&gt;0,(IF(Registered!AS1292=1,Registered!AS1292&amp;" T-Shirt",Registered!AS1292&amp;" T-Shirts")), "")</f>
        <v>2 T-Shirts</v>
      </c>
      <c r="E533" s="4" t="str">
        <f>Registered!AT1292</f>
        <v>Large and Medium</v>
      </c>
      <c r="F533" s="4" t="str">
        <f>Registered!AU1292</f>
        <v/>
      </c>
      <c r="G533" s="4" t="str">
        <f>Registered!AW1292</f>
        <v>2 Meals</v>
      </c>
      <c r="H533" s="4" t="str">
        <f>Registered!AX1292</f>
        <v/>
      </c>
      <c r="I533" s="4" t="str">
        <f>Registered!AY1292</f>
        <v/>
      </c>
    </row>
    <row r="534" spans="1:9" x14ac:dyDescent="0.25">
      <c r="A534" s="4" t="str">
        <f>Registered!B1294</f>
        <v>Judd</v>
      </c>
      <c r="B534" s="4" t="str">
        <f>Registered!A1294</f>
        <v>Richard</v>
      </c>
      <c r="C534" s="4" t="str">
        <f>IF(Registered!AR1294&gt;0,Registered!AR1294&amp;" Color Bags", "")</f>
        <v>5 Color Bags</v>
      </c>
      <c r="D534" s="4" t="str">
        <f>IF(Registered!AS1294&gt;0,(IF(Registered!AS1294=1,Registered!AS1294&amp;" T-Shirt",Registered!AS1294&amp;" T-Shirts")), "")</f>
        <v/>
      </c>
      <c r="E534" s="4" t="str">
        <f>Registered!AT1294</f>
        <v/>
      </c>
      <c r="F534" s="4" t="str">
        <f>Registered!AU1294</f>
        <v/>
      </c>
      <c r="G534" s="4" t="str">
        <f>Registered!AW1294</f>
        <v/>
      </c>
      <c r="H534" s="4" t="str">
        <f>Registered!AX1294</f>
        <v/>
      </c>
      <c r="I534" s="4" t="str">
        <f>Registered!AY1294</f>
        <v/>
      </c>
    </row>
    <row r="535" spans="1:9" x14ac:dyDescent="0.25">
      <c r="A535" s="4" t="str">
        <f>Registered!B1296</f>
        <v>Kaepp</v>
      </c>
      <c r="B535" s="4" t="str">
        <f>Registered!A1296</f>
        <v>Dayna</v>
      </c>
      <c r="C535" s="4" t="str">
        <f>IF(Registered!AR1296&gt;0,Registered!AR1296&amp;" Color Bags", "")</f>
        <v>10 Color Bags</v>
      </c>
      <c r="D535" s="4" t="str">
        <f>IF(Registered!AS1296&gt;0,(IF(Registered!AS1296=1,Registered!AS1296&amp;" T-Shirt",Registered!AS1296&amp;" T-Shirts")), "")</f>
        <v/>
      </c>
      <c r="E535" s="4" t="str">
        <f>Registered!AT1296</f>
        <v/>
      </c>
      <c r="F535" s="4" t="str">
        <f>Registered!AU1296</f>
        <v/>
      </c>
      <c r="G535" s="4" t="str">
        <f>Registered!AW1296</f>
        <v/>
      </c>
      <c r="H535" s="4" t="str">
        <f>Registered!AX1296</f>
        <v/>
      </c>
      <c r="I535" s="4" t="str">
        <f>Registered!AY1296</f>
        <v/>
      </c>
    </row>
    <row r="536" spans="1:9" x14ac:dyDescent="0.25">
      <c r="A536" s="4" t="str">
        <f>Registered!B1297</f>
        <v>Kahus</v>
      </c>
      <c r="B536" s="4" t="str">
        <f>Registered!A1297</f>
        <v>Taran</v>
      </c>
      <c r="C536" s="4" t="str">
        <f>IF(Registered!AR1297&gt;0,Registered!AR1297&amp;" Color Bags", "")</f>
        <v>5 Color Bags</v>
      </c>
      <c r="D536" s="4" t="str">
        <f>IF(Registered!AS1297&gt;0,(IF(Registered!AS1297=1,Registered!AS1297&amp;" T-Shirt",Registered!AS1297&amp;" T-Shirts")), "")</f>
        <v/>
      </c>
      <c r="E536" s="4" t="str">
        <f>Registered!AT1297</f>
        <v/>
      </c>
      <c r="F536" s="4" t="str">
        <f>Registered!AU1297</f>
        <v/>
      </c>
      <c r="G536" s="4" t="str">
        <f>Registered!AW1297</f>
        <v/>
      </c>
      <c r="H536" s="4" t="str">
        <f>Registered!AX1297</f>
        <v/>
      </c>
      <c r="I536" s="4" t="str">
        <f>Registered!AY1297</f>
        <v/>
      </c>
    </row>
    <row r="537" spans="1:9" x14ac:dyDescent="0.25">
      <c r="A537" s="4" t="str">
        <f>Registered!B1299</f>
        <v>Karadeniz</v>
      </c>
      <c r="B537" s="4" t="str">
        <f>Registered!A1299</f>
        <v>Emrah</v>
      </c>
      <c r="C537" s="4" t="str">
        <f>IF(Registered!AR1299&gt;0,Registered!AR1299&amp;" Color Bags", "")</f>
        <v>10 Color Bags</v>
      </c>
      <c r="D537" s="4" t="str">
        <f>IF(Registered!AS1299&gt;0,(IF(Registered!AS1299=1,Registered!AS1299&amp;" T-Shirt",Registered!AS1299&amp;" T-Shirts")), "")</f>
        <v>1 T-Shirt</v>
      </c>
      <c r="E537" s="4" t="str">
        <f>Registered!AT1299</f>
        <v>5XL, if not possible, then the biggest size</v>
      </c>
      <c r="F537" s="4" t="str">
        <f>Registered!AU1299</f>
        <v/>
      </c>
      <c r="G537" s="4" t="str">
        <f>Registered!AW1299</f>
        <v/>
      </c>
      <c r="H537" s="4" t="str">
        <f>Registered!AX1299</f>
        <v/>
      </c>
      <c r="I537" s="4" t="str">
        <f>Registered!AY1299</f>
        <v>2 DustMask</v>
      </c>
    </row>
    <row r="538" spans="1:9" x14ac:dyDescent="0.25">
      <c r="A538" s="4" t="str">
        <f>Registered!B1304</f>
        <v>Keele</v>
      </c>
      <c r="B538" s="4" t="str">
        <f>Registered!A1304</f>
        <v>Elise</v>
      </c>
      <c r="C538" s="4" t="str">
        <f>IF(Registered!AR1304&gt;0,Registered!AR1304&amp;" Color Bags", "")</f>
        <v>5 Color Bags</v>
      </c>
      <c r="D538" s="4" t="str">
        <f>IF(Registered!AS1304&gt;0,(IF(Registered!AS1304=1,Registered!AS1304&amp;" T-Shirt",Registered!AS1304&amp;" T-Shirts")), "")</f>
        <v/>
      </c>
      <c r="E538" s="4" t="str">
        <f>Registered!AT1304</f>
        <v/>
      </c>
      <c r="F538" s="4" t="str">
        <f>Registered!AU1304</f>
        <v/>
      </c>
      <c r="G538" s="4" t="str">
        <f>Registered!AW1304</f>
        <v>2 Meals</v>
      </c>
      <c r="H538" s="4" t="str">
        <f>Registered!AX1304</f>
        <v/>
      </c>
      <c r="I538" s="4" t="str">
        <f>Registered!AY1304</f>
        <v/>
      </c>
    </row>
    <row r="539" spans="1:9" x14ac:dyDescent="0.25">
      <c r="A539" s="4" t="str">
        <f>Registered!B1305</f>
        <v>Keiser</v>
      </c>
      <c r="B539" s="4" t="str">
        <f>Registered!A1305</f>
        <v>Dayna</v>
      </c>
      <c r="C539" s="4" t="str">
        <f>IF(Registered!AR1305&gt;0,Registered!AR1305&amp;" Color Bags", "")</f>
        <v>10 Color Bags</v>
      </c>
      <c r="D539" s="4" t="str">
        <f>IF(Registered!AS1305&gt;0,(IF(Registered!AS1305=1,Registered!AS1305&amp;" T-Shirt",Registered!AS1305&amp;" T-Shirts")), "")</f>
        <v/>
      </c>
      <c r="E539" s="4" t="str">
        <f>Registered!AT1305</f>
        <v/>
      </c>
      <c r="F539" s="4" t="str">
        <f>Registered!AU1305</f>
        <v/>
      </c>
      <c r="G539" s="4" t="str">
        <f>Registered!AW1305</f>
        <v/>
      </c>
      <c r="H539" s="4" t="str">
        <f>Registered!AX1305</f>
        <v/>
      </c>
      <c r="I539" s="4" t="str">
        <f>Registered!AY1305</f>
        <v/>
      </c>
    </row>
    <row r="540" spans="1:9" x14ac:dyDescent="0.25">
      <c r="A540" s="4" t="str">
        <f>Registered!B1308</f>
        <v>Kelley</v>
      </c>
      <c r="B540" s="4" t="str">
        <f>Registered!A1308</f>
        <v>Kamala</v>
      </c>
      <c r="C540" s="4" t="str">
        <f>IF(Registered!AR1308&gt;0,Registered!AR1308&amp;" Color Bags", "")</f>
        <v/>
      </c>
      <c r="D540" s="4" t="str">
        <f>IF(Registered!AS1308&gt;0,(IF(Registered!AS1308=1,Registered!AS1308&amp;" T-Shirt",Registered!AS1308&amp;" T-Shirts")), "")</f>
        <v>1 T-Shirt</v>
      </c>
      <c r="E540" s="4" t="str">
        <f>Registered!AT1308</f>
        <v>small</v>
      </c>
      <c r="F540" s="4" t="str">
        <f>Registered!AU1308</f>
        <v/>
      </c>
      <c r="G540" s="4" t="str">
        <f>Registered!AW1308</f>
        <v/>
      </c>
      <c r="H540" s="4" t="str">
        <f>Registered!AX1308</f>
        <v/>
      </c>
      <c r="I540" s="4" t="str">
        <f>Registered!AY1308</f>
        <v/>
      </c>
    </row>
    <row r="541" spans="1:9" x14ac:dyDescent="0.25">
      <c r="A541" s="4" t="str">
        <f>Registered!B1307</f>
        <v>Kelley</v>
      </c>
      <c r="B541" s="4" t="str">
        <f>Registered!A1307</f>
        <v>James</v>
      </c>
      <c r="C541" s="4" t="str">
        <f>IF(Registered!AR1307&gt;0,Registered!AR1307&amp;" Color Bags", "")</f>
        <v>5 Color Bags</v>
      </c>
      <c r="D541" s="4" t="str">
        <f>IF(Registered!AS1307&gt;0,(IF(Registered!AS1307=1,Registered!AS1307&amp;" T-Shirt",Registered!AS1307&amp;" T-Shirts")), "")</f>
        <v/>
      </c>
      <c r="E541" s="4" t="str">
        <f>Registered!AT1307</f>
        <v/>
      </c>
      <c r="F541" s="4" t="str">
        <f>Registered!AU1307</f>
        <v/>
      </c>
      <c r="G541" s="4" t="str">
        <f>Registered!AW1307</f>
        <v/>
      </c>
      <c r="H541" s="4" t="str">
        <f>Registered!AX1307</f>
        <v/>
      </c>
      <c r="I541" s="4" t="str">
        <f>Registered!AY1307</f>
        <v/>
      </c>
    </row>
    <row r="542" spans="1:9" x14ac:dyDescent="0.25">
      <c r="A542" s="4" t="str">
        <f>Registered!B1310</f>
        <v>Kelly</v>
      </c>
      <c r="B542" s="4" t="str">
        <f>Registered!A1310</f>
        <v>Genet</v>
      </c>
      <c r="C542" s="4" t="str">
        <f>IF(Registered!AR1310&gt;0,Registered!AR1310&amp;" Color Bags", "")</f>
        <v>20 Color Bags</v>
      </c>
      <c r="D542" s="4" t="str">
        <f>IF(Registered!AS1310&gt;0,(IF(Registered!AS1310=1,Registered!AS1310&amp;" T-Shirt",Registered!AS1310&amp;" T-Shirts")), "")</f>
        <v/>
      </c>
      <c r="E542" s="4" t="str">
        <f>Registered!AT1310</f>
        <v/>
      </c>
      <c r="F542" s="4" t="str">
        <f>Registered!AU1310</f>
        <v/>
      </c>
      <c r="G542" s="4" t="str">
        <f>Registered!AW1310</f>
        <v/>
      </c>
      <c r="H542" s="4" t="str">
        <f>Registered!AX1310</f>
        <v/>
      </c>
      <c r="I542" s="4" t="str">
        <f>Registered!AY1310</f>
        <v/>
      </c>
    </row>
    <row r="543" spans="1:9" x14ac:dyDescent="0.25">
      <c r="A543" s="4" t="str">
        <f>Registered!B1315</f>
        <v>Kelly</v>
      </c>
      <c r="B543" s="4" t="str">
        <f>Registered!A1315</f>
        <v>Tabitha</v>
      </c>
      <c r="C543" s="4" t="str">
        <f>IF(Registered!AR1315&gt;0,Registered!AR1315&amp;" Color Bags", "")</f>
        <v>20 Color Bags</v>
      </c>
      <c r="D543" s="4" t="str">
        <f>IF(Registered!AS1315&gt;0,(IF(Registered!AS1315=1,Registered!AS1315&amp;" T-Shirt",Registered!AS1315&amp;" T-Shirts")), "")</f>
        <v/>
      </c>
      <c r="E543" s="4" t="str">
        <f>Registered!AT1315</f>
        <v/>
      </c>
      <c r="F543" s="4" t="str">
        <f>Registered!AU1315</f>
        <v/>
      </c>
      <c r="G543" s="4" t="str">
        <f>Registered!AW1315</f>
        <v/>
      </c>
      <c r="H543" s="4" t="str">
        <f>Registered!AX1315</f>
        <v/>
      </c>
      <c r="I543" s="4" t="str">
        <f>Registered!AY1315</f>
        <v/>
      </c>
    </row>
    <row r="544" spans="1:9" x14ac:dyDescent="0.25">
      <c r="A544" s="4" t="str">
        <f>Registered!B1314</f>
        <v>Kelly</v>
      </c>
      <c r="B544" s="4" t="str">
        <f>Registered!A1314</f>
        <v>Lauren</v>
      </c>
      <c r="C544" s="4" t="str">
        <f>IF(Registered!AR1314&gt;0,Registered!AR1314&amp;" Color Bags", "")</f>
        <v>5 Color Bags</v>
      </c>
      <c r="D544" s="4" t="str">
        <f>IF(Registered!AS1314&gt;0,(IF(Registered!AS1314=1,Registered!AS1314&amp;" T-Shirt",Registered!AS1314&amp;" T-Shirts")), "")</f>
        <v/>
      </c>
      <c r="E544" s="4" t="str">
        <f>Registered!AT1314</f>
        <v/>
      </c>
      <c r="F544" s="4" t="str">
        <f>Registered!AU1314</f>
        <v/>
      </c>
      <c r="G544" s="4" t="str">
        <f>Registered!AW1314</f>
        <v/>
      </c>
      <c r="H544" s="4" t="str">
        <f>Registered!AX1314</f>
        <v/>
      </c>
      <c r="I544" s="4" t="str">
        <f>Registered!AY1314</f>
        <v/>
      </c>
    </row>
    <row r="545" spans="1:9" x14ac:dyDescent="0.25">
      <c r="A545" s="4" t="str">
        <f>Registered!B1316</f>
        <v>Kelsey</v>
      </c>
      <c r="B545" s="4" t="str">
        <f>Registered!A1316</f>
        <v>Michelle</v>
      </c>
      <c r="C545" s="4" t="str">
        <f>IF(Registered!AR1316&gt;0,Registered!AR1316&amp;" Color Bags", "")</f>
        <v>10 Color Bags</v>
      </c>
      <c r="D545" s="4" t="str">
        <f>IF(Registered!AS1316&gt;0,(IF(Registered!AS1316=1,Registered!AS1316&amp;" T-Shirt",Registered!AS1316&amp;" T-Shirts")), "")</f>
        <v>2 T-Shirts</v>
      </c>
      <c r="E545" s="4" t="str">
        <f>Registered!AT1316</f>
        <v>Size Not Specified</v>
      </c>
      <c r="F545" s="4" t="str">
        <f>Registered!AU1316</f>
        <v/>
      </c>
      <c r="G545" s="4" t="str">
        <f>Registered!AW1316</f>
        <v>2 Meals</v>
      </c>
      <c r="H545" s="4" t="str">
        <f>Registered!AX1316</f>
        <v/>
      </c>
      <c r="I545" s="4" t="str">
        <f>Registered!AY1316</f>
        <v/>
      </c>
    </row>
    <row r="546" spans="1:9" x14ac:dyDescent="0.25">
      <c r="A546" s="4" t="str">
        <f>Registered!B1317</f>
        <v>Kelso</v>
      </c>
      <c r="B546" s="4" t="str">
        <f>Registered!A1317</f>
        <v>Julie</v>
      </c>
      <c r="C546" s="4" t="str">
        <f>IF(Registered!AR1317&gt;0,Registered!AR1317&amp;" Color Bags", "")</f>
        <v>10 Color Bags</v>
      </c>
      <c r="D546" s="4" t="str">
        <f>IF(Registered!AS1317&gt;0,(IF(Registered!AS1317=1,Registered!AS1317&amp;" T-Shirt",Registered!AS1317&amp;" T-Shirts")), "")</f>
        <v>1 T-Shirt</v>
      </c>
      <c r="E546" s="4" t="str">
        <f>Registered!AT1317</f>
        <v>Large</v>
      </c>
      <c r="F546" s="4" t="str">
        <f>Registered!AU1317</f>
        <v/>
      </c>
      <c r="G546" s="4" t="str">
        <f>Registered!AW1317</f>
        <v>1 Meal</v>
      </c>
      <c r="H546" s="4" t="str">
        <f>Registered!AX1317</f>
        <v/>
      </c>
      <c r="I546" s="4" t="str">
        <f>Registered!AY1317</f>
        <v/>
      </c>
    </row>
    <row r="547" spans="1:9" x14ac:dyDescent="0.25">
      <c r="A547" s="4" t="str">
        <f>Registered!B1319</f>
        <v>Kelson ];^) ~</v>
      </c>
      <c r="B547" s="4" t="str">
        <f>Registered!A1319</f>
        <v>Landon</v>
      </c>
      <c r="C547" s="4" t="str">
        <f>IF(Registered!AR1319&gt;0,Registered!AR1319&amp;" Color Bags", "")</f>
        <v/>
      </c>
      <c r="D547" s="4" t="str">
        <f>IF(Registered!AS1319&gt;0,(IF(Registered!AS1319=1,Registered!AS1319&amp;" T-Shirt",Registered!AS1319&amp;" T-Shirts")), "")</f>
        <v/>
      </c>
      <c r="E547" s="4" t="str">
        <f>Registered!AT1319</f>
        <v/>
      </c>
      <c r="F547" s="4" t="str">
        <f>Registered!AU1319</f>
        <v/>
      </c>
      <c r="G547" s="4" t="str">
        <f>Registered!AW1319</f>
        <v/>
      </c>
      <c r="H547" s="4" t="str">
        <f>Registered!AX1319</f>
        <v/>
      </c>
      <c r="I547" s="4" t="str">
        <f>Registered!AY1319</f>
        <v>1 DustMask</v>
      </c>
    </row>
    <row r="548" spans="1:9" x14ac:dyDescent="0.25">
      <c r="A548" s="4" t="str">
        <f>Registered!B1322</f>
        <v>Kennard</v>
      </c>
      <c r="B548" s="4" t="str">
        <f>Registered!A1322</f>
        <v>Megan</v>
      </c>
      <c r="C548" s="4" t="str">
        <f>IF(Registered!AR1322&gt;0,Registered!AR1322&amp;" Color Bags", "")</f>
        <v>5 Color Bags</v>
      </c>
      <c r="D548" s="4" t="str">
        <f>IF(Registered!AS1322&gt;0,(IF(Registered!AS1322=1,Registered!AS1322&amp;" T-Shirt",Registered!AS1322&amp;" T-Shirts")), "")</f>
        <v/>
      </c>
      <c r="E548" s="4" t="str">
        <f>Registered!AT1322</f>
        <v/>
      </c>
      <c r="F548" s="4" t="str">
        <f>Registered!AU1322</f>
        <v/>
      </c>
      <c r="G548" s="4" t="str">
        <f>Registered!AW1322</f>
        <v/>
      </c>
      <c r="H548" s="4" t="str">
        <f>Registered!AX1322</f>
        <v/>
      </c>
      <c r="I548" s="4" t="str">
        <f>Registered!AY1322</f>
        <v/>
      </c>
    </row>
    <row r="549" spans="1:9" x14ac:dyDescent="0.25">
      <c r="A549" s="4" t="str">
        <f>Registered!B1323</f>
        <v>Kenney</v>
      </c>
      <c r="B549" s="4" t="str">
        <f>Registered!A1323</f>
        <v>Chelsey</v>
      </c>
      <c r="C549" s="4" t="str">
        <f>IF(Registered!AR1323&gt;0,Registered!AR1323&amp;" Color Bags", "")</f>
        <v>5 Color Bags</v>
      </c>
      <c r="D549" s="4" t="str">
        <f>IF(Registered!AS1323&gt;0,(IF(Registered!AS1323=1,Registered!AS1323&amp;" T-Shirt",Registered!AS1323&amp;" T-Shirts")), "")</f>
        <v/>
      </c>
      <c r="E549" s="4" t="str">
        <f>Registered!AT1323</f>
        <v/>
      </c>
      <c r="F549" s="4" t="str">
        <f>Registered!AU1323</f>
        <v/>
      </c>
      <c r="G549" s="4" t="str">
        <f>Registered!AW1323</f>
        <v/>
      </c>
      <c r="H549" s="4" t="str">
        <f>Registered!AX1323</f>
        <v/>
      </c>
      <c r="I549" s="4" t="str">
        <f>Registered!AY1323</f>
        <v/>
      </c>
    </row>
    <row r="550" spans="1:9" x14ac:dyDescent="0.25">
      <c r="A550" s="4" t="str">
        <f>Registered!B1328</f>
        <v>Kerr</v>
      </c>
      <c r="B550" s="4" t="str">
        <f>Registered!A1328</f>
        <v>Alondra</v>
      </c>
      <c r="C550" s="4" t="str">
        <f>IF(Registered!AR1328&gt;0,Registered!AR1328&amp;" Color Bags", "")</f>
        <v>10 Color Bags</v>
      </c>
      <c r="D550" s="4" t="str">
        <f>IF(Registered!AS1328&gt;0,(IF(Registered!AS1328=1,Registered!AS1328&amp;" T-Shirt",Registered!AS1328&amp;" T-Shirts")), "")</f>
        <v/>
      </c>
      <c r="E550" s="4" t="str">
        <f>Registered!AT1328</f>
        <v/>
      </c>
      <c r="F550" s="4" t="str">
        <f>Registered!AU1328</f>
        <v/>
      </c>
      <c r="G550" s="4" t="str">
        <f>Registered!AW1328</f>
        <v/>
      </c>
      <c r="H550" s="4" t="str">
        <f>Registered!AX1328</f>
        <v/>
      </c>
      <c r="I550" s="4" t="str">
        <f>Registered!AY1328</f>
        <v/>
      </c>
    </row>
    <row r="551" spans="1:9" x14ac:dyDescent="0.25">
      <c r="A551" s="4" t="str">
        <f>Registered!B1330</f>
        <v>Kesler</v>
      </c>
      <c r="B551" s="4" t="str">
        <f>Registered!A1330</f>
        <v>Chloe</v>
      </c>
      <c r="C551" s="4" t="str">
        <f>IF(Registered!AR1330&gt;0,Registered!AR1330&amp;" Color Bags", "")</f>
        <v>5 Color Bags</v>
      </c>
      <c r="D551" s="4" t="str">
        <f>IF(Registered!AS1330&gt;0,(IF(Registered!AS1330=1,Registered!AS1330&amp;" T-Shirt",Registered!AS1330&amp;" T-Shirts")), "")</f>
        <v/>
      </c>
      <c r="E551" s="4" t="str">
        <f>Registered!AT1330</f>
        <v/>
      </c>
      <c r="F551" s="4" t="str">
        <f>Registered!AU1330</f>
        <v/>
      </c>
      <c r="G551" s="4" t="str">
        <f>Registered!AW1330</f>
        <v/>
      </c>
      <c r="H551" s="4" t="str">
        <f>Registered!AX1330</f>
        <v/>
      </c>
      <c r="I551" s="4" t="str">
        <f>Registered!AY1330</f>
        <v/>
      </c>
    </row>
    <row r="552" spans="1:9" x14ac:dyDescent="0.25">
      <c r="A552" s="4" t="str">
        <f>Registered!B1331</f>
        <v>Ketchum</v>
      </c>
      <c r="B552" s="4" t="str">
        <f>Registered!A1331</f>
        <v>Linette</v>
      </c>
      <c r="C552" s="4" t="str">
        <f>IF(Registered!AR1331&gt;0,Registered!AR1331&amp;" Color Bags", "")</f>
        <v>30 Color Bags</v>
      </c>
      <c r="D552" s="4" t="str">
        <f>IF(Registered!AS1331&gt;0,(IF(Registered!AS1331=1,Registered!AS1331&amp;" T-Shirt",Registered!AS1331&amp;" T-Shirts")), "")</f>
        <v/>
      </c>
      <c r="E552" s="4" t="str">
        <f>Registered!AT1331</f>
        <v/>
      </c>
      <c r="F552" s="4" t="str">
        <f>Registered!AU1331</f>
        <v/>
      </c>
      <c r="G552" s="4" t="str">
        <f>Registered!AW1331</f>
        <v/>
      </c>
      <c r="H552" s="4" t="str">
        <f>Registered!AX1331</f>
        <v/>
      </c>
      <c r="I552" s="4" t="str">
        <f>Registered!AY1331</f>
        <v/>
      </c>
    </row>
    <row r="553" spans="1:9" x14ac:dyDescent="0.25">
      <c r="A553" s="4" t="str">
        <f>Registered!B1332</f>
        <v>Keyes</v>
      </c>
      <c r="B553" s="4" t="str">
        <f>Registered!A1332</f>
        <v>Eloise</v>
      </c>
      <c r="C553" s="4" t="str">
        <f>IF(Registered!AR1332&gt;0,Registered!AR1332&amp;" Color Bags", "")</f>
        <v>5 Color Bags</v>
      </c>
      <c r="D553" s="4" t="str">
        <f>IF(Registered!AS1332&gt;0,(IF(Registered!AS1332=1,Registered!AS1332&amp;" T-Shirt",Registered!AS1332&amp;" T-Shirts")), "")</f>
        <v/>
      </c>
      <c r="E553" s="4" t="str">
        <f>Registered!AT1332</f>
        <v/>
      </c>
      <c r="F553" s="4" t="str">
        <f>Registered!AU1332</f>
        <v/>
      </c>
      <c r="G553" s="4" t="str">
        <f>Registered!AW1332</f>
        <v/>
      </c>
      <c r="H553" s="4" t="str">
        <f>Registered!AX1332</f>
        <v/>
      </c>
      <c r="I553" s="4" t="str">
        <f>Registered!AY1332</f>
        <v/>
      </c>
    </row>
    <row r="554" spans="1:9" x14ac:dyDescent="0.25">
      <c r="A554" s="4" t="str">
        <f>Registered!B1334</f>
        <v>Khanna</v>
      </c>
      <c r="B554" s="4" t="str">
        <f>Registered!A1334</f>
        <v>Anil</v>
      </c>
      <c r="C554" s="4" t="str">
        <f>IF(Registered!AR1334&gt;0,Registered!AR1334&amp;" Color Bags", "")</f>
        <v>5 Color Bags</v>
      </c>
      <c r="D554" s="4" t="str">
        <f>IF(Registered!AS1334&gt;0,(IF(Registered!AS1334=1,Registered!AS1334&amp;" T-Shirt",Registered!AS1334&amp;" T-Shirts")), "")</f>
        <v>1 T-Shirt</v>
      </c>
      <c r="E554" s="4" t="str">
        <f>Registered!AT1334</f>
        <v>Medium</v>
      </c>
      <c r="F554" s="4" t="str">
        <f>Registered!AU1334</f>
        <v/>
      </c>
      <c r="G554" s="4" t="str">
        <f>Registered!AW1334</f>
        <v>3 Meals</v>
      </c>
      <c r="H554" s="4" t="str">
        <f>Registered!AX1334</f>
        <v/>
      </c>
      <c r="I554" s="4" t="str">
        <f>Registered!AY1334</f>
        <v/>
      </c>
    </row>
    <row r="555" spans="1:9" x14ac:dyDescent="0.25">
      <c r="A555" s="4" t="str">
        <f>Registered!B1337</f>
        <v>Kiisel</v>
      </c>
      <c r="B555" s="4" t="str">
        <f>Registered!A1337</f>
        <v>Jessica</v>
      </c>
      <c r="C555" s="4" t="str">
        <f>IF(Registered!AR1337&gt;0,Registered!AR1337&amp;" Color Bags", "")</f>
        <v>10 Color Bags</v>
      </c>
      <c r="D555" s="4" t="str">
        <f>IF(Registered!AS1337&gt;0,(IF(Registered!AS1337=1,Registered!AS1337&amp;" T-Shirt",Registered!AS1337&amp;" T-Shirts")), "")</f>
        <v/>
      </c>
      <c r="E555" s="4" t="str">
        <f>Registered!AT1337</f>
        <v/>
      </c>
      <c r="F555" s="4" t="str">
        <f>Registered!AU1337</f>
        <v/>
      </c>
      <c r="G555" s="4" t="str">
        <f>Registered!AW1337</f>
        <v/>
      </c>
      <c r="H555" s="4" t="str">
        <f>Registered!AX1337</f>
        <v/>
      </c>
      <c r="I555" s="4" t="str">
        <f>Registered!AY1337</f>
        <v/>
      </c>
    </row>
    <row r="556" spans="1:9" x14ac:dyDescent="0.25">
      <c r="A556" s="4" t="str">
        <f>Registered!B1339</f>
        <v>Kilpatrick</v>
      </c>
      <c r="B556" s="4" t="str">
        <f>Registered!A1339</f>
        <v>Kenzi</v>
      </c>
      <c r="C556" s="4" t="str">
        <f>IF(Registered!AR1339&gt;0,Registered!AR1339&amp;" Color Bags", "")</f>
        <v>5 Color Bags</v>
      </c>
      <c r="D556" s="4" t="str">
        <f>IF(Registered!AS1339&gt;0,(IF(Registered!AS1339=1,Registered!AS1339&amp;" T-Shirt",Registered!AS1339&amp;" T-Shirts")), "")</f>
        <v/>
      </c>
      <c r="E556" s="4" t="str">
        <f>Registered!AT1339</f>
        <v/>
      </c>
      <c r="F556" s="4" t="str">
        <f>Registered!AU1339</f>
        <v/>
      </c>
      <c r="G556" s="4" t="str">
        <f>Registered!AW1339</f>
        <v/>
      </c>
      <c r="H556" s="4" t="str">
        <f>Registered!AX1339</f>
        <v/>
      </c>
      <c r="I556" s="4" t="str">
        <f>Registered!AY1339</f>
        <v/>
      </c>
    </row>
    <row r="557" spans="1:9" x14ac:dyDescent="0.25">
      <c r="A557" s="4" t="str">
        <f>Registered!B1340</f>
        <v>Kimball</v>
      </c>
      <c r="B557" s="4" t="str">
        <f>Registered!A1340</f>
        <v>Amber</v>
      </c>
      <c r="C557" s="4" t="str">
        <f>IF(Registered!AR1340&gt;0,Registered!AR1340&amp;" Color Bags", "")</f>
        <v>10 Color Bags</v>
      </c>
      <c r="D557" s="4" t="str">
        <f>IF(Registered!AS1340&gt;0,(IF(Registered!AS1340=1,Registered!AS1340&amp;" T-Shirt",Registered!AS1340&amp;" T-Shirts")), "")</f>
        <v>2 T-Shirts</v>
      </c>
      <c r="E557" s="4" t="str">
        <f>Registered!AT1340</f>
        <v>Medium and extra large</v>
      </c>
      <c r="F557" s="4" t="str">
        <f>Registered!AU1340</f>
        <v/>
      </c>
      <c r="G557" s="4" t="str">
        <f>Registered!AW1340</f>
        <v>2 Meals</v>
      </c>
      <c r="H557" s="4" t="str">
        <f>Registered!AX1340</f>
        <v/>
      </c>
      <c r="I557" s="4" t="str">
        <f>Registered!AY1340</f>
        <v/>
      </c>
    </row>
    <row r="558" spans="1:9" x14ac:dyDescent="0.25">
      <c r="A558" s="4" t="str">
        <f>Registered!B1347</f>
        <v>Kimball</v>
      </c>
      <c r="B558" s="4" t="str">
        <f>Registered!A1347</f>
        <v>Tom</v>
      </c>
      <c r="C558" s="4" t="str">
        <f>IF(Registered!AR1347&gt;0,Registered!AR1347&amp;" Color Bags", "")</f>
        <v>40 Color Bags</v>
      </c>
      <c r="D558" s="4" t="str">
        <f>IF(Registered!AS1347&gt;0,(IF(Registered!AS1347=1,Registered!AS1347&amp;" T-Shirt",Registered!AS1347&amp;" T-Shirts")), "")</f>
        <v/>
      </c>
      <c r="E558" s="4" t="str">
        <f>Registered!AT1347</f>
        <v/>
      </c>
      <c r="F558" s="4" t="str">
        <f>Registered!AU1347</f>
        <v/>
      </c>
      <c r="G558" s="4" t="str">
        <f>Registered!AW1347</f>
        <v>6 Meals</v>
      </c>
      <c r="H558" s="4" t="str">
        <f>Registered!AX1347</f>
        <v/>
      </c>
      <c r="I558" s="4" t="str">
        <f>Registered!AY1347</f>
        <v/>
      </c>
    </row>
    <row r="559" spans="1:9" x14ac:dyDescent="0.25">
      <c r="A559" s="4" t="str">
        <f>Registered!B1341</f>
        <v>Kimball</v>
      </c>
      <c r="B559" s="4" t="str">
        <f>Registered!A1341</f>
        <v>Heather</v>
      </c>
      <c r="C559" s="4" t="str">
        <f>IF(Registered!AR1341&gt;0,Registered!AR1341&amp;" Color Bags", "")</f>
        <v>5 Color Bags</v>
      </c>
      <c r="D559" s="4" t="str">
        <f>IF(Registered!AS1341&gt;0,(IF(Registered!AS1341=1,Registered!AS1341&amp;" T-Shirt",Registered!AS1341&amp;" T-Shirts")), "")</f>
        <v/>
      </c>
      <c r="E559" s="4" t="str">
        <f>Registered!AT1341</f>
        <v/>
      </c>
      <c r="F559" s="4" t="str">
        <f>Registered!AU1341</f>
        <v/>
      </c>
      <c r="G559" s="4" t="str">
        <f>Registered!AW1341</f>
        <v/>
      </c>
      <c r="H559" s="4" t="str">
        <f>Registered!AX1341</f>
        <v/>
      </c>
      <c r="I559" s="4" t="str">
        <f>Registered!AY1341</f>
        <v/>
      </c>
    </row>
    <row r="560" spans="1:9" x14ac:dyDescent="0.25">
      <c r="A560" s="4" t="str">
        <f>Registered!B1352</f>
        <v>Kingery</v>
      </c>
      <c r="B560" s="4" t="str">
        <f>Registered!A1352</f>
        <v>Angela</v>
      </c>
      <c r="C560" s="4" t="str">
        <f>IF(Registered!AR1352&gt;0,Registered!AR1352&amp;" Color Bags", "")</f>
        <v>5 Color Bags</v>
      </c>
      <c r="D560" s="4" t="str">
        <f>IF(Registered!AS1352&gt;0,(IF(Registered!AS1352=1,Registered!AS1352&amp;" T-Shirt",Registered!AS1352&amp;" T-Shirts")), "")</f>
        <v/>
      </c>
      <c r="E560" s="4" t="str">
        <f>Registered!AT1352</f>
        <v/>
      </c>
      <c r="F560" s="4" t="str">
        <f>Registered!AU1352</f>
        <v/>
      </c>
      <c r="G560" s="4" t="str">
        <f>Registered!AW1352</f>
        <v/>
      </c>
      <c r="H560" s="4" t="str">
        <f>Registered!AX1352</f>
        <v/>
      </c>
      <c r="I560" s="4" t="str">
        <f>Registered!AY1352</f>
        <v/>
      </c>
    </row>
    <row r="561" spans="1:9" x14ac:dyDescent="0.25">
      <c r="A561" s="4" t="str">
        <f>Registered!B1356</f>
        <v>Kirby</v>
      </c>
      <c r="B561" s="4" t="str">
        <f>Registered!A1356</f>
        <v>Penny</v>
      </c>
      <c r="C561" s="4" t="str">
        <f>IF(Registered!AR1356&gt;0,Registered!AR1356&amp;" Color Bags", "")</f>
        <v>10 Color Bags</v>
      </c>
      <c r="D561" s="4" t="str">
        <f>IF(Registered!AS1356&gt;0,(IF(Registered!AS1356=1,Registered!AS1356&amp;" T-Shirt",Registered!AS1356&amp;" T-Shirts")), "")</f>
        <v/>
      </c>
      <c r="E561" s="4" t="str">
        <f>Registered!AT1356</f>
        <v/>
      </c>
      <c r="F561" s="4" t="str">
        <f>Registered!AU1356</f>
        <v/>
      </c>
      <c r="G561" s="4" t="str">
        <f>Registered!AW1356</f>
        <v/>
      </c>
      <c r="H561" s="4" t="str">
        <f>Registered!AX1356</f>
        <v/>
      </c>
      <c r="I561" s="4" t="str">
        <f>Registered!AY1356</f>
        <v/>
      </c>
    </row>
    <row r="562" spans="1:9" x14ac:dyDescent="0.25">
      <c r="A562" s="4" t="str">
        <f>Registered!B1357</f>
        <v>Kirchner</v>
      </c>
      <c r="B562" s="4" t="str">
        <f>Registered!A1357</f>
        <v>Audra</v>
      </c>
      <c r="C562" s="4" t="str">
        <f>IF(Registered!AR1357&gt;0,Registered!AR1357&amp;" Color Bags", "")</f>
        <v>10 Color Bags</v>
      </c>
      <c r="D562" s="4" t="str">
        <f>IF(Registered!AS1357&gt;0,(IF(Registered!AS1357=1,Registered!AS1357&amp;" T-Shirt",Registered!AS1357&amp;" T-Shirts")), "")</f>
        <v>1 T-Shirt</v>
      </c>
      <c r="E562" s="4" t="str">
        <f>Registered!AT1357</f>
        <v>large</v>
      </c>
      <c r="F562" s="4" t="str">
        <f>Registered!AU1357</f>
        <v>1 Bandana</v>
      </c>
      <c r="G562" s="4" t="str">
        <f>Registered!AW1357</f>
        <v>1 Meal</v>
      </c>
      <c r="H562" s="4" t="str">
        <f>Registered!AX1357</f>
        <v/>
      </c>
      <c r="I562" s="4" t="str">
        <f>Registered!AY1357</f>
        <v/>
      </c>
    </row>
    <row r="563" spans="1:9" x14ac:dyDescent="0.25">
      <c r="A563" s="4" t="str">
        <f>Registered!B1358</f>
        <v>Kirkeeide</v>
      </c>
      <c r="B563" s="4" t="str">
        <f>Registered!A1358</f>
        <v>Krista</v>
      </c>
      <c r="C563" s="4" t="str">
        <f>IF(Registered!AR1358&gt;0,Registered!AR1358&amp;" Color Bags", "")</f>
        <v>5 Color Bags</v>
      </c>
      <c r="D563" s="4" t="str">
        <f>IF(Registered!AS1358&gt;0,(IF(Registered!AS1358=1,Registered!AS1358&amp;" T-Shirt",Registered!AS1358&amp;" T-Shirts")), "")</f>
        <v/>
      </c>
      <c r="E563" s="4" t="str">
        <f>Registered!AT1358</f>
        <v/>
      </c>
      <c r="F563" s="4" t="str">
        <f>Registered!AU1358</f>
        <v/>
      </c>
      <c r="G563" s="4" t="str">
        <f>Registered!AW1358</f>
        <v/>
      </c>
      <c r="H563" s="4" t="str">
        <f>Registered!AX1358</f>
        <v/>
      </c>
      <c r="I563" s="4" t="str">
        <f>Registered!AY1358</f>
        <v/>
      </c>
    </row>
    <row r="564" spans="1:9" x14ac:dyDescent="0.25">
      <c r="A564" s="4" t="str">
        <f>Registered!B1359</f>
        <v>Kirkham</v>
      </c>
      <c r="B564" s="4" t="str">
        <f>Registered!A1359</f>
        <v>James</v>
      </c>
      <c r="C564" s="4" t="str">
        <f>IF(Registered!AR1359&gt;0,Registered!AR1359&amp;" Color Bags", "")</f>
        <v>5 Color Bags</v>
      </c>
      <c r="D564" s="4" t="str">
        <f>IF(Registered!AS1359&gt;0,(IF(Registered!AS1359=1,Registered!AS1359&amp;" T-Shirt",Registered!AS1359&amp;" T-Shirts")), "")</f>
        <v/>
      </c>
      <c r="E564" s="4" t="str">
        <f>Registered!AT1359</f>
        <v/>
      </c>
      <c r="F564" s="4" t="str">
        <f>Registered!AU1359</f>
        <v/>
      </c>
      <c r="G564" s="4" t="str">
        <f>Registered!AW1359</f>
        <v/>
      </c>
      <c r="H564" s="4" t="str">
        <f>Registered!AX1359</f>
        <v/>
      </c>
      <c r="I564" s="4" t="str">
        <f>Registered!AY1359</f>
        <v/>
      </c>
    </row>
    <row r="565" spans="1:9" x14ac:dyDescent="0.25">
      <c r="A565" s="4" t="str">
        <f>Registered!B1360</f>
        <v>Kirkham</v>
      </c>
      <c r="B565" s="4" t="str">
        <f>Registered!A1360</f>
        <v>Nathan</v>
      </c>
      <c r="C565" s="4" t="str">
        <f>IF(Registered!AR1360&gt;0,Registered!AR1360&amp;" Color Bags", "")</f>
        <v>5 Color Bags</v>
      </c>
      <c r="D565" s="4" t="str">
        <f>IF(Registered!AS1360&gt;0,(IF(Registered!AS1360=1,Registered!AS1360&amp;" T-Shirt",Registered!AS1360&amp;" T-Shirts")), "")</f>
        <v/>
      </c>
      <c r="E565" s="4" t="str">
        <f>Registered!AT1360</f>
        <v/>
      </c>
      <c r="F565" s="4" t="str">
        <f>Registered!AU1360</f>
        <v/>
      </c>
      <c r="G565" s="4" t="str">
        <f>Registered!AW1360</f>
        <v/>
      </c>
      <c r="H565" s="4" t="str">
        <f>Registered!AX1360</f>
        <v/>
      </c>
      <c r="I565" s="4" t="str">
        <f>Registered!AY1360</f>
        <v/>
      </c>
    </row>
    <row r="566" spans="1:9" x14ac:dyDescent="0.25">
      <c r="A566" s="4" t="str">
        <f>Registered!B1362</f>
        <v>Kirkpatrick</v>
      </c>
      <c r="B566" s="4" t="str">
        <f>Registered!A1362</f>
        <v>Kevin</v>
      </c>
      <c r="C566" s="4" t="str">
        <f>IF(Registered!AR1362&gt;0,Registered!AR1362&amp;" Color Bags", "")</f>
        <v>40 Color Bags</v>
      </c>
      <c r="D566" s="4" t="str">
        <f>IF(Registered!AS1362&gt;0,(IF(Registered!AS1362=1,Registered!AS1362&amp;" T-Shirt",Registered!AS1362&amp;" T-Shirts")), "")</f>
        <v/>
      </c>
      <c r="E566" s="4" t="str">
        <f>Registered!AT1362</f>
        <v/>
      </c>
      <c r="F566" s="4" t="str">
        <f>Registered!AU1362</f>
        <v/>
      </c>
      <c r="G566" s="4" t="str">
        <f>Registered!AW1362</f>
        <v>7 Meals</v>
      </c>
      <c r="H566" s="4" t="str">
        <f>Registered!AX1362</f>
        <v/>
      </c>
      <c r="I566" s="4" t="str">
        <f>Registered!AY1362</f>
        <v/>
      </c>
    </row>
    <row r="567" spans="1:9" x14ac:dyDescent="0.25">
      <c r="A567" s="4" t="str">
        <f>Registered!B1370</f>
        <v>Klupenger</v>
      </c>
      <c r="B567" s="4" t="str">
        <f>Registered!A1370</f>
        <v>Mitchel</v>
      </c>
      <c r="C567" s="4" t="str">
        <f>IF(Registered!AR1370&gt;0,Registered!AR1370&amp;" Color Bags", "")</f>
        <v>10 Color Bags</v>
      </c>
      <c r="D567" s="4" t="str">
        <f>IF(Registered!AS1370&gt;0,(IF(Registered!AS1370=1,Registered!AS1370&amp;" T-Shirt",Registered!AS1370&amp;" T-Shirts")), "")</f>
        <v/>
      </c>
      <c r="E567" s="4" t="str">
        <f>Registered!AT1370</f>
        <v/>
      </c>
      <c r="F567" s="4" t="str">
        <f>Registered!AU1370</f>
        <v/>
      </c>
      <c r="G567" s="4" t="str">
        <f>Registered!AW1370</f>
        <v/>
      </c>
      <c r="H567" s="4" t="str">
        <f>Registered!AX1370</f>
        <v/>
      </c>
      <c r="I567" s="4" t="str">
        <f>Registered!AY1370</f>
        <v/>
      </c>
    </row>
    <row r="568" spans="1:9" x14ac:dyDescent="0.25">
      <c r="A568" s="4" t="str">
        <f>Registered!B1373</f>
        <v>Knerr</v>
      </c>
      <c r="B568" s="4" t="str">
        <f>Registered!A1373</f>
        <v>Brielle</v>
      </c>
      <c r="C568" s="4" t="str">
        <f>IF(Registered!AR1373&gt;0,Registered!AR1373&amp;" Color Bags", "")</f>
        <v>10 Color Bags</v>
      </c>
      <c r="D568" s="4" t="str">
        <f>IF(Registered!AS1373&gt;0,(IF(Registered!AS1373=1,Registered!AS1373&amp;" T-Shirt",Registered!AS1373&amp;" T-Shirts")), "")</f>
        <v/>
      </c>
      <c r="E568" s="4" t="str">
        <f>Registered!AT1373</f>
        <v/>
      </c>
      <c r="F568" s="4" t="str">
        <f>Registered!AU1373</f>
        <v/>
      </c>
      <c r="G568" s="4" t="str">
        <f>Registered!AW1373</f>
        <v/>
      </c>
      <c r="H568" s="4" t="str">
        <f>Registered!AX1373</f>
        <v/>
      </c>
      <c r="I568" s="4" t="str">
        <f>Registered!AY1373</f>
        <v/>
      </c>
    </row>
    <row r="569" spans="1:9" x14ac:dyDescent="0.25">
      <c r="A569" s="4" t="str">
        <f>Registered!B1374</f>
        <v>Knight</v>
      </c>
      <c r="B569" s="4" t="str">
        <f>Registered!A1374</f>
        <v>AbiRae</v>
      </c>
      <c r="C569" s="4" t="str">
        <f>IF(Registered!AR1374&gt;0,Registered!AR1374&amp;" Color Bags", "")</f>
        <v>10 Color Bags</v>
      </c>
      <c r="D569" s="4" t="str">
        <f>IF(Registered!AS1374&gt;0,(IF(Registered!AS1374=1,Registered!AS1374&amp;" T-Shirt",Registered!AS1374&amp;" T-Shirts")), "")</f>
        <v/>
      </c>
      <c r="E569" s="4" t="str">
        <f>Registered!AT1374</f>
        <v/>
      </c>
      <c r="F569" s="4" t="str">
        <f>Registered!AU1374</f>
        <v/>
      </c>
      <c r="G569" s="4" t="str">
        <f>Registered!AW1374</f>
        <v/>
      </c>
      <c r="H569" s="4" t="str">
        <f>Registered!AX1374</f>
        <v/>
      </c>
      <c r="I569" s="4" t="str">
        <f>Registered!AY1374</f>
        <v/>
      </c>
    </row>
    <row r="570" spans="1:9" x14ac:dyDescent="0.25">
      <c r="A570" s="4" t="str">
        <f>Registered!B1375</f>
        <v>Knight</v>
      </c>
      <c r="B570" s="4" t="str">
        <f>Registered!A1375</f>
        <v>Mackenzie</v>
      </c>
      <c r="C570" s="4" t="str">
        <f>IF(Registered!AR1375&gt;0,Registered!AR1375&amp;" Color Bags", "")</f>
        <v>5 Color Bags</v>
      </c>
      <c r="D570" s="4" t="str">
        <f>IF(Registered!AS1375&gt;0,(IF(Registered!AS1375=1,Registered!AS1375&amp;" T-Shirt",Registered!AS1375&amp;" T-Shirts")), "")</f>
        <v>1 T-Shirt</v>
      </c>
      <c r="E570" s="4" t="str">
        <f>Registered!AT1375</f>
        <v>men's small</v>
      </c>
      <c r="F570" s="4" t="str">
        <f>Registered!AU1375</f>
        <v>1 Bandana</v>
      </c>
      <c r="G570" s="4" t="str">
        <f>Registered!AW1375</f>
        <v/>
      </c>
      <c r="H570" s="4" t="str">
        <f>Registered!AX1375</f>
        <v/>
      </c>
      <c r="I570" s="4" t="str">
        <f>Registered!AY1375</f>
        <v/>
      </c>
    </row>
    <row r="571" spans="1:9" x14ac:dyDescent="0.25">
      <c r="A571" s="4" t="str">
        <f>Registered!B2738</f>
        <v>Knight</v>
      </c>
      <c r="B571" s="4" t="str">
        <f>Registered!A2738</f>
        <v>Chanelle</v>
      </c>
      <c r="C571" s="4" t="str">
        <f>IF(Registered!AR2738&gt;0,Registered!AR2738&amp;" Color Bags", "")</f>
        <v>5 Color Bags</v>
      </c>
      <c r="D571" s="4" t="str">
        <f>IF(Registered!AS2738&gt;0,(IF(Registered!AS2738=1,Registered!AS2738&amp;" T-Shirt",Registered!AS2738&amp;" T-Shirts")), "")</f>
        <v>1 T-Shirt</v>
      </c>
      <c r="E571" s="4" t="str">
        <f>Registered!AT2738</f>
        <v>Size Not Specified</v>
      </c>
      <c r="F571" s="4" t="str">
        <f>Registered!AU2738</f>
        <v/>
      </c>
      <c r="G571" s="4" t="str">
        <f>Registered!AW2738</f>
        <v>1 Meal</v>
      </c>
      <c r="H571" s="4" t="str">
        <f>Registered!AX2738</f>
        <v/>
      </c>
      <c r="I571" s="4" t="str">
        <f>Registered!AY2738</f>
        <v/>
      </c>
    </row>
    <row r="572" spans="1:9" x14ac:dyDescent="0.25">
      <c r="A572" s="4" t="str">
        <f>Registered!B1377</f>
        <v>Knorr</v>
      </c>
      <c r="B572" s="4" t="str">
        <f>Registered!A1377</f>
        <v>Kristen</v>
      </c>
      <c r="C572" s="4" t="str">
        <f>IF(Registered!AR1377&gt;0,Registered!AR1377&amp;" Color Bags", "")</f>
        <v>5 Color Bags</v>
      </c>
      <c r="D572" s="4" t="str">
        <f>IF(Registered!AS1377&gt;0,(IF(Registered!AS1377=1,Registered!AS1377&amp;" T-Shirt",Registered!AS1377&amp;" T-Shirts")), "")</f>
        <v/>
      </c>
      <c r="E572" s="4" t="str">
        <f>Registered!AT1377</f>
        <v/>
      </c>
      <c r="F572" s="4" t="str">
        <f>Registered!AU1377</f>
        <v/>
      </c>
      <c r="G572" s="4" t="str">
        <f>Registered!AW1377</f>
        <v/>
      </c>
      <c r="H572" s="4" t="str">
        <f>Registered!AX1377</f>
        <v/>
      </c>
      <c r="I572" s="4" t="str">
        <f>Registered!AY1377</f>
        <v/>
      </c>
    </row>
    <row r="573" spans="1:9" x14ac:dyDescent="0.25">
      <c r="A573" s="4" t="str">
        <f>Registered!B1379</f>
        <v>Knudson</v>
      </c>
      <c r="B573" s="4" t="str">
        <f>Registered!A1379</f>
        <v>Susan</v>
      </c>
      <c r="C573" s="4" t="str">
        <f>IF(Registered!AR1379&gt;0,Registered!AR1379&amp;" Color Bags", "")</f>
        <v>40 Color Bags</v>
      </c>
      <c r="D573" s="4" t="str">
        <f>IF(Registered!AS1379&gt;0,(IF(Registered!AS1379=1,Registered!AS1379&amp;" T-Shirt",Registered!AS1379&amp;" T-Shirts")), "")</f>
        <v/>
      </c>
      <c r="E573" s="4" t="str">
        <f>Registered!AT1379</f>
        <v/>
      </c>
      <c r="F573" s="4" t="str">
        <f>Registered!AU1379</f>
        <v>2 Bandanas</v>
      </c>
      <c r="G573" s="4" t="str">
        <f>Registered!AW1379</f>
        <v/>
      </c>
      <c r="H573" s="4" t="str">
        <f>Registered!AX1379</f>
        <v>1 BG</v>
      </c>
      <c r="I573" s="4" t="str">
        <f>Registered!AY1379</f>
        <v/>
      </c>
    </row>
    <row r="574" spans="1:9" x14ac:dyDescent="0.25">
      <c r="A574" s="4" t="str">
        <f>Registered!B1380</f>
        <v>Ko Ko</v>
      </c>
      <c r="B574" s="4" t="str">
        <f>Registered!A1380</f>
        <v>Thant Mon</v>
      </c>
      <c r="C574" s="4" t="str">
        <f>IF(Registered!AR1380&gt;0,Registered!AR1380&amp;" Color Bags", "")</f>
        <v>10 Color Bags</v>
      </c>
      <c r="D574" s="4" t="str">
        <f>IF(Registered!AS1380&gt;0,(IF(Registered!AS1380=1,Registered!AS1380&amp;" T-Shirt",Registered!AS1380&amp;" T-Shirts")), "")</f>
        <v/>
      </c>
      <c r="E574" s="4" t="str">
        <f>Registered!AT1380</f>
        <v/>
      </c>
      <c r="F574" s="4" t="str">
        <f>Registered!AU1380</f>
        <v/>
      </c>
      <c r="G574" s="4" t="str">
        <f>Registered!AW1380</f>
        <v>2 Meals</v>
      </c>
      <c r="H574" s="4" t="str">
        <f>Registered!AX1380</f>
        <v/>
      </c>
      <c r="I574" s="4" t="str">
        <f>Registered!AY1380</f>
        <v/>
      </c>
    </row>
    <row r="575" spans="1:9" x14ac:dyDescent="0.25">
      <c r="A575" s="4" t="str">
        <f>Registered!B1385</f>
        <v>Kranc</v>
      </c>
      <c r="B575" s="4" t="str">
        <f>Registered!A1385</f>
        <v>Amber</v>
      </c>
      <c r="C575" s="4" t="str">
        <f>IF(Registered!AR1385&gt;0,Registered!AR1385&amp;" Color Bags", "")</f>
        <v>5 Color Bags</v>
      </c>
      <c r="D575" s="4" t="str">
        <f>IF(Registered!AS1385&gt;0,(IF(Registered!AS1385=1,Registered!AS1385&amp;" T-Shirt",Registered!AS1385&amp;" T-Shirts")), "")</f>
        <v/>
      </c>
      <c r="E575" s="4" t="str">
        <f>Registered!AT1385</f>
        <v/>
      </c>
      <c r="F575" s="4" t="str">
        <f>Registered!AU1385</f>
        <v/>
      </c>
      <c r="G575" s="4" t="str">
        <f>Registered!AW1385</f>
        <v/>
      </c>
      <c r="H575" s="4" t="str">
        <f>Registered!AX1385</f>
        <v/>
      </c>
      <c r="I575" s="4" t="str">
        <f>Registered!AY1385</f>
        <v/>
      </c>
    </row>
    <row r="576" spans="1:9" x14ac:dyDescent="0.25">
      <c r="A576" s="4" t="str">
        <f>Registered!B1387</f>
        <v>Krause</v>
      </c>
      <c r="B576" s="4" t="str">
        <f>Registered!A1387</f>
        <v>Michelle</v>
      </c>
      <c r="C576" s="4" t="str">
        <f>IF(Registered!AR1387&gt;0,Registered!AR1387&amp;" Color Bags", "")</f>
        <v>20 Color Bags</v>
      </c>
      <c r="D576" s="4" t="str">
        <f>IF(Registered!AS1387&gt;0,(IF(Registered!AS1387=1,Registered!AS1387&amp;" T-Shirt",Registered!AS1387&amp;" T-Shirts")), "")</f>
        <v>3 T-Shirts</v>
      </c>
      <c r="E576" s="4" t="str">
        <f>Registered!AT1387</f>
        <v>2 Large and 1 X-Large</v>
      </c>
      <c r="F576" s="4" t="str">
        <f>Registered!AU1387</f>
        <v/>
      </c>
      <c r="G576" s="4" t="str">
        <f>Registered!AW1387</f>
        <v/>
      </c>
      <c r="H576" s="4" t="str">
        <f>Registered!AX1387</f>
        <v/>
      </c>
      <c r="I576" s="4" t="str">
        <f>Registered!AY1387</f>
        <v/>
      </c>
    </row>
    <row r="577" spans="1:9" x14ac:dyDescent="0.25">
      <c r="A577" s="4" t="str">
        <f>Registered!B1389</f>
        <v>Krebs</v>
      </c>
      <c r="B577" s="4" t="str">
        <f>Registered!A1389</f>
        <v>Matthew</v>
      </c>
      <c r="C577" s="4" t="str">
        <f>IF(Registered!AR1389&gt;0,Registered!AR1389&amp;" Color Bags", "")</f>
        <v>10 Color Bags</v>
      </c>
      <c r="D577" s="4" t="str">
        <f>IF(Registered!AS1389&gt;0,(IF(Registered!AS1389=1,Registered!AS1389&amp;" T-Shirt",Registered!AS1389&amp;" T-Shirts")), "")</f>
        <v/>
      </c>
      <c r="E577" s="4" t="str">
        <f>Registered!AT1389</f>
        <v/>
      </c>
      <c r="F577" s="4" t="str">
        <f>Registered!AU1389</f>
        <v/>
      </c>
      <c r="G577" s="4" t="str">
        <f>Registered!AW1389</f>
        <v/>
      </c>
      <c r="H577" s="4" t="str">
        <f>Registered!AX1389</f>
        <v/>
      </c>
      <c r="I577" s="4" t="str">
        <f>Registered!AY1389</f>
        <v/>
      </c>
    </row>
    <row r="578" spans="1:9" x14ac:dyDescent="0.25">
      <c r="A578" s="4" t="str">
        <f>Registered!B1390</f>
        <v>Kreimeyer</v>
      </c>
      <c r="B578" s="4" t="str">
        <f>Registered!A1390</f>
        <v>Ara</v>
      </c>
      <c r="C578" s="4" t="str">
        <f>IF(Registered!AR1390&gt;0,Registered!AR1390&amp;" Color Bags", "")</f>
        <v>5 Color Bags</v>
      </c>
      <c r="D578" s="4" t="str">
        <f>IF(Registered!AS1390&gt;0,(IF(Registered!AS1390=1,Registered!AS1390&amp;" T-Shirt",Registered!AS1390&amp;" T-Shirts")), "")</f>
        <v/>
      </c>
      <c r="E578" s="4" t="str">
        <f>Registered!AT1390</f>
        <v/>
      </c>
      <c r="F578" s="4" t="str">
        <f>Registered!AU1390</f>
        <v/>
      </c>
      <c r="G578" s="4" t="str">
        <f>Registered!AW1390</f>
        <v/>
      </c>
      <c r="H578" s="4" t="str">
        <f>Registered!AX1390</f>
        <v/>
      </c>
      <c r="I578" s="4" t="str">
        <f>Registered!AY1390</f>
        <v/>
      </c>
    </row>
    <row r="579" spans="1:9" x14ac:dyDescent="0.25">
      <c r="A579" s="4" t="str">
        <f>Registered!B1391</f>
        <v>Krieger</v>
      </c>
      <c r="B579" s="4" t="str">
        <f>Registered!A1391</f>
        <v>Aaron</v>
      </c>
      <c r="C579" s="4" t="str">
        <f>IF(Registered!AR1391&gt;0,Registered!AR1391&amp;" Color Bags", "")</f>
        <v>5 Color Bags</v>
      </c>
      <c r="D579" s="4" t="str">
        <f>IF(Registered!AS1391&gt;0,(IF(Registered!AS1391=1,Registered!AS1391&amp;" T-Shirt",Registered!AS1391&amp;" T-Shirts")), "")</f>
        <v/>
      </c>
      <c r="E579" s="4" t="str">
        <f>Registered!AT1391</f>
        <v/>
      </c>
      <c r="F579" s="4" t="str">
        <f>Registered!AU1391</f>
        <v/>
      </c>
      <c r="G579" s="4" t="str">
        <f>Registered!AW1391</f>
        <v/>
      </c>
      <c r="H579" s="4" t="str">
        <f>Registered!AX1391</f>
        <v/>
      </c>
      <c r="I579" s="4" t="str">
        <f>Registered!AY1391</f>
        <v/>
      </c>
    </row>
    <row r="580" spans="1:9" x14ac:dyDescent="0.25">
      <c r="A580" s="4" t="str">
        <f>Registered!B1392</f>
        <v>Kros</v>
      </c>
      <c r="B580" s="4" t="str">
        <f>Registered!A1392</f>
        <v>BreAnna</v>
      </c>
      <c r="C580" s="4" t="str">
        <f>IF(Registered!AR1392&gt;0,Registered!AR1392&amp;" Color Bags", "")</f>
        <v>10 Color Bags</v>
      </c>
      <c r="D580" s="4" t="str">
        <f>IF(Registered!AS1392&gt;0,(IF(Registered!AS1392=1,Registered!AS1392&amp;" T-Shirt",Registered!AS1392&amp;" T-Shirts")), "")</f>
        <v>1 T-Shirt</v>
      </c>
      <c r="E580" s="4" t="str">
        <f>Registered!AT1392</f>
        <v>medium</v>
      </c>
      <c r="F580" s="4" t="str">
        <f>Registered!AU1392</f>
        <v>1 Bandana</v>
      </c>
      <c r="G580" s="4" t="str">
        <f>Registered!AW1392</f>
        <v>1 Meal</v>
      </c>
      <c r="H580" s="4" t="str">
        <f>Registered!AX1392</f>
        <v/>
      </c>
      <c r="I580" s="4" t="str">
        <f>Registered!AY1392</f>
        <v/>
      </c>
    </row>
    <row r="581" spans="1:9" x14ac:dyDescent="0.25">
      <c r="A581" s="4" t="str">
        <f>Registered!B1396</f>
        <v>Kunkel</v>
      </c>
      <c r="B581" s="4" t="str">
        <f>Registered!A1396</f>
        <v>Nathan</v>
      </c>
      <c r="C581" s="4" t="str">
        <f>IF(Registered!AR1396&gt;0,Registered!AR1396&amp;" Color Bags", "")</f>
        <v>10 Color Bags</v>
      </c>
      <c r="D581" s="4" t="str">
        <f>IF(Registered!AS1396&gt;0,(IF(Registered!AS1396=1,Registered!AS1396&amp;" T-Shirt",Registered!AS1396&amp;" T-Shirts")), "")</f>
        <v/>
      </c>
      <c r="E581" s="4" t="str">
        <f>Registered!AT1396</f>
        <v/>
      </c>
      <c r="F581" s="4" t="str">
        <f>Registered!AU1396</f>
        <v/>
      </c>
      <c r="G581" s="4" t="str">
        <f>Registered!AW1396</f>
        <v/>
      </c>
      <c r="H581" s="4" t="str">
        <f>Registered!AX1396</f>
        <v/>
      </c>
      <c r="I581" s="4" t="str">
        <f>Registered!AY1396</f>
        <v/>
      </c>
    </row>
    <row r="582" spans="1:9" x14ac:dyDescent="0.25">
      <c r="A582" s="4" t="str">
        <f>Registered!B1397</f>
        <v>Kunz</v>
      </c>
      <c r="B582" s="4" t="str">
        <f>Registered!A1397</f>
        <v>Ashley</v>
      </c>
      <c r="C582" s="4" t="str">
        <f>IF(Registered!AR1397&gt;0,Registered!AR1397&amp;" Color Bags", "")</f>
        <v>5 Color Bags</v>
      </c>
      <c r="D582" s="4" t="str">
        <f>IF(Registered!AS1397&gt;0,(IF(Registered!AS1397=1,Registered!AS1397&amp;" T-Shirt",Registered!AS1397&amp;" T-Shirts")), "")</f>
        <v/>
      </c>
      <c r="E582" s="4" t="str">
        <f>Registered!AT1397</f>
        <v/>
      </c>
      <c r="F582" s="4" t="str">
        <f>Registered!AU1397</f>
        <v/>
      </c>
      <c r="G582" s="4" t="str">
        <f>Registered!AW1397</f>
        <v/>
      </c>
      <c r="H582" s="4" t="str">
        <f>Registered!AX1397</f>
        <v/>
      </c>
      <c r="I582" s="4" t="str">
        <f>Registered!AY1397</f>
        <v/>
      </c>
    </row>
    <row r="583" spans="1:9" x14ac:dyDescent="0.25">
      <c r="A583" s="4" t="str">
        <f>Registered!B1398</f>
        <v>Kvamme</v>
      </c>
      <c r="B583" s="4" t="str">
        <f>Registered!A1398</f>
        <v>Alisha</v>
      </c>
      <c r="C583" s="4" t="str">
        <f>IF(Registered!AR1398&gt;0,Registered!AR1398&amp;" Color Bags", "")</f>
        <v>10 Color Bags</v>
      </c>
      <c r="D583" s="4" t="str">
        <f>IF(Registered!AS1398&gt;0,(IF(Registered!AS1398=1,Registered!AS1398&amp;" T-Shirt",Registered!AS1398&amp;" T-Shirts")), "")</f>
        <v/>
      </c>
      <c r="E583" s="4" t="str">
        <f>Registered!AT1398</f>
        <v/>
      </c>
      <c r="F583" s="4" t="str">
        <f>Registered!AU1398</f>
        <v/>
      </c>
      <c r="G583" s="4" t="str">
        <f>Registered!AW1398</f>
        <v/>
      </c>
      <c r="H583" s="4" t="str">
        <f>Registered!AX1398</f>
        <v/>
      </c>
      <c r="I583" s="4" t="str">
        <f>Registered!AY1398</f>
        <v/>
      </c>
    </row>
    <row r="584" spans="1:9" x14ac:dyDescent="0.25">
      <c r="A584" s="4" t="str">
        <f>Registered!B1401</f>
        <v>Labrum</v>
      </c>
      <c r="B584" s="4" t="str">
        <f>Registered!A1401</f>
        <v>Dakota</v>
      </c>
      <c r="C584" s="4" t="str">
        <f>IF(Registered!AR1401&gt;0,Registered!AR1401&amp;" Color Bags", "")</f>
        <v>10 Color Bags</v>
      </c>
      <c r="D584" s="4" t="str">
        <f>IF(Registered!AS1401&gt;0,(IF(Registered!AS1401=1,Registered!AS1401&amp;" T-Shirt",Registered!AS1401&amp;" T-Shirts")), "")</f>
        <v/>
      </c>
      <c r="E584" s="4" t="str">
        <f>Registered!AT1401</f>
        <v/>
      </c>
      <c r="F584" s="4" t="str">
        <f>Registered!AU1401</f>
        <v/>
      </c>
      <c r="G584" s="4" t="str">
        <f>Registered!AW1401</f>
        <v/>
      </c>
      <c r="H584" s="4" t="str">
        <f>Registered!AX1401</f>
        <v/>
      </c>
      <c r="I584" s="4" t="str">
        <f>Registered!AY1401</f>
        <v/>
      </c>
    </row>
    <row r="585" spans="1:9" x14ac:dyDescent="0.25">
      <c r="A585" s="4" t="str">
        <f>Registered!B1402</f>
        <v>Labrum</v>
      </c>
      <c r="B585" s="4" t="str">
        <f>Registered!A1402</f>
        <v>Rebecca</v>
      </c>
      <c r="C585" s="4" t="str">
        <f>IF(Registered!AR1402&gt;0,Registered!AR1402&amp;" Color Bags", "")</f>
        <v>5 Color Bags</v>
      </c>
      <c r="D585" s="4" t="str">
        <f>IF(Registered!AS1402&gt;0,(IF(Registered!AS1402=1,Registered!AS1402&amp;" T-Shirt",Registered!AS1402&amp;" T-Shirts")), "")</f>
        <v/>
      </c>
      <c r="E585" s="4" t="str">
        <f>Registered!AT1402</f>
        <v/>
      </c>
      <c r="F585" s="4" t="str">
        <f>Registered!AU1402</f>
        <v/>
      </c>
      <c r="G585" s="4" t="str">
        <f>Registered!AW1402</f>
        <v/>
      </c>
      <c r="H585" s="4" t="str">
        <f>Registered!AX1402</f>
        <v/>
      </c>
      <c r="I585" s="4" t="str">
        <f>Registered!AY1402</f>
        <v/>
      </c>
    </row>
    <row r="586" spans="1:9" x14ac:dyDescent="0.25">
      <c r="A586" s="4" t="str">
        <f>Registered!B1406</f>
        <v>Lam</v>
      </c>
      <c r="B586" s="4" t="str">
        <f>Registered!A1406</f>
        <v>Alec</v>
      </c>
      <c r="C586" s="4" t="str">
        <f>IF(Registered!AR1406&gt;0,Registered!AR1406&amp;" Color Bags", "")</f>
        <v>5 Color Bags</v>
      </c>
      <c r="D586" s="4" t="str">
        <f>IF(Registered!AS1406&gt;0,(IF(Registered!AS1406=1,Registered!AS1406&amp;" T-Shirt",Registered!AS1406&amp;" T-Shirts")), "")</f>
        <v/>
      </c>
      <c r="E586" s="4" t="str">
        <f>Registered!AT1406</f>
        <v/>
      </c>
      <c r="F586" s="4" t="str">
        <f>Registered!AU1406</f>
        <v/>
      </c>
      <c r="G586" s="4" t="str">
        <f>Registered!AW1406</f>
        <v/>
      </c>
      <c r="H586" s="4" t="str">
        <f>Registered!AX1406</f>
        <v/>
      </c>
      <c r="I586" s="4" t="str">
        <f>Registered!AY1406</f>
        <v/>
      </c>
    </row>
    <row r="587" spans="1:9" x14ac:dyDescent="0.25">
      <c r="A587" s="4" t="str">
        <f>Registered!B1408</f>
        <v>Lambert</v>
      </c>
      <c r="B587" s="4" t="str">
        <f>Registered!A1408</f>
        <v>Steph</v>
      </c>
      <c r="C587" s="4" t="str">
        <f>IF(Registered!AR1408&gt;0,Registered!AR1408&amp;" Color Bags", "")</f>
        <v>25 Color Bags</v>
      </c>
      <c r="D587" s="4" t="str">
        <f>IF(Registered!AS1408&gt;0,(IF(Registered!AS1408=1,Registered!AS1408&amp;" T-Shirt",Registered!AS1408&amp;" T-Shirts")), "")</f>
        <v>4 T-Shirts</v>
      </c>
      <c r="E587" s="4" t="str">
        <f>Registered!AT1408</f>
        <v>two extra large two large</v>
      </c>
      <c r="F587" s="4" t="str">
        <f>Registered!AU1408</f>
        <v>4 Bandanas</v>
      </c>
      <c r="G587" s="4" t="str">
        <f>Registered!AW1408</f>
        <v/>
      </c>
      <c r="H587" s="4" t="str">
        <f>Registered!AX1408</f>
        <v/>
      </c>
      <c r="I587" s="4" t="str">
        <f>Registered!AY1408</f>
        <v/>
      </c>
    </row>
    <row r="588" spans="1:9" x14ac:dyDescent="0.25">
      <c r="A588" s="4" t="str">
        <f>Registered!B1407</f>
        <v>Lambert</v>
      </c>
      <c r="B588" s="4" t="str">
        <f>Registered!A1407</f>
        <v>Brad</v>
      </c>
      <c r="C588" s="4" t="str">
        <f>IF(Registered!AR1407&gt;0,Registered!AR1407&amp;" Color Bags", "")</f>
        <v>30 Color Bags</v>
      </c>
      <c r="D588" s="4" t="str">
        <f>IF(Registered!AS1407&gt;0,(IF(Registered!AS1407=1,Registered!AS1407&amp;" T-Shirt",Registered!AS1407&amp;" T-Shirts")), "")</f>
        <v/>
      </c>
      <c r="E588" s="4" t="str">
        <f>Registered!AT1407</f>
        <v/>
      </c>
      <c r="F588" s="4" t="str">
        <f>Registered!AU1407</f>
        <v/>
      </c>
      <c r="G588" s="4" t="str">
        <f>Registered!AW1407</f>
        <v/>
      </c>
      <c r="H588" s="4" t="str">
        <f>Registered!AX1407</f>
        <v/>
      </c>
      <c r="I588" s="4" t="str">
        <f>Registered!AY1407</f>
        <v/>
      </c>
    </row>
    <row r="589" spans="1:9" x14ac:dyDescent="0.25">
      <c r="A589" s="4" t="str">
        <f>Registered!B1409</f>
        <v>Lamont</v>
      </c>
      <c r="B589" s="4" t="str">
        <f>Registered!A1409</f>
        <v>Brett</v>
      </c>
      <c r="C589" s="4" t="str">
        <f>IF(Registered!AR1409&gt;0,Registered!AR1409&amp;" Color Bags", "")</f>
        <v>5 Color Bags</v>
      </c>
      <c r="D589" s="4" t="str">
        <f>IF(Registered!AS1409&gt;0,(IF(Registered!AS1409=1,Registered!AS1409&amp;" T-Shirt",Registered!AS1409&amp;" T-Shirts")), "")</f>
        <v/>
      </c>
      <c r="E589" s="4" t="str">
        <f>Registered!AT1409</f>
        <v/>
      </c>
      <c r="F589" s="4" t="str">
        <f>Registered!AU1409</f>
        <v/>
      </c>
      <c r="G589" s="4" t="str">
        <f>Registered!AW1409</f>
        <v/>
      </c>
      <c r="H589" s="4" t="str">
        <f>Registered!AX1409</f>
        <v/>
      </c>
      <c r="I589" s="4" t="str">
        <f>Registered!AY1409</f>
        <v/>
      </c>
    </row>
    <row r="590" spans="1:9" x14ac:dyDescent="0.25">
      <c r="A590" s="4" t="str">
        <f>Registered!B1410</f>
        <v>Lange</v>
      </c>
      <c r="B590" s="4" t="str">
        <f>Registered!A1410</f>
        <v>Angel</v>
      </c>
      <c r="C590" s="4" t="str">
        <f>IF(Registered!AR1410&gt;0,Registered!AR1410&amp;" Color Bags", "")</f>
        <v>5 Color Bags</v>
      </c>
      <c r="D590" s="4" t="str">
        <f>IF(Registered!AS1410&gt;0,(IF(Registered!AS1410=1,Registered!AS1410&amp;" T-Shirt",Registered!AS1410&amp;" T-Shirts")), "")</f>
        <v/>
      </c>
      <c r="E590" s="4" t="str">
        <f>Registered!AT1410</f>
        <v/>
      </c>
      <c r="F590" s="4" t="str">
        <f>Registered!AU1410</f>
        <v/>
      </c>
      <c r="G590" s="4" t="str">
        <f>Registered!AW1410</f>
        <v/>
      </c>
      <c r="H590" s="4" t="str">
        <f>Registered!AX1410</f>
        <v/>
      </c>
      <c r="I590" s="4" t="str">
        <f>Registered!AY1410</f>
        <v/>
      </c>
    </row>
    <row r="591" spans="1:9" x14ac:dyDescent="0.25">
      <c r="A591" s="4" t="str">
        <f>Registered!B1411</f>
        <v>Lara</v>
      </c>
      <c r="B591" s="4" t="str">
        <f>Registered!A1411</f>
        <v>Chandler</v>
      </c>
      <c r="C591" s="4" t="str">
        <f>IF(Registered!AR1411&gt;0,Registered!AR1411&amp;" Color Bags", "")</f>
        <v>5 Color Bags</v>
      </c>
      <c r="D591" s="4" t="str">
        <f>IF(Registered!AS1411&gt;0,(IF(Registered!AS1411=1,Registered!AS1411&amp;" T-Shirt",Registered!AS1411&amp;" T-Shirts")), "")</f>
        <v/>
      </c>
      <c r="E591" s="4" t="str">
        <f>Registered!AT1411</f>
        <v/>
      </c>
      <c r="F591" s="4" t="str">
        <f>Registered!AU1411</f>
        <v/>
      </c>
      <c r="G591" s="4" t="str">
        <f>Registered!AW1411</f>
        <v/>
      </c>
      <c r="H591" s="4" t="str">
        <f>Registered!AX1411</f>
        <v/>
      </c>
      <c r="I591" s="4" t="str">
        <f>Registered!AY1411</f>
        <v/>
      </c>
    </row>
    <row r="592" spans="1:9" x14ac:dyDescent="0.25">
      <c r="A592" s="4" t="str">
        <f>Registered!B1413</f>
        <v>Larrabee</v>
      </c>
      <c r="B592" s="4" t="str">
        <f>Registered!A1413</f>
        <v>Nicole</v>
      </c>
      <c r="C592" s="4" t="str">
        <f>IF(Registered!AR1413&gt;0,Registered!AR1413&amp;" Color Bags", "")</f>
        <v>10 Color Bags</v>
      </c>
      <c r="D592" s="4" t="str">
        <f>IF(Registered!AS1413&gt;0,(IF(Registered!AS1413=1,Registered!AS1413&amp;" T-Shirt",Registered!AS1413&amp;" T-Shirts")), "")</f>
        <v/>
      </c>
      <c r="E592" s="4" t="str">
        <f>Registered!AT1413</f>
        <v/>
      </c>
      <c r="F592" s="4" t="str">
        <f>Registered!AU1413</f>
        <v/>
      </c>
      <c r="G592" s="4" t="str">
        <f>Registered!AW1413</f>
        <v/>
      </c>
      <c r="H592" s="4" t="str">
        <f>Registered!AX1413</f>
        <v/>
      </c>
      <c r="I592" s="4" t="str">
        <f>Registered!AY1413</f>
        <v/>
      </c>
    </row>
    <row r="593" spans="1:9" x14ac:dyDescent="0.25">
      <c r="A593" s="4" t="str">
        <f>Registered!B1418</f>
        <v>Larsen</v>
      </c>
      <c r="B593" s="4" t="str">
        <f>Registered!A1418</f>
        <v>Jamie</v>
      </c>
      <c r="C593" s="4" t="str">
        <f>IF(Registered!AR1418&gt;0,Registered!AR1418&amp;" Color Bags", "")</f>
        <v>10 Color Bags</v>
      </c>
      <c r="D593" s="4" t="str">
        <f>IF(Registered!AS1418&gt;0,(IF(Registered!AS1418=1,Registered!AS1418&amp;" T-Shirt",Registered!AS1418&amp;" T-Shirts")), "")</f>
        <v/>
      </c>
      <c r="E593" s="4" t="str">
        <f>Registered!AT1418</f>
        <v/>
      </c>
      <c r="F593" s="4" t="str">
        <f>Registered!AU1418</f>
        <v/>
      </c>
      <c r="G593" s="4" t="str">
        <f>Registered!AW1418</f>
        <v/>
      </c>
      <c r="H593" s="4" t="str">
        <f>Registered!AX1418</f>
        <v/>
      </c>
      <c r="I593" s="4" t="str">
        <f>Registered!AY1418</f>
        <v>1 DustMask</v>
      </c>
    </row>
    <row r="594" spans="1:9" x14ac:dyDescent="0.25">
      <c r="A594" s="4" t="str">
        <f>Registered!B1425</f>
        <v>Larsen</v>
      </c>
      <c r="B594" s="4" t="str">
        <f>Registered!A1425</f>
        <v>Tristen</v>
      </c>
      <c r="C594" s="4" t="str">
        <f>IF(Registered!AR1425&gt;0,Registered!AR1425&amp;" Color Bags", "")</f>
        <v>20 Color Bags</v>
      </c>
      <c r="D594" s="4" t="str">
        <f>IF(Registered!AS1425&gt;0,(IF(Registered!AS1425=1,Registered!AS1425&amp;" T-Shirt",Registered!AS1425&amp;" T-Shirts")), "")</f>
        <v/>
      </c>
      <c r="E594" s="4" t="str">
        <f>Registered!AT1425</f>
        <v/>
      </c>
      <c r="F594" s="4" t="str">
        <f>Registered!AU1425</f>
        <v/>
      </c>
      <c r="G594" s="4" t="str">
        <f>Registered!AW1425</f>
        <v/>
      </c>
      <c r="H594" s="4" t="str">
        <f>Registered!AX1425</f>
        <v/>
      </c>
      <c r="I594" s="4" t="str">
        <f>Registered!AY1425</f>
        <v/>
      </c>
    </row>
    <row r="595" spans="1:9" x14ac:dyDescent="0.25">
      <c r="A595" s="4" t="str">
        <f>Registered!B1414</f>
        <v>Larsen</v>
      </c>
      <c r="B595" s="4" t="str">
        <f>Registered!A1414</f>
        <v>Frankie</v>
      </c>
      <c r="C595" s="4" t="str">
        <f>IF(Registered!AR1414&gt;0,Registered!AR1414&amp;" Color Bags", "")</f>
        <v>30 Color Bags</v>
      </c>
      <c r="D595" s="4" t="str">
        <f>IF(Registered!AS1414&gt;0,(IF(Registered!AS1414=1,Registered!AS1414&amp;" T-Shirt",Registered!AS1414&amp;" T-Shirts")), "")</f>
        <v/>
      </c>
      <c r="E595" s="4" t="str">
        <f>Registered!AT1414</f>
        <v/>
      </c>
      <c r="F595" s="4" t="str">
        <f>Registered!AU1414</f>
        <v/>
      </c>
      <c r="G595" s="4" t="str">
        <f>Registered!AW1414</f>
        <v/>
      </c>
      <c r="H595" s="4" t="str">
        <f>Registered!AX1414</f>
        <v/>
      </c>
      <c r="I595" s="4" t="str">
        <f>Registered!AY1414</f>
        <v/>
      </c>
    </row>
    <row r="596" spans="1:9" x14ac:dyDescent="0.25">
      <c r="A596" s="4" t="str">
        <f>Registered!B1428</f>
        <v>Larson</v>
      </c>
      <c r="B596" s="4" t="str">
        <f>Registered!A1428</f>
        <v>Joseph</v>
      </c>
      <c r="C596" s="4" t="str">
        <f>IF(Registered!AR1428&gt;0,Registered!AR1428&amp;" Color Bags", "")</f>
        <v>10 Color Bags</v>
      </c>
      <c r="D596" s="4" t="str">
        <f>IF(Registered!AS1428&gt;0,(IF(Registered!AS1428=1,Registered!AS1428&amp;" T-Shirt",Registered!AS1428&amp;" T-Shirts")), "")</f>
        <v>2 T-Shirts</v>
      </c>
      <c r="E596" s="4" t="str">
        <f>Registered!AT1428</f>
        <v>One XXL and one Medium.</v>
      </c>
      <c r="F596" s="4" t="str">
        <f>Registered!AU1428</f>
        <v/>
      </c>
      <c r="G596" s="4" t="str">
        <f>Registered!AW1428</f>
        <v>2 Meals</v>
      </c>
      <c r="H596" s="4" t="str">
        <f>Registered!AX1428</f>
        <v/>
      </c>
      <c r="I596" s="4" t="str">
        <f>Registered!AY1428</f>
        <v/>
      </c>
    </row>
    <row r="597" spans="1:9" x14ac:dyDescent="0.25">
      <c r="A597" s="4" t="str">
        <f>Registered!B1427</f>
        <v>Larson</v>
      </c>
      <c r="B597" s="4" t="str">
        <f>Registered!A1427</f>
        <v>Alyssa</v>
      </c>
      <c r="C597" s="4" t="str">
        <f>IF(Registered!AR1427&gt;0,Registered!AR1427&amp;" Color Bags", "")</f>
        <v>5 Color Bags</v>
      </c>
      <c r="D597" s="4" t="str">
        <f>IF(Registered!AS1427&gt;0,(IF(Registered!AS1427=1,Registered!AS1427&amp;" T-Shirt",Registered!AS1427&amp;" T-Shirts")), "")</f>
        <v/>
      </c>
      <c r="E597" s="4" t="str">
        <f>Registered!AT1427</f>
        <v/>
      </c>
      <c r="F597" s="4" t="str">
        <f>Registered!AU1427</f>
        <v/>
      </c>
      <c r="G597" s="4" t="str">
        <f>Registered!AW1427</f>
        <v/>
      </c>
      <c r="H597" s="4" t="str">
        <f>Registered!AX1427</f>
        <v/>
      </c>
      <c r="I597" s="4" t="str">
        <f>Registered!AY1427</f>
        <v/>
      </c>
    </row>
    <row r="598" spans="1:9" x14ac:dyDescent="0.25">
      <c r="A598" s="4" t="str">
        <f>Registered!B1431</f>
        <v>Last</v>
      </c>
      <c r="B598" s="4" t="str">
        <f>Registered!A1431</f>
        <v>Felicia</v>
      </c>
      <c r="C598" s="4" t="str">
        <f>IF(Registered!AR1431&gt;0,Registered!AR1431&amp;" Color Bags", "")</f>
        <v>5 Color Bags</v>
      </c>
      <c r="D598" s="4" t="str">
        <f>IF(Registered!AS1431&gt;0,(IF(Registered!AS1431=1,Registered!AS1431&amp;" T-Shirt",Registered!AS1431&amp;" T-Shirts")), "")</f>
        <v/>
      </c>
      <c r="E598" s="4" t="str">
        <f>Registered!AT1431</f>
        <v/>
      </c>
      <c r="F598" s="4" t="str">
        <f>Registered!AU1431</f>
        <v/>
      </c>
      <c r="G598" s="4" t="str">
        <f>Registered!AW1431</f>
        <v/>
      </c>
      <c r="H598" s="4" t="str">
        <f>Registered!AX1431</f>
        <v/>
      </c>
      <c r="I598" s="4" t="str">
        <f>Registered!AY1431</f>
        <v/>
      </c>
    </row>
    <row r="599" spans="1:9" x14ac:dyDescent="0.25">
      <c r="A599" s="4" t="str">
        <f>Registered!B1433</f>
        <v>Lauchnor</v>
      </c>
      <c r="B599" s="4" t="str">
        <f>Registered!A1433</f>
        <v>Joe</v>
      </c>
      <c r="C599" s="4" t="str">
        <f>IF(Registered!AR1433&gt;0,Registered!AR1433&amp;" Color Bags", "")</f>
        <v>10 Color Bags</v>
      </c>
      <c r="D599" s="4" t="str">
        <f>IF(Registered!AS1433&gt;0,(IF(Registered!AS1433=1,Registered!AS1433&amp;" T-Shirt",Registered!AS1433&amp;" T-Shirts")), "")</f>
        <v/>
      </c>
      <c r="E599" s="4" t="str">
        <f>Registered!AT1433</f>
        <v/>
      </c>
      <c r="F599" s="4" t="str">
        <f>Registered!AU1433</f>
        <v/>
      </c>
      <c r="G599" s="4" t="str">
        <f>Registered!AW1433</f>
        <v/>
      </c>
      <c r="H599" s="4" t="str">
        <f>Registered!AX1433</f>
        <v/>
      </c>
      <c r="I599" s="4" t="str">
        <f>Registered!AY1433</f>
        <v/>
      </c>
    </row>
    <row r="600" spans="1:9" x14ac:dyDescent="0.25">
      <c r="A600" s="4" t="str">
        <f>Registered!B1434</f>
        <v>Laus</v>
      </c>
      <c r="B600" s="4" t="str">
        <f>Registered!A1434</f>
        <v>Kristin</v>
      </c>
      <c r="C600" s="4" t="str">
        <f>IF(Registered!AR1434&gt;0,Registered!AR1434&amp;" Color Bags", "")</f>
        <v>20 Color Bags</v>
      </c>
      <c r="D600" s="4" t="str">
        <f>IF(Registered!AS1434&gt;0,(IF(Registered!AS1434=1,Registered!AS1434&amp;" T-Shirt",Registered!AS1434&amp;" T-Shirts")), "")</f>
        <v/>
      </c>
      <c r="E600" s="4" t="str">
        <f>Registered!AT1434</f>
        <v/>
      </c>
      <c r="F600" s="4" t="str">
        <f>Registered!AU1434</f>
        <v/>
      </c>
      <c r="G600" s="4" t="str">
        <f>Registered!AW1434</f>
        <v>4 Meals</v>
      </c>
      <c r="H600" s="4" t="str">
        <f>Registered!AX1434</f>
        <v/>
      </c>
      <c r="I600" s="4" t="str">
        <f>Registered!AY1434</f>
        <v/>
      </c>
    </row>
    <row r="601" spans="1:9" x14ac:dyDescent="0.25">
      <c r="A601" s="4" t="str">
        <f>Registered!B1436</f>
        <v>Leabman</v>
      </c>
      <c r="B601" s="4" t="str">
        <f>Registered!A1436</f>
        <v>James</v>
      </c>
      <c r="C601" s="4" t="str">
        <f>IF(Registered!AR1436&gt;0,Registered!AR1436&amp;" Color Bags", "")</f>
        <v>10 Color Bags</v>
      </c>
      <c r="D601" s="4" t="str">
        <f>IF(Registered!AS1436&gt;0,(IF(Registered!AS1436=1,Registered!AS1436&amp;" T-Shirt",Registered!AS1436&amp;" T-Shirts")), "")</f>
        <v>2 T-Shirts</v>
      </c>
      <c r="E601" s="4" t="str">
        <f>Registered!AT1436</f>
        <v>1 Medium, 1 Large</v>
      </c>
      <c r="F601" s="4" t="str">
        <f>Registered!AU1436</f>
        <v/>
      </c>
      <c r="G601" s="4" t="str">
        <f>Registered!AW1436</f>
        <v/>
      </c>
      <c r="H601" s="4" t="str">
        <f>Registered!AX1436</f>
        <v/>
      </c>
      <c r="I601" s="4" t="str">
        <f>Registered!AY1436</f>
        <v/>
      </c>
    </row>
    <row r="602" spans="1:9" x14ac:dyDescent="0.25">
      <c r="A602" s="4" t="str">
        <f>Registered!B1438</f>
        <v>Leach</v>
      </c>
      <c r="B602" s="4" t="str">
        <f>Registered!A1438</f>
        <v>Joseph</v>
      </c>
      <c r="C602" s="4" t="str">
        <f>IF(Registered!AR1438&gt;0,Registered!AR1438&amp;" Color Bags", "")</f>
        <v>25 Color Bags</v>
      </c>
      <c r="D602" s="4" t="str">
        <f>IF(Registered!AS1438&gt;0,(IF(Registered!AS1438=1,Registered!AS1438&amp;" T-Shirt",Registered!AS1438&amp;" T-Shirts")), "")</f>
        <v>5 T-Shirts</v>
      </c>
      <c r="E602" s="4" t="str">
        <f>Registered!AT1438</f>
        <v>One XL, two Large, two medium</v>
      </c>
      <c r="F602" s="4" t="str">
        <f>Registered!AU1438</f>
        <v/>
      </c>
      <c r="G602" s="4" t="str">
        <f>Registered!AW1438</f>
        <v>5 Meals</v>
      </c>
      <c r="H602" s="4" t="str">
        <f>Registered!AX1438</f>
        <v/>
      </c>
      <c r="I602" s="4" t="str">
        <f>Registered!AY1438</f>
        <v>2 DustMask</v>
      </c>
    </row>
    <row r="603" spans="1:9" x14ac:dyDescent="0.25">
      <c r="A603" s="4" t="str">
        <f>Registered!B1441</f>
        <v>LeBaron</v>
      </c>
      <c r="B603" s="4" t="str">
        <f>Registered!A1441</f>
        <v>Steven</v>
      </c>
      <c r="C603" s="4" t="str">
        <f>IF(Registered!AR1441&gt;0,Registered!AR1441&amp;" Color Bags", "")</f>
        <v>10 Color Bags</v>
      </c>
      <c r="D603" s="4" t="str">
        <f>IF(Registered!AS1441&gt;0,(IF(Registered!AS1441=1,Registered!AS1441&amp;" T-Shirt",Registered!AS1441&amp;" T-Shirts")), "")</f>
        <v/>
      </c>
      <c r="E603" s="4" t="str">
        <f>Registered!AT1441</f>
        <v/>
      </c>
      <c r="F603" s="4" t="str">
        <f>Registered!AU1441</f>
        <v/>
      </c>
      <c r="G603" s="4" t="str">
        <f>Registered!AW1441</f>
        <v/>
      </c>
      <c r="H603" s="4" t="str">
        <f>Registered!AX1441</f>
        <v/>
      </c>
      <c r="I603" s="4" t="str">
        <f>Registered!AY1441</f>
        <v/>
      </c>
    </row>
    <row r="604" spans="1:9" x14ac:dyDescent="0.25">
      <c r="A604" s="4" t="str">
        <f>Registered!B1442</f>
        <v>Ledna</v>
      </c>
      <c r="B604" s="4" t="str">
        <f>Registered!A1442</f>
        <v>Timothy</v>
      </c>
      <c r="C604" s="4" t="str">
        <f>IF(Registered!AR1442&gt;0,Registered!AR1442&amp;" Color Bags", "")</f>
        <v>40 Color Bags</v>
      </c>
      <c r="D604" s="4" t="str">
        <f>IF(Registered!AS1442&gt;0,(IF(Registered!AS1442=1,Registered!AS1442&amp;" T-Shirt",Registered!AS1442&amp;" T-Shirts")), "")</f>
        <v/>
      </c>
      <c r="E604" s="4" t="str">
        <f>Registered!AT1442</f>
        <v/>
      </c>
      <c r="F604" s="4" t="str">
        <f>Registered!AU1442</f>
        <v/>
      </c>
      <c r="G604" s="4" t="str">
        <f>Registered!AW1442</f>
        <v/>
      </c>
      <c r="H604" s="4" t="str">
        <f>Registered!AX1442</f>
        <v/>
      </c>
      <c r="I604" s="4" t="str">
        <f>Registered!AY1442</f>
        <v/>
      </c>
    </row>
    <row r="605" spans="1:9" x14ac:dyDescent="0.25">
      <c r="A605" s="4" t="str">
        <f>Registered!B1445</f>
        <v>Lee</v>
      </c>
      <c r="B605" s="4" t="str">
        <f>Registered!A1445</f>
        <v>Charles</v>
      </c>
      <c r="C605" s="4" t="str">
        <f>IF(Registered!AR1445&gt;0,Registered!AR1445&amp;" Color Bags", "")</f>
        <v>5 Color Bags</v>
      </c>
      <c r="D605" s="4" t="str">
        <f>IF(Registered!AS1445&gt;0,(IF(Registered!AS1445=1,Registered!AS1445&amp;" T-Shirt",Registered!AS1445&amp;" T-Shirts")), "")</f>
        <v/>
      </c>
      <c r="E605" s="4" t="str">
        <f>Registered!AT1445</f>
        <v/>
      </c>
      <c r="F605" s="4" t="str">
        <f>Registered!AU1445</f>
        <v/>
      </c>
      <c r="G605" s="4" t="str">
        <f>Registered!AW1445</f>
        <v/>
      </c>
      <c r="H605" s="4" t="str">
        <f>Registered!AX1445</f>
        <v/>
      </c>
      <c r="I605" s="4" t="str">
        <f>Registered!AY1445</f>
        <v/>
      </c>
    </row>
    <row r="606" spans="1:9" x14ac:dyDescent="0.25">
      <c r="A606" s="4" t="str">
        <f>Registered!B1449</f>
        <v>Leek</v>
      </c>
      <c r="B606" s="4" t="str">
        <f>Registered!A1449</f>
        <v>Marcie</v>
      </c>
      <c r="C606" s="4" t="str">
        <f>IF(Registered!AR1449&gt;0,Registered!AR1449&amp;" Color Bags", "")</f>
        <v>10 Color Bags</v>
      </c>
      <c r="D606" s="4" t="str">
        <f>IF(Registered!AS1449&gt;0,(IF(Registered!AS1449=1,Registered!AS1449&amp;" T-Shirt",Registered!AS1449&amp;" T-Shirts")), "")</f>
        <v/>
      </c>
      <c r="E606" s="4" t="str">
        <f>Registered!AT1449</f>
        <v/>
      </c>
      <c r="F606" s="4" t="str">
        <f>Registered!AU1449</f>
        <v/>
      </c>
      <c r="G606" s="4" t="str">
        <f>Registered!AW1449</f>
        <v/>
      </c>
      <c r="H606" s="4" t="str">
        <f>Registered!AX1449</f>
        <v/>
      </c>
      <c r="I606" s="4" t="str">
        <f>Registered!AY1449</f>
        <v/>
      </c>
    </row>
    <row r="607" spans="1:9" x14ac:dyDescent="0.25">
      <c r="A607" s="4" t="str">
        <f>Registered!B1451</f>
        <v>Leetham</v>
      </c>
      <c r="B607" s="4" t="str">
        <f>Registered!A1451</f>
        <v>Shawna</v>
      </c>
      <c r="C607" s="4" t="str">
        <f>IF(Registered!AR1451&gt;0,Registered!AR1451&amp;" Color Bags", "")</f>
        <v>10 Color Bags</v>
      </c>
      <c r="D607" s="4" t="str">
        <f>IF(Registered!AS1451&gt;0,(IF(Registered!AS1451=1,Registered!AS1451&amp;" T-Shirt",Registered!AS1451&amp;" T-Shirts")), "")</f>
        <v/>
      </c>
      <c r="E607" s="4" t="str">
        <f>Registered!AT1451</f>
        <v/>
      </c>
      <c r="F607" s="4" t="str">
        <f>Registered!AU1451</f>
        <v/>
      </c>
      <c r="G607" s="4" t="str">
        <f>Registered!AW1451</f>
        <v/>
      </c>
      <c r="H607" s="4" t="str">
        <f>Registered!AX1451</f>
        <v/>
      </c>
      <c r="I607" s="4" t="str">
        <f>Registered!AY1451</f>
        <v/>
      </c>
    </row>
    <row r="608" spans="1:9" x14ac:dyDescent="0.25">
      <c r="A608" s="4" t="str">
        <f>Registered!B1455</f>
        <v>Leifson</v>
      </c>
      <c r="B608" s="4" t="str">
        <f>Registered!A1455</f>
        <v>Audrey</v>
      </c>
      <c r="C608" s="4" t="str">
        <f>IF(Registered!AR1455&gt;0,Registered!AR1455&amp;" Color Bags", "")</f>
        <v>5 Color Bags</v>
      </c>
      <c r="D608" s="4" t="str">
        <f>IF(Registered!AS1455&gt;0,(IF(Registered!AS1455=1,Registered!AS1455&amp;" T-Shirt",Registered!AS1455&amp;" T-Shirts")), "")</f>
        <v/>
      </c>
      <c r="E608" s="4" t="str">
        <f>Registered!AT1455</f>
        <v/>
      </c>
      <c r="F608" s="4" t="str">
        <f>Registered!AU1455</f>
        <v/>
      </c>
      <c r="G608" s="4" t="str">
        <f>Registered!AW1455</f>
        <v/>
      </c>
      <c r="H608" s="4" t="str">
        <f>Registered!AX1455</f>
        <v/>
      </c>
      <c r="I608" s="4" t="str">
        <f>Registered!AY1455</f>
        <v/>
      </c>
    </row>
    <row r="609" spans="1:9" x14ac:dyDescent="0.25">
      <c r="A609" s="4" t="str">
        <f>Registered!B1456</f>
        <v>Lemmon</v>
      </c>
      <c r="B609" s="4" t="str">
        <f>Registered!A1456</f>
        <v>Anna</v>
      </c>
      <c r="C609" s="4" t="str">
        <f>IF(Registered!AR1456&gt;0,Registered!AR1456&amp;" Color Bags", "")</f>
        <v>5 Color Bags</v>
      </c>
      <c r="D609" s="4" t="str">
        <f>IF(Registered!AS1456&gt;0,(IF(Registered!AS1456=1,Registered!AS1456&amp;" T-Shirt",Registered!AS1456&amp;" T-Shirts")), "")</f>
        <v/>
      </c>
      <c r="E609" s="4" t="str">
        <f>Registered!AT1456</f>
        <v/>
      </c>
      <c r="F609" s="4" t="str">
        <f>Registered!AU1456</f>
        <v/>
      </c>
      <c r="G609" s="4" t="str">
        <f>Registered!AW1456</f>
        <v/>
      </c>
      <c r="H609" s="4" t="str">
        <f>Registered!AX1456</f>
        <v/>
      </c>
      <c r="I609" s="4" t="str">
        <f>Registered!AY1456</f>
        <v/>
      </c>
    </row>
    <row r="610" spans="1:9" x14ac:dyDescent="0.25">
      <c r="A610" s="4" t="str">
        <f>Registered!B1460</f>
        <v>Leon</v>
      </c>
      <c r="B610" s="4" t="str">
        <f>Registered!A1460</f>
        <v>Amber</v>
      </c>
      <c r="C610" s="4" t="str">
        <f>IF(Registered!AR1460&gt;0,Registered!AR1460&amp;" Color Bags", "")</f>
        <v>10 Color Bags</v>
      </c>
      <c r="D610" s="4" t="str">
        <f>IF(Registered!AS1460&gt;0,(IF(Registered!AS1460=1,Registered!AS1460&amp;" T-Shirt",Registered!AS1460&amp;" T-Shirts")), "")</f>
        <v/>
      </c>
      <c r="E610" s="4" t="str">
        <f>Registered!AT1460</f>
        <v/>
      </c>
      <c r="F610" s="4" t="str">
        <f>Registered!AU1460</f>
        <v/>
      </c>
      <c r="G610" s="4" t="str">
        <f>Registered!AW1460</f>
        <v/>
      </c>
      <c r="H610" s="4" t="str">
        <f>Registered!AX1460</f>
        <v/>
      </c>
      <c r="I610" s="4" t="str">
        <f>Registered!AY1460</f>
        <v/>
      </c>
    </row>
    <row r="611" spans="1:9" x14ac:dyDescent="0.25">
      <c r="A611" s="4" t="str">
        <f>Registered!B1461</f>
        <v>Leon</v>
      </c>
      <c r="B611" s="4" t="str">
        <f>Registered!A1461</f>
        <v>Andrea</v>
      </c>
      <c r="C611" s="4" t="str">
        <f>IF(Registered!AR1461&gt;0,Registered!AR1461&amp;" Color Bags", "")</f>
        <v>10 Color Bags</v>
      </c>
      <c r="D611" s="4" t="str">
        <f>IF(Registered!AS1461&gt;0,(IF(Registered!AS1461=1,Registered!AS1461&amp;" T-Shirt",Registered!AS1461&amp;" T-Shirts")), "")</f>
        <v>2 T-Shirts</v>
      </c>
      <c r="E611" s="4" t="str">
        <f>Registered!AT1461</f>
        <v>woman's size medium and man's size XL</v>
      </c>
      <c r="F611" s="4" t="str">
        <f>Registered!AU1461</f>
        <v/>
      </c>
      <c r="G611" s="4" t="str">
        <f>Registered!AW1461</f>
        <v/>
      </c>
      <c r="H611" s="4" t="str">
        <f>Registered!AX1461</f>
        <v/>
      </c>
      <c r="I611" s="4" t="str">
        <f>Registered!AY1461</f>
        <v/>
      </c>
    </row>
    <row r="612" spans="1:9" x14ac:dyDescent="0.25">
      <c r="A612" s="4" t="str">
        <f>Registered!B1462</f>
        <v>Leonelli Gober</v>
      </c>
      <c r="B612" s="4" t="str">
        <f>Registered!A1462</f>
        <v>Libby</v>
      </c>
      <c r="C612" s="4" t="str">
        <f>IF(Registered!AR1462&gt;0,Registered!AR1462&amp;" Color Bags", "")</f>
        <v>10 Color Bags</v>
      </c>
      <c r="D612" s="4" t="str">
        <f>IF(Registered!AS1462&gt;0,(IF(Registered!AS1462=1,Registered!AS1462&amp;" T-Shirt",Registered!AS1462&amp;" T-Shirts")), "")</f>
        <v/>
      </c>
      <c r="E612" s="4" t="str">
        <f>Registered!AT1462</f>
        <v/>
      </c>
      <c r="F612" s="4" t="str">
        <f>Registered!AU1462</f>
        <v/>
      </c>
      <c r="G612" s="4" t="str">
        <f>Registered!AW1462</f>
        <v/>
      </c>
      <c r="H612" s="4" t="str">
        <f>Registered!AX1462</f>
        <v/>
      </c>
      <c r="I612" s="4" t="str">
        <f>Registered!AY1462</f>
        <v/>
      </c>
    </row>
    <row r="613" spans="1:9" x14ac:dyDescent="0.25">
      <c r="A613" s="4" t="str">
        <f>Registered!B1469</f>
        <v>Lewis</v>
      </c>
      <c r="B613" s="4" t="str">
        <f>Registered!A1469</f>
        <v>Jeff</v>
      </c>
      <c r="C613" s="4" t="str">
        <f>IF(Registered!AR1469&gt;0,Registered!AR1469&amp;" Color Bags", "")</f>
        <v>5 Color Bags</v>
      </c>
      <c r="D613" s="4" t="str">
        <f>IF(Registered!AS1469&gt;0,(IF(Registered!AS1469=1,Registered!AS1469&amp;" T-Shirt",Registered!AS1469&amp;" T-Shirts")), "")</f>
        <v/>
      </c>
      <c r="E613" s="4" t="str">
        <f>Registered!AT1469</f>
        <v/>
      </c>
      <c r="F613" s="4" t="str">
        <f>Registered!AU1469</f>
        <v/>
      </c>
      <c r="G613" s="4" t="str">
        <f>Registered!AW1469</f>
        <v/>
      </c>
      <c r="H613" s="4" t="str">
        <f>Registered!AX1469</f>
        <v/>
      </c>
      <c r="I613" s="4" t="str">
        <f>Registered!AY1469</f>
        <v/>
      </c>
    </row>
    <row r="614" spans="1:9" x14ac:dyDescent="0.25">
      <c r="A614" s="4" t="str">
        <f>Registered!B1471</f>
        <v>Liddell</v>
      </c>
      <c r="B614" s="4" t="str">
        <f>Registered!A1471</f>
        <v>Haily</v>
      </c>
      <c r="C614" s="4" t="str">
        <f>IF(Registered!AR1471&gt;0,Registered!AR1471&amp;" Color Bags", "")</f>
        <v>40 Color Bags</v>
      </c>
      <c r="D614" s="4" t="str">
        <f>IF(Registered!AS1471&gt;0,(IF(Registered!AS1471=1,Registered!AS1471&amp;" T-Shirt",Registered!AS1471&amp;" T-Shirts")), "")</f>
        <v/>
      </c>
      <c r="E614" s="4" t="str">
        <f>Registered!AT1471</f>
        <v/>
      </c>
      <c r="F614" s="4" t="str">
        <f>Registered!AU1471</f>
        <v/>
      </c>
      <c r="G614" s="4" t="str">
        <f>Registered!AW1471</f>
        <v/>
      </c>
      <c r="H614" s="4" t="str">
        <f>Registered!AX1471</f>
        <v/>
      </c>
      <c r="I614" s="4" t="str">
        <f>Registered!AY1471</f>
        <v/>
      </c>
    </row>
    <row r="615" spans="1:9" x14ac:dyDescent="0.25">
      <c r="A615" s="4" t="str">
        <f>Registered!B1477</f>
        <v>Lisenbee</v>
      </c>
      <c r="B615" s="4" t="str">
        <f>Registered!A1477</f>
        <v>Kim</v>
      </c>
      <c r="C615" s="4" t="str">
        <f>IF(Registered!AR1477&gt;0,Registered!AR1477&amp;" Color Bags", "")</f>
        <v>10 Color Bags</v>
      </c>
      <c r="D615" s="4" t="str">
        <f>IF(Registered!AS1477&gt;0,(IF(Registered!AS1477=1,Registered!AS1477&amp;" T-Shirt",Registered!AS1477&amp;" T-Shirts")), "")</f>
        <v>1 T-Shirt</v>
      </c>
      <c r="E615" s="4" t="str">
        <f>Registered!AT1477</f>
        <v>medium</v>
      </c>
      <c r="F615" s="4" t="str">
        <f>Registered!AU1477</f>
        <v>1 Bandana</v>
      </c>
      <c r="G615" s="4" t="str">
        <f>Registered!AW1477</f>
        <v>1 Meal</v>
      </c>
      <c r="H615" s="4" t="str">
        <f>Registered!AX1477</f>
        <v/>
      </c>
      <c r="I615" s="4" t="str">
        <f>Registered!AY1477</f>
        <v/>
      </c>
    </row>
    <row r="616" spans="1:9" x14ac:dyDescent="0.25">
      <c r="A616" s="4" t="str">
        <f>Registered!B1478</f>
        <v>Liston</v>
      </c>
      <c r="B616" s="4" t="str">
        <f>Registered!A1478</f>
        <v>Corrin</v>
      </c>
      <c r="C616" s="4" t="str">
        <f>IF(Registered!AR1478&gt;0,Registered!AR1478&amp;" Color Bags", "")</f>
        <v>10 Color Bags</v>
      </c>
      <c r="D616" s="4" t="str">
        <f>IF(Registered!AS1478&gt;0,(IF(Registered!AS1478=1,Registered!AS1478&amp;" T-Shirt",Registered!AS1478&amp;" T-Shirts")), "")</f>
        <v/>
      </c>
      <c r="E616" s="4" t="str">
        <f>Registered!AT1478</f>
        <v/>
      </c>
      <c r="F616" s="4" t="str">
        <f>Registered!AU1478</f>
        <v/>
      </c>
      <c r="G616" s="4" t="str">
        <f>Registered!AW1478</f>
        <v>2 Meals</v>
      </c>
      <c r="H616" s="4" t="str">
        <f>Registered!AX1478</f>
        <v/>
      </c>
      <c r="I616" s="4" t="str">
        <f>Registered!AY1478</f>
        <v/>
      </c>
    </row>
    <row r="617" spans="1:9" x14ac:dyDescent="0.25">
      <c r="A617" s="4" t="str">
        <f>Registered!B1479</f>
        <v>Little</v>
      </c>
      <c r="B617" s="4" t="str">
        <f>Registered!A1479</f>
        <v>Adam</v>
      </c>
      <c r="C617" s="4" t="str">
        <f>IF(Registered!AR1479&gt;0,Registered!AR1479&amp;" Color Bags", "")</f>
        <v>10 Color Bags</v>
      </c>
      <c r="D617" s="4" t="str">
        <f>IF(Registered!AS1479&gt;0,(IF(Registered!AS1479=1,Registered!AS1479&amp;" T-Shirt",Registered!AS1479&amp;" T-Shirts")), "")</f>
        <v/>
      </c>
      <c r="E617" s="4" t="str">
        <f>Registered!AT1479</f>
        <v/>
      </c>
      <c r="F617" s="4" t="str">
        <f>Registered!AU1479</f>
        <v/>
      </c>
      <c r="G617" s="4" t="str">
        <f>Registered!AW1479</f>
        <v/>
      </c>
      <c r="H617" s="4" t="str">
        <f>Registered!AX1479</f>
        <v/>
      </c>
      <c r="I617" s="4" t="str">
        <f>Registered!AY1479</f>
        <v/>
      </c>
    </row>
    <row r="618" spans="1:9" x14ac:dyDescent="0.25">
      <c r="A618" s="4" t="str">
        <f>Registered!B1482</f>
        <v>Livingston</v>
      </c>
      <c r="B618" s="4" t="str">
        <f>Registered!A1482</f>
        <v>Amy</v>
      </c>
      <c r="C618" s="4" t="str">
        <f>IF(Registered!AR1482&gt;0,Registered!AR1482&amp;" Color Bags", "")</f>
        <v>20 Color Bags</v>
      </c>
      <c r="D618" s="4" t="str">
        <f>IF(Registered!AS1482&gt;0,(IF(Registered!AS1482=1,Registered!AS1482&amp;" T-Shirt",Registered!AS1482&amp;" T-Shirts")), "")</f>
        <v/>
      </c>
      <c r="E618" s="4" t="str">
        <f>Registered!AT1482</f>
        <v/>
      </c>
      <c r="F618" s="4" t="str">
        <f>Registered!AU1482</f>
        <v/>
      </c>
      <c r="G618" s="4" t="str">
        <f>Registered!AW1482</f>
        <v/>
      </c>
      <c r="H618" s="4" t="str">
        <f>Registered!AX1482</f>
        <v/>
      </c>
      <c r="I618" s="4" t="str">
        <f>Registered!AY1482</f>
        <v/>
      </c>
    </row>
    <row r="619" spans="1:9" x14ac:dyDescent="0.25">
      <c r="A619" s="4" t="str">
        <f>Registered!B1485</f>
        <v>Lloyd</v>
      </c>
      <c r="B619" s="4" t="str">
        <f>Registered!A1485</f>
        <v>Gina</v>
      </c>
      <c r="C619" s="4" t="str">
        <f>IF(Registered!AR1485&gt;0,Registered!AR1485&amp;" Color Bags", "")</f>
        <v>10 Color Bags</v>
      </c>
      <c r="D619" s="4" t="str">
        <f>IF(Registered!AS1485&gt;0,(IF(Registered!AS1485=1,Registered!AS1485&amp;" T-Shirt",Registered!AS1485&amp;" T-Shirts")), "")</f>
        <v/>
      </c>
      <c r="E619" s="4" t="str">
        <f>Registered!AT1485</f>
        <v/>
      </c>
      <c r="F619" s="4" t="str">
        <f>Registered!AU1485</f>
        <v/>
      </c>
      <c r="G619" s="4" t="str">
        <f>Registered!AW1485</f>
        <v/>
      </c>
      <c r="H619" s="4" t="str">
        <f>Registered!AX1485</f>
        <v/>
      </c>
      <c r="I619" s="4" t="str">
        <f>Registered!AY1485</f>
        <v>3 DustMask</v>
      </c>
    </row>
    <row r="620" spans="1:9" x14ac:dyDescent="0.25">
      <c r="A620" s="4" t="str">
        <f>Registered!B1484</f>
        <v>Lloyd</v>
      </c>
      <c r="B620" s="4" t="str">
        <f>Registered!A1484</f>
        <v>Amanda</v>
      </c>
      <c r="C620" s="4" t="str">
        <f>IF(Registered!AR1484&gt;0,Registered!AR1484&amp;" Color Bags", "")</f>
        <v>5 Color Bags</v>
      </c>
      <c r="D620" s="4" t="str">
        <f>IF(Registered!AS1484&gt;0,(IF(Registered!AS1484=1,Registered!AS1484&amp;" T-Shirt",Registered!AS1484&amp;" T-Shirts")), "")</f>
        <v/>
      </c>
      <c r="E620" s="4" t="str">
        <f>Registered!AT1484</f>
        <v/>
      </c>
      <c r="F620" s="4" t="str">
        <f>Registered!AU1484</f>
        <v/>
      </c>
      <c r="G620" s="4" t="str">
        <f>Registered!AW1484</f>
        <v/>
      </c>
      <c r="H620" s="4" t="str">
        <f>Registered!AX1484</f>
        <v/>
      </c>
      <c r="I620" s="4" t="str">
        <f>Registered!AY1484</f>
        <v/>
      </c>
    </row>
    <row r="621" spans="1:9" x14ac:dyDescent="0.25">
      <c r="A621" s="4" t="str">
        <f>Registered!B1488</f>
        <v>Lombardo</v>
      </c>
      <c r="B621" s="4" t="str">
        <f>Registered!A1488</f>
        <v>Luis</v>
      </c>
      <c r="C621" s="4" t="str">
        <f>IF(Registered!AR1488&gt;0,Registered!AR1488&amp;" Color Bags", "")</f>
        <v>20 Color Bags</v>
      </c>
      <c r="D621" s="4" t="str">
        <f>IF(Registered!AS1488&gt;0,(IF(Registered!AS1488=1,Registered!AS1488&amp;" T-Shirt",Registered!AS1488&amp;" T-Shirts")), "")</f>
        <v/>
      </c>
      <c r="E621" s="4" t="str">
        <f>Registered!AT1488</f>
        <v/>
      </c>
      <c r="F621" s="4" t="str">
        <f>Registered!AU1488</f>
        <v/>
      </c>
      <c r="G621" s="4" t="str">
        <f>Registered!AW1488</f>
        <v/>
      </c>
      <c r="H621" s="4" t="str">
        <f>Registered!AX1488</f>
        <v/>
      </c>
      <c r="I621" s="4" t="str">
        <f>Registered!AY1488</f>
        <v/>
      </c>
    </row>
    <row r="622" spans="1:9" x14ac:dyDescent="0.25">
      <c r="A622" s="4" t="str">
        <f>Registered!B1493</f>
        <v>Long</v>
      </c>
      <c r="B622" s="4" t="str">
        <f>Registered!A1493</f>
        <v>Chad</v>
      </c>
      <c r="C622" s="4" t="str">
        <f>IF(Registered!AR1493&gt;0,Registered!AR1493&amp;" Color Bags", "")</f>
        <v>10 Color Bags</v>
      </c>
      <c r="D622" s="4" t="str">
        <f>IF(Registered!AS1493&gt;0,(IF(Registered!AS1493=1,Registered!AS1493&amp;" T-Shirt",Registered!AS1493&amp;" T-Shirts")), "")</f>
        <v/>
      </c>
      <c r="E622" s="4" t="str">
        <f>Registered!AT1493</f>
        <v/>
      </c>
      <c r="F622" s="4" t="str">
        <f>Registered!AU1493</f>
        <v/>
      </c>
      <c r="G622" s="4" t="str">
        <f>Registered!AW1493</f>
        <v/>
      </c>
      <c r="H622" s="4" t="str">
        <f>Registered!AX1493</f>
        <v/>
      </c>
      <c r="I622" s="4" t="str">
        <f>Registered!AY1493</f>
        <v/>
      </c>
    </row>
    <row r="623" spans="1:9" x14ac:dyDescent="0.25">
      <c r="A623" s="4" t="str">
        <f>Registered!B1496</f>
        <v>Long</v>
      </c>
      <c r="B623" s="4" t="str">
        <f>Registered!A1496</f>
        <v>Samantha</v>
      </c>
      <c r="C623" s="4" t="str">
        <f>IF(Registered!AR1496&gt;0,Registered!AR1496&amp;" Color Bags", "")</f>
        <v>10 Color Bags</v>
      </c>
      <c r="D623" s="4" t="str">
        <f>IF(Registered!AS1496&gt;0,(IF(Registered!AS1496=1,Registered!AS1496&amp;" T-Shirt",Registered!AS1496&amp;" T-Shirts")), "")</f>
        <v/>
      </c>
      <c r="E623" s="4" t="str">
        <f>Registered!AT1496</f>
        <v/>
      </c>
      <c r="F623" s="4" t="str">
        <f>Registered!AU1496</f>
        <v/>
      </c>
      <c r="G623" s="4" t="str">
        <f>Registered!AW1496</f>
        <v>1 Meal</v>
      </c>
      <c r="H623" s="4" t="str">
        <f>Registered!AX1496</f>
        <v/>
      </c>
      <c r="I623" s="4" t="str">
        <f>Registered!AY1496</f>
        <v/>
      </c>
    </row>
    <row r="624" spans="1:9" x14ac:dyDescent="0.25">
      <c r="A624" s="4" t="str">
        <f>Registered!B1495</f>
        <v>Long</v>
      </c>
      <c r="B624" s="4" t="str">
        <f>Registered!A1495</f>
        <v>Jamie</v>
      </c>
      <c r="C624" s="4" t="str">
        <f>IF(Registered!AR1495&gt;0,Registered!AR1495&amp;" Color Bags", "")</f>
        <v>5 Color Bags</v>
      </c>
      <c r="D624" s="4" t="str">
        <f>IF(Registered!AS1495&gt;0,(IF(Registered!AS1495=1,Registered!AS1495&amp;" T-Shirt",Registered!AS1495&amp;" T-Shirts")), "")</f>
        <v/>
      </c>
      <c r="E624" s="4" t="str">
        <f>Registered!AT1495</f>
        <v/>
      </c>
      <c r="F624" s="4" t="str">
        <f>Registered!AU1495</f>
        <v/>
      </c>
      <c r="G624" s="4" t="str">
        <f>Registered!AW1495</f>
        <v/>
      </c>
      <c r="H624" s="4" t="str">
        <f>Registered!AX1495</f>
        <v/>
      </c>
      <c r="I624" s="4" t="str">
        <f>Registered!AY1495</f>
        <v/>
      </c>
    </row>
    <row r="625" spans="1:9" x14ac:dyDescent="0.25">
      <c r="A625" s="4" t="str">
        <f>Registered!B1501</f>
        <v>Lopez</v>
      </c>
      <c r="B625" s="4" t="str">
        <f>Registered!A1501</f>
        <v>Madeleine</v>
      </c>
      <c r="C625" s="4" t="str">
        <f>IF(Registered!AR1501&gt;0,Registered!AR1501&amp;" Color Bags", "")</f>
        <v>15 Color Bags</v>
      </c>
      <c r="D625" s="4" t="str">
        <f>IF(Registered!AS1501&gt;0,(IF(Registered!AS1501=1,Registered!AS1501&amp;" T-Shirt",Registered!AS1501&amp;" T-Shirts")), "")</f>
        <v/>
      </c>
      <c r="E625" s="4" t="str">
        <f>Registered!AT1501</f>
        <v/>
      </c>
      <c r="F625" s="4" t="str">
        <f>Registered!AU1501</f>
        <v/>
      </c>
      <c r="G625" s="4" t="str">
        <f>Registered!AW1501</f>
        <v/>
      </c>
      <c r="H625" s="4" t="str">
        <f>Registered!AX1501</f>
        <v/>
      </c>
      <c r="I625" s="4" t="str">
        <f>Registered!AY1501</f>
        <v/>
      </c>
    </row>
    <row r="626" spans="1:9" x14ac:dyDescent="0.25">
      <c r="A626" s="4" t="str">
        <f>Registered!B1502</f>
        <v>Lopez</v>
      </c>
      <c r="B626" s="4" t="str">
        <f>Registered!A1502</f>
        <v>Sydney</v>
      </c>
      <c r="C626" s="4" t="str">
        <f>IF(Registered!AR1502&gt;0,Registered!AR1502&amp;" Color Bags", "")</f>
        <v>20 Color Bags</v>
      </c>
      <c r="D626" s="4" t="str">
        <f>IF(Registered!AS1502&gt;0,(IF(Registered!AS1502=1,Registered!AS1502&amp;" T-Shirt",Registered!AS1502&amp;" T-Shirts")), "")</f>
        <v/>
      </c>
      <c r="E626" s="4" t="str">
        <f>Registered!AT1502</f>
        <v/>
      </c>
      <c r="F626" s="4" t="str">
        <f>Registered!AU1502</f>
        <v/>
      </c>
      <c r="G626" s="4" t="str">
        <f>Registered!AW1502</f>
        <v/>
      </c>
      <c r="H626" s="4" t="str">
        <f>Registered!AX1502</f>
        <v/>
      </c>
      <c r="I626" s="4" t="str">
        <f>Registered!AY1502</f>
        <v/>
      </c>
    </row>
    <row r="627" spans="1:9" x14ac:dyDescent="0.25">
      <c r="A627" s="4" t="str">
        <f>Registered!B1498</f>
        <v>Lopez</v>
      </c>
      <c r="B627" s="4" t="str">
        <f>Registered!A1498</f>
        <v>Damian</v>
      </c>
      <c r="C627" s="4" t="str">
        <f>IF(Registered!AR1498&gt;0,Registered!AR1498&amp;" Color Bags", "")</f>
        <v>25 Color Bags</v>
      </c>
      <c r="D627" s="4" t="str">
        <f>IF(Registered!AS1498&gt;0,(IF(Registered!AS1498=1,Registered!AS1498&amp;" T-Shirt",Registered!AS1498&amp;" T-Shirts")), "")</f>
        <v/>
      </c>
      <c r="E627" s="4" t="str">
        <f>Registered!AT1498</f>
        <v/>
      </c>
      <c r="F627" s="4" t="str">
        <f>Registered!AU1498</f>
        <v/>
      </c>
      <c r="G627" s="4" t="str">
        <f>Registered!AW1498</f>
        <v/>
      </c>
      <c r="H627" s="4" t="str">
        <f>Registered!AX1498</f>
        <v/>
      </c>
      <c r="I627" s="4" t="str">
        <f>Registered!AY1498</f>
        <v>1 DustMask</v>
      </c>
    </row>
    <row r="628" spans="1:9" x14ac:dyDescent="0.25">
      <c r="A628" s="4" t="str">
        <f>Registered!B1499</f>
        <v>Lopez</v>
      </c>
      <c r="B628" s="4" t="str">
        <f>Registered!A1499</f>
        <v>Florencia</v>
      </c>
      <c r="C628" s="4" t="str">
        <f>IF(Registered!AR1499&gt;0,Registered!AR1499&amp;" Color Bags", "")</f>
        <v>5 Color Bags</v>
      </c>
      <c r="D628" s="4" t="str">
        <f>IF(Registered!AS1499&gt;0,(IF(Registered!AS1499=1,Registered!AS1499&amp;" T-Shirt",Registered!AS1499&amp;" T-Shirts")), "")</f>
        <v/>
      </c>
      <c r="E628" s="4" t="str">
        <f>Registered!AT1499</f>
        <v/>
      </c>
      <c r="F628" s="4" t="str">
        <f>Registered!AU1499</f>
        <v/>
      </c>
      <c r="G628" s="4" t="str">
        <f>Registered!AW1499</f>
        <v/>
      </c>
      <c r="H628" s="4" t="str">
        <f>Registered!AX1499</f>
        <v/>
      </c>
      <c r="I628" s="4" t="str">
        <f>Registered!AY1499</f>
        <v/>
      </c>
    </row>
    <row r="629" spans="1:9" x14ac:dyDescent="0.25">
      <c r="A629" s="4" t="str">
        <f>Registered!B1503</f>
        <v>Lopez</v>
      </c>
      <c r="B629" s="4" t="str">
        <f>Registered!A1503</f>
        <v>Tezzy</v>
      </c>
      <c r="C629" s="4" t="str">
        <f>IF(Registered!AR1503&gt;0,Registered!AR1503&amp;" Color Bags", "")</f>
        <v>5 Color Bags</v>
      </c>
      <c r="D629" s="4" t="str">
        <f>IF(Registered!AS1503&gt;0,(IF(Registered!AS1503=1,Registered!AS1503&amp;" T-Shirt",Registered!AS1503&amp;" T-Shirts")), "")</f>
        <v/>
      </c>
      <c r="E629" s="4" t="str">
        <f>Registered!AT1503</f>
        <v/>
      </c>
      <c r="F629" s="4" t="str">
        <f>Registered!AU1503</f>
        <v/>
      </c>
      <c r="G629" s="4" t="str">
        <f>Registered!AW1503</f>
        <v/>
      </c>
      <c r="H629" s="4" t="str">
        <f>Registered!AX1503</f>
        <v/>
      </c>
      <c r="I629" s="4" t="str">
        <f>Registered!AY1503</f>
        <v/>
      </c>
    </row>
    <row r="630" spans="1:9" x14ac:dyDescent="0.25">
      <c r="A630" s="4" t="str">
        <f>Registered!B1505</f>
        <v>Loumis</v>
      </c>
      <c r="B630" s="4" t="str">
        <f>Registered!A1505</f>
        <v>Ranie</v>
      </c>
      <c r="C630" s="4" t="str">
        <f>IF(Registered!AR1505&gt;0,Registered!AR1505&amp;" Color Bags", "")</f>
        <v>10 Color Bags</v>
      </c>
      <c r="D630" s="4" t="str">
        <f>IF(Registered!AS1505&gt;0,(IF(Registered!AS1505=1,Registered!AS1505&amp;" T-Shirt",Registered!AS1505&amp;" T-Shirts")), "")</f>
        <v/>
      </c>
      <c r="E630" s="4" t="str">
        <f>Registered!AT1505</f>
        <v/>
      </c>
      <c r="F630" s="4" t="str">
        <f>Registered!AU1505</f>
        <v/>
      </c>
      <c r="G630" s="4" t="str">
        <f>Registered!AW1505</f>
        <v/>
      </c>
      <c r="H630" s="4" t="str">
        <f>Registered!AX1505</f>
        <v/>
      </c>
      <c r="I630" s="4" t="str">
        <f>Registered!AY1505</f>
        <v/>
      </c>
    </row>
    <row r="631" spans="1:9" x14ac:dyDescent="0.25">
      <c r="A631" s="4" t="str">
        <f>Registered!B1506</f>
        <v>Love</v>
      </c>
      <c r="B631" s="4" t="str">
        <f>Registered!A1506</f>
        <v>Ashley</v>
      </c>
      <c r="C631" s="4" t="str">
        <f>IF(Registered!AR1506&gt;0,Registered!AR1506&amp;" Color Bags", "")</f>
        <v>15 Color Bags</v>
      </c>
      <c r="D631" s="4" t="str">
        <f>IF(Registered!AS1506&gt;0,(IF(Registered!AS1506=1,Registered!AS1506&amp;" T-Shirt",Registered!AS1506&amp;" T-Shirts")), "")</f>
        <v/>
      </c>
      <c r="E631" s="4" t="str">
        <f>Registered!AT1506</f>
        <v/>
      </c>
      <c r="F631" s="4" t="str">
        <f>Registered!AU1506</f>
        <v/>
      </c>
      <c r="G631" s="4" t="str">
        <f>Registered!AW1506</f>
        <v/>
      </c>
      <c r="H631" s="4" t="str">
        <f>Registered!AX1506</f>
        <v/>
      </c>
      <c r="I631" s="4" t="str">
        <f>Registered!AY1506</f>
        <v/>
      </c>
    </row>
    <row r="632" spans="1:9" x14ac:dyDescent="0.25">
      <c r="A632" s="4" t="str">
        <f>Registered!B1507</f>
        <v>Love</v>
      </c>
      <c r="B632" s="4" t="str">
        <f>Registered!A1507</f>
        <v>Kapiolani</v>
      </c>
      <c r="C632" s="4" t="str">
        <f>IF(Registered!AR1507&gt;0,Registered!AR1507&amp;" Color Bags", "")</f>
        <v>30 Color Bags</v>
      </c>
      <c r="D632" s="4" t="str">
        <f>IF(Registered!AS1507&gt;0,(IF(Registered!AS1507=1,Registered!AS1507&amp;" T-Shirt",Registered!AS1507&amp;" T-Shirts")), "")</f>
        <v/>
      </c>
      <c r="E632" s="4" t="str">
        <f>Registered!AT1507</f>
        <v/>
      </c>
      <c r="F632" s="4" t="str">
        <f>Registered!AU1507</f>
        <v/>
      </c>
      <c r="G632" s="4" t="str">
        <f>Registered!AW1507</f>
        <v/>
      </c>
      <c r="H632" s="4" t="str">
        <f>Registered!AX1507</f>
        <v/>
      </c>
      <c r="I632" s="4" t="str">
        <f>Registered!AY1507</f>
        <v/>
      </c>
    </row>
    <row r="633" spans="1:9" x14ac:dyDescent="0.25">
      <c r="A633" s="4" t="str">
        <f>Registered!B1509</f>
        <v>Lowe</v>
      </c>
      <c r="B633" s="4" t="str">
        <f>Registered!A1509</f>
        <v>Jennifer</v>
      </c>
      <c r="C633" s="4" t="str">
        <f>IF(Registered!AR1509&gt;0,Registered!AR1509&amp;" Color Bags", "")</f>
        <v>20 Color Bags</v>
      </c>
      <c r="D633" s="4" t="str">
        <f>IF(Registered!AS1509&gt;0,(IF(Registered!AS1509=1,Registered!AS1509&amp;" T-Shirt",Registered!AS1509&amp;" T-Shirts")), "")</f>
        <v/>
      </c>
      <c r="E633" s="4" t="str">
        <f>Registered!AT1509</f>
        <v/>
      </c>
      <c r="F633" s="4" t="str">
        <f>Registered!AU1509</f>
        <v>1 Bandana</v>
      </c>
      <c r="G633" s="4" t="str">
        <f>Registered!AW1509</f>
        <v/>
      </c>
      <c r="H633" s="4" t="str">
        <f>Registered!AX1509</f>
        <v/>
      </c>
      <c r="I633" s="4" t="str">
        <f>Registered!AY1509</f>
        <v/>
      </c>
    </row>
    <row r="634" spans="1:9" x14ac:dyDescent="0.25">
      <c r="A634" s="4" t="str">
        <f>Registered!B1512</f>
        <v>Lucas</v>
      </c>
      <c r="B634" s="4" t="str">
        <f>Registered!A1512</f>
        <v>Manny</v>
      </c>
      <c r="C634" s="4" t="str">
        <f>IF(Registered!AR1512&gt;0,Registered!AR1512&amp;" Color Bags", "")</f>
        <v>10 Color Bags</v>
      </c>
      <c r="D634" s="4" t="str">
        <f>IF(Registered!AS1512&gt;0,(IF(Registered!AS1512=1,Registered!AS1512&amp;" T-Shirt",Registered!AS1512&amp;" T-Shirts")), "")</f>
        <v>2 T-Shirts</v>
      </c>
      <c r="E634" s="4" t="str">
        <f>Registered!AT1512</f>
        <v>large</v>
      </c>
      <c r="F634" s="4" t="str">
        <f>Registered!AU1512</f>
        <v/>
      </c>
      <c r="G634" s="4" t="str">
        <f>Registered!AW1512</f>
        <v>2 Meals</v>
      </c>
      <c r="H634" s="4" t="str">
        <f>Registered!AX1512</f>
        <v/>
      </c>
      <c r="I634" s="4" t="str">
        <f>Registered!AY1512</f>
        <v/>
      </c>
    </row>
    <row r="635" spans="1:9" x14ac:dyDescent="0.25">
      <c r="A635" s="4" t="str">
        <f>Registered!B1511</f>
        <v>Lucas</v>
      </c>
      <c r="B635" s="4" t="str">
        <f>Registered!A1511</f>
        <v>Audrey</v>
      </c>
      <c r="C635" s="4" t="str">
        <f>IF(Registered!AR1511&gt;0,Registered!AR1511&amp;" Color Bags", "")</f>
        <v>5 Color Bags</v>
      </c>
      <c r="D635" s="4" t="str">
        <f>IF(Registered!AS1511&gt;0,(IF(Registered!AS1511=1,Registered!AS1511&amp;" T-Shirt",Registered!AS1511&amp;" T-Shirts")), "")</f>
        <v/>
      </c>
      <c r="E635" s="4" t="str">
        <f>Registered!AT1511</f>
        <v/>
      </c>
      <c r="F635" s="4" t="str">
        <f>Registered!AU1511</f>
        <v/>
      </c>
      <c r="G635" s="4" t="str">
        <f>Registered!AW1511</f>
        <v/>
      </c>
      <c r="H635" s="4" t="str">
        <f>Registered!AX1511</f>
        <v/>
      </c>
      <c r="I635" s="4" t="str">
        <f>Registered!AY1511</f>
        <v/>
      </c>
    </row>
    <row r="636" spans="1:9" x14ac:dyDescent="0.25">
      <c r="A636" s="4" t="str">
        <f>Registered!B1514</f>
        <v>Lugo</v>
      </c>
      <c r="B636" s="4" t="str">
        <f>Registered!A1514</f>
        <v>Donaji</v>
      </c>
      <c r="C636" s="4" t="str">
        <f>IF(Registered!AR1514&gt;0,Registered!AR1514&amp;" Color Bags", "")</f>
        <v>10 Color Bags</v>
      </c>
      <c r="D636" s="4" t="str">
        <f>IF(Registered!AS1514&gt;0,(IF(Registered!AS1514=1,Registered!AS1514&amp;" T-Shirt",Registered!AS1514&amp;" T-Shirts")), "")</f>
        <v/>
      </c>
      <c r="E636" s="4" t="str">
        <f>Registered!AT1514</f>
        <v/>
      </c>
      <c r="F636" s="4" t="str">
        <f>Registered!AU1514</f>
        <v/>
      </c>
      <c r="G636" s="4" t="str">
        <f>Registered!AW1514</f>
        <v/>
      </c>
      <c r="H636" s="4" t="str">
        <f>Registered!AX1514</f>
        <v/>
      </c>
      <c r="I636" s="4" t="str">
        <f>Registered!AY1514</f>
        <v/>
      </c>
    </row>
    <row r="637" spans="1:9" x14ac:dyDescent="0.25">
      <c r="A637" s="4" t="str">
        <f>Registered!B1516</f>
        <v>Lumpkin</v>
      </c>
      <c r="B637" s="4" t="str">
        <f>Registered!A1516</f>
        <v>Bryce</v>
      </c>
      <c r="C637" s="4" t="str">
        <f>IF(Registered!AR1516&gt;0,Registered!AR1516&amp;" Color Bags", "")</f>
        <v>5 Color Bags</v>
      </c>
      <c r="D637" s="4" t="str">
        <f>IF(Registered!AS1516&gt;0,(IF(Registered!AS1516=1,Registered!AS1516&amp;" T-Shirt",Registered!AS1516&amp;" T-Shirts")), "")</f>
        <v/>
      </c>
      <c r="E637" s="4" t="str">
        <f>Registered!AT1516</f>
        <v/>
      </c>
      <c r="F637" s="4" t="str">
        <f>Registered!AU1516</f>
        <v/>
      </c>
      <c r="G637" s="4" t="str">
        <f>Registered!AW1516</f>
        <v/>
      </c>
      <c r="H637" s="4" t="str">
        <f>Registered!AX1516</f>
        <v/>
      </c>
      <c r="I637" s="4" t="str">
        <f>Registered!AY1516</f>
        <v/>
      </c>
    </row>
    <row r="638" spans="1:9" x14ac:dyDescent="0.25">
      <c r="A638" s="4" t="str">
        <f>Registered!B1518</f>
        <v>Lundberg</v>
      </c>
      <c r="B638" s="4" t="str">
        <f>Registered!A1518</f>
        <v>Todd</v>
      </c>
      <c r="C638" s="4" t="str">
        <f>IF(Registered!AR1518&gt;0,Registered!AR1518&amp;" Color Bags", "")</f>
        <v>5 Color Bags</v>
      </c>
      <c r="D638" s="4" t="str">
        <f>IF(Registered!AS1518&gt;0,(IF(Registered!AS1518=1,Registered!AS1518&amp;" T-Shirt",Registered!AS1518&amp;" T-Shirts")), "")</f>
        <v/>
      </c>
      <c r="E638" s="4" t="str">
        <f>Registered!AT1518</f>
        <v/>
      </c>
      <c r="F638" s="4" t="str">
        <f>Registered!AU1518</f>
        <v/>
      </c>
      <c r="G638" s="4" t="str">
        <f>Registered!AW1518</f>
        <v/>
      </c>
      <c r="H638" s="4" t="str">
        <f>Registered!AX1518</f>
        <v/>
      </c>
      <c r="I638" s="4" t="str">
        <f>Registered!AY1518</f>
        <v/>
      </c>
    </row>
    <row r="639" spans="1:9" x14ac:dyDescent="0.25">
      <c r="A639" s="4" t="str">
        <f>Registered!B1520</f>
        <v>Lynch</v>
      </c>
      <c r="B639" s="4" t="str">
        <f>Registered!A1520</f>
        <v>Michael</v>
      </c>
      <c r="C639" s="4" t="str">
        <f>IF(Registered!AR1520&gt;0,Registered!AR1520&amp;" Color Bags", "")</f>
        <v>35 Color Bags</v>
      </c>
      <c r="D639" s="4" t="str">
        <f>IF(Registered!AS1520&gt;0,(IF(Registered!AS1520=1,Registered!AS1520&amp;" T-Shirt",Registered!AS1520&amp;" T-Shirts")), "")</f>
        <v>5 T-Shirts</v>
      </c>
      <c r="E639" s="4" t="str">
        <f>Registered!AT1520</f>
        <v>One adult XL, one adult Large, three adult Small</v>
      </c>
      <c r="F639" s="4" t="str">
        <f>Registered!AU1520</f>
        <v/>
      </c>
      <c r="G639" s="4" t="str">
        <f>Registered!AW1520</f>
        <v>5 Meals</v>
      </c>
      <c r="H639" s="4" t="str">
        <f>Registered!AX1520</f>
        <v>1 BG</v>
      </c>
      <c r="I639" s="4" t="str">
        <f>Registered!AY1520</f>
        <v/>
      </c>
    </row>
    <row r="640" spans="1:9" x14ac:dyDescent="0.25">
      <c r="A640" s="4" t="str">
        <f>Registered!B1521</f>
        <v>Lyons</v>
      </c>
      <c r="B640" s="4" t="str">
        <f>Registered!A1521</f>
        <v>Caitlyn</v>
      </c>
      <c r="C640" s="4" t="str">
        <f>IF(Registered!AR1521&gt;0,Registered!AR1521&amp;" Color Bags", "")</f>
        <v>15 Color Bags</v>
      </c>
      <c r="D640" s="4" t="str">
        <f>IF(Registered!AS1521&gt;0,(IF(Registered!AS1521=1,Registered!AS1521&amp;" T-Shirt",Registered!AS1521&amp;" T-Shirts")), "")</f>
        <v/>
      </c>
      <c r="E640" s="4" t="str">
        <f>Registered!AT1521</f>
        <v/>
      </c>
      <c r="F640" s="4" t="str">
        <f>Registered!AU1521</f>
        <v/>
      </c>
      <c r="G640" s="4" t="str">
        <f>Registered!AW1521</f>
        <v/>
      </c>
      <c r="H640" s="4" t="str">
        <f>Registered!AX1521</f>
        <v/>
      </c>
      <c r="I640" s="4" t="str">
        <f>Registered!AY1521</f>
        <v/>
      </c>
    </row>
    <row r="641" spans="1:9" x14ac:dyDescent="0.25">
      <c r="A641" s="4" t="str">
        <f>Registered!B1522</f>
        <v>Lytle</v>
      </c>
      <c r="B641" s="4" t="str">
        <f>Registered!A1522</f>
        <v>Christy</v>
      </c>
      <c r="C641" s="4" t="str">
        <f>IF(Registered!AR1522&gt;0,Registered!AR1522&amp;" Color Bags", "")</f>
        <v>10 Color Bags</v>
      </c>
      <c r="D641" s="4" t="str">
        <f>IF(Registered!AS1522&gt;0,(IF(Registered!AS1522=1,Registered!AS1522&amp;" T-Shirt",Registered!AS1522&amp;" T-Shirts")), "")</f>
        <v/>
      </c>
      <c r="E641" s="4" t="str">
        <f>Registered!AT1522</f>
        <v/>
      </c>
      <c r="F641" s="4" t="str">
        <f>Registered!AU1522</f>
        <v/>
      </c>
      <c r="G641" s="4" t="str">
        <f>Registered!AW1522</f>
        <v/>
      </c>
      <c r="H641" s="4" t="str">
        <f>Registered!AX1522</f>
        <v/>
      </c>
      <c r="I641" s="4" t="str">
        <f>Registered!AY1522</f>
        <v/>
      </c>
    </row>
    <row r="642" spans="1:9" x14ac:dyDescent="0.25">
      <c r="A642" s="4" t="str">
        <f>Registered!B1526</f>
        <v>MacCabe</v>
      </c>
      <c r="B642" s="4" t="str">
        <f>Registered!A1526</f>
        <v>Philip</v>
      </c>
      <c r="C642" s="4" t="str">
        <f>IF(Registered!AR1526&gt;0,Registered!AR1526&amp;" Color Bags", "")</f>
        <v>5 Color Bags</v>
      </c>
      <c r="D642" s="4" t="str">
        <f>IF(Registered!AS1526&gt;0,(IF(Registered!AS1526=1,Registered!AS1526&amp;" T-Shirt",Registered!AS1526&amp;" T-Shirts")), "")</f>
        <v/>
      </c>
      <c r="E642" s="4" t="str">
        <f>Registered!AT1526</f>
        <v/>
      </c>
      <c r="F642" s="4" t="str">
        <f>Registered!AU1526</f>
        <v/>
      </c>
      <c r="G642" s="4" t="str">
        <f>Registered!AW1526</f>
        <v/>
      </c>
      <c r="H642" s="4" t="str">
        <f>Registered!AX1526</f>
        <v/>
      </c>
      <c r="I642" s="4" t="str">
        <f>Registered!AY1526</f>
        <v/>
      </c>
    </row>
    <row r="643" spans="1:9" x14ac:dyDescent="0.25">
      <c r="A643" s="4" t="str">
        <f>Registered!B1534</f>
        <v>Madsen</v>
      </c>
      <c r="B643" s="4" t="str">
        <f>Registered!A1534</f>
        <v>Kathne</v>
      </c>
      <c r="C643" s="4" t="str">
        <f>IF(Registered!AR1534&gt;0,Registered!AR1534&amp;" Color Bags", "")</f>
        <v>10 Color Bags</v>
      </c>
      <c r="D643" s="4" t="str">
        <f>IF(Registered!AS1534&gt;0,(IF(Registered!AS1534=1,Registered!AS1534&amp;" T-Shirt",Registered!AS1534&amp;" T-Shirts")), "")</f>
        <v/>
      </c>
      <c r="E643" s="4" t="str">
        <f>Registered!AT1534</f>
        <v/>
      </c>
      <c r="F643" s="4" t="str">
        <f>Registered!AU1534</f>
        <v/>
      </c>
      <c r="G643" s="4" t="str">
        <f>Registered!AW1534</f>
        <v/>
      </c>
      <c r="H643" s="4" t="str">
        <f>Registered!AX1534</f>
        <v/>
      </c>
      <c r="I643" s="4" t="str">
        <f>Registered!AY1534</f>
        <v/>
      </c>
    </row>
    <row r="644" spans="1:9" x14ac:dyDescent="0.25">
      <c r="A644" s="4" t="str">
        <f>Registered!B1535</f>
        <v>Madsen</v>
      </c>
      <c r="B644" s="4" t="str">
        <f>Registered!A1535</f>
        <v>McKenzie</v>
      </c>
      <c r="C644" s="4" t="str">
        <f>IF(Registered!AR1535&gt;0,Registered!AR1535&amp;" Color Bags", "")</f>
        <v>5 Color Bags</v>
      </c>
      <c r="D644" s="4" t="str">
        <f>IF(Registered!AS1535&gt;0,(IF(Registered!AS1535=1,Registered!AS1535&amp;" T-Shirt",Registered!AS1535&amp;" T-Shirts")), "")</f>
        <v/>
      </c>
      <c r="E644" s="4" t="str">
        <f>Registered!AT1535</f>
        <v/>
      </c>
      <c r="F644" s="4" t="str">
        <f>Registered!AU1535</f>
        <v/>
      </c>
      <c r="G644" s="4" t="str">
        <f>Registered!AW1535</f>
        <v/>
      </c>
      <c r="H644" s="4" t="str">
        <f>Registered!AX1535</f>
        <v/>
      </c>
      <c r="I644" s="4" t="str">
        <f>Registered!AY1535</f>
        <v/>
      </c>
    </row>
    <row r="645" spans="1:9" x14ac:dyDescent="0.25">
      <c r="A645" s="4" t="str">
        <f>Registered!B1537</f>
        <v>Maes</v>
      </c>
      <c r="B645" s="4" t="str">
        <f>Registered!A1537</f>
        <v>Adam</v>
      </c>
      <c r="C645" s="4" t="str">
        <f>IF(Registered!AR1537&gt;0,Registered!AR1537&amp;" Color Bags", "")</f>
        <v>10 Color Bags</v>
      </c>
      <c r="D645" s="4" t="str">
        <f>IF(Registered!AS1537&gt;0,(IF(Registered!AS1537=1,Registered!AS1537&amp;" T-Shirt",Registered!AS1537&amp;" T-Shirts")), "")</f>
        <v/>
      </c>
      <c r="E645" s="4" t="str">
        <f>Registered!AT1537</f>
        <v/>
      </c>
      <c r="F645" s="4" t="str">
        <f>Registered!AU1537</f>
        <v/>
      </c>
      <c r="G645" s="4" t="str">
        <f>Registered!AW1537</f>
        <v/>
      </c>
      <c r="H645" s="4" t="str">
        <f>Registered!AX1537</f>
        <v/>
      </c>
      <c r="I645" s="4" t="str">
        <f>Registered!AY1537</f>
        <v/>
      </c>
    </row>
    <row r="646" spans="1:9" x14ac:dyDescent="0.25">
      <c r="A646" s="4" t="str">
        <f>Registered!B1539</f>
        <v>Magazin</v>
      </c>
      <c r="B646" s="4" t="str">
        <f>Registered!A1539</f>
        <v>Sarah</v>
      </c>
      <c r="C646" s="4" t="str">
        <f>IF(Registered!AR1539&gt;0,Registered!AR1539&amp;" Color Bags", "")</f>
        <v>20 Color Bags</v>
      </c>
      <c r="D646" s="4" t="str">
        <f>IF(Registered!AS1539&gt;0,(IF(Registered!AS1539=1,Registered!AS1539&amp;" T-Shirt",Registered!AS1539&amp;" T-Shirts")), "")</f>
        <v/>
      </c>
      <c r="E646" s="4" t="str">
        <f>Registered!AT1539</f>
        <v/>
      </c>
      <c r="F646" s="4" t="str">
        <f>Registered!AU1539</f>
        <v/>
      </c>
      <c r="G646" s="4" t="str">
        <f>Registered!AW1539</f>
        <v/>
      </c>
      <c r="H646" s="4" t="str">
        <f>Registered!AX1539</f>
        <v/>
      </c>
      <c r="I646" s="4" t="str">
        <f>Registered!AY1539</f>
        <v/>
      </c>
    </row>
    <row r="647" spans="1:9" x14ac:dyDescent="0.25">
      <c r="A647" s="4" t="str">
        <f>Registered!B1542</f>
        <v>Malcolm</v>
      </c>
      <c r="B647" s="4" t="str">
        <f>Registered!A1542</f>
        <v>Eric</v>
      </c>
      <c r="C647" s="4" t="str">
        <f>IF(Registered!AR1542&gt;0,Registered!AR1542&amp;" Color Bags", "")</f>
        <v>5 Color Bags</v>
      </c>
      <c r="D647" s="4" t="str">
        <f>IF(Registered!AS1542&gt;0,(IF(Registered!AS1542=1,Registered!AS1542&amp;" T-Shirt",Registered!AS1542&amp;" T-Shirts")), "")</f>
        <v/>
      </c>
      <c r="E647" s="4" t="str">
        <f>Registered!AT1542</f>
        <v/>
      </c>
      <c r="F647" s="4" t="str">
        <f>Registered!AU1542</f>
        <v/>
      </c>
      <c r="G647" s="4" t="str">
        <f>Registered!AW1542</f>
        <v/>
      </c>
      <c r="H647" s="4" t="str">
        <f>Registered!AX1542</f>
        <v/>
      </c>
      <c r="I647" s="4" t="str">
        <f>Registered!AY1542</f>
        <v/>
      </c>
    </row>
    <row r="648" spans="1:9" x14ac:dyDescent="0.25">
      <c r="A648" s="4" t="str">
        <f>Registered!B1543</f>
        <v>Maldonado</v>
      </c>
      <c r="B648" s="4" t="str">
        <f>Registered!A1543</f>
        <v>Daniel</v>
      </c>
      <c r="C648" s="4" t="str">
        <f>IF(Registered!AR1543&gt;0,Registered!AR1543&amp;" Color Bags", "")</f>
        <v>5 Color Bags</v>
      </c>
      <c r="D648" s="4" t="str">
        <f>IF(Registered!AS1543&gt;0,(IF(Registered!AS1543=1,Registered!AS1543&amp;" T-Shirt",Registered!AS1543&amp;" T-Shirts")), "")</f>
        <v/>
      </c>
      <c r="E648" s="4" t="str">
        <f>Registered!AT1543</f>
        <v/>
      </c>
      <c r="F648" s="4" t="str">
        <f>Registered!AU1543</f>
        <v/>
      </c>
      <c r="G648" s="4" t="str">
        <f>Registered!AW1543</f>
        <v/>
      </c>
      <c r="H648" s="4" t="str">
        <f>Registered!AX1543</f>
        <v/>
      </c>
      <c r="I648" s="4" t="str">
        <f>Registered!AY1543</f>
        <v/>
      </c>
    </row>
    <row r="649" spans="1:9" x14ac:dyDescent="0.25">
      <c r="A649" s="4" t="str">
        <f>Registered!B1544</f>
        <v>Malensek</v>
      </c>
      <c r="B649" s="4" t="str">
        <f>Registered!A1544</f>
        <v>Matthew</v>
      </c>
      <c r="C649" s="4" t="str">
        <f>IF(Registered!AR1544&gt;0,Registered!AR1544&amp;" Color Bags", "")</f>
        <v>10 Color Bags</v>
      </c>
      <c r="D649" s="4" t="str">
        <f>IF(Registered!AS1544&gt;0,(IF(Registered!AS1544=1,Registered!AS1544&amp;" T-Shirt",Registered!AS1544&amp;" T-Shirts")), "")</f>
        <v/>
      </c>
      <c r="E649" s="4" t="str">
        <f>Registered!AT1544</f>
        <v/>
      </c>
      <c r="F649" s="4" t="str">
        <f>Registered!AU1544</f>
        <v/>
      </c>
      <c r="G649" s="4" t="str">
        <f>Registered!AW1544</f>
        <v/>
      </c>
      <c r="H649" s="4" t="str">
        <f>Registered!AX1544</f>
        <v/>
      </c>
      <c r="I649" s="4" t="str">
        <f>Registered!AY1544</f>
        <v/>
      </c>
    </row>
    <row r="650" spans="1:9" x14ac:dyDescent="0.25">
      <c r="A650" s="4" t="str">
        <f>Registered!B1547</f>
        <v>Malone</v>
      </c>
      <c r="B650" s="4" t="str">
        <f>Registered!A1547</f>
        <v>Jennifer</v>
      </c>
      <c r="C650" s="4" t="str">
        <f>IF(Registered!AR1547&gt;0,Registered!AR1547&amp;" Color Bags", "")</f>
        <v>5 Color Bags</v>
      </c>
      <c r="D650" s="4" t="str">
        <f>IF(Registered!AS1547&gt;0,(IF(Registered!AS1547=1,Registered!AS1547&amp;" T-Shirt",Registered!AS1547&amp;" T-Shirts")), "")</f>
        <v/>
      </c>
      <c r="E650" s="4" t="str">
        <f>Registered!AT1547</f>
        <v/>
      </c>
      <c r="F650" s="4" t="str">
        <f>Registered!AU1547</f>
        <v/>
      </c>
      <c r="G650" s="4" t="str">
        <f>Registered!AW1547</f>
        <v/>
      </c>
      <c r="H650" s="4" t="str">
        <f>Registered!AX1547</f>
        <v/>
      </c>
      <c r="I650" s="4" t="str">
        <f>Registered!AY1547</f>
        <v/>
      </c>
    </row>
    <row r="651" spans="1:9" x14ac:dyDescent="0.25">
      <c r="A651" s="4" t="str">
        <f>Registered!B1549</f>
        <v>Manandhar</v>
      </c>
      <c r="B651" s="4" t="str">
        <f>Registered!A1549</f>
        <v>Swikrit</v>
      </c>
      <c r="C651" s="4" t="str">
        <f>IF(Registered!AR1549&gt;0,Registered!AR1549&amp;" Color Bags", "")</f>
        <v>10 Color Bags</v>
      </c>
      <c r="D651" s="4" t="str">
        <f>IF(Registered!AS1549&gt;0,(IF(Registered!AS1549=1,Registered!AS1549&amp;" T-Shirt",Registered!AS1549&amp;" T-Shirts")), "")</f>
        <v/>
      </c>
      <c r="E651" s="4" t="str">
        <f>Registered!AT1549</f>
        <v/>
      </c>
      <c r="F651" s="4" t="str">
        <f>Registered!AU1549</f>
        <v/>
      </c>
      <c r="G651" s="4" t="str">
        <f>Registered!AW1549</f>
        <v>2 Meals</v>
      </c>
      <c r="H651" s="4" t="str">
        <f>Registered!AX1549</f>
        <v/>
      </c>
      <c r="I651" s="4" t="str">
        <f>Registered!AY1549</f>
        <v>1 DustMask</v>
      </c>
    </row>
    <row r="652" spans="1:9" x14ac:dyDescent="0.25">
      <c r="A652" s="4" t="str">
        <f>Registered!B1550</f>
        <v>Mangelson</v>
      </c>
      <c r="B652" s="4" t="str">
        <f>Registered!A1550</f>
        <v>Austin</v>
      </c>
      <c r="C652" s="4" t="str">
        <f>IF(Registered!AR1550&gt;0,Registered!AR1550&amp;" Color Bags", "")</f>
        <v>5 Color Bags</v>
      </c>
      <c r="D652" s="4" t="str">
        <f>IF(Registered!AS1550&gt;0,(IF(Registered!AS1550=1,Registered!AS1550&amp;" T-Shirt",Registered!AS1550&amp;" T-Shirts")), "")</f>
        <v/>
      </c>
      <c r="E652" s="4" t="str">
        <f>Registered!AT1550</f>
        <v/>
      </c>
      <c r="F652" s="4" t="str">
        <f>Registered!AU1550</f>
        <v/>
      </c>
      <c r="G652" s="4" t="str">
        <f>Registered!AW1550</f>
        <v/>
      </c>
      <c r="H652" s="4" t="str">
        <f>Registered!AX1550</f>
        <v/>
      </c>
      <c r="I652" s="4" t="str">
        <f>Registered!AY1550</f>
        <v/>
      </c>
    </row>
    <row r="653" spans="1:9" x14ac:dyDescent="0.25">
      <c r="A653" s="4" t="str">
        <f>Registered!B1551</f>
        <v>Mangelson</v>
      </c>
      <c r="B653" s="4" t="str">
        <f>Registered!A1551</f>
        <v>Hannah</v>
      </c>
      <c r="C653" s="4" t="str">
        <f>IF(Registered!AR1551&gt;0,Registered!AR1551&amp;" Color Bags", "")</f>
        <v>5 Color Bags</v>
      </c>
      <c r="D653" s="4" t="str">
        <f>IF(Registered!AS1551&gt;0,(IF(Registered!AS1551=1,Registered!AS1551&amp;" T-Shirt",Registered!AS1551&amp;" T-Shirts")), "")</f>
        <v/>
      </c>
      <c r="E653" s="4" t="str">
        <f>Registered!AT1551</f>
        <v/>
      </c>
      <c r="F653" s="4" t="str">
        <f>Registered!AU1551</f>
        <v/>
      </c>
      <c r="G653" s="4" t="str">
        <f>Registered!AW1551</f>
        <v/>
      </c>
      <c r="H653" s="4" t="str">
        <f>Registered!AX1551</f>
        <v/>
      </c>
      <c r="I653" s="4" t="str">
        <f>Registered!AY1551</f>
        <v/>
      </c>
    </row>
    <row r="654" spans="1:9" x14ac:dyDescent="0.25">
      <c r="A654" s="4" t="str">
        <f>Registered!B1555</f>
        <v>Manriquez</v>
      </c>
      <c r="B654" s="4" t="str">
        <f>Registered!A1555</f>
        <v>Bianca</v>
      </c>
      <c r="C654" s="4" t="str">
        <f>IF(Registered!AR1555&gt;0,Registered!AR1555&amp;" Color Bags", "")</f>
        <v>20 Color Bags</v>
      </c>
      <c r="D654" s="4" t="str">
        <f>IF(Registered!AS1555&gt;0,(IF(Registered!AS1555=1,Registered!AS1555&amp;" T-Shirt",Registered!AS1555&amp;" T-Shirts")), "")</f>
        <v/>
      </c>
      <c r="E654" s="4" t="str">
        <f>Registered!AT1555</f>
        <v/>
      </c>
      <c r="F654" s="4" t="str">
        <f>Registered!AU1555</f>
        <v/>
      </c>
      <c r="G654" s="4" t="str">
        <f>Registered!AW1555</f>
        <v/>
      </c>
      <c r="H654" s="4" t="str">
        <f>Registered!AX1555</f>
        <v/>
      </c>
      <c r="I654" s="4" t="str">
        <f>Registered!AY1555</f>
        <v/>
      </c>
    </row>
    <row r="655" spans="1:9" x14ac:dyDescent="0.25">
      <c r="A655" s="4" t="str">
        <f>Registered!B1556</f>
        <v>Manuel</v>
      </c>
      <c r="B655" s="4" t="str">
        <f>Registered!A1556</f>
        <v>Kristil</v>
      </c>
      <c r="C655" s="4" t="str">
        <f>IF(Registered!AR1556&gt;0,Registered!AR1556&amp;" Color Bags", "")</f>
        <v>25 Color Bags</v>
      </c>
      <c r="D655" s="4" t="str">
        <f>IF(Registered!AS1556&gt;0,(IF(Registered!AS1556=1,Registered!AS1556&amp;" T-Shirt",Registered!AS1556&amp;" T-Shirts")), "")</f>
        <v/>
      </c>
      <c r="E655" s="4" t="str">
        <f>Registered!AT1556</f>
        <v/>
      </c>
      <c r="F655" s="4" t="str">
        <f>Registered!AU1556</f>
        <v/>
      </c>
      <c r="G655" s="4" t="str">
        <f>Registered!AW1556</f>
        <v/>
      </c>
      <c r="H655" s="4" t="str">
        <f>Registered!AX1556</f>
        <v/>
      </c>
      <c r="I655" s="4" t="str">
        <f>Registered!AY1556</f>
        <v/>
      </c>
    </row>
    <row r="656" spans="1:9" x14ac:dyDescent="0.25">
      <c r="A656" s="4" t="str">
        <f>Registered!B1558</f>
        <v>Marchese</v>
      </c>
      <c r="B656" s="4" t="str">
        <f>Registered!A1558</f>
        <v>Tony</v>
      </c>
      <c r="C656" s="4" t="str">
        <f>IF(Registered!AR1558&gt;0,Registered!AR1558&amp;" Color Bags", "")</f>
        <v>5 Color Bags</v>
      </c>
      <c r="D656" s="4" t="str">
        <f>IF(Registered!AS1558&gt;0,(IF(Registered!AS1558=1,Registered!AS1558&amp;" T-Shirt",Registered!AS1558&amp;" T-Shirts")), "")</f>
        <v/>
      </c>
      <c r="E656" s="4" t="str">
        <f>Registered!AT1558</f>
        <v/>
      </c>
      <c r="F656" s="4" t="str">
        <f>Registered!AU1558</f>
        <v/>
      </c>
      <c r="G656" s="4" t="str">
        <f>Registered!AW1558</f>
        <v/>
      </c>
      <c r="H656" s="4" t="str">
        <f>Registered!AX1558</f>
        <v/>
      </c>
      <c r="I656" s="4" t="str">
        <f>Registered!AY1558</f>
        <v/>
      </c>
    </row>
    <row r="657" spans="1:9" x14ac:dyDescent="0.25">
      <c r="A657" s="4" t="str">
        <f>Registered!B1561</f>
        <v>Marler</v>
      </c>
      <c r="B657" s="4" t="str">
        <f>Registered!A1561</f>
        <v>Cambrie</v>
      </c>
      <c r="C657" s="4" t="str">
        <f>IF(Registered!AR1561&gt;0,Registered!AR1561&amp;" Color Bags", "")</f>
        <v>10 Color Bags</v>
      </c>
      <c r="D657" s="4" t="str">
        <f>IF(Registered!AS1561&gt;0,(IF(Registered!AS1561=1,Registered!AS1561&amp;" T-Shirt",Registered!AS1561&amp;" T-Shirts")), "")</f>
        <v/>
      </c>
      <c r="E657" s="4" t="str">
        <f>Registered!AT1561</f>
        <v/>
      </c>
      <c r="F657" s="4" t="str">
        <f>Registered!AU1561</f>
        <v/>
      </c>
      <c r="G657" s="4" t="str">
        <f>Registered!AW1561</f>
        <v/>
      </c>
      <c r="H657" s="4" t="str">
        <f>Registered!AX1561</f>
        <v/>
      </c>
      <c r="I657" s="4" t="str">
        <f>Registered!AY1561</f>
        <v/>
      </c>
    </row>
    <row r="658" spans="1:9" x14ac:dyDescent="0.25">
      <c r="A658" s="4" t="str">
        <f>Registered!B1563</f>
        <v>Marrott</v>
      </c>
      <c r="B658" s="4" t="str">
        <f>Registered!A1563</f>
        <v>Kendall</v>
      </c>
      <c r="C658" s="4" t="str">
        <f>IF(Registered!AR1563&gt;0,Registered!AR1563&amp;" Color Bags", "")</f>
        <v>5 Color Bags</v>
      </c>
      <c r="D658" s="4" t="str">
        <f>IF(Registered!AS1563&gt;0,(IF(Registered!AS1563=1,Registered!AS1563&amp;" T-Shirt",Registered!AS1563&amp;" T-Shirts")), "")</f>
        <v/>
      </c>
      <c r="E658" s="4" t="str">
        <f>Registered!AT1563</f>
        <v/>
      </c>
      <c r="F658" s="4" t="str">
        <f>Registered!AU1563</f>
        <v/>
      </c>
      <c r="G658" s="4" t="str">
        <f>Registered!AW1563</f>
        <v/>
      </c>
      <c r="H658" s="4" t="str">
        <f>Registered!AX1563</f>
        <v/>
      </c>
      <c r="I658" s="4" t="str">
        <f>Registered!AY1563</f>
        <v/>
      </c>
    </row>
    <row r="659" spans="1:9" x14ac:dyDescent="0.25">
      <c r="A659" s="4" t="str">
        <f>Registered!B1564</f>
        <v>Marshall</v>
      </c>
      <c r="B659" s="4" t="str">
        <f>Registered!A1564</f>
        <v>Kimberly</v>
      </c>
      <c r="C659" s="4" t="str">
        <f>IF(Registered!AR1564&gt;0,Registered!AR1564&amp;" Color Bags", "")</f>
        <v>5 Color Bags</v>
      </c>
      <c r="D659" s="4" t="str">
        <f>IF(Registered!AS1564&gt;0,(IF(Registered!AS1564=1,Registered!AS1564&amp;" T-Shirt",Registered!AS1564&amp;" T-Shirts")), "")</f>
        <v/>
      </c>
      <c r="E659" s="4" t="str">
        <f>Registered!AT1564</f>
        <v/>
      </c>
      <c r="F659" s="4" t="str">
        <f>Registered!AU1564</f>
        <v/>
      </c>
      <c r="G659" s="4" t="str">
        <f>Registered!AW1564</f>
        <v/>
      </c>
      <c r="H659" s="4" t="str">
        <f>Registered!AX1564</f>
        <v/>
      </c>
      <c r="I659" s="4" t="str">
        <f>Registered!AY1564</f>
        <v/>
      </c>
    </row>
    <row r="660" spans="1:9" x14ac:dyDescent="0.25">
      <c r="A660" s="4" t="str">
        <f>Registered!B1569</f>
        <v>Martin</v>
      </c>
      <c r="B660" s="4" t="str">
        <f>Registered!A1569</f>
        <v>Kimberly</v>
      </c>
      <c r="C660" s="4" t="str">
        <f>IF(Registered!AR1569&gt;0,Registered!AR1569&amp;" Color Bags", "")</f>
        <v>10 Color Bags</v>
      </c>
      <c r="D660" s="4" t="str">
        <f>IF(Registered!AS1569&gt;0,(IF(Registered!AS1569=1,Registered!AS1569&amp;" T-Shirt",Registered!AS1569&amp;" T-Shirts")), "")</f>
        <v/>
      </c>
      <c r="E660" s="4" t="str">
        <f>Registered!AT1569</f>
        <v/>
      </c>
      <c r="F660" s="4" t="str">
        <f>Registered!AU1569</f>
        <v/>
      </c>
      <c r="G660" s="4" t="str">
        <f>Registered!AW1569</f>
        <v/>
      </c>
      <c r="H660" s="4" t="str">
        <f>Registered!AX1569</f>
        <v/>
      </c>
      <c r="I660" s="4" t="str">
        <f>Registered!AY1569</f>
        <v/>
      </c>
    </row>
    <row r="661" spans="1:9" x14ac:dyDescent="0.25">
      <c r="A661" s="4" t="str">
        <f>Registered!B1567</f>
        <v>Martin</v>
      </c>
      <c r="B661" s="4" t="str">
        <f>Registered!A1567</f>
        <v>Brittnie</v>
      </c>
      <c r="C661" s="4" t="str">
        <f>IF(Registered!AR1567&gt;0,Registered!AR1567&amp;" Color Bags", "")</f>
        <v>5 Color Bags</v>
      </c>
      <c r="D661" s="4" t="str">
        <f>IF(Registered!AS1567&gt;0,(IF(Registered!AS1567=1,Registered!AS1567&amp;" T-Shirt",Registered!AS1567&amp;" T-Shirts")), "")</f>
        <v/>
      </c>
      <c r="E661" s="4" t="str">
        <f>Registered!AT1567</f>
        <v/>
      </c>
      <c r="F661" s="4" t="str">
        <f>Registered!AU1567</f>
        <v/>
      </c>
      <c r="G661" s="4" t="str">
        <f>Registered!AW1567</f>
        <v/>
      </c>
      <c r="H661" s="4" t="str">
        <f>Registered!AX1567</f>
        <v/>
      </c>
      <c r="I661" s="4" t="str">
        <f>Registered!AY1567</f>
        <v/>
      </c>
    </row>
    <row r="662" spans="1:9" x14ac:dyDescent="0.25">
      <c r="A662" s="4" t="str">
        <f>Registered!B1570</f>
        <v>Martin</v>
      </c>
      <c r="B662" s="4" t="str">
        <f>Registered!A1570</f>
        <v>Natalie</v>
      </c>
      <c r="C662" s="4" t="str">
        <f>IF(Registered!AR1570&gt;0,Registered!AR1570&amp;" Color Bags", "")</f>
        <v>5 Color Bags</v>
      </c>
      <c r="D662" s="4" t="str">
        <f>IF(Registered!AS1570&gt;0,(IF(Registered!AS1570=1,Registered!AS1570&amp;" T-Shirt",Registered!AS1570&amp;" T-Shirts")), "")</f>
        <v/>
      </c>
      <c r="E662" s="4" t="str">
        <f>Registered!AT1570</f>
        <v/>
      </c>
      <c r="F662" s="4" t="str">
        <f>Registered!AU1570</f>
        <v/>
      </c>
      <c r="G662" s="4" t="str">
        <f>Registered!AW1570</f>
        <v/>
      </c>
      <c r="H662" s="4" t="str">
        <f>Registered!AX1570</f>
        <v/>
      </c>
      <c r="I662" s="4" t="str">
        <f>Registered!AY1570</f>
        <v/>
      </c>
    </row>
    <row r="663" spans="1:9" x14ac:dyDescent="0.25">
      <c r="A663" s="4" t="str">
        <f>Registered!B1571</f>
        <v>Martin</v>
      </c>
      <c r="B663" s="4" t="str">
        <f>Registered!A1571</f>
        <v>Timothy</v>
      </c>
      <c r="C663" s="4" t="str">
        <f>IF(Registered!AR1571&gt;0,Registered!AR1571&amp;" Color Bags", "")</f>
        <v>5 Color Bags</v>
      </c>
      <c r="D663" s="4" t="str">
        <f>IF(Registered!AS1571&gt;0,(IF(Registered!AS1571=1,Registered!AS1571&amp;" T-Shirt",Registered!AS1571&amp;" T-Shirts")), "")</f>
        <v/>
      </c>
      <c r="E663" s="4" t="str">
        <f>Registered!AT1571</f>
        <v/>
      </c>
      <c r="F663" s="4" t="str">
        <f>Registered!AU1571</f>
        <v/>
      </c>
      <c r="G663" s="4" t="str">
        <f>Registered!AW1571</f>
        <v/>
      </c>
      <c r="H663" s="4" t="str">
        <f>Registered!AX1571</f>
        <v/>
      </c>
      <c r="I663" s="4" t="str">
        <f>Registered!AY1571</f>
        <v/>
      </c>
    </row>
    <row r="664" spans="1:9" x14ac:dyDescent="0.25">
      <c r="A664" s="4" t="str">
        <f>Registered!B1572</f>
        <v>Martindale</v>
      </c>
      <c r="B664" s="4" t="str">
        <f>Registered!A1572</f>
        <v>Tarah</v>
      </c>
      <c r="C664" s="4" t="str">
        <f>IF(Registered!AR1572&gt;0,Registered!AR1572&amp;" Color Bags", "")</f>
        <v>10 Color Bags</v>
      </c>
      <c r="D664" s="4" t="str">
        <f>IF(Registered!AS1572&gt;0,(IF(Registered!AS1572=1,Registered!AS1572&amp;" T-Shirt",Registered!AS1572&amp;" T-Shirts")), "")</f>
        <v/>
      </c>
      <c r="E664" s="4" t="str">
        <f>Registered!AT1572</f>
        <v/>
      </c>
      <c r="F664" s="4" t="str">
        <f>Registered!AU1572</f>
        <v/>
      </c>
      <c r="G664" s="4" t="str">
        <f>Registered!AW1572</f>
        <v/>
      </c>
      <c r="H664" s="4" t="str">
        <f>Registered!AX1572</f>
        <v/>
      </c>
      <c r="I664" s="4" t="str">
        <f>Registered!AY1572</f>
        <v/>
      </c>
    </row>
    <row r="665" spans="1:9" x14ac:dyDescent="0.25">
      <c r="A665" s="4" t="str">
        <f>Registered!B1573</f>
        <v>Martinez</v>
      </c>
      <c r="B665" s="4" t="str">
        <f>Registered!A1573</f>
        <v>Alberia</v>
      </c>
      <c r="C665" s="4" t="str">
        <f>IF(Registered!AR1573&gt;0,Registered!AR1573&amp;" Color Bags", "")</f>
        <v>10 Color Bags</v>
      </c>
      <c r="D665" s="4" t="str">
        <f>IF(Registered!AS1573&gt;0,(IF(Registered!AS1573=1,Registered!AS1573&amp;" T-Shirt",Registered!AS1573&amp;" T-Shirts")), "")</f>
        <v>3 T-Shirts</v>
      </c>
      <c r="E665" s="4" t="str">
        <f>Registered!AT1573</f>
        <v>medium, medium, child small</v>
      </c>
      <c r="F665" s="4" t="str">
        <f>Registered!AU1573</f>
        <v/>
      </c>
      <c r="G665" s="4" t="str">
        <f>Registered!AW1573</f>
        <v>2 Meals</v>
      </c>
      <c r="H665" s="4" t="str">
        <f>Registered!AX1573</f>
        <v/>
      </c>
      <c r="I665" s="4" t="str">
        <f>Registered!AY1573</f>
        <v/>
      </c>
    </row>
    <row r="666" spans="1:9" x14ac:dyDescent="0.25">
      <c r="A666" s="4" t="str">
        <f>Registered!B1577</f>
        <v>Martinez</v>
      </c>
      <c r="B666" s="4" t="str">
        <f>Registered!A1577</f>
        <v>Kjirsten</v>
      </c>
      <c r="C666" s="4" t="str">
        <f>IF(Registered!AR1577&gt;0,Registered!AR1577&amp;" Color Bags", "")</f>
        <v>10 Color Bags</v>
      </c>
      <c r="D666" s="4" t="str">
        <f>IF(Registered!AS1577&gt;0,(IF(Registered!AS1577=1,Registered!AS1577&amp;" T-Shirt",Registered!AS1577&amp;" T-Shirts")), "")</f>
        <v/>
      </c>
      <c r="E666" s="4" t="str">
        <f>Registered!AT1577</f>
        <v/>
      </c>
      <c r="F666" s="4" t="str">
        <f>Registered!AU1577</f>
        <v/>
      </c>
      <c r="G666" s="4" t="str">
        <f>Registered!AW1577</f>
        <v>1 Meal</v>
      </c>
      <c r="H666" s="4" t="str">
        <f>Registered!AX1577</f>
        <v/>
      </c>
      <c r="I666" s="4" t="str">
        <f>Registered!AY1577</f>
        <v/>
      </c>
    </row>
    <row r="667" spans="1:9" x14ac:dyDescent="0.25">
      <c r="A667" s="4" t="str">
        <f>Registered!B1574</f>
        <v>Martinez</v>
      </c>
      <c r="B667" s="4" t="str">
        <f>Registered!A1574</f>
        <v>Christina</v>
      </c>
      <c r="C667" s="4" t="str">
        <f>IF(Registered!AR1574&gt;0,Registered!AR1574&amp;" Color Bags", "")</f>
        <v>5 Color Bags</v>
      </c>
      <c r="D667" s="4" t="str">
        <f>IF(Registered!AS1574&gt;0,(IF(Registered!AS1574=1,Registered!AS1574&amp;" T-Shirt",Registered!AS1574&amp;" T-Shirts")), "")</f>
        <v>1 T-Shirt</v>
      </c>
      <c r="E667" s="4" t="str">
        <f>Registered!AT1574</f>
        <v>Small</v>
      </c>
      <c r="F667" s="4" t="str">
        <f>Registered!AU1574</f>
        <v/>
      </c>
      <c r="G667" s="4" t="str">
        <f>Registered!AW1574</f>
        <v>1 Meal</v>
      </c>
      <c r="H667" s="4" t="str">
        <f>Registered!AX1574</f>
        <v/>
      </c>
      <c r="I667" s="4" t="str">
        <f>Registered!AY1574</f>
        <v/>
      </c>
    </row>
    <row r="668" spans="1:9" x14ac:dyDescent="0.25">
      <c r="A668" s="4" t="str">
        <f>Registered!B1576</f>
        <v>Martinez</v>
      </c>
      <c r="B668" s="4" t="str">
        <f>Registered!A1576</f>
        <v>Kathy</v>
      </c>
      <c r="C668" s="4" t="str">
        <f>IF(Registered!AR1576&gt;0,Registered!AR1576&amp;" Color Bags", "")</f>
        <v>5 Color Bags</v>
      </c>
      <c r="D668" s="4" t="str">
        <f>IF(Registered!AS1576&gt;0,(IF(Registered!AS1576=1,Registered!AS1576&amp;" T-Shirt",Registered!AS1576&amp;" T-Shirts")), "")</f>
        <v/>
      </c>
      <c r="E668" s="4" t="str">
        <f>Registered!AT1576</f>
        <v/>
      </c>
      <c r="F668" s="4" t="str">
        <f>Registered!AU1576</f>
        <v/>
      </c>
      <c r="G668" s="4" t="str">
        <f>Registered!AW1576</f>
        <v>3 Meals</v>
      </c>
      <c r="H668" s="4" t="str">
        <f>Registered!AX1576</f>
        <v/>
      </c>
      <c r="I668" s="4" t="str">
        <f>Registered!AY1576</f>
        <v/>
      </c>
    </row>
    <row r="669" spans="1:9" x14ac:dyDescent="0.25">
      <c r="A669" s="4" t="str">
        <f>Registered!B1578</f>
        <v>Martinez</v>
      </c>
      <c r="B669" s="4" t="str">
        <f>Registered!A1578</f>
        <v>Natalie</v>
      </c>
      <c r="C669" s="4" t="str">
        <f>IF(Registered!AR1578&gt;0,Registered!AR1578&amp;" Color Bags", "")</f>
        <v>5 Color Bags</v>
      </c>
      <c r="D669" s="4" t="str">
        <f>IF(Registered!AS1578&gt;0,(IF(Registered!AS1578=1,Registered!AS1578&amp;" T-Shirt",Registered!AS1578&amp;" T-Shirts")), "")</f>
        <v/>
      </c>
      <c r="E669" s="4" t="str">
        <f>Registered!AT1578</f>
        <v/>
      </c>
      <c r="F669" s="4" t="str">
        <f>Registered!AU1578</f>
        <v/>
      </c>
      <c r="G669" s="4" t="str">
        <f>Registered!AW1578</f>
        <v/>
      </c>
      <c r="H669" s="4" t="str">
        <f>Registered!AX1578</f>
        <v/>
      </c>
      <c r="I669" s="4" t="str">
        <f>Registered!AY1578</f>
        <v/>
      </c>
    </row>
    <row r="670" spans="1:9" x14ac:dyDescent="0.25">
      <c r="A670" s="4" t="str">
        <f>Registered!B1580</f>
        <v>Martorano</v>
      </c>
      <c r="B670" s="4" t="str">
        <f>Registered!A1580</f>
        <v>Megan</v>
      </c>
      <c r="C670" s="4" t="str">
        <f>IF(Registered!AR1580&gt;0,Registered!AR1580&amp;" Color Bags", "")</f>
        <v>20 Color Bags</v>
      </c>
      <c r="D670" s="4" t="str">
        <f>IF(Registered!AS1580&gt;0,(IF(Registered!AS1580=1,Registered!AS1580&amp;" T-Shirt",Registered!AS1580&amp;" T-Shirts")), "")</f>
        <v/>
      </c>
      <c r="E670" s="4" t="str">
        <f>Registered!AT1580</f>
        <v/>
      </c>
      <c r="F670" s="4" t="str">
        <f>Registered!AU1580</f>
        <v/>
      </c>
      <c r="G670" s="4" t="str">
        <f>Registered!AW1580</f>
        <v/>
      </c>
      <c r="H670" s="4" t="str">
        <f>Registered!AX1580</f>
        <v/>
      </c>
      <c r="I670" s="4" t="str">
        <f>Registered!AY1580</f>
        <v/>
      </c>
    </row>
    <row r="671" spans="1:9" x14ac:dyDescent="0.25">
      <c r="A671" s="4" t="str">
        <f>Registered!B1582</f>
        <v>Marzzarella</v>
      </c>
      <c r="B671" s="4" t="str">
        <f>Registered!A1582</f>
        <v>Katie</v>
      </c>
      <c r="C671" s="4" t="str">
        <f>IF(Registered!AR1582&gt;0,Registered!AR1582&amp;" Color Bags", "")</f>
        <v>5 Color Bags</v>
      </c>
      <c r="D671" s="4" t="str">
        <f>IF(Registered!AS1582&gt;0,(IF(Registered!AS1582=1,Registered!AS1582&amp;" T-Shirt",Registered!AS1582&amp;" T-Shirts")), "")</f>
        <v/>
      </c>
      <c r="E671" s="4" t="str">
        <f>Registered!AT1582</f>
        <v/>
      </c>
      <c r="F671" s="4" t="str">
        <f>Registered!AU1582</f>
        <v/>
      </c>
      <c r="G671" s="4" t="str">
        <f>Registered!AW1582</f>
        <v/>
      </c>
      <c r="H671" s="4" t="str">
        <f>Registered!AX1582</f>
        <v/>
      </c>
      <c r="I671" s="4" t="str">
        <f>Registered!AY1582</f>
        <v/>
      </c>
    </row>
    <row r="672" spans="1:9" x14ac:dyDescent="0.25">
      <c r="A672" s="4" t="str">
        <f>Registered!B1584</f>
        <v>Massey</v>
      </c>
      <c r="B672" s="4" t="str">
        <f>Registered!A1584</f>
        <v>Shelby</v>
      </c>
      <c r="C672" s="4" t="str">
        <f>IF(Registered!AR1584&gt;0,Registered!AR1584&amp;" Color Bags", "")</f>
        <v>5 Color Bags</v>
      </c>
      <c r="D672" s="4" t="str">
        <f>IF(Registered!AS1584&gt;0,(IF(Registered!AS1584=1,Registered!AS1584&amp;" T-Shirt",Registered!AS1584&amp;" T-Shirts")), "")</f>
        <v>1 T-Shirt</v>
      </c>
      <c r="E672" s="4" t="str">
        <f>Registered!AT1584</f>
        <v>medium</v>
      </c>
      <c r="F672" s="4" t="str">
        <f>Registered!AU1584</f>
        <v/>
      </c>
      <c r="G672" s="4" t="str">
        <f>Registered!AW1584</f>
        <v>1 Meal</v>
      </c>
      <c r="H672" s="4" t="str">
        <f>Registered!AX1584</f>
        <v/>
      </c>
      <c r="I672" s="4" t="str">
        <f>Registered!AY1584</f>
        <v/>
      </c>
    </row>
    <row r="673" spans="1:9" x14ac:dyDescent="0.25">
      <c r="A673" s="4" t="str">
        <f>Registered!B1585</f>
        <v>Matern</v>
      </c>
      <c r="B673" s="4" t="str">
        <f>Registered!A1585</f>
        <v>Jason</v>
      </c>
      <c r="C673" s="4" t="str">
        <f>IF(Registered!AR1585&gt;0,Registered!AR1585&amp;" Color Bags", "")</f>
        <v>10 Color Bags</v>
      </c>
      <c r="D673" s="4" t="str">
        <f>IF(Registered!AS1585&gt;0,(IF(Registered!AS1585=1,Registered!AS1585&amp;" T-Shirt",Registered!AS1585&amp;" T-Shirts")), "")</f>
        <v/>
      </c>
      <c r="E673" s="4" t="str">
        <f>Registered!AT1585</f>
        <v/>
      </c>
      <c r="F673" s="4" t="str">
        <f>Registered!AU1585</f>
        <v/>
      </c>
      <c r="G673" s="4" t="str">
        <f>Registered!AW1585</f>
        <v/>
      </c>
      <c r="H673" s="4" t="str">
        <f>Registered!AX1585</f>
        <v/>
      </c>
      <c r="I673" s="4" t="str">
        <f>Registered!AY1585</f>
        <v/>
      </c>
    </row>
    <row r="674" spans="1:9" x14ac:dyDescent="0.25">
      <c r="A674" s="4" t="str">
        <f>Registered!B1589</f>
        <v>Mathiesen</v>
      </c>
      <c r="B674" s="4" t="str">
        <f>Registered!A1589</f>
        <v>Amber</v>
      </c>
      <c r="C674" s="4" t="str">
        <f>IF(Registered!AR1589&gt;0,Registered!AR1589&amp;" Color Bags", "")</f>
        <v>5 Color Bags</v>
      </c>
      <c r="D674" s="4" t="str">
        <f>IF(Registered!AS1589&gt;0,(IF(Registered!AS1589=1,Registered!AS1589&amp;" T-Shirt",Registered!AS1589&amp;" T-Shirts")), "")</f>
        <v/>
      </c>
      <c r="E674" s="4" t="str">
        <f>Registered!AT1589</f>
        <v/>
      </c>
      <c r="F674" s="4" t="str">
        <f>Registered!AU1589</f>
        <v/>
      </c>
      <c r="G674" s="4" t="str">
        <f>Registered!AW1589</f>
        <v>2 Meals</v>
      </c>
      <c r="H674" s="4" t="str">
        <f>Registered!AX1589</f>
        <v/>
      </c>
      <c r="I674" s="4" t="str">
        <f>Registered!AY1589</f>
        <v/>
      </c>
    </row>
    <row r="675" spans="1:9" x14ac:dyDescent="0.25">
      <c r="A675" s="4" t="str">
        <f>Registered!B1592</f>
        <v>Mauseth</v>
      </c>
      <c r="B675" s="4" t="str">
        <f>Registered!A1592</f>
        <v>Mercedes</v>
      </c>
      <c r="C675" s="4" t="str">
        <f>IF(Registered!AR1592&gt;0,Registered!AR1592&amp;" Color Bags", "")</f>
        <v>25 Color Bags</v>
      </c>
      <c r="D675" s="4" t="str">
        <f>IF(Registered!AS1592&gt;0,(IF(Registered!AS1592=1,Registered!AS1592&amp;" T-Shirt",Registered!AS1592&amp;" T-Shirts")), "")</f>
        <v>5 T-Shirts</v>
      </c>
      <c r="E675" s="4" t="str">
        <f>Registered!AT1592</f>
        <v>L, XL, XL, XL, XXL</v>
      </c>
      <c r="F675" s="4" t="str">
        <f>Registered!AU1592</f>
        <v/>
      </c>
      <c r="G675" s="4" t="str">
        <f>Registered!AW1592</f>
        <v>5 Meals</v>
      </c>
      <c r="H675" s="4" t="str">
        <f>Registered!AX1592</f>
        <v/>
      </c>
      <c r="I675" s="4" t="str">
        <f>Registered!AY1592</f>
        <v/>
      </c>
    </row>
    <row r="676" spans="1:9" x14ac:dyDescent="0.25">
      <c r="A676" s="4" t="str">
        <f>Registered!B1597</f>
        <v>Maynard</v>
      </c>
      <c r="B676" s="4" t="str">
        <f>Registered!A1597</f>
        <v>Michael</v>
      </c>
      <c r="C676" s="4" t="str">
        <f>IF(Registered!AR1597&gt;0,Registered!AR1597&amp;" Color Bags", "")</f>
        <v>5 Color Bags</v>
      </c>
      <c r="D676" s="4" t="str">
        <f>IF(Registered!AS1597&gt;0,(IF(Registered!AS1597=1,Registered!AS1597&amp;" T-Shirt",Registered!AS1597&amp;" T-Shirts")), "")</f>
        <v/>
      </c>
      <c r="E676" s="4" t="str">
        <f>Registered!AT1597</f>
        <v/>
      </c>
      <c r="F676" s="4" t="str">
        <f>Registered!AU1597</f>
        <v/>
      </c>
      <c r="G676" s="4" t="str">
        <f>Registered!AW1597</f>
        <v/>
      </c>
      <c r="H676" s="4" t="str">
        <f>Registered!AX1597</f>
        <v/>
      </c>
      <c r="I676" s="4" t="str">
        <f>Registered!AY1597</f>
        <v/>
      </c>
    </row>
    <row r="677" spans="1:9" x14ac:dyDescent="0.25">
      <c r="A677" s="4" t="str">
        <f>Registered!B1598</f>
        <v>McAllister</v>
      </c>
      <c r="B677" s="4" t="str">
        <f>Registered!A1598</f>
        <v>Caitlyn</v>
      </c>
      <c r="C677" s="4" t="str">
        <f>IF(Registered!AR1598&gt;0,Registered!AR1598&amp;" Color Bags", "")</f>
        <v>5 Color Bags</v>
      </c>
      <c r="D677" s="4" t="str">
        <f>IF(Registered!AS1598&gt;0,(IF(Registered!AS1598=1,Registered!AS1598&amp;" T-Shirt",Registered!AS1598&amp;" T-Shirts")), "")</f>
        <v/>
      </c>
      <c r="E677" s="4" t="str">
        <f>Registered!AT1598</f>
        <v/>
      </c>
      <c r="F677" s="4" t="str">
        <f>Registered!AU1598</f>
        <v/>
      </c>
      <c r="G677" s="4" t="str">
        <f>Registered!AW1598</f>
        <v>1 Meal</v>
      </c>
      <c r="H677" s="4" t="str">
        <f>Registered!AX1598</f>
        <v/>
      </c>
      <c r="I677" s="4" t="str">
        <f>Registered!AY1598</f>
        <v/>
      </c>
    </row>
    <row r="678" spans="1:9" x14ac:dyDescent="0.25">
      <c r="A678" s="4" t="str">
        <f>Registered!B1600</f>
        <v>McBeth</v>
      </c>
      <c r="B678" s="4" t="str">
        <f>Registered!A1600</f>
        <v>Tyler</v>
      </c>
      <c r="C678" s="4" t="str">
        <f>IF(Registered!AR1600&gt;0,Registered!AR1600&amp;" Color Bags", "")</f>
        <v>5 Color Bags</v>
      </c>
      <c r="D678" s="4" t="str">
        <f>IF(Registered!AS1600&gt;0,(IF(Registered!AS1600=1,Registered!AS1600&amp;" T-Shirt",Registered!AS1600&amp;" T-Shirts")), "")</f>
        <v/>
      </c>
      <c r="E678" s="4" t="str">
        <f>Registered!AT1600</f>
        <v/>
      </c>
      <c r="F678" s="4" t="str">
        <f>Registered!AU1600</f>
        <v/>
      </c>
      <c r="G678" s="4" t="str">
        <f>Registered!AW1600</f>
        <v/>
      </c>
      <c r="H678" s="4" t="str">
        <f>Registered!AX1600</f>
        <v/>
      </c>
      <c r="I678" s="4" t="str">
        <f>Registered!AY1600</f>
        <v/>
      </c>
    </row>
    <row r="679" spans="1:9" x14ac:dyDescent="0.25">
      <c r="A679" s="4" t="str">
        <f>Registered!B1604</f>
        <v>McCabe</v>
      </c>
      <c r="B679" s="4" t="str">
        <f>Registered!A1604</f>
        <v>Jentre</v>
      </c>
      <c r="C679" s="4" t="str">
        <f>IF(Registered!AR1604&gt;0,Registered!AR1604&amp;" Color Bags", "")</f>
        <v>5 Color Bags</v>
      </c>
      <c r="D679" s="4" t="str">
        <f>IF(Registered!AS1604&gt;0,(IF(Registered!AS1604=1,Registered!AS1604&amp;" T-Shirt",Registered!AS1604&amp;" T-Shirts")), "")</f>
        <v>1 T-Shirt</v>
      </c>
      <c r="E679" s="4" t="str">
        <f>Registered!AT1604</f>
        <v>Women's small</v>
      </c>
      <c r="F679" s="4" t="str">
        <f>Registered!AU1604</f>
        <v/>
      </c>
      <c r="G679" s="4" t="str">
        <f>Registered!AW1604</f>
        <v>1 Meal</v>
      </c>
      <c r="H679" s="4" t="str">
        <f>Registered!AX1604</f>
        <v/>
      </c>
      <c r="I679" s="4" t="str">
        <f>Registered!AY1604</f>
        <v/>
      </c>
    </row>
    <row r="680" spans="1:9" x14ac:dyDescent="0.25">
      <c r="A680" s="4" t="str">
        <f>Registered!B1603</f>
        <v>Mccarty</v>
      </c>
      <c r="B680" s="4" t="str">
        <f>Registered!A1603</f>
        <v>Stephanie</v>
      </c>
      <c r="C680" s="4" t="str">
        <f>IF(Registered!AR1603&gt;0,Registered!AR1603&amp;" Color Bags", "")</f>
        <v>10 Color Bags</v>
      </c>
      <c r="D680" s="4" t="str">
        <f>IF(Registered!AS1603&gt;0,(IF(Registered!AS1603=1,Registered!AS1603&amp;" T-Shirt",Registered!AS1603&amp;" T-Shirts")), "")</f>
        <v/>
      </c>
      <c r="E680" s="4" t="str">
        <f>Registered!AT1603</f>
        <v/>
      </c>
      <c r="F680" s="4" t="str">
        <f>Registered!AU1603</f>
        <v/>
      </c>
      <c r="G680" s="4" t="str">
        <f>Registered!AW1603</f>
        <v/>
      </c>
      <c r="H680" s="4" t="str">
        <f>Registered!AX1603</f>
        <v/>
      </c>
      <c r="I680" s="4" t="str">
        <f>Registered!AY1603</f>
        <v/>
      </c>
    </row>
    <row r="681" spans="1:9" x14ac:dyDescent="0.25">
      <c r="A681" s="4" t="str">
        <f>Registered!B1611</f>
        <v>McDonald</v>
      </c>
      <c r="B681" s="4" t="str">
        <f>Registered!A1611</f>
        <v>Ciara</v>
      </c>
      <c r="C681" s="4" t="str">
        <f>IF(Registered!AR1611&gt;0,Registered!AR1611&amp;" Color Bags", "")</f>
        <v>10 Color Bags</v>
      </c>
      <c r="D681" s="4" t="str">
        <f>IF(Registered!AS1611&gt;0,(IF(Registered!AS1611=1,Registered!AS1611&amp;" T-Shirt",Registered!AS1611&amp;" T-Shirts")), "")</f>
        <v/>
      </c>
      <c r="E681" s="4" t="str">
        <f>Registered!AT1611</f>
        <v/>
      </c>
      <c r="F681" s="4" t="str">
        <f>Registered!AU1611</f>
        <v/>
      </c>
      <c r="G681" s="4" t="str">
        <f>Registered!AW1611</f>
        <v/>
      </c>
      <c r="H681" s="4" t="str">
        <f>Registered!AX1611</f>
        <v/>
      </c>
      <c r="I681" s="4" t="str">
        <f>Registered!AY1611</f>
        <v/>
      </c>
    </row>
    <row r="682" spans="1:9" x14ac:dyDescent="0.25">
      <c r="A682" s="4" t="str">
        <f>Registered!B1612</f>
        <v>McDonald</v>
      </c>
      <c r="B682" s="4" t="str">
        <f>Registered!A1612</f>
        <v>Macall</v>
      </c>
      <c r="C682" s="4" t="str">
        <f>IF(Registered!AR1612&gt;0,Registered!AR1612&amp;" Color Bags", "")</f>
        <v>5 Color Bags</v>
      </c>
      <c r="D682" s="4" t="str">
        <f>IF(Registered!AS1612&gt;0,(IF(Registered!AS1612=1,Registered!AS1612&amp;" T-Shirt",Registered!AS1612&amp;" T-Shirts")), "")</f>
        <v/>
      </c>
      <c r="E682" s="4" t="str">
        <f>Registered!AT1612</f>
        <v/>
      </c>
      <c r="F682" s="4" t="str">
        <f>Registered!AU1612</f>
        <v/>
      </c>
      <c r="G682" s="4" t="str">
        <f>Registered!AW1612</f>
        <v/>
      </c>
      <c r="H682" s="4" t="str">
        <f>Registered!AX1612</f>
        <v/>
      </c>
      <c r="I682" s="4" t="str">
        <f>Registered!AY1612</f>
        <v/>
      </c>
    </row>
    <row r="683" spans="1:9" x14ac:dyDescent="0.25">
      <c r="A683" s="4" t="str">
        <f>Registered!B1617</f>
        <v>McFarland</v>
      </c>
      <c r="B683" s="4" t="str">
        <f>Registered!A1617</f>
        <v>Tricia</v>
      </c>
      <c r="C683" s="4" t="str">
        <f>IF(Registered!AR1617&gt;0,Registered!AR1617&amp;" Color Bags", "")</f>
        <v>10 Color Bags</v>
      </c>
      <c r="D683" s="4" t="str">
        <f>IF(Registered!AS1617&gt;0,(IF(Registered!AS1617=1,Registered!AS1617&amp;" T-Shirt",Registered!AS1617&amp;" T-Shirts")), "")</f>
        <v/>
      </c>
      <c r="E683" s="4" t="str">
        <f>Registered!AT1617</f>
        <v/>
      </c>
      <c r="F683" s="4" t="str">
        <f>Registered!AU1617</f>
        <v/>
      </c>
      <c r="G683" s="4" t="str">
        <f>Registered!AW1617</f>
        <v/>
      </c>
      <c r="H683" s="4" t="str">
        <f>Registered!AX1617</f>
        <v/>
      </c>
      <c r="I683" s="4" t="str">
        <f>Registered!AY1617</f>
        <v/>
      </c>
    </row>
    <row r="684" spans="1:9" x14ac:dyDescent="0.25">
      <c r="A684" s="4" t="str">
        <f>Registered!B1619</f>
        <v>McGarrell</v>
      </c>
      <c r="B684" s="4" t="str">
        <f>Registered!A1619</f>
        <v>Shellby</v>
      </c>
      <c r="C684" s="4" t="str">
        <f>IF(Registered!AR1619&gt;0,Registered!AR1619&amp;" Color Bags", "")</f>
        <v>10 Color Bags</v>
      </c>
      <c r="D684" s="4" t="str">
        <f>IF(Registered!AS1619&gt;0,(IF(Registered!AS1619=1,Registered!AS1619&amp;" T-Shirt",Registered!AS1619&amp;" T-Shirts")), "")</f>
        <v/>
      </c>
      <c r="E684" s="4" t="str">
        <f>Registered!AT1619</f>
        <v/>
      </c>
      <c r="F684" s="4" t="str">
        <f>Registered!AU1619</f>
        <v/>
      </c>
      <c r="G684" s="4" t="str">
        <f>Registered!AW1619</f>
        <v/>
      </c>
      <c r="H684" s="4" t="str">
        <f>Registered!AX1619</f>
        <v/>
      </c>
      <c r="I684" s="4" t="str">
        <f>Registered!AY1619</f>
        <v/>
      </c>
    </row>
    <row r="685" spans="1:9" x14ac:dyDescent="0.25">
      <c r="A685" s="4" t="str">
        <f>Registered!B1620</f>
        <v>McGarry</v>
      </c>
      <c r="B685" s="4" t="str">
        <f>Registered!A1620</f>
        <v>Kelsey</v>
      </c>
      <c r="C685" s="4" t="str">
        <f>IF(Registered!AR1620&gt;0,Registered!AR1620&amp;" Color Bags", "")</f>
        <v>20 Color Bags</v>
      </c>
      <c r="D685" s="4" t="str">
        <f>IF(Registered!AS1620&gt;0,(IF(Registered!AS1620=1,Registered!AS1620&amp;" T-Shirt",Registered!AS1620&amp;" T-Shirts")), "")</f>
        <v>2 T-Shirts</v>
      </c>
      <c r="E685" s="4" t="str">
        <f>Registered!AT1620</f>
        <v>1 Adult Large and 1 Adult medium</v>
      </c>
      <c r="F685" s="4" t="str">
        <f>Registered!AU1620</f>
        <v/>
      </c>
      <c r="G685" s="4" t="str">
        <f>Registered!AW1620</f>
        <v/>
      </c>
      <c r="H685" s="4" t="str">
        <f>Registered!AX1620</f>
        <v/>
      </c>
      <c r="I685" s="4" t="str">
        <f>Registered!AY1620</f>
        <v/>
      </c>
    </row>
    <row r="686" spans="1:9" x14ac:dyDescent="0.25">
      <c r="A686" s="4" t="str">
        <f>Registered!B1622</f>
        <v>McGinnis</v>
      </c>
      <c r="B686" s="4" t="str">
        <f>Registered!A1622</f>
        <v>Tessa</v>
      </c>
      <c r="C686" s="4" t="str">
        <f>IF(Registered!AR1622&gt;0,Registered!AR1622&amp;" Color Bags", "")</f>
        <v>5 Color Bags</v>
      </c>
      <c r="D686" s="4" t="str">
        <f>IF(Registered!AS1622&gt;0,(IF(Registered!AS1622=1,Registered!AS1622&amp;" T-Shirt",Registered!AS1622&amp;" T-Shirts")), "")</f>
        <v/>
      </c>
      <c r="E686" s="4" t="str">
        <f>Registered!AT1622</f>
        <v/>
      </c>
      <c r="F686" s="4" t="str">
        <f>Registered!AU1622</f>
        <v/>
      </c>
      <c r="G686" s="4" t="str">
        <f>Registered!AW1622</f>
        <v/>
      </c>
      <c r="H686" s="4" t="str">
        <f>Registered!AX1622</f>
        <v/>
      </c>
      <c r="I686" s="4" t="str">
        <f>Registered!AY1622</f>
        <v/>
      </c>
    </row>
    <row r="687" spans="1:9" x14ac:dyDescent="0.25">
      <c r="A687" s="4" t="str">
        <f>Registered!B1624</f>
        <v>McInnis</v>
      </c>
      <c r="B687" s="4" t="str">
        <f>Registered!A1624</f>
        <v>Katie</v>
      </c>
      <c r="C687" s="4" t="str">
        <f>IF(Registered!AR1624&gt;0,Registered!AR1624&amp;" Color Bags", "")</f>
        <v>5 Color Bags</v>
      </c>
      <c r="D687" s="4" t="str">
        <f>IF(Registered!AS1624&gt;0,(IF(Registered!AS1624=1,Registered!AS1624&amp;" T-Shirt",Registered!AS1624&amp;" T-Shirts")), "")</f>
        <v/>
      </c>
      <c r="E687" s="4" t="str">
        <f>Registered!AT1624</f>
        <v/>
      </c>
      <c r="F687" s="4" t="str">
        <f>Registered!AU1624</f>
        <v/>
      </c>
      <c r="G687" s="4" t="str">
        <f>Registered!AW1624</f>
        <v/>
      </c>
      <c r="H687" s="4" t="str">
        <f>Registered!AX1624</f>
        <v/>
      </c>
      <c r="I687" s="4" t="str">
        <f>Registered!AY1624</f>
        <v/>
      </c>
    </row>
    <row r="688" spans="1:9" x14ac:dyDescent="0.25">
      <c r="A688" s="4" t="str">
        <f>Registered!B1625</f>
        <v>McKay</v>
      </c>
      <c r="B688" s="4" t="str">
        <f>Registered!A1625</f>
        <v>Chris</v>
      </c>
      <c r="C688" s="4" t="str">
        <f>IF(Registered!AR1625&gt;0,Registered!AR1625&amp;" Color Bags", "")</f>
        <v>10 Color Bags</v>
      </c>
      <c r="D688" s="4" t="str">
        <f>IF(Registered!AS1625&gt;0,(IF(Registered!AS1625=1,Registered!AS1625&amp;" T-Shirt",Registered!AS1625&amp;" T-Shirts")), "")</f>
        <v/>
      </c>
      <c r="E688" s="4" t="str">
        <f>Registered!AT1625</f>
        <v/>
      </c>
      <c r="F688" s="4" t="str">
        <f>Registered!AU1625</f>
        <v/>
      </c>
      <c r="G688" s="4" t="str">
        <f>Registered!AW1625</f>
        <v/>
      </c>
      <c r="H688" s="4" t="str">
        <f>Registered!AX1625</f>
        <v/>
      </c>
      <c r="I688" s="4" t="str">
        <f>Registered!AY1625</f>
        <v/>
      </c>
    </row>
    <row r="689" spans="1:9" x14ac:dyDescent="0.25">
      <c r="A689" s="4" t="str">
        <f>Registered!B1629</f>
        <v>McKinney</v>
      </c>
      <c r="B689" s="4" t="str">
        <f>Registered!A1629</f>
        <v>Jessica</v>
      </c>
      <c r="C689" s="4" t="str">
        <f>IF(Registered!AR1629&gt;0,Registered!AR1629&amp;" Color Bags", "")</f>
        <v>5 Color Bags</v>
      </c>
      <c r="D689" s="4" t="str">
        <f>IF(Registered!AS1629&gt;0,(IF(Registered!AS1629=1,Registered!AS1629&amp;" T-Shirt",Registered!AS1629&amp;" T-Shirts")), "")</f>
        <v/>
      </c>
      <c r="E689" s="4" t="str">
        <f>Registered!AT1629</f>
        <v/>
      </c>
      <c r="F689" s="4" t="str">
        <f>Registered!AU1629</f>
        <v/>
      </c>
      <c r="G689" s="4" t="str">
        <f>Registered!AW1629</f>
        <v/>
      </c>
      <c r="H689" s="4" t="str">
        <f>Registered!AX1629</f>
        <v/>
      </c>
      <c r="I689" s="4" t="str">
        <f>Registered!AY1629</f>
        <v/>
      </c>
    </row>
    <row r="690" spans="1:9" x14ac:dyDescent="0.25">
      <c r="A690" s="4" t="str">
        <f>Registered!B1630</f>
        <v>McKinney</v>
      </c>
      <c r="B690" s="4" t="str">
        <f>Registered!A1630</f>
        <v>Joshua</v>
      </c>
      <c r="C690" s="4" t="str">
        <f>IF(Registered!AR1630&gt;0,Registered!AR1630&amp;" Color Bags", "")</f>
        <v>5 Color Bags</v>
      </c>
      <c r="D690" s="4" t="str">
        <f>IF(Registered!AS1630&gt;0,(IF(Registered!AS1630=1,Registered!AS1630&amp;" T-Shirt",Registered!AS1630&amp;" T-Shirts")), "")</f>
        <v/>
      </c>
      <c r="E690" s="4" t="str">
        <f>Registered!AT1630</f>
        <v/>
      </c>
      <c r="F690" s="4" t="str">
        <f>Registered!AU1630</f>
        <v/>
      </c>
      <c r="G690" s="4" t="str">
        <f>Registered!AW1630</f>
        <v/>
      </c>
      <c r="H690" s="4" t="str">
        <f>Registered!AX1630</f>
        <v/>
      </c>
      <c r="I690" s="4" t="str">
        <f>Registered!AY1630</f>
        <v/>
      </c>
    </row>
    <row r="691" spans="1:9" x14ac:dyDescent="0.25">
      <c r="A691" s="4" t="str">
        <f>Registered!B1631</f>
        <v>McKinnon</v>
      </c>
      <c r="B691" s="4" t="str">
        <f>Registered!A1631</f>
        <v>Deja</v>
      </c>
      <c r="C691" s="4" t="str">
        <f>IF(Registered!AR1631&gt;0,Registered!AR1631&amp;" Color Bags", "")</f>
        <v>10 Color Bags</v>
      </c>
      <c r="D691" s="4" t="str">
        <f>IF(Registered!AS1631&gt;0,(IF(Registered!AS1631=1,Registered!AS1631&amp;" T-Shirt",Registered!AS1631&amp;" T-Shirts")), "")</f>
        <v/>
      </c>
      <c r="E691" s="4" t="str">
        <f>Registered!AT1631</f>
        <v/>
      </c>
      <c r="F691" s="4" t="str">
        <f>Registered!AU1631</f>
        <v/>
      </c>
      <c r="G691" s="4" t="str">
        <f>Registered!AW1631</f>
        <v/>
      </c>
      <c r="H691" s="4" t="str">
        <f>Registered!AX1631</f>
        <v/>
      </c>
      <c r="I691" s="4" t="str">
        <f>Registered!AY1631</f>
        <v/>
      </c>
    </row>
    <row r="692" spans="1:9" x14ac:dyDescent="0.25">
      <c r="A692" s="4" t="str">
        <f>Registered!B1632</f>
        <v>McKinnon</v>
      </c>
      <c r="B692" s="4" t="str">
        <f>Registered!A1632</f>
        <v>Todd</v>
      </c>
      <c r="C692" s="4" t="str">
        <f>IF(Registered!AR1632&gt;0,Registered!AR1632&amp;" Color Bags", "")</f>
        <v>10 Color Bags</v>
      </c>
      <c r="D692" s="4" t="str">
        <f>IF(Registered!AS1632&gt;0,(IF(Registered!AS1632=1,Registered!AS1632&amp;" T-Shirt",Registered!AS1632&amp;" T-Shirts")), "")</f>
        <v/>
      </c>
      <c r="E692" s="4" t="str">
        <f>Registered!AT1632</f>
        <v/>
      </c>
      <c r="F692" s="4" t="str">
        <f>Registered!AU1632</f>
        <v/>
      </c>
      <c r="G692" s="4" t="str">
        <f>Registered!AW1632</f>
        <v/>
      </c>
      <c r="H692" s="4" t="str">
        <f>Registered!AX1632</f>
        <v/>
      </c>
      <c r="I692" s="4" t="str">
        <f>Registered!AY1632</f>
        <v>1 DustMask</v>
      </c>
    </row>
    <row r="693" spans="1:9" x14ac:dyDescent="0.25">
      <c r="A693" s="4" t="str">
        <f>Registered!B1633</f>
        <v>McLean</v>
      </c>
      <c r="B693" s="4" t="str">
        <f>Registered!A1633</f>
        <v>Mallory</v>
      </c>
      <c r="C693" s="4" t="str">
        <f>IF(Registered!AR1633&gt;0,Registered!AR1633&amp;" Color Bags", "")</f>
        <v>15 Color Bags</v>
      </c>
      <c r="D693" s="4" t="str">
        <f>IF(Registered!AS1633&gt;0,(IF(Registered!AS1633=1,Registered!AS1633&amp;" T-Shirt",Registered!AS1633&amp;" T-Shirts")), "")</f>
        <v>1 T-Shirt</v>
      </c>
      <c r="E693" s="4" t="str">
        <f>Registered!AT1633</f>
        <v>medium</v>
      </c>
      <c r="F693" s="4" t="str">
        <f>Registered!AU1633</f>
        <v/>
      </c>
      <c r="G693" s="4" t="str">
        <f>Registered!AW1633</f>
        <v/>
      </c>
      <c r="H693" s="4" t="str">
        <f>Registered!AX1633</f>
        <v/>
      </c>
      <c r="I693" s="4" t="str">
        <f>Registered!AY1633</f>
        <v/>
      </c>
    </row>
    <row r="694" spans="1:9" x14ac:dyDescent="0.25">
      <c r="A694" s="4" t="str">
        <f>Registered!B1637</f>
        <v>McNeil</v>
      </c>
      <c r="B694" s="4" t="str">
        <f>Registered!A1637</f>
        <v>Cinnamon</v>
      </c>
      <c r="C694" s="4" t="str">
        <f>IF(Registered!AR1637&gt;0,Registered!AR1637&amp;" Color Bags", "")</f>
        <v>20 Color Bags</v>
      </c>
      <c r="D694" s="4" t="str">
        <f>IF(Registered!AS1637&gt;0,(IF(Registered!AS1637=1,Registered!AS1637&amp;" T-Shirt",Registered!AS1637&amp;" T-Shirts")), "")</f>
        <v/>
      </c>
      <c r="E694" s="4" t="str">
        <f>Registered!AT1637</f>
        <v/>
      </c>
      <c r="F694" s="4" t="str">
        <f>Registered!AU1637</f>
        <v/>
      </c>
      <c r="G694" s="4" t="str">
        <f>Registered!AW1637</f>
        <v/>
      </c>
      <c r="H694" s="4" t="str">
        <f>Registered!AX1637</f>
        <v/>
      </c>
      <c r="I694" s="4" t="str">
        <f>Registered!AY1637</f>
        <v/>
      </c>
    </row>
    <row r="695" spans="1:9" x14ac:dyDescent="0.25">
      <c r="A695" s="4" t="str">
        <f>Registered!B1638</f>
        <v>McQueen</v>
      </c>
      <c r="B695" s="4" t="str">
        <f>Registered!A1638</f>
        <v>Alisabeth</v>
      </c>
      <c r="C695" s="4" t="str">
        <f>IF(Registered!AR1638&gt;0,Registered!AR1638&amp;" Color Bags", "")</f>
        <v>5 Color Bags</v>
      </c>
      <c r="D695" s="4" t="str">
        <f>IF(Registered!AS1638&gt;0,(IF(Registered!AS1638=1,Registered!AS1638&amp;" T-Shirt",Registered!AS1638&amp;" T-Shirts")), "")</f>
        <v/>
      </c>
      <c r="E695" s="4" t="str">
        <f>Registered!AT1638</f>
        <v/>
      </c>
      <c r="F695" s="4" t="str">
        <f>Registered!AU1638</f>
        <v/>
      </c>
      <c r="G695" s="4" t="str">
        <f>Registered!AW1638</f>
        <v/>
      </c>
      <c r="H695" s="4" t="str">
        <f>Registered!AX1638</f>
        <v/>
      </c>
      <c r="I695" s="4" t="str">
        <f>Registered!AY1638</f>
        <v/>
      </c>
    </row>
    <row r="696" spans="1:9" x14ac:dyDescent="0.25">
      <c r="A696" s="4" t="str">
        <f>Registered!B1640</f>
        <v>Meads</v>
      </c>
      <c r="B696" s="4" t="str">
        <f>Registered!A1640</f>
        <v>Stefanie</v>
      </c>
      <c r="C696" s="4" t="str">
        <f>IF(Registered!AR1640&gt;0,Registered!AR1640&amp;" Color Bags", "")</f>
        <v>5 Color Bags</v>
      </c>
      <c r="D696" s="4" t="str">
        <f>IF(Registered!AS1640&gt;0,(IF(Registered!AS1640=1,Registered!AS1640&amp;" T-Shirt",Registered!AS1640&amp;" T-Shirts")), "")</f>
        <v/>
      </c>
      <c r="E696" s="4" t="str">
        <f>Registered!AT1640</f>
        <v/>
      </c>
      <c r="F696" s="4" t="str">
        <f>Registered!AU1640</f>
        <v/>
      </c>
      <c r="G696" s="4" t="str">
        <f>Registered!AW1640</f>
        <v/>
      </c>
      <c r="H696" s="4" t="str">
        <f>Registered!AX1640</f>
        <v/>
      </c>
      <c r="I696" s="4" t="str">
        <f>Registered!AY1640</f>
        <v/>
      </c>
    </row>
    <row r="697" spans="1:9" x14ac:dyDescent="0.25">
      <c r="A697" s="4" t="str">
        <f>Registered!B2740</f>
        <v>Meads</v>
      </c>
      <c r="B697" s="4" t="str">
        <f>Registered!A2740</f>
        <v>Trevor</v>
      </c>
      <c r="C697" s="4" t="str">
        <f>IF(Registered!AR2740&gt;0,Registered!AR2740&amp;" Color Bags", "")</f>
        <v>5 Color Bags</v>
      </c>
      <c r="D697" s="4" t="str">
        <f>IF(Registered!AS2740&gt;0,(IF(Registered!AS2740=1,Registered!AS2740&amp;" T-Shirt",Registered!AS2740&amp;" T-Shirts")), "")</f>
        <v/>
      </c>
      <c r="E697" s="4" t="str">
        <f>Registered!AT2740</f>
        <v/>
      </c>
      <c r="F697" s="4" t="str">
        <f>Registered!AU2740</f>
        <v/>
      </c>
      <c r="G697" s="4" t="str">
        <f>Registered!AW2740</f>
        <v/>
      </c>
      <c r="H697" s="4" t="str">
        <f>Registered!AX2740</f>
        <v/>
      </c>
      <c r="I697" s="4" t="str">
        <f>Registered!AY2740</f>
        <v/>
      </c>
    </row>
    <row r="698" spans="1:9" x14ac:dyDescent="0.25">
      <c r="A698" s="4" t="str">
        <f>Registered!B1642</f>
        <v>Mears</v>
      </c>
      <c r="B698" s="4" t="str">
        <f>Registered!A1642</f>
        <v>Shelby</v>
      </c>
      <c r="C698" s="4" t="str">
        <f>IF(Registered!AR1642&gt;0,Registered!AR1642&amp;" Color Bags", "")</f>
        <v>5 Color Bags</v>
      </c>
      <c r="D698" s="4" t="str">
        <f>IF(Registered!AS1642&gt;0,(IF(Registered!AS1642=1,Registered!AS1642&amp;" T-Shirt",Registered!AS1642&amp;" T-Shirts")), "")</f>
        <v/>
      </c>
      <c r="E698" s="4" t="str">
        <f>Registered!AT1642</f>
        <v/>
      </c>
      <c r="F698" s="4" t="str">
        <f>Registered!AU1642</f>
        <v/>
      </c>
      <c r="G698" s="4" t="str">
        <f>Registered!AW1642</f>
        <v/>
      </c>
      <c r="H698" s="4" t="str">
        <f>Registered!AX1642</f>
        <v/>
      </c>
      <c r="I698" s="4" t="str">
        <f>Registered!AY1642</f>
        <v/>
      </c>
    </row>
    <row r="699" spans="1:9" x14ac:dyDescent="0.25">
      <c r="A699" s="4" t="str">
        <f>Registered!B1644</f>
        <v>Medley</v>
      </c>
      <c r="B699" s="4" t="str">
        <f>Registered!A1644</f>
        <v>Ben</v>
      </c>
      <c r="C699" s="4" t="str">
        <f>IF(Registered!AR1644&gt;0,Registered!AR1644&amp;" Color Bags", "")</f>
        <v>5 Color Bags</v>
      </c>
      <c r="D699" s="4" t="str">
        <f>IF(Registered!AS1644&gt;0,(IF(Registered!AS1644=1,Registered!AS1644&amp;" T-Shirt",Registered!AS1644&amp;" T-Shirts")), "")</f>
        <v/>
      </c>
      <c r="E699" s="4" t="str">
        <f>Registered!AT1644</f>
        <v/>
      </c>
      <c r="F699" s="4" t="str">
        <f>Registered!AU1644</f>
        <v/>
      </c>
      <c r="G699" s="4" t="str">
        <f>Registered!AW1644</f>
        <v/>
      </c>
      <c r="H699" s="4" t="str">
        <f>Registered!AX1644</f>
        <v/>
      </c>
      <c r="I699" s="4" t="str">
        <f>Registered!AY1644</f>
        <v/>
      </c>
    </row>
    <row r="700" spans="1:9" x14ac:dyDescent="0.25">
      <c r="A700" s="4" t="str">
        <f>Registered!B1645</f>
        <v>Meeks</v>
      </c>
      <c r="B700" s="4" t="str">
        <f>Registered!A1645</f>
        <v>Lang</v>
      </c>
      <c r="C700" s="4" t="str">
        <f>IF(Registered!AR1645&gt;0,Registered!AR1645&amp;" Color Bags", "")</f>
        <v>10 Color Bags</v>
      </c>
      <c r="D700" s="4" t="str">
        <f>IF(Registered!AS1645&gt;0,(IF(Registered!AS1645=1,Registered!AS1645&amp;" T-Shirt",Registered!AS1645&amp;" T-Shirts")), "")</f>
        <v/>
      </c>
      <c r="E700" s="4" t="str">
        <f>Registered!AT1645</f>
        <v/>
      </c>
      <c r="F700" s="4" t="str">
        <f>Registered!AU1645</f>
        <v/>
      </c>
      <c r="G700" s="4" t="str">
        <f>Registered!AW1645</f>
        <v/>
      </c>
      <c r="H700" s="4" t="str">
        <f>Registered!AX1645</f>
        <v/>
      </c>
      <c r="I700" s="4" t="str">
        <f>Registered!AY1645</f>
        <v/>
      </c>
    </row>
    <row r="701" spans="1:9" x14ac:dyDescent="0.25">
      <c r="A701" s="4" t="str">
        <f>Registered!B1646</f>
        <v>Meikle</v>
      </c>
      <c r="B701" s="4" t="str">
        <f>Registered!A1646</f>
        <v>Tammy</v>
      </c>
      <c r="C701" s="4" t="str">
        <f>IF(Registered!AR1646&gt;0,Registered!AR1646&amp;" Color Bags", "")</f>
        <v>10 Color Bags</v>
      </c>
      <c r="D701" s="4" t="str">
        <f>IF(Registered!AS1646&gt;0,(IF(Registered!AS1646=1,Registered!AS1646&amp;" T-Shirt",Registered!AS1646&amp;" T-Shirts")), "")</f>
        <v/>
      </c>
      <c r="E701" s="4" t="str">
        <f>Registered!AT1646</f>
        <v/>
      </c>
      <c r="F701" s="4" t="str">
        <f>Registered!AU1646</f>
        <v/>
      </c>
      <c r="G701" s="4" t="str">
        <f>Registered!AW1646</f>
        <v/>
      </c>
      <c r="H701" s="4" t="str">
        <f>Registered!AX1646</f>
        <v/>
      </c>
      <c r="I701" s="4" t="str">
        <f>Registered!AY1646</f>
        <v/>
      </c>
    </row>
    <row r="702" spans="1:9" x14ac:dyDescent="0.25">
      <c r="A702" s="4" t="str">
        <f>Registered!B1647</f>
        <v>Meldrum</v>
      </c>
      <c r="B702" s="4" t="str">
        <f>Registered!A1647</f>
        <v>Kaitlyn</v>
      </c>
      <c r="C702" s="4" t="str">
        <f>IF(Registered!AR1647&gt;0,Registered!AR1647&amp;" Color Bags", "")</f>
        <v>5 Color Bags</v>
      </c>
      <c r="D702" s="4" t="str">
        <f>IF(Registered!AS1647&gt;0,(IF(Registered!AS1647=1,Registered!AS1647&amp;" T-Shirt",Registered!AS1647&amp;" T-Shirts")), "")</f>
        <v/>
      </c>
      <c r="E702" s="4" t="str">
        <f>Registered!AT1647</f>
        <v/>
      </c>
      <c r="F702" s="4" t="str">
        <f>Registered!AU1647</f>
        <v/>
      </c>
      <c r="G702" s="4" t="str">
        <f>Registered!AW1647</f>
        <v>1 Meal</v>
      </c>
      <c r="H702" s="4" t="str">
        <f>Registered!AX1647</f>
        <v/>
      </c>
      <c r="I702" s="4" t="str">
        <f>Registered!AY1647</f>
        <v/>
      </c>
    </row>
    <row r="703" spans="1:9" x14ac:dyDescent="0.25">
      <c r="A703" s="4" t="str">
        <f>Registered!B1648</f>
        <v>Meldrum</v>
      </c>
      <c r="B703" s="4" t="str">
        <f>Registered!A1648</f>
        <v>Marian</v>
      </c>
      <c r="C703" s="4" t="str">
        <f>IF(Registered!AR1648&gt;0,Registered!AR1648&amp;" Color Bags", "")</f>
        <v>5 Color Bags</v>
      </c>
      <c r="D703" s="4" t="str">
        <f>IF(Registered!AS1648&gt;0,(IF(Registered!AS1648=1,Registered!AS1648&amp;" T-Shirt",Registered!AS1648&amp;" T-Shirts")), "")</f>
        <v/>
      </c>
      <c r="E703" s="4" t="str">
        <f>Registered!AT1648</f>
        <v/>
      </c>
      <c r="F703" s="4" t="str">
        <f>Registered!AU1648</f>
        <v/>
      </c>
      <c r="G703" s="4" t="str">
        <f>Registered!AW1648</f>
        <v>1 Meal</v>
      </c>
      <c r="H703" s="4" t="str">
        <f>Registered!AX1648</f>
        <v/>
      </c>
      <c r="I703" s="4" t="str">
        <f>Registered!AY1648</f>
        <v>1 DustMask</v>
      </c>
    </row>
    <row r="704" spans="1:9" x14ac:dyDescent="0.25">
      <c r="A704" s="4" t="str">
        <f>Registered!B1649</f>
        <v>Meldrum</v>
      </c>
      <c r="B704" s="4" t="str">
        <f>Registered!A1649</f>
        <v>Melissa</v>
      </c>
      <c r="C704" s="4" t="str">
        <f>IF(Registered!AR1649&gt;0,Registered!AR1649&amp;" Color Bags", "")</f>
        <v>5 Color Bags</v>
      </c>
      <c r="D704" s="4" t="str">
        <f>IF(Registered!AS1649&gt;0,(IF(Registered!AS1649=1,Registered!AS1649&amp;" T-Shirt",Registered!AS1649&amp;" T-Shirts")), "")</f>
        <v>1 T-Shirt</v>
      </c>
      <c r="E704" s="4" t="str">
        <f>Registered!AT1649</f>
        <v>medium</v>
      </c>
      <c r="F704" s="4" t="str">
        <f>Registered!AU1649</f>
        <v/>
      </c>
      <c r="G704" s="4" t="str">
        <f>Registered!AW1649</f>
        <v>1 Meal</v>
      </c>
      <c r="H704" s="4" t="str">
        <f>Registered!AX1649</f>
        <v/>
      </c>
      <c r="I704" s="4" t="str">
        <f>Registered!AY1649</f>
        <v/>
      </c>
    </row>
    <row r="705" spans="1:9" x14ac:dyDescent="0.25">
      <c r="A705" s="4" t="str">
        <f>Registered!B1652</f>
        <v>Mendoza</v>
      </c>
      <c r="B705" s="4" t="str">
        <f>Registered!A1652</f>
        <v>Brianda</v>
      </c>
      <c r="C705" s="4" t="str">
        <f>IF(Registered!AR1652&gt;0,Registered!AR1652&amp;" Color Bags", "")</f>
        <v>10 Color Bags</v>
      </c>
      <c r="D705" s="4" t="str">
        <f>IF(Registered!AS1652&gt;0,(IF(Registered!AS1652=1,Registered!AS1652&amp;" T-Shirt",Registered!AS1652&amp;" T-Shirts")), "")</f>
        <v/>
      </c>
      <c r="E705" s="4" t="str">
        <f>Registered!AT1652</f>
        <v/>
      </c>
      <c r="F705" s="4" t="str">
        <f>Registered!AU1652</f>
        <v/>
      </c>
      <c r="G705" s="4" t="str">
        <f>Registered!AW1652</f>
        <v/>
      </c>
      <c r="H705" s="4" t="str">
        <f>Registered!AX1652</f>
        <v/>
      </c>
      <c r="I705" s="4" t="str">
        <f>Registered!AY1652</f>
        <v/>
      </c>
    </row>
    <row r="706" spans="1:9" x14ac:dyDescent="0.25">
      <c r="A706" s="4" t="str">
        <f>Registered!B1655</f>
        <v>Meng</v>
      </c>
      <c r="B706" s="4" t="str">
        <f>Registered!A1655</f>
        <v>Betty</v>
      </c>
      <c r="C706" s="4" t="str">
        <f>IF(Registered!AR1655&gt;0,Registered!AR1655&amp;" Color Bags", "")</f>
        <v>5 Color Bags</v>
      </c>
      <c r="D706" s="4" t="str">
        <f>IF(Registered!AS1655&gt;0,(IF(Registered!AS1655=1,Registered!AS1655&amp;" T-Shirt",Registered!AS1655&amp;" T-Shirts")), "")</f>
        <v>1 T-Shirt</v>
      </c>
      <c r="E706" s="4" t="str">
        <f>Registered!AT1655</f>
        <v>adult medium</v>
      </c>
      <c r="F706" s="4" t="str">
        <f>Registered!AU1655</f>
        <v>1 Bandana</v>
      </c>
      <c r="G706" s="4" t="str">
        <f>Registered!AW1655</f>
        <v>1 Meal</v>
      </c>
      <c r="H706" s="4" t="str">
        <f>Registered!AX1655</f>
        <v/>
      </c>
      <c r="I706" s="4" t="str">
        <f>Registered!AY1655</f>
        <v/>
      </c>
    </row>
    <row r="707" spans="1:9" x14ac:dyDescent="0.25">
      <c r="A707" s="4" t="str">
        <f>Registered!B1656</f>
        <v>Meng</v>
      </c>
      <c r="B707" s="4" t="str">
        <f>Registered!A1656</f>
        <v>Jonathon</v>
      </c>
      <c r="C707" s="4" t="str">
        <f>IF(Registered!AR1656&gt;0,Registered!AR1656&amp;" Color Bags", "")</f>
        <v>5 Color Bags</v>
      </c>
      <c r="D707" s="4" t="str">
        <f>IF(Registered!AS1656&gt;0,(IF(Registered!AS1656=1,Registered!AS1656&amp;" T-Shirt",Registered!AS1656&amp;" T-Shirts")), "")</f>
        <v/>
      </c>
      <c r="E707" s="4" t="str">
        <f>Registered!AT1656</f>
        <v/>
      </c>
      <c r="F707" s="4" t="str">
        <f>Registered!AU1656</f>
        <v/>
      </c>
      <c r="G707" s="4" t="str">
        <f>Registered!AW1656</f>
        <v/>
      </c>
      <c r="H707" s="4" t="str">
        <f>Registered!AX1656</f>
        <v/>
      </c>
      <c r="I707" s="4" t="str">
        <f>Registered!AY1656</f>
        <v/>
      </c>
    </row>
    <row r="708" spans="1:9" x14ac:dyDescent="0.25">
      <c r="A708" s="4" t="str">
        <f>Registered!B1658</f>
        <v>Mercier</v>
      </c>
      <c r="B708" s="4" t="str">
        <f>Registered!A1658</f>
        <v>Kyla</v>
      </c>
      <c r="C708" s="4" t="str">
        <f>IF(Registered!AR1658&gt;0,Registered!AR1658&amp;" Color Bags", "")</f>
        <v>5 Color Bags</v>
      </c>
      <c r="D708" s="4" t="str">
        <f>IF(Registered!AS1658&gt;0,(IF(Registered!AS1658=1,Registered!AS1658&amp;" T-Shirt",Registered!AS1658&amp;" T-Shirts")), "")</f>
        <v>1 T-Shirt</v>
      </c>
      <c r="E708" s="4" t="str">
        <f>Registered!AT1658</f>
        <v>Size Not Specified</v>
      </c>
      <c r="F708" s="4" t="str">
        <f>Registered!AU1658</f>
        <v/>
      </c>
      <c r="G708" s="4" t="str">
        <f>Registered!AW1658</f>
        <v>1 Meal</v>
      </c>
      <c r="H708" s="4" t="str">
        <f>Registered!AX1658</f>
        <v/>
      </c>
      <c r="I708" s="4" t="str">
        <f>Registered!AY1658</f>
        <v/>
      </c>
    </row>
    <row r="709" spans="1:9" x14ac:dyDescent="0.25">
      <c r="A709" s="4" t="str">
        <f>Registered!B1660</f>
        <v>Merrill</v>
      </c>
      <c r="B709" s="4" t="str">
        <f>Registered!A1660</f>
        <v>Hayden</v>
      </c>
      <c r="C709" s="4" t="str">
        <f>IF(Registered!AR1660&gt;0,Registered!AR1660&amp;" Color Bags", "")</f>
        <v>10 Color Bags</v>
      </c>
      <c r="D709" s="4" t="str">
        <f>IF(Registered!AS1660&gt;0,(IF(Registered!AS1660=1,Registered!AS1660&amp;" T-Shirt",Registered!AS1660&amp;" T-Shirts")), "")</f>
        <v>2 T-Shirts</v>
      </c>
      <c r="E709" s="4" t="str">
        <f>Registered!AT1660</f>
        <v>Medium and Small</v>
      </c>
      <c r="F709" s="4" t="str">
        <f>Registered!AU1660</f>
        <v/>
      </c>
      <c r="G709" s="4" t="str">
        <f>Registered!AW1660</f>
        <v>2 Meals</v>
      </c>
      <c r="H709" s="4" t="str">
        <f>Registered!AX1660</f>
        <v/>
      </c>
      <c r="I709" s="4" t="str">
        <f>Registered!AY1660</f>
        <v/>
      </c>
    </row>
    <row r="710" spans="1:9" x14ac:dyDescent="0.25">
      <c r="A710" s="4" t="str">
        <f>Registered!B1661</f>
        <v>Merrill</v>
      </c>
      <c r="B710" s="4" t="str">
        <f>Registered!A1661</f>
        <v>Jana</v>
      </c>
      <c r="C710" s="4" t="str">
        <f>IF(Registered!AR1661&gt;0,Registered!AR1661&amp;" Color Bags", "")</f>
        <v>5 Color Bags</v>
      </c>
      <c r="D710" s="4" t="str">
        <f>IF(Registered!AS1661&gt;0,(IF(Registered!AS1661=1,Registered!AS1661&amp;" T-Shirt",Registered!AS1661&amp;" T-Shirts")), "")</f>
        <v>1 T-Shirt</v>
      </c>
      <c r="E710" s="4" t="str">
        <f>Registered!AT1661</f>
        <v>Large</v>
      </c>
      <c r="F710" s="4" t="str">
        <f>Registered!AU1661</f>
        <v/>
      </c>
      <c r="G710" s="4" t="str">
        <f>Registered!AW1661</f>
        <v/>
      </c>
      <c r="H710" s="4" t="str">
        <f>Registered!AX1661</f>
        <v/>
      </c>
      <c r="I710" s="4" t="str">
        <f>Registered!AY1661</f>
        <v/>
      </c>
    </row>
    <row r="711" spans="1:9" x14ac:dyDescent="0.25">
      <c r="A711" s="4" t="str">
        <f>Registered!B1662</f>
        <v>Merry</v>
      </c>
      <c r="B711" s="4" t="str">
        <f>Registered!A1662</f>
        <v>Heather</v>
      </c>
      <c r="C711" s="4" t="str">
        <f>IF(Registered!AR1662&gt;0,Registered!AR1662&amp;" Color Bags", "")</f>
        <v>15 Color Bags</v>
      </c>
      <c r="D711" s="4" t="str">
        <f>IF(Registered!AS1662&gt;0,(IF(Registered!AS1662=1,Registered!AS1662&amp;" T-Shirt",Registered!AS1662&amp;" T-Shirts")), "")</f>
        <v/>
      </c>
      <c r="E711" s="4" t="str">
        <f>Registered!AT1662</f>
        <v/>
      </c>
      <c r="F711" s="4" t="str">
        <f>Registered!AU1662</f>
        <v/>
      </c>
      <c r="G711" s="4" t="str">
        <f>Registered!AW1662</f>
        <v/>
      </c>
      <c r="H711" s="4" t="str">
        <f>Registered!AX1662</f>
        <v/>
      </c>
      <c r="I711" s="4" t="str">
        <f>Registered!AY1662</f>
        <v/>
      </c>
    </row>
    <row r="712" spans="1:9" x14ac:dyDescent="0.25">
      <c r="A712" s="4" t="str">
        <f>Registered!B1663</f>
        <v>Meyer</v>
      </c>
      <c r="B712" s="4" t="str">
        <f>Registered!A1663</f>
        <v>Analee</v>
      </c>
      <c r="C712" s="4" t="str">
        <f>IF(Registered!AR1663&gt;0,Registered!AR1663&amp;" Color Bags", "")</f>
        <v>10 Color Bags</v>
      </c>
      <c r="D712" s="4" t="str">
        <f>IF(Registered!AS1663&gt;0,(IF(Registered!AS1663=1,Registered!AS1663&amp;" T-Shirt",Registered!AS1663&amp;" T-Shirts")), "")</f>
        <v>2 T-Shirts</v>
      </c>
      <c r="E712" s="4" t="str">
        <f>Registered!AT1663</f>
        <v>Large</v>
      </c>
      <c r="F712" s="4" t="str">
        <f>Registered!AU1663</f>
        <v/>
      </c>
      <c r="G712" s="4" t="str">
        <f>Registered!AW1663</f>
        <v/>
      </c>
      <c r="H712" s="4" t="str">
        <f>Registered!AX1663</f>
        <v/>
      </c>
      <c r="I712" s="4" t="str">
        <f>Registered!AY1663</f>
        <v/>
      </c>
    </row>
    <row r="713" spans="1:9" x14ac:dyDescent="0.25">
      <c r="A713" s="4" t="str">
        <f>Registered!B1665</f>
        <v>Midgley</v>
      </c>
      <c r="B713" s="4" t="str">
        <f>Registered!A1665</f>
        <v>Ashley</v>
      </c>
      <c r="C713" s="4" t="str">
        <f>IF(Registered!AR1665&gt;0,Registered!AR1665&amp;" Color Bags", "")</f>
        <v>5 Color Bags</v>
      </c>
      <c r="D713" s="4" t="str">
        <f>IF(Registered!AS1665&gt;0,(IF(Registered!AS1665=1,Registered!AS1665&amp;" T-Shirt",Registered!AS1665&amp;" T-Shirts")), "")</f>
        <v/>
      </c>
      <c r="E713" s="4" t="str">
        <f>Registered!AT1665</f>
        <v/>
      </c>
      <c r="F713" s="4" t="str">
        <f>Registered!AU1665</f>
        <v/>
      </c>
      <c r="G713" s="4" t="str">
        <f>Registered!AW1665</f>
        <v/>
      </c>
      <c r="H713" s="4" t="str">
        <f>Registered!AX1665</f>
        <v/>
      </c>
      <c r="I713" s="4" t="str">
        <f>Registered!AY1665</f>
        <v/>
      </c>
    </row>
    <row r="714" spans="1:9" x14ac:dyDescent="0.25">
      <c r="A714" s="4" t="str">
        <f>Registered!B1668</f>
        <v>Miller</v>
      </c>
      <c r="B714" s="4" t="str">
        <f>Registered!A1668</f>
        <v>Breanna</v>
      </c>
      <c r="C714" s="4" t="str">
        <f>IF(Registered!AR1668&gt;0,Registered!AR1668&amp;" Color Bags", "")</f>
        <v>10 Color Bags</v>
      </c>
      <c r="D714" s="4" t="str">
        <f>IF(Registered!AS1668&gt;0,(IF(Registered!AS1668=1,Registered!AS1668&amp;" T-Shirt",Registered!AS1668&amp;" T-Shirts")), "")</f>
        <v>3 T-Shirts</v>
      </c>
      <c r="E714" s="4" t="str">
        <f>Registered!AT1668</f>
        <v>3 Small</v>
      </c>
      <c r="F714" s="4" t="str">
        <f>Registered!AU1668</f>
        <v/>
      </c>
      <c r="G714" s="4" t="str">
        <f>Registered!AW1668</f>
        <v/>
      </c>
      <c r="H714" s="4" t="str">
        <f>Registered!AX1668</f>
        <v/>
      </c>
      <c r="I714" s="4" t="str">
        <f>Registered!AY1668</f>
        <v/>
      </c>
    </row>
    <row r="715" spans="1:9" x14ac:dyDescent="0.25">
      <c r="A715" s="4" t="str">
        <f>Registered!B1672</f>
        <v>Miller</v>
      </c>
      <c r="B715" s="4" t="str">
        <f>Registered!A1672</f>
        <v>Lindsey</v>
      </c>
      <c r="C715" s="4" t="str">
        <f>IF(Registered!AR1672&gt;0,Registered!AR1672&amp;" Color Bags", "")</f>
        <v>10 Color Bags</v>
      </c>
      <c r="D715" s="4" t="str">
        <f>IF(Registered!AS1672&gt;0,(IF(Registered!AS1672=1,Registered!AS1672&amp;" T-Shirt",Registered!AS1672&amp;" T-Shirts")), "")</f>
        <v/>
      </c>
      <c r="E715" s="4" t="str">
        <f>Registered!AT1672</f>
        <v/>
      </c>
      <c r="F715" s="4" t="str">
        <f>Registered!AU1672</f>
        <v/>
      </c>
      <c r="G715" s="4" t="str">
        <f>Registered!AW1672</f>
        <v/>
      </c>
      <c r="H715" s="4" t="str">
        <f>Registered!AX1672</f>
        <v/>
      </c>
      <c r="I715" s="4" t="str">
        <f>Registered!AY1672</f>
        <v/>
      </c>
    </row>
    <row r="716" spans="1:9" x14ac:dyDescent="0.25">
      <c r="A716" s="4" t="str">
        <f>Registered!B1674</f>
        <v>Miller</v>
      </c>
      <c r="B716" s="4" t="str">
        <f>Registered!A1674</f>
        <v>Ricaren</v>
      </c>
      <c r="C716" s="4" t="str">
        <f>IF(Registered!AR1674&gt;0,Registered!AR1674&amp;" Color Bags", "")</f>
        <v>20 Color Bags</v>
      </c>
      <c r="D716" s="4" t="str">
        <f>IF(Registered!AS1674&gt;0,(IF(Registered!AS1674=1,Registered!AS1674&amp;" T-Shirt",Registered!AS1674&amp;" T-Shirts")), "")</f>
        <v>4 T-Shirts</v>
      </c>
      <c r="E716" s="4" t="str">
        <f>Registered!AT1674</f>
        <v>1 adult large, 1 adult 3xl, 1 adult small, 1 medium kids (6x)</v>
      </c>
      <c r="F716" s="4" t="str">
        <f>Registered!AU1674</f>
        <v/>
      </c>
      <c r="G716" s="4" t="str">
        <f>Registered!AW1674</f>
        <v>2 Meals</v>
      </c>
      <c r="H716" s="4" t="str">
        <f>Registered!AX1674</f>
        <v/>
      </c>
      <c r="I716" s="4" t="str">
        <f>Registered!AY1674</f>
        <v/>
      </c>
    </row>
    <row r="717" spans="1:9" x14ac:dyDescent="0.25">
      <c r="A717" s="4" t="str">
        <f>Registered!B1669</f>
        <v>Miller</v>
      </c>
      <c r="B717" s="4" t="str">
        <f>Registered!A1669</f>
        <v>Clarissa</v>
      </c>
      <c r="C717" s="4" t="str">
        <f>IF(Registered!AR1669&gt;0,Registered!AR1669&amp;" Color Bags", "")</f>
        <v>5 Color Bags</v>
      </c>
      <c r="D717" s="4" t="str">
        <f>IF(Registered!AS1669&gt;0,(IF(Registered!AS1669=1,Registered!AS1669&amp;" T-Shirt",Registered!AS1669&amp;" T-Shirts")), "")</f>
        <v/>
      </c>
      <c r="E717" s="4" t="str">
        <f>Registered!AT1669</f>
        <v/>
      </c>
      <c r="F717" s="4" t="str">
        <f>Registered!AU1669</f>
        <v/>
      </c>
      <c r="G717" s="4" t="str">
        <f>Registered!AW1669</f>
        <v/>
      </c>
      <c r="H717" s="4" t="str">
        <f>Registered!AX1669</f>
        <v/>
      </c>
      <c r="I717" s="4" t="str">
        <f>Registered!AY1669</f>
        <v/>
      </c>
    </row>
    <row r="718" spans="1:9" x14ac:dyDescent="0.25">
      <c r="A718" s="4" t="str">
        <f>Registered!B1679</f>
        <v>Millet</v>
      </c>
      <c r="B718" s="4" t="str">
        <f>Registered!A1679</f>
        <v>Mackenzie</v>
      </c>
      <c r="C718" s="4" t="str">
        <f>IF(Registered!AR1679&gt;0,Registered!AR1679&amp;" Color Bags", "")</f>
        <v>5 Color Bags</v>
      </c>
      <c r="D718" s="4" t="str">
        <f>IF(Registered!AS1679&gt;0,(IF(Registered!AS1679=1,Registered!AS1679&amp;" T-Shirt",Registered!AS1679&amp;" T-Shirts")), "")</f>
        <v/>
      </c>
      <c r="E718" s="4" t="str">
        <f>Registered!AT1679</f>
        <v/>
      </c>
      <c r="F718" s="4" t="str">
        <f>Registered!AU1679</f>
        <v/>
      </c>
      <c r="G718" s="4" t="str">
        <f>Registered!AW1679</f>
        <v/>
      </c>
      <c r="H718" s="4" t="str">
        <f>Registered!AX1679</f>
        <v/>
      </c>
      <c r="I718" s="4" t="str">
        <f>Registered!AY1679</f>
        <v/>
      </c>
    </row>
    <row r="719" spans="1:9" x14ac:dyDescent="0.25">
      <c r="A719" s="4" t="str">
        <f>Registered!B1680</f>
        <v>Milligan</v>
      </c>
      <c r="B719" s="4" t="str">
        <f>Registered!A1680</f>
        <v>Jared</v>
      </c>
      <c r="C719" s="4" t="str">
        <f>IF(Registered!AR1680&gt;0,Registered!AR1680&amp;" Color Bags", "")</f>
        <v>25 Color Bags</v>
      </c>
      <c r="D719" s="4" t="str">
        <f>IF(Registered!AS1680&gt;0,(IF(Registered!AS1680=1,Registered!AS1680&amp;" T-Shirt",Registered!AS1680&amp;" T-Shirts")), "")</f>
        <v/>
      </c>
      <c r="E719" s="4" t="str">
        <f>Registered!AT1680</f>
        <v/>
      </c>
      <c r="F719" s="4" t="str">
        <f>Registered!AU1680</f>
        <v>5 Bandanas</v>
      </c>
      <c r="G719" s="4" t="str">
        <f>Registered!AW1680</f>
        <v/>
      </c>
      <c r="H719" s="4" t="str">
        <f>Registered!AX1680</f>
        <v/>
      </c>
      <c r="I719" s="4" t="str">
        <f>Registered!AY1680</f>
        <v/>
      </c>
    </row>
    <row r="720" spans="1:9" x14ac:dyDescent="0.25">
      <c r="A720" s="4" t="str">
        <f>Registered!B1681</f>
        <v>Mills</v>
      </c>
      <c r="B720" s="4" t="str">
        <f>Registered!A1681</f>
        <v>Lori</v>
      </c>
      <c r="C720" s="4" t="str">
        <f>IF(Registered!AR1681&gt;0,Registered!AR1681&amp;" Color Bags", "")</f>
        <v>10 Color Bags</v>
      </c>
      <c r="D720" s="4" t="str">
        <f>IF(Registered!AS1681&gt;0,(IF(Registered!AS1681=1,Registered!AS1681&amp;" T-Shirt",Registered!AS1681&amp;" T-Shirts")), "")</f>
        <v>2 T-Shirts</v>
      </c>
      <c r="E720" s="4" t="str">
        <f>Registered!AT1681</f>
        <v>Medium and XXLarge</v>
      </c>
      <c r="F720" s="4" t="str">
        <f>Registered!AU1681</f>
        <v/>
      </c>
      <c r="G720" s="4" t="str">
        <f>Registered!AW1681</f>
        <v/>
      </c>
      <c r="H720" s="4" t="str">
        <f>Registered!AX1681</f>
        <v/>
      </c>
      <c r="I720" s="4" t="str">
        <f>Registered!AY1681</f>
        <v/>
      </c>
    </row>
    <row r="721" spans="1:9" x14ac:dyDescent="0.25">
      <c r="A721" s="4" t="str">
        <f>Registered!B1683</f>
        <v>Minard</v>
      </c>
      <c r="B721" s="4" t="str">
        <f>Registered!A1683</f>
        <v>Lauren</v>
      </c>
      <c r="C721" s="4" t="str">
        <f>IF(Registered!AR1683&gt;0,Registered!AR1683&amp;" Color Bags", "")</f>
        <v>5 Color Bags</v>
      </c>
      <c r="D721" s="4" t="str">
        <f>IF(Registered!AS1683&gt;0,(IF(Registered!AS1683=1,Registered!AS1683&amp;" T-Shirt",Registered!AS1683&amp;" T-Shirts")), "")</f>
        <v/>
      </c>
      <c r="E721" s="4" t="str">
        <f>Registered!AT1683</f>
        <v/>
      </c>
      <c r="F721" s="4" t="str">
        <f>Registered!AU1683</f>
        <v/>
      </c>
      <c r="G721" s="4" t="str">
        <f>Registered!AW1683</f>
        <v/>
      </c>
      <c r="H721" s="4" t="str">
        <f>Registered!AX1683</f>
        <v/>
      </c>
      <c r="I721" s="4" t="str">
        <f>Registered!AY1683</f>
        <v/>
      </c>
    </row>
    <row r="722" spans="1:9" x14ac:dyDescent="0.25">
      <c r="A722" s="4" t="str">
        <f>Registered!B1686</f>
        <v>Minkel</v>
      </c>
      <c r="B722" s="4" t="str">
        <f>Registered!A1686</f>
        <v>Hanna</v>
      </c>
      <c r="C722" s="4" t="str">
        <f>IF(Registered!AR1686&gt;0,Registered!AR1686&amp;" Color Bags", "")</f>
        <v>5 Color Bags</v>
      </c>
      <c r="D722" s="4" t="str">
        <f>IF(Registered!AS1686&gt;0,(IF(Registered!AS1686=1,Registered!AS1686&amp;" T-Shirt",Registered!AS1686&amp;" T-Shirts")), "")</f>
        <v/>
      </c>
      <c r="E722" s="4" t="str">
        <f>Registered!AT1686</f>
        <v/>
      </c>
      <c r="F722" s="4" t="str">
        <f>Registered!AU1686</f>
        <v/>
      </c>
      <c r="G722" s="4" t="str">
        <f>Registered!AW1686</f>
        <v/>
      </c>
      <c r="H722" s="4" t="str">
        <f>Registered!AX1686</f>
        <v/>
      </c>
      <c r="I722" s="4" t="str">
        <f>Registered!AY1686</f>
        <v/>
      </c>
    </row>
    <row r="723" spans="1:9" x14ac:dyDescent="0.25">
      <c r="A723" s="4" t="str">
        <f>Registered!B1688</f>
        <v>Mirzaakbari</v>
      </c>
      <c r="B723" s="4" t="str">
        <f>Registered!A1688</f>
        <v>Kim</v>
      </c>
      <c r="C723" s="4" t="str">
        <f>IF(Registered!AR1688&gt;0,Registered!AR1688&amp;" Color Bags", "")</f>
        <v>10 Color Bags</v>
      </c>
      <c r="D723" s="4" t="str">
        <f>IF(Registered!AS1688&gt;0,(IF(Registered!AS1688=1,Registered!AS1688&amp;" T-Shirt",Registered!AS1688&amp;" T-Shirts")), "")</f>
        <v/>
      </c>
      <c r="E723" s="4" t="str">
        <f>Registered!AT1688</f>
        <v/>
      </c>
      <c r="F723" s="4" t="str">
        <f>Registered!AU1688</f>
        <v/>
      </c>
      <c r="G723" s="4" t="str">
        <f>Registered!AW1688</f>
        <v/>
      </c>
      <c r="H723" s="4" t="str">
        <f>Registered!AX1688</f>
        <v/>
      </c>
      <c r="I723" s="4" t="str">
        <f>Registered!AY1688</f>
        <v/>
      </c>
    </row>
    <row r="724" spans="1:9" x14ac:dyDescent="0.25">
      <c r="A724" s="4" t="str">
        <f>Registered!B1691</f>
        <v>Mokrzycki</v>
      </c>
      <c r="B724" s="4" t="str">
        <f>Registered!A1691</f>
        <v>Renae</v>
      </c>
      <c r="C724" s="4" t="str">
        <f>IF(Registered!AR1691&gt;0,Registered!AR1691&amp;" Color Bags", "")</f>
        <v>25 Color Bags</v>
      </c>
      <c r="D724" s="4" t="str">
        <f>IF(Registered!AS1691&gt;0,(IF(Registered!AS1691=1,Registered!AS1691&amp;" T-Shirt",Registered!AS1691&amp;" T-Shirts")), "")</f>
        <v>1 T-Shirt</v>
      </c>
      <c r="E724" s="4" t="str">
        <f>Registered!AT1691</f>
        <v>M</v>
      </c>
      <c r="F724" s="4" t="str">
        <f>Registered!AU1691</f>
        <v/>
      </c>
      <c r="G724" s="4" t="str">
        <f>Registered!AW1691</f>
        <v>1 Meal</v>
      </c>
      <c r="H724" s="4" t="str">
        <f>Registered!AX1691</f>
        <v/>
      </c>
      <c r="I724" s="4" t="str">
        <f>Registered!AY1691</f>
        <v/>
      </c>
    </row>
    <row r="725" spans="1:9" x14ac:dyDescent="0.25">
      <c r="A725" s="4" t="str">
        <f>Registered!B1692</f>
        <v>Moniak</v>
      </c>
      <c r="B725" s="4" t="str">
        <f>Registered!A1692</f>
        <v>Danielle</v>
      </c>
      <c r="C725" s="4" t="str">
        <f>IF(Registered!AR1692&gt;0,Registered!AR1692&amp;" Color Bags", "")</f>
        <v>5 Color Bags</v>
      </c>
      <c r="D725" s="4" t="str">
        <f>IF(Registered!AS1692&gt;0,(IF(Registered!AS1692=1,Registered!AS1692&amp;" T-Shirt",Registered!AS1692&amp;" T-Shirts")), "")</f>
        <v>1 T-Shirt</v>
      </c>
      <c r="E725" s="4" t="str">
        <f>Registered!AT1692</f>
        <v>m</v>
      </c>
      <c r="F725" s="4" t="str">
        <f>Registered!AU1692</f>
        <v/>
      </c>
      <c r="G725" s="4" t="str">
        <f>Registered!AW1692</f>
        <v>1 Meal</v>
      </c>
      <c r="H725" s="4" t="str">
        <f>Registered!AX1692</f>
        <v/>
      </c>
      <c r="I725" s="4" t="str">
        <f>Registered!AY1692</f>
        <v/>
      </c>
    </row>
    <row r="726" spans="1:9" x14ac:dyDescent="0.25">
      <c r="A726" s="4" t="str">
        <f>Registered!B1694</f>
        <v>Montes</v>
      </c>
      <c r="B726" s="4" t="str">
        <f>Registered!A1694</f>
        <v>Alejandra</v>
      </c>
      <c r="C726" s="4" t="str">
        <f>IF(Registered!AR1694&gt;0,Registered!AR1694&amp;" Color Bags", "")</f>
        <v>5 Color Bags</v>
      </c>
      <c r="D726" s="4" t="str">
        <f>IF(Registered!AS1694&gt;0,(IF(Registered!AS1694=1,Registered!AS1694&amp;" T-Shirt",Registered!AS1694&amp;" T-Shirts")), "")</f>
        <v/>
      </c>
      <c r="E726" s="4" t="str">
        <f>Registered!AT1694</f>
        <v/>
      </c>
      <c r="F726" s="4" t="str">
        <f>Registered!AU1694</f>
        <v/>
      </c>
      <c r="G726" s="4" t="str">
        <f>Registered!AW1694</f>
        <v/>
      </c>
      <c r="H726" s="4" t="str">
        <f>Registered!AX1694</f>
        <v/>
      </c>
      <c r="I726" s="4" t="str">
        <f>Registered!AY1694</f>
        <v/>
      </c>
    </row>
    <row r="727" spans="1:9" x14ac:dyDescent="0.25">
      <c r="A727" s="4" t="str">
        <f>Registered!B1700</f>
        <v>Moody</v>
      </c>
      <c r="B727" s="4" t="str">
        <f>Registered!A1700</f>
        <v>Leslie</v>
      </c>
      <c r="C727" s="4" t="str">
        <f>IF(Registered!AR1700&gt;0,Registered!AR1700&amp;" Color Bags", "")</f>
        <v>10 Color Bags</v>
      </c>
      <c r="D727" s="4" t="str">
        <f>IF(Registered!AS1700&gt;0,(IF(Registered!AS1700=1,Registered!AS1700&amp;" T-Shirt",Registered!AS1700&amp;" T-Shirts")), "")</f>
        <v/>
      </c>
      <c r="E727" s="4" t="str">
        <f>Registered!AT1700</f>
        <v/>
      </c>
      <c r="F727" s="4" t="str">
        <f>Registered!AU1700</f>
        <v/>
      </c>
      <c r="G727" s="4" t="str">
        <f>Registered!AW1700</f>
        <v/>
      </c>
      <c r="H727" s="4" t="str">
        <f>Registered!AX1700</f>
        <v/>
      </c>
      <c r="I727" s="4" t="str">
        <f>Registered!AY1700</f>
        <v/>
      </c>
    </row>
    <row r="728" spans="1:9" x14ac:dyDescent="0.25">
      <c r="A728" s="4" t="str">
        <f>Registered!B1701</f>
        <v>Mook</v>
      </c>
      <c r="B728" s="4" t="str">
        <f>Registered!A1701</f>
        <v>Trenton</v>
      </c>
      <c r="C728" s="4" t="str">
        <f>IF(Registered!AR1701&gt;0,Registered!AR1701&amp;" Color Bags", "")</f>
        <v>5 Color Bags</v>
      </c>
      <c r="D728" s="4" t="str">
        <f>IF(Registered!AS1701&gt;0,(IF(Registered!AS1701=1,Registered!AS1701&amp;" T-Shirt",Registered!AS1701&amp;" T-Shirts")), "")</f>
        <v/>
      </c>
      <c r="E728" s="4" t="str">
        <f>Registered!AT1701</f>
        <v/>
      </c>
      <c r="F728" s="4" t="str">
        <f>Registered!AU1701</f>
        <v>1 Bandana</v>
      </c>
      <c r="G728" s="4" t="str">
        <f>Registered!AW1701</f>
        <v/>
      </c>
      <c r="H728" s="4" t="str">
        <f>Registered!AX1701</f>
        <v/>
      </c>
      <c r="I728" s="4" t="str">
        <f>Registered!AY1701</f>
        <v/>
      </c>
    </row>
    <row r="729" spans="1:9" x14ac:dyDescent="0.25">
      <c r="A729" s="4" t="str">
        <f>Registered!B1702</f>
        <v>Mooney</v>
      </c>
      <c r="B729" s="4" t="str">
        <f>Registered!A1702</f>
        <v>Cathy</v>
      </c>
      <c r="C729" s="4" t="str">
        <f>IF(Registered!AR1702&gt;0,Registered!AR1702&amp;" Color Bags", "")</f>
        <v>5 Color Bags</v>
      </c>
      <c r="D729" s="4" t="str">
        <f>IF(Registered!AS1702&gt;0,(IF(Registered!AS1702=1,Registered!AS1702&amp;" T-Shirt",Registered!AS1702&amp;" T-Shirts")), "")</f>
        <v/>
      </c>
      <c r="E729" s="4" t="str">
        <f>Registered!AT1702</f>
        <v/>
      </c>
      <c r="F729" s="4" t="str">
        <f>Registered!AU1702</f>
        <v/>
      </c>
      <c r="G729" s="4" t="str">
        <f>Registered!AW1702</f>
        <v>1 Meal</v>
      </c>
      <c r="H729" s="4" t="str">
        <f>Registered!AX1702</f>
        <v/>
      </c>
      <c r="I729" s="4" t="str">
        <f>Registered!AY1702</f>
        <v/>
      </c>
    </row>
    <row r="730" spans="1:9" x14ac:dyDescent="0.25">
      <c r="A730" s="4" t="str">
        <f>Registered!B1706</f>
        <v>Moore</v>
      </c>
      <c r="B730" s="4" t="str">
        <f>Registered!A1706</f>
        <v>Marshall</v>
      </c>
      <c r="C730" s="4" t="str">
        <f>IF(Registered!AR1706&gt;0,Registered!AR1706&amp;" Color Bags", "")</f>
        <v>10 Color Bags</v>
      </c>
      <c r="D730" s="4" t="str">
        <f>IF(Registered!AS1706&gt;0,(IF(Registered!AS1706=1,Registered!AS1706&amp;" T-Shirt",Registered!AS1706&amp;" T-Shirts")), "")</f>
        <v/>
      </c>
      <c r="E730" s="4" t="str">
        <f>Registered!AT1706</f>
        <v/>
      </c>
      <c r="F730" s="4" t="str">
        <f>Registered!AU1706</f>
        <v/>
      </c>
      <c r="G730" s="4" t="str">
        <f>Registered!AW1706</f>
        <v/>
      </c>
      <c r="H730" s="4" t="str">
        <f>Registered!AX1706</f>
        <v/>
      </c>
      <c r="I730" s="4" t="str">
        <f>Registered!AY1706</f>
        <v/>
      </c>
    </row>
    <row r="731" spans="1:9" x14ac:dyDescent="0.25">
      <c r="A731" s="4" t="str">
        <f>Registered!B1703</f>
        <v>Moore</v>
      </c>
      <c r="B731" s="4" t="str">
        <f>Registered!A1703</f>
        <v>Bandi</v>
      </c>
      <c r="C731" s="4" t="str">
        <f>IF(Registered!AR1703&gt;0,Registered!AR1703&amp;" Color Bags", "")</f>
        <v>5 Color Bags</v>
      </c>
      <c r="D731" s="4" t="str">
        <f>IF(Registered!AS1703&gt;0,(IF(Registered!AS1703=1,Registered!AS1703&amp;" T-Shirt",Registered!AS1703&amp;" T-Shirts")), "")</f>
        <v/>
      </c>
      <c r="E731" s="4" t="str">
        <f>Registered!AT1703</f>
        <v/>
      </c>
      <c r="F731" s="4" t="str">
        <f>Registered!AU1703</f>
        <v/>
      </c>
      <c r="G731" s="4" t="str">
        <f>Registered!AW1703</f>
        <v/>
      </c>
      <c r="H731" s="4" t="str">
        <f>Registered!AX1703</f>
        <v/>
      </c>
      <c r="I731" s="4" t="str">
        <f>Registered!AY1703</f>
        <v/>
      </c>
    </row>
    <row r="732" spans="1:9" x14ac:dyDescent="0.25">
      <c r="A732" s="4" t="str">
        <f>Registered!B1707</f>
        <v>Mora</v>
      </c>
      <c r="B732" s="4" t="str">
        <f>Registered!A1707</f>
        <v>Lydia</v>
      </c>
      <c r="C732" s="4" t="str">
        <f>IF(Registered!AR1707&gt;0,Registered!AR1707&amp;" Color Bags", "")</f>
        <v>10 Color Bags</v>
      </c>
      <c r="D732" s="4" t="str">
        <f>IF(Registered!AS1707&gt;0,(IF(Registered!AS1707=1,Registered!AS1707&amp;" T-Shirt",Registered!AS1707&amp;" T-Shirts")), "")</f>
        <v/>
      </c>
      <c r="E732" s="4" t="str">
        <f>Registered!AT1707</f>
        <v/>
      </c>
      <c r="F732" s="4" t="str">
        <f>Registered!AU1707</f>
        <v/>
      </c>
      <c r="G732" s="4" t="str">
        <f>Registered!AW1707</f>
        <v/>
      </c>
      <c r="H732" s="4" t="str">
        <f>Registered!AX1707</f>
        <v/>
      </c>
      <c r="I732" s="4" t="str">
        <f>Registered!AY1707</f>
        <v/>
      </c>
    </row>
    <row r="733" spans="1:9" x14ac:dyDescent="0.25">
      <c r="A733" s="4" t="str">
        <f>Registered!B1711</f>
        <v>Morales</v>
      </c>
      <c r="B733" s="4" t="str">
        <f>Registered!A1711</f>
        <v>Marlenne</v>
      </c>
      <c r="C733" s="4" t="str">
        <f>IF(Registered!AR1711&gt;0,Registered!AR1711&amp;" Color Bags", "")</f>
        <v>10 Color Bags</v>
      </c>
      <c r="D733" s="4" t="str">
        <f>IF(Registered!AS1711&gt;0,(IF(Registered!AS1711=1,Registered!AS1711&amp;" T-Shirt",Registered!AS1711&amp;" T-Shirts")), "")</f>
        <v/>
      </c>
      <c r="E733" s="4" t="str">
        <f>Registered!AT1711</f>
        <v/>
      </c>
      <c r="F733" s="4" t="str">
        <f>Registered!AU1711</f>
        <v/>
      </c>
      <c r="G733" s="4" t="str">
        <f>Registered!AW1711</f>
        <v/>
      </c>
      <c r="H733" s="4" t="str">
        <f>Registered!AX1711</f>
        <v/>
      </c>
      <c r="I733" s="4" t="str">
        <f>Registered!AY1711</f>
        <v/>
      </c>
    </row>
    <row r="734" spans="1:9" x14ac:dyDescent="0.25">
      <c r="A734" s="4" t="str">
        <f>Registered!B1716</f>
        <v>Morris</v>
      </c>
      <c r="B734" s="4" t="str">
        <f>Registered!A1716</f>
        <v>Jenny</v>
      </c>
      <c r="C734" s="4" t="str">
        <f>IF(Registered!AR1716&gt;0,Registered!AR1716&amp;" Color Bags", "")</f>
        <v>20 Color Bags</v>
      </c>
      <c r="D734" s="4" t="str">
        <f>IF(Registered!AS1716&gt;0,(IF(Registered!AS1716=1,Registered!AS1716&amp;" T-Shirt",Registered!AS1716&amp;" T-Shirts")), "")</f>
        <v/>
      </c>
      <c r="E734" s="4" t="str">
        <f>Registered!AT1716</f>
        <v/>
      </c>
      <c r="F734" s="4" t="str">
        <f>Registered!AU1716</f>
        <v>2 Bandanas</v>
      </c>
      <c r="G734" s="4" t="str">
        <f>Registered!AW1716</f>
        <v/>
      </c>
      <c r="H734" s="4" t="str">
        <f>Registered!AX1716</f>
        <v/>
      </c>
      <c r="I734" s="4" t="str">
        <f>Registered!AY1716</f>
        <v/>
      </c>
    </row>
    <row r="735" spans="1:9" x14ac:dyDescent="0.25">
      <c r="A735" s="4" t="str">
        <f>Registered!B1718</f>
        <v>Mortensen</v>
      </c>
      <c r="B735" s="4" t="str">
        <f>Registered!A1718</f>
        <v>Brian</v>
      </c>
      <c r="C735" s="4" t="str">
        <f>IF(Registered!AR1718&gt;0,Registered!AR1718&amp;" Color Bags", "")</f>
        <v>10 Color Bags</v>
      </c>
      <c r="D735" s="4" t="str">
        <f>IF(Registered!AS1718&gt;0,(IF(Registered!AS1718=1,Registered!AS1718&amp;" T-Shirt",Registered!AS1718&amp;" T-Shirts")), "")</f>
        <v/>
      </c>
      <c r="E735" s="4" t="str">
        <f>Registered!AT1718</f>
        <v/>
      </c>
      <c r="F735" s="4" t="str">
        <f>Registered!AU1718</f>
        <v/>
      </c>
      <c r="G735" s="4" t="str">
        <f>Registered!AW1718</f>
        <v/>
      </c>
      <c r="H735" s="4" t="str">
        <f>Registered!AX1718</f>
        <v/>
      </c>
      <c r="I735" s="4" t="str">
        <f>Registered!AY1718</f>
        <v/>
      </c>
    </row>
    <row r="736" spans="1:9" x14ac:dyDescent="0.25">
      <c r="A736" s="4" t="str">
        <f>Registered!B1723</f>
        <v>Mosby</v>
      </c>
      <c r="B736" s="4" t="str">
        <f>Registered!A1723</f>
        <v>Lauren</v>
      </c>
      <c r="C736" s="4" t="str">
        <f>IF(Registered!AR1723&gt;0,Registered!AR1723&amp;" Color Bags", "")</f>
        <v>10 Color Bags</v>
      </c>
      <c r="D736" s="4" t="str">
        <f>IF(Registered!AS1723&gt;0,(IF(Registered!AS1723=1,Registered!AS1723&amp;" T-Shirt",Registered!AS1723&amp;" T-Shirts")), "")</f>
        <v/>
      </c>
      <c r="E736" s="4" t="str">
        <f>Registered!AT1723</f>
        <v/>
      </c>
      <c r="F736" s="4" t="str">
        <f>Registered!AU1723</f>
        <v/>
      </c>
      <c r="G736" s="4" t="str">
        <f>Registered!AW1723</f>
        <v/>
      </c>
      <c r="H736" s="4" t="str">
        <f>Registered!AX1723</f>
        <v/>
      </c>
      <c r="I736" s="4" t="str">
        <f>Registered!AY1723</f>
        <v/>
      </c>
    </row>
    <row r="737" spans="1:9" x14ac:dyDescent="0.25">
      <c r="A737" s="4" t="str">
        <f>Registered!B1726</f>
        <v>Muffler</v>
      </c>
      <c r="B737" s="4" t="str">
        <f>Registered!A1726</f>
        <v>Deanna</v>
      </c>
      <c r="C737" s="4" t="str">
        <f>IF(Registered!AR1726&gt;0,Registered!AR1726&amp;" Color Bags", "")</f>
        <v>10 Color Bags</v>
      </c>
      <c r="D737" s="4" t="str">
        <f>IF(Registered!AS1726&gt;0,(IF(Registered!AS1726=1,Registered!AS1726&amp;" T-Shirt",Registered!AS1726&amp;" T-Shirts")), "")</f>
        <v/>
      </c>
      <c r="E737" s="4" t="str">
        <f>Registered!AT1726</f>
        <v/>
      </c>
      <c r="F737" s="4" t="str">
        <f>Registered!AU1726</f>
        <v/>
      </c>
      <c r="G737" s="4" t="str">
        <f>Registered!AW1726</f>
        <v/>
      </c>
      <c r="H737" s="4" t="str">
        <f>Registered!AX1726</f>
        <v/>
      </c>
      <c r="I737" s="4" t="str">
        <f>Registered!AY1726</f>
        <v/>
      </c>
    </row>
    <row r="738" spans="1:9" x14ac:dyDescent="0.25">
      <c r="A738" s="4" t="str">
        <f>Registered!B1727</f>
        <v>Muir</v>
      </c>
      <c r="B738" s="4" t="str">
        <f>Registered!A1727</f>
        <v>Madi</v>
      </c>
      <c r="C738" s="4" t="str">
        <f>IF(Registered!AR1727&gt;0,Registered!AR1727&amp;" Color Bags", "")</f>
        <v>10 Color Bags</v>
      </c>
      <c r="D738" s="4" t="str">
        <f>IF(Registered!AS1727&gt;0,(IF(Registered!AS1727=1,Registered!AS1727&amp;" T-Shirt",Registered!AS1727&amp;" T-Shirts")), "")</f>
        <v/>
      </c>
      <c r="E738" s="4" t="str">
        <f>Registered!AT1727</f>
        <v/>
      </c>
      <c r="F738" s="4" t="str">
        <f>Registered!AU1727</f>
        <v/>
      </c>
      <c r="G738" s="4" t="str">
        <f>Registered!AW1727</f>
        <v/>
      </c>
      <c r="H738" s="4" t="str">
        <f>Registered!AX1727</f>
        <v/>
      </c>
      <c r="I738" s="4" t="str">
        <f>Registered!AY1727</f>
        <v/>
      </c>
    </row>
    <row r="739" spans="1:9" x14ac:dyDescent="0.25">
      <c r="A739" s="4" t="str">
        <f>Registered!B1728</f>
        <v>Mullins</v>
      </c>
      <c r="B739" s="4" t="str">
        <f>Registered!A1728</f>
        <v>Marissa</v>
      </c>
      <c r="C739" s="4" t="str">
        <f>IF(Registered!AR1728&gt;0,Registered!AR1728&amp;" Color Bags", "")</f>
        <v>10 Color Bags</v>
      </c>
      <c r="D739" s="4" t="str">
        <f>IF(Registered!AS1728&gt;0,(IF(Registered!AS1728=1,Registered!AS1728&amp;" T-Shirt",Registered!AS1728&amp;" T-Shirts")), "")</f>
        <v/>
      </c>
      <c r="E739" s="4" t="str">
        <f>Registered!AT1728</f>
        <v/>
      </c>
      <c r="F739" s="4" t="str">
        <f>Registered!AU1728</f>
        <v/>
      </c>
      <c r="G739" s="4" t="str">
        <f>Registered!AW1728</f>
        <v/>
      </c>
      <c r="H739" s="4" t="str">
        <f>Registered!AX1728</f>
        <v/>
      </c>
      <c r="I739" s="4" t="str">
        <f>Registered!AY1728</f>
        <v/>
      </c>
    </row>
    <row r="740" spans="1:9" x14ac:dyDescent="0.25">
      <c r="A740" s="4" t="str">
        <f>Registered!B1729</f>
        <v>Mulroy</v>
      </c>
      <c r="B740" s="4" t="str">
        <f>Registered!A1729</f>
        <v>Kelly</v>
      </c>
      <c r="C740" s="4" t="str">
        <f>IF(Registered!AR1729&gt;0,Registered!AR1729&amp;" Color Bags", "")</f>
        <v>5 Color Bags</v>
      </c>
      <c r="D740" s="4" t="str">
        <f>IF(Registered!AS1729&gt;0,(IF(Registered!AS1729=1,Registered!AS1729&amp;" T-Shirt",Registered!AS1729&amp;" T-Shirts")), "")</f>
        <v/>
      </c>
      <c r="E740" s="4" t="str">
        <f>Registered!AT1729</f>
        <v/>
      </c>
      <c r="F740" s="4" t="str">
        <f>Registered!AU1729</f>
        <v/>
      </c>
      <c r="G740" s="4" t="str">
        <f>Registered!AW1729</f>
        <v/>
      </c>
      <c r="H740" s="4" t="str">
        <f>Registered!AX1729</f>
        <v/>
      </c>
      <c r="I740" s="4" t="str">
        <f>Registered!AY1729</f>
        <v/>
      </c>
    </row>
    <row r="741" spans="1:9" x14ac:dyDescent="0.25">
      <c r="A741" s="4" t="str">
        <f>Registered!B1731</f>
        <v>Murata</v>
      </c>
      <c r="B741" s="4" t="str">
        <f>Registered!A1731</f>
        <v>Narumi</v>
      </c>
      <c r="C741" s="4" t="str">
        <f>IF(Registered!AR1731&gt;0,Registered!AR1731&amp;" Color Bags", "")</f>
        <v>5 Color Bags</v>
      </c>
      <c r="D741" s="4" t="str">
        <f>IF(Registered!AS1731&gt;0,(IF(Registered!AS1731=1,Registered!AS1731&amp;" T-Shirt",Registered!AS1731&amp;" T-Shirts")), "")</f>
        <v/>
      </c>
      <c r="E741" s="4" t="str">
        <f>Registered!AT1731</f>
        <v/>
      </c>
      <c r="F741" s="4" t="str">
        <f>Registered!AU1731</f>
        <v/>
      </c>
      <c r="G741" s="4" t="str">
        <f>Registered!AW1731</f>
        <v/>
      </c>
      <c r="H741" s="4" t="str">
        <f>Registered!AX1731</f>
        <v/>
      </c>
      <c r="I741" s="4" t="str">
        <f>Registered!AY1731</f>
        <v/>
      </c>
    </row>
    <row r="742" spans="1:9" x14ac:dyDescent="0.25">
      <c r="A742" s="4" t="str">
        <f>Registered!B1732</f>
        <v>Murdock</v>
      </c>
      <c r="B742" s="4" t="str">
        <f>Registered!A1732</f>
        <v>Kaylin</v>
      </c>
      <c r="C742" s="4" t="str">
        <f>IF(Registered!AR1732&gt;0,Registered!AR1732&amp;" Color Bags", "")</f>
        <v>10 Color Bags</v>
      </c>
      <c r="D742" s="4" t="str">
        <f>IF(Registered!AS1732&gt;0,(IF(Registered!AS1732=1,Registered!AS1732&amp;" T-Shirt",Registered!AS1732&amp;" T-Shirts")), "")</f>
        <v/>
      </c>
      <c r="E742" s="4" t="str">
        <f>Registered!AT1732</f>
        <v/>
      </c>
      <c r="F742" s="4" t="str">
        <f>Registered!AU1732</f>
        <v/>
      </c>
      <c r="G742" s="4" t="str">
        <f>Registered!AW1732</f>
        <v/>
      </c>
      <c r="H742" s="4" t="str">
        <f>Registered!AX1732</f>
        <v/>
      </c>
      <c r="I742" s="4" t="str">
        <f>Registered!AY1732</f>
        <v>1 DustMask</v>
      </c>
    </row>
    <row r="743" spans="1:9" x14ac:dyDescent="0.25">
      <c r="A743" s="4" t="str">
        <f>Registered!B1734</f>
        <v>Murphy</v>
      </c>
      <c r="B743" s="4" t="str">
        <f>Registered!A1734</f>
        <v>Brad</v>
      </c>
      <c r="C743" s="4" t="str">
        <f>IF(Registered!AR1734&gt;0,Registered!AR1734&amp;" Color Bags", "")</f>
        <v>10 Color Bags</v>
      </c>
      <c r="D743" s="4" t="str">
        <f>IF(Registered!AS1734&gt;0,(IF(Registered!AS1734=1,Registered!AS1734&amp;" T-Shirt",Registered!AS1734&amp;" T-Shirts")), "")</f>
        <v>2 T-Shirts</v>
      </c>
      <c r="E743" s="4" t="str">
        <f>Registered!AT1734</f>
        <v>xl on both</v>
      </c>
      <c r="F743" s="4" t="str">
        <f>Registered!AU1734</f>
        <v/>
      </c>
      <c r="G743" s="4" t="str">
        <f>Registered!AW1734</f>
        <v>2 Meals</v>
      </c>
      <c r="H743" s="4" t="str">
        <f>Registered!AX1734</f>
        <v/>
      </c>
      <c r="I743" s="4" t="str">
        <f>Registered!AY1734</f>
        <v/>
      </c>
    </row>
    <row r="744" spans="1:9" x14ac:dyDescent="0.25">
      <c r="A744" s="4" t="str">
        <f>Registered!B1738</f>
        <v>Nag</v>
      </c>
      <c r="B744" s="4" t="str">
        <f>Registered!A1738</f>
        <v>Subhadeep</v>
      </c>
      <c r="C744" s="4" t="str">
        <f>IF(Registered!AR1738&gt;0,Registered!AR1738&amp;" Color Bags", "")</f>
        <v>5 Color Bags</v>
      </c>
      <c r="D744" s="4" t="str">
        <f>IF(Registered!AS1738&gt;0,(IF(Registered!AS1738=1,Registered!AS1738&amp;" T-Shirt",Registered!AS1738&amp;" T-Shirts")), "")</f>
        <v/>
      </c>
      <c r="E744" s="4" t="str">
        <f>Registered!AT1738</f>
        <v/>
      </c>
      <c r="F744" s="4" t="str">
        <f>Registered!AU1738</f>
        <v/>
      </c>
      <c r="G744" s="4" t="str">
        <f>Registered!AW1738</f>
        <v>3 Meals</v>
      </c>
      <c r="H744" s="4" t="str">
        <f>Registered!AX1738</f>
        <v/>
      </c>
      <c r="I744" s="4" t="str">
        <f>Registered!AY1738</f>
        <v/>
      </c>
    </row>
    <row r="745" spans="1:9" x14ac:dyDescent="0.25">
      <c r="A745" s="4" t="str">
        <f>Registered!B1740</f>
        <v>Nakamura</v>
      </c>
      <c r="B745" s="4" t="str">
        <f>Registered!A1740</f>
        <v>Adrienne</v>
      </c>
      <c r="C745" s="4" t="str">
        <f>IF(Registered!AR1740&gt;0,Registered!AR1740&amp;" Color Bags", "")</f>
        <v>10 Color Bags</v>
      </c>
      <c r="D745" s="4" t="str">
        <f>IF(Registered!AS1740&gt;0,(IF(Registered!AS1740=1,Registered!AS1740&amp;" T-Shirt",Registered!AS1740&amp;" T-Shirts")), "")</f>
        <v/>
      </c>
      <c r="E745" s="4" t="str">
        <f>Registered!AT1740</f>
        <v/>
      </c>
      <c r="F745" s="4" t="str">
        <f>Registered!AU1740</f>
        <v/>
      </c>
      <c r="G745" s="4" t="str">
        <f>Registered!AW1740</f>
        <v/>
      </c>
      <c r="H745" s="4" t="str">
        <f>Registered!AX1740</f>
        <v/>
      </c>
      <c r="I745" s="4" t="str">
        <f>Registered!AY1740</f>
        <v/>
      </c>
    </row>
    <row r="746" spans="1:9" x14ac:dyDescent="0.25">
      <c r="A746" s="4" t="str">
        <f>Registered!B1741</f>
        <v>Napohaku</v>
      </c>
      <c r="B746" s="4" t="str">
        <f>Registered!A1741</f>
        <v>Hannah</v>
      </c>
      <c r="C746" s="4" t="str">
        <f>IF(Registered!AR1741&gt;0,Registered!AR1741&amp;" Color Bags", "")</f>
        <v>5 Color Bags</v>
      </c>
      <c r="D746" s="4" t="str">
        <f>IF(Registered!AS1741&gt;0,(IF(Registered!AS1741=1,Registered!AS1741&amp;" T-Shirt",Registered!AS1741&amp;" T-Shirts")), "")</f>
        <v>1 T-Shirt</v>
      </c>
      <c r="E746" s="4" t="str">
        <f>Registered!AT1741</f>
        <v>Size Not Specified</v>
      </c>
      <c r="F746" s="4" t="str">
        <f>Registered!AU1741</f>
        <v/>
      </c>
      <c r="G746" s="4" t="str">
        <f>Registered!AW1741</f>
        <v/>
      </c>
      <c r="H746" s="4" t="str">
        <f>Registered!AX1741</f>
        <v/>
      </c>
      <c r="I746" s="4" t="str">
        <f>Registered!AY1741</f>
        <v/>
      </c>
    </row>
    <row r="747" spans="1:9" x14ac:dyDescent="0.25">
      <c r="A747" s="4" t="str">
        <f>Registered!B1742</f>
        <v>Nash</v>
      </c>
      <c r="B747" s="4" t="str">
        <f>Registered!A1742</f>
        <v>Diana</v>
      </c>
      <c r="C747" s="4" t="str">
        <f>IF(Registered!AR1742&gt;0,Registered!AR1742&amp;" Color Bags", "")</f>
        <v>5 Color Bags</v>
      </c>
      <c r="D747" s="4" t="str">
        <f>IF(Registered!AS1742&gt;0,(IF(Registered!AS1742=1,Registered!AS1742&amp;" T-Shirt",Registered!AS1742&amp;" T-Shirts")), "")</f>
        <v/>
      </c>
      <c r="E747" s="4" t="str">
        <f>Registered!AT1742</f>
        <v/>
      </c>
      <c r="F747" s="4" t="str">
        <f>Registered!AU1742</f>
        <v/>
      </c>
      <c r="G747" s="4" t="str">
        <f>Registered!AW1742</f>
        <v/>
      </c>
      <c r="H747" s="4" t="str">
        <f>Registered!AX1742</f>
        <v/>
      </c>
      <c r="I747" s="4" t="str">
        <f>Registered!AY1742</f>
        <v/>
      </c>
    </row>
    <row r="748" spans="1:9" x14ac:dyDescent="0.25">
      <c r="A748" s="4" t="str">
        <f>Registered!B1743</f>
        <v>Natarajan</v>
      </c>
      <c r="B748" s="4" t="str">
        <f>Registered!A1743</f>
        <v>Shiv</v>
      </c>
      <c r="C748" s="4" t="str">
        <f>IF(Registered!AR1743&gt;0,Registered!AR1743&amp;" Color Bags", "")</f>
        <v>10 Color Bags</v>
      </c>
      <c r="D748" s="4" t="str">
        <f>IF(Registered!AS1743&gt;0,(IF(Registered!AS1743=1,Registered!AS1743&amp;" T-Shirt",Registered!AS1743&amp;" T-Shirts")), "")</f>
        <v/>
      </c>
      <c r="E748" s="4" t="str">
        <f>Registered!AT1743</f>
        <v/>
      </c>
      <c r="F748" s="4" t="str">
        <f>Registered!AU1743</f>
        <v/>
      </c>
      <c r="G748" s="4" t="str">
        <f>Registered!AW1743</f>
        <v/>
      </c>
      <c r="H748" s="4" t="str">
        <f>Registered!AX1743</f>
        <v/>
      </c>
      <c r="I748" s="4" t="str">
        <f>Registered!AY1743</f>
        <v/>
      </c>
    </row>
    <row r="749" spans="1:9" x14ac:dyDescent="0.25">
      <c r="A749" s="4" t="str">
        <f>Registered!B1745</f>
        <v>Naylor</v>
      </c>
      <c r="B749" s="4" t="str">
        <f>Registered!A1745</f>
        <v>Carleigh</v>
      </c>
      <c r="C749" s="4" t="str">
        <f>IF(Registered!AR1745&gt;0,Registered!AR1745&amp;" Color Bags", "")</f>
        <v>5 Color Bags</v>
      </c>
      <c r="D749" s="4" t="str">
        <f>IF(Registered!AS1745&gt;0,(IF(Registered!AS1745=1,Registered!AS1745&amp;" T-Shirt",Registered!AS1745&amp;" T-Shirts")), "")</f>
        <v/>
      </c>
      <c r="E749" s="4" t="str">
        <f>Registered!AT1745</f>
        <v/>
      </c>
      <c r="F749" s="4" t="str">
        <f>Registered!AU1745</f>
        <v/>
      </c>
      <c r="G749" s="4" t="str">
        <f>Registered!AW1745</f>
        <v/>
      </c>
      <c r="H749" s="4" t="str">
        <f>Registered!AX1745</f>
        <v/>
      </c>
      <c r="I749" s="4" t="str">
        <f>Registered!AY1745</f>
        <v/>
      </c>
    </row>
    <row r="750" spans="1:9" x14ac:dyDescent="0.25">
      <c r="A750" s="4" t="str">
        <f>Registered!B1747</f>
        <v>Naylor</v>
      </c>
      <c r="B750" s="4" t="str">
        <f>Registered!A1747</f>
        <v>Jordan</v>
      </c>
      <c r="C750" s="4" t="str">
        <f>IF(Registered!AR1747&gt;0,Registered!AR1747&amp;" Color Bags", "")</f>
        <v>5 Color Bags</v>
      </c>
      <c r="D750" s="4" t="str">
        <f>IF(Registered!AS1747&gt;0,(IF(Registered!AS1747=1,Registered!AS1747&amp;" T-Shirt",Registered!AS1747&amp;" T-Shirts")), "")</f>
        <v/>
      </c>
      <c r="E750" s="4" t="str">
        <f>Registered!AT1747</f>
        <v/>
      </c>
      <c r="F750" s="4" t="str">
        <f>Registered!AU1747</f>
        <v/>
      </c>
      <c r="G750" s="4" t="str">
        <f>Registered!AW1747</f>
        <v/>
      </c>
      <c r="H750" s="4" t="str">
        <f>Registered!AX1747</f>
        <v/>
      </c>
      <c r="I750" s="4" t="str">
        <f>Registered!AY1747</f>
        <v/>
      </c>
    </row>
    <row r="751" spans="1:9" x14ac:dyDescent="0.25">
      <c r="A751" s="4" t="str">
        <f>Registered!B1749</f>
        <v>Neal</v>
      </c>
      <c r="B751" s="4" t="str">
        <f>Registered!A1749</f>
        <v>Junie</v>
      </c>
      <c r="C751" s="4" t="str">
        <f>IF(Registered!AR1749&gt;0,Registered!AR1749&amp;" Color Bags", "")</f>
        <v>10 Color Bags</v>
      </c>
      <c r="D751" s="4" t="str">
        <f>IF(Registered!AS1749&gt;0,(IF(Registered!AS1749=1,Registered!AS1749&amp;" T-Shirt",Registered!AS1749&amp;" T-Shirts")), "")</f>
        <v/>
      </c>
      <c r="E751" s="4" t="str">
        <f>Registered!AT1749</f>
        <v/>
      </c>
      <c r="F751" s="4" t="str">
        <f>Registered!AU1749</f>
        <v/>
      </c>
      <c r="G751" s="4" t="str">
        <f>Registered!AW1749</f>
        <v/>
      </c>
      <c r="H751" s="4" t="str">
        <f>Registered!AX1749</f>
        <v/>
      </c>
      <c r="I751" s="4" t="str">
        <f>Registered!AY1749</f>
        <v/>
      </c>
    </row>
    <row r="752" spans="1:9" x14ac:dyDescent="0.25">
      <c r="A752" s="4" t="str">
        <f>Registered!B1755</f>
        <v>Neily</v>
      </c>
      <c r="B752" s="4" t="str">
        <f>Registered!A1755</f>
        <v>Loretta</v>
      </c>
      <c r="C752" s="4" t="str">
        <f>IF(Registered!AR1755&gt;0,Registered!AR1755&amp;" Color Bags", "")</f>
        <v>10 Color Bags</v>
      </c>
      <c r="D752" s="4" t="str">
        <f>IF(Registered!AS1755&gt;0,(IF(Registered!AS1755=1,Registered!AS1755&amp;" T-Shirt",Registered!AS1755&amp;" T-Shirts")), "")</f>
        <v>2 T-Shirts</v>
      </c>
      <c r="E752" s="4" t="str">
        <f>Registered!AT1755</f>
        <v>Small and mediam</v>
      </c>
      <c r="F752" s="4" t="str">
        <f>Registered!AU1755</f>
        <v>2 Bandanas</v>
      </c>
      <c r="G752" s="4" t="str">
        <f>Registered!AW1755</f>
        <v/>
      </c>
      <c r="H752" s="4" t="str">
        <f>Registered!AX1755</f>
        <v/>
      </c>
      <c r="I752" s="4" t="str">
        <f>Registered!AY1755</f>
        <v/>
      </c>
    </row>
    <row r="753" spans="1:9" x14ac:dyDescent="0.25">
      <c r="A753" s="4" t="str">
        <f>Registered!B1756</f>
        <v>Nejatifar</v>
      </c>
      <c r="B753" s="4" t="str">
        <f>Registered!A1756</f>
        <v>Mary</v>
      </c>
      <c r="C753" s="4" t="str">
        <f>IF(Registered!AR1756&gt;0,Registered!AR1756&amp;" Color Bags", "")</f>
        <v>10 Color Bags</v>
      </c>
      <c r="D753" s="4" t="str">
        <f>IF(Registered!AS1756&gt;0,(IF(Registered!AS1756=1,Registered!AS1756&amp;" T-Shirt",Registered!AS1756&amp;" T-Shirts")), "")</f>
        <v/>
      </c>
      <c r="E753" s="4" t="str">
        <f>Registered!AT1756</f>
        <v/>
      </c>
      <c r="F753" s="4" t="str">
        <f>Registered!AU1756</f>
        <v/>
      </c>
      <c r="G753" s="4" t="str">
        <f>Registered!AW1756</f>
        <v/>
      </c>
      <c r="H753" s="4" t="str">
        <f>Registered!AX1756</f>
        <v/>
      </c>
      <c r="I753" s="4" t="str">
        <f>Registered!AY1756</f>
        <v/>
      </c>
    </row>
    <row r="754" spans="1:9" x14ac:dyDescent="0.25">
      <c r="A754" s="4" t="str">
        <f>Registered!B1757</f>
        <v>Nelson</v>
      </c>
      <c r="B754" s="4" t="str">
        <f>Registered!A1757</f>
        <v>Alisa</v>
      </c>
      <c r="C754" s="4" t="str">
        <f>IF(Registered!AR1757&gt;0,Registered!AR1757&amp;" Color Bags", "")</f>
        <v/>
      </c>
      <c r="D754" s="4" t="str">
        <f>IF(Registered!AS1757&gt;0,(IF(Registered!AS1757=1,Registered!AS1757&amp;" T-Shirt",Registered!AS1757&amp;" T-Shirts")), "")</f>
        <v>1 T-Shirt</v>
      </c>
      <c r="E754" s="4" t="str">
        <f>Registered!AT1757</f>
        <v>small</v>
      </c>
      <c r="F754" s="4" t="str">
        <f>Registered!AU1757</f>
        <v/>
      </c>
      <c r="G754" s="4" t="str">
        <f>Registered!AW1757</f>
        <v/>
      </c>
      <c r="H754" s="4" t="str">
        <f>Registered!AX1757</f>
        <v/>
      </c>
      <c r="I754" s="4" t="str">
        <f>Registered!AY1757</f>
        <v/>
      </c>
    </row>
    <row r="755" spans="1:9" x14ac:dyDescent="0.25">
      <c r="A755" s="4" t="str">
        <f>Registered!B1769</f>
        <v>Nelson</v>
      </c>
      <c r="B755" s="4" t="str">
        <f>Registered!A1769</f>
        <v>Kinley</v>
      </c>
      <c r="C755" s="4" t="str">
        <f>IF(Registered!AR1769&gt;0,Registered!AR1769&amp;" Color Bags", "")</f>
        <v/>
      </c>
      <c r="D755" s="4" t="str">
        <f>IF(Registered!AS1769&gt;0,(IF(Registered!AS1769=1,Registered!AS1769&amp;" T-Shirt",Registered!AS1769&amp;" T-Shirts")), "")</f>
        <v>1 T-Shirt</v>
      </c>
      <c r="E755" s="4" t="str">
        <f>Registered!AT1769</f>
        <v>S</v>
      </c>
      <c r="F755" s="4" t="str">
        <f>Registered!AU1769</f>
        <v/>
      </c>
      <c r="G755" s="4" t="str">
        <f>Registered!AW1769</f>
        <v/>
      </c>
      <c r="H755" s="4" t="str">
        <f>Registered!AX1769</f>
        <v/>
      </c>
      <c r="I755" s="4" t="str">
        <f>Registered!AY1769</f>
        <v/>
      </c>
    </row>
    <row r="756" spans="1:9" x14ac:dyDescent="0.25">
      <c r="A756" s="4" t="str">
        <f>Registered!B1760</f>
        <v>Nelson</v>
      </c>
      <c r="B756" s="4" t="str">
        <f>Registered!A1760</f>
        <v>Chelsea</v>
      </c>
      <c r="C756" s="4" t="str">
        <f>IF(Registered!AR1760&gt;0,Registered!AR1760&amp;" Color Bags", "")</f>
        <v>10 Color Bags</v>
      </c>
      <c r="D756" s="4" t="str">
        <f>IF(Registered!AS1760&gt;0,(IF(Registered!AS1760=1,Registered!AS1760&amp;" T-Shirt",Registered!AS1760&amp;" T-Shirts")), "")</f>
        <v/>
      </c>
      <c r="E756" s="4" t="str">
        <f>Registered!AT1760</f>
        <v/>
      </c>
      <c r="F756" s="4" t="str">
        <f>Registered!AU1760</f>
        <v/>
      </c>
      <c r="G756" s="4" t="str">
        <f>Registered!AW1760</f>
        <v/>
      </c>
      <c r="H756" s="4" t="str">
        <f>Registered!AX1760</f>
        <v/>
      </c>
      <c r="I756" s="4" t="str">
        <f>Registered!AY1760</f>
        <v/>
      </c>
    </row>
    <row r="757" spans="1:9" x14ac:dyDescent="0.25">
      <c r="A757" s="4" t="str">
        <f>Registered!B1767</f>
        <v>Nelson</v>
      </c>
      <c r="B757" s="4" t="str">
        <f>Registered!A1767</f>
        <v>Katy</v>
      </c>
      <c r="C757" s="4" t="str">
        <f>IF(Registered!AR1767&gt;0,Registered!AR1767&amp;" Color Bags", "")</f>
        <v>10 Color Bags</v>
      </c>
      <c r="D757" s="4" t="str">
        <f>IF(Registered!AS1767&gt;0,(IF(Registered!AS1767=1,Registered!AS1767&amp;" T-Shirt",Registered!AS1767&amp;" T-Shirts")), "")</f>
        <v>2 T-Shirts</v>
      </c>
      <c r="E757" s="4" t="str">
        <f>Registered!AT1767</f>
        <v>1 Large, 1 medium</v>
      </c>
      <c r="F757" s="4" t="str">
        <f>Registered!AU1767</f>
        <v/>
      </c>
      <c r="G757" s="4" t="str">
        <f>Registered!AW1767</f>
        <v>2 Meals</v>
      </c>
      <c r="H757" s="4" t="str">
        <f>Registered!AX1767</f>
        <v/>
      </c>
      <c r="I757" s="4" t="str">
        <f>Registered!AY1767</f>
        <v/>
      </c>
    </row>
    <row r="758" spans="1:9" x14ac:dyDescent="0.25">
      <c r="A758" s="4" t="str">
        <f>Registered!B1770</f>
        <v>Nelson</v>
      </c>
      <c r="B758" s="4" t="str">
        <f>Registered!A1770</f>
        <v>Mike</v>
      </c>
      <c r="C758" s="4" t="str">
        <f>IF(Registered!AR1770&gt;0,Registered!AR1770&amp;" Color Bags", "")</f>
        <v>10 Color Bags</v>
      </c>
      <c r="D758" s="4" t="str">
        <f>IF(Registered!AS1770&gt;0,(IF(Registered!AS1770=1,Registered!AS1770&amp;" T-Shirt",Registered!AS1770&amp;" T-Shirts")), "")</f>
        <v>2 T-Shirts</v>
      </c>
      <c r="E758" s="4" t="str">
        <f>Registered!AT1770</f>
        <v>1 large and 1 medium</v>
      </c>
      <c r="F758" s="4" t="str">
        <f>Registered!AU1770</f>
        <v>2 Bandanas</v>
      </c>
      <c r="G758" s="4" t="str">
        <f>Registered!AW1770</f>
        <v/>
      </c>
      <c r="H758" s="4" t="str">
        <f>Registered!AX1770</f>
        <v/>
      </c>
      <c r="I758" s="4" t="str">
        <f>Registered!AY1770</f>
        <v/>
      </c>
    </row>
    <row r="759" spans="1:9" x14ac:dyDescent="0.25">
      <c r="A759" s="4" t="str">
        <f>Registered!B1763</f>
        <v>Nelson</v>
      </c>
      <c r="B759" s="4" t="str">
        <f>Registered!A1763</f>
        <v>Jake</v>
      </c>
      <c r="C759" s="4" t="str">
        <f>IF(Registered!AR1763&gt;0,Registered!AR1763&amp;" Color Bags", "")</f>
        <v>15 Color Bags</v>
      </c>
      <c r="D759" s="4" t="str">
        <f>IF(Registered!AS1763&gt;0,(IF(Registered!AS1763=1,Registered!AS1763&amp;" T-Shirt",Registered!AS1763&amp;" T-Shirts")), "")</f>
        <v/>
      </c>
      <c r="E759" s="4" t="str">
        <f>Registered!AT1763</f>
        <v/>
      </c>
      <c r="F759" s="4" t="str">
        <f>Registered!AU1763</f>
        <v/>
      </c>
      <c r="G759" s="4" t="str">
        <f>Registered!AW1763</f>
        <v/>
      </c>
      <c r="H759" s="4" t="str">
        <f>Registered!AX1763</f>
        <v/>
      </c>
      <c r="I759" s="4" t="str">
        <f>Registered!AY1763</f>
        <v/>
      </c>
    </row>
    <row r="760" spans="1:9" x14ac:dyDescent="0.25">
      <c r="A760" s="4" t="str">
        <f>Registered!B1761</f>
        <v>Nelson</v>
      </c>
      <c r="B760" s="4" t="str">
        <f>Registered!A1761</f>
        <v>Estelle</v>
      </c>
      <c r="C760" s="4" t="str">
        <f>IF(Registered!AR1761&gt;0,Registered!AR1761&amp;" Color Bags", "")</f>
        <v>25 Color Bags</v>
      </c>
      <c r="D760" s="4" t="str">
        <f>IF(Registered!AS1761&gt;0,(IF(Registered!AS1761=1,Registered!AS1761&amp;" T-Shirt",Registered!AS1761&amp;" T-Shirts")), "")</f>
        <v/>
      </c>
      <c r="E760" s="4" t="str">
        <f>Registered!AT1761</f>
        <v/>
      </c>
      <c r="F760" s="4" t="str">
        <f>Registered!AU1761</f>
        <v/>
      </c>
      <c r="G760" s="4" t="str">
        <f>Registered!AW1761</f>
        <v/>
      </c>
      <c r="H760" s="4" t="str">
        <f>Registered!AX1761</f>
        <v/>
      </c>
      <c r="I760" s="4" t="str">
        <f>Registered!AY1761</f>
        <v/>
      </c>
    </row>
    <row r="761" spans="1:9" x14ac:dyDescent="0.25">
      <c r="A761" s="4" t="str">
        <f>Registered!B1764</f>
        <v>Nelson</v>
      </c>
      <c r="B761" s="4" t="str">
        <f>Registered!A1764</f>
        <v>Jamie</v>
      </c>
      <c r="C761" s="4" t="str">
        <f>IF(Registered!AR1764&gt;0,Registered!AR1764&amp;" Color Bags", "")</f>
        <v>5 Color Bags</v>
      </c>
      <c r="D761" s="4" t="str">
        <f>IF(Registered!AS1764&gt;0,(IF(Registered!AS1764=1,Registered!AS1764&amp;" T-Shirt",Registered!AS1764&amp;" T-Shirts")), "")</f>
        <v/>
      </c>
      <c r="E761" s="4" t="str">
        <f>Registered!AT1764</f>
        <v/>
      </c>
      <c r="F761" s="4" t="str">
        <f>Registered!AU1764</f>
        <v/>
      </c>
      <c r="G761" s="4" t="str">
        <f>Registered!AW1764</f>
        <v/>
      </c>
      <c r="H761" s="4" t="str">
        <f>Registered!AX1764</f>
        <v/>
      </c>
      <c r="I761" s="4" t="str">
        <f>Registered!AY1764</f>
        <v/>
      </c>
    </row>
    <row r="762" spans="1:9" x14ac:dyDescent="0.25">
      <c r="A762" s="4" t="str">
        <f>Registered!B1772</f>
        <v>Nelson</v>
      </c>
      <c r="B762" s="4" t="str">
        <f>Registered!A1772</f>
        <v>Toby</v>
      </c>
      <c r="C762" s="4" t="str">
        <f>IF(Registered!AR1772&gt;0,Registered!AR1772&amp;" Color Bags", "")</f>
        <v>5 Color Bags</v>
      </c>
      <c r="D762" s="4" t="str">
        <f>IF(Registered!AS1772&gt;0,(IF(Registered!AS1772=1,Registered!AS1772&amp;" T-Shirt",Registered!AS1772&amp;" T-Shirts")), "")</f>
        <v>1 T-Shirt</v>
      </c>
      <c r="E762" s="4" t="str">
        <f>Registered!AT1772</f>
        <v>Large</v>
      </c>
      <c r="F762" s="4" t="str">
        <f>Registered!AU1772</f>
        <v/>
      </c>
      <c r="G762" s="4" t="str">
        <f>Registered!AW1772</f>
        <v>1 Meal</v>
      </c>
      <c r="H762" s="4" t="str">
        <f>Registered!AX1772</f>
        <v/>
      </c>
      <c r="I762" s="4" t="str">
        <f>Registered!AY1772</f>
        <v/>
      </c>
    </row>
    <row r="763" spans="1:9" x14ac:dyDescent="0.25">
      <c r="A763" s="4" t="str">
        <f>Registered!B1773</f>
        <v>Nesis</v>
      </c>
      <c r="B763" s="4" t="str">
        <f>Registered!A1773</f>
        <v>Sara</v>
      </c>
      <c r="C763" s="4" t="str">
        <f>IF(Registered!AR1773&gt;0,Registered!AR1773&amp;" Color Bags", "")</f>
        <v>10 Color Bags</v>
      </c>
      <c r="D763" s="4" t="str">
        <f>IF(Registered!AS1773&gt;0,(IF(Registered!AS1773=1,Registered!AS1773&amp;" T-Shirt",Registered!AS1773&amp;" T-Shirts")), "")</f>
        <v/>
      </c>
      <c r="E763" s="4" t="str">
        <f>Registered!AT1773</f>
        <v/>
      </c>
      <c r="F763" s="4" t="str">
        <f>Registered!AU1773</f>
        <v/>
      </c>
      <c r="G763" s="4" t="str">
        <f>Registered!AW1773</f>
        <v/>
      </c>
      <c r="H763" s="4" t="str">
        <f>Registered!AX1773</f>
        <v/>
      </c>
      <c r="I763" s="4" t="str">
        <f>Registered!AY1773</f>
        <v>1 DustMask</v>
      </c>
    </row>
    <row r="764" spans="1:9" x14ac:dyDescent="0.25">
      <c r="A764" s="4" t="str">
        <f>Registered!B1777</f>
        <v>Nevitt</v>
      </c>
      <c r="B764" s="4" t="str">
        <f>Registered!A1777</f>
        <v>Emily</v>
      </c>
      <c r="C764" s="4" t="str">
        <f>IF(Registered!AR1777&gt;0,Registered!AR1777&amp;" Color Bags", "")</f>
        <v>10 Color Bags</v>
      </c>
      <c r="D764" s="4" t="str">
        <f>IF(Registered!AS1777&gt;0,(IF(Registered!AS1777=1,Registered!AS1777&amp;" T-Shirt",Registered!AS1777&amp;" T-Shirts")), "")</f>
        <v/>
      </c>
      <c r="E764" s="4" t="str">
        <f>Registered!AT1777</f>
        <v/>
      </c>
      <c r="F764" s="4" t="str">
        <f>Registered!AU1777</f>
        <v/>
      </c>
      <c r="G764" s="4" t="str">
        <f>Registered!AW1777</f>
        <v/>
      </c>
      <c r="H764" s="4" t="str">
        <f>Registered!AX1777</f>
        <v>1 BG</v>
      </c>
      <c r="I764" s="4" t="str">
        <f>Registered!AY1777</f>
        <v/>
      </c>
    </row>
    <row r="765" spans="1:9" x14ac:dyDescent="0.25">
      <c r="A765" s="4" t="str">
        <f>Registered!B1778</f>
        <v>Newby</v>
      </c>
      <c r="B765" s="4" t="str">
        <f>Registered!A1778</f>
        <v>Honour</v>
      </c>
      <c r="C765" s="4" t="str">
        <f>IF(Registered!AR1778&gt;0,Registered!AR1778&amp;" Color Bags", "")</f>
        <v>10 Color Bags</v>
      </c>
      <c r="D765" s="4" t="str">
        <f>IF(Registered!AS1778&gt;0,(IF(Registered!AS1778=1,Registered!AS1778&amp;" T-Shirt",Registered!AS1778&amp;" T-Shirts")), "")</f>
        <v>2 T-Shirts</v>
      </c>
      <c r="E765" s="4" t="str">
        <f>Registered!AT1778</f>
        <v>Size Not Specified</v>
      </c>
      <c r="F765" s="4" t="str">
        <f>Registered!AU1778</f>
        <v/>
      </c>
      <c r="G765" s="4" t="str">
        <f>Registered!AW1778</f>
        <v/>
      </c>
      <c r="H765" s="4" t="str">
        <f>Registered!AX1778</f>
        <v/>
      </c>
      <c r="I765" s="4" t="str">
        <f>Registered!AY1778</f>
        <v/>
      </c>
    </row>
    <row r="766" spans="1:9" x14ac:dyDescent="0.25">
      <c r="A766" s="4" t="str">
        <f>Registered!B1780</f>
        <v>Newell</v>
      </c>
      <c r="B766" s="4" t="str">
        <f>Registered!A1780</f>
        <v>Telesa</v>
      </c>
      <c r="C766" s="4" t="str">
        <f>IF(Registered!AR1780&gt;0,Registered!AR1780&amp;" Color Bags", "")</f>
        <v>10 Color Bags</v>
      </c>
      <c r="D766" s="4" t="str">
        <f>IF(Registered!AS1780&gt;0,(IF(Registered!AS1780=1,Registered!AS1780&amp;" T-Shirt",Registered!AS1780&amp;" T-Shirts")), "")</f>
        <v/>
      </c>
      <c r="E766" s="4" t="str">
        <f>Registered!AT1780</f>
        <v/>
      </c>
      <c r="F766" s="4" t="str">
        <f>Registered!AU1780</f>
        <v/>
      </c>
      <c r="G766" s="4" t="str">
        <f>Registered!AW1780</f>
        <v/>
      </c>
      <c r="H766" s="4" t="str">
        <f>Registered!AX1780</f>
        <v/>
      </c>
      <c r="I766" s="4" t="str">
        <f>Registered!AY1780</f>
        <v/>
      </c>
    </row>
    <row r="767" spans="1:9" x14ac:dyDescent="0.25">
      <c r="A767" s="4" t="str">
        <f>Registered!B1782</f>
        <v>Nichols</v>
      </c>
      <c r="B767" s="4" t="str">
        <f>Registered!A1782</f>
        <v>Adam</v>
      </c>
      <c r="C767" s="4" t="str">
        <f>IF(Registered!AR1782&gt;0,Registered!AR1782&amp;" Color Bags", "")</f>
        <v>10 Color Bags</v>
      </c>
      <c r="D767" s="4" t="str">
        <f>IF(Registered!AS1782&gt;0,(IF(Registered!AS1782=1,Registered!AS1782&amp;" T-Shirt",Registered!AS1782&amp;" T-Shirts")), "")</f>
        <v/>
      </c>
      <c r="E767" s="4" t="str">
        <f>Registered!AT1782</f>
        <v/>
      </c>
      <c r="F767" s="4" t="str">
        <f>Registered!AU1782</f>
        <v/>
      </c>
      <c r="G767" s="4" t="str">
        <f>Registered!AW1782</f>
        <v/>
      </c>
      <c r="H767" s="4" t="str">
        <f>Registered!AX1782</f>
        <v/>
      </c>
      <c r="I767" s="4" t="str">
        <f>Registered!AY1782</f>
        <v/>
      </c>
    </row>
    <row r="768" spans="1:9" x14ac:dyDescent="0.25">
      <c r="A768" s="4" t="str">
        <f>Registered!B1783</f>
        <v>Nichols</v>
      </c>
      <c r="B768" s="4" t="str">
        <f>Registered!A1783</f>
        <v>Kayla</v>
      </c>
      <c r="C768" s="4" t="str">
        <f>IF(Registered!AR1783&gt;0,Registered!AR1783&amp;" Color Bags", "")</f>
        <v>15 Color Bags</v>
      </c>
      <c r="D768" s="4" t="str">
        <f>IF(Registered!AS1783&gt;0,(IF(Registered!AS1783=1,Registered!AS1783&amp;" T-Shirt",Registered!AS1783&amp;" T-Shirts")), "")</f>
        <v>3 T-Shirts</v>
      </c>
      <c r="E768" s="4" t="str">
        <f>Registered!AT1783</f>
        <v>Adult small, Adult large, Adult 3x</v>
      </c>
      <c r="F768" s="4" t="str">
        <f>Registered!AU1783</f>
        <v/>
      </c>
      <c r="G768" s="4" t="str">
        <f>Registered!AW1783</f>
        <v>3 Meals</v>
      </c>
      <c r="H768" s="4" t="str">
        <f>Registered!AX1783</f>
        <v/>
      </c>
      <c r="I768" s="4" t="str">
        <f>Registered!AY1783</f>
        <v/>
      </c>
    </row>
    <row r="769" spans="1:9" x14ac:dyDescent="0.25">
      <c r="A769" s="4" t="str">
        <f>Registered!B1790</f>
        <v>Nielsen</v>
      </c>
      <c r="B769" s="4" t="str">
        <f>Registered!A1790</f>
        <v>Kent</v>
      </c>
      <c r="C769" s="4" t="str">
        <f>IF(Registered!AR1790&gt;0,Registered!AR1790&amp;" Color Bags", "")</f>
        <v>10 Color Bags</v>
      </c>
      <c r="D769" s="4" t="str">
        <f>IF(Registered!AS1790&gt;0,(IF(Registered!AS1790=1,Registered!AS1790&amp;" T-Shirt",Registered!AS1790&amp;" T-Shirts")), "")</f>
        <v/>
      </c>
      <c r="E769" s="4" t="str">
        <f>Registered!AT1790</f>
        <v/>
      </c>
      <c r="F769" s="4" t="str">
        <f>Registered!AU1790</f>
        <v/>
      </c>
      <c r="G769" s="4" t="str">
        <f>Registered!AW1790</f>
        <v/>
      </c>
      <c r="H769" s="4" t="str">
        <f>Registered!AX1790</f>
        <v/>
      </c>
      <c r="I769" s="4" t="str">
        <f>Registered!AY1790</f>
        <v/>
      </c>
    </row>
    <row r="770" spans="1:9" x14ac:dyDescent="0.25">
      <c r="A770" s="4" t="str">
        <f>Registered!B1795</f>
        <v>Nielsen</v>
      </c>
      <c r="B770" s="4" t="str">
        <f>Registered!A1795</f>
        <v>Thomissa</v>
      </c>
      <c r="C770" s="4" t="str">
        <f>IF(Registered!AR1795&gt;0,Registered!AR1795&amp;" Color Bags", "")</f>
        <v>10 Color Bags</v>
      </c>
      <c r="D770" s="4" t="str">
        <f>IF(Registered!AS1795&gt;0,(IF(Registered!AS1795=1,Registered!AS1795&amp;" T-Shirt",Registered!AS1795&amp;" T-Shirts")), "")</f>
        <v>5 T-Shirts</v>
      </c>
      <c r="E770" s="4" t="str">
        <f>Registered!AT1795</f>
        <v>2M, 1L, 1XL, 1XXL</v>
      </c>
      <c r="F770" s="4" t="str">
        <f>Registered!AU1795</f>
        <v/>
      </c>
      <c r="G770" s="4" t="str">
        <f>Registered!AW1795</f>
        <v/>
      </c>
      <c r="H770" s="4" t="str">
        <f>Registered!AX1795</f>
        <v/>
      </c>
      <c r="I770" s="4" t="str">
        <f>Registered!AY1795</f>
        <v/>
      </c>
    </row>
    <row r="771" spans="1:9" x14ac:dyDescent="0.25">
      <c r="A771" s="4" t="str">
        <f>Registered!B1789</f>
        <v>Nielsen</v>
      </c>
      <c r="B771" s="4" t="str">
        <f>Registered!A1789</f>
        <v>Catherine</v>
      </c>
      <c r="C771" s="4" t="str">
        <f>IF(Registered!AR1789&gt;0,Registered!AR1789&amp;" Color Bags", "")</f>
        <v>15 Color Bags</v>
      </c>
      <c r="D771" s="4" t="str">
        <f>IF(Registered!AS1789&gt;0,(IF(Registered!AS1789=1,Registered!AS1789&amp;" T-Shirt",Registered!AS1789&amp;" T-Shirts")), "")</f>
        <v>3 T-Shirts</v>
      </c>
      <c r="E771" s="4" t="str">
        <f>Registered!AT1789</f>
        <v>Medium, Large and 2X Large</v>
      </c>
      <c r="F771" s="4" t="str">
        <f>Registered!AU1789</f>
        <v>3 Bandanas</v>
      </c>
      <c r="G771" s="4" t="str">
        <f>Registered!AW1789</f>
        <v>3 Meals</v>
      </c>
      <c r="H771" s="4" t="str">
        <f>Registered!AX1789</f>
        <v/>
      </c>
      <c r="I771" s="4" t="str">
        <f>Registered!AY1789</f>
        <v/>
      </c>
    </row>
    <row r="772" spans="1:9" x14ac:dyDescent="0.25">
      <c r="A772" s="4" t="str">
        <f>Registered!B1796</f>
        <v>Nielsen</v>
      </c>
      <c r="B772" s="4" t="str">
        <f>Registered!A1796</f>
        <v>Whitney</v>
      </c>
      <c r="C772" s="4" t="str">
        <f>IF(Registered!AR1796&gt;0,Registered!AR1796&amp;" Color Bags", "")</f>
        <v>20 Color Bags</v>
      </c>
      <c r="D772" s="4" t="str">
        <f>IF(Registered!AS1796&gt;0,(IF(Registered!AS1796=1,Registered!AS1796&amp;" T-Shirt",Registered!AS1796&amp;" T-Shirts")), "")</f>
        <v/>
      </c>
      <c r="E772" s="4" t="str">
        <f>Registered!AT1796</f>
        <v/>
      </c>
      <c r="F772" s="4" t="str">
        <f>Registered!AU1796</f>
        <v/>
      </c>
      <c r="G772" s="4" t="str">
        <f>Registered!AW1796</f>
        <v/>
      </c>
      <c r="H772" s="4" t="str">
        <f>Registered!AX1796</f>
        <v/>
      </c>
      <c r="I772" s="4" t="str">
        <f>Registered!AY1796</f>
        <v/>
      </c>
    </row>
    <row r="773" spans="1:9" x14ac:dyDescent="0.25">
      <c r="A773" s="4" t="str">
        <f>Registered!B1798</f>
        <v>Nieslon</v>
      </c>
      <c r="B773" s="4" t="str">
        <f>Registered!A1798</f>
        <v>Keira</v>
      </c>
      <c r="C773" s="4" t="str">
        <f>IF(Registered!AR1798&gt;0,Registered!AR1798&amp;" Color Bags", "")</f>
        <v>20 Color Bags</v>
      </c>
      <c r="D773" s="4" t="str">
        <f>IF(Registered!AS1798&gt;0,(IF(Registered!AS1798=1,Registered!AS1798&amp;" T-Shirt",Registered!AS1798&amp;" T-Shirts")), "")</f>
        <v/>
      </c>
      <c r="E773" s="4" t="str">
        <f>Registered!AT1798</f>
        <v/>
      </c>
      <c r="F773" s="4" t="str">
        <f>Registered!AU1798</f>
        <v/>
      </c>
      <c r="G773" s="4" t="str">
        <f>Registered!AW1798</f>
        <v>2 Meals</v>
      </c>
      <c r="H773" s="4" t="str">
        <f>Registered!AX1798</f>
        <v/>
      </c>
      <c r="I773" s="4" t="str">
        <f>Registered!AY1798</f>
        <v/>
      </c>
    </row>
    <row r="774" spans="1:9" x14ac:dyDescent="0.25">
      <c r="A774" s="4" t="str">
        <f>Registered!B1800</f>
        <v>Nippert</v>
      </c>
      <c r="B774" s="4" t="str">
        <f>Registered!A1800</f>
        <v>Angela</v>
      </c>
      <c r="C774" s="4" t="str">
        <f>IF(Registered!AR1800&gt;0,Registered!AR1800&amp;" Color Bags", "")</f>
        <v>30 Color Bags</v>
      </c>
      <c r="D774" s="4" t="str">
        <f>IF(Registered!AS1800&gt;0,(IF(Registered!AS1800=1,Registered!AS1800&amp;" T-Shirt",Registered!AS1800&amp;" T-Shirts")), "")</f>
        <v>4 T-Shirts</v>
      </c>
      <c r="E774" s="4" t="str">
        <f>Registered!AT1800</f>
        <v>(2) adult small   (2) adult 2x</v>
      </c>
      <c r="F774" s="4" t="str">
        <f>Registered!AU1800</f>
        <v/>
      </c>
      <c r="G774" s="4" t="str">
        <f>Registered!AW1800</f>
        <v>4 Meals</v>
      </c>
      <c r="H774" s="4" t="str">
        <f>Registered!AX1800</f>
        <v/>
      </c>
      <c r="I774" s="4" t="str">
        <f>Registered!AY1800</f>
        <v/>
      </c>
    </row>
    <row r="775" spans="1:9" x14ac:dyDescent="0.25">
      <c r="A775" s="4" t="str">
        <f>Registered!B1803</f>
        <v>Noguera</v>
      </c>
      <c r="B775" s="4" t="str">
        <f>Registered!A1803</f>
        <v>Amber</v>
      </c>
      <c r="C775" s="4" t="str">
        <f>IF(Registered!AR1803&gt;0,Registered!AR1803&amp;" Color Bags", "")</f>
        <v>10 Color Bags</v>
      </c>
      <c r="D775" s="4" t="str">
        <f>IF(Registered!AS1803&gt;0,(IF(Registered!AS1803=1,Registered!AS1803&amp;" T-Shirt",Registered!AS1803&amp;" T-Shirts")), "")</f>
        <v>2 T-Shirts</v>
      </c>
      <c r="E775" s="4" t="str">
        <f>Registered!AT1803</f>
        <v>Adult Extra Small or Youth Large</v>
      </c>
      <c r="F775" s="4" t="str">
        <f>Registered!AU1803</f>
        <v/>
      </c>
      <c r="G775" s="4" t="str">
        <f>Registered!AW1803</f>
        <v/>
      </c>
      <c r="H775" s="4" t="str">
        <f>Registered!AX1803</f>
        <v/>
      </c>
      <c r="I775" s="4" t="str">
        <f>Registered!AY1803</f>
        <v/>
      </c>
    </row>
    <row r="776" spans="1:9" x14ac:dyDescent="0.25">
      <c r="A776" s="4" t="str">
        <f>Registered!B1804</f>
        <v>Norcross</v>
      </c>
      <c r="B776" s="4" t="str">
        <f>Registered!A1804</f>
        <v>Darrion</v>
      </c>
      <c r="C776" s="4" t="str">
        <f>IF(Registered!AR1804&gt;0,Registered!AR1804&amp;" Color Bags", "")</f>
        <v>20 Color Bags</v>
      </c>
      <c r="D776" s="4" t="str">
        <f>IF(Registered!AS1804&gt;0,(IF(Registered!AS1804=1,Registered!AS1804&amp;" T-Shirt",Registered!AS1804&amp;" T-Shirts")), "")</f>
        <v/>
      </c>
      <c r="E776" s="4" t="str">
        <f>Registered!AT1804</f>
        <v/>
      </c>
      <c r="F776" s="4" t="str">
        <f>Registered!AU1804</f>
        <v>1 Bandana</v>
      </c>
      <c r="G776" s="4" t="str">
        <f>Registered!AW1804</f>
        <v/>
      </c>
      <c r="H776" s="4" t="str">
        <f>Registered!AX1804</f>
        <v/>
      </c>
      <c r="I776" s="4" t="str">
        <f>Registered!AY1804</f>
        <v/>
      </c>
    </row>
    <row r="777" spans="1:9" x14ac:dyDescent="0.25">
      <c r="A777" s="4" t="str">
        <f>Registered!B1805</f>
        <v>Northam</v>
      </c>
      <c r="B777" s="4" t="str">
        <f>Registered!A1805</f>
        <v>Nefretiti</v>
      </c>
      <c r="C777" s="4" t="str">
        <f>IF(Registered!AR1805&gt;0,Registered!AR1805&amp;" Color Bags", "")</f>
        <v>15 Color Bags</v>
      </c>
      <c r="D777" s="4" t="str">
        <f>IF(Registered!AS1805&gt;0,(IF(Registered!AS1805=1,Registered!AS1805&amp;" T-Shirt",Registered!AS1805&amp;" T-Shirts")), "")</f>
        <v>1 T-Shirt</v>
      </c>
      <c r="E777" s="4" t="str">
        <f>Registered!AT1805</f>
        <v>XL</v>
      </c>
      <c r="F777" s="4" t="str">
        <f>Registered!AU1805</f>
        <v>1 Bandana</v>
      </c>
      <c r="G777" s="4" t="str">
        <f>Registered!AW1805</f>
        <v>1 Meal</v>
      </c>
      <c r="H777" s="4" t="str">
        <f>Registered!AX1805</f>
        <v>1 BG</v>
      </c>
      <c r="I777" s="4" t="str">
        <f>Registered!AY1805</f>
        <v/>
      </c>
    </row>
    <row r="778" spans="1:9" x14ac:dyDescent="0.25">
      <c r="A778" s="4" t="str">
        <f>Registered!B1807</f>
        <v>Norton</v>
      </c>
      <c r="B778" s="4" t="str">
        <f>Registered!A1807</f>
        <v>Rose</v>
      </c>
      <c r="C778" s="4" t="str">
        <f>IF(Registered!AR1807&gt;0,Registered!AR1807&amp;" Color Bags", "")</f>
        <v>10 Color Bags</v>
      </c>
      <c r="D778" s="4" t="str">
        <f>IF(Registered!AS1807&gt;0,(IF(Registered!AS1807=1,Registered!AS1807&amp;" T-Shirt",Registered!AS1807&amp;" T-Shirts")), "")</f>
        <v/>
      </c>
      <c r="E778" s="4" t="str">
        <f>Registered!AT1807</f>
        <v/>
      </c>
      <c r="F778" s="4" t="str">
        <f>Registered!AU1807</f>
        <v/>
      </c>
      <c r="G778" s="4" t="str">
        <f>Registered!AW1807</f>
        <v/>
      </c>
      <c r="H778" s="4" t="str">
        <f>Registered!AX1807</f>
        <v/>
      </c>
      <c r="I778" s="4" t="str">
        <f>Registered!AY1807</f>
        <v/>
      </c>
    </row>
    <row r="779" spans="1:9" x14ac:dyDescent="0.25">
      <c r="A779" s="4" t="str">
        <f>Registered!B1808</f>
        <v>Noursalehi</v>
      </c>
      <c r="B779" s="4" t="str">
        <f>Registered!A1808</f>
        <v>Nariman</v>
      </c>
      <c r="C779" s="4" t="str">
        <f>IF(Registered!AR1808&gt;0,Registered!AR1808&amp;" Color Bags", "")</f>
        <v>20 Color Bags</v>
      </c>
      <c r="D779" s="4" t="str">
        <f>IF(Registered!AS1808&gt;0,(IF(Registered!AS1808=1,Registered!AS1808&amp;" T-Shirt",Registered!AS1808&amp;" T-Shirts")), "")</f>
        <v/>
      </c>
      <c r="E779" s="4" t="str">
        <f>Registered!AT1808</f>
        <v/>
      </c>
      <c r="F779" s="4" t="str">
        <f>Registered!AU1808</f>
        <v/>
      </c>
      <c r="G779" s="4" t="str">
        <f>Registered!AW1808</f>
        <v>2 Meals</v>
      </c>
      <c r="H779" s="4" t="str">
        <f>Registered!AX1808</f>
        <v/>
      </c>
      <c r="I779" s="4" t="str">
        <f>Registered!AY1808</f>
        <v/>
      </c>
    </row>
    <row r="780" spans="1:9" x14ac:dyDescent="0.25">
      <c r="A780" s="4" t="str">
        <f>Registered!B2733</f>
        <v>Nystrom</v>
      </c>
      <c r="B780" s="4" t="str">
        <f>Registered!A2733</f>
        <v>Jilleen</v>
      </c>
      <c r="C780" s="4" t="str">
        <f>IF(Registered!AR2733&gt;0,Registered!AR2733&amp;" Color Bags", "")</f>
        <v>10 Color Bags</v>
      </c>
      <c r="D780" s="4" t="str">
        <f>IF(Registered!AS2733&gt;0,(IF(Registered!AS2733=1,Registered!AS2733&amp;" T-Shirt",Registered!AS2733&amp;" T-Shirts")), "")</f>
        <v>1 T-Shirt</v>
      </c>
      <c r="E780" s="4" t="str">
        <f>Registered!AT2733</f>
        <v>Size Not Specified</v>
      </c>
      <c r="F780" s="4" t="str">
        <f>Registered!AU2733</f>
        <v>1 Bandana</v>
      </c>
      <c r="G780" s="4" t="str">
        <f>Registered!AW2733</f>
        <v>1 Meal</v>
      </c>
      <c r="H780" s="4" t="str">
        <f>Registered!AX2733</f>
        <v/>
      </c>
      <c r="I780" s="4" t="str">
        <f>Registered!AY2733</f>
        <v/>
      </c>
    </row>
    <row r="781" spans="1:9" x14ac:dyDescent="0.25">
      <c r="A781" s="4" t="str">
        <f>Registered!B1814</f>
        <v>Ochoa</v>
      </c>
      <c r="B781" s="4" t="str">
        <f>Registered!A1814</f>
        <v>Enrique</v>
      </c>
      <c r="C781" s="4" t="str">
        <f>IF(Registered!AR1814&gt;0,Registered!AR1814&amp;" Color Bags", "")</f>
        <v>5 Color Bags</v>
      </c>
      <c r="D781" s="4" t="str">
        <f>IF(Registered!AS1814&gt;0,(IF(Registered!AS1814=1,Registered!AS1814&amp;" T-Shirt",Registered!AS1814&amp;" T-Shirts")), "")</f>
        <v>1 T-Shirt</v>
      </c>
      <c r="E781" s="4" t="str">
        <f>Registered!AT1814</f>
        <v>large</v>
      </c>
      <c r="F781" s="4" t="str">
        <f>Registered!AU1814</f>
        <v/>
      </c>
      <c r="G781" s="4" t="str">
        <f>Registered!AW1814</f>
        <v>1 Meal</v>
      </c>
      <c r="H781" s="4" t="str">
        <f>Registered!AX1814</f>
        <v/>
      </c>
      <c r="I781" s="4" t="str">
        <f>Registered!AY1814</f>
        <v/>
      </c>
    </row>
    <row r="782" spans="1:9" x14ac:dyDescent="0.25">
      <c r="A782" s="4" t="str">
        <f>Registered!B1816</f>
        <v>Ohmie</v>
      </c>
      <c r="B782" s="4" t="str">
        <f>Registered!A1816</f>
        <v>Adrian</v>
      </c>
      <c r="C782" s="4" t="str">
        <f>IF(Registered!AR1816&gt;0,Registered!AR1816&amp;" Color Bags", "")</f>
        <v>10 Color Bags</v>
      </c>
      <c r="D782" s="4" t="str">
        <f>IF(Registered!AS1816&gt;0,(IF(Registered!AS1816=1,Registered!AS1816&amp;" T-Shirt",Registered!AS1816&amp;" T-Shirts")), "")</f>
        <v/>
      </c>
      <c r="E782" s="4" t="str">
        <f>Registered!AT1816</f>
        <v/>
      </c>
      <c r="F782" s="4" t="str">
        <f>Registered!AU1816</f>
        <v/>
      </c>
      <c r="G782" s="4" t="str">
        <f>Registered!AW1816</f>
        <v/>
      </c>
      <c r="H782" s="4" t="str">
        <f>Registered!AX1816</f>
        <v/>
      </c>
      <c r="I782" s="4" t="str">
        <f>Registered!AY1816</f>
        <v>1 DustMask</v>
      </c>
    </row>
    <row r="783" spans="1:9" x14ac:dyDescent="0.25">
      <c r="A783" s="4" t="str">
        <f>Registered!B1817</f>
        <v>Oke</v>
      </c>
      <c r="B783" s="4" t="str">
        <f>Registered!A1817</f>
        <v>Kellie</v>
      </c>
      <c r="C783" s="4" t="str">
        <f>IF(Registered!AR1817&gt;0,Registered!AR1817&amp;" Color Bags", "")</f>
        <v>10 Color Bags</v>
      </c>
      <c r="D783" s="4" t="str">
        <f>IF(Registered!AS1817&gt;0,(IF(Registered!AS1817=1,Registered!AS1817&amp;" T-Shirt",Registered!AS1817&amp;" T-Shirts")), "")</f>
        <v>2 T-Shirts</v>
      </c>
      <c r="E783" s="4" t="str">
        <f>Registered!AT1817</f>
        <v>adult xl, adult l</v>
      </c>
      <c r="F783" s="4" t="str">
        <f>Registered!AU1817</f>
        <v/>
      </c>
      <c r="G783" s="4" t="str">
        <f>Registered!AW1817</f>
        <v>2 Meals</v>
      </c>
      <c r="H783" s="4" t="str">
        <f>Registered!AX1817</f>
        <v/>
      </c>
      <c r="I783" s="4" t="str">
        <f>Registered!AY1817</f>
        <v/>
      </c>
    </row>
    <row r="784" spans="1:9" x14ac:dyDescent="0.25">
      <c r="A784" s="4" t="str">
        <f>Registered!B1820</f>
        <v>Oliver</v>
      </c>
      <c r="B784" s="4" t="str">
        <f>Registered!A1820</f>
        <v>Amy</v>
      </c>
      <c r="C784" s="4" t="str">
        <f>IF(Registered!AR1820&gt;0,Registered!AR1820&amp;" Color Bags", "")</f>
        <v>10 Color Bags</v>
      </c>
      <c r="D784" s="4" t="str">
        <f>IF(Registered!AS1820&gt;0,(IF(Registered!AS1820=1,Registered!AS1820&amp;" T-Shirt",Registered!AS1820&amp;" T-Shirts")), "")</f>
        <v>2 T-Shirts</v>
      </c>
      <c r="E784" s="4" t="str">
        <f>Registered!AT1820</f>
        <v>M, XL</v>
      </c>
      <c r="F784" s="4" t="str">
        <f>Registered!AU1820</f>
        <v/>
      </c>
      <c r="G784" s="4" t="str">
        <f>Registered!AW1820</f>
        <v>2 Meals</v>
      </c>
      <c r="H784" s="4" t="str">
        <f>Registered!AX1820</f>
        <v/>
      </c>
      <c r="I784" s="4" t="str">
        <f>Registered!AY1820</f>
        <v/>
      </c>
    </row>
    <row r="785" spans="1:9" x14ac:dyDescent="0.25">
      <c r="A785" s="4" t="str">
        <f>Registered!B1824</f>
        <v>Olsen</v>
      </c>
      <c r="B785" s="4" t="str">
        <f>Registered!A1824</f>
        <v>Brittany</v>
      </c>
      <c r="C785" s="4" t="str">
        <f>IF(Registered!AR1824&gt;0,Registered!AR1824&amp;" Color Bags", "")</f>
        <v>10 Color Bags</v>
      </c>
      <c r="D785" s="4" t="str">
        <f>IF(Registered!AS1824&gt;0,(IF(Registered!AS1824=1,Registered!AS1824&amp;" T-Shirt",Registered!AS1824&amp;" T-Shirts")), "")</f>
        <v/>
      </c>
      <c r="E785" s="4" t="str">
        <f>Registered!AT1824</f>
        <v/>
      </c>
      <c r="F785" s="4" t="str">
        <f>Registered!AU1824</f>
        <v/>
      </c>
      <c r="G785" s="4" t="str">
        <f>Registered!AW1824</f>
        <v/>
      </c>
      <c r="H785" s="4" t="str">
        <f>Registered!AX1824</f>
        <v/>
      </c>
      <c r="I785" s="4" t="str">
        <f>Registered!AY1824</f>
        <v/>
      </c>
    </row>
    <row r="786" spans="1:9" x14ac:dyDescent="0.25">
      <c r="A786" s="4" t="str">
        <f>Registered!B1825</f>
        <v>Olsen</v>
      </c>
      <c r="B786" s="4" t="str">
        <f>Registered!A1825</f>
        <v>Darrin</v>
      </c>
      <c r="C786" s="4" t="str">
        <f>IF(Registered!AR1825&gt;0,Registered!AR1825&amp;" Color Bags", "")</f>
        <v>10 Color Bags</v>
      </c>
      <c r="D786" s="4" t="str">
        <f>IF(Registered!AS1825&gt;0,(IF(Registered!AS1825=1,Registered!AS1825&amp;" T-Shirt",Registered!AS1825&amp;" T-Shirts")), "")</f>
        <v/>
      </c>
      <c r="E786" s="4" t="str">
        <f>Registered!AT1825</f>
        <v/>
      </c>
      <c r="F786" s="4" t="str">
        <f>Registered!AU1825</f>
        <v/>
      </c>
      <c r="G786" s="4" t="str">
        <f>Registered!AW1825</f>
        <v/>
      </c>
      <c r="H786" s="4" t="str">
        <f>Registered!AX1825</f>
        <v/>
      </c>
      <c r="I786" s="4" t="str">
        <f>Registered!AY1825</f>
        <v/>
      </c>
    </row>
    <row r="787" spans="1:9" x14ac:dyDescent="0.25">
      <c r="A787" s="4" t="str">
        <f>Registered!B1835</f>
        <v>Olson</v>
      </c>
      <c r="B787" s="4" t="str">
        <f>Registered!A1835</f>
        <v>Mindi</v>
      </c>
      <c r="C787" s="4" t="str">
        <f>IF(Registered!AR1835&gt;0,Registered!AR1835&amp;" Color Bags", "")</f>
        <v>10 Color Bags</v>
      </c>
      <c r="D787" s="4" t="str">
        <f>IF(Registered!AS1835&gt;0,(IF(Registered!AS1835=1,Registered!AS1835&amp;" T-Shirt",Registered!AS1835&amp;" T-Shirts")), "")</f>
        <v/>
      </c>
      <c r="E787" s="4" t="str">
        <f>Registered!AT1835</f>
        <v/>
      </c>
      <c r="F787" s="4" t="str">
        <f>Registered!AU1835</f>
        <v/>
      </c>
      <c r="G787" s="4" t="str">
        <f>Registered!AW1835</f>
        <v/>
      </c>
      <c r="H787" s="4" t="str">
        <f>Registered!AX1835</f>
        <v/>
      </c>
      <c r="I787" s="4" t="str">
        <f>Registered!AY1835</f>
        <v/>
      </c>
    </row>
    <row r="788" spans="1:9" x14ac:dyDescent="0.25">
      <c r="A788" s="4" t="str">
        <f>Registered!B1812</f>
        <v>O'Meara</v>
      </c>
      <c r="B788" s="4" t="str">
        <f>Registered!A1812</f>
        <v>Jenelle</v>
      </c>
      <c r="C788" s="4" t="str">
        <f>IF(Registered!AR1812&gt;0,Registered!AR1812&amp;" Color Bags", "")</f>
        <v>5 Color Bags</v>
      </c>
      <c r="D788" s="4" t="str">
        <f>IF(Registered!AS1812&gt;0,(IF(Registered!AS1812=1,Registered!AS1812&amp;" T-Shirt",Registered!AS1812&amp;" T-Shirts")), "")</f>
        <v/>
      </c>
      <c r="E788" s="4" t="str">
        <f>Registered!AT1812</f>
        <v/>
      </c>
      <c r="F788" s="4" t="str">
        <f>Registered!AU1812</f>
        <v/>
      </c>
      <c r="G788" s="4" t="str">
        <f>Registered!AW1812</f>
        <v/>
      </c>
      <c r="H788" s="4" t="str">
        <f>Registered!AX1812</f>
        <v/>
      </c>
      <c r="I788" s="4" t="str">
        <f>Registered!AY1812</f>
        <v/>
      </c>
    </row>
    <row r="789" spans="1:9" x14ac:dyDescent="0.25">
      <c r="A789" s="4" t="str">
        <f>Registered!B1813</f>
        <v>O'Neill</v>
      </c>
      <c r="B789" s="4" t="str">
        <f>Registered!A1813</f>
        <v>Ciaran</v>
      </c>
      <c r="C789" s="4" t="str">
        <f>IF(Registered!AR1813&gt;0,Registered!AR1813&amp;" Color Bags", "")</f>
        <v>5 Color Bags</v>
      </c>
      <c r="D789" s="4" t="str">
        <f>IF(Registered!AS1813&gt;0,(IF(Registered!AS1813=1,Registered!AS1813&amp;" T-Shirt",Registered!AS1813&amp;" T-Shirts")), "")</f>
        <v/>
      </c>
      <c r="E789" s="4" t="str">
        <f>Registered!AT1813</f>
        <v/>
      </c>
      <c r="F789" s="4" t="str">
        <f>Registered!AU1813</f>
        <v/>
      </c>
      <c r="G789" s="4" t="str">
        <f>Registered!AW1813</f>
        <v/>
      </c>
      <c r="H789" s="4" t="str">
        <f>Registered!AX1813</f>
        <v/>
      </c>
      <c r="I789" s="4" t="str">
        <f>Registered!AY1813</f>
        <v/>
      </c>
    </row>
    <row r="790" spans="1:9" x14ac:dyDescent="0.25">
      <c r="A790" s="4" t="str">
        <f>Registered!B1838</f>
        <v>Ord</v>
      </c>
      <c r="B790" s="4" t="str">
        <f>Registered!A1838</f>
        <v>James</v>
      </c>
      <c r="C790" s="4" t="str">
        <f>IF(Registered!AR1838&gt;0,Registered!AR1838&amp;" Color Bags", "")</f>
        <v>10 Color Bags</v>
      </c>
      <c r="D790" s="4" t="str">
        <f>IF(Registered!AS1838&gt;0,(IF(Registered!AS1838=1,Registered!AS1838&amp;" T-Shirt",Registered!AS1838&amp;" T-Shirts")), "")</f>
        <v/>
      </c>
      <c r="E790" s="4" t="str">
        <f>Registered!AT1838</f>
        <v/>
      </c>
      <c r="F790" s="4" t="str">
        <f>Registered!AU1838</f>
        <v/>
      </c>
      <c r="G790" s="4" t="str">
        <f>Registered!AW1838</f>
        <v/>
      </c>
      <c r="H790" s="4" t="str">
        <f>Registered!AX1838</f>
        <v>1 BG</v>
      </c>
      <c r="I790" s="4" t="str">
        <f>Registered!AY1838</f>
        <v>2 DustMask</v>
      </c>
    </row>
    <row r="791" spans="1:9" x14ac:dyDescent="0.25">
      <c r="A791" s="4" t="str">
        <f>Registered!B1843</f>
        <v>Ortiz</v>
      </c>
      <c r="B791" s="4" t="str">
        <f>Registered!A1843</f>
        <v>Sarah</v>
      </c>
      <c r="C791" s="4" t="str">
        <f>IF(Registered!AR1843&gt;0,Registered!AR1843&amp;" Color Bags", "")</f>
        <v>5 Color Bags</v>
      </c>
      <c r="D791" s="4" t="str">
        <f>IF(Registered!AS1843&gt;0,(IF(Registered!AS1843=1,Registered!AS1843&amp;" T-Shirt",Registered!AS1843&amp;" T-Shirts")), "")</f>
        <v/>
      </c>
      <c r="E791" s="4" t="str">
        <f>Registered!AT1843</f>
        <v/>
      </c>
      <c r="F791" s="4" t="str">
        <f>Registered!AU1843</f>
        <v/>
      </c>
      <c r="G791" s="4" t="str">
        <f>Registered!AW1843</f>
        <v/>
      </c>
      <c r="H791" s="4" t="str">
        <f>Registered!AX1843</f>
        <v/>
      </c>
      <c r="I791" s="4" t="str">
        <f>Registered!AY1843</f>
        <v/>
      </c>
    </row>
    <row r="792" spans="1:9" x14ac:dyDescent="0.25">
      <c r="A792" s="4" t="str">
        <f>Registered!B1844</f>
        <v>Ostler</v>
      </c>
      <c r="B792" s="4" t="str">
        <f>Registered!A1844</f>
        <v>Jordan</v>
      </c>
      <c r="C792" s="4" t="str">
        <f>IF(Registered!AR1844&gt;0,Registered!AR1844&amp;" Color Bags", "")</f>
        <v>10 Color Bags</v>
      </c>
      <c r="D792" s="4" t="str">
        <f>IF(Registered!AS1844&gt;0,(IF(Registered!AS1844=1,Registered!AS1844&amp;" T-Shirt",Registered!AS1844&amp;" T-Shirts")), "")</f>
        <v>1 T-Shirt</v>
      </c>
      <c r="E792" s="4" t="str">
        <f>Registered!AT1844</f>
        <v>Medium</v>
      </c>
      <c r="F792" s="4" t="str">
        <f>Registered!AU1844</f>
        <v>1 Bandana</v>
      </c>
      <c r="G792" s="4" t="str">
        <f>Registered!AW1844</f>
        <v/>
      </c>
      <c r="H792" s="4" t="str">
        <f>Registered!AX1844</f>
        <v>1 BG</v>
      </c>
      <c r="I792" s="4" t="str">
        <f>Registered!AY1844</f>
        <v/>
      </c>
    </row>
    <row r="793" spans="1:9" x14ac:dyDescent="0.25">
      <c r="A793" s="4" t="str">
        <f>Registered!B1845</f>
        <v>Ostler</v>
      </c>
      <c r="B793" s="4" t="str">
        <f>Registered!A1845</f>
        <v>Landon</v>
      </c>
      <c r="C793" s="4" t="str">
        <f>IF(Registered!AR1845&gt;0,Registered!AR1845&amp;" Color Bags", "")</f>
        <v>10 Color Bags</v>
      </c>
      <c r="D793" s="4" t="str">
        <f>IF(Registered!AS1845&gt;0,(IF(Registered!AS1845=1,Registered!AS1845&amp;" T-Shirt",Registered!AS1845&amp;" T-Shirts")), "")</f>
        <v/>
      </c>
      <c r="E793" s="4" t="str">
        <f>Registered!AT1845</f>
        <v/>
      </c>
      <c r="F793" s="4" t="str">
        <f>Registered!AU1845</f>
        <v/>
      </c>
      <c r="G793" s="4" t="str">
        <f>Registered!AW1845</f>
        <v/>
      </c>
      <c r="H793" s="4" t="str">
        <f>Registered!AX1845</f>
        <v/>
      </c>
      <c r="I793" s="4" t="str">
        <f>Registered!AY1845</f>
        <v/>
      </c>
    </row>
    <row r="794" spans="1:9" x14ac:dyDescent="0.25">
      <c r="A794" s="4" t="str">
        <f>Registered!B1846</f>
        <v>Ostrom</v>
      </c>
      <c r="B794" s="4" t="str">
        <f>Registered!A1846</f>
        <v>Chante</v>
      </c>
      <c r="C794" s="4" t="str">
        <f>IF(Registered!AR1846&gt;0,Registered!AR1846&amp;" Color Bags", "")</f>
        <v>5 Color Bags</v>
      </c>
      <c r="D794" s="4" t="str">
        <f>IF(Registered!AS1846&gt;0,(IF(Registered!AS1846=1,Registered!AS1846&amp;" T-Shirt",Registered!AS1846&amp;" T-Shirts")), "")</f>
        <v/>
      </c>
      <c r="E794" s="4" t="str">
        <f>Registered!AT1846</f>
        <v/>
      </c>
      <c r="F794" s="4" t="str">
        <f>Registered!AU1846</f>
        <v/>
      </c>
      <c r="G794" s="4" t="str">
        <f>Registered!AW1846</f>
        <v/>
      </c>
      <c r="H794" s="4" t="str">
        <f>Registered!AX1846</f>
        <v/>
      </c>
      <c r="I794" s="4" t="str">
        <f>Registered!AY1846</f>
        <v/>
      </c>
    </row>
    <row r="795" spans="1:9" x14ac:dyDescent="0.25">
      <c r="A795" s="4" t="str">
        <f>Registered!B1847</f>
        <v>Ouke</v>
      </c>
      <c r="B795" s="4" t="str">
        <f>Registered!A1847</f>
        <v>Kathryn</v>
      </c>
      <c r="C795" s="4" t="str">
        <f>IF(Registered!AR1847&gt;0,Registered!AR1847&amp;" Color Bags", "")</f>
        <v>5 Color Bags</v>
      </c>
      <c r="D795" s="4" t="str">
        <f>IF(Registered!AS1847&gt;0,(IF(Registered!AS1847=1,Registered!AS1847&amp;" T-Shirt",Registered!AS1847&amp;" T-Shirts")), "")</f>
        <v/>
      </c>
      <c r="E795" s="4" t="str">
        <f>Registered!AT1847</f>
        <v/>
      </c>
      <c r="F795" s="4" t="str">
        <f>Registered!AU1847</f>
        <v/>
      </c>
      <c r="G795" s="4" t="str">
        <f>Registered!AW1847</f>
        <v/>
      </c>
      <c r="H795" s="4" t="str">
        <f>Registered!AX1847</f>
        <v/>
      </c>
      <c r="I795" s="4" t="str">
        <f>Registered!AY1847</f>
        <v/>
      </c>
    </row>
    <row r="796" spans="1:9" x14ac:dyDescent="0.25">
      <c r="A796" s="4" t="str">
        <f>Registered!B1848</f>
        <v>Ouwerkerk</v>
      </c>
      <c r="B796" s="4" t="str">
        <f>Registered!A1848</f>
        <v>Carlee</v>
      </c>
      <c r="C796" s="4" t="str">
        <f>IF(Registered!AR1848&gt;0,Registered!AR1848&amp;" Color Bags", "")</f>
        <v>5 Color Bags</v>
      </c>
      <c r="D796" s="4" t="str">
        <f>IF(Registered!AS1848&gt;0,(IF(Registered!AS1848=1,Registered!AS1848&amp;" T-Shirt",Registered!AS1848&amp;" T-Shirts")), "")</f>
        <v/>
      </c>
      <c r="E796" s="4" t="str">
        <f>Registered!AT1848</f>
        <v/>
      </c>
      <c r="F796" s="4" t="str">
        <f>Registered!AU1848</f>
        <v/>
      </c>
      <c r="G796" s="4" t="str">
        <f>Registered!AW1848</f>
        <v/>
      </c>
      <c r="H796" s="4" t="str">
        <f>Registered!AX1848</f>
        <v/>
      </c>
      <c r="I796" s="4" t="str">
        <f>Registered!AY1848</f>
        <v/>
      </c>
    </row>
    <row r="797" spans="1:9" x14ac:dyDescent="0.25">
      <c r="A797" s="4" t="str">
        <f>Registered!B1853</f>
        <v>Owens</v>
      </c>
      <c r="B797" s="4" t="str">
        <f>Registered!A1853</f>
        <v>Shawna</v>
      </c>
      <c r="C797" s="4" t="str">
        <f>IF(Registered!AR1853&gt;0,Registered!AR1853&amp;" Color Bags", "")</f>
        <v>10 Color Bags</v>
      </c>
      <c r="D797" s="4" t="str">
        <f>IF(Registered!AS1853&gt;0,(IF(Registered!AS1853=1,Registered!AS1853&amp;" T-Shirt",Registered!AS1853&amp;" T-Shirts")), "")</f>
        <v/>
      </c>
      <c r="E797" s="4" t="str">
        <f>Registered!AT1853</f>
        <v/>
      </c>
      <c r="F797" s="4" t="str">
        <f>Registered!AU1853</f>
        <v/>
      </c>
      <c r="G797" s="4" t="str">
        <f>Registered!AW1853</f>
        <v/>
      </c>
      <c r="H797" s="4" t="str">
        <f>Registered!AX1853</f>
        <v/>
      </c>
      <c r="I797" s="4" t="str">
        <f>Registered!AY1853</f>
        <v/>
      </c>
    </row>
    <row r="798" spans="1:9" x14ac:dyDescent="0.25">
      <c r="A798" s="4" t="str">
        <f>Registered!B1855</f>
        <v>Packer</v>
      </c>
      <c r="B798" s="4" t="str">
        <f>Registered!A1855</f>
        <v>Kaitlin</v>
      </c>
      <c r="C798" s="4" t="str">
        <f>IF(Registered!AR1855&gt;0,Registered!AR1855&amp;" Color Bags", "")</f>
        <v>5 Color Bags</v>
      </c>
      <c r="D798" s="4" t="str">
        <f>IF(Registered!AS1855&gt;0,(IF(Registered!AS1855=1,Registered!AS1855&amp;" T-Shirt",Registered!AS1855&amp;" T-Shirts")), "")</f>
        <v/>
      </c>
      <c r="E798" s="4" t="str">
        <f>Registered!AT1855</f>
        <v/>
      </c>
      <c r="F798" s="4" t="str">
        <f>Registered!AU1855</f>
        <v/>
      </c>
      <c r="G798" s="4" t="str">
        <f>Registered!AW1855</f>
        <v/>
      </c>
      <c r="H798" s="4" t="str">
        <f>Registered!AX1855</f>
        <v/>
      </c>
      <c r="I798" s="4" t="str">
        <f>Registered!AY1855</f>
        <v/>
      </c>
    </row>
    <row r="799" spans="1:9" x14ac:dyDescent="0.25">
      <c r="A799" s="4" t="str">
        <f>Registered!B1856</f>
        <v>Packer</v>
      </c>
      <c r="B799" s="4" t="str">
        <f>Registered!A1856</f>
        <v>Kelsie</v>
      </c>
      <c r="C799" s="4" t="str">
        <f>IF(Registered!AR1856&gt;0,Registered!AR1856&amp;" Color Bags", "")</f>
        <v>5 Color Bags</v>
      </c>
      <c r="D799" s="4" t="str">
        <f>IF(Registered!AS1856&gt;0,(IF(Registered!AS1856=1,Registered!AS1856&amp;" T-Shirt",Registered!AS1856&amp;" T-Shirts")), "")</f>
        <v/>
      </c>
      <c r="E799" s="4" t="str">
        <f>Registered!AT1856</f>
        <v/>
      </c>
      <c r="F799" s="4" t="str">
        <f>Registered!AU1856</f>
        <v/>
      </c>
      <c r="G799" s="4" t="str">
        <f>Registered!AW1856</f>
        <v/>
      </c>
      <c r="H799" s="4" t="str">
        <f>Registered!AX1856</f>
        <v/>
      </c>
      <c r="I799" s="4" t="str">
        <f>Registered!AY1856</f>
        <v/>
      </c>
    </row>
    <row r="800" spans="1:9" x14ac:dyDescent="0.25">
      <c r="A800" s="4" t="str">
        <f>Registered!B1857</f>
        <v>Padelsky</v>
      </c>
      <c r="B800" s="4" t="str">
        <f>Registered!A1857</f>
        <v>McCall</v>
      </c>
      <c r="C800" s="4" t="str">
        <f>IF(Registered!AR1857&gt;0,Registered!AR1857&amp;" Color Bags", "")</f>
        <v>5 Color Bags</v>
      </c>
      <c r="D800" s="4" t="str">
        <f>IF(Registered!AS1857&gt;0,(IF(Registered!AS1857=1,Registered!AS1857&amp;" T-Shirt",Registered!AS1857&amp;" T-Shirts")), "")</f>
        <v/>
      </c>
      <c r="E800" s="4" t="str">
        <f>Registered!AT1857</f>
        <v/>
      </c>
      <c r="F800" s="4" t="str">
        <f>Registered!AU1857</f>
        <v/>
      </c>
      <c r="G800" s="4" t="str">
        <f>Registered!AW1857</f>
        <v/>
      </c>
      <c r="H800" s="4" t="str">
        <f>Registered!AX1857</f>
        <v/>
      </c>
      <c r="I800" s="4" t="str">
        <f>Registered!AY1857</f>
        <v/>
      </c>
    </row>
    <row r="801" spans="1:9" x14ac:dyDescent="0.25">
      <c r="A801" s="4" t="str">
        <f>Registered!B1861</f>
        <v>Paine</v>
      </c>
      <c r="B801" s="4" t="str">
        <f>Registered!A1861</f>
        <v>Allyson</v>
      </c>
      <c r="C801" s="4" t="str">
        <f>IF(Registered!AR1861&gt;0,Registered!AR1861&amp;" Color Bags", "")</f>
        <v>10 Color Bags</v>
      </c>
      <c r="D801" s="4" t="str">
        <f>IF(Registered!AS1861&gt;0,(IF(Registered!AS1861=1,Registered!AS1861&amp;" T-Shirt",Registered!AS1861&amp;" T-Shirts")), "")</f>
        <v/>
      </c>
      <c r="E801" s="4" t="str">
        <f>Registered!AT1861</f>
        <v/>
      </c>
      <c r="F801" s="4" t="str">
        <f>Registered!AU1861</f>
        <v/>
      </c>
      <c r="G801" s="4" t="str">
        <f>Registered!AW1861</f>
        <v/>
      </c>
      <c r="H801" s="4" t="str">
        <f>Registered!AX1861</f>
        <v/>
      </c>
      <c r="I801" s="4" t="str">
        <f>Registered!AY1861</f>
        <v/>
      </c>
    </row>
    <row r="802" spans="1:9" x14ac:dyDescent="0.25">
      <c r="A802" s="4" t="str">
        <f>Registered!B1866</f>
        <v>Paras</v>
      </c>
      <c r="B802" s="4" t="str">
        <f>Registered!A1866</f>
        <v>Katie</v>
      </c>
      <c r="C802" s="4" t="str">
        <f>IF(Registered!AR1866&gt;0,Registered!AR1866&amp;" Color Bags", "")</f>
        <v>5 Color Bags</v>
      </c>
      <c r="D802" s="4" t="str">
        <f>IF(Registered!AS1866&gt;0,(IF(Registered!AS1866=1,Registered!AS1866&amp;" T-Shirt",Registered!AS1866&amp;" T-Shirts")), "")</f>
        <v/>
      </c>
      <c r="E802" s="4" t="str">
        <f>Registered!AT1866</f>
        <v/>
      </c>
      <c r="F802" s="4" t="str">
        <f>Registered!AU1866</f>
        <v/>
      </c>
      <c r="G802" s="4" t="str">
        <f>Registered!AW1866</f>
        <v/>
      </c>
      <c r="H802" s="4" t="str">
        <f>Registered!AX1866</f>
        <v/>
      </c>
      <c r="I802" s="4" t="str">
        <f>Registered!AY1866</f>
        <v/>
      </c>
    </row>
    <row r="803" spans="1:9" x14ac:dyDescent="0.25">
      <c r="A803" s="4" t="str">
        <f>Registered!B1867</f>
        <v>Pardo</v>
      </c>
      <c r="B803" s="4" t="str">
        <f>Registered!A1867</f>
        <v>Jose</v>
      </c>
      <c r="C803" s="4" t="str">
        <f>IF(Registered!AR1867&gt;0,Registered!AR1867&amp;" Color Bags", "")</f>
        <v>5 Color Bags</v>
      </c>
      <c r="D803" s="4" t="str">
        <f>IF(Registered!AS1867&gt;0,(IF(Registered!AS1867=1,Registered!AS1867&amp;" T-Shirt",Registered!AS1867&amp;" T-Shirts")), "")</f>
        <v/>
      </c>
      <c r="E803" s="4" t="str">
        <f>Registered!AT1867</f>
        <v/>
      </c>
      <c r="F803" s="4" t="str">
        <f>Registered!AU1867</f>
        <v/>
      </c>
      <c r="G803" s="4" t="str">
        <f>Registered!AW1867</f>
        <v/>
      </c>
      <c r="H803" s="4" t="str">
        <f>Registered!AX1867</f>
        <v/>
      </c>
      <c r="I803" s="4" t="str">
        <f>Registered!AY1867</f>
        <v/>
      </c>
    </row>
    <row r="804" spans="1:9" x14ac:dyDescent="0.25">
      <c r="A804" s="4" t="str">
        <f>Registered!B1871</f>
        <v>Park</v>
      </c>
      <c r="B804" s="4" t="str">
        <f>Registered!A1871</f>
        <v>Kelly Caitlyn</v>
      </c>
      <c r="C804" s="4" t="str">
        <f>IF(Registered!AR1871&gt;0,Registered!AR1871&amp;" Color Bags", "")</f>
        <v>5 Color Bags</v>
      </c>
      <c r="D804" s="4" t="str">
        <f>IF(Registered!AS1871&gt;0,(IF(Registered!AS1871=1,Registered!AS1871&amp;" T-Shirt",Registered!AS1871&amp;" T-Shirts")), "")</f>
        <v/>
      </c>
      <c r="E804" s="4" t="str">
        <f>Registered!AT1871</f>
        <v/>
      </c>
      <c r="F804" s="4" t="str">
        <f>Registered!AU1871</f>
        <v/>
      </c>
      <c r="G804" s="4" t="str">
        <f>Registered!AW1871</f>
        <v/>
      </c>
      <c r="H804" s="4" t="str">
        <f>Registered!AX1871</f>
        <v/>
      </c>
      <c r="I804" s="4" t="str">
        <f>Registered!AY1871</f>
        <v/>
      </c>
    </row>
    <row r="805" spans="1:9" x14ac:dyDescent="0.25">
      <c r="A805" s="4" t="str">
        <f>Registered!B1873</f>
        <v>Parker</v>
      </c>
      <c r="B805" s="4" t="str">
        <f>Registered!A1873</f>
        <v>Rene</v>
      </c>
      <c r="C805" s="4" t="str">
        <f>IF(Registered!AR1873&gt;0,Registered!AR1873&amp;" Color Bags", "")</f>
        <v>5 Color Bags</v>
      </c>
      <c r="D805" s="4" t="str">
        <f>IF(Registered!AS1873&gt;0,(IF(Registered!AS1873=1,Registered!AS1873&amp;" T-Shirt",Registered!AS1873&amp;" T-Shirts")), "")</f>
        <v/>
      </c>
      <c r="E805" s="4" t="str">
        <f>Registered!AT1873</f>
        <v/>
      </c>
      <c r="F805" s="4" t="str">
        <f>Registered!AU1873</f>
        <v/>
      </c>
      <c r="G805" s="4" t="str">
        <f>Registered!AW1873</f>
        <v/>
      </c>
      <c r="H805" s="4" t="str">
        <f>Registered!AX1873</f>
        <v/>
      </c>
      <c r="I805" s="4" t="str">
        <f>Registered!AY1873</f>
        <v/>
      </c>
    </row>
    <row r="806" spans="1:9" x14ac:dyDescent="0.25">
      <c r="A806" s="4" t="str">
        <f>Registered!B1879</f>
        <v>Patel</v>
      </c>
      <c r="B806" s="4" t="str">
        <f>Registered!A1879</f>
        <v>Ashvin</v>
      </c>
      <c r="C806" s="4" t="str">
        <f>IF(Registered!AR1879&gt;0,Registered!AR1879&amp;" Color Bags", "")</f>
        <v>5 Color Bags</v>
      </c>
      <c r="D806" s="4" t="str">
        <f>IF(Registered!AS1879&gt;0,(IF(Registered!AS1879=1,Registered!AS1879&amp;" T-Shirt",Registered!AS1879&amp;" T-Shirts")), "")</f>
        <v>1 T-Shirt</v>
      </c>
      <c r="E806" s="4" t="str">
        <f>Registered!AT1879</f>
        <v>Adult Large</v>
      </c>
      <c r="F806" s="4" t="str">
        <f>Registered!AU1879</f>
        <v/>
      </c>
      <c r="G806" s="4" t="str">
        <f>Registered!AW1879</f>
        <v>1 Meal</v>
      </c>
      <c r="H806" s="4" t="str">
        <f>Registered!AX1879</f>
        <v/>
      </c>
      <c r="I806" s="4" t="str">
        <f>Registered!AY1879</f>
        <v/>
      </c>
    </row>
    <row r="807" spans="1:9" x14ac:dyDescent="0.25">
      <c r="A807" s="4" t="str">
        <f>Registered!B1880</f>
        <v>Patel</v>
      </c>
      <c r="B807" s="4" t="str">
        <f>Registered!A1880</f>
        <v>Hardik</v>
      </c>
      <c r="C807" s="4" t="str">
        <f>IF(Registered!AR1880&gt;0,Registered!AR1880&amp;" Color Bags", "")</f>
        <v>50 Color Bags</v>
      </c>
      <c r="D807" s="4" t="str">
        <f>IF(Registered!AS1880&gt;0,(IF(Registered!AS1880=1,Registered!AS1880&amp;" T-Shirt",Registered!AS1880&amp;" T-Shirts")), "")</f>
        <v>8 T-Shirts</v>
      </c>
      <c r="E807" s="4" t="str">
        <f>Registered!AT1880</f>
        <v>L, M, S, S</v>
      </c>
      <c r="F807" s="4" t="str">
        <f>Registered!AU1880</f>
        <v/>
      </c>
      <c r="G807" s="4" t="str">
        <f>Registered!AW1880</f>
        <v>4 Meals</v>
      </c>
      <c r="H807" s="4" t="str">
        <f>Registered!AX1880</f>
        <v/>
      </c>
      <c r="I807" s="4" t="str">
        <f>Registered!AY1880</f>
        <v>2 DustMask</v>
      </c>
    </row>
    <row r="808" spans="1:9" x14ac:dyDescent="0.25">
      <c r="A808" s="4" t="str">
        <f>Registered!B1881</f>
        <v>Patil</v>
      </c>
      <c r="B808" s="4" t="str">
        <f>Registered!A1881</f>
        <v>Krutika</v>
      </c>
      <c r="C808" s="4" t="str">
        <f>IF(Registered!AR1881&gt;0,Registered!AR1881&amp;" Color Bags", "")</f>
        <v/>
      </c>
      <c r="D808" s="4" t="str">
        <f>IF(Registered!AS1881&gt;0,(IF(Registered!AS1881=1,Registered!AS1881&amp;" T-Shirt",Registered!AS1881&amp;" T-Shirts")), "")</f>
        <v/>
      </c>
      <c r="E808" s="4" t="str">
        <f>Registered!AT1881</f>
        <v/>
      </c>
      <c r="F808" s="4" t="str">
        <f>Registered!AU1881</f>
        <v/>
      </c>
      <c r="G808" s="4" t="str">
        <f>Registered!AW1881</f>
        <v>1 Meal</v>
      </c>
      <c r="H808" s="4" t="str">
        <f>Registered!AX1881</f>
        <v/>
      </c>
      <c r="I808" s="4" t="str">
        <f>Registered!AY1881</f>
        <v/>
      </c>
    </row>
    <row r="809" spans="1:9" x14ac:dyDescent="0.25">
      <c r="A809" s="4" t="str">
        <f>Registered!B1883</f>
        <v>Patterson</v>
      </c>
      <c r="B809" s="4" t="str">
        <f>Registered!A1883</f>
        <v>Bonni</v>
      </c>
      <c r="C809" s="4" t="str">
        <f>IF(Registered!AR1883&gt;0,Registered!AR1883&amp;" Color Bags", "")</f>
        <v>5 Color Bags</v>
      </c>
      <c r="D809" s="4" t="str">
        <f>IF(Registered!AS1883&gt;0,(IF(Registered!AS1883=1,Registered!AS1883&amp;" T-Shirt",Registered!AS1883&amp;" T-Shirts")), "")</f>
        <v/>
      </c>
      <c r="E809" s="4" t="str">
        <f>Registered!AT1883</f>
        <v/>
      </c>
      <c r="F809" s="4" t="str">
        <f>Registered!AU1883</f>
        <v/>
      </c>
      <c r="G809" s="4" t="str">
        <f>Registered!AW1883</f>
        <v/>
      </c>
      <c r="H809" s="4" t="str">
        <f>Registered!AX1883</f>
        <v/>
      </c>
      <c r="I809" s="4" t="str">
        <f>Registered!AY1883</f>
        <v/>
      </c>
    </row>
    <row r="810" spans="1:9" x14ac:dyDescent="0.25">
      <c r="A810" s="4" t="str">
        <f>Registered!B1884</f>
        <v>Patton</v>
      </c>
      <c r="B810" s="4" t="str">
        <f>Registered!A1884</f>
        <v>Rachal</v>
      </c>
      <c r="C810" s="4" t="str">
        <f>IF(Registered!AR1884&gt;0,Registered!AR1884&amp;" Color Bags", "")</f>
        <v>40 Color Bags</v>
      </c>
      <c r="D810" s="4" t="str">
        <f>IF(Registered!AS1884&gt;0,(IF(Registered!AS1884=1,Registered!AS1884&amp;" T-Shirt",Registered!AS1884&amp;" T-Shirts")), "")</f>
        <v/>
      </c>
      <c r="E810" s="4" t="str">
        <f>Registered!AT1884</f>
        <v/>
      </c>
      <c r="F810" s="4" t="str">
        <f>Registered!AU1884</f>
        <v/>
      </c>
      <c r="G810" s="4" t="str">
        <f>Registered!AW1884</f>
        <v/>
      </c>
      <c r="H810" s="4" t="str">
        <f>Registered!AX1884</f>
        <v/>
      </c>
      <c r="I810" s="4" t="str">
        <f>Registered!AY1884</f>
        <v/>
      </c>
    </row>
    <row r="811" spans="1:9" x14ac:dyDescent="0.25">
      <c r="A811" s="4" t="str">
        <f>Registered!B1886</f>
        <v>Pauni</v>
      </c>
      <c r="B811" s="4" t="str">
        <f>Registered!A1886</f>
        <v>Jessica</v>
      </c>
      <c r="C811" s="4" t="str">
        <f>IF(Registered!AR1886&gt;0,Registered!AR1886&amp;" Color Bags", "")</f>
        <v>5 Color Bags</v>
      </c>
      <c r="D811" s="4" t="str">
        <f>IF(Registered!AS1886&gt;0,(IF(Registered!AS1886=1,Registered!AS1886&amp;" T-Shirt",Registered!AS1886&amp;" T-Shirts")), "")</f>
        <v/>
      </c>
      <c r="E811" s="4" t="str">
        <f>Registered!AT1886</f>
        <v/>
      </c>
      <c r="F811" s="4" t="str">
        <f>Registered!AU1886</f>
        <v/>
      </c>
      <c r="G811" s="4" t="str">
        <f>Registered!AW1886</f>
        <v/>
      </c>
      <c r="H811" s="4" t="str">
        <f>Registered!AX1886</f>
        <v/>
      </c>
      <c r="I811" s="4" t="str">
        <f>Registered!AY1886</f>
        <v/>
      </c>
    </row>
    <row r="812" spans="1:9" x14ac:dyDescent="0.25">
      <c r="A812" s="4" t="str">
        <f>Registered!B1887</f>
        <v>Pavlus</v>
      </c>
      <c r="B812" s="4" t="str">
        <f>Registered!A1887</f>
        <v>Megan</v>
      </c>
      <c r="C812" s="4" t="str">
        <f>IF(Registered!AR1887&gt;0,Registered!AR1887&amp;" Color Bags", "")</f>
        <v>30 Color Bags</v>
      </c>
      <c r="D812" s="4" t="str">
        <f>IF(Registered!AS1887&gt;0,(IF(Registered!AS1887=1,Registered!AS1887&amp;" T-Shirt",Registered!AS1887&amp;" T-Shirts")), "")</f>
        <v/>
      </c>
      <c r="E812" s="4" t="str">
        <f>Registered!AT1887</f>
        <v/>
      </c>
      <c r="F812" s="4" t="str">
        <f>Registered!AU1887</f>
        <v/>
      </c>
      <c r="G812" s="4" t="str">
        <f>Registered!AW1887</f>
        <v/>
      </c>
      <c r="H812" s="4" t="str">
        <f>Registered!AX1887</f>
        <v/>
      </c>
      <c r="I812" s="4" t="str">
        <f>Registered!AY1887</f>
        <v/>
      </c>
    </row>
    <row r="813" spans="1:9" x14ac:dyDescent="0.25">
      <c r="A813" s="4" t="str">
        <f>Registered!B1890</f>
        <v>Payne</v>
      </c>
      <c r="B813" s="4" t="str">
        <f>Registered!A1890</f>
        <v>Trent</v>
      </c>
      <c r="C813" s="4" t="str">
        <f>IF(Registered!AR1890&gt;0,Registered!AR1890&amp;" Color Bags", "")</f>
        <v>40 Color Bags</v>
      </c>
      <c r="D813" s="4" t="str">
        <f>IF(Registered!AS1890&gt;0,(IF(Registered!AS1890=1,Registered!AS1890&amp;" T-Shirt",Registered!AS1890&amp;" T-Shirts")), "")</f>
        <v/>
      </c>
      <c r="E813" s="4" t="str">
        <f>Registered!AT1890</f>
        <v/>
      </c>
      <c r="F813" s="4" t="str">
        <f>Registered!AU1890</f>
        <v/>
      </c>
      <c r="G813" s="4" t="str">
        <f>Registered!AW1890</f>
        <v/>
      </c>
      <c r="H813" s="4" t="str">
        <f>Registered!AX1890</f>
        <v/>
      </c>
      <c r="I813" s="4" t="str">
        <f>Registered!AY1890</f>
        <v/>
      </c>
    </row>
    <row r="814" spans="1:9" x14ac:dyDescent="0.25">
      <c r="A814" s="4" t="str">
        <f>Registered!B1891</f>
        <v>Peacock</v>
      </c>
      <c r="B814" s="4" t="str">
        <f>Registered!A1891</f>
        <v>Carolyn</v>
      </c>
      <c r="C814" s="4" t="str">
        <f>IF(Registered!AR1891&gt;0,Registered!AR1891&amp;" Color Bags", "")</f>
        <v>10 Color Bags</v>
      </c>
      <c r="D814" s="4" t="str">
        <f>IF(Registered!AS1891&gt;0,(IF(Registered!AS1891=1,Registered!AS1891&amp;" T-Shirt",Registered!AS1891&amp;" T-Shirts")), "")</f>
        <v>2 T-Shirts</v>
      </c>
      <c r="E814" s="4" t="str">
        <f>Registered!AT1891</f>
        <v>Large</v>
      </c>
      <c r="F814" s="4" t="str">
        <f>Registered!AU1891</f>
        <v/>
      </c>
      <c r="G814" s="4" t="str">
        <f>Registered!AW1891</f>
        <v>2 Meals</v>
      </c>
      <c r="H814" s="4" t="str">
        <f>Registered!AX1891</f>
        <v/>
      </c>
      <c r="I814" s="4" t="str">
        <f>Registered!AY1891</f>
        <v/>
      </c>
    </row>
    <row r="815" spans="1:9" x14ac:dyDescent="0.25">
      <c r="A815" s="4" t="str">
        <f>Registered!B1893</f>
        <v>Pearson</v>
      </c>
      <c r="B815" s="4" t="str">
        <f>Registered!A1893</f>
        <v>Jamie</v>
      </c>
      <c r="C815" s="4" t="str">
        <f>IF(Registered!AR1893&gt;0,Registered!AR1893&amp;" Color Bags", "")</f>
        <v>10 Color Bags</v>
      </c>
      <c r="D815" s="4" t="str">
        <f>IF(Registered!AS1893&gt;0,(IF(Registered!AS1893=1,Registered!AS1893&amp;" T-Shirt",Registered!AS1893&amp;" T-Shirts")), "")</f>
        <v/>
      </c>
      <c r="E815" s="4" t="str">
        <f>Registered!AT1893</f>
        <v/>
      </c>
      <c r="F815" s="4" t="str">
        <f>Registered!AU1893</f>
        <v/>
      </c>
      <c r="G815" s="4" t="str">
        <f>Registered!AW1893</f>
        <v/>
      </c>
      <c r="H815" s="4" t="str">
        <f>Registered!AX1893</f>
        <v/>
      </c>
      <c r="I815" s="4" t="str">
        <f>Registered!AY1893</f>
        <v/>
      </c>
    </row>
    <row r="816" spans="1:9" x14ac:dyDescent="0.25">
      <c r="A816" s="4" t="str">
        <f>Registered!B1894</f>
        <v>Pearson</v>
      </c>
      <c r="B816" s="4" t="str">
        <f>Registered!A1894</f>
        <v>Josh</v>
      </c>
      <c r="C816" s="4" t="str">
        <f>IF(Registered!AR1894&gt;0,Registered!AR1894&amp;" Color Bags", "")</f>
        <v>5 Color Bags</v>
      </c>
      <c r="D816" s="4" t="str">
        <f>IF(Registered!AS1894&gt;0,(IF(Registered!AS1894=1,Registered!AS1894&amp;" T-Shirt",Registered!AS1894&amp;" T-Shirts")), "")</f>
        <v/>
      </c>
      <c r="E816" s="4" t="str">
        <f>Registered!AT1894</f>
        <v/>
      </c>
      <c r="F816" s="4" t="str">
        <f>Registered!AU1894</f>
        <v/>
      </c>
      <c r="G816" s="4" t="str">
        <f>Registered!AW1894</f>
        <v/>
      </c>
      <c r="H816" s="4" t="str">
        <f>Registered!AX1894</f>
        <v/>
      </c>
      <c r="I816" s="4" t="str">
        <f>Registered!AY1894</f>
        <v/>
      </c>
    </row>
    <row r="817" spans="1:9" x14ac:dyDescent="0.25">
      <c r="A817" s="4" t="str">
        <f>Registered!B1897</f>
        <v>Peck</v>
      </c>
      <c r="B817" s="4" t="str">
        <f>Registered!A1897</f>
        <v>Jordan</v>
      </c>
      <c r="C817" s="4" t="str">
        <f>IF(Registered!AR1897&gt;0,Registered!AR1897&amp;" Color Bags", "")</f>
        <v>10 Color Bags</v>
      </c>
      <c r="D817" s="4" t="str">
        <f>IF(Registered!AS1897&gt;0,(IF(Registered!AS1897=1,Registered!AS1897&amp;" T-Shirt",Registered!AS1897&amp;" T-Shirts")), "")</f>
        <v/>
      </c>
      <c r="E817" s="4" t="str">
        <f>Registered!AT1897</f>
        <v/>
      </c>
      <c r="F817" s="4" t="str">
        <f>Registered!AU1897</f>
        <v>1 Bandana</v>
      </c>
      <c r="G817" s="4" t="str">
        <f>Registered!AW1897</f>
        <v/>
      </c>
      <c r="H817" s="4" t="str">
        <f>Registered!AX1897</f>
        <v>1 BG</v>
      </c>
      <c r="I817" s="4" t="str">
        <f>Registered!AY1897</f>
        <v/>
      </c>
    </row>
    <row r="818" spans="1:9" x14ac:dyDescent="0.25">
      <c r="A818" s="4" t="str">
        <f>Registered!B1906</f>
        <v>Perez</v>
      </c>
      <c r="B818" s="4" t="str">
        <f>Registered!A1906</f>
        <v>Susana</v>
      </c>
      <c r="C818" s="4" t="str">
        <f>IF(Registered!AR1906&gt;0,Registered!AR1906&amp;" Color Bags", "")</f>
        <v>20 Color Bags</v>
      </c>
      <c r="D818" s="4" t="str">
        <f>IF(Registered!AS1906&gt;0,(IF(Registered!AS1906=1,Registered!AS1906&amp;" T-Shirt",Registered!AS1906&amp;" T-Shirts")), "")</f>
        <v>3 T-Shirts</v>
      </c>
      <c r="E818" s="4" t="str">
        <f>Registered!AT1906</f>
        <v>2 Adult Large , 1 Adult Medium</v>
      </c>
      <c r="F818" s="4" t="str">
        <f>Registered!AU1906</f>
        <v/>
      </c>
      <c r="G818" s="4" t="str">
        <f>Registered!AW1906</f>
        <v>3 Meals</v>
      </c>
      <c r="H818" s="4" t="str">
        <f>Registered!AX1906</f>
        <v/>
      </c>
      <c r="I818" s="4" t="str">
        <f>Registered!AY1906</f>
        <v>1 DustMask</v>
      </c>
    </row>
    <row r="819" spans="1:9" x14ac:dyDescent="0.25">
      <c r="A819" s="4" t="str">
        <f>Registered!B1905</f>
        <v>Perez</v>
      </c>
      <c r="B819" s="4" t="str">
        <f>Registered!A1905</f>
        <v>Leona</v>
      </c>
      <c r="C819" s="4" t="str">
        <f>IF(Registered!AR1905&gt;0,Registered!AR1905&amp;" Color Bags", "")</f>
        <v>35 Color Bags</v>
      </c>
      <c r="D819" s="4" t="str">
        <f>IF(Registered!AS1905&gt;0,(IF(Registered!AS1905=1,Registered!AS1905&amp;" T-Shirt",Registered!AS1905&amp;" T-Shirts")), "")</f>
        <v>3 T-Shirts</v>
      </c>
      <c r="E819" s="4" t="str">
        <f>Registered!AT1905</f>
        <v>2 Mediums and 1 XL</v>
      </c>
      <c r="F819" s="4" t="str">
        <f>Registered!AU1905</f>
        <v/>
      </c>
      <c r="G819" s="4" t="str">
        <f>Registered!AW1905</f>
        <v>3 Meals</v>
      </c>
      <c r="H819" s="4" t="str">
        <f>Registered!AX1905</f>
        <v/>
      </c>
      <c r="I819" s="4" t="str">
        <f>Registered!AY1905</f>
        <v/>
      </c>
    </row>
    <row r="820" spans="1:9" x14ac:dyDescent="0.25">
      <c r="A820" s="4" t="str">
        <f>Registered!B1907</f>
        <v>Perkes</v>
      </c>
      <c r="B820" s="4" t="str">
        <f>Registered!A1907</f>
        <v>Melyssa</v>
      </c>
      <c r="C820" s="4" t="str">
        <f>IF(Registered!AR1907&gt;0,Registered!AR1907&amp;" Color Bags", "")</f>
        <v>5 Color Bags</v>
      </c>
      <c r="D820" s="4" t="str">
        <f>IF(Registered!AS1907&gt;0,(IF(Registered!AS1907=1,Registered!AS1907&amp;" T-Shirt",Registered!AS1907&amp;" T-Shirts")), "")</f>
        <v/>
      </c>
      <c r="E820" s="4" t="str">
        <f>Registered!AT1907</f>
        <v/>
      </c>
      <c r="F820" s="4" t="str">
        <f>Registered!AU1907</f>
        <v/>
      </c>
      <c r="G820" s="4" t="str">
        <f>Registered!AW1907</f>
        <v/>
      </c>
      <c r="H820" s="4" t="str">
        <f>Registered!AX1907</f>
        <v/>
      </c>
      <c r="I820" s="4" t="str">
        <f>Registered!AY1907</f>
        <v/>
      </c>
    </row>
    <row r="821" spans="1:9" x14ac:dyDescent="0.25">
      <c r="A821" s="4" t="str">
        <f>Registered!B1908</f>
        <v>Perkins</v>
      </c>
      <c r="B821" s="4" t="str">
        <f>Registered!A1908</f>
        <v>Anne</v>
      </c>
      <c r="C821" s="4" t="str">
        <f>IF(Registered!AR1908&gt;0,Registered!AR1908&amp;" Color Bags", "")</f>
        <v>5 Color Bags</v>
      </c>
      <c r="D821" s="4" t="str">
        <f>IF(Registered!AS1908&gt;0,(IF(Registered!AS1908=1,Registered!AS1908&amp;" T-Shirt",Registered!AS1908&amp;" T-Shirts")), "")</f>
        <v/>
      </c>
      <c r="E821" s="4" t="str">
        <f>Registered!AT1908</f>
        <v/>
      </c>
      <c r="F821" s="4" t="str">
        <f>Registered!AU1908</f>
        <v/>
      </c>
      <c r="G821" s="4" t="str">
        <f>Registered!AW1908</f>
        <v/>
      </c>
      <c r="H821" s="4" t="str">
        <f>Registered!AX1908</f>
        <v/>
      </c>
      <c r="I821" s="4" t="str">
        <f>Registered!AY1908</f>
        <v/>
      </c>
    </row>
    <row r="822" spans="1:9" x14ac:dyDescent="0.25">
      <c r="A822" s="4" t="str">
        <f>Registered!B1910</f>
        <v>Perkins</v>
      </c>
      <c r="B822" s="4" t="str">
        <f>Registered!A1910</f>
        <v>Jodi</v>
      </c>
      <c r="C822" s="4" t="str">
        <f>IF(Registered!AR1910&gt;0,Registered!AR1910&amp;" Color Bags", "")</f>
        <v>5 Color Bags</v>
      </c>
      <c r="D822" s="4" t="str">
        <f>IF(Registered!AS1910&gt;0,(IF(Registered!AS1910=1,Registered!AS1910&amp;" T-Shirt",Registered!AS1910&amp;" T-Shirts")), "")</f>
        <v/>
      </c>
      <c r="E822" s="4" t="str">
        <f>Registered!AT1910</f>
        <v/>
      </c>
      <c r="F822" s="4" t="str">
        <f>Registered!AU1910</f>
        <v/>
      </c>
      <c r="G822" s="4" t="str">
        <f>Registered!AW1910</f>
        <v/>
      </c>
      <c r="H822" s="4" t="str">
        <f>Registered!AX1910</f>
        <v/>
      </c>
      <c r="I822" s="4" t="str">
        <f>Registered!AY1910</f>
        <v/>
      </c>
    </row>
    <row r="823" spans="1:9" x14ac:dyDescent="0.25">
      <c r="A823" s="4" t="str">
        <f>Registered!B1913</f>
        <v>Perry</v>
      </c>
      <c r="B823" s="4" t="str">
        <f>Registered!A1913</f>
        <v>Joey</v>
      </c>
      <c r="C823" s="4" t="str">
        <f>IF(Registered!AR1913&gt;0,Registered!AR1913&amp;" Color Bags", "")</f>
        <v>10 Color Bags</v>
      </c>
      <c r="D823" s="4" t="str">
        <f>IF(Registered!AS1913&gt;0,(IF(Registered!AS1913=1,Registered!AS1913&amp;" T-Shirt",Registered!AS1913&amp;" T-Shirts")), "")</f>
        <v/>
      </c>
      <c r="E823" s="4" t="str">
        <f>Registered!AT1913</f>
        <v/>
      </c>
      <c r="F823" s="4" t="str">
        <f>Registered!AU1913</f>
        <v/>
      </c>
      <c r="G823" s="4" t="str">
        <f>Registered!AW1913</f>
        <v/>
      </c>
      <c r="H823" s="4" t="str">
        <f>Registered!AX1913</f>
        <v/>
      </c>
      <c r="I823" s="4" t="str">
        <f>Registered!AY1913</f>
        <v/>
      </c>
    </row>
    <row r="824" spans="1:9" x14ac:dyDescent="0.25">
      <c r="A824" s="4" t="str">
        <f>Registered!B1915</f>
        <v>Perryman</v>
      </c>
      <c r="B824" s="4" t="str">
        <f>Registered!A1915</f>
        <v>Shaelinn A.</v>
      </c>
      <c r="C824" s="4" t="str">
        <f>IF(Registered!AR1915&gt;0,Registered!AR1915&amp;" Color Bags", "")</f>
        <v>10 Color Bags</v>
      </c>
      <c r="D824" s="4" t="str">
        <f>IF(Registered!AS1915&gt;0,(IF(Registered!AS1915=1,Registered!AS1915&amp;" T-Shirt",Registered!AS1915&amp;" T-Shirts")), "")</f>
        <v/>
      </c>
      <c r="E824" s="4" t="str">
        <f>Registered!AT1915</f>
        <v/>
      </c>
      <c r="F824" s="4" t="str">
        <f>Registered!AU1915</f>
        <v/>
      </c>
      <c r="G824" s="4" t="str">
        <f>Registered!AW1915</f>
        <v/>
      </c>
      <c r="H824" s="4" t="str">
        <f>Registered!AX1915</f>
        <v/>
      </c>
      <c r="I824" s="4" t="str">
        <f>Registered!AY1915</f>
        <v/>
      </c>
    </row>
    <row r="825" spans="1:9" x14ac:dyDescent="0.25">
      <c r="A825" s="4" t="str">
        <f>Registered!B1916</f>
        <v>Peters</v>
      </c>
      <c r="B825" s="4" t="str">
        <f>Registered!A1916</f>
        <v>Aline</v>
      </c>
      <c r="C825" s="4" t="str">
        <f>IF(Registered!AR1916&gt;0,Registered!AR1916&amp;" Color Bags", "")</f>
        <v>5 Color Bags</v>
      </c>
      <c r="D825" s="4" t="str">
        <f>IF(Registered!AS1916&gt;0,(IF(Registered!AS1916=1,Registered!AS1916&amp;" T-Shirt",Registered!AS1916&amp;" T-Shirts")), "")</f>
        <v/>
      </c>
      <c r="E825" s="4" t="str">
        <f>Registered!AT1916</f>
        <v/>
      </c>
      <c r="F825" s="4" t="str">
        <f>Registered!AU1916</f>
        <v/>
      </c>
      <c r="G825" s="4" t="str">
        <f>Registered!AW1916</f>
        <v/>
      </c>
      <c r="H825" s="4" t="str">
        <f>Registered!AX1916</f>
        <v/>
      </c>
      <c r="I825" s="4" t="str">
        <f>Registered!AY1916</f>
        <v/>
      </c>
    </row>
    <row r="826" spans="1:9" x14ac:dyDescent="0.25">
      <c r="A826" s="4" t="str">
        <f>Registered!B1917</f>
        <v>Petersen</v>
      </c>
      <c r="B826" s="4" t="str">
        <f>Registered!A1917</f>
        <v>Dan</v>
      </c>
      <c r="C826" s="4" t="str">
        <f>IF(Registered!AR1917&gt;0,Registered!AR1917&amp;" Color Bags", "")</f>
        <v>25 Color Bags</v>
      </c>
      <c r="D826" s="4" t="str">
        <f>IF(Registered!AS1917&gt;0,(IF(Registered!AS1917=1,Registered!AS1917&amp;" T-Shirt",Registered!AS1917&amp;" T-Shirts")), "")</f>
        <v/>
      </c>
      <c r="E826" s="4" t="str">
        <f>Registered!AT1917</f>
        <v/>
      </c>
      <c r="F826" s="4" t="str">
        <f>Registered!AU1917</f>
        <v/>
      </c>
      <c r="G826" s="4" t="str">
        <f>Registered!AW1917</f>
        <v/>
      </c>
      <c r="H826" s="4" t="str">
        <f>Registered!AX1917</f>
        <v/>
      </c>
      <c r="I826" s="4" t="str">
        <f>Registered!AY1917</f>
        <v/>
      </c>
    </row>
    <row r="827" spans="1:9" x14ac:dyDescent="0.25">
      <c r="A827" s="4" t="str">
        <f>Registered!B1918</f>
        <v>Petersen</v>
      </c>
      <c r="B827" s="4" t="str">
        <f>Registered!A1918</f>
        <v>Jacob</v>
      </c>
      <c r="C827" s="4" t="str">
        <f>IF(Registered!AR1918&gt;0,Registered!AR1918&amp;" Color Bags", "")</f>
        <v>5 Color Bags</v>
      </c>
      <c r="D827" s="4" t="str">
        <f>IF(Registered!AS1918&gt;0,(IF(Registered!AS1918=1,Registered!AS1918&amp;" T-Shirt",Registered!AS1918&amp;" T-Shirts")), "")</f>
        <v/>
      </c>
      <c r="E827" s="4" t="str">
        <f>Registered!AT1918</f>
        <v/>
      </c>
      <c r="F827" s="4" t="str">
        <f>Registered!AU1918</f>
        <v/>
      </c>
      <c r="G827" s="4" t="str">
        <f>Registered!AW1918</f>
        <v/>
      </c>
      <c r="H827" s="4" t="str">
        <f>Registered!AX1918</f>
        <v/>
      </c>
      <c r="I827" s="4" t="str">
        <f>Registered!AY1918</f>
        <v/>
      </c>
    </row>
    <row r="828" spans="1:9" x14ac:dyDescent="0.25">
      <c r="A828" s="4" t="str">
        <f>Registered!B1921</f>
        <v>Peterson</v>
      </c>
      <c r="B828" s="4" t="str">
        <f>Registered!A1921</f>
        <v>Darren</v>
      </c>
      <c r="C828" s="4" t="str">
        <f>IF(Registered!AR1921&gt;0,Registered!AR1921&amp;" Color Bags", "")</f>
        <v>10 Color Bags</v>
      </c>
      <c r="D828" s="4" t="str">
        <f>IF(Registered!AS1921&gt;0,(IF(Registered!AS1921=1,Registered!AS1921&amp;" T-Shirt",Registered!AS1921&amp;" T-Shirts")), "")</f>
        <v/>
      </c>
      <c r="E828" s="4" t="str">
        <f>Registered!AT1921</f>
        <v/>
      </c>
      <c r="F828" s="4" t="str">
        <f>Registered!AU1921</f>
        <v/>
      </c>
      <c r="G828" s="4" t="str">
        <f>Registered!AW1921</f>
        <v/>
      </c>
      <c r="H828" s="4" t="str">
        <f>Registered!AX1921</f>
        <v/>
      </c>
      <c r="I828" s="4" t="str">
        <f>Registered!AY1921</f>
        <v/>
      </c>
    </row>
    <row r="829" spans="1:9" x14ac:dyDescent="0.25">
      <c r="A829" s="4" t="str">
        <f>Registered!B1927</f>
        <v>Peterson</v>
      </c>
      <c r="B829" s="4" t="str">
        <f>Registered!A1927</f>
        <v>Steven</v>
      </c>
      <c r="C829" s="4" t="str">
        <f>IF(Registered!AR1927&gt;0,Registered!AR1927&amp;" Color Bags", "")</f>
        <v>15 Color Bags</v>
      </c>
      <c r="D829" s="4" t="str">
        <f>IF(Registered!AS1927&gt;0,(IF(Registered!AS1927=1,Registered!AS1927&amp;" T-Shirt",Registered!AS1927&amp;" T-Shirts")), "")</f>
        <v/>
      </c>
      <c r="E829" s="4" t="str">
        <f>Registered!AT1927</f>
        <v/>
      </c>
      <c r="F829" s="4" t="str">
        <f>Registered!AU1927</f>
        <v/>
      </c>
      <c r="G829" s="4" t="str">
        <f>Registered!AW1927</f>
        <v/>
      </c>
      <c r="H829" s="4" t="str">
        <f>Registered!AX1927</f>
        <v/>
      </c>
      <c r="I829" s="4" t="str">
        <f>Registered!AY1927</f>
        <v/>
      </c>
    </row>
    <row r="830" spans="1:9" x14ac:dyDescent="0.25">
      <c r="A830" s="4" t="str">
        <f>Registered!B1920</f>
        <v>Peterson</v>
      </c>
      <c r="B830" s="4" t="str">
        <f>Registered!A1920</f>
        <v>Autum</v>
      </c>
      <c r="C830" s="4" t="str">
        <f>IF(Registered!AR1920&gt;0,Registered!AR1920&amp;" Color Bags", "")</f>
        <v>40 Color Bags</v>
      </c>
      <c r="D830" s="4" t="str">
        <f>IF(Registered!AS1920&gt;0,(IF(Registered!AS1920=1,Registered!AS1920&amp;" T-Shirt",Registered!AS1920&amp;" T-Shirts")), "")</f>
        <v/>
      </c>
      <c r="E830" s="4" t="str">
        <f>Registered!AT1920</f>
        <v/>
      </c>
      <c r="F830" s="4" t="str">
        <f>Registered!AU1920</f>
        <v/>
      </c>
      <c r="G830" s="4" t="str">
        <f>Registered!AW1920</f>
        <v/>
      </c>
      <c r="H830" s="4" t="str">
        <f>Registered!AX1920</f>
        <v/>
      </c>
      <c r="I830" s="4" t="str">
        <f>Registered!AY1920</f>
        <v/>
      </c>
    </row>
    <row r="831" spans="1:9" x14ac:dyDescent="0.25">
      <c r="A831" s="4" t="str">
        <f>Registered!B1924</f>
        <v>Peterson</v>
      </c>
      <c r="B831" s="4" t="str">
        <f>Registered!A1924</f>
        <v>Lacey</v>
      </c>
      <c r="C831" s="4" t="str">
        <f>IF(Registered!AR1924&gt;0,Registered!AR1924&amp;" Color Bags", "")</f>
        <v>5 Color Bags</v>
      </c>
      <c r="D831" s="4" t="str">
        <f>IF(Registered!AS1924&gt;0,(IF(Registered!AS1924=1,Registered!AS1924&amp;" T-Shirt",Registered!AS1924&amp;" T-Shirts")), "")</f>
        <v/>
      </c>
      <c r="E831" s="4" t="str">
        <f>Registered!AT1924</f>
        <v/>
      </c>
      <c r="F831" s="4" t="str">
        <f>Registered!AU1924</f>
        <v/>
      </c>
      <c r="G831" s="4" t="str">
        <f>Registered!AW1924</f>
        <v/>
      </c>
      <c r="H831" s="4" t="str">
        <f>Registered!AX1924</f>
        <v/>
      </c>
      <c r="I831" s="4" t="str">
        <f>Registered!AY1924</f>
        <v/>
      </c>
    </row>
    <row r="832" spans="1:9" x14ac:dyDescent="0.25">
      <c r="A832" s="4" t="str">
        <f>Registered!B1928</f>
        <v>Peterson</v>
      </c>
      <c r="B832" s="4" t="str">
        <f>Registered!A1928</f>
        <v>Tyler</v>
      </c>
      <c r="C832" s="4" t="str">
        <f>IF(Registered!AR1928&gt;0,Registered!AR1928&amp;" Color Bags", "")</f>
        <v>5 Color Bags</v>
      </c>
      <c r="D832" s="4" t="str">
        <f>IF(Registered!AS1928&gt;0,(IF(Registered!AS1928=1,Registered!AS1928&amp;" T-Shirt",Registered!AS1928&amp;" T-Shirts")), "")</f>
        <v/>
      </c>
      <c r="E832" s="4" t="str">
        <f>Registered!AT1928</f>
        <v/>
      </c>
      <c r="F832" s="4" t="str">
        <f>Registered!AU1928</f>
        <v/>
      </c>
      <c r="G832" s="4" t="str">
        <f>Registered!AW1928</f>
        <v/>
      </c>
      <c r="H832" s="4" t="str">
        <f>Registered!AX1928</f>
        <v/>
      </c>
      <c r="I832" s="4" t="str">
        <f>Registered!AY1928</f>
        <v/>
      </c>
    </row>
    <row r="833" spans="1:9" x14ac:dyDescent="0.25">
      <c r="A833" s="4" t="str">
        <f>Registered!B1931</f>
        <v>Pfeil</v>
      </c>
      <c r="B833" s="4" t="str">
        <f>Registered!A1931</f>
        <v>Amber</v>
      </c>
      <c r="C833" s="4" t="str">
        <f>IF(Registered!AR1931&gt;0,Registered!AR1931&amp;" Color Bags", "")</f>
        <v>30 Color Bags</v>
      </c>
      <c r="D833" s="4" t="str">
        <f>IF(Registered!AS1931&gt;0,(IF(Registered!AS1931=1,Registered!AS1931&amp;" T-Shirt",Registered!AS1931&amp;" T-Shirts")), "")</f>
        <v/>
      </c>
      <c r="E833" s="4" t="str">
        <f>Registered!AT1931</f>
        <v/>
      </c>
      <c r="F833" s="4" t="str">
        <f>Registered!AU1931</f>
        <v/>
      </c>
      <c r="G833" s="4" t="str">
        <f>Registered!AW1931</f>
        <v/>
      </c>
      <c r="H833" s="4" t="str">
        <f>Registered!AX1931</f>
        <v/>
      </c>
      <c r="I833" s="4" t="str">
        <f>Registered!AY1931</f>
        <v/>
      </c>
    </row>
    <row r="834" spans="1:9" x14ac:dyDescent="0.25">
      <c r="A834" s="4" t="str">
        <f>Registered!B1935</f>
        <v>Pham</v>
      </c>
      <c r="B834" s="4" t="str">
        <f>Registered!A1935</f>
        <v>Kimberly</v>
      </c>
      <c r="C834" s="4" t="str">
        <f>IF(Registered!AR1935&gt;0,Registered!AR1935&amp;" Color Bags", "")</f>
        <v>20 Color Bags</v>
      </c>
      <c r="D834" s="4" t="str">
        <f>IF(Registered!AS1935&gt;0,(IF(Registered!AS1935=1,Registered!AS1935&amp;" T-Shirt",Registered!AS1935&amp;" T-Shirts")), "")</f>
        <v/>
      </c>
      <c r="E834" s="4" t="str">
        <f>Registered!AT1935</f>
        <v/>
      </c>
      <c r="F834" s="4" t="str">
        <f>Registered!AU1935</f>
        <v/>
      </c>
      <c r="G834" s="4" t="str">
        <f>Registered!AW1935</f>
        <v/>
      </c>
      <c r="H834" s="4" t="str">
        <f>Registered!AX1935</f>
        <v/>
      </c>
      <c r="I834" s="4" t="str">
        <f>Registered!AY1935</f>
        <v/>
      </c>
    </row>
    <row r="835" spans="1:9" x14ac:dyDescent="0.25">
      <c r="A835" s="4" t="str">
        <f>Registered!B1936</f>
        <v>Phillips</v>
      </c>
      <c r="B835" s="4" t="str">
        <f>Registered!A1936</f>
        <v>Diana</v>
      </c>
      <c r="C835" s="4" t="str">
        <f>IF(Registered!AR1936&gt;0,Registered!AR1936&amp;" Color Bags", "")</f>
        <v>5 Color Bags</v>
      </c>
      <c r="D835" s="4" t="str">
        <f>IF(Registered!AS1936&gt;0,(IF(Registered!AS1936=1,Registered!AS1936&amp;" T-Shirt",Registered!AS1936&amp;" T-Shirts")), "")</f>
        <v>1 T-Shirt</v>
      </c>
      <c r="E835" s="4" t="str">
        <f>Registered!AT1936</f>
        <v>Large</v>
      </c>
      <c r="F835" s="4" t="str">
        <f>Registered!AU1936</f>
        <v/>
      </c>
      <c r="G835" s="4" t="str">
        <f>Registered!AW1936</f>
        <v>1 Meal</v>
      </c>
      <c r="H835" s="4" t="str">
        <f>Registered!AX1936</f>
        <v/>
      </c>
      <c r="I835" s="4" t="str">
        <f>Registered!AY1936</f>
        <v/>
      </c>
    </row>
    <row r="836" spans="1:9" x14ac:dyDescent="0.25">
      <c r="A836" s="4" t="str">
        <f>Registered!B1938</f>
        <v>Phim</v>
      </c>
      <c r="B836" s="4" t="str">
        <f>Registered!A1938</f>
        <v>Tammy</v>
      </c>
      <c r="C836" s="4" t="str">
        <f>IF(Registered!AR1938&gt;0,Registered!AR1938&amp;" Color Bags", "")</f>
        <v>10 Color Bags</v>
      </c>
      <c r="D836" s="4" t="str">
        <f>IF(Registered!AS1938&gt;0,(IF(Registered!AS1938=1,Registered!AS1938&amp;" T-Shirt",Registered!AS1938&amp;" T-Shirts")), "")</f>
        <v/>
      </c>
      <c r="E836" s="4" t="str">
        <f>Registered!AT1938</f>
        <v/>
      </c>
      <c r="F836" s="4" t="str">
        <f>Registered!AU1938</f>
        <v>4 Bandanas</v>
      </c>
      <c r="G836" s="4" t="str">
        <f>Registered!AW1938</f>
        <v/>
      </c>
      <c r="H836" s="4" t="str">
        <f>Registered!AX1938</f>
        <v/>
      </c>
      <c r="I836" s="4" t="str">
        <f>Registered!AY1938</f>
        <v/>
      </c>
    </row>
    <row r="837" spans="1:9" x14ac:dyDescent="0.25">
      <c r="A837" s="4" t="str">
        <f>Registered!B1940</f>
        <v>Pickard</v>
      </c>
      <c r="B837" s="4" t="str">
        <f>Registered!A1940</f>
        <v>Sierra</v>
      </c>
      <c r="C837" s="4" t="str">
        <f>IF(Registered!AR1940&gt;0,Registered!AR1940&amp;" Color Bags", "")</f>
        <v>15 Color Bags</v>
      </c>
      <c r="D837" s="4" t="str">
        <f>IF(Registered!AS1940&gt;0,(IF(Registered!AS1940=1,Registered!AS1940&amp;" T-Shirt",Registered!AS1940&amp;" T-Shirts")), "")</f>
        <v/>
      </c>
      <c r="E837" s="4" t="str">
        <f>Registered!AT1940</f>
        <v/>
      </c>
      <c r="F837" s="4" t="str">
        <f>Registered!AU1940</f>
        <v/>
      </c>
      <c r="G837" s="4" t="str">
        <f>Registered!AW1940</f>
        <v/>
      </c>
      <c r="H837" s="4" t="str">
        <f>Registered!AX1940</f>
        <v/>
      </c>
      <c r="I837" s="4" t="str">
        <f>Registered!AY1940</f>
        <v/>
      </c>
    </row>
    <row r="838" spans="1:9" x14ac:dyDescent="0.25">
      <c r="A838" s="4" t="str">
        <f>Registered!B1944</f>
        <v>Pientka</v>
      </c>
      <c r="B838" s="4" t="str">
        <f>Registered!A1944</f>
        <v>Michelle</v>
      </c>
      <c r="C838" s="4" t="str">
        <f>IF(Registered!AR1944&gt;0,Registered!AR1944&amp;" Color Bags", "")</f>
        <v>10 Color Bags</v>
      </c>
      <c r="D838" s="4" t="str">
        <f>IF(Registered!AS1944&gt;0,(IF(Registered!AS1944=1,Registered!AS1944&amp;" T-Shirt",Registered!AS1944&amp;" T-Shirts")), "")</f>
        <v/>
      </c>
      <c r="E838" s="4" t="str">
        <f>Registered!AT1944</f>
        <v/>
      </c>
      <c r="F838" s="4" t="str">
        <f>Registered!AU1944</f>
        <v/>
      </c>
      <c r="G838" s="4" t="str">
        <f>Registered!AW1944</f>
        <v/>
      </c>
      <c r="H838" s="4" t="str">
        <f>Registered!AX1944</f>
        <v/>
      </c>
      <c r="I838" s="4" t="str">
        <f>Registered!AY1944</f>
        <v/>
      </c>
    </row>
    <row r="839" spans="1:9" x14ac:dyDescent="0.25">
      <c r="A839" s="4" t="str">
        <f>Registered!B1947</f>
        <v>Pierson</v>
      </c>
      <c r="B839" s="4" t="str">
        <f>Registered!A1947</f>
        <v>Connor</v>
      </c>
      <c r="C839" s="4" t="str">
        <f>IF(Registered!AR1947&gt;0,Registered!AR1947&amp;" Color Bags", "")</f>
        <v>10 Color Bags</v>
      </c>
      <c r="D839" s="4" t="str">
        <f>IF(Registered!AS1947&gt;0,(IF(Registered!AS1947=1,Registered!AS1947&amp;" T-Shirt",Registered!AS1947&amp;" T-Shirts")), "")</f>
        <v/>
      </c>
      <c r="E839" s="4" t="str">
        <f>Registered!AT1947</f>
        <v/>
      </c>
      <c r="F839" s="4" t="str">
        <f>Registered!AU1947</f>
        <v/>
      </c>
      <c r="G839" s="4" t="str">
        <f>Registered!AW1947</f>
        <v>1 Meal</v>
      </c>
      <c r="H839" s="4" t="str">
        <f>Registered!AX1947</f>
        <v/>
      </c>
      <c r="I839" s="4" t="str">
        <f>Registered!AY1947</f>
        <v/>
      </c>
    </row>
    <row r="840" spans="1:9" x14ac:dyDescent="0.25">
      <c r="A840" s="4" t="str">
        <f>Registered!B1951</f>
        <v>Pietszak</v>
      </c>
      <c r="B840" s="4" t="str">
        <f>Registered!A1951</f>
        <v>Henry</v>
      </c>
      <c r="C840" s="4" t="str">
        <f>IF(Registered!AR1951&gt;0,Registered!AR1951&amp;" Color Bags", "")</f>
        <v>10 Color Bags</v>
      </c>
      <c r="D840" s="4" t="str">
        <f>IF(Registered!AS1951&gt;0,(IF(Registered!AS1951=1,Registered!AS1951&amp;" T-Shirt",Registered!AS1951&amp;" T-Shirts")), "")</f>
        <v/>
      </c>
      <c r="E840" s="4" t="str">
        <f>Registered!AT1951</f>
        <v/>
      </c>
      <c r="F840" s="4" t="str">
        <f>Registered!AU1951</f>
        <v/>
      </c>
      <c r="G840" s="4" t="str">
        <f>Registered!AW1951</f>
        <v/>
      </c>
      <c r="H840" s="4" t="str">
        <f>Registered!AX1951</f>
        <v/>
      </c>
      <c r="I840" s="4" t="str">
        <f>Registered!AY1951</f>
        <v/>
      </c>
    </row>
    <row r="841" spans="1:9" x14ac:dyDescent="0.25">
      <c r="A841" s="4" t="str">
        <f>Registered!B1955</f>
        <v>Pitts</v>
      </c>
      <c r="B841" s="4" t="str">
        <f>Registered!A1955</f>
        <v>Debra</v>
      </c>
      <c r="C841" s="4" t="str">
        <f>IF(Registered!AR1955&gt;0,Registered!AR1955&amp;" Color Bags", "")</f>
        <v>5 Color Bags</v>
      </c>
      <c r="D841" s="4" t="str">
        <f>IF(Registered!AS1955&gt;0,(IF(Registered!AS1955=1,Registered!AS1955&amp;" T-Shirt",Registered!AS1955&amp;" T-Shirts")), "")</f>
        <v>1 T-Shirt</v>
      </c>
      <c r="E841" s="4" t="str">
        <f>Registered!AT1955</f>
        <v>XXXL</v>
      </c>
      <c r="F841" s="4" t="str">
        <f>Registered!AU1955</f>
        <v/>
      </c>
      <c r="G841" s="4" t="str">
        <f>Registered!AW1955</f>
        <v>1 Meal</v>
      </c>
      <c r="H841" s="4" t="str">
        <f>Registered!AX1955</f>
        <v/>
      </c>
      <c r="I841" s="4" t="str">
        <f>Registered!AY1955</f>
        <v/>
      </c>
    </row>
    <row r="842" spans="1:9" x14ac:dyDescent="0.25">
      <c r="A842" s="4" t="str">
        <f>Registered!B1957</f>
        <v>Player</v>
      </c>
      <c r="B842" s="4" t="str">
        <f>Registered!A1957</f>
        <v>Robyn</v>
      </c>
      <c r="C842" s="4" t="str">
        <f>IF(Registered!AR1957&gt;0,Registered!AR1957&amp;" Color Bags", "")</f>
        <v>5 Color Bags</v>
      </c>
      <c r="D842" s="4" t="str">
        <f>IF(Registered!AS1957&gt;0,(IF(Registered!AS1957=1,Registered!AS1957&amp;" T-Shirt",Registered!AS1957&amp;" T-Shirts")), "")</f>
        <v/>
      </c>
      <c r="E842" s="4" t="str">
        <f>Registered!AT1957</f>
        <v/>
      </c>
      <c r="F842" s="4" t="str">
        <f>Registered!AU1957</f>
        <v/>
      </c>
      <c r="G842" s="4" t="str">
        <f>Registered!AW1957</f>
        <v/>
      </c>
      <c r="H842" s="4" t="str">
        <f>Registered!AX1957</f>
        <v/>
      </c>
      <c r="I842" s="4" t="str">
        <f>Registered!AY1957</f>
        <v/>
      </c>
    </row>
    <row r="843" spans="1:9" x14ac:dyDescent="0.25">
      <c r="A843" s="4" t="str">
        <f>Registered!B1958</f>
        <v>Plowman</v>
      </c>
      <c r="B843" s="4" t="str">
        <f>Registered!A1958</f>
        <v>Makinsey</v>
      </c>
      <c r="C843" s="4" t="str">
        <f>IF(Registered!AR1958&gt;0,Registered!AR1958&amp;" Color Bags", "")</f>
        <v>5 Color Bags</v>
      </c>
      <c r="D843" s="4" t="str">
        <f>IF(Registered!AS1958&gt;0,(IF(Registered!AS1958=1,Registered!AS1958&amp;" T-Shirt",Registered!AS1958&amp;" T-Shirts")), "")</f>
        <v/>
      </c>
      <c r="E843" s="4" t="str">
        <f>Registered!AT1958</f>
        <v/>
      </c>
      <c r="F843" s="4" t="str">
        <f>Registered!AU1958</f>
        <v/>
      </c>
      <c r="G843" s="4" t="str">
        <f>Registered!AW1958</f>
        <v/>
      </c>
      <c r="H843" s="4" t="str">
        <f>Registered!AX1958</f>
        <v/>
      </c>
      <c r="I843" s="4" t="str">
        <f>Registered!AY1958</f>
        <v/>
      </c>
    </row>
    <row r="844" spans="1:9" x14ac:dyDescent="0.25">
      <c r="A844" s="4" t="str">
        <f>Registered!B1959</f>
        <v>Plummer</v>
      </c>
      <c r="B844" s="4" t="str">
        <f>Registered!A1959</f>
        <v>Nathan</v>
      </c>
      <c r="C844" s="4" t="str">
        <f>IF(Registered!AR1959&gt;0,Registered!AR1959&amp;" Color Bags", "")</f>
        <v>5 Color Bags</v>
      </c>
      <c r="D844" s="4" t="str">
        <f>IF(Registered!AS1959&gt;0,(IF(Registered!AS1959=1,Registered!AS1959&amp;" T-Shirt",Registered!AS1959&amp;" T-Shirts")), "")</f>
        <v>1 T-Shirt</v>
      </c>
      <c r="E844" s="4" t="str">
        <f>Registered!AT1959</f>
        <v>Size Not Specified</v>
      </c>
      <c r="F844" s="4" t="str">
        <f>Registered!AU1959</f>
        <v/>
      </c>
      <c r="G844" s="4" t="str">
        <f>Registered!AW1959</f>
        <v>1 Meal</v>
      </c>
      <c r="H844" s="4" t="str">
        <f>Registered!AX1959</f>
        <v/>
      </c>
      <c r="I844" s="4" t="str">
        <f>Registered!AY1959</f>
        <v/>
      </c>
    </row>
    <row r="845" spans="1:9" x14ac:dyDescent="0.25">
      <c r="A845" s="4" t="str">
        <f>Registered!B1960</f>
        <v>Plummer</v>
      </c>
      <c r="B845" s="4" t="str">
        <f>Registered!A1960</f>
        <v>Rian</v>
      </c>
      <c r="C845" s="4" t="str">
        <f>IF(Registered!AR1960&gt;0,Registered!AR1960&amp;" Color Bags", "")</f>
        <v>5 Color Bags</v>
      </c>
      <c r="D845" s="4" t="str">
        <f>IF(Registered!AS1960&gt;0,(IF(Registered!AS1960=1,Registered!AS1960&amp;" T-Shirt",Registered!AS1960&amp;" T-Shirts")), "")</f>
        <v/>
      </c>
      <c r="E845" s="4" t="str">
        <f>Registered!AT1960</f>
        <v/>
      </c>
      <c r="F845" s="4" t="str">
        <f>Registered!AU1960</f>
        <v/>
      </c>
      <c r="G845" s="4" t="str">
        <f>Registered!AW1960</f>
        <v/>
      </c>
      <c r="H845" s="4" t="str">
        <f>Registered!AX1960</f>
        <v/>
      </c>
      <c r="I845" s="4" t="str">
        <f>Registered!AY1960</f>
        <v/>
      </c>
    </row>
    <row r="846" spans="1:9" x14ac:dyDescent="0.25">
      <c r="A846" s="4" t="str">
        <f>Registered!B1962</f>
        <v>Polasek</v>
      </c>
      <c r="B846" s="4" t="str">
        <f>Registered!A1962</f>
        <v>Staci</v>
      </c>
      <c r="C846" s="4" t="str">
        <f>IF(Registered!AR1962&gt;0,Registered!AR1962&amp;" Color Bags", "")</f>
        <v>5 Color Bags</v>
      </c>
      <c r="D846" s="4" t="str">
        <f>IF(Registered!AS1962&gt;0,(IF(Registered!AS1962=1,Registered!AS1962&amp;" T-Shirt",Registered!AS1962&amp;" T-Shirts")), "")</f>
        <v>1 T-Shirt</v>
      </c>
      <c r="E846" s="4" t="str">
        <f>Registered!AT1962</f>
        <v>MEDIUM</v>
      </c>
      <c r="F846" s="4" t="str">
        <f>Registered!AU1962</f>
        <v/>
      </c>
      <c r="G846" s="4" t="str">
        <f>Registered!AW1962</f>
        <v>1 Meal</v>
      </c>
      <c r="H846" s="4" t="str">
        <f>Registered!AX1962</f>
        <v/>
      </c>
      <c r="I846" s="4" t="str">
        <f>Registered!AY1962</f>
        <v/>
      </c>
    </row>
    <row r="847" spans="1:9" x14ac:dyDescent="0.25">
      <c r="A847" s="4" t="str">
        <f>Registered!B1966</f>
        <v>Pollock</v>
      </c>
      <c r="B847" s="4" t="str">
        <f>Registered!A1966</f>
        <v>Nick</v>
      </c>
      <c r="C847" s="4" t="str">
        <f>IF(Registered!AR1966&gt;0,Registered!AR1966&amp;" Color Bags", "")</f>
        <v>10 Color Bags</v>
      </c>
      <c r="D847" s="4" t="str">
        <f>IF(Registered!AS1966&gt;0,(IF(Registered!AS1966=1,Registered!AS1966&amp;" T-Shirt",Registered!AS1966&amp;" T-Shirts")), "")</f>
        <v/>
      </c>
      <c r="E847" s="4" t="str">
        <f>Registered!AT1966</f>
        <v/>
      </c>
      <c r="F847" s="4" t="str">
        <f>Registered!AU1966</f>
        <v/>
      </c>
      <c r="G847" s="4" t="str">
        <f>Registered!AW1966</f>
        <v/>
      </c>
      <c r="H847" s="4" t="str">
        <f>Registered!AX1966</f>
        <v/>
      </c>
      <c r="I847" s="4" t="str">
        <f>Registered!AY1966</f>
        <v/>
      </c>
    </row>
    <row r="848" spans="1:9" x14ac:dyDescent="0.25">
      <c r="A848" s="4" t="str">
        <f>Registered!B1967</f>
        <v>Pond</v>
      </c>
      <c r="B848" s="4" t="str">
        <f>Registered!A1967</f>
        <v>Chealsy</v>
      </c>
      <c r="C848" s="4" t="str">
        <f>IF(Registered!AR1967&gt;0,Registered!AR1967&amp;" Color Bags", "")</f>
        <v>10 Color Bags</v>
      </c>
      <c r="D848" s="4" t="str">
        <f>IF(Registered!AS1967&gt;0,(IF(Registered!AS1967=1,Registered!AS1967&amp;" T-Shirt",Registered!AS1967&amp;" T-Shirts")), "")</f>
        <v/>
      </c>
      <c r="E848" s="4" t="str">
        <f>Registered!AT1967</f>
        <v/>
      </c>
      <c r="F848" s="4" t="str">
        <f>Registered!AU1967</f>
        <v/>
      </c>
      <c r="G848" s="4" t="str">
        <f>Registered!AW1967</f>
        <v/>
      </c>
      <c r="H848" s="4" t="str">
        <f>Registered!AX1967</f>
        <v/>
      </c>
      <c r="I848" s="4" t="str">
        <f>Registered!AY1967</f>
        <v/>
      </c>
    </row>
    <row r="849" spans="1:9" x14ac:dyDescent="0.25">
      <c r="A849" s="4" t="str">
        <f>Registered!B1979</f>
        <v>POnd</v>
      </c>
      <c r="B849" s="4" t="str">
        <f>Registered!A1979</f>
        <v>Jamie</v>
      </c>
      <c r="C849" s="4" t="str">
        <f>IF(Registered!AR1979&gt;0,Registered!AR1979&amp;" Color Bags", "")</f>
        <v>10 Color Bags</v>
      </c>
      <c r="D849" s="4" t="str">
        <f>IF(Registered!AS1979&gt;0,(IF(Registered!AS1979=1,Registered!AS1979&amp;" T-Shirt",Registered!AS1979&amp;" T-Shirts")), "")</f>
        <v/>
      </c>
      <c r="E849" s="4" t="str">
        <f>Registered!AT1979</f>
        <v/>
      </c>
      <c r="F849" s="4" t="str">
        <f>Registered!AU1979</f>
        <v/>
      </c>
      <c r="G849" s="4" t="str">
        <f>Registered!AW1979</f>
        <v/>
      </c>
      <c r="H849" s="4" t="str">
        <f>Registered!AX1979</f>
        <v/>
      </c>
      <c r="I849" s="4" t="str">
        <f>Registered!AY1979</f>
        <v/>
      </c>
    </row>
    <row r="850" spans="1:9" x14ac:dyDescent="0.25">
      <c r="A850" s="4" t="str">
        <f>Registered!B1969</f>
        <v>Pope</v>
      </c>
      <c r="B850" s="4" t="str">
        <f>Registered!A1969</f>
        <v>Rachael</v>
      </c>
      <c r="C850" s="4" t="str">
        <f>IF(Registered!AR1969&gt;0,Registered!AR1969&amp;" Color Bags", "")</f>
        <v>10 Color Bags</v>
      </c>
      <c r="D850" s="4" t="str">
        <f>IF(Registered!AS1969&gt;0,(IF(Registered!AS1969=1,Registered!AS1969&amp;" T-Shirt",Registered!AS1969&amp;" T-Shirts")), "")</f>
        <v/>
      </c>
      <c r="E850" s="4" t="str">
        <f>Registered!AT1969</f>
        <v/>
      </c>
      <c r="F850" s="4" t="str">
        <f>Registered!AU1969</f>
        <v/>
      </c>
      <c r="G850" s="4" t="str">
        <f>Registered!AW1969</f>
        <v/>
      </c>
      <c r="H850" s="4" t="str">
        <f>Registered!AX1969</f>
        <v/>
      </c>
      <c r="I850" s="4" t="str">
        <f>Registered!AY1969</f>
        <v/>
      </c>
    </row>
    <row r="851" spans="1:9" x14ac:dyDescent="0.25">
      <c r="A851" s="4" t="str">
        <f>Registered!B1973</f>
        <v>Posada</v>
      </c>
      <c r="B851" s="4" t="str">
        <f>Registered!A1973</f>
        <v>Carlos</v>
      </c>
      <c r="C851" s="4" t="str">
        <f>IF(Registered!AR1973&gt;0,Registered!AR1973&amp;" Color Bags", "")</f>
        <v>5 Color Bags</v>
      </c>
      <c r="D851" s="4" t="str">
        <f>IF(Registered!AS1973&gt;0,(IF(Registered!AS1973=1,Registered!AS1973&amp;" T-Shirt",Registered!AS1973&amp;" T-Shirts")), "")</f>
        <v>1 T-Shirt</v>
      </c>
      <c r="E851" s="4" t="str">
        <f>Registered!AT1973</f>
        <v>medium</v>
      </c>
      <c r="F851" s="4" t="str">
        <f>Registered!AU1973</f>
        <v/>
      </c>
      <c r="G851" s="4" t="str">
        <f>Registered!AW1973</f>
        <v>1 Meal</v>
      </c>
      <c r="H851" s="4" t="str">
        <f>Registered!AX1973</f>
        <v/>
      </c>
      <c r="I851" s="4" t="str">
        <f>Registered!AY1973</f>
        <v/>
      </c>
    </row>
    <row r="852" spans="1:9" x14ac:dyDescent="0.25">
      <c r="A852" s="4" t="str">
        <f>Registered!B1975</f>
        <v>Potter</v>
      </c>
      <c r="B852" s="4" t="str">
        <f>Registered!A1975</f>
        <v>Michael</v>
      </c>
      <c r="C852" s="4" t="str">
        <f>IF(Registered!AR1975&gt;0,Registered!AR1975&amp;" Color Bags", "")</f>
        <v/>
      </c>
      <c r="D852" s="4" t="str">
        <f>IF(Registered!AS1975&gt;0,(IF(Registered!AS1975=1,Registered!AS1975&amp;" T-Shirt",Registered!AS1975&amp;" T-Shirts")), "")</f>
        <v>1 T-Shirt</v>
      </c>
      <c r="E852" s="4" t="str">
        <f>Registered!AT1975</f>
        <v>Adult Medium</v>
      </c>
      <c r="F852" s="4" t="str">
        <f>Registered!AU1975</f>
        <v/>
      </c>
      <c r="G852" s="4" t="str">
        <f>Registered!AW1975</f>
        <v/>
      </c>
      <c r="H852" s="4" t="str">
        <f>Registered!AX1975</f>
        <v/>
      </c>
      <c r="I852" s="4" t="str">
        <f>Registered!AY1975</f>
        <v>1 DustMask</v>
      </c>
    </row>
    <row r="853" spans="1:9" x14ac:dyDescent="0.25">
      <c r="A853" s="4" t="str">
        <f>Registered!B1981</f>
        <v>Prajapati</v>
      </c>
      <c r="B853" s="4" t="str">
        <f>Registered!A1981</f>
        <v>Hina</v>
      </c>
      <c r="C853" s="4" t="str">
        <f>IF(Registered!AR1981&gt;0,Registered!AR1981&amp;" Color Bags", "")</f>
        <v>5 Color Bags</v>
      </c>
      <c r="D853" s="4" t="str">
        <f>IF(Registered!AS1981&gt;0,(IF(Registered!AS1981=1,Registered!AS1981&amp;" T-Shirt",Registered!AS1981&amp;" T-Shirts")), "")</f>
        <v/>
      </c>
      <c r="E853" s="4" t="str">
        <f>Registered!AT1981</f>
        <v/>
      </c>
      <c r="F853" s="4" t="str">
        <f>Registered!AU1981</f>
        <v/>
      </c>
      <c r="G853" s="4" t="str">
        <f>Registered!AW1981</f>
        <v>2 Meals</v>
      </c>
      <c r="H853" s="4" t="str">
        <f>Registered!AX1981</f>
        <v/>
      </c>
      <c r="I853" s="4" t="str">
        <f>Registered!AY1981</f>
        <v/>
      </c>
    </row>
    <row r="854" spans="1:9" x14ac:dyDescent="0.25">
      <c r="A854" s="4" t="str">
        <f>Registered!B1984</f>
        <v>Price</v>
      </c>
      <c r="B854" s="4" t="str">
        <f>Registered!A1984</f>
        <v>Brandi</v>
      </c>
      <c r="C854" s="4" t="str">
        <f>IF(Registered!AR1984&gt;0,Registered!AR1984&amp;" Color Bags", "")</f>
        <v>10 Color Bags</v>
      </c>
      <c r="D854" s="4" t="str">
        <f>IF(Registered!AS1984&gt;0,(IF(Registered!AS1984=1,Registered!AS1984&amp;" T-Shirt",Registered!AS1984&amp;" T-Shirts")), "")</f>
        <v/>
      </c>
      <c r="E854" s="4" t="str">
        <f>Registered!AT1984</f>
        <v/>
      </c>
      <c r="F854" s="4" t="str">
        <f>Registered!AU1984</f>
        <v/>
      </c>
      <c r="G854" s="4" t="str">
        <f>Registered!AW1984</f>
        <v/>
      </c>
      <c r="H854" s="4" t="str">
        <f>Registered!AX1984</f>
        <v/>
      </c>
      <c r="I854" s="4" t="str">
        <f>Registered!AY1984</f>
        <v/>
      </c>
    </row>
    <row r="855" spans="1:9" x14ac:dyDescent="0.25">
      <c r="A855" s="4" t="str">
        <f>Registered!B1986</f>
        <v>Price</v>
      </c>
      <c r="B855" s="4" t="str">
        <f>Registered!A1986</f>
        <v>Kevin</v>
      </c>
      <c r="C855" s="4" t="str">
        <f>IF(Registered!AR1986&gt;0,Registered!AR1986&amp;" Color Bags", "")</f>
        <v>10 Color Bags</v>
      </c>
      <c r="D855" s="4" t="str">
        <f>IF(Registered!AS1986&gt;0,(IF(Registered!AS1986=1,Registered!AS1986&amp;" T-Shirt",Registered!AS1986&amp;" T-Shirts")), "")</f>
        <v/>
      </c>
      <c r="E855" s="4" t="str">
        <f>Registered!AT1986</f>
        <v/>
      </c>
      <c r="F855" s="4" t="str">
        <f>Registered!AU1986</f>
        <v/>
      </c>
      <c r="G855" s="4" t="str">
        <f>Registered!AW1986</f>
        <v/>
      </c>
      <c r="H855" s="4" t="str">
        <f>Registered!AX1986</f>
        <v/>
      </c>
      <c r="I855" s="4" t="str">
        <f>Registered!AY1986</f>
        <v/>
      </c>
    </row>
    <row r="856" spans="1:9" x14ac:dyDescent="0.25">
      <c r="A856" s="4" t="str">
        <f>Registered!B1985</f>
        <v>Price</v>
      </c>
      <c r="B856" s="4" t="str">
        <f>Registered!A1985</f>
        <v>Emily</v>
      </c>
      <c r="C856" s="4" t="str">
        <f>IF(Registered!AR1985&gt;0,Registered!AR1985&amp;" Color Bags", "")</f>
        <v>15 Color Bags</v>
      </c>
      <c r="D856" s="4" t="str">
        <f>IF(Registered!AS1985&gt;0,(IF(Registered!AS1985=1,Registered!AS1985&amp;" T-Shirt",Registered!AS1985&amp;" T-Shirts")), "")</f>
        <v>3 T-Shirts</v>
      </c>
      <c r="E856" s="4" t="str">
        <f>Registered!AT1985</f>
        <v>Large, large, and medium</v>
      </c>
      <c r="F856" s="4" t="str">
        <f>Registered!AU1985</f>
        <v/>
      </c>
      <c r="G856" s="4" t="str">
        <f>Registered!AW1985</f>
        <v>3 Meals</v>
      </c>
      <c r="H856" s="4" t="str">
        <f>Registered!AX1985</f>
        <v/>
      </c>
      <c r="I856" s="4" t="str">
        <f>Registered!AY1985</f>
        <v/>
      </c>
    </row>
    <row r="857" spans="1:9" x14ac:dyDescent="0.25">
      <c r="A857" s="4" t="str">
        <f>Registered!B1983</f>
        <v>Price</v>
      </c>
      <c r="B857" s="4" t="str">
        <f>Registered!A1983</f>
        <v>Bo</v>
      </c>
      <c r="C857" s="4" t="str">
        <f>IF(Registered!AR1983&gt;0,Registered!AR1983&amp;" Color Bags", "")</f>
        <v>20 Color Bags</v>
      </c>
      <c r="D857" s="4" t="str">
        <f>IF(Registered!AS1983&gt;0,(IF(Registered!AS1983=1,Registered!AS1983&amp;" T-Shirt",Registered!AS1983&amp;" T-Shirts")), "")</f>
        <v/>
      </c>
      <c r="E857" s="4" t="str">
        <f>Registered!AT1983</f>
        <v/>
      </c>
      <c r="F857" s="4" t="str">
        <f>Registered!AU1983</f>
        <v/>
      </c>
      <c r="G857" s="4" t="str">
        <f>Registered!AW1983</f>
        <v/>
      </c>
      <c r="H857" s="4" t="str">
        <f>Registered!AX1983</f>
        <v/>
      </c>
      <c r="I857" s="4" t="str">
        <f>Registered!AY1983</f>
        <v/>
      </c>
    </row>
    <row r="858" spans="1:9" x14ac:dyDescent="0.25">
      <c r="A858" s="4" t="str">
        <f>Registered!B1988</f>
        <v>Priddis</v>
      </c>
      <c r="B858" s="4" t="str">
        <f>Registered!A1988</f>
        <v>Richard</v>
      </c>
      <c r="C858" s="4" t="str">
        <f>IF(Registered!AR1988&gt;0,Registered!AR1988&amp;" Color Bags", "")</f>
        <v>10 Color Bags</v>
      </c>
      <c r="D858" s="4" t="str">
        <f>IF(Registered!AS1988&gt;0,(IF(Registered!AS1988=1,Registered!AS1988&amp;" T-Shirt",Registered!AS1988&amp;" T-Shirts")), "")</f>
        <v/>
      </c>
      <c r="E858" s="4" t="str">
        <f>Registered!AT1988</f>
        <v/>
      </c>
      <c r="F858" s="4" t="str">
        <f>Registered!AU1988</f>
        <v/>
      </c>
      <c r="G858" s="4" t="str">
        <f>Registered!AW1988</f>
        <v/>
      </c>
      <c r="H858" s="4" t="str">
        <f>Registered!AX1988</f>
        <v/>
      </c>
      <c r="I858" s="4" t="str">
        <f>Registered!AY1988</f>
        <v/>
      </c>
    </row>
    <row r="859" spans="1:9" x14ac:dyDescent="0.25">
      <c r="A859" s="4" t="str">
        <f>Registered!B1989</f>
        <v>Prisbrey</v>
      </c>
      <c r="B859" s="4" t="str">
        <f>Registered!A1989</f>
        <v>Ashlee</v>
      </c>
      <c r="C859" s="4" t="str">
        <f>IF(Registered!AR1989&gt;0,Registered!AR1989&amp;" Color Bags", "")</f>
        <v>40 Color Bags</v>
      </c>
      <c r="D859" s="4" t="str">
        <f>IF(Registered!AS1989&gt;0,(IF(Registered!AS1989=1,Registered!AS1989&amp;" T-Shirt",Registered!AS1989&amp;" T-Shirts")), "")</f>
        <v/>
      </c>
      <c r="E859" s="4" t="str">
        <f>Registered!AT1989</f>
        <v/>
      </c>
      <c r="F859" s="4" t="str">
        <f>Registered!AU1989</f>
        <v>1 Bandana</v>
      </c>
      <c r="G859" s="4" t="str">
        <f>Registered!AW1989</f>
        <v/>
      </c>
      <c r="H859" s="4" t="str">
        <f>Registered!AX1989</f>
        <v/>
      </c>
      <c r="I859" s="4" t="str">
        <f>Registered!AY1989</f>
        <v/>
      </c>
    </row>
    <row r="860" spans="1:9" x14ac:dyDescent="0.25">
      <c r="A860" s="4" t="str">
        <f>Registered!B1992</f>
        <v>Provencio</v>
      </c>
      <c r="B860" s="4" t="str">
        <f>Registered!A1992</f>
        <v>Matt</v>
      </c>
      <c r="C860" s="4" t="str">
        <f>IF(Registered!AR1992&gt;0,Registered!AR1992&amp;" Color Bags", "")</f>
        <v>5 Color Bags</v>
      </c>
      <c r="D860" s="4" t="str">
        <f>IF(Registered!AS1992&gt;0,(IF(Registered!AS1992=1,Registered!AS1992&amp;" T-Shirt",Registered!AS1992&amp;" T-Shirts")), "")</f>
        <v>1 T-Shirt</v>
      </c>
      <c r="E860" s="4" t="str">
        <f>Registered!AT1992</f>
        <v>Medium</v>
      </c>
      <c r="F860" s="4" t="str">
        <f>Registered!AU1992</f>
        <v/>
      </c>
      <c r="G860" s="4" t="str">
        <f>Registered!AW1992</f>
        <v>1 Meal</v>
      </c>
      <c r="H860" s="4" t="str">
        <f>Registered!AX1992</f>
        <v/>
      </c>
      <c r="I860" s="4" t="str">
        <f>Registered!AY1992</f>
        <v/>
      </c>
    </row>
    <row r="861" spans="1:9" x14ac:dyDescent="0.25">
      <c r="A861" s="4" t="str">
        <f>Registered!B1993</f>
        <v>Puckett</v>
      </c>
      <c r="B861" s="4" t="str">
        <f>Registered!A1993</f>
        <v>Chantele</v>
      </c>
      <c r="C861" s="4" t="str">
        <f>IF(Registered!AR1993&gt;0,Registered!AR1993&amp;" Color Bags", "")</f>
        <v>10 Color Bags</v>
      </c>
      <c r="D861" s="4" t="str">
        <f>IF(Registered!AS1993&gt;0,(IF(Registered!AS1993=1,Registered!AS1993&amp;" T-Shirt",Registered!AS1993&amp;" T-Shirts")), "")</f>
        <v>2 T-Shirts</v>
      </c>
      <c r="E861" s="4" t="str">
        <f>Registered!AT1993</f>
        <v>2, XL T-Shirts</v>
      </c>
      <c r="F861" s="4" t="str">
        <f>Registered!AU1993</f>
        <v/>
      </c>
      <c r="G861" s="4" t="str">
        <f>Registered!AW1993</f>
        <v>2 Meals</v>
      </c>
      <c r="H861" s="4" t="str">
        <f>Registered!AX1993</f>
        <v/>
      </c>
      <c r="I861" s="4" t="str">
        <f>Registered!AY1993</f>
        <v/>
      </c>
    </row>
    <row r="862" spans="1:9" x14ac:dyDescent="0.25">
      <c r="A862" s="4" t="str">
        <f>Registered!B1994</f>
        <v>Pukpumin</v>
      </c>
      <c r="B862" s="4" t="str">
        <f>Registered!A1994</f>
        <v>Rebecca</v>
      </c>
      <c r="C862" s="4" t="str">
        <f>IF(Registered!AR1994&gt;0,Registered!AR1994&amp;" Color Bags", "")</f>
        <v>5 Color Bags</v>
      </c>
      <c r="D862" s="4" t="str">
        <f>IF(Registered!AS1994&gt;0,(IF(Registered!AS1994=1,Registered!AS1994&amp;" T-Shirt",Registered!AS1994&amp;" T-Shirts")), "")</f>
        <v/>
      </c>
      <c r="E862" s="4" t="str">
        <f>Registered!AT1994</f>
        <v/>
      </c>
      <c r="F862" s="4" t="str">
        <f>Registered!AU1994</f>
        <v/>
      </c>
      <c r="G862" s="4" t="str">
        <f>Registered!AW1994</f>
        <v/>
      </c>
      <c r="H862" s="4" t="str">
        <f>Registered!AX1994</f>
        <v/>
      </c>
      <c r="I862" s="4" t="str">
        <f>Registered!AY1994</f>
        <v/>
      </c>
    </row>
    <row r="863" spans="1:9" x14ac:dyDescent="0.25">
      <c r="A863" s="4" t="str">
        <f>Registered!B1996</f>
        <v>Pulver</v>
      </c>
      <c r="B863" s="4" t="str">
        <f>Registered!A1996</f>
        <v>Danni</v>
      </c>
      <c r="C863" s="4" t="str">
        <f>IF(Registered!AR1996&gt;0,Registered!AR1996&amp;" Color Bags", "")</f>
        <v>5 Color Bags</v>
      </c>
      <c r="D863" s="4" t="str">
        <f>IF(Registered!AS1996&gt;0,(IF(Registered!AS1996=1,Registered!AS1996&amp;" T-Shirt",Registered!AS1996&amp;" T-Shirts")), "")</f>
        <v/>
      </c>
      <c r="E863" s="4" t="str">
        <f>Registered!AT1996</f>
        <v/>
      </c>
      <c r="F863" s="4" t="str">
        <f>Registered!AU1996</f>
        <v/>
      </c>
      <c r="G863" s="4" t="str">
        <f>Registered!AW1996</f>
        <v/>
      </c>
      <c r="H863" s="4" t="str">
        <f>Registered!AX1996</f>
        <v/>
      </c>
      <c r="I863" s="4" t="str">
        <f>Registered!AY1996</f>
        <v/>
      </c>
    </row>
    <row r="864" spans="1:9" x14ac:dyDescent="0.25">
      <c r="A864" s="4" t="str">
        <f>Registered!B2722</f>
        <v>Purcell</v>
      </c>
      <c r="B864" s="4" t="str">
        <f>Registered!A2722</f>
        <v>Laura</v>
      </c>
      <c r="C864" s="4" t="str">
        <f>IF(Registered!AR2722&gt;0,Registered!AR2722&amp;" Color Bags", "")</f>
        <v>5 Color Bags</v>
      </c>
      <c r="D864" s="4" t="str">
        <f>IF(Registered!AS2722&gt;0,(IF(Registered!AS2722=1,Registered!AS2722&amp;" T-Shirt",Registered!AS2722&amp;" T-Shirts")), "")</f>
        <v/>
      </c>
      <c r="E864" s="4" t="str">
        <f>Registered!AT2722</f>
        <v/>
      </c>
      <c r="F864" s="4" t="str">
        <f>Registered!AU2722</f>
        <v/>
      </c>
      <c r="G864" s="4" t="str">
        <f>Registered!AW2722</f>
        <v/>
      </c>
      <c r="H864" s="4" t="str">
        <f>Registered!AX2722</f>
        <v/>
      </c>
      <c r="I864" s="4" t="str">
        <f>Registered!AY2722</f>
        <v/>
      </c>
    </row>
    <row r="865" spans="1:9" x14ac:dyDescent="0.25">
      <c r="A865" s="4" t="str">
        <f>Registered!B1997</f>
        <v>Puri</v>
      </c>
      <c r="B865" s="4" t="str">
        <f>Registered!A1997</f>
        <v>Aayush</v>
      </c>
      <c r="C865" s="4" t="str">
        <f>IF(Registered!AR1997&gt;0,Registered!AR1997&amp;" Color Bags", "")</f>
        <v>10 Color Bags</v>
      </c>
      <c r="D865" s="4" t="str">
        <f>IF(Registered!AS1997&gt;0,(IF(Registered!AS1997=1,Registered!AS1997&amp;" T-Shirt",Registered!AS1997&amp;" T-Shirts")), "")</f>
        <v>2 T-Shirts</v>
      </c>
      <c r="E865" s="4" t="str">
        <f>Registered!AT1997</f>
        <v>1 Small and 1 Large</v>
      </c>
      <c r="F865" s="4" t="str">
        <f>Registered!AU1997</f>
        <v/>
      </c>
      <c r="G865" s="4" t="str">
        <f>Registered!AW1997</f>
        <v>2 Meals</v>
      </c>
      <c r="H865" s="4" t="str">
        <f>Registered!AX1997</f>
        <v/>
      </c>
      <c r="I865" s="4" t="str">
        <f>Registered!AY1997</f>
        <v/>
      </c>
    </row>
    <row r="866" spans="1:9" x14ac:dyDescent="0.25">
      <c r="A866" s="4" t="str">
        <f>Registered!B1998</f>
        <v>Purwar</v>
      </c>
      <c r="B866" s="4" t="str">
        <f>Registered!A1998</f>
        <v>Jahnvi</v>
      </c>
      <c r="C866" s="4" t="str">
        <f>IF(Registered!AR1998&gt;0,Registered!AR1998&amp;" Color Bags", "")</f>
        <v>10 Color Bags</v>
      </c>
      <c r="D866" s="4" t="str">
        <f>IF(Registered!AS1998&gt;0,(IF(Registered!AS1998=1,Registered!AS1998&amp;" T-Shirt",Registered!AS1998&amp;" T-Shirts")), "")</f>
        <v/>
      </c>
      <c r="E866" s="4" t="str">
        <f>Registered!AT1998</f>
        <v/>
      </c>
      <c r="F866" s="4" t="str">
        <f>Registered!AU1998</f>
        <v/>
      </c>
      <c r="G866" s="4" t="str">
        <f>Registered!AW1998</f>
        <v>2 Meals</v>
      </c>
      <c r="H866" s="4" t="str">
        <f>Registered!AX1998</f>
        <v/>
      </c>
      <c r="I866" s="4" t="str">
        <f>Registered!AY1998</f>
        <v/>
      </c>
    </row>
    <row r="867" spans="1:9" x14ac:dyDescent="0.25">
      <c r="A867" s="4" t="str">
        <f>Registered!B2001</f>
        <v>Quadros</v>
      </c>
      <c r="B867" s="4" t="str">
        <f>Registered!A2001</f>
        <v>Gabriela</v>
      </c>
      <c r="C867" s="4" t="str">
        <f>IF(Registered!AR2001&gt;0,Registered!AR2001&amp;" Color Bags", "")</f>
        <v>5 Color Bags</v>
      </c>
      <c r="D867" s="4" t="str">
        <f>IF(Registered!AS2001&gt;0,(IF(Registered!AS2001=1,Registered!AS2001&amp;" T-Shirt",Registered!AS2001&amp;" T-Shirts")), "")</f>
        <v/>
      </c>
      <c r="E867" s="4" t="str">
        <f>Registered!AT2001</f>
        <v/>
      </c>
      <c r="F867" s="4" t="str">
        <f>Registered!AU2001</f>
        <v/>
      </c>
      <c r="G867" s="4" t="str">
        <f>Registered!AW2001</f>
        <v/>
      </c>
      <c r="H867" s="4" t="str">
        <f>Registered!AX2001</f>
        <v/>
      </c>
      <c r="I867" s="4" t="str">
        <f>Registered!AY2001</f>
        <v/>
      </c>
    </row>
    <row r="868" spans="1:9" x14ac:dyDescent="0.25">
      <c r="A868" s="4" t="str">
        <f>Registered!B2002</f>
        <v>Quinlog</v>
      </c>
      <c r="B868" s="4" t="str">
        <f>Registered!A2002</f>
        <v>Daniel</v>
      </c>
      <c r="C868" s="4" t="str">
        <f>IF(Registered!AR2002&gt;0,Registered!AR2002&amp;" Color Bags", "")</f>
        <v>10 Color Bags</v>
      </c>
      <c r="D868" s="4" t="str">
        <f>IF(Registered!AS2002&gt;0,(IF(Registered!AS2002=1,Registered!AS2002&amp;" T-Shirt",Registered!AS2002&amp;" T-Shirts")), "")</f>
        <v/>
      </c>
      <c r="E868" s="4" t="str">
        <f>Registered!AT2002</f>
        <v/>
      </c>
      <c r="F868" s="4" t="str">
        <f>Registered!AU2002</f>
        <v>2 Bandanas</v>
      </c>
      <c r="G868" s="4" t="str">
        <f>Registered!AW2002</f>
        <v>2 Meals</v>
      </c>
      <c r="H868" s="4" t="str">
        <f>Registered!AX2002</f>
        <v/>
      </c>
      <c r="I868" s="4" t="str">
        <f>Registered!AY2002</f>
        <v/>
      </c>
    </row>
    <row r="869" spans="1:9" x14ac:dyDescent="0.25">
      <c r="A869" s="4" t="str">
        <f>Registered!B2004</f>
        <v>Rada</v>
      </c>
      <c r="B869" s="4" t="str">
        <f>Registered!A2004</f>
        <v>Courtney</v>
      </c>
      <c r="C869" s="4" t="str">
        <f>IF(Registered!AR2004&gt;0,Registered!AR2004&amp;" Color Bags", "")</f>
        <v>5 Color Bags</v>
      </c>
      <c r="D869" s="4" t="str">
        <f>IF(Registered!AS2004&gt;0,(IF(Registered!AS2004=1,Registered!AS2004&amp;" T-Shirt",Registered!AS2004&amp;" T-Shirts")), "")</f>
        <v/>
      </c>
      <c r="E869" s="4" t="str">
        <f>Registered!AT2004</f>
        <v/>
      </c>
      <c r="F869" s="4" t="str">
        <f>Registered!AU2004</f>
        <v/>
      </c>
      <c r="G869" s="4" t="str">
        <f>Registered!AW2004</f>
        <v/>
      </c>
      <c r="H869" s="4" t="str">
        <f>Registered!AX2004</f>
        <v/>
      </c>
      <c r="I869" s="4" t="str">
        <f>Registered!AY2004</f>
        <v/>
      </c>
    </row>
    <row r="870" spans="1:9" x14ac:dyDescent="0.25">
      <c r="A870" s="4" t="str">
        <f>Registered!B2007</f>
        <v>Rail</v>
      </c>
      <c r="B870" s="4" t="str">
        <f>Registered!A2007</f>
        <v>Catherine</v>
      </c>
      <c r="C870" s="4" t="str">
        <f>IF(Registered!AR2007&gt;0,Registered!AR2007&amp;" Color Bags", "")</f>
        <v>10 Color Bags</v>
      </c>
      <c r="D870" s="4" t="str">
        <f>IF(Registered!AS2007&gt;0,(IF(Registered!AS2007=1,Registered!AS2007&amp;" T-Shirt",Registered!AS2007&amp;" T-Shirts")), "")</f>
        <v/>
      </c>
      <c r="E870" s="4" t="str">
        <f>Registered!AT2007</f>
        <v/>
      </c>
      <c r="F870" s="4" t="str">
        <f>Registered!AU2007</f>
        <v/>
      </c>
      <c r="G870" s="4" t="str">
        <f>Registered!AW2007</f>
        <v/>
      </c>
      <c r="H870" s="4" t="str">
        <f>Registered!AX2007</f>
        <v/>
      </c>
      <c r="I870" s="4" t="str">
        <f>Registered!AY2007</f>
        <v/>
      </c>
    </row>
    <row r="871" spans="1:9" x14ac:dyDescent="0.25">
      <c r="A871" s="4" t="str">
        <f>Registered!B2011</f>
        <v>Randall</v>
      </c>
      <c r="B871" s="4" t="str">
        <f>Registered!A2011</f>
        <v>Kala</v>
      </c>
      <c r="C871" s="4" t="str">
        <f>IF(Registered!AR2011&gt;0,Registered!AR2011&amp;" Color Bags", "")</f>
        <v>5 Color Bags</v>
      </c>
      <c r="D871" s="4" t="str">
        <f>IF(Registered!AS2011&gt;0,(IF(Registered!AS2011=1,Registered!AS2011&amp;" T-Shirt",Registered!AS2011&amp;" T-Shirts")), "")</f>
        <v/>
      </c>
      <c r="E871" s="4" t="str">
        <f>Registered!AT2011</f>
        <v/>
      </c>
      <c r="F871" s="4" t="str">
        <f>Registered!AU2011</f>
        <v/>
      </c>
      <c r="G871" s="4" t="str">
        <f>Registered!AW2011</f>
        <v/>
      </c>
      <c r="H871" s="4" t="str">
        <f>Registered!AX2011</f>
        <v/>
      </c>
      <c r="I871" s="4" t="str">
        <f>Registered!AY2011</f>
        <v/>
      </c>
    </row>
    <row r="872" spans="1:9" x14ac:dyDescent="0.25">
      <c r="A872" s="4" t="str">
        <f>Registered!B2015</f>
        <v>Rasmussen</v>
      </c>
      <c r="B872" s="4" t="str">
        <f>Registered!A2015</f>
        <v>Cortney</v>
      </c>
      <c r="C872" s="4" t="str">
        <f>IF(Registered!AR2015&gt;0,Registered!AR2015&amp;" Color Bags", "")</f>
        <v>10 Color Bags</v>
      </c>
      <c r="D872" s="4" t="str">
        <f>IF(Registered!AS2015&gt;0,(IF(Registered!AS2015=1,Registered!AS2015&amp;" T-Shirt",Registered!AS2015&amp;" T-Shirts")), "")</f>
        <v/>
      </c>
      <c r="E872" s="4" t="str">
        <f>Registered!AT2015</f>
        <v/>
      </c>
      <c r="F872" s="4" t="str">
        <f>Registered!AU2015</f>
        <v/>
      </c>
      <c r="G872" s="4" t="str">
        <f>Registered!AW2015</f>
        <v/>
      </c>
      <c r="H872" s="4" t="str">
        <f>Registered!AX2015</f>
        <v/>
      </c>
      <c r="I872" s="4" t="str">
        <f>Registered!AY2015</f>
        <v/>
      </c>
    </row>
    <row r="873" spans="1:9" x14ac:dyDescent="0.25">
      <c r="A873" s="4" t="str">
        <f>Registered!B2017</f>
        <v>Rasmussen</v>
      </c>
      <c r="B873" s="4" t="str">
        <f>Registered!A2017</f>
        <v>Leeah</v>
      </c>
      <c r="C873" s="4" t="str">
        <f>IF(Registered!AR2017&gt;0,Registered!AR2017&amp;" Color Bags", "")</f>
        <v>10 Color Bags</v>
      </c>
      <c r="D873" s="4" t="str">
        <f>IF(Registered!AS2017&gt;0,(IF(Registered!AS2017=1,Registered!AS2017&amp;" T-Shirt",Registered!AS2017&amp;" T-Shirts")), "")</f>
        <v/>
      </c>
      <c r="E873" s="4" t="str">
        <f>Registered!AT2017</f>
        <v/>
      </c>
      <c r="F873" s="4" t="str">
        <f>Registered!AU2017</f>
        <v/>
      </c>
      <c r="G873" s="4" t="str">
        <f>Registered!AW2017</f>
        <v>3 Meals</v>
      </c>
      <c r="H873" s="4" t="str">
        <f>Registered!AX2017</f>
        <v/>
      </c>
      <c r="I873" s="4" t="str">
        <f>Registered!AY2017</f>
        <v/>
      </c>
    </row>
    <row r="874" spans="1:9" x14ac:dyDescent="0.25">
      <c r="A874" s="4" t="str">
        <f>Registered!B2016</f>
        <v>Rasmussen</v>
      </c>
      <c r="B874" s="4" t="str">
        <f>Registered!A2016</f>
        <v>Hannah</v>
      </c>
      <c r="C874" s="4" t="str">
        <f>IF(Registered!AR2016&gt;0,Registered!AR2016&amp;" Color Bags", "")</f>
        <v>5 Color Bags</v>
      </c>
      <c r="D874" s="4" t="str">
        <f>IF(Registered!AS2016&gt;0,(IF(Registered!AS2016=1,Registered!AS2016&amp;" T-Shirt",Registered!AS2016&amp;" T-Shirts")), "")</f>
        <v/>
      </c>
      <c r="E874" s="4" t="str">
        <f>Registered!AT2016</f>
        <v/>
      </c>
      <c r="F874" s="4" t="str">
        <f>Registered!AU2016</f>
        <v/>
      </c>
      <c r="G874" s="4" t="str">
        <f>Registered!AW2016</f>
        <v/>
      </c>
      <c r="H874" s="4" t="str">
        <f>Registered!AX2016</f>
        <v/>
      </c>
      <c r="I874" s="4" t="str">
        <f>Registered!AY2016</f>
        <v/>
      </c>
    </row>
    <row r="875" spans="1:9" x14ac:dyDescent="0.25">
      <c r="A875" s="4" t="str">
        <f>Registered!B2019</f>
        <v>Rasmussen</v>
      </c>
      <c r="B875" s="4" t="str">
        <f>Registered!A2019</f>
        <v>Steven</v>
      </c>
      <c r="C875" s="4" t="str">
        <f>IF(Registered!AR2019&gt;0,Registered!AR2019&amp;" Color Bags", "")</f>
        <v>5 Color Bags</v>
      </c>
      <c r="D875" s="4" t="str">
        <f>IF(Registered!AS2019&gt;0,(IF(Registered!AS2019=1,Registered!AS2019&amp;" T-Shirt",Registered!AS2019&amp;" T-Shirts")), "")</f>
        <v/>
      </c>
      <c r="E875" s="4" t="str">
        <f>Registered!AT2019</f>
        <v/>
      </c>
      <c r="F875" s="4" t="str">
        <f>Registered!AU2019</f>
        <v/>
      </c>
      <c r="G875" s="4" t="str">
        <f>Registered!AW2019</f>
        <v/>
      </c>
      <c r="H875" s="4" t="str">
        <f>Registered!AX2019</f>
        <v/>
      </c>
      <c r="I875" s="4" t="str">
        <f>Registered!AY2019</f>
        <v/>
      </c>
    </row>
    <row r="876" spans="1:9" x14ac:dyDescent="0.25">
      <c r="A876" s="4" t="str">
        <f>Registered!B2023</f>
        <v>Ratliff</v>
      </c>
      <c r="B876" s="4" t="str">
        <f>Registered!A2023</f>
        <v>Lily</v>
      </c>
      <c r="C876" s="4" t="str">
        <f>IF(Registered!AR2023&gt;0,Registered!AR2023&amp;" Color Bags", "")</f>
        <v>5 Color Bags</v>
      </c>
      <c r="D876" s="4" t="str">
        <f>IF(Registered!AS2023&gt;0,(IF(Registered!AS2023=1,Registered!AS2023&amp;" T-Shirt",Registered!AS2023&amp;" T-Shirts")), "")</f>
        <v/>
      </c>
      <c r="E876" s="4" t="str">
        <f>Registered!AT2023</f>
        <v/>
      </c>
      <c r="F876" s="4" t="str">
        <f>Registered!AU2023</f>
        <v/>
      </c>
      <c r="G876" s="4" t="str">
        <f>Registered!AW2023</f>
        <v/>
      </c>
      <c r="H876" s="4" t="str">
        <f>Registered!AX2023</f>
        <v/>
      </c>
      <c r="I876" s="4" t="str">
        <f>Registered!AY2023</f>
        <v/>
      </c>
    </row>
    <row r="877" spans="1:9" x14ac:dyDescent="0.25">
      <c r="A877" s="4" t="str">
        <f>Registered!B2024</f>
        <v>Rausch</v>
      </c>
      <c r="B877" s="4" t="str">
        <f>Registered!A2024</f>
        <v>Dylan</v>
      </c>
      <c r="C877" s="4" t="str">
        <f>IF(Registered!AR2024&gt;0,Registered!AR2024&amp;" Color Bags", "")</f>
        <v/>
      </c>
      <c r="D877" s="4" t="str">
        <f>IF(Registered!AS2024&gt;0,(IF(Registered!AS2024=1,Registered!AS2024&amp;" T-Shirt",Registered!AS2024&amp;" T-Shirts")), "")</f>
        <v/>
      </c>
      <c r="E877" s="4" t="str">
        <f>Registered!AT2024</f>
        <v/>
      </c>
      <c r="F877" s="4" t="str">
        <f>Registered!AU2024</f>
        <v>1 Bandana</v>
      </c>
      <c r="G877" s="4" t="str">
        <f>Registered!AW2024</f>
        <v/>
      </c>
      <c r="H877" s="4" t="str">
        <f>Registered!AX2024</f>
        <v>1 BG</v>
      </c>
      <c r="I877" s="4" t="str">
        <f>Registered!AY2024</f>
        <v/>
      </c>
    </row>
    <row r="878" spans="1:9" x14ac:dyDescent="0.25">
      <c r="A878" s="4" t="str">
        <f>Registered!B2026</f>
        <v>Rawlings</v>
      </c>
      <c r="B878" s="4" t="str">
        <f>Registered!A2026</f>
        <v>Bree</v>
      </c>
      <c r="C878" s="4" t="str">
        <f>IF(Registered!AR2026&gt;0,Registered!AR2026&amp;" Color Bags", "")</f>
        <v>40 Color Bags</v>
      </c>
      <c r="D878" s="4" t="str">
        <f>IF(Registered!AS2026&gt;0,(IF(Registered!AS2026=1,Registered!AS2026&amp;" T-Shirt",Registered!AS2026&amp;" T-Shirts")), "")</f>
        <v/>
      </c>
      <c r="E878" s="4" t="str">
        <f>Registered!AT2026</f>
        <v/>
      </c>
      <c r="F878" s="4" t="str">
        <f>Registered!AU2026</f>
        <v/>
      </c>
      <c r="G878" s="4" t="str">
        <f>Registered!AW2026</f>
        <v/>
      </c>
      <c r="H878" s="4" t="str">
        <f>Registered!AX2026</f>
        <v/>
      </c>
      <c r="I878" s="4" t="str">
        <f>Registered!AY2026</f>
        <v/>
      </c>
    </row>
    <row r="879" spans="1:9" x14ac:dyDescent="0.25">
      <c r="A879" s="4" t="str">
        <f>Registered!B2027</f>
        <v>Ray</v>
      </c>
      <c r="B879" s="4" t="str">
        <f>Registered!A2027</f>
        <v>Tenika</v>
      </c>
      <c r="C879" s="4" t="str">
        <f>IF(Registered!AR2027&gt;0,Registered!AR2027&amp;" Color Bags", "")</f>
        <v>5 Color Bags</v>
      </c>
      <c r="D879" s="4" t="str">
        <f>IF(Registered!AS2027&gt;0,(IF(Registered!AS2027=1,Registered!AS2027&amp;" T-Shirt",Registered!AS2027&amp;" T-Shirts")), "")</f>
        <v/>
      </c>
      <c r="E879" s="4" t="str">
        <f>Registered!AT2027</f>
        <v/>
      </c>
      <c r="F879" s="4" t="str">
        <f>Registered!AU2027</f>
        <v/>
      </c>
      <c r="G879" s="4" t="str">
        <f>Registered!AW2027</f>
        <v/>
      </c>
      <c r="H879" s="4" t="str">
        <f>Registered!AX2027</f>
        <v/>
      </c>
      <c r="I879" s="4" t="str">
        <f>Registered!AY2027</f>
        <v/>
      </c>
    </row>
    <row r="880" spans="1:9" x14ac:dyDescent="0.25">
      <c r="A880" s="4" t="str">
        <f>Registered!B2030</f>
        <v>Redd</v>
      </c>
      <c r="B880" s="4" t="str">
        <f>Registered!A2030</f>
        <v>Philip</v>
      </c>
      <c r="C880" s="4" t="str">
        <f>IF(Registered!AR2030&gt;0,Registered!AR2030&amp;" Color Bags", "")</f>
        <v>30 Color Bags</v>
      </c>
      <c r="D880" s="4" t="str">
        <f>IF(Registered!AS2030&gt;0,(IF(Registered!AS2030=1,Registered!AS2030&amp;" T-Shirt",Registered!AS2030&amp;" T-Shirts")), "")</f>
        <v/>
      </c>
      <c r="E880" s="4" t="str">
        <f>Registered!AT2030</f>
        <v/>
      </c>
      <c r="F880" s="4" t="str">
        <f>Registered!AU2030</f>
        <v/>
      </c>
      <c r="G880" s="4" t="str">
        <f>Registered!AW2030</f>
        <v/>
      </c>
      <c r="H880" s="4" t="str">
        <f>Registered!AX2030</f>
        <v/>
      </c>
      <c r="I880" s="4" t="str">
        <f>Registered!AY2030</f>
        <v/>
      </c>
    </row>
    <row r="881" spans="1:9" x14ac:dyDescent="0.25">
      <c r="A881" s="4" t="str">
        <f>Registered!B2031</f>
        <v>Reder</v>
      </c>
      <c r="B881" s="4" t="str">
        <f>Registered!A2031</f>
        <v>Anna</v>
      </c>
      <c r="C881" s="4" t="str">
        <f>IF(Registered!AR2031&gt;0,Registered!AR2031&amp;" Color Bags", "")</f>
        <v>5 Color Bags</v>
      </c>
      <c r="D881" s="4" t="str">
        <f>IF(Registered!AS2031&gt;0,(IF(Registered!AS2031=1,Registered!AS2031&amp;" T-Shirt",Registered!AS2031&amp;" T-Shirts")), "")</f>
        <v/>
      </c>
      <c r="E881" s="4" t="str">
        <f>Registered!AT2031</f>
        <v/>
      </c>
      <c r="F881" s="4" t="str">
        <f>Registered!AU2031</f>
        <v/>
      </c>
      <c r="G881" s="4" t="str">
        <f>Registered!AW2031</f>
        <v/>
      </c>
      <c r="H881" s="4" t="str">
        <f>Registered!AX2031</f>
        <v/>
      </c>
      <c r="I881" s="4" t="str">
        <f>Registered!AY2031</f>
        <v/>
      </c>
    </row>
    <row r="882" spans="1:9" x14ac:dyDescent="0.25">
      <c r="A882" s="4" t="str">
        <f>Registered!B2033</f>
        <v>Reed</v>
      </c>
      <c r="B882" s="4" t="str">
        <f>Registered!A2033</f>
        <v>Jenna</v>
      </c>
      <c r="C882" s="4" t="str">
        <f>IF(Registered!AR2033&gt;0,Registered!AR2033&amp;" Color Bags", "")</f>
        <v>10 Color Bags</v>
      </c>
      <c r="D882" s="4" t="str">
        <f>IF(Registered!AS2033&gt;0,(IF(Registered!AS2033=1,Registered!AS2033&amp;" T-Shirt",Registered!AS2033&amp;" T-Shirts")), "")</f>
        <v/>
      </c>
      <c r="E882" s="4" t="str">
        <f>Registered!AT2033</f>
        <v/>
      </c>
      <c r="F882" s="4" t="str">
        <f>Registered!AU2033</f>
        <v/>
      </c>
      <c r="G882" s="4" t="str">
        <f>Registered!AW2033</f>
        <v/>
      </c>
      <c r="H882" s="4" t="str">
        <f>Registered!AX2033</f>
        <v/>
      </c>
      <c r="I882" s="4" t="str">
        <f>Registered!AY2033</f>
        <v/>
      </c>
    </row>
    <row r="883" spans="1:9" x14ac:dyDescent="0.25">
      <c r="A883" s="4" t="str">
        <f>Registered!B2035</f>
        <v>Rees</v>
      </c>
      <c r="B883" s="4" t="str">
        <f>Registered!A2035</f>
        <v>Aaron</v>
      </c>
      <c r="C883" s="4" t="str">
        <f>IF(Registered!AR2035&gt;0,Registered!AR2035&amp;" Color Bags", "")</f>
        <v>10 Color Bags</v>
      </c>
      <c r="D883" s="4" t="str">
        <f>IF(Registered!AS2035&gt;0,(IF(Registered!AS2035=1,Registered!AS2035&amp;" T-Shirt",Registered!AS2035&amp;" T-Shirts")), "")</f>
        <v/>
      </c>
      <c r="E883" s="4" t="str">
        <f>Registered!AT2035</f>
        <v/>
      </c>
      <c r="F883" s="4" t="str">
        <f>Registered!AU2035</f>
        <v/>
      </c>
      <c r="G883" s="4" t="str">
        <f>Registered!AW2035</f>
        <v/>
      </c>
      <c r="H883" s="4" t="str">
        <f>Registered!AX2035</f>
        <v/>
      </c>
      <c r="I883" s="4" t="str">
        <f>Registered!AY2035</f>
        <v/>
      </c>
    </row>
    <row r="884" spans="1:9" x14ac:dyDescent="0.25">
      <c r="A884" s="4" t="str">
        <f>Registered!B2038</f>
        <v>Reese</v>
      </c>
      <c r="B884" s="4" t="str">
        <f>Registered!A2038</f>
        <v>Ashlee</v>
      </c>
      <c r="C884" s="4" t="str">
        <f>IF(Registered!AR2038&gt;0,Registered!AR2038&amp;" Color Bags", "")</f>
        <v>10 Color Bags</v>
      </c>
      <c r="D884" s="4" t="str">
        <f>IF(Registered!AS2038&gt;0,(IF(Registered!AS2038=1,Registered!AS2038&amp;" T-Shirt",Registered!AS2038&amp;" T-Shirts")), "")</f>
        <v/>
      </c>
      <c r="E884" s="4" t="str">
        <f>Registered!AT2038</f>
        <v/>
      </c>
      <c r="F884" s="4" t="str">
        <f>Registered!AU2038</f>
        <v/>
      </c>
      <c r="G884" s="4" t="str">
        <f>Registered!AW2038</f>
        <v/>
      </c>
      <c r="H884" s="4" t="str">
        <f>Registered!AX2038</f>
        <v/>
      </c>
      <c r="I884" s="4" t="str">
        <f>Registered!AY2038</f>
        <v/>
      </c>
    </row>
    <row r="885" spans="1:9" x14ac:dyDescent="0.25">
      <c r="A885" s="4" t="str">
        <f>Registered!B2041</f>
        <v>Reeves</v>
      </c>
      <c r="B885" s="4" t="str">
        <f>Registered!A2041</f>
        <v>Jamie</v>
      </c>
      <c r="C885" s="4" t="str">
        <f>IF(Registered!AR2041&gt;0,Registered!AR2041&amp;" Color Bags", "")</f>
        <v>10 Color Bags</v>
      </c>
      <c r="D885" s="4" t="str">
        <f>IF(Registered!AS2041&gt;0,(IF(Registered!AS2041=1,Registered!AS2041&amp;" T-Shirt",Registered!AS2041&amp;" T-Shirts")), "")</f>
        <v/>
      </c>
      <c r="E885" s="4" t="str">
        <f>Registered!AT2041</f>
        <v/>
      </c>
      <c r="F885" s="4" t="str">
        <f>Registered!AU2041</f>
        <v/>
      </c>
      <c r="G885" s="4" t="str">
        <f>Registered!AW2041</f>
        <v/>
      </c>
      <c r="H885" s="4" t="str">
        <f>Registered!AX2041</f>
        <v/>
      </c>
      <c r="I885" s="4" t="str">
        <f>Registered!AY2041</f>
        <v/>
      </c>
    </row>
    <row r="886" spans="1:9" x14ac:dyDescent="0.25">
      <c r="A886" s="4" t="str">
        <f>Registered!B2042</f>
        <v>Reid</v>
      </c>
      <c r="B886" s="4" t="str">
        <f>Registered!A2042</f>
        <v>Brandon</v>
      </c>
      <c r="C886" s="4" t="str">
        <f>IF(Registered!AR2042&gt;0,Registered!AR2042&amp;" Color Bags", "")</f>
        <v>15 Color Bags</v>
      </c>
      <c r="D886" s="4" t="str">
        <f>IF(Registered!AS2042&gt;0,(IF(Registered!AS2042=1,Registered!AS2042&amp;" T-Shirt",Registered!AS2042&amp;" T-Shirts")), "")</f>
        <v/>
      </c>
      <c r="E886" s="4" t="str">
        <f>Registered!AT2042</f>
        <v/>
      </c>
      <c r="F886" s="4" t="str">
        <f>Registered!AU2042</f>
        <v/>
      </c>
      <c r="G886" s="4" t="str">
        <f>Registered!AW2042</f>
        <v/>
      </c>
      <c r="H886" s="4" t="str">
        <f>Registered!AX2042</f>
        <v/>
      </c>
      <c r="I886" s="4" t="str">
        <f>Registered!AY2042</f>
        <v/>
      </c>
    </row>
    <row r="887" spans="1:9" x14ac:dyDescent="0.25">
      <c r="A887" s="4" t="str">
        <f>Registered!B2045</f>
        <v>Rendon</v>
      </c>
      <c r="B887" s="4" t="str">
        <f>Registered!A2045</f>
        <v>Desiree</v>
      </c>
      <c r="C887" s="4" t="str">
        <f>IF(Registered!AR2045&gt;0,Registered!AR2045&amp;" Color Bags", "")</f>
        <v>10 Color Bags</v>
      </c>
      <c r="D887" s="4" t="str">
        <f>IF(Registered!AS2045&gt;0,(IF(Registered!AS2045=1,Registered!AS2045&amp;" T-Shirt",Registered!AS2045&amp;" T-Shirts")), "")</f>
        <v>2 T-Shirts</v>
      </c>
      <c r="E887" s="4" t="str">
        <f>Registered!AT2045</f>
        <v>Small, Large</v>
      </c>
      <c r="F887" s="4" t="str">
        <f>Registered!AU2045</f>
        <v/>
      </c>
      <c r="G887" s="4" t="str">
        <f>Registered!AW2045</f>
        <v/>
      </c>
      <c r="H887" s="4" t="str">
        <f>Registered!AX2045</f>
        <v/>
      </c>
      <c r="I887" s="4" t="str">
        <f>Registered!AY2045</f>
        <v/>
      </c>
    </row>
    <row r="888" spans="1:9" x14ac:dyDescent="0.25">
      <c r="A888" s="4" t="str">
        <f>Registered!B2047</f>
        <v>Renwick</v>
      </c>
      <c r="B888" s="4" t="str">
        <f>Registered!A2047</f>
        <v>Kiel</v>
      </c>
      <c r="C888" s="4" t="str">
        <f>IF(Registered!AR2047&gt;0,Registered!AR2047&amp;" Color Bags", "")</f>
        <v>10 Color Bags</v>
      </c>
      <c r="D888" s="4" t="str">
        <f>IF(Registered!AS2047&gt;0,(IF(Registered!AS2047=1,Registered!AS2047&amp;" T-Shirt",Registered!AS2047&amp;" T-Shirts")), "")</f>
        <v/>
      </c>
      <c r="E888" s="4" t="str">
        <f>Registered!AT2047</f>
        <v/>
      </c>
      <c r="F888" s="4" t="str">
        <f>Registered!AU2047</f>
        <v/>
      </c>
      <c r="G888" s="4" t="str">
        <f>Registered!AW2047</f>
        <v/>
      </c>
      <c r="H888" s="4" t="str">
        <f>Registered!AX2047</f>
        <v/>
      </c>
      <c r="I888" s="4" t="str">
        <f>Registered!AY2047</f>
        <v/>
      </c>
    </row>
    <row r="889" spans="1:9" x14ac:dyDescent="0.25">
      <c r="A889" s="4" t="str">
        <f>Registered!B2051</f>
        <v>Reynolds</v>
      </c>
      <c r="B889" s="4" t="str">
        <f>Registered!A2051</f>
        <v>Daniel</v>
      </c>
      <c r="C889" s="4" t="str">
        <f>IF(Registered!AR2051&gt;0,Registered!AR2051&amp;" Color Bags", "")</f>
        <v>10 Color Bags</v>
      </c>
      <c r="D889" s="4" t="str">
        <f>IF(Registered!AS2051&gt;0,(IF(Registered!AS2051=1,Registered!AS2051&amp;" T-Shirt",Registered!AS2051&amp;" T-Shirts")), "")</f>
        <v/>
      </c>
      <c r="E889" s="4" t="str">
        <f>Registered!AT2051</f>
        <v/>
      </c>
      <c r="F889" s="4" t="str">
        <f>Registered!AU2051</f>
        <v/>
      </c>
      <c r="G889" s="4" t="str">
        <f>Registered!AW2051</f>
        <v/>
      </c>
      <c r="H889" s="4" t="str">
        <f>Registered!AX2051</f>
        <v/>
      </c>
      <c r="I889" s="4" t="str">
        <f>Registered!AY2051</f>
        <v/>
      </c>
    </row>
    <row r="890" spans="1:9" x14ac:dyDescent="0.25">
      <c r="A890" s="4" t="str">
        <f>Registered!B2057</f>
        <v>Reynolds</v>
      </c>
      <c r="B890" s="4" t="str">
        <f>Registered!A2057</f>
        <v>Landon</v>
      </c>
      <c r="C890" s="4" t="str">
        <f>IF(Registered!AR2057&gt;0,Registered!AR2057&amp;" Color Bags", "")</f>
        <v>10 Color Bags</v>
      </c>
      <c r="D890" s="4" t="str">
        <f>IF(Registered!AS2057&gt;0,(IF(Registered!AS2057=1,Registered!AS2057&amp;" T-Shirt",Registered!AS2057&amp;" T-Shirts")), "")</f>
        <v/>
      </c>
      <c r="E890" s="4" t="str">
        <f>Registered!AT2057</f>
        <v/>
      </c>
      <c r="F890" s="4" t="str">
        <f>Registered!AU2057</f>
        <v/>
      </c>
      <c r="G890" s="4" t="str">
        <f>Registered!AW2057</f>
        <v/>
      </c>
      <c r="H890" s="4" t="str">
        <f>Registered!AX2057</f>
        <v/>
      </c>
      <c r="I890" s="4" t="str">
        <f>Registered!AY2057</f>
        <v/>
      </c>
    </row>
    <row r="891" spans="1:9" x14ac:dyDescent="0.25">
      <c r="A891" s="4" t="str">
        <f>Registered!B2052</f>
        <v>Reynolds</v>
      </c>
      <c r="B891" s="4" t="str">
        <f>Registered!A2052</f>
        <v>Gabriel</v>
      </c>
      <c r="C891" s="4" t="str">
        <f>IF(Registered!AR2052&gt;0,Registered!AR2052&amp;" Color Bags", "")</f>
        <v>15 Color Bags</v>
      </c>
      <c r="D891" s="4" t="str">
        <f>IF(Registered!AS2052&gt;0,(IF(Registered!AS2052=1,Registered!AS2052&amp;" T-Shirt",Registered!AS2052&amp;" T-Shirts")), "")</f>
        <v/>
      </c>
      <c r="E891" s="4" t="str">
        <f>Registered!AT2052</f>
        <v/>
      </c>
      <c r="F891" s="4" t="str">
        <f>Registered!AU2052</f>
        <v/>
      </c>
      <c r="G891" s="4" t="str">
        <f>Registered!AW2052</f>
        <v/>
      </c>
      <c r="H891" s="4" t="str">
        <f>Registered!AX2052</f>
        <v/>
      </c>
      <c r="I891" s="4" t="str">
        <f>Registered!AY2052</f>
        <v/>
      </c>
    </row>
    <row r="892" spans="1:9" x14ac:dyDescent="0.25">
      <c r="A892" s="4" t="str">
        <f>Registered!B2060</f>
        <v>Reynolds</v>
      </c>
      <c r="B892" s="4" t="str">
        <f>Registered!A2060</f>
        <v>Shania</v>
      </c>
      <c r="C892" s="4" t="str">
        <f>IF(Registered!AR2060&gt;0,Registered!AR2060&amp;" Color Bags", "")</f>
        <v>15 Color Bags</v>
      </c>
      <c r="D892" s="4" t="str">
        <f>IF(Registered!AS2060&gt;0,(IF(Registered!AS2060=1,Registered!AS2060&amp;" T-Shirt",Registered!AS2060&amp;" T-Shirts")), "")</f>
        <v/>
      </c>
      <c r="E892" s="4" t="str">
        <f>Registered!AT2060</f>
        <v/>
      </c>
      <c r="F892" s="4" t="str">
        <f>Registered!AU2060</f>
        <v/>
      </c>
      <c r="G892" s="4" t="str">
        <f>Registered!AW2060</f>
        <v/>
      </c>
      <c r="H892" s="4" t="str">
        <f>Registered!AX2060</f>
        <v/>
      </c>
      <c r="I892" s="4" t="str">
        <f>Registered!AY2060</f>
        <v/>
      </c>
    </row>
    <row r="893" spans="1:9" x14ac:dyDescent="0.25">
      <c r="A893" s="4" t="str">
        <f>Registered!B2050</f>
        <v>Reynolds</v>
      </c>
      <c r="B893" s="4" t="str">
        <f>Registered!A2050</f>
        <v>Brenna</v>
      </c>
      <c r="C893" s="4" t="str">
        <f>IF(Registered!AR2050&gt;0,Registered!AR2050&amp;" Color Bags", "")</f>
        <v>20 Color Bags</v>
      </c>
      <c r="D893" s="4" t="str">
        <f>IF(Registered!AS2050&gt;0,(IF(Registered!AS2050=1,Registered!AS2050&amp;" T-Shirt",Registered!AS2050&amp;" T-Shirts")), "")</f>
        <v/>
      </c>
      <c r="E893" s="4" t="str">
        <f>Registered!AT2050</f>
        <v/>
      </c>
      <c r="F893" s="4" t="str">
        <f>Registered!AU2050</f>
        <v/>
      </c>
      <c r="G893" s="4" t="str">
        <f>Registered!AW2050</f>
        <v/>
      </c>
      <c r="H893" s="4" t="str">
        <f>Registered!AX2050</f>
        <v/>
      </c>
      <c r="I893" s="4" t="str">
        <f>Registered!AY2050</f>
        <v/>
      </c>
    </row>
    <row r="894" spans="1:9" x14ac:dyDescent="0.25">
      <c r="A894" s="4" t="str">
        <f>Registered!B2053</f>
        <v>Reynolds</v>
      </c>
      <c r="B894" s="4" t="str">
        <f>Registered!A2053</f>
        <v>Katie</v>
      </c>
      <c r="C894" s="4" t="str">
        <f>IF(Registered!AR2053&gt;0,Registered!AR2053&amp;" Color Bags", "")</f>
        <v>5 Color Bags</v>
      </c>
      <c r="D894" s="4" t="str">
        <f>IF(Registered!AS2053&gt;0,(IF(Registered!AS2053=1,Registered!AS2053&amp;" T-Shirt",Registered!AS2053&amp;" T-Shirts")), "")</f>
        <v/>
      </c>
      <c r="E894" s="4" t="str">
        <f>Registered!AT2053</f>
        <v/>
      </c>
      <c r="F894" s="4" t="str">
        <f>Registered!AU2053</f>
        <v/>
      </c>
      <c r="G894" s="4" t="str">
        <f>Registered!AW2053</f>
        <v/>
      </c>
      <c r="H894" s="4" t="str">
        <f>Registered!AX2053</f>
        <v/>
      </c>
      <c r="I894" s="4" t="str">
        <f>Registered!AY2053</f>
        <v/>
      </c>
    </row>
    <row r="895" spans="1:9" x14ac:dyDescent="0.25">
      <c r="A895" s="4" t="str">
        <f>Registered!B2061</f>
        <v>Reynoso</v>
      </c>
      <c r="B895" s="4" t="str">
        <f>Registered!A2061</f>
        <v>Holly</v>
      </c>
      <c r="C895" s="4" t="str">
        <f>IF(Registered!AR2061&gt;0,Registered!AR2061&amp;" Color Bags", "")</f>
        <v>5 Color Bags</v>
      </c>
      <c r="D895" s="4" t="str">
        <f>IF(Registered!AS2061&gt;0,(IF(Registered!AS2061=1,Registered!AS2061&amp;" T-Shirt",Registered!AS2061&amp;" T-Shirts")), "")</f>
        <v/>
      </c>
      <c r="E895" s="4" t="str">
        <f>Registered!AT2061</f>
        <v/>
      </c>
      <c r="F895" s="4" t="str">
        <f>Registered!AU2061</f>
        <v/>
      </c>
      <c r="G895" s="4" t="str">
        <f>Registered!AW2061</f>
        <v/>
      </c>
      <c r="H895" s="4" t="str">
        <f>Registered!AX2061</f>
        <v/>
      </c>
      <c r="I895" s="4" t="str">
        <f>Registered!AY2061</f>
        <v/>
      </c>
    </row>
    <row r="896" spans="1:9" x14ac:dyDescent="0.25">
      <c r="A896" s="4" t="str">
        <f>Registered!B2062</f>
        <v>Richards</v>
      </c>
      <c r="B896" s="4" t="str">
        <f>Registered!A2062</f>
        <v>Chelsea</v>
      </c>
      <c r="C896" s="4" t="str">
        <f>IF(Registered!AR2062&gt;0,Registered!AR2062&amp;" Color Bags", "")</f>
        <v>15 Color Bags</v>
      </c>
      <c r="D896" s="4" t="str">
        <f>IF(Registered!AS2062&gt;0,(IF(Registered!AS2062=1,Registered!AS2062&amp;" T-Shirt",Registered!AS2062&amp;" T-Shirts")), "")</f>
        <v/>
      </c>
      <c r="E896" s="4" t="str">
        <f>Registered!AT2062</f>
        <v/>
      </c>
      <c r="F896" s="4" t="str">
        <f>Registered!AU2062</f>
        <v/>
      </c>
      <c r="G896" s="4" t="str">
        <f>Registered!AW2062</f>
        <v/>
      </c>
      <c r="H896" s="4" t="str">
        <f>Registered!AX2062</f>
        <v/>
      </c>
      <c r="I896" s="4" t="str">
        <f>Registered!AY2062</f>
        <v/>
      </c>
    </row>
    <row r="897" spans="1:9" x14ac:dyDescent="0.25">
      <c r="A897" s="4" t="str">
        <f>Registered!B2066</f>
        <v>Richardson</v>
      </c>
      <c r="B897" s="4" t="str">
        <f>Registered!A2066</f>
        <v>Randee</v>
      </c>
      <c r="C897" s="4" t="str">
        <f>IF(Registered!AR2066&gt;0,Registered!AR2066&amp;" Color Bags", "")</f>
        <v>10 Color Bags</v>
      </c>
      <c r="D897" s="4" t="str">
        <f>IF(Registered!AS2066&gt;0,(IF(Registered!AS2066=1,Registered!AS2066&amp;" T-Shirt",Registered!AS2066&amp;" T-Shirts")), "")</f>
        <v/>
      </c>
      <c r="E897" s="4" t="str">
        <f>Registered!AT2066</f>
        <v/>
      </c>
      <c r="F897" s="4" t="str">
        <f>Registered!AU2066</f>
        <v/>
      </c>
      <c r="G897" s="4" t="str">
        <f>Registered!AW2066</f>
        <v/>
      </c>
      <c r="H897" s="4" t="str">
        <f>Registered!AX2066</f>
        <v/>
      </c>
      <c r="I897" s="4" t="str">
        <f>Registered!AY2066</f>
        <v/>
      </c>
    </row>
    <row r="898" spans="1:9" x14ac:dyDescent="0.25">
      <c r="A898" s="4" t="str">
        <f>Registered!B2065</f>
        <v>Richardson</v>
      </c>
      <c r="B898" s="4" t="str">
        <f>Registered!A2065</f>
        <v>Jessica</v>
      </c>
      <c r="C898" s="4" t="str">
        <f>IF(Registered!AR2065&gt;0,Registered!AR2065&amp;" Color Bags", "")</f>
        <v>5 Color Bags</v>
      </c>
      <c r="D898" s="4" t="str">
        <f>IF(Registered!AS2065&gt;0,(IF(Registered!AS2065=1,Registered!AS2065&amp;" T-Shirt",Registered!AS2065&amp;" T-Shirts")), "")</f>
        <v/>
      </c>
      <c r="E898" s="4" t="str">
        <f>Registered!AT2065</f>
        <v/>
      </c>
      <c r="F898" s="4" t="str">
        <f>Registered!AU2065</f>
        <v/>
      </c>
      <c r="G898" s="4" t="str">
        <f>Registered!AW2065</f>
        <v/>
      </c>
      <c r="H898" s="4" t="str">
        <f>Registered!AX2065</f>
        <v/>
      </c>
      <c r="I898" s="4" t="str">
        <f>Registered!AY2065</f>
        <v/>
      </c>
    </row>
    <row r="899" spans="1:9" x14ac:dyDescent="0.25">
      <c r="A899" s="4" t="str">
        <f>Registered!B2067</f>
        <v>Richelieu</v>
      </c>
      <c r="B899" s="4" t="str">
        <f>Registered!A2067</f>
        <v>Tyler</v>
      </c>
      <c r="C899" s="4" t="str">
        <f>IF(Registered!AR2067&gt;0,Registered!AR2067&amp;" Color Bags", "")</f>
        <v>10 Color Bags</v>
      </c>
      <c r="D899" s="4" t="str">
        <f>IF(Registered!AS2067&gt;0,(IF(Registered!AS2067=1,Registered!AS2067&amp;" T-Shirt",Registered!AS2067&amp;" T-Shirts")), "")</f>
        <v>2 T-Shirts</v>
      </c>
      <c r="E899" s="4" t="str">
        <f>Registered!AT2067</f>
        <v>extra small, large</v>
      </c>
      <c r="F899" s="4" t="str">
        <f>Registered!AU2067</f>
        <v/>
      </c>
      <c r="G899" s="4" t="str">
        <f>Registered!AW2067</f>
        <v>2 Meals</v>
      </c>
      <c r="H899" s="4" t="str">
        <f>Registered!AX2067</f>
        <v/>
      </c>
      <c r="I899" s="4" t="str">
        <f>Registered!AY2067</f>
        <v/>
      </c>
    </row>
    <row r="900" spans="1:9" x14ac:dyDescent="0.25">
      <c r="A900" s="4" t="str">
        <f>Registered!B2072</f>
        <v>Rigby</v>
      </c>
      <c r="B900" s="4" t="str">
        <f>Registered!A2072</f>
        <v>Jessica</v>
      </c>
      <c r="C900" s="4" t="str">
        <f>IF(Registered!AR2072&gt;0,Registered!AR2072&amp;" Color Bags", "")</f>
        <v>10 Color Bags</v>
      </c>
      <c r="D900" s="4" t="str">
        <f>IF(Registered!AS2072&gt;0,(IF(Registered!AS2072=1,Registered!AS2072&amp;" T-Shirt",Registered!AS2072&amp;" T-Shirts")), "")</f>
        <v/>
      </c>
      <c r="E900" s="4" t="str">
        <f>Registered!AT2072</f>
        <v/>
      </c>
      <c r="F900" s="4" t="str">
        <f>Registered!AU2072</f>
        <v/>
      </c>
      <c r="G900" s="4" t="str">
        <f>Registered!AW2072</f>
        <v/>
      </c>
      <c r="H900" s="4" t="str">
        <f>Registered!AX2072</f>
        <v/>
      </c>
      <c r="I900" s="4" t="str">
        <f>Registered!AY2072</f>
        <v/>
      </c>
    </row>
    <row r="901" spans="1:9" x14ac:dyDescent="0.25">
      <c r="A901" s="4" t="str">
        <f>Registered!B2075</f>
        <v>Riley</v>
      </c>
      <c r="B901" s="4" t="str">
        <f>Registered!A2075</f>
        <v>Gina</v>
      </c>
      <c r="C901" s="4" t="str">
        <f>IF(Registered!AR2075&gt;0,Registered!AR2075&amp;" Color Bags", "")</f>
        <v>10 Color Bags</v>
      </c>
      <c r="D901" s="4" t="str">
        <f>IF(Registered!AS2075&gt;0,(IF(Registered!AS2075=1,Registered!AS2075&amp;" T-Shirt",Registered!AS2075&amp;" T-Shirts")), "")</f>
        <v/>
      </c>
      <c r="E901" s="4" t="str">
        <f>Registered!AT2075</f>
        <v/>
      </c>
      <c r="F901" s="4" t="str">
        <f>Registered!AU2075</f>
        <v/>
      </c>
      <c r="G901" s="4" t="str">
        <f>Registered!AW2075</f>
        <v/>
      </c>
      <c r="H901" s="4" t="str">
        <f>Registered!AX2075</f>
        <v/>
      </c>
      <c r="I901" s="4" t="str">
        <f>Registered!AY2075</f>
        <v/>
      </c>
    </row>
    <row r="902" spans="1:9" x14ac:dyDescent="0.25">
      <c r="A902" s="4" t="str">
        <f>Registered!B2076</f>
        <v>Rios</v>
      </c>
      <c r="B902" s="4" t="str">
        <f>Registered!A2076</f>
        <v>Cindy</v>
      </c>
      <c r="C902" s="4" t="str">
        <f>IF(Registered!AR2076&gt;0,Registered!AR2076&amp;" Color Bags", "")</f>
        <v>40 Color Bags</v>
      </c>
      <c r="D902" s="4" t="str">
        <f>IF(Registered!AS2076&gt;0,(IF(Registered!AS2076=1,Registered!AS2076&amp;" T-Shirt",Registered!AS2076&amp;" T-Shirts")), "")</f>
        <v/>
      </c>
      <c r="E902" s="4" t="str">
        <f>Registered!AT2076</f>
        <v/>
      </c>
      <c r="F902" s="4" t="str">
        <f>Registered!AU2076</f>
        <v/>
      </c>
      <c r="G902" s="4" t="str">
        <f>Registered!AW2076</f>
        <v/>
      </c>
      <c r="H902" s="4" t="str">
        <f>Registered!AX2076</f>
        <v/>
      </c>
      <c r="I902" s="4" t="str">
        <f>Registered!AY2076</f>
        <v/>
      </c>
    </row>
    <row r="903" spans="1:9" x14ac:dyDescent="0.25">
      <c r="A903" s="4" t="str">
        <f>Registered!B2079</f>
        <v>Ripley</v>
      </c>
      <c r="B903" s="4" t="str">
        <f>Registered!A2079</f>
        <v>Sarah</v>
      </c>
      <c r="C903" s="4" t="str">
        <f>IF(Registered!AR2079&gt;0,Registered!AR2079&amp;" Color Bags", "")</f>
        <v>5 Color Bags</v>
      </c>
      <c r="D903" s="4" t="str">
        <f>IF(Registered!AS2079&gt;0,(IF(Registered!AS2079=1,Registered!AS2079&amp;" T-Shirt",Registered!AS2079&amp;" T-Shirts")), "")</f>
        <v/>
      </c>
      <c r="E903" s="4" t="str">
        <f>Registered!AT2079</f>
        <v/>
      </c>
      <c r="F903" s="4" t="str">
        <f>Registered!AU2079</f>
        <v/>
      </c>
      <c r="G903" s="4" t="str">
        <f>Registered!AW2079</f>
        <v/>
      </c>
      <c r="H903" s="4" t="str">
        <f>Registered!AX2079</f>
        <v/>
      </c>
      <c r="I903" s="4" t="str">
        <f>Registered!AY2079</f>
        <v/>
      </c>
    </row>
    <row r="904" spans="1:9" x14ac:dyDescent="0.25">
      <c r="A904" s="4" t="str">
        <f>Registered!B2080</f>
        <v>Rixey</v>
      </c>
      <c r="B904" s="4" t="str">
        <f>Registered!A2080</f>
        <v>Catherine</v>
      </c>
      <c r="C904" s="4" t="str">
        <f>IF(Registered!AR2080&gt;0,Registered!AR2080&amp;" Color Bags", "")</f>
        <v>25 Color Bags</v>
      </c>
      <c r="D904" s="4" t="str">
        <f>IF(Registered!AS2080&gt;0,(IF(Registered!AS2080=1,Registered!AS2080&amp;" T-Shirt",Registered!AS2080&amp;" T-Shirts")), "")</f>
        <v>2 T-Shirts</v>
      </c>
      <c r="E904" s="4" t="str">
        <f>Registered!AT2080</f>
        <v>1 Large, 1 Medium</v>
      </c>
      <c r="F904" s="4" t="str">
        <f>Registered!AU2080</f>
        <v>2 Bandanas</v>
      </c>
      <c r="G904" s="4" t="str">
        <f>Registered!AW2080</f>
        <v/>
      </c>
      <c r="H904" s="4" t="str">
        <f>Registered!AX2080</f>
        <v/>
      </c>
      <c r="I904" s="4" t="str">
        <f>Registered!AY2080</f>
        <v>2 DustMask</v>
      </c>
    </row>
    <row r="905" spans="1:9" x14ac:dyDescent="0.25">
      <c r="A905" s="4" t="str">
        <f>Registered!B2081</f>
        <v>Rizzo</v>
      </c>
      <c r="B905" s="4" t="str">
        <f>Registered!A2081</f>
        <v>Miranda</v>
      </c>
      <c r="C905" s="4" t="str">
        <f>IF(Registered!AR2081&gt;0,Registered!AR2081&amp;" Color Bags", "")</f>
        <v>5 Color Bags</v>
      </c>
      <c r="D905" s="4" t="str">
        <f>IF(Registered!AS2081&gt;0,(IF(Registered!AS2081=1,Registered!AS2081&amp;" T-Shirt",Registered!AS2081&amp;" T-Shirts")), "")</f>
        <v/>
      </c>
      <c r="E905" s="4" t="str">
        <f>Registered!AT2081</f>
        <v/>
      </c>
      <c r="F905" s="4" t="str">
        <f>Registered!AU2081</f>
        <v/>
      </c>
      <c r="G905" s="4" t="str">
        <f>Registered!AW2081</f>
        <v/>
      </c>
      <c r="H905" s="4" t="str">
        <f>Registered!AX2081</f>
        <v/>
      </c>
      <c r="I905" s="4" t="str">
        <f>Registered!AY2081</f>
        <v/>
      </c>
    </row>
    <row r="906" spans="1:9" x14ac:dyDescent="0.25">
      <c r="A906" s="4" t="str">
        <f>Registered!B2087</f>
        <v>Robinson</v>
      </c>
      <c r="B906" s="4" t="str">
        <f>Registered!A2087</f>
        <v>Skyla</v>
      </c>
      <c r="C906" s="4" t="str">
        <f>IF(Registered!AR2087&gt;0,Registered!AR2087&amp;" Color Bags", "")</f>
        <v>10 Color Bags</v>
      </c>
      <c r="D906" s="4" t="str">
        <f>IF(Registered!AS2087&gt;0,(IF(Registered!AS2087=1,Registered!AS2087&amp;" T-Shirt",Registered!AS2087&amp;" T-Shirts")), "")</f>
        <v/>
      </c>
      <c r="E906" s="4" t="str">
        <f>Registered!AT2087</f>
        <v/>
      </c>
      <c r="F906" s="4" t="str">
        <f>Registered!AU2087</f>
        <v/>
      </c>
      <c r="G906" s="4" t="str">
        <f>Registered!AW2087</f>
        <v/>
      </c>
      <c r="H906" s="4" t="str">
        <f>Registered!AX2087</f>
        <v/>
      </c>
      <c r="I906" s="4" t="str">
        <f>Registered!AY2087</f>
        <v/>
      </c>
    </row>
    <row r="907" spans="1:9" x14ac:dyDescent="0.25">
      <c r="A907" s="4" t="str">
        <f>Registered!B2091</f>
        <v>Robison</v>
      </c>
      <c r="B907" s="4" t="str">
        <f>Registered!A2091</f>
        <v>Kris</v>
      </c>
      <c r="C907" s="4" t="str">
        <f>IF(Registered!AR2091&gt;0,Registered!AR2091&amp;" Color Bags", "")</f>
        <v>20 Color Bags</v>
      </c>
      <c r="D907" s="4" t="str">
        <f>IF(Registered!AS2091&gt;0,(IF(Registered!AS2091=1,Registered!AS2091&amp;" T-Shirt",Registered!AS2091&amp;" T-Shirts")), "")</f>
        <v/>
      </c>
      <c r="E907" s="4" t="str">
        <f>Registered!AT2091</f>
        <v/>
      </c>
      <c r="F907" s="4" t="str">
        <f>Registered!AU2091</f>
        <v/>
      </c>
      <c r="G907" s="4" t="str">
        <f>Registered!AW2091</f>
        <v/>
      </c>
      <c r="H907" s="4" t="str">
        <f>Registered!AX2091</f>
        <v/>
      </c>
      <c r="I907" s="4" t="str">
        <f>Registered!AY2091</f>
        <v/>
      </c>
    </row>
    <row r="908" spans="1:9" x14ac:dyDescent="0.25">
      <c r="A908" s="4" t="str">
        <f>Registered!B2093</f>
        <v>Rockwood</v>
      </c>
      <c r="B908" s="4" t="str">
        <f>Registered!A2093</f>
        <v>Christina</v>
      </c>
      <c r="C908" s="4" t="str">
        <f>IF(Registered!AR2093&gt;0,Registered!AR2093&amp;" Color Bags", "")</f>
        <v>10 Color Bags</v>
      </c>
      <c r="D908" s="4" t="str">
        <f>IF(Registered!AS2093&gt;0,(IF(Registered!AS2093=1,Registered!AS2093&amp;" T-Shirt",Registered!AS2093&amp;" T-Shirts")), "")</f>
        <v/>
      </c>
      <c r="E908" s="4" t="str">
        <f>Registered!AT2093</f>
        <v/>
      </c>
      <c r="F908" s="4" t="str">
        <f>Registered!AU2093</f>
        <v/>
      </c>
      <c r="G908" s="4" t="str">
        <f>Registered!AW2093</f>
        <v/>
      </c>
      <c r="H908" s="4" t="str">
        <f>Registered!AX2093</f>
        <v/>
      </c>
      <c r="I908" s="4" t="str">
        <f>Registered!AY2093</f>
        <v/>
      </c>
    </row>
    <row r="909" spans="1:9" x14ac:dyDescent="0.25">
      <c r="A909" s="4" t="str">
        <f>Registered!B2096</f>
        <v>Rodriguez</v>
      </c>
      <c r="B909" s="4" t="str">
        <f>Registered!A2096</f>
        <v>Veronica</v>
      </c>
      <c r="C909" s="4" t="str">
        <f>IF(Registered!AR2096&gt;0,Registered!AR2096&amp;" Color Bags", "")</f>
        <v>20 Color Bags</v>
      </c>
      <c r="D909" s="4" t="str">
        <f>IF(Registered!AS2096&gt;0,(IF(Registered!AS2096=1,Registered!AS2096&amp;" T-Shirt",Registered!AS2096&amp;" T-Shirts")), "")</f>
        <v/>
      </c>
      <c r="E909" s="4" t="str">
        <f>Registered!AT2096</f>
        <v/>
      </c>
      <c r="F909" s="4" t="str">
        <f>Registered!AU2096</f>
        <v/>
      </c>
      <c r="G909" s="4" t="str">
        <f>Registered!AW2096</f>
        <v/>
      </c>
      <c r="H909" s="4" t="str">
        <f>Registered!AX2096</f>
        <v/>
      </c>
      <c r="I909" s="4" t="str">
        <f>Registered!AY2096</f>
        <v/>
      </c>
    </row>
    <row r="910" spans="1:9" x14ac:dyDescent="0.25">
      <c r="A910" s="4" t="str">
        <f>Registered!B2099</f>
        <v>Rohman</v>
      </c>
      <c r="B910" s="4" t="str">
        <f>Registered!A2099</f>
        <v>Amy</v>
      </c>
      <c r="C910" s="4" t="str">
        <f>IF(Registered!AR2099&gt;0,Registered!AR2099&amp;" Color Bags", "")</f>
        <v>5 Color Bags</v>
      </c>
      <c r="D910" s="4" t="str">
        <f>IF(Registered!AS2099&gt;0,(IF(Registered!AS2099=1,Registered!AS2099&amp;" T-Shirt",Registered!AS2099&amp;" T-Shirts")), "")</f>
        <v/>
      </c>
      <c r="E910" s="4" t="str">
        <f>Registered!AT2099</f>
        <v/>
      </c>
      <c r="F910" s="4" t="str">
        <f>Registered!AU2099</f>
        <v/>
      </c>
      <c r="G910" s="4" t="str">
        <f>Registered!AW2099</f>
        <v/>
      </c>
      <c r="H910" s="4" t="str">
        <f>Registered!AX2099</f>
        <v/>
      </c>
      <c r="I910" s="4" t="str">
        <f>Registered!AY2099</f>
        <v/>
      </c>
    </row>
    <row r="911" spans="1:9" x14ac:dyDescent="0.25">
      <c r="A911" s="4" t="str">
        <f>Registered!B2100</f>
        <v>Rokovitz</v>
      </c>
      <c r="B911" s="4" t="str">
        <f>Registered!A2100</f>
        <v>Amber</v>
      </c>
      <c r="C911" s="4" t="str">
        <f>IF(Registered!AR2100&gt;0,Registered!AR2100&amp;" Color Bags", "")</f>
        <v>5 Color Bags</v>
      </c>
      <c r="D911" s="4" t="str">
        <f>IF(Registered!AS2100&gt;0,(IF(Registered!AS2100=1,Registered!AS2100&amp;" T-Shirt",Registered!AS2100&amp;" T-Shirts")), "")</f>
        <v/>
      </c>
      <c r="E911" s="4" t="str">
        <f>Registered!AT2100</f>
        <v/>
      </c>
      <c r="F911" s="4" t="str">
        <f>Registered!AU2100</f>
        <v/>
      </c>
      <c r="G911" s="4" t="str">
        <f>Registered!AW2100</f>
        <v/>
      </c>
      <c r="H911" s="4" t="str">
        <f>Registered!AX2100</f>
        <v/>
      </c>
      <c r="I911" s="4" t="str">
        <f>Registered!AY2100</f>
        <v/>
      </c>
    </row>
    <row r="912" spans="1:9" x14ac:dyDescent="0.25">
      <c r="A912" s="4" t="str">
        <f>Registered!B2102</f>
        <v>Rolen</v>
      </c>
      <c r="B912" s="4" t="str">
        <f>Registered!A2102</f>
        <v>Phillip</v>
      </c>
      <c r="C912" s="4" t="str">
        <f>IF(Registered!AR2102&gt;0,Registered!AR2102&amp;" Color Bags", "")</f>
        <v>10 Color Bags</v>
      </c>
      <c r="D912" s="4" t="str">
        <f>IF(Registered!AS2102&gt;0,(IF(Registered!AS2102=1,Registered!AS2102&amp;" T-Shirt",Registered!AS2102&amp;" T-Shirts")), "")</f>
        <v>2 T-Shirts</v>
      </c>
      <c r="E912" s="4" t="str">
        <f>Registered!AT2102</f>
        <v>XXL and L</v>
      </c>
      <c r="F912" s="4" t="str">
        <f>Registered!AU2102</f>
        <v/>
      </c>
      <c r="G912" s="4" t="str">
        <f>Registered!AW2102</f>
        <v>2 Meals</v>
      </c>
      <c r="H912" s="4" t="str">
        <f>Registered!AX2102</f>
        <v/>
      </c>
      <c r="I912" s="4" t="str">
        <f>Registered!AY2102</f>
        <v/>
      </c>
    </row>
    <row r="913" spans="1:9" x14ac:dyDescent="0.25">
      <c r="A913" s="4" t="str">
        <f>Registered!B2105</f>
        <v>Romay</v>
      </c>
      <c r="B913" s="4" t="str">
        <f>Registered!A2105</f>
        <v>Diana</v>
      </c>
      <c r="C913" s="4" t="str">
        <f>IF(Registered!AR2105&gt;0,Registered!AR2105&amp;" Color Bags", "")</f>
        <v>20 Color Bags</v>
      </c>
      <c r="D913" s="4" t="str">
        <f>IF(Registered!AS2105&gt;0,(IF(Registered!AS2105=1,Registered!AS2105&amp;" T-Shirt",Registered!AS2105&amp;" T-Shirts")), "")</f>
        <v/>
      </c>
      <c r="E913" s="4" t="str">
        <f>Registered!AT2105</f>
        <v/>
      </c>
      <c r="F913" s="4" t="str">
        <f>Registered!AU2105</f>
        <v/>
      </c>
      <c r="G913" s="4" t="str">
        <f>Registered!AW2105</f>
        <v/>
      </c>
      <c r="H913" s="4" t="str">
        <f>Registered!AX2105</f>
        <v/>
      </c>
      <c r="I913" s="4" t="str">
        <f>Registered!AY2105</f>
        <v/>
      </c>
    </row>
    <row r="914" spans="1:9" x14ac:dyDescent="0.25">
      <c r="A914" s="4" t="str">
        <f>Registered!B2106</f>
        <v>Romo</v>
      </c>
      <c r="B914" s="4" t="str">
        <f>Registered!A2106</f>
        <v>Nicole</v>
      </c>
      <c r="C914" s="4" t="str">
        <f>IF(Registered!AR2106&gt;0,Registered!AR2106&amp;" Color Bags", "")</f>
        <v>10 Color Bags</v>
      </c>
      <c r="D914" s="4" t="str">
        <f>IF(Registered!AS2106&gt;0,(IF(Registered!AS2106=1,Registered!AS2106&amp;" T-Shirt",Registered!AS2106&amp;" T-Shirts")), "")</f>
        <v>1 T-Shirt</v>
      </c>
      <c r="E914" s="4" t="str">
        <f>Registered!AT2106</f>
        <v>Medium</v>
      </c>
      <c r="F914" s="4" t="str">
        <f>Registered!AU2106</f>
        <v>1 Bandana</v>
      </c>
      <c r="G914" s="4" t="str">
        <f>Registered!AW2106</f>
        <v/>
      </c>
      <c r="H914" s="4" t="str">
        <f>Registered!AX2106</f>
        <v/>
      </c>
      <c r="I914" s="4" t="str">
        <f>Registered!AY2106</f>
        <v/>
      </c>
    </row>
    <row r="915" spans="1:9" x14ac:dyDescent="0.25">
      <c r="A915" s="4" t="str">
        <f>Registered!B2111</f>
        <v>Ross</v>
      </c>
      <c r="B915" s="4" t="str">
        <f>Registered!A2111</f>
        <v>Jamie</v>
      </c>
      <c r="C915" s="4" t="str">
        <f>IF(Registered!AR2111&gt;0,Registered!AR2111&amp;" Color Bags", "")</f>
        <v>10 Color Bags</v>
      </c>
      <c r="D915" s="4" t="str">
        <f>IF(Registered!AS2111&gt;0,(IF(Registered!AS2111=1,Registered!AS2111&amp;" T-Shirt",Registered!AS2111&amp;" T-Shirts")), "")</f>
        <v/>
      </c>
      <c r="E915" s="4" t="str">
        <f>Registered!AT2111</f>
        <v/>
      </c>
      <c r="F915" s="4" t="str">
        <f>Registered!AU2111</f>
        <v>2 Bandanas</v>
      </c>
      <c r="G915" s="4" t="str">
        <f>Registered!AW2111</f>
        <v/>
      </c>
      <c r="H915" s="4" t="str">
        <f>Registered!AX2111</f>
        <v/>
      </c>
      <c r="I915" s="4" t="str">
        <f>Registered!AY2111</f>
        <v/>
      </c>
    </row>
    <row r="916" spans="1:9" x14ac:dyDescent="0.25">
      <c r="A916" s="4" t="str">
        <f>Registered!B2114</f>
        <v>Rowan</v>
      </c>
      <c r="B916" s="4" t="str">
        <f>Registered!A2114</f>
        <v>Bree</v>
      </c>
      <c r="C916" s="4" t="str">
        <f>IF(Registered!AR2114&gt;0,Registered!AR2114&amp;" Color Bags", "")</f>
        <v>10 Color Bags</v>
      </c>
      <c r="D916" s="4" t="str">
        <f>IF(Registered!AS2114&gt;0,(IF(Registered!AS2114=1,Registered!AS2114&amp;" T-Shirt",Registered!AS2114&amp;" T-Shirts")), "")</f>
        <v/>
      </c>
      <c r="E916" s="4" t="str">
        <f>Registered!AT2114</f>
        <v/>
      </c>
      <c r="F916" s="4" t="str">
        <f>Registered!AU2114</f>
        <v/>
      </c>
      <c r="G916" s="4" t="str">
        <f>Registered!AW2114</f>
        <v/>
      </c>
      <c r="H916" s="4" t="str">
        <f>Registered!AX2114</f>
        <v/>
      </c>
      <c r="I916" s="4" t="str">
        <f>Registered!AY2114</f>
        <v/>
      </c>
    </row>
    <row r="917" spans="1:9" x14ac:dyDescent="0.25">
      <c r="A917" s="4" t="str">
        <f>Registered!B2119</f>
        <v>Rowsell</v>
      </c>
      <c r="B917" s="4" t="str">
        <f>Registered!A2119</f>
        <v>MaKayla</v>
      </c>
      <c r="C917" s="4" t="str">
        <f>IF(Registered!AR2119&gt;0,Registered!AR2119&amp;" Color Bags", "")</f>
        <v>10 Color Bags</v>
      </c>
      <c r="D917" s="4" t="str">
        <f>IF(Registered!AS2119&gt;0,(IF(Registered!AS2119=1,Registered!AS2119&amp;" T-Shirt",Registered!AS2119&amp;" T-Shirts")), "")</f>
        <v/>
      </c>
      <c r="E917" s="4" t="str">
        <f>Registered!AT2119</f>
        <v/>
      </c>
      <c r="F917" s="4" t="str">
        <f>Registered!AU2119</f>
        <v/>
      </c>
      <c r="G917" s="4" t="str">
        <f>Registered!AW2119</f>
        <v/>
      </c>
      <c r="H917" s="4" t="str">
        <f>Registered!AX2119</f>
        <v/>
      </c>
      <c r="I917" s="4" t="str">
        <f>Registered!AY2119</f>
        <v/>
      </c>
    </row>
    <row r="918" spans="1:9" x14ac:dyDescent="0.25">
      <c r="A918" s="4" t="str">
        <f>Registered!B2120</f>
        <v>Roylance</v>
      </c>
      <c r="B918" s="4" t="str">
        <f>Registered!A2120</f>
        <v>Brooke</v>
      </c>
      <c r="C918" s="4" t="str">
        <f>IF(Registered!AR2120&gt;0,Registered!AR2120&amp;" Color Bags", "")</f>
        <v>10 Color Bags</v>
      </c>
      <c r="D918" s="4" t="str">
        <f>IF(Registered!AS2120&gt;0,(IF(Registered!AS2120=1,Registered!AS2120&amp;" T-Shirt",Registered!AS2120&amp;" T-Shirts")), "")</f>
        <v/>
      </c>
      <c r="E918" s="4" t="str">
        <f>Registered!AT2120</f>
        <v/>
      </c>
      <c r="F918" s="4" t="str">
        <f>Registered!AU2120</f>
        <v>2 Bandanas</v>
      </c>
      <c r="G918" s="4" t="str">
        <f>Registered!AW2120</f>
        <v/>
      </c>
      <c r="H918" s="4" t="str">
        <f>Registered!AX2120</f>
        <v/>
      </c>
      <c r="I918" s="4" t="str">
        <f>Registered!AY2120</f>
        <v/>
      </c>
    </row>
    <row r="919" spans="1:9" x14ac:dyDescent="0.25">
      <c r="A919" s="4" t="str">
        <f>Registered!B2122</f>
        <v>Roylance</v>
      </c>
      <c r="B919" s="4" t="str">
        <f>Registered!A2122</f>
        <v>Staci</v>
      </c>
      <c r="C919" s="4" t="str">
        <f>IF(Registered!AR2122&gt;0,Registered!AR2122&amp;" Color Bags", "")</f>
        <v>10 Color Bags</v>
      </c>
      <c r="D919" s="4" t="str">
        <f>IF(Registered!AS2122&gt;0,(IF(Registered!AS2122=1,Registered!AS2122&amp;" T-Shirt",Registered!AS2122&amp;" T-Shirts")), "")</f>
        <v/>
      </c>
      <c r="E919" s="4" t="str">
        <f>Registered!AT2122</f>
        <v/>
      </c>
      <c r="F919" s="4" t="str">
        <f>Registered!AU2122</f>
        <v/>
      </c>
      <c r="G919" s="4" t="str">
        <f>Registered!AW2122</f>
        <v/>
      </c>
      <c r="H919" s="4" t="str">
        <f>Registered!AX2122</f>
        <v/>
      </c>
      <c r="I919" s="4" t="str">
        <f>Registered!AY2122</f>
        <v/>
      </c>
    </row>
    <row r="920" spans="1:9" x14ac:dyDescent="0.25">
      <c r="A920" s="4" t="str">
        <f>Registered!B2123</f>
        <v>Rueckert</v>
      </c>
      <c r="B920" s="4" t="str">
        <f>Registered!A2123</f>
        <v>Amanda</v>
      </c>
      <c r="C920" s="4" t="str">
        <f>IF(Registered!AR2123&gt;0,Registered!AR2123&amp;" Color Bags", "")</f>
        <v>5 Color Bags</v>
      </c>
      <c r="D920" s="4" t="str">
        <f>IF(Registered!AS2123&gt;0,(IF(Registered!AS2123=1,Registered!AS2123&amp;" T-Shirt",Registered!AS2123&amp;" T-Shirts")), "")</f>
        <v/>
      </c>
      <c r="E920" s="4" t="str">
        <f>Registered!AT2123</f>
        <v/>
      </c>
      <c r="F920" s="4" t="str">
        <f>Registered!AU2123</f>
        <v/>
      </c>
      <c r="G920" s="4" t="str">
        <f>Registered!AW2123</f>
        <v/>
      </c>
      <c r="H920" s="4" t="str">
        <f>Registered!AX2123</f>
        <v/>
      </c>
      <c r="I920" s="4" t="str">
        <f>Registered!AY2123</f>
        <v/>
      </c>
    </row>
    <row r="921" spans="1:9" x14ac:dyDescent="0.25">
      <c r="A921" s="4" t="str">
        <f>Registered!B2128</f>
        <v>Ruyak</v>
      </c>
      <c r="B921" s="4" t="str">
        <f>Registered!A2128</f>
        <v>John</v>
      </c>
      <c r="C921" s="4" t="str">
        <f>IF(Registered!AR2128&gt;0,Registered!AR2128&amp;" Color Bags", "")</f>
        <v>15 Color Bags</v>
      </c>
      <c r="D921" s="4" t="str">
        <f>IF(Registered!AS2128&gt;0,(IF(Registered!AS2128=1,Registered!AS2128&amp;" T-Shirt",Registered!AS2128&amp;" T-Shirts")), "")</f>
        <v/>
      </c>
      <c r="E921" s="4" t="str">
        <f>Registered!AT2128</f>
        <v/>
      </c>
      <c r="F921" s="4" t="str">
        <f>Registered!AU2128</f>
        <v/>
      </c>
      <c r="G921" s="4" t="str">
        <f>Registered!AW2128</f>
        <v/>
      </c>
      <c r="H921" s="4" t="str">
        <f>Registered!AX2128</f>
        <v/>
      </c>
      <c r="I921" s="4" t="str">
        <f>Registered!AY2128</f>
        <v/>
      </c>
    </row>
    <row r="922" spans="1:9" x14ac:dyDescent="0.25">
      <c r="A922" s="4" t="str">
        <f>Registered!B2134</f>
        <v>Sagra</v>
      </c>
      <c r="B922" s="4" t="str">
        <f>Registered!A2134</f>
        <v>Jennifer</v>
      </c>
      <c r="C922" s="4" t="str">
        <f>IF(Registered!AR2134&gt;0,Registered!AR2134&amp;" Color Bags", "")</f>
        <v>20 Color Bags</v>
      </c>
      <c r="D922" s="4" t="str">
        <f>IF(Registered!AS2134&gt;0,(IF(Registered!AS2134=1,Registered!AS2134&amp;" T-Shirt",Registered!AS2134&amp;" T-Shirts")), "")</f>
        <v/>
      </c>
      <c r="E922" s="4" t="str">
        <f>Registered!AT2134</f>
        <v/>
      </c>
      <c r="F922" s="4" t="str">
        <f>Registered!AU2134</f>
        <v/>
      </c>
      <c r="G922" s="4" t="str">
        <f>Registered!AW2134</f>
        <v/>
      </c>
      <c r="H922" s="4" t="str">
        <f>Registered!AX2134</f>
        <v/>
      </c>
      <c r="I922" s="4" t="str">
        <f>Registered!AY2134</f>
        <v/>
      </c>
    </row>
    <row r="923" spans="1:9" x14ac:dyDescent="0.25">
      <c r="A923" s="4" t="str">
        <f>Registered!B2137</f>
        <v>Sakievich</v>
      </c>
      <c r="B923" s="4" t="str">
        <f>Registered!A2137</f>
        <v>Luke</v>
      </c>
      <c r="C923" s="4" t="str">
        <f>IF(Registered!AR2137&gt;0,Registered!AR2137&amp;" Color Bags", "")</f>
        <v>5 Color Bags</v>
      </c>
      <c r="D923" s="4" t="str">
        <f>IF(Registered!AS2137&gt;0,(IF(Registered!AS2137=1,Registered!AS2137&amp;" T-Shirt",Registered!AS2137&amp;" T-Shirts")), "")</f>
        <v/>
      </c>
      <c r="E923" s="4" t="str">
        <f>Registered!AT2137</f>
        <v/>
      </c>
      <c r="F923" s="4" t="str">
        <f>Registered!AU2137</f>
        <v/>
      </c>
      <c r="G923" s="4" t="str">
        <f>Registered!AW2137</f>
        <v/>
      </c>
      <c r="H923" s="4" t="str">
        <f>Registered!AX2137</f>
        <v/>
      </c>
      <c r="I923" s="4" t="str">
        <f>Registered!AY2137</f>
        <v/>
      </c>
    </row>
    <row r="924" spans="1:9" x14ac:dyDescent="0.25">
      <c r="A924" s="4" t="str">
        <f>Registered!B2139</f>
        <v>Salazar</v>
      </c>
      <c r="B924" s="4" t="str">
        <f>Registered!A2139</f>
        <v>David</v>
      </c>
      <c r="C924" s="4" t="str">
        <f>IF(Registered!AR2139&gt;0,Registered!AR2139&amp;" Color Bags", "")</f>
        <v>15 Color Bags</v>
      </c>
      <c r="D924" s="4" t="str">
        <f>IF(Registered!AS2139&gt;0,(IF(Registered!AS2139=1,Registered!AS2139&amp;" T-Shirt",Registered!AS2139&amp;" T-Shirts")), "")</f>
        <v>3 T-Shirts</v>
      </c>
      <c r="E924" s="4" t="str">
        <f>Registered!AT2139</f>
        <v>Two - Medium shirts, One - Large shirt</v>
      </c>
      <c r="F924" s="4" t="str">
        <f>Registered!AU2139</f>
        <v/>
      </c>
      <c r="G924" s="4" t="str">
        <f>Registered!AW2139</f>
        <v>3 Meals</v>
      </c>
      <c r="H924" s="4" t="str">
        <f>Registered!AX2139</f>
        <v/>
      </c>
      <c r="I924" s="4" t="str">
        <f>Registered!AY2139</f>
        <v/>
      </c>
    </row>
    <row r="925" spans="1:9" x14ac:dyDescent="0.25">
      <c r="A925" s="4" t="str">
        <f>Registered!B2140</f>
        <v>Salinas</v>
      </c>
      <c r="B925" s="4" t="str">
        <f>Registered!A2140</f>
        <v>Caitlin</v>
      </c>
      <c r="C925" s="4" t="str">
        <f>IF(Registered!AR2140&gt;0,Registered!AR2140&amp;" Color Bags", "")</f>
        <v>5 Color Bags</v>
      </c>
      <c r="D925" s="4" t="str">
        <f>IF(Registered!AS2140&gt;0,(IF(Registered!AS2140=1,Registered!AS2140&amp;" T-Shirt",Registered!AS2140&amp;" T-Shirts")), "")</f>
        <v>1 T-Shirt</v>
      </c>
      <c r="E925" s="4" t="str">
        <f>Registered!AT2140</f>
        <v>M</v>
      </c>
      <c r="F925" s="4" t="str">
        <f>Registered!AU2140</f>
        <v/>
      </c>
      <c r="G925" s="4" t="str">
        <f>Registered!AW2140</f>
        <v>1 Meal</v>
      </c>
      <c r="H925" s="4" t="str">
        <f>Registered!AX2140</f>
        <v/>
      </c>
      <c r="I925" s="4" t="str">
        <f>Registered!AY2140</f>
        <v/>
      </c>
    </row>
    <row r="926" spans="1:9" x14ac:dyDescent="0.25">
      <c r="A926" s="4" t="str">
        <f>Registered!B2141</f>
        <v>Salinas</v>
      </c>
      <c r="B926" s="4" t="str">
        <f>Registered!A2141</f>
        <v>Heather</v>
      </c>
      <c r="C926" s="4" t="str">
        <f>IF(Registered!AR2141&gt;0,Registered!AR2141&amp;" Color Bags", "")</f>
        <v>5 Color Bags</v>
      </c>
      <c r="D926" s="4" t="str">
        <f>IF(Registered!AS2141&gt;0,(IF(Registered!AS2141=1,Registered!AS2141&amp;" T-Shirt",Registered!AS2141&amp;" T-Shirts")), "")</f>
        <v/>
      </c>
      <c r="E926" s="4" t="str">
        <f>Registered!AT2141</f>
        <v/>
      </c>
      <c r="F926" s="4" t="str">
        <f>Registered!AU2141</f>
        <v>1 Bandana</v>
      </c>
      <c r="G926" s="4" t="str">
        <f>Registered!AW2141</f>
        <v/>
      </c>
      <c r="H926" s="4" t="str">
        <f>Registered!AX2141</f>
        <v/>
      </c>
      <c r="I926" s="4" t="str">
        <f>Registered!AY2141</f>
        <v/>
      </c>
    </row>
    <row r="927" spans="1:9" x14ac:dyDescent="0.25">
      <c r="A927" s="4" t="str">
        <f>Registered!B2146</f>
        <v>Sanchez</v>
      </c>
      <c r="B927" s="4" t="str">
        <f>Registered!A2146</f>
        <v>Curtis</v>
      </c>
      <c r="C927" s="4" t="str">
        <f>IF(Registered!AR2146&gt;0,Registered!AR2146&amp;" Color Bags", "")</f>
        <v>20 Color Bags</v>
      </c>
      <c r="D927" s="4" t="str">
        <f>IF(Registered!AS2146&gt;0,(IF(Registered!AS2146=1,Registered!AS2146&amp;" T-Shirt",Registered!AS2146&amp;" T-Shirts")), "")</f>
        <v/>
      </c>
      <c r="E927" s="4" t="str">
        <f>Registered!AT2146</f>
        <v/>
      </c>
      <c r="F927" s="4" t="str">
        <f>Registered!AU2146</f>
        <v>2 Bandanas</v>
      </c>
      <c r="G927" s="4" t="str">
        <f>Registered!AW2146</f>
        <v/>
      </c>
      <c r="H927" s="4" t="str">
        <f>Registered!AX2146</f>
        <v/>
      </c>
      <c r="I927" s="4" t="str">
        <f>Registered!AY2146</f>
        <v/>
      </c>
    </row>
    <row r="928" spans="1:9" x14ac:dyDescent="0.25">
      <c r="A928" s="4" t="str">
        <f>Registered!B2151</f>
        <v>Sanderson</v>
      </c>
      <c r="B928" s="4" t="str">
        <f>Registered!A2151</f>
        <v>Terry</v>
      </c>
      <c r="C928" s="4" t="str">
        <f>IF(Registered!AR2151&gt;0,Registered!AR2151&amp;" Color Bags", "")</f>
        <v>10 Color Bags</v>
      </c>
      <c r="D928" s="4" t="str">
        <f>IF(Registered!AS2151&gt;0,(IF(Registered!AS2151=1,Registered!AS2151&amp;" T-Shirt",Registered!AS2151&amp;" T-Shirts")), "")</f>
        <v/>
      </c>
      <c r="E928" s="4" t="str">
        <f>Registered!AT2151</f>
        <v/>
      </c>
      <c r="F928" s="4" t="str">
        <f>Registered!AU2151</f>
        <v/>
      </c>
      <c r="G928" s="4" t="str">
        <f>Registered!AW2151</f>
        <v/>
      </c>
      <c r="H928" s="4" t="str">
        <f>Registered!AX2151</f>
        <v/>
      </c>
      <c r="I928" s="4" t="str">
        <f>Registered!AY2151</f>
        <v/>
      </c>
    </row>
    <row r="929" spans="1:9" x14ac:dyDescent="0.25">
      <c r="A929" s="4" t="str">
        <f>Registered!B2152</f>
        <v>Sandford</v>
      </c>
      <c r="B929" s="4" t="str">
        <f>Registered!A2152</f>
        <v>Brian</v>
      </c>
      <c r="C929" s="4" t="str">
        <f>IF(Registered!AR2152&gt;0,Registered!AR2152&amp;" Color Bags", "")</f>
        <v>10 Color Bags</v>
      </c>
      <c r="D929" s="4" t="str">
        <f>IF(Registered!AS2152&gt;0,(IF(Registered!AS2152=1,Registered!AS2152&amp;" T-Shirt",Registered!AS2152&amp;" T-Shirts")), "")</f>
        <v>2 T-Shirts</v>
      </c>
      <c r="E929" s="4" t="str">
        <f>Registered!AT2152</f>
        <v>two Mediums</v>
      </c>
      <c r="F929" s="4" t="str">
        <f>Registered!AU2152</f>
        <v/>
      </c>
      <c r="G929" s="4" t="str">
        <f>Registered!AW2152</f>
        <v>2 Meals</v>
      </c>
      <c r="H929" s="4" t="str">
        <f>Registered!AX2152</f>
        <v/>
      </c>
      <c r="I929" s="4" t="str">
        <f>Registered!AY2152</f>
        <v/>
      </c>
    </row>
    <row r="930" spans="1:9" x14ac:dyDescent="0.25">
      <c r="A930" s="4" t="str">
        <f>Registered!B2153</f>
        <v>Sandoval</v>
      </c>
      <c r="B930" s="4" t="str">
        <f>Registered!A2153</f>
        <v>Carrie</v>
      </c>
      <c r="C930" s="4" t="str">
        <f>IF(Registered!AR2153&gt;0,Registered!AR2153&amp;" Color Bags", "")</f>
        <v>5 Color Bags</v>
      </c>
      <c r="D930" s="4" t="str">
        <f>IF(Registered!AS2153&gt;0,(IF(Registered!AS2153=1,Registered!AS2153&amp;" T-Shirt",Registered!AS2153&amp;" T-Shirts")), "")</f>
        <v>1 T-Shirt</v>
      </c>
      <c r="E930" s="4" t="str">
        <f>Registered!AT2153</f>
        <v>medium</v>
      </c>
      <c r="F930" s="4" t="str">
        <f>Registered!AU2153</f>
        <v/>
      </c>
      <c r="G930" s="4" t="str">
        <f>Registered!AW2153</f>
        <v/>
      </c>
      <c r="H930" s="4" t="str">
        <f>Registered!AX2153</f>
        <v/>
      </c>
      <c r="I930" s="4" t="str">
        <f>Registered!AY2153</f>
        <v>3 DustMask</v>
      </c>
    </row>
    <row r="931" spans="1:9" x14ac:dyDescent="0.25">
      <c r="A931" s="4" t="str">
        <f>Registered!B2156</f>
        <v>Sanford</v>
      </c>
      <c r="B931" s="4" t="str">
        <f>Registered!A2156</f>
        <v>Taylor</v>
      </c>
      <c r="C931" s="4" t="str">
        <f>IF(Registered!AR2156&gt;0,Registered!AR2156&amp;" Color Bags", "")</f>
        <v>10 Color Bags</v>
      </c>
      <c r="D931" s="4" t="str">
        <f>IF(Registered!AS2156&gt;0,(IF(Registered!AS2156=1,Registered!AS2156&amp;" T-Shirt",Registered!AS2156&amp;" T-Shirts")), "")</f>
        <v>2 T-Shirts</v>
      </c>
      <c r="E931" s="4" t="str">
        <f>Registered!AT2156</f>
        <v>Small and Medium</v>
      </c>
      <c r="F931" s="4" t="str">
        <f>Registered!AU2156</f>
        <v>2 Bandanas</v>
      </c>
      <c r="G931" s="4" t="str">
        <f>Registered!AW2156</f>
        <v/>
      </c>
      <c r="H931" s="4" t="str">
        <f>Registered!AX2156</f>
        <v/>
      </c>
      <c r="I931" s="4" t="str">
        <f>Registered!AY2156</f>
        <v/>
      </c>
    </row>
    <row r="932" spans="1:9" x14ac:dyDescent="0.25">
      <c r="A932" s="4" t="str">
        <f>Registered!B2157</f>
        <v>Santos</v>
      </c>
      <c r="B932" s="4" t="str">
        <f>Registered!A2157</f>
        <v>Fatima</v>
      </c>
      <c r="C932" s="4" t="str">
        <f>IF(Registered!AR2157&gt;0,Registered!AR2157&amp;" Color Bags", "")</f>
        <v>5 Color Bags</v>
      </c>
      <c r="D932" s="4" t="str">
        <f>IF(Registered!AS2157&gt;0,(IF(Registered!AS2157=1,Registered!AS2157&amp;" T-Shirt",Registered!AS2157&amp;" T-Shirts")), "")</f>
        <v/>
      </c>
      <c r="E932" s="4" t="str">
        <f>Registered!AT2157</f>
        <v/>
      </c>
      <c r="F932" s="4" t="str">
        <f>Registered!AU2157</f>
        <v/>
      </c>
      <c r="G932" s="4" t="str">
        <f>Registered!AW2157</f>
        <v/>
      </c>
      <c r="H932" s="4" t="str">
        <f>Registered!AX2157</f>
        <v/>
      </c>
      <c r="I932" s="4" t="str">
        <f>Registered!AY2157</f>
        <v/>
      </c>
    </row>
    <row r="933" spans="1:9" x14ac:dyDescent="0.25">
      <c r="A933" s="4" t="str">
        <f>Registered!B2159</f>
        <v>Sarraf</v>
      </c>
      <c r="B933" s="4" t="str">
        <f>Registered!A2159</f>
        <v>Soraya</v>
      </c>
      <c r="C933" s="4" t="str">
        <f>IF(Registered!AR2159&gt;0,Registered!AR2159&amp;" Color Bags", "")</f>
        <v>5 Color Bags</v>
      </c>
      <c r="D933" s="4" t="str">
        <f>IF(Registered!AS2159&gt;0,(IF(Registered!AS2159=1,Registered!AS2159&amp;" T-Shirt",Registered!AS2159&amp;" T-Shirts")), "")</f>
        <v/>
      </c>
      <c r="E933" s="4" t="str">
        <f>Registered!AT2159</f>
        <v/>
      </c>
      <c r="F933" s="4" t="str">
        <f>Registered!AU2159</f>
        <v/>
      </c>
      <c r="G933" s="4" t="str">
        <f>Registered!AW2159</f>
        <v/>
      </c>
      <c r="H933" s="4" t="str">
        <f>Registered!AX2159</f>
        <v/>
      </c>
      <c r="I933" s="4" t="str">
        <f>Registered!AY2159</f>
        <v/>
      </c>
    </row>
    <row r="934" spans="1:9" x14ac:dyDescent="0.25">
      <c r="A934" s="4" t="str">
        <f>Registered!B2163</f>
        <v>Schjelderup</v>
      </c>
      <c r="B934" s="4" t="str">
        <f>Registered!A2163</f>
        <v>Mia</v>
      </c>
      <c r="C934" s="4" t="str">
        <f>IF(Registered!AR2163&gt;0,Registered!AR2163&amp;" Color Bags", "")</f>
        <v>10 Color Bags</v>
      </c>
      <c r="D934" s="4" t="str">
        <f>IF(Registered!AS2163&gt;0,(IF(Registered!AS2163=1,Registered!AS2163&amp;" T-Shirt",Registered!AS2163&amp;" T-Shirts")), "")</f>
        <v/>
      </c>
      <c r="E934" s="4" t="str">
        <f>Registered!AT2163</f>
        <v/>
      </c>
      <c r="F934" s="4" t="str">
        <f>Registered!AU2163</f>
        <v/>
      </c>
      <c r="G934" s="4" t="str">
        <f>Registered!AW2163</f>
        <v>6 Meals</v>
      </c>
      <c r="H934" s="4" t="str">
        <f>Registered!AX2163</f>
        <v/>
      </c>
      <c r="I934" s="4" t="str">
        <f>Registered!AY2163</f>
        <v/>
      </c>
    </row>
    <row r="935" spans="1:9" x14ac:dyDescent="0.25">
      <c r="A935" s="4" t="str">
        <f>Registered!B2165</f>
        <v>Schmitt</v>
      </c>
      <c r="B935" s="4" t="str">
        <f>Registered!A2165</f>
        <v>Charles</v>
      </c>
      <c r="C935" s="4" t="str">
        <f>IF(Registered!AR2165&gt;0,Registered!AR2165&amp;" Color Bags", "")</f>
        <v>10 Color Bags</v>
      </c>
      <c r="D935" s="4" t="str">
        <f>IF(Registered!AS2165&gt;0,(IF(Registered!AS2165=1,Registered!AS2165&amp;" T-Shirt",Registered!AS2165&amp;" T-Shirts")), "")</f>
        <v/>
      </c>
      <c r="E935" s="4" t="str">
        <f>Registered!AT2165</f>
        <v/>
      </c>
      <c r="F935" s="4" t="str">
        <f>Registered!AU2165</f>
        <v/>
      </c>
      <c r="G935" s="4" t="str">
        <f>Registered!AW2165</f>
        <v/>
      </c>
      <c r="H935" s="4" t="str">
        <f>Registered!AX2165</f>
        <v/>
      </c>
      <c r="I935" s="4" t="str">
        <f>Registered!AY2165</f>
        <v/>
      </c>
    </row>
    <row r="936" spans="1:9" x14ac:dyDescent="0.25">
      <c r="A936" s="4" t="str">
        <f>Registered!B2166</f>
        <v>Schofield</v>
      </c>
      <c r="B936" s="4" t="str">
        <f>Registered!A2166</f>
        <v>Mallory</v>
      </c>
      <c r="C936" s="4" t="str">
        <f>IF(Registered!AR2166&gt;0,Registered!AR2166&amp;" Color Bags", "")</f>
        <v>10 Color Bags</v>
      </c>
      <c r="D936" s="4" t="str">
        <f>IF(Registered!AS2166&gt;0,(IF(Registered!AS2166=1,Registered!AS2166&amp;" T-Shirt",Registered!AS2166&amp;" T-Shirts")), "")</f>
        <v/>
      </c>
      <c r="E936" s="4" t="str">
        <f>Registered!AT2166</f>
        <v/>
      </c>
      <c r="F936" s="4" t="str">
        <f>Registered!AU2166</f>
        <v/>
      </c>
      <c r="G936" s="4" t="str">
        <f>Registered!AW2166</f>
        <v/>
      </c>
      <c r="H936" s="4" t="str">
        <f>Registered!AX2166</f>
        <v/>
      </c>
      <c r="I936" s="4" t="str">
        <f>Registered!AY2166</f>
        <v/>
      </c>
    </row>
    <row r="937" spans="1:9" x14ac:dyDescent="0.25">
      <c r="A937" s="4" t="str">
        <f>Registered!B2168</f>
        <v>Schofield</v>
      </c>
      <c r="B937" s="4" t="str">
        <f>Registered!A2168</f>
        <v>Tenley</v>
      </c>
      <c r="C937" s="4" t="str">
        <f>IF(Registered!AR2168&gt;0,Registered!AR2168&amp;" Color Bags", "")</f>
        <v>10 Color Bags</v>
      </c>
      <c r="D937" s="4" t="str">
        <f>IF(Registered!AS2168&gt;0,(IF(Registered!AS2168=1,Registered!AS2168&amp;" T-Shirt",Registered!AS2168&amp;" T-Shirts")), "")</f>
        <v/>
      </c>
      <c r="E937" s="4" t="str">
        <f>Registered!AT2168</f>
        <v/>
      </c>
      <c r="F937" s="4" t="str">
        <f>Registered!AU2168</f>
        <v/>
      </c>
      <c r="G937" s="4" t="str">
        <f>Registered!AW2168</f>
        <v>5 Meals</v>
      </c>
      <c r="H937" s="4" t="str">
        <f>Registered!AX2168</f>
        <v/>
      </c>
      <c r="I937" s="4" t="str">
        <f>Registered!AY2168</f>
        <v/>
      </c>
    </row>
    <row r="938" spans="1:9" x14ac:dyDescent="0.25">
      <c r="A938" s="4" t="str">
        <f>Registered!B2169</f>
        <v>Scholes</v>
      </c>
      <c r="B938" s="4" t="str">
        <f>Registered!A2169</f>
        <v>Jocelyn</v>
      </c>
      <c r="C938" s="4" t="str">
        <f>IF(Registered!AR2169&gt;0,Registered!AR2169&amp;" Color Bags", "")</f>
        <v>5 Color Bags</v>
      </c>
      <c r="D938" s="4" t="str">
        <f>IF(Registered!AS2169&gt;0,(IF(Registered!AS2169=1,Registered!AS2169&amp;" T-Shirt",Registered!AS2169&amp;" T-Shirts")), "")</f>
        <v/>
      </c>
      <c r="E938" s="4" t="str">
        <f>Registered!AT2169</f>
        <v/>
      </c>
      <c r="F938" s="4" t="str">
        <f>Registered!AU2169</f>
        <v/>
      </c>
      <c r="G938" s="4" t="str">
        <f>Registered!AW2169</f>
        <v/>
      </c>
      <c r="H938" s="4" t="str">
        <f>Registered!AX2169</f>
        <v/>
      </c>
      <c r="I938" s="4" t="str">
        <f>Registered!AY2169</f>
        <v/>
      </c>
    </row>
    <row r="939" spans="1:9" x14ac:dyDescent="0.25">
      <c r="A939" s="4" t="str">
        <f>Registered!B2170</f>
        <v>Schultz</v>
      </c>
      <c r="B939" s="4" t="str">
        <f>Registered!A2170</f>
        <v>Paige</v>
      </c>
      <c r="C939" s="4" t="str">
        <f>IF(Registered!AR2170&gt;0,Registered!AR2170&amp;" Color Bags", "")</f>
        <v>5 Color Bags</v>
      </c>
      <c r="D939" s="4" t="str">
        <f>IF(Registered!AS2170&gt;0,(IF(Registered!AS2170=1,Registered!AS2170&amp;" T-Shirt",Registered!AS2170&amp;" T-Shirts")), "")</f>
        <v>1 T-Shirt</v>
      </c>
      <c r="E939" s="4" t="str">
        <f>Registered!AT2170</f>
        <v>Adult Small</v>
      </c>
      <c r="F939" s="4" t="str">
        <f>Registered!AU2170</f>
        <v/>
      </c>
      <c r="G939" s="4" t="str">
        <f>Registered!AW2170</f>
        <v>1 Meal</v>
      </c>
      <c r="H939" s="4" t="str">
        <f>Registered!AX2170</f>
        <v/>
      </c>
      <c r="I939" s="4" t="str">
        <f>Registered!AY2170</f>
        <v/>
      </c>
    </row>
    <row r="940" spans="1:9" x14ac:dyDescent="0.25">
      <c r="A940" s="4" t="str">
        <f>Registered!B2172</f>
        <v>Schwertfeger</v>
      </c>
      <c r="B940" s="4" t="str">
        <f>Registered!A2172</f>
        <v>Rebecca</v>
      </c>
      <c r="C940" s="4" t="str">
        <f>IF(Registered!AR2172&gt;0,Registered!AR2172&amp;" Color Bags", "")</f>
        <v>10 Color Bags</v>
      </c>
      <c r="D940" s="4" t="str">
        <f>IF(Registered!AS2172&gt;0,(IF(Registered!AS2172=1,Registered!AS2172&amp;" T-Shirt",Registered!AS2172&amp;" T-Shirts")), "")</f>
        <v>2 T-Shirts</v>
      </c>
      <c r="E940" s="4" t="str">
        <f>Registered!AT2172</f>
        <v>extra large</v>
      </c>
      <c r="F940" s="4" t="str">
        <f>Registered!AU2172</f>
        <v/>
      </c>
      <c r="G940" s="4" t="str">
        <f>Registered!AW2172</f>
        <v/>
      </c>
      <c r="H940" s="4" t="str">
        <f>Registered!AX2172</f>
        <v/>
      </c>
      <c r="I940" s="4" t="str">
        <f>Registered!AY2172</f>
        <v/>
      </c>
    </row>
    <row r="941" spans="1:9" x14ac:dyDescent="0.25">
      <c r="A941" s="4" t="str">
        <f>Registered!B2177</f>
        <v>Seagren</v>
      </c>
      <c r="B941" s="4" t="str">
        <f>Registered!A2177</f>
        <v>Angie</v>
      </c>
      <c r="C941" s="4" t="str">
        <f>IF(Registered!AR2177&gt;0,Registered!AR2177&amp;" Color Bags", "")</f>
        <v>10 Color Bags</v>
      </c>
      <c r="D941" s="4" t="str">
        <f>IF(Registered!AS2177&gt;0,(IF(Registered!AS2177=1,Registered!AS2177&amp;" T-Shirt",Registered!AS2177&amp;" T-Shirts")), "")</f>
        <v/>
      </c>
      <c r="E941" s="4" t="str">
        <f>Registered!AT2177</f>
        <v/>
      </c>
      <c r="F941" s="4" t="str">
        <f>Registered!AU2177</f>
        <v/>
      </c>
      <c r="G941" s="4" t="str">
        <f>Registered!AW2177</f>
        <v/>
      </c>
      <c r="H941" s="4" t="str">
        <f>Registered!AX2177</f>
        <v/>
      </c>
      <c r="I941" s="4" t="str">
        <f>Registered!AY2177</f>
        <v/>
      </c>
    </row>
    <row r="942" spans="1:9" x14ac:dyDescent="0.25">
      <c r="A942" s="4" t="str">
        <f>Registered!B2178</f>
        <v>Seamons</v>
      </c>
      <c r="B942" s="4" t="str">
        <f>Registered!A2178</f>
        <v>Erica</v>
      </c>
      <c r="C942" s="4" t="str">
        <f>IF(Registered!AR2178&gt;0,Registered!AR2178&amp;" Color Bags", "")</f>
        <v>5 Color Bags</v>
      </c>
      <c r="D942" s="4" t="str">
        <f>IF(Registered!AS2178&gt;0,(IF(Registered!AS2178=1,Registered!AS2178&amp;" T-Shirt",Registered!AS2178&amp;" T-Shirts")), "")</f>
        <v/>
      </c>
      <c r="E942" s="4" t="str">
        <f>Registered!AT2178</f>
        <v/>
      </c>
      <c r="F942" s="4" t="str">
        <f>Registered!AU2178</f>
        <v/>
      </c>
      <c r="G942" s="4" t="str">
        <f>Registered!AW2178</f>
        <v/>
      </c>
      <c r="H942" s="4" t="str">
        <f>Registered!AX2178</f>
        <v/>
      </c>
      <c r="I942" s="4" t="str">
        <f>Registered!AY2178</f>
        <v/>
      </c>
    </row>
    <row r="943" spans="1:9" x14ac:dyDescent="0.25">
      <c r="A943" s="4" t="str">
        <f>Registered!B2179</f>
        <v>Sears</v>
      </c>
      <c r="B943" s="4" t="str">
        <f>Registered!A2179</f>
        <v>Angela</v>
      </c>
      <c r="C943" s="4" t="str">
        <f>IF(Registered!AR2179&gt;0,Registered!AR2179&amp;" Color Bags", "")</f>
        <v>10 Color Bags</v>
      </c>
      <c r="D943" s="4" t="str">
        <f>IF(Registered!AS2179&gt;0,(IF(Registered!AS2179=1,Registered!AS2179&amp;" T-Shirt",Registered!AS2179&amp;" T-Shirts")), "")</f>
        <v/>
      </c>
      <c r="E943" s="4" t="str">
        <f>Registered!AT2179</f>
        <v/>
      </c>
      <c r="F943" s="4" t="str">
        <f>Registered!AU2179</f>
        <v/>
      </c>
      <c r="G943" s="4" t="str">
        <f>Registered!AW2179</f>
        <v/>
      </c>
      <c r="H943" s="4" t="str">
        <f>Registered!AX2179</f>
        <v/>
      </c>
      <c r="I943" s="4" t="str">
        <f>Registered!AY2179</f>
        <v/>
      </c>
    </row>
    <row r="944" spans="1:9" x14ac:dyDescent="0.25">
      <c r="A944" s="4" t="str">
        <f>Registered!B2180</f>
        <v>Seastrand</v>
      </c>
      <c r="B944" s="4" t="str">
        <f>Registered!A2180</f>
        <v>Jake</v>
      </c>
      <c r="C944" s="4" t="str">
        <f>IF(Registered!AR2180&gt;0,Registered!AR2180&amp;" Color Bags", "")</f>
        <v>10 Color Bags</v>
      </c>
      <c r="D944" s="4" t="str">
        <f>IF(Registered!AS2180&gt;0,(IF(Registered!AS2180=1,Registered!AS2180&amp;" T-Shirt",Registered!AS2180&amp;" T-Shirts")), "")</f>
        <v/>
      </c>
      <c r="E944" s="4" t="str">
        <f>Registered!AT2180</f>
        <v/>
      </c>
      <c r="F944" s="4" t="str">
        <f>Registered!AU2180</f>
        <v>1 Bandana</v>
      </c>
      <c r="G944" s="4" t="str">
        <f>Registered!AW2180</f>
        <v/>
      </c>
      <c r="H944" s="4" t="str">
        <f>Registered!AX2180</f>
        <v/>
      </c>
      <c r="I944" s="4" t="str">
        <f>Registered!AY2180</f>
        <v/>
      </c>
    </row>
    <row r="945" spans="1:9" x14ac:dyDescent="0.25">
      <c r="A945" s="4" t="str">
        <f>Registered!B2183</f>
        <v>Seely</v>
      </c>
      <c r="B945" s="4" t="str">
        <f>Registered!A2183</f>
        <v>Ann</v>
      </c>
      <c r="C945" s="4" t="str">
        <f>IF(Registered!AR2183&gt;0,Registered!AR2183&amp;" Color Bags", "")</f>
        <v>10 Color Bags</v>
      </c>
      <c r="D945" s="4" t="str">
        <f>IF(Registered!AS2183&gt;0,(IF(Registered!AS2183=1,Registered!AS2183&amp;" T-Shirt",Registered!AS2183&amp;" T-Shirts")), "")</f>
        <v/>
      </c>
      <c r="E945" s="4" t="str">
        <f>Registered!AT2183</f>
        <v/>
      </c>
      <c r="F945" s="4" t="str">
        <f>Registered!AU2183</f>
        <v/>
      </c>
      <c r="G945" s="4" t="str">
        <f>Registered!AW2183</f>
        <v/>
      </c>
      <c r="H945" s="4" t="str">
        <f>Registered!AX2183</f>
        <v/>
      </c>
      <c r="I945" s="4" t="str">
        <f>Registered!AY2183</f>
        <v/>
      </c>
    </row>
    <row r="946" spans="1:9" x14ac:dyDescent="0.25">
      <c r="A946" s="4" t="str">
        <f>Registered!B2184</f>
        <v>Seely</v>
      </c>
      <c r="B946" s="4" t="str">
        <f>Registered!A2184</f>
        <v>Becky</v>
      </c>
      <c r="C946" s="4" t="str">
        <f>IF(Registered!AR2184&gt;0,Registered!AR2184&amp;" Color Bags", "")</f>
        <v>30 Color Bags</v>
      </c>
      <c r="D946" s="4" t="str">
        <f>IF(Registered!AS2184&gt;0,(IF(Registered!AS2184=1,Registered!AS2184&amp;" T-Shirt",Registered!AS2184&amp;" T-Shirts")), "")</f>
        <v/>
      </c>
      <c r="E946" s="4" t="str">
        <f>Registered!AT2184</f>
        <v/>
      </c>
      <c r="F946" s="4" t="str">
        <f>Registered!AU2184</f>
        <v/>
      </c>
      <c r="G946" s="4" t="str">
        <f>Registered!AW2184</f>
        <v/>
      </c>
      <c r="H946" s="4" t="str">
        <f>Registered!AX2184</f>
        <v/>
      </c>
      <c r="I946" s="4" t="str">
        <f>Registered!AY2184</f>
        <v/>
      </c>
    </row>
    <row r="947" spans="1:9" x14ac:dyDescent="0.25">
      <c r="A947" s="4" t="str">
        <f>Registered!B2188</f>
        <v>Segalla</v>
      </c>
      <c r="B947" s="4" t="str">
        <f>Registered!A2188</f>
        <v>Rachel</v>
      </c>
      <c r="C947" s="4" t="str">
        <f>IF(Registered!AR2188&gt;0,Registered!AR2188&amp;" Color Bags", "")</f>
        <v>10 Color Bags</v>
      </c>
      <c r="D947" s="4" t="str">
        <f>IF(Registered!AS2188&gt;0,(IF(Registered!AS2188=1,Registered!AS2188&amp;" T-Shirt",Registered!AS2188&amp;" T-Shirts")), "")</f>
        <v/>
      </c>
      <c r="E947" s="4" t="str">
        <f>Registered!AT2188</f>
        <v/>
      </c>
      <c r="F947" s="4" t="str">
        <f>Registered!AU2188</f>
        <v>3 Bandanas</v>
      </c>
      <c r="G947" s="4" t="str">
        <f>Registered!AW2188</f>
        <v/>
      </c>
      <c r="H947" s="4" t="str">
        <f>Registered!AX2188</f>
        <v/>
      </c>
      <c r="I947" s="4" t="str">
        <f>Registered!AY2188</f>
        <v/>
      </c>
    </row>
    <row r="948" spans="1:9" x14ac:dyDescent="0.25">
      <c r="A948" s="4" t="str">
        <f>Registered!B2189</f>
        <v>Segalla</v>
      </c>
      <c r="B948" s="4" t="str">
        <f>Registered!A2189</f>
        <v>Tony</v>
      </c>
      <c r="C948" s="4" t="str">
        <f>IF(Registered!AR2189&gt;0,Registered!AR2189&amp;" Color Bags", "")</f>
        <v>10 Color Bags</v>
      </c>
      <c r="D948" s="4" t="str">
        <f>IF(Registered!AS2189&gt;0,(IF(Registered!AS2189=1,Registered!AS2189&amp;" T-Shirt",Registered!AS2189&amp;" T-Shirts")), "")</f>
        <v/>
      </c>
      <c r="E948" s="4" t="str">
        <f>Registered!AT2189</f>
        <v/>
      </c>
      <c r="F948" s="4" t="str">
        <f>Registered!AU2189</f>
        <v/>
      </c>
      <c r="G948" s="4" t="str">
        <f>Registered!AW2189</f>
        <v/>
      </c>
      <c r="H948" s="4" t="str">
        <f>Registered!AX2189</f>
        <v/>
      </c>
      <c r="I948" s="4" t="str">
        <f>Registered!AY2189</f>
        <v/>
      </c>
    </row>
    <row r="949" spans="1:9" x14ac:dyDescent="0.25">
      <c r="A949" s="4" t="str">
        <f>Registered!B2191</f>
        <v>Selig</v>
      </c>
      <c r="B949" s="4" t="str">
        <f>Registered!A2191</f>
        <v>Allison</v>
      </c>
      <c r="C949" s="4" t="str">
        <f>IF(Registered!AR2191&gt;0,Registered!AR2191&amp;" Color Bags", "")</f>
        <v>10 Color Bags</v>
      </c>
      <c r="D949" s="4" t="str">
        <f>IF(Registered!AS2191&gt;0,(IF(Registered!AS2191=1,Registered!AS2191&amp;" T-Shirt",Registered!AS2191&amp;" T-Shirts")), "")</f>
        <v/>
      </c>
      <c r="E949" s="4" t="str">
        <f>Registered!AT2191</f>
        <v/>
      </c>
      <c r="F949" s="4" t="str">
        <f>Registered!AU2191</f>
        <v/>
      </c>
      <c r="G949" s="4" t="str">
        <f>Registered!AW2191</f>
        <v>2 Meals</v>
      </c>
      <c r="H949" s="4" t="str">
        <f>Registered!AX2191</f>
        <v/>
      </c>
      <c r="I949" s="4" t="str">
        <f>Registered!AY2191</f>
        <v/>
      </c>
    </row>
    <row r="950" spans="1:9" x14ac:dyDescent="0.25">
      <c r="A950" s="4" t="str">
        <f>Registered!B2194</f>
        <v>Semrau</v>
      </c>
      <c r="B950" s="4" t="str">
        <f>Registered!A2194</f>
        <v>Justin</v>
      </c>
      <c r="C950" s="4" t="str">
        <f>IF(Registered!AR2194&gt;0,Registered!AR2194&amp;" Color Bags", "")</f>
        <v>45 Color Bags</v>
      </c>
      <c r="D950" s="4" t="str">
        <f>IF(Registered!AS2194&gt;0,(IF(Registered!AS2194=1,Registered!AS2194&amp;" T-Shirt",Registered!AS2194&amp;" T-Shirts")), "")</f>
        <v>1 T-Shirt</v>
      </c>
      <c r="E950" s="4" t="str">
        <f>Registered!AT2194</f>
        <v>XL</v>
      </c>
      <c r="F950" s="4" t="str">
        <f>Registered!AU2194</f>
        <v/>
      </c>
      <c r="G950" s="4" t="str">
        <f>Registered!AW2194</f>
        <v>1 Meal</v>
      </c>
      <c r="H950" s="4" t="str">
        <f>Registered!AX2194</f>
        <v/>
      </c>
      <c r="I950" s="4" t="str">
        <f>Registered!AY2194</f>
        <v/>
      </c>
    </row>
    <row r="951" spans="1:9" x14ac:dyDescent="0.25">
      <c r="A951" s="4" t="str">
        <f>Registered!B2193</f>
        <v>Semrau</v>
      </c>
      <c r="B951" s="4" t="str">
        <f>Registered!A2193</f>
        <v>Amy</v>
      </c>
      <c r="C951" s="4" t="str">
        <f>IF(Registered!AR2193&gt;0,Registered!AR2193&amp;" Color Bags", "")</f>
        <v>5 Color Bags</v>
      </c>
      <c r="D951" s="4" t="str">
        <f>IF(Registered!AS2193&gt;0,(IF(Registered!AS2193=1,Registered!AS2193&amp;" T-Shirt",Registered!AS2193&amp;" T-Shirts")), "")</f>
        <v>1 T-Shirt</v>
      </c>
      <c r="E951" s="4" t="str">
        <f>Registered!AT2193</f>
        <v>M</v>
      </c>
      <c r="F951" s="4" t="str">
        <f>Registered!AU2193</f>
        <v/>
      </c>
      <c r="G951" s="4" t="str">
        <f>Registered!AW2193</f>
        <v>1 Meal</v>
      </c>
      <c r="H951" s="4" t="str">
        <f>Registered!AX2193</f>
        <v/>
      </c>
      <c r="I951" s="4" t="str">
        <f>Registered!AY2193</f>
        <v/>
      </c>
    </row>
    <row r="952" spans="1:9" x14ac:dyDescent="0.25">
      <c r="A952" s="4" t="str">
        <f>Registered!B2198</f>
        <v>Seymour</v>
      </c>
      <c r="B952" s="4" t="str">
        <f>Registered!A2198</f>
        <v>Elizabeth</v>
      </c>
      <c r="C952" s="4" t="str">
        <f>IF(Registered!AR2198&gt;0,Registered!AR2198&amp;" Color Bags", "")</f>
        <v>10 Color Bags</v>
      </c>
      <c r="D952" s="4" t="str">
        <f>IF(Registered!AS2198&gt;0,(IF(Registered!AS2198=1,Registered!AS2198&amp;" T-Shirt",Registered!AS2198&amp;" T-Shirts")), "")</f>
        <v/>
      </c>
      <c r="E952" s="4" t="str">
        <f>Registered!AT2198</f>
        <v/>
      </c>
      <c r="F952" s="4" t="str">
        <f>Registered!AU2198</f>
        <v/>
      </c>
      <c r="G952" s="4" t="str">
        <f>Registered!AW2198</f>
        <v>2 Meals</v>
      </c>
      <c r="H952" s="4" t="str">
        <f>Registered!AX2198</f>
        <v/>
      </c>
      <c r="I952" s="4" t="str">
        <f>Registered!AY2198</f>
        <v/>
      </c>
    </row>
    <row r="953" spans="1:9" x14ac:dyDescent="0.25">
      <c r="A953" s="4" t="str">
        <f>Registered!B2200</f>
        <v>Shah</v>
      </c>
      <c r="B953" s="4" t="str">
        <f>Registered!A2200</f>
        <v>Jaydev</v>
      </c>
      <c r="C953" s="4" t="str">
        <f>IF(Registered!AR2200&gt;0,Registered!AR2200&amp;" Color Bags", "")</f>
        <v>5 Color Bags</v>
      </c>
      <c r="D953" s="4" t="str">
        <f>IF(Registered!AS2200&gt;0,(IF(Registered!AS2200=1,Registered!AS2200&amp;" T-Shirt",Registered!AS2200&amp;" T-Shirts")), "")</f>
        <v/>
      </c>
      <c r="E953" s="4" t="str">
        <f>Registered!AT2200</f>
        <v/>
      </c>
      <c r="F953" s="4" t="str">
        <f>Registered!AU2200</f>
        <v/>
      </c>
      <c r="G953" s="4" t="str">
        <f>Registered!AW2200</f>
        <v>1 Meal</v>
      </c>
      <c r="H953" s="4" t="str">
        <f>Registered!AX2200</f>
        <v/>
      </c>
      <c r="I953" s="4" t="str">
        <f>Registered!AY2200</f>
        <v/>
      </c>
    </row>
    <row r="954" spans="1:9" x14ac:dyDescent="0.25">
      <c r="A954" s="4" t="str">
        <f>Registered!B2203</f>
        <v>Shane</v>
      </c>
      <c r="B954" s="4" t="str">
        <f>Registered!A2203</f>
        <v>Christopher</v>
      </c>
      <c r="C954" s="4" t="str">
        <f>IF(Registered!AR2203&gt;0,Registered!AR2203&amp;" Color Bags", "")</f>
        <v>15 Color Bags</v>
      </c>
      <c r="D954" s="4" t="str">
        <f>IF(Registered!AS2203&gt;0,(IF(Registered!AS2203=1,Registered!AS2203&amp;" T-Shirt",Registered!AS2203&amp;" T-Shirts")), "")</f>
        <v/>
      </c>
      <c r="E954" s="4" t="str">
        <f>Registered!AT2203</f>
        <v/>
      </c>
      <c r="F954" s="4" t="str">
        <f>Registered!AU2203</f>
        <v/>
      </c>
      <c r="G954" s="4" t="str">
        <f>Registered!AW2203</f>
        <v/>
      </c>
      <c r="H954" s="4" t="str">
        <f>Registered!AX2203</f>
        <v/>
      </c>
      <c r="I954" s="4" t="str">
        <f>Registered!AY2203</f>
        <v>1 DustMask</v>
      </c>
    </row>
    <row r="955" spans="1:9" x14ac:dyDescent="0.25">
      <c r="A955" s="4" t="str">
        <f>Registered!B2205</f>
        <v>Sharma</v>
      </c>
      <c r="B955" s="4" t="str">
        <f>Registered!A2205</f>
        <v>Dipeshkumar</v>
      </c>
      <c r="C955" s="4" t="str">
        <f>IF(Registered!AR2205&gt;0,Registered!AR2205&amp;" Color Bags", "")</f>
        <v>10 Color Bags</v>
      </c>
      <c r="D955" s="4" t="str">
        <f>IF(Registered!AS2205&gt;0,(IF(Registered!AS2205=1,Registered!AS2205&amp;" T-Shirt",Registered!AS2205&amp;" T-Shirts")), "")</f>
        <v/>
      </c>
      <c r="E955" s="4" t="str">
        <f>Registered!AT2205</f>
        <v/>
      </c>
      <c r="F955" s="4" t="str">
        <f>Registered!AU2205</f>
        <v>1 Bandana</v>
      </c>
      <c r="G955" s="4" t="str">
        <f>Registered!AW2205</f>
        <v/>
      </c>
      <c r="H955" s="4" t="str">
        <f>Registered!AX2205</f>
        <v/>
      </c>
      <c r="I955" s="4" t="str">
        <f>Registered!AY2205</f>
        <v/>
      </c>
    </row>
    <row r="956" spans="1:9" x14ac:dyDescent="0.25">
      <c r="A956" s="4" t="str">
        <f>Registered!B2206</f>
        <v>Shaw</v>
      </c>
      <c r="B956" s="4" t="str">
        <f>Registered!A2206</f>
        <v>Jennifer</v>
      </c>
      <c r="C956" s="4" t="str">
        <f>IF(Registered!AR2206&gt;0,Registered!AR2206&amp;" Color Bags", "")</f>
        <v>10 Color Bags</v>
      </c>
      <c r="D956" s="4" t="str">
        <f>IF(Registered!AS2206&gt;0,(IF(Registered!AS2206=1,Registered!AS2206&amp;" T-Shirt",Registered!AS2206&amp;" T-Shirts")), "")</f>
        <v/>
      </c>
      <c r="E956" s="4" t="str">
        <f>Registered!AT2206</f>
        <v/>
      </c>
      <c r="F956" s="4" t="str">
        <f>Registered!AU2206</f>
        <v/>
      </c>
      <c r="G956" s="4" t="str">
        <f>Registered!AW2206</f>
        <v>2 Meals</v>
      </c>
      <c r="H956" s="4" t="str">
        <f>Registered!AX2206</f>
        <v/>
      </c>
      <c r="I956" s="4" t="str">
        <f>Registered!AY2206</f>
        <v/>
      </c>
    </row>
    <row r="957" spans="1:9" x14ac:dyDescent="0.25">
      <c r="A957" s="4" t="str">
        <f>Registered!B2207</f>
        <v>Shaw</v>
      </c>
      <c r="B957" s="4" t="str">
        <f>Registered!A2207</f>
        <v>Lisa</v>
      </c>
      <c r="C957" s="4" t="str">
        <f>IF(Registered!AR2207&gt;0,Registered!AR2207&amp;" Color Bags", "")</f>
        <v>10 Color Bags</v>
      </c>
      <c r="D957" s="4" t="str">
        <f>IF(Registered!AS2207&gt;0,(IF(Registered!AS2207=1,Registered!AS2207&amp;" T-Shirt",Registered!AS2207&amp;" T-Shirts")), "")</f>
        <v/>
      </c>
      <c r="E957" s="4" t="str">
        <f>Registered!AT2207</f>
        <v/>
      </c>
      <c r="F957" s="4" t="str">
        <f>Registered!AU2207</f>
        <v/>
      </c>
      <c r="G957" s="4" t="str">
        <f>Registered!AW2207</f>
        <v>2 Meals</v>
      </c>
      <c r="H957" s="4" t="str">
        <f>Registered!AX2207</f>
        <v/>
      </c>
      <c r="I957" s="4" t="str">
        <f>Registered!AY2207</f>
        <v>1 DustMask</v>
      </c>
    </row>
    <row r="958" spans="1:9" x14ac:dyDescent="0.25">
      <c r="A958" s="4" t="str">
        <f>Registered!B2208</f>
        <v>Sheetz</v>
      </c>
      <c r="B958" s="4" t="str">
        <f>Registered!A2208</f>
        <v>Brandon</v>
      </c>
      <c r="C958" s="4" t="str">
        <f>IF(Registered!AR2208&gt;0,Registered!AR2208&amp;" Color Bags", "")</f>
        <v>10 Color Bags</v>
      </c>
      <c r="D958" s="4" t="str">
        <f>IF(Registered!AS2208&gt;0,(IF(Registered!AS2208=1,Registered!AS2208&amp;" T-Shirt",Registered!AS2208&amp;" T-Shirts")), "")</f>
        <v/>
      </c>
      <c r="E958" s="4" t="str">
        <f>Registered!AT2208</f>
        <v/>
      </c>
      <c r="F958" s="4" t="str">
        <f>Registered!AU2208</f>
        <v/>
      </c>
      <c r="G958" s="4" t="str">
        <f>Registered!AW2208</f>
        <v/>
      </c>
      <c r="H958" s="4" t="str">
        <f>Registered!AX2208</f>
        <v/>
      </c>
      <c r="I958" s="4" t="str">
        <f>Registered!AY2208</f>
        <v/>
      </c>
    </row>
    <row r="959" spans="1:9" x14ac:dyDescent="0.25">
      <c r="A959" s="4" t="str">
        <f>Registered!B2209</f>
        <v>Shelden</v>
      </c>
      <c r="B959" s="4" t="str">
        <f>Registered!A2209</f>
        <v>Daniel</v>
      </c>
      <c r="C959" s="4" t="str">
        <f>IF(Registered!AR2209&gt;0,Registered!AR2209&amp;" Color Bags", "")</f>
        <v>5 Color Bags</v>
      </c>
      <c r="D959" s="4" t="str">
        <f>IF(Registered!AS2209&gt;0,(IF(Registered!AS2209=1,Registered!AS2209&amp;" T-Shirt",Registered!AS2209&amp;" T-Shirts")), "")</f>
        <v>1 T-Shirt</v>
      </c>
      <c r="E959" s="4" t="str">
        <f>Registered!AT2209</f>
        <v>Large</v>
      </c>
      <c r="F959" s="4" t="str">
        <f>Registered!AU2209</f>
        <v>1 Bandana</v>
      </c>
      <c r="G959" s="4" t="str">
        <f>Registered!AW2209</f>
        <v/>
      </c>
      <c r="H959" s="4" t="str">
        <f>Registered!AX2209</f>
        <v/>
      </c>
      <c r="I959" s="4" t="str">
        <f>Registered!AY2209</f>
        <v/>
      </c>
    </row>
    <row r="960" spans="1:9" x14ac:dyDescent="0.25">
      <c r="A960" s="4" t="str">
        <f>Registered!B2211</f>
        <v>Sheridan</v>
      </c>
      <c r="B960" s="4" t="str">
        <f>Registered!A2211</f>
        <v>Mitch</v>
      </c>
      <c r="C960" s="4" t="str">
        <f>IF(Registered!AR2211&gt;0,Registered!AR2211&amp;" Color Bags", "")</f>
        <v>5 Color Bags</v>
      </c>
      <c r="D960" s="4" t="str">
        <f>IF(Registered!AS2211&gt;0,(IF(Registered!AS2211=1,Registered!AS2211&amp;" T-Shirt",Registered!AS2211&amp;" T-Shirts")), "")</f>
        <v/>
      </c>
      <c r="E960" s="4" t="str">
        <f>Registered!AT2211</f>
        <v/>
      </c>
      <c r="F960" s="4" t="str">
        <f>Registered!AU2211</f>
        <v/>
      </c>
      <c r="G960" s="4" t="str">
        <f>Registered!AW2211</f>
        <v/>
      </c>
      <c r="H960" s="4" t="str">
        <f>Registered!AX2211</f>
        <v/>
      </c>
      <c r="I960" s="4" t="str">
        <f>Registered!AY2211</f>
        <v/>
      </c>
    </row>
    <row r="961" spans="1:9" x14ac:dyDescent="0.25">
      <c r="A961" s="4" t="str">
        <f>Registered!B2213</f>
        <v>Shinganapurkar</v>
      </c>
      <c r="B961" s="4" t="str">
        <f>Registered!A2213</f>
        <v>Suparna</v>
      </c>
      <c r="C961" s="4" t="str">
        <f>IF(Registered!AR2213&gt;0,Registered!AR2213&amp;" Color Bags", "")</f>
        <v>5 Color Bags</v>
      </c>
      <c r="D961" s="4" t="str">
        <f>IF(Registered!AS2213&gt;0,(IF(Registered!AS2213=1,Registered!AS2213&amp;" T-Shirt",Registered!AS2213&amp;" T-Shirts")), "")</f>
        <v/>
      </c>
      <c r="E961" s="4" t="str">
        <f>Registered!AT2213</f>
        <v/>
      </c>
      <c r="F961" s="4" t="str">
        <f>Registered!AU2213</f>
        <v/>
      </c>
      <c r="G961" s="4" t="str">
        <f>Registered!AW2213</f>
        <v>2 Meals</v>
      </c>
      <c r="H961" s="4" t="str">
        <f>Registered!AX2213</f>
        <v/>
      </c>
      <c r="I961" s="4" t="str">
        <f>Registered!AY2213</f>
        <v/>
      </c>
    </row>
    <row r="962" spans="1:9" x14ac:dyDescent="0.25">
      <c r="A962" s="4" t="str">
        <f>Registered!B2216</f>
        <v>Shipe</v>
      </c>
      <c r="B962" s="4" t="str">
        <f>Registered!A2216</f>
        <v>Juliana</v>
      </c>
      <c r="C962" s="4" t="str">
        <f>IF(Registered!AR2216&gt;0,Registered!AR2216&amp;" Color Bags", "")</f>
        <v>5 Color Bags</v>
      </c>
      <c r="D962" s="4" t="str">
        <f>IF(Registered!AS2216&gt;0,(IF(Registered!AS2216=1,Registered!AS2216&amp;" T-Shirt",Registered!AS2216&amp;" T-Shirts")), "")</f>
        <v/>
      </c>
      <c r="E962" s="4" t="str">
        <f>Registered!AT2216</f>
        <v/>
      </c>
      <c r="F962" s="4" t="str">
        <f>Registered!AU2216</f>
        <v/>
      </c>
      <c r="G962" s="4" t="str">
        <f>Registered!AW2216</f>
        <v>2 Meals</v>
      </c>
      <c r="H962" s="4" t="str">
        <f>Registered!AX2216</f>
        <v/>
      </c>
      <c r="I962" s="4" t="str">
        <f>Registered!AY2216</f>
        <v/>
      </c>
    </row>
    <row r="963" spans="1:9" x14ac:dyDescent="0.25">
      <c r="A963" s="4" t="str">
        <f>Registered!B2217</f>
        <v>Shipley</v>
      </c>
      <c r="B963" s="4" t="str">
        <f>Registered!A2217</f>
        <v>Briana</v>
      </c>
      <c r="C963" s="4" t="str">
        <f>IF(Registered!AR2217&gt;0,Registered!AR2217&amp;" Color Bags", "")</f>
        <v>5 Color Bags</v>
      </c>
      <c r="D963" s="4" t="str">
        <f>IF(Registered!AS2217&gt;0,(IF(Registered!AS2217=1,Registered!AS2217&amp;" T-Shirt",Registered!AS2217&amp;" T-Shirts")), "")</f>
        <v/>
      </c>
      <c r="E963" s="4" t="str">
        <f>Registered!AT2217</f>
        <v/>
      </c>
      <c r="F963" s="4" t="str">
        <f>Registered!AU2217</f>
        <v/>
      </c>
      <c r="G963" s="4" t="str">
        <f>Registered!AW2217</f>
        <v/>
      </c>
      <c r="H963" s="4" t="str">
        <f>Registered!AX2217</f>
        <v/>
      </c>
      <c r="I963" s="4" t="str">
        <f>Registered!AY2217</f>
        <v/>
      </c>
    </row>
    <row r="964" spans="1:9" x14ac:dyDescent="0.25">
      <c r="A964" s="4" t="str">
        <f>Registered!B2724</f>
        <v>Shook</v>
      </c>
      <c r="B964" s="4" t="str">
        <f>Registered!A2724</f>
        <v xml:space="preserve">Brian </v>
      </c>
      <c r="C964" s="4" t="str">
        <f>IF(Registered!AR2724&gt;0,Registered!AR2724&amp;" Color Bags", "")</f>
        <v>5 Color Bags</v>
      </c>
      <c r="D964" s="4" t="str">
        <f>IF(Registered!AS2724&gt;0,(IF(Registered!AS2724=1,Registered!AS2724&amp;" T-Shirt",Registered!AS2724&amp;" T-Shirts")), "")</f>
        <v>1 T-Shirt</v>
      </c>
      <c r="E964" s="4" t="str">
        <f>Registered!AT2724</f>
        <v>Size Not Specified</v>
      </c>
      <c r="F964" s="4" t="str">
        <f>Registered!AU2724</f>
        <v/>
      </c>
      <c r="G964" s="4" t="str">
        <f>Registered!AW2724</f>
        <v>2 Meals</v>
      </c>
      <c r="H964" s="4" t="str">
        <f>Registered!AX2724</f>
        <v/>
      </c>
      <c r="I964" s="4" t="str">
        <f>Registered!AY2724</f>
        <v/>
      </c>
    </row>
    <row r="965" spans="1:9" x14ac:dyDescent="0.25">
      <c r="A965" s="4" t="str">
        <f>Registered!B2219</f>
        <v>Shook (Saturday)</v>
      </c>
      <c r="B965" s="4" t="str">
        <f>Registered!A2219</f>
        <v>Brian</v>
      </c>
      <c r="C965" s="4" t="str">
        <f>IF(Registered!AR2219&gt;0,Registered!AR2219&amp;" Color Bags", "")</f>
        <v>65 Color Bags</v>
      </c>
      <c r="D965" s="4" t="str">
        <f>IF(Registered!AS2219&gt;0,(IF(Registered!AS2219=1,Registered!AS2219&amp;" T-Shirt",Registered!AS2219&amp;" T-Shirts")), "")</f>
        <v>3 T-Shirts</v>
      </c>
      <c r="E965" s="4" t="str">
        <f>Registered!AT2219</f>
        <v>all Med</v>
      </c>
      <c r="F965" s="4" t="str">
        <f>Registered!AU2219</f>
        <v/>
      </c>
      <c r="G965" s="4" t="str">
        <f>Registered!AW2219</f>
        <v>6 Meals</v>
      </c>
      <c r="H965" s="4" t="str">
        <f>Registered!AX2219</f>
        <v/>
      </c>
      <c r="I965" s="4" t="str">
        <f>Registered!AY2219</f>
        <v/>
      </c>
    </row>
    <row r="966" spans="1:9" x14ac:dyDescent="0.25">
      <c r="A966" s="4" t="str">
        <f>Registered!B2224</f>
        <v>Shuey</v>
      </c>
      <c r="B966" s="4" t="str">
        <f>Registered!A2224</f>
        <v>Alexandria</v>
      </c>
      <c r="C966" s="4" t="str">
        <f>IF(Registered!AR2224&gt;0,Registered!AR2224&amp;" Color Bags", "")</f>
        <v>10 Color Bags</v>
      </c>
      <c r="D966" s="4" t="str">
        <f>IF(Registered!AS2224&gt;0,(IF(Registered!AS2224=1,Registered!AS2224&amp;" T-Shirt",Registered!AS2224&amp;" T-Shirts")), "")</f>
        <v/>
      </c>
      <c r="E966" s="4" t="str">
        <f>Registered!AT2224</f>
        <v/>
      </c>
      <c r="F966" s="4" t="str">
        <f>Registered!AU2224</f>
        <v/>
      </c>
      <c r="G966" s="4" t="str">
        <f>Registered!AW2224</f>
        <v/>
      </c>
      <c r="H966" s="4" t="str">
        <f>Registered!AX2224</f>
        <v/>
      </c>
      <c r="I966" s="4" t="str">
        <f>Registered!AY2224</f>
        <v/>
      </c>
    </row>
    <row r="967" spans="1:9" x14ac:dyDescent="0.25">
      <c r="A967" s="4" t="str">
        <f>Registered!B2228</f>
        <v>Shuman</v>
      </c>
      <c r="B967" s="4" t="str">
        <f>Registered!A2228</f>
        <v>Jessica</v>
      </c>
      <c r="C967" s="4" t="str">
        <f>IF(Registered!AR2228&gt;0,Registered!AR2228&amp;" Color Bags", "")</f>
        <v>10 Color Bags</v>
      </c>
      <c r="D967" s="4" t="str">
        <f>IF(Registered!AS2228&gt;0,(IF(Registered!AS2228=1,Registered!AS2228&amp;" T-Shirt",Registered!AS2228&amp;" T-Shirts")), "")</f>
        <v/>
      </c>
      <c r="E967" s="4" t="str">
        <f>Registered!AT2228</f>
        <v/>
      </c>
      <c r="F967" s="4" t="str">
        <f>Registered!AU2228</f>
        <v/>
      </c>
      <c r="G967" s="4" t="str">
        <f>Registered!AW2228</f>
        <v/>
      </c>
      <c r="H967" s="4" t="str">
        <f>Registered!AX2228</f>
        <v/>
      </c>
      <c r="I967" s="4" t="str">
        <f>Registered!AY2228</f>
        <v/>
      </c>
    </row>
    <row r="968" spans="1:9" x14ac:dyDescent="0.25">
      <c r="A968" s="4" t="str">
        <f>Registered!B2230</f>
        <v>Shunn</v>
      </c>
      <c r="B968" s="4" t="str">
        <f>Registered!A2230</f>
        <v>Kylene</v>
      </c>
      <c r="C968" s="4" t="str">
        <f>IF(Registered!AR2230&gt;0,Registered!AR2230&amp;" Color Bags", "")</f>
        <v>30 Color Bags</v>
      </c>
      <c r="D968" s="4" t="str">
        <f>IF(Registered!AS2230&gt;0,(IF(Registered!AS2230=1,Registered!AS2230&amp;" T-Shirt",Registered!AS2230&amp;" T-Shirts")), "")</f>
        <v/>
      </c>
      <c r="E968" s="4" t="str">
        <f>Registered!AT2230</f>
        <v/>
      </c>
      <c r="F968" s="4" t="str">
        <f>Registered!AU2230</f>
        <v/>
      </c>
      <c r="G968" s="4" t="str">
        <f>Registered!AW2230</f>
        <v/>
      </c>
      <c r="H968" s="4" t="str">
        <f>Registered!AX2230</f>
        <v/>
      </c>
      <c r="I968" s="4" t="str">
        <f>Registered!AY2230</f>
        <v/>
      </c>
    </row>
    <row r="969" spans="1:9" x14ac:dyDescent="0.25">
      <c r="A969" s="4" t="str">
        <f>Registered!B2234</f>
        <v>Simpson</v>
      </c>
      <c r="B969" s="4" t="str">
        <f>Registered!A2234</f>
        <v>Jessica</v>
      </c>
      <c r="C969" s="4" t="str">
        <f>IF(Registered!AR2234&gt;0,Registered!AR2234&amp;" Color Bags", "")</f>
        <v>10 Color Bags</v>
      </c>
      <c r="D969" s="4" t="str">
        <f>IF(Registered!AS2234&gt;0,(IF(Registered!AS2234=1,Registered!AS2234&amp;" T-Shirt",Registered!AS2234&amp;" T-Shirts")), "")</f>
        <v/>
      </c>
      <c r="E969" s="4" t="str">
        <f>Registered!AT2234</f>
        <v/>
      </c>
      <c r="F969" s="4" t="str">
        <f>Registered!AU2234</f>
        <v/>
      </c>
      <c r="G969" s="4" t="str">
        <f>Registered!AW2234</f>
        <v>2 Meals</v>
      </c>
      <c r="H969" s="4" t="str">
        <f>Registered!AX2234</f>
        <v/>
      </c>
      <c r="I969" s="4" t="str">
        <f>Registered!AY2234</f>
        <v/>
      </c>
    </row>
    <row r="970" spans="1:9" x14ac:dyDescent="0.25">
      <c r="A970" s="4" t="str">
        <f>Registered!B2237</f>
        <v>Sims</v>
      </c>
      <c r="B970" s="4" t="str">
        <f>Registered!A2237</f>
        <v>Kristin</v>
      </c>
      <c r="C970" s="4" t="str">
        <f>IF(Registered!AR2237&gt;0,Registered!AR2237&amp;" Color Bags", "")</f>
        <v>10 Color Bags</v>
      </c>
      <c r="D970" s="4" t="str">
        <f>IF(Registered!AS2237&gt;0,(IF(Registered!AS2237=1,Registered!AS2237&amp;" T-Shirt",Registered!AS2237&amp;" T-Shirts")), "")</f>
        <v>2 T-Shirts</v>
      </c>
      <c r="E970" s="4" t="str">
        <f>Registered!AT2237</f>
        <v>XXXL and Medium</v>
      </c>
      <c r="F970" s="4" t="str">
        <f>Registered!AU2237</f>
        <v>2 Bandanas</v>
      </c>
      <c r="G970" s="4" t="str">
        <f>Registered!AW2237</f>
        <v>2 Meals</v>
      </c>
      <c r="H970" s="4" t="str">
        <f>Registered!AX2237</f>
        <v>1 BG</v>
      </c>
      <c r="I970" s="4" t="str">
        <f>Registered!AY2237</f>
        <v/>
      </c>
    </row>
    <row r="971" spans="1:9" x14ac:dyDescent="0.25">
      <c r="A971" s="4" t="str">
        <f>Registered!B2241</f>
        <v>Sinks</v>
      </c>
      <c r="B971" s="4" t="str">
        <f>Registered!A2241</f>
        <v>Nicholas</v>
      </c>
      <c r="C971" s="4" t="str">
        <f>IF(Registered!AR2241&gt;0,Registered!AR2241&amp;" Color Bags", "")</f>
        <v>15 Color Bags</v>
      </c>
      <c r="D971" s="4" t="str">
        <f>IF(Registered!AS2241&gt;0,(IF(Registered!AS2241=1,Registered!AS2241&amp;" T-Shirt",Registered!AS2241&amp;" T-Shirts")), "")</f>
        <v/>
      </c>
      <c r="E971" s="4" t="str">
        <f>Registered!AT2241</f>
        <v/>
      </c>
      <c r="F971" s="4" t="str">
        <f>Registered!AU2241</f>
        <v/>
      </c>
      <c r="G971" s="4" t="str">
        <f>Registered!AW2241</f>
        <v/>
      </c>
      <c r="H971" s="4" t="str">
        <f>Registered!AX2241</f>
        <v/>
      </c>
      <c r="I971" s="4" t="str">
        <f>Registered!AY2241</f>
        <v/>
      </c>
    </row>
    <row r="972" spans="1:9" x14ac:dyDescent="0.25">
      <c r="A972" s="4" t="str">
        <f>Registered!B2243</f>
        <v>Skinner</v>
      </c>
      <c r="B972" s="4" t="str">
        <f>Registered!A2243</f>
        <v>Stacie</v>
      </c>
      <c r="C972" s="4" t="str">
        <f>IF(Registered!AR2243&gt;0,Registered!AR2243&amp;" Color Bags", "")</f>
        <v>5 Color Bags</v>
      </c>
      <c r="D972" s="4" t="str">
        <f>IF(Registered!AS2243&gt;0,(IF(Registered!AS2243=1,Registered!AS2243&amp;" T-Shirt",Registered!AS2243&amp;" T-Shirts")), "")</f>
        <v/>
      </c>
      <c r="E972" s="4" t="str">
        <f>Registered!AT2243</f>
        <v/>
      </c>
      <c r="F972" s="4" t="str">
        <f>Registered!AU2243</f>
        <v/>
      </c>
      <c r="G972" s="4" t="str">
        <f>Registered!AW2243</f>
        <v/>
      </c>
      <c r="H972" s="4" t="str">
        <f>Registered!AX2243</f>
        <v/>
      </c>
      <c r="I972" s="4" t="str">
        <f>Registered!AY2243</f>
        <v/>
      </c>
    </row>
    <row r="973" spans="1:9" x14ac:dyDescent="0.25">
      <c r="A973" s="4" t="str">
        <f>Registered!B2244</f>
        <v>Skuzeski</v>
      </c>
      <c r="B973" s="4" t="str">
        <f>Registered!A2244</f>
        <v>Carrie</v>
      </c>
      <c r="C973" s="4" t="str">
        <f>IF(Registered!AR2244&gt;0,Registered!AR2244&amp;" Color Bags", "")</f>
        <v>10 Color Bags</v>
      </c>
      <c r="D973" s="4" t="str">
        <f>IF(Registered!AS2244&gt;0,(IF(Registered!AS2244=1,Registered!AS2244&amp;" T-Shirt",Registered!AS2244&amp;" T-Shirts")), "")</f>
        <v/>
      </c>
      <c r="E973" s="4" t="str">
        <f>Registered!AT2244</f>
        <v/>
      </c>
      <c r="F973" s="4" t="str">
        <f>Registered!AU2244</f>
        <v/>
      </c>
      <c r="G973" s="4" t="str">
        <f>Registered!AW2244</f>
        <v>2 Meals</v>
      </c>
      <c r="H973" s="4" t="str">
        <f>Registered!AX2244</f>
        <v/>
      </c>
      <c r="I973" s="4" t="str">
        <f>Registered!AY2244</f>
        <v/>
      </c>
    </row>
    <row r="974" spans="1:9" x14ac:dyDescent="0.25">
      <c r="A974" s="4" t="str">
        <f>Registered!B2247</f>
        <v>Slater</v>
      </c>
      <c r="B974" s="4" t="str">
        <f>Registered!A2247</f>
        <v>Amanda</v>
      </c>
      <c r="C974" s="4" t="str">
        <f>IF(Registered!AR2247&gt;0,Registered!AR2247&amp;" Color Bags", "")</f>
        <v>20 Color Bags</v>
      </c>
      <c r="D974" s="4" t="str">
        <f>IF(Registered!AS2247&gt;0,(IF(Registered!AS2247=1,Registered!AS2247&amp;" T-Shirt",Registered!AS2247&amp;" T-Shirts")), "")</f>
        <v/>
      </c>
      <c r="E974" s="4" t="str">
        <f>Registered!AT2247</f>
        <v/>
      </c>
      <c r="F974" s="4" t="str">
        <f>Registered!AU2247</f>
        <v/>
      </c>
      <c r="G974" s="4" t="str">
        <f>Registered!AW2247</f>
        <v/>
      </c>
      <c r="H974" s="4" t="str">
        <f>Registered!AX2247</f>
        <v/>
      </c>
      <c r="I974" s="4" t="str">
        <f>Registered!AY2247</f>
        <v/>
      </c>
    </row>
    <row r="975" spans="1:9" x14ac:dyDescent="0.25">
      <c r="A975" s="4" t="str">
        <f>Registered!B2252</f>
        <v>Sleight</v>
      </c>
      <c r="B975" s="4" t="str">
        <f>Registered!A2252</f>
        <v>Susan</v>
      </c>
      <c r="C975" s="4" t="str">
        <f>IF(Registered!AR2252&gt;0,Registered!AR2252&amp;" Color Bags", "")</f>
        <v>20 Color Bags</v>
      </c>
      <c r="D975" s="4" t="str">
        <f>IF(Registered!AS2252&gt;0,(IF(Registered!AS2252=1,Registered!AS2252&amp;" T-Shirt",Registered!AS2252&amp;" T-Shirts")), "")</f>
        <v>4 T-Shirts</v>
      </c>
      <c r="E975" s="4" t="str">
        <f>Registered!AT2252</f>
        <v>2 Med Adult, 1 Large Adult, 1 Small Adult</v>
      </c>
      <c r="F975" s="4" t="str">
        <f>Registered!AU2252</f>
        <v>2 Bandanas</v>
      </c>
      <c r="G975" s="4" t="str">
        <f>Registered!AW2252</f>
        <v>4 Meals</v>
      </c>
      <c r="H975" s="4" t="str">
        <f>Registered!AX2252</f>
        <v/>
      </c>
      <c r="I975" s="4" t="str">
        <f>Registered!AY2252</f>
        <v/>
      </c>
    </row>
    <row r="976" spans="1:9" x14ac:dyDescent="0.25">
      <c r="A976" s="4" t="str">
        <f>Registered!B2269</f>
        <v>Smith</v>
      </c>
      <c r="B976" s="4" t="str">
        <f>Registered!A2269</f>
        <v>Marilyn</v>
      </c>
      <c r="C976" s="4" t="str">
        <f>IF(Registered!AR2269&gt;0,Registered!AR2269&amp;" Color Bags", "")</f>
        <v>10 Color Bags</v>
      </c>
      <c r="D976" s="4" t="str">
        <f>IF(Registered!AS2269&gt;0,(IF(Registered!AS2269=1,Registered!AS2269&amp;" T-Shirt",Registered!AS2269&amp;" T-Shirts")), "")</f>
        <v/>
      </c>
      <c r="E976" s="4" t="str">
        <f>Registered!AT2269</f>
        <v/>
      </c>
      <c r="F976" s="4" t="str">
        <f>Registered!AU2269</f>
        <v/>
      </c>
      <c r="G976" s="4" t="str">
        <f>Registered!AW2269</f>
        <v/>
      </c>
      <c r="H976" s="4" t="str">
        <f>Registered!AX2269</f>
        <v/>
      </c>
      <c r="I976" s="4" t="str">
        <f>Registered!AY2269</f>
        <v/>
      </c>
    </row>
    <row r="977" spans="1:9" x14ac:dyDescent="0.25">
      <c r="A977" s="4" t="str">
        <f>Registered!B2277</f>
        <v>Smith</v>
      </c>
      <c r="B977" s="4" t="str">
        <f>Registered!A2277</f>
        <v>Tami</v>
      </c>
      <c r="C977" s="4" t="str">
        <f>IF(Registered!AR2277&gt;0,Registered!AR2277&amp;" Color Bags", "")</f>
        <v>30 Color Bags</v>
      </c>
      <c r="D977" s="4" t="str">
        <f>IF(Registered!AS2277&gt;0,(IF(Registered!AS2277=1,Registered!AS2277&amp;" T-Shirt",Registered!AS2277&amp;" T-Shirts")), "")</f>
        <v/>
      </c>
      <c r="E977" s="4" t="str">
        <f>Registered!AT2277</f>
        <v/>
      </c>
      <c r="F977" s="4" t="str">
        <f>Registered!AU2277</f>
        <v/>
      </c>
      <c r="G977" s="4" t="str">
        <f>Registered!AW2277</f>
        <v/>
      </c>
      <c r="H977" s="4" t="str">
        <f>Registered!AX2277</f>
        <v/>
      </c>
      <c r="I977" s="4" t="str">
        <f>Registered!AY2277</f>
        <v/>
      </c>
    </row>
    <row r="978" spans="1:9" x14ac:dyDescent="0.25">
      <c r="A978" s="4" t="str">
        <f>Registered!B2267</f>
        <v>Smith</v>
      </c>
      <c r="B978" s="4" t="str">
        <f>Registered!A2267</f>
        <v>Liz</v>
      </c>
      <c r="C978" s="4" t="str">
        <f>IF(Registered!AR2267&gt;0,Registered!AR2267&amp;" Color Bags", "")</f>
        <v>5 Color Bags</v>
      </c>
      <c r="D978" s="4" t="str">
        <f>IF(Registered!AS2267&gt;0,(IF(Registered!AS2267=1,Registered!AS2267&amp;" T-Shirt",Registered!AS2267&amp;" T-Shirts")), "")</f>
        <v/>
      </c>
      <c r="E978" s="4" t="str">
        <f>Registered!AT2267</f>
        <v/>
      </c>
      <c r="F978" s="4" t="str">
        <f>Registered!AU2267</f>
        <v/>
      </c>
      <c r="G978" s="4" t="str">
        <f>Registered!AW2267</f>
        <v>1 Meal</v>
      </c>
      <c r="H978" s="4" t="str">
        <f>Registered!AX2267</f>
        <v/>
      </c>
      <c r="I978" s="4" t="str">
        <f>Registered!AY2267</f>
        <v/>
      </c>
    </row>
    <row r="979" spans="1:9" x14ac:dyDescent="0.25">
      <c r="A979" s="4" t="str">
        <f>Registered!B2271</f>
        <v>Smith</v>
      </c>
      <c r="B979" s="4" t="str">
        <f>Registered!A2271</f>
        <v>Rachael</v>
      </c>
      <c r="C979" s="4" t="str">
        <f>IF(Registered!AR2271&gt;0,Registered!AR2271&amp;" Color Bags", "")</f>
        <v>5 Color Bags</v>
      </c>
      <c r="D979" s="4" t="str">
        <f>IF(Registered!AS2271&gt;0,(IF(Registered!AS2271=1,Registered!AS2271&amp;" T-Shirt",Registered!AS2271&amp;" T-Shirts")), "")</f>
        <v>1 T-Shirt</v>
      </c>
      <c r="E979" s="4" t="str">
        <f>Registered!AT2271</f>
        <v>XL</v>
      </c>
      <c r="F979" s="4" t="str">
        <f>Registered!AU2271</f>
        <v>1 Bandana</v>
      </c>
      <c r="G979" s="4" t="str">
        <f>Registered!AW2271</f>
        <v/>
      </c>
      <c r="H979" s="4" t="str">
        <f>Registered!AX2271</f>
        <v/>
      </c>
      <c r="I979" s="4" t="str">
        <f>Registered!AY2271</f>
        <v/>
      </c>
    </row>
    <row r="980" spans="1:9" x14ac:dyDescent="0.25">
      <c r="A980" s="4" t="str">
        <f>Registered!B2272</f>
        <v>Smith</v>
      </c>
      <c r="B980" s="4" t="str">
        <f>Registered!A2272</f>
        <v>Sarah</v>
      </c>
      <c r="C980" s="4" t="str">
        <f>IF(Registered!AR2272&gt;0,Registered!AR2272&amp;" Color Bags", "")</f>
        <v>5 Color Bags</v>
      </c>
      <c r="D980" s="4" t="str">
        <f>IF(Registered!AS2272&gt;0,(IF(Registered!AS2272=1,Registered!AS2272&amp;" T-Shirt",Registered!AS2272&amp;" T-Shirts")), "")</f>
        <v>1 T-Shirt</v>
      </c>
      <c r="E980" s="4" t="str">
        <f>Registered!AT2272</f>
        <v>L</v>
      </c>
      <c r="F980" s="4" t="str">
        <f>Registered!AU2272</f>
        <v/>
      </c>
      <c r="G980" s="4" t="str">
        <f>Registered!AW2272</f>
        <v>1 Meal</v>
      </c>
      <c r="H980" s="4" t="str">
        <f>Registered!AX2272</f>
        <v/>
      </c>
      <c r="I980" s="4" t="str">
        <f>Registered!AY2272</f>
        <v/>
      </c>
    </row>
    <row r="981" spans="1:9" x14ac:dyDescent="0.25">
      <c r="A981" s="4" t="str">
        <f>Registered!B2273</f>
        <v>Smith</v>
      </c>
      <c r="B981" s="4" t="str">
        <f>Registered!A2273</f>
        <v>Savannah</v>
      </c>
      <c r="C981" s="4" t="str">
        <f>IF(Registered!AR2273&gt;0,Registered!AR2273&amp;" Color Bags", "")</f>
        <v>5 Color Bags</v>
      </c>
      <c r="D981" s="4" t="str">
        <f>IF(Registered!AS2273&gt;0,(IF(Registered!AS2273=1,Registered!AS2273&amp;" T-Shirt",Registered!AS2273&amp;" T-Shirts")), "")</f>
        <v>1 T-Shirt</v>
      </c>
      <c r="E981" s="4" t="str">
        <f>Registered!AT2273</f>
        <v>M</v>
      </c>
      <c r="F981" s="4" t="str">
        <f>Registered!AU2273</f>
        <v/>
      </c>
      <c r="G981" s="4" t="str">
        <f>Registered!AW2273</f>
        <v>1 Meal</v>
      </c>
      <c r="H981" s="4" t="str">
        <f>Registered!AX2273</f>
        <v/>
      </c>
      <c r="I981" s="4" t="str">
        <f>Registered!AY2273</f>
        <v/>
      </c>
    </row>
    <row r="982" spans="1:9" x14ac:dyDescent="0.25">
      <c r="A982" s="4" t="str">
        <f>Registered!B2279</f>
        <v>Smock</v>
      </c>
      <c r="B982" s="4" t="str">
        <f>Registered!A2279</f>
        <v>Zoe</v>
      </c>
      <c r="C982" s="4" t="str">
        <f>IF(Registered!AR2279&gt;0,Registered!AR2279&amp;" Color Bags", "")</f>
        <v>5 Color Bags</v>
      </c>
      <c r="D982" s="4" t="str">
        <f>IF(Registered!AS2279&gt;0,(IF(Registered!AS2279=1,Registered!AS2279&amp;" T-Shirt",Registered!AS2279&amp;" T-Shirts")), "")</f>
        <v/>
      </c>
      <c r="E982" s="4" t="str">
        <f>Registered!AT2279</f>
        <v/>
      </c>
      <c r="F982" s="4" t="str">
        <f>Registered!AU2279</f>
        <v/>
      </c>
      <c r="G982" s="4" t="str">
        <f>Registered!AW2279</f>
        <v/>
      </c>
      <c r="H982" s="4" t="str">
        <f>Registered!AX2279</f>
        <v/>
      </c>
      <c r="I982" s="4" t="str">
        <f>Registered!AY2279</f>
        <v/>
      </c>
    </row>
    <row r="983" spans="1:9" x14ac:dyDescent="0.25">
      <c r="A983" s="4" t="str">
        <f>Registered!B2280</f>
        <v>Sneddon</v>
      </c>
      <c r="B983" s="4" t="str">
        <f>Registered!A2280</f>
        <v>Sienie</v>
      </c>
      <c r="C983" s="4" t="str">
        <f>IF(Registered!AR2280&gt;0,Registered!AR2280&amp;" Color Bags", "")</f>
        <v>10 Color Bags</v>
      </c>
      <c r="D983" s="4" t="str">
        <f>IF(Registered!AS2280&gt;0,(IF(Registered!AS2280=1,Registered!AS2280&amp;" T-Shirt",Registered!AS2280&amp;" T-Shirts")), "")</f>
        <v/>
      </c>
      <c r="E983" s="4" t="str">
        <f>Registered!AT2280</f>
        <v/>
      </c>
      <c r="F983" s="4" t="str">
        <f>Registered!AU2280</f>
        <v/>
      </c>
      <c r="G983" s="4" t="str">
        <f>Registered!AW2280</f>
        <v/>
      </c>
      <c r="H983" s="4" t="str">
        <f>Registered!AX2280</f>
        <v/>
      </c>
      <c r="I983" s="4" t="str">
        <f>Registered!AY2280</f>
        <v/>
      </c>
    </row>
    <row r="984" spans="1:9" x14ac:dyDescent="0.25">
      <c r="A984" s="4" t="str">
        <f>Registered!B2284</f>
        <v>Snow</v>
      </c>
      <c r="B984" s="4" t="str">
        <f>Registered!A2284</f>
        <v>Heather</v>
      </c>
      <c r="C984" s="4" t="str">
        <f>IF(Registered!AR2284&gt;0,Registered!AR2284&amp;" Color Bags", "")</f>
        <v>10 Color Bags</v>
      </c>
      <c r="D984" s="4" t="str">
        <f>IF(Registered!AS2284&gt;0,(IF(Registered!AS2284=1,Registered!AS2284&amp;" T-Shirt",Registered!AS2284&amp;" T-Shirts")), "")</f>
        <v>2 T-Shirts</v>
      </c>
      <c r="E984" s="4" t="str">
        <f>Registered!AT2284</f>
        <v>1 womens large and 1 womens extra large</v>
      </c>
      <c r="F984" s="4" t="str">
        <f>Registered!AU2284</f>
        <v/>
      </c>
      <c r="G984" s="4" t="str">
        <f>Registered!AW2284</f>
        <v/>
      </c>
      <c r="H984" s="4" t="str">
        <f>Registered!AX2284</f>
        <v/>
      </c>
      <c r="I984" s="4" t="str">
        <f>Registered!AY2284</f>
        <v/>
      </c>
    </row>
    <row r="985" spans="1:9" x14ac:dyDescent="0.25">
      <c r="A985" s="4" t="str">
        <f>Registered!B2283</f>
        <v>Snow</v>
      </c>
      <c r="B985" s="4" t="str">
        <f>Registered!A2283</f>
        <v>Daniel</v>
      </c>
      <c r="C985" s="4" t="str">
        <f>IF(Registered!AR2283&gt;0,Registered!AR2283&amp;" Color Bags", "")</f>
        <v>5 Color Bags</v>
      </c>
      <c r="D985" s="4" t="str">
        <f>IF(Registered!AS2283&gt;0,(IF(Registered!AS2283=1,Registered!AS2283&amp;" T-Shirt",Registered!AS2283&amp;" T-Shirts")), "")</f>
        <v/>
      </c>
      <c r="E985" s="4" t="str">
        <f>Registered!AT2283</f>
        <v/>
      </c>
      <c r="F985" s="4" t="str">
        <f>Registered!AU2283</f>
        <v>1 Bandana</v>
      </c>
      <c r="G985" s="4" t="str">
        <f>Registered!AW2283</f>
        <v/>
      </c>
      <c r="H985" s="4" t="str">
        <f>Registered!AX2283</f>
        <v/>
      </c>
      <c r="I985" s="4" t="str">
        <f>Registered!AY2283</f>
        <v/>
      </c>
    </row>
    <row r="986" spans="1:9" x14ac:dyDescent="0.25">
      <c r="A986" s="4" t="str">
        <f>Registered!B2286</f>
        <v>Snyder</v>
      </c>
      <c r="B986" s="4" t="str">
        <f>Registered!A2286</f>
        <v>Lisa</v>
      </c>
      <c r="C986" s="4" t="str">
        <f>IF(Registered!AR2286&gt;0,Registered!AR2286&amp;" Color Bags", "")</f>
        <v>10 Color Bags</v>
      </c>
      <c r="D986" s="4" t="str">
        <f>IF(Registered!AS2286&gt;0,(IF(Registered!AS2286=1,Registered!AS2286&amp;" T-Shirt",Registered!AS2286&amp;" T-Shirts")), "")</f>
        <v/>
      </c>
      <c r="E986" s="4" t="str">
        <f>Registered!AT2286</f>
        <v/>
      </c>
      <c r="F986" s="4" t="str">
        <f>Registered!AU2286</f>
        <v>2 Bandanas</v>
      </c>
      <c r="G986" s="4" t="str">
        <f>Registered!AW2286</f>
        <v/>
      </c>
      <c r="H986" s="4" t="str">
        <f>Registered!AX2286</f>
        <v/>
      </c>
      <c r="I986" s="4" t="str">
        <f>Registered!AY2286</f>
        <v/>
      </c>
    </row>
    <row r="987" spans="1:9" x14ac:dyDescent="0.25">
      <c r="A987" s="4" t="str">
        <f>Registered!B2285</f>
        <v>Snyder</v>
      </c>
      <c r="B987" s="4" t="str">
        <f>Registered!A2285</f>
        <v>Jenel</v>
      </c>
      <c r="C987" s="4" t="str">
        <f>IF(Registered!AR2285&gt;0,Registered!AR2285&amp;" Color Bags", "")</f>
        <v>20 Color Bags</v>
      </c>
      <c r="D987" s="4" t="str">
        <f>IF(Registered!AS2285&gt;0,(IF(Registered!AS2285=1,Registered!AS2285&amp;" T-Shirt",Registered!AS2285&amp;" T-Shirts")), "")</f>
        <v/>
      </c>
      <c r="E987" s="4" t="str">
        <f>Registered!AT2285</f>
        <v/>
      </c>
      <c r="F987" s="4" t="str">
        <f>Registered!AU2285</f>
        <v/>
      </c>
      <c r="G987" s="4" t="str">
        <f>Registered!AW2285</f>
        <v/>
      </c>
      <c r="H987" s="4" t="str">
        <f>Registered!AX2285</f>
        <v/>
      </c>
      <c r="I987" s="4" t="str">
        <f>Registered!AY2285</f>
        <v/>
      </c>
    </row>
    <row r="988" spans="1:9" x14ac:dyDescent="0.25">
      <c r="A988" s="4" t="str">
        <f>Registered!B2289</f>
        <v>Soiseth</v>
      </c>
      <c r="B988" s="4" t="str">
        <f>Registered!A2289</f>
        <v>Kaily</v>
      </c>
      <c r="C988" s="4" t="str">
        <f>IF(Registered!AR2289&gt;0,Registered!AR2289&amp;" Color Bags", "")</f>
        <v>10 Color Bags</v>
      </c>
      <c r="D988" s="4" t="str">
        <f>IF(Registered!AS2289&gt;0,(IF(Registered!AS2289=1,Registered!AS2289&amp;" T-Shirt",Registered!AS2289&amp;" T-Shirts")), "")</f>
        <v>2 T-Shirts</v>
      </c>
      <c r="E988" s="4" t="str">
        <f>Registered!AT2289</f>
        <v>Adult small and adult X-large</v>
      </c>
      <c r="F988" s="4" t="str">
        <f>Registered!AU2289</f>
        <v/>
      </c>
      <c r="G988" s="4" t="str">
        <f>Registered!AW2289</f>
        <v>2 Meals</v>
      </c>
      <c r="H988" s="4" t="str">
        <f>Registered!AX2289</f>
        <v/>
      </c>
      <c r="I988" s="4" t="str">
        <f>Registered!AY2289</f>
        <v/>
      </c>
    </row>
    <row r="989" spans="1:9" x14ac:dyDescent="0.25">
      <c r="A989" s="4" t="str">
        <f>Registered!B2290</f>
        <v>Solace</v>
      </c>
      <c r="B989" s="4" t="str">
        <f>Registered!A2290</f>
        <v>Melodie</v>
      </c>
      <c r="C989" s="4" t="str">
        <f>IF(Registered!AR2290&gt;0,Registered!AR2290&amp;" Color Bags", "")</f>
        <v>5 Color Bags</v>
      </c>
      <c r="D989" s="4" t="str">
        <f>IF(Registered!AS2290&gt;0,(IF(Registered!AS2290=1,Registered!AS2290&amp;" T-Shirt",Registered!AS2290&amp;" T-Shirts")), "")</f>
        <v/>
      </c>
      <c r="E989" s="4" t="str">
        <f>Registered!AT2290</f>
        <v/>
      </c>
      <c r="F989" s="4" t="str">
        <f>Registered!AU2290</f>
        <v/>
      </c>
      <c r="G989" s="4" t="str">
        <f>Registered!AW2290</f>
        <v/>
      </c>
      <c r="H989" s="4" t="str">
        <f>Registered!AX2290</f>
        <v/>
      </c>
      <c r="I989" s="4" t="str">
        <f>Registered!AY2290</f>
        <v/>
      </c>
    </row>
    <row r="990" spans="1:9" x14ac:dyDescent="0.25">
      <c r="A990" s="4" t="str">
        <f>Registered!B2292</f>
        <v>Sorensen</v>
      </c>
      <c r="B990" s="4" t="str">
        <f>Registered!A2292</f>
        <v>Nicole</v>
      </c>
      <c r="C990" s="4" t="str">
        <f>IF(Registered!AR2292&gt;0,Registered!AR2292&amp;" Color Bags", "")</f>
        <v>15 Color Bags</v>
      </c>
      <c r="D990" s="4" t="str">
        <f>IF(Registered!AS2292&gt;0,(IF(Registered!AS2292=1,Registered!AS2292&amp;" T-Shirt",Registered!AS2292&amp;" T-Shirts")), "")</f>
        <v/>
      </c>
      <c r="E990" s="4" t="str">
        <f>Registered!AT2292</f>
        <v/>
      </c>
      <c r="F990" s="4" t="str">
        <f>Registered!AU2292</f>
        <v/>
      </c>
      <c r="G990" s="4" t="str">
        <f>Registered!AW2292</f>
        <v/>
      </c>
      <c r="H990" s="4" t="str">
        <f>Registered!AX2292</f>
        <v/>
      </c>
      <c r="I990" s="4" t="str">
        <f>Registered!AY2292</f>
        <v/>
      </c>
    </row>
    <row r="991" spans="1:9" x14ac:dyDescent="0.25">
      <c r="A991" s="4" t="str">
        <f>Registered!B2291</f>
        <v>Sorensen</v>
      </c>
      <c r="B991" s="4" t="str">
        <f>Registered!A2291</f>
        <v>Jessica</v>
      </c>
      <c r="C991" s="4" t="str">
        <f>IF(Registered!AR2291&gt;0,Registered!AR2291&amp;" Color Bags", "")</f>
        <v>20 Color Bags</v>
      </c>
      <c r="D991" s="4" t="str">
        <f>IF(Registered!AS2291&gt;0,(IF(Registered!AS2291=1,Registered!AS2291&amp;" T-Shirt",Registered!AS2291&amp;" T-Shirts")), "")</f>
        <v/>
      </c>
      <c r="E991" s="4" t="str">
        <f>Registered!AT2291</f>
        <v/>
      </c>
      <c r="F991" s="4" t="str">
        <f>Registered!AU2291</f>
        <v/>
      </c>
      <c r="G991" s="4" t="str">
        <f>Registered!AW2291</f>
        <v/>
      </c>
      <c r="H991" s="4" t="str">
        <f>Registered!AX2291</f>
        <v/>
      </c>
      <c r="I991" s="4" t="str">
        <f>Registered!AY2291</f>
        <v/>
      </c>
    </row>
    <row r="992" spans="1:9" x14ac:dyDescent="0.25">
      <c r="A992" s="4" t="str">
        <f>Registered!B2294</f>
        <v>Soto</v>
      </c>
      <c r="B992" s="4" t="str">
        <f>Registered!A2294</f>
        <v>Alexander</v>
      </c>
      <c r="C992" s="4" t="str">
        <f>IF(Registered!AR2294&gt;0,Registered!AR2294&amp;" Color Bags", "")</f>
        <v>20 Color Bags</v>
      </c>
      <c r="D992" s="4" t="str">
        <f>IF(Registered!AS2294&gt;0,(IF(Registered!AS2294=1,Registered!AS2294&amp;" T-Shirt",Registered!AS2294&amp;" T-Shirts")), "")</f>
        <v>2 T-Shirts</v>
      </c>
      <c r="E992" s="4" t="str">
        <f>Registered!AT2294</f>
        <v>Large, and medium</v>
      </c>
      <c r="F992" s="4" t="str">
        <f>Registered!AU2294</f>
        <v/>
      </c>
      <c r="G992" s="4" t="str">
        <f>Registered!AW2294</f>
        <v>2 Meals</v>
      </c>
      <c r="H992" s="4" t="str">
        <f>Registered!AX2294</f>
        <v/>
      </c>
      <c r="I992" s="4" t="str">
        <f>Registered!AY2294</f>
        <v/>
      </c>
    </row>
    <row r="993" spans="1:9" x14ac:dyDescent="0.25">
      <c r="A993" s="4" t="str">
        <f>Registered!B2296</f>
        <v>Southwick</v>
      </c>
      <c r="B993" s="4" t="str">
        <f>Registered!A2296</f>
        <v>Rachel</v>
      </c>
      <c r="C993" s="4" t="str">
        <f>IF(Registered!AR2296&gt;0,Registered!AR2296&amp;" Color Bags", "")</f>
        <v>10 Color Bags</v>
      </c>
      <c r="D993" s="4" t="str">
        <f>IF(Registered!AS2296&gt;0,(IF(Registered!AS2296=1,Registered!AS2296&amp;" T-Shirt",Registered!AS2296&amp;" T-Shirts")), "")</f>
        <v/>
      </c>
      <c r="E993" s="4" t="str">
        <f>Registered!AT2296</f>
        <v/>
      </c>
      <c r="F993" s="4" t="str">
        <f>Registered!AU2296</f>
        <v/>
      </c>
      <c r="G993" s="4" t="str">
        <f>Registered!AW2296</f>
        <v/>
      </c>
      <c r="H993" s="4" t="str">
        <f>Registered!AX2296</f>
        <v/>
      </c>
      <c r="I993" s="4" t="str">
        <f>Registered!AY2296</f>
        <v>1 DustMask</v>
      </c>
    </row>
    <row r="994" spans="1:9" x14ac:dyDescent="0.25">
      <c r="A994" s="4" t="str">
        <f>Registered!B2298</f>
        <v>Speed</v>
      </c>
      <c r="B994" s="4" t="str">
        <f>Registered!A2298</f>
        <v>James</v>
      </c>
      <c r="C994" s="4" t="str">
        <f>IF(Registered!AR2298&gt;0,Registered!AR2298&amp;" Color Bags", "")</f>
        <v>40 Color Bags</v>
      </c>
      <c r="D994" s="4" t="str">
        <f>IF(Registered!AS2298&gt;0,(IF(Registered!AS2298=1,Registered!AS2298&amp;" T-Shirt",Registered!AS2298&amp;" T-Shirts")), "")</f>
        <v/>
      </c>
      <c r="E994" s="4" t="str">
        <f>Registered!AT2298</f>
        <v/>
      </c>
      <c r="F994" s="4" t="str">
        <f>Registered!AU2298</f>
        <v/>
      </c>
      <c r="G994" s="4" t="str">
        <f>Registered!AW2298</f>
        <v>2 Meals</v>
      </c>
      <c r="H994" s="4" t="str">
        <f>Registered!AX2298</f>
        <v/>
      </c>
      <c r="I994" s="4" t="str">
        <f>Registered!AY2298</f>
        <v/>
      </c>
    </row>
    <row r="995" spans="1:9" x14ac:dyDescent="0.25">
      <c r="A995" s="4" t="str">
        <f>Registered!B2300</f>
        <v>Spencer</v>
      </c>
      <c r="B995" s="4" t="str">
        <f>Registered!A2300</f>
        <v>Alan</v>
      </c>
      <c r="C995" s="4" t="str">
        <f>IF(Registered!AR2300&gt;0,Registered!AR2300&amp;" Color Bags", "")</f>
        <v>10 Color Bags</v>
      </c>
      <c r="D995" s="4" t="str">
        <f>IF(Registered!AS2300&gt;0,(IF(Registered!AS2300=1,Registered!AS2300&amp;" T-Shirt",Registered!AS2300&amp;" T-Shirts")), "")</f>
        <v/>
      </c>
      <c r="E995" s="4" t="str">
        <f>Registered!AT2300</f>
        <v/>
      </c>
      <c r="F995" s="4" t="str">
        <f>Registered!AU2300</f>
        <v>2 Bandanas</v>
      </c>
      <c r="G995" s="4" t="str">
        <f>Registered!AW2300</f>
        <v/>
      </c>
      <c r="H995" s="4" t="str">
        <f>Registered!AX2300</f>
        <v/>
      </c>
      <c r="I995" s="4" t="str">
        <f>Registered!AY2300</f>
        <v/>
      </c>
    </row>
    <row r="996" spans="1:9" x14ac:dyDescent="0.25">
      <c r="A996" s="4" t="str">
        <f>Registered!B2303</f>
        <v>Spencer</v>
      </c>
      <c r="B996" s="4" t="str">
        <f>Registered!A2303</f>
        <v>Jennifer</v>
      </c>
      <c r="C996" s="4" t="str">
        <f>IF(Registered!AR2303&gt;0,Registered!AR2303&amp;" Color Bags", "")</f>
        <v>15 Color Bags</v>
      </c>
      <c r="D996" s="4" t="str">
        <f>IF(Registered!AS2303&gt;0,(IF(Registered!AS2303=1,Registered!AS2303&amp;" T-Shirt",Registered!AS2303&amp;" T-Shirts")), "")</f>
        <v/>
      </c>
      <c r="E996" s="4" t="str">
        <f>Registered!AT2303</f>
        <v/>
      </c>
      <c r="F996" s="4" t="str">
        <f>Registered!AU2303</f>
        <v/>
      </c>
      <c r="G996" s="4" t="str">
        <f>Registered!AW2303</f>
        <v/>
      </c>
      <c r="H996" s="4" t="str">
        <f>Registered!AX2303</f>
        <v/>
      </c>
      <c r="I996" s="4" t="str">
        <f>Registered!AY2303</f>
        <v/>
      </c>
    </row>
    <row r="997" spans="1:9" x14ac:dyDescent="0.25">
      <c r="A997" s="4" t="str">
        <f>Registered!B2305</f>
        <v>Sperry</v>
      </c>
      <c r="B997" s="4" t="str">
        <f>Registered!A2305</f>
        <v>Ryan</v>
      </c>
      <c r="C997" s="4" t="str">
        <f>IF(Registered!AR2305&gt;0,Registered!AR2305&amp;" Color Bags", "")</f>
        <v>5 Color Bags</v>
      </c>
      <c r="D997" s="4" t="str">
        <f>IF(Registered!AS2305&gt;0,(IF(Registered!AS2305=1,Registered!AS2305&amp;" T-Shirt",Registered!AS2305&amp;" T-Shirts")), "")</f>
        <v/>
      </c>
      <c r="E997" s="4" t="str">
        <f>Registered!AT2305</f>
        <v/>
      </c>
      <c r="F997" s="4" t="str">
        <f>Registered!AU2305</f>
        <v/>
      </c>
      <c r="G997" s="4" t="str">
        <f>Registered!AW2305</f>
        <v/>
      </c>
      <c r="H997" s="4" t="str">
        <f>Registered!AX2305</f>
        <v/>
      </c>
      <c r="I997" s="4" t="str">
        <f>Registered!AY2305</f>
        <v/>
      </c>
    </row>
    <row r="998" spans="1:9" x14ac:dyDescent="0.25">
      <c r="A998" s="4" t="str">
        <f>Registered!B2308</f>
        <v>Spjut</v>
      </c>
      <c r="B998" s="4" t="str">
        <f>Registered!A2308</f>
        <v>Kylee</v>
      </c>
      <c r="C998" s="4" t="str">
        <f>IF(Registered!AR2308&gt;0,Registered!AR2308&amp;" Color Bags", "")</f>
        <v>5 Color Bags</v>
      </c>
      <c r="D998" s="4" t="str">
        <f>IF(Registered!AS2308&gt;0,(IF(Registered!AS2308=1,Registered!AS2308&amp;" T-Shirt",Registered!AS2308&amp;" T-Shirts")), "")</f>
        <v/>
      </c>
      <c r="E998" s="4" t="str">
        <f>Registered!AT2308</f>
        <v/>
      </c>
      <c r="F998" s="4" t="str">
        <f>Registered!AU2308</f>
        <v/>
      </c>
      <c r="G998" s="4" t="str">
        <f>Registered!AW2308</f>
        <v/>
      </c>
      <c r="H998" s="4" t="str">
        <f>Registered!AX2308</f>
        <v/>
      </c>
      <c r="I998" s="4" t="str">
        <f>Registered!AY2308</f>
        <v/>
      </c>
    </row>
    <row r="999" spans="1:9" x14ac:dyDescent="0.25">
      <c r="A999" s="4" t="str">
        <f>Registered!B2312</f>
        <v>Staheli</v>
      </c>
      <c r="B999" s="4" t="str">
        <f>Registered!A2312</f>
        <v>Jared</v>
      </c>
      <c r="C999" s="4" t="str">
        <f>IF(Registered!AR2312&gt;0,Registered!AR2312&amp;" Color Bags", "")</f>
        <v>5 Color Bags</v>
      </c>
      <c r="D999" s="4" t="str">
        <f>IF(Registered!AS2312&gt;0,(IF(Registered!AS2312=1,Registered!AS2312&amp;" T-Shirt",Registered!AS2312&amp;" T-Shirts")), "")</f>
        <v>1 T-Shirt</v>
      </c>
      <c r="E999" s="4" t="str">
        <f>Registered!AT2312</f>
        <v>M</v>
      </c>
      <c r="F999" s="4" t="str">
        <f>Registered!AU2312</f>
        <v/>
      </c>
      <c r="G999" s="4" t="str">
        <f>Registered!AW2312</f>
        <v>1 Meal</v>
      </c>
      <c r="H999" s="4" t="str">
        <f>Registered!AX2312</f>
        <v/>
      </c>
      <c r="I999" s="4" t="str">
        <f>Registered!AY2312</f>
        <v/>
      </c>
    </row>
    <row r="1000" spans="1:9" x14ac:dyDescent="0.25">
      <c r="A1000" s="4" t="str">
        <f>Registered!B2314</f>
        <v>Stahl</v>
      </c>
      <c r="B1000" s="4" t="str">
        <f>Registered!A2314</f>
        <v>Sally</v>
      </c>
      <c r="C1000" s="4" t="str">
        <f>IF(Registered!AR2314&gt;0,Registered!AR2314&amp;" Color Bags", "")</f>
        <v>5 Color Bags</v>
      </c>
      <c r="D1000" s="4" t="str">
        <f>IF(Registered!AS2314&gt;0,(IF(Registered!AS2314=1,Registered!AS2314&amp;" T-Shirt",Registered!AS2314&amp;" T-Shirts")), "")</f>
        <v/>
      </c>
      <c r="E1000" s="4" t="str">
        <f>Registered!AT2314</f>
        <v/>
      </c>
      <c r="F1000" s="4" t="str">
        <f>Registered!AU2314</f>
        <v/>
      </c>
      <c r="G1000" s="4" t="str">
        <f>Registered!AW2314</f>
        <v/>
      </c>
      <c r="H1000" s="4" t="str">
        <f>Registered!AX2314</f>
        <v/>
      </c>
      <c r="I1000" s="4" t="str">
        <f>Registered!AY2314</f>
        <v/>
      </c>
    </row>
    <row r="1001" spans="1:9" x14ac:dyDescent="0.25">
      <c r="A1001" s="4" t="str">
        <f>Registered!B2318</f>
        <v>Stanger</v>
      </c>
      <c r="B1001" s="4" t="str">
        <f>Registered!A2318</f>
        <v>Jared</v>
      </c>
      <c r="C1001" s="4" t="str">
        <f>IF(Registered!AR2318&gt;0,Registered!AR2318&amp;" Color Bags", "")</f>
        <v>20 Color Bags</v>
      </c>
      <c r="D1001" s="4" t="str">
        <f>IF(Registered!AS2318&gt;0,(IF(Registered!AS2318=1,Registered!AS2318&amp;" T-Shirt",Registered!AS2318&amp;" T-Shirts")), "")</f>
        <v/>
      </c>
      <c r="E1001" s="4" t="str">
        <f>Registered!AT2318</f>
        <v/>
      </c>
      <c r="F1001" s="4" t="str">
        <f>Registered!AU2318</f>
        <v/>
      </c>
      <c r="G1001" s="4" t="str">
        <f>Registered!AW2318</f>
        <v/>
      </c>
      <c r="H1001" s="4" t="str">
        <f>Registered!AX2318</f>
        <v/>
      </c>
      <c r="I1001" s="4" t="str">
        <f>Registered!AY2318</f>
        <v/>
      </c>
    </row>
    <row r="1002" spans="1:9" x14ac:dyDescent="0.25">
      <c r="A1002" s="4" t="str">
        <f>Registered!B2319</f>
        <v>Stankovich</v>
      </c>
      <c r="B1002" s="4" t="str">
        <f>Registered!A2319</f>
        <v>Melissa</v>
      </c>
      <c r="C1002" s="4" t="str">
        <f>IF(Registered!AR2319&gt;0,Registered!AR2319&amp;" Color Bags", "")</f>
        <v>5 Color Bags</v>
      </c>
      <c r="D1002" s="4" t="str">
        <f>IF(Registered!AS2319&gt;0,(IF(Registered!AS2319=1,Registered!AS2319&amp;" T-Shirt",Registered!AS2319&amp;" T-Shirts")), "")</f>
        <v/>
      </c>
      <c r="E1002" s="4" t="str">
        <f>Registered!AT2319</f>
        <v/>
      </c>
      <c r="F1002" s="4" t="str">
        <f>Registered!AU2319</f>
        <v/>
      </c>
      <c r="G1002" s="4" t="str">
        <f>Registered!AW2319</f>
        <v/>
      </c>
      <c r="H1002" s="4" t="str">
        <f>Registered!AX2319</f>
        <v/>
      </c>
      <c r="I1002" s="4" t="str">
        <f>Registered!AY2319</f>
        <v/>
      </c>
    </row>
    <row r="1003" spans="1:9" x14ac:dyDescent="0.25">
      <c r="A1003" s="4" t="str">
        <f>Registered!B2324</f>
        <v>Stanleyson</v>
      </c>
      <c r="B1003" s="4" t="str">
        <f>Registered!A2324</f>
        <v>Lisa</v>
      </c>
      <c r="C1003" s="4" t="str">
        <f>IF(Registered!AR2324&gt;0,Registered!AR2324&amp;" Color Bags", "")</f>
        <v>30 Color Bags</v>
      </c>
      <c r="D1003" s="4" t="str">
        <f>IF(Registered!AS2324&gt;0,(IF(Registered!AS2324=1,Registered!AS2324&amp;" T-Shirt",Registered!AS2324&amp;" T-Shirts")), "")</f>
        <v/>
      </c>
      <c r="E1003" s="4" t="str">
        <f>Registered!AT2324</f>
        <v/>
      </c>
      <c r="F1003" s="4" t="str">
        <f>Registered!AU2324</f>
        <v/>
      </c>
      <c r="G1003" s="4" t="str">
        <f>Registered!AW2324</f>
        <v/>
      </c>
      <c r="H1003" s="4" t="str">
        <f>Registered!AX2324</f>
        <v/>
      </c>
      <c r="I1003" s="4" t="str">
        <f>Registered!AY2324</f>
        <v/>
      </c>
    </row>
    <row r="1004" spans="1:9" x14ac:dyDescent="0.25">
      <c r="A1004" s="4" t="str">
        <f>Registered!B2329</f>
        <v>Starley</v>
      </c>
      <c r="B1004" s="4" t="str">
        <f>Registered!A2329</f>
        <v>Jenny</v>
      </c>
      <c r="C1004" s="4" t="str">
        <f>IF(Registered!AR2329&gt;0,Registered!AR2329&amp;" Color Bags", "")</f>
        <v>15 Color Bags</v>
      </c>
      <c r="D1004" s="4" t="str">
        <f>IF(Registered!AS2329&gt;0,(IF(Registered!AS2329=1,Registered!AS2329&amp;" T-Shirt",Registered!AS2329&amp;" T-Shirts")), "")</f>
        <v/>
      </c>
      <c r="E1004" s="4" t="str">
        <f>Registered!AT2329</f>
        <v/>
      </c>
      <c r="F1004" s="4" t="str">
        <f>Registered!AU2329</f>
        <v/>
      </c>
      <c r="G1004" s="4" t="str">
        <f>Registered!AW2329</f>
        <v/>
      </c>
      <c r="H1004" s="4" t="str">
        <f>Registered!AX2329</f>
        <v/>
      </c>
      <c r="I1004" s="4" t="str">
        <f>Registered!AY2329</f>
        <v/>
      </c>
    </row>
    <row r="1005" spans="1:9" x14ac:dyDescent="0.25">
      <c r="A1005" s="4" t="str">
        <f>Registered!B2332</f>
        <v>Stauffer</v>
      </c>
      <c r="B1005" s="4" t="str">
        <f>Registered!A2332</f>
        <v>McKinley</v>
      </c>
      <c r="C1005" s="4" t="str">
        <f>IF(Registered!AR2332&gt;0,Registered!AR2332&amp;" Color Bags", "")</f>
        <v>5 Color Bags</v>
      </c>
      <c r="D1005" s="4" t="str">
        <f>IF(Registered!AS2332&gt;0,(IF(Registered!AS2332=1,Registered!AS2332&amp;" T-Shirt",Registered!AS2332&amp;" T-Shirts")), "")</f>
        <v/>
      </c>
      <c r="E1005" s="4" t="str">
        <f>Registered!AT2332</f>
        <v/>
      </c>
      <c r="F1005" s="4" t="str">
        <f>Registered!AU2332</f>
        <v/>
      </c>
      <c r="G1005" s="4" t="str">
        <f>Registered!AW2332</f>
        <v/>
      </c>
      <c r="H1005" s="4" t="str">
        <f>Registered!AX2332</f>
        <v/>
      </c>
      <c r="I1005" s="4" t="str">
        <f>Registered!AY2332</f>
        <v/>
      </c>
    </row>
    <row r="1006" spans="1:9" x14ac:dyDescent="0.25">
      <c r="A1006" s="4" t="str">
        <f>Registered!B2333</f>
        <v>Steele</v>
      </c>
      <c r="B1006" s="4" t="str">
        <f>Registered!A2333</f>
        <v>Christie</v>
      </c>
      <c r="C1006" s="4" t="str">
        <f>IF(Registered!AR2333&gt;0,Registered!AR2333&amp;" Color Bags", "")</f>
        <v>10 Color Bags</v>
      </c>
      <c r="D1006" s="4" t="str">
        <f>IF(Registered!AS2333&gt;0,(IF(Registered!AS2333=1,Registered!AS2333&amp;" T-Shirt",Registered!AS2333&amp;" T-Shirts")), "")</f>
        <v/>
      </c>
      <c r="E1006" s="4" t="str">
        <f>Registered!AT2333</f>
        <v/>
      </c>
      <c r="F1006" s="4" t="str">
        <f>Registered!AU2333</f>
        <v/>
      </c>
      <c r="G1006" s="4" t="str">
        <f>Registered!AW2333</f>
        <v>1 Meal</v>
      </c>
      <c r="H1006" s="4" t="str">
        <f>Registered!AX2333</f>
        <v/>
      </c>
      <c r="I1006" s="4" t="str">
        <f>Registered!AY2333</f>
        <v/>
      </c>
    </row>
    <row r="1007" spans="1:9" x14ac:dyDescent="0.25">
      <c r="A1007" s="4" t="str">
        <f>Registered!B2334</f>
        <v>Steele</v>
      </c>
      <c r="B1007" s="4" t="str">
        <f>Registered!A2334</f>
        <v>Elizabeth</v>
      </c>
      <c r="C1007" s="4" t="str">
        <f>IF(Registered!AR2334&gt;0,Registered!AR2334&amp;" Color Bags", "")</f>
        <v>5 Color Bags</v>
      </c>
      <c r="D1007" s="4" t="str">
        <f>IF(Registered!AS2334&gt;0,(IF(Registered!AS2334=1,Registered!AS2334&amp;" T-Shirt",Registered!AS2334&amp;" T-Shirts")), "")</f>
        <v/>
      </c>
      <c r="E1007" s="4" t="str">
        <f>Registered!AT2334</f>
        <v/>
      </c>
      <c r="F1007" s="4" t="str">
        <f>Registered!AU2334</f>
        <v/>
      </c>
      <c r="G1007" s="4" t="str">
        <f>Registered!AW2334</f>
        <v/>
      </c>
      <c r="H1007" s="4" t="str">
        <f>Registered!AX2334</f>
        <v/>
      </c>
      <c r="I1007" s="4" t="str">
        <f>Registered!AY2334</f>
        <v/>
      </c>
    </row>
    <row r="1008" spans="1:9" x14ac:dyDescent="0.25">
      <c r="A1008" s="4" t="str">
        <f>Registered!B2336</f>
        <v>Steffler</v>
      </c>
      <c r="B1008" s="4" t="str">
        <f>Registered!A2336</f>
        <v>Jorden</v>
      </c>
      <c r="C1008" s="4" t="str">
        <f>IF(Registered!AR2336&gt;0,Registered!AR2336&amp;" Color Bags", "")</f>
        <v>5 Color Bags</v>
      </c>
      <c r="D1008" s="4" t="str">
        <f>IF(Registered!AS2336&gt;0,(IF(Registered!AS2336=1,Registered!AS2336&amp;" T-Shirt",Registered!AS2336&amp;" T-Shirts")), "")</f>
        <v>1 T-Shirt</v>
      </c>
      <c r="E1008" s="4" t="str">
        <f>Registered!AT2336</f>
        <v>Large</v>
      </c>
      <c r="F1008" s="4" t="str">
        <f>Registered!AU2336</f>
        <v/>
      </c>
      <c r="G1008" s="4" t="str">
        <f>Registered!AW2336</f>
        <v>1 Meal</v>
      </c>
      <c r="H1008" s="4" t="str">
        <f>Registered!AX2336</f>
        <v/>
      </c>
      <c r="I1008" s="4" t="str">
        <f>Registered!AY2336</f>
        <v/>
      </c>
    </row>
    <row r="1009" spans="1:9" x14ac:dyDescent="0.25">
      <c r="A1009" s="4" t="str">
        <f>Registered!B2337</f>
        <v>Stegall</v>
      </c>
      <c r="B1009" s="4" t="str">
        <f>Registered!A2337</f>
        <v>Hendrik</v>
      </c>
      <c r="C1009" s="4" t="str">
        <f>IF(Registered!AR2337&gt;0,Registered!AR2337&amp;" Color Bags", "")</f>
        <v>5 Color Bags</v>
      </c>
      <c r="D1009" s="4" t="str">
        <f>IF(Registered!AS2337&gt;0,(IF(Registered!AS2337=1,Registered!AS2337&amp;" T-Shirt",Registered!AS2337&amp;" T-Shirts")), "")</f>
        <v/>
      </c>
      <c r="E1009" s="4" t="str">
        <f>Registered!AT2337</f>
        <v/>
      </c>
      <c r="F1009" s="4" t="str">
        <f>Registered!AU2337</f>
        <v/>
      </c>
      <c r="G1009" s="4" t="str">
        <f>Registered!AW2337</f>
        <v/>
      </c>
      <c r="H1009" s="4" t="str">
        <f>Registered!AX2337</f>
        <v/>
      </c>
      <c r="I1009" s="4" t="str">
        <f>Registered!AY2337</f>
        <v/>
      </c>
    </row>
    <row r="1010" spans="1:9" x14ac:dyDescent="0.25">
      <c r="A1010" s="4" t="str">
        <f>Registered!B2343</f>
        <v>Stephens</v>
      </c>
      <c r="B1010" s="4" t="str">
        <f>Registered!A2343</f>
        <v>Tanya</v>
      </c>
      <c r="C1010" s="4" t="str">
        <f>IF(Registered!AR2343&gt;0,Registered!AR2343&amp;" Color Bags", "")</f>
        <v>5 Color Bags</v>
      </c>
      <c r="D1010" s="4" t="str">
        <f>IF(Registered!AS2343&gt;0,(IF(Registered!AS2343=1,Registered!AS2343&amp;" T-Shirt",Registered!AS2343&amp;" T-Shirts")), "")</f>
        <v/>
      </c>
      <c r="E1010" s="4" t="str">
        <f>Registered!AT2343</f>
        <v/>
      </c>
      <c r="F1010" s="4" t="str">
        <f>Registered!AU2343</f>
        <v/>
      </c>
      <c r="G1010" s="4" t="str">
        <f>Registered!AW2343</f>
        <v/>
      </c>
      <c r="H1010" s="4" t="str">
        <f>Registered!AX2343</f>
        <v/>
      </c>
      <c r="I1010" s="4" t="str">
        <f>Registered!AY2343</f>
        <v/>
      </c>
    </row>
    <row r="1011" spans="1:9" x14ac:dyDescent="0.25">
      <c r="A1011" s="4" t="str">
        <f>Registered!B2345</f>
        <v>Stevens</v>
      </c>
      <c r="B1011" s="4" t="str">
        <f>Registered!A2345</f>
        <v>Kyle</v>
      </c>
      <c r="C1011" s="4" t="str">
        <f>IF(Registered!AR2345&gt;0,Registered!AR2345&amp;" Color Bags", "")</f>
        <v>15 Color Bags</v>
      </c>
      <c r="D1011" s="4" t="str">
        <f>IF(Registered!AS2345&gt;0,(IF(Registered!AS2345=1,Registered!AS2345&amp;" T-Shirt",Registered!AS2345&amp;" T-Shirts")), "")</f>
        <v>1 T-Shirt</v>
      </c>
      <c r="E1011" s="4" t="str">
        <f>Registered!AT2345</f>
        <v>xl</v>
      </c>
      <c r="F1011" s="4" t="str">
        <f>Registered!AU2345</f>
        <v/>
      </c>
      <c r="G1011" s="4" t="str">
        <f>Registered!AW2345</f>
        <v>1 Meal</v>
      </c>
      <c r="H1011" s="4" t="str">
        <f>Registered!AX2345</f>
        <v/>
      </c>
      <c r="I1011" s="4" t="str">
        <f>Registered!AY2345</f>
        <v/>
      </c>
    </row>
    <row r="1012" spans="1:9" x14ac:dyDescent="0.25">
      <c r="A1012" s="4" t="str">
        <f>Registered!B2348</f>
        <v>Stevens</v>
      </c>
      <c r="B1012" s="4" t="str">
        <f>Registered!A2348</f>
        <v>Michael</v>
      </c>
      <c r="C1012" s="4" t="str">
        <f>IF(Registered!AR2348&gt;0,Registered!AR2348&amp;" Color Bags", "")</f>
        <v>15 Color Bags</v>
      </c>
      <c r="D1012" s="4" t="str">
        <f>IF(Registered!AS2348&gt;0,(IF(Registered!AS2348=1,Registered!AS2348&amp;" T-Shirt",Registered!AS2348&amp;" T-Shirts")), "")</f>
        <v/>
      </c>
      <c r="E1012" s="4" t="str">
        <f>Registered!AT2348</f>
        <v/>
      </c>
      <c r="F1012" s="4" t="str">
        <f>Registered!AU2348</f>
        <v/>
      </c>
      <c r="G1012" s="4" t="str">
        <f>Registered!AW2348</f>
        <v/>
      </c>
      <c r="H1012" s="4" t="str">
        <f>Registered!AX2348</f>
        <v/>
      </c>
      <c r="I1012" s="4" t="str">
        <f>Registered!AY2348</f>
        <v/>
      </c>
    </row>
    <row r="1013" spans="1:9" x14ac:dyDescent="0.25">
      <c r="A1013" s="4" t="str">
        <f>Registered!B2347</f>
        <v>Stevens</v>
      </c>
      <c r="B1013" s="4" t="str">
        <f>Registered!A2347</f>
        <v>Marli</v>
      </c>
      <c r="C1013" s="4" t="str">
        <f>IF(Registered!AR2347&gt;0,Registered!AR2347&amp;" Color Bags", "")</f>
        <v>20 Color Bags</v>
      </c>
      <c r="D1013" s="4" t="str">
        <f>IF(Registered!AS2347&gt;0,(IF(Registered!AS2347=1,Registered!AS2347&amp;" T-Shirt",Registered!AS2347&amp;" T-Shirts")), "")</f>
        <v>2 T-Shirts</v>
      </c>
      <c r="E1013" s="4" t="str">
        <f>Registered!AT2347</f>
        <v>X-Small or Small and Large</v>
      </c>
      <c r="F1013" s="4" t="str">
        <f>Registered!AU2347</f>
        <v/>
      </c>
      <c r="G1013" s="4" t="str">
        <f>Registered!AW2347</f>
        <v/>
      </c>
      <c r="H1013" s="4" t="str">
        <f>Registered!AX2347</f>
        <v/>
      </c>
      <c r="I1013" s="4" t="str">
        <f>Registered!AY2347</f>
        <v/>
      </c>
    </row>
    <row r="1014" spans="1:9" x14ac:dyDescent="0.25">
      <c r="A1014" s="4" t="str">
        <f>Registered!B2344</f>
        <v>Stevens</v>
      </c>
      <c r="B1014" s="4" t="str">
        <f>Registered!A2344</f>
        <v>Jacque</v>
      </c>
      <c r="C1014" s="4" t="str">
        <f>IF(Registered!AR2344&gt;0,Registered!AR2344&amp;" Color Bags", "")</f>
        <v>5 Color Bags</v>
      </c>
      <c r="D1014" s="4" t="str">
        <f>IF(Registered!AS2344&gt;0,(IF(Registered!AS2344=1,Registered!AS2344&amp;" T-Shirt",Registered!AS2344&amp;" T-Shirts")), "")</f>
        <v/>
      </c>
      <c r="E1014" s="4" t="str">
        <f>Registered!AT2344</f>
        <v/>
      </c>
      <c r="F1014" s="4" t="str">
        <f>Registered!AU2344</f>
        <v/>
      </c>
      <c r="G1014" s="4" t="str">
        <f>Registered!AW2344</f>
        <v/>
      </c>
      <c r="H1014" s="4" t="str">
        <f>Registered!AX2344</f>
        <v/>
      </c>
      <c r="I1014" s="4" t="str">
        <f>Registered!AY2344</f>
        <v/>
      </c>
    </row>
    <row r="1015" spans="1:9" x14ac:dyDescent="0.25">
      <c r="A1015" s="4" t="str">
        <f>Registered!B2352</f>
        <v>Stirk</v>
      </c>
      <c r="B1015" s="4" t="str">
        <f>Registered!A2352</f>
        <v>Marie</v>
      </c>
      <c r="C1015" s="4" t="str">
        <f>IF(Registered!AR2352&gt;0,Registered!AR2352&amp;" Color Bags", "")</f>
        <v>5 Color Bags</v>
      </c>
      <c r="D1015" s="4" t="str">
        <f>IF(Registered!AS2352&gt;0,(IF(Registered!AS2352=1,Registered!AS2352&amp;" T-Shirt",Registered!AS2352&amp;" T-Shirts")), "")</f>
        <v/>
      </c>
      <c r="E1015" s="4" t="str">
        <f>Registered!AT2352</f>
        <v/>
      </c>
      <c r="F1015" s="4" t="str">
        <f>Registered!AU2352</f>
        <v/>
      </c>
      <c r="G1015" s="4" t="str">
        <f>Registered!AW2352</f>
        <v/>
      </c>
      <c r="H1015" s="4" t="str">
        <f>Registered!AX2352</f>
        <v/>
      </c>
      <c r="I1015" s="4" t="str">
        <f>Registered!AY2352</f>
        <v/>
      </c>
    </row>
    <row r="1016" spans="1:9" x14ac:dyDescent="0.25">
      <c r="A1016" s="4" t="str">
        <f>Registered!B2353</f>
        <v>Stock</v>
      </c>
      <c r="B1016" s="4" t="str">
        <f>Registered!A2353</f>
        <v>Riley</v>
      </c>
      <c r="C1016" s="4" t="str">
        <f>IF(Registered!AR2353&gt;0,Registered!AR2353&amp;" Color Bags", "")</f>
        <v>15 Color Bags</v>
      </c>
      <c r="D1016" s="4" t="str">
        <f>IF(Registered!AS2353&gt;0,(IF(Registered!AS2353=1,Registered!AS2353&amp;" T-Shirt",Registered!AS2353&amp;" T-Shirts")), "")</f>
        <v/>
      </c>
      <c r="E1016" s="4" t="str">
        <f>Registered!AT2353</f>
        <v/>
      </c>
      <c r="F1016" s="4" t="str">
        <f>Registered!AU2353</f>
        <v/>
      </c>
      <c r="G1016" s="4" t="str">
        <f>Registered!AW2353</f>
        <v/>
      </c>
      <c r="H1016" s="4" t="str">
        <f>Registered!AX2353</f>
        <v/>
      </c>
      <c r="I1016" s="4" t="str">
        <f>Registered!AY2353</f>
        <v/>
      </c>
    </row>
    <row r="1017" spans="1:9" x14ac:dyDescent="0.25">
      <c r="A1017" s="4" t="str">
        <f>Registered!B2354</f>
        <v>Stoker</v>
      </c>
      <c r="B1017" s="4" t="str">
        <f>Registered!A2354</f>
        <v>Jacob</v>
      </c>
      <c r="C1017" s="4" t="str">
        <f>IF(Registered!AR2354&gt;0,Registered!AR2354&amp;" Color Bags", "")</f>
        <v>10 Color Bags</v>
      </c>
      <c r="D1017" s="4" t="str">
        <f>IF(Registered!AS2354&gt;0,(IF(Registered!AS2354=1,Registered!AS2354&amp;" T-Shirt",Registered!AS2354&amp;" T-Shirts")), "")</f>
        <v/>
      </c>
      <c r="E1017" s="4" t="str">
        <f>Registered!AT2354</f>
        <v/>
      </c>
      <c r="F1017" s="4" t="str">
        <f>Registered!AU2354</f>
        <v/>
      </c>
      <c r="G1017" s="4" t="str">
        <f>Registered!AW2354</f>
        <v/>
      </c>
      <c r="H1017" s="4" t="str">
        <f>Registered!AX2354</f>
        <v/>
      </c>
      <c r="I1017" s="4" t="str">
        <f>Registered!AY2354</f>
        <v/>
      </c>
    </row>
    <row r="1018" spans="1:9" x14ac:dyDescent="0.25">
      <c r="A1018" s="4" t="str">
        <f>Registered!B2356</f>
        <v>Stone</v>
      </c>
      <c r="B1018" s="4" t="str">
        <f>Registered!A2356</f>
        <v>Amy</v>
      </c>
      <c r="C1018" s="4" t="str">
        <f>IF(Registered!AR2356&gt;0,Registered!AR2356&amp;" Color Bags", "")</f>
        <v>20 Color Bags</v>
      </c>
      <c r="D1018" s="4" t="str">
        <f>IF(Registered!AS2356&gt;0,(IF(Registered!AS2356=1,Registered!AS2356&amp;" T-Shirt",Registered!AS2356&amp;" T-Shirts")), "")</f>
        <v/>
      </c>
      <c r="E1018" s="4" t="str">
        <f>Registered!AT2356</f>
        <v/>
      </c>
      <c r="F1018" s="4" t="str">
        <f>Registered!AU2356</f>
        <v/>
      </c>
      <c r="G1018" s="4" t="str">
        <f>Registered!AW2356</f>
        <v/>
      </c>
      <c r="H1018" s="4" t="str">
        <f>Registered!AX2356</f>
        <v/>
      </c>
      <c r="I1018" s="4" t="str">
        <f>Registered!AY2356</f>
        <v/>
      </c>
    </row>
    <row r="1019" spans="1:9" x14ac:dyDescent="0.25">
      <c r="A1019" s="4" t="str">
        <f>Registered!B2357</f>
        <v>Stone</v>
      </c>
      <c r="B1019" s="4" t="str">
        <f>Registered!A2357</f>
        <v>Audrey</v>
      </c>
      <c r="C1019" s="4" t="str">
        <f>IF(Registered!AR2357&gt;0,Registered!AR2357&amp;" Color Bags", "")</f>
        <v>5 Color Bags</v>
      </c>
      <c r="D1019" s="4" t="str">
        <f>IF(Registered!AS2357&gt;0,(IF(Registered!AS2357=1,Registered!AS2357&amp;" T-Shirt",Registered!AS2357&amp;" T-Shirts")), "")</f>
        <v/>
      </c>
      <c r="E1019" s="4" t="str">
        <f>Registered!AT2357</f>
        <v/>
      </c>
      <c r="F1019" s="4" t="str">
        <f>Registered!AU2357</f>
        <v/>
      </c>
      <c r="G1019" s="4" t="str">
        <f>Registered!AW2357</f>
        <v/>
      </c>
      <c r="H1019" s="4" t="str">
        <f>Registered!AX2357</f>
        <v/>
      </c>
      <c r="I1019" s="4" t="str">
        <f>Registered!AY2357</f>
        <v/>
      </c>
    </row>
    <row r="1020" spans="1:9" x14ac:dyDescent="0.25">
      <c r="A1020" s="4" t="str">
        <f>Registered!B2358</f>
        <v>Storms</v>
      </c>
      <c r="B1020" s="4" t="str">
        <f>Registered!A2358</f>
        <v>Chantel</v>
      </c>
      <c r="C1020" s="4" t="str">
        <f>IF(Registered!AR2358&gt;0,Registered!AR2358&amp;" Color Bags", "")</f>
        <v>5 Color Bags</v>
      </c>
      <c r="D1020" s="4" t="str">
        <f>IF(Registered!AS2358&gt;0,(IF(Registered!AS2358=1,Registered!AS2358&amp;" T-Shirt",Registered!AS2358&amp;" T-Shirts")), "")</f>
        <v/>
      </c>
      <c r="E1020" s="4" t="str">
        <f>Registered!AT2358</f>
        <v/>
      </c>
      <c r="F1020" s="4" t="str">
        <f>Registered!AU2358</f>
        <v/>
      </c>
      <c r="G1020" s="4" t="str">
        <f>Registered!AW2358</f>
        <v/>
      </c>
      <c r="H1020" s="4" t="str">
        <f>Registered!AX2358</f>
        <v/>
      </c>
      <c r="I1020" s="4" t="str">
        <f>Registered!AY2358</f>
        <v/>
      </c>
    </row>
    <row r="1021" spans="1:9" x14ac:dyDescent="0.25">
      <c r="A1021" s="4" t="str">
        <f>Registered!B2359</f>
        <v>Storrs</v>
      </c>
      <c r="B1021" s="4" t="str">
        <f>Registered!A2359</f>
        <v>Amanda</v>
      </c>
      <c r="C1021" s="4" t="str">
        <f>IF(Registered!AR2359&gt;0,Registered!AR2359&amp;" Color Bags", "")</f>
        <v>10 Color Bags</v>
      </c>
      <c r="D1021" s="4" t="str">
        <f>IF(Registered!AS2359&gt;0,(IF(Registered!AS2359=1,Registered!AS2359&amp;" T-Shirt",Registered!AS2359&amp;" T-Shirts")), "")</f>
        <v/>
      </c>
      <c r="E1021" s="4" t="str">
        <f>Registered!AT2359</f>
        <v/>
      </c>
      <c r="F1021" s="4" t="str">
        <f>Registered!AU2359</f>
        <v/>
      </c>
      <c r="G1021" s="4" t="str">
        <f>Registered!AW2359</f>
        <v/>
      </c>
      <c r="H1021" s="4" t="str">
        <f>Registered!AX2359</f>
        <v>1 BG</v>
      </c>
      <c r="I1021" s="4" t="str">
        <f>Registered!AY2359</f>
        <v/>
      </c>
    </row>
    <row r="1022" spans="1:9" x14ac:dyDescent="0.25">
      <c r="A1022" s="4" t="str">
        <f>Registered!B2360</f>
        <v>Stowell</v>
      </c>
      <c r="B1022" s="4" t="str">
        <f>Registered!A2360</f>
        <v>Chelsey</v>
      </c>
      <c r="C1022" s="4" t="str">
        <f>IF(Registered!AR2360&gt;0,Registered!AR2360&amp;" Color Bags", "")</f>
        <v>40 Color Bags</v>
      </c>
      <c r="D1022" s="4" t="str">
        <f>IF(Registered!AS2360&gt;0,(IF(Registered!AS2360=1,Registered!AS2360&amp;" T-Shirt",Registered!AS2360&amp;" T-Shirts")), "")</f>
        <v/>
      </c>
      <c r="E1022" s="4" t="str">
        <f>Registered!AT2360</f>
        <v/>
      </c>
      <c r="F1022" s="4" t="str">
        <f>Registered!AU2360</f>
        <v/>
      </c>
      <c r="G1022" s="4" t="str">
        <f>Registered!AW2360</f>
        <v/>
      </c>
      <c r="H1022" s="4" t="str">
        <f>Registered!AX2360</f>
        <v/>
      </c>
      <c r="I1022" s="4" t="str">
        <f>Registered!AY2360</f>
        <v/>
      </c>
    </row>
    <row r="1023" spans="1:9" x14ac:dyDescent="0.25">
      <c r="A1023" s="4" t="str">
        <f>Registered!B2362</f>
        <v>Straw</v>
      </c>
      <c r="B1023" s="4" t="str">
        <f>Registered!A2362</f>
        <v>Samantha</v>
      </c>
      <c r="C1023" s="4" t="str">
        <f>IF(Registered!AR2362&gt;0,Registered!AR2362&amp;" Color Bags", "")</f>
        <v>5 Color Bags</v>
      </c>
      <c r="D1023" s="4" t="str">
        <f>IF(Registered!AS2362&gt;0,(IF(Registered!AS2362=1,Registered!AS2362&amp;" T-Shirt",Registered!AS2362&amp;" T-Shirts")), "")</f>
        <v/>
      </c>
      <c r="E1023" s="4" t="str">
        <f>Registered!AT2362</f>
        <v/>
      </c>
      <c r="F1023" s="4" t="str">
        <f>Registered!AU2362</f>
        <v>1 Bandana</v>
      </c>
      <c r="G1023" s="4" t="str">
        <f>Registered!AW2362</f>
        <v/>
      </c>
      <c r="H1023" s="4" t="str">
        <f>Registered!AX2362</f>
        <v>1 BG</v>
      </c>
      <c r="I1023" s="4" t="str">
        <f>Registered!AY2362</f>
        <v/>
      </c>
    </row>
    <row r="1024" spans="1:9" x14ac:dyDescent="0.25">
      <c r="A1024" s="4" t="str">
        <f>Registered!B2364</f>
        <v>Stubbs</v>
      </c>
      <c r="B1024" s="4" t="str">
        <f>Registered!A2364</f>
        <v>ShayLyn</v>
      </c>
      <c r="C1024" s="4" t="str">
        <f>IF(Registered!AR2364&gt;0,Registered!AR2364&amp;" Color Bags", "")</f>
        <v>5 Color Bags</v>
      </c>
      <c r="D1024" s="4" t="str">
        <f>IF(Registered!AS2364&gt;0,(IF(Registered!AS2364=1,Registered!AS2364&amp;" T-Shirt",Registered!AS2364&amp;" T-Shirts")), "")</f>
        <v/>
      </c>
      <c r="E1024" s="4" t="str">
        <f>Registered!AT2364</f>
        <v/>
      </c>
      <c r="F1024" s="4" t="str">
        <f>Registered!AU2364</f>
        <v/>
      </c>
      <c r="G1024" s="4" t="str">
        <f>Registered!AW2364</f>
        <v/>
      </c>
      <c r="H1024" s="4" t="str">
        <f>Registered!AX2364</f>
        <v/>
      </c>
      <c r="I1024" s="4" t="str">
        <f>Registered!AY2364</f>
        <v/>
      </c>
    </row>
    <row r="1025" spans="1:9" x14ac:dyDescent="0.25">
      <c r="A1025" s="4" t="str">
        <f>Registered!B2366</f>
        <v>Summers</v>
      </c>
      <c r="B1025" s="4" t="str">
        <f>Registered!A2366</f>
        <v>Erik</v>
      </c>
      <c r="C1025" s="4" t="str">
        <f>IF(Registered!AR2366&gt;0,Registered!AR2366&amp;" Color Bags", "")</f>
        <v>5 Color Bags</v>
      </c>
      <c r="D1025" s="4" t="str">
        <f>IF(Registered!AS2366&gt;0,(IF(Registered!AS2366=1,Registered!AS2366&amp;" T-Shirt",Registered!AS2366&amp;" T-Shirts")), "")</f>
        <v/>
      </c>
      <c r="E1025" s="4" t="str">
        <f>Registered!AT2366</f>
        <v/>
      </c>
      <c r="F1025" s="4" t="str">
        <f>Registered!AU2366</f>
        <v/>
      </c>
      <c r="G1025" s="4" t="str">
        <f>Registered!AW2366</f>
        <v>1 Meal</v>
      </c>
      <c r="H1025" s="4" t="str">
        <f>Registered!AX2366</f>
        <v/>
      </c>
      <c r="I1025" s="4" t="str">
        <f>Registered!AY2366</f>
        <v/>
      </c>
    </row>
    <row r="1026" spans="1:9" x14ac:dyDescent="0.25">
      <c r="A1026" s="4" t="str">
        <f>Registered!B2368</f>
        <v>Sun</v>
      </c>
      <c r="B1026" s="4" t="str">
        <f>Registered!A2368</f>
        <v>Rui</v>
      </c>
      <c r="C1026" s="4" t="str">
        <f>IF(Registered!AR2368&gt;0,Registered!AR2368&amp;" Color Bags", "")</f>
        <v>40 Color Bags</v>
      </c>
      <c r="D1026" s="4" t="str">
        <f>IF(Registered!AS2368&gt;0,(IF(Registered!AS2368=1,Registered!AS2368&amp;" T-Shirt",Registered!AS2368&amp;" T-Shirts")), "")</f>
        <v/>
      </c>
      <c r="E1026" s="4" t="str">
        <f>Registered!AT2368</f>
        <v/>
      </c>
      <c r="F1026" s="4" t="str">
        <f>Registered!AU2368</f>
        <v/>
      </c>
      <c r="G1026" s="4" t="str">
        <f>Registered!AW2368</f>
        <v/>
      </c>
      <c r="H1026" s="4" t="str">
        <f>Registered!AX2368</f>
        <v/>
      </c>
      <c r="I1026" s="4" t="str">
        <f>Registered!AY2368</f>
        <v/>
      </c>
    </row>
    <row r="1027" spans="1:9" x14ac:dyDescent="0.25">
      <c r="A1027" s="4" t="str">
        <f>Registered!B2369</f>
        <v>Sundell</v>
      </c>
      <c r="B1027" s="4" t="str">
        <f>Registered!A2369</f>
        <v>Amanda</v>
      </c>
      <c r="C1027" s="4" t="str">
        <f>IF(Registered!AR2369&gt;0,Registered!AR2369&amp;" Color Bags", "")</f>
        <v>5 Color Bags</v>
      </c>
      <c r="D1027" s="4" t="str">
        <f>IF(Registered!AS2369&gt;0,(IF(Registered!AS2369=1,Registered!AS2369&amp;" T-Shirt",Registered!AS2369&amp;" T-Shirts")), "")</f>
        <v/>
      </c>
      <c r="E1027" s="4" t="str">
        <f>Registered!AT2369</f>
        <v/>
      </c>
      <c r="F1027" s="4" t="str">
        <f>Registered!AU2369</f>
        <v/>
      </c>
      <c r="G1027" s="4" t="str">
        <f>Registered!AW2369</f>
        <v/>
      </c>
      <c r="H1027" s="4" t="str">
        <f>Registered!AX2369</f>
        <v/>
      </c>
      <c r="I1027" s="4" t="str">
        <f>Registered!AY2369</f>
        <v/>
      </c>
    </row>
    <row r="1028" spans="1:9" x14ac:dyDescent="0.25">
      <c r="A1028" s="4" t="str">
        <f>Registered!B2370</f>
        <v>Suthar</v>
      </c>
      <c r="B1028" s="4" t="str">
        <f>Registered!A2370</f>
        <v>Samir</v>
      </c>
      <c r="C1028" s="4" t="str">
        <f>IF(Registered!AR2370&gt;0,Registered!AR2370&amp;" Color Bags", "")</f>
        <v>5 Color Bags</v>
      </c>
      <c r="D1028" s="4" t="str">
        <f>IF(Registered!AS2370&gt;0,(IF(Registered!AS2370=1,Registered!AS2370&amp;" T-Shirt",Registered!AS2370&amp;" T-Shirts")), "")</f>
        <v>1 T-Shirt</v>
      </c>
      <c r="E1028" s="4" t="str">
        <f>Registered!AT2370</f>
        <v>M</v>
      </c>
      <c r="F1028" s="4" t="str">
        <f>Registered!AU2370</f>
        <v/>
      </c>
      <c r="G1028" s="4" t="str">
        <f>Registered!AW2370</f>
        <v>1 Meal</v>
      </c>
      <c r="H1028" s="4" t="str">
        <f>Registered!AX2370</f>
        <v/>
      </c>
      <c r="I1028" s="4" t="str">
        <f>Registered!AY2370</f>
        <v/>
      </c>
    </row>
    <row r="1029" spans="1:9" x14ac:dyDescent="0.25">
      <c r="A1029" s="4" t="str">
        <f>Registered!B2371</f>
        <v>Sutton</v>
      </c>
      <c r="B1029" s="4" t="str">
        <f>Registered!A2371</f>
        <v>Alexandra</v>
      </c>
      <c r="C1029" s="4" t="str">
        <f>IF(Registered!AR2371&gt;0,Registered!AR2371&amp;" Color Bags", "")</f>
        <v>10 Color Bags</v>
      </c>
      <c r="D1029" s="4" t="str">
        <f>IF(Registered!AS2371&gt;0,(IF(Registered!AS2371=1,Registered!AS2371&amp;" T-Shirt",Registered!AS2371&amp;" T-Shirts")), "")</f>
        <v/>
      </c>
      <c r="E1029" s="4" t="str">
        <f>Registered!AT2371</f>
        <v/>
      </c>
      <c r="F1029" s="4" t="str">
        <f>Registered!AU2371</f>
        <v/>
      </c>
      <c r="G1029" s="4" t="str">
        <f>Registered!AW2371</f>
        <v/>
      </c>
      <c r="H1029" s="4" t="str">
        <f>Registered!AX2371</f>
        <v/>
      </c>
      <c r="I1029" s="4" t="str">
        <f>Registered!AY2371</f>
        <v/>
      </c>
    </row>
    <row r="1030" spans="1:9" x14ac:dyDescent="0.25">
      <c r="A1030" s="4" t="str">
        <f>Registered!B2372</f>
        <v>Sutton</v>
      </c>
      <c r="B1030" s="4" t="str">
        <f>Registered!A2372</f>
        <v>Kelsey</v>
      </c>
      <c r="C1030" s="4" t="str">
        <f>IF(Registered!AR2372&gt;0,Registered!AR2372&amp;" Color Bags", "")</f>
        <v>10 Color Bags</v>
      </c>
      <c r="D1030" s="4" t="str">
        <f>IF(Registered!AS2372&gt;0,(IF(Registered!AS2372=1,Registered!AS2372&amp;" T-Shirt",Registered!AS2372&amp;" T-Shirts")), "")</f>
        <v>1 T-Shirt</v>
      </c>
      <c r="E1030" s="4" t="str">
        <f>Registered!AT2372</f>
        <v>Size Not Specified</v>
      </c>
      <c r="F1030" s="4" t="str">
        <f>Registered!AU2372</f>
        <v/>
      </c>
      <c r="G1030" s="4" t="str">
        <f>Registered!AW2372</f>
        <v>1 Meal</v>
      </c>
      <c r="H1030" s="4" t="str">
        <f>Registered!AX2372</f>
        <v/>
      </c>
      <c r="I1030" s="4" t="str">
        <f>Registered!AY2372</f>
        <v/>
      </c>
    </row>
    <row r="1031" spans="1:9" x14ac:dyDescent="0.25">
      <c r="A1031" s="4" t="str">
        <f>Registered!B2373</f>
        <v>Swain</v>
      </c>
      <c r="B1031" s="4" t="str">
        <f>Registered!A2373</f>
        <v>Hannah</v>
      </c>
      <c r="C1031" s="4" t="str">
        <f>IF(Registered!AR2373&gt;0,Registered!AR2373&amp;" Color Bags", "")</f>
        <v>10 Color Bags</v>
      </c>
      <c r="D1031" s="4" t="str">
        <f>IF(Registered!AS2373&gt;0,(IF(Registered!AS2373=1,Registered!AS2373&amp;" T-Shirt",Registered!AS2373&amp;" T-Shirts")), "")</f>
        <v/>
      </c>
      <c r="E1031" s="4" t="str">
        <f>Registered!AT2373</f>
        <v/>
      </c>
      <c r="F1031" s="4" t="str">
        <f>Registered!AU2373</f>
        <v/>
      </c>
      <c r="G1031" s="4" t="str">
        <f>Registered!AW2373</f>
        <v/>
      </c>
      <c r="H1031" s="4" t="str">
        <f>Registered!AX2373</f>
        <v/>
      </c>
      <c r="I1031" s="4" t="str">
        <f>Registered!AY2373</f>
        <v/>
      </c>
    </row>
    <row r="1032" spans="1:9" x14ac:dyDescent="0.25">
      <c r="A1032" s="4" t="str">
        <f>Registered!B2375</f>
        <v>Swainston</v>
      </c>
      <c r="B1032" s="4" t="str">
        <f>Registered!A2375</f>
        <v>Shannon</v>
      </c>
      <c r="C1032" s="4" t="str">
        <f>IF(Registered!AR2375&gt;0,Registered!AR2375&amp;" Color Bags", "")</f>
        <v>20 Color Bags</v>
      </c>
      <c r="D1032" s="4" t="str">
        <f>IF(Registered!AS2375&gt;0,(IF(Registered!AS2375=1,Registered!AS2375&amp;" T-Shirt",Registered!AS2375&amp;" T-Shirts")), "")</f>
        <v>2 T-Shirts</v>
      </c>
      <c r="E1032" s="4" t="str">
        <f>Registered!AT2375</f>
        <v>(2) Large</v>
      </c>
      <c r="F1032" s="4" t="str">
        <f>Registered!AU2375</f>
        <v>1 Bandana</v>
      </c>
      <c r="G1032" s="4" t="str">
        <f>Registered!AW2375</f>
        <v/>
      </c>
      <c r="H1032" s="4" t="str">
        <f>Registered!AX2375</f>
        <v/>
      </c>
      <c r="I1032" s="4" t="str">
        <f>Registered!AY2375</f>
        <v/>
      </c>
    </row>
    <row r="1033" spans="1:9" x14ac:dyDescent="0.25">
      <c r="A1033" s="4" t="str">
        <f>Registered!B2376</f>
        <v>Swalberg</v>
      </c>
      <c r="B1033" s="4" t="str">
        <f>Registered!A2376</f>
        <v>Jacob</v>
      </c>
      <c r="C1033" s="4" t="str">
        <f>IF(Registered!AR2376&gt;0,Registered!AR2376&amp;" Color Bags", "")</f>
        <v>10 Color Bags</v>
      </c>
      <c r="D1033" s="4" t="str">
        <f>IF(Registered!AS2376&gt;0,(IF(Registered!AS2376=1,Registered!AS2376&amp;" T-Shirt",Registered!AS2376&amp;" T-Shirts")), "")</f>
        <v>2 T-Shirts</v>
      </c>
      <c r="E1033" s="4" t="str">
        <f>Registered!AT2376</f>
        <v>2-medium</v>
      </c>
      <c r="F1033" s="4" t="str">
        <f>Registered!AU2376</f>
        <v/>
      </c>
      <c r="G1033" s="4" t="str">
        <f>Registered!AW2376</f>
        <v>2 Meals</v>
      </c>
      <c r="H1033" s="4" t="str">
        <f>Registered!AX2376</f>
        <v/>
      </c>
      <c r="I1033" s="4" t="str">
        <f>Registered!AY2376</f>
        <v>2 DustMask</v>
      </c>
    </row>
    <row r="1034" spans="1:9" x14ac:dyDescent="0.25">
      <c r="A1034" s="4" t="str">
        <f>Registered!B2378</f>
        <v>Swallow</v>
      </c>
      <c r="B1034" s="4" t="str">
        <f>Registered!A2378</f>
        <v>Heather</v>
      </c>
      <c r="C1034" s="4" t="str">
        <f>IF(Registered!AR2378&gt;0,Registered!AR2378&amp;" Color Bags", "")</f>
        <v>10 Color Bags</v>
      </c>
      <c r="D1034" s="4" t="str">
        <f>IF(Registered!AS2378&gt;0,(IF(Registered!AS2378=1,Registered!AS2378&amp;" T-Shirt",Registered!AS2378&amp;" T-Shirts")), "")</f>
        <v/>
      </c>
      <c r="E1034" s="4" t="str">
        <f>Registered!AT2378</f>
        <v/>
      </c>
      <c r="F1034" s="4" t="str">
        <f>Registered!AU2378</f>
        <v/>
      </c>
      <c r="G1034" s="4" t="str">
        <f>Registered!AW2378</f>
        <v/>
      </c>
      <c r="H1034" s="4" t="str">
        <f>Registered!AX2378</f>
        <v/>
      </c>
      <c r="I1034" s="4" t="str">
        <f>Registered!AY2378</f>
        <v/>
      </c>
    </row>
    <row r="1035" spans="1:9" x14ac:dyDescent="0.25">
      <c r="A1035" s="4" t="str">
        <f>Registered!B2379</f>
        <v>Swanson</v>
      </c>
      <c r="B1035" s="4" t="str">
        <f>Registered!A2379</f>
        <v>Dustin</v>
      </c>
      <c r="C1035" s="4" t="str">
        <f>IF(Registered!AR2379&gt;0,Registered!AR2379&amp;" Color Bags", "")</f>
        <v>10 Color Bags</v>
      </c>
      <c r="D1035" s="4" t="str">
        <f>IF(Registered!AS2379&gt;0,(IF(Registered!AS2379=1,Registered!AS2379&amp;" T-Shirt",Registered!AS2379&amp;" T-Shirts")), "")</f>
        <v/>
      </c>
      <c r="E1035" s="4" t="str">
        <f>Registered!AT2379</f>
        <v/>
      </c>
      <c r="F1035" s="4" t="str">
        <f>Registered!AU2379</f>
        <v/>
      </c>
      <c r="G1035" s="4" t="str">
        <f>Registered!AW2379</f>
        <v/>
      </c>
      <c r="H1035" s="4" t="str">
        <f>Registered!AX2379</f>
        <v/>
      </c>
      <c r="I1035" s="4" t="str">
        <f>Registered!AY2379</f>
        <v/>
      </c>
    </row>
    <row r="1036" spans="1:9" x14ac:dyDescent="0.25">
      <c r="A1036" s="4" t="str">
        <f>Registered!B2381</f>
        <v>Swendsen</v>
      </c>
      <c r="B1036" s="4" t="str">
        <f>Registered!A2381</f>
        <v>Rachel</v>
      </c>
      <c r="C1036" s="4" t="str">
        <f>IF(Registered!AR2381&gt;0,Registered!AR2381&amp;" Color Bags", "")</f>
        <v>10 Color Bags</v>
      </c>
      <c r="D1036" s="4" t="str">
        <f>IF(Registered!AS2381&gt;0,(IF(Registered!AS2381=1,Registered!AS2381&amp;" T-Shirt",Registered!AS2381&amp;" T-Shirts")), "")</f>
        <v>1 T-Shirt</v>
      </c>
      <c r="E1036" s="4" t="str">
        <f>Registered!AT2381</f>
        <v>M</v>
      </c>
      <c r="F1036" s="4" t="str">
        <f>Registered!AU2381</f>
        <v/>
      </c>
      <c r="G1036" s="4" t="str">
        <f>Registered!AW2381</f>
        <v/>
      </c>
      <c r="H1036" s="4" t="str">
        <f>Registered!AX2381</f>
        <v/>
      </c>
      <c r="I1036" s="4" t="str">
        <f>Registered!AY2381</f>
        <v/>
      </c>
    </row>
    <row r="1037" spans="1:9" x14ac:dyDescent="0.25">
      <c r="A1037" s="4" t="str">
        <f>Registered!B2382</f>
        <v>Swenson</v>
      </c>
      <c r="B1037" s="4" t="str">
        <f>Registered!A2382</f>
        <v>Emily</v>
      </c>
      <c r="C1037" s="4" t="str">
        <f>IF(Registered!AR2382&gt;0,Registered!AR2382&amp;" Color Bags", "")</f>
        <v>5 Color Bags</v>
      </c>
      <c r="D1037" s="4" t="str">
        <f>IF(Registered!AS2382&gt;0,(IF(Registered!AS2382=1,Registered!AS2382&amp;" T-Shirt",Registered!AS2382&amp;" T-Shirts")), "")</f>
        <v/>
      </c>
      <c r="E1037" s="4" t="str">
        <f>Registered!AT2382</f>
        <v/>
      </c>
      <c r="F1037" s="4" t="str">
        <f>Registered!AU2382</f>
        <v/>
      </c>
      <c r="G1037" s="4" t="str">
        <f>Registered!AW2382</f>
        <v/>
      </c>
      <c r="H1037" s="4" t="str">
        <f>Registered!AX2382</f>
        <v/>
      </c>
      <c r="I1037" s="4" t="str">
        <f>Registered!AY2382</f>
        <v/>
      </c>
    </row>
    <row r="1038" spans="1:9" x14ac:dyDescent="0.25">
      <c r="A1038" s="4" t="str">
        <f>Registered!B2384</f>
        <v>Swift</v>
      </c>
      <c r="B1038" s="4" t="str">
        <f>Registered!A2384</f>
        <v>Rachel</v>
      </c>
      <c r="C1038" s="4" t="str">
        <f>IF(Registered!AR2384&gt;0,Registered!AR2384&amp;" Color Bags", "")</f>
        <v>10 Color Bags</v>
      </c>
      <c r="D1038" s="4" t="str">
        <f>IF(Registered!AS2384&gt;0,(IF(Registered!AS2384=1,Registered!AS2384&amp;" T-Shirt",Registered!AS2384&amp;" T-Shirts")), "")</f>
        <v/>
      </c>
      <c r="E1038" s="4" t="str">
        <f>Registered!AT2384</f>
        <v/>
      </c>
      <c r="F1038" s="4" t="str">
        <f>Registered!AU2384</f>
        <v/>
      </c>
      <c r="G1038" s="4" t="str">
        <f>Registered!AW2384</f>
        <v/>
      </c>
      <c r="H1038" s="4" t="str">
        <f>Registered!AX2384</f>
        <v/>
      </c>
      <c r="I1038" s="4" t="str">
        <f>Registered!AY2384</f>
        <v/>
      </c>
    </row>
    <row r="1039" spans="1:9" x14ac:dyDescent="0.25">
      <c r="A1039" s="4" t="str">
        <f>Registered!B2386</f>
        <v>Swisher</v>
      </c>
      <c r="B1039" s="4" t="str">
        <f>Registered!A2386</f>
        <v>Peter</v>
      </c>
      <c r="C1039" s="4" t="str">
        <f>IF(Registered!AR2386&gt;0,Registered!AR2386&amp;" Color Bags", "")</f>
        <v>10 Color Bags</v>
      </c>
      <c r="D1039" s="4" t="str">
        <f>IF(Registered!AS2386&gt;0,(IF(Registered!AS2386=1,Registered!AS2386&amp;" T-Shirt",Registered!AS2386&amp;" T-Shirts")), "")</f>
        <v/>
      </c>
      <c r="E1039" s="4" t="str">
        <f>Registered!AT2386</f>
        <v/>
      </c>
      <c r="F1039" s="4" t="str">
        <f>Registered!AU2386</f>
        <v/>
      </c>
      <c r="G1039" s="4" t="str">
        <f>Registered!AW2386</f>
        <v/>
      </c>
      <c r="H1039" s="4" t="str">
        <f>Registered!AX2386</f>
        <v/>
      </c>
      <c r="I1039" s="4" t="str">
        <f>Registered!AY2386</f>
        <v>1 DustMask</v>
      </c>
    </row>
    <row r="1040" spans="1:9" x14ac:dyDescent="0.25">
      <c r="A1040" s="4" t="str">
        <f>Registered!B2389</f>
        <v>Takeuchi</v>
      </c>
      <c r="B1040" s="4" t="str">
        <f>Registered!A2389</f>
        <v>Ashley</v>
      </c>
      <c r="C1040" s="4" t="str">
        <f>IF(Registered!AR2389&gt;0,Registered!AR2389&amp;" Color Bags", "")</f>
        <v>20 Color Bags</v>
      </c>
      <c r="D1040" s="4" t="str">
        <f>IF(Registered!AS2389&gt;0,(IF(Registered!AS2389=1,Registered!AS2389&amp;" T-Shirt",Registered!AS2389&amp;" T-Shirts")), "")</f>
        <v/>
      </c>
      <c r="E1040" s="4" t="str">
        <f>Registered!AT2389</f>
        <v/>
      </c>
      <c r="F1040" s="4" t="str">
        <f>Registered!AU2389</f>
        <v/>
      </c>
      <c r="G1040" s="4" t="str">
        <f>Registered!AW2389</f>
        <v/>
      </c>
      <c r="H1040" s="4" t="str">
        <f>Registered!AX2389</f>
        <v/>
      </c>
      <c r="I1040" s="4" t="str">
        <f>Registered!AY2389</f>
        <v/>
      </c>
    </row>
    <row r="1041" spans="1:9" x14ac:dyDescent="0.25">
      <c r="A1041" s="4" t="str">
        <f>Registered!B2393</f>
        <v>Talbot</v>
      </c>
      <c r="B1041" s="4" t="str">
        <f>Registered!A2393</f>
        <v>Breeanne</v>
      </c>
      <c r="C1041" s="4" t="str">
        <f>IF(Registered!AR2393&gt;0,Registered!AR2393&amp;" Color Bags", "")</f>
        <v>5 Color Bags</v>
      </c>
      <c r="D1041" s="4" t="str">
        <f>IF(Registered!AS2393&gt;0,(IF(Registered!AS2393=1,Registered!AS2393&amp;" T-Shirt",Registered!AS2393&amp;" T-Shirts")), "")</f>
        <v/>
      </c>
      <c r="E1041" s="4" t="str">
        <f>Registered!AT2393</f>
        <v/>
      </c>
      <c r="F1041" s="4" t="str">
        <f>Registered!AU2393</f>
        <v/>
      </c>
      <c r="G1041" s="4" t="str">
        <f>Registered!AW2393</f>
        <v/>
      </c>
      <c r="H1041" s="4" t="str">
        <f>Registered!AX2393</f>
        <v/>
      </c>
      <c r="I1041" s="4" t="str">
        <f>Registered!AY2393</f>
        <v/>
      </c>
    </row>
    <row r="1042" spans="1:9" x14ac:dyDescent="0.25">
      <c r="A1042" s="4" t="str">
        <f>Registered!B2398</f>
        <v>Tanner</v>
      </c>
      <c r="B1042" s="4" t="str">
        <f>Registered!A2398</f>
        <v>Trent</v>
      </c>
      <c r="C1042" s="4" t="str">
        <f>IF(Registered!AR2398&gt;0,Registered!AR2398&amp;" Color Bags", "")</f>
        <v>10 Color Bags</v>
      </c>
      <c r="D1042" s="4" t="str">
        <f>IF(Registered!AS2398&gt;0,(IF(Registered!AS2398=1,Registered!AS2398&amp;" T-Shirt",Registered!AS2398&amp;" T-Shirts")), "")</f>
        <v>1 T-Shirt</v>
      </c>
      <c r="E1042" s="4" t="str">
        <f>Registered!AT2398</f>
        <v>XL</v>
      </c>
      <c r="F1042" s="4" t="str">
        <f>Registered!AU2398</f>
        <v>1 Bandana</v>
      </c>
      <c r="G1042" s="4" t="str">
        <f>Registered!AW2398</f>
        <v/>
      </c>
      <c r="H1042" s="4" t="str">
        <f>Registered!AX2398</f>
        <v/>
      </c>
      <c r="I1042" s="4" t="str">
        <f>Registered!AY2398</f>
        <v>1 DustMask</v>
      </c>
    </row>
    <row r="1043" spans="1:9" x14ac:dyDescent="0.25">
      <c r="A1043" s="4" t="str">
        <f>Registered!B2397</f>
        <v>Tanner</v>
      </c>
      <c r="B1043" s="4" t="str">
        <f>Registered!A2397</f>
        <v>Diana</v>
      </c>
      <c r="C1043" s="4" t="str">
        <f>IF(Registered!AR2397&gt;0,Registered!AR2397&amp;" Color Bags", "")</f>
        <v>5 Color Bags</v>
      </c>
      <c r="D1043" s="4" t="str">
        <f>IF(Registered!AS2397&gt;0,(IF(Registered!AS2397=1,Registered!AS2397&amp;" T-Shirt",Registered!AS2397&amp;" T-Shirts")), "")</f>
        <v/>
      </c>
      <c r="E1043" s="4" t="str">
        <f>Registered!AT2397</f>
        <v/>
      </c>
      <c r="F1043" s="4" t="str">
        <f>Registered!AU2397</f>
        <v/>
      </c>
      <c r="G1043" s="4" t="str">
        <f>Registered!AW2397</f>
        <v/>
      </c>
      <c r="H1043" s="4" t="str">
        <f>Registered!AX2397</f>
        <v/>
      </c>
      <c r="I1043" s="4" t="str">
        <f>Registered!AY2397</f>
        <v/>
      </c>
    </row>
    <row r="1044" spans="1:9" x14ac:dyDescent="0.25">
      <c r="A1044" s="4" t="str">
        <f>Registered!B2403</f>
        <v>Tauaese</v>
      </c>
      <c r="B1044" s="4" t="str">
        <f>Registered!A2403</f>
        <v>Camrie</v>
      </c>
      <c r="C1044" s="4" t="str">
        <f>IF(Registered!AR2403&gt;0,Registered!AR2403&amp;" Color Bags", "")</f>
        <v>15 Color Bags</v>
      </c>
      <c r="D1044" s="4" t="str">
        <f>IF(Registered!AS2403&gt;0,(IF(Registered!AS2403=1,Registered!AS2403&amp;" T-Shirt",Registered!AS2403&amp;" T-Shirts")), "")</f>
        <v/>
      </c>
      <c r="E1044" s="4" t="str">
        <f>Registered!AT2403</f>
        <v/>
      </c>
      <c r="F1044" s="4" t="str">
        <f>Registered!AU2403</f>
        <v/>
      </c>
      <c r="G1044" s="4" t="str">
        <f>Registered!AW2403</f>
        <v/>
      </c>
      <c r="H1044" s="4" t="str">
        <f>Registered!AX2403</f>
        <v/>
      </c>
      <c r="I1044" s="4" t="str">
        <f>Registered!AY2403</f>
        <v/>
      </c>
    </row>
    <row r="1045" spans="1:9" x14ac:dyDescent="0.25">
      <c r="A1045" s="4" t="str">
        <f>Registered!B2405</f>
        <v>Taulanga</v>
      </c>
      <c r="B1045" s="4" t="str">
        <f>Registered!A2405</f>
        <v>Kali</v>
      </c>
      <c r="C1045" s="4" t="str">
        <f>IF(Registered!AR2405&gt;0,Registered!AR2405&amp;" Color Bags", "")</f>
        <v>20 Color Bags</v>
      </c>
      <c r="D1045" s="4" t="str">
        <f>IF(Registered!AS2405&gt;0,(IF(Registered!AS2405=1,Registered!AS2405&amp;" T-Shirt",Registered!AS2405&amp;" T-Shirts")), "")</f>
        <v/>
      </c>
      <c r="E1045" s="4" t="str">
        <f>Registered!AT2405</f>
        <v/>
      </c>
      <c r="F1045" s="4" t="str">
        <f>Registered!AU2405</f>
        <v/>
      </c>
      <c r="G1045" s="4" t="str">
        <f>Registered!AW2405</f>
        <v/>
      </c>
      <c r="H1045" s="4" t="str">
        <f>Registered!AX2405</f>
        <v/>
      </c>
      <c r="I1045" s="4" t="str">
        <f>Registered!AY2405</f>
        <v>2 DustMask</v>
      </c>
    </row>
    <row r="1046" spans="1:9" x14ac:dyDescent="0.25">
      <c r="A1046" s="4" t="str">
        <f>Registered!B2411</f>
        <v>Taylor</v>
      </c>
      <c r="B1046" s="4" t="str">
        <f>Registered!A2411</f>
        <v>Donna</v>
      </c>
      <c r="C1046" s="4" t="str">
        <f>IF(Registered!AR2411&gt;0,Registered!AR2411&amp;" Color Bags", "")</f>
        <v>10 Color Bags</v>
      </c>
      <c r="D1046" s="4" t="str">
        <f>IF(Registered!AS2411&gt;0,(IF(Registered!AS2411=1,Registered!AS2411&amp;" T-Shirt",Registered!AS2411&amp;" T-Shirts")), "")</f>
        <v>2 T-Shirts</v>
      </c>
      <c r="E1046" s="4" t="str">
        <f>Registered!AT2411</f>
        <v>both sizes large</v>
      </c>
      <c r="F1046" s="4" t="str">
        <f>Registered!AU2411</f>
        <v/>
      </c>
      <c r="G1046" s="4" t="str">
        <f>Registered!AW2411</f>
        <v/>
      </c>
      <c r="H1046" s="4" t="str">
        <f>Registered!AX2411</f>
        <v/>
      </c>
      <c r="I1046" s="4" t="str">
        <f>Registered!AY2411</f>
        <v/>
      </c>
    </row>
    <row r="1047" spans="1:9" x14ac:dyDescent="0.25">
      <c r="A1047" s="4" t="str">
        <f>Registered!B2413</f>
        <v>Taylor</v>
      </c>
      <c r="B1047" s="4" t="str">
        <f>Registered!A2413</f>
        <v>Karina</v>
      </c>
      <c r="C1047" s="4" t="str">
        <f>IF(Registered!AR2413&gt;0,Registered!AR2413&amp;" Color Bags", "")</f>
        <v>10 Color Bags</v>
      </c>
      <c r="D1047" s="4" t="str">
        <f>IF(Registered!AS2413&gt;0,(IF(Registered!AS2413=1,Registered!AS2413&amp;" T-Shirt",Registered!AS2413&amp;" T-Shirts")), "")</f>
        <v/>
      </c>
      <c r="E1047" s="4" t="str">
        <f>Registered!AT2413</f>
        <v/>
      </c>
      <c r="F1047" s="4" t="str">
        <f>Registered!AU2413</f>
        <v/>
      </c>
      <c r="G1047" s="4" t="str">
        <f>Registered!AW2413</f>
        <v/>
      </c>
      <c r="H1047" s="4" t="str">
        <f>Registered!AX2413</f>
        <v/>
      </c>
      <c r="I1047" s="4" t="str">
        <f>Registered!AY2413</f>
        <v/>
      </c>
    </row>
    <row r="1048" spans="1:9" x14ac:dyDescent="0.25">
      <c r="A1048" s="4" t="str">
        <f>Registered!B2418</f>
        <v>Terres</v>
      </c>
      <c r="B1048" s="4" t="str">
        <f>Registered!A2418</f>
        <v>Caryn</v>
      </c>
      <c r="C1048" s="4" t="str">
        <f>IF(Registered!AR2418&gt;0,Registered!AR2418&amp;" Color Bags", "")</f>
        <v>10 Color Bags</v>
      </c>
      <c r="D1048" s="4" t="str">
        <f>IF(Registered!AS2418&gt;0,(IF(Registered!AS2418=1,Registered!AS2418&amp;" T-Shirt",Registered!AS2418&amp;" T-Shirts")), "")</f>
        <v/>
      </c>
      <c r="E1048" s="4" t="str">
        <f>Registered!AT2418</f>
        <v/>
      </c>
      <c r="F1048" s="4" t="str">
        <f>Registered!AU2418</f>
        <v/>
      </c>
      <c r="G1048" s="4" t="str">
        <f>Registered!AW2418</f>
        <v/>
      </c>
      <c r="H1048" s="4" t="str">
        <f>Registered!AX2418</f>
        <v>1 BG</v>
      </c>
      <c r="I1048" s="4" t="str">
        <f>Registered!AY2418</f>
        <v>2 DustMask</v>
      </c>
    </row>
    <row r="1049" spans="1:9" x14ac:dyDescent="0.25">
      <c r="A1049" s="4" t="str">
        <f>Registered!B2420</f>
        <v>Terry</v>
      </c>
      <c r="B1049" s="4" t="str">
        <f>Registered!A2420</f>
        <v>David</v>
      </c>
      <c r="C1049" s="4" t="str">
        <f>IF(Registered!AR2420&gt;0,Registered!AR2420&amp;" Color Bags", "")</f>
        <v>10 Color Bags</v>
      </c>
      <c r="D1049" s="4" t="str">
        <f>IF(Registered!AS2420&gt;0,(IF(Registered!AS2420=1,Registered!AS2420&amp;" T-Shirt",Registered!AS2420&amp;" T-Shirts")), "")</f>
        <v/>
      </c>
      <c r="E1049" s="4" t="str">
        <f>Registered!AT2420</f>
        <v/>
      </c>
      <c r="F1049" s="4" t="str">
        <f>Registered!AU2420</f>
        <v/>
      </c>
      <c r="G1049" s="4" t="str">
        <f>Registered!AW2420</f>
        <v/>
      </c>
      <c r="H1049" s="4" t="str">
        <f>Registered!AX2420</f>
        <v/>
      </c>
      <c r="I1049" s="4" t="str">
        <f>Registered!AY2420</f>
        <v/>
      </c>
    </row>
    <row r="1050" spans="1:9" x14ac:dyDescent="0.25">
      <c r="A1050" s="4" t="str">
        <f>Registered!B2425</f>
        <v>Thomas</v>
      </c>
      <c r="B1050" s="4" t="str">
        <f>Registered!A2425</f>
        <v>Brooke</v>
      </c>
      <c r="C1050" s="4" t="str">
        <f>IF(Registered!AR2425&gt;0,Registered!AR2425&amp;" Color Bags", "")</f>
        <v>10 Color Bags</v>
      </c>
      <c r="D1050" s="4" t="str">
        <f>IF(Registered!AS2425&gt;0,(IF(Registered!AS2425=1,Registered!AS2425&amp;" T-Shirt",Registered!AS2425&amp;" T-Shirts")), "")</f>
        <v/>
      </c>
      <c r="E1050" s="4" t="str">
        <f>Registered!AT2425</f>
        <v/>
      </c>
      <c r="F1050" s="4" t="str">
        <f>Registered!AU2425</f>
        <v/>
      </c>
      <c r="G1050" s="4" t="str">
        <f>Registered!AW2425</f>
        <v/>
      </c>
      <c r="H1050" s="4" t="str">
        <f>Registered!AX2425</f>
        <v/>
      </c>
      <c r="I1050" s="4" t="str">
        <f>Registered!AY2425</f>
        <v/>
      </c>
    </row>
    <row r="1051" spans="1:9" x14ac:dyDescent="0.25">
      <c r="A1051" s="4" t="str">
        <f>Registered!B2426</f>
        <v>Thomas</v>
      </c>
      <c r="B1051" s="4" t="str">
        <f>Registered!A2426</f>
        <v>Kayla</v>
      </c>
      <c r="C1051" s="4" t="str">
        <f>IF(Registered!AR2426&gt;0,Registered!AR2426&amp;" Color Bags", "")</f>
        <v>10 Color Bags</v>
      </c>
      <c r="D1051" s="4" t="str">
        <f>IF(Registered!AS2426&gt;0,(IF(Registered!AS2426=1,Registered!AS2426&amp;" T-Shirt",Registered!AS2426&amp;" T-Shirts")), "")</f>
        <v>2 T-Shirts</v>
      </c>
      <c r="E1051" s="4" t="str">
        <f>Registered!AT2426</f>
        <v>M, YM</v>
      </c>
      <c r="F1051" s="4" t="str">
        <f>Registered!AU2426</f>
        <v/>
      </c>
      <c r="G1051" s="4" t="str">
        <f>Registered!AW2426</f>
        <v/>
      </c>
      <c r="H1051" s="4" t="str">
        <f>Registered!AX2426</f>
        <v>1 BG</v>
      </c>
      <c r="I1051" s="4" t="str">
        <f>Registered!AY2426</f>
        <v/>
      </c>
    </row>
    <row r="1052" spans="1:9" x14ac:dyDescent="0.25">
      <c r="A1052" s="4" t="str">
        <f>Registered!B2427</f>
        <v>Thomas</v>
      </c>
      <c r="B1052" s="4" t="str">
        <f>Registered!A2427</f>
        <v>Rhonda</v>
      </c>
      <c r="C1052" s="4" t="str">
        <f>IF(Registered!AR2427&gt;0,Registered!AR2427&amp;" Color Bags", "")</f>
        <v>25 Color Bags</v>
      </c>
      <c r="D1052" s="4" t="str">
        <f>IF(Registered!AS2427&gt;0,(IF(Registered!AS2427=1,Registered!AS2427&amp;" T-Shirt",Registered!AS2427&amp;" T-Shirts")), "")</f>
        <v/>
      </c>
      <c r="E1052" s="4" t="str">
        <f>Registered!AT2427</f>
        <v/>
      </c>
      <c r="F1052" s="4" t="str">
        <f>Registered!AU2427</f>
        <v/>
      </c>
      <c r="G1052" s="4" t="str">
        <f>Registered!AW2427</f>
        <v/>
      </c>
      <c r="H1052" s="4" t="str">
        <f>Registered!AX2427</f>
        <v/>
      </c>
      <c r="I1052" s="4" t="str">
        <f>Registered!AY2427</f>
        <v/>
      </c>
    </row>
    <row r="1053" spans="1:9" x14ac:dyDescent="0.25">
      <c r="A1053" s="4" t="str">
        <f>Registered!B2434</f>
        <v>Thompson</v>
      </c>
      <c r="B1053" s="4" t="str">
        <f>Registered!A2434</f>
        <v>Rachel</v>
      </c>
      <c r="C1053" s="4" t="str">
        <f>IF(Registered!AR2434&gt;0,Registered!AR2434&amp;" Color Bags", "")</f>
        <v>15 Color Bags</v>
      </c>
      <c r="D1053" s="4" t="str">
        <f>IF(Registered!AS2434&gt;0,(IF(Registered!AS2434=1,Registered!AS2434&amp;" T-Shirt",Registered!AS2434&amp;" T-Shirts")), "")</f>
        <v>1 T-Shirt</v>
      </c>
      <c r="E1053" s="4" t="str">
        <f>Registered!AT2434</f>
        <v>Adult XL</v>
      </c>
      <c r="F1053" s="4" t="str">
        <f>Registered!AU2434</f>
        <v>1 Bandana</v>
      </c>
      <c r="G1053" s="4" t="str">
        <f>Registered!AW2434</f>
        <v>1 Meal</v>
      </c>
      <c r="H1053" s="4" t="str">
        <f>Registered!AX2434</f>
        <v/>
      </c>
      <c r="I1053" s="4" t="str">
        <f>Registered!AY2434</f>
        <v/>
      </c>
    </row>
    <row r="1054" spans="1:9" x14ac:dyDescent="0.25">
      <c r="A1054" s="4" t="str">
        <f>Registered!B2428</f>
        <v>Thompson</v>
      </c>
      <c r="B1054" s="4" t="str">
        <f>Registered!A2428</f>
        <v>Andrea</v>
      </c>
      <c r="C1054" s="4" t="str">
        <f>IF(Registered!AR2428&gt;0,Registered!AR2428&amp;" Color Bags", "")</f>
        <v>20 Color Bags</v>
      </c>
      <c r="D1054" s="4" t="str">
        <f>IF(Registered!AS2428&gt;0,(IF(Registered!AS2428=1,Registered!AS2428&amp;" T-Shirt",Registered!AS2428&amp;" T-Shirts")), "")</f>
        <v/>
      </c>
      <c r="E1054" s="4" t="str">
        <f>Registered!AT2428</f>
        <v/>
      </c>
      <c r="F1054" s="4" t="str">
        <f>Registered!AU2428</f>
        <v>4 Bandanas</v>
      </c>
      <c r="G1054" s="4" t="str">
        <f>Registered!AW2428</f>
        <v/>
      </c>
      <c r="H1054" s="4" t="str">
        <f>Registered!AX2428</f>
        <v/>
      </c>
      <c r="I1054" s="4" t="str">
        <f>Registered!AY2428</f>
        <v/>
      </c>
    </row>
    <row r="1055" spans="1:9" x14ac:dyDescent="0.25">
      <c r="A1055" s="4" t="str">
        <f>Registered!B2435</f>
        <v>Thompson</v>
      </c>
      <c r="B1055" s="4" t="str">
        <f>Registered!A2435</f>
        <v>Tawny</v>
      </c>
      <c r="C1055" s="4" t="str">
        <f>IF(Registered!AR2435&gt;0,Registered!AR2435&amp;" Color Bags", "")</f>
        <v>35 Color Bags</v>
      </c>
      <c r="D1055" s="4" t="str">
        <f>IF(Registered!AS2435&gt;0,(IF(Registered!AS2435=1,Registered!AS2435&amp;" T-Shirt",Registered!AS2435&amp;" T-Shirts")), "")</f>
        <v/>
      </c>
      <c r="E1055" s="4" t="str">
        <f>Registered!AT2435</f>
        <v/>
      </c>
      <c r="F1055" s="4" t="str">
        <f>Registered!AU2435</f>
        <v/>
      </c>
      <c r="G1055" s="4" t="str">
        <f>Registered!AW2435</f>
        <v/>
      </c>
      <c r="H1055" s="4" t="str">
        <f>Registered!AX2435</f>
        <v/>
      </c>
      <c r="I1055" s="4" t="str">
        <f>Registered!AY2435</f>
        <v/>
      </c>
    </row>
    <row r="1056" spans="1:9" x14ac:dyDescent="0.25">
      <c r="A1056" s="4" t="str">
        <f>Registered!B2430</f>
        <v>Thompson</v>
      </c>
      <c r="B1056" s="4" t="str">
        <f>Registered!A2430</f>
        <v>Bobbie Jo</v>
      </c>
      <c r="C1056" s="4" t="str">
        <f>IF(Registered!AR2430&gt;0,Registered!AR2430&amp;" Color Bags", "")</f>
        <v>40 Color Bags</v>
      </c>
      <c r="D1056" s="4" t="str">
        <f>IF(Registered!AS2430&gt;0,(IF(Registered!AS2430=1,Registered!AS2430&amp;" T-Shirt",Registered!AS2430&amp;" T-Shirts")), "")</f>
        <v/>
      </c>
      <c r="E1056" s="4" t="str">
        <f>Registered!AT2430</f>
        <v/>
      </c>
      <c r="F1056" s="4" t="str">
        <f>Registered!AU2430</f>
        <v/>
      </c>
      <c r="G1056" s="4" t="str">
        <f>Registered!AW2430</f>
        <v/>
      </c>
      <c r="H1056" s="4" t="str">
        <f>Registered!AX2430</f>
        <v/>
      </c>
      <c r="I1056" s="4" t="str">
        <f>Registered!AY2430</f>
        <v/>
      </c>
    </row>
    <row r="1057" spans="1:9" x14ac:dyDescent="0.25">
      <c r="A1057" s="4" t="str">
        <f>Registered!B2433</f>
        <v>Thompson</v>
      </c>
      <c r="B1057" s="4" t="str">
        <f>Registered!A2433</f>
        <v>Mara</v>
      </c>
      <c r="C1057" s="4" t="str">
        <f>IF(Registered!AR2433&gt;0,Registered!AR2433&amp;" Color Bags", "")</f>
        <v>5 Color Bags</v>
      </c>
      <c r="D1057" s="4" t="str">
        <f>IF(Registered!AS2433&gt;0,(IF(Registered!AS2433=1,Registered!AS2433&amp;" T-Shirt",Registered!AS2433&amp;" T-Shirts")), "")</f>
        <v/>
      </c>
      <c r="E1057" s="4" t="str">
        <f>Registered!AT2433</f>
        <v/>
      </c>
      <c r="F1057" s="4" t="str">
        <f>Registered!AU2433</f>
        <v/>
      </c>
      <c r="G1057" s="4" t="str">
        <f>Registered!AW2433</f>
        <v/>
      </c>
      <c r="H1057" s="4" t="str">
        <f>Registered!AX2433</f>
        <v/>
      </c>
      <c r="I1057" s="4" t="str">
        <f>Registered!AY2433</f>
        <v/>
      </c>
    </row>
    <row r="1058" spans="1:9" x14ac:dyDescent="0.25">
      <c r="A1058" s="4" t="str">
        <f>Registered!B2438</f>
        <v>Thornburg</v>
      </c>
      <c r="B1058" s="4" t="str">
        <f>Registered!A2438</f>
        <v>Kevin</v>
      </c>
      <c r="C1058" s="4" t="str">
        <f>IF(Registered!AR2438&gt;0,Registered!AR2438&amp;" Color Bags", "")</f>
        <v>5 Color Bags</v>
      </c>
      <c r="D1058" s="4" t="str">
        <f>IF(Registered!AS2438&gt;0,(IF(Registered!AS2438=1,Registered!AS2438&amp;" T-Shirt",Registered!AS2438&amp;" T-Shirts")), "")</f>
        <v/>
      </c>
      <c r="E1058" s="4" t="str">
        <f>Registered!AT2438</f>
        <v/>
      </c>
      <c r="F1058" s="4" t="str">
        <f>Registered!AU2438</f>
        <v/>
      </c>
      <c r="G1058" s="4" t="str">
        <f>Registered!AW2438</f>
        <v/>
      </c>
      <c r="H1058" s="4" t="str">
        <f>Registered!AX2438</f>
        <v/>
      </c>
      <c r="I1058" s="4" t="str">
        <f>Registered!AY2438</f>
        <v/>
      </c>
    </row>
    <row r="1059" spans="1:9" x14ac:dyDescent="0.25">
      <c r="A1059" s="4" t="str">
        <f>Registered!B2441</f>
        <v>Thronburg</v>
      </c>
      <c r="B1059" s="4" t="str">
        <f>Registered!A2441</f>
        <v>Ross</v>
      </c>
      <c r="C1059" s="4" t="str">
        <f>IF(Registered!AR2441&gt;0,Registered!AR2441&amp;" Color Bags", "")</f>
        <v>5 Color Bags</v>
      </c>
      <c r="D1059" s="4" t="str">
        <f>IF(Registered!AS2441&gt;0,(IF(Registered!AS2441=1,Registered!AS2441&amp;" T-Shirt",Registered!AS2441&amp;" T-Shirts")), "")</f>
        <v/>
      </c>
      <c r="E1059" s="4" t="str">
        <f>Registered!AT2441</f>
        <v/>
      </c>
      <c r="F1059" s="4" t="str">
        <f>Registered!AU2441</f>
        <v/>
      </c>
      <c r="G1059" s="4" t="str">
        <f>Registered!AW2441</f>
        <v/>
      </c>
      <c r="H1059" s="4" t="str">
        <f>Registered!AX2441</f>
        <v/>
      </c>
      <c r="I1059" s="4" t="str">
        <f>Registered!AY2441</f>
        <v/>
      </c>
    </row>
    <row r="1060" spans="1:9" x14ac:dyDescent="0.25">
      <c r="A1060" s="4" t="str">
        <f>Registered!B2444</f>
        <v>Thurston</v>
      </c>
      <c r="B1060" s="4" t="str">
        <f>Registered!A2444</f>
        <v>Alyssa</v>
      </c>
      <c r="C1060" s="4" t="str">
        <f>IF(Registered!AR2444&gt;0,Registered!AR2444&amp;" Color Bags", "")</f>
        <v>10 Color Bags</v>
      </c>
      <c r="D1060" s="4" t="str">
        <f>IF(Registered!AS2444&gt;0,(IF(Registered!AS2444=1,Registered!AS2444&amp;" T-Shirt",Registered!AS2444&amp;" T-Shirts")), "")</f>
        <v>2 T-Shirts</v>
      </c>
      <c r="E1060" s="4" t="str">
        <f>Registered!AT2444</f>
        <v>Medium, Large</v>
      </c>
      <c r="F1060" s="4" t="str">
        <f>Registered!AU2444</f>
        <v/>
      </c>
      <c r="G1060" s="4" t="str">
        <f>Registered!AW2444</f>
        <v/>
      </c>
      <c r="H1060" s="4" t="str">
        <f>Registered!AX2444</f>
        <v/>
      </c>
      <c r="I1060" s="4" t="str">
        <f>Registered!AY2444</f>
        <v/>
      </c>
    </row>
    <row r="1061" spans="1:9" x14ac:dyDescent="0.25">
      <c r="A1061" s="4" t="str">
        <f>Registered!B2449</f>
        <v>Timms</v>
      </c>
      <c r="B1061" s="4" t="str">
        <f>Registered!A2449</f>
        <v>Chris</v>
      </c>
      <c r="C1061" s="4" t="str">
        <f>IF(Registered!AR2449&gt;0,Registered!AR2449&amp;" Color Bags", "")</f>
        <v>15 Color Bags</v>
      </c>
      <c r="D1061" s="4" t="str">
        <f>IF(Registered!AS2449&gt;0,(IF(Registered!AS2449=1,Registered!AS2449&amp;" T-Shirt",Registered!AS2449&amp;" T-Shirts")), "")</f>
        <v/>
      </c>
      <c r="E1061" s="4" t="str">
        <f>Registered!AT2449</f>
        <v/>
      </c>
      <c r="F1061" s="4" t="str">
        <f>Registered!AU2449</f>
        <v>1 Bandana</v>
      </c>
      <c r="G1061" s="4" t="str">
        <f>Registered!AW2449</f>
        <v/>
      </c>
      <c r="H1061" s="4" t="str">
        <f>Registered!AX2449</f>
        <v/>
      </c>
      <c r="I1061" s="4" t="str">
        <f>Registered!AY2449</f>
        <v>1 DustMask</v>
      </c>
    </row>
    <row r="1062" spans="1:9" x14ac:dyDescent="0.25">
      <c r="A1062" s="4" t="str">
        <f>Registered!B2450</f>
        <v>Timoff</v>
      </c>
      <c r="B1062" s="4" t="str">
        <f>Registered!A2450</f>
        <v>Galina</v>
      </c>
      <c r="C1062" s="4" t="str">
        <f>IF(Registered!AR2450&gt;0,Registered!AR2450&amp;" Color Bags", "")</f>
        <v>20 Color Bags</v>
      </c>
      <c r="D1062" s="4" t="str">
        <f>IF(Registered!AS2450&gt;0,(IF(Registered!AS2450=1,Registered!AS2450&amp;" T-Shirt",Registered!AS2450&amp;" T-Shirts")), "")</f>
        <v>1 T-Shirt</v>
      </c>
      <c r="E1062" s="4" t="str">
        <f>Registered!AT2450</f>
        <v>Medium</v>
      </c>
      <c r="F1062" s="4" t="str">
        <f>Registered!AU2450</f>
        <v>1 Bandana</v>
      </c>
      <c r="G1062" s="4" t="str">
        <f>Registered!AW2450</f>
        <v/>
      </c>
      <c r="H1062" s="4" t="str">
        <f>Registered!AX2450</f>
        <v/>
      </c>
      <c r="I1062" s="4" t="str">
        <f>Registered!AY2450</f>
        <v/>
      </c>
    </row>
    <row r="1063" spans="1:9" x14ac:dyDescent="0.25">
      <c r="A1063" s="4" t="str">
        <f>Registered!B2452</f>
        <v>Tingey</v>
      </c>
      <c r="B1063" s="4" t="str">
        <f>Registered!A2452</f>
        <v>Samantha</v>
      </c>
      <c r="C1063" s="4" t="str">
        <f>IF(Registered!AR2452&gt;0,Registered!AR2452&amp;" Color Bags", "")</f>
        <v>10 Color Bags</v>
      </c>
      <c r="D1063" s="4" t="str">
        <f>IF(Registered!AS2452&gt;0,(IF(Registered!AS2452=1,Registered!AS2452&amp;" T-Shirt",Registered!AS2452&amp;" T-Shirts")), "")</f>
        <v/>
      </c>
      <c r="E1063" s="4" t="str">
        <f>Registered!AT2452</f>
        <v/>
      </c>
      <c r="F1063" s="4" t="str">
        <f>Registered!AU2452</f>
        <v/>
      </c>
      <c r="G1063" s="4" t="str">
        <f>Registered!AW2452</f>
        <v/>
      </c>
      <c r="H1063" s="4" t="str">
        <f>Registered!AX2452</f>
        <v/>
      </c>
      <c r="I1063" s="4" t="str">
        <f>Registered!AY2452</f>
        <v/>
      </c>
    </row>
    <row r="1064" spans="1:9" x14ac:dyDescent="0.25">
      <c r="A1064" s="4" t="str">
        <f>Registered!B2454</f>
        <v>Titus</v>
      </c>
      <c r="B1064" s="4" t="str">
        <f>Registered!A2454</f>
        <v>Alex</v>
      </c>
      <c r="C1064" s="4" t="str">
        <f>IF(Registered!AR2454&gt;0,Registered!AR2454&amp;" Color Bags", "")</f>
        <v>5 Color Bags</v>
      </c>
      <c r="D1064" s="4" t="str">
        <f>IF(Registered!AS2454&gt;0,(IF(Registered!AS2454=1,Registered!AS2454&amp;" T-Shirt",Registered!AS2454&amp;" T-Shirts")), "")</f>
        <v/>
      </c>
      <c r="E1064" s="4" t="str">
        <f>Registered!AT2454</f>
        <v/>
      </c>
      <c r="F1064" s="4" t="str">
        <f>Registered!AU2454</f>
        <v/>
      </c>
      <c r="G1064" s="4" t="str">
        <f>Registered!AW2454</f>
        <v/>
      </c>
      <c r="H1064" s="4" t="str">
        <f>Registered!AX2454</f>
        <v/>
      </c>
      <c r="I1064" s="4" t="str">
        <f>Registered!AY2454</f>
        <v/>
      </c>
    </row>
    <row r="1065" spans="1:9" x14ac:dyDescent="0.25">
      <c r="A1065" s="4" t="str">
        <f>Registered!B2455</f>
        <v>Todd</v>
      </c>
      <c r="B1065" s="4" t="str">
        <f>Registered!A2455</f>
        <v>Tana</v>
      </c>
      <c r="C1065" s="4" t="str">
        <f>IF(Registered!AR2455&gt;0,Registered!AR2455&amp;" Color Bags", "")</f>
        <v>10 Color Bags</v>
      </c>
      <c r="D1065" s="4" t="str">
        <f>IF(Registered!AS2455&gt;0,(IF(Registered!AS2455=1,Registered!AS2455&amp;" T-Shirt",Registered!AS2455&amp;" T-Shirts")), "")</f>
        <v>2 T-Shirts</v>
      </c>
      <c r="E1065" s="4" t="str">
        <f>Registered!AT2455</f>
        <v>1 Small, 1 Large</v>
      </c>
      <c r="F1065" s="4" t="str">
        <f>Registered!AU2455</f>
        <v>2 Bandanas</v>
      </c>
      <c r="G1065" s="4" t="str">
        <f>Registered!AW2455</f>
        <v/>
      </c>
      <c r="H1065" s="4" t="str">
        <f>Registered!AX2455</f>
        <v/>
      </c>
      <c r="I1065" s="4" t="str">
        <f>Registered!AY2455</f>
        <v/>
      </c>
    </row>
    <row r="1066" spans="1:9" x14ac:dyDescent="0.25">
      <c r="A1066" s="4" t="str">
        <f>Registered!B2458</f>
        <v>Tomczak</v>
      </c>
      <c r="B1066" s="4" t="str">
        <f>Registered!A2458</f>
        <v>Emily</v>
      </c>
      <c r="C1066" s="4" t="str">
        <f>IF(Registered!AR2458&gt;0,Registered!AR2458&amp;" Color Bags", "")</f>
        <v>10 Color Bags</v>
      </c>
      <c r="D1066" s="4" t="str">
        <f>IF(Registered!AS2458&gt;0,(IF(Registered!AS2458=1,Registered!AS2458&amp;" T-Shirt",Registered!AS2458&amp;" T-Shirts")), "")</f>
        <v/>
      </c>
      <c r="E1066" s="4" t="str">
        <f>Registered!AT2458</f>
        <v/>
      </c>
      <c r="F1066" s="4" t="str">
        <f>Registered!AU2458</f>
        <v/>
      </c>
      <c r="G1066" s="4" t="str">
        <f>Registered!AW2458</f>
        <v/>
      </c>
      <c r="H1066" s="4" t="str">
        <f>Registered!AX2458</f>
        <v/>
      </c>
      <c r="I1066" s="4" t="str">
        <f>Registered!AY2458</f>
        <v/>
      </c>
    </row>
    <row r="1067" spans="1:9" x14ac:dyDescent="0.25">
      <c r="A1067" s="4" t="str">
        <f>Registered!B2462</f>
        <v>Tomsic</v>
      </c>
      <c r="B1067" s="4" t="str">
        <f>Registered!A2462</f>
        <v>Courtnee</v>
      </c>
      <c r="C1067" s="4" t="str">
        <f>IF(Registered!AR2462&gt;0,Registered!AR2462&amp;" Color Bags", "")</f>
        <v>5 Color Bags</v>
      </c>
      <c r="D1067" s="4" t="str">
        <f>IF(Registered!AS2462&gt;0,(IF(Registered!AS2462=1,Registered!AS2462&amp;" T-Shirt",Registered!AS2462&amp;" T-Shirts")), "")</f>
        <v/>
      </c>
      <c r="E1067" s="4" t="str">
        <f>Registered!AT2462</f>
        <v/>
      </c>
      <c r="F1067" s="4" t="str">
        <f>Registered!AU2462</f>
        <v/>
      </c>
      <c r="G1067" s="4" t="str">
        <f>Registered!AW2462</f>
        <v>1 Meal</v>
      </c>
      <c r="H1067" s="4" t="str">
        <f>Registered!AX2462</f>
        <v/>
      </c>
      <c r="I1067" s="4" t="str">
        <f>Registered!AY2462</f>
        <v/>
      </c>
    </row>
    <row r="1068" spans="1:9" x14ac:dyDescent="0.25">
      <c r="A1068" s="4" t="str">
        <f>Registered!B2463</f>
        <v>Toney</v>
      </c>
      <c r="B1068" s="4" t="str">
        <f>Registered!A2463</f>
        <v>Brittany</v>
      </c>
      <c r="C1068" s="4" t="str">
        <f>IF(Registered!AR2463&gt;0,Registered!AR2463&amp;" Color Bags", "")</f>
        <v>5 Color Bags</v>
      </c>
      <c r="D1068" s="4" t="str">
        <f>IF(Registered!AS2463&gt;0,(IF(Registered!AS2463=1,Registered!AS2463&amp;" T-Shirt",Registered!AS2463&amp;" T-Shirts")), "")</f>
        <v>2 T-Shirts</v>
      </c>
      <c r="E1068" s="4" t="str">
        <f>Registered!AT2463</f>
        <v>Size Not Specified</v>
      </c>
      <c r="F1068" s="4" t="str">
        <f>Registered!AU2463</f>
        <v/>
      </c>
      <c r="G1068" s="4" t="str">
        <f>Registered!AW2463</f>
        <v/>
      </c>
      <c r="H1068" s="4" t="str">
        <f>Registered!AX2463</f>
        <v/>
      </c>
      <c r="I1068" s="4" t="str">
        <f>Registered!AY2463</f>
        <v>1 DustMask</v>
      </c>
    </row>
    <row r="1069" spans="1:9" x14ac:dyDescent="0.25">
      <c r="A1069" s="4" t="str">
        <f>Registered!B2466</f>
        <v>Torres</v>
      </c>
      <c r="B1069" s="4" t="str">
        <f>Registered!A2466</f>
        <v>Alyssa</v>
      </c>
      <c r="C1069" s="4" t="str">
        <f>IF(Registered!AR2466&gt;0,Registered!AR2466&amp;" Color Bags", "")</f>
        <v>20 Color Bags</v>
      </c>
      <c r="D1069" s="4" t="str">
        <f>IF(Registered!AS2466&gt;0,(IF(Registered!AS2466=1,Registered!AS2466&amp;" T-Shirt",Registered!AS2466&amp;" T-Shirts")), "")</f>
        <v/>
      </c>
      <c r="E1069" s="4" t="str">
        <f>Registered!AT2466</f>
        <v/>
      </c>
      <c r="F1069" s="4" t="str">
        <f>Registered!AU2466</f>
        <v/>
      </c>
      <c r="G1069" s="4" t="str">
        <f>Registered!AW2466</f>
        <v/>
      </c>
      <c r="H1069" s="4" t="str">
        <f>Registered!AX2466</f>
        <v/>
      </c>
      <c r="I1069" s="4" t="str">
        <f>Registered!AY2466</f>
        <v/>
      </c>
    </row>
    <row r="1070" spans="1:9" x14ac:dyDescent="0.25">
      <c r="A1070" s="4" t="str">
        <f>Registered!B2467</f>
        <v>Toscano</v>
      </c>
      <c r="B1070" s="4" t="str">
        <f>Registered!A2467</f>
        <v>Stephanie</v>
      </c>
      <c r="C1070" s="4" t="str">
        <f>IF(Registered!AR2467&gt;0,Registered!AR2467&amp;" Color Bags", "")</f>
        <v>10 Color Bags</v>
      </c>
      <c r="D1070" s="4" t="str">
        <f>IF(Registered!AS2467&gt;0,(IF(Registered!AS2467=1,Registered!AS2467&amp;" T-Shirt",Registered!AS2467&amp;" T-Shirts")), "")</f>
        <v/>
      </c>
      <c r="E1070" s="4" t="str">
        <f>Registered!AT2467</f>
        <v/>
      </c>
      <c r="F1070" s="4" t="str">
        <f>Registered!AU2467</f>
        <v/>
      </c>
      <c r="G1070" s="4" t="str">
        <f>Registered!AW2467</f>
        <v/>
      </c>
      <c r="H1070" s="4" t="str">
        <f>Registered!AX2467</f>
        <v/>
      </c>
      <c r="I1070" s="4" t="str">
        <f>Registered!AY2467</f>
        <v/>
      </c>
    </row>
    <row r="1071" spans="1:9" x14ac:dyDescent="0.25">
      <c r="A1071" s="4" t="str">
        <f>Registered!B2468</f>
        <v>Trejo Villalobos</v>
      </c>
      <c r="B1071" s="4" t="str">
        <f>Registered!A2468</f>
        <v>Jonathan Alonso</v>
      </c>
      <c r="C1071" s="4" t="str">
        <f>IF(Registered!AR2468&gt;0,Registered!AR2468&amp;" Color Bags", "")</f>
        <v>5 Color Bags</v>
      </c>
      <c r="D1071" s="4" t="str">
        <f>IF(Registered!AS2468&gt;0,(IF(Registered!AS2468=1,Registered!AS2468&amp;" T-Shirt",Registered!AS2468&amp;" T-Shirts")), "")</f>
        <v/>
      </c>
      <c r="E1071" s="4" t="str">
        <f>Registered!AT2468</f>
        <v/>
      </c>
      <c r="F1071" s="4" t="str">
        <f>Registered!AU2468</f>
        <v/>
      </c>
      <c r="G1071" s="4" t="str">
        <f>Registered!AW2468</f>
        <v/>
      </c>
      <c r="H1071" s="4" t="str">
        <f>Registered!AX2468</f>
        <v/>
      </c>
      <c r="I1071" s="4" t="str">
        <f>Registered!AY2468</f>
        <v/>
      </c>
    </row>
    <row r="1072" spans="1:9" x14ac:dyDescent="0.25">
      <c r="A1072" s="4" t="str">
        <f>Registered!B2471</f>
        <v>Trivedi</v>
      </c>
      <c r="B1072" s="4" t="str">
        <f>Registered!A2471</f>
        <v>Avani</v>
      </c>
      <c r="C1072" s="4" t="str">
        <f>IF(Registered!AR2471&gt;0,Registered!AR2471&amp;" Color Bags", "")</f>
        <v>10 Color Bags</v>
      </c>
      <c r="D1072" s="4" t="str">
        <f>IF(Registered!AS2471&gt;0,(IF(Registered!AS2471=1,Registered!AS2471&amp;" T-Shirt",Registered!AS2471&amp;" T-Shirts")), "")</f>
        <v/>
      </c>
      <c r="E1072" s="4" t="str">
        <f>Registered!AT2471</f>
        <v/>
      </c>
      <c r="F1072" s="4" t="str">
        <f>Registered!AU2471</f>
        <v/>
      </c>
      <c r="G1072" s="4" t="str">
        <f>Registered!AW2471</f>
        <v>3 Meals</v>
      </c>
      <c r="H1072" s="4" t="str">
        <f>Registered!AX2471</f>
        <v/>
      </c>
      <c r="I1072" s="4" t="str">
        <f>Registered!AY2471</f>
        <v>1 DustMask</v>
      </c>
    </row>
    <row r="1073" spans="1:9" x14ac:dyDescent="0.25">
      <c r="A1073" s="4" t="str">
        <f>Registered!B2475</f>
        <v>Tschetter</v>
      </c>
      <c r="B1073" s="4" t="str">
        <f>Registered!A2475</f>
        <v>Michelle</v>
      </c>
      <c r="C1073" s="4" t="str">
        <f>IF(Registered!AR2475&gt;0,Registered!AR2475&amp;" Color Bags", "")</f>
        <v>5 Color Bags</v>
      </c>
      <c r="D1073" s="4" t="str">
        <f>IF(Registered!AS2475&gt;0,(IF(Registered!AS2475=1,Registered!AS2475&amp;" T-Shirt",Registered!AS2475&amp;" T-Shirts")), "")</f>
        <v/>
      </c>
      <c r="E1073" s="4" t="str">
        <f>Registered!AT2475</f>
        <v/>
      </c>
      <c r="F1073" s="4" t="str">
        <f>Registered!AU2475</f>
        <v/>
      </c>
      <c r="G1073" s="4" t="str">
        <f>Registered!AW2475</f>
        <v/>
      </c>
      <c r="H1073" s="4" t="str">
        <f>Registered!AX2475</f>
        <v/>
      </c>
      <c r="I1073" s="4" t="str">
        <f>Registered!AY2475</f>
        <v/>
      </c>
    </row>
    <row r="1074" spans="1:9" x14ac:dyDescent="0.25">
      <c r="A1074" s="4" t="str">
        <f>Registered!B2480</f>
        <v>Tucker</v>
      </c>
      <c r="B1074" s="4" t="str">
        <f>Registered!A2480</f>
        <v>Micah</v>
      </c>
      <c r="C1074" s="4" t="str">
        <f>IF(Registered!AR2480&gt;0,Registered!AR2480&amp;" Color Bags", "")</f>
        <v>5 Color Bags</v>
      </c>
      <c r="D1074" s="4" t="str">
        <f>IF(Registered!AS2480&gt;0,(IF(Registered!AS2480=1,Registered!AS2480&amp;" T-Shirt",Registered!AS2480&amp;" T-Shirts")), "")</f>
        <v/>
      </c>
      <c r="E1074" s="4" t="str">
        <f>Registered!AT2480</f>
        <v/>
      </c>
      <c r="F1074" s="4" t="str">
        <f>Registered!AU2480</f>
        <v/>
      </c>
      <c r="G1074" s="4" t="str">
        <f>Registered!AW2480</f>
        <v/>
      </c>
      <c r="H1074" s="4" t="str">
        <f>Registered!AX2480</f>
        <v/>
      </c>
      <c r="I1074" s="4" t="str">
        <f>Registered!AY2480</f>
        <v/>
      </c>
    </row>
    <row r="1075" spans="1:9" x14ac:dyDescent="0.25">
      <c r="A1075" s="4" t="str">
        <f>Registered!B2481</f>
        <v>Tuft</v>
      </c>
      <c r="B1075" s="4" t="str">
        <f>Registered!A2481</f>
        <v>Ashley</v>
      </c>
      <c r="C1075" s="4" t="str">
        <f>IF(Registered!AR2481&gt;0,Registered!AR2481&amp;" Color Bags", "")</f>
        <v>5 Color Bags</v>
      </c>
      <c r="D1075" s="4" t="str">
        <f>IF(Registered!AS2481&gt;0,(IF(Registered!AS2481=1,Registered!AS2481&amp;" T-Shirt",Registered!AS2481&amp;" T-Shirts")), "")</f>
        <v/>
      </c>
      <c r="E1075" s="4" t="str">
        <f>Registered!AT2481</f>
        <v/>
      </c>
      <c r="F1075" s="4" t="str">
        <f>Registered!AU2481</f>
        <v/>
      </c>
      <c r="G1075" s="4" t="str">
        <f>Registered!AW2481</f>
        <v/>
      </c>
      <c r="H1075" s="4" t="str">
        <f>Registered!AX2481</f>
        <v/>
      </c>
      <c r="I1075" s="4" t="str">
        <f>Registered!AY2481</f>
        <v/>
      </c>
    </row>
    <row r="1076" spans="1:9" x14ac:dyDescent="0.25">
      <c r="A1076" s="4" t="str">
        <f>Registered!B2483</f>
        <v>Turgeon</v>
      </c>
      <c r="B1076" s="4" t="str">
        <f>Registered!A2483</f>
        <v>Cyndi</v>
      </c>
      <c r="C1076" s="4" t="str">
        <f>IF(Registered!AR2483&gt;0,Registered!AR2483&amp;" Color Bags", "")</f>
        <v>30 Color Bags</v>
      </c>
      <c r="D1076" s="4" t="str">
        <f>IF(Registered!AS2483&gt;0,(IF(Registered!AS2483=1,Registered!AS2483&amp;" T-Shirt",Registered!AS2483&amp;" T-Shirts")), "")</f>
        <v/>
      </c>
      <c r="E1076" s="4" t="str">
        <f>Registered!AT2483</f>
        <v/>
      </c>
      <c r="F1076" s="4" t="str">
        <f>Registered!AU2483</f>
        <v/>
      </c>
      <c r="G1076" s="4" t="str">
        <f>Registered!AW2483</f>
        <v/>
      </c>
      <c r="H1076" s="4" t="str">
        <f>Registered!AX2483</f>
        <v/>
      </c>
      <c r="I1076" s="4" t="str">
        <f>Registered!AY2483</f>
        <v/>
      </c>
    </row>
    <row r="1077" spans="1:9" x14ac:dyDescent="0.25">
      <c r="A1077" s="4" t="str">
        <f>Registered!B2484</f>
        <v>Turley</v>
      </c>
      <c r="B1077" s="4" t="str">
        <f>Registered!A2484</f>
        <v>Erik</v>
      </c>
      <c r="C1077" s="4" t="str">
        <f>IF(Registered!AR2484&gt;0,Registered!AR2484&amp;" Color Bags", "")</f>
        <v>5 Color Bags</v>
      </c>
      <c r="D1077" s="4" t="str">
        <f>IF(Registered!AS2484&gt;0,(IF(Registered!AS2484=1,Registered!AS2484&amp;" T-Shirt",Registered!AS2484&amp;" T-Shirts")), "")</f>
        <v>1 T-Shirt</v>
      </c>
      <c r="E1077" s="4" t="str">
        <f>Registered!AT2484</f>
        <v>Large</v>
      </c>
      <c r="F1077" s="4" t="str">
        <f>Registered!AU2484</f>
        <v/>
      </c>
      <c r="G1077" s="4" t="str">
        <f>Registered!AW2484</f>
        <v/>
      </c>
      <c r="H1077" s="4" t="str">
        <f>Registered!AX2484</f>
        <v/>
      </c>
      <c r="I1077" s="4" t="str">
        <f>Registered!AY2484</f>
        <v/>
      </c>
    </row>
    <row r="1078" spans="1:9" x14ac:dyDescent="0.25">
      <c r="A1078" s="4" t="str">
        <f>Registered!B2485</f>
        <v>Turnbull</v>
      </c>
      <c r="B1078" s="4" t="str">
        <f>Registered!A2485</f>
        <v>Chance</v>
      </c>
      <c r="C1078" s="4" t="str">
        <f>IF(Registered!AR2485&gt;0,Registered!AR2485&amp;" Color Bags", "")</f>
        <v>10 Color Bags</v>
      </c>
      <c r="D1078" s="4" t="str">
        <f>IF(Registered!AS2485&gt;0,(IF(Registered!AS2485=1,Registered!AS2485&amp;" T-Shirt",Registered!AS2485&amp;" T-Shirts")), "")</f>
        <v/>
      </c>
      <c r="E1078" s="4" t="str">
        <f>Registered!AT2485</f>
        <v/>
      </c>
      <c r="F1078" s="4" t="str">
        <f>Registered!AU2485</f>
        <v/>
      </c>
      <c r="G1078" s="4" t="str">
        <f>Registered!AW2485</f>
        <v/>
      </c>
      <c r="H1078" s="4" t="str">
        <f>Registered!AX2485</f>
        <v/>
      </c>
      <c r="I1078" s="4" t="str">
        <f>Registered!AY2485</f>
        <v/>
      </c>
    </row>
    <row r="1079" spans="1:9" x14ac:dyDescent="0.25">
      <c r="A1079" s="4" t="str">
        <f>Registered!B2487</f>
        <v>Turner</v>
      </c>
      <c r="B1079" s="4" t="str">
        <f>Registered!A2487</f>
        <v>Ryan</v>
      </c>
      <c r="C1079" s="4" t="str">
        <f>IF(Registered!AR2487&gt;0,Registered!AR2487&amp;" Color Bags", "")</f>
        <v>5 Color Bags</v>
      </c>
      <c r="D1079" s="4" t="str">
        <f>IF(Registered!AS2487&gt;0,(IF(Registered!AS2487=1,Registered!AS2487&amp;" T-Shirt",Registered!AS2487&amp;" T-Shirts")), "")</f>
        <v/>
      </c>
      <c r="E1079" s="4" t="str">
        <f>Registered!AT2487</f>
        <v/>
      </c>
      <c r="F1079" s="4" t="str">
        <f>Registered!AU2487</f>
        <v/>
      </c>
      <c r="G1079" s="4" t="str">
        <f>Registered!AW2487</f>
        <v/>
      </c>
      <c r="H1079" s="4" t="str">
        <f>Registered!AX2487</f>
        <v/>
      </c>
      <c r="I1079" s="4" t="str">
        <f>Registered!AY2487</f>
        <v/>
      </c>
    </row>
    <row r="1080" spans="1:9" x14ac:dyDescent="0.25">
      <c r="A1080" s="4" t="str">
        <f>Registered!B2488</f>
        <v>Turney</v>
      </c>
      <c r="B1080" s="4" t="str">
        <f>Registered!A2488</f>
        <v>Julie</v>
      </c>
      <c r="C1080" s="4" t="str">
        <f>IF(Registered!AR2488&gt;0,Registered!AR2488&amp;" Color Bags", "")</f>
        <v>10 Color Bags</v>
      </c>
      <c r="D1080" s="4" t="str">
        <f>IF(Registered!AS2488&gt;0,(IF(Registered!AS2488=1,Registered!AS2488&amp;" T-Shirt",Registered!AS2488&amp;" T-Shirts")), "")</f>
        <v>2 T-Shirts</v>
      </c>
      <c r="E1080" s="4" t="str">
        <f>Registered!AT2488</f>
        <v>Small and Large</v>
      </c>
      <c r="F1080" s="4" t="str">
        <f>Registered!AU2488</f>
        <v/>
      </c>
      <c r="G1080" s="4" t="str">
        <f>Registered!AW2488</f>
        <v>2 Meals</v>
      </c>
      <c r="H1080" s="4" t="str">
        <f>Registered!AX2488</f>
        <v/>
      </c>
      <c r="I1080" s="4" t="str">
        <f>Registered!AY2488</f>
        <v/>
      </c>
    </row>
    <row r="1081" spans="1:9" x14ac:dyDescent="0.25">
      <c r="A1081" s="4" t="str">
        <f>Registered!B2491</f>
        <v>Unsicker</v>
      </c>
      <c r="B1081" s="4" t="str">
        <f>Registered!A2491</f>
        <v>Lyndee</v>
      </c>
      <c r="C1081" s="4" t="str">
        <f>IF(Registered!AR2491&gt;0,Registered!AR2491&amp;" Color Bags", "")</f>
        <v>5 Color Bags</v>
      </c>
      <c r="D1081" s="4" t="str">
        <f>IF(Registered!AS2491&gt;0,(IF(Registered!AS2491=1,Registered!AS2491&amp;" T-Shirt",Registered!AS2491&amp;" T-Shirts")), "")</f>
        <v/>
      </c>
      <c r="E1081" s="4" t="str">
        <f>Registered!AT2491</f>
        <v/>
      </c>
      <c r="F1081" s="4" t="str">
        <f>Registered!AU2491</f>
        <v/>
      </c>
      <c r="G1081" s="4" t="str">
        <f>Registered!AW2491</f>
        <v/>
      </c>
      <c r="H1081" s="4" t="str">
        <f>Registered!AX2491</f>
        <v/>
      </c>
      <c r="I1081" s="4" t="str">
        <f>Registered!AY2491</f>
        <v/>
      </c>
    </row>
    <row r="1082" spans="1:9" x14ac:dyDescent="0.25">
      <c r="A1082" s="4" t="str">
        <f>Registered!B2492</f>
        <v>Upton</v>
      </c>
      <c r="B1082" s="4" t="str">
        <f>Registered!A2492</f>
        <v>Sara</v>
      </c>
      <c r="C1082" s="4" t="str">
        <f>IF(Registered!AR2492&gt;0,Registered!AR2492&amp;" Color Bags", "")</f>
        <v>20 Color Bags</v>
      </c>
      <c r="D1082" s="4" t="str">
        <f>IF(Registered!AS2492&gt;0,(IF(Registered!AS2492=1,Registered!AS2492&amp;" T-Shirt",Registered!AS2492&amp;" T-Shirts")), "")</f>
        <v>2 T-Shirts</v>
      </c>
      <c r="E1082" s="4" t="str">
        <f>Registered!AT2492</f>
        <v>Size Not Specified</v>
      </c>
      <c r="F1082" s="4" t="str">
        <f>Registered!AU2492</f>
        <v/>
      </c>
      <c r="G1082" s="4" t="str">
        <f>Registered!AW2492</f>
        <v>2 Meals</v>
      </c>
      <c r="H1082" s="4" t="str">
        <f>Registered!AX2492</f>
        <v/>
      </c>
      <c r="I1082" s="4" t="str">
        <f>Registered!AY2492</f>
        <v/>
      </c>
    </row>
    <row r="1083" spans="1:9" x14ac:dyDescent="0.25">
      <c r="A1083" s="4" t="str">
        <f>Registered!B2493</f>
        <v>Uribe</v>
      </c>
      <c r="B1083" s="4" t="str">
        <f>Registered!A2493</f>
        <v>Maya</v>
      </c>
      <c r="C1083" s="4" t="str">
        <f>IF(Registered!AR2493&gt;0,Registered!AR2493&amp;" Color Bags", "")</f>
        <v>20 Color Bags</v>
      </c>
      <c r="D1083" s="4" t="str">
        <f>IF(Registered!AS2493&gt;0,(IF(Registered!AS2493=1,Registered!AS2493&amp;" T-Shirt",Registered!AS2493&amp;" T-Shirts")), "")</f>
        <v/>
      </c>
      <c r="E1083" s="4" t="str">
        <f>Registered!AT2493</f>
        <v/>
      </c>
      <c r="F1083" s="4" t="str">
        <f>Registered!AU2493</f>
        <v/>
      </c>
      <c r="G1083" s="4" t="str">
        <f>Registered!AW2493</f>
        <v/>
      </c>
      <c r="H1083" s="4" t="str">
        <f>Registered!AX2493</f>
        <v/>
      </c>
      <c r="I1083" s="4" t="str">
        <f>Registered!AY2493</f>
        <v/>
      </c>
    </row>
    <row r="1084" spans="1:9" x14ac:dyDescent="0.25">
      <c r="A1084" s="4" t="str">
        <f>Registered!B2495</f>
        <v>Valderaz</v>
      </c>
      <c r="B1084" s="4" t="str">
        <f>Registered!A2495</f>
        <v>Taylor</v>
      </c>
      <c r="C1084" s="4" t="str">
        <f>IF(Registered!AR2495&gt;0,Registered!AR2495&amp;" Color Bags", "")</f>
        <v>25 Color Bags</v>
      </c>
      <c r="D1084" s="4" t="str">
        <f>IF(Registered!AS2495&gt;0,(IF(Registered!AS2495=1,Registered!AS2495&amp;" T-Shirt",Registered!AS2495&amp;" T-Shirts")), "")</f>
        <v>3 T-Shirts</v>
      </c>
      <c r="E1084" s="4" t="str">
        <f>Registered!AT2495</f>
        <v>small, large,large</v>
      </c>
      <c r="F1084" s="4" t="str">
        <f>Registered!AU2495</f>
        <v>1 Bandana</v>
      </c>
      <c r="G1084" s="4" t="str">
        <f>Registered!AW2495</f>
        <v>3 Meals</v>
      </c>
      <c r="H1084" s="4" t="str">
        <f>Registered!AX2495</f>
        <v>1 BG</v>
      </c>
      <c r="I1084" s="4" t="str">
        <f>Registered!AY2495</f>
        <v>2 DustMask</v>
      </c>
    </row>
    <row r="1085" spans="1:9" x14ac:dyDescent="0.25">
      <c r="A1085" s="4" t="str">
        <f>Registered!B2498</f>
        <v>Valdez</v>
      </c>
      <c r="B1085" s="4" t="str">
        <f>Registered!A2498</f>
        <v>Skyler</v>
      </c>
      <c r="C1085" s="4" t="str">
        <f>IF(Registered!AR2498&gt;0,Registered!AR2498&amp;" Color Bags", "")</f>
        <v>10 Color Bags</v>
      </c>
      <c r="D1085" s="4" t="str">
        <f>IF(Registered!AS2498&gt;0,(IF(Registered!AS2498=1,Registered!AS2498&amp;" T-Shirt",Registered!AS2498&amp;" T-Shirts")), "")</f>
        <v/>
      </c>
      <c r="E1085" s="4" t="str">
        <f>Registered!AT2498</f>
        <v/>
      </c>
      <c r="F1085" s="4" t="str">
        <f>Registered!AU2498</f>
        <v/>
      </c>
      <c r="G1085" s="4" t="str">
        <f>Registered!AW2498</f>
        <v/>
      </c>
      <c r="H1085" s="4" t="str">
        <f>Registered!AX2498</f>
        <v/>
      </c>
      <c r="I1085" s="4" t="str">
        <f>Registered!AY2498</f>
        <v/>
      </c>
    </row>
    <row r="1086" spans="1:9" x14ac:dyDescent="0.25">
      <c r="A1086" s="4" t="str">
        <f>Registered!B2497</f>
        <v>Valdez</v>
      </c>
      <c r="B1086" s="4" t="str">
        <f>Registered!A2497</f>
        <v>Misty</v>
      </c>
      <c r="C1086" s="4" t="str">
        <f>IF(Registered!AR2497&gt;0,Registered!AR2497&amp;" Color Bags", "")</f>
        <v>5 Color Bags</v>
      </c>
      <c r="D1086" s="4" t="str">
        <f>IF(Registered!AS2497&gt;0,(IF(Registered!AS2497=1,Registered!AS2497&amp;" T-Shirt",Registered!AS2497&amp;" T-Shirts")), "")</f>
        <v/>
      </c>
      <c r="E1086" s="4" t="str">
        <f>Registered!AT2497</f>
        <v/>
      </c>
      <c r="F1086" s="4" t="str">
        <f>Registered!AU2497</f>
        <v/>
      </c>
      <c r="G1086" s="4" t="str">
        <f>Registered!AW2497</f>
        <v/>
      </c>
      <c r="H1086" s="4" t="str">
        <f>Registered!AX2497</f>
        <v/>
      </c>
      <c r="I1086" s="4" t="str">
        <f>Registered!AY2497</f>
        <v/>
      </c>
    </row>
    <row r="1087" spans="1:9" x14ac:dyDescent="0.25">
      <c r="A1087" s="4" t="str">
        <f>Registered!B2500</f>
        <v>Valentine</v>
      </c>
      <c r="B1087" s="4" t="str">
        <f>Registered!A2500</f>
        <v>Nicolas</v>
      </c>
      <c r="C1087" s="4" t="str">
        <f>IF(Registered!AR2500&gt;0,Registered!AR2500&amp;" Color Bags", "")</f>
        <v>10 Color Bags</v>
      </c>
      <c r="D1087" s="4" t="str">
        <f>IF(Registered!AS2500&gt;0,(IF(Registered!AS2500=1,Registered!AS2500&amp;" T-Shirt",Registered!AS2500&amp;" T-Shirts")), "")</f>
        <v/>
      </c>
      <c r="E1087" s="4" t="str">
        <f>Registered!AT2500</f>
        <v/>
      </c>
      <c r="F1087" s="4" t="str">
        <f>Registered!AU2500</f>
        <v/>
      </c>
      <c r="G1087" s="4" t="str">
        <f>Registered!AW2500</f>
        <v/>
      </c>
      <c r="H1087" s="4" t="str">
        <f>Registered!AX2500</f>
        <v/>
      </c>
      <c r="I1087" s="4" t="str">
        <f>Registered!AY2500</f>
        <v/>
      </c>
    </row>
    <row r="1088" spans="1:9" x14ac:dyDescent="0.25">
      <c r="A1088" s="4" t="str">
        <f>Registered!B2501</f>
        <v>Vallejo</v>
      </c>
      <c r="B1088" s="4" t="str">
        <f>Registered!A2501</f>
        <v>Ruben</v>
      </c>
      <c r="C1088" s="4" t="str">
        <f>IF(Registered!AR2501&gt;0,Registered!AR2501&amp;" Color Bags", "")</f>
        <v>10 Color Bags</v>
      </c>
      <c r="D1088" s="4" t="str">
        <f>IF(Registered!AS2501&gt;0,(IF(Registered!AS2501=1,Registered!AS2501&amp;" T-Shirt",Registered!AS2501&amp;" T-Shirts")), "")</f>
        <v/>
      </c>
      <c r="E1088" s="4" t="str">
        <f>Registered!AT2501</f>
        <v/>
      </c>
      <c r="F1088" s="4" t="str">
        <f>Registered!AU2501</f>
        <v>2 Bandanas</v>
      </c>
      <c r="G1088" s="4" t="str">
        <f>Registered!AW2501</f>
        <v/>
      </c>
      <c r="H1088" s="4" t="str">
        <f>Registered!AX2501</f>
        <v/>
      </c>
      <c r="I1088" s="4" t="str">
        <f>Registered!AY2501</f>
        <v/>
      </c>
    </row>
    <row r="1089" spans="1:9" x14ac:dyDescent="0.25">
      <c r="A1089" s="4" t="str">
        <f>Registered!B2504</f>
        <v>Van Orden</v>
      </c>
      <c r="B1089" s="4" t="str">
        <f>Registered!A2504</f>
        <v>Tania</v>
      </c>
      <c r="C1089" s="4" t="str">
        <f>IF(Registered!AR2504&gt;0,Registered!AR2504&amp;" Color Bags", "")</f>
        <v>5 Color Bags</v>
      </c>
      <c r="D1089" s="4" t="str">
        <f>IF(Registered!AS2504&gt;0,(IF(Registered!AS2504=1,Registered!AS2504&amp;" T-Shirt",Registered!AS2504&amp;" T-Shirts")), "")</f>
        <v/>
      </c>
      <c r="E1089" s="4" t="str">
        <f>Registered!AT2504</f>
        <v/>
      </c>
      <c r="F1089" s="4" t="str">
        <f>Registered!AU2504</f>
        <v/>
      </c>
      <c r="G1089" s="4" t="str">
        <f>Registered!AW2504</f>
        <v/>
      </c>
      <c r="H1089" s="4" t="str">
        <f>Registered!AX2504</f>
        <v/>
      </c>
      <c r="I1089" s="4" t="str">
        <f>Registered!AY2504</f>
        <v/>
      </c>
    </row>
    <row r="1090" spans="1:9" x14ac:dyDescent="0.25">
      <c r="A1090" s="4" t="str">
        <f>Registered!B2507</f>
        <v>Vargas</v>
      </c>
      <c r="B1090" s="4" t="str">
        <f>Registered!A2507</f>
        <v>Dexter Keith</v>
      </c>
      <c r="C1090" s="4" t="str">
        <f>IF(Registered!AR2507&gt;0,Registered!AR2507&amp;" Color Bags", "")</f>
        <v>10 Color Bags</v>
      </c>
      <c r="D1090" s="4" t="str">
        <f>IF(Registered!AS2507&gt;0,(IF(Registered!AS2507=1,Registered!AS2507&amp;" T-Shirt",Registered!AS2507&amp;" T-Shirts")), "")</f>
        <v>2 T-Shirts</v>
      </c>
      <c r="E1090" s="4" t="str">
        <f>Registered!AT2507</f>
        <v>(XS) Extra Small and (M) Medium</v>
      </c>
      <c r="F1090" s="4" t="str">
        <f>Registered!AU2507</f>
        <v>1 Bandana</v>
      </c>
      <c r="G1090" s="4" t="str">
        <f>Registered!AW2507</f>
        <v/>
      </c>
      <c r="H1090" s="4" t="str">
        <f>Registered!AX2507</f>
        <v/>
      </c>
      <c r="I1090" s="4" t="str">
        <f>Registered!AY2507</f>
        <v/>
      </c>
    </row>
    <row r="1091" spans="1:9" x14ac:dyDescent="0.25">
      <c r="A1091" s="4" t="str">
        <f>Registered!B2509</f>
        <v>Vaughan</v>
      </c>
      <c r="B1091" s="4" t="str">
        <f>Registered!A2509</f>
        <v>Megan</v>
      </c>
      <c r="C1091" s="4" t="str">
        <f>IF(Registered!AR2509&gt;0,Registered!AR2509&amp;" Color Bags", "")</f>
        <v>5 Color Bags</v>
      </c>
      <c r="D1091" s="4" t="str">
        <f>IF(Registered!AS2509&gt;0,(IF(Registered!AS2509=1,Registered!AS2509&amp;" T-Shirt",Registered!AS2509&amp;" T-Shirts")), "")</f>
        <v/>
      </c>
      <c r="E1091" s="4" t="str">
        <f>Registered!AT2509</f>
        <v/>
      </c>
      <c r="F1091" s="4" t="str">
        <f>Registered!AU2509</f>
        <v/>
      </c>
      <c r="G1091" s="4" t="str">
        <f>Registered!AW2509</f>
        <v/>
      </c>
      <c r="H1091" s="4" t="str">
        <f>Registered!AX2509</f>
        <v/>
      </c>
      <c r="I1091" s="4" t="str">
        <f>Registered!AY2509</f>
        <v/>
      </c>
    </row>
    <row r="1092" spans="1:9" x14ac:dyDescent="0.25">
      <c r="A1092" s="4" t="str">
        <f>Registered!B2726</f>
        <v>Venkatraman</v>
      </c>
      <c r="B1092" s="4" t="str">
        <f>Registered!A2726</f>
        <v>Subramaniam</v>
      </c>
      <c r="C1092" s="4" t="str">
        <f>IF(Registered!AR2726&gt;0,Registered!AR2726&amp;" Color Bags", "")</f>
        <v>35 Color Bags</v>
      </c>
      <c r="D1092" s="4" t="str">
        <f>IF(Registered!AS2726&gt;0,(IF(Registered!AS2726=1,Registered!AS2726&amp;" T-Shirt",Registered!AS2726&amp;" T-Shirts")), "")</f>
        <v>7 T-Shirts</v>
      </c>
      <c r="E1092" s="4" t="str">
        <f>Registered!AT2726</f>
        <v>4M, 2L, 2XL</v>
      </c>
      <c r="F1092" s="4" t="str">
        <f>Registered!AU2726</f>
        <v/>
      </c>
      <c r="G1092" s="4" t="str">
        <f>Registered!AW2726</f>
        <v>7 Meals</v>
      </c>
      <c r="H1092" s="4" t="str">
        <f>Registered!AX2726</f>
        <v/>
      </c>
      <c r="I1092" s="4" t="str">
        <f>Registered!AY2726</f>
        <v/>
      </c>
    </row>
    <row r="1093" spans="1:9" x14ac:dyDescent="0.25">
      <c r="A1093" s="4" t="str">
        <f>Registered!B2515</f>
        <v>Verma</v>
      </c>
      <c r="B1093" s="4" t="str">
        <f>Registered!A2515</f>
        <v>Ankita</v>
      </c>
      <c r="C1093" s="4" t="str">
        <f>IF(Registered!AR2515&gt;0,Registered!AR2515&amp;" Color Bags", "")</f>
        <v>30 Color Bags</v>
      </c>
      <c r="D1093" s="4" t="str">
        <f>IF(Registered!AS2515&gt;0,(IF(Registered!AS2515=1,Registered!AS2515&amp;" T-Shirt",Registered!AS2515&amp;" T-Shirts")), "")</f>
        <v/>
      </c>
      <c r="E1093" s="4" t="str">
        <f>Registered!AT2515</f>
        <v/>
      </c>
      <c r="F1093" s="4" t="str">
        <f>Registered!AU2515</f>
        <v/>
      </c>
      <c r="G1093" s="4" t="str">
        <f>Registered!AW2515</f>
        <v>9 Meals</v>
      </c>
      <c r="H1093" s="4" t="str">
        <f>Registered!AX2515</f>
        <v/>
      </c>
      <c r="I1093" s="4" t="str">
        <f>Registered!AY2515</f>
        <v/>
      </c>
    </row>
    <row r="1094" spans="1:9" x14ac:dyDescent="0.25">
      <c r="A1094" s="4" t="str">
        <f>Registered!B2514</f>
        <v>Verma</v>
      </c>
      <c r="B1094" s="4" t="str">
        <f>Registered!A2514</f>
        <v>Ajit</v>
      </c>
      <c r="C1094" s="4" t="str">
        <f>IF(Registered!AR2514&gt;0,Registered!AR2514&amp;" Color Bags", "")</f>
        <v>5 Color Bags</v>
      </c>
      <c r="D1094" s="4" t="str">
        <f>IF(Registered!AS2514&gt;0,(IF(Registered!AS2514=1,Registered!AS2514&amp;" T-Shirt",Registered!AS2514&amp;" T-Shirts")), "")</f>
        <v/>
      </c>
      <c r="E1094" s="4" t="str">
        <f>Registered!AT2514</f>
        <v/>
      </c>
      <c r="F1094" s="4" t="str">
        <f>Registered!AU2514</f>
        <v/>
      </c>
      <c r="G1094" s="4" t="str">
        <f>Registered!AW2514</f>
        <v>2 Meals</v>
      </c>
      <c r="H1094" s="4" t="str">
        <f>Registered!AX2514</f>
        <v/>
      </c>
      <c r="I1094" s="4" t="str">
        <f>Registered!AY2514</f>
        <v/>
      </c>
    </row>
    <row r="1095" spans="1:9" x14ac:dyDescent="0.25">
      <c r="A1095" s="4" t="str">
        <f>Registered!B2517</f>
        <v>Verma</v>
      </c>
      <c r="B1095" s="4" t="str">
        <f>Registered!A2517</f>
        <v>Rajesh</v>
      </c>
      <c r="C1095" s="4" t="str">
        <f>IF(Registered!AR2517&gt;0,Registered!AR2517&amp;" Color Bags", "")</f>
        <v>5 Color Bags</v>
      </c>
      <c r="D1095" s="4" t="str">
        <f>IF(Registered!AS2517&gt;0,(IF(Registered!AS2517=1,Registered!AS2517&amp;" T-Shirt",Registered!AS2517&amp;" T-Shirts")), "")</f>
        <v/>
      </c>
      <c r="E1095" s="4" t="str">
        <f>Registered!AT2517</f>
        <v/>
      </c>
      <c r="F1095" s="4" t="str">
        <f>Registered!AU2517</f>
        <v/>
      </c>
      <c r="G1095" s="4" t="str">
        <f>Registered!AW2517</f>
        <v/>
      </c>
      <c r="H1095" s="4" t="str">
        <f>Registered!AX2517</f>
        <v/>
      </c>
      <c r="I1095" s="4" t="str">
        <f>Registered!AY2517</f>
        <v/>
      </c>
    </row>
    <row r="1096" spans="1:9" x14ac:dyDescent="0.25">
      <c r="A1096" s="4" t="str">
        <f>Registered!B2521</f>
        <v>Veyette</v>
      </c>
      <c r="B1096" s="4" t="str">
        <f>Registered!A2521</f>
        <v>Jim</v>
      </c>
      <c r="C1096" s="4" t="str">
        <f>IF(Registered!AR2521&gt;0,Registered!AR2521&amp;" Color Bags", "")</f>
        <v>10 Color Bags</v>
      </c>
      <c r="D1096" s="4" t="str">
        <f>IF(Registered!AS2521&gt;0,(IF(Registered!AS2521=1,Registered!AS2521&amp;" T-Shirt",Registered!AS2521&amp;" T-Shirts")), "")</f>
        <v/>
      </c>
      <c r="E1096" s="4" t="str">
        <f>Registered!AT2521</f>
        <v/>
      </c>
      <c r="F1096" s="4" t="str">
        <f>Registered!AU2521</f>
        <v/>
      </c>
      <c r="G1096" s="4" t="str">
        <f>Registered!AW2521</f>
        <v/>
      </c>
      <c r="H1096" s="4" t="str">
        <f>Registered!AX2521</f>
        <v/>
      </c>
      <c r="I1096" s="4" t="str">
        <f>Registered!AY2521</f>
        <v/>
      </c>
    </row>
    <row r="1097" spans="1:9" x14ac:dyDescent="0.25">
      <c r="A1097" s="4" t="str">
        <f>Registered!B2523</f>
        <v>Viland</v>
      </c>
      <c r="B1097" s="4" t="str">
        <f>Registered!A2523</f>
        <v>Heather</v>
      </c>
      <c r="C1097" s="4" t="str">
        <f>IF(Registered!AR2523&gt;0,Registered!AR2523&amp;" Color Bags", "")</f>
        <v>30 Color Bags</v>
      </c>
      <c r="D1097" s="4" t="str">
        <f>IF(Registered!AS2523&gt;0,(IF(Registered!AS2523=1,Registered!AS2523&amp;" T-Shirt",Registered!AS2523&amp;" T-Shirts")), "")</f>
        <v/>
      </c>
      <c r="E1097" s="4" t="str">
        <f>Registered!AT2523</f>
        <v/>
      </c>
      <c r="F1097" s="4" t="str">
        <f>Registered!AU2523</f>
        <v/>
      </c>
      <c r="G1097" s="4" t="str">
        <f>Registered!AW2523</f>
        <v/>
      </c>
      <c r="H1097" s="4" t="str">
        <f>Registered!AX2523</f>
        <v/>
      </c>
      <c r="I1097" s="4" t="str">
        <f>Registered!AY2523</f>
        <v/>
      </c>
    </row>
    <row r="1098" spans="1:9" x14ac:dyDescent="0.25">
      <c r="A1098" s="4" t="str">
        <f>Registered!B2526</f>
        <v>Vinod</v>
      </c>
      <c r="B1098" s="4" t="str">
        <f>Registered!A2526</f>
        <v>Nirav</v>
      </c>
      <c r="C1098" s="4" t="str">
        <f>IF(Registered!AR2526&gt;0,Registered!AR2526&amp;" Color Bags", "")</f>
        <v>5 Color Bags</v>
      </c>
      <c r="D1098" s="4" t="str">
        <f>IF(Registered!AS2526&gt;0,(IF(Registered!AS2526=1,Registered!AS2526&amp;" T-Shirt",Registered!AS2526&amp;" T-Shirts")), "")</f>
        <v/>
      </c>
      <c r="E1098" s="4" t="str">
        <f>Registered!AT2526</f>
        <v/>
      </c>
      <c r="F1098" s="4" t="str">
        <f>Registered!AU2526</f>
        <v/>
      </c>
      <c r="G1098" s="4" t="str">
        <f>Registered!AW2526</f>
        <v/>
      </c>
      <c r="H1098" s="4" t="str">
        <f>Registered!AX2526</f>
        <v/>
      </c>
      <c r="I1098" s="4" t="str">
        <f>Registered!AY2526</f>
        <v/>
      </c>
    </row>
    <row r="1099" spans="1:9" x14ac:dyDescent="0.25">
      <c r="A1099" s="4" t="str">
        <f>Registered!B2528</f>
        <v>Von Weller</v>
      </c>
      <c r="B1099" s="4" t="str">
        <f>Registered!A2528</f>
        <v>Samantha</v>
      </c>
      <c r="C1099" s="4" t="str">
        <f>IF(Registered!AR2528&gt;0,Registered!AR2528&amp;" Color Bags", "")</f>
        <v>10 Color Bags</v>
      </c>
      <c r="D1099" s="4" t="str">
        <f>IF(Registered!AS2528&gt;0,(IF(Registered!AS2528=1,Registered!AS2528&amp;" T-Shirt",Registered!AS2528&amp;" T-Shirts")), "")</f>
        <v/>
      </c>
      <c r="E1099" s="4" t="str">
        <f>Registered!AT2528</f>
        <v/>
      </c>
      <c r="F1099" s="4" t="str">
        <f>Registered!AU2528</f>
        <v/>
      </c>
      <c r="G1099" s="4" t="str">
        <f>Registered!AW2528</f>
        <v/>
      </c>
      <c r="H1099" s="4" t="str">
        <f>Registered!AX2528</f>
        <v/>
      </c>
      <c r="I1099" s="4" t="str">
        <f>Registered!AY2528</f>
        <v/>
      </c>
    </row>
    <row r="1100" spans="1:9" x14ac:dyDescent="0.25">
      <c r="A1100" s="4" t="str">
        <f>Registered!B2529</f>
        <v>Vranes</v>
      </c>
      <c r="B1100" s="4" t="str">
        <f>Registered!A2529</f>
        <v>Sara</v>
      </c>
      <c r="C1100" s="4" t="str">
        <f>IF(Registered!AR2529&gt;0,Registered!AR2529&amp;" Color Bags", "")</f>
        <v>5 Color Bags</v>
      </c>
      <c r="D1100" s="4" t="str">
        <f>IF(Registered!AS2529&gt;0,(IF(Registered!AS2529=1,Registered!AS2529&amp;" T-Shirt",Registered!AS2529&amp;" T-Shirts")), "")</f>
        <v>1 T-Shirt</v>
      </c>
      <c r="E1100" s="4" t="str">
        <f>Registered!AT2529</f>
        <v>size medium, if it's the unisex t-shirt.</v>
      </c>
      <c r="F1100" s="4" t="str">
        <f>Registered!AU2529</f>
        <v/>
      </c>
      <c r="G1100" s="4" t="str">
        <f>Registered!AW2529</f>
        <v/>
      </c>
      <c r="H1100" s="4" t="str">
        <f>Registered!AX2529</f>
        <v/>
      </c>
      <c r="I1100" s="4" t="str">
        <f>Registered!AY2529</f>
        <v/>
      </c>
    </row>
    <row r="1101" spans="1:9" x14ac:dyDescent="0.25">
      <c r="A1101" s="4" t="str">
        <f>Registered!B2531</f>
        <v>Waddoups</v>
      </c>
      <c r="B1101" s="4" t="str">
        <f>Registered!A2531</f>
        <v>Amber</v>
      </c>
      <c r="C1101" s="4" t="str">
        <f>IF(Registered!AR2531&gt;0,Registered!AR2531&amp;" Color Bags", "")</f>
        <v>5 Color Bags</v>
      </c>
      <c r="D1101" s="4" t="str">
        <f>IF(Registered!AS2531&gt;0,(IF(Registered!AS2531=1,Registered!AS2531&amp;" T-Shirt",Registered!AS2531&amp;" T-Shirts")), "")</f>
        <v>1 T-Shirt</v>
      </c>
      <c r="E1101" s="4" t="str">
        <f>Registered!AT2531</f>
        <v>Large</v>
      </c>
      <c r="F1101" s="4" t="str">
        <f>Registered!AU2531</f>
        <v>1 Bandana</v>
      </c>
      <c r="G1101" s="4" t="str">
        <f>Registered!AW2531</f>
        <v>1 Meal</v>
      </c>
      <c r="H1101" s="4" t="str">
        <f>Registered!AX2531</f>
        <v/>
      </c>
      <c r="I1101" s="4" t="str">
        <f>Registered!AY2531</f>
        <v/>
      </c>
    </row>
    <row r="1102" spans="1:9" x14ac:dyDescent="0.25">
      <c r="A1102" s="4" t="str">
        <f>Registered!B2533</f>
        <v>Wagstaff</v>
      </c>
      <c r="B1102" s="4" t="str">
        <f>Registered!A2533</f>
        <v>Danielle</v>
      </c>
      <c r="C1102" s="4" t="str">
        <f>IF(Registered!AR2533&gt;0,Registered!AR2533&amp;" Color Bags", "")</f>
        <v>20 Color Bags</v>
      </c>
      <c r="D1102" s="4" t="str">
        <f>IF(Registered!AS2533&gt;0,(IF(Registered!AS2533=1,Registered!AS2533&amp;" T-Shirt",Registered!AS2533&amp;" T-Shirts")), "")</f>
        <v/>
      </c>
      <c r="E1102" s="4" t="str">
        <f>Registered!AT2533</f>
        <v/>
      </c>
      <c r="F1102" s="4" t="str">
        <f>Registered!AU2533</f>
        <v/>
      </c>
      <c r="G1102" s="4" t="str">
        <f>Registered!AW2533</f>
        <v>4 Meals</v>
      </c>
      <c r="H1102" s="4" t="str">
        <f>Registered!AX2533</f>
        <v/>
      </c>
      <c r="I1102" s="4" t="str">
        <f>Registered!AY2533</f>
        <v/>
      </c>
    </row>
    <row r="1103" spans="1:9" x14ac:dyDescent="0.25">
      <c r="A1103" s="4" t="str">
        <f>Registered!B2534</f>
        <v>Wait</v>
      </c>
      <c r="B1103" s="4" t="str">
        <f>Registered!A2534</f>
        <v>Natalie</v>
      </c>
      <c r="C1103" s="4" t="str">
        <f>IF(Registered!AR2534&gt;0,Registered!AR2534&amp;" Color Bags", "")</f>
        <v>5 Color Bags</v>
      </c>
      <c r="D1103" s="4" t="str">
        <f>IF(Registered!AS2534&gt;0,(IF(Registered!AS2534=1,Registered!AS2534&amp;" T-Shirt",Registered!AS2534&amp;" T-Shirts")), "")</f>
        <v/>
      </c>
      <c r="E1103" s="4" t="str">
        <f>Registered!AT2534</f>
        <v/>
      </c>
      <c r="F1103" s="4" t="str">
        <f>Registered!AU2534</f>
        <v/>
      </c>
      <c r="G1103" s="4" t="str">
        <f>Registered!AW2534</f>
        <v/>
      </c>
      <c r="H1103" s="4" t="str">
        <f>Registered!AX2534</f>
        <v/>
      </c>
      <c r="I1103" s="4" t="str">
        <f>Registered!AY2534</f>
        <v/>
      </c>
    </row>
    <row r="1104" spans="1:9" x14ac:dyDescent="0.25">
      <c r="A1104" s="4" t="str">
        <f>Registered!B2535</f>
        <v>Wake</v>
      </c>
      <c r="B1104" s="4" t="str">
        <f>Registered!A2535</f>
        <v>Braden</v>
      </c>
      <c r="C1104" s="4" t="str">
        <f>IF(Registered!AR2535&gt;0,Registered!AR2535&amp;" Color Bags", "")</f>
        <v>5 Color Bags</v>
      </c>
      <c r="D1104" s="4" t="str">
        <f>IF(Registered!AS2535&gt;0,(IF(Registered!AS2535=1,Registered!AS2535&amp;" T-Shirt",Registered!AS2535&amp;" T-Shirts")), "")</f>
        <v>1 T-Shirt</v>
      </c>
      <c r="E1104" s="4" t="str">
        <f>Registered!AT2535</f>
        <v>XXL</v>
      </c>
      <c r="F1104" s="4" t="str">
        <f>Registered!AU2535</f>
        <v>1 Bandana</v>
      </c>
      <c r="G1104" s="4" t="str">
        <f>Registered!AW2535</f>
        <v/>
      </c>
      <c r="H1104" s="4" t="str">
        <f>Registered!AX2535</f>
        <v/>
      </c>
      <c r="I1104" s="4" t="str">
        <f>Registered!AY2535</f>
        <v/>
      </c>
    </row>
    <row r="1105" spans="1:9" x14ac:dyDescent="0.25">
      <c r="A1105" s="4" t="str">
        <f>Registered!B2536</f>
        <v>Wakeley</v>
      </c>
      <c r="B1105" s="4" t="str">
        <f>Registered!A2536</f>
        <v>Kelty</v>
      </c>
      <c r="C1105" s="4" t="str">
        <f>IF(Registered!AR2536&gt;0,Registered!AR2536&amp;" Color Bags", "")</f>
        <v>10 Color Bags</v>
      </c>
      <c r="D1105" s="4" t="str">
        <f>IF(Registered!AS2536&gt;0,(IF(Registered!AS2536=1,Registered!AS2536&amp;" T-Shirt",Registered!AS2536&amp;" T-Shirts")), "")</f>
        <v/>
      </c>
      <c r="E1105" s="4" t="str">
        <f>Registered!AT2536</f>
        <v/>
      </c>
      <c r="F1105" s="4" t="str">
        <f>Registered!AU2536</f>
        <v/>
      </c>
      <c r="G1105" s="4" t="str">
        <f>Registered!AW2536</f>
        <v/>
      </c>
      <c r="H1105" s="4" t="str">
        <f>Registered!AX2536</f>
        <v/>
      </c>
      <c r="I1105" s="4" t="str">
        <f>Registered!AY2536</f>
        <v/>
      </c>
    </row>
    <row r="1106" spans="1:9" x14ac:dyDescent="0.25">
      <c r="A1106" s="4" t="str">
        <f>Registered!B2537</f>
        <v>Walker</v>
      </c>
      <c r="B1106" s="4" t="str">
        <f>Registered!A2537</f>
        <v>Daniel</v>
      </c>
      <c r="C1106" s="4" t="str">
        <f>IF(Registered!AR2537&gt;0,Registered!AR2537&amp;" Color Bags", "")</f>
        <v>10 Color Bags</v>
      </c>
      <c r="D1106" s="4" t="str">
        <f>IF(Registered!AS2537&gt;0,(IF(Registered!AS2537=1,Registered!AS2537&amp;" T-Shirt",Registered!AS2537&amp;" T-Shirts")), "")</f>
        <v/>
      </c>
      <c r="E1106" s="4" t="str">
        <f>Registered!AT2537</f>
        <v/>
      </c>
      <c r="F1106" s="4" t="str">
        <f>Registered!AU2537</f>
        <v/>
      </c>
      <c r="G1106" s="4" t="str">
        <f>Registered!AW2537</f>
        <v/>
      </c>
      <c r="H1106" s="4" t="str">
        <f>Registered!AX2537</f>
        <v/>
      </c>
      <c r="I1106" s="4" t="str">
        <f>Registered!AY2537</f>
        <v/>
      </c>
    </row>
    <row r="1107" spans="1:9" x14ac:dyDescent="0.25">
      <c r="A1107" s="4" t="str">
        <f>Registered!B2538</f>
        <v>Walker</v>
      </c>
      <c r="B1107" s="4" t="str">
        <f>Registered!A2538</f>
        <v>Donovan</v>
      </c>
      <c r="C1107" s="4" t="str">
        <f>IF(Registered!AR2538&gt;0,Registered!AR2538&amp;" Color Bags", "")</f>
        <v>10 Color Bags</v>
      </c>
      <c r="D1107" s="4" t="str">
        <f>IF(Registered!AS2538&gt;0,(IF(Registered!AS2538=1,Registered!AS2538&amp;" T-Shirt",Registered!AS2538&amp;" T-Shirts")), "")</f>
        <v>2 T-Shirts</v>
      </c>
      <c r="E1107" s="4" t="str">
        <f>Registered!AT2538</f>
        <v>xxl (2xl) &amp; L</v>
      </c>
      <c r="F1107" s="4" t="str">
        <f>Registered!AU2538</f>
        <v/>
      </c>
      <c r="G1107" s="4" t="str">
        <f>Registered!AW2538</f>
        <v>2 Meals</v>
      </c>
      <c r="H1107" s="4" t="str">
        <f>Registered!AX2538</f>
        <v/>
      </c>
      <c r="I1107" s="4" t="str">
        <f>Registered!AY2538</f>
        <v/>
      </c>
    </row>
    <row r="1108" spans="1:9" x14ac:dyDescent="0.25">
      <c r="A1108" s="4" t="str">
        <f>Registered!B2542</f>
        <v>Wall</v>
      </c>
      <c r="B1108" s="4" t="str">
        <f>Registered!A2542</f>
        <v>Jennifer</v>
      </c>
      <c r="C1108" s="4" t="str">
        <f>IF(Registered!AR2542&gt;0,Registered!AR2542&amp;" Color Bags", "")</f>
        <v>10 Color Bags</v>
      </c>
      <c r="D1108" s="4" t="str">
        <f>IF(Registered!AS2542&gt;0,(IF(Registered!AS2542=1,Registered!AS2542&amp;" T-Shirt",Registered!AS2542&amp;" T-Shirts")), "")</f>
        <v/>
      </c>
      <c r="E1108" s="4" t="str">
        <f>Registered!AT2542</f>
        <v/>
      </c>
      <c r="F1108" s="4" t="str">
        <f>Registered!AU2542</f>
        <v/>
      </c>
      <c r="G1108" s="4" t="str">
        <f>Registered!AW2542</f>
        <v/>
      </c>
      <c r="H1108" s="4" t="str">
        <f>Registered!AX2542</f>
        <v/>
      </c>
      <c r="I1108" s="4" t="str">
        <f>Registered!AY2542</f>
        <v/>
      </c>
    </row>
    <row r="1109" spans="1:9" x14ac:dyDescent="0.25">
      <c r="A1109" s="4" t="str">
        <f>Registered!B2543</f>
        <v>Wall</v>
      </c>
      <c r="B1109" s="4" t="str">
        <f>Registered!A2543</f>
        <v>Kait</v>
      </c>
      <c r="C1109" s="4" t="str">
        <f>IF(Registered!AR2543&gt;0,Registered!AR2543&amp;" Color Bags", "")</f>
        <v>5 Color Bags</v>
      </c>
      <c r="D1109" s="4" t="str">
        <f>IF(Registered!AS2543&gt;0,(IF(Registered!AS2543=1,Registered!AS2543&amp;" T-Shirt",Registered!AS2543&amp;" T-Shirts")), "")</f>
        <v>1 T-Shirt</v>
      </c>
      <c r="E1109" s="4" t="str">
        <f>Registered!AT2543</f>
        <v>XXL</v>
      </c>
      <c r="F1109" s="4" t="str">
        <f>Registered!AU2543</f>
        <v/>
      </c>
      <c r="G1109" s="4" t="str">
        <f>Registered!AW2543</f>
        <v>1 Meal</v>
      </c>
      <c r="H1109" s="4" t="str">
        <f>Registered!AX2543</f>
        <v/>
      </c>
      <c r="I1109" s="4" t="str">
        <f>Registered!AY2543</f>
        <v/>
      </c>
    </row>
    <row r="1110" spans="1:9" x14ac:dyDescent="0.25">
      <c r="A1110" s="4" t="str">
        <f>Registered!B2550</f>
        <v>Wangsgard</v>
      </c>
      <c r="B1110" s="4" t="str">
        <f>Registered!A2550</f>
        <v>Joette</v>
      </c>
      <c r="C1110" s="4" t="str">
        <f>IF(Registered!AR2550&gt;0,Registered!AR2550&amp;" Color Bags", "")</f>
        <v>30 Color Bags</v>
      </c>
      <c r="D1110" s="4" t="str">
        <f>IF(Registered!AS2550&gt;0,(IF(Registered!AS2550=1,Registered!AS2550&amp;" T-Shirt",Registered!AS2550&amp;" T-Shirts")), "")</f>
        <v/>
      </c>
      <c r="E1110" s="4" t="str">
        <f>Registered!AT2550</f>
        <v/>
      </c>
      <c r="F1110" s="4" t="str">
        <f>Registered!AU2550</f>
        <v/>
      </c>
      <c r="G1110" s="4" t="str">
        <f>Registered!AW2550</f>
        <v/>
      </c>
      <c r="H1110" s="4" t="str">
        <f>Registered!AX2550</f>
        <v>1 BG</v>
      </c>
      <c r="I1110" s="4" t="str">
        <f>Registered!AY2550</f>
        <v/>
      </c>
    </row>
    <row r="1111" spans="1:9" x14ac:dyDescent="0.25">
      <c r="A1111" s="4" t="str">
        <f>Registered!B2552</f>
        <v>Ward</v>
      </c>
      <c r="B1111" s="4" t="str">
        <f>Registered!A2552</f>
        <v>Holli</v>
      </c>
      <c r="C1111" s="4" t="str">
        <f>IF(Registered!AR2552&gt;0,Registered!AR2552&amp;" Color Bags", "")</f>
        <v>20 Color Bags</v>
      </c>
      <c r="D1111" s="4" t="str">
        <f>IF(Registered!AS2552&gt;0,(IF(Registered!AS2552=1,Registered!AS2552&amp;" T-Shirt",Registered!AS2552&amp;" T-Shirts")), "")</f>
        <v/>
      </c>
      <c r="E1111" s="4" t="str">
        <f>Registered!AT2552</f>
        <v/>
      </c>
      <c r="F1111" s="4" t="str">
        <f>Registered!AU2552</f>
        <v/>
      </c>
      <c r="G1111" s="4" t="str">
        <f>Registered!AW2552</f>
        <v/>
      </c>
      <c r="H1111" s="4" t="str">
        <f>Registered!AX2552</f>
        <v/>
      </c>
      <c r="I1111" s="4" t="str">
        <f>Registered!AY2552</f>
        <v/>
      </c>
    </row>
    <row r="1112" spans="1:9" x14ac:dyDescent="0.25">
      <c r="A1112" s="4" t="str">
        <f>Registered!B2554</f>
        <v>Warden</v>
      </c>
      <c r="B1112" s="4" t="str">
        <f>Registered!A2554</f>
        <v>Brinlie</v>
      </c>
      <c r="C1112" s="4" t="str">
        <f>IF(Registered!AR2554&gt;0,Registered!AR2554&amp;" Color Bags", "")</f>
        <v>5 Color Bags</v>
      </c>
      <c r="D1112" s="4" t="str">
        <f>IF(Registered!AS2554&gt;0,(IF(Registered!AS2554=1,Registered!AS2554&amp;" T-Shirt",Registered!AS2554&amp;" T-Shirts")), "")</f>
        <v/>
      </c>
      <c r="E1112" s="4" t="str">
        <f>Registered!AT2554</f>
        <v/>
      </c>
      <c r="F1112" s="4" t="str">
        <f>Registered!AU2554</f>
        <v/>
      </c>
      <c r="G1112" s="4" t="str">
        <f>Registered!AW2554</f>
        <v/>
      </c>
      <c r="H1112" s="4" t="str">
        <f>Registered!AX2554</f>
        <v/>
      </c>
      <c r="I1112" s="4" t="str">
        <f>Registered!AY2554</f>
        <v/>
      </c>
    </row>
    <row r="1113" spans="1:9" x14ac:dyDescent="0.25">
      <c r="A1113" s="4" t="str">
        <f>Registered!B2555</f>
        <v>Ware</v>
      </c>
      <c r="B1113" s="4" t="str">
        <f>Registered!A2555</f>
        <v>Reigan</v>
      </c>
      <c r="C1113" s="4" t="str">
        <f>IF(Registered!AR2555&gt;0,Registered!AR2555&amp;" Color Bags", "")</f>
        <v>5 Color Bags</v>
      </c>
      <c r="D1113" s="4" t="str">
        <f>IF(Registered!AS2555&gt;0,(IF(Registered!AS2555=1,Registered!AS2555&amp;" T-Shirt",Registered!AS2555&amp;" T-Shirts")), "")</f>
        <v>1 T-Shirt</v>
      </c>
      <c r="E1113" s="4" t="str">
        <f>Registered!AT2555</f>
        <v>Adult Medium</v>
      </c>
      <c r="F1113" s="4" t="str">
        <f>Registered!AU2555</f>
        <v/>
      </c>
      <c r="G1113" s="4" t="str">
        <f>Registered!AW2555</f>
        <v>1 Meal</v>
      </c>
      <c r="H1113" s="4" t="str">
        <f>Registered!AX2555</f>
        <v>1 BG</v>
      </c>
      <c r="I1113" s="4" t="str">
        <f>Registered!AY2555</f>
        <v/>
      </c>
    </row>
    <row r="1114" spans="1:9" x14ac:dyDescent="0.25">
      <c r="A1114" s="4" t="str">
        <f>Registered!B2559</f>
        <v>Waterlyn</v>
      </c>
      <c r="B1114" s="4" t="str">
        <f>Registered!A2559</f>
        <v>Calyn</v>
      </c>
      <c r="C1114" s="4" t="str">
        <f>IF(Registered!AR2559&gt;0,Registered!AR2559&amp;" Color Bags", "")</f>
        <v>5 Color Bags</v>
      </c>
      <c r="D1114" s="4" t="str">
        <f>IF(Registered!AS2559&gt;0,(IF(Registered!AS2559=1,Registered!AS2559&amp;" T-Shirt",Registered!AS2559&amp;" T-Shirts")), "")</f>
        <v/>
      </c>
      <c r="E1114" s="4" t="str">
        <f>Registered!AT2559</f>
        <v/>
      </c>
      <c r="F1114" s="4" t="str">
        <f>Registered!AU2559</f>
        <v/>
      </c>
      <c r="G1114" s="4" t="str">
        <f>Registered!AW2559</f>
        <v/>
      </c>
      <c r="H1114" s="4" t="str">
        <f>Registered!AX2559</f>
        <v/>
      </c>
      <c r="I1114" s="4" t="str">
        <f>Registered!AY2559</f>
        <v/>
      </c>
    </row>
    <row r="1115" spans="1:9" x14ac:dyDescent="0.25">
      <c r="A1115" s="4" t="str">
        <f>Registered!B2560</f>
        <v>Waters</v>
      </c>
      <c r="B1115" s="4" t="str">
        <f>Registered!A2560</f>
        <v>Holly</v>
      </c>
      <c r="C1115" s="4" t="str">
        <f>IF(Registered!AR2560&gt;0,Registered!AR2560&amp;" Color Bags", "")</f>
        <v>5 Color Bags</v>
      </c>
      <c r="D1115" s="4" t="str">
        <f>IF(Registered!AS2560&gt;0,(IF(Registered!AS2560=1,Registered!AS2560&amp;" T-Shirt",Registered!AS2560&amp;" T-Shirts")), "")</f>
        <v/>
      </c>
      <c r="E1115" s="4" t="str">
        <f>Registered!AT2560</f>
        <v/>
      </c>
      <c r="F1115" s="4" t="str">
        <f>Registered!AU2560</f>
        <v/>
      </c>
      <c r="G1115" s="4" t="str">
        <f>Registered!AW2560</f>
        <v/>
      </c>
      <c r="H1115" s="4" t="str">
        <f>Registered!AX2560</f>
        <v/>
      </c>
      <c r="I1115" s="4" t="str">
        <f>Registered!AY2560</f>
        <v/>
      </c>
    </row>
    <row r="1116" spans="1:9" x14ac:dyDescent="0.25">
      <c r="A1116" s="4" t="str">
        <f>Registered!B2562</f>
        <v>Waugh</v>
      </c>
      <c r="B1116" s="4" t="str">
        <f>Registered!A2562</f>
        <v>David</v>
      </c>
      <c r="C1116" s="4" t="str">
        <f>IF(Registered!AR2562&gt;0,Registered!AR2562&amp;" Color Bags", "")</f>
        <v>5 Color Bags</v>
      </c>
      <c r="D1116" s="4" t="str">
        <f>IF(Registered!AS2562&gt;0,(IF(Registered!AS2562=1,Registered!AS2562&amp;" T-Shirt",Registered!AS2562&amp;" T-Shirts")), "")</f>
        <v/>
      </c>
      <c r="E1116" s="4" t="str">
        <f>Registered!AT2562</f>
        <v/>
      </c>
      <c r="F1116" s="4" t="str">
        <f>Registered!AU2562</f>
        <v/>
      </c>
      <c r="G1116" s="4" t="str">
        <f>Registered!AW2562</f>
        <v/>
      </c>
      <c r="H1116" s="4" t="str">
        <f>Registered!AX2562</f>
        <v/>
      </c>
      <c r="I1116" s="4" t="str">
        <f>Registered!AY2562</f>
        <v/>
      </c>
    </row>
    <row r="1117" spans="1:9" x14ac:dyDescent="0.25">
      <c r="A1117" s="4" t="str">
        <f>Registered!B2564</f>
        <v>Wawrzyniak</v>
      </c>
      <c r="B1117" s="4" t="str">
        <f>Registered!A2564</f>
        <v>Kipp</v>
      </c>
      <c r="C1117" s="4" t="str">
        <f>IF(Registered!AR2564&gt;0,Registered!AR2564&amp;" Color Bags", "")</f>
        <v>30 Color Bags</v>
      </c>
      <c r="D1117" s="4" t="str">
        <f>IF(Registered!AS2564&gt;0,(IF(Registered!AS2564=1,Registered!AS2564&amp;" T-Shirt",Registered!AS2564&amp;" T-Shirts")), "")</f>
        <v/>
      </c>
      <c r="E1117" s="4" t="str">
        <f>Registered!AT2564</f>
        <v/>
      </c>
      <c r="F1117" s="4" t="str">
        <f>Registered!AU2564</f>
        <v>3 Bandanas</v>
      </c>
      <c r="G1117" s="4" t="str">
        <f>Registered!AW2564</f>
        <v/>
      </c>
      <c r="H1117" s="4" t="str">
        <f>Registered!AX2564</f>
        <v/>
      </c>
      <c r="I1117" s="4" t="str">
        <f>Registered!AY2564</f>
        <v>4 DustMask</v>
      </c>
    </row>
    <row r="1118" spans="1:9" x14ac:dyDescent="0.25">
      <c r="A1118" s="4" t="str">
        <f>Registered!B2566</f>
        <v>Weakley</v>
      </c>
      <c r="B1118" s="4" t="str">
        <f>Registered!A2566</f>
        <v>Alene</v>
      </c>
      <c r="C1118" s="4" t="str">
        <f>IF(Registered!AR2566&gt;0,Registered!AR2566&amp;" Color Bags", "")</f>
        <v>10 Color Bags</v>
      </c>
      <c r="D1118" s="4" t="str">
        <f>IF(Registered!AS2566&gt;0,(IF(Registered!AS2566=1,Registered!AS2566&amp;" T-Shirt",Registered!AS2566&amp;" T-Shirts")), "")</f>
        <v/>
      </c>
      <c r="E1118" s="4" t="str">
        <f>Registered!AT2566</f>
        <v/>
      </c>
      <c r="F1118" s="4" t="str">
        <f>Registered!AU2566</f>
        <v/>
      </c>
      <c r="G1118" s="4" t="str">
        <f>Registered!AW2566</f>
        <v/>
      </c>
      <c r="H1118" s="4" t="str">
        <f>Registered!AX2566</f>
        <v/>
      </c>
      <c r="I1118" s="4" t="str">
        <f>Registered!AY2566</f>
        <v/>
      </c>
    </row>
    <row r="1119" spans="1:9" x14ac:dyDescent="0.25">
      <c r="A1119" s="4" t="str">
        <f>Registered!B2571</f>
        <v>Weakley</v>
      </c>
      <c r="B1119" s="4" t="str">
        <f>Registered!A2571</f>
        <v>Wayne</v>
      </c>
      <c r="C1119" s="4" t="str">
        <f>IF(Registered!AR2571&gt;0,Registered!AR2571&amp;" Color Bags", "")</f>
        <v>5 Color Bags</v>
      </c>
      <c r="D1119" s="4" t="str">
        <f>IF(Registered!AS2571&gt;0,(IF(Registered!AS2571=1,Registered!AS2571&amp;" T-Shirt",Registered!AS2571&amp;" T-Shirts")), "")</f>
        <v/>
      </c>
      <c r="E1119" s="4" t="str">
        <f>Registered!AT2571</f>
        <v/>
      </c>
      <c r="F1119" s="4" t="str">
        <f>Registered!AU2571</f>
        <v/>
      </c>
      <c r="G1119" s="4" t="str">
        <f>Registered!AW2571</f>
        <v/>
      </c>
      <c r="H1119" s="4" t="str">
        <f>Registered!AX2571</f>
        <v/>
      </c>
      <c r="I1119" s="4" t="str">
        <f>Registered!AY2571</f>
        <v/>
      </c>
    </row>
    <row r="1120" spans="1:9" x14ac:dyDescent="0.25">
      <c r="A1120" s="4" t="str">
        <f>Registered!B2572</f>
        <v>Webb</v>
      </c>
      <c r="B1120" s="4" t="str">
        <f>Registered!A2572</f>
        <v>Kelsey</v>
      </c>
      <c r="C1120" s="4" t="str">
        <f>IF(Registered!AR2572&gt;0,Registered!AR2572&amp;" Color Bags", "")</f>
        <v>20 Color Bags</v>
      </c>
      <c r="D1120" s="4" t="str">
        <f>IF(Registered!AS2572&gt;0,(IF(Registered!AS2572=1,Registered!AS2572&amp;" T-Shirt",Registered!AS2572&amp;" T-Shirts")), "")</f>
        <v/>
      </c>
      <c r="E1120" s="4" t="str">
        <f>Registered!AT2572</f>
        <v/>
      </c>
      <c r="F1120" s="4" t="str">
        <f>Registered!AU2572</f>
        <v/>
      </c>
      <c r="G1120" s="4" t="str">
        <f>Registered!AW2572</f>
        <v/>
      </c>
      <c r="H1120" s="4" t="str">
        <f>Registered!AX2572</f>
        <v/>
      </c>
      <c r="I1120" s="4" t="str">
        <f>Registered!AY2572</f>
        <v/>
      </c>
    </row>
    <row r="1121" spans="1:9" x14ac:dyDescent="0.25">
      <c r="A1121" s="4" t="str">
        <f>Registered!B2573</f>
        <v>Webb</v>
      </c>
      <c r="B1121" s="4" t="str">
        <f>Registered!A2573</f>
        <v>Tiara</v>
      </c>
      <c r="C1121" s="4" t="str">
        <f>IF(Registered!AR2573&gt;0,Registered!AR2573&amp;" Color Bags", "")</f>
        <v>20 Color Bags</v>
      </c>
      <c r="D1121" s="4" t="str">
        <f>IF(Registered!AS2573&gt;0,(IF(Registered!AS2573=1,Registered!AS2573&amp;" T-Shirt",Registered!AS2573&amp;" T-Shirts")), "")</f>
        <v/>
      </c>
      <c r="E1121" s="4" t="str">
        <f>Registered!AT2573</f>
        <v/>
      </c>
      <c r="F1121" s="4" t="str">
        <f>Registered!AU2573</f>
        <v/>
      </c>
      <c r="G1121" s="4" t="str">
        <f>Registered!AW2573</f>
        <v/>
      </c>
      <c r="H1121" s="4" t="str">
        <f>Registered!AX2573</f>
        <v/>
      </c>
      <c r="I1121" s="4" t="str">
        <f>Registered!AY2573</f>
        <v/>
      </c>
    </row>
    <row r="1122" spans="1:9" x14ac:dyDescent="0.25">
      <c r="A1122" s="4" t="str">
        <f>Registered!B2576</f>
        <v>Weight</v>
      </c>
      <c r="B1122" s="4" t="str">
        <f>Registered!A2576</f>
        <v>Stephen</v>
      </c>
      <c r="C1122" s="4" t="str">
        <f>IF(Registered!AR2576&gt;0,Registered!AR2576&amp;" Color Bags", "")</f>
        <v>20 Color Bags</v>
      </c>
      <c r="D1122" s="4" t="str">
        <f>IF(Registered!AS2576&gt;0,(IF(Registered!AS2576=1,Registered!AS2576&amp;" T-Shirt",Registered!AS2576&amp;" T-Shirts")), "")</f>
        <v/>
      </c>
      <c r="E1122" s="4" t="str">
        <f>Registered!AT2576</f>
        <v/>
      </c>
      <c r="F1122" s="4" t="str">
        <f>Registered!AU2576</f>
        <v/>
      </c>
      <c r="G1122" s="4" t="str">
        <f>Registered!AW2576</f>
        <v/>
      </c>
      <c r="H1122" s="4" t="str">
        <f>Registered!AX2576</f>
        <v/>
      </c>
      <c r="I1122" s="4" t="str">
        <f>Registered!AY2576</f>
        <v/>
      </c>
    </row>
    <row r="1123" spans="1:9" x14ac:dyDescent="0.25">
      <c r="A1123" s="4" t="str">
        <f>Registered!B2578</f>
        <v>Wellbaum</v>
      </c>
      <c r="B1123" s="4" t="str">
        <f>Registered!A2578</f>
        <v>Randy</v>
      </c>
      <c r="C1123" s="4" t="str">
        <f>IF(Registered!AR2578&gt;0,Registered!AR2578&amp;" Color Bags", "")</f>
        <v>5 Color Bags</v>
      </c>
      <c r="D1123" s="4" t="str">
        <f>IF(Registered!AS2578&gt;0,(IF(Registered!AS2578=1,Registered!AS2578&amp;" T-Shirt",Registered!AS2578&amp;" T-Shirts")), "")</f>
        <v>1 T-Shirt</v>
      </c>
      <c r="E1123" s="4" t="str">
        <f>Registered!AT2578</f>
        <v>Medium</v>
      </c>
      <c r="F1123" s="4" t="str">
        <f>Registered!AU2578</f>
        <v/>
      </c>
      <c r="G1123" s="4" t="str">
        <f>Registered!AW2578</f>
        <v>1 Meal</v>
      </c>
      <c r="H1123" s="4" t="str">
        <f>Registered!AX2578</f>
        <v/>
      </c>
      <c r="I1123" s="4" t="str">
        <f>Registered!AY2578</f>
        <v/>
      </c>
    </row>
    <row r="1124" spans="1:9" x14ac:dyDescent="0.25">
      <c r="A1124" s="4" t="str">
        <f>Registered!B2580</f>
        <v>Wells</v>
      </c>
      <c r="B1124" s="4" t="str">
        <f>Registered!A2580</f>
        <v>Baylee</v>
      </c>
      <c r="C1124" s="4" t="str">
        <f>IF(Registered!AR2580&gt;0,Registered!AR2580&amp;" Color Bags", "")</f>
        <v>5 Color Bags</v>
      </c>
      <c r="D1124" s="4" t="str">
        <f>IF(Registered!AS2580&gt;0,(IF(Registered!AS2580=1,Registered!AS2580&amp;" T-Shirt",Registered!AS2580&amp;" T-Shirts")), "")</f>
        <v/>
      </c>
      <c r="E1124" s="4" t="str">
        <f>Registered!AT2580</f>
        <v/>
      </c>
      <c r="F1124" s="4" t="str">
        <f>Registered!AU2580</f>
        <v/>
      </c>
      <c r="G1124" s="4" t="str">
        <f>Registered!AW2580</f>
        <v/>
      </c>
      <c r="H1124" s="4" t="str">
        <f>Registered!AX2580</f>
        <v/>
      </c>
      <c r="I1124" s="4" t="str">
        <f>Registered!AY2580</f>
        <v/>
      </c>
    </row>
    <row r="1125" spans="1:9" x14ac:dyDescent="0.25">
      <c r="A1125" s="4" t="str">
        <f>Registered!B2581</f>
        <v>Wentworth</v>
      </c>
      <c r="B1125" s="4" t="str">
        <f>Registered!A2581</f>
        <v>Michele</v>
      </c>
      <c r="C1125" s="4" t="str">
        <f>IF(Registered!AR2581&gt;0,Registered!AR2581&amp;" Color Bags", "")</f>
        <v>10 Color Bags</v>
      </c>
      <c r="D1125" s="4" t="str">
        <f>IF(Registered!AS2581&gt;0,(IF(Registered!AS2581=1,Registered!AS2581&amp;" T-Shirt",Registered!AS2581&amp;" T-Shirts")), "")</f>
        <v/>
      </c>
      <c r="E1125" s="4" t="str">
        <f>Registered!AT2581</f>
        <v/>
      </c>
      <c r="F1125" s="4" t="str">
        <f>Registered!AU2581</f>
        <v/>
      </c>
      <c r="G1125" s="4" t="str">
        <f>Registered!AW2581</f>
        <v/>
      </c>
      <c r="H1125" s="4" t="str">
        <f>Registered!AX2581</f>
        <v/>
      </c>
      <c r="I1125" s="4" t="str">
        <f>Registered!AY2581</f>
        <v/>
      </c>
    </row>
    <row r="1126" spans="1:9" x14ac:dyDescent="0.25">
      <c r="A1126" s="4" t="str">
        <f>Registered!B2582</f>
        <v>Wentworth</v>
      </c>
      <c r="B1126" s="4" t="str">
        <f>Registered!A2582</f>
        <v>Sharr</v>
      </c>
      <c r="C1126" s="4" t="str">
        <f>IF(Registered!AR2582&gt;0,Registered!AR2582&amp;" Color Bags", "")</f>
        <v>10 Color Bags</v>
      </c>
      <c r="D1126" s="4" t="str">
        <f>IF(Registered!AS2582&gt;0,(IF(Registered!AS2582=1,Registered!AS2582&amp;" T-Shirt",Registered!AS2582&amp;" T-Shirts")), "")</f>
        <v/>
      </c>
      <c r="E1126" s="4" t="str">
        <f>Registered!AT2582</f>
        <v/>
      </c>
      <c r="F1126" s="4" t="str">
        <f>Registered!AU2582</f>
        <v/>
      </c>
      <c r="G1126" s="4" t="str">
        <f>Registered!AW2582</f>
        <v/>
      </c>
      <c r="H1126" s="4" t="str">
        <f>Registered!AX2582</f>
        <v/>
      </c>
      <c r="I1126" s="4" t="str">
        <f>Registered!AY2582</f>
        <v/>
      </c>
    </row>
    <row r="1127" spans="1:9" x14ac:dyDescent="0.25">
      <c r="A1127" s="4" t="str">
        <f>Registered!B2583</f>
        <v>Wentz</v>
      </c>
      <c r="B1127" s="4" t="str">
        <f>Registered!A2583</f>
        <v>Katie</v>
      </c>
      <c r="C1127" s="4" t="str">
        <f>IF(Registered!AR2583&gt;0,Registered!AR2583&amp;" Color Bags", "")</f>
        <v>5 Color Bags</v>
      </c>
      <c r="D1127" s="4" t="str">
        <f>IF(Registered!AS2583&gt;0,(IF(Registered!AS2583=1,Registered!AS2583&amp;" T-Shirt",Registered!AS2583&amp;" T-Shirts")), "")</f>
        <v/>
      </c>
      <c r="E1127" s="4" t="str">
        <f>Registered!AT2583</f>
        <v/>
      </c>
      <c r="F1127" s="4" t="str">
        <f>Registered!AU2583</f>
        <v/>
      </c>
      <c r="G1127" s="4" t="str">
        <f>Registered!AW2583</f>
        <v>1 Meal</v>
      </c>
      <c r="H1127" s="4" t="str">
        <f>Registered!AX2583</f>
        <v/>
      </c>
      <c r="I1127" s="4" t="str">
        <f>Registered!AY2583</f>
        <v/>
      </c>
    </row>
    <row r="1128" spans="1:9" x14ac:dyDescent="0.25">
      <c r="A1128" s="4" t="str">
        <f>Registered!B2586</f>
        <v>West</v>
      </c>
      <c r="B1128" s="4" t="str">
        <f>Registered!A2586</f>
        <v>Laurel</v>
      </c>
      <c r="C1128" s="4" t="str">
        <f>IF(Registered!AR2586&gt;0,Registered!AR2586&amp;" Color Bags", "")</f>
        <v>10 Color Bags</v>
      </c>
      <c r="D1128" s="4" t="str">
        <f>IF(Registered!AS2586&gt;0,(IF(Registered!AS2586=1,Registered!AS2586&amp;" T-Shirt",Registered!AS2586&amp;" T-Shirts")), "")</f>
        <v/>
      </c>
      <c r="E1128" s="4" t="str">
        <f>Registered!AT2586</f>
        <v/>
      </c>
      <c r="F1128" s="4" t="str">
        <f>Registered!AU2586</f>
        <v/>
      </c>
      <c r="G1128" s="4" t="str">
        <f>Registered!AW2586</f>
        <v/>
      </c>
      <c r="H1128" s="4" t="str">
        <f>Registered!AX2586</f>
        <v/>
      </c>
      <c r="I1128" s="4" t="str">
        <f>Registered!AY2586</f>
        <v>1 DustMask</v>
      </c>
    </row>
    <row r="1129" spans="1:9" x14ac:dyDescent="0.25">
      <c r="A1129" s="4" t="str">
        <f>Registered!B2587</f>
        <v>West</v>
      </c>
      <c r="B1129" s="4" t="str">
        <f>Registered!A2587</f>
        <v>Ryan</v>
      </c>
      <c r="C1129" s="4" t="str">
        <f>IF(Registered!AR2587&gt;0,Registered!AR2587&amp;" Color Bags", "")</f>
        <v>15 Color Bags</v>
      </c>
      <c r="D1129" s="4" t="str">
        <f>IF(Registered!AS2587&gt;0,(IF(Registered!AS2587=1,Registered!AS2587&amp;" T-Shirt",Registered!AS2587&amp;" T-Shirts")), "")</f>
        <v/>
      </c>
      <c r="E1129" s="4" t="str">
        <f>Registered!AT2587</f>
        <v/>
      </c>
      <c r="F1129" s="4" t="str">
        <f>Registered!AU2587</f>
        <v/>
      </c>
      <c r="G1129" s="4" t="str">
        <f>Registered!AW2587</f>
        <v/>
      </c>
      <c r="H1129" s="4" t="str">
        <f>Registered!AX2587</f>
        <v/>
      </c>
      <c r="I1129" s="4" t="str">
        <f>Registered!AY2587</f>
        <v/>
      </c>
    </row>
    <row r="1130" spans="1:9" x14ac:dyDescent="0.25">
      <c r="A1130" s="4" t="str">
        <f>Registered!B2584</f>
        <v>West</v>
      </c>
      <c r="B1130" s="4" t="str">
        <f>Registered!A2584</f>
        <v>Jasmine</v>
      </c>
      <c r="C1130" s="4" t="str">
        <f>IF(Registered!AR2584&gt;0,Registered!AR2584&amp;" Color Bags", "")</f>
        <v>5 Color Bags</v>
      </c>
      <c r="D1130" s="4" t="str">
        <f>IF(Registered!AS2584&gt;0,(IF(Registered!AS2584=1,Registered!AS2584&amp;" T-Shirt",Registered!AS2584&amp;" T-Shirts")), "")</f>
        <v/>
      </c>
      <c r="E1130" s="4" t="str">
        <f>Registered!AT2584</f>
        <v/>
      </c>
      <c r="F1130" s="4" t="str">
        <f>Registered!AU2584</f>
        <v/>
      </c>
      <c r="G1130" s="4" t="str">
        <f>Registered!AW2584</f>
        <v/>
      </c>
      <c r="H1130" s="4" t="str">
        <f>Registered!AX2584</f>
        <v/>
      </c>
      <c r="I1130" s="4" t="str">
        <f>Registered!AY2584</f>
        <v/>
      </c>
    </row>
    <row r="1131" spans="1:9" x14ac:dyDescent="0.25">
      <c r="A1131" s="4" t="str">
        <f>Registered!B2585</f>
        <v>West</v>
      </c>
      <c r="B1131" s="4" t="str">
        <f>Registered!A2585</f>
        <v>Kristyn</v>
      </c>
      <c r="C1131" s="4" t="str">
        <f>IF(Registered!AR2585&gt;0,Registered!AR2585&amp;" Color Bags", "")</f>
        <v>5 Color Bags</v>
      </c>
      <c r="D1131" s="4" t="str">
        <f>IF(Registered!AS2585&gt;0,(IF(Registered!AS2585=1,Registered!AS2585&amp;" T-Shirt",Registered!AS2585&amp;" T-Shirts")), "")</f>
        <v/>
      </c>
      <c r="E1131" s="4" t="str">
        <f>Registered!AT2585</f>
        <v/>
      </c>
      <c r="F1131" s="4" t="str">
        <f>Registered!AU2585</f>
        <v/>
      </c>
      <c r="G1131" s="4" t="str">
        <f>Registered!AW2585</f>
        <v/>
      </c>
      <c r="H1131" s="4" t="str">
        <f>Registered!AX2585</f>
        <v/>
      </c>
      <c r="I1131" s="4" t="str">
        <f>Registered!AY2585</f>
        <v/>
      </c>
    </row>
    <row r="1132" spans="1:9" x14ac:dyDescent="0.25">
      <c r="A1132" s="4" t="str">
        <f>Registered!B2588</f>
        <v>Wester</v>
      </c>
      <c r="B1132" s="4" t="str">
        <f>Registered!A2588</f>
        <v>Aaron</v>
      </c>
      <c r="C1132" s="4" t="str">
        <f>IF(Registered!AR2588&gt;0,Registered!AR2588&amp;" Color Bags", "")</f>
        <v>10 Color Bags</v>
      </c>
      <c r="D1132" s="4" t="str">
        <f>IF(Registered!AS2588&gt;0,(IF(Registered!AS2588=1,Registered!AS2588&amp;" T-Shirt",Registered!AS2588&amp;" T-Shirts")), "")</f>
        <v/>
      </c>
      <c r="E1132" s="4" t="str">
        <f>Registered!AT2588</f>
        <v/>
      </c>
      <c r="F1132" s="4" t="str">
        <f>Registered!AU2588</f>
        <v/>
      </c>
      <c r="G1132" s="4" t="str">
        <f>Registered!AW2588</f>
        <v>4 Meals</v>
      </c>
      <c r="H1132" s="4" t="str">
        <f>Registered!AX2588</f>
        <v/>
      </c>
      <c r="I1132" s="4" t="str">
        <f>Registered!AY2588</f>
        <v/>
      </c>
    </row>
    <row r="1133" spans="1:9" x14ac:dyDescent="0.25">
      <c r="A1133" s="4" t="str">
        <f>Registered!B2592</f>
        <v>Westfall</v>
      </c>
      <c r="B1133" s="4" t="str">
        <f>Registered!A2592</f>
        <v>Anne</v>
      </c>
      <c r="C1133" s="4" t="str">
        <f>IF(Registered!AR2592&gt;0,Registered!AR2592&amp;" Color Bags", "")</f>
        <v>10 Color Bags</v>
      </c>
      <c r="D1133" s="4" t="str">
        <f>IF(Registered!AS2592&gt;0,(IF(Registered!AS2592=1,Registered!AS2592&amp;" T-Shirt",Registered!AS2592&amp;" T-Shirts")), "")</f>
        <v/>
      </c>
      <c r="E1133" s="4" t="str">
        <f>Registered!AT2592</f>
        <v/>
      </c>
      <c r="F1133" s="4" t="str">
        <f>Registered!AU2592</f>
        <v>1 Bandana</v>
      </c>
      <c r="G1133" s="4" t="str">
        <f>Registered!AW2592</f>
        <v/>
      </c>
      <c r="H1133" s="4" t="str">
        <f>Registered!AX2592</f>
        <v/>
      </c>
      <c r="I1133" s="4" t="str">
        <f>Registered!AY2592</f>
        <v/>
      </c>
    </row>
    <row r="1134" spans="1:9" x14ac:dyDescent="0.25">
      <c r="A1134" s="4" t="str">
        <f>Registered!B2593</f>
        <v>Westfall</v>
      </c>
      <c r="B1134" s="4" t="str">
        <f>Registered!A2593</f>
        <v>Kate</v>
      </c>
      <c r="C1134" s="4" t="str">
        <f>IF(Registered!AR2593&gt;0,Registered!AR2593&amp;" Color Bags", "")</f>
        <v>10 Color Bags</v>
      </c>
      <c r="D1134" s="4" t="str">
        <f>IF(Registered!AS2593&gt;0,(IF(Registered!AS2593=1,Registered!AS2593&amp;" T-Shirt",Registered!AS2593&amp;" T-Shirts")), "")</f>
        <v/>
      </c>
      <c r="E1134" s="4" t="str">
        <f>Registered!AT2593</f>
        <v/>
      </c>
      <c r="F1134" s="4" t="str">
        <f>Registered!AU2593</f>
        <v/>
      </c>
      <c r="G1134" s="4" t="str">
        <f>Registered!AW2593</f>
        <v>1 Meal</v>
      </c>
      <c r="H1134" s="4" t="str">
        <f>Registered!AX2593</f>
        <v/>
      </c>
      <c r="I1134" s="4" t="str">
        <f>Registered!AY2593</f>
        <v/>
      </c>
    </row>
    <row r="1135" spans="1:9" x14ac:dyDescent="0.25">
      <c r="A1135" s="4" t="str">
        <f>Registered!B2595</f>
        <v>Weston</v>
      </c>
      <c r="B1135" s="4" t="str">
        <f>Registered!A2595</f>
        <v>Cynthia</v>
      </c>
      <c r="C1135" s="4" t="str">
        <f>IF(Registered!AR2595&gt;0,Registered!AR2595&amp;" Color Bags", "")</f>
        <v>25 Color Bags</v>
      </c>
      <c r="D1135" s="4" t="str">
        <f>IF(Registered!AS2595&gt;0,(IF(Registered!AS2595=1,Registered!AS2595&amp;" T-Shirt",Registered!AS2595&amp;" T-Shirts")), "")</f>
        <v/>
      </c>
      <c r="E1135" s="4" t="str">
        <f>Registered!AT2595</f>
        <v/>
      </c>
      <c r="F1135" s="4" t="str">
        <f>Registered!AU2595</f>
        <v/>
      </c>
      <c r="G1135" s="4" t="str">
        <f>Registered!AW2595</f>
        <v/>
      </c>
      <c r="H1135" s="4" t="str">
        <f>Registered!AX2595</f>
        <v/>
      </c>
      <c r="I1135" s="4" t="str">
        <f>Registered!AY2595</f>
        <v/>
      </c>
    </row>
    <row r="1136" spans="1:9" x14ac:dyDescent="0.25">
      <c r="A1136" s="4" t="str">
        <f>Registered!B2602</f>
        <v>White</v>
      </c>
      <c r="B1136" s="4" t="str">
        <f>Registered!A2602</f>
        <v>Lilly</v>
      </c>
      <c r="C1136" s="4" t="str">
        <f>IF(Registered!AR2602&gt;0,Registered!AR2602&amp;" Color Bags", "")</f>
        <v>5 Color Bags</v>
      </c>
      <c r="D1136" s="4" t="str">
        <f>IF(Registered!AS2602&gt;0,(IF(Registered!AS2602=1,Registered!AS2602&amp;" T-Shirt",Registered!AS2602&amp;" T-Shirts")), "")</f>
        <v>1 T-Shirt</v>
      </c>
      <c r="E1136" s="4" t="str">
        <f>Registered!AT2602</f>
        <v>XL</v>
      </c>
      <c r="F1136" s="4" t="str">
        <f>Registered!AU2602</f>
        <v/>
      </c>
      <c r="G1136" s="4" t="str">
        <f>Registered!AW2602</f>
        <v/>
      </c>
      <c r="H1136" s="4" t="str">
        <f>Registered!AX2602</f>
        <v/>
      </c>
      <c r="I1136" s="4" t="str">
        <f>Registered!AY2602</f>
        <v/>
      </c>
    </row>
    <row r="1137" spans="1:9" x14ac:dyDescent="0.25">
      <c r="A1137" s="4" t="str">
        <f>Registered!B2604</f>
        <v>White</v>
      </c>
      <c r="B1137" s="4" t="str">
        <f>Registered!A2604</f>
        <v>Tandy</v>
      </c>
      <c r="C1137" s="4" t="str">
        <f>IF(Registered!AR2604&gt;0,Registered!AR2604&amp;" Color Bags", "")</f>
        <v>60 Color Bags</v>
      </c>
      <c r="D1137" s="4" t="str">
        <f>IF(Registered!AS2604&gt;0,(IF(Registered!AS2604=1,Registered!AS2604&amp;" T-Shirt",Registered!AS2604&amp;" T-Shirts")), "")</f>
        <v/>
      </c>
      <c r="E1137" s="4" t="str">
        <f>Registered!AT2604</f>
        <v/>
      </c>
      <c r="F1137" s="4" t="str">
        <f>Registered!AU2604</f>
        <v/>
      </c>
      <c r="G1137" s="4" t="str">
        <f>Registered!AW2604</f>
        <v/>
      </c>
      <c r="H1137" s="4" t="str">
        <f>Registered!AX2604</f>
        <v/>
      </c>
      <c r="I1137" s="4" t="str">
        <f>Registered!AY2604</f>
        <v/>
      </c>
    </row>
    <row r="1138" spans="1:9" x14ac:dyDescent="0.25">
      <c r="A1138" s="4" t="str">
        <f>Registered!B2606</f>
        <v>Whiting</v>
      </c>
      <c r="B1138" s="4" t="str">
        <f>Registered!A2606</f>
        <v>Ashlynn</v>
      </c>
      <c r="C1138" s="4" t="str">
        <f>IF(Registered!AR2606&gt;0,Registered!AR2606&amp;" Color Bags", "")</f>
        <v>5 Color Bags</v>
      </c>
      <c r="D1138" s="4" t="str">
        <f>IF(Registered!AS2606&gt;0,(IF(Registered!AS2606=1,Registered!AS2606&amp;" T-Shirt",Registered!AS2606&amp;" T-Shirts")), "")</f>
        <v/>
      </c>
      <c r="E1138" s="4" t="str">
        <f>Registered!AT2606</f>
        <v/>
      </c>
      <c r="F1138" s="4" t="str">
        <f>Registered!AU2606</f>
        <v/>
      </c>
      <c r="G1138" s="4" t="str">
        <f>Registered!AW2606</f>
        <v>1 Meal</v>
      </c>
      <c r="H1138" s="4" t="str">
        <f>Registered!AX2606</f>
        <v/>
      </c>
      <c r="I1138" s="4" t="str">
        <f>Registered!AY2606</f>
        <v/>
      </c>
    </row>
    <row r="1139" spans="1:9" x14ac:dyDescent="0.25">
      <c r="A1139" s="4" t="str">
        <f>Registered!B2610</f>
        <v>Whitney</v>
      </c>
      <c r="B1139" s="4" t="str">
        <f>Registered!A2610</f>
        <v>Steven</v>
      </c>
      <c r="C1139" s="4" t="str">
        <f>IF(Registered!AR2610&gt;0,Registered!AR2610&amp;" Color Bags", "")</f>
        <v>10 Color Bags</v>
      </c>
      <c r="D1139" s="4" t="str">
        <f>IF(Registered!AS2610&gt;0,(IF(Registered!AS2610=1,Registered!AS2610&amp;" T-Shirt",Registered!AS2610&amp;" T-Shirts")), "")</f>
        <v/>
      </c>
      <c r="E1139" s="4" t="str">
        <f>Registered!AT2610</f>
        <v/>
      </c>
      <c r="F1139" s="4" t="str">
        <f>Registered!AU2610</f>
        <v/>
      </c>
      <c r="G1139" s="4" t="str">
        <f>Registered!AW2610</f>
        <v/>
      </c>
      <c r="H1139" s="4" t="str">
        <f>Registered!AX2610</f>
        <v/>
      </c>
      <c r="I1139" s="4" t="str">
        <f>Registered!AY2610</f>
        <v/>
      </c>
    </row>
    <row r="1140" spans="1:9" x14ac:dyDescent="0.25">
      <c r="A1140" s="4" t="str">
        <f>Registered!B2608</f>
        <v>Whitney</v>
      </c>
      <c r="B1140" s="4" t="str">
        <f>Registered!A2608</f>
        <v>Sam</v>
      </c>
      <c r="C1140" s="4" t="str">
        <f>IF(Registered!AR2608&gt;0,Registered!AR2608&amp;" Color Bags", "")</f>
        <v>5 Color Bags</v>
      </c>
      <c r="D1140" s="4" t="str">
        <f>IF(Registered!AS2608&gt;0,(IF(Registered!AS2608=1,Registered!AS2608&amp;" T-Shirt",Registered!AS2608&amp;" T-Shirts")), "")</f>
        <v/>
      </c>
      <c r="E1140" s="4" t="str">
        <f>Registered!AT2608</f>
        <v/>
      </c>
      <c r="F1140" s="4" t="str">
        <f>Registered!AU2608</f>
        <v/>
      </c>
      <c r="G1140" s="4" t="str">
        <f>Registered!AW2608</f>
        <v/>
      </c>
      <c r="H1140" s="4" t="str">
        <f>Registered!AX2608</f>
        <v/>
      </c>
      <c r="I1140" s="4" t="str">
        <f>Registered!AY2608</f>
        <v/>
      </c>
    </row>
    <row r="1141" spans="1:9" x14ac:dyDescent="0.25">
      <c r="A1141" s="4" t="str">
        <f>Registered!B2615</f>
        <v>Wilder</v>
      </c>
      <c r="B1141" s="4" t="str">
        <f>Registered!A2615</f>
        <v>Heidi</v>
      </c>
      <c r="C1141" s="4" t="str">
        <f>IF(Registered!AR2615&gt;0,Registered!AR2615&amp;" Color Bags", "")</f>
        <v>5 Color Bags</v>
      </c>
      <c r="D1141" s="4" t="str">
        <f>IF(Registered!AS2615&gt;0,(IF(Registered!AS2615=1,Registered!AS2615&amp;" T-Shirt",Registered!AS2615&amp;" T-Shirts")), "")</f>
        <v/>
      </c>
      <c r="E1141" s="4" t="str">
        <f>Registered!AT2615</f>
        <v/>
      </c>
      <c r="F1141" s="4" t="str">
        <f>Registered!AU2615</f>
        <v/>
      </c>
      <c r="G1141" s="4" t="str">
        <f>Registered!AW2615</f>
        <v/>
      </c>
      <c r="H1141" s="4" t="str">
        <f>Registered!AX2615</f>
        <v/>
      </c>
      <c r="I1141" s="4" t="str">
        <f>Registered!AY2615</f>
        <v/>
      </c>
    </row>
    <row r="1142" spans="1:9" x14ac:dyDescent="0.25">
      <c r="A1142" s="4" t="str">
        <f>Registered!B2617</f>
        <v>Wilding</v>
      </c>
      <c r="B1142" s="4" t="str">
        <f>Registered!A2617</f>
        <v>Zackery</v>
      </c>
      <c r="C1142" s="4" t="str">
        <f>IF(Registered!AR2617&gt;0,Registered!AR2617&amp;" Color Bags", "")</f>
        <v>10 Color Bags</v>
      </c>
      <c r="D1142" s="4" t="str">
        <f>IF(Registered!AS2617&gt;0,(IF(Registered!AS2617=1,Registered!AS2617&amp;" T-Shirt",Registered!AS2617&amp;" T-Shirts")), "")</f>
        <v/>
      </c>
      <c r="E1142" s="4" t="str">
        <f>Registered!AT2617</f>
        <v/>
      </c>
      <c r="F1142" s="4" t="str">
        <f>Registered!AU2617</f>
        <v/>
      </c>
      <c r="G1142" s="4" t="str">
        <f>Registered!AW2617</f>
        <v/>
      </c>
      <c r="H1142" s="4" t="str">
        <f>Registered!AX2617</f>
        <v/>
      </c>
      <c r="I1142" s="4" t="str">
        <f>Registered!AY2617</f>
        <v/>
      </c>
    </row>
    <row r="1143" spans="1:9" x14ac:dyDescent="0.25">
      <c r="A1143" s="4" t="str">
        <f>Registered!B2620</f>
        <v>Wilkes</v>
      </c>
      <c r="B1143" s="4" t="str">
        <f>Registered!A2620</f>
        <v>Aryanna</v>
      </c>
      <c r="C1143" s="4" t="str">
        <f>IF(Registered!AR2620&gt;0,Registered!AR2620&amp;" Color Bags", "")</f>
        <v>20 Color Bags</v>
      </c>
      <c r="D1143" s="4" t="str">
        <f>IF(Registered!AS2620&gt;0,(IF(Registered!AS2620=1,Registered!AS2620&amp;" T-Shirt",Registered!AS2620&amp;" T-Shirts")), "")</f>
        <v/>
      </c>
      <c r="E1143" s="4" t="str">
        <f>Registered!AT2620</f>
        <v/>
      </c>
      <c r="F1143" s="4" t="str">
        <f>Registered!AU2620</f>
        <v/>
      </c>
      <c r="G1143" s="4" t="str">
        <f>Registered!AW2620</f>
        <v/>
      </c>
      <c r="H1143" s="4" t="str">
        <f>Registered!AX2620</f>
        <v/>
      </c>
      <c r="I1143" s="4" t="str">
        <f>Registered!AY2620</f>
        <v/>
      </c>
    </row>
    <row r="1144" spans="1:9" x14ac:dyDescent="0.25">
      <c r="A1144" s="4" t="str">
        <f>Registered!B2624</f>
        <v>Wilkinson</v>
      </c>
      <c r="B1144" s="4" t="str">
        <f>Registered!A2624</f>
        <v>Justin</v>
      </c>
      <c r="C1144" s="4" t="str">
        <f>IF(Registered!AR2624&gt;0,Registered!AR2624&amp;" Color Bags", "")</f>
        <v>10 Color Bags</v>
      </c>
      <c r="D1144" s="4" t="str">
        <f>IF(Registered!AS2624&gt;0,(IF(Registered!AS2624=1,Registered!AS2624&amp;" T-Shirt",Registered!AS2624&amp;" T-Shirts")), "")</f>
        <v/>
      </c>
      <c r="E1144" s="4" t="str">
        <f>Registered!AT2624</f>
        <v/>
      </c>
      <c r="F1144" s="4" t="str">
        <f>Registered!AU2624</f>
        <v/>
      </c>
      <c r="G1144" s="4" t="str">
        <f>Registered!AW2624</f>
        <v/>
      </c>
      <c r="H1144" s="4" t="str">
        <f>Registered!AX2624</f>
        <v/>
      </c>
      <c r="I1144" s="4" t="str">
        <f>Registered!AY2624</f>
        <v/>
      </c>
    </row>
    <row r="1145" spans="1:9" x14ac:dyDescent="0.25">
      <c r="A1145" s="4" t="str">
        <f>Registered!B2625</f>
        <v>Wilkinson</v>
      </c>
      <c r="B1145" s="4" t="str">
        <f>Registered!A2625</f>
        <v>Shae-Lyn</v>
      </c>
      <c r="C1145" s="4" t="str">
        <f>IF(Registered!AR2625&gt;0,Registered!AR2625&amp;" Color Bags", "")</f>
        <v>5 Color Bags</v>
      </c>
      <c r="D1145" s="4" t="str">
        <f>IF(Registered!AS2625&gt;0,(IF(Registered!AS2625=1,Registered!AS2625&amp;" T-Shirt",Registered!AS2625&amp;" T-Shirts")), "")</f>
        <v/>
      </c>
      <c r="E1145" s="4" t="str">
        <f>Registered!AT2625</f>
        <v/>
      </c>
      <c r="F1145" s="4" t="str">
        <f>Registered!AU2625</f>
        <v/>
      </c>
      <c r="G1145" s="4" t="str">
        <f>Registered!AW2625</f>
        <v/>
      </c>
      <c r="H1145" s="4" t="str">
        <f>Registered!AX2625</f>
        <v/>
      </c>
      <c r="I1145" s="4" t="str">
        <f>Registered!AY2625</f>
        <v/>
      </c>
    </row>
    <row r="1146" spans="1:9" x14ac:dyDescent="0.25">
      <c r="A1146" s="4" t="str">
        <f>Registered!B2626</f>
        <v>Willard</v>
      </c>
      <c r="B1146" s="4" t="str">
        <f>Registered!A2626</f>
        <v>Erika</v>
      </c>
      <c r="C1146" s="4" t="str">
        <f>IF(Registered!AR2626&gt;0,Registered!AR2626&amp;" Color Bags", "")</f>
        <v>5 Color Bags</v>
      </c>
      <c r="D1146" s="4" t="str">
        <f>IF(Registered!AS2626&gt;0,(IF(Registered!AS2626=1,Registered!AS2626&amp;" T-Shirt",Registered!AS2626&amp;" T-Shirts")), "")</f>
        <v/>
      </c>
      <c r="E1146" s="4" t="str">
        <f>Registered!AT2626</f>
        <v/>
      </c>
      <c r="F1146" s="4" t="str">
        <f>Registered!AU2626</f>
        <v/>
      </c>
      <c r="G1146" s="4" t="str">
        <f>Registered!AW2626</f>
        <v/>
      </c>
      <c r="H1146" s="4" t="str">
        <f>Registered!AX2626</f>
        <v/>
      </c>
      <c r="I1146" s="4" t="str">
        <f>Registered!AY2626</f>
        <v/>
      </c>
    </row>
    <row r="1147" spans="1:9" x14ac:dyDescent="0.25">
      <c r="A1147" s="4" t="str">
        <f>Registered!B2634</f>
        <v>Williams</v>
      </c>
      <c r="B1147" s="4" t="str">
        <f>Registered!A2634</f>
        <v>Lauren</v>
      </c>
      <c r="C1147" s="4" t="str">
        <f>IF(Registered!AR2634&gt;0,Registered!AR2634&amp;" Color Bags", "")</f>
        <v/>
      </c>
      <c r="D1147" s="4" t="str">
        <f>IF(Registered!AS2634&gt;0,(IF(Registered!AS2634=1,Registered!AS2634&amp;" T-Shirt",Registered!AS2634&amp;" T-Shirts")), "")</f>
        <v>1 T-Shirt</v>
      </c>
      <c r="E1147" s="4" t="str">
        <f>Registered!AT2634</f>
        <v>Adult Small</v>
      </c>
      <c r="F1147" s="4" t="str">
        <f>Registered!AU2634</f>
        <v/>
      </c>
      <c r="G1147" s="4" t="str">
        <f>Registered!AW2634</f>
        <v/>
      </c>
      <c r="H1147" s="4" t="str">
        <f>Registered!AX2634</f>
        <v/>
      </c>
      <c r="I1147" s="4" t="str">
        <f>Registered!AY2634</f>
        <v/>
      </c>
    </row>
    <row r="1148" spans="1:9" x14ac:dyDescent="0.25">
      <c r="A1148" s="4" t="str">
        <f>Registered!B2633</f>
        <v>Williams</v>
      </c>
      <c r="B1148" s="4" t="str">
        <f>Registered!A2633</f>
        <v>Lauren</v>
      </c>
      <c r="C1148" s="4" t="str">
        <f>IF(Registered!AR2633&gt;0,Registered!AR2633&amp;" Color Bags", "")</f>
        <v>10 Color Bags</v>
      </c>
      <c r="D1148" s="4" t="str">
        <f>IF(Registered!AS2633&gt;0,(IF(Registered!AS2633=1,Registered!AS2633&amp;" T-Shirt",Registered!AS2633&amp;" T-Shirts")), "")</f>
        <v>2 T-Shirts</v>
      </c>
      <c r="E1148" s="4" t="str">
        <f>Registered!AT2633</f>
        <v>Small and,medium</v>
      </c>
      <c r="F1148" s="4" t="str">
        <f>Registered!AU2633</f>
        <v/>
      </c>
      <c r="G1148" s="4" t="str">
        <f>Registered!AW2633</f>
        <v>2 Meals</v>
      </c>
      <c r="H1148" s="4" t="str">
        <f>Registered!AX2633</f>
        <v/>
      </c>
      <c r="I1148" s="4" t="str">
        <f>Registered!AY2633</f>
        <v/>
      </c>
    </row>
    <row r="1149" spans="1:9" x14ac:dyDescent="0.25">
      <c r="A1149" s="4" t="str">
        <f>Registered!B2635</f>
        <v>Williams</v>
      </c>
      <c r="B1149" s="4" t="str">
        <f>Registered!A2635</f>
        <v>Shelbie</v>
      </c>
      <c r="C1149" s="4" t="str">
        <f>IF(Registered!AR2635&gt;0,Registered!AR2635&amp;" Color Bags", "")</f>
        <v>10 Color Bags</v>
      </c>
      <c r="D1149" s="4" t="str">
        <f>IF(Registered!AS2635&gt;0,(IF(Registered!AS2635=1,Registered!AS2635&amp;" T-Shirt",Registered!AS2635&amp;" T-Shirts")), "")</f>
        <v>2 T-Shirts</v>
      </c>
      <c r="E1149" s="4" t="str">
        <f>Registered!AT2635</f>
        <v>1 large and 1 small</v>
      </c>
      <c r="F1149" s="4" t="str">
        <f>Registered!AU2635</f>
        <v/>
      </c>
      <c r="G1149" s="4" t="str">
        <f>Registered!AW2635</f>
        <v/>
      </c>
      <c r="H1149" s="4" t="str">
        <f>Registered!AX2635</f>
        <v/>
      </c>
      <c r="I1149" s="4" t="str">
        <f>Registered!AY2635</f>
        <v/>
      </c>
    </row>
    <row r="1150" spans="1:9" x14ac:dyDescent="0.25">
      <c r="A1150" s="4" t="str">
        <f>Registered!B2627</f>
        <v>Williams</v>
      </c>
      <c r="B1150" s="4" t="str">
        <f>Registered!A2627</f>
        <v>Andrew</v>
      </c>
      <c r="C1150" s="4" t="str">
        <f>IF(Registered!AR2627&gt;0,Registered!AR2627&amp;" Color Bags", "")</f>
        <v>20 Color Bags</v>
      </c>
      <c r="D1150" s="4" t="str">
        <f>IF(Registered!AS2627&gt;0,(IF(Registered!AS2627=1,Registered!AS2627&amp;" T-Shirt",Registered!AS2627&amp;" T-Shirts")), "")</f>
        <v/>
      </c>
      <c r="E1150" s="4" t="str">
        <f>Registered!AT2627</f>
        <v/>
      </c>
      <c r="F1150" s="4" t="str">
        <f>Registered!AU2627</f>
        <v/>
      </c>
      <c r="G1150" s="4" t="str">
        <f>Registered!AW2627</f>
        <v/>
      </c>
      <c r="H1150" s="4" t="str">
        <f>Registered!AX2627</f>
        <v/>
      </c>
      <c r="I1150" s="4" t="str">
        <f>Registered!AY2627</f>
        <v/>
      </c>
    </row>
    <row r="1151" spans="1:9" x14ac:dyDescent="0.25">
      <c r="A1151" s="4" t="str">
        <f>Registered!B2636</f>
        <v>Williams</v>
      </c>
      <c r="B1151" s="4" t="str">
        <f>Registered!A2636</f>
        <v>Zeth</v>
      </c>
      <c r="C1151" s="4" t="str">
        <f>IF(Registered!AR2636&gt;0,Registered!AR2636&amp;" Color Bags", "")</f>
        <v>20 Color Bags</v>
      </c>
      <c r="D1151" s="4" t="str">
        <f>IF(Registered!AS2636&gt;0,(IF(Registered!AS2636=1,Registered!AS2636&amp;" T-Shirt",Registered!AS2636&amp;" T-Shirts")), "")</f>
        <v/>
      </c>
      <c r="E1151" s="4" t="str">
        <f>Registered!AT2636</f>
        <v/>
      </c>
      <c r="F1151" s="4" t="str">
        <f>Registered!AU2636</f>
        <v/>
      </c>
      <c r="G1151" s="4" t="str">
        <f>Registered!AW2636</f>
        <v/>
      </c>
      <c r="H1151" s="4" t="str">
        <f>Registered!AX2636</f>
        <v/>
      </c>
      <c r="I1151" s="4" t="str">
        <f>Registered!AY2636</f>
        <v/>
      </c>
    </row>
    <row r="1152" spans="1:9" x14ac:dyDescent="0.25">
      <c r="A1152" s="4" t="str">
        <f>Registered!B2628</f>
        <v>Williams</v>
      </c>
      <c r="B1152" s="4" t="str">
        <f>Registered!A2628</f>
        <v>Brice</v>
      </c>
      <c r="C1152" s="4" t="str">
        <f>IF(Registered!AR2628&gt;0,Registered!AR2628&amp;" Color Bags", "")</f>
        <v>5 Color Bags</v>
      </c>
      <c r="D1152" s="4" t="str">
        <f>IF(Registered!AS2628&gt;0,(IF(Registered!AS2628=1,Registered!AS2628&amp;" T-Shirt",Registered!AS2628&amp;" T-Shirts")), "")</f>
        <v/>
      </c>
      <c r="E1152" s="4" t="str">
        <f>Registered!AT2628</f>
        <v/>
      </c>
      <c r="F1152" s="4" t="str">
        <f>Registered!AU2628</f>
        <v/>
      </c>
      <c r="G1152" s="4" t="str">
        <f>Registered!AW2628</f>
        <v/>
      </c>
      <c r="H1152" s="4" t="str">
        <f>Registered!AX2628</f>
        <v/>
      </c>
      <c r="I1152" s="4" t="str">
        <f>Registered!AY2628</f>
        <v/>
      </c>
    </row>
    <row r="1153" spans="1:9" x14ac:dyDescent="0.25">
      <c r="A1153" s="4" t="str">
        <f>Registered!B2629</f>
        <v>Williams</v>
      </c>
      <c r="B1153" s="4" t="str">
        <f>Registered!A2629</f>
        <v>Candace</v>
      </c>
      <c r="C1153" s="4" t="str">
        <f>IF(Registered!AR2629&gt;0,Registered!AR2629&amp;" Color Bags", "")</f>
        <v>5 Color Bags</v>
      </c>
      <c r="D1153" s="4" t="str">
        <f>IF(Registered!AS2629&gt;0,(IF(Registered!AS2629=1,Registered!AS2629&amp;" T-Shirt",Registered!AS2629&amp;" T-Shirts")), "")</f>
        <v/>
      </c>
      <c r="E1153" s="4" t="str">
        <f>Registered!AT2629</f>
        <v/>
      </c>
      <c r="F1153" s="4" t="str">
        <f>Registered!AU2629</f>
        <v/>
      </c>
      <c r="G1153" s="4" t="str">
        <f>Registered!AW2629</f>
        <v/>
      </c>
      <c r="H1153" s="4" t="str">
        <f>Registered!AX2629</f>
        <v/>
      </c>
      <c r="I1153" s="4" t="str">
        <f>Registered!AY2629</f>
        <v/>
      </c>
    </row>
    <row r="1154" spans="1:9" x14ac:dyDescent="0.25">
      <c r="A1154" s="4" t="str">
        <f>Registered!B2631</f>
        <v>Williams</v>
      </c>
      <c r="B1154" s="4" t="str">
        <f>Registered!A2631</f>
        <v>Karen</v>
      </c>
      <c r="C1154" s="4" t="str">
        <f>IF(Registered!AR2631&gt;0,Registered!AR2631&amp;" Color Bags", "")</f>
        <v>5 Color Bags</v>
      </c>
      <c r="D1154" s="4" t="str">
        <f>IF(Registered!AS2631&gt;0,(IF(Registered!AS2631=1,Registered!AS2631&amp;" T-Shirt",Registered!AS2631&amp;" T-Shirts")), "")</f>
        <v>1 T-Shirt</v>
      </c>
      <c r="E1154" s="4" t="str">
        <f>Registered!AT2631</f>
        <v>Large</v>
      </c>
      <c r="F1154" s="4" t="str">
        <f>Registered!AU2631</f>
        <v>2 Bandanas</v>
      </c>
      <c r="G1154" s="4" t="str">
        <f>Registered!AW2631</f>
        <v>1 Meal</v>
      </c>
      <c r="H1154" s="4" t="str">
        <f>Registered!AX2631</f>
        <v/>
      </c>
      <c r="I1154" s="4" t="str">
        <f>Registered!AY2631</f>
        <v/>
      </c>
    </row>
    <row r="1155" spans="1:9" x14ac:dyDescent="0.25">
      <c r="A1155" s="4" t="str">
        <f>Registered!B2638</f>
        <v>Willie</v>
      </c>
      <c r="B1155" s="4" t="str">
        <f>Registered!A2638</f>
        <v>Nathan</v>
      </c>
      <c r="C1155" s="4" t="str">
        <f>IF(Registered!AR2638&gt;0,Registered!AR2638&amp;" Color Bags", "")</f>
        <v>5 Color Bags</v>
      </c>
      <c r="D1155" s="4" t="str">
        <f>IF(Registered!AS2638&gt;0,(IF(Registered!AS2638=1,Registered!AS2638&amp;" T-Shirt",Registered!AS2638&amp;" T-Shirts")), "")</f>
        <v>1 T-Shirt</v>
      </c>
      <c r="E1155" s="4" t="str">
        <f>Registered!AT2638</f>
        <v>Size Not Specified</v>
      </c>
      <c r="F1155" s="4" t="str">
        <f>Registered!AU2638</f>
        <v/>
      </c>
      <c r="G1155" s="4" t="str">
        <f>Registered!AW2638</f>
        <v/>
      </c>
      <c r="H1155" s="4" t="str">
        <f>Registered!AX2638</f>
        <v/>
      </c>
      <c r="I1155" s="4" t="str">
        <f>Registered!AY2638</f>
        <v/>
      </c>
    </row>
    <row r="1156" spans="1:9" x14ac:dyDescent="0.25">
      <c r="A1156" s="4" t="str">
        <f>Registered!B2643</f>
        <v>Wilson</v>
      </c>
      <c r="B1156" s="4" t="str">
        <f>Registered!A2643</f>
        <v>Tracey</v>
      </c>
      <c r="C1156" s="4" t="str">
        <f>IF(Registered!AR2643&gt;0,Registered!AR2643&amp;" Color Bags", "")</f>
        <v>10 Color Bags</v>
      </c>
      <c r="D1156" s="4" t="str">
        <f>IF(Registered!AS2643&gt;0,(IF(Registered!AS2643=1,Registered!AS2643&amp;" T-Shirt",Registered!AS2643&amp;" T-Shirts")), "")</f>
        <v/>
      </c>
      <c r="E1156" s="4" t="str">
        <f>Registered!AT2643</f>
        <v/>
      </c>
      <c r="F1156" s="4" t="str">
        <f>Registered!AU2643</f>
        <v/>
      </c>
      <c r="G1156" s="4" t="str">
        <f>Registered!AW2643</f>
        <v/>
      </c>
      <c r="H1156" s="4" t="str">
        <f>Registered!AX2643</f>
        <v/>
      </c>
      <c r="I1156" s="4" t="str">
        <f>Registered!AY2643</f>
        <v/>
      </c>
    </row>
    <row r="1157" spans="1:9" x14ac:dyDescent="0.25">
      <c r="A1157" s="4" t="str">
        <f>Registered!B2644</f>
        <v>Wilson</v>
      </c>
      <c r="B1157" s="4" t="str">
        <f>Registered!A2644</f>
        <v>William</v>
      </c>
      <c r="C1157" s="4" t="str">
        <f>IF(Registered!AR2644&gt;0,Registered!AR2644&amp;" Color Bags", "")</f>
        <v>15 Color Bags</v>
      </c>
      <c r="D1157" s="4" t="str">
        <f>IF(Registered!AS2644&gt;0,(IF(Registered!AS2644=1,Registered!AS2644&amp;" T-Shirt",Registered!AS2644&amp;" T-Shirts")), "")</f>
        <v>3 T-Shirts</v>
      </c>
      <c r="E1157" s="4" t="str">
        <f>Registered!AT2644</f>
        <v>1 large 2 smalls</v>
      </c>
      <c r="F1157" s="4" t="str">
        <f>Registered!AU2644</f>
        <v>3 Bandanas</v>
      </c>
      <c r="G1157" s="4" t="str">
        <f>Registered!AW2644</f>
        <v>3 Meals</v>
      </c>
      <c r="H1157" s="4" t="str">
        <f>Registered!AX2644</f>
        <v/>
      </c>
      <c r="I1157" s="4" t="str">
        <f>Registered!AY2644</f>
        <v/>
      </c>
    </row>
    <row r="1158" spans="1:9" x14ac:dyDescent="0.25">
      <c r="A1158" s="4" t="str">
        <f>Registered!B2642</f>
        <v>Wilson</v>
      </c>
      <c r="B1158" s="4" t="str">
        <f>Registered!A2642</f>
        <v>Susanne</v>
      </c>
      <c r="C1158" s="4" t="str">
        <f>IF(Registered!AR2642&gt;0,Registered!AR2642&amp;" Color Bags", "")</f>
        <v>20 Color Bags</v>
      </c>
      <c r="D1158" s="4" t="str">
        <f>IF(Registered!AS2642&gt;0,(IF(Registered!AS2642=1,Registered!AS2642&amp;" T-Shirt",Registered!AS2642&amp;" T-Shirts")), "")</f>
        <v/>
      </c>
      <c r="E1158" s="4" t="str">
        <f>Registered!AT2642</f>
        <v/>
      </c>
      <c r="F1158" s="4" t="str">
        <f>Registered!AU2642</f>
        <v/>
      </c>
      <c r="G1158" s="4" t="str">
        <f>Registered!AW2642</f>
        <v/>
      </c>
      <c r="H1158" s="4" t="str">
        <f>Registered!AX2642</f>
        <v/>
      </c>
      <c r="I1158" s="4" t="str">
        <f>Registered!AY2642</f>
        <v/>
      </c>
    </row>
    <row r="1159" spans="1:9" x14ac:dyDescent="0.25">
      <c r="A1159" s="4" t="str">
        <f>Registered!B2641</f>
        <v>Wilson</v>
      </c>
      <c r="B1159" s="4" t="str">
        <f>Registered!A2641</f>
        <v>Michael</v>
      </c>
      <c r="C1159" s="4" t="str">
        <f>IF(Registered!AR2641&gt;0,Registered!AR2641&amp;" Color Bags", "")</f>
        <v>5 Color Bags</v>
      </c>
      <c r="D1159" s="4" t="str">
        <f>IF(Registered!AS2641&gt;0,(IF(Registered!AS2641=1,Registered!AS2641&amp;" T-Shirt",Registered!AS2641&amp;" T-Shirts")), "")</f>
        <v/>
      </c>
      <c r="E1159" s="4" t="str">
        <f>Registered!AT2641</f>
        <v/>
      </c>
      <c r="F1159" s="4" t="str">
        <f>Registered!AU2641</f>
        <v/>
      </c>
      <c r="G1159" s="4" t="str">
        <f>Registered!AW2641</f>
        <v/>
      </c>
      <c r="H1159" s="4" t="str">
        <f>Registered!AX2641</f>
        <v/>
      </c>
      <c r="I1159" s="4" t="str">
        <f>Registered!AY2641</f>
        <v/>
      </c>
    </row>
    <row r="1160" spans="1:9" x14ac:dyDescent="0.25">
      <c r="A1160" s="4" t="str">
        <f>Registered!B2646</f>
        <v>Winchester</v>
      </c>
      <c r="B1160" s="4" t="str">
        <f>Registered!A2646</f>
        <v>Timothy</v>
      </c>
      <c r="C1160" s="4" t="str">
        <f>IF(Registered!AR2646&gt;0,Registered!AR2646&amp;" Color Bags", "")</f>
        <v>10 Color Bags</v>
      </c>
      <c r="D1160" s="4" t="str">
        <f>IF(Registered!AS2646&gt;0,(IF(Registered!AS2646=1,Registered!AS2646&amp;" T-Shirt",Registered!AS2646&amp;" T-Shirts")), "")</f>
        <v/>
      </c>
      <c r="E1160" s="4" t="str">
        <f>Registered!AT2646</f>
        <v/>
      </c>
      <c r="F1160" s="4" t="str">
        <f>Registered!AU2646</f>
        <v/>
      </c>
      <c r="G1160" s="4" t="str">
        <f>Registered!AW2646</f>
        <v/>
      </c>
      <c r="H1160" s="4" t="str">
        <f>Registered!AX2646</f>
        <v/>
      </c>
      <c r="I1160" s="4" t="str">
        <f>Registered!AY2646</f>
        <v/>
      </c>
    </row>
    <row r="1161" spans="1:9" x14ac:dyDescent="0.25">
      <c r="A1161" s="4" t="str">
        <f>Registered!B2647</f>
        <v>Winfield</v>
      </c>
      <c r="B1161" s="4" t="str">
        <f>Registered!A2647</f>
        <v>Kelley</v>
      </c>
      <c r="C1161" s="4" t="str">
        <f>IF(Registered!AR2647&gt;0,Registered!AR2647&amp;" Color Bags", "")</f>
        <v>10 Color Bags</v>
      </c>
      <c r="D1161" s="4" t="str">
        <f>IF(Registered!AS2647&gt;0,(IF(Registered!AS2647=1,Registered!AS2647&amp;" T-Shirt",Registered!AS2647&amp;" T-Shirts")), "")</f>
        <v/>
      </c>
      <c r="E1161" s="4" t="str">
        <f>Registered!AT2647</f>
        <v/>
      </c>
      <c r="F1161" s="4" t="str">
        <f>Registered!AU2647</f>
        <v/>
      </c>
      <c r="G1161" s="4" t="str">
        <f>Registered!AW2647</f>
        <v/>
      </c>
      <c r="H1161" s="4" t="str">
        <f>Registered!AX2647</f>
        <v/>
      </c>
      <c r="I1161" s="4" t="str">
        <f>Registered!AY2647</f>
        <v/>
      </c>
    </row>
    <row r="1162" spans="1:9" x14ac:dyDescent="0.25">
      <c r="A1162" s="4" t="str">
        <f>Registered!B2648</f>
        <v>Winger</v>
      </c>
      <c r="B1162" s="4" t="str">
        <f>Registered!A2648</f>
        <v>Diane</v>
      </c>
      <c r="C1162" s="4" t="str">
        <f>IF(Registered!AR2648&gt;0,Registered!AR2648&amp;" Color Bags", "")</f>
        <v>5 Color Bags</v>
      </c>
      <c r="D1162" s="4" t="str">
        <f>IF(Registered!AS2648&gt;0,(IF(Registered!AS2648=1,Registered!AS2648&amp;" T-Shirt",Registered!AS2648&amp;" T-Shirts")), "")</f>
        <v>2 T-Shirts</v>
      </c>
      <c r="E1162" s="4" t="str">
        <f>Registered!AT2648</f>
        <v>2 - Large</v>
      </c>
      <c r="F1162" s="4" t="str">
        <f>Registered!AU2648</f>
        <v/>
      </c>
      <c r="G1162" s="4" t="str">
        <f>Registered!AW2648</f>
        <v/>
      </c>
      <c r="H1162" s="4" t="str">
        <f>Registered!AX2648</f>
        <v/>
      </c>
      <c r="I1162" s="4" t="str">
        <f>Registered!AY2648</f>
        <v/>
      </c>
    </row>
    <row r="1163" spans="1:9" x14ac:dyDescent="0.25">
      <c r="A1163" s="4" t="str">
        <f>Registered!B2651</f>
        <v>Winward</v>
      </c>
      <c r="B1163" s="4" t="str">
        <f>Registered!A2651</f>
        <v>Krista</v>
      </c>
      <c r="C1163" s="4" t="str">
        <f>IF(Registered!AR2651&gt;0,Registered!AR2651&amp;" Color Bags", "")</f>
        <v>5 Color Bags</v>
      </c>
      <c r="D1163" s="4" t="str">
        <f>IF(Registered!AS2651&gt;0,(IF(Registered!AS2651=1,Registered!AS2651&amp;" T-Shirt",Registered!AS2651&amp;" T-Shirts")), "")</f>
        <v/>
      </c>
      <c r="E1163" s="4" t="str">
        <f>Registered!AT2651</f>
        <v/>
      </c>
      <c r="F1163" s="4" t="str">
        <f>Registered!AU2651</f>
        <v/>
      </c>
      <c r="G1163" s="4" t="str">
        <f>Registered!AW2651</f>
        <v/>
      </c>
      <c r="H1163" s="4" t="str">
        <f>Registered!AX2651</f>
        <v/>
      </c>
      <c r="I1163" s="4" t="str">
        <f>Registered!AY2651</f>
        <v/>
      </c>
    </row>
    <row r="1164" spans="1:9" x14ac:dyDescent="0.25">
      <c r="A1164" s="4" t="str">
        <f>Registered!B2653</f>
        <v>Wiser</v>
      </c>
      <c r="B1164" s="4" t="str">
        <f>Registered!A2653</f>
        <v>Ashley</v>
      </c>
      <c r="C1164" s="4" t="str">
        <f>IF(Registered!AR2653&gt;0,Registered!AR2653&amp;" Color Bags", "")</f>
        <v>10 Color Bags</v>
      </c>
      <c r="D1164" s="4" t="str">
        <f>IF(Registered!AS2653&gt;0,(IF(Registered!AS2653=1,Registered!AS2653&amp;" T-Shirt",Registered!AS2653&amp;" T-Shirts")), "")</f>
        <v/>
      </c>
      <c r="E1164" s="4" t="str">
        <f>Registered!AT2653</f>
        <v/>
      </c>
      <c r="F1164" s="4" t="str">
        <f>Registered!AU2653</f>
        <v/>
      </c>
      <c r="G1164" s="4" t="str">
        <f>Registered!AW2653</f>
        <v/>
      </c>
      <c r="H1164" s="4" t="str">
        <f>Registered!AX2653</f>
        <v/>
      </c>
      <c r="I1164" s="4" t="str">
        <f>Registered!AY2653</f>
        <v/>
      </c>
    </row>
    <row r="1165" spans="1:9" x14ac:dyDescent="0.25">
      <c r="A1165" s="4" t="str">
        <f>Registered!B2654</f>
        <v>Withers</v>
      </c>
      <c r="B1165" s="4" t="str">
        <f>Registered!A2654</f>
        <v>Alexa</v>
      </c>
      <c r="C1165" s="4" t="str">
        <f>IF(Registered!AR2654&gt;0,Registered!AR2654&amp;" Color Bags", "")</f>
        <v>5 Color Bags</v>
      </c>
      <c r="D1165" s="4" t="str">
        <f>IF(Registered!AS2654&gt;0,(IF(Registered!AS2654=1,Registered!AS2654&amp;" T-Shirt",Registered!AS2654&amp;" T-Shirts")), "")</f>
        <v/>
      </c>
      <c r="E1165" s="4" t="str">
        <f>Registered!AT2654</f>
        <v/>
      </c>
      <c r="F1165" s="4" t="str">
        <f>Registered!AU2654</f>
        <v/>
      </c>
      <c r="G1165" s="4" t="str">
        <f>Registered!AW2654</f>
        <v/>
      </c>
      <c r="H1165" s="4" t="str">
        <f>Registered!AX2654</f>
        <v/>
      </c>
      <c r="I1165" s="4" t="str">
        <f>Registered!AY2654</f>
        <v/>
      </c>
    </row>
    <row r="1166" spans="1:9" x14ac:dyDescent="0.25">
      <c r="A1166" s="4" t="str">
        <f>Registered!B2656</f>
        <v>Wojcik</v>
      </c>
      <c r="B1166" s="4" t="str">
        <f>Registered!A2656</f>
        <v>Shombree</v>
      </c>
      <c r="C1166" s="4" t="str">
        <f>IF(Registered!AR2656&gt;0,Registered!AR2656&amp;" Color Bags", "")</f>
        <v>5 Color Bags</v>
      </c>
      <c r="D1166" s="4" t="str">
        <f>IF(Registered!AS2656&gt;0,(IF(Registered!AS2656=1,Registered!AS2656&amp;" T-Shirt",Registered!AS2656&amp;" T-Shirts")), "")</f>
        <v/>
      </c>
      <c r="E1166" s="4" t="str">
        <f>Registered!AT2656</f>
        <v/>
      </c>
      <c r="F1166" s="4" t="str">
        <f>Registered!AU2656</f>
        <v/>
      </c>
      <c r="G1166" s="4" t="str">
        <f>Registered!AW2656</f>
        <v/>
      </c>
      <c r="H1166" s="4" t="str">
        <f>Registered!AX2656</f>
        <v/>
      </c>
      <c r="I1166" s="4" t="str">
        <f>Registered!AY2656</f>
        <v/>
      </c>
    </row>
    <row r="1167" spans="1:9" x14ac:dyDescent="0.25">
      <c r="A1167" s="4" t="str">
        <f>Registered!B2658</f>
        <v>Wolfgramm</v>
      </c>
      <c r="B1167" s="4" t="str">
        <f>Registered!A2658</f>
        <v>Georgina</v>
      </c>
      <c r="C1167" s="4" t="str">
        <f>IF(Registered!AR2658&gt;0,Registered!AR2658&amp;" Color Bags", "")</f>
        <v>10 Color Bags</v>
      </c>
      <c r="D1167" s="4" t="str">
        <f>IF(Registered!AS2658&gt;0,(IF(Registered!AS2658=1,Registered!AS2658&amp;" T-Shirt",Registered!AS2658&amp;" T-Shirts")), "")</f>
        <v/>
      </c>
      <c r="E1167" s="4" t="str">
        <f>Registered!AT2658</f>
        <v/>
      </c>
      <c r="F1167" s="4" t="str">
        <f>Registered!AU2658</f>
        <v/>
      </c>
      <c r="G1167" s="4" t="str">
        <f>Registered!AW2658</f>
        <v/>
      </c>
      <c r="H1167" s="4" t="str">
        <f>Registered!AX2658</f>
        <v/>
      </c>
      <c r="I1167" s="4" t="str">
        <f>Registered!AY2658</f>
        <v/>
      </c>
    </row>
    <row r="1168" spans="1:9" x14ac:dyDescent="0.25">
      <c r="A1168" s="4" t="str">
        <f>Registered!B2665</f>
        <v>Wood</v>
      </c>
      <c r="B1168" s="4" t="str">
        <f>Registered!A2665</f>
        <v>Mickel</v>
      </c>
      <c r="C1168" s="4" t="str">
        <f>IF(Registered!AR2665&gt;0,Registered!AR2665&amp;" Color Bags", "")</f>
        <v>10 Color Bags</v>
      </c>
      <c r="D1168" s="4" t="str">
        <f>IF(Registered!AS2665&gt;0,(IF(Registered!AS2665=1,Registered!AS2665&amp;" T-Shirt",Registered!AS2665&amp;" T-Shirts")), "")</f>
        <v/>
      </c>
      <c r="E1168" s="4" t="str">
        <f>Registered!AT2665</f>
        <v/>
      </c>
      <c r="F1168" s="4" t="str">
        <f>Registered!AU2665</f>
        <v/>
      </c>
      <c r="G1168" s="4" t="str">
        <f>Registered!AW2665</f>
        <v>2 Meals</v>
      </c>
      <c r="H1168" s="4" t="str">
        <f>Registered!AX2665</f>
        <v/>
      </c>
      <c r="I1168" s="4" t="str">
        <f>Registered!AY2665</f>
        <v/>
      </c>
    </row>
    <row r="1169" spans="1:9" x14ac:dyDescent="0.25">
      <c r="A1169" s="4" t="str">
        <f>Registered!B2661</f>
        <v>Wood</v>
      </c>
      <c r="B1169" s="4" t="str">
        <f>Registered!A2661</f>
        <v>Diane</v>
      </c>
      <c r="C1169" s="4" t="str">
        <f>IF(Registered!AR2661&gt;0,Registered!AR2661&amp;" Color Bags", "")</f>
        <v>40 Color Bags</v>
      </c>
      <c r="D1169" s="4" t="str">
        <f>IF(Registered!AS2661&gt;0,(IF(Registered!AS2661=1,Registered!AS2661&amp;" T-Shirt",Registered!AS2661&amp;" T-Shirts")), "")</f>
        <v/>
      </c>
      <c r="E1169" s="4" t="str">
        <f>Registered!AT2661</f>
        <v/>
      </c>
      <c r="F1169" s="4" t="str">
        <f>Registered!AU2661</f>
        <v/>
      </c>
      <c r="G1169" s="4" t="str">
        <f>Registered!AW2661</f>
        <v/>
      </c>
      <c r="H1169" s="4" t="str">
        <f>Registered!AX2661</f>
        <v/>
      </c>
      <c r="I1169" s="4" t="str">
        <f>Registered!AY2661</f>
        <v/>
      </c>
    </row>
    <row r="1170" spans="1:9" x14ac:dyDescent="0.25">
      <c r="A1170" s="4" t="str">
        <f>Registered!B2663</f>
        <v>Wood</v>
      </c>
      <c r="B1170" s="4" t="str">
        <f>Registered!A2663</f>
        <v>Jillian</v>
      </c>
      <c r="C1170" s="4" t="str">
        <f>IF(Registered!AR2663&gt;0,Registered!AR2663&amp;" Color Bags", "")</f>
        <v>5 Color Bags</v>
      </c>
      <c r="D1170" s="4" t="str">
        <f>IF(Registered!AS2663&gt;0,(IF(Registered!AS2663=1,Registered!AS2663&amp;" T-Shirt",Registered!AS2663&amp;" T-Shirts")), "")</f>
        <v/>
      </c>
      <c r="E1170" s="4" t="str">
        <f>Registered!AT2663</f>
        <v/>
      </c>
      <c r="F1170" s="4" t="str">
        <f>Registered!AU2663</f>
        <v/>
      </c>
      <c r="G1170" s="4" t="str">
        <f>Registered!AW2663</f>
        <v/>
      </c>
      <c r="H1170" s="4" t="str">
        <f>Registered!AX2663</f>
        <v/>
      </c>
      <c r="I1170" s="4" t="str">
        <f>Registered!AY2663</f>
        <v/>
      </c>
    </row>
    <row r="1171" spans="1:9" x14ac:dyDescent="0.25">
      <c r="A1171" s="4" t="str">
        <f>Registered!B2668</f>
        <v>Woolf</v>
      </c>
      <c r="B1171" s="4" t="str">
        <f>Registered!A2668</f>
        <v>Megan</v>
      </c>
      <c r="C1171" s="4" t="str">
        <f>IF(Registered!AR2668&gt;0,Registered!AR2668&amp;" Color Bags", "")</f>
        <v>5 Color Bags</v>
      </c>
      <c r="D1171" s="4" t="str">
        <f>IF(Registered!AS2668&gt;0,(IF(Registered!AS2668=1,Registered!AS2668&amp;" T-Shirt",Registered!AS2668&amp;" T-Shirts")), "")</f>
        <v/>
      </c>
      <c r="E1171" s="4" t="str">
        <f>Registered!AT2668</f>
        <v/>
      </c>
      <c r="F1171" s="4" t="str">
        <f>Registered!AU2668</f>
        <v/>
      </c>
      <c r="G1171" s="4" t="str">
        <f>Registered!AW2668</f>
        <v/>
      </c>
      <c r="H1171" s="4" t="str">
        <f>Registered!AX2668</f>
        <v/>
      </c>
      <c r="I1171" s="4" t="str">
        <f>Registered!AY2668</f>
        <v/>
      </c>
    </row>
    <row r="1172" spans="1:9" x14ac:dyDescent="0.25">
      <c r="A1172" s="4" t="str">
        <f>Registered!B2669</f>
        <v>Woolford</v>
      </c>
      <c r="B1172" s="4" t="str">
        <f>Registered!A2669</f>
        <v>Marti</v>
      </c>
      <c r="C1172" s="4" t="str">
        <f>IF(Registered!AR2669&gt;0,Registered!AR2669&amp;" Color Bags", "")</f>
        <v>5 Color Bags</v>
      </c>
      <c r="D1172" s="4" t="str">
        <f>IF(Registered!AS2669&gt;0,(IF(Registered!AS2669=1,Registered!AS2669&amp;" T-Shirt",Registered!AS2669&amp;" T-Shirts")), "")</f>
        <v/>
      </c>
      <c r="E1172" s="4" t="str">
        <f>Registered!AT2669</f>
        <v/>
      </c>
      <c r="F1172" s="4" t="str">
        <f>Registered!AU2669</f>
        <v/>
      </c>
      <c r="G1172" s="4" t="str">
        <f>Registered!AW2669</f>
        <v/>
      </c>
      <c r="H1172" s="4" t="str">
        <f>Registered!AX2669</f>
        <v/>
      </c>
      <c r="I1172" s="4" t="str">
        <f>Registered!AY2669</f>
        <v/>
      </c>
    </row>
    <row r="1173" spans="1:9" x14ac:dyDescent="0.25">
      <c r="A1173" s="4" t="str">
        <f>Registered!B2672</f>
        <v>Worthen</v>
      </c>
      <c r="B1173" s="4" t="str">
        <f>Registered!A2672</f>
        <v>Michelle</v>
      </c>
      <c r="C1173" s="4" t="str">
        <f>IF(Registered!AR2672&gt;0,Registered!AR2672&amp;" Color Bags", "")</f>
        <v>10 Color Bags</v>
      </c>
      <c r="D1173" s="4" t="str">
        <f>IF(Registered!AS2672&gt;0,(IF(Registered!AS2672=1,Registered!AS2672&amp;" T-Shirt",Registered!AS2672&amp;" T-Shirts")), "")</f>
        <v/>
      </c>
      <c r="E1173" s="4" t="str">
        <f>Registered!AT2672</f>
        <v/>
      </c>
      <c r="F1173" s="4" t="str">
        <f>Registered!AU2672</f>
        <v>3 Bandanas</v>
      </c>
      <c r="G1173" s="4" t="str">
        <f>Registered!AW2672</f>
        <v/>
      </c>
      <c r="H1173" s="4" t="str">
        <f>Registered!AX2672</f>
        <v/>
      </c>
      <c r="I1173" s="4" t="str">
        <f>Registered!AY2672</f>
        <v/>
      </c>
    </row>
    <row r="1174" spans="1:9" x14ac:dyDescent="0.25">
      <c r="A1174" s="4" t="str">
        <f>Registered!B2673</f>
        <v>Worthen</v>
      </c>
      <c r="B1174" s="4" t="str">
        <f>Registered!A2673</f>
        <v>Rikki</v>
      </c>
      <c r="C1174" s="4" t="str">
        <f>IF(Registered!AR2673&gt;0,Registered!AR2673&amp;" Color Bags", "")</f>
        <v>30 Color Bags</v>
      </c>
      <c r="D1174" s="4" t="str">
        <f>IF(Registered!AS2673&gt;0,(IF(Registered!AS2673=1,Registered!AS2673&amp;" T-Shirt",Registered!AS2673&amp;" T-Shirts")), "")</f>
        <v/>
      </c>
      <c r="E1174" s="4" t="str">
        <f>Registered!AT2673</f>
        <v/>
      </c>
      <c r="F1174" s="4" t="str">
        <f>Registered!AU2673</f>
        <v/>
      </c>
      <c r="G1174" s="4" t="str">
        <f>Registered!AW2673</f>
        <v/>
      </c>
      <c r="H1174" s="4" t="str">
        <f>Registered!AX2673</f>
        <v/>
      </c>
      <c r="I1174" s="4" t="str">
        <f>Registered!AY2673</f>
        <v/>
      </c>
    </row>
    <row r="1175" spans="1:9" x14ac:dyDescent="0.25">
      <c r="A1175" s="4" t="str">
        <f>Registered!B2678</f>
        <v>Wright</v>
      </c>
      <c r="B1175" s="4" t="str">
        <f>Registered!A2678</f>
        <v>Camron</v>
      </c>
      <c r="C1175" s="4" t="str">
        <f>IF(Registered!AR2678&gt;0,Registered!AR2678&amp;" Color Bags", "")</f>
        <v>10 Color Bags</v>
      </c>
      <c r="D1175" s="4" t="str">
        <f>IF(Registered!AS2678&gt;0,(IF(Registered!AS2678=1,Registered!AS2678&amp;" T-Shirt",Registered!AS2678&amp;" T-Shirts")), "")</f>
        <v>2 T-Shirts</v>
      </c>
      <c r="E1175" s="4" t="str">
        <f>Registered!AT2678</f>
        <v>Small and Medium Adult</v>
      </c>
      <c r="F1175" s="4" t="str">
        <f>Registered!AU2678</f>
        <v>2 Bandanas</v>
      </c>
      <c r="G1175" s="4" t="str">
        <f>Registered!AW2678</f>
        <v>2 Meals</v>
      </c>
      <c r="H1175" s="4" t="str">
        <f>Registered!AX2678</f>
        <v/>
      </c>
      <c r="I1175" s="4" t="str">
        <f>Registered!AY2678</f>
        <v/>
      </c>
    </row>
    <row r="1176" spans="1:9" x14ac:dyDescent="0.25">
      <c r="A1176" s="4" t="str">
        <f>Registered!B2684</f>
        <v>Wright</v>
      </c>
      <c r="B1176" s="4" t="str">
        <f>Registered!A2684</f>
        <v>Mindy</v>
      </c>
      <c r="C1176" s="4" t="str">
        <f>IF(Registered!AR2684&gt;0,Registered!AR2684&amp;" Color Bags", "")</f>
        <v>15 Color Bags</v>
      </c>
      <c r="D1176" s="4" t="str">
        <f>IF(Registered!AS2684&gt;0,(IF(Registered!AS2684=1,Registered!AS2684&amp;" T-Shirt",Registered!AS2684&amp;" T-Shirts")), "")</f>
        <v/>
      </c>
      <c r="E1176" s="4" t="str">
        <f>Registered!AT2684</f>
        <v/>
      </c>
      <c r="F1176" s="4" t="str">
        <f>Registered!AU2684</f>
        <v/>
      </c>
      <c r="G1176" s="4" t="str">
        <f>Registered!AW2684</f>
        <v/>
      </c>
      <c r="H1176" s="4" t="str">
        <f>Registered!AX2684</f>
        <v/>
      </c>
      <c r="I1176" s="4" t="str">
        <f>Registered!AY2684</f>
        <v/>
      </c>
    </row>
    <row r="1177" spans="1:9" x14ac:dyDescent="0.25">
      <c r="A1177" s="4" t="str">
        <f>Registered!B2680</f>
        <v>Wright</v>
      </c>
      <c r="B1177" s="4" t="str">
        <f>Registered!A2680</f>
        <v>Kelly</v>
      </c>
      <c r="C1177" s="4" t="str">
        <f>IF(Registered!AR2680&gt;0,Registered!AR2680&amp;" Color Bags", "")</f>
        <v>30 Color Bags</v>
      </c>
      <c r="D1177" s="4" t="str">
        <f>IF(Registered!AS2680&gt;0,(IF(Registered!AS2680=1,Registered!AS2680&amp;" T-Shirt",Registered!AS2680&amp;" T-Shirts")), "")</f>
        <v/>
      </c>
      <c r="E1177" s="4" t="str">
        <f>Registered!AT2680</f>
        <v/>
      </c>
      <c r="F1177" s="4" t="str">
        <f>Registered!AU2680</f>
        <v/>
      </c>
      <c r="G1177" s="4" t="str">
        <f>Registered!AW2680</f>
        <v/>
      </c>
      <c r="H1177" s="4" t="str">
        <f>Registered!AX2680</f>
        <v/>
      </c>
      <c r="I1177" s="4" t="str">
        <f>Registered!AY2680</f>
        <v/>
      </c>
    </row>
    <row r="1178" spans="1:9" x14ac:dyDescent="0.25">
      <c r="A1178" s="4" t="str">
        <f>Registered!B2687</f>
        <v>Wymore</v>
      </c>
      <c r="B1178" s="4" t="str">
        <f>Registered!A2687</f>
        <v>Gunnar</v>
      </c>
      <c r="C1178" s="4" t="str">
        <f>IF(Registered!AR2687&gt;0,Registered!AR2687&amp;" Color Bags", "")</f>
        <v>5 Color Bags</v>
      </c>
      <c r="D1178" s="4" t="str">
        <f>IF(Registered!AS2687&gt;0,(IF(Registered!AS2687=1,Registered!AS2687&amp;" T-Shirt",Registered!AS2687&amp;" T-Shirts")), "")</f>
        <v/>
      </c>
      <c r="E1178" s="4" t="str">
        <f>Registered!AT2687</f>
        <v/>
      </c>
      <c r="F1178" s="4" t="str">
        <f>Registered!AU2687</f>
        <v/>
      </c>
      <c r="G1178" s="4" t="str">
        <f>Registered!AW2687</f>
        <v/>
      </c>
      <c r="H1178" s="4" t="str">
        <f>Registered!AX2687</f>
        <v/>
      </c>
      <c r="I1178" s="4" t="str">
        <f>Registered!AY2687</f>
        <v/>
      </c>
    </row>
    <row r="1179" spans="1:9" x14ac:dyDescent="0.25">
      <c r="A1179" s="4" t="str">
        <f>Registered!B2694</f>
        <v>Young</v>
      </c>
      <c r="B1179" s="4" t="str">
        <f>Registered!A2694</f>
        <v>Amber</v>
      </c>
      <c r="C1179" s="4" t="str">
        <f>IF(Registered!AR2694&gt;0,Registered!AR2694&amp;" Color Bags", "")</f>
        <v>10 Color Bags</v>
      </c>
      <c r="D1179" s="4" t="str">
        <f>IF(Registered!AS2694&gt;0,(IF(Registered!AS2694=1,Registered!AS2694&amp;" T-Shirt",Registered!AS2694&amp;" T-Shirts")), "")</f>
        <v/>
      </c>
      <c r="E1179" s="4" t="str">
        <f>Registered!AT2694</f>
        <v/>
      </c>
      <c r="F1179" s="4" t="str">
        <f>Registered!AU2694</f>
        <v/>
      </c>
      <c r="G1179" s="4" t="str">
        <f>Registered!AW2694</f>
        <v/>
      </c>
      <c r="H1179" s="4" t="str">
        <f>Registered!AX2694</f>
        <v/>
      </c>
      <c r="I1179" s="4" t="str">
        <f>Registered!AY2694</f>
        <v/>
      </c>
    </row>
    <row r="1180" spans="1:9" x14ac:dyDescent="0.25">
      <c r="A1180" s="4" t="str">
        <f>Registered!B2695</f>
        <v>Young</v>
      </c>
      <c r="B1180" s="4" t="str">
        <f>Registered!A2695</f>
        <v>Brenda</v>
      </c>
      <c r="C1180" s="4" t="str">
        <f>IF(Registered!AR2695&gt;0,Registered!AR2695&amp;" Color Bags", "")</f>
        <v>20 Color Bags</v>
      </c>
      <c r="D1180" s="4" t="str">
        <f>IF(Registered!AS2695&gt;0,(IF(Registered!AS2695=1,Registered!AS2695&amp;" T-Shirt",Registered!AS2695&amp;" T-Shirts")), "")</f>
        <v>2 T-Shirts</v>
      </c>
      <c r="E1180" s="4" t="str">
        <f>Registered!AT2695</f>
        <v>large and extra large</v>
      </c>
      <c r="F1180" s="4" t="str">
        <f>Registered!AU2695</f>
        <v/>
      </c>
      <c r="G1180" s="4" t="str">
        <f>Registered!AW2695</f>
        <v/>
      </c>
      <c r="H1180" s="4" t="str">
        <f>Registered!AX2695</f>
        <v/>
      </c>
      <c r="I1180" s="4" t="str">
        <f>Registered!AY2695</f>
        <v/>
      </c>
    </row>
    <row r="1181" spans="1:9" x14ac:dyDescent="0.25">
      <c r="A1181" s="4" t="str">
        <f>Registered!B2698</f>
        <v>Young</v>
      </c>
      <c r="B1181" s="4" t="str">
        <f>Registered!A2698</f>
        <v>Jennifer</v>
      </c>
      <c r="C1181" s="4" t="str">
        <f>IF(Registered!AR2698&gt;0,Registered!AR2698&amp;" Color Bags", "")</f>
        <v>20 Color Bags</v>
      </c>
      <c r="D1181" s="4" t="str">
        <f>IF(Registered!AS2698&gt;0,(IF(Registered!AS2698=1,Registered!AS2698&amp;" T-Shirt",Registered!AS2698&amp;" T-Shirts")), "")</f>
        <v/>
      </c>
      <c r="E1181" s="4" t="str">
        <f>Registered!AT2698</f>
        <v/>
      </c>
      <c r="F1181" s="4" t="str">
        <f>Registered!AU2698</f>
        <v/>
      </c>
      <c r="G1181" s="4" t="str">
        <f>Registered!AW2698</f>
        <v/>
      </c>
      <c r="H1181" s="4" t="str">
        <f>Registered!AX2698</f>
        <v/>
      </c>
      <c r="I1181" s="4" t="str">
        <f>Registered!AY2698</f>
        <v/>
      </c>
    </row>
    <row r="1182" spans="1:9" x14ac:dyDescent="0.25">
      <c r="A1182" s="4" t="str">
        <f>Registered!B2700</f>
        <v>Young</v>
      </c>
      <c r="B1182" s="4" t="str">
        <f>Registered!A2700</f>
        <v>Kevin</v>
      </c>
      <c r="C1182" s="4" t="str">
        <f>IF(Registered!AR2700&gt;0,Registered!AR2700&amp;" Color Bags", "")</f>
        <v>20 Color Bags</v>
      </c>
      <c r="D1182" s="4" t="str">
        <f>IF(Registered!AS2700&gt;0,(IF(Registered!AS2700=1,Registered!AS2700&amp;" T-Shirt",Registered!AS2700&amp;" T-Shirts")), "")</f>
        <v/>
      </c>
      <c r="E1182" s="4" t="str">
        <f>Registered!AT2700</f>
        <v/>
      </c>
      <c r="F1182" s="4" t="str">
        <f>Registered!AU2700</f>
        <v/>
      </c>
      <c r="G1182" s="4" t="str">
        <f>Registered!AW2700</f>
        <v>3 Meals</v>
      </c>
      <c r="H1182" s="4" t="str">
        <f>Registered!AX2700</f>
        <v/>
      </c>
      <c r="I1182" s="4" t="str">
        <f>Registered!AY2700</f>
        <v/>
      </c>
    </row>
    <row r="1183" spans="1:9" x14ac:dyDescent="0.25">
      <c r="A1183" s="4" t="str">
        <f>Registered!B2705</f>
        <v>Zaelit</v>
      </c>
      <c r="B1183" s="4" t="str">
        <f>Registered!A2705</f>
        <v>Joe</v>
      </c>
      <c r="C1183" s="4" t="str">
        <f>IF(Registered!AR2705&gt;0,Registered!AR2705&amp;" Color Bags", "")</f>
        <v>10 Color Bags</v>
      </c>
      <c r="D1183" s="4" t="str">
        <f>IF(Registered!AS2705&gt;0,(IF(Registered!AS2705=1,Registered!AS2705&amp;" T-Shirt",Registered!AS2705&amp;" T-Shirts")), "")</f>
        <v/>
      </c>
      <c r="E1183" s="4" t="str">
        <f>Registered!AT2705</f>
        <v/>
      </c>
      <c r="F1183" s="4" t="str">
        <f>Registered!AU2705</f>
        <v/>
      </c>
      <c r="G1183" s="4" t="str">
        <f>Registered!AW2705</f>
        <v/>
      </c>
      <c r="H1183" s="4" t="str">
        <f>Registered!AX2705</f>
        <v/>
      </c>
      <c r="I1183" s="4" t="str">
        <f>Registered!AY2705</f>
        <v/>
      </c>
    </row>
    <row r="1184" spans="1:9" x14ac:dyDescent="0.25">
      <c r="A1184" s="4" t="str">
        <f>Registered!B2708</f>
        <v>Ziegler</v>
      </c>
      <c r="B1184" s="4" t="str">
        <f>Registered!A2708</f>
        <v>Barbara</v>
      </c>
      <c r="C1184" s="4" t="str">
        <f>IF(Registered!AR2708&gt;0,Registered!AR2708&amp;" Color Bags", "")</f>
        <v>20 Color Bags</v>
      </c>
      <c r="D1184" s="4" t="str">
        <f>IF(Registered!AS2708&gt;0,(IF(Registered!AS2708=1,Registered!AS2708&amp;" T-Shirt",Registered!AS2708&amp;" T-Shirts")), "")</f>
        <v/>
      </c>
      <c r="E1184" s="4" t="str">
        <f>Registered!AT2708</f>
        <v/>
      </c>
      <c r="F1184" s="4" t="str">
        <f>Registered!AU2708</f>
        <v/>
      </c>
      <c r="G1184" s="4" t="str">
        <f>Registered!AW2708</f>
        <v/>
      </c>
      <c r="H1184" s="4" t="str">
        <f>Registered!AX2708</f>
        <v/>
      </c>
      <c r="I1184" s="4" t="str">
        <f>Registered!AY2708</f>
        <v>1 DustMask</v>
      </c>
    </row>
    <row r="1185" spans="1:9" x14ac:dyDescent="0.25">
      <c r="A1185" s="4" t="str">
        <f>Registered!B2711</f>
        <v>Zlak</v>
      </c>
      <c r="B1185" s="4" t="str">
        <f>Registered!A2711</f>
        <v>Rafal</v>
      </c>
      <c r="C1185" s="4" t="str">
        <f>IF(Registered!AR2711&gt;0,Registered!AR2711&amp;" Color Bags", "")</f>
        <v>5 Color Bags</v>
      </c>
      <c r="D1185" s="4" t="str">
        <f>IF(Registered!AS2711&gt;0,(IF(Registered!AS2711=1,Registered!AS2711&amp;" T-Shirt",Registered!AS2711&amp;" T-Shirts")), "")</f>
        <v/>
      </c>
      <c r="E1185" s="4" t="str">
        <f>Registered!AT2711</f>
        <v/>
      </c>
      <c r="F1185" s="4" t="str">
        <f>Registered!AU2711</f>
        <v/>
      </c>
      <c r="G1185" s="4" t="str">
        <f>Registered!AW2711</f>
        <v>1 Meal</v>
      </c>
      <c r="H1185" s="4" t="str">
        <f>Registered!AX2711</f>
        <v/>
      </c>
      <c r="I1185" s="4" t="str">
        <f>Registered!AY2711</f>
        <v>1 DustMask</v>
      </c>
    </row>
    <row r="1186" spans="1:9" x14ac:dyDescent="0.25">
      <c r="A1186" s="4" t="str">
        <f>Registered!B2714</f>
        <v>Zukanovich</v>
      </c>
      <c r="B1186" s="4" t="str">
        <f>Registered!A2714</f>
        <v>Dana</v>
      </c>
      <c r="C1186" s="4" t="str">
        <f>IF(Registered!AR2714&gt;0,Registered!AR2714&amp;" Color Bags", "")</f>
        <v>5 Color Bags</v>
      </c>
      <c r="D1186" s="4" t="str">
        <f>IF(Registered!AS2714&gt;0,(IF(Registered!AS2714=1,Registered!AS2714&amp;" T-Shirt",Registered!AS2714&amp;" T-Shirts")), "")</f>
        <v/>
      </c>
      <c r="E1186" s="4" t="str">
        <f>Registered!AT2714</f>
        <v/>
      </c>
      <c r="F1186" s="4" t="str">
        <f>Registered!AU2714</f>
        <v/>
      </c>
      <c r="G1186" s="4" t="str">
        <f>Registered!AW2714</f>
        <v/>
      </c>
      <c r="H1186" s="4" t="str">
        <f>Registered!AX2714</f>
        <v/>
      </c>
      <c r="I1186" s="4" t="str">
        <f>Registered!AY2714</f>
        <v/>
      </c>
    </row>
  </sheetData>
  <pageMargins left="0.7" right="0.25" top="1" bottom="0.18" header="0.3" footer="0.3"/>
  <pageSetup orientation="landscape"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Originals</vt:lpstr>
      <vt:lpstr>Registered</vt:lpstr>
      <vt:lpstr>Failed</vt:lpstr>
      <vt:lpstr>Final List</vt:lpstr>
      <vt:lpstr>Sheet2</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Bhakti Charu Swami</dc:creator>
  <cp:lastModifiedBy>Anshul</cp:lastModifiedBy>
  <cp:lastPrinted>2013-03-29T22:42:42Z</cp:lastPrinted>
  <dcterms:created xsi:type="dcterms:W3CDTF">2013-03-01T19:57:57Z</dcterms:created>
  <dcterms:modified xsi:type="dcterms:W3CDTF">2024-04-13T05:18:53Z</dcterms:modified>
</cp:coreProperties>
</file>